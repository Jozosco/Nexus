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\1201.90\식용 대두(.3000)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s="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s="1"/>
  <c r="B15" i="17" l="1"/>
  <c r="B15" i="12"/>
  <c r="B15" i="13"/>
  <c r="B15" i="14"/>
  <c r="B15" i="15"/>
  <c r="B15" i="16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<sst xmlns="http://schemas.openxmlformats.org/spreadsheetml/2006/main" count="306" uniqueCount="37">
  <si>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</si>
  <si>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</si>
  <si>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</si>
  <si>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</si>
  <si>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</si>
  <si>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</si>
  <si>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</si>
  <si>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</si>
  <si>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</si>
  <si>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</si>
  <si>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</si>
  <si>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</si>
  <si>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</si>
  <si>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</si>
  <si>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</si>
  <si>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</si>
  <si>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</si>
  <si>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</si>
  <si>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1월</t>
    <phoneticPr fontId="1" type="noConversion"/>
  </si>
  <si>
    <t>2월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</si>
  <si>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</si>
  <si>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</si>
  <si>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</si>
  <si>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</si>
  <si>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</si>
  <si>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</si>
  <si>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</si>
  <si>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</si>
  <si>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</si>
  <si>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</si>
  <si>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</si>
  <si>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</si>
  <si>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수입량(kg)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</si>
  <si>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</si>
  <si>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</si>
  <si>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</si>
  <si>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총계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</si>
</sst>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18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19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</row>
    <row r="3" spans="1:6" x14ac:dyDescent="0.3">
      <c r="A3" s="2" t="s">
        <v>26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28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29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2</v>
      </c>
      <c r="E2" s="1" t="s">
        <v>24</v>
      </c>
      <c r="F2" s="1" t="s">
        <v>32</v>
      </c>
    </row>
    <row r="3" spans="1:6" x14ac:dyDescent="0.3">
      <c r="A3" s="2" t="s">
        <v>26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ref="B4:B14" si="0">C4-E4</f>
        <v>-375885</v>
      </c>
      <c r="C4" s="3">
        <v>0</v>
      </c>
      <c r="D4" s="3">
        <v>0</v>
      </c>
      <c r="E4" s="3">
        <v>375885</v>
      </c>
      <c r="F4" s="3">
        <v>300200</v>
      </c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-391120</v>
      </c>
      <c r="C6" s="3">
        <v>0</v>
      </c>
      <c r="D6" s="3">
        <v>0</v>
      </c>
      <c r="E6" s="3">
        <v>391120</v>
      </c>
      <c r="F6" s="3">
        <v>400000</v>
      </c>
    </row>
    <row r="7" spans="1:6" x14ac:dyDescent="0.3">
      <c r="A7" s="2" t="s">
        <v>9</v>
      </c>
      <c r="B7" s="3">
        <f t="shared" si="0"/>
        <v>-722399</v>
      </c>
      <c r="C7" s="3">
        <v>0</v>
      </c>
      <c r="D7" s="3">
        <v>0</v>
      </c>
      <c r="E7" s="3">
        <v>722399</v>
      </c>
      <c r="F7" s="3">
        <v>560000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-92</v>
      </c>
      <c r="C9" s="3">
        <v>0</v>
      </c>
      <c r="D9" s="3">
        <v>0</v>
      </c>
      <c r="E9" s="3">
        <v>92</v>
      </c>
      <c r="F9" s="3">
        <v>18</v>
      </c>
    </row>
    <row r="10" spans="1:6" x14ac:dyDescent="0.3">
      <c r="A10" s="2" t="s">
        <v>12</v>
      </c>
      <c r="B10" s="3">
        <f t="shared" si="0"/>
        <v>-20</v>
      </c>
      <c r="C10" s="3">
        <v>0</v>
      </c>
      <c r="D10" s="3">
        <v>0</v>
      </c>
      <c r="E10" s="3">
        <v>20</v>
      </c>
      <c r="F10" s="3">
        <v>2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-30</v>
      </c>
      <c r="C12" s="3">
        <v>0</v>
      </c>
      <c r="D12" s="3">
        <v>0</v>
      </c>
      <c r="E12" s="3">
        <v>30</v>
      </c>
      <c r="F12" s="3">
        <v>4</v>
      </c>
    </row>
    <row r="13" spans="1:6" x14ac:dyDescent="0.3">
      <c r="A13" s="2" t="s">
        <v>15</v>
      </c>
      <c r="B13" s="3">
        <f t="shared" si="0"/>
        <v>-1127827</v>
      </c>
      <c r="C13" s="3">
        <v>0</v>
      </c>
      <c r="D13" s="3">
        <v>0</v>
      </c>
      <c r="E13" s="3">
        <v>1127827</v>
      </c>
      <c r="F13" s="3">
        <v>700000</v>
      </c>
    </row>
    <row r="14" spans="1:6" x14ac:dyDescent="0.3">
      <c r="A14" s="2" t="s">
        <v>16</v>
      </c>
      <c r="B14" s="3">
        <f t="shared" si="0"/>
        <v>-2512160</v>
      </c>
      <c r="C14" s="3">
        <v>0</v>
      </c>
      <c r="D14" s="3">
        <v>0</v>
      </c>
      <c r="E14" s="3">
        <v>2512160</v>
      </c>
      <c r="F14" s="3">
        <v>1600000</v>
      </c>
    </row>
    <row r="15" spans="1:6" ht="17.25" thickBot="1" x14ac:dyDescent="0.35">
      <c r="A15" s="4" t="s">
        <v>34</v>
      </c>
      <c r="B15" s="5">
        <f>SUM(B3:B14)</f>
        <v>-5129533</v>
      </c>
      <c r="C15" s="5">
        <f t="shared" ref="C15:F15" si="1">SUM(C3:C14)</f>
        <v>0</v>
      </c>
      <c r="D15" s="5">
        <f t="shared" si="1"/>
        <v>0</v>
      </c>
      <c r="E15" s="5">
        <f t="shared" si="1"/>
        <v>5129533</v>
      </c>
      <c r="F15" s="5">
        <f t="shared" si="1"/>
        <v>3560224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4</v>
      </c>
    </row>
    <row r="3" spans="1:6" x14ac:dyDescent="0.3">
      <c r="A3" s="2" t="s">
        <v>26</v>
      </c>
      <c r="B3" s="3">
        <f t="shared" ref="B3:B14" si="0">C3-E3</f>
        <v>-709941</v>
      </c>
      <c r="C3" s="3">
        <v>63800</v>
      </c>
      <c r="D3" s="3">
        <v>40000</v>
      </c>
      <c r="E3" s="3">
        <v>773741</v>
      </c>
      <c r="F3" s="3">
        <v>500000</v>
      </c>
    </row>
    <row r="4" spans="1:6" x14ac:dyDescent="0.3">
      <c r="A4" s="2" t="s">
        <v>27</v>
      </c>
      <c r="B4" s="3">
        <f t="shared" si="0"/>
        <v>-817908</v>
      </c>
      <c r="C4" s="3">
        <v>0</v>
      </c>
      <c r="D4" s="3">
        <v>0</v>
      </c>
      <c r="E4" s="3">
        <v>817908</v>
      </c>
      <c r="F4" s="3">
        <v>500000</v>
      </c>
    </row>
    <row r="5" spans="1:6" x14ac:dyDescent="0.3">
      <c r="A5" s="2" t="s">
        <v>33</v>
      </c>
      <c r="B5" s="3">
        <f t="shared" si="0"/>
        <v>-1555422</v>
      </c>
      <c r="C5" s="3">
        <v>0</v>
      </c>
      <c r="D5" s="3">
        <v>0</v>
      </c>
      <c r="E5" s="3">
        <v>1555422</v>
      </c>
      <c r="F5" s="3">
        <v>1000000</v>
      </c>
    </row>
    <row r="6" spans="1:6" x14ac:dyDescent="0.3">
      <c r="A6" s="2" t="s">
        <v>8</v>
      </c>
      <c r="B6" s="3">
        <f t="shared" si="0"/>
        <v>-1246772</v>
      </c>
      <c r="C6" s="3">
        <v>0</v>
      </c>
      <c r="D6" s="3">
        <v>0</v>
      </c>
      <c r="E6" s="3">
        <v>1246772</v>
      </c>
      <c r="F6" s="3">
        <v>780002</v>
      </c>
    </row>
    <row r="7" spans="1:6" x14ac:dyDescent="0.3">
      <c r="A7" s="2" t="s">
        <v>9</v>
      </c>
      <c r="B7" s="3">
        <f t="shared" si="0"/>
        <v>-1153545</v>
      </c>
      <c r="C7" s="3">
        <v>80</v>
      </c>
      <c r="D7" s="3">
        <v>51</v>
      </c>
      <c r="E7" s="3">
        <v>1153625</v>
      </c>
      <c r="F7" s="3">
        <v>720000</v>
      </c>
    </row>
    <row r="8" spans="1:6" x14ac:dyDescent="0.3">
      <c r="A8" s="2" t="s">
        <v>10</v>
      </c>
      <c r="B8" s="3">
        <f t="shared" si="0"/>
        <v>20</v>
      </c>
      <c r="C8" s="3">
        <v>20</v>
      </c>
      <c r="D8" s="3">
        <v>10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-39</v>
      </c>
      <c r="C13" s="3">
        <v>0</v>
      </c>
      <c r="D13" s="3">
        <v>0</v>
      </c>
      <c r="E13" s="3">
        <v>39</v>
      </c>
      <c r="F13" s="3">
        <v>4</v>
      </c>
    </row>
    <row r="14" spans="1:6" x14ac:dyDescent="0.3">
      <c r="A14" s="2" t="s">
        <v>16</v>
      </c>
      <c r="B14" s="3">
        <f t="shared" si="0"/>
        <v>-14</v>
      </c>
      <c r="C14" s="3">
        <v>0</v>
      </c>
      <c r="D14" s="3">
        <v>0</v>
      </c>
      <c r="E14" s="3">
        <v>14</v>
      </c>
      <c r="F14" s="3">
        <v>2</v>
      </c>
    </row>
    <row r="15" spans="1:6" ht="17.25" thickBot="1" x14ac:dyDescent="0.35">
      <c r="A15" s="4" t="s">
        <v>36</v>
      </c>
      <c r="B15" s="5">
        <f>SUM(B3:B14)</f>
        <v>-5483621</v>
      </c>
      <c r="C15" s="5">
        <f t="shared" ref="C15:F15" si="1">SUM(C3:C14)</f>
        <v>63900</v>
      </c>
      <c r="D15" s="5">
        <f t="shared" si="1"/>
        <v>40061</v>
      </c>
      <c r="E15" s="5">
        <f t="shared" si="1"/>
        <v>5547521</v>
      </c>
      <c r="F15" s="5">
        <f t="shared" si="1"/>
        <v>3500008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32</v>
      </c>
    </row>
    <row r="3" spans="1:6" x14ac:dyDescent="0.3">
      <c r="A3" s="2" t="s">
        <v>26</v>
      </c>
      <c r="B3" s="3">
        <f t="shared" ref="B3:B14" si="0">C3-E3</f>
        <v>-1200013</v>
      </c>
      <c r="C3" s="3">
        <v>0</v>
      </c>
      <c r="D3" s="3">
        <v>0</v>
      </c>
      <c r="E3" s="3">
        <v>1200013</v>
      </c>
      <c r="F3" s="3">
        <v>800001</v>
      </c>
    </row>
    <row r="4" spans="1:6" x14ac:dyDescent="0.3">
      <c r="A4" s="2" t="s">
        <v>27</v>
      </c>
      <c r="B4" s="3">
        <f t="shared" si="0"/>
        <v>-2833983</v>
      </c>
      <c r="C4" s="3">
        <v>0</v>
      </c>
      <c r="D4" s="3">
        <v>0</v>
      </c>
      <c r="E4" s="3">
        <v>2833983</v>
      </c>
      <c r="F4" s="3">
        <v>1900003</v>
      </c>
    </row>
    <row r="5" spans="1:6" x14ac:dyDescent="0.3">
      <c r="A5" s="2" t="s">
        <v>33</v>
      </c>
      <c r="B5" s="3">
        <f t="shared" si="0"/>
        <v>-299520</v>
      </c>
      <c r="C5" s="3">
        <v>0</v>
      </c>
      <c r="D5" s="3">
        <v>0</v>
      </c>
      <c r="E5" s="3">
        <v>299520</v>
      </c>
      <c r="F5" s="3">
        <v>234000</v>
      </c>
    </row>
    <row r="6" spans="1:6" x14ac:dyDescent="0.3">
      <c r="A6" s="2" t="s">
        <v>8</v>
      </c>
      <c r="B6" s="3">
        <f t="shared" si="0"/>
        <v>-1599094</v>
      </c>
      <c r="C6" s="3">
        <v>0</v>
      </c>
      <c r="D6" s="3">
        <v>0</v>
      </c>
      <c r="E6" s="3">
        <v>1599094</v>
      </c>
      <c r="F6" s="3">
        <v>1246000</v>
      </c>
    </row>
    <row r="7" spans="1:6" x14ac:dyDescent="0.3">
      <c r="A7" s="2" t="s">
        <v>9</v>
      </c>
      <c r="B7" s="3">
        <f t="shared" si="0"/>
        <v>-33750</v>
      </c>
      <c r="C7" s="3">
        <v>0</v>
      </c>
      <c r="D7" s="3">
        <v>0</v>
      </c>
      <c r="E7" s="3">
        <v>33750</v>
      </c>
      <c r="F7" s="3">
        <v>25000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374700</v>
      </c>
      <c r="C9" s="3">
        <v>374700</v>
      </c>
      <c r="D9" s="3">
        <v>300000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-34</v>
      </c>
      <c r="C12" s="3">
        <v>0</v>
      </c>
      <c r="D12" s="3">
        <v>0</v>
      </c>
      <c r="E12" s="3">
        <v>34</v>
      </c>
      <c r="F12" s="3">
        <v>11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-26971</v>
      </c>
      <c r="C14" s="3">
        <v>0</v>
      </c>
      <c r="D14" s="3">
        <v>0</v>
      </c>
      <c r="E14" s="3">
        <v>26971</v>
      </c>
      <c r="F14" s="3">
        <v>20000</v>
      </c>
    </row>
    <row r="15" spans="1:6" ht="17.25" thickBot="1" x14ac:dyDescent="0.35">
      <c r="A15" s="4" t="s">
        <v>36</v>
      </c>
      <c r="B15" s="5">
        <f>SUM(B3:B14)</f>
        <v>-5618665</v>
      </c>
      <c r="C15" s="5">
        <f t="shared" ref="C15:F15" si="1">SUM(C3:C14)</f>
        <v>374700</v>
      </c>
      <c r="D15" s="5">
        <f t="shared" si="1"/>
        <v>300000</v>
      </c>
      <c r="E15" s="5">
        <f t="shared" si="1"/>
        <v>5993365</v>
      </c>
      <c r="F15" s="5">
        <f t="shared" si="1"/>
        <v>4225015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32</v>
      </c>
    </row>
    <row r="3" spans="1:6" x14ac:dyDescent="0.3">
      <c r="A3" s="2" t="s">
        <v>18</v>
      </c>
      <c r="B3" s="3">
        <f t="shared" ref="B3:B14" si="0">C3-E3</f>
        <v>-1990079</v>
      </c>
      <c r="C3" s="3">
        <v>0</v>
      </c>
      <c r="D3" s="3">
        <v>0</v>
      </c>
      <c r="E3" s="3">
        <v>1990079</v>
      </c>
      <c r="F3" s="3">
        <v>1588932</v>
      </c>
    </row>
    <row r="4" spans="1:6" x14ac:dyDescent="0.3">
      <c r="A4" s="2" t="s">
        <v>19</v>
      </c>
      <c r="B4" s="3">
        <f t="shared" si="0"/>
        <v>-1063609</v>
      </c>
      <c r="C4" s="3">
        <v>0</v>
      </c>
      <c r="D4" s="3">
        <v>0</v>
      </c>
      <c r="E4" s="3">
        <v>1063609</v>
      </c>
      <c r="F4" s="3">
        <v>820017</v>
      </c>
    </row>
    <row r="5" spans="1:6" x14ac:dyDescent="0.3">
      <c r="A5" s="2" t="s">
        <v>7</v>
      </c>
      <c r="B5" s="3">
        <f t="shared" si="0"/>
        <v>-2824818</v>
      </c>
      <c r="C5" s="3">
        <v>0</v>
      </c>
      <c r="D5" s="3">
        <v>0</v>
      </c>
      <c r="E5" s="3">
        <v>2824818</v>
      </c>
      <c r="F5" s="3">
        <v>2181011</v>
      </c>
    </row>
    <row r="6" spans="1:6" x14ac:dyDescent="0.3">
      <c r="A6" s="2" t="s">
        <v>8</v>
      </c>
      <c r="B6" s="3">
        <f t="shared" si="0"/>
        <v>-1541344</v>
      </c>
      <c r="C6" s="3">
        <v>0</v>
      </c>
      <c r="D6" s="3">
        <v>0</v>
      </c>
      <c r="E6" s="3">
        <v>1541344</v>
      </c>
      <c r="F6" s="3">
        <v>1270005</v>
      </c>
    </row>
    <row r="7" spans="1:6" x14ac:dyDescent="0.3">
      <c r="A7" s="2" t="s">
        <v>9</v>
      </c>
      <c r="B7" s="3">
        <f t="shared" si="0"/>
        <v>-1443188</v>
      </c>
      <c r="C7" s="3">
        <v>0</v>
      </c>
      <c r="D7" s="3">
        <v>0</v>
      </c>
      <c r="E7" s="3">
        <v>1443188</v>
      </c>
      <c r="F7" s="3">
        <v>1140000</v>
      </c>
    </row>
    <row r="8" spans="1:6" x14ac:dyDescent="0.3">
      <c r="A8" s="2" t="s">
        <v>10</v>
      </c>
      <c r="B8" s="3">
        <f t="shared" si="0"/>
        <v>-79782</v>
      </c>
      <c r="C8" s="3">
        <v>0</v>
      </c>
      <c r="D8" s="3">
        <v>0</v>
      </c>
      <c r="E8" s="3">
        <v>79782</v>
      </c>
      <c r="F8" s="3">
        <v>82250</v>
      </c>
    </row>
    <row r="9" spans="1:6" x14ac:dyDescent="0.3">
      <c r="A9" s="2" t="s">
        <v>11</v>
      </c>
      <c r="B9" s="3">
        <f t="shared" si="0"/>
        <v>-46325</v>
      </c>
      <c r="C9" s="3">
        <v>0</v>
      </c>
      <c r="D9" s="3">
        <v>0</v>
      </c>
      <c r="E9" s="3">
        <v>46325</v>
      </c>
      <c r="F9" s="3">
        <v>46300</v>
      </c>
    </row>
    <row r="10" spans="1:6" x14ac:dyDescent="0.3">
      <c r="A10" s="2" t="s">
        <v>12</v>
      </c>
      <c r="B10" s="3">
        <f t="shared" si="0"/>
        <v>-20000</v>
      </c>
      <c r="C10" s="3">
        <v>0</v>
      </c>
      <c r="D10" s="3">
        <v>0</v>
      </c>
      <c r="E10" s="3">
        <v>20000</v>
      </c>
      <c r="F10" s="3">
        <v>20000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-18</v>
      </c>
      <c r="C12" s="3">
        <v>0</v>
      </c>
      <c r="D12" s="3">
        <v>0</v>
      </c>
      <c r="E12" s="3">
        <v>18</v>
      </c>
      <c r="F12" s="3">
        <v>3</v>
      </c>
    </row>
    <row r="13" spans="1:6" x14ac:dyDescent="0.3">
      <c r="A13" s="2" t="s">
        <v>15</v>
      </c>
      <c r="B13" s="3">
        <f t="shared" si="0"/>
        <v>-13</v>
      </c>
      <c r="C13" s="3">
        <v>0</v>
      </c>
      <c r="D13" s="3">
        <v>0</v>
      </c>
      <c r="E13" s="3">
        <v>13</v>
      </c>
      <c r="F13" s="3">
        <v>1</v>
      </c>
    </row>
    <row r="14" spans="1:6" x14ac:dyDescent="0.3">
      <c r="A14" s="2" t="s">
        <v>16</v>
      </c>
      <c r="B14" s="3">
        <f t="shared" si="0"/>
        <v>-156280</v>
      </c>
      <c r="C14" s="3">
        <v>0</v>
      </c>
      <c r="D14" s="3">
        <v>0</v>
      </c>
      <c r="E14" s="3">
        <v>156280</v>
      </c>
      <c r="F14" s="3">
        <v>140000</v>
      </c>
    </row>
    <row r="15" spans="1:6" ht="17.25" thickBot="1" x14ac:dyDescent="0.35">
      <c r="A15" s="4" t="s">
        <v>20</v>
      </c>
      <c r="B15" s="5">
        <f>SUM(B3:B14)</f>
        <v>-9165456</v>
      </c>
      <c r="C15" s="5">
        <f t="shared" ref="C15:F15" si="1">SUM(C3:C14)</f>
        <v>0</v>
      </c>
      <c r="D15" s="5">
        <f t="shared" si="1"/>
        <v>0</v>
      </c>
      <c r="E15" s="5">
        <f t="shared" si="1"/>
        <v>9165456</v>
      </c>
      <c r="F15" s="5">
        <f t="shared" si="1"/>
        <v>7288519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32</v>
      </c>
    </row>
    <row r="3" spans="1:6" x14ac:dyDescent="0.3">
      <c r="A3" s="2" t="s">
        <v>26</v>
      </c>
      <c r="B3" s="3">
        <f t="shared" ref="B3:B14" si="0">C3-E3</f>
        <v>-1486316</v>
      </c>
      <c r="C3" s="3">
        <v>0</v>
      </c>
      <c r="D3" s="3">
        <v>0</v>
      </c>
      <c r="E3" s="3">
        <v>1486316</v>
      </c>
      <c r="F3" s="3">
        <v>1300000</v>
      </c>
    </row>
    <row r="4" spans="1:6" x14ac:dyDescent="0.3">
      <c r="A4" s="2" t="s">
        <v>27</v>
      </c>
      <c r="B4" s="3">
        <f t="shared" si="0"/>
        <v>-708228</v>
      </c>
      <c r="C4" s="3">
        <v>0</v>
      </c>
      <c r="D4" s="3">
        <v>0</v>
      </c>
      <c r="E4" s="3">
        <v>708228</v>
      </c>
      <c r="F4" s="3">
        <v>679075</v>
      </c>
    </row>
    <row r="5" spans="1:6" x14ac:dyDescent="0.3">
      <c r="A5" s="2" t="s">
        <v>33</v>
      </c>
      <c r="B5" s="3">
        <f t="shared" si="0"/>
        <v>-1403824</v>
      </c>
      <c r="C5" s="3">
        <v>0</v>
      </c>
      <c r="D5" s="3">
        <v>0</v>
      </c>
      <c r="E5" s="3">
        <v>1403824</v>
      </c>
      <c r="F5" s="3">
        <v>1261320</v>
      </c>
    </row>
    <row r="6" spans="1:6" x14ac:dyDescent="0.3">
      <c r="A6" s="2" t="s">
        <v>8</v>
      </c>
      <c r="B6" s="3">
        <f t="shared" si="0"/>
        <v>-781205</v>
      </c>
      <c r="C6" s="3">
        <v>0</v>
      </c>
      <c r="D6" s="3">
        <v>0</v>
      </c>
      <c r="E6" s="3">
        <v>781205</v>
      </c>
      <c r="F6" s="3">
        <v>720000</v>
      </c>
    </row>
    <row r="7" spans="1:6" x14ac:dyDescent="0.3">
      <c r="A7" s="2" t="s">
        <v>9</v>
      </c>
      <c r="B7" s="3">
        <f t="shared" si="0"/>
        <v>-1743593</v>
      </c>
      <c r="C7" s="3">
        <v>0</v>
      </c>
      <c r="D7" s="3">
        <v>0</v>
      </c>
      <c r="E7" s="3">
        <v>1743593</v>
      </c>
      <c r="F7" s="3">
        <v>1620200</v>
      </c>
    </row>
    <row r="8" spans="1:6" x14ac:dyDescent="0.3">
      <c r="A8" s="2" t="s">
        <v>10</v>
      </c>
      <c r="B8" s="3">
        <f t="shared" si="0"/>
        <v>-29970</v>
      </c>
      <c r="C8" s="3">
        <v>0</v>
      </c>
      <c r="D8" s="3">
        <v>0</v>
      </c>
      <c r="E8" s="3">
        <v>29970</v>
      </c>
      <c r="F8" s="3">
        <v>19980</v>
      </c>
    </row>
    <row r="9" spans="1:6" x14ac:dyDescent="0.3">
      <c r="A9" s="2" t="s">
        <v>11</v>
      </c>
      <c r="B9" s="3">
        <f t="shared" si="0"/>
        <v>-672230</v>
      </c>
      <c r="C9" s="3">
        <v>0</v>
      </c>
      <c r="D9" s="3">
        <v>0</v>
      </c>
      <c r="E9" s="3">
        <v>672230</v>
      </c>
      <c r="F9" s="3">
        <v>560050</v>
      </c>
    </row>
    <row r="10" spans="1:6" x14ac:dyDescent="0.3">
      <c r="A10" s="2" t="s">
        <v>12</v>
      </c>
      <c r="B10" s="3">
        <f t="shared" si="0"/>
        <v>-12000</v>
      </c>
      <c r="C10" s="3">
        <v>0</v>
      </c>
      <c r="D10" s="3">
        <v>0</v>
      </c>
      <c r="E10" s="3">
        <v>12000</v>
      </c>
      <c r="F10" s="3">
        <v>10000</v>
      </c>
    </row>
    <row r="11" spans="1:6" x14ac:dyDescent="0.3">
      <c r="A11" s="2" t="s">
        <v>13</v>
      </c>
      <c r="B11" s="3">
        <f t="shared" si="0"/>
        <v>-223200</v>
      </c>
      <c r="C11" s="3">
        <v>0</v>
      </c>
      <c r="D11" s="3">
        <v>0</v>
      </c>
      <c r="E11" s="3">
        <v>223200</v>
      </c>
      <c r="F11" s="3">
        <v>240000</v>
      </c>
    </row>
    <row r="12" spans="1:6" x14ac:dyDescent="0.3">
      <c r="A12" s="2" t="s">
        <v>14</v>
      </c>
      <c r="B12" s="3">
        <f t="shared" si="0"/>
        <v>-93854</v>
      </c>
      <c r="C12" s="3">
        <v>0</v>
      </c>
      <c r="D12" s="3">
        <v>0</v>
      </c>
      <c r="E12" s="3">
        <v>93854</v>
      </c>
      <c r="F12" s="3">
        <v>100004</v>
      </c>
    </row>
    <row r="13" spans="1:6" x14ac:dyDescent="0.3">
      <c r="A13" s="2" t="s">
        <v>15</v>
      </c>
      <c r="B13" s="3">
        <f t="shared" si="0"/>
        <v>-103</v>
      </c>
      <c r="C13" s="3">
        <v>0</v>
      </c>
      <c r="D13" s="3">
        <v>0</v>
      </c>
      <c r="E13" s="3">
        <v>103</v>
      </c>
      <c r="F13" s="3">
        <v>12</v>
      </c>
    </row>
    <row r="14" spans="1:6" x14ac:dyDescent="0.3">
      <c r="A14" s="2" t="s">
        <v>16</v>
      </c>
      <c r="B14" s="3">
        <f t="shared" si="0"/>
        <v>-1164664</v>
      </c>
      <c r="C14" s="3">
        <v>0</v>
      </c>
      <c r="D14" s="3">
        <v>0</v>
      </c>
      <c r="E14" s="3">
        <v>1164664</v>
      </c>
      <c r="F14" s="3">
        <v>1190000</v>
      </c>
    </row>
    <row r="15" spans="1:6" ht="17.25" thickBot="1" x14ac:dyDescent="0.35">
      <c r="A15" s="4" t="s">
        <v>36</v>
      </c>
      <c r="B15" s="5">
        <f>SUM(B3:B14)</f>
        <v>-8319187</v>
      </c>
      <c r="C15" s="5">
        <f t="shared" ref="C15:F15" si="1">SUM(C3:C14)</f>
        <v>0</v>
      </c>
      <c r="D15" s="5">
        <f t="shared" si="1"/>
        <v>0</v>
      </c>
      <c r="E15" s="5">
        <f t="shared" si="1"/>
        <v>8319187</v>
      </c>
      <c r="F15" s="5">
        <f t="shared" si="1"/>
        <v>7700641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-778035</v>
      </c>
      <c r="C3" s="3">
        <v>0</v>
      </c>
      <c r="D3" s="3">
        <v>0</v>
      </c>
      <c r="E3" s="3">
        <v>778035</v>
      </c>
      <c r="F3" s="3">
        <v>740000</v>
      </c>
    </row>
    <row r="4" spans="1:6" x14ac:dyDescent="0.3">
      <c r="A4" s="2" t="s">
        <v>6</v>
      </c>
      <c r="B4" s="3">
        <f t="shared" ref="B4:B14" si="0">C4-E4</f>
        <v>-2324030</v>
      </c>
      <c r="C4" s="3">
        <v>0</v>
      </c>
      <c r="D4" s="3">
        <v>0</v>
      </c>
      <c r="E4" s="3">
        <v>2324030</v>
      </c>
      <c r="F4" s="3">
        <v>2260000</v>
      </c>
    </row>
    <row r="5" spans="1:6" x14ac:dyDescent="0.3">
      <c r="A5" s="2" t="s">
        <v>7</v>
      </c>
      <c r="B5" s="3">
        <f t="shared" si="0"/>
        <v>-2120685</v>
      </c>
      <c r="C5" s="3">
        <v>0</v>
      </c>
      <c r="D5" s="3">
        <v>0</v>
      </c>
      <c r="E5" s="3">
        <v>2120685</v>
      </c>
      <c r="F5" s="3">
        <v>2180004</v>
      </c>
    </row>
    <row r="6" spans="1:6" x14ac:dyDescent="0.3">
      <c r="A6" s="2" t="s">
        <v>8</v>
      </c>
      <c r="B6" s="3">
        <f t="shared" si="0"/>
        <v>-1474836</v>
      </c>
      <c r="C6" s="3">
        <v>0</v>
      </c>
      <c r="D6" s="3">
        <v>0</v>
      </c>
      <c r="E6" s="3">
        <v>1474836</v>
      </c>
      <c r="F6" s="3">
        <v>1590304</v>
      </c>
    </row>
    <row r="7" spans="1:6" x14ac:dyDescent="0.3">
      <c r="A7" s="2" t="s">
        <v>9</v>
      </c>
      <c r="B7" s="3">
        <f t="shared" si="0"/>
        <v>-1110568</v>
      </c>
      <c r="C7" s="3">
        <v>0</v>
      </c>
      <c r="D7" s="3">
        <v>0</v>
      </c>
      <c r="E7" s="3">
        <v>1110568</v>
      </c>
      <c r="F7" s="3">
        <v>1093016</v>
      </c>
    </row>
    <row r="8" spans="1:6" x14ac:dyDescent="0.3">
      <c r="A8" s="2" t="s">
        <v>10</v>
      </c>
      <c r="B8" s="3">
        <f t="shared" si="0"/>
        <v>-888950</v>
      </c>
      <c r="C8" s="3">
        <v>0</v>
      </c>
      <c r="D8" s="3">
        <v>0</v>
      </c>
      <c r="E8" s="3">
        <v>888950</v>
      </c>
      <c r="F8" s="3">
        <v>917000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-19000</v>
      </c>
      <c r="C11" s="3">
        <v>0</v>
      </c>
      <c r="D11" s="3">
        <v>0</v>
      </c>
      <c r="E11" s="3">
        <v>19000</v>
      </c>
      <c r="F11" s="3">
        <v>20000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-58269</v>
      </c>
      <c r="C13" s="3">
        <v>0</v>
      </c>
      <c r="D13" s="3">
        <v>0</v>
      </c>
      <c r="E13" s="3">
        <v>58269</v>
      </c>
      <c r="F13" s="3">
        <v>60005</v>
      </c>
    </row>
    <row r="14" spans="1:6" x14ac:dyDescent="0.3">
      <c r="A14" s="2" t="s">
        <v>16</v>
      </c>
      <c r="B14" s="3">
        <f t="shared" si="0"/>
        <v>-643467</v>
      </c>
      <c r="C14" s="3">
        <v>0</v>
      </c>
      <c r="D14" s="3">
        <v>0</v>
      </c>
      <c r="E14" s="3">
        <v>643467</v>
      </c>
      <c r="F14" s="3">
        <v>659700</v>
      </c>
    </row>
    <row r="15" spans="1:6" ht="17.25" thickBot="1" x14ac:dyDescent="0.35">
      <c r="A15" s="4" t="s">
        <v>17</v>
      </c>
      <c r="B15" s="5">
        <f>SUM(B3:B14)</f>
        <v>-9417840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9417840</v>
      </c>
      <c r="F15" s="5">
        <f t="shared" si="2"/>
        <v>9520029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-1786164</v>
      </c>
      <c r="C3" s="3">
        <v>0</v>
      </c>
      <c r="D3" s="3">
        <v>0</v>
      </c>
      <c r="E3" s="3">
        <v>1786164</v>
      </c>
      <c r="F3" s="3">
        <v>1675000</v>
      </c>
    </row>
    <row r="4" spans="1:6" x14ac:dyDescent="0.3">
      <c r="A4" s="2" t="s">
        <v>6</v>
      </c>
      <c r="B4" s="3">
        <f t="shared" ref="B4:B14" si="0">C4-E4</f>
        <v>-253800</v>
      </c>
      <c r="C4" s="3">
        <v>0</v>
      </c>
      <c r="D4" s="3">
        <v>0</v>
      </c>
      <c r="E4" s="3">
        <v>253800</v>
      </c>
      <c r="F4" s="3">
        <v>300000</v>
      </c>
    </row>
    <row r="5" spans="1:6" x14ac:dyDescent="0.3">
      <c r="A5" s="2" t="s">
        <v>7</v>
      </c>
      <c r="B5" s="3">
        <f t="shared" si="0"/>
        <v>-247770</v>
      </c>
      <c r="C5" s="3">
        <v>0</v>
      </c>
      <c r="D5" s="3">
        <v>0</v>
      </c>
      <c r="E5" s="3">
        <v>247770</v>
      </c>
      <c r="F5" s="3">
        <v>281000</v>
      </c>
    </row>
    <row r="6" spans="1:6" x14ac:dyDescent="0.3">
      <c r="A6" s="2" t="s">
        <v>8</v>
      </c>
      <c r="B6" s="3">
        <f t="shared" si="0"/>
        <v>-462370</v>
      </c>
      <c r="C6" s="3">
        <v>0</v>
      </c>
      <c r="D6" s="3">
        <v>0</v>
      </c>
      <c r="E6" s="3">
        <v>462370</v>
      </c>
      <c r="F6" s="3">
        <v>460000</v>
      </c>
    </row>
    <row r="7" spans="1:6" x14ac:dyDescent="0.3">
      <c r="A7" s="2" t="s">
        <v>9</v>
      </c>
      <c r="B7" s="3">
        <f t="shared" si="0"/>
        <v>-385700</v>
      </c>
      <c r="C7" s="3">
        <v>0</v>
      </c>
      <c r="D7" s="3">
        <v>0</v>
      </c>
      <c r="E7" s="3">
        <v>385700</v>
      </c>
      <c r="F7" s="3">
        <v>406000</v>
      </c>
    </row>
    <row r="8" spans="1:6" x14ac:dyDescent="0.3">
      <c r="A8" s="2" t="s">
        <v>10</v>
      </c>
      <c r="B8" s="3">
        <f t="shared" si="0"/>
        <v>-361000</v>
      </c>
      <c r="C8" s="3">
        <v>0</v>
      </c>
      <c r="D8" s="3">
        <v>0</v>
      </c>
      <c r="E8" s="3">
        <v>361000</v>
      </c>
      <c r="F8" s="3">
        <v>380000</v>
      </c>
    </row>
    <row r="9" spans="1:6" x14ac:dyDescent="0.3">
      <c r="A9" s="2" t="s">
        <v>11</v>
      </c>
      <c r="B9" s="3">
        <f t="shared" si="0"/>
        <v>-58900</v>
      </c>
      <c r="C9" s="3">
        <v>0</v>
      </c>
      <c r="D9" s="3">
        <v>0</v>
      </c>
      <c r="E9" s="3">
        <v>58900</v>
      </c>
      <c r="F9" s="3">
        <v>62000</v>
      </c>
    </row>
    <row r="10" spans="1:6" x14ac:dyDescent="0.3">
      <c r="A10" s="2" t="s">
        <v>12</v>
      </c>
      <c r="B10" s="3">
        <f t="shared" si="0"/>
        <v>-38000</v>
      </c>
      <c r="C10" s="3">
        <v>0</v>
      </c>
      <c r="D10" s="3">
        <v>0</v>
      </c>
      <c r="E10" s="3">
        <v>38000</v>
      </c>
      <c r="F10" s="3">
        <v>40000</v>
      </c>
    </row>
    <row r="11" spans="1:6" x14ac:dyDescent="0.3">
      <c r="A11" s="2" t="s">
        <v>13</v>
      </c>
      <c r="B11" s="3">
        <f t="shared" si="0"/>
        <v>-19000</v>
      </c>
      <c r="C11" s="3">
        <v>0</v>
      </c>
      <c r="D11" s="3">
        <v>0</v>
      </c>
      <c r="E11" s="3">
        <v>19000</v>
      </c>
      <c r="F11" s="3">
        <v>20000</v>
      </c>
    </row>
    <row r="12" spans="1:6" x14ac:dyDescent="0.3">
      <c r="A12" s="2" t="s">
        <v>14</v>
      </c>
      <c r="B12" s="3">
        <f t="shared" si="0"/>
        <v>-19000</v>
      </c>
      <c r="C12" s="3">
        <v>0</v>
      </c>
      <c r="D12" s="3">
        <v>0</v>
      </c>
      <c r="E12" s="3">
        <v>19000</v>
      </c>
      <c r="F12" s="3">
        <v>20000</v>
      </c>
    </row>
    <row r="13" spans="1:6" x14ac:dyDescent="0.3">
      <c r="A13" s="2" t="s">
        <v>15</v>
      </c>
      <c r="B13" s="3">
        <f t="shared" si="0"/>
        <v>-121310</v>
      </c>
      <c r="C13" s="3">
        <v>0</v>
      </c>
      <c r="D13" s="3">
        <v>0</v>
      </c>
      <c r="E13" s="3">
        <v>121310</v>
      </c>
      <c r="F13" s="3">
        <v>120004</v>
      </c>
    </row>
    <row r="14" spans="1:6" x14ac:dyDescent="0.3">
      <c r="A14" s="2" t="s">
        <v>16</v>
      </c>
      <c r="B14" s="3">
        <f t="shared" si="0"/>
        <v>-1002120</v>
      </c>
      <c r="C14" s="3">
        <v>0</v>
      </c>
      <c r="D14" s="3">
        <v>0</v>
      </c>
      <c r="E14" s="3">
        <v>1002120</v>
      </c>
      <c r="F14" s="3">
        <v>999010</v>
      </c>
    </row>
    <row r="15" spans="1:6" ht="17.25" thickBot="1" x14ac:dyDescent="0.35">
      <c r="A15" s="4" t="s">
        <v>17</v>
      </c>
      <c r="B15" s="5">
        <f>SUM(B3:B14)</f>
        <v>-4755134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4755134</v>
      </c>
      <c r="F15" s="5">
        <f t="shared" si="2"/>
        <v>4763014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-1796655</v>
      </c>
      <c r="C3" s="3">
        <v>0</v>
      </c>
      <c r="D3" s="3">
        <v>0</v>
      </c>
      <c r="E3" s="3">
        <v>1796655</v>
      </c>
      <c r="F3" s="3">
        <v>1818000</v>
      </c>
    </row>
    <row r="4" spans="1:6" x14ac:dyDescent="0.3">
      <c r="A4" s="2" t="s">
        <v>6</v>
      </c>
      <c r="B4" s="3">
        <f t="shared" ref="B4:B14" si="0">C4-E4</f>
        <v>-364068</v>
      </c>
      <c r="C4" s="3">
        <v>0</v>
      </c>
      <c r="D4" s="3">
        <v>0</v>
      </c>
      <c r="E4" s="3">
        <v>364068</v>
      </c>
      <c r="F4" s="3">
        <v>360000</v>
      </c>
    </row>
    <row r="5" spans="1:6" x14ac:dyDescent="0.3">
      <c r="A5" s="2" t="s">
        <v>7</v>
      </c>
      <c r="B5" s="3">
        <f t="shared" si="0"/>
        <v>-159356</v>
      </c>
      <c r="C5" s="3">
        <v>0</v>
      </c>
      <c r="D5" s="3">
        <v>0</v>
      </c>
      <c r="E5" s="3">
        <v>159356</v>
      </c>
      <c r="F5" s="3">
        <v>160000</v>
      </c>
    </row>
    <row r="6" spans="1:6" x14ac:dyDescent="0.3">
      <c r="A6" s="2" t="s">
        <v>8</v>
      </c>
      <c r="B6" s="3">
        <f t="shared" si="0"/>
        <v>-193450</v>
      </c>
      <c r="C6" s="3">
        <v>0</v>
      </c>
      <c r="D6" s="3">
        <v>0</v>
      </c>
      <c r="E6" s="3">
        <v>193450</v>
      </c>
      <c r="F6" s="3">
        <v>191000</v>
      </c>
    </row>
    <row r="7" spans="1:6" x14ac:dyDescent="0.3">
      <c r="A7" s="2" t="s">
        <v>9</v>
      </c>
      <c r="B7" s="3">
        <f t="shared" si="0"/>
        <v>-943200</v>
      </c>
      <c r="C7" s="3">
        <v>0</v>
      </c>
      <c r="D7" s="3">
        <v>0</v>
      </c>
      <c r="E7" s="3">
        <v>943200</v>
      </c>
      <c r="F7" s="3">
        <v>880000</v>
      </c>
    </row>
    <row r="8" spans="1:6" x14ac:dyDescent="0.3">
      <c r="A8" s="2" t="s">
        <v>10</v>
      </c>
      <c r="B8" s="3">
        <f t="shared" si="0"/>
        <v>-39220</v>
      </c>
      <c r="C8" s="3">
        <v>0</v>
      </c>
      <c r="D8" s="3">
        <v>0</v>
      </c>
      <c r="E8" s="3">
        <v>39220</v>
      </c>
      <c r="F8" s="3">
        <v>37000</v>
      </c>
    </row>
    <row r="9" spans="1:6" x14ac:dyDescent="0.3">
      <c r="A9" s="2" t="s">
        <v>11</v>
      </c>
      <c r="B9" s="3">
        <f t="shared" si="0"/>
        <v>-137400</v>
      </c>
      <c r="C9" s="3">
        <v>0</v>
      </c>
      <c r="D9" s="3">
        <v>0</v>
      </c>
      <c r="E9" s="3">
        <v>137400</v>
      </c>
      <c r="F9" s="3">
        <v>130000</v>
      </c>
    </row>
    <row r="10" spans="1:6" x14ac:dyDescent="0.3">
      <c r="A10" s="2" t="s">
        <v>12</v>
      </c>
      <c r="B10" s="3">
        <f t="shared" si="0"/>
        <v>-77380</v>
      </c>
      <c r="C10" s="3">
        <v>0</v>
      </c>
      <c r="D10" s="3">
        <v>0</v>
      </c>
      <c r="E10" s="3">
        <v>77380</v>
      </c>
      <c r="F10" s="3">
        <v>73000</v>
      </c>
    </row>
    <row r="11" spans="1:6" x14ac:dyDescent="0.3">
      <c r="A11" s="2" t="s">
        <v>13</v>
      </c>
      <c r="B11" s="3">
        <f t="shared" si="0"/>
        <v>-184298</v>
      </c>
      <c r="C11" s="3">
        <v>0</v>
      </c>
      <c r="D11" s="3">
        <v>0</v>
      </c>
      <c r="E11" s="3">
        <v>184298</v>
      </c>
      <c r="F11" s="3">
        <v>179900</v>
      </c>
    </row>
    <row r="12" spans="1:6" x14ac:dyDescent="0.3">
      <c r="A12" s="2" t="s">
        <v>14</v>
      </c>
      <c r="B12" s="3">
        <f t="shared" si="0"/>
        <v>-104800</v>
      </c>
      <c r="C12" s="3">
        <v>0</v>
      </c>
      <c r="D12" s="3">
        <v>0</v>
      </c>
      <c r="E12" s="3">
        <v>104800</v>
      </c>
      <c r="F12" s="3">
        <v>100000</v>
      </c>
    </row>
    <row r="13" spans="1:6" x14ac:dyDescent="0.3">
      <c r="A13" s="2" t="s">
        <v>15</v>
      </c>
      <c r="B13" s="3">
        <f t="shared" si="0"/>
        <v>-43</v>
      </c>
      <c r="C13" s="3">
        <v>0</v>
      </c>
      <c r="D13" s="3">
        <v>0</v>
      </c>
      <c r="E13" s="3">
        <v>43</v>
      </c>
      <c r="F13" s="3">
        <v>2</v>
      </c>
    </row>
    <row r="14" spans="1:6" x14ac:dyDescent="0.3">
      <c r="A14" s="2" t="s">
        <v>16</v>
      </c>
      <c r="B14" s="3">
        <f t="shared" si="0"/>
        <v>-708080</v>
      </c>
      <c r="C14" s="3">
        <v>0</v>
      </c>
      <c r="D14" s="3">
        <v>0</v>
      </c>
      <c r="E14" s="3">
        <v>708080</v>
      </c>
      <c r="F14" s="3">
        <v>788000</v>
      </c>
    </row>
    <row r="15" spans="1:6" ht="17.25" thickBot="1" x14ac:dyDescent="0.35">
      <c r="A15" s="4" t="s">
        <v>17</v>
      </c>
      <c r="B15" s="5">
        <f>SUM(B3:B14)</f>
        <v>-4707950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4707950</v>
      </c>
      <c r="F15" s="5">
        <f t="shared" si="2"/>
        <v>4716902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4.7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-1066823</v>
      </c>
      <c r="C3" s="3">
        <v>0</v>
      </c>
      <c r="D3" s="3">
        <v>0</v>
      </c>
      <c r="E3" s="3">
        <v>1066823</v>
      </c>
      <c r="F3" s="3">
        <v>1053000</v>
      </c>
    </row>
    <row r="4" spans="1:6" x14ac:dyDescent="0.3">
      <c r="A4" s="2" t="s">
        <v>6</v>
      </c>
      <c r="B4" s="3">
        <f t="shared" ref="B4:B14" si="0">C4-E4</f>
        <v>-1142580</v>
      </c>
      <c r="C4" s="3">
        <v>0</v>
      </c>
      <c r="D4" s="3">
        <v>0</v>
      </c>
      <c r="E4" s="3">
        <v>1142580</v>
      </c>
      <c r="F4" s="3">
        <v>1119000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-616500</v>
      </c>
      <c r="C6" s="3">
        <v>0</v>
      </c>
      <c r="D6" s="3">
        <v>0</v>
      </c>
      <c r="E6" s="3">
        <v>616500</v>
      </c>
      <c r="F6" s="3">
        <v>610000</v>
      </c>
    </row>
    <row r="7" spans="1:6" x14ac:dyDescent="0.3">
      <c r="A7" s="2" t="s">
        <v>9</v>
      </c>
      <c r="B7" s="3">
        <f t="shared" si="0"/>
        <v>-412252</v>
      </c>
      <c r="C7" s="3">
        <v>0</v>
      </c>
      <c r="D7" s="3">
        <v>0</v>
      </c>
      <c r="E7" s="3">
        <v>412252</v>
      </c>
      <c r="F7" s="3">
        <v>412000</v>
      </c>
    </row>
    <row r="8" spans="1:6" x14ac:dyDescent="0.3">
      <c r="A8" s="2" t="s">
        <v>10</v>
      </c>
      <c r="B8" s="3">
        <f t="shared" si="0"/>
        <v>-167200</v>
      </c>
      <c r="C8" s="3">
        <v>0</v>
      </c>
      <c r="D8" s="3">
        <v>0</v>
      </c>
      <c r="E8" s="3">
        <v>167200</v>
      </c>
      <c r="F8" s="3">
        <v>163000</v>
      </c>
    </row>
    <row r="9" spans="1:6" x14ac:dyDescent="0.3">
      <c r="A9" s="2" t="s">
        <v>11</v>
      </c>
      <c r="B9" s="3">
        <f t="shared" si="0"/>
        <v>-140000</v>
      </c>
      <c r="C9" s="3">
        <v>0</v>
      </c>
      <c r="D9" s="3">
        <v>0</v>
      </c>
      <c r="E9" s="3">
        <v>140000</v>
      </c>
      <c r="F9" s="3">
        <v>140000</v>
      </c>
    </row>
    <row r="10" spans="1:6" x14ac:dyDescent="0.3">
      <c r="A10" s="2" t="s">
        <v>12</v>
      </c>
      <c r="B10" s="3">
        <f t="shared" si="0"/>
        <v>-80000</v>
      </c>
      <c r="C10" s="3">
        <v>0</v>
      </c>
      <c r="D10" s="3">
        <v>0</v>
      </c>
      <c r="E10" s="3">
        <v>80000</v>
      </c>
      <c r="F10" s="3">
        <v>80000</v>
      </c>
    </row>
    <row r="11" spans="1:6" x14ac:dyDescent="0.3">
      <c r="A11" s="2" t="s">
        <v>13</v>
      </c>
      <c r="B11" s="3">
        <f t="shared" si="0"/>
        <v>-214000</v>
      </c>
      <c r="C11" s="3">
        <v>0</v>
      </c>
      <c r="D11" s="3">
        <v>0</v>
      </c>
      <c r="E11" s="3">
        <v>214000</v>
      </c>
      <c r="F11" s="3">
        <v>214000</v>
      </c>
    </row>
    <row r="12" spans="1:6" x14ac:dyDescent="0.3">
      <c r="A12" s="2" t="s">
        <v>14</v>
      </c>
      <c r="B12" s="3">
        <f t="shared" si="0"/>
        <v>-147024</v>
      </c>
      <c r="C12" s="3">
        <v>0</v>
      </c>
      <c r="D12" s="3">
        <v>0</v>
      </c>
      <c r="E12" s="3">
        <v>147024</v>
      </c>
      <c r="F12" s="3">
        <v>147003</v>
      </c>
    </row>
    <row r="13" spans="1:6" x14ac:dyDescent="0.3">
      <c r="A13" s="2" t="s">
        <v>15</v>
      </c>
      <c r="B13" s="3">
        <f t="shared" si="0"/>
        <v>-171000</v>
      </c>
      <c r="C13" s="3">
        <v>0</v>
      </c>
      <c r="D13" s="3">
        <v>0</v>
      </c>
      <c r="E13" s="3">
        <v>171000</v>
      </c>
      <c r="F13" s="3">
        <v>171000</v>
      </c>
    </row>
    <row r="14" spans="1:6" x14ac:dyDescent="0.3">
      <c r="A14" s="2" t="s">
        <v>16</v>
      </c>
      <c r="B14" s="3">
        <f t="shared" si="0"/>
        <v>-1080592</v>
      </c>
      <c r="C14" s="3">
        <v>0</v>
      </c>
      <c r="D14" s="3">
        <v>0</v>
      </c>
      <c r="E14" s="3">
        <v>1080592</v>
      </c>
      <c r="F14" s="3">
        <v>1182001</v>
      </c>
    </row>
    <row r="15" spans="1:6" ht="17.25" thickBot="1" x14ac:dyDescent="0.35">
      <c r="A15" s="4" t="s">
        <v>17</v>
      </c>
      <c r="B15" s="5">
        <f>SUM(B3:B14)</f>
        <v>-5237971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5237971</v>
      </c>
      <c r="F15" s="5">
        <f t="shared" si="2"/>
        <v>5291004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-1881332</v>
      </c>
      <c r="C3" s="3">
        <v>0</v>
      </c>
      <c r="D3" s="3">
        <v>0</v>
      </c>
      <c r="E3" s="3">
        <v>1881332</v>
      </c>
      <c r="F3" s="3">
        <v>1707000</v>
      </c>
    </row>
    <row r="4" spans="1:6" x14ac:dyDescent="0.3">
      <c r="A4" s="2" t="s">
        <v>6</v>
      </c>
      <c r="B4" s="3">
        <f t="shared" ref="B4:B14" si="0">C4-E4</f>
        <v>-746544</v>
      </c>
      <c r="C4" s="3">
        <v>0</v>
      </c>
      <c r="D4" s="3">
        <v>0</v>
      </c>
      <c r="E4" s="3">
        <v>746544</v>
      </c>
      <c r="F4" s="3">
        <v>680000</v>
      </c>
    </row>
    <row r="5" spans="1:6" x14ac:dyDescent="0.3">
      <c r="A5" s="2" t="s">
        <v>7</v>
      </c>
      <c r="B5" s="3">
        <f t="shared" si="0"/>
        <v>-504743</v>
      </c>
      <c r="C5" s="3">
        <v>0</v>
      </c>
      <c r="D5" s="3">
        <v>0</v>
      </c>
      <c r="E5" s="3">
        <v>504743</v>
      </c>
      <c r="F5" s="3">
        <v>440000</v>
      </c>
    </row>
    <row r="6" spans="1:6" x14ac:dyDescent="0.3">
      <c r="A6" s="2" t="s">
        <v>8</v>
      </c>
      <c r="B6" s="3">
        <f t="shared" si="0"/>
        <v>-669298</v>
      </c>
      <c r="C6" s="3">
        <v>0</v>
      </c>
      <c r="D6" s="3">
        <v>0</v>
      </c>
      <c r="E6" s="3">
        <v>669298</v>
      </c>
      <c r="F6" s="3">
        <v>631000</v>
      </c>
    </row>
    <row r="7" spans="1:6" x14ac:dyDescent="0.3">
      <c r="A7" s="2" t="s">
        <v>9</v>
      </c>
      <c r="B7" s="3">
        <f t="shared" si="0"/>
        <v>-516320</v>
      </c>
      <c r="C7" s="3">
        <v>0</v>
      </c>
      <c r="D7" s="3">
        <v>0</v>
      </c>
      <c r="E7" s="3">
        <v>516320</v>
      </c>
      <c r="F7" s="3">
        <v>457000</v>
      </c>
    </row>
    <row r="8" spans="1:6" x14ac:dyDescent="0.3">
      <c r="A8" s="2" t="s">
        <v>10</v>
      </c>
      <c r="B8" s="3">
        <f t="shared" si="0"/>
        <v>-459120</v>
      </c>
      <c r="C8" s="3">
        <v>0</v>
      </c>
      <c r="D8" s="3">
        <v>0</v>
      </c>
      <c r="E8" s="3">
        <v>459120</v>
      </c>
      <c r="F8" s="3">
        <v>380000</v>
      </c>
    </row>
    <row r="9" spans="1:6" x14ac:dyDescent="0.3">
      <c r="A9" s="2" t="s">
        <v>11</v>
      </c>
      <c r="B9" s="3">
        <f t="shared" si="0"/>
        <v>-116800</v>
      </c>
      <c r="C9" s="3">
        <v>0</v>
      </c>
      <c r="D9" s="3">
        <v>0</v>
      </c>
      <c r="E9" s="3">
        <v>116800</v>
      </c>
      <c r="F9" s="3">
        <v>100000</v>
      </c>
    </row>
    <row r="10" spans="1:6" x14ac:dyDescent="0.3">
      <c r="A10" s="2" t="s">
        <v>12</v>
      </c>
      <c r="B10" s="3">
        <f t="shared" si="0"/>
        <v>-209200</v>
      </c>
      <c r="C10" s="3">
        <v>0</v>
      </c>
      <c r="D10" s="3">
        <v>0</v>
      </c>
      <c r="E10" s="3">
        <v>209200</v>
      </c>
      <c r="F10" s="3">
        <v>180000</v>
      </c>
    </row>
    <row r="11" spans="1:6" x14ac:dyDescent="0.3">
      <c r="A11" s="2" t="s">
        <v>13</v>
      </c>
      <c r="B11" s="3">
        <f t="shared" si="0"/>
        <v>-233600</v>
      </c>
      <c r="C11" s="3">
        <v>0</v>
      </c>
      <c r="D11" s="3">
        <v>0</v>
      </c>
      <c r="E11" s="3">
        <v>233600</v>
      </c>
      <c r="F11" s="3">
        <v>200000</v>
      </c>
    </row>
    <row r="12" spans="1:6" x14ac:dyDescent="0.3">
      <c r="A12" s="2" t="s">
        <v>14</v>
      </c>
      <c r="B12" s="3">
        <f t="shared" si="0"/>
        <v>-116000</v>
      </c>
      <c r="C12" s="3">
        <v>0</v>
      </c>
      <c r="D12" s="3">
        <v>0</v>
      </c>
      <c r="E12" s="3">
        <v>116000</v>
      </c>
      <c r="F12" s="3">
        <v>100000</v>
      </c>
    </row>
    <row r="13" spans="1:6" x14ac:dyDescent="0.3">
      <c r="A13" s="2" t="s">
        <v>15</v>
      </c>
      <c r="B13" s="3">
        <f t="shared" si="0"/>
        <v>-111200</v>
      </c>
      <c r="C13" s="3">
        <v>0</v>
      </c>
      <c r="D13" s="3">
        <v>0</v>
      </c>
      <c r="E13" s="3">
        <v>111200</v>
      </c>
      <c r="F13" s="3">
        <v>95000</v>
      </c>
    </row>
    <row r="14" spans="1:6" x14ac:dyDescent="0.3">
      <c r="A14" s="2" t="s">
        <v>16</v>
      </c>
      <c r="B14" s="3">
        <f t="shared" si="0"/>
        <v>-93600</v>
      </c>
      <c r="C14" s="3">
        <v>0</v>
      </c>
      <c r="D14" s="3">
        <v>0</v>
      </c>
      <c r="E14" s="3">
        <v>93600</v>
      </c>
      <c r="F14" s="3">
        <v>80000</v>
      </c>
    </row>
    <row r="15" spans="1:6" ht="17.25" thickBot="1" x14ac:dyDescent="0.35">
      <c r="A15" s="4" t="s">
        <v>17</v>
      </c>
      <c r="B15" s="5">
        <f>SUM(B3:B14)</f>
        <v>-5657757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5657757</v>
      </c>
      <c r="F15" s="5">
        <f t="shared" si="2"/>
        <v>5050000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-93311</v>
      </c>
      <c r="C3" s="3">
        <v>0</v>
      </c>
      <c r="D3" s="3">
        <v>0</v>
      </c>
      <c r="E3" s="3">
        <v>93311</v>
      </c>
      <c r="F3" s="3">
        <v>60000</v>
      </c>
    </row>
    <row r="4" spans="1:6" x14ac:dyDescent="0.3">
      <c r="A4" s="2" t="s">
        <v>6</v>
      </c>
      <c r="B4" s="3">
        <f t="shared" ref="B4:B14" si="0">C4-E4</f>
        <v>-32</v>
      </c>
      <c r="C4" s="3">
        <v>0</v>
      </c>
      <c r="D4" s="3">
        <v>0</v>
      </c>
      <c r="E4" s="3">
        <v>32</v>
      </c>
      <c r="F4" s="3">
        <v>6</v>
      </c>
    </row>
    <row r="5" spans="1:6" x14ac:dyDescent="0.3">
      <c r="A5" s="2" t="s">
        <v>7</v>
      </c>
      <c r="B5" s="3">
        <f t="shared" si="0"/>
        <v>-1724258</v>
      </c>
      <c r="C5" s="3">
        <v>0</v>
      </c>
      <c r="D5" s="3">
        <v>0</v>
      </c>
      <c r="E5" s="3">
        <v>1724258</v>
      </c>
      <c r="F5" s="3">
        <v>1157000</v>
      </c>
    </row>
    <row r="6" spans="1:6" x14ac:dyDescent="0.3">
      <c r="A6" s="2" t="s">
        <v>8</v>
      </c>
      <c r="B6" s="3">
        <f t="shared" si="0"/>
        <v>-625737</v>
      </c>
      <c r="C6" s="3">
        <v>0</v>
      </c>
      <c r="D6" s="3">
        <v>0</v>
      </c>
      <c r="E6" s="3">
        <v>625737</v>
      </c>
      <c r="F6" s="3">
        <v>400000</v>
      </c>
    </row>
    <row r="7" spans="1:6" x14ac:dyDescent="0.3">
      <c r="A7" s="2" t="s">
        <v>9</v>
      </c>
      <c r="B7" s="3">
        <f t="shared" si="0"/>
        <v>-556275</v>
      </c>
      <c r="C7" s="3">
        <v>0</v>
      </c>
      <c r="D7" s="3">
        <v>0</v>
      </c>
      <c r="E7" s="3">
        <v>556275</v>
      </c>
      <c r="F7" s="3">
        <v>360000</v>
      </c>
    </row>
    <row r="8" spans="1:6" x14ac:dyDescent="0.3">
      <c r="A8" s="2" t="s">
        <v>10</v>
      </c>
      <c r="B8" s="3">
        <f t="shared" si="0"/>
        <v>-213837</v>
      </c>
      <c r="C8" s="3">
        <v>3642</v>
      </c>
      <c r="D8" s="3">
        <v>360</v>
      </c>
      <c r="E8" s="3">
        <v>217479</v>
      </c>
      <c r="F8" s="3">
        <v>140000</v>
      </c>
    </row>
    <row r="9" spans="1:6" x14ac:dyDescent="0.3">
      <c r="A9" s="2" t="s">
        <v>11</v>
      </c>
      <c r="B9" s="3">
        <f t="shared" si="0"/>
        <v>-62208</v>
      </c>
      <c r="C9" s="3">
        <v>0</v>
      </c>
      <c r="D9" s="3">
        <v>0</v>
      </c>
      <c r="E9" s="3">
        <v>62208</v>
      </c>
      <c r="F9" s="3">
        <v>40000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3288</v>
      </c>
      <c r="C12" s="3">
        <v>3288</v>
      </c>
      <c r="D12" s="3">
        <v>360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-553414</v>
      </c>
      <c r="C13" s="3">
        <v>0</v>
      </c>
      <c r="D13" s="3">
        <v>0</v>
      </c>
      <c r="E13" s="3">
        <v>553414</v>
      </c>
      <c r="F13" s="3">
        <v>320004</v>
      </c>
    </row>
    <row r="14" spans="1:6" x14ac:dyDescent="0.3">
      <c r="A14" s="2" t="s">
        <v>16</v>
      </c>
      <c r="B14" s="3">
        <f t="shared" si="0"/>
        <v>-1714578</v>
      </c>
      <c r="C14" s="3">
        <v>0</v>
      </c>
      <c r="D14" s="3">
        <v>0</v>
      </c>
      <c r="E14" s="3">
        <v>1714578</v>
      </c>
      <c r="F14" s="3">
        <v>1007880</v>
      </c>
    </row>
    <row r="15" spans="1:6" ht="17.25" thickBot="1" x14ac:dyDescent="0.35">
      <c r="A15" s="4" t="s">
        <v>17</v>
      </c>
      <c r="B15" s="5">
        <f>SUM(B3:B14)</f>
        <v>-5540362</v>
      </c>
      <c r="C15" s="5">
        <f t="shared" ref="C15" si="1">SUM(C3:C14)</f>
        <v>6930</v>
      </c>
      <c r="D15" s="5">
        <f t="shared" ref="D15:F15" si="2">SUM(D3:D14)</f>
        <v>720</v>
      </c>
      <c r="E15" s="5">
        <f t="shared" si="2"/>
        <v>5547292</v>
      </c>
      <c r="F15" s="5">
        <f t="shared" si="2"/>
        <v>3484890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-1095812</v>
      </c>
      <c r="C3" s="3">
        <v>0</v>
      </c>
      <c r="D3" s="3">
        <v>0</v>
      </c>
      <c r="E3" s="3">
        <v>1095812</v>
      </c>
      <c r="F3" s="3">
        <v>663000</v>
      </c>
    </row>
    <row r="4" spans="1:6" x14ac:dyDescent="0.3">
      <c r="A4" s="2" t="s">
        <v>6</v>
      </c>
      <c r="B4" s="3">
        <f t="shared" ref="B4:B14" si="0">C4-E4</f>
        <v>-629602</v>
      </c>
      <c r="C4" s="3">
        <v>0</v>
      </c>
      <c r="D4" s="3">
        <v>0</v>
      </c>
      <c r="E4" s="3">
        <v>629602</v>
      </c>
      <c r="F4" s="3">
        <v>418000</v>
      </c>
    </row>
    <row r="5" spans="1:6" x14ac:dyDescent="0.3">
      <c r="A5" s="2" t="s">
        <v>7</v>
      </c>
      <c r="B5" s="3">
        <f t="shared" si="0"/>
        <v>-1238367</v>
      </c>
      <c r="C5" s="3">
        <v>0</v>
      </c>
      <c r="D5" s="3">
        <v>0</v>
      </c>
      <c r="E5" s="3">
        <v>1238367</v>
      </c>
      <c r="F5" s="3">
        <v>754000</v>
      </c>
    </row>
    <row r="6" spans="1:6" x14ac:dyDescent="0.3">
      <c r="A6" s="2" t="s">
        <v>8</v>
      </c>
      <c r="B6" s="3">
        <f t="shared" si="0"/>
        <v>-764216</v>
      </c>
      <c r="C6" s="3">
        <v>0</v>
      </c>
      <c r="D6" s="3">
        <v>0</v>
      </c>
      <c r="E6" s="3">
        <v>764216</v>
      </c>
      <c r="F6" s="3">
        <v>475000</v>
      </c>
    </row>
    <row r="7" spans="1:6" x14ac:dyDescent="0.3">
      <c r="A7" s="2" t="s">
        <v>9</v>
      </c>
      <c r="B7" s="3">
        <f t="shared" si="0"/>
        <v>-567949</v>
      </c>
      <c r="C7" s="3">
        <v>0</v>
      </c>
      <c r="D7" s="3">
        <v>0</v>
      </c>
      <c r="E7" s="3">
        <v>567949</v>
      </c>
      <c r="F7" s="3">
        <v>362000</v>
      </c>
    </row>
    <row r="8" spans="1:6" x14ac:dyDescent="0.3">
      <c r="A8" s="2" t="s">
        <v>10</v>
      </c>
      <c r="B8" s="3">
        <f t="shared" si="0"/>
        <v>-309182</v>
      </c>
      <c r="C8" s="3">
        <v>0</v>
      </c>
      <c r="D8" s="3">
        <v>0</v>
      </c>
      <c r="E8" s="3">
        <v>309182</v>
      </c>
      <c r="F8" s="3">
        <v>205000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-156000</v>
      </c>
      <c r="C10" s="3">
        <v>0</v>
      </c>
      <c r="D10" s="3">
        <v>0</v>
      </c>
      <c r="E10" s="3">
        <v>156000</v>
      </c>
      <c r="F10" s="3">
        <v>100000</v>
      </c>
    </row>
    <row r="11" spans="1:6" x14ac:dyDescent="0.3">
      <c r="A11" s="2" t="s">
        <v>13</v>
      </c>
      <c r="B11" s="3">
        <f t="shared" si="0"/>
        <v>-171950</v>
      </c>
      <c r="C11" s="3">
        <v>0</v>
      </c>
      <c r="D11" s="3">
        <v>0</v>
      </c>
      <c r="E11" s="3">
        <v>171950</v>
      </c>
      <c r="F11" s="3">
        <v>116000</v>
      </c>
    </row>
    <row r="12" spans="1:6" x14ac:dyDescent="0.3">
      <c r="A12" s="2" t="s">
        <v>14</v>
      </c>
      <c r="B12" s="3">
        <f t="shared" si="0"/>
        <v>-134400</v>
      </c>
      <c r="C12" s="3">
        <v>0</v>
      </c>
      <c r="D12" s="3">
        <v>0</v>
      </c>
      <c r="E12" s="3">
        <v>134400</v>
      </c>
      <c r="F12" s="3">
        <v>80000</v>
      </c>
    </row>
    <row r="13" spans="1:6" x14ac:dyDescent="0.3">
      <c r="A13" s="2" t="s">
        <v>15</v>
      </c>
      <c r="B13" s="3">
        <f t="shared" si="0"/>
        <v>-177600</v>
      </c>
      <c r="C13" s="3">
        <v>0</v>
      </c>
      <c r="D13" s="3">
        <v>0</v>
      </c>
      <c r="E13" s="3">
        <v>177600</v>
      </c>
      <c r="F13" s="3">
        <v>120000</v>
      </c>
    </row>
    <row r="14" spans="1:6" x14ac:dyDescent="0.3">
      <c r="A14" s="2" t="s">
        <v>16</v>
      </c>
      <c r="B14" s="3">
        <f t="shared" si="0"/>
        <v>-2468676</v>
      </c>
      <c r="C14" s="3">
        <v>528</v>
      </c>
      <c r="D14" s="3">
        <v>75</v>
      </c>
      <c r="E14" s="3">
        <v>2469204</v>
      </c>
      <c r="F14" s="3">
        <v>1621000</v>
      </c>
    </row>
    <row r="15" spans="1:6" ht="17.25" thickBot="1" x14ac:dyDescent="0.35">
      <c r="A15" s="4" t="s">
        <v>17</v>
      </c>
      <c r="B15" s="5">
        <f>SUM(B3:B14)</f>
        <v>-7713754</v>
      </c>
      <c r="C15" s="5">
        <f t="shared" ref="C15" si="1">SUM(C3:C14)</f>
        <v>528</v>
      </c>
      <c r="D15" s="5">
        <f t="shared" ref="D15:F15" si="2">SUM(D3:D14)</f>
        <v>75</v>
      </c>
      <c r="E15" s="5">
        <f t="shared" si="2"/>
        <v>7714282</v>
      </c>
      <c r="F15" s="5">
        <f t="shared" si="2"/>
        <v>4914000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-1903892</v>
      </c>
      <c r="C3" s="3">
        <v>0</v>
      </c>
      <c r="D3" s="3">
        <v>0</v>
      </c>
      <c r="E3" s="3">
        <v>1903892</v>
      </c>
      <c r="F3" s="3">
        <v>1372000</v>
      </c>
    </row>
    <row r="4" spans="1:6" x14ac:dyDescent="0.3">
      <c r="A4" s="2" t="s">
        <v>6</v>
      </c>
      <c r="B4" s="3">
        <f t="shared" ref="B4:B14" si="0">C4-E4</f>
        <v>-528638</v>
      </c>
      <c r="C4" s="3">
        <v>0</v>
      </c>
      <c r="D4" s="3">
        <v>0</v>
      </c>
      <c r="E4" s="3">
        <v>528638</v>
      </c>
      <c r="F4" s="3">
        <v>380001</v>
      </c>
    </row>
    <row r="5" spans="1:6" x14ac:dyDescent="0.3">
      <c r="A5" s="2" t="s">
        <v>7</v>
      </c>
      <c r="B5" s="3">
        <f t="shared" si="0"/>
        <v>-1082336</v>
      </c>
      <c r="C5" s="3">
        <v>0</v>
      </c>
      <c r="D5" s="3">
        <v>0</v>
      </c>
      <c r="E5" s="3">
        <v>1082336</v>
      </c>
      <c r="F5" s="3">
        <v>796000</v>
      </c>
    </row>
    <row r="6" spans="1:6" x14ac:dyDescent="0.3">
      <c r="A6" s="2" t="s">
        <v>8</v>
      </c>
      <c r="B6" s="3">
        <f t="shared" si="0"/>
        <v>-857536</v>
      </c>
      <c r="C6" s="3">
        <v>0</v>
      </c>
      <c r="D6" s="3">
        <v>0</v>
      </c>
      <c r="E6" s="3">
        <v>857536</v>
      </c>
      <c r="F6" s="3">
        <v>643000</v>
      </c>
    </row>
    <row r="7" spans="1:6" x14ac:dyDescent="0.3">
      <c r="A7" s="2" t="s">
        <v>9</v>
      </c>
      <c r="B7" s="3">
        <f t="shared" si="0"/>
        <v>-54417</v>
      </c>
      <c r="C7" s="3">
        <v>197</v>
      </c>
      <c r="D7" s="3">
        <v>19</v>
      </c>
      <c r="E7" s="3">
        <v>54614</v>
      </c>
      <c r="F7" s="3">
        <v>40001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-142900</v>
      </c>
      <c r="C10" s="3">
        <v>0</v>
      </c>
      <c r="D10" s="3">
        <v>0</v>
      </c>
      <c r="E10" s="3">
        <v>142900</v>
      </c>
      <c r="F10" s="3">
        <v>113000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-275600</v>
      </c>
      <c r="C12" s="3">
        <v>0</v>
      </c>
      <c r="D12" s="3">
        <v>0</v>
      </c>
      <c r="E12" s="3">
        <v>275600</v>
      </c>
      <c r="F12" s="3">
        <v>220000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-288160</v>
      </c>
      <c r="C14" s="3">
        <v>0</v>
      </c>
      <c r="D14" s="3">
        <v>0</v>
      </c>
      <c r="E14" s="3">
        <v>288160</v>
      </c>
      <c r="F14" s="3">
        <v>226000</v>
      </c>
    </row>
    <row r="15" spans="1:6" ht="17.25" thickBot="1" x14ac:dyDescent="0.35">
      <c r="A15" s="4" t="s">
        <v>17</v>
      </c>
      <c r="B15" s="5">
        <f>SUM(B3:B14)</f>
        <v>-5133479</v>
      </c>
      <c r="C15" s="5">
        <f t="shared" ref="C15" si="1">SUM(C3:C14)</f>
        <v>197</v>
      </c>
      <c r="D15" s="5">
        <f t="shared" ref="D15:F15" si="2">SUM(D3:D14)</f>
        <v>19</v>
      </c>
      <c r="E15" s="5">
        <f t="shared" si="2"/>
        <v>5133676</v>
      </c>
      <c r="F15" s="5">
        <f t="shared" si="2"/>
        <v>3790002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-128625</v>
      </c>
      <c r="C3" s="3">
        <v>175</v>
      </c>
      <c r="D3" s="3">
        <v>19</v>
      </c>
      <c r="E3" s="3">
        <v>128800</v>
      </c>
      <c r="F3" s="3">
        <v>100000</v>
      </c>
    </row>
    <row r="4" spans="1:6" x14ac:dyDescent="0.3">
      <c r="A4" s="2" t="s">
        <v>6</v>
      </c>
      <c r="B4" s="3">
        <f t="shared" ref="B4:B14" si="0">C4-E4</f>
        <v>-406268</v>
      </c>
      <c r="C4" s="3">
        <v>0</v>
      </c>
      <c r="D4" s="3">
        <v>0</v>
      </c>
      <c r="E4" s="3">
        <v>406268</v>
      </c>
      <c r="F4" s="3">
        <v>315008</v>
      </c>
    </row>
    <row r="5" spans="1:6" x14ac:dyDescent="0.3">
      <c r="A5" s="2" t="s">
        <v>7</v>
      </c>
      <c r="B5" s="3">
        <f t="shared" si="0"/>
        <v>-713122</v>
      </c>
      <c r="C5" s="3">
        <v>0</v>
      </c>
      <c r="D5" s="3">
        <v>0</v>
      </c>
      <c r="E5" s="3">
        <v>713122</v>
      </c>
      <c r="F5" s="3">
        <v>580000</v>
      </c>
    </row>
    <row r="6" spans="1:6" x14ac:dyDescent="0.3">
      <c r="A6" s="2" t="s">
        <v>8</v>
      </c>
      <c r="B6" s="3">
        <f t="shared" si="0"/>
        <v>-733618</v>
      </c>
      <c r="C6" s="3">
        <v>0</v>
      </c>
      <c r="D6" s="3">
        <v>0</v>
      </c>
      <c r="E6" s="3">
        <v>733618</v>
      </c>
      <c r="F6" s="3">
        <v>581000</v>
      </c>
    </row>
    <row r="7" spans="1:6" x14ac:dyDescent="0.3">
      <c r="A7" s="2" t="s">
        <v>9</v>
      </c>
      <c r="B7" s="3">
        <f t="shared" si="0"/>
        <v>-385621</v>
      </c>
      <c r="C7" s="3">
        <v>724</v>
      </c>
      <c r="D7" s="3">
        <v>105</v>
      </c>
      <c r="E7" s="3">
        <v>386345</v>
      </c>
      <c r="F7" s="3">
        <v>320006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-32</v>
      </c>
      <c r="C9" s="3">
        <v>0</v>
      </c>
      <c r="D9" s="3">
        <v>0</v>
      </c>
      <c r="E9" s="3">
        <v>32</v>
      </c>
      <c r="F9" s="3">
        <v>8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-26000</v>
      </c>
      <c r="C12" s="3">
        <v>0</v>
      </c>
      <c r="D12" s="3">
        <v>0</v>
      </c>
      <c r="E12" s="3">
        <v>26000</v>
      </c>
      <c r="F12" s="3">
        <v>20000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-2299747</v>
      </c>
      <c r="C14" s="3">
        <v>0</v>
      </c>
      <c r="D14" s="3">
        <v>0</v>
      </c>
      <c r="E14" s="3">
        <v>2299747</v>
      </c>
      <c r="F14" s="3">
        <v>1743000</v>
      </c>
    </row>
    <row r="15" spans="1:6" ht="17.25" thickBot="1" x14ac:dyDescent="0.35">
      <c r="A15" s="4" t="s">
        <v>17</v>
      </c>
      <c r="B15" s="5">
        <f>SUM(B3:B14)</f>
        <v>-4693033</v>
      </c>
      <c r="C15" s="5">
        <f t="shared" ref="C15" si="1">SUM(C3:C14)</f>
        <v>899</v>
      </c>
      <c r="D15" s="5">
        <f t="shared" ref="D15:F15" si="2">SUM(D3:D14)</f>
        <v>124</v>
      </c>
      <c r="E15" s="5">
        <f t="shared" si="2"/>
        <v>4693932</v>
      </c>
      <c r="F15" s="5">
        <f t="shared" si="2"/>
        <v>3659022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-869163</v>
      </c>
      <c r="C3" s="3">
        <v>0</v>
      </c>
      <c r="D3" s="3">
        <v>0</v>
      </c>
      <c r="E3" s="3">
        <v>869163</v>
      </c>
      <c r="F3" s="3">
        <v>669000</v>
      </c>
    </row>
    <row r="4" spans="1:6" x14ac:dyDescent="0.3">
      <c r="A4" s="2" t="s">
        <v>6</v>
      </c>
      <c r="B4" s="3">
        <f t="shared" ref="B4:B14" si="0">C4-E4</f>
        <v>-239821</v>
      </c>
      <c r="C4" s="3">
        <v>0</v>
      </c>
      <c r="D4" s="3">
        <v>0</v>
      </c>
      <c r="E4" s="3">
        <v>239821</v>
      </c>
      <c r="F4" s="3">
        <v>184000</v>
      </c>
    </row>
    <row r="5" spans="1:6" x14ac:dyDescent="0.3">
      <c r="A5" s="2" t="s">
        <v>7</v>
      </c>
      <c r="B5" s="3">
        <f t="shared" si="0"/>
        <v>-1431191</v>
      </c>
      <c r="C5" s="3">
        <v>0</v>
      </c>
      <c r="D5" s="3">
        <v>0</v>
      </c>
      <c r="E5" s="3">
        <v>1431191</v>
      </c>
      <c r="F5" s="3">
        <v>1100000</v>
      </c>
    </row>
    <row r="6" spans="1:6" x14ac:dyDescent="0.3">
      <c r="A6" s="2" t="s">
        <v>8</v>
      </c>
      <c r="B6" s="3">
        <f t="shared" si="0"/>
        <v>-1265978</v>
      </c>
      <c r="C6" s="3">
        <v>0</v>
      </c>
      <c r="D6" s="3">
        <v>0</v>
      </c>
      <c r="E6" s="3">
        <v>1265978</v>
      </c>
      <c r="F6" s="3">
        <v>980500</v>
      </c>
    </row>
    <row r="7" spans="1:6" x14ac:dyDescent="0.3">
      <c r="A7" s="2" t="s">
        <v>9</v>
      </c>
      <c r="B7" s="3">
        <f t="shared" si="0"/>
        <v>-88355</v>
      </c>
      <c r="C7" s="3">
        <v>0</v>
      </c>
      <c r="D7" s="3">
        <v>0</v>
      </c>
      <c r="E7" s="3">
        <v>88355</v>
      </c>
      <c r="F7" s="3">
        <v>65000</v>
      </c>
    </row>
    <row r="8" spans="1:6" x14ac:dyDescent="0.3">
      <c r="A8" s="2" t="s">
        <v>10</v>
      </c>
      <c r="B8" s="3">
        <f t="shared" si="0"/>
        <v>-300517</v>
      </c>
      <c r="C8" s="3">
        <v>0</v>
      </c>
      <c r="D8" s="3">
        <v>0</v>
      </c>
      <c r="E8" s="3">
        <v>300517</v>
      </c>
      <c r="F8" s="3">
        <v>236500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-4195025</v>
      </c>
      <c r="C15" s="5">
        <f t="shared" ref="C15:F15" si="1">SUM(C3:C14)</f>
        <v>0</v>
      </c>
      <c r="D15" s="5">
        <f t="shared" si="1"/>
        <v>0</v>
      </c>
      <c r="E15" s="5">
        <f t="shared" si="1"/>
        <v>4195025</v>
      </c>
      <c r="F15" s="5">
        <f t="shared" si="1"/>
        <v>3235000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2026-08-24T02:52:52Z</dcterms:modified>
</cp:coreProperties>
</file>