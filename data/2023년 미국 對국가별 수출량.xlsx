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AM3" i="1" l="1"/>
  <c r="AL3" i="1"/>
  <c r="AK3" i="1" s="1"/>
  <c r="AJ3" i="1"/>
  <c r="AH3" i="1" s="1"/>
  <c r="AI3" i="1"/>
  <c r="AG3" i="1"/>
  <c r="AF3" i="1"/>
  <c r="AE3" i="1"/>
  <c r="AD3" i="1"/>
  <c r="AB3" i="1" s="1"/>
  <c r="AC3" i="1"/>
  <c r="AA3" i="1"/>
  <c r="Z3" i="1"/>
  <c r="X3" i="1"/>
  <c r="W3" i="1"/>
  <c r="V3" i="1"/>
  <c r="U3" i="1"/>
  <c r="T3" i="1"/>
  <c r="R3" i="1"/>
  <c r="Q3" i="1"/>
  <c r="O3" i="1"/>
  <c r="N3" i="1"/>
  <c r="M3" i="1"/>
  <c r="L3" i="1"/>
  <c r="K3" i="1"/>
  <c r="I3" i="1"/>
  <c r="H3" i="1"/>
  <c r="F3" i="1"/>
  <c r="E3" i="1"/>
  <c r="D3" i="1" s="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AO4"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31" i="1"/>
  <c r="AP30" i="1"/>
  <c r="AP29" i="1"/>
  <c r="AP28" i="1"/>
  <c r="AP27" i="1"/>
  <c r="AP26" i="1"/>
  <c r="AP25" i="1"/>
  <c r="AP24" i="1"/>
  <c r="AP23" i="1"/>
  <c r="AP22" i="1"/>
  <c r="AP21" i="1"/>
  <c r="AP20" i="1"/>
  <c r="AP19" i="1"/>
  <c r="AP18" i="1"/>
  <c r="AP17" i="1"/>
  <c r="AP16" i="1"/>
  <c r="AP15" i="1"/>
  <c r="AN15" i="1" s="1"/>
  <c r="AP14" i="1"/>
  <c r="AP13" i="1"/>
  <c r="AP11" i="1"/>
  <c r="AP10" i="1"/>
  <c r="AP9" i="1"/>
  <c r="AP8" i="1"/>
  <c r="AP7" i="1"/>
  <c r="AP6" i="1"/>
  <c r="AP5" i="1"/>
  <c r="AP4" i="1"/>
  <c r="AN31" i="1" l="1"/>
  <c r="S3" i="1"/>
  <c r="J3" i="1"/>
  <c r="AO3" i="1"/>
  <c r="AN7" i="1"/>
  <c r="AN16" i="1"/>
  <c r="AN9" i="1"/>
  <c r="AN17" i="1"/>
  <c r="AN25" i="1"/>
  <c r="AN8" i="1"/>
  <c r="AN24" i="1"/>
  <c r="AN18" i="1"/>
  <c r="AN26" i="1"/>
  <c r="AN10" i="1"/>
  <c r="AN20" i="1"/>
  <c r="AN28" i="1"/>
  <c r="G3" i="1"/>
  <c r="P3" i="1"/>
  <c r="Y3" i="1"/>
  <c r="AN5" i="1"/>
  <c r="AN13" i="1"/>
  <c r="AN21" i="1"/>
  <c r="AN29" i="1"/>
  <c r="AN6" i="1"/>
  <c r="AN14" i="1"/>
  <c r="AN22" i="1"/>
  <c r="AN30" i="1"/>
  <c r="AN11" i="1"/>
  <c r="AN27" i="1"/>
  <c r="AN19" i="1"/>
  <c r="AN23" i="1"/>
  <c r="AN4" i="1"/>
  <c r="AP12" i="1"/>
  <c r="AP3" i="1" s="1"/>
  <c r="AN3" i="1" l="1"/>
  <c r="AN12" i="1"/>
</calcChain>
</file>

<file path=xl/sharedStrings.xml><?xml version="1.0" encoding="utf-8"?>
<sst xmlns="http://schemas.openxmlformats.org/spreadsheetml/2006/main" count="92" uniqueCount="56">
  <si>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</si>
  <si>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</si>
  <si>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</si>
  <si>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</si>
  <si>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</si>
  <si>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</si>
  <si>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</si>
  <si>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</si>
  <si>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</si>
  <si>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</si>
  <si>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</si>
  <si>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</si>
  <si>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</si>
  <si>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</si>
  <si>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</si>
  <si>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</si>
  <si>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</si>
  <si>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</si>
  <si>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Australia(*)</t>
  </si>
  <si>
    <t>Canada</t>
  </si>
  <si>
    <t>Colombia</t>
  </si>
  <si>
    <t>Dominican Republic</t>
  </si>
  <si>
    <t>Korea, South</t>
  </si>
  <si>
    <t>Jamaica</t>
  </si>
  <si>
    <t>Mexico</t>
  </si>
  <si>
    <t>Barbados</t>
  </si>
  <si>
    <t>Bahamas, The</t>
  </si>
  <si>
    <t>Belize</t>
  </si>
  <si>
    <t>Brazil</t>
  </si>
  <si>
    <t>Guatemala</t>
  </si>
  <si>
    <t>Indonesia</t>
  </si>
  <si>
    <t>Nicaragua</t>
  </si>
  <si>
    <t>Panama</t>
  </si>
  <si>
    <t>Spain</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</si>
  <si>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</si>
  <si>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</si>
  <si>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</si>
  <si>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</si>
  <si>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</si>
  <si>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</si>
  <si>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</si>
  <si>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</si>
  <si>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</si>
  <si>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</si>
  <si>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</si>
  <si>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</si>
  <si>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Argentina</t>
  </si>
  <si>
    <t>Belgium-Luxembourg(*)</t>
  </si>
  <si>
    <t>Equatorial Guinea</t>
  </si>
  <si>
    <t>Guyana</t>
  </si>
  <si>
    <t>Hong Kong</t>
  </si>
  <si>
    <t>Netherlands Antilles(*)</t>
  </si>
  <si>
    <t>New Zealand(*)</t>
  </si>
  <si>
    <t>Qatar</t>
  </si>
  <si>
    <t>United Kingdom</t>
  </si>
  <si>
    <t>French Pacific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</si>
</sst>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7"/>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40</v>
      </c>
      <c r="B2" s="2" t="s">
        <v>13</v>
      </c>
      <c r="C2" s="2" t="s">
        <v>41</v>
      </c>
      <c r="D2" s="4" t="s">
        <v>14</v>
      </c>
      <c r="E2" s="2" t="s">
        <v>41</v>
      </c>
      <c r="F2" s="5" t="s">
        <v>15</v>
      </c>
      <c r="G2" s="2" t="s">
        <v>14</v>
      </c>
      <c r="H2" s="2" t="s">
        <v>41</v>
      </c>
      <c r="I2" s="5" t="s">
        <v>15</v>
      </c>
      <c r="J2" s="2" t="s">
        <v>14</v>
      </c>
      <c r="K2" s="2" t="s">
        <v>41</v>
      </c>
      <c r="L2" s="5" t="s">
        <v>15</v>
      </c>
      <c r="M2" s="2" t="s">
        <v>14</v>
      </c>
      <c r="N2" s="2" t="s">
        <v>41</v>
      </c>
      <c r="O2" s="5" t="s">
        <v>15</v>
      </c>
      <c r="P2" s="2" t="s">
        <v>14</v>
      </c>
      <c r="Q2" s="2" t="s">
        <v>41</v>
      </c>
      <c r="R2" s="5" t="s">
        <v>15</v>
      </c>
      <c r="S2" s="2" t="s">
        <v>14</v>
      </c>
      <c r="T2" s="2" t="s">
        <v>41</v>
      </c>
      <c r="U2" s="5" t="s">
        <v>15</v>
      </c>
      <c r="V2" s="2" t="s">
        <v>14</v>
      </c>
      <c r="W2" s="2" t="s">
        <v>41</v>
      </c>
      <c r="X2" s="5" t="s">
        <v>15</v>
      </c>
      <c r="Y2" s="2" t="s">
        <v>14</v>
      </c>
      <c r="Z2" s="2" t="s">
        <v>41</v>
      </c>
      <c r="AA2" s="5" t="s">
        <v>15</v>
      </c>
      <c r="AB2" s="2" t="s">
        <v>14</v>
      </c>
      <c r="AC2" s="2" t="s">
        <v>41</v>
      </c>
      <c r="AD2" s="5" t="s">
        <v>15</v>
      </c>
      <c r="AE2" s="2" t="s">
        <v>14</v>
      </c>
      <c r="AF2" s="2" t="s">
        <v>41</v>
      </c>
      <c r="AG2" s="5" t="s">
        <v>15</v>
      </c>
      <c r="AH2" s="2" t="s">
        <v>14</v>
      </c>
      <c r="AI2" s="2" t="s">
        <v>41</v>
      </c>
      <c r="AJ2" s="5" t="s">
        <v>15</v>
      </c>
      <c r="AK2" s="2" t="s">
        <v>14</v>
      </c>
      <c r="AL2" s="2" t="s">
        <v>41</v>
      </c>
      <c r="AM2" s="5" t="s">
        <v>15</v>
      </c>
      <c r="AN2" s="2" t="s">
        <v>14</v>
      </c>
      <c r="AO2" s="2" t="s">
        <v>43</v>
      </c>
      <c r="AP2" s="5" t="s">
        <v>15</v>
      </c>
    </row>
    <row r="3" spans="1:66" ht="15" customHeight="1" x14ac:dyDescent="0.3">
      <c r="A3" s="1" t="s">
        <v>16</v>
      </c>
      <c r="B3" s="14" t="s">
        <v>17</v>
      </c>
      <c r="C3" s="14" t="s">
        <v>42</v>
      </c>
      <c r="D3" s="3">
        <f>E3/F3</f>
        <v>1713.9416419386746</v>
      </c>
      <c r="E3" s="3">
        <f>SUM(E4:E31)</f>
        <v>346559</v>
      </c>
      <c r="F3" s="6">
        <f>SUM(F4:F31)</f>
        <v>202.2</v>
      </c>
      <c r="G3" s="3">
        <f>H3/I3</f>
        <v>1313.736428304006</v>
      </c>
      <c r="H3" s="3">
        <f>SUM(H4:H31)</f>
        <v>8421576</v>
      </c>
      <c r="I3" s="6">
        <f>SUM(I4:I31)</f>
        <v>6410.4</v>
      </c>
      <c r="J3" s="3">
        <f>K3/L3</f>
        <v>818.07837971348602</v>
      </c>
      <c r="K3" s="3">
        <f>SUM(K4:K31)</f>
        <v>496819</v>
      </c>
      <c r="L3" s="6">
        <f>SUM(L4:L31)</f>
        <v>607.29999999999995</v>
      </c>
      <c r="M3" s="3">
        <f>N3/O3</f>
        <v>1035.4332414044886</v>
      </c>
      <c r="N3" s="3">
        <f>SUM(N4:N31)</f>
        <v>20987507</v>
      </c>
      <c r="O3" s="6">
        <f>SUM(O4:O31)</f>
        <v>20269.3</v>
      </c>
      <c r="P3" s="3">
        <f>Q3/R3</f>
        <v>1153.523674774922</v>
      </c>
      <c r="Q3" s="3">
        <f>SUM(Q4:Q31)</f>
        <v>19077782</v>
      </c>
      <c r="R3" s="6">
        <f>SUM(R4:R31)</f>
        <v>16538.699999999997</v>
      </c>
      <c r="S3" s="3">
        <f>T3/U3</f>
        <v>1172.5609823204331</v>
      </c>
      <c r="T3" s="3">
        <f>SUM(T4:T31)</f>
        <v>14916031</v>
      </c>
      <c r="U3" s="6">
        <f>SUM(U4:U31)</f>
        <v>12720.900000000001</v>
      </c>
      <c r="V3" s="3">
        <f>W3/X3</f>
        <v>1160.9740333586049</v>
      </c>
      <c r="W3" s="3">
        <f>SUM(W4:W31)</f>
        <v>12250598</v>
      </c>
      <c r="X3" s="6">
        <f>SUM(X4:X31)</f>
        <v>10552.000000000002</v>
      </c>
      <c r="Y3" s="3">
        <f>Z3/AA3</f>
        <v>1677.2033370411573</v>
      </c>
      <c r="Z3" s="3">
        <f>SUM(Z4:Z31)</f>
        <v>7539029</v>
      </c>
      <c r="AA3" s="6">
        <f>SUM(AA4:AA31)</f>
        <v>4494.9999999999991</v>
      </c>
      <c r="AB3" s="3">
        <f>AC3/AD3</f>
        <v>1802.0153361632206</v>
      </c>
      <c r="AC3" s="3">
        <f>SUM(AC4:AC31)</f>
        <v>6580059</v>
      </c>
      <c r="AD3" s="6">
        <f>SUM(AD4:AD31)</f>
        <v>3651.5</v>
      </c>
      <c r="AE3" s="3">
        <f>AF3/AG3</f>
        <v>1394.7415254237287</v>
      </c>
      <c r="AF3" s="3">
        <f>SUM(AF4:AF31)</f>
        <v>329159</v>
      </c>
      <c r="AG3" s="6">
        <f>SUM(AG4:AG31)</f>
        <v>236</v>
      </c>
      <c r="AH3" s="3">
        <f>AI3/AJ3</f>
        <v>863.93862612612611</v>
      </c>
      <c r="AI3" s="3">
        <f>SUM(AI4:AI31)</f>
        <v>306871</v>
      </c>
      <c r="AJ3" s="6">
        <f>SUM(AJ4:AJ31)</f>
        <v>355.2</v>
      </c>
      <c r="AK3" s="3">
        <f>AL3/AM3</f>
        <v>855.45930232558135</v>
      </c>
      <c r="AL3" s="3">
        <f>SUM(AL4:AL31)</f>
        <v>147139</v>
      </c>
      <c r="AM3" s="6">
        <f>SUM(AM4:AM31)</f>
        <v>172</v>
      </c>
      <c r="AN3" s="3">
        <f>AO3/AP3</f>
        <v>1199.2983775201583</v>
      </c>
      <c r="AO3" s="3">
        <f>SUM(AO4:AO31)</f>
        <v>91399129</v>
      </c>
      <c r="AP3" s="6">
        <f>SUM(AP4:AP31)</f>
        <v>76210.499999999985</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19</v>
      </c>
      <c r="B4" s="15"/>
      <c r="C4" s="15"/>
      <c r="D4" s="3">
        <f t="shared" ref="D4:D11" si="0">E4/F4</f>
        <v>1790.049751243781</v>
      </c>
      <c r="E4" s="3">
        <v>35980</v>
      </c>
      <c r="F4" s="6">
        <v>20.100000000000001</v>
      </c>
      <c r="G4" s="3">
        <f t="shared" ref="G4:G11" si="1">H4/I4</f>
        <v>758.54274239816402</v>
      </c>
      <c r="H4" s="3">
        <v>132214</v>
      </c>
      <c r="I4" s="6">
        <v>174.3</v>
      </c>
      <c r="J4" s="3">
        <f t="shared" ref="J4:J11" si="2">K4/L4</f>
        <v>870.75086396481299</v>
      </c>
      <c r="K4" s="3">
        <v>277160</v>
      </c>
      <c r="L4" s="6">
        <v>318.3</v>
      </c>
      <c r="M4" s="3">
        <f t="shared" ref="M4:M11" si="3">N4/O4</f>
        <v>783.76712328767121</v>
      </c>
      <c r="N4" s="3">
        <v>80101</v>
      </c>
      <c r="O4" s="6">
        <v>102.2</v>
      </c>
      <c r="P4" s="3">
        <f t="shared" ref="P4:P11" si="4">Q4/R4</f>
        <v>782.82861896838597</v>
      </c>
      <c r="Q4" s="3">
        <v>94096</v>
      </c>
      <c r="R4" s="6">
        <v>120.2</v>
      </c>
      <c r="S4" s="3">
        <f t="shared" ref="S4:S11" si="5">T4/U4</f>
        <v>767.73823191733641</v>
      </c>
      <c r="T4" s="3">
        <v>66870</v>
      </c>
      <c r="U4" s="6">
        <v>87.1</v>
      </c>
      <c r="V4" s="3">
        <f t="shared" ref="V4:V11" si="6">W4/X4</f>
        <v>1574.1904761904761</v>
      </c>
      <c r="W4" s="3">
        <v>429754</v>
      </c>
      <c r="X4" s="6">
        <v>273</v>
      </c>
      <c r="Y4" s="3">
        <f t="shared" ref="Y4:Y11" si="7">Z4/AA4</f>
        <v>1560.3752843062925</v>
      </c>
      <c r="Z4" s="3">
        <v>411627</v>
      </c>
      <c r="AA4" s="6">
        <v>263.8</v>
      </c>
      <c r="AB4" s="3">
        <f t="shared" ref="AB4:AB11" si="8">AC4/AD4</f>
        <v>1803.0839782961964</v>
      </c>
      <c r="AC4" s="3">
        <v>6546457</v>
      </c>
      <c r="AD4" s="6">
        <v>3630.7</v>
      </c>
      <c r="AE4" s="3">
        <f t="shared" ref="AE4:AE11" si="9">AF4/AG4</f>
        <v>1046.25</v>
      </c>
      <c r="AF4" s="3">
        <v>122202</v>
      </c>
      <c r="AG4" s="6">
        <v>116.8</v>
      </c>
      <c r="AH4" s="3">
        <f t="shared" ref="AH4:AH11" si="10">AI4/AJ4</f>
        <v>786.1808639483246</v>
      </c>
      <c r="AI4" s="3">
        <v>194737</v>
      </c>
      <c r="AJ4" s="6">
        <v>247.7</v>
      </c>
      <c r="AK4" s="3">
        <f t="shared" ref="AK4:AK11" si="11">AL4/AM4</f>
        <v>760.08222643896272</v>
      </c>
      <c r="AL4" s="3">
        <v>120169</v>
      </c>
      <c r="AM4" s="6">
        <v>158.1</v>
      </c>
      <c r="AN4" s="3">
        <f t="shared" ref="AN4:AN31" si="12">AO4/AP4</f>
        <v>1544.0681748090633</v>
      </c>
      <c r="AO4" s="3">
        <f t="shared" ref="AO4:AO31" si="13">SUM(E4,H4,K4,N4,Q4,T4,W4,Z4,AC4,AF4,AI4,AL4)</f>
        <v>8511367</v>
      </c>
      <c r="AP4" s="6">
        <f t="shared" ref="AP4:AP31" si="14">SUM(F4,I4,L4,O4,R4,U4,X4,AA4,AD4,AG4,AJ4,AM4)</f>
        <v>5512.3</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26</v>
      </c>
      <c r="B5" s="15"/>
      <c r="C5" s="15"/>
      <c r="D5" s="3" t="e">
        <f t="shared" si="0"/>
        <v>#DIV/0!</v>
      </c>
      <c r="E5" s="3">
        <v>0</v>
      </c>
      <c r="F5" s="6">
        <v>0</v>
      </c>
      <c r="G5" s="3" t="e">
        <f t="shared" si="1"/>
        <v>#DIV/0!</v>
      </c>
      <c r="H5" s="3">
        <v>0</v>
      </c>
      <c r="I5" s="6">
        <v>0</v>
      </c>
      <c r="J5" s="3">
        <f t="shared" si="2"/>
        <v>761.13861386138615</v>
      </c>
      <c r="K5" s="3">
        <v>15375</v>
      </c>
      <c r="L5" s="6">
        <v>20.2</v>
      </c>
      <c r="M5" s="3" t="e">
        <f t="shared" si="3"/>
        <v>#DIV/0!</v>
      </c>
      <c r="N5" s="3">
        <v>0</v>
      </c>
      <c r="O5" s="6">
        <v>0</v>
      </c>
      <c r="P5" s="3" t="e">
        <f t="shared" si="4"/>
        <v>#DIV/0!</v>
      </c>
      <c r="Q5" s="3">
        <v>0</v>
      </c>
      <c r="R5" s="6">
        <v>0</v>
      </c>
      <c r="S5" s="3">
        <f t="shared" si="5"/>
        <v>807.49283667621785</v>
      </c>
      <c r="T5" s="3">
        <v>56363</v>
      </c>
      <c r="U5" s="6">
        <v>69.8</v>
      </c>
      <c r="V5" s="3" t="e">
        <f t="shared" si="6"/>
        <v>#DIV/0!</v>
      </c>
      <c r="W5" s="3">
        <v>0</v>
      </c>
      <c r="X5" s="6">
        <v>0</v>
      </c>
      <c r="Y5" s="3">
        <f t="shared" si="7"/>
        <v>852.60223048327146</v>
      </c>
      <c r="Z5" s="3">
        <v>22935</v>
      </c>
      <c r="AA5" s="6">
        <v>26.9</v>
      </c>
      <c r="AB5" s="3">
        <f t="shared" si="8"/>
        <v>1117.2413793103449</v>
      </c>
      <c r="AC5" s="3">
        <v>6480</v>
      </c>
      <c r="AD5" s="6">
        <v>5.8</v>
      </c>
      <c r="AE5" s="3">
        <f t="shared" si="9"/>
        <v>1991.9463087248321</v>
      </c>
      <c r="AF5" s="3">
        <v>178080</v>
      </c>
      <c r="AG5" s="6">
        <v>89.4</v>
      </c>
      <c r="AH5" s="3">
        <f t="shared" si="10"/>
        <v>1875.7894736842106</v>
      </c>
      <c r="AI5" s="3">
        <v>35640</v>
      </c>
      <c r="AJ5" s="6">
        <v>19</v>
      </c>
      <c r="AK5" s="3">
        <f t="shared" si="11"/>
        <v>1813.7404580152672</v>
      </c>
      <c r="AL5" s="3">
        <v>23760</v>
      </c>
      <c r="AM5" s="6">
        <v>13.1</v>
      </c>
      <c r="AN5" s="3">
        <f t="shared" si="12"/>
        <v>1386.7035217035216</v>
      </c>
      <c r="AO5" s="3">
        <f t="shared" si="13"/>
        <v>338633</v>
      </c>
      <c r="AP5" s="6">
        <f t="shared" si="14"/>
        <v>244.20000000000002</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24</v>
      </c>
      <c r="B6" s="15"/>
      <c r="C6" s="15"/>
      <c r="D6" s="3">
        <f t="shared" si="0"/>
        <v>1835.9131545338444</v>
      </c>
      <c r="E6" s="3">
        <v>287504</v>
      </c>
      <c r="F6" s="6">
        <v>156.6</v>
      </c>
      <c r="G6" s="3" t="e">
        <f t="shared" si="1"/>
        <v>#DIV/0!</v>
      </c>
      <c r="H6" s="3">
        <v>0</v>
      </c>
      <c r="I6" s="6">
        <v>0</v>
      </c>
      <c r="J6" s="3" t="e">
        <f t="shared" si="2"/>
        <v>#DIV/0!</v>
      </c>
      <c r="K6" s="3">
        <v>0</v>
      </c>
      <c r="L6" s="6">
        <v>0</v>
      </c>
      <c r="M6" s="3">
        <f t="shared" si="3"/>
        <v>1664.0496894409937</v>
      </c>
      <c r="N6" s="3">
        <v>267912</v>
      </c>
      <c r="O6" s="6">
        <v>161</v>
      </c>
      <c r="P6" s="3">
        <f t="shared" si="4"/>
        <v>1171.6541085271317</v>
      </c>
      <c r="Q6" s="3">
        <v>15114338</v>
      </c>
      <c r="R6" s="6">
        <v>12900</v>
      </c>
      <c r="S6" s="3">
        <f t="shared" si="5"/>
        <v>1203.9731369150779</v>
      </c>
      <c r="T6" s="3">
        <v>10837203</v>
      </c>
      <c r="U6" s="6">
        <v>9001.2000000000007</v>
      </c>
      <c r="V6" s="3">
        <f t="shared" si="6"/>
        <v>1177.8102066249212</v>
      </c>
      <c r="W6" s="3">
        <v>7655413</v>
      </c>
      <c r="X6" s="6">
        <v>6499.7</v>
      </c>
      <c r="Y6" s="3" t="e">
        <f t="shared" si="7"/>
        <v>#DIV/0!</v>
      </c>
      <c r="Z6" s="3">
        <v>0</v>
      </c>
      <c r="AA6" s="6">
        <v>0</v>
      </c>
      <c r="AB6" s="3" t="e">
        <f t="shared" si="8"/>
        <v>#DIV/0!</v>
      </c>
      <c r="AC6" s="3">
        <v>0</v>
      </c>
      <c r="AD6" s="6">
        <v>0</v>
      </c>
      <c r="AE6" s="3" t="e">
        <f t="shared" si="9"/>
        <v>#DIV/0!</v>
      </c>
      <c r="AF6" s="3">
        <v>0</v>
      </c>
      <c r="AG6" s="6">
        <v>0</v>
      </c>
      <c r="AH6" s="3" t="e">
        <f t="shared" si="10"/>
        <v>#DIV/0!</v>
      </c>
      <c r="AI6" s="3">
        <v>0</v>
      </c>
      <c r="AJ6" s="6">
        <v>0</v>
      </c>
      <c r="AK6" s="3">
        <f t="shared" si="11"/>
        <v>4012.5</v>
      </c>
      <c r="AL6" s="3">
        <v>3210</v>
      </c>
      <c r="AM6" s="6">
        <v>0.8</v>
      </c>
      <c r="AN6" s="3">
        <f t="shared" si="12"/>
        <v>1189.6383268394422</v>
      </c>
      <c r="AO6" s="3">
        <f t="shared" si="13"/>
        <v>34165580</v>
      </c>
      <c r="AP6" s="6">
        <f t="shared" si="14"/>
        <v>28719.300000000003</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46</v>
      </c>
      <c r="B7" s="15"/>
      <c r="C7" s="15"/>
      <c r="D7" s="3" t="e">
        <f t="shared" si="0"/>
        <v>#DIV/0!</v>
      </c>
      <c r="E7" s="3">
        <v>0</v>
      </c>
      <c r="F7" s="6">
        <v>0</v>
      </c>
      <c r="G7" s="3" t="e">
        <f t="shared" si="1"/>
        <v>#DIV/0!</v>
      </c>
      <c r="H7" s="3">
        <v>0</v>
      </c>
      <c r="I7" s="6">
        <v>0</v>
      </c>
      <c r="J7" s="3" t="e">
        <f t="shared" si="2"/>
        <v>#DIV/0!</v>
      </c>
      <c r="K7" s="3">
        <v>0</v>
      </c>
      <c r="L7" s="6">
        <v>0</v>
      </c>
      <c r="M7" s="3" t="e">
        <f t="shared" si="3"/>
        <v>#DIV/0!</v>
      </c>
      <c r="N7" s="3">
        <v>0</v>
      </c>
      <c r="O7" s="6">
        <v>0</v>
      </c>
      <c r="P7" s="3" t="e">
        <f t="shared" si="4"/>
        <v>#DIV/0!</v>
      </c>
      <c r="Q7" s="3">
        <v>0</v>
      </c>
      <c r="R7" s="6">
        <v>0</v>
      </c>
      <c r="S7" s="3" t="e">
        <f t="shared" si="5"/>
        <v>#DIV/0!</v>
      </c>
      <c r="T7" s="3">
        <v>0</v>
      </c>
      <c r="U7" s="6">
        <v>0</v>
      </c>
      <c r="V7" s="3" t="e">
        <f t="shared" si="6"/>
        <v>#DIV/0!</v>
      </c>
      <c r="W7" s="3">
        <v>0</v>
      </c>
      <c r="X7" s="6">
        <v>0</v>
      </c>
      <c r="Y7" s="3" t="e">
        <f t="shared" si="7"/>
        <v>#DIV/0!</v>
      </c>
      <c r="Z7" s="3">
        <v>0</v>
      </c>
      <c r="AA7" s="6">
        <v>0</v>
      </c>
      <c r="AB7" s="3">
        <f t="shared" si="8"/>
        <v>3627.272727272727</v>
      </c>
      <c r="AC7" s="3">
        <v>3990</v>
      </c>
      <c r="AD7" s="6">
        <v>1.1000000000000001</v>
      </c>
      <c r="AE7" s="3" t="e">
        <f t="shared" si="9"/>
        <v>#DIV/0!</v>
      </c>
      <c r="AF7" s="3">
        <v>0</v>
      </c>
      <c r="AG7" s="6">
        <v>0</v>
      </c>
      <c r="AH7" s="3">
        <f t="shared" si="10"/>
        <v>760.33057851239676</v>
      </c>
      <c r="AI7" s="3">
        <v>18400</v>
      </c>
      <c r="AJ7" s="6">
        <v>24.2</v>
      </c>
      <c r="AK7" s="3" t="e">
        <f t="shared" si="11"/>
        <v>#DIV/0!</v>
      </c>
      <c r="AL7" s="3">
        <v>0</v>
      </c>
      <c r="AM7" s="6">
        <v>0</v>
      </c>
      <c r="AN7" s="3">
        <f t="shared" si="12"/>
        <v>884.98023715415013</v>
      </c>
      <c r="AO7" s="3">
        <f t="shared" si="13"/>
        <v>22390</v>
      </c>
      <c r="AP7" s="6">
        <f t="shared" si="14"/>
        <v>25.3</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18</v>
      </c>
      <c r="B8" s="15"/>
      <c r="C8" s="15"/>
      <c r="D8" s="3" t="e">
        <f t="shared" si="0"/>
        <v>#DIV/0!</v>
      </c>
      <c r="E8" s="3">
        <v>0</v>
      </c>
      <c r="F8" s="6">
        <v>0</v>
      </c>
      <c r="G8" s="3" t="e">
        <f t="shared" si="1"/>
        <v>#DIV/0!</v>
      </c>
      <c r="H8" s="3">
        <v>0</v>
      </c>
      <c r="I8" s="6">
        <v>0</v>
      </c>
      <c r="J8" s="3" t="e">
        <f t="shared" si="2"/>
        <v>#DIV/0!</v>
      </c>
      <c r="K8" s="3">
        <v>0</v>
      </c>
      <c r="L8" s="6">
        <v>0</v>
      </c>
      <c r="M8" s="3" t="e">
        <f t="shared" si="3"/>
        <v>#DIV/0!</v>
      </c>
      <c r="N8" s="3">
        <v>0</v>
      </c>
      <c r="O8" s="6">
        <v>0</v>
      </c>
      <c r="P8" s="3" t="e">
        <f t="shared" si="4"/>
        <v>#DIV/0!</v>
      </c>
      <c r="Q8" s="3">
        <v>0</v>
      </c>
      <c r="R8" s="6">
        <v>0</v>
      </c>
      <c r="S8" s="3" t="e">
        <f t="shared" si="5"/>
        <v>#DIV/0!</v>
      </c>
      <c r="T8" s="3">
        <v>0</v>
      </c>
      <c r="U8" s="6">
        <v>0</v>
      </c>
      <c r="V8" s="3" t="e">
        <f t="shared" si="6"/>
        <v>#DIV/0!</v>
      </c>
      <c r="W8" s="3">
        <v>0</v>
      </c>
      <c r="X8" s="6">
        <v>0</v>
      </c>
      <c r="Y8" s="3" t="e">
        <f t="shared" si="7"/>
        <v>#DIV/0!</v>
      </c>
      <c r="Z8" s="3">
        <v>0</v>
      </c>
      <c r="AA8" s="6">
        <v>0</v>
      </c>
      <c r="AB8" s="3" t="e">
        <f t="shared" si="8"/>
        <v>#DIV/0!</v>
      </c>
      <c r="AC8" s="3">
        <v>0</v>
      </c>
      <c r="AD8" s="6">
        <v>0</v>
      </c>
      <c r="AE8" s="3" t="e">
        <f t="shared" si="9"/>
        <v>#DIV/0!</v>
      </c>
      <c r="AF8" s="3">
        <v>0</v>
      </c>
      <c r="AG8" s="6">
        <v>0</v>
      </c>
      <c r="AH8" s="3">
        <f t="shared" si="10"/>
        <v>757.57575757575762</v>
      </c>
      <c r="AI8" s="3">
        <v>5000</v>
      </c>
      <c r="AJ8" s="6">
        <v>6.6</v>
      </c>
      <c r="AK8" s="3" t="e">
        <f t="shared" si="11"/>
        <v>#DIV/0!</v>
      </c>
      <c r="AL8" s="3">
        <v>0</v>
      </c>
      <c r="AM8" s="6">
        <v>0</v>
      </c>
      <c r="AN8" s="3">
        <f t="shared" si="12"/>
        <v>757.57575757575762</v>
      </c>
      <c r="AO8" s="3">
        <f t="shared" si="13"/>
        <v>5000</v>
      </c>
      <c r="AP8" s="6">
        <f t="shared" si="14"/>
        <v>6.6</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25</v>
      </c>
      <c r="B9" s="15"/>
      <c r="C9" s="15"/>
      <c r="D9" s="3" t="e">
        <f t="shared" si="0"/>
        <v>#DIV/0!</v>
      </c>
      <c r="E9" s="3">
        <v>0</v>
      </c>
      <c r="F9" s="6">
        <v>0</v>
      </c>
      <c r="G9" s="3" t="e">
        <f t="shared" si="1"/>
        <v>#DIV/0!</v>
      </c>
      <c r="H9" s="3">
        <v>0</v>
      </c>
      <c r="I9" s="6">
        <v>0</v>
      </c>
      <c r="J9" s="3" t="e">
        <f t="shared" si="2"/>
        <v>#DIV/0!</v>
      </c>
      <c r="K9" s="3">
        <v>0</v>
      </c>
      <c r="L9" s="6">
        <v>0</v>
      </c>
      <c r="M9" s="3" t="e">
        <f t="shared" si="3"/>
        <v>#DIV/0!</v>
      </c>
      <c r="N9" s="3">
        <v>0</v>
      </c>
      <c r="O9" s="6">
        <v>0</v>
      </c>
      <c r="P9" s="3" t="e">
        <f t="shared" si="4"/>
        <v>#DIV/0!</v>
      </c>
      <c r="Q9" s="3">
        <v>0</v>
      </c>
      <c r="R9" s="6">
        <v>0</v>
      </c>
      <c r="S9" s="3">
        <f t="shared" si="5"/>
        <v>3300</v>
      </c>
      <c r="T9" s="3">
        <v>3300</v>
      </c>
      <c r="U9" s="6">
        <v>1</v>
      </c>
      <c r="V9" s="3" t="e">
        <f t="shared" si="6"/>
        <v>#DIV/0!</v>
      </c>
      <c r="W9" s="3">
        <v>0</v>
      </c>
      <c r="X9" s="6">
        <v>0</v>
      </c>
      <c r="Y9" s="3" t="e">
        <f t="shared" si="7"/>
        <v>#DIV/0!</v>
      </c>
      <c r="Z9" s="3">
        <v>0</v>
      </c>
      <c r="AA9" s="6">
        <v>0</v>
      </c>
      <c r="AB9" s="3" t="e">
        <f t="shared" si="8"/>
        <v>#DIV/0!</v>
      </c>
      <c r="AC9" s="3">
        <v>0</v>
      </c>
      <c r="AD9" s="6">
        <v>0</v>
      </c>
      <c r="AE9" s="3" t="e">
        <f t="shared" si="9"/>
        <v>#DIV/0!</v>
      </c>
      <c r="AF9" s="3">
        <v>0</v>
      </c>
      <c r="AG9" s="6">
        <v>0</v>
      </c>
      <c r="AH9" s="3" t="e">
        <f t="shared" si="10"/>
        <v>#DIV/0!</v>
      </c>
      <c r="AI9" s="3">
        <v>0</v>
      </c>
      <c r="AJ9" s="6">
        <v>0</v>
      </c>
      <c r="AK9" s="3" t="e">
        <f t="shared" si="11"/>
        <v>#DIV/0!</v>
      </c>
      <c r="AL9" s="3">
        <v>0</v>
      </c>
      <c r="AM9" s="6">
        <v>0</v>
      </c>
      <c r="AN9" s="3">
        <f t="shared" si="12"/>
        <v>3300</v>
      </c>
      <c r="AO9" s="3">
        <f t="shared" si="13"/>
        <v>3300</v>
      </c>
      <c r="AP9" s="6">
        <f t="shared" si="14"/>
        <v>1</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47</v>
      </c>
      <c r="B10" s="15"/>
      <c r="C10" s="15"/>
      <c r="D10" s="3" t="e">
        <f t="shared" si="0"/>
        <v>#DIV/0!</v>
      </c>
      <c r="E10" s="3">
        <v>0</v>
      </c>
      <c r="F10" s="6">
        <v>0</v>
      </c>
      <c r="G10" s="3" t="e">
        <f t="shared" si="1"/>
        <v>#DIV/0!</v>
      </c>
      <c r="H10" s="3">
        <v>0</v>
      </c>
      <c r="I10" s="6">
        <v>0</v>
      </c>
      <c r="J10" s="3">
        <f t="shared" si="2"/>
        <v>759.56521739130437</v>
      </c>
      <c r="K10" s="3">
        <v>6988</v>
      </c>
      <c r="L10" s="6">
        <v>9.1999999999999993</v>
      </c>
      <c r="M10" s="3" t="e">
        <f t="shared" si="3"/>
        <v>#DIV/0!</v>
      </c>
      <c r="N10" s="3">
        <v>0</v>
      </c>
      <c r="O10" s="6">
        <v>0</v>
      </c>
      <c r="P10" s="3" t="e">
        <f t="shared" si="4"/>
        <v>#DIV/0!</v>
      </c>
      <c r="Q10" s="3">
        <v>0</v>
      </c>
      <c r="R10" s="6">
        <v>0</v>
      </c>
      <c r="S10" s="3" t="e">
        <f t="shared" si="5"/>
        <v>#DIV/0!</v>
      </c>
      <c r="T10" s="3">
        <v>0</v>
      </c>
      <c r="U10" s="6">
        <v>0</v>
      </c>
      <c r="V10" s="3" t="e">
        <f t="shared" si="6"/>
        <v>#DIV/0!</v>
      </c>
      <c r="W10" s="3">
        <v>0</v>
      </c>
      <c r="X10" s="6">
        <v>0</v>
      </c>
      <c r="Y10" s="3" t="e">
        <f t="shared" si="7"/>
        <v>#DIV/0!</v>
      </c>
      <c r="Z10" s="3">
        <v>0</v>
      </c>
      <c r="AA10" s="6">
        <v>0</v>
      </c>
      <c r="AB10" s="3" t="e">
        <f t="shared" si="8"/>
        <v>#DIV/0!</v>
      </c>
      <c r="AC10" s="3">
        <v>0</v>
      </c>
      <c r="AD10" s="6">
        <v>0</v>
      </c>
      <c r="AE10" s="3" t="e">
        <f t="shared" si="9"/>
        <v>#DIV/0!</v>
      </c>
      <c r="AF10" s="3">
        <v>0</v>
      </c>
      <c r="AG10" s="6">
        <v>0</v>
      </c>
      <c r="AH10" s="3" t="e">
        <f t="shared" si="10"/>
        <v>#DIV/0!</v>
      </c>
      <c r="AI10" s="3">
        <v>0</v>
      </c>
      <c r="AJ10" s="6">
        <v>0</v>
      </c>
      <c r="AK10" s="3" t="e">
        <f t="shared" si="11"/>
        <v>#DIV/0!</v>
      </c>
      <c r="AL10" s="3">
        <v>0</v>
      </c>
      <c r="AM10" s="6">
        <v>0</v>
      </c>
      <c r="AN10" s="3">
        <f t="shared" si="12"/>
        <v>759.56521739130437</v>
      </c>
      <c r="AO10" s="3">
        <f t="shared" si="13"/>
        <v>6988</v>
      </c>
      <c r="AP10" s="6">
        <f t="shared" si="14"/>
        <v>9.1999999999999993</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27</v>
      </c>
      <c r="B11" s="15"/>
      <c r="C11" s="15"/>
      <c r="D11" s="3">
        <f t="shared" si="0"/>
        <v>2610</v>
      </c>
      <c r="E11" s="3">
        <v>2610</v>
      </c>
      <c r="F11" s="6">
        <v>1</v>
      </c>
      <c r="G11" s="3" t="e">
        <f t="shared" si="1"/>
        <v>#DIV/0!</v>
      </c>
      <c r="H11" s="3">
        <v>0</v>
      </c>
      <c r="I11" s="6">
        <v>0</v>
      </c>
      <c r="J11" s="3" t="e">
        <f t="shared" si="2"/>
        <v>#DIV/0!</v>
      </c>
      <c r="K11" s="3">
        <v>0</v>
      </c>
      <c r="L11" s="6">
        <v>0</v>
      </c>
      <c r="M11" s="3" t="e">
        <f t="shared" si="3"/>
        <v>#DIV/0!</v>
      </c>
      <c r="N11" s="3">
        <v>0</v>
      </c>
      <c r="O11" s="6">
        <v>0</v>
      </c>
      <c r="P11" s="3" t="e">
        <f t="shared" si="4"/>
        <v>#DIV/0!</v>
      </c>
      <c r="Q11" s="3">
        <v>0</v>
      </c>
      <c r="R11" s="6">
        <v>0</v>
      </c>
      <c r="S11" s="3" t="e">
        <f t="shared" si="5"/>
        <v>#DIV/0!</v>
      </c>
      <c r="T11" s="3">
        <v>0</v>
      </c>
      <c r="U11" s="6">
        <v>0</v>
      </c>
      <c r="V11" s="3" t="e">
        <f t="shared" si="6"/>
        <v>#DIV/0!</v>
      </c>
      <c r="W11" s="3">
        <v>0</v>
      </c>
      <c r="X11" s="6">
        <v>0</v>
      </c>
      <c r="Y11" s="3" t="e">
        <f t="shared" si="7"/>
        <v>#DIV/0!</v>
      </c>
      <c r="Z11" s="3">
        <v>0</v>
      </c>
      <c r="AA11" s="6">
        <v>0</v>
      </c>
      <c r="AB11" s="3" t="e">
        <f t="shared" si="8"/>
        <v>#DIV/0!</v>
      </c>
      <c r="AC11" s="3">
        <v>0</v>
      </c>
      <c r="AD11" s="6">
        <v>0</v>
      </c>
      <c r="AE11" s="3" t="e">
        <f t="shared" si="9"/>
        <v>#DIV/0!</v>
      </c>
      <c r="AF11" s="3">
        <v>0</v>
      </c>
      <c r="AG11" s="6">
        <v>0</v>
      </c>
      <c r="AH11" s="3" t="e">
        <f t="shared" si="10"/>
        <v>#DIV/0!</v>
      </c>
      <c r="AI11" s="3">
        <v>0</v>
      </c>
      <c r="AJ11" s="6">
        <v>0</v>
      </c>
      <c r="AK11" s="3" t="e">
        <f t="shared" si="11"/>
        <v>#DIV/0!</v>
      </c>
      <c r="AL11" s="3">
        <v>0</v>
      </c>
      <c r="AM11" s="6">
        <v>0</v>
      </c>
      <c r="AN11" s="3">
        <f t="shared" si="12"/>
        <v>2610</v>
      </c>
      <c r="AO11" s="3">
        <f t="shared" si="13"/>
        <v>2610</v>
      </c>
      <c r="AP11" s="6">
        <f t="shared" si="14"/>
        <v>1</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28</v>
      </c>
      <c r="B12" s="15"/>
      <c r="C12" s="15"/>
      <c r="D12" s="3" t="e">
        <f>E12/F12</f>
        <v>#DIV/0!</v>
      </c>
      <c r="E12" s="3">
        <v>0</v>
      </c>
      <c r="F12" s="6">
        <v>0</v>
      </c>
      <c r="G12" s="3" t="e">
        <f>H12/I12</f>
        <v>#DIV/0!</v>
      </c>
      <c r="H12" s="3">
        <v>0</v>
      </c>
      <c r="I12" s="6">
        <v>0</v>
      </c>
      <c r="J12" s="3" t="e">
        <f>K12/L12</f>
        <v>#DIV/0!</v>
      </c>
      <c r="K12" s="3">
        <v>0</v>
      </c>
      <c r="L12" s="6">
        <v>0</v>
      </c>
      <c r="M12" s="3" t="e">
        <f>N12/O12</f>
        <v>#DIV/0!</v>
      </c>
      <c r="N12" s="3">
        <v>0</v>
      </c>
      <c r="O12" s="6">
        <v>0</v>
      </c>
      <c r="P12" s="3" t="e">
        <f>Q12/R12</f>
        <v>#DIV/0!</v>
      </c>
      <c r="Q12" s="3">
        <v>0</v>
      </c>
      <c r="R12" s="6">
        <v>0</v>
      </c>
      <c r="S12" s="3" t="e">
        <f>T12/U12</f>
        <v>#DIV/0!</v>
      </c>
      <c r="T12" s="3">
        <v>0</v>
      </c>
      <c r="U12" s="6">
        <v>0</v>
      </c>
      <c r="V12" s="3">
        <f>W12/X12</f>
        <v>2207.872340425532</v>
      </c>
      <c r="W12" s="3">
        <v>83016</v>
      </c>
      <c r="X12" s="6">
        <v>37.6</v>
      </c>
      <c r="Y12" s="3" t="e">
        <f>Z12/AA12</f>
        <v>#DIV/0!</v>
      </c>
      <c r="Z12" s="3">
        <v>0</v>
      </c>
      <c r="AA12" s="6">
        <v>0</v>
      </c>
      <c r="AB12" s="3" t="e">
        <f>AC12/AD12</f>
        <v>#DIV/0!</v>
      </c>
      <c r="AC12" s="3">
        <v>0</v>
      </c>
      <c r="AD12" s="6">
        <v>0</v>
      </c>
      <c r="AE12" s="3" t="e">
        <f>AF12/AG12</f>
        <v>#DIV/0!</v>
      </c>
      <c r="AF12" s="3">
        <v>0</v>
      </c>
      <c r="AG12" s="6">
        <v>0</v>
      </c>
      <c r="AH12" s="3" t="e">
        <f>AI12/AJ12</f>
        <v>#DIV/0!</v>
      </c>
      <c r="AI12" s="3">
        <v>0</v>
      </c>
      <c r="AJ12" s="6">
        <v>0</v>
      </c>
      <c r="AK12" s="3" t="e">
        <f>AL12/AM12</f>
        <v>#DIV/0!</v>
      </c>
      <c r="AL12" s="3">
        <v>0</v>
      </c>
      <c r="AM12" s="6">
        <v>0</v>
      </c>
      <c r="AN12" s="3">
        <f t="shared" si="12"/>
        <v>2207.872340425532</v>
      </c>
      <c r="AO12" s="3">
        <f t="shared" si="13"/>
        <v>83016</v>
      </c>
      <c r="AP12" s="6">
        <f t="shared" si="14"/>
        <v>37.6</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20</v>
      </c>
      <c r="B13" s="15"/>
      <c r="C13" s="15"/>
      <c r="D13" s="3" t="e">
        <f t="shared" ref="D13:D31" si="15">E13/F13</f>
        <v>#DIV/0!</v>
      </c>
      <c r="E13" s="3">
        <v>0</v>
      </c>
      <c r="F13" s="6">
        <v>0</v>
      </c>
      <c r="G13" s="3">
        <f t="shared" ref="G13:G31" si="16">H13/I13</f>
        <v>1354.5153546063818</v>
      </c>
      <c r="H13" s="3">
        <v>6770545</v>
      </c>
      <c r="I13" s="6">
        <v>4998.5</v>
      </c>
      <c r="J13" s="3" t="e">
        <f t="shared" ref="J13:J31" si="17">K13/L13</f>
        <v>#DIV/0!</v>
      </c>
      <c r="K13" s="3">
        <v>0</v>
      </c>
      <c r="L13" s="6">
        <v>0</v>
      </c>
      <c r="M13" s="3" t="e">
        <f t="shared" ref="M13:M31" si="18">N13/O13</f>
        <v>#DIV/0!</v>
      </c>
      <c r="N13" s="3">
        <v>0</v>
      </c>
      <c r="O13" s="6">
        <v>0</v>
      </c>
      <c r="P13" s="3" t="e">
        <f t="shared" ref="P13:P31" si="19">Q13/R13</f>
        <v>#DIV/0!</v>
      </c>
      <c r="Q13" s="3">
        <v>0</v>
      </c>
      <c r="R13" s="6">
        <v>0</v>
      </c>
      <c r="S13" s="3">
        <f t="shared" ref="S13:S31" si="20">T13/U13</f>
        <v>2206.2068965517242</v>
      </c>
      <c r="T13" s="3">
        <v>6398</v>
      </c>
      <c r="U13" s="6">
        <v>2.9</v>
      </c>
      <c r="V13" s="3" t="e">
        <f t="shared" ref="V13:V31" si="21">W13/X13</f>
        <v>#DIV/0!</v>
      </c>
      <c r="W13" s="3">
        <v>0</v>
      </c>
      <c r="X13" s="6">
        <v>0</v>
      </c>
      <c r="Y13" s="3" t="e">
        <f t="shared" ref="Y13:Y31" si="22">Z13/AA13</f>
        <v>#DIV/0!</v>
      </c>
      <c r="Z13" s="3">
        <v>0</v>
      </c>
      <c r="AA13" s="6">
        <v>0</v>
      </c>
      <c r="AB13" s="3" t="e">
        <f t="shared" ref="AB13:AB31" si="23">AC13/AD13</f>
        <v>#DIV/0!</v>
      </c>
      <c r="AC13" s="3">
        <v>0</v>
      </c>
      <c r="AD13" s="6">
        <v>0</v>
      </c>
      <c r="AE13" s="3" t="e">
        <f t="shared" ref="AE13:AE31" si="24">AF13/AG13</f>
        <v>#DIV/0!</v>
      </c>
      <c r="AF13" s="3">
        <v>0</v>
      </c>
      <c r="AG13" s="6">
        <v>0</v>
      </c>
      <c r="AH13" s="3" t="e">
        <f t="shared" ref="AH13:AH31" si="25">AI13/AJ13</f>
        <v>#DIV/0!</v>
      </c>
      <c r="AI13" s="3">
        <v>0</v>
      </c>
      <c r="AJ13" s="6">
        <v>0</v>
      </c>
      <c r="AK13" s="3" t="e">
        <f t="shared" ref="AK13:AK31" si="26">AL13/AM13</f>
        <v>#DIV/0!</v>
      </c>
      <c r="AL13" s="3">
        <v>0</v>
      </c>
      <c r="AM13" s="6">
        <v>0</v>
      </c>
      <c r="AN13" s="3">
        <f t="shared" si="12"/>
        <v>1355.0091974247212</v>
      </c>
      <c r="AO13" s="3">
        <f t="shared" si="13"/>
        <v>6776943</v>
      </c>
      <c r="AP13" s="6">
        <f t="shared" si="14"/>
        <v>5001.3999999999996</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21</v>
      </c>
      <c r="B14" s="15"/>
      <c r="C14" s="15"/>
      <c r="D14" s="3" t="e">
        <f t="shared" si="15"/>
        <v>#DIV/0!</v>
      </c>
      <c r="E14" s="3">
        <v>0</v>
      </c>
      <c r="F14" s="6">
        <v>0</v>
      </c>
      <c r="G14" s="3">
        <f t="shared" si="16"/>
        <v>1247.7187314003911</v>
      </c>
      <c r="H14" s="3">
        <v>1467442</v>
      </c>
      <c r="I14" s="6">
        <v>1176.0999999999999</v>
      </c>
      <c r="J14" s="3" t="e">
        <f t="shared" si="17"/>
        <v>#DIV/0!</v>
      </c>
      <c r="K14" s="3">
        <v>0</v>
      </c>
      <c r="L14" s="6">
        <v>0</v>
      </c>
      <c r="M14" s="3" t="e">
        <f t="shared" si="18"/>
        <v>#DIV/0!</v>
      </c>
      <c r="N14" s="3">
        <v>0</v>
      </c>
      <c r="O14" s="6">
        <v>0</v>
      </c>
      <c r="P14" s="3" t="e">
        <f t="shared" si="19"/>
        <v>#DIV/0!</v>
      </c>
      <c r="Q14" s="3">
        <v>0</v>
      </c>
      <c r="R14" s="6">
        <v>0</v>
      </c>
      <c r="S14" s="3">
        <f t="shared" si="20"/>
        <v>2027.0258620689656</v>
      </c>
      <c r="T14" s="3">
        <v>47027</v>
      </c>
      <c r="U14" s="6">
        <v>23.2</v>
      </c>
      <c r="V14" s="3" t="e">
        <f t="shared" si="21"/>
        <v>#DIV/0!</v>
      </c>
      <c r="W14" s="3">
        <v>0</v>
      </c>
      <c r="X14" s="6">
        <v>0</v>
      </c>
      <c r="Y14" s="3">
        <f t="shared" si="22"/>
        <v>1703.9475532095209</v>
      </c>
      <c r="Z14" s="3">
        <v>7037133</v>
      </c>
      <c r="AA14" s="6">
        <v>4129.8999999999996</v>
      </c>
      <c r="AB14" s="3" t="e">
        <f t="shared" si="23"/>
        <v>#DIV/0!</v>
      </c>
      <c r="AC14" s="3">
        <v>0</v>
      </c>
      <c r="AD14" s="6">
        <v>0</v>
      </c>
      <c r="AE14" s="3" t="e">
        <f t="shared" si="24"/>
        <v>#DIV/0!</v>
      </c>
      <c r="AF14" s="3">
        <v>0</v>
      </c>
      <c r="AG14" s="6">
        <v>0</v>
      </c>
      <c r="AH14" s="3" t="e">
        <f t="shared" si="25"/>
        <v>#DIV/0!</v>
      </c>
      <c r="AI14" s="3">
        <v>0</v>
      </c>
      <c r="AJ14" s="6">
        <v>0</v>
      </c>
      <c r="AK14" s="3" t="e">
        <f t="shared" si="26"/>
        <v>#DIV/0!</v>
      </c>
      <c r="AL14" s="3">
        <v>0</v>
      </c>
      <c r="AM14" s="6">
        <v>0</v>
      </c>
      <c r="AN14" s="3">
        <f t="shared" si="12"/>
        <v>1604.6689934699393</v>
      </c>
      <c r="AO14" s="3">
        <f t="shared" si="13"/>
        <v>8551602</v>
      </c>
      <c r="AP14" s="6">
        <f t="shared" si="14"/>
        <v>5329.2</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48</v>
      </c>
      <c r="B15" s="15"/>
      <c r="C15" s="15"/>
      <c r="D15" s="3" t="e">
        <f t="shared" si="15"/>
        <v>#DIV/0!</v>
      </c>
      <c r="E15" s="3">
        <v>0</v>
      </c>
      <c r="F15" s="6">
        <v>0</v>
      </c>
      <c r="G15" s="3" t="e">
        <f t="shared" si="16"/>
        <v>#DIV/0!</v>
      </c>
      <c r="H15" s="3">
        <v>0</v>
      </c>
      <c r="I15" s="6">
        <v>0</v>
      </c>
      <c r="J15" s="3" t="e">
        <f t="shared" si="17"/>
        <v>#DIV/0!</v>
      </c>
      <c r="K15" s="3">
        <v>0</v>
      </c>
      <c r="L15" s="6">
        <v>0</v>
      </c>
      <c r="M15" s="3" t="e">
        <f t="shared" si="18"/>
        <v>#DIV/0!</v>
      </c>
      <c r="N15" s="3">
        <v>0</v>
      </c>
      <c r="O15" s="6">
        <v>0</v>
      </c>
      <c r="P15" s="3" t="e">
        <f t="shared" si="19"/>
        <v>#DIV/0!</v>
      </c>
      <c r="Q15" s="3">
        <v>0</v>
      </c>
      <c r="R15" s="6">
        <v>0</v>
      </c>
      <c r="S15" s="3" t="e">
        <f t="shared" si="20"/>
        <v>#DIV/0!</v>
      </c>
      <c r="T15" s="3">
        <v>0</v>
      </c>
      <c r="U15" s="6">
        <v>0</v>
      </c>
      <c r="V15" s="3">
        <f t="shared" si="21"/>
        <v>760</v>
      </c>
      <c r="W15" s="3">
        <v>2508</v>
      </c>
      <c r="X15" s="6">
        <v>3.3</v>
      </c>
      <c r="Y15" s="3" t="e">
        <f t="shared" si="22"/>
        <v>#DIV/0!</v>
      </c>
      <c r="Z15" s="3">
        <v>0</v>
      </c>
      <c r="AA15" s="6">
        <v>0</v>
      </c>
      <c r="AB15" s="3" t="e">
        <f t="shared" si="23"/>
        <v>#DIV/0!</v>
      </c>
      <c r="AC15" s="3">
        <v>0</v>
      </c>
      <c r="AD15" s="6">
        <v>0</v>
      </c>
      <c r="AE15" s="3" t="e">
        <f t="shared" si="24"/>
        <v>#DIV/0!</v>
      </c>
      <c r="AF15" s="3">
        <v>0</v>
      </c>
      <c r="AG15" s="6">
        <v>0</v>
      </c>
      <c r="AH15" s="3" t="e">
        <f t="shared" si="25"/>
        <v>#DIV/0!</v>
      </c>
      <c r="AI15" s="3">
        <v>0</v>
      </c>
      <c r="AJ15" s="6">
        <v>0</v>
      </c>
      <c r="AK15" s="3" t="e">
        <f t="shared" si="26"/>
        <v>#DIV/0!</v>
      </c>
      <c r="AL15" s="3">
        <v>0</v>
      </c>
      <c r="AM15" s="6">
        <v>0</v>
      </c>
      <c r="AN15" s="3">
        <f t="shared" si="12"/>
        <v>760</v>
      </c>
      <c r="AO15" s="3">
        <f t="shared" si="13"/>
        <v>2508</v>
      </c>
      <c r="AP15" s="6">
        <f t="shared" si="14"/>
        <v>3.3</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29</v>
      </c>
      <c r="B16" s="15"/>
      <c r="C16" s="15"/>
      <c r="D16" s="3" t="e">
        <f t="shared" si="15"/>
        <v>#DIV/0!</v>
      </c>
      <c r="E16" s="3">
        <v>0</v>
      </c>
      <c r="F16" s="6">
        <v>0</v>
      </c>
      <c r="G16" s="3" t="e">
        <f t="shared" si="16"/>
        <v>#DIV/0!</v>
      </c>
      <c r="H16" s="3">
        <v>0</v>
      </c>
      <c r="I16" s="6">
        <v>0</v>
      </c>
      <c r="J16" s="3" t="e">
        <f t="shared" si="17"/>
        <v>#DIV/0!</v>
      </c>
      <c r="K16" s="3">
        <v>0</v>
      </c>
      <c r="L16" s="6">
        <v>0</v>
      </c>
      <c r="M16" s="3" t="e">
        <f t="shared" si="18"/>
        <v>#DIV/0!</v>
      </c>
      <c r="N16" s="3">
        <v>0</v>
      </c>
      <c r="O16" s="6">
        <v>0</v>
      </c>
      <c r="P16" s="3" t="e">
        <f t="shared" si="19"/>
        <v>#DIV/0!</v>
      </c>
      <c r="Q16" s="3">
        <v>0</v>
      </c>
      <c r="R16" s="6">
        <v>0</v>
      </c>
      <c r="S16" s="3">
        <f t="shared" si="20"/>
        <v>1935.5603448275863</v>
      </c>
      <c r="T16" s="3">
        <v>44905</v>
      </c>
      <c r="U16" s="6">
        <v>23.2</v>
      </c>
      <c r="V16" s="3" t="e">
        <f t="shared" si="21"/>
        <v>#DIV/0!</v>
      </c>
      <c r="W16" s="3">
        <v>0</v>
      </c>
      <c r="X16" s="6">
        <v>0</v>
      </c>
      <c r="Y16" s="3" t="e">
        <f t="shared" si="22"/>
        <v>#DIV/0!</v>
      </c>
      <c r="Z16" s="3">
        <v>0</v>
      </c>
      <c r="AA16" s="6">
        <v>0</v>
      </c>
      <c r="AB16" s="3" t="e">
        <f t="shared" si="23"/>
        <v>#DIV/0!</v>
      </c>
      <c r="AC16" s="3">
        <v>0</v>
      </c>
      <c r="AD16" s="6">
        <v>0</v>
      </c>
      <c r="AE16" s="3" t="e">
        <f t="shared" si="24"/>
        <v>#DIV/0!</v>
      </c>
      <c r="AF16" s="3">
        <v>0</v>
      </c>
      <c r="AG16" s="6">
        <v>0</v>
      </c>
      <c r="AH16" s="3" t="e">
        <f t="shared" si="25"/>
        <v>#DIV/0!</v>
      </c>
      <c r="AI16" s="3">
        <v>0</v>
      </c>
      <c r="AJ16" s="6">
        <v>0</v>
      </c>
      <c r="AK16" s="3" t="e">
        <f t="shared" si="26"/>
        <v>#DIV/0!</v>
      </c>
      <c r="AL16" s="3">
        <v>0</v>
      </c>
      <c r="AM16" s="6">
        <v>0</v>
      </c>
      <c r="AN16" s="3">
        <f t="shared" si="12"/>
        <v>1935.5603448275863</v>
      </c>
      <c r="AO16" s="3">
        <f t="shared" si="13"/>
        <v>44905</v>
      </c>
      <c r="AP16" s="6">
        <f t="shared" si="14"/>
        <v>23.2</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49</v>
      </c>
      <c r="B17" s="15"/>
      <c r="C17" s="15"/>
      <c r="D17" s="3" t="e">
        <f t="shared" si="15"/>
        <v>#DIV/0!</v>
      </c>
      <c r="E17" s="3">
        <v>0</v>
      </c>
      <c r="F17" s="6">
        <v>0</v>
      </c>
      <c r="G17" s="3" t="e">
        <f t="shared" si="16"/>
        <v>#DIV/0!</v>
      </c>
      <c r="H17" s="3">
        <v>0</v>
      </c>
      <c r="I17" s="6">
        <v>0</v>
      </c>
      <c r="J17" s="3" t="e">
        <f t="shared" si="17"/>
        <v>#DIV/0!</v>
      </c>
      <c r="K17" s="3">
        <v>0</v>
      </c>
      <c r="L17" s="6">
        <v>0</v>
      </c>
      <c r="M17" s="3" t="e">
        <f t="shared" si="18"/>
        <v>#DIV/0!</v>
      </c>
      <c r="N17" s="3">
        <v>0</v>
      </c>
      <c r="O17" s="6">
        <v>0</v>
      </c>
      <c r="P17" s="3" t="e">
        <f t="shared" si="19"/>
        <v>#DIV/0!</v>
      </c>
      <c r="Q17" s="3">
        <v>0</v>
      </c>
      <c r="R17" s="6">
        <v>0</v>
      </c>
      <c r="S17" s="3" t="e">
        <f t="shared" si="20"/>
        <v>#DIV/0!</v>
      </c>
      <c r="T17" s="3">
        <v>0</v>
      </c>
      <c r="U17" s="6">
        <v>0</v>
      </c>
      <c r="V17" s="3" t="e">
        <f t="shared" si="21"/>
        <v>#DIV/0!</v>
      </c>
      <c r="W17" s="3">
        <v>0</v>
      </c>
      <c r="X17" s="6">
        <v>0</v>
      </c>
      <c r="Y17" s="3" t="e">
        <f t="shared" si="22"/>
        <v>#DIV/0!</v>
      </c>
      <c r="Z17" s="3">
        <v>0</v>
      </c>
      <c r="AA17" s="6">
        <v>0</v>
      </c>
      <c r="AB17" s="3">
        <f t="shared" si="23"/>
        <v>4387.5</v>
      </c>
      <c r="AC17" s="3">
        <v>8775</v>
      </c>
      <c r="AD17" s="6">
        <v>2</v>
      </c>
      <c r="AE17" s="3" t="e">
        <f t="shared" si="24"/>
        <v>#DIV/0!</v>
      </c>
      <c r="AF17" s="3">
        <v>0</v>
      </c>
      <c r="AG17" s="6">
        <v>0</v>
      </c>
      <c r="AH17" s="3">
        <f t="shared" si="25"/>
        <v>759.96226415094338</v>
      </c>
      <c r="AI17" s="3">
        <v>20139</v>
      </c>
      <c r="AJ17" s="6">
        <v>26.5</v>
      </c>
      <c r="AK17" s="3" t="e">
        <f t="shared" si="26"/>
        <v>#DIV/0!</v>
      </c>
      <c r="AL17" s="3">
        <v>0</v>
      </c>
      <c r="AM17" s="6">
        <v>0</v>
      </c>
      <c r="AN17" s="3">
        <f t="shared" si="12"/>
        <v>1014.5263157894736</v>
      </c>
      <c r="AO17" s="3">
        <f t="shared" si="13"/>
        <v>28914</v>
      </c>
      <c r="AP17" s="6">
        <f t="shared" si="14"/>
        <v>28.5</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50</v>
      </c>
      <c r="B18" s="15"/>
      <c r="C18" s="15"/>
      <c r="D18" s="3" t="e">
        <f t="shared" si="15"/>
        <v>#DIV/0!</v>
      </c>
      <c r="E18" s="3">
        <v>0</v>
      </c>
      <c r="F18" s="6">
        <v>0</v>
      </c>
      <c r="G18" s="3" t="e">
        <f t="shared" si="16"/>
        <v>#DIV/0!</v>
      </c>
      <c r="H18" s="3">
        <v>0</v>
      </c>
      <c r="I18" s="6">
        <v>0</v>
      </c>
      <c r="J18" s="3" t="e">
        <f t="shared" si="17"/>
        <v>#DIV/0!</v>
      </c>
      <c r="K18" s="3">
        <v>0</v>
      </c>
      <c r="L18" s="6">
        <v>0</v>
      </c>
      <c r="M18" s="3">
        <f t="shared" si="18"/>
        <v>754.28571428571433</v>
      </c>
      <c r="N18" s="3">
        <v>4752</v>
      </c>
      <c r="O18" s="6">
        <v>6.3</v>
      </c>
      <c r="P18" s="3">
        <f t="shared" si="19"/>
        <v>2168.8000000000002</v>
      </c>
      <c r="Q18" s="3">
        <v>5422</v>
      </c>
      <c r="R18" s="6">
        <v>2.5</v>
      </c>
      <c r="S18" s="3" t="e">
        <f t="shared" si="20"/>
        <v>#DIV/0!</v>
      </c>
      <c r="T18" s="3">
        <v>0</v>
      </c>
      <c r="U18" s="6">
        <v>0</v>
      </c>
      <c r="V18" s="3" t="e">
        <f t="shared" si="21"/>
        <v>#DIV/0!</v>
      </c>
      <c r="W18" s="3">
        <v>0</v>
      </c>
      <c r="X18" s="6">
        <v>0</v>
      </c>
      <c r="Y18" s="3" t="e">
        <f t="shared" si="22"/>
        <v>#DIV/0!</v>
      </c>
      <c r="Z18" s="3">
        <v>0</v>
      </c>
      <c r="AA18" s="6">
        <v>0</v>
      </c>
      <c r="AB18" s="3" t="e">
        <f t="shared" si="23"/>
        <v>#DIV/0!</v>
      </c>
      <c r="AC18" s="3">
        <v>0</v>
      </c>
      <c r="AD18" s="6">
        <v>0</v>
      </c>
      <c r="AE18" s="3" t="e">
        <f t="shared" si="24"/>
        <v>#DIV/0!</v>
      </c>
      <c r="AF18" s="3">
        <v>0</v>
      </c>
      <c r="AG18" s="6">
        <v>0</v>
      </c>
      <c r="AH18" s="3" t="e">
        <f t="shared" si="25"/>
        <v>#DIV/0!</v>
      </c>
      <c r="AI18" s="3">
        <v>0</v>
      </c>
      <c r="AJ18" s="6">
        <v>0</v>
      </c>
      <c r="AK18" s="3" t="e">
        <f t="shared" si="26"/>
        <v>#DIV/0!</v>
      </c>
      <c r="AL18" s="3">
        <v>0</v>
      </c>
      <c r="AM18" s="6">
        <v>0</v>
      </c>
      <c r="AN18" s="3">
        <f t="shared" si="12"/>
        <v>1156.1363636363635</v>
      </c>
      <c r="AO18" s="3">
        <f t="shared" si="13"/>
        <v>10174</v>
      </c>
      <c r="AP18" s="6">
        <f t="shared" si="14"/>
        <v>8.8000000000000007</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30</v>
      </c>
      <c r="B19" s="15"/>
      <c r="C19" s="15"/>
      <c r="D19" s="3" t="e">
        <f t="shared" si="15"/>
        <v>#DIV/0!</v>
      </c>
      <c r="E19" s="3">
        <v>0</v>
      </c>
      <c r="F19" s="6">
        <v>0</v>
      </c>
      <c r="G19" s="3" t="e">
        <f t="shared" si="16"/>
        <v>#DIV/0!</v>
      </c>
      <c r="H19" s="3">
        <v>0</v>
      </c>
      <c r="I19" s="6">
        <v>0</v>
      </c>
      <c r="J19" s="3" t="e">
        <f t="shared" si="17"/>
        <v>#DIV/0!</v>
      </c>
      <c r="K19" s="3">
        <v>0</v>
      </c>
      <c r="L19" s="6">
        <v>0</v>
      </c>
      <c r="M19" s="3" t="e">
        <f t="shared" si="18"/>
        <v>#DIV/0!</v>
      </c>
      <c r="N19" s="3">
        <v>0</v>
      </c>
      <c r="O19" s="6">
        <v>0</v>
      </c>
      <c r="P19" s="3" t="e">
        <f t="shared" si="19"/>
        <v>#DIV/0!</v>
      </c>
      <c r="Q19" s="3">
        <v>0</v>
      </c>
      <c r="R19" s="6">
        <v>0</v>
      </c>
      <c r="S19" s="3" t="e">
        <f t="shared" si="20"/>
        <v>#DIV/0!</v>
      </c>
      <c r="T19" s="3">
        <v>0</v>
      </c>
      <c r="U19" s="6">
        <v>0</v>
      </c>
      <c r="V19" s="3">
        <f t="shared" si="21"/>
        <v>2204.5855379188711</v>
      </c>
      <c r="W19" s="3">
        <v>500000</v>
      </c>
      <c r="X19" s="6">
        <v>226.8</v>
      </c>
      <c r="Y19" s="3" t="e">
        <f t="shared" si="22"/>
        <v>#DIV/0!</v>
      </c>
      <c r="Z19" s="3">
        <v>0</v>
      </c>
      <c r="AA19" s="6">
        <v>0</v>
      </c>
      <c r="AB19" s="3" t="e">
        <f t="shared" si="23"/>
        <v>#DIV/0!</v>
      </c>
      <c r="AC19" s="3">
        <v>0</v>
      </c>
      <c r="AD19" s="6">
        <v>0</v>
      </c>
      <c r="AE19" s="3" t="e">
        <f t="shared" si="24"/>
        <v>#DIV/0!</v>
      </c>
      <c r="AF19" s="3">
        <v>0</v>
      </c>
      <c r="AG19" s="6">
        <v>0</v>
      </c>
      <c r="AH19" s="3" t="e">
        <f t="shared" si="25"/>
        <v>#DIV/0!</v>
      </c>
      <c r="AI19" s="3">
        <v>0</v>
      </c>
      <c r="AJ19" s="6">
        <v>0</v>
      </c>
      <c r="AK19" s="3" t="e">
        <f t="shared" si="26"/>
        <v>#DIV/0!</v>
      </c>
      <c r="AL19" s="3">
        <v>0</v>
      </c>
      <c r="AM19" s="6">
        <v>0</v>
      </c>
      <c r="AN19" s="3">
        <f t="shared" si="12"/>
        <v>2204.5855379188711</v>
      </c>
      <c r="AO19" s="3">
        <f t="shared" si="13"/>
        <v>500000</v>
      </c>
      <c r="AP19" s="6">
        <f t="shared" si="14"/>
        <v>226.8</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23</v>
      </c>
      <c r="B20" s="15"/>
      <c r="C20" s="15"/>
      <c r="D20" s="3" t="e">
        <f t="shared" si="15"/>
        <v>#DIV/0!</v>
      </c>
      <c r="E20" s="3">
        <v>0</v>
      </c>
      <c r="F20" s="6">
        <v>0</v>
      </c>
      <c r="G20" s="3" t="e">
        <f t="shared" si="16"/>
        <v>#DIV/0!</v>
      </c>
      <c r="H20" s="3">
        <v>0</v>
      </c>
      <c r="I20" s="6">
        <v>0</v>
      </c>
      <c r="J20" s="3" t="e">
        <f t="shared" si="17"/>
        <v>#DIV/0!</v>
      </c>
      <c r="K20" s="3">
        <v>0</v>
      </c>
      <c r="L20" s="6">
        <v>0</v>
      </c>
      <c r="M20" s="3" t="e">
        <f t="shared" si="18"/>
        <v>#DIV/0!</v>
      </c>
      <c r="N20" s="3">
        <v>0</v>
      </c>
      <c r="O20" s="6">
        <v>0</v>
      </c>
      <c r="P20" s="3">
        <f t="shared" si="19"/>
        <v>1098.0930471808647</v>
      </c>
      <c r="Q20" s="3">
        <v>3842557</v>
      </c>
      <c r="R20" s="6">
        <v>3499.3</v>
      </c>
      <c r="S20" s="3">
        <f t="shared" si="20"/>
        <v>1098.4558235226884</v>
      </c>
      <c r="T20" s="3">
        <v>3844156</v>
      </c>
      <c r="U20" s="6">
        <v>3499.6</v>
      </c>
      <c r="V20" s="3">
        <f t="shared" si="21"/>
        <v>1019.5757142857143</v>
      </c>
      <c r="W20" s="3">
        <v>3568515</v>
      </c>
      <c r="X20" s="6">
        <v>3500</v>
      </c>
      <c r="Y20" s="3" t="e">
        <f t="shared" si="22"/>
        <v>#DIV/0!</v>
      </c>
      <c r="Z20" s="3">
        <v>0</v>
      </c>
      <c r="AA20" s="6">
        <v>0</v>
      </c>
      <c r="AB20" s="3" t="e">
        <f t="shared" si="23"/>
        <v>#DIV/0!</v>
      </c>
      <c r="AC20" s="3">
        <v>0</v>
      </c>
      <c r="AD20" s="6">
        <v>0</v>
      </c>
      <c r="AE20" s="3" t="e">
        <f t="shared" si="24"/>
        <v>#DIV/0!</v>
      </c>
      <c r="AF20" s="3">
        <v>0</v>
      </c>
      <c r="AG20" s="6">
        <v>0</v>
      </c>
      <c r="AH20" s="3" t="e">
        <f t="shared" si="25"/>
        <v>#DIV/0!</v>
      </c>
      <c r="AI20" s="3">
        <v>0</v>
      </c>
      <c r="AJ20" s="6">
        <v>0</v>
      </c>
      <c r="AK20" s="3" t="e">
        <f t="shared" si="26"/>
        <v>#DIV/0!</v>
      </c>
      <c r="AL20" s="3">
        <v>0</v>
      </c>
      <c r="AM20" s="6">
        <v>0</v>
      </c>
      <c r="AN20" s="3">
        <f t="shared" si="12"/>
        <v>1072.038785015573</v>
      </c>
      <c r="AO20" s="3">
        <f t="shared" si="13"/>
        <v>11255228</v>
      </c>
      <c r="AP20" s="6">
        <f t="shared" si="14"/>
        <v>10498.9</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22</v>
      </c>
      <c r="B21" s="15"/>
      <c r="C21" s="15"/>
      <c r="D21" s="3" t="e">
        <f t="shared" si="15"/>
        <v>#DIV/0!</v>
      </c>
      <c r="E21" s="3">
        <v>0</v>
      </c>
      <c r="F21" s="6">
        <v>0</v>
      </c>
      <c r="G21" s="3" t="e">
        <f t="shared" si="16"/>
        <v>#DIV/0!</v>
      </c>
      <c r="H21" s="3">
        <v>0</v>
      </c>
      <c r="I21" s="6">
        <v>0</v>
      </c>
      <c r="J21" s="3">
        <f t="shared" si="17"/>
        <v>759.70272502064415</v>
      </c>
      <c r="K21" s="3">
        <v>92000</v>
      </c>
      <c r="L21" s="6">
        <v>121.1</v>
      </c>
      <c r="M21" s="3" t="e">
        <f t="shared" si="18"/>
        <v>#DIV/0!</v>
      </c>
      <c r="N21" s="3">
        <v>0</v>
      </c>
      <c r="O21" s="6">
        <v>0</v>
      </c>
      <c r="P21" s="3" t="e">
        <f t="shared" si="19"/>
        <v>#DIV/0!</v>
      </c>
      <c r="Q21" s="3">
        <v>0</v>
      </c>
      <c r="R21" s="6">
        <v>0</v>
      </c>
      <c r="S21" s="3" t="e">
        <f t="shared" si="20"/>
        <v>#DIV/0!</v>
      </c>
      <c r="T21" s="3">
        <v>0</v>
      </c>
      <c r="U21" s="6">
        <v>0</v>
      </c>
      <c r="V21" s="3" t="e">
        <f t="shared" si="21"/>
        <v>#DIV/0!</v>
      </c>
      <c r="W21" s="3">
        <v>0</v>
      </c>
      <c r="X21" s="6">
        <v>0</v>
      </c>
      <c r="Y21" s="3" t="e">
        <f t="shared" si="22"/>
        <v>#DIV/0!</v>
      </c>
      <c r="Z21" s="3">
        <v>0</v>
      </c>
      <c r="AA21" s="6">
        <v>0</v>
      </c>
      <c r="AB21" s="3" t="e">
        <f t="shared" si="23"/>
        <v>#DIV/0!</v>
      </c>
      <c r="AC21" s="3">
        <v>0</v>
      </c>
      <c r="AD21" s="6">
        <v>0</v>
      </c>
      <c r="AE21" s="3" t="e">
        <f t="shared" si="24"/>
        <v>#DIV/0!</v>
      </c>
      <c r="AF21" s="3">
        <v>0</v>
      </c>
      <c r="AG21" s="6">
        <v>0</v>
      </c>
      <c r="AH21" s="3" t="e">
        <f t="shared" si="25"/>
        <v>#DIV/0!</v>
      </c>
      <c r="AI21" s="3">
        <v>0</v>
      </c>
      <c r="AJ21" s="6">
        <v>0</v>
      </c>
      <c r="AK21" s="3" t="e">
        <f t="shared" si="26"/>
        <v>#DIV/0!</v>
      </c>
      <c r="AL21" s="3">
        <v>0</v>
      </c>
      <c r="AM21" s="6">
        <v>0</v>
      </c>
      <c r="AN21" s="3">
        <f t="shared" si="12"/>
        <v>759.70272502064415</v>
      </c>
      <c r="AO21" s="3">
        <f t="shared" si="13"/>
        <v>92000</v>
      </c>
      <c r="AP21" s="6">
        <f t="shared" si="14"/>
        <v>121.1</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51</v>
      </c>
      <c r="B22" s="15"/>
      <c r="C22" s="15"/>
      <c r="D22" s="3">
        <f t="shared" si="15"/>
        <v>2580</v>
      </c>
      <c r="E22" s="3">
        <v>2580</v>
      </c>
      <c r="F22" s="6">
        <v>1</v>
      </c>
      <c r="G22" s="3" t="e">
        <f t="shared" si="16"/>
        <v>#DIV/0!</v>
      </c>
      <c r="H22" s="3">
        <v>0</v>
      </c>
      <c r="I22" s="6">
        <v>0</v>
      </c>
      <c r="J22" s="3" t="e">
        <f t="shared" si="17"/>
        <v>#DIV/0!</v>
      </c>
      <c r="K22" s="3">
        <v>0</v>
      </c>
      <c r="L22" s="6">
        <v>0</v>
      </c>
      <c r="M22" s="3" t="e">
        <f t="shared" si="18"/>
        <v>#DIV/0!</v>
      </c>
      <c r="N22" s="3">
        <v>0</v>
      </c>
      <c r="O22" s="6">
        <v>0</v>
      </c>
      <c r="P22" s="3" t="e">
        <f t="shared" si="19"/>
        <v>#DIV/0!</v>
      </c>
      <c r="Q22" s="3">
        <v>0</v>
      </c>
      <c r="R22" s="6">
        <v>0</v>
      </c>
      <c r="S22" s="3" t="e">
        <f t="shared" si="20"/>
        <v>#DIV/0!</v>
      </c>
      <c r="T22" s="3">
        <v>0</v>
      </c>
      <c r="U22" s="6">
        <v>0</v>
      </c>
      <c r="V22" s="3" t="e">
        <f t="shared" si="21"/>
        <v>#DIV/0!</v>
      </c>
      <c r="W22" s="3">
        <v>0</v>
      </c>
      <c r="X22" s="6">
        <v>0</v>
      </c>
      <c r="Y22" s="3">
        <f t="shared" si="22"/>
        <v>2422</v>
      </c>
      <c r="Z22" s="3">
        <v>7266</v>
      </c>
      <c r="AA22" s="6">
        <v>3</v>
      </c>
      <c r="AB22" s="3" t="e">
        <f t="shared" si="23"/>
        <v>#DIV/0!</v>
      </c>
      <c r="AC22" s="3">
        <v>0</v>
      </c>
      <c r="AD22" s="6">
        <v>0</v>
      </c>
      <c r="AE22" s="3" t="e">
        <f t="shared" si="24"/>
        <v>#DIV/0!</v>
      </c>
      <c r="AF22" s="3">
        <v>0</v>
      </c>
      <c r="AG22" s="6">
        <v>0</v>
      </c>
      <c r="AH22" s="3">
        <f t="shared" si="25"/>
        <v>762.37623762376245</v>
      </c>
      <c r="AI22" s="3">
        <v>7700</v>
      </c>
      <c r="AJ22" s="6">
        <v>10.1</v>
      </c>
      <c r="AK22" s="3" t="e">
        <f t="shared" si="26"/>
        <v>#DIV/0!</v>
      </c>
      <c r="AL22" s="3">
        <v>0</v>
      </c>
      <c r="AM22" s="6">
        <v>0</v>
      </c>
      <c r="AN22" s="3">
        <f t="shared" si="12"/>
        <v>1244.3971631205675</v>
      </c>
      <c r="AO22" s="3">
        <f t="shared" si="13"/>
        <v>17546</v>
      </c>
      <c r="AP22" s="6">
        <f t="shared" si="14"/>
        <v>14.1</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31</v>
      </c>
      <c r="B23" s="15"/>
      <c r="C23" s="15"/>
      <c r="D23" s="3" t="e">
        <f t="shared" si="15"/>
        <v>#DIV/0!</v>
      </c>
      <c r="E23" s="3">
        <v>0</v>
      </c>
      <c r="F23" s="6">
        <v>0</v>
      </c>
      <c r="G23" s="3">
        <f t="shared" si="16"/>
        <v>759.85964912280701</v>
      </c>
      <c r="H23" s="3">
        <v>43312</v>
      </c>
      <c r="I23" s="6">
        <v>57</v>
      </c>
      <c r="J23" s="3" t="e">
        <f t="shared" si="17"/>
        <v>#DIV/0!</v>
      </c>
      <c r="K23" s="3">
        <v>0</v>
      </c>
      <c r="L23" s="6">
        <v>0</v>
      </c>
      <c r="M23" s="3" t="e">
        <f t="shared" si="18"/>
        <v>#DIV/0!</v>
      </c>
      <c r="N23" s="3">
        <v>0</v>
      </c>
      <c r="O23" s="6">
        <v>0</v>
      </c>
      <c r="P23" s="3" t="e">
        <f t="shared" si="19"/>
        <v>#DIV/0!</v>
      </c>
      <c r="Q23" s="3">
        <v>0</v>
      </c>
      <c r="R23" s="6">
        <v>0</v>
      </c>
      <c r="S23" s="3" t="e">
        <f t="shared" si="20"/>
        <v>#DIV/0!</v>
      </c>
      <c r="T23" s="3">
        <v>0</v>
      </c>
      <c r="U23" s="6">
        <v>0</v>
      </c>
      <c r="V23" s="3" t="e">
        <f t="shared" si="21"/>
        <v>#DIV/0!</v>
      </c>
      <c r="W23" s="3">
        <v>0</v>
      </c>
      <c r="X23" s="6">
        <v>0</v>
      </c>
      <c r="Y23" s="3" t="e">
        <f t="shared" si="22"/>
        <v>#DIV/0!</v>
      </c>
      <c r="Z23" s="3">
        <v>0</v>
      </c>
      <c r="AA23" s="6">
        <v>0</v>
      </c>
      <c r="AB23" s="3" t="e">
        <f t="shared" si="23"/>
        <v>#DIV/0!</v>
      </c>
      <c r="AC23" s="3">
        <v>0</v>
      </c>
      <c r="AD23" s="6">
        <v>0</v>
      </c>
      <c r="AE23" s="3" t="e">
        <f t="shared" si="24"/>
        <v>#DIV/0!</v>
      </c>
      <c r="AF23" s="3">
        <v>0</v>
      </c>
      <c r="AG23" s="6">
        <v>0</v>
      </c>
      <c r="AH23" s="3" t="e">
        <f t="shared" si="25"/>
        <v>#DIV/0!</v>
      </c>
      <c r="AI23" s="3">
        <v>0</v>
      </c>
      <c r="AJ23" s="6">
        <v>0</v>
      </c>
      <c r="AK23" s="3" t="e">
        <f t="shared" si="26"/>
        <v>#DIV/0!</v>
      </c>
      <c r="AL23" s="3">
        <v>0</v>
      </c>
      <c r="AM23" s="6">
        <v>0</v>
      </c>
      <c r="AN23" s="3">
        <f t="shared" si="12"/>
        <v>759.85964912280701</v>
      </c>
      <c r="AO23" s="3">
        <f t="shared" si="13"/>
        <v>43312</v>
      </c>
      <c r="AP23" s="6">
        <f t="shared" si="14"/>
        <v>57</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52</v>
      </c>
      <c r="B24" s="15"/>
      <c r="C24" s="15"/>
      <c r="D24" s="3" t="e">
        <f t="shared" si="15"/>
        <v>#DIV/0!</v>
      </c>
      <c r="E24" s="3">
        <v>0</v>
      </c>
      <c r="F24" s="6">
        <v>0</v>
      </c>
      <c r="G24" s="3" t="e">
        <f t="shared" si="16"/>
        <v>#DIV/0!</v>
      </c>
      <c r="H24" s="3">
        <v>0</v>
      </c>
      <c r="I24" s="6">
        <v>0</v>
      </c>
      <c r="J24" s="3" t="e">
        <f t="shared" si="17"/>
        <v>#DIV/0!</v>
      </c>
      <c r="K24" s="3">
        <v>0</v>
      </c>
      <c r="L24" s="6">
        <v>0</v>
      </c>
      <c r="M24" s="3" t="e">
        <f t="shared" si="18"/>
        <v>#DIV/0!</v>
      </c>
      <c r="N24" s="3">
        <v>0</v>
      </c>
      <c r="O24" s="6">
        <v>0</v>
      </c>
      <c r="P24" s="3">
        <f t="shared" si="19"/>
        <v>2187.7049180327872</v>
      </c>
      <c r="Q24" s="3">
        <v>13345</v>
      </c>
      <c r="R24" s="6">
        <v>6.1</v>
      </c>
      <c r="S24" s="3" t="e">
        <f t="shared" si="20"/>
        <v>#DIV/0!</v>
      </c>
      <c r="T24" s="3">
        <v>0</v>
      </c>
      <c r="U24" s="6">
        <v>0</v>
      </c>
      <c r="V24" s="3" t="e">
        <f t="shared" si="21"/>
        <v>#DIV/0!</v>
      </c>
      <c r="W24" s="3">
        <v>0</v>
      </c>
      <c r="X24" s="6">
        <v>0</v>
      </c>
      <c r="Y24" s="3" t="e">
        <f t="shared" si="22"/>
        <v>#DIV/0!</v>
      </c>
      <c r="Z24" s="3">
        <v>0</v>
      </c>
      <c r="AA24" s="6">
        <v>0</v>
      </c>
      <c r="AB24" s="3" t="e">
        <f t="shared" si="23"/>
        <v>#DIV/0!</v>
      </c>
      <c r="AC24" s="3">
        <v>0</v>
      </c>
      <c r="AD24" s="6">
        <v>0</v>
      </c>
      <c r="AE24" s="3" t="e">
        <f t="shared" si="24"/>
        <v>#DIV/0!</v>
      </c>
      <c r="AF24" s="3">
        <v>0</v>
      </c>
      <c r="AG24" s="6">
        <v>0</v>
      </c>
      <c r="AH24" s="3">
        <f t="shared" si="25"/>
        <v>1403.0088495575221</v>
      </c>
      <c r="AI24" s="3">
        <v>15854</v>
      </c>
      <c r="AJ24" s="6">
        <v>11.3</v>
      </c>
      <c r="AK24" s="3" t="e">
        <f t="shared" si="26"/>
        <v>#DIV/0!</v>
      </c>
      <c r="AL24" s="3">
        <v>0</v>
      </c>
      <c r="AM24" s="6">
        <v>0</v>
      </c>
      <c r="AN24" s="3">
        <f t="shared" si="12"/>
        <v>1678.1034482758621</v>
      </c>
      <c r="AO24" s="3">
        <f t="shared" si="13"/>
        <v>29199</v>
      </c>
      <c r="AP24" s="6">
        <f t="shared" si="14"/>
        <v>17.399999999999999</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32</v>
      </c>
      <c r="B25" s="15"/>
      <c r="C25" s="15"/>
      <c r="D25" s="3" t="e">
        <f t="shared" si="15"/>
        <v>#DIV/0!</v>
      </c>
      <c r="E25" s="3">
        <v>0</v>
      </c>
      <c r="F25" s="6">
        <v>0</v>
      </c>
      <c r="G25" s="3" t="e">
        <f t="shared" si="16"/>
        <v>#DIV/0!</v>
      </c>
      <c r="H25" s="3">
        <v>0</v>
      </c>
      <c r="I25" s="6">
        <v>0</v>
      </c>
      <c r="J25" s="3">
        <f t="shared" si="17"/>
        <v>759.9495586380832</v>
      </c>
      <c r="K25" s="3">
        <v>60264</v>
      </c>
      <c r="L25" s="6">
        <v>79.3</v>
      </c>
      <c r="M25" s="3" t="e">
        <f t="shared" si="18"/>
        <v>#DIV/0!</v>
      </c>
      <c r="N25" s="3">
        <v>0</v>
      </c>
      <c r="O25" s="6">
        <v>0</v>
      </c>
      <c r="P25" s="3" t="e">
        <f t="shared" si="19"/>
        <v>#DIV/0!</v>
      </c>
      <c r="Q25" s="3">
        <v>0</v>
      </c>
      <c r="R25" s="6">
        <v>0</v>
      </c>
      <c r="S25" s="3" t="e">
        <f t="shared" si="20"/>
        <v>#DIV/0!</v>
      </c>
      <c r="T25" s="3">
        <v>0</v>
      </c>
      <c r="U25" s="6">
        <v>0</v>
      </c>
      <c r="V25" s="3" t="e">
        <f t="shared" si="21"/>
        <v>#DIV/0!</v>
      </c>
      <c r="W25" s="3">
        <v>0</v>
      </c>
      <c r="X25" s="6">
        <v>0</v>
      </c>
      <c r="Y25" s="3" t="e">
        <f t="shared" si="22"/>
        <v>#DIV/0!</v>
      </c>
      <c r="Z25" s="3">
        <v>0</v>
      </c>
      <c r="AA25" s="6">
        <v>0</v>
      </c>
      <c r="AB25" s="3" t="e">
        <f t="shared" si="23"/>
        <v>#DIV/0!</v>
      </c>
      <c r="AC25" s="3">
        <v>0</v>
      </c>
      <c r="AD25" s="6">
        <v>0</v>
      </c>
      <c r="AE25" s="3" t="e">
        <f t="shared" si="24"/>
        <v>#DIV/0!</v>
      </c>
      <c r="AF25" s="3">
        <v>0</v>
      </c>
      <c r="AG25" s="6">
        <v>0</v>
      </c>
      <c r="AH25" s="3" t="e">
        <f t="shared" si="25"/>
        <v>#DIV/0!</v>
      </c>
      <c r="AI25" s="3">
        <v>0</v>
      </c>
      <c r="AJ25" s="6">
        <v>0</v>
      </c>
      <c r="AK25" s="3" t="e">
        <f t="shared" si="26"/>
        <v>#DIV/0!</v>
      </c>
      <c r="AL25" s="3">
        <v>0</v>
      </c>
      <c r="AM25" s="6">
        <v>0</v>
      </c>
      <c r="AN25" s="3">
        <f t="shared" si="12"/>
        <v>759.9495586380832</v>
      </c>
      <c r="AO25" s="3">
        <f t="shared" si="13"/>
        <v>60264</v>
      </c>
      <c r="AP25" s="6">
        <f t="shared" si="14"/>
        <v>79.3</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53</v>
      </c>
      <c r="B26" s="15"/>
      <c r="C26" s="15"/>
      <c r="D26" s="3" t="e">
        <f t="shared" si="15"/>
        <v>#DIV/0!</v>
      </c>
      <c r="E26" s="3">
        <v>0</v>
      </c>
      <c r="F26" s="6">
        <v>0</v>
      </c>
      <c r="G26" s="3" t="e">
        <f t="shared" si="16"/>
        <v>#DIV/0!</v>
      </c>
      <c r="H26" s="3">
        <v>0</v>
      </c>
      <c r="I26" s="6">
        <v>0</v>
      </c>
      <c r="J26" s="3">
        <f t="shared" si="17"/>
        <v>760.38314176245206</v>
      </c>
      <c r="K26" s="3">
        <v>39692</v>
      </c>
      <c r="L26" s="6">
        <v>52.2</v>
      </c>
      <c r="M26" s="3" t="e">
        <f t="shared" si="18"/>
        <v>#DIV/0!</v>
      </c>
      <c r="N26" s="3">
        <v>0</v>
      </c>
      <c r="O26" s="6">
        <v>0</v>
      </c>
      <c r="P26" s="3" t="e">
        <f t="shared" si="19"/>
        <v>#DIV/0!</v>
      </c>
      <c r="Q26" s="3">
        <v>0</v>
      </c>
      <c r="R26" s="6">
        <v>0</v>
      </c>
      <c r="S26" s="3" t="e">
        <f t="shared" si="20"/>
        <v>#DIV/0!</v>
      </c>
      <c r="T26" s="3">
        <v>0</v>
      </c>
      <c r="U26" s="6">
        <v>0</v>
      </c>
      <c r="V26" s="3" t="e">
        <f t="shared" si="21"/>
        <v>#DIV/0!</v>
      </c>
      <c r="W26" s="3">
        <v>0</v>
      </c>
      <c r="X26" s="6">
        <v>0</v>
      </c>
      <c r="Y26" s="3">
        <f t="shared" si="22"/>
        <v>760.41193181818176</v>
      </c>
      <c r="Z26" s="3">
        <v>53533</v>
      </c>
      <c r="AA26" s="6">
        <v>70.400000000000006</v>
      </c>
      <c r="AB26" s="3">
        <f t="shared" si="23"/>
        <v>3542.105263157895</v>
      </c>
      <c r="AC26" s="3">
        <v>6730</v>
      </c>
      <c r="AD26" s="6">
        <v>1.9</v>
      </c>
      <c r="AE26" s="3" t="e">
        <f t="shared" si="24"/>
        <v>#DIV/0!</v>
      </c>
      <c r="AF26" s="3">
        <v>0</v>
      </c>
      <c r="AG26" s="6">
        <v>0</v>
      </c>
      <c r="AH26" s="3" t="e">
        <f t="shared" si="25"/>
        <v>#DIV/0!</v>
      </c>
      <c r="AI26" s="3">
        <v>0</v>
      </c>
      <c r="AJ26" s="6">
        <v>0</v>
      </c>
      <c r="AK26" s="3" t="e">
        <f t="shared" si="26"/>
        <v>#DIV/0!</v>
      </c>
      <c r="AL26" s="3">
        <v>0</v>
      </c>
      <c r="AM26" s="6">
        <v>0</v>
      </c>
      <c r="AN26" s="3">
        <f t="shared" si="12"/>
        <v>802.85140562248989</v>
      </c>
      <c r="AO26" s="3">
        <f t="shared" si="13"/>
        <v>99955</v>
      </c>
      <c r="AP26" s="6">
        <f t="shared" si="14"/>
        <v>124.50000000000001</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33</v>
      </c>
      <c r="B27" s="15"/>
      <c r="C27" s="15"/>
      <c r="D27" s="3" t="e">
        <f t="shared" si="15"/>
        <v>#DIV/0!</v>
      </c>
      <c r="E27" s="3">
        <v>0</v>
      </c>
      <c r="F27" s="6">
        <v>0</v>
      </c>
      <c r="G27" s="3" t="e">
        <f t="shared" si="16"/>
        <v>#DIV/0!</v>
      </c>
      <c r="H27" s="3">
        <v>0</v>
      </c>
      <c r="I27" s="6">
        <v>0</v>
      </c>
      <c r="J27" s="3" t="e">
        <f t="shared" si="17"/>
        <v>#DIV/0!</v>
      </c>
      <c r="K27" s="3">
        <v>0</v>
      </c>
      <c r="L27" s="6">
        <v>0</v>
      </c>
      <c r="M27" s="3">
        <f t="shared" si="18"/>
        <v>1031.7474174741749</v>
      </c>
      <c r="N27" s="3">
        <v>20634742</v>
      </c>
      <c r="O27" s="6">
        <v>19999.8</v>
      </c>
      <c r="P27" s="3" t="e">
        <f t="shared" si="19"/>
        <v>#DIV/0!</v>
      </c>
      <c r="Q27" s="3">
        <v>0</v>
      </c>
      <c r="R27" s="6">
        <v>0</v>
      </c>
      <c r="S27" s="3" t="e">
        <f t="shared" si="20"/>
        <v>#DIV/0!</v>
      </c>
      <c r="T27" s="3">
        <v>0</v>
      </c>
      <c r="U27" s="6">
        <v>0</v>
      </c>
      <c r="V27" s="3" t="e">
        <f t="shared" si="21"/>
        <v>#DIV/0!</v>
      </c>
      <c r="W27" s="3">
        <v>0</v>
      </c>
      <c r="X27" s="6">
        <v>0</v>
      </c>
      <c r="Y27" s="3" t="e">
        <f t="shared" si="22"/>
        <v>#DIV/0!</v>
      </c>
      <c r="Z27" s="3">
        <v>0</v>
      </c>
      <c r="AA27" s="6">
        <v>0</v>
      </c>
      <c r="AB27" s="3" t="e">
        <f t="shared" si="23"/>
        <v>#DIV/0!</v>
      </c>
      <c r="AC27" s="3">
        <v>0</v>
      </c>
      <c r="AD27" s="6">
        <v>0</v>
      </c>
      <c r="AE27" s="3" t="e">
        <f t="shared" si="24"/>
        <v>#DIV/0!</v>
      </c>
      <c r="AF27" s="3">
        <v>0</v>
      </c>
      <c r="AG27" s="6">
        <v>0</v>
      </c>
      <c r="AH27" s="3" t="e">
        <f t="shared" si="25"/>
        <v>#DIV/0!</v>
      </c>
      <c r="AI27" s="3">
        <v>0</v>
      </c>
      <c r="AJ27" s="6">
        <v>0</v>
      </c>
      <c r="AK27" s="3" t="e">
        <f t="shared" si="26"/>
        <v>#DIV/0!</v>
      </c>
      <c r="AL27" s="3">
        <v>0</v>
      </c>
      <c r="AM27" s="6">
        <v>0</v>
      </c>
      <c r="AN27" s="3">
        <f t="shared" si="12"/>
        <v>1031.7474174741749</v>
      </c>
      <c r="AO27" s="3">
        <f t="shared" si="13"/>
        <v>20634742</v>
      </c>
      <c r="AP27" s="6">
        <f t="shared" si="14"/>
        <v>19999.8</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54</v>
      </c>
      <c r="B28" s="15"/>
      <c r="C28" s="15"/>
      <c r="D28" s="3" t="e">
        <f t="shared" si="15"/>
        <v>#DIV/0!</v>
      </c>
      <c r="E28" s="3">
        <v>0</v>
      </c>
      <c r="F28" s="6">
        <v>0</v>
      </c>
      <c r="G28" s="3" t="e">
        <f t="shared" si="16"/>
        <v>#DIV/0!</v>
      </c>
      <c r="H28" s="3">
        <v>0</v>
      </c>
      <c r="I28" s="6">
        <v>0</v>
      </c>
      <c r="J28" s="3" t="e">
        <f t="shared" si="17"/>
        <v>#DIV/0!</v>
      </c>
      <c r="K28" s="3">
        <v>0</v>
      </c>
      <c r="L28" s="6">
        <v>0</v>
      </c>
      <c r="M28" s="3" t="e">
        <f t="shared" si="18"/>
        <v>#DIV/0!</v>
      </c>
      <c r="N28" s="3">
        <v>0</v>
      </c>
      <c r="O28" s="6">
        <v>0</v>
      </c>
      <c r="P28" s="3" t="e">
        <f t="shared" si="19"/>
        <v>#DIV/0!</v>
      </c>
      <c r="Q28" s="3">
        <v>0</v>
      </c>
      <c r="R28" s="6">
        <v>0</v>
      </c>
      <c r="S28" s="3" t="e">
        <f t="shared" si="20"/>
        <v>#DIV/0!</v>
      </c>
      <c r="T28" s="3">
        <v>0</v>
      </c>
      <c r="U28" s="6">
        <v>0</v>
      </c>
      <c r="V28" s="3" t="e">
        <f t="shared" si="21"/>
        <v>#DIV/0!</v>
      </c>
      <c r="W28" s="3">
        <v>0</v>
      </c>
      <c r="X28" s="6">
        <v>0</v>
      </c>
      <c r="Y28" s="3" t="e">
        <f t="shared" si="22"/>
        <v>#DIV/0!</v>
      </c>
      <c r="Z28" s="3">
        <v>0</v>
      </c>
      <c r="AA28" s="6">
        <v>0</v>
      </c>
      <c r="AB28" s="3" t="e">
        <f t="shared" si="23"/>
        <v>#DIV/0!</v>
      </c>
      <c r="AC28" s="3">
        <v>0</v>
      </c>
      <c r="AD28" s="6">
        <v>0</v>
      </c>
      <c r="AE28" s="3" t="e">
        <f t="shared" si="24"/>
        <v>#DIV/0!</v>
      </c>
      <c r="AF28" s="3">
        <v>0</v>
      </c>
      <c r="AG28" s="6">
        <v>0</v>
      </c>
      <c r="AH28" s="3">
        <f t="shared" si="25"/>
        <v>2143.5714285714289</v>
      </c>
      <c r="AI28" s="3">
        <v>3001</v>
      </c>
      <c r="AJ28" s="6">
        <v>1.4</v>
      </c>
      <c r="AK28" s="3" t="e">
        <f t="shared" si="26"/>
        <v>#DIV/0!</v>
      </c>
      <c r="AL28" s="3">
        <v>0</v>
      </c>
      <c r="AM28" s="6">
        <v>0</v>
      </c>
      <c r="AN28" s="3">
        <f t="shared" si="12"/>
        <v>2143.5714285714289</v>
      </c>
      <c r="AO28" s="3">
        <f t="shared" si="13"/>
        <v>3001</v>
      </c>
      <c r="AP28" s="6">
        <f t="shared" si="14"/>
        <v>1.4</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34</v>
      </c>
      <c r="B29" s="15"/>
      <c r="C29" s="15"/>
      <c r="D29" s="3" t="e">
        <f t="shared" si="15"/>
        <v>#DIV/0!</v>
      </c>
      <c r="E29" s="3">
        <v>0</v>
      </c>
      <c r="F29" s="6">
        <v>0</v>
      </c>
      <c r="G29" s="3" t="e">
        <f t="shared" si="16"/>
        <v>#DIV/0!</v>
      </c>
      <c r="H29" s="3">
        <v>0</v>
      </c>
      <c r="I29" s="6">
        <v>0</v>
      </c>
      <c r="J29" s="3">
        <f t="shared" si="17"/>
        <v>762.85714285714289</v>
      </c>
      <c r="K29" s="3">
        <v>5340</v>
      </c>
      <c r="L29" s="6">
        <v>7</v>
      </c>
      <c r="M29" s="3" t="e">
        <f t="shared" si="18"/>
        <v>#DIV/0!</v>
      </c>
      <c r="N29" s="3">
        <v>0</v>
      </c>
      <c r="O29" s="6">
        <v>0</v>
      </c>
      <c r="P29" s="3" t="e">
        <f t="shared" si="19"/>
        <v>#DIV/0!</v>
      </c>
      <c r="Q29" s="3">
        <v>0</v>
      </c>
      <c r="R29" s="6">
        <v>0</v>
      </c>
      <c r="S29" s="3" t="e">
        <f t="shared" si="20"/>
        <v>#DIV/0!</v>
      </c>
      <c r="T29" s="3">
        <v>0</v>
      </c>
      <c r="U29" s="6">
        <v>0</v>
      </c>
      <c r="V29" s="3" t="e">
        <f t="shared" si="21"/>
        <v>#DIV/0!</v>
      </c>
      <c r="W29" s="3">
        <v>0</v>
      </c>
      <c r="X29" s="6">
        <v>0</v>
      </c>
      <c r="Y29" s="3">
        <f t="shared" si="22"/>
        <v>6535</v>
      </c>
      <c r="Z29" s="3">
        <v>6535</v>
      </c>
      <c r="AA29" s="6">
        <v>1</v>
      </c>
      <c r="AB29" s="3" t="e">
        <f t="shared" si="23"/>
        <v>#DIV/0!</v>
      </c>
      <c r="AC29" s="3">
        <v>0</v>
      </c>
      <c r="AD29" s="6">
        <v>0</v>
      </c>
      <c r="AE29" s="3" t="e">
        <f t="shared" si="24"/>
        <v>#DIV/0!</v>
      </c>
      <c r="AF29" s="3">
        <v>0</v>
      </c>
      <c r="AG29" s="6">
        <v>0</v>
      </c>
      <c r="AH29" s="3" t="e">
        <f t="shared" si="25"/>
        <v>#DIV/0!</v>
      </c>
      <c r="AI29" s="3">
        <v>0</v>
      </c>
      <c r="AJ29" s="6">
        <v>0</v>
      </c>
      <c r="AK29" s="3" t="e">
        <f t="shared" si="26"/>
        <v>#DIV/0!</v>
      </c>
      <c r="AL29" s="3">
        <v>0</v>
      </c>
      <c r="AM29" s="6">
        <v>0</v>
      </c>
      <c r="AN29" s="3">
        <f t="shared" si="12"/>
        <v>1484.375</v>
      </c>
      <c r="AO29" s="3">
        <f t="shared" si="13"/>
        <v>11875</v>
      </c>
      <c r="AP29" s="6">
        <f t="shared" si="14"/>
        <v>8</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35</v>
      </c>
      <c r="B30" s="15"/>
      <c r="C30" s="15"/>
      <c r="D30" s="3">
        <f t="shared" si="15"/>
        <v>761.063829787234</v>
      </c>
      <c r="E30" s="3">
        <v>17885</v>
      </c>
      <c r="F30" s="6">
        <v>23.5</v>
      </c>
      <c r="G30" s="3">
        <f t="shared" si="16"/>
        <v>1791.7777777777778</v>
      </c>
      <c r="H30" s="3">
        <v>8063</v>
      </c>
      <c r="I30" s="6">
        <v>4.5</v>
      </c>
      <c r="J30" s="3" t="e">
        <f t="shared" si="17"/>
        <v>#DIV/0!</v>
      </c>
      <c r="K30" s="3">
        <v>0</v>
      </c>
      <c r="L30" s="6">
        <v>0</v>
      </c>
      <c r="M30" s="3" t="e">
        <f t="shared" si="18"/>
        <v>#DIV/0!</v>
      </c>
      <c r="N30" s="3">
        <v>0</v>
      </c>
      <c r="O30" s="6">
        <v>0</v>
      </c>
      <c r="P30" s="3">
        <f t="shared" si="19"/>
        <v>756.98113207547169</v>
      </c>
      <c r="Q30" s="3">
        <v>8024</v>
      </c>
      <c r="R30" s="6">
        <v>10.6</v>
      </c>
      <c r="S30" s="3">
        <f t="shared" si="20"/>
        <v>760.38759689922483</v>
      </c>
      <c r="T30" s="3">
        <v>9809</v>
      </c>
      <c r="U30" s="6">
        <v>12.9</v>
      </c>
      <c r="V30" s="3">
        <f t="shared" si="21"/>
        <v>982.06896551724139</v>
      </c>
      <c r="W30" s="3">
        <v>11392</v>
      </c>
      <c r="X30" s="6">
        <v>11.6</v>
      </c>
      <c r="Y30" s="3" t="e">
        <f t="shared" si="22"/>
        <v>#DIV/0!</v>
      </c>
      <c r="Z30" s="3">
        <v>0</v>
      </c>
      <c r="AA30" s="6">
        <v>0</v>
      </c>
      <c r="AB30" s="3">
        <f t="shared" si="23"/>
        <v>762.7</v>
      </c>
      <c r="AC30" s="3">
        <v>7627</v>
      </c>
      <c r="AD30" s="6">
        <v>10</v>
      </c>
      <c r="AE30" s="3">
        <f t="shared" si="24"/>
        <v>969.02684563758385</v>
      </c>
      <c r="AF30" s="3">
        <v>28877</v>
      </c>
      <c r="AG30" s="6">
        <v>29.8</v>
      </c>
      <c r="AH30" s="3" t="e">
        <f t="shared" si="25"/>
        <v>#DIV/0!</v>
      </c>
      <c r="AI30" s="3">
        <v>0</v>
      </c>
      <c r="AJ30" s="6">
        <v>0</v>
      </c>
      <c r="AK30" s="3" t="e">
        <f t="shared" si="26"/>
        <v>#DIV/0!</v>
      </c>
      <c r="AL30" s="3">
        <v>0</v>
      </c>
      <c r="AM30" s="6">
        <v>0</v>
      </c>
      <c r="AN30" s="3">
        <f t="shared" si="12"/>
        <v>890.93294460641403</v>
      </c>
      <c r="AO30" s="3">
        <f t="shared" si="13"/>
        <v>91677</v>
      </c>
      <c r="AP30" s="6">
        <f t="shared" si="14"/>
        <v>102.89999999999999</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0" t="s">
        <v>55</v>
      </c>
      <c r="B31" s="16"/>
      <c r="C31" s="16"/>
      <c r="D31" s="7" t="e">
        <f t="shared" si="15"/>
        <v>#DIV/0!</v>
      </c>
      <c r="E31" s="8">
        <v>0</v>
      </c>
      <c r="F31" s="9">
        <v>0</v>
      </c>
      <c r="G31" s="8" t="e">
        <f t="shared" si="16"/>
        <v>#DIV/0!</v>
      </c>
      <c r="H31" s="8">
        <v>0</v>
      </c>
      <c r="I31" s="9">
        <v>0</v>
      </c>
      <c r="J31" s="8" t="e">
        <f t="shared" si="17"/>
        <v>#DIV/0!</v>
      </c>
      <c r="K31" s="8">
        <v>0</v>
      </c>
      <c r="L31" s="9">
        <v>0</v>
      </c>
      <c r="M31" s="8" t="e">
        <f t="shared" si="18"/>
        <v>#DIV/0!</v>
      </c>
      <c r="N31" s="8">
        <v>0</v>
      </c>
      <c r="O31" s="9">
        <v>0</v>
      </c>
      <c r="P31" s="8" t="e">
        <f t="shared" si="19"/>
        <v>#DIV/0!</v>
      </c>
      <c r="Q31" s="8">
        <v>0</v>
      </c>
      <c r="R31" s="9">
        <v>0</v>
      </c>
      <c r="S31" s="8" t="e">
        <f t="shared" si="20"/>
        <v>#DIV/0!</v>
      </c>
      <c r="T31" s="8">
        <v>0</v>
      </c>
      <c r="U31" s="9">
        <v>0</v>
      </c>
      <c r="V31" s="8" t="e">
        <f t="shared" si="21"/>
        <v>#DIV/0!</v>
      </c>
      <c r="W31" s="8">
        <v>0</v>
      </c>
      <c r="X31" s="9">
        <v>0</v>
      </c>
      <c r="Y31" s="8" t="e">
        <f t="shared" si="22"/>
        <v>#DIV/0!</v>
      </c>
      <c r="Z31" s="8">
        <v>0</v>
      </c>
      <c r="AA31" s="9">
        <v>0</v>
      </c>
      <c r="AB31" s="8" t="e">
        <f t="shared" si="23"/>
        <v>#DIV/0!</v>
      </c>
      <c r="AC31" s="8">
        <v>0</v>
      </c>
      <c r="AD31" s="9">
        <v>0</v>
      </c>
      <c r="AE31" s="8" t="e">
        <f t="shared" si="24"/>
        <v>#DIV/0!</v>
      </c>
      <c r="AF31" s="8">
        <v>0</v>
      </c>
      <c r="AG31" s="9">
        <v>0</v>
      </c>
      <c r="AH31" s="8">
        <f t="shared" si="25"/>
        <v>761.90476190476193</v>
      </c>
      <c r="AI31" s="8">
        <v>6400</v>
      </c>
      <c r="AJ31" s="9">
        <v>8.4</v>
      </c>
      <c r="AK31" s="8" t="e">
        <f t="shared" si="26"/>
        <v>#DIV/0!</v>
      </c>
      <c r="AL31" s="8">
        <v>0</v>
      </c>
      <c r="AM31" s="9">
        <v>0</v>
      </c>
      <c r="AN31" s="8">
        <f t="shared" si="12"/>
        <v>761.90476190476193</v>
      </c>
      <c r="AO31" s="8">
        <f t="shared" si="13"/>
        <v>6400</v>
      </c>
      <c r="AP31" s="9">
        <f t="shared" si="14"/>
        <v>8.4</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 t="s">
        <v>36</v>
      </c>
    </row>
    <row r="33" spans="1:1" x14ac:dyDescent="0.3">
      <c r="A33" s="1" t="s">
        <v>39</v>
      </c>
    </row>
    <row r="34" spans="1:1" x14ac:dyDescent="0.3">
      <c r="A34" s="1" t="s">
        <v>37</v>
      </c>
    </row>
    <row r="35" spans="1:1" x14ac:dyDescent="0.3">
      <c r="A35" s="1" t="s">
        <v>38</v>
      </c>
    </row>
    <row r="36" spans="1:1" x14ac:dyDescent="0.3">
      <c r="A36" s="1" t="s">
        <v>44</v>
      </c>
    </row>
    <row r="37" spans="1:1" x14ac:dyDescent="0.3">
      <c r="A37" s="1" t="s">
        <v>45</v>
      </c>
    </row>
  </sheetData>
  <mergeCells count="15">
    <mergeCell ref="B3:B31"/>
    <mergeCell ref="C3:C31"/>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2026-06-16T02:00:32Z</dcterms:modified>
</cp:coreProperties>
</file>