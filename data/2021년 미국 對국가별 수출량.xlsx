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21년" sheetId="1" r:id="rId1"/>
  </sheets>
  <calcPr calcId="162913"/>
</workbook>
</file>

<file path=xl/calcChain.xml><?xml version="1.0" encoding="utf-8"?>
<calcChain xmlns="http://schemas.openxmlformats.org/spreadsheetml/2006/main">
  <c r="AM3" i="1" l="1"/>
  <c r="AL3" i="1"/>
  <c r="AK3" i="1" s="1"/>
  <c r="AJ3" i="1"/>
  <c r="AI3" i="1"/>
  <c r="AH3" i="1" s="1"/>
  <c r="AG3" i="1"/>
  <c r="AF3" i="1"/>
  <c r="AE3" i="1"/>
  <c r="AD3" i="1"/>
  <c r="AC3" i="1"/>
  <c r="AB3" i="1" s="1"/>
  <c r="AA3" i="1"/>
  <c r="Y3" i="1" s="1"/>
  <c r="Z3" i="1"/>
  <c r="X3" i="1"/>
  <c r="W3" i="1"/>
  <c r="V3" i="1"/>
  <c r="U3" i="1"/>
  <c r="T3" i="1"/>
  <c r="R3" i="1"/>
  <c r="Q3" i="1"/>
  <c r="O3" i="1"/>
  <c r="N3" i="1"/>
  <c r="M3" i="1"/>
  <c r="L3" i="1"/>
  <c r="K3" i="1"/>
  <c r="J3" i="1"/>
  <c r="I3" i="1"/>
  <c r="H3" i="1"/>
  <c r="F3" i="1"/>
  <c r="E3" i="1"/>
  <c r="D3" i="1" s="1"/>
  <c r="AO35" i="1"/>
  <c r="AO34" i="1"/>
  <c r="AO33" i="1"/>
  <c r="AO32" i="1"/>
  <c r="AO31" i="1"/>
  <c r="AO30" i="1"/>
  <c r="AO29" i="1"/>
  <c r="AO28" i="1"/>
  <c r="AO27" i="1"/>
  <c r="AO26" i="1"/>
  <c r="AO25" i="1"/>
  <c r="AO24" i="1"/>
  <c r="AO23" i="1"/>
  <c r="AO22" i="1"/>
  <c r="AO21" i="1"/>
  <c r="AO20" i="1"/>
  <c r="AO19" i="1"/>
  <c r="AO18" i="1"/>
  <c r="AO17" i="1"/>
  <c r="AO16" i="1"/>
  <c r="AO15" i="1"/>
  <c r="AO14" i="1"/>
  <c r="AO13" i="1"/>
  <c r="AO12" i="1"/>
  <c r="AO11" i="1"/>
  <c r="AO10" i="1"/>
  <c r="AO9" i="1"/>
  <c r="AO8" i="1"/>
  <c r="AO7" i="1"/>
  <c r="AO6" i="1"/>
  <c r="AO5" i="1"/>
  <c r="AO4" i="1"/>
  <c r="AK35" i="1"/>
  <c r="AK34" i="1"/>
  <c r="AK33" i="1"/>
  <c r="AK32" i="1"/>
  <c r="AK31" i="1"/>
  <c r="AK30" i="1"/>
  <c r="AK29" i="1"/>
  <c r="AK28" i="1"/>
  <c r="AK27" i="1"/>
  <c r="AK26" i="1"/>
  <c r="AK25" i="1"/>
  <c r="AK24" i="1"/>
  <c r="AK23" i="1"/>
  <c r="AK22" i="1"/>
  <c r="AK21" i="1"/>
  <c r="AK20" i="1"/>
  <c r="AK19" i="1"/>
  <c r="AK18" i="1"/>
  <c r="AK17" i="1"/>
  <c r="AK16" i="1"/>
  <c r="AK15" i="1"/>
  <c r="AK14" i="1"/>
  <c r="AK13" i="1"/>
  <c r="AK12" i="1"/>
  <c r="AK11" i="1"/>
  <c r="AK10" i="1"/>
  <c r="AK9" i="1"/>
  <c r="AK8" i="1"/>
  <c r="AK7" i="1"/>
  <c r="AK6" i="1"/>
  <c r="AK5" i="1"/>
  <c r="AK4"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E35" i="1"/>
  <c r="AE34" i="1"/>
  <c r="AE33" i="1"/>
  <c r="AE32" i="1"/>
  <c r="AE31" i="1"/>
  <c r="AE30" i="1"/>
  <c r="AE29" i="1"/>
  <c r="AE28" i="1"/>
  <c r="AE27" i="1"/>
  <c r="AE26" i="1"/>
  <c r="AE25" i="1"/>
  <c r="AE24" i="1"/>
  <c r="AE23" i="1"/>
  <c r="AE22" i="1"/>
  <c r="AE21" i="1"/>
  <c r="AE20" i="1"/>
  <c r="AE19" i="1"/>
  <c r="AE18" i="1"/>
  <c r="AE17" i="1"/>
  <c r="AE16" i="1"/>
  <c r="AE15" i="1"/>
  <c r="AE14" i="1"/>
  <c r="AE13" i="1"/>
  <c r="AE12" i="1"/>
  <c r="AE11" i="1"/>
  <c r="AE10" i="1"/>
  <c r="AE9" i="1"/>
  <c r="AE8" i="1"/>
  <c r="AE7" i="1"/>
  <c r="AE6" i="1"/>
  <c r="AE5" i="1"/>
  <c r="AE4" i="1"/>
  <c r="AB35" i="1"/>
  <c r="AB34" i="1"/>
  <c r="AB33" i="1"/>
  <c r="AB32" i="1"/>
  <c r="AB31" i="1"/>
  <c r="AB30" i="1"/>
  <c r="AB29" i="1"/>
  <c r="AB28" i="1"/>
  <c r="AB27" i="1"/>
  <c r="AB26" i="1"/>
  <c r="AB25" i="1"/>
  <c r="AB24" i="1"/>
  <c r="AB23" i="1"/>
  <c r="AB22" i="1"/>
  <c r="AB21" i="1"/>
  <c r="AB20" i="1"/>
  <c r="AB19" i="1"/>
  <c r="AB18" i="1"/>
  <c r="AB17" i="1"/>
  <c r="AB16" i="1"/>
  <c r="AB15" i="1"/>
  <c r="AB14" i="1"/>
  <c r="AB13" i="1"/>
  <c r="AB12" i="1"/>
  <c r="AB11" i="1"/>
  <c r="AB10" i="1"/>
  <c r="AB9" i="1"/>
  <c r="AB8" i="1"/>
  <c r="AB7" i="1"/>
  <c r="AB6" i="1"/>
  <c r="AB5" i="1"/>
  <c r="AB4"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Y4"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D35" i="1"/>
  <c r="D34" i="1"/>
  <c r="D33" i="1"/>
  <c r="D32" i="1"/>
  <c r="D31" i="1"/>
  <c r="D30" i="1"/>
  <c r="D29" i="1"/>
  <c r="D28" i="1"/>
  <c r="D27" i="1"/>
  <c r="D26" i="1"/>
  <c r="D25" i="1"/>
  <c r="D24" i="1"/>
  <c r="D23" i="1"/>
  <c r="D22" i="1"/>
  <c r="D21" i="1"/>
  <c r="D20" i="1"/>
  <c r="D19" i="1"/>
  <c r="D18" i="1"/>
  <c r="D17" i="1"/>
  <c r="D16" i="1"/>
  <c r="D15" i="1"/>
  <c r="D14" i="1"/>
  <c r="D13" i="1"/>
  <c r="D11" i="1"/>
  <c r="D10" i="1"/>
  <c r="D9" i="1"/>
  <c r="D8" i="1"/>
  <c r="D7" i="1"/>
  <c r="D6" i="1"/>
  <c r="D5" i="1"/>
  <c r="D4" i="1"/>
  <c r="D12" i="1"/>
  <c r="AP35" i="1"/>
  <c r="AP34" i="1"/>
  <c r="AP33" i="1"/>
  <c r="AP32" i="1"/>
  <c r="AP31" i="1"/>
  <c r="AP30" i="1"/>
  <c r="AP29" i="1"/>
  <c r="AP28" i="1"/>
  <c r="AP27" i="1"/>
  <c r="AP26" i="1"/>
  <c r="AP25" i="1"/>
  <c r="AP24" i="1"/>
  <c r="AP23" i="1"/>
  <c r="AP22" i="1"/>
  <c r="AP21" i="1"/>
  <c r="AP20" i="1"/>
  <c r="AP19" i="1"/>
  <c r="AP18" i="1"/>
  <c r="AP17" i="1"/>
  <c r="AP16" i="1"/>
  <c r="AP15" i="1"/>
  <c r="AN15" i="1" s="1"/>
  <c r="AP14" i="1"/>
  <c r="AP13" i="1"/>
  <c r="AP11" i="1"/>
  <c r="AP10" i="1"/>
  <c r="AP9" i="1"/>
  <c r="AP8" i="1"/>
  <c r="AP7" i="1"/>
  <c r="AP6" i="1"/>
  <c r="AP5" i="1"/>
  <c r="AP4" i="1"/>
  <c r="S3" i="1" l="1"/>
  <c r="P3" i="1"/>
  <c r="AN7" i="1"/>
  <c r="G3" i="1"/>
  <c r="AO3" i="1"/>
  <c r="AN32" i="1"/>
  <c r="AN8" i="1"/>
  <c r="AN24" i="1"/>
  <c r="AN17" i="1"/>
  <c r="AN25" i="1"/>
  <c r="AN33" i="1"/>
  <c r="AN16" i="1"/>
  <c r="AN18" i="1"/>
  <c r="AN5" i="1"/>
  <c r="AN13" i="1"/>
  <c r="AN21" i="1"/>
  <c r="AN29" i="1"/>
  <c r="AN26" i="1"/>
  <c r="AN27" i="1"/>
  <c r="AN28" i="1"/>
  <c r="AN6" i="1"/>
  <c r="AN14" i="1"/>
  <c r="AN22" i="1"/>
  <c r="AN30" i="1"/>
  <c r="AN9" i="1"/>
  <c r="AN10" i="1"/>
  <c r="AN34" i="1"/>
  <c r="AN11" i="1"/>
  <c r="AN35" i="1"/>
  <c r="AN20" i="1"/>
  <c r="AN31" i="1"/>
  <c r="AN19" i="1"/>
  <c r="AN23" i="1"/>
  <c r="AN4" i="1"/>
  <c r="AP12" i="1"/>
  <c r="AP3" i="1" s="1"/>
  <c r="AN3" i="1" l="1"/>
  <c r="AN12" i="1"/>
</calcChain>
</file>

<file path=xl/sharedStrings.xml><?xml version="1.0" encoding="utf-8"?>
<sst xmlns="http://schemas.openxmlformats.org/spreadsheetml/2006/main" count="96" uniqueCount="60">
  <si>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</si>
  <si>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</si>
  <si>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</si>
  <si>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</si>
  <si>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</si>
  <si>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</si>
  <si>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</si>
  <si>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</si>
  <si>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</si>
  <si>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</si>
  <si>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</si>
  <si>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</si>
  <si>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</si>
  <si>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</si>
  <si>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</si>
  <si>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</si>
  <si>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</si>
  <si>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</si>
  <si>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India</t>
  </si>
  <si>
    <t>Costa Rica</t>
  </si>
  <si>
    <t>Saudi Arabia</t>
  </si>
  <si>
    <t>Yemen</t>
  </si>
  <si>
    <t>Canada</t>
  </si>
  <si>
    <t>Taiwan</t>
  </si>
  <si>
    <t>Colombia</t>
  </si>
  <si>
    <t>Dominican Republic</t>
  </si>
  <si>
    <t>Korea, South</t>
  </si>
  <si>
    <t>Jamaica</t>
  </si>
  <si>
    <t>Mexico</t>
  </si>
  <si>
    <t>Mozambique</t>
  </si>
  <si>
    <t>United Arab Emirates</t>
  </si>
  <si>
    <t>Bahamas, The</t>
  </si>
  <si>
    <t>El Salvador</t>
  </si>
  <si>
    <t>Guatemala</t>
  </si>
  <si>
    <t>Honduras</t>
  </si>
  <si>
    <t>Italy(*)</t>
  </si>
  <si>
    <t>Japan</t>
  </si>
  <si>
    <t>Malaysia</t>
  </si>
  <si>
    <t>Nicaragua</t>
  </si>
  <si>
    <t>Peru</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</si>
  <si>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</si>
  <si>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</si>
  <si>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</si>
  <si>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</si>
  <si>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</si>
  <si>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</si>
  <si>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1. Data Source: U.S. Census Bureau Trade Data</t>
    <phoneticPr fontId="18" type="noConversion"/>
  </si>
  <si>
    <t>Country</t>
    <phoneticPr fontId="18" type="noConversion"/>
  </si>
  <si>
    <t>Value</t>
    <phoneticPr fontId="18" type="noConversion"/>
  </si>
  <si>
    <t>USD</t>
    <phoneticPr fontId="18" type="noConversion"/>
  </si>
  <si>
    <t>Value</t>
    <phoneticPr fontId="18" type="noConversion"/>
  </si>
  <si>
    <t>4. The Unit Value is calculated by dividing the sum of the value by the sum of the quantity converted to the selected unit of measure to three decimal places. (9999/99.999)</t>
    <phoneticPr fontId="18" type="noConversion"/>
  </si>
  <si>
    <t>5. Product Group: Harmonized</t>
    <phoneticPr fontId="18" type="noConversion"/>
  </si>
  <si>
    <t>Kuwait</t>
  </si>
  <si>
    <t>Qatar</t>
  </si>
  <si>
    <t>Algeria</t>
  </si>
  <si>
    <t>Guyana</t>
  </si>
  <si>
    <t>Haiti</t>
  </si>
  <si>
    <t>Hong Kong</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</si>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</sst>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0">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41"/>
  <sheetViews>
    <sheetView showGridLines="0" tabSelected="1" workbookViewId="0">
      <pane ySplit="2" topLeftCell="A3" activePane="bottomLeft" state="frozen"/>
      <selection pane="bottomLeft" activeCell="A3" sqref="A3"/>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9.125" bestFit="1" customWidth="1"/>
  </cols>
  <sheetData>
    <row r="1" spans="1:66" x14ac:dyDescent="0.3">
      <c r="A1" s="1"/>
      <c r="B1" s="1"/>
      <c r="C1" s="1"/>
      <c r="D1" s="17" t="s">
        <v>0</v>
      </c>
      <c r="E1" s="18"/>
      <c r="F1" s="19"/>
      <c r="G1" s="11" t="s">
        <v>1</v>
      </c>
      <c r="H1" s="12"/>
      <c r="I1" s="13"/>
      <c r="J1" s="11" t="s">
        <v>2</v>
      </c>
      <c r="K1" s="12"/>
      <c r="L1" s="13"/>
      <c r="M1" s="11" t="s">
        <v>3</v>
      </c>
      <c r="N1" s="12"/>
      <c r="O1" s="13"/>
      <c r="P1" s="11" t="s">
        <v>4</v>
      </c>
      <c r="Q1" s="12"/>
      <c r="R1" s="13"/>
      <c r="S1" s="11" t="s">
        <v>5</v>
      </c>
      <c r="T1" s="12"/>
      <c r="U1" s="13"/>
      <c r="V1" s="11" t="s">
        <v>6</v>
      </c>
      <c r="W1" s="12"/>
      <c r="X1" s="13"/>
      <c r="Y1" s="11" t="s">
        <v>7</v>
      </c>
      <c r="Z1" s="12"/>
      <c r="AA1" s="13"/>
      <c r="AB1" s="11" t="s">
        <v>8</v>
      </c>
      <c r="AC1" s="12"/>
      <c r="AD1" s="13"/>
      <c r="AE1" s="11" t="s">
        <v>9</v>
      </c>
      <c r="AF1" s="12"/>
      <c r="AG1" s="13"/>
      <c r="AH1" s="11" t="s">
        <v>10</v>
      </c>
      <c r="AI1" s="12"/>
      <c r="AJ1" s="13"/>
      <c r="AK1" s="11" t="s">
        <v>11</v>
      </c>
      <c r="AL1" s="12"/>
      <c r="AM1" s="13"/>
      <c r="AN1" s="11" t="s">
        <v>12</v>
      </c>
      <c r="AO1" s="12"/>
      <c r="AP1" s="13"/>
    </row>
    <row r="2" spans="1:66" x14ac:dyDescent="0.3">
      <c r="A2" s="2" t="s">
        <v>47</v>
      </c>
      <c r="B2" s="2" t="s">
        <v>13</v>
      </c>
      <c r="C2" s="2" t="s">
        <v>48</v>
      </c>
      <c r="D2" s="4" t="s">
        <v>14</v>
      </c>
      <c r="E2" s="2" t="s">
        <v>48</v>
      </c>
      <c r="F2" s="5" t="s">
        <v>15</v>
      </c>
      <c r="G2" s="2" t="s">
        <v>14</v>
      </c>
      <c r="H2" s="2" t="s">
        <v>48</v>
      </c>
      <c r="I2" s="5" t="s">
        <v>15</v>
      </c>
      <c r="J2" s="2" t="s">
        <v>14</v>
      </c>
      <c r="K2" s="2" t="s">
        <v>48</v>
      </c>
      <c r="L2" s="5" t="s">
        <v>15</v>
      </c>
      <c r="M2" s="2" t="s">
        <v>14</v>
      </c>
      <c r="N2" s="2" t="s">
        <v>48</v>
      </c>
      <c r="O2" s="5" t="s">
        <v>15</v>
      </c>
      <c r="P2" s="2" t="s">
        <v>14</v>
      </c>
      <c r="Q2" s="2" t="s">
        <v>48</v>
      </c>
      <c r="R2" s="5" t="s">
        <v>15</v>
      </c>
      <c r="S2" s="2" t="s">
        <v>14</v>
      </c>
      <c r="T2" s="2" t="s">
        <v>48</v>
      </c>
      <c r="U2" s="5" t="s">
        <v>15</v>
      </c>
      <c r="V2" s="2" t="s">
        <v>14</v>
      </c>
      <c r="W2" s="2" t="s">
        <v>48</v>
      </c>
      <c r="X2" s="5" t="s">
        <v>15</v>
      </c>
      <c r="Y2" s="2" t="s">
        <v>14</v>
      </c>
      <c r="Z2" s="2" t="s">
        <v>48</v>
      </c>
      <c r="AA2" s="5" t="s">
        <v>15</v>
      </c>
      <c r="AB2" s="2" t="s">
        <v>14</v>
      </c>
      <c r="AC2" s="2" t="s">
        <v>48</v>
      </c>
      <c r="AD2" s="5" t="s">
        <v>15</v>
      </c>
      <c r="AE2" s="2" t="s">
        <v>14</v>
      </c>
      <c r="AF2" s="2" t="s">
        <v>48</v>
      </c>
      <c r="AG2" s="5" t="s">
        <v>15</v>
      </c>
      <c r="AH2" s="2" t="s">
        <v>14</v>
      </c>
      <c r="AI2" s="2" t="s">
        <v>48</v>
      </c>
      <c r="AJ2" s="5" t="s">
        <v>15</v>
      </c>
      <c r="AK2" s="2" t="s">
        <v>14</v>
      </c>
      <c r="AL2" s="2" t="s">
        <v>48</v>
      </c>
      <c r="AM2" s="5" t="s">
        <v>15</v>
      </c>
      <c r="AN2" s="2" t="s">
        <v>14</v>
      </c>
      <c r="AO2" s="2" t="s">
        <v>50</v>
      </c>
      <c r="AP2" s="5" t="s">
        <v>15</v>
      </c>
    </row>
    <row r="3" spans="1:66" ht="15" customHeight="1" x14ac:dyDescent="0.3">
      <c r="A3" s="1" t="s">
        <v>16</v>
      </c>
      <c r="B3" s="14" t="s">
        <v>17</v>
      </c>
      <c r="C3" s="14" t="s">
        <v>49</v>
      </c>
      <c r="D3" s="3">
        <f>E3/F3</f>
        <v>945.13966838284182</v>
      </c>
      <c r="E3" s="3">
        <f>SUM(E4:E35)</f>
        <v>128373879</v>
      </c>
      <c r="F3" s="6">
        <f>SUM(F4:F35)</f>
        <v>135825.29999999999</v>
      </c>
      <c r="G3" s="3">
        <f>H3/I3</f>
        <v>1040.7733164569738</v>
      </c>
      <c r="H3" s="3">
        <f>SUM(H4:H35)</f>
        <v>107224422</v>
      </c>
      <c r="I3" s="6">
        <f>SUM(I4:I35)</f>
        <v>103023.80000000002</v>
      </c>
      <c r="J3" s="3">
        <f>K3/L3</f>
        <v>1143.6633497893704</v>
      </c>
      <c r="K3" s="3">
        <f>SUM(K4:K35)</f>
        <v>69799261</v>
      </c>
      <c r="L3" s="6">
        <f>SUM(L4:L35)</f>
        <v>61031.3</v>
      </c>
      <c r="M3" s="3">
        <f>N3/O3</f>
        <v>1199.6047417216396</v>
      </c>
      <c r="N3" s="3">
        <f>SUM(N4:N35)</f>
        <v>59209611</v>
      </c>
      <c r="O3" s="6">
        <f>SUM(O4:O35)</f>
        <v>49357.599999999999</v>
      </c>
      <c r="P3" s="3">
        <f>Q3/R3</f>
        <v>1329.0878104877713</v>
      </c>
      <c r="Q3" s="3">
        <f>SUM(Q4:Q35)</f>
        <v>32013871</v>
      </c>
      <c r="R3" s="6">
        <f>SUM(R4:R35)</f>
        <v>24087.100000000002</v>
      </c>
      <c r="S3" s="3">
        <f>T3/U3</f>
        <v>1407.2285127238119</v>
      </c>
      <c r="T3" s="3">
        <f>SUM(T4:T35)</f>
        <v>47463144</v>
      </c>
      <c r="U3" s="6">
        <f>SUM(U4:U35)</f>
        <v>33728.1</v>
      </c>
      <c r="V3" s="3">
        <f>W3/X3</f>
        <v>1579.4870435623188</v>
      </c>
      <c r="W3" s="3">
        <f>SUM(W4:W35)</f>
        <v>10130514</v>
      </c>
      <c r="X3" s="6">
        <f>SUM(X4:X35)</f>
        <v>6413.7999999999993</v>
      </c>
      <c r="Y3" s="3">
        <f>Z3/AA3</f>
        <v>921.4404770934467</v>
      </c>
      <c r="Z3" s="3">
        <f>SUM(Z4:Z35)</f>
        <v>9718617</v>
      </c>
      <c r="AA3" s="6">
        <f>SUM(AA4:AA35)</f>
        <v>10547.199999999999</v>
      </c>
      <c r="AB3" s="3">
        <f>AC3/AD3</f>
        <v>1387.2492096537899</v>
      </c>
      <c r="AC3" s="3">
        <f>SUM(AC4:AC35)</f>
        <v>10794741</v>
      </c>
      <c r="AD3" s="6">
        <f>SUM(AD4:AD35)</f>
        <v>7781.4</v>
      </c>
      <c r="AE3" s="3">
        <f>AF3/AG3</f>
        <v>1327.7630464913548</v>
      </c>
      <c r="AF3" s="3">
        <f>SUM(AF4:AF35)</f>
        <v>21171049</v>
      </c>
      <c r="AG3" s="6">
        <f>SUM(AG4:AG35)</f>
        <v>15944.899999999998</v>
      </c>
      <c r="AH3" s="3">
        <f>AI3/AJ3</f>
        <v>1348.6097077512784</v>
      </c>
      <c r="AI3" s="3">
        <f>SUM(AI4:AI35)</f>
        <v>126343017</v>
      </c>
      <c r="AJ3" s="6">
        <f>SUM(AJ4:AJ35)</f>
        <v>93683.900000000009</v>
      </c>
      <c r="AK3" s="3">
        <f>AL3/AM3</f>
        <v>1372.0925497008302</v>
      </c>
      <c r="AL3" s="3">
        <f>SUM(AL4:AL35)</f>
        <v>85305738</v>
      </c>
      <c r="AM3" s="6">
        <f>SUM(AM4:AM35)</f>
        <v>62171.999999999993</v>
      </c>
      <c r="AN3" s="3">
        <f>AO3/AP3</f>
        <v>1172.2201524064753</v>
      </c>
      <c r="AO3" s="3">
        <f>SUM(AO4:AO35)</f>
        <v>707547864</v>
      </c>
      <c r="AP3" s="6">
        <f>SUM(AP4:AP35)</f>
        <v>603596.40000000014</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 t="s">
        <v>18</v>
      </c>
      <c r="B4" s="15"/>
      <c r="C4" s="15"/>
      <c r="D4" s="3" t="e">
        <f t="shared" ref="D4:D11" si="0">E4/F4</f>
        <v>#DIV/0!</v>
      </c>
      <c r="E4" s="3">
        <v>0</v>
      </c>
      <c r="F4" s="6">
        <v>0</v>
      </c>
      <c r="G4" s="3" t="e">
        <f t="shared" ref="G4:G11" si="1">H4/I4</f>
        <v>#DIV/0!</v>
      </c>
      <c r="H4" s="3">
        <v>0</v>
      </c>
      <c r="I4" s="6">
        <v>0</v>
      </c>
      <c r="J4" s="3" t="e">
        <f t="shared" ref="J4:J11" si="2">K4/L4</f>
        <v>#DIV/0!</v>
      </c>
      <c r="K4" s="3">
        <v>0</v>
      </c>
      <c r="L4" s="6">
        <v>0</v>
      </c>
      <c r="M4" s="3" t="e">
        <f t="shared" ref="M4:M11" si="3">N4/O4</f>
        <v>#DIV/0!</v>
      </c>
      <c r="N4" s="3">
        <v>0</v>
      </c>
      <c r="O4" s="6">
        <v>0</v>
      </c>
      <c r="P4" s="3" t="e">
        <f t="shared" ref="P4:P11" si="4">Q4/R4</f>
        <v>#DIV/0!</v>
      </c>
      <c r="Q4" s="3">
        <v>0</v>
      </c>
      <c r="R4" s="6">
        <v>0</v>
      </c>
      <c r="S4" s="3" t="e">
        <f t="shared" ref="S4:S11" si="5">T4/U4</f>
        <v>#DIV/0!</v>
      </c>
      <c r="T4" s="3">
        <v>0</v>
      </c>
      <c r="U4" s="6">
        <v>0</v>
      </c>
      <c r="V4" s="3" t="e">
        <f t="shared" ref="V4:V11" si="6">W4/X4</f>
        <v>#DIV/0!</v>
      </c>
      <c r="W4" s="3">
        <v>0</v>
      </c>
      <c r="X4" s="6">
        <v>0</v>
      </c>
      <c r="Y4" s="3" t="e">
        <f t="shared" ref="Y4:Y11" si="7">Z4/AA4</f>
        <v>#DIV/0!</v>
      </c>
      <c r="Z4" s="3">
        <v>0</v>
      </c>
      <c r="AA4" s="6">
        <v>0</v>
      </c>
      <c r="AB4" s="3" t="e">
        <f t="shared" ref="AB4:AB11" si="8">AC4/AD4</f>
        <v>#DIV/0!</v>
      </c>
      <c r="AC4" s="3">
        <v>0</v>
      </c>
      <c r="AD4" s="6">
        <v>0</v>
      </c>
      <c r="AE4" s="3" t="e">
        <f t="shared" ref="AE4:AE11" si="9">AF4/AG4</f>
        <v>#DIV/0!</v>
      </c>
      <c r="AF4" s="3">
        <v>0</v>
      </c>
      <c r="AG4" s="6">
        <v>0</v>
      </c>
      <c r="AH4" s="3">
        <f t="shared" ref="AH4:AH11" si="10">AI4/AJ4</f>
        <v>1363.7699546322747</v>
      </c>
      <c r="AI4" s="3">
        <v>40912144</v>
      </c>
      <c r="AJ4" s="6">
        <v>29999.3</v>
      </c>
      <c r="AK4" s="3">
        <f t="shared" ref="AK4:AK11" si="11">AL4/AM4</f>
        <v>1427.0014809004417</v>
      </c>
      <c r="AL4" s="3">
        <v>42205852</v>
      </c>
      <c r="AM4" s="6">
        <v>29576.6</v>
      </c>
      <c r="AN4" s="3">
        <f t="shared" ref="AN4:AN35" si="12">AO4/AP4</f>
        <v>1395.1613991563704</v>
      </c>
      <c r="AO4" s="3">
        <f t="shared" ref="AO4:AO35" si="13">SUM(E4,H4,K4,N4,Q4,T4,W4,Z4,AC4,AF4,AI4,AL4)</f>
        <v>83117996</v>
      </c>
      <c r="AP4" s="6">
        <f t="shared" ref="AP4:AP35" si="14">SUM(F4,I4,L4,O4,R4,U4,X4,AA4,AD4,AG4,AJ4,AM4)</f>
        <v>59575.899999999994</v>
      </c>
      <c r="AQ4" s="3"/>
      <c r="AR4" s="3"/>
      <c r="AS4" s="3"/>
      <c r="AT4" s="3"/>
      <c r="AU4" s="3"/>
      <c r="AV4" s="3"/>
      <c r="AW4" s="3"/>
      <c r="AX4" s="3"/>
      <c r="AY4" s="3"/>
      <c r="AZ4" s="3"/>
      <c r="BA4" s="3"/>
      <c r="BB4" s="3"/>
      <c r="BC4" s="3"/>
      <c r="BD4" s="3"/>
      <c r="BE4" s="3"/>
      <c r="BF4" s="3"/>
      <c r="BG4" s="3"/>
      <c r="BH4" s="3"/>
      <c r="BI4" s="3"/>
      <c r="BJ4" s="3"/>
      <c r="BK4" s="3"/>
      <c r="BL4" s="3"/>
      <c r="BM4" s="3"/>
      <c r="BN4" s="3"/>
    </row>
    <row r="5" spans="1:66" ht="15" customHeight="1" x14ac:dyDescent="0.3">
      <c r="A5" s="1" t="s">
        <v>33</v>
      </c>
      <c r="B5" s="15"/>
      <c r="C5" s="15"/>
      <c r="D5" s="3">
        <f t="shared" si="0"/>
        <v>946.92548117798526</v>
      </c>
      <c r="E5" s="3">
        <v>11694435</v>
      </c>
      <c r="F5" s="6">
        <v>12349.9</v>
      </c>
      <c r="G5" s="3">
        <f t="shared" si="1"/>
        <v>1061.9280158925951</v>
      </c>
      <c r="H5" s="3">
        <v>8178651</v>
      </c>
      <c r="I5" s="6">
        <v>7701.7</v>
      </c>
      <c r="J5" s="3">
        <f t="shared" si="2"/>
        <v>1157.0512174096905</v>
      </c>
      <c r="K5" s="3">
        <v>21341694</v>
      </c>
      <c r="L5" s="6">
        <v>18444.900000000001</v>
      </c>
      <c r="M5" s="3">
        <f t="shared" si="3"/>
        <v>1176.6287545633081</v>
      </c>
      <c r="N5" s="3">
        <v>9765901</v>
      </c>
      <c r="O5" s="6">
        <v>8299.9</v>
      </c>
      <c r="P5" s="3">
        <f t="shared" si="4"/>
        <v>1439.1201504451649</v>
      </c>
      <c r="Q5" s="3">
        <v>14692985</v>
      </c>
      <c r="R5" s="6">
        <v>10209.700000000001</v>
      </c>
      <c r="S5" s="3">
        <f t="shared" si="5"/>
        <v>1353.6772136669874</v>
      </c>
      <c r="T5" s="3">
        <v>9001412</v>
      </c>
      <c r="U5" s="6">
        <v>6649.6</v>
      </c>
      <c r="V5" s="3" t="e">
        <f t="shared" si="6"/>
        <v>#DIV/0!</v>
      </c>
      <c r="W5" s="3">
        <v>0</v>
      </c>
      <c r="X5" s="6">
        <v>0</v>
      </c>
      <c r="Y5" s="3" t="e">
        <f t="shared" si="7"/>
        <v>#DIV/0!</v>
      </c>
      <c r="Z5" s="3">
        <v>0</v>
      </c>
      <c r="AA5" s="6">
        <v>0</v>
      </c>
      <c r="AB5" s="3" t="e">
        <f t="shared" si="8"/>
        <v>#DIV/0!</v>
      </c>
      <c r="AC5" s="3">
        <v>0</v>
      </c>
      <c r="AD5" s="6">
        <v>0</v>
      </c>
      <c r="AE5" s="3">
        <f t="shared" si="9"/>
        <v>1339.7313225862367</v>
      </c>
      <c r="AF5" s="3">
        <v>10047583</v>
      </c>
      <c r="AG5" s="6">
        <v>7499.7</v>
      </c>
      <c r="AH5" s="3">
        <f t="shared" si="10"/>
        <v>1421.9141102731348</v>
      </c>
      <c r="AI5" s="3">
        <v>11161457</v>
      </c>
      <c r="AJ5" s="6">
        <v>7849.6</v>
      </c>
      <c r="AK5" s="3">
        <f t="shared" si="11"/>
        <v>1393.6959587671163</v>
      </c>
      <c r="AL5" s="3">
        <v>10870271</v>
      </c>
      <c r="AM5" s="6">
        <v>7799.6</v>
      </c>
      <c r="AN5" s="3">
        <f t="shared" si="12"/>
        <v>1229.8240991836835</v>
      </c>
      <c r="AO5" s="3">
        <f t="shared" si="13"/>
        <v>106754389</v>
      </c>
      <c r="AP5" s="6">
        <f t="shared" si="14"/>
        <v>86804.60000000002</v>
      </c>
      <c r="AQ5" s="3"/>
      <c r="AR5" s="3"/>
      <c r="AS5" s="3"/>
      <c r="AT5" s="3"/>
      <c r="AU5" s="3"/>
      <c r="AV5" s="3"/>
      <c r="AW5" s="3"/>
      <c r="AX5" s="3"/>
      <c r="AY5" s="3"/>
      <c r="AZ5" s="3"/>
      <c r="BA5" s="3"/>
      <c r="BB5" s="3"/>
      <c r="BC5" s="3"/>
      <c r="BD5" s="3"/>
      <c r="BE5" s="3"/>
      <c r="BF5" s="3"/>
      <c r="BG5" s="3"/>
      <c r="BH5" s="3"/>
      <c r="BI5" s="3"/>
      <c r="BJ5" s="3"/>
      <c r="BK5" s="3"/>
      <c r="BL5" s="3"/>
      <c r="BM5" s="3"/>
      <c r="BN5" s="3"/>
    </row>
    <row r="6" spans="1:66" ht="15" customHeight="1" x14ac:dyDescent="0.3">
      <c r="A6" s="1" t="s">
        <v>24</v>
      </c>
      <c r="B6" s="15"/>
      <c r="C6" s="15"/>
      <c r="D6" s="3">
        <f t="shared" si="0"/>
        <v>1086.7643442216536</v>
      </c>
      <c r="E6" s="3">
        <v>10959149</v>
      </c>
      <c r="F6" s="6">
        <v>10084.200000000001</v>
      </c>
      <c r="G6" s="3">
        <f t="shared" si="1"/>
        <v>1175.8923836252782</v>
      </c>
      <c r="H6" s="3">
        <v>18225744</v>
      </c>
      <c r="I6" s="6">
        <v>15499.5</v>
      </c>
      <c r="J6" s="3" t="e">
        <f t="shared" si="2"/>
        <v>#DIV/0!</v>
      </c>
      <c r="K6" s="3">
        <v>0</v>
      </c>
      <c r="L6" s="6">
        <v>0</v>
      </c>
      <c r="M6" s="3" t="e">
        <f t="shared" si="3"/>
        <v>#DIV/0!</v>
      </c>
      <c r="N6" s="3">
        <v>0</v>
      </c>
      <c r="O6" s="6">
        <v>0</v>
      </c>
      <c r="P6" s="3" t="e">
        <f t="shared" si="4"/>
        <v>#DIV/0!</v>
      </c>
      <c r="Q6" s="3">
        <v>0</v>
      </c>
      <c r="R6" s="6">
        <v>0</v>
      </c>
      <c r="S6" s="3" t="e">
        <f t="shared" si="5"/>
        <v>#DIV/0!</v>
      </c>
      <c r="T6" s="3">
        <v>0</v>
      </c>
      <c r="U6" s="6">
        <v>0</v>
      </c>
      <c r="V6" s="3" t="e">
        <f t="shared" si="6"/>
        <v>#DIV/0!</v>
      </c>
      <c r="W6" s="3">
        <v>0</v>
      </c>
      <c r="X6" s="6">
        <v>0</v>
      </c>
      <c r="Y6" s="3" t="e">
        <f t="shared" si="7"/>
        <v>#DIV/0!</v>
      </c>
      <c r="Z6" s="3">
        <v>0</v>
      </c>
      <c r="AA6" s="6">
        <v>0</v>
      </c>
      <c r="AB6" s="3" t="e">
        <f t="shared" si="8"/>
        <v>#DIV/0!</v>
      </c>
      <c r="AC6" s="3">
        <v>0</v>
      </c>
      <c r="AD6" s="6">
        <v>0</v>
      </c>
      <c r="AE6" s="3" t="e">
        <f t="shared" si="9"/>
        <v>#DIV/0!</v>
      </c>
      <c r="AF6" s="3">
        <v>0</v>
      </c>
      <c r="AG6" s="6">
        <v>0</v>
      </c>
      <c r="AH6" s="3" t="e">
        <f t="shared" si="10"/>
        <v>#DIV/0!</v>
      </c>
      <c r="AI6" s="3">
        <v>0</v>
      </c>
      <c r="AJ6" s="6">
        <v>0</v>
      </c>
      <c r="AK6" s="3">
        <f t="shared" si="11"/>
        <v>1313.8661593554164</v>
      </c>
      <c r="AL6" s="3">
        <v>8805531</v>
      </c>
      <c r="AM6" s="6">
        <v>6702</v>
      </c>
      <c r="AN6" s="3">
        <f t="shared" si="12"/>
        <v>1176.6950693341014</v>
      </c>
      <c r="AO6" s="3">
        <f t="shared" si="13"/>
        <v>37990424</v>
      </c>
      <c r="AP6" s="6">
        <f t="shared" si="14"/>
        <v>32285.7</v>
      </c>
      <c r="AQ6" s="3"/>
      <c r="AR6" s="3"/>
      <c r="AS6" s="3"/>
      <c r="AT6" s="3"/>
      <c r="AU6" s="3"/>
      <c r="AV6" s="3"/>
      <c r="AW6" s="3"/>
      <c r="AX6" s="3"/>
      <c r="AY6" s="3"/>
      <c r="AZ6" s="3"/>
      <c r="BA6" s="3"/>
      <c r="BB6" s="3"/>
      <c r="BC6" s="3"/>
      <c r="BD6" s="3"/>
      <c r="BE6" s="3"/>
      <c r="BF6" s="3"/>
      <c r="BG6" s="3"/>
      <c r="BH6" s="3"/>
      <c r="BI6" s="3"/>
      <c r="BJ6" s="3"/>
      <c r="BK6" s="3"/>
      <c r="BL6" s="3"/>
      <c r="BM6" s="3"/>
      <c r="BN6" s="3"/>
    </row>
    <row r="7" spans="1:66" ht="15" customHeight="1" x14ac:dyDescent="0.3">
      <c r="A7" s="1" t="s">
        <v>25</v>
      </c>
      <c r="B7" s="15"/>
      <c r="C7" s="15"/>
      <c r="D7" s="3">
        <f t="shared" si="0"/>
        <v>1061.7605326347959</v>
      </c>
      <c r="E7" s="3">
        <v>8755065</v>
      </c>
      <c r="F7" s="6">
        <v>8245.7999999999993</v>
      </c>
      <c r="G7" s="3">
        <f t="shared" si="1"/>
        <v>1073.6405753007884</v>
      </c>
      <c r="H7" s="3">
        <v>20185087</v>
      </c>
      <c r="I7" s="6">
        <v>18800.599999999999</v>
      </c>
      <c r="J7" s="3">
        <f t="shared" si="2"/>
        <v>1341.2393425539979</v>
      </c>
      <c r="K7" s="3">
        <v>5663249</v>
      </c>
      <c r="L7" s="6">
        <v>4222.3999999999996</v>
      </c>
      <c r="M7" s="3">
        <f t="shared" si="3"/>
        <v>1325.7704614769261</v>
      </c>
      <c r="N7" s="3">
        <v>5303347</v>
      </c>
      <c r="O7" s="6">
        <v>4000.2</v>
      </c>
      <c r="P7" s="3">
        <f t="shared" si="4"/>
        <v>1198.0440468175461</v>
      </c>
      <c r="Q7" s="3">
        <v>9253213</v>
      </c>
      <c r="R7" s="6">
        <v>7723.6</v>
      </c>
      <c r="S7" s="3" t="e">
        <f t="shared" si="5"/>
        <v>#DIV/0!</v>
      </c>
      <c r="T7" s="3">
        <v>0</v>
      </c>
      <c r="U7" s="6">
        <v>0</v>
      </c>
      <c r="V7" s="3">
        <f t="shared" si="6"/>
        <v>759.51406649616365</v>
      </c>
      <c r="W7" s="3">
        <v>59394</v>
      </c>
      <c r="X7" s="6">
        <v>78.2</v>
      </c>
      <c r="Y7" s="3" t="e">
        <f t="shared" si="7"/>
        <v>#DIV/0!</v>
      </c>
      <c r="Z7" s="3">
        <v>0</v>
      </c>
      <c r="AA7" s="6">
        <v>0</v>
      </c>
      <c r="AB7" s="3" t="e">
        <f t="shared" si="8"/>
        <v>#DIV/0!</v>
      </c>
      <c r="AC7" s="3">
        <v>0</v>
      </c>
      <c r="AD7" s="6">
        <v>0</v>
      </c>
      <c r="AE7" s="3" t="e">
        <f t="shared" si="9"/>
        <v>#DIV/0!</v>
      </c>
      <c r="AF7" s="3">
        <v>0</v>
      </c>
      <c r="AG7" s="6">
        <v>0</v>
      </c>
      <c r="AH7" s="3">
        <f t="shared" si="10"/>
        <v>1290.7022570617651</v>
      </c>
      <c r="AI7" s="3">
        <v>4774953</v>
      </c>
      <c r="AJ7" s="6">
        <v>3699.5</v>
      </c>
      <c r="AK7" s="3">
        <f t="shared" si="11"/>
        <v>1273.3893692580871</v>
      </c>
      <c r="AL7" s="3">
        <v>6597685</v>
      </c>
      <c r="AM7" s="6">
        <v>5181.2</v>
      </c>
      <c r="AN7" s="3">
        <f t="shared" si="12"/>
        <v>1166.3184508628244</v>
      </c>
      <c r="AO7" s="3">
        <f t="shared" si="13"/>
        <v>60591993</v>
      </c>
      <c r="AP7" s="6">
        <f t="shared" si="14"/>
        <v>51951.499999999985</v>
      </c>
      <c r="AQ7" s="3"/>
      <c r="AR7" s="3"/>
      <c r="AS7" s="3"/>
      <c r="AT7" s="3"/>
      <c r="AU7" s="3"/>
      <c r="AV7" s="3"/>
      <c r="AW7" s="3"/>
      <c r="AX7" s="3"/>
      <c r="AY7" s="3"/>
      <c r="AZ7" s="3"/>
      <c r="BA7" s="3"/>
      <c r="BB7" s="3"/>
      <c r="BC7" s="3"/>
      <c r="BD7" s="3"/>
      <c r="BE7" s="3"/>
      <c r="BF7" s="3"/>
      <c r="BG7" s="3"/>
      <c r="BH7" s="3"/>
      <c r="BI7" s="3"/>
      <c r="BJ7" s="3"/>
      <c r="BK7" s="3"/>
      <c r="BL7" s="3"/>
      <c r="BM7" s="3"/>
      <c r="BN7" s="3"/>
    </row>
    <row r="8" spans="1:66" ht="15" customHeight="1" x14ac:dyDescent="0.3">
      <c r="A8" s="1" t="s">
        <v>19</v>
      </c>
      <c r="B8" s="15"/>
      <c r="C8" s="15"/>
      <c r="D8" s="3" t="e">
        <f t="shared" si="0"/>
        <v>#DIV/0!</v>
      </c>
      <c r="E8" s="3">
        <v>0</v>
      </c>
      <c r="F8" s="6">
        <v>0</v>
      </c>
      <c r="G8" s="3" t="e">
        <f t="shared" si="1"/>
        <v>#DIV/0!</v>
      </c>
      <c r="H8" s="3">
        <v>0</v>
      </c>
      <c r="I8" s="6">
        <v>0</v>
      </c>
      <c r="J8" s="3">
        <f t="shared" si="2"/>
        <v>1114.0456929940676</v>
      </c>
      <c r="K8" s="3">
        <v>2272319</v>
      </c>
      <c r="L8" s="6">
        <v>2039.7</v>
      </c>
      <c r="M8" s="3" t="e">
        <f t="shared" si="3"/>
        <v>#DIV/0!</v>
      </c>
      <c r="N8" s="3">
        <v>0</v>
      </c>
      <c r="O8" s="6">
        <v>0</v>
      </c>
      <c r="P8" s="3" t="e">
        <f t="shared" si="4"/>
        <v>#DIV/0!</v>
      </c>
      <c r="Q8" s="3">
        <v>0</v>
      </c>
      <c r="R8" s="6">
        <v>0</v>
      </c>
      <c r="S8" s="3" t="e">
        <f t="shared" si="5"/>
        <v>#DIV/0!</v>
      </c>
      <c r="T8" s="3">
        <v>0</v>
      </c>
      <c r="U8" s="6">
        <v>0</v>
      </c>
      <c r="V8" s="3" t="e">
        <f t="shared" si="6"/>
        <v>#DIV/0!</v>
      </c>
      <c r="W8" s="3">
        <v>0</v>
      </c>
      <c r="X8" s="6">
        <v>0</v>
      </c>
      <c r="Y8" s="3" t="e">
        <f t="shared" si="7"/>
        <v>#DIV/0!</v>
      </c>
      <c r="Z8" s="3">
        <v>0</v>
      </c>
      <c r="AA8" s="6">
        <v>0</v>
      </c>
      <c r="AB8" s="3" t="e">
        <f t="shared" si="8"/>
        <v>#DIV/0!</v>
      </c>
      <c r="AC8" s="3">
        <v>0</v>
      </c>
      <c r="AD8" s="6">
        <v>0</v>
      </c>
      <c r="AE8" s="3">
        <f t="shared" si="9"/>
        <v>1348.7297316602778</v>
      </c>
      <c r="AF8" s="3">
        <v>5664530</v>
      </c>
      <c r="AG8" s="6">
        <v>4199.8999999999996</v>
      </c>
      <c r="AH8" s="3" t="e">
        <f t="shared" si="10"/>
        <v>#DIV/0!</v>
      </c>
      <c r="AI8" s="3">
        <v>0</v>
      </c>
      <c r="AJ8" s="6">
        <v>0</v>
      </c>
      <c r="AK8" s="3">
        <f t="shared" si="11"/>
        <v>1311.6384548068509</v>
      </c>
      <c r="AL8" s="3">
        <v>5245898</v>
      </c>
      <c r="AM8" s="6">
        <v>3999.5</v>
      </c>
      <c r="AN8" s="3">
        <f t="shared" si="12"/>
        <v>1287.4907950894124</v>
      </c>
      <c r="AO8" s="3">
        <f t="shared" si="13"/>
        <v>13182747</v>
      </c>
      <c r="AP8" s="6">
        <f t="shared" si="14"/>
        <v>10239.099999999999</v>
      </c>
      <c r="AQ8" s="3"/>
      <c r="AR8" s="3"/>
      <c r="AS8" s="3"/>
      <c r="AT8" s="3"/>
      <c r="AU8" s="3"/>
      <c r="AV8" s="3"/>
      <c r="AW8" s="3"/>
      <c r="AX8" s="3"/>
      <c r="AY8" s="3"/>
      <c r="AZ8" s="3"/>
      <c r="BA8" s="3"/>
      <c r="BB8" s="3"/>
      <c r="BC8" s="3"/>
      <c r="BD8" s="3"/>
      <c r="BE8" s="3"/>
      <c r="BF8" s="3"/>
      <c r="BG8" s="3"/>
      <c r="BH8" s="3"/>
      <c r="BI8" s="3"/>
      <c r="BJ8" s="3"/>
      <c r="BK8" s="3"/>
      <c r="BL8" s="3"/>
      <c r="BM8" s="3"/>
      <c r="BN8" s="3"/>
    </row>
    <row r="9" spans="1:66" ht="15" customHeight="1" x14ac:dyDescent="0.3">
      <c r="A9" s="1" t="s">
        <v>27</v>
      </c>
      <c r="B9" s="15"/>
      <c r="C9" s="15"/>
      <c r="D9" s="3">
        <f t="shared" si="0"/>
        <v>667.86038045611906</v>
      </c>
      <c r="E9" s="3">
        <v>1871278</v>
      </c>
      <c r="F9" s="6">
        <v>2801.9</v>
      </c>
      <c r="G9" s="3" t="e">
        <f t="shared" si="1"/>
        <v>#DIV/0!</v>
      </c>
      <c r="H9" s="3">
        <v>0</v>
      </c>
      <c r="I9" s="6">
        <v>0</v>
      </c>
      <c r="J9" s="3">
        <f t="shared" si="2"/>
        <v>697.57327315317377</v>
      </c>
      <c r="K9" s="3">
        <v>2441925</v>
      </c>
      <c r="L9" s="6">
        <v>3500.6</v>
      </c>
      <c r="M9" s="3">
        <f t="shared" si="3"/>
        <v>827.22304747757528</v>
      </c>
      <c r="N9" s="3">
        <v>2895777</v>
      </c>
      <c r="O9" s="6">
        <v>3500.6</v>
      </c>
      <c r="P9" s="3" t="e">
        <f t="shared" si="4"/>
        <v>#DIV/0!</v>
      </c>
      <c r="Q9" s="3">
        <v>0</v>
      </c>
      <c r="R9" s="6">
        <v>0</v>
      </c>
      <c r="S9" s="3">
        <f t="shared" si="5"/>
        <v>1622.0816214049505</v>
      </c>
      <c r="T9" s="3">
        <v>6474701</v>
      </c>
      <c r="U9" s="6">
        <v>3991.6</v>
      </c>
      <c r="V9" s="3" t="e">
        <f t="shared" si="6"/>
        <v>#DIV/0!</v>
      </c>
      <c r="W9" s="3">
        <v>0</v>
      </c>
      <c r="X9" s="6">
        <v>0</v>
      </c>
      <c r="Y9" s="3">
        <f t="shared" si="7"/>
        <v>1288.482441352116</v>
      </c>
      <c r="Z9" s="3">
        <v>4509302</v>
      </c>
      <c r="AA9" s="6">
        <v>3499.7</v>
      </c>
      <c r="AB9" s="3" t="e">
        <f t="shared" si="8"/>
        <v>#DIV/0!</v>
      </c>
      <c r="AC9" s="3">
        <v>0</v>
      </c>
      <c r="AD9" s="6">
        <v>0</v>
      </c>
      <c r="AE9" s="3">
        <f t="shared" si="9"/>
        <v>1245.807834061884</v>
      </c>
      <c r="AF9" s="3">
        <v>4360452</v>
      </c>
      <c r="AG9" s="6">
        <v>3500.1</v>
      </c>
      <c r="AH9" s="3" t="e">
        <f t="shared" si="10"/>
        <v>#DIV/0!</v>
      </c>
      <c r="AI9" s="3">
        <v>0</v>
      </c>
      <c r="AJ9" s="6">
        <v>0</v>
      </c>
      <c r="AK9" s="3">
        <f t="shared" si="11"/>
        <v>1121.2339697919635</v>
      </c>
      <c r="AL9" s="3">
        <v>3934410</v>
      </c>
      <c r="AM9" s="6">
        <v>3509</v>
      </c>
      <c r="AN9" s="3">
        <f t="shared" si="12"/>
        <v>1089.8777953792664</v>
      </c>
      <c r="AO9" s="3">
        <f t="shared" si="13"/>
        <v>26487845</v>
      </c>
      <c r="AP9" s="6">
        <f t="shared" si="14"/>
        <v>24303.5</v>
      </c>
      <c r="AQ9" s="3"/>
      <c r="AR9" s="3"/>
      <c r="AS9" s="3"/>
      <c r="AT9" s="3"/>
      <c r="AU9" s="3"/>
      <c r="AV9" s="3"/>
      <c r="AW9" s="3"/>
      <c r="AX9" s="3"/>
      <c r="AY9" s="3"/>
      <c r="AZ9" s="3"/>
      <c r="BA9" s="3"/>
      <c r="BB9" s="3"/>
      <c r="BC9" s="3"/>
      <c r="BD9" s="3"/>
      <c r="BE9" s="3"/>
      <c r="BF9" s="3"/>
      <c r="BG9" s="3"/>
      <c r="BH9" s="3"/>
      <c r="BI9" s="3"/>
      <c r="BJ9" s="3"/>
      <c r="BK9" s="3"/>
      <c r="BL9" s="3"/>
      <c r="BM9" s="3"/>
      <c r="BN9" s="3"/>
    </row>
    <row r="10" spans="1:66" ht="15" customHeight="1" x14ac:dyDescent="0.3">
      <c r="A10" s="1" t="s">
        <v>28</v>
      </c>
      <c r="B10" s="15"/>
      <c r="C10" s="15"/>
      <c r="D10" s="3">
        <f t="shared" si="0"/>
        <v>929.12246290295082</v>
      </c>
      <c r="E10" s="3">
        <v>1089489</v>
      </c>
      <c r="F10" s="6">
        <v>1172.5999999999999</v>
      </c>
      <c r="G10" s="3">
        <f t="shared" si="1"/>
        <v>1007.0740897246284</v>
      </c>
      <c r="H10" s="3">
        <v>2859889</v>
      </c>
      <c r="I10" s="6">
        <v>2839.8</v>
      </c>
      <c r="J10" s="3">
        <f t="shared" si="2"/>
        <v>1083.0813754236322</v>
      </c>
      <c r="K10" s="3">
        <v>2844280</v>
      </c>
      <c r="L10" s="6">
        <v>2626.1</v>
      </c>
      <c r="M10" s="3">
        <f t="shared" si="3"/>
        <v>954.955772811918</v>
      </c>
      <c r="N10" s="3">
        <v>410249</v>
      </c>
      <c r="O10" s="6">
        <v>429.6</v>
      </c>
      <c r="P10" s="3">
        <f t="shared" si="4"/>
        <v>1115.7647058823529</v>
      </c>
      <c r="Q10" s="3">
        <v>18968</v>
      </c>
      <c r="R10" s="6">
        <v>17</v>
      </c>
      <c r="S10" s="3">
        <f t="shared" si="5"/>
        <v>1520.6973895412689</v>
      </c>
      <c r="T10" s="3">
        <v>7200198</v>
      </c>
      <c r="U10" s="6">
        <v>4734.8</v>
      </c>
      <c r="V10" s="3">
        <f t="shared" si="6"/>
        <v>1480.8443970767357</v>
      </c>
      <c r="W10" s="3">
        <v>4863093</v>
      </c>
      <c r="X10" s="6">
        <v>3284</v>
      </c>
      <c r="Y10" s="3">
        <f t="shared" si="7"/>
        <v>1536.5867579908677</v>
      </c>
      <c r="Z10" s="3">
        <v>269210</v>
      </c>
      <c r="AA10" s="6">
        <v>175.2</v>
      </c>
      <c r="AB10" s="3">
        <f t="shared" si="8"/>
        <v>1404.1780045351472</v>
      </c>
      <c r="AC10" s="3">
        <v>247697</v>
      </c>
      <c r="AD10" s="6">
        <v>176.4</v>
      </c>
      <c r="AE10" s="3">
        <f t="shared" si="9"/>
        <v>1465.9883321894304</v>
      </c>
      <c r="AF10" s="3">
        <v>854378</v>
      </c>
      <c r="AG10" s="6">
        <v>582.79999999999995</v>
      </c>
      <c r="AH10" s="3">
        <f t="shared" si="10"/>
        <v>1168.0017429640641</v>
      </c>
      <c r="AI10" s="3">
        <v>4556842</v>
      </c>
      <c r="AJ10" s="6">
        <v>3901.4</v>
      </c>
      <c r="AK10" s="3">
        <f t="shared" si="11"/>
        <v>1440.6843945740306</v>
      </c>
      <c r="AL10" s="3">
        <v>3749093</v>
      </c>
      <c r="AM10" s="6">
        <v>2602.3000000000002</v>
      </c>
      <c r="AN10" s="3">
        <f t="shared" si="12"/>
        <v>1284.8631887143997</v>
      </c>
      <c r="AO10" s="3">
        <f t="shared" si="13"/>
        <v>28963386</v>
      </c>
      <c r="AP10" s="6">
        <f t="shared" si="14"/>
        <v>22542</v>
      </c>
      <c r="AQ10" s="3"/>
      <c r="AR10" s="3"/>
      <c r="AS10" s="3"/>
      <c r="AT10" s="3"/>
      <c r="AU10" s="3"/>
      <c r="AV10" s="3"/>
      <c r="AW10" s="3"/>
      <c r="AX10" s="3"/>
      <c r="AY10" s="3"/>
      <c r="AZ10" s="3"/>
      <c r="BA10" s="3"/>
      <c r="BB10" s="3"/>
      <c r="BC10" s="3"/>
      <c r="BD10" s="3"/>
      <c r="BE10" s="3"/>
      <c r="BF10" s="3"/>
      <c r="BG10" s="3"/>
      <c r="BH10" s="3"/>
      <c r="BI10" s="3"/>
      <c r="BJ10" s="3"/>
      <c r="BK10" s="3"/>
      <c r="BL10" s="3"/>
      <c r="BM10" s="3"/>
      <c r="BN10" s="3"/>
    </row>
    <row r="11" spans="1:66" ht="15" customHeight="1" x14ac:dyDescent="0.3">
      <c r="A11" s="1" t="s">
        <v>32</v>
      </c>
      <c r="B11" s="15"/>
      <c r="C11" s="15"/>
      <c r="D11" s="3" t="e">
        <f t="shared" si="0"/>
        <v>#DIV/0!</v>
      </c>
      <c r="E11" s="3">
        <v>0</v>
      </c>
      <c r="F11" s="6">
        <v>0</v>
      </c>
      <c r="G11" s="3">
        <f t="shared" si="1"/>
        <v>1188.6952171302783</v>
      </c>
      <c r="H11" s="3">
        <v>1187982</v>
      </c>
      <c r="I11" s="6">
        <v>999.4</v>
      </c>
      <c r="J11" s="3">
        <f t="shared" si="2"/>
        <v>1142.4910334005829</v>
      </c>
      <c r="K11" s="3">
        <v>2038661</v>
      </c>
      <c r="L11" s="6">
        <v>1784.4</v>
      </c>
      <c r="M11" s="3" t="e">
        <f t="shared" si="3"/>
        <v>#DIV/0!</v>
      </c>
      <c r="N11" s="3">
        <v>0</v>
      </c>
      <c r="O11" s="6">
        <v>0</v>
      </c>
      <c r="P11" s="3">
        <f t="shared" si="4"/>
        <v>1248.8628628628628</v>
      </c>
      <c r="Q11" s="3">
        <v>1247614</v>
      </c>
      <c r="R11" s="6">
        <v>999</v>
      </c>
      <c r="S11" s="3" t="e">
        <f t="shared" si="5"/>
        <v>#DIV/0!</v>
      </c>
      <c r="T11" s="3">
        <v>0</v>
      </c>
      <c r="U11" s="6">
        <v>0</v>
      </c>
      <c r="V11" s="3" t="e">
        <f t="shared" si="6"/>
        <v>#DIV/0!</v>
      </c>
      <c r="W11" s="3">
        <v>0</v>
      </c>
      <c r="X11" s="6">
        <v>0</v>
      </c>
      <c r="Y11" s="3" t="e">
        <f t="shared" si="7"/>
        <v>#DIV/0!</v>
      </c>
      <c r="Z11" s="3">
        <v>0</v>
      </c>
      <c r="AA11" s="6">
        <v>0</v>
      </c>
      <c r="AB11" s="3" t="e">
        <f t="shared" si="8"/>
        <v>#DIV/0!</v>
      </c>
      <c r="AC11" s="3">
        <v>0</v>
      </c>
      <c r="AD11" s="6">
        <v>0</v>
      </c>
      <c r="AE11" s="3" t="e">
        <f t="shared" si="9"/>
        <v>#DIV/0!</v>
      </c>
      <c r="AF11" s="3">
        <v>0</v>
      </c>
      <c r="AG11" s="6">
        <v>0</v>
      </c>
      <c r="AH11" s="3">
        <f t="shared" si="10"/>
        <v>1407.4919558222452</v>
      </c>
      <c r="AI11" s="3">
        <v>1618475</v>
      </c>
      <c r="AJ11" s="6">
        <v>1149.9000000000001</v>
      </c>
      <c r="AK11" s="3">
        <f t="shared" si="11"/>
        <v>1390.9569932094541</v>
      </c>
      <c r="AL11" s="3">
        <v>2642401</v>
      </c>
      <c r="AM11" s="6">
        <v>1899.7</v>
      </c>
      <c r="AN11" s="3">
        <f t="shared" si="12"/>
        <v>1278.4867689245359</v>
      </c>
      <c r="AO11" s="3">
        <f t="shared" si="13"/>
        <v>8735133</v>
      </c>
      <c r="AP11" s="6">
        <f t="shared" si="14"/>
        <v>6832.4000000000005</v>
      </c>
      <c r="AQ11" s="3"/>
      <c r="AR11" s="3"/>
      <c r="AS11" s="3"/>
      <c r="AT11" s="3"/>
      <c r="AU11" s="3"/>
      <c r="AV11" s="3"/>
      <c r="AW11" s="3"/>
      <c r="AX11" s="3"/>
      <c r="AY11" s="3"/>
      <c r="AZ11" s="3"/>
      <c r="BA11" s="3"/>
      <c r="BB11" s="3"/>
      <c r="BC11" s="3"/>
      <c r="BD11" s="3"/>
      <c r="BE11" s="3"/>
      <c r="BF11" s="3"/>
      <c r="BG11" s="3"/>
      <c r="BH11" s="3"/>
      <c r="BI11" s="3"/>
      <c r="BJ11" s="3"/>
      <c r="BK11" s="3"/>
      <c r="BL11" s="3"/>
      <c r="BM11" s="3"/>
      <c r="BN11" s="3"/>
    </row>
    <row r="12" spans="1:66" ht="15" customHeight="1" x14ac:dyDescent="0.3">
      <c r="A12" s="1" t="s">
        <v>34</v>
      </c>
      <c r="B12" s="15"/>
      <c r="C12" s="15"/>
      <c r="D12" s="3" t="e">
        <f>E12/F12</f>
        <v>#DIV/0!</v>
      </c>
      <c r="E12" s="3">
        <v>0</v>
      </c>
      <c r="F12" s="6">
        <v>0</v>
      </c>
      <c r="G12" s="3" t="e">
        <f>H12/I12</f>
        <v>#DIV/0!</v>
      </c>
      <c r="H12" s="3">
        <v>0</v>
      </c>
      <c r="I12" s="6">
        <v>0</v>
      </c>
      <c r="J12" s="3" t="e">
        <f>K12/L12</f>
        <v>#DIV/0!</v>
      </c>
      <c r="K12" s="3">
        <v>0</v>
      </c>
      <c r="L12" s="6">
        <v>0</v>
      </c>
      <c r="M12" s="3" t="e">
        <f>N12/O12</f>
        <v>#DIV/0!</v>
      </c>
      <c r="N12" s="3">
        <v>0</v>
      </c>
      <c r="O12" s="6">
        <v>0</v>
      </c>
      <c r="P12" s="3" t="e">
        <f>Q12/R12</f>
        <v>#DIV/0!</v>
      </c>
      <c r="Q12" s="3">
        <v>0</v>
      </c>
      <c r="R12" s="6">
        <v>0</v>
      </c>
      <c r="S12" s="3">
        <f>T12/U12</f>
        <v>759.98170173833489</v>
      </c>
      <c r="T12" s="3">
        <v>166132</v>
      </c>
      <c r="U12" s="6">
        <v>218.6</v>
      </c>
      <c r="V12" s="3">
        <f>W12/X12</f>
        <v>1484.4516129032259</v>
      </c>
      <c r="W12" s="3">
        <v>23009</v>
      </c>
      <c r="X12" s="6">
        <v>15.5</v>
      </c>
      <c r="Y12" s="3" t="e">
        <f>Z12/AA12</f>
        <v>#DIV/0!</v>
      </c>
      <c r="Z12" s="3">
        <v>0</v>
      </c>
      <c r="AA12" s="6">
        <v>0</v>
      </c>
      <c r="AB12" s="3" t="e">
        <f>AC12/AD12</f>
        <v>#DIV/0!</v>
      </c>
      <c r="AC12" s="3">
        <v>0</v>
      </c>
      <c r="AD12" s="6">
        <v>0</v>
      </c>
      <c r="AE12" s="3">
        <f>AF12/AG12</f>
        <v>1560.0253164556962</v>
      </c>
      <c r="AF12" s="3">
        <v>61621</v>
      </c>
      <c r="AG12" s="6">
        <v>39.5</v>
      </c>
      <c r="AH12" s="3">
        <f>AI12/AJ12</f>
        <v>1302.9475895179037</v>
      </c>
      <c r="AI12" s="3">
        <v>1302687</v>
      </c>
      <c r="AJ12" s="6">
        <v>999.8</v>
      </c>
      <c r="AK12" s="3">
        <f>AL12/AM12</f>
        <v>1446.33537886873</v>
      </c>
      <c r="AL12" s="3">
        <v>1084173</v>
      </c>
      <c r="AM12" s="6">
        <v>749.6</v>
      </c>
      <c r="AN12" s="3">
        <f t="shared" si="12"/>
        <v>1303.8171033119129</v>
      </c>
      <c r="AO12" s="3">
        <f t="shared" si="13"/>
        <v>2637622</v>
      </c>
      <c r="AP12" s="6">
        <f t="shared" si="14"/>
        <v>2023</v>
      </c>
      <c r="AQ12" s="3"/>
      <c r="AR12" s="3"/>
      <c r="AS12" s="3"/>
      <c r="AT12" s="3"/>
      <c r="AU12" s="3"/>
      <c r="AV12" s="3"/>
      <c r="AW12" s="3"/>
      <c r="AX12" s="3"/>
      <c r="AY12" s="3"/>
      <c r="AZ12" s="3"/>
      <c r="BA12" s="3"/>
      <c r="BB12" s="3"/>
      <c r="BC12" s="3"/>
      <c r="BD12" s="3"/>
      <c r="BE12" s="3"/>
      <c r="BF12" s="3"/>
      <c r="BG12" s="3"/>
      <c r="BH12" s="3"/>
      <c r="BI12" s="3"/>
      <c r="BJ12" s="3"/>
      <c r="BK12" s="3"/>
      <c r="BL12" s="3"/>
      <c r="BM12" s="3"/>
      <c r="BN12" s="3"/>
    </row>
    <row r="13" spans="1:66" ht="15" customHeight="1" x14ac:dyDescent="0.3">
      <c r="A13" s="1" t="s">
        <v>22</v>
      </c>
      <c r="B13" s="15"/>
      <c r="C13" s="15"/>
      <c r="D13" s="3">
        <f t="shared" ref="D13:D35" si="15">E13/F13</f>
        <v>1764.4642857142856</v>
      </c>
      <c r="E13" s="3">
        <v>69167</v>
      </c>
      <c r="F13" s="6">
        <v>39.200000000000003</v>
      </c>
      <c r="G13" s="3">
        <f t="shared" ref="G13:G35" si="16">H13/I13</f>
        <v>1548.0722891566265</v>
      </c>
      <c r="H13" s="3">
        <v>128490</v>
      </c>
      <c r="I13" s="6">
        <v>83</v>
      </c>
      <c r="J13" s="3">
        <f t="shared" ref="J13:J35" si="17">K13/L13</f>
        <v>1760.3664921465968</v>
      </c>
      <c r="K13" s="3">
        <v>33623</v>
      </c>
      <c r="L13" s="6">
        <v>19.100000000000001</v>
      </c>
      <c r="M13" s="3">
        <f t="shared" ref="M13:M35" si="18">N13/O13</f>
        <v>1720.9166666666667</v>
      </c>
      <c r="N13" s="3">
        <v>103255</v>
      </c>
      <c r="O13" s="6">
        <v>60</v>
      </c>
      <c r="P13" s="3">
        <f t="shared" ref="P13:P35" si="19">Q13/R13</f>
        <v>1278.9587073608616</v>
      </c>
      <c r="Q13" s="3">
        <v>71238</v>
      </c>
      <c r="R13" s="6">
        <v>55.7</v>
      </c>
      <c r="S13" s="3">
        <f t="shared" ref="S13:S35" si="20">T13/U13</f>
        <v>1366.1381074168798</v>
      </c>
      <c r="T13" s="3">
        <v>53416</v>
      </c>
      <c r="U13" s="6">
        <v>39.1</v>
      </c>
      <c r="V13" s="3">
        <f t="shared" ref="V13:V35" si="21">W13/X13</f>
        <v>1750.6282722513088</v>
      </c>
      <c r="W13" s="3">
        <v>33437</v>
      </c>
      <c r="X13" s="6">
        <v>19.100000000000001</v>
      </c>
      <c r="Y13" s="3">
        <f t="shared" ref="Y13:Y35" si="22">Z13/AA13</f>
        <v>1773.3908045977012</v>
      </c>
      <c r="Z13" s="3">
        <v>92571</v>
      </c>
      <c r="AA13" s="6">
        <v>52.2</v>
      </c>
      <c r="AB13" s="3" t="e">
        <f t="shared" ref="AB13:AB35" si="23">AC13/AD13</f>
        <v>#DIV/0!</v>
      </c>
      <c r="AC13" s="3">
        <v>0</v>
      </c>
      <c r="AD13" s="6">
        <v>0</v>
      </c>
      <c r="AE13" s="3">
        <f t="shared" ref="AE13:AE35" si="24">AF13/AG13</f>
        <v>1486.3973063973065</v>
      </c>
      <c r="AF13" s="3">
        <v>88292</v>
      </c>
      <c r="AG13" s="6">
        <v>59.4</v>
      </c>
      <c r="AH13" s="3">
        <f t="shared" ref="AH13:AH35" si="25">AI13/AJ13</f>
        <v>1452.7887323943662</v>
      </c>
      <c r="AI13" s="3">
        <v>103148</v>
      </c>
      <c r="AJ13" s="6">
        <v>71</v>
      </c>
      <c r="AK13" s="3">
        <f t="shared" ref="AK13:AK35" si="26">AL13/AM13</f>
        <v>1466.2962962962961</v>
      </c>
      <c r="AL13" s="3">
        <v>106893</v>
      </c>
      <c r="AM13" s="6">
        <v>72.900000000000006</v>
      </c>
      <c r="AN13" s="3">
        <f t="shared" si="12"/>
        <v>1548.1513930261081</v>
      </c>
      <c r="AO13" s="3">
        <f t="shared" si="13"/>
        <v>883530</v>
      </c>
      <c r="AP13" s="6">
        <f t="shared" si="14"/>
        <v>570.70000000000005</v>
      </c>
      <c r="AQ13" s="3"/>
      <c r="AR13" s="3"/>
      <c r="AS13" s="3"/>
      <c r="AT13" s="3"/>
      <c r="AU13" s="3"/>
      <c r="AV13" s="3"/>
      <c r="AW13" s="3"/>
      <c r="AX13" s="3"/>
      <c r="AY13" s="3"/>
      <c r="AZ13" s="3"/>
      <c r="BA13" s="3"/>
      <c r="BB13" s="3"/>
      <c r="BC13" s="3"/>
      <c r="BD13" s="3"/>
      <c r="BE13" s="3"/>
      <c r="BF13" s="3"/>
      <c r="BG13" s="3"/>
      <c r="BH13" s="3"/>
      <c r="BI13" s="3"/>
      <c r="BJ13" s="3"/>
      <c r="BK13" s="3"/>
      <c r="BL13" s="3"/>
      <c r="BM13" s="3"/>
      <c r="BN13" s="3"/>
    </row>
    <row r="14" spans="1:66" ht="15" customHeight="1" x14ac:dyDescent="0.3">
      <c r="A14" s="1" t="s">
        <v>53</v>
      </c>
      <c r="B14" s="15"/>
      <c r="C14" s="15"/>
      <c r="D14" s="3" t="e">
        <f t="shared" si="15"/>
        <v>#DIV/0!</v>
      </c>
      <c r="E14" s="3">
        <v>0</v>
      </c>
      <c r="F14" s="6">
        <v>0</v>
      </c>
      <c r="G14" s="3" t="e">
        <f t="shared" si="16"/>
        <v>#DIV/0!</v>
      </c>
      <c r="H14" s="3">
        <v>0</v>
      </c>
      <c r="I14" s="6">
        <v>0</v>
      </c>
      <c r="J14" s="3">
        <f t="shared" si="17"/>
        <v>1811.5</v>
      </c>
      <c r="K14" s="3">
        <v>36230</v>
      </c>
      <c r="L14" s="6">
        <v>20</v>
      </c>
      <c r="M14" s="3" t="e">
        <f t="shared" si="18"/>
        <v>#DIV/0!</v>
      </c>
      <c r="N14" s="3">
        <v>0</v>
      </c>
      <c r="O14" s="6">
        <v>0</v>
      </c>
      <c r="P14" s="3" t="e">
        <f t="shared" si="19"/>
        <v>#DIV/0!</v>
      </c>
      <c r="Q14" s="3">
        <v>0</v>
      </c>
      <c r="R14" s="6">
        <v>0</v>
      </c>
      <c r="S14" s="3" t="e">
        <f t="shared" si="20"/>
        <v>#DIV/0!</v>
      </c>
      <c r="T14" s="3">
        <v>0</v>
      </c>
      <c r="U14" s="6">
        <v>0</v>
      </c>
      <c r="V14" s="3" t="e">
        <f t="shared" si="21"/>
        <v>#DIV/0!</v>
      </c>
      <c r="W14" s="3">
        <v>0</v>
      </c>
      <c r="X14" s="6">
        <v>0</v>
      </c>
      <c r="Y14" s="3" t="e">
        <f t="shared" si="22"/>
        <v>#DIV/0!</v>
      </c>
      <c r="Z14" s="3">
        <v>0</v>
      </c>
      <c r="AA14" s="6">
        <v>0</v>
      </c>
      <c r="AB14" s="3" t="e">
        <f t="shared" si="23"/>
        <v>#DIV/0!</v>
      </c>
      <c r="AC14" s="3">
        <v>0</v>
      </c>
      <c r="AD14" s="6">
        <v>0</v>
      </c>
      <c r="AE14" s="3">
        <f t="shared" si="24"/>
        <v>2148.8979591836733</v>
      </c>
      <c r="AF14" s="3">
        <v>52648</v>
      </c>
      <c r="AG14" s="6">
        <v>24.5</v>
      </c>
      <c r="AH14" s="3" t="e">
        <f t="shared" si="25"/>
        <v>#DIV/0!</v>
      </c>
      <c r="AI14" s="3">
        <v>0</v>
      </c>
      <c r="AJ14" s="6">
        <v>0</v>
      </c>
      <c r="AK14" s="3">
        <f t="shared" si="26"/>
        <v>760.50713153724246</v>
      </c>
      <c r="AL14" s="3">
        <v>47988</v>
      </c>
      <c r="AM14" s="6">
        <v>63.1</v>
      </c>
      <c r="AN14" s="3">
        <f t="shared" si="12"/>
        <v>1271.9888475836433</v>
      </c>
      <c r="AO14" s="3">
        <f t="shared" si="13"/>
        <v>136866</v>
      </c>
      <c r="AP14" s="6">
        <f t="shared" si="14"/>
        <v>107.6</v>
      </c>
      <c r="AQ14" s="3"/>
      <c r="AR14" s="3"/>
      <c r="AS14" s="3"/>
      <c r="AT14" s="3"/>
      <c r="AU14" s="3"/>
      <c r="AV14" s="3"/>
      <c r="AW14" s="3"/>
      <c r="AX14" s="3"/>
      <c r="AY14" s="3"/>
      <c r="AZ14" s="3"/>
      <c r="BA14" s="3"/>
      <c r="BB14" s="3"/>
      <c r="BC14" s="3"/>
      <c r="BD14" s="3"/>
      <c r="BE14" s="3"/>
      <c r="BF14" s="3"/>
      <c r="BG14" s="3"/>
      <c r="BH14" s="3"/>
      <c r="BI14" s="3"/>
      <c r="BJ14" s="3"/>
      <c r="BK14" s="3"/>
      <c r="BL14" s="3"/>
      <c r="BM14" s="3"/>
      <c r="BN14" s="3"/>
    </row>
    <row r="15" spans="1:66" ht="15" customHeight="1" x14ac:dyDescent="0.3">
      <c r="A15" s="1" t="s">
        <v>42</v>
      </c>
      <c r="B15" s="15"/>
      <c r="C15" s="15"/>
      <c r="D15" s="3" t="e">
        <f t="shared" si="15"/>
        <v>#DIV/0!</v>
      </c>
      <c r="E15" s="3">
        <v>0</v>
      </c>
      <c r="F15" s="6">
        <v>0</v>
      </c>
      <c r="G15" s="3" t="e">
        <f t="shared" si="16"/>
        <v>#DIV/0!</v>
      </c>
      <c r="H15" s="3">
        <v>0</v>
      </c>
      <c r="I15" s="6">
        <v>0</v>
      </c>
      <c r="J15" s="3" t="e">
        <f t="shared" si="17"/>
        <v>#DIV/0!</v>
      </c>
      <c r="K15" s="3">
        <v>0</v>
      </c>
      <c r="L15" s="6">
        <v>0</v>
      </c>
      <c r="M15" s="3" t="e">
        <f t="shared" si="18"/>
        <v>#DIV/0!</v>
      </c>
      <c r="N15" s="3">
        <v>0</v>
      </c>
      <c r="O15" s="6">
        <v>0</v>
      </c>
      <c r="P15" s="3" t="e">
        <f t="shared" si="19"/>
        <v>#DIV/0!</v>
      </c>
      <c r="Q15" s="3">
        <v>0</v>
      </c>
      <c r="R15" s="6">
        <v>0</v>
      </c>
      <c r="S15" s="3" t="e">
        <f t="shared" si="20"/>
        <v>#DIV/0!</v>
      </c>
      <c r="T15" s="3">
        <v>0</v>
      </c>
      <c r="U15" s="6">
        <v>0</v>
      </c>
      <c r="V15" s="3">
        <f t="shared" si="21"/>
        <v>758.6705202312138</v>
      </c>
      <c r="W15" s="3">
        <v>13125</v>
      </c>
      <c r="X15" s="6">
        <v>17.3</v>
      </c>
      <c r="Y15" s="3" t="e">
        <f t="shared" si="22"/>
        <v>#DIV/0!</v>
      </c>
      <c r="Z15" s="3">
        <v>0</v>
      </c>
      <c r="AA15" s="6">
        <v>0</v>
      </c>
      <c r="AB15" s="3" t="e">
        <f t="shared" si="23"/>
        <v>#DIV/0!</v>
      </c>
      <c r="AC15" s="3">
        <v>0</v>
      </c>
      <c r="AD15" s="6">
        <v>0</v>
      </c>
      <c r="AE15" s="3" t="e">
        <f t="shared" si="24"/>
        <v>#DIV/0!</v>
      </c>
      <c r="AF15" s="3">
        <v>0</v>
      </c>
      <c r="AG15" s="6">
        <v>0</v>
      </c>
      <c r="AH15" s="3" t="e">
        <f t="shared" si="25"/>
        <v>#DIV/0!</v>
      </c>
      <c r="AI15" s="3">
        <v>0</v>
      </c>
      <c r="AJ15" s="6">
        <v>0</v>
      </c>
      <c r="AK15" s="3">
        <f t="shared" si="26"/>
        <v>760.88050314465409</v>
      </c>
      <c r="AL15" s="3">
        <v>12098</v>
      </c>
      <c r="AM15" s="6">
        <v>15.9</v>
      </c>
      <c r="AN15" s="3">
        <f t="shared" si="12"/>
        <v>759.72891566265059</v>
      </c>
      <c r="AO15" s="3">
        <f t="shared" si="13"/>
        <v>25223</v>
      </c>
      <c r="AP15" s="6">
        <f t="shared" si="14"/>
        <v>33.200000000000003</v>
      </c>
      <c r="AQ15" s="3"/>
      <c r="AR15" s="3"/>
      <c r="AS15" s="3"/>
      <c r="AT15" s="3"/>
      <c r="AU15" s="3"/>
      <c r="AV15" s="3"/>
      <c r="AW15" s="3"/>
      <c r="AX15" s="3"/>
      <c r="AY15" s="3"/>
      <c r="AZ15" s="3"/>
      <c r="BA15" s="3"/>
      <c r="BB15" s="3"/>
      <c r="BC15" s="3"/>
      <c r="BD15" s="3"/>
      <c r="BE15" s="3"/>
      <c r="BF15" s="3"/>
      <c r="BG15" s="3"/>
      <c r="BH15" s="3"/>
      <c r="BI15" s="3"/>
      <c r="BJ15" s="3"/>
      <c r="BK15" s="3"/>
      <c r="BL15" s="3"/>
      <c r="BM15" s="3"/>
      <c r="BN15" s="3"/>
    </row>
    <row r="16" spans="1:66" ht="15" customHeight="1" x14ac:dyDescent="0.3">
      <c r="A16" s="1" t="s">
        <v>54</v>
      </c>
      <c r="B16" s="15"/>
      <c r="C16" s="15"/>
      <c r="D16" s="3" t="e">
        <f t="shared" si="15"/>
        <v>#DIV/0!</v>
      </c>
      <c r="E16" s="3">
        <v>0</v>
      </c>
      <c r="F16" s="6">
        <v>0</v>
      </c>
      <c r="G16" s="3" t="e">
        <f t="shared" si="16"/>
        <v>#DIV/0!</v>
      </c>
      <c r="H16" s="3">
        <v>0</v>
      </c>
      <c r="I16" s="6">
        <v>0</v>
      </c>
      <c r="J16" s="3" t="e">
        <f t="shared" si="17"/>
        <v>#DIV/0!</v>
      </c>
      <c r="K16" s="3">
        <v>0</v>
      </c>
      <c r="L16" s="6">
        <v>0</v>
      </c>
      <c r="M16" s="3" t="e">
        <f t="shared" si="18"/>
        <v>#DIV/0!</v>
      </c>
      <c r="N16" s="3">
        <v>0</v>
      </c>
      <c r="O16" s="6">
        <v>0</v>
      </c>
      <c r="P16" s="3" t="e">
        <f t="shared" si="19"/>
        <v>#DIV/0!</v>
      </c>
      <c r="Q16" s="3">
        <v>0</v>
      </c>
      <c r="R16" s="6">
        <v>0</v>
      </c>
      <c r="S16" s="3">
        <f t="shared" si="20"/>
        <v>1728.111888111888</v>
      </c>
      <c r="T16" s="3">
        <v>24712</v>
      </c>
      <c r="U16" s="6">
        <v>14.3</v>
      </c>
      <c r="V16" s="3" t="e">
        <f t="shared" si="21"/>
        <v>#DIV/0!</v>
      </c>
      <c r="W16" s="3">
        <v>0</v>
      </c>
      <c r="X16" s="6">
        <v>0</v>
      </c>
      <c r="Y16" s="3" t="e">
        <f t="shared" si="22"/>
        <v>#DIV/0!</v>
      </c>
      <c r="Z16" s="3">
        <v>0</v>
      </c>
      <c r="AA16" s="6">
        <v>0</v>
      </c>
      <c r="AB16" s="3" t="e">
        <f t="shared" si="23"/>
        <v>#DIV/0!</v>
      </c>
      <c r="AC16" s="3">
        <v>0</v>
      </c>
      <c r="AD16" s="6">
        <v>0</v>
      </c>
      <c r="AE16" s="3" t="e">
        <f t="shared" si="24"/>
        <v>#DIV/0!</v>
      </c>
      <c r="AF16" s="3">
        <v>0</v>
      </c>
      <c r="AG16" s="6">
        <v>0</v>
      </c>
      <c r="AH16" s="3" t="e">
        <f t="shared" si="25"/>
        <v>#DIV/0!</v>
      </c>
      <c r="AI16" s="3">
        <v>0</v>
      </c>
      <c r="AJ16" s="6">
        <v>0</v>
      </c>
      <c r="AK16" s="3">
        <f t="shared" si="26"/>
        <v>5741.666666666667</v>
      </c>
      <c r="AL16" s="3">
        <v>3445</v>
      </c>
      <c r="AM16" s="6">
        <v>0.6</v>
      </c>
      <c r="AN16" s="3">
        <f t="shared" si="12"/>
        <v>1889.7315436241611</v>
      </c>
      <c r="AO16" s="3">
        <f t="shared" si="13"/>
        <v>28157</v>
      </c>
      <c r="AP16" s="6">
        <f t="shared" si="14"/>
        <v>14.9</v>
      </c>
      <c r="AQ16" s="3"/>
      <c r="AR16" s="3"/>
      <c r="AS16" s="3"/>
      <c r="AT16" s="3"/>
      <c r="AU16" s="3"/>
      <c r="AV16" s="3"/>
      <c r="AW16" s="3"/>
      <c r="AX16" s="3"/>
      <c r="AY16" s="3"/>
      <c r="AZ16" s="3"/>
      <c r="BA16" s="3"/>
      <c r="BB16" s="3"/>
      <c r="BC16" s="3"/>
      <c r="BD16" s="3"/>
      <c r="BE16" s="3"/>
      <c r="BF16" s="3"/>
      <c r="BG16" s="3"/>
      <c r="BH16" s="3"/>
      <c r="BI16" s="3"/>
      <c r="BJ16" s="3"/>
      <c r="BK16" s="3"/>
      <c r="BL16" s="3"/>
      <c r="BM16" s="3"/>
      <c r="BN16" s="3"/>
    </row>
    <row r="17" spans="1:66" ht="15" customHeight="1" x14ac:dyDescent="0.3">
      <c r="A17" s="1" t="s">
        <v>30</v>
      </c>
      <c r="B17" s="15"/>
      <c r="C17" s="15"/>
      <c r="D17" s="3">
        <f t="shared" si="15"/>
        <v>1239.9171842650105</v>
      </c>
      <c r="E17" s="3">
        <v>59888</v>
      </c>
      <c r="F17" s="6">
        <v>48.3</v>
      </c>
      <c r="G17" s="3">
        <f t="shared" si="16"/>
        <v>1377.1221532091099</v>
      </c>
      <c r="H17" s="3">
        <v>66515</v>
      </c>
      <c r="I17" s="6">
        <v>48.3</v>
      </c>
      <c r="J17" s="3">
        <f t="shared" si="17"/>
        <v>1488.7292817679556</v>
      </c>
      <c r="K17" s="3">
        <v>215568</v>
      </c>
      <c r="L17" s="6">
        <v>144.80000000000001</v>
      </c>
      <c r="M17" s="3">
        <f t="shared" si="18"/>
        <v>1843.2769556025371</v>
      </c>
      <c r="N17" s="3">
        <v>87187</v>
      </c>
      <c r="O17" s="6">
        <v>47.3</v>
      </c>
      <c r="P17" s="3">
        <f t="shared" si="19"/>
        <v>1805.1138716356108</v>
      </c>
      <c r="Q17" s="3">
        <v>87187</v>
      </c>
      <c r="R17" s="6">
        <v>48.3</v>
      </c>
      <c r="S17" s="3" t="e">
        <f t="shared" si="20"/>
        <v>#DIV/0!</v>
      </c>
      <c r="T17" s="3">
        <v>0</v>
      </c>
      <c r="U17" s="6">
        <v>0</v>
      </c>
      <c r="V17" s="3" t="e">
        <f t="shared" si="21"/>
        <v>#DIV/0!</v>
      </c>
      <c r="W17" s="3">
        <v>0</v>
      </c>
      <c r="X17" s="6">
        <v>0</v>
      </c>
      <c r="Y17" s="3" t="e">
        <f t="shared" si="22"/>
        <v>#DIV/0!</v>
      </c>
      <c r="Z17" s="3">
        <v>0</v>
      </c>
      <c r="AA17" s="6">
        <v>0</v>
      </c>
      <c r="AB17" s="3" t="e">
        <f t="shared" si="23"/>
        <v>#DIV/0!</v>
      </c>
      <c r="AC17" s="3">
        <v>0</v>
      </c>
      <c r="AD17" s="6">
        <v>0</v>
      </c>
      <c r="AE17" s="3" t="e">
        <f t="shared" si="24"/>
        <v>#DIV/0!</v>
      </c>
      <c r="AF17" s="3">
        <v>0</v>
      </c>
      <c r="AG17" s="6">
        <v>0</v>
      </c>
      <c r="AH17" s="3" t="e">
        <f t="shared" si="25"/>
        <v>#DIV/0!</v>
      </c>
      <c r="AI17" s="3">
        <v>0</v>
      </c>
      <c r="AJ17" s="6">
        <v>0</v>
      </c>
      <c r="AK17" s="3" t="e">
        <f t="shared" si="26"/>
        <v>#DIV/0!</v>
      </c>
      <c r="AL17" s="3">
        <v>0</v>
      </c>
      <c r="AM17" s="6">
        <v>0</v>
      </c>
      <c r="AN17" s="3">
        <f t="shared" si="12"/>
        <v>1532.1810089020771</v>
      </c>
      <c r="AO17" s="3">
        <f t="shared" si="13"/>
        <v>516345</v>
      </c>
      <c r="AP17" s="6">
        <f t="shared" si="14"/>
        <v>337</v>
      </c>
      <c r="AQ17" s="3"/>
      <c r="AR17" s="3"/>
      <c r="AS17" s="3"/>
      <c r="AT17" s="3"/>
      <c r="AU17" s="3"/>
      <c r="AV17" s="3"/>
      <c r="AW17" s="3"/>
      <c r="AX17" s="3"/>
      <c r="AY17" s="3"/>
      <c r="AZ17" s="3"/>
      <c r="BA17" s="3"/>
      <c r="BB17" s="3"/>
      <c r="BC17" s="3"/>
      <c r="BD17" s="3"/>
      <c r="BE17" s="3"/>
      <c r="BF17" s="3"/>
      <c r="BG17" s="3"/>
      <c r="BH17" s="3"/>
      <c r="BI17" s="3"/>
      <c r="BJ17" s="3"/>
      <c r="BK17" s="3"/>
      <c r="BL17" s="3"/>
      <c r="BM17" s="3"/>
      <c r="BN17" s="3"/>
    </row>
    <row r="18" spans="1:66" ht="15" customHeight="1" x14ac:dyDescent="0.3">
      <c r="A18" s="1" t="s">
        <v>55</v>
      </c>
      <c r="B18" s="15"/>
      <c r="C18" s="15"/>
      <c r="D18" s="3" t="e">
        <f t="shared" si="15"/>
        <v>#DIV/0!</v>
      </c>
      <c r="E18" s="3">
        <v>0</v>
      </c>
      <c r="F18" s="6">
        <v>0</v>
      </c>
      <c r="G18" s="3" t="e">
        <f t="shared" si="16"/>
        <v>#DIV/0!</v>
      </c>
      <c r="H18" s="3">
        <v>0</v>
      </c>
      <c r="I18" s="6">
        <v>0</v>
      </c>
      <c r="J18" s="3" t="e">
        <f t="shared" si="17"/>
        <v>#DIV/0!</v>
      </c>
      <c r="K18" s="3">
        <v>0</v>
      </c>
      <c r="L18" s="6">
        <v>0</v>
      </c>
      <c r="M18" s="3" t="e">
        <f t="shared" si="18"/>
        <v>#DIV/0!</v>
      </c>
      <c r="N18" s="3">
        <v>0</v>
      </c>
      <c r="O18" s="6">
        <v>0</v>
      </c>
      <c r="P18" s="3" t="e">
        <f t="shared" si="19"/>
        <v>#DIV/0!</v>
      </c>
      <c r="Q18" s="3">
        <v>0</v>
      </c>
      <c r="R18" s="6">
        <v>0</v>
      </c>
      <c r="S18" s="3" t="e">
        <f t="shared" si="20"/>
        <v>#DIV/0!</v>
      </c>
      <c r="T18" s="3">
        <v>0</v>
      </c>
      <c r="U18" s="6">
        <v>0</v>
      </c>
      <c r="V18" s="3" t="e">
        <f t="shared" si="21"/>
        <v>#DIV/0!</v>
      </c>
      <c r="W18" s="3">
        <v>0</v>
      </c>
      <c r="X18" s="6">
        <v>0</v>
      </c>
      <c r="Y18" s="3" t="e">
        <f t="shared" si="22"/>
        <v>#DIV/0!</v>
      </c>
      <c r="Z18" s="3">
        <v>0</v>
      </c>
      <c r="AA18" s="6">
        <v>0</v>
      </c>
      <c r="AB18" s="3" t="e">
        <f t="shared" si="23"/>
        <v>#DIV/0!</v>
      </c>
      <c r="AC18" s="3">
        <v>0</v>
      </c>
      <c r="AD18" s="6">
        <v>0</v>
      </c>
      <c r="AE18" s="3" t="e">
        <f t="shared" si="24"/>
        <v>#DIV/0!</v>
      </c>
      <c r="AF18" s="3">
        <v>0</v>
      </c>
      <c r="AG18" s="6">
        <v>0</v>
      </c>
      <c r="AH18" s="3">
        <f t="shared" si="25"/>
        <v>1341.1622430144484</v>
      </c>
      <c r="AI18" s="3">
        <v>29499400</v>
      </c>
      <c r="AJ18" s="6">
        <v>21995.4</v>
      </c>
      <c r="AK18" s="3" t="e">
        <f t="shared" si="26"/>
        <v>#DIV/0!</v>
      </c>
      <c r="AL18" s="3">
        <v>0</v>
      </c>
      <c r="AM18" s="6">
        <v>0</v>
      </c>
      <c r="AN18" s="3">
        <f t="shared" si="12"/>
        <v>1341.1622430144484</v>
      </c>
      <c r="AO18" s="3">
        <f t="shared" si="13"/>
        <v>29499400</v>
      </c>
      <c r="AP18" s="6">
        <f t="shared" si="14"/>
        <v>21995.4</v>
      </c>
      <c r="AQ18" s="3"/>
      <c r="AR18" s="3"/>
      <c r="AS18" s="3"/>
      <c r="AT18" s="3"/>
      <c r="AU18" s="3"/>
      <c r="AV18" s="3"/>
      <c r="AW18" s="3"/>
      <c r="AX18" s="3"/>
      <c r="AY18" s="3"/>
      <c r="AZ18" s="3"/>
      <c r="BA18" s="3"/>
      <c r="BB18" s="3"/>
      <c r="BC18" s="3"/>
      <c r="BD18" s="3"/>
      <c r="BE18" s="3"/>
      <c r="BF18" s="3"/>
      <c r="BG18" s="3"/>
      <c r="BH18" s="3"/>
      <c r="BI18" s="3"/>
      <c r="BJ18" s="3"/>
      <c r="BK18" s="3"/>
      <c r="BL18" s="3"/>
      <c r="BM18" s="3"/>
      <c r="BN18" s="3"/>
    </row>
    <row r="19" spans="1:66" ht="15" customHeight="1" x14ac:dyDescent="0.3">
      <c r="A19" s="1" t="s">
        <v>31</v>
      </c>
      <c r="B19" s="15"/>
      <c r="C19" s="15"/>
      <c r="D19" s="3" t="e">
        <f t="shared" si="15"/>
        <v>#DIV/0!</v>
      </c>
      <c r="E19" s="3">
        <v>0</v>
      </c>
      <c r="F19" s="6">
        <v>0</v>
      </c>
      <c r="G19" s="3" t="e">
        <f t="shared" si="16"/>
        <v>#DIV/0!</v>
      </c>
      <c r="H19" s="3">
        <v>0</v>
      </c>
      <c r="I19" s="6">
        <v>0</v>
      </c>
      <c r="J19" s="3" t="e">
        <f t="shared" si="17"/>
        <v>#DIV/0!</v>
      </c>
      <c r="K19" s="3">
        <v>0</v>
      </c>
      <c r="L19" s="6">
        <v>0</v>
      </c>
      <c r="M19" s="3" t="e">
        <f t="shared" si="18"/>
        <v>#DIV/0!</v>
      </c>
      <c r="N19" s="3">
        <v>0</v>
      </c>
      <c r="O19" s="6">
        <v>0</v>
      </c>
      <c r="P19" s="3" t="e">
        <f t="shared" si="19"/>
        <v>#DIV/0!</v>
      </c>
      <c r="Q19" s="3">
        <v>0</v>
      </c>
      <c r="R19" s="6">
        <v>0</v>
      </c>
      <c r="S19" s="3" t="e">
        <f t="shared" si="20"/>
        <v>#DIV/0!</v>
      </c>
      <c r="T19" s="3">
        <v>0</v>
      </c>
      <c r="U19" s="6">
        <v>0</v>
      </c>
      <c r="V19" s="3" t="e">
        <f t="shared" si="21"/>
        <v>#DIV/0!</v>
      </c>
      <c r="W19" s="3">
        <v>0</v>
      </c>
      <c r="X19" s="6">
        <v>0</v>
      </c>
      <c r="Y19" s="3" t="e">
        <f t="shared" si="22"/>
        <v>#DIV/0!</v>
      </c>
      <c r="Z19" s="3">
        <v>0</v>
      </c>
      <c r="AA19" s="6">
        <v>0</v>
      </c>
      <c r="AB19" s="3" t="e">
        <f t="shared" si="23"/>
        <v>#DIV/0!</v>
      </c>
      <c r="AC19" s="3">
        <v>0</v>
      </c>
      <c r="AD19" s="6">
        <v>0</v>
      </c>
      <c r="AE19" s="3" t="e">
        <f t="shared" si="24"/>
        <v>#DIV/0!</v>
      </c>
      <c r="AF19" s="3">
        <v>0</v>
      </c>
      <c r="AG19" s="6">
        <v>0</v>
      </c>
      <c r="AH19" s="3">
        <f t="shared" si="25"/>
        <v>1729.7297297297298</v>
      </c>
      <c r="AI19" s="3">
        <v>32000</v>
      </c>
      <c r="AJ19" s="6">
        <v>18.5</v>
      </c>
      <c r="AK19" s="3" t="e">
        <f t="shared" si="26"/>
        <v>#DIV/0!</v>
      </c>
      <c r="AL19" s="3">
        <v>0</v>
      </c>
      <c r="AM19" s="6">
        <v>0</v>
      </c>
      <c r="AN19" s="3">
        <f t="shared" si="12"/>
        <v>1729.7297297297298</v>
      </c>
      <c r="AO19" s="3">
        <f t="shared" si="13"/>
        <v>32000</v>
      </c>
      <c r="AP19" s="6">
        <f t="shared" si="14"/>
        <v>18.5</v>
      </c>
      <c r="AQ19" s="3"/>
      <c r="AR19" s="3"/>
      <c r="AS19" s="3"/>
      <c r="AT19" s="3"/>
      <c r="AU19" s="3"/>
      <c r="AV19" s="3"/>
      <c r="AW19" s="3"/>
      <c r="AX19" s="3"/>
      <c r="AY19" s="3"/>
      <c r="AZ19" s="3"/>
      <c r="BA19" s="3"/>
      <c r="BB19" s="3"/>
      <c r="BC19" s="3"/>
      <c r="BD19" s="3"/>
      <c r="BE19" s="3"/>
      <c r="BF19" s="3"/>
      <c r="BG19" s="3"/>
      <c r="BH19" s="3"/>
      <c r="BI19" s="3"/>
      <c r="BJ19" s="3"/>
      <c r="BK19" s="3"/>
      <c r="BL19" s="3"/>
      <c r="BM19" s="3"/>
      <c r="BN19" s="3"/>
    </row>
    <row r="20" spans="1:66" x14ac:dyDescent="0.3">
      <c r="A20" s="1" t="s">
        <v>56</v>
      </c>
      <c r="B20" s="15"/>
      <c r="C20" s="15"/>
      <c r="D20" s="3" t="e">
        <f t="shared" si="15"/>
        <v>#DIV/0!</v>
      </c>
      <c r="E20" s="3">
        <v>0</v>
      </c>
      <c r="F20" s="6">
        <v>0</v>
      </c>
      <c r="G20" s="3" t="e">
        <f t="shared" si="16"/>
        <v>#DIV/0!</v>
      </c>
      <c r="H20" s="3">
        <v>0</v>
      </c>
      <c r="I20" s="6">
        <v>0</v>
      </c>
      <c r="J20" s="3" t="e">
        <f t="shared" si="17"/>
        <v>#DIV/0!</v>
      </c>
      <c r="K20" s="3">
        <v>0</v>
      </c>
      <c r="L20" s="6">
        <v>0</v>
      </c>
      <c r="M20" s="3">
        <f t="shared" si="18"/>
        <v>1786.0209424083769</v>
      </c>
      <c r="N20" s="3">
        <v>34113</v>
      </c>
      <c r="O20" s="6">
        <v>19.100000000000001</v>
      </c>
      <c r="P20" s="3" t="e">
        <f t="shared" si="19"/>
        <v>#DIV/0!</v>
      </c>
      <c r="Q20" s="3">
        <v>0</v>
      </c>
      <c r="R20" s="6">
        <v>0</v>
      </c>
      <c r="S20" s="3">
        <f t="shared" si="20"/>
        <v>759.74025974025972</v>
      </c>
      <c r="T20" s="3">
        <v>46800</v>
      </c>
      <c r="U20" s="6">
        <v>61.6</v>
      </c>
      <c r="V20" s="3" t="e">
        <f t="shared" si="21"/>
        <v>#DIV/0!</v>
      </c>
      <c r="W20" s="3">
        <v>0</v>
      </c>
      <c r="X20" s="6">
        <v>0</v>
      </c>
      <c r="Y20" s="3" t="e">
        <f t="shared" si="22"/>
        <v>#DIV/0!</v>
      </c>
      <c r="Z20" s="3">
        <v>0</v>
      </c>
      <c r="AA20" s="6">
        <v>0</v>
      </c>
      <c r="AB20" s="3" t="e">
        <f t="shared" si="23"/>
        <v>#DIV/0!</v>
      </c>
      <c r="AC20" s="3">
        <v>0</v>
      </c>
      <c r="AD20" s="6">
        <v>0</v>
      </c>
      <c r="AE20" s="3">
        <f t="shared" si="24"/>
        <v>1065.2564102564102</v>
      </c>
      <c r="AF20" s="3">
        <v>41545</v>
      </c>
      <c r="AG20" s="6">
        <v>39</v>
      </c>
      <c r="AH20" s="3" t="e">
        <f t="shared" si="25"/>
        <v>#DIV/0!</v>
      </c>
      <c r="AI20" s="3">
        <v>0</v>
      </c>
      <c r="AJ20" s="6">
        <v>0</v>
      </c>
      <c r="AK20" s="3" t="e">
        <f t="shared" si="26"/>
        <v>#DIV/0!</v>
      </c>
      <c r="AL20" s="3">
        <v>0</v>
      </c>
      <c r="AM20" s="6">
        <v>0</v>
      </c>
      <c r="AN20" s="3">
        <f t="shared" si="12"/>
        <v>1023.0409356725146</v>
      </c>
      <c r="AO20" s="3">
        <f t="shared" si="13"/>
        <v>122458</v>
      </c>
      <c r="AP20" s="6">
        <f t="shared" si="14"/>
        <v>119.7</v>
      </c>
      <c r="AQ20" s="3"/>
      <c r="AR20" s="3"/>
      <c r="AS20" s="3"/>
      <c r="AT20" s="3"/>
      <c r="AU20" s="3"/>
      <c r="AV20" s="3"/>
      <c r="AW20" s="3"/>
      <c r="AX20" s="3"/>
      <c r="AY20" s="3"/>
      <c r="AZ20" s="3"/>
      <c r="BA20" s="3"/>
      <c r="BB20" s="3"/>
      <c r="BC20" s="3"/>
      <c r="BD20" s="3"/>
      <c r="BE20" s="3"/>
      <c r="BF20" s="3"/>
      <c r="BG20" s="3"/>
      <c r="BH20" s="3"/>
      <c r="BI20" s="3"/>
      <c r="BJ20" s="3"/>
      <c r="BK20" s="3"/>
      <c r="BL20" s="3"/>
      <c r="BM20" s="3"/>
      <c r="BN20" s="3"/>
    </row>
    <row r="21" spans="1:66" x14ac:dyDescent="0.3">
      <c r="A21" s="1" t="s">
        <v>57</v>
      </c>
      <c r="B21" s="15"/>
      <c r="C21" s="15"/>
      <c r="D21" s="3" t="e">
        <f t="shared" si="15"/>
        <v>#DIV/0!</v>
      </c>
      <c r="E21" s="3">
        <v>0</v>
      </c>
      <c r="F21" s="6">
        <v>0</v>
      </c>
      <c r="G21" s="3" t="e">
        <f t="shared" si="16"/>
        <v>#DIV/0!</v>
      </c>
      <c r="H21" s="3">
        <v>0</v>
      </c>
      <c r="I21" s="6">
        <v>0</v>
      </c>
      <c r="J21" s="3" t="e">
        <f t="shared" si="17"/>
        <v>#DIV/0!</v>
      </c>
      <c r="K21" s="3">
        <v>0</v>
      </c>
      <c r="L21" s="6">
        <v>0</v>
      </c>
      <c r="M21" s="3" t="e">
        <f t="shared" si="18"/>
        <v>#DIV/0!</v>
      </c>
      <c r="N21" s="3">
        <v>0</v>
      </c>
      <c r="O21" s="6">
        <v>0</v>
      </c>
      <c r="P21" s="3" t="e">
        <f t="shared" si="19"/>
        <v>#DIV/0!</v>
      </c>
      <c r="Q21" s="3">
        <v>0</v>
      </c>
      <c r="R21" s="6">
        <v>0</v>
      </c>
      <c r="S21" s="3">
        <f t="shared" si="20"/>
        <v>756.75675675675677</v>
      </c>
      <c r="T21" s="3">
        <v>2800</v>
      </c>
      <c r="U21" s="6">
        <v>3.7</v>
      </c>
      <c r="V21" s="3" t="e">
        <f t="shared" si="21"/>
        <v>#DIV/0!</v>
      </c>
      <c r="W21" s="3">
        <v>0</v>
      </c>
      <c r="X21" s="6">
        <v>0</v>
      </c>
      <c r="Y21" s="3" t="e">
        <f t="shared" si="22"/>
        <v>#DIV/0!</v>
      </c>
      <c r="Z21" s="3">
        <v>0</v>
      </c>
      <c r="AA21" s="6">
        <v>0</v>
      </c>
      <c r="AB21" s="3" t="e">
        <f t="shared" si="23"/>
        <v>#DIV/0!</v>
      </c>
      <c r="AC21" s="3">
        <v>0</v>
      </c>
      <c r="AD21" s="6">
        <v>0</v>
      </c>
      <c r="AE21" s="3" t="e">
        <f t="shared" si="24"/>
        <v>#DIV/0!</v>
      </c>
      <c r="AF21" s="3">
        <v>0</v>
      </c>
      <c r="AG21" s="6">
        <v>0</v>
      </c>
      <c r="AH21" s="3" t="e">
        <f t="shared" si="25"/>
        <v>#DIV/0!</v>
      </c>
      <c r="AI21" s="3">
        <v>0</v>
      </c>
      <c r="AJ21" s="6">
        <v>0</v>
      </c>
      <c r="AK21" s="3" t="e">
        <f t="shared" si="26"/>
        <v>#DIV/0!</v>
      </c>
      <c r="AL21" s="3">
        <v>0</v>
      </c>
      <c r="AM21" s="6">
        <v>0</v>
      </c>
      <c r="AN21" s="3">
        <f t="shared" si="12"/>
        <v>756.75675675675677</v>
      </c>
      <c r="AO21" s="3">
        <f t="shared" si="13"/>
        <v>2800</v>
      </c>
      <c r="AP21" s="6">
        <f t="shared" si="14"/>
        <v>3.7</v>
      </c>
      <c r="AQ21" s="3"/>
      <c r="AR21" s="3"/>
      <c r="AS21" s="3"/>
      <c r="AT21" s="3"/>
      <c r="AU21" s="3"/>
      <c r="AV21" s="3"/>
      <c r="AW21" s="3"/>
      <c r="AX21" s="3"/>
      <c r="AY21" s="3"/>
      <c r="AZ21" s="3"/>
      <c r="BA21" s="3"/>
      <c r="BB21" s="3"/>
      <c r="BC21" s="3"/>
      <c r="BD21" s="3"/>
      <c r="BE21" s="3"/>
      <c r="BF21" s="3"/>
      <c r="BG21" s="3"/>
      <c r="BH21" s="3"/>
      <c r="BI21" s="3"/>
      <c r="BJ21" s="3"/>
      <c r="BK21" s="3"/>
      <c r="BL21" s="3"/>
      <c r="BM21" s="3"/>
      <c r="BN21" s="3"/>
    </row>
    <row r="22" spans="1:66" x14ac:dyDescent="0.3">
      <c r="A22" s="1" t="s">
        <v>58</v>
      </c>
      <c r="B22" s="15"/>
      <c r="C22" s="15"/>
      <c r="D22" s="3" t="e">
        <f t="shared" si="15"/>
        <v>#DIV/0!</v>
      </c>
      <c r="E22" s="3">
        <v>0</v>
      </c>
      <c r="F22" s="6">
        <v>0</v>
      </c>
      <c r="G22" s="3" t="e">
        <f t="shared" si="16"/>
        <v>#DIV/0!</v>
      </c>
      <c r="H22" s="3">
        <v>0</v>
      </c>
      <c r="I22" s="6">
        <v>0</v>
      </c>
      <c r="J22" s="3">
        <f t="shared" si="17"/>
        <v>1267.0603832107658</v>
      </c>
      <c r="K22" s="3">
        <v>2532727</v>
      </c>
      <c r="L22" s="6">
        <v>1998.9</v>
      </c>
      <c r="M22" s="3" t="e">
        <f t="shared" si="18"/>
        <v>#DIV/0!</v>
      </c>
      <c r="N22" s="3">
        <v>0</v>
      </c>
      <c r="O22" s="6">
        <v>0</v>
      </c>
      <c r="P22" s="3" t="e">
        <f t="shared" si="19"/>
        <v>#DIV/0!</v>
      </c>
      <c r="Q22" s="3">
        <v>0</v>
      </c>
      <c r="R22" s="6">
        <v>0</v>
      </c>
      <c r="S22" s="3" t="e">
        <f t="shared" si="20"/>
        <v>#DIV/0!</v>
      </c>
      <c r="T22" s="3">
        <v>0</v>
      </c>
      <c r="U22" s="6">
        <v>0</v>
      </c>
      <c r="V22" s="3" t="e">
        <f t="shared" si="21"/>
        <v>#DIV/0!</v>
      </c>
      <c r="W22" s="3">
        <v>0</v>
      </c>
      <c r="X22" s="6">
        <v>0</v>
      </c>
      <c r="Y22" s="3" t="e">
        <f t="shared" si="22"/>
        <v>#DIV/0!</v>
      </c>
      <c r="Z22" s="3">
        <v>0</v>
      </c>
      <c r="AA22" s="6">
        <v>0</v>
      </c>
      <c r="AB22" s="3" t="e">
        <f t="shared" si="23"/>
        <v>#DIV/0!</v>
      </c>
      <c r="AC22" s="3">
        <v>0</v>
      </c>
      <c r="AD22" s="6">
        <v>0</v>
      </c>
      <c r="AE22" s="3" t="e">
        <f t="shared" si="24"/>
        <v>#DIV/0!</v>
      </c>
      <c r="AF22" s="3">
        <v>0</v>
      </c>
      <c r="AG22" s="6">
        <v>0</v>
      </c>
      <c r="AH22" s="3" t="e">
        <f t="shared" si="25"/>
        <v>#DIV/0!</v>
      </c>
      <c r="AI22" s="3">
        <v>0</v>
      </c>
      <c r="AJ22" s="6">
        <v>0</v>
      </c>
      <c r="AK22" s="3" t="e">
        <f t="shared" si="26"/>
        <v>#DIV/0!</v>
      </c>
      <c r="AL22" s="3">
        <v>0</v>
      </c>
      <c r="AM22" s="6">
        <v>0</v>
      </c>
      <c r="AN22" s="3">
        <f t="shared" si="12"/>
        <v>1267.0603832107658</v>
      </c>
      <c r="AO22" s="3">
        <f t="shared" si="13"/>
        <v>2532727</v>
      </c>
      <c r="AP22" s="6">
        <f t="shared" si="14"/>
        <v>1998.9</v>
      </c>
      <c r="AQ22" s="3"/>
      <c r="AR22" s="3"/>
      <c r="AS22" s="3"/>
      <c r="AT22" s="3"/>
      <c r="AU22" s="3"/>
      <c r="AV22" s="3"/>
      <c r="AW22" s="3"/>
      <c r="AX22" s="3"/>
      <c r="AY22" s="3"/>
      <c r="AZ22" s="3"/>
      <c r="BA22" s="3"/>
      <c r="BB22" s="3"/>
      <c r="BC22" s="3"/>
      <c r="BD22" s="3"/>
      <c r="BE22" s="3"/>
      <c r="BF22" s="3"/>
      <c r="BG22" s="3"/>
      <c r="BH22" s="3"/>
      <c r="BI22" s="3"/>
      <c r="BJ22" s="3"/>
      <c r="BK22" s="3"/>
      <c r="BL22" s="3"/>
      <c r="BM22" s="3"/>
      <c r="BN22" s="3"/>
    </row>
    <row r="23" spans="1:66" x14ac:dyDescent="0.3">
      <c r="A23" s="1" t="s">
        <v>35</v>
      </c>
      <c r="B23" s="15"/>
      <c r="C23" s="15"/>
      <c r="D23" s="3" t="e">
        <f t="shared" si="15"/>
        <v>#DIV/0!</v>
      </c>
      <c r="E23" s="3">
        <v>0</v>
      </c>
      <c r="F23" s="6">
        <v>0</v>
      </c>
      <c r="G23" s="3" t="e">
        <f t="shared" si="16"/>
        <v>#DIV/0!</v>
      </c>
      <c r="H23" s="3">
        <v>0</v>
      </c>
      <c r="I23" s="6">
        <v>0</v>
      </c>
      <c r="J23" s="3">
        <f t="shared" si="17"/>
        <v>757.89473684210532</v>
      </c>
      <c r="K23" s="3">
        <v>7200</v>
      </c>
      <c r="L23" s="6">
        <v>9.5</v>
      </c>
      <c r="M23" s="3" t="e">
        <f t="shared" si="18"/>
        <v>#DIV/0!</v>
      </c>
      <c r="N23" s="3">
        <v>0</v>
      </c>
      <c r="O23" s="6">
        <v>0</v>
      </c>
      <c r="P23" s="3" t="e">
        <f t="shared" si="19"/>
        <v>#DIV/0!</v>
      </c>
      <c r="Q23" s="3">
        <v>0</v>
      </c>
      <c r="R23" s="6">
        <v>0</v>
      </c>
      <c r="S23" s="3" t="e">
        <f t="shared" si="20"/>
        <v>#DIV/0!</v>
      </c>
      <c r="T23" s="3">
        <v>0</v>
      </c>
      <c r="U23" s="6">
        <v>0</v>
      </c>
      <c r="V23" s="3" t="e">
        <f t="shared" si="21"/>
        <v>#DIV/0!</v>
      </c>
      <c r="W23" s="3">
        <v>0</v>
      </c>
      <c r="X23" s="6">
        <v>0</v>
      </c>
      <c r="Y23" s="3" t="e">
        <f t="shared" si="22"/>
        <v>#DIV/0!</v>
      </c>
      <c r="Z23" s="3">
        <v>0</v>
      </c>
      <c r="AA23" s="6">
        <v>0</v>
      </c>
      <c r="AB23" s="3">
        <f t="shared" si="23"/>
        <v>759.15032679738556</v>
      </c>
      <c r="AC23" s="3">
        <v>11615</v>
      </c>
      <c r="AD23" s="6">
        <v>15.3</v>
      </c>
      <c r="AE23" s="3" t="e">
        <f t="shared" si="24"/>
        <v>#DIV/0!</v>
      </c>
      <c r="AF23" s="3">
        <v>0</v>
      </c>
      <c r="AG23" s="6">
        <v>0</v>
      </c>
      <c r="AH23" s="3" t="e">
        <f t="shared" si="25"/>
        <v>#DIV/0!</v>
      </c>
      <c r="AI23" s="3">
        <v>0</v>
      </c>
      <c r="AJ23" s="6">
        <v>0</v>
      </c>
      <c r="AK23" s="3" t="e">
        <f t="shared" si="26"/>
        <v>#DIV/0!</v>
      </c>
      <c r="AL23" s="3">
        <v>0</v>
      </c>
      <c r="AM23" s="6">
        <v>0</v>
      </c>
      <c r="AN23" s="3">
        <f t="shared" si="12"/>
        <v>758.66935483870964</v>
      </c>
      <c r="AO23" s="3">
        <f t="shared" si="13"/>
        <v>18815</v>
      </c>
      <c r="AP23" s="6">
        <f t="shared" si="14"/>
        <v>24.8</v>
      </c>
      <c r="AQ23" s="3"/>
      <c r="AR23" s="3"/>
      <c r="AS23" s="3"/>
      <c r="AT23" s="3"/>
      <c r="AU23" s="3"/>
      <c r="AV23" s="3"/>
      <c r="AW23" s="3"/>
      <c r="AX23" s="3"/>
      <c r="AY23" s="3"/>
      <c r="AZ23" s="3"/>
      <c r="BA23" s="3"/>
      <c r="BB23" s="3"/>
      <c r="BC23" s="3"/>
      <c r="BD23" s="3"/>
      <c r="BE23" s="3"/>
      <c r="BF23" s="3"/>
      <c r="BG23" s="3"/>
      <c r="BH23" s="3"/>
      <c r="BI23" s="3"/>
      <c r="BJ23" s="3"/>
      <c r="BK23" s="3"/>
      <c r="BL23" s="3"/>
      <c r="BM23" s="3"/>
      <c r="BN23" s="3"/>
    </row>
    <row r="24" spans="1:66" x14ac:dyDescent="0.3">
      <c r="A24" s="1" t="s">
        <v>36</v>
      </c>
      <c r="B24" s="15"/>
      <c r="C24" s="15"/>
      <c r="D24" s="3" t="e">
        <f t="shared" si="15"/>
        <v>#DIV/0!</v>
      </c>
      <c r="E24" s="3">
        <v>0</v>
      </c>
      <c r="F24" s="6">
        <v>0</v>
      </c>
      <c r="G24" s="3" t="e">
        <f t="shared" si="16"/>
        <v>#DIV/0!</v>
      </c>
      <c r="H24" s="3">
        <v>0</v>
      </c>
      <c r="I24" s="6">
        <v>0</v>
      </c>
      <c r="J24" s="3" t="e">
        <f t="shared" si="17"/>
        <v>#DIV/0!</v>
      </c>
      <c r="K24" s="3">
        <v>0</v>
      </c>
      <c r="L24" s="6">
        <v>0</v>
      </c>
      <c r="M24" s="3" t="e">
        <f t="shared" si="18"/>
        <v>#DIV/0!</v>
      </c>
      <c r="N24" s="3">
        <v>0</v>
      </c>
      <c r="O24" s="6">
        <v>0</v>
      </c>
      <c r="P24" s="3" t="e">
        <f t="shared" si="19"/>
        <v>#DIV/0!</v>
      </c>
      <c r="Q24" s="3">
        <v>0</v>
      </c>
      <c r="R24" s="6">
        <v>0</v>
      </c>
      <c r="S24" s="3" t="e">
        <f t="shared" si="20"/>
        <v>#DIV/0!</v>
      </c>
      <c r="T24" s="3">
        <v>0</v>
      </c>
      <c r="U24" s="6">
        <v>0</v>
      </c>
      <c r="V24" s="3" t="e">
        <f t="shared" si="21"/>
        <v>#DIV/0!</v>
      </c>
      <c r="W24" s="3">
        <v>0</v>
      </c>
      <c r="X24" s="6">
        <v>0</v>
      </c>
      <c r="Y24" s="3">
        <f t="shared" si="22"/>
        <v>2204.8342452526554</v>
      </c>
      <c r="Z24" s="3">
        <v>1370084</v>
      </c>
      <c r="AA24" s="6">
        <v>621.4</v>
      </c>
      <c r="AB24" s="3" t="e">
        <f t="shared" si="23"/>
        <v>#DIV/0!</v>
      </c>
      <c r="AC24" s="3">
        <v>0</v>
      </c>
      <c r="AD24" s="6">
        <v>0</v>
      </c>
      <c r="AE24" s="3" t="e">
        <f t="shared" si="24"/>
        <v>#DIV/0!</v>
      </c>
      <c r="AF24" s="3">
        <v>0</v>
      </c>
      <c r="AG24" s="6">
        <v>0</v>
      </c>
      <c r="AH24" s="3" t="e">
        <f t="shared" si="25"/>
        <v>#DIV/0!</v>
      </c>
      <c r="AI24" s="3">
        <v>0</v>
      </c>
      <c r="AJ24" s="6">
        <v>0</v>
      </c>
      <c r="AK24" s="3" t="e">
        <f t="shared" si="26"/>
        <v>#DIV/0!</v>
      </c>
      <c r="AL24" s="3">
        <v>0</v>
      </c>
      <c r="AM24" s="6">
        <v>0</v>
      </c>
      <c r="AN24" s="3">
        <f t="shared" si="12"/>
        <v>2204.8342452526554</v>
      </c>
      <c r="AO24" s="3">
        <f t="shared" si="13"/>
        <v>1370084</v>
      </c>
      <c r="AP24" s="6">
        <f t="shared" si="14"/>
        <v>621.4</v>
      </c>
      <c r="AQ24" s="3"/>
      <c r="AR24" s="3"/>
      <c r="AS24" s="3"/>
      <c r="AT24" s="3"/>
      <c r="AU24" s="3"/>
      <c r="AV24" s="3"/>
      <c r="AW24" s="3"/>
      <c r="AX24" s="3"/>
      <c r="AY24" s="3"/>
      <c r="AZ24" s="3"/>
      <c r="BA24" s="3"/>
      <c r="BB24" s="3"/>
      <c r="BC24" s="3"/>
      <c r="BD24" s="3"/>
      <c r="BE24" s="3"/>
      <c r="BF24" s="3"/>
      <c r="BG24" s="3"/>
      <c r="BH24" s="3"/>
      <c r="BI24" s="3"/>
      <c r="BJ24" s="3"/>
      <c r="BK24" s="3"/>
      <c r="BL24" s="3"/>
      <c r="BM24" s="3"/>
      <c r="BN24" s="3"/>
    </row>
    <row r="25" spans="1:66" x14ac:dyDescent="0.3">
      <c r="A25" s="1" t="s">
        <v>26</v>
      </c>
      <c r="B25" s="15"/>
      <c r="C25" s="15"/>
      <c r="D25" s="3">
        <f t="shared" si="15"/>
        <v>972.91312444622872</v>
      </c>
      <c r="E25" s="3">
        <v>55012497</v>
      </c>
      <c r="F25" s="6">
        <v>56544.1</v>
      </c>
      <c r="G25" s="3">
        <f t="shared" si="16"/>
        <v>1103.6189234270812</v>
      </c>
      <c r="H25" s="3">
        <v>27590142</v>
      </c>
      <c r="I25" s="6">
        <v>24999.7</v>
      </c>
      <c r="J25" s="3">
        <f t="shared" si="17"/>
        <v>1198.4200283085634</v>
      </c>
      <c r="K25" s="3">
        <v>15578981</v>
      </c>
      <c r="L25" s="6">
        <v>12999.6</v>
      </c>
      <c r="M25" s="3">
        <f t="shared" si="18"/>
        <v>1230.5023788599653</v>
      </c>
      <c r="N25" s="3">
        <v>40605348</v>
      </c>
      <c r="O25" s="6">
        <v>32999</v>
      </c>
      <c r="P25" s="3" t="e">
        <f t="shared" si="19"/>
        <v>#DIV/0!</v>
      </c>
      <c r="Q25" s="3">
        <v>0</v>
      </c>
      <c r="R25" s="6">
        <v>0</v>
      </c>
      <c r="S25" s="3">
        <f t="shared" si="20"/>
        <v>1317.4684160349873</v>
      </c>
      <c r="T25" s="3">
        <v>19761631</v>
      </c>
      <c r="U25" s="6">
        <v>14999.7</v>
      </c>
      <c r="V25" s="3" t="e">
        <f t="shared" si="21"/>
        <v>#DIV/0!</v>
      </c>
      <c r="W25" s="3">
        <v>0</v>
      </c>
      <c r="X25" s="6">
        <v>0</v>
      </c>
      <c r="Y25" s="3" t="e">
        <f t="shared" si="22"/>
        <v>#DIV/0!</v>
      </c>
      <c r="Z25" s="3">
        <v>0</v>
      </c>
      <c r="AA25" s="6">
        <v>0</v>
      </c>
      <c r="AB25" s="3" t="e">
        <f t="shared" si="23"/>
        <v>#DIV/0!</v>
      </c>
      <c r="AC25" s="3">
        <v>0</v>
      </c>
      <c r="AD25" s="6">
        <v>0</v>
      </c>
      <c r="AE25" s="3" t="e">
        <f t="shared" si="24"/>
        <v>#DIV/0!</v>
      </c>
      <c r="AF25" s="3">
        <v>0</v>
      </c>
      <c r="AG25" s="6">
        <v>0</v>
      </c>
      <c r="AH25" s="3">
        <f t="shared" si="25"/>
        <v>1345.8511052631579</v>
      </c>
      <c r="AI25" s="3">
        <v>25571171</v>
      </c>
      <c r="AJ25" s="6">
        <v>19000</v>
      </c>
      <c r="AK25" s="3" t="e">
        <f t="shared" si="26"/>
        <v>#DIV/0!</v>
      </c>
      <c r="AL25" s="3">
        <v>0</v>
      </c>
      <c r="AM25" s="6">
        <v>0</v>
      </c>
      <c r="AN25" s="3">
        <f t="shared" si="12"/>
        <v>1139.7633805676662</v>
      </c>
      <c r="AO25" s="3">
        <f t="shared" si="13"/>
        <v>184119770</v>
      </c>
      <c r="AP25" s="6">
        <f t="shared" si="14"/>
        <v>161542.1</v>
      </c>
      <c r="AQ25" s="3"/>
      <c r="AR25" s="3"/>
      <c r="AS25" s="3"/>
      <c r="AT25" s="3"/>
      <c r="AU25" s="3"/>
      <c r="AV25" s="3"/>
      <c r="AW25" s="3"/>
      <c r="AX25" s="3"/>
      <c r="AY25" s="3"/>
      <c r="AZ25" s="3"/>
      <c r="BA25" s="3"/>
      <c r="BB25" s="3"/>
      <c r="BC25" s="3"/>
      <c r="BD25" s="3"/>
      <c r="BE25" s="3"/>
      <c r="BF25" s="3"/>
      <c r="BG25" s="3"/>
      <c r="BH25" s="3"/>
      <c r="BI25" s="3"/>
      <c r="BJ25" s="3"/>
      <c r="BK25" s="3"/>
      <c r="BL25" s="3"/>
      <c r="BM25" s="3"/>
      <c r="BN25" s="3"/>
    </row>
    <row r="26" spans="1:66" x14ac:dyDescent="0.3">
      <c r="A26" s="1" t="s">
        <v>37</v>
      </c>
      <c r="B26" s="15"/>
      <c r="C26" s="15"/>
      <c r="D26" s="3" t="e">
        <f t="shared" si="15"/>
        <v>#DIV/0!</v>
      </c>
      <c r="E26" s="3">
        <v>0</v>
      </c>
      <c r="F26" s="6">
        <v>0</v>
      </c>
      <c r="G26" s="3" t="e">
        <f t="shared" si="16"/>
        <v>#DIV/0!</v>
      </c>
      <c r="H26" s="3">
        <v>0</v>
      </c>
      <c r="I26" s="6">
        <v>0</v>
      </c>
      <c r="J26" s="3" t="e">
        <f t="shared" si="17"/>
        <v>#DIV/0!</v>
      </c>
      <c r="K26" s="3">
        <v>0</v>
      </c>
      <c r="L26" s="6">
        <v>0</v>
      </c>
      <c r="M26" s="3">
        <f t="shared" si="18"/>
        <v>2333.6842105263158</v>
      </c>
      <c r="N26" s="3">
        <v>4434</v>
      </c>
      <c r="O26" s="6">
        <v>1.9</v>
      </c>
      <c r="P26" s="3" t="e">
        <f t="shared" si="19"/>
        <v>#DIV/0!</v>
      </c>
      <c r="Q26" s="3">
        <v>0</v>
      </c>
      <c r="R26" s="6">
        <v>0</v>
      </c>
      <c r="S26" s="3" t="e">
        <f t="shared" si="20"/>
        <v>#DIV/0!</v>
      </c>
      <c r="T26" s="3">
        <v>0</v>
      </c>
      <c r="U26" s="6">
        <v>0</v>
      </c>
      <c r="V26" s="3" t="e">
        <f t="shared" si="21"/>
        <v>#DIV/0!</v>
      </c>
      <c r="W26" s="3">
        <v>0</v>
      </c>
      <c r="X26" s="6">
        <v>0</v>
      </c>
      <c r="Y26" s="3" t="e">
        <f t="shared" si="22"/>
        <v>#DIV/0!</v>
      </c>
      <c r="Z26" s="3">
        <v>0</v>
      </c>
      <c r="AA26" s="6">
        <v>0</v>
      </c>
      <c r="AB26" s="3" t="e">
        <f t="shared" si="23"/>
        <v>#DIV/0!</v>
      </c>
      <c r="AC26" s="3">
        <v>0</v>
      </c>
      <c r="AD26" s="6">
        <v>0</v>
      </c>
      <c r="AE26" s="3" t="e">
        <f t="shared" si="24"/>
        <v>#DIV/0!</v>
      </c>
      <c r="AF26" s="3">
        <v>0</v>
      </c>
      <c r="AG26" s="6">
        <v>0</v>
      </c>
      <c r="AH26" s="3" t="e">
        <f t="shared" si="25"/>
        <v>#DIV/0!</v>
      </c>
      <c r="AI26" s="3">
        <v>0</v>
      </c>
      <c r="AJ26" s="6">
        <v>0</v>
      </c>
      <c r="AK26" s="3" t="e">
        <f t="shared" si="26"/>
        <v>#DIV/0!</v>
      </c>
      <c r="AL26" s="3">
        <v>0</v>
      </c>
      <c r="AM26" s="6">
        <v>0</v>
      </c>
      <c r="AN26" s="3">
        <f t="shared" si="12"/>
        <v>2333.6842105263158</v>
      </c>
      <c r="AO26" s="3">
        <f t="shared" si="13"/>
        <v>4434</v>
      </c>
      <c r="AP26" s="6">
        <f t="shared" si="14"/>
        <v>1.9</v>
      </c>
      <c r="AQ26" s="3"/>
      <c r="AR26" s="3"/>
      <c r="AS26" s="3"/>
      <c r="AT26" s="3"/>
      <c r="AU26" s="3"/>
      <c r="AV26" s="3"/>
      <c r="AW26" s="3"/>
      <c r="AX26" s="3"/>
      <c r="AY26" s="3"/>
      <c r="AZ26" s="3"/>
      <c r="BA26" s="3"/>
      <c r="BB26" s="3"/>
      <c r="BC26" s="3"/>
      <c r="BD26" s="3"/>
      <c r="BE26" s="3"/>
      <c r="BF26" s="3"/>
      <c r="BG26" s="3"/>
      <c r="BH26" s="3"/>
      <c r="BI26" s="3"/>
      <c r="BJ26" s="3"/>
      <c r="BK26" s="3"/>
      <c r="BL26" s="3"/>
      <c r="BM26" s="3"/>
      <c r="BN26" s="3"/>
    </row>
    <row r="27" spans="1:66" x14ac:dyDescent="0.3">
      <c r="A27" s="1" t="s">
        <v>29</v>
      </c>
      <c r="B27" s="15"/>
      <c r="C27" s="15"/>
      <c r="D27" s="3">
        <f t="shared" si="15"/>
        <v>800.52130239959331</v>
      </c>
      <c r="E27" s="3">
        <v>14488555</v>
      </c>
      <c r="F27" s="6">
        <v>18098.900000000001</v>
      </c>
      <c r="G27" s="3" t="e">
        <f t="shared" si="16"/>
        <v>#DIV/0!</v>
      </c>
      <c r="H27" s="3">
        <v>0</v>
      </c>
      <c r="I27" s="6">
        <v>0</v>
      </c>
      <c r="J27" s="3" t="e">
        <f t="shared" si="17"/>
        <v>#DIV/0!</v>
      </c>
      <c r="K27" s="3">
        <v>0</v>
      </c>
      <c r="L27" s="6">
        <v>0</v>
      </c>
      <c r="M27" s="3" t="e">
        <f t="shared" si="18"/>
        <v>#DIV/0!</v>
      </c>
      <c r="N27" s="3">
        <v>0</v>
      </c>
      <c r="O27" s="6">
        <v>0</v>
      </c>
      <c r="P27" s="3" t="e">
        <f t="shared" si="19"/>
        <v>#DIV/0!</v>
      </c>
      <c r="Q27" s="3">
        <v>0</v>
      </c>
      <c r="R27" s="6">
        <v>0</v>
      </c>
      <c r="S27" s="3" t="e">
        <f t="shared" si="20"/>
        <v>#DIV/0!</v>
      </c>
      <c r="T27" s="3">
        <v>0</v>
      </c>
      <c r="U27" s="6">
        <v>0</v>
      </c>
      <c r="V27" s="3" t="e">
        <f t="shared" si="21"/>
        <v>#DIV/0!</v>
      </c>
      <c r="W27" s="3">
        <v>0</v>
      </c>
      <c r="X27" s="6">
        <v>0</v>
      </c>
      <c r="Y27" s="3" t="e">
        <f t="shared" si="22"/>
        <v>#DIV/0!</v>
      </c>
      <c r="Z27" s="3">
        <v>0</v>
      </c>
      <c r="AA27" s="6">
        <v>0</v>
      </c>
      <c r="AB27" s="3" t="e">
        <f t="shared" si="23"/>
        <v>#DIV/0!</v>
      </c>
      <c r="AC27" s="3">
        <v>0</v>
      </c>
      <c r="AD27" s="6">
        <v>0</v>
      </c>
      <c r="AE27" s="3" t="e">
        <f t="shared" si="24"/>
        <v>#DIV/0!</v>
      </c>
      <c r="AF27" s="3">
        <v>0</v>
      </c>
      <c r="AG27" s="6">
        <v>0</v>
      </c>
      <c r="AH27" s="3" t="e">
        <f t="shared" si="25"/>
        <v>#DIV/0!</v>
      </c>
      <c r="AI27" s="3">
        <v>0</v>
      </c>
      <c r="AJ27" s="6">
        <v>0</v>
      </c>
      <c r="AK27" s="3" t="e">
        <f t="shared" si="26"/>
        <v>#DIV/0!</v>
      </c>
      <c r="AL27" s="3">
        <v>0</v>
      </c>
      <c r="AM27" s="6">
        <v>0</v>
      </c>
      <c r="AN27" s="3">
        <f t="shared" si="12"/>
        <v>800.52130239959331</v>
      </c>
      <c r="AO27" s="3">
        <f t="shared" si="13"/>
        <v>14488555</v>
      </c>
      <c r="AP27" s="6">
        <f t="shared" si="14"/>
        <v>18098.900000000001</v>
      </c>
      <c r="AQ27" s="3"/>
      <c r="AR27" s="3"/>
      <c r="AS27" s="3"/>
      <c r="AT27" s="3"/>
      <c r="AU27" s="3"/>
      <c r="AV27" s="3"/>
      <c r="AW27" s="3"/>
      <c r="AX27" s="3"/>
      <c r="AY27" s="3"/>
      <c r="AZ27" s="3"/>
      <c r="BA27" s="3"/>
      <c r="BB27" s="3"/>
      <c r="BC27" s="3"/>
      <c r="BD27" s="3"/>
      <c r="BE27" s="3"/>
      <c r="BF27" s="3"/>
      <c r="BG27" s="3"/>
      <c r="BH27" s="3"/>
      <c r="BI27" s="3"/>
      <c r="BJ27" s="3"/>
      <c r="BK27" s="3"/>
      <c r="BL27" s="3"/>
      <c r="BM27" s="3"/>
      <c r="BN27" s="3"/>
    </row>
    <row r="28" spans="1:66" x14ac:dyDescent="0.3">
      <c r="A28" s="1" t="s">
        <v>38</v>
      </c>
      <c r="B28" s="15"/>
      <c r="C28" s="15"/>
      <c r="D28" s="3" t="e">
        <f t="shared" si="15"/>
        <v>#DIV/0!</v>
      </c>
      <c r="E28" s="3">
        <v>0</v>
      </c>
      <c r="F28" s="6">
        <v>0</v>
      </c>
      <c r="G28" s="3" t="e">
        <f t="shared" si="16"/>
        <v>#DIV/0!</v>
      </c>
      <c r="H28" s="3">
        <v>0</v>
      </c>
      <c r="I28" s="6">
        <v>0</v>
      </c>
      <c r="J28" s="3">
        <f t="shared" si="17"/>
        <v>1011.2373949579832</v>
      </c>
      <c r="K28" s="3">
        <v>1444047</v>
      </c>
      <c r="L28" s="6">
        <v>1428</v>
      </c>
      <c r="M28" s="3" t="e">
        <f t="shared" si="18"/>
        <v>#DIV/0!</v>
      </c>
      <c r="N28" s="3">
        <v>0</v>
      </c>
      <c r="O28" s="6">
        <v>0</v>
      </c>
      <c r="P28" s="3" t="e">
        <f t="shared" si="19"/>
        <v>#DIV/0!</v>
      </c>
      <c r="Q28" s="3">
        <v>0</v>
      </c>
      <c r="R28" s="6">
        <v>0</v>
      </c>
      <c r="S28" s="3" t="e">
        <f t="shared" si="20"/>
        <v>#DIV/0!</v>
      </c>
      <c r="T28" s="3">
        <v>0</v>
      </c>
      <c r="U28" s="6">
        <v>0</v>
      </c>
      <c r="V28" s="3" t="e">
        <f t="shared" si="21"/>
        <v>#DIV/0!</v>
      </c>
      <c r="W28" s="3">
        <v>0</v>
      </c>
      <c r="X28" s="6">
        <v>0</v>
      </c>
      <c r="Y28" s="3" t="e">
        <f t="shared" si="22"/>
        <v>#DIV/0!</v>
      </c>
      <c r="Z28" s="3">
        <v>0</v>
      </c>
      <c r="AA28" s="6">
        <v>0</v>
      </c>
      <c r="AB28" s="3" t="e">
        <f t="shared" si="23"/>
        <v>#DIV/0!</v>
      </c>
      <c r="AC28" s="3">
        <v>0</v>
      </c>
      <c r="AD28" s="6">
        <v>0</v>
      </c>
      <c r="AE28" s="3" t="e">
        <f t="shared" si="24"/>
        <v>#DIV/0!</v>
      </c>
      <c r="AF28" s="3">
        <v>0</v>
      </c>
      <c r="AG28" s="6">
        <v>0</v>
      </c>
      <c r="AH28" s="3">
        <f t="shared" si="25"/>
        <v>1254.6393333333333</v>
      </c>
      <c r="AI28" s="3">
        <v>1881959</v>
      </c>
      <c r="AJ28" s="6">
        <v>1500</v>
      </c>
      <c r="AK28" s="3" t="e">
        <f t="shared" si="26"/>
        <v>#DIV/0!</v>
      </c>
      <c r="AL28" s="3">
        <v>0</v>
      </c>
      <c r="AM28" s="6">
        <v>0</v>
      </c>
      <c r="AN28" s="3">
        <f t="shared" si="12"/>
        <v>1135.9310109289618</v>
      </c>
      <c r="AO28" s="3">
        <f t="shared" si="13"/>
        <v>3326006</v>
      </c>
      <c r="AP28" s="6">
        <f t="shared" si="14"/>
        <v>2928</v>
      </c>
      <c r="AQ28" s="3"/>
      <c r="AR28" s="3"/>
      <c r="AS28" s="3"/>
      <c r="AT28" s="3"/>
      <c r="AU28" s="3"/>
      <c r="AV28" s="3"/>
      <c r="AW28" s="3"/>
      <c r="AX28" s="3"/>
      <c r="AY28" s="3"/>
      <c r="AZ28" s="3"/>
      <c r="BA28" s="3"/>
      <c r="BB28" s="3"/>
      <c r="BC28" s="3"/>
      <c r="BD28" s="3"/>
      <c r="BE28" s="3"/>
      <c r="BF28" s="3"/>
      <c r="BG28" s="3"/>
      <c r="BH28" s="3"/>
      <c r="BI28" s="3"/>
      <c r="BJ28" s="3"/>
      <c r="BK28" s="3"/>
      <c r="BL28" s="3"/>
      <c r="BM28" s="3"/>
      <c r="BN28" s="3"/>
    </row>
    <row r="29" spans="1:66" x14ac:dyDescent="0.3">
      <c r="A29" s="1" t="s">
        <v>39</v>
      </c>
      <c r="B29" s="15"/>
      <c r="C29" s="15"/>
      <c r="D29" s="3">
        <f t="shared" si="15"/>
        <v>873.08665883573019</v>
      </c>
      <c r="E29" s="3">
        <v>16500814</v>
      </c>
      <c r="F29" s="6">
        <v>18899.400000000001</v>
      </c>
      <c r="G29" s="3">
        <f t="shared" si="16"/>
        <v>897.69201861467252</v>
      </c>
      <c r="H29" s="3">
        <v>28664922</v>
      </c>
      <c r="I29" s="6">
        <v>31931.8</v>
      </c>
      <c r="J29" s="3" t="e">
        <f t="shared" si="17"/>
        <v>#DIV/0!</v>
      </c>
      <c r="K29" s="3">
        <v>0</v>
      </c>
      <c r="L29" s="6">
        <v>0</v>
      </c>
      <c r="M29" s="3" t="e">
        <f t="shared" si="18"/>
        <v>#DIV/0!</v>
      </c>
      <c r="N29" s="3">
        <v>0</v>
      </c>
      <c r="O29" s="6">
        <v>0</v>
      </c>
      <c r="P29" s="3" t="e">
        <f t="shared" si="19"/>
        <v>#DIV/0!</v>
      </c>
      <c r="Q29" s="3">
        <v>0</v>
      </c>
      <c r="R29" s="6">
        <v>0</v>
      </c>
      <c r="S29" s="3" t="e">
        <f t="shared" si="20"/>
        <v>#DIV/0!</v>
      </c>
      <c r="T29" s="3">
        <v>0</v>
      </c>
      <c r="U29" s="6">
        <v>0</v>
      </c>
      <c r="V29" s="3" t="e">
        <f t="shared" si="21"/>
        <v>#DIV/0!</v>
      </c>
      <c r="W29" s="3">
        <v>0</v>
      </c>
      <c r="X29" s="6">
        <v>0</v>
      </c>
      <c r="Y29" s="3" t="e">
        <f t="shared" si="22"/>
        <v>#DIV/0!</v>
      </c>
      <c r="Z29" s="3">
        <v>0</v>
      </c>
      <c r="AA29" s="6">
        <v>0</v>
      </c>
      <c r="AB29" s="3" t="e">
        <f t="shared" si="23"/>
        <v>#DIV/0!</v>
      </c>
      <c r="AC29" s="3">
        <v>0</v>
      </c>
      <c r="AD29" s="6">
        <v>0</v>
      </c>
      <c r="AE29" s="3" t="e">
        <f t="shared" si="24"/>
        <v>#DIV/0!</v>
      </c>
      <c r="AF29" s="3">
        <v>0</v>
      </c>
      <c r="AG29" s="6">
        <v>0</v>
      </c>
      <c r="AH29" s="3" t="e">
        <f t="shared" si="25"/>
        <v>#DIV/0!</v>
      </c>
      <c r="AI29" s="3">
        <v>0</v>
      </c>
      <c r="AJ29" s="6">
        <v>0</v>
      </c>
      <c r="AK29" s="3" t="e">
        <f t="shared" si="26"/>
        <v>#DIV/0!</v>
      </c>
      <c r="AL29" s="3">
        <v>0</v>
      </c>
      <c r="AM29" s="6">
        <v>0</v>
      </c>
      <c r="AN29" s="3">
        <f t="shared" si="12"/>
        <v>888.54357166464695</v>
      </c>
      <c r="AO29" s="3">
        <f t="shared" si="13"/>
        <v>45165736</v>
      </c>
      <c r="AP29" s="6">
        <f t="shared" si="14"/>
        <v>50831.199999999997</v>
      </c>
      <c r="AQ29" s="3"/>
      <c r="AR29" s="3"/>
      <c r="AS29" s="3"/>
      <c r="AT29" s="3"/>
      <c r="AU29" s="3"/>
      <c r="AV29" s="3"/>
      <c r="AW29" s="3"/>
      <c r="AX29" s="3"/>
      <c r="AY29" s="3"/>
      <c r="AZ29" s="3"/>
      <c r="BA29" s="3"/>
      <c r="BB29" s="3"/>
      <c r="BC29" s="3"/>
      <c r="BD29" s="3"/>
      <c r="BE29" s="3"/>
      <c r="BF29" s="3"/>
      <c r="BG29" s="3"/>
      <c r="BH29" s="3"/>
      <c r="BI29" s="3"/>
      <c r="BJ29" s="3"/>
      <c r="BK29" s="3"/>
      <c r="BL29" s="3"/>
      <c r="BM29" s="3"/>
      <c r="BN29" s="3"/>
    </row>
    <row r="30" spans="1:66" x14ac:dyDescent="0.3">
      <c r="A30" s="1" t="s">
        <v>20</v>
      </c>
      <c r="B30" s="15"/>
      <c r="C30" s="15"/>
      <c r="D30" s="3">
        <f t="shared" si="15"/>
        <v>1393.0310262529833</v>
      </c>
      <c r="E30" s="3">
        <v>58368</v>
      </c>
      <c r="F30" s="6">
        <v>41.9</v>
      </c>
      <c r="G30" s="3" t="e">
        <f t="shared" si="16"/>
        <v>#DIV/0!</v>
      </c>
      <c r="H30" s="3">
        <v>0</v>
      </c>
      <c r="I30" s="6">
        <v>0</v>
      </c>
      <c r="J30" s="3" t="e">
        <f t="shared" si="17"/>
        <v>#DIV/0!</v>
      </c>
      <c r="K30" s="3">
        <v>0</v>
      </c>
      <c r="L30" s="6">
        <v>0</v>
      </c>
      <c r="M30" s="3" t="e">
        <f t="shared" si="18"/>
        <v>#DIV/0!</v>
      </c>
      <c r="N30" s="3">
        <v>0</v>
      </c>
      <c r="O30" s="6">
        <v>0</v>
      </c>
      <c r="P30" s="3" t="e">
        <f t="shared" si="19"/>
        <v>#DIV/0!</v>
      </c>
      <c r="Q30" s="3">
        <v>0</v>
      </c>
      <c r="R30" s="6">
        <v>0</v>
      </c>
      <c r="S30" s="3" t="e">
        <f t="shared" si="20"/>
        <v>#DIV/0!</v>
      </c>
      <c r="T30" s="3">
        <v>0</v>
      </c>
      <c r="U30" s="6">
        <v>0</v>
      </c>
      <c r="V30" s="3" t="e">
        <f t="shared" si="21"/>
        <v>#DIV/0!</v>
      </c>
      <c r="W30" s="3">
        <v>0</v>
      </c>
      <c r="X30" s="6">
        <v>0</v>
      </c>
      <c r="Y30" s="3" t="e">
        <f t="shared" si="22"/>
        <v>#DIV/0!</v>
      </c>
      <c r="Z30" s="3">
        <v>0</v>
      </c>
      <c r="AA30" s="6">
        <v>0</v>
      </c>
      <c r="AB30" s="3" t="e">
        <f t="shared" si="23"/>
        <v>#DIV/0!</v>
      </c>
      <c r="AC30" s="3">
        <v>0</v>
      </c>
      <c r="AD30" s="6">
        <v>0</v>
      </c>
      <c r="AE30" s="3" t="e">
        <f t="shared" si="24"/>
        <v>#DIV/0!</v>
      </c>
      <c r="AF30" s="3">
        <v>0</v>
      </c>
      <c r="AG30" s="6">
        <v>0</v>
      </c>
      <c r="AH30" s="3" t="e">
        <f t="shared" si="25"/>
        <v>#DIV/0!</v>
      </c>
      <c r="AI30" s="3">
        <v>0</v>
      </c>
      <c r="AJ30" s="6">
        <v>0</v>
      </c>
      <c r="AK30" s="3" t="e">
        <f t="shared" si="26"/>
        <v>#DIV/0!</v>
      </c>
      <c r="AL30" s="3">
        <v>0</v>
      </c>
      <c r="AM30" s="6">
        <v>0</v>
      </c>
      <c r="AN30" s="3">
        <f t="shared" si="12"/>
        <v>1393.0310262529833</v>
      </c>
      <c r="AO30" s="3">
        <f t="shared" si="13"/>
        <v>58368</v>
      </c>
      <c r="AP30" s="6">
        <f t="shared" si="14"/>
        <v>41.9</v>
      </c>
      <c r="AQ30" s="3"/>
      <c r="AR30" s="3"/>
      <c r="AS30" s="3"/>
      <c r="AT30" s="3"/>
      <c r="AU30" s="3"/>
      <c r="AV30" s="3"/>
      <c r="AW30" s="3"/>
      <c r="AX30" s="3"/>
      <c r="AY30" s="3"/>
      <c r="AZ30" s="3"/>
      <c r="BA30" s="3"/>
      <c r="BB30" s="3"/>
      <c r="BC30" s="3"/>
      <c r="BD30" s="3"/>
      <c r="BE30" s="3"/>
      <c r="BF30" s="3"/>
      <c r="BG30" s="3"/>
      <c r="BH30" s="3"/>
      <c r="BI30" s="3"/>
      <c r="BJ30" s="3"/>
      <c r="BK30" s="3"/>
      <c r="BL30" s="3"/>
      <c r="BM30" s="3"/>
      <c r="BN30" s="3"/>
    </row>
    <row r="31" spans="1:66" x14ac:dyDescent="0.3">
      <c r="A31" s="1" t="s">
        <v>40</v>
      </c>
      <c r="B31" s="15"/>
      <c r="C31" s="15"/>
      <c r="D31" s="3" t="e">
        <f t="shared" si="15"/>
        <v>#DIV/0!</v>
      </c>
      <c r="E31" s="3">
        <v>0</v>
      </c>
      <c r="F31" s="6">
        <v>0</v>
      </c>
      <c r="G31" s="3" t="e">
        <f t="shared" si="16"/>
        <v>#DIV/0!</v>
      </c>
      <c r="H31" s="3">
        <v>0</v>
      </c>
      <c r="I31" s="6">
        <v>0</v>
      </c>
      <c r="J31" s="3" t="e">
        <f t="shared" si="17"/>
        <v>#DIV/0!</v>
      </c>
      <c r="K31" s="3">
        <v>0</v>
      </c>
      <c r="L31" s="6">
        <v>0</v>
      </c>
      <c r="M31" s="3" t="e">
        <f t="shared" si="18"/>
        <v>#DIV/0!</v>
      </c>
      <c r="N31" s="3">
        <v>0</v>
      </c>
      <c r="O31" s="6">
        <v>0</v>
      </c>
      <c r="P31" s="3">
        <f t="shared" si="19"/>
        <v>1166.3888888888889</v>
      </c>
      <c r="Q31" s="3">
        <v>41990</v>
      </c>
      <c r="R31" s="6">
        <v>36</v>
      </c>
      <c r="S31" s="3" t="e">
        <f t="shared" si="20"/>
        <v>#DIV/0!</v>
      </c>
      <c r="T31" s="3">
        <v>0</v>
      </c>
      <c r="U31" s="6">
        <v>0</v>
      </c>
      <c r="V31" s="3" t="e">
        <f t="shared" si="21"/>
        <v>#DIV/0!</v>
      </c>
      <c r="W31" s="3">
        <v>0</v>
      </c>
      <c r="X31" s="6">
        <v>0</v>
      </c>
      <c r="Y31" s="3" t="e">
        <f t="shared" si="22"/>
        <v>#DIV/0!</v>
      </c>
      <c r="Z31" s="3">
        <v>0</v>
      </c>
      <c r="AA31" s="6">
        <v>0</v>
      </c>
      <c r="AB31" s="3" t="e">
        <f t="shared" si="23"/>
        <v>#DIV/0!</v>
      </c>
      <c r="AC31" s="3">
        <v>0</v>
      </c>
      <c r="AD31" s="6">
        <v>0</v>
      </c>
      <c r="AE31" s="3" t="e">
        <f t="shared" si="24"/>
        <v>#DIV/0!</v>
      </c>
      <c r="AF31" s="3">
        <v>0</v>
      </c>
      <c r="AG31" s="6">
        <v>0</v>
      </c>
      <c r="AH31" s="3" t="e">
        <f t="shared" si="25"/>
        <v>#DIV/0!</v>
      </c>
      <c r="AI31" s="3">
        <v>0</v>
      </c>
      <c r="AJ31" s="6">
        <v>0</v>
      </c>
      <c r="AK31" s="3" t="e">
        <f t="shared" si="26"/>
        <v>#DIV/0!</v>
      </c>
      <c r="AL31" s="3">
        <v>0</v>
      </c>
      <c r="AM31" s="6">
        <v>0</v>
      </c>
      <c r="AN31" s="3">
        <f t="shared" si="12"/>
        <v>1166.3888888888889</v>
      </c>
      <c r="AO31" s="3">
        <f t="shared" si="13"/>
        <v>41990</v>
      </c>
      <c r="AP31" s="6">
        <f t="shared" si="14"/>
        <v>36</v>
      </c>
      <c r="AQ31" s="3"/>
      <c r="AR31" s="3"/>
      <c r="AS31" s="3"/>
      <c r="AT31" s="3"/>
      <c r="AU31" s="3"/>
      <c r="AV31" s="3"/>
      <c r="AW31" s="3"/>
      <c r="AX31" s="3"/>
      <c r="AY31" s="3"/>
      <c r="AZ31" s="3"/>
      <c r="BA31" s="3"/>
      <c r="BB31" s="3"/>
      <c r="BC31" s="3"/>
      <c r="BD31" s="3"/>
      <c r="BE31" s="3"/>
      <c r="BF31" s="3"/>
      <c r="BG31" s="3"/>
      <c r="BH31" s="3"/>
      <c r="BI31" s="3"/>
      <c r="BJ31" s="3"/>
      <c r="BK31" s="3"/>
      <c r="BL31" s="3"/>
      <c r="BM31" s="3"/>
      <c r="BN31" s="3"/>
    </row>
    <row r="32" spans="1:66" x14ac:dyDescent="0.3">
      <c r="A32" s="1" t="s">
        <v>23</v>
      </c>
      <c r="B32" s="15"/>
      <c r="C32" s="15"/>
      <c r="D32" s="3" t="e">
        <f t="shared" si="15"/>
        <v>#DIV/0!</v>
      </c>
      <c r="E32" s="3">
        <v>0</v>
      </c>
      <c r="F32" s="6">
        <v>0</v>
      </c>
      <c r="G32" s="3" t="e">
        <f t="shared" si="16"/>
        <v>#DIV/0!</v>
      </c>
      <c r="H32" s="3">
        <v>0</v>
      </c>
      <c r="I32" s="6">
        <v>0</v>
      </c>
      <c r="J32" s="3" t="e">
        <f t="shared" si="17"/>
        <v>#DIV/0!</v>
      </c>
      <c r="K32" s="3">
        <v>0</v>
      </c>
      <c r="L32" s="6">
        <v>0</v>
      </c>
      <c r="M32" s="3" t="e">
        <f t="shared" si="18"/>
        <v>#DIV/0!</v>
      </c>
      <c r="N32" s="3">
        <v>0</v>
      </c>
      <c r="O32" s="6">
        <v>0</v>
      </c>
      <c r="P32" s="3" t="e">
        <f t="shared" si="19"/>
        <v>#DIV/0!</v>
      </c>
      <c r="Q32" s="3">
        <v>0</v>
      </c>
      <c r="R32" s="6">
        <v>0</v>
      </c>
      <c r="S32" s="3">
        <f t="shared" si="20"/>
        <v>782.84768211920527</v>
      </c>
      <c r="T32" s="3">
        <v>11821</v>
      </c>
      <c r="U32" s="6">
        <v>15.1</v>
      </c>
      <c r="V32" s="3" t="e">
        <f t="shared" si="21"/>
        <v>#DIV/0!</v>
      </c>
      <c r="W32" s="3">
        <v>0</v>
      </c>
      <c r="X32" s="6">
        <v>0</v>
      </c>
      <c r="Y32" s="3" t="e">
        <f t="shared" si="22"/>
        <v>#DIV/0!</v>
      </c>
      <c r="Z32" s="3">
        <v>0</v>
      </c>
      <c r="AA32" s="6">
        <v>0</v>
      </c>
      <c r="AB32" s="3" t="e">
        <f t="shared" si="23"/>
        <v>#DIV/0!</v>
      </c>
      <c r="AC32" s="3">
        <v>0</v>
      </c>
      <c r="AD32" s="6">
        <v>0</v>
      </c>
      <c r="AE32" s="3" t="e">
        <f t="shared" si="24"/>
        <v>#DIV/0!</v>
      </c>
      <c r="AF32" s="3">
        <v>0</v>
      </c>
      <c r="AG32" s="6">
        <v>0</v>
      </c>
      <c r="AH32" s="3" t="e">
        <f t="shared" si="25"/>
        <v>#DIV/0!</v>
      </c>
      <c r="AI32" s="3">
        <v>0</v>
      </c>
      <c r="AJ32" s="6">
        <v>0</v>
      </c>
      <c r="AK32" s="3" t="e">
        <f t="shared" si="26"/>
        <v>#DIV/0!</v>
      </c>
      <c r="AL32" s="3">
        <v>0</v>
      </c>
      <c r="AM32" s="6">
        <v>0</v>
      </c>
      <c r="AN32" s="3">
        <f t="shared" si="12"/>
        <v>782.84768211920527</v>
      </c>
      <c r="AO32" s="3">
        <f t="shared" si="13"/>
        <v>11821</v>
      </c>
      <c r="AP32" s="6">
        <f t="shared" si="14"/>
        <v>15.1</v>
      </c>
      <c r="AQ32" s="3"/>
      <c r="AR32" s="3"/>
      <c r="AS32" s="3"/>
      <c r="AT32" s="3"/>
      <c r="AU32" s="3"/>
      <c r="AV32" s="3"/>
      <c r="AW32" s="3"/>
      <c r="AX32" s="3"/>
      <c r="AY32" s="3"/>
      <c r="AZ32" s="3"/>
      <c r="BA32" s="3"/>
      <c r="BB32" s="3"/>
      <c r="BC32" s="3"/>
      <c r="BD32" s="3"/>
      <c r="BE32" s="3"/>
      <c r="BF32" s="3"/>
      <c r="BG32" s="3"/>
      <c r="BH32" s="3"/>
      <c r="BI32" s="3"/>
      <c r="BJ32" s="3"/>
      <c r="BK32" s="3"/>
      <c r="BL32" s="3"/>
      <c r="BM32" s="3"/>
      <c r="BN32" s="3"/>
    </row>
    <row r="33" spans="1:66" x14ac:dyDescent="0.3">
      <c r="A33" s="1" t="s">
        <v>41</v>
      </c>
      <c r="B33" s="15"/>
      <c r="C33" s="15"/>
      <c r="D33" s="3">
        <f t="shared" si="15"/>
        <v>1042.1482577909348</v>
      </c>
      <c r="E33" s="3">
        <v>7815174</v>
      </c>
      <c r="F33" s="6">
        <v>7499.1</v>
      </c>
      <c r="G33" s="3" t="e">
        <f t="shared" si="16"/>
        <v>#DIV/0!</v>
      </c>
      <c r="H33" s="3">
        <v>0</v>
      </c>
      <c r="I33" s="6">
        <v>0</v>
      </c>
      <c r="J33" s="3">
        <f t="shared" si="17"/>
        <v>1131.4378296654295</v>
      </c>
      <c r="K33" s="3">
        <v>13320757</v>
      </c>
      <c r="L33" s="6">
        <v>11773.3</v>
      </c>
      <c r="M33" s="3" t="e">
        <f t="shared" si="18"/>
        <v>#DIV/0!</v>
      </c>
      <c r="N33" s="3">
        <v>0</v>
      </c>
      <c r="O33" s="6">
        <v>0</v>
      </c>
      <c r="P33" s="3">
        <f t="shared" si="19"/>
        <v>1320.7163151786785</v>
      </c>
      <c r="Q33" s="3">
        <v>6600676</v>
      </c>
      <c r="R33" s="6">
        <v>4997.8</v>
      </c>
      <c r="S33" s="3">
        <f t="shared" si="20"/>
        <v>1573.1736666666666</v>
      </c>
      <c r="T33" s="3">
        <v>4719521</v>
      </c>
      <c r="U33" s="6">
        <v>3000</v>
      </c>
      <c r="V33" s="3">
        <f t="shared" si="21"/>
        <v>1712.9899656632331</v>
      </c>
      <c r="W33" s="3">
        <v>5138456</v>
      </c>
      <c r="X33" s="6">
        <v>2999.7</v>
      </c>
      <c r="Y33" s="3" t="e">
        <f t="shared" si="22"/>
        <v>#DIV/0!</v>
      </c>
      <c r="Z33" s="3">
        <v>0</v>
      </c>
      <c r="AA33" s="6">
        <v>0</v>
      </c>
      <c r="AB33" s="3">
        <f t="shared" si="23"/>
        <v>1388.1219284029671</v>
      </c>
      <c r="AC33" s="3">
        <v>10535429</v>
      </c>
      <c r="AD33" s="6">
        <v>7589.7</v>
      </c>
      <c r="AE33" s="3" t="e">
        <f t="shared" si="24"/>
        <v>#DIV/0!</v>
      </c>
      <c r="AF33" s="3">
        <v>0</v>
      </c>
      <c r="AG33" s="6">
        <v>0</v>
      </c>
      <c r="AH33" s="3">
        <f t="shared" si="25"/>
        <v>1408.4243463351906</v>
      </c>
      <c r="AI33" s="3">
        <v>4928781</v>
      </c>
      <c r="AJ33" s="6">
        <v>3499.5</v>
      </c>
      <c r="AK33" s="3" t="e">
        <f t="shared" si="26"/>
        <v>#DIV/0!</v>
      </c>
      <c r="AL33" s="3">
        <v>0</v>
      </c>
      <c r="AM33" s="6">
        <v>0</v>
      </c>
      <c r="AN33" s="3">
        <f t="shared" si="12"/>
        <v>1282.880768682104</v>
      </c>
      <c r="AO33" s="3">
        <f t="shared" si="13"/>
        <v>53058794</v>
      </c>
      <c r="AP33" s="6">
        <f t="shared" si="14"/>
        <v>41359.1</v>
      </c>
      <c r="AQ33" s="3"/>
      <c r="AR33" s="3"/>
      <c r="AS33" s="3"/>
      <c r="AT33" s="3"/>
      <c r="AU33" s="3"/>
      <c r="AV33" s="3"/>
      <c r="AW33" s="3"/>
      <c r="AX33" s="3"/>
      <c r="AY33" s="3"/>
      <c r="AZ33" s="3"/>
      <c r="BA33" s="3"/>
      <c r="BB33" s="3"/>
      <c r="BC33" s="3"/>
      <c r="BD33" s="3"/>
      <c r="BE33" s="3"/>
      <c r="BF33" s="3"/>
      <c r="BG33" s="3"/>
      <c r="BH33" s="3"/>
      <c r="BI33" s="3"/>
      <c r="BJ33" s="3"/>
      <c r="BK33" s="3"/>
      <c r="BL33" s="3"/>
      <c r="BM33" s="3"/>
      <c r="BN33" s="3"/>
    </row>
    <row r="34" spans="1:66" x14ac:dyDescent="0.3">
      <c r="A34" s="1" t="s">
        <v>59</v>
      </c>
      <c r="B34" s="15"/>
      <c r="C34" s="15"/>
      <c r="D34" s="3" t="e">
        <f t="shared" si="15"/>
        <v>#DIV/0!</v>
      </c>
      <c r="E34" s="3">
        <v>0</v>
      </c>
      <c r="F34" s="6">
        <v>0</v>
      </c>
      <c r="G34" s="3" t="e">
        <f t="shared" si="16"/>
        <v>#DIV/0!</v>
      </c>
      <c r="H34" s="3">
        <v>0</v>
      </c>
      <c r="I34" s="6">
        <v>0</v>
      </c>
      <c r="J34" s="3" t="e">
        <f t="shared" si="17"/>
        <v>#DIV/0!</v>
      </c>
      <c r="K34" s="3">
        <v>0</v>
      </c>
      <c r="L34" s="6">
        <v>0</v>
      </c>
      <c r="M34" s="3" t="e">
        <f t="shared" si="18"/>
        <v>#DIV/0!</v>
      </c>
      <c r="N34" s="3">
        <v>0</v>
      </c>
      <c r="O34" s="6">
        <v>0</v>
      </c>
      <c r="P34" s="3" t="e">
        <f t="shared" si="19"/>
        <v>#DIV/0!</v>
      </c>
      <c r="Q34" s="3">
        <v>0</v>
      </c>
      <c r="R34" s="6">
        <v>0</v>
      </c>
      <c r="S34" s="3" t="e">
        <f t="shared" si="20"/>
        <v>#DIV/0!</v>
      </c>
      <c r="T34" s="3">
        <v>0</v>
      </c>
      <c r="U34" s="6">
        <v>0</v>
      </c>
      <c r="V34" s="3" t="e">
        <f t="shared" si="21"/>
        <v>#DIV/0!</v>
      </c>
      <c r="W34" s="3">
        <v>0</v>
      </c>
      <c r="X34" s="6">
        <v>0</v>
      </c>
      <c r="Y34" s="3">
        <f t="shared" si="22"/>
        <v>560.99666059012372</v>
      </c>
      <c r="Z34" s="3">
        <v>3477450</v>
      </c>
      <c r="AA34" s="6">
        <v>6198.7</v>
      </c>
      <c r="AB34" s="3" t="e">
        <f t="shared" si="23"/>
        <v>#DIV/0!</v>
      </c>
      <c r="AC34" s="3">
        <v>0</v>
      </c>
      <c r="AD34" s="6">
        <v>0</v>
      </c>
      <c r="AE34" s="3" t="e">
        <f t="shared" si="24"/>
        <v>#DIV/0!</v>
      </c>
      <c r="AF34" s="3">
        <v>0</v>
      </c>
      <c r="AG34" s="6">
        <v>0</v>
      </c>
      <c r="AH34" s="3" t="e">
        <f t="shared" si="25"/>
        <v>#DIV/0!</v>
      </c>
      <c r="AI34" s="3">
        <v>0</v>
      </c>
      <c r="AJ34" s="6">
        <v>0</v>
      </c>
      <c r="AK34" s="3" t="e">
        <f t="shared" si="26"/>
        <v>#DIV/0!</v>
      </c>
      <c r="AL34" s="3">
        <v>0</v>
      </c>
      <c r="AM34" s="6">
        <v>0</v>
      </c>
      <c r="AN34" s="3">
        <f t="shared" si="12"/>
        <v>560.99666059012372</v>
      </c>
      <c r="AO34" s="3">
        <f t="shared" si="13"/>
        <v>3477450</v>
      </c>
      <c r="AP34" s="6">
        <f t="shared" si="14"/>
        <v>6198.7</v>
      </c>
      <c r="AQ34" s="3"/>
      <c r="AR34" s="3"/>
      <c r="AS34" s="3"/>
      <c r="AT34" s="3"/>
      <c r="AU34" s="3"/>
      <c r="AV34" s="3"/>
      <c r="AW34" s="3"/>
      <c r="AX34" s="3"/>
      <c r="AY34" s="3"/>
      <c r="AZ34" s="3"/>
      <c r="BA34" s="3"/>
      <c r="BB34" s="3"/>
      <c r="BC34" s="3"/>
      <c r="BD34" s="3"/>
      <c r="BE34" s="3"/>
      <c r="BF34" s="3"/>
      <c r="BG34" s="3"/>
      <c r="BH34" s="3"/>
      <c r="BI34" s="3"/>
      <c r="BJ34" s="3"/>
      <c r="BK34" s="3"/>
      <c r="BL34" s="3"/>
      <c r="BM34" s="3"/>
      <c r="BN34" s="3"/>
    </row>
    <row r="35" spans="1:66" x14ac:dyDescent="0.3">
      <c r="A35" s="10" t="s">
        <v>21</v>
      </c>
      <c r="B35" s="16"/>
      <c r="C35" s="16"/>
      <c r="D35" s="7" t="e">
        <f t="shared" si="15"/>
        <v>#DIV/0!</v>
      </c>
      <c r="E35" s="8">
        <v>0</v>
      </c>
      <c r="F35" s="9">
        <v>0</v>
      </c>
      <c r="G35" s="8">
        <f t="shared" si="16"/>
        <v>1141.6666666666667</v>
      </c>
      <c r="H35" s="8">
        <v>137000</v>
      </c>
      <c r="I35" s="9">
        <v>120</v>
      </c>
      <c r="J35" s="8">
        <f t="shared" si="17"/>
        <v>1400</v>
      </c>
      <c r="K35" s="8">
        <v>28000</v>
      </c>
      <c r="L35" s="9">
        <v>20</v>
      </c>
      <c r="M35" s="8" t="e">
        <f t="shared" si="18"/>
        <v>#DIV/0!</v>
      </c>
      <c r="N35" s="8">
        <v>0</v>
      </c>
      <c r="O35" s="9">
        <v>0</v>
      </c>
      <c r="P35" s="8" t="e">
        <f t="shared" si="19"/>
        <v>#DIV/0!</v>
      </c>
      <c r="Q35" s="8">
        <v>0</v>
      </c>
      <c r="R35" s="9">
        <v>0</v>
      </c>
      <c r="S35" s="8" t="e">
        <f t="shared" si="20"/>
        <v>#DIV/0!</v>
      </c>
      <c r="T35" s="8">
        <v>0</v>
      </c>
      <c r="U35" s="9">
        <v>0</v>
      </c>
      <c r="V35" s="8" t="e">
        <f t="shared" si="21"/>
        <v>#DIV/0!</v>
      </c>
      <c r="W35" s="8">
        <v>0</v>
      </c>
      <c r="X35" s="9">
        <v>0</v>
      </c>
      <c r="Y35" s="8" t="e">
        <f t="shared" si="22"/>
        <v>#DIV/0!</v>
      </c>
      <c r="Z35" s="8">
        <v>0</v>
      </c>
      <c r="AA35" s="9">
        <v>0</v>
      </c>
      <c r="AB35" s="8" t="e">
        <f t="shared" si="23"/>
        <v>#DIV/0!</v>
      </c>
      <c r="AC35" s="8">
        <v>0</v>
      </c>
      <c r="AD35" s="9">
        <v>0</v>
      </c>
      <c r="AE35" s="8" t="e">
        <f t="shared" si="24"/>
        <v>#DIV/0!</v>
      </c>
      <c r="AF35" s="8">
        <v>0</v>
      </c>
      <c r="AG35" s="9">
        <v>0</v>
      </c>
      <c r="AH35" s="8" t="e">
        <f t="shared" si="25"/>
        <v>#DIV/0!</v>
      </c>
      <c r="AI35" s="8">
        <v>0</v>
      </c>
      <c r="AJ35" s="9">
        <v>0</v>
      </c>
      <c r="AK35" s="8" t="e">
        <f t="shared" si="26"/>
        <v>#DIV/0!</v>
      </c>
      <c r="AL35" s="8">
        <v>0</v>
      </c>
      <c r="AM35" s="9">
        <v>0</v>
      </c>
      <c r="AN35" s="8">
        <f t="shared" si="12"/>
        <v>1178.5714285714287</v>
      </c>
      <c r="AO35" s="8">
        <f t="shared" si="13"/>
        <v>165000</v>
      </c>
      <c r="AP35" s="9">
        <f t="shared" si="14"/>
        <v>140</v>
      </c>
      <c r="AQ35" s="3"/>
      <c r="AR35" s="3"/>
      <c r="AS35" s="3"/>
      <c r="AT35" s="3"/>
      <c r="AU35" s="3"/>
      <c r="AV35" s="3"/>
      <c r="AW35" s="3"/>
      <c r="AX35" s="3"/>
      <c r="AY35" s="3"/>
      <c r="AZ35" s="3"/>
      <c r="BA35" s="3"/>
      <c r="BB35" s="3"/>
      <c r="BC35" s="3"/>
      <c r="BD35" s="3"/>
      <c r="BE35" s="3"/>
      <c r="BF35" s="3"/>
      <c r="BG35" s="3"/>
      <c r="BH35" s="3"/>
      <c r="BI35" s="3"/>
      <c r="BJ35" s="3"/>
      <c r="BK35" s="3"/>
      <c r="BL35" s="3"/>
      <c r="BM35" s="3"/>
      <c r="BN35" s="3"/>
    </row>
    <row r="36" spans="1:66" x14ac:dyDescent="0.3">
      <c r="A36" s="1" t="s">
        <v>43</v>
      </c>
    </row>
    <row r="37" spans="1:66" x14ac:dyDescent="0.3">
      <c r="A37" s="1" t="s">
        <v>46</v>
      </c>
    </row>
    <row r="38" spans="1:66" x14ac:dyDescent="0.3">
      <c r="A38" s="1" t="s">
        <v>44</v>
      </c>
    </row>
    <row r="39" spans="1:66" x14ac:dyDescent="0.3">
      <c r="A39" s="1" t="s">
        <v>45</v>
      </c>
    </row>
    <row r="40" spans="1:66" x14ac:dyDescent="0.3">
      <c r="A40" s="1" t="s">
        <v>51</v>
      </c>
    </row>
    <row r="41" spans="1:66" x14ac:dyDescent="0.3">
      <c r="A41" s="1" t="s">
        <v>52</v>
      </c>
    </row>
  </sheetData>
  <mergeCells count="15">
    <mergeCell ref="B3:B35"/>
    <mergeCell ref="C3:C35"/>
    <mergeCell ref="D1:F1"/>
    <mergeCell ref="G1:I1"/>
    <mergeCell ref="J1:L1"/>
    <mergeCell ref="M1:O1"/>
    <mergeCell ref="P1:R1"/>
    <mergeCell ref="S1:U1"/>
    <mergeCell ref="AK1:AM1"/>
    <mergeCell ref="AN1:AP1"/>
    <mergeCell ref="V1:X1"/>
    <mergeCell ref="Y1:AA1"/>
    <mergeCell ref="AB1:AD1"/>
    <mergeCell ref="AE1:AG1"/>
    <mergeCell ref="AH1:AJ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2021년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2026-06-16T01:52:58Z</dcterms:modified>
</cp:coreProperties>
</file>