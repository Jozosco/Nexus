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Historical Monthly Volume\Options\"/>
    </mc:Choice>
  </mc:AlternateContent>
  <bookViews>
    <workbookView xWindow="0" yWindow="0" windowWidth="25125" windowHeight="11640"/>
  </bookViews>
  <sheets>
    <sheet name="2020년" sheetId="1" r:id="rId1"/>
  </sheets>
  <calcPr calcId="162913"/>
</workbook>
</file>

<file path=xl/calcChain.xml><?xml version="1.0" encoding="utf-8"?>
<calcChain xmlns="http://schemas.openxmlformats.org/spreadsheetml/2006/main">
  <c r="N15" i="1" l="1"/>
  <c r="O7" i="1"/>
  <c r="O11" i="1"/>
  <c r="O5" i="1" l="1"/>
  <c r="O14" i="1" l="1"/>
  <c r="O13" i="1"/>
  <c r="O12" i="1"/>
  <c r="O10" i="1"/>
  <c r="O9" i="1"/>
  <c r="O8" i="1"/>
  <c r="O6" i="1"/>
  <c r="O4" i="1"/>
  <c r="O3" i="1"/>
  <c r="C15" i="1"/>
  <c r="B15" i="1"/>
  <c r="D15" i="1" l="1"/>
  <c r="J15" i="1" l="1"/>
  <c r="F15" i="1"/>
  <c r="I15" i="1"/>
  <c r="H15" i="1"/>
  <c r="G15" i="1"/>
  <c r="L15" i="1"/>
  <c r="K15" i="1"/>
  <c r="E15" i="1"/>
  <c r="M15" i="1"/>
  <c r="O15" i="1" l="1"/>
</calcChain>
</file>

<file path=xl/sharedStrings.xml><?xml version="1.0" encoding="utf-8"?>
<sst xmlns="http://schemas.openxmlformats.org/spreadsheetml/2006/main" count="35" uniqueCount="35">
  <si>
    <t>December</t>
  </si>
  <si>
    <t>Notes:</t>
  </si>
  <si>
    <t>Month</t>
    <phoneticPr fontId="18" type="noConversion"/>
  </si>
  <si>
    <t>US$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</si>
  <si>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</si>
  <si>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</si>
  <si>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</si>
  <si>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</si>
  <si>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</si>
  <si>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</si>
  <si>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</si>
  <si>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</si>
  <si>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</si>
  <si>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</si>
  <si>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</si>
  <si>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Coffee</t>
  </si>
  <si>
    <t>Sugar</t>
  </si>
  <si>
    <t>Cocoa</t>
  </si>
  <si>
    <t>Cotton</t>
  </si>
  <si>
    <t>FCOJ</t>
  </si>
  <si>
    <t>Metals &amp; Grains</t>
  </si>
  <si>
    <t>Monthly Totals</t>
  </si>
  <si>
    <t>Overall</t>
  </si>
  <si>
    <t>Yearly Total</t>
    <phoneticPr fontId="18" type="noConversion"/>
  </si>
  <si>
    <t>*Equity derivatives include Russell and MSCI Index futures and options</t>
  </si>
  <si>
    <t>CURRENCIES</t>
    <phoneticPr fontId="18" type="noConversion"/>
  </si>
  <si>
    <t>EQUITY DERIVATIVES*</t>
    <phoneticPr fontId="18" type="noConversion"/>
  </si>
  <si>
    <t>Options Financial Products</t>
    <phoneticPr fontId="18" type="noConversion"/>
  </si>
  <si>
    <t>Options Agricultural Products</t>
    <phoneticPr fontId="18" type="noConversion"/>
  </si>
  <si>
    <t>Options Energy</t>
    <phoneticPr fontId="18" type="noConversion"/>
  </si>
  <si>
    <t>Futures</t>
    <phoneticPr fontId="18" type="noConversion"/>
  </si>
  <si>
    <t>Options</t>
    <phoneticPr fontId="18" type="noConversion"/>
  </si>
  <si>
    <t>**Power contract volume is now reported using the new contract conversion methodology. Prior monthly power volumes have been adjusted for comparison purposes.</t>
  </si>
  <si>
    <t>Canola</t>
    <phoneticPr fontId="18" type="noConversion"/>
  </si>
  <si>
    <t>Gas &amp; Power**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</si>
</sst>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177" fontId="20" fillId="0" borderId="23" xfId="0" applyNumberFormat="1" applyFon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0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21.625" bestFit="1" customWidth="1"/>
    <col min="4" max="4" width="20.75" bestFit="1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0" width="15.875" bestFit="1" customWidth="1"/>
    <col min="11" max="11" width="12.5" bestFit="1" customWidth="1"/>
    <col min="12" max="12" width="15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39" x14ac:dyDescent="0.3">
      <c r="A1" s="1"/>
      <c r="B1" s="33" t="s">
        <v>27</v>
      </c>
      <c r="C1" s="34"/>
      <c r="D1" s="35"/>
      <c r="E1" s="33" t="s">
        <v>28</v>
      </c>
      <c r="F1" s="34"/>
      <c r="G1" s="34"/>
      <c r="H1" s="34"/>
      <c r="I1" s="34"/>
      <c r="J1" s="34"/>
      <c r="K1" s="35"/>
      <c r="L1" s="21" t="s">
        <v>29</v>
      </c>
      <c r="M1" s="30" t="s">
        <v>21</v>
      </c>
      <c r="N1" s="31"/>
      <c r="O1" s="32"/>
    </row>
    <row r="2" spans="1:39" x14ac:dyDescent="0.3">
      <c r="A2" s="2" t="s">
        <v>2</v>
      </c>
      <c r="B2" s="11" t="s">
        <v>3</v>
      </c>
      <c r="C2" s="7" t="s">
        <v>26</v>
      </c>
      <c r="D2" s="8" t="s">
        <v>25</v>
      </c>
      <c r="E2" s="2" t="s">
        <v>15</v>
      </c>
      <c r="F2" s="9" t="s">
        <v>16</v>
      </c>
      <c r="G2" s="6" t="s">
        <v>17</v>
      </c>
      <c r="H2" s="2" t="s">
        <v>18</v>
      </c>
      <c r="I2" s="6" t="s">
        <v>19</v>
      </c>
      <c r="J2" s="2" t="s">
        <v>20</v>
      </c>
      <c r="K2" s="4" t="s">
        <v>33</v>
      </c>
      <c r="L2" s="26" t="s">
        <v>34</v>
      </c>
      <c r="M2" s="2" t="s">
        <v>31</v>
      </c>
      <c r="N2" s="6" t="s">
        <v>30</v>
      </c>
      <c r="O2" s="4" t="s">
        <v>22</v>
      </c>
    </row>
    <row r="3" spans="1:39" ht="15" customHeight="1" x14ac:dyDescent="0.3">
      <c r="A3" s="1" t="s">
        <v>4</v>
      </c>
      <c r="B3" s="13">
        <v>33</v>
      </c>
      <c r="C3" s="14">
        <v>0</v>
      </c>
      <c r="D3" s="12">
        <v>170</v>
      </c>
      <c r="E3" s="15">
        <v>298010</v>
      </c>
      <c r="F3" s="19">
        <v>849170</v>
      </c>
      <c r="G3" s="15">
        <v>136274</v>
      </c>
      <c r="H3" s="15">
        <v>146122</v>
      </c>
      <c r="I3" s="19">
        <v>4433</v>
      </c>
      <c r="J3" s="15">
        <v>0</v>
      </c>
      <c r="K3" s="12">
        <v>8758</v>
      </c>
      <c r="L3" s="27">
        <v>3143661</v>
      </c>
      <c r="M3" s="15">
        <v>4586631</v>
      </c>
      <c r="N3" s="19">
        <v>26291331</v>
      </c>
      <c r="O3" s="12">
        <f>SUM(M3:N3)</f>
        <v>30877962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5" customHeight="1" x14ac:dyDescent="0.3">
      <c r="A4" s="1" t="s">
        <v>5</v>
      </c>
      <c r="B4" s="18">
        <v>115</v>
      </c>
      <c r="C4" s="19">
        <v>0</v>
      </c>
      <c r="D4" s="12">
        <v>11</v>
      </c>
      <c r="E4" s="15">
        <v>318776</v>
      </c>
      <c r="F4" s="19">
        <v>668236</v>
      </c>
      <c r="G4" s="15">
        <v>132550</v>
      </c>
      <c r="H4" s="15">
        <v>148948</v>
      </c>
      <c r="I4" s="19">
        <v>7113</v>
      </c>
      <c r="J4" s="15">
        <v>0</v>
      </c>
      <c r="K4" s="12">
        <v>6020</v>
      </c>
      <c r="L4" s="27">
        <v>3242143</v>
      </c>
      <c r="M4" s="15">
        <v>4523912</v>
      </c>
      <c r="N4" s="19">
        <v>27432002</v>
      </c>
      <c r="O4" s="12">
        <f t="shared" ref="O4:O15" si="0">SUM(M4:N4)</f>
        <v>31955914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15" customHeight="1" x14ac:dyDescent="0.3">
      <c r="A5" s="1" t="s">
        <v>6</v>
      </c>
      <c r="B5" s="18">
        <v>550</v>
      </c>
      <c r="C5" s="19">
        <v>0</v>
      </c>
      <c r="D5" s="12">
        <v>0</v>
      </c>
      <c r="E5" s="15">
        <v>519603</v>
      </c>
      <c r="F5" s="19">
        <v>987730</v>
      </c>
      <c r="G5" s="15">
        <v>173290</v>
      </c>
      <c r="H5" s="15">
        <v>185931</v>
      </c>
      <c r="I5" s="19">
        <v>10798</v>
      </c>
      <c r="J5" s="15">
        <v>0</v>
      </c>
      <c r="K5" s="12">
        <v>26807</v>
      </c>
      <c r="L5" s="27">
        <v>4739541</v>
      </c>
      <c r="M5" s="15">
        <v>6644250</v>
      </c>
      <c r="N5" s="19">
        <v>40700138</v>
      </c>
      <c r="O5" s="12">
        <f t="shared" si="0"/>
        <v>47344388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ht="15" customHeight="1" x14ac:dyDescent="0.3">
      <c r="A6" s="1" t="s">
        <v>7</v>
      </c>
      <c r="B6" s="18">
        <v>267</v>
      </c>
      <c r="C6" s="19">
        <v>0</v>
      </c>
      <c r="D6" s="12">
        <v>8</v>
      </c>
      <c r="E6" s="15">
        <v>234599</v>
      </c>
      <c r="F6" s="19">
        <v>510335</v>
      </c>
      <c r="G6" s="15">
        <v>72964</v>
      </c>
      <c r="H6" s="15">
        <v>121750</v>
      </c>
      <c r="I6" s="19">
        <v>6121</v>
      </c>
      <c r="J6" s="15">
        <v>0</v>
      </c>
      <c r="K6" s="12">
        <v>2998</v>
      </c>
      <c r="L6" s="27">
        <v>4227274</v>
      </c>
      <c r="M6" s="15">
        <v>4665981</v>
      </c>
      <c r="N6" s="19">
        <v>28489529</v>
      </c>
      <c r="O6" s="12">
        <f t="shared" si="0"/>
        <v>33155510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ht="15" customHeight="1" x14ac:dyDescent="0.3">
      <c r="A7" s="1" t="s">
        <v>8</v>
      </c>
      <c r="B7" s="18">
        <v>122</v>
      </c>
      <c r="C7" s="19">
        <v>0</v>
      </c>
      <c r="D7" s="12">
        <v>0</v>
      </c>
      <c r="E7" s="15">
        <v>216425</v>
      </c>
      <c r="F7" s="19">
        <v>380919</v>
      </c>
      <c r="G7" s="15">
        <v>65952</v>
      </c>
      <c r="H7" s="15">
        <v>93232</v>
      </c>
      <c r="I7" s="19">
        <v>6069</v>
      </c>
      <c r="J7" s="15">
        <v>0</v>
      </c>
      <c r="K7" s="12">
        <v>5290</v>
      </c>
      <c r="L7" s="27">
        <v>3545081</v>
      </c>
      <c r="M7" s="15">
        <v>4313090</v>
      </c>
      <c r="N7" s="19">
        <v>22096692</v>
      </c>
      <c r="O7" s="12">
        <f t="shared" si="0"/>
        <v>26409782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ht="15" customHeight="1" x14ac:dyDescent="0.3">
      <c r="A8" s="1" t="s">
        <v>9</v>
      </c>
      <c r="B8" s="18">
        <v>216</v>
      </c>
      <c r="C8" s="19">
        <v>0</v>
      </c>
      <c r="D8" s="12">
        <v>0</v>
      </c>
      <c r="E8" s="15">
        <v>221691</v>
      </c>
      <c r="F8" s="19">
        <v>415424</v>
      </c>
      <c r="G8" s="15">
        <v>101805</v>
      </c>
      <c r="H8" s="15">
        <v>90254</v>
      </c>
      <c r="I8" s="19">
        <v>4364</v>
      </c>
      <c r="J8" s="15">
        <v>0</v>
      </c>
      <c r="K8" s="12">
        <v>5730</v>
      </c>
      <c r="L8" s="27">
        <v>3135551</v>
      </c>
      <c r="M8" s="15">
        <v>3975035</v>
      </c>
      <c r="N8" s="19">
        <v>27957497</v>
      </c>
      <c r="O8" s="12">
        <f t="shared" si="0"/>
        <v>31932532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15" customHeight="1" x14ac:dyDescent="0.3">
      <c r="A9" s="1" t="s">
        <v>10</v>
      </c>
      <c r="B9" s="18">
        <v>273</v>
      </c>
      <c r="C9" s="19">
        <v>0</v>
      </c>
      <c r="D9" s="12">
        <v>0</v>
      </c>
      <c r="E9" s="15">
        <v>264469</v>
      </c>
      <c r="F9" s="19">
        <v>338649</v>
      </c>
      <c r="G9" s="15">
        <v>93962</v>
      </c>
      <c r="H9" s="15">
        <v>86849</v>
      </c>
      <c r="I9" s="19">
        <v>2870</v>
      </c>
      <c r="J9" s="15">
        <v>0</v>
      </c>
      <c r="K9" s="12">
        <v>6134</v>
      </c>
      <c r="L9" s="27">
        <v>2253533</v>
      </c>
      <c r="M9" s="15">
        <v>3046739</v>
      </c>
      <c r="N9" s="19">
        <v>19604761</v>
      </c>
      <c r="O9" s="12">
        <f>SUM(M9:N9)</f>
        <v>22651500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ht="15" customHeight="1" x14ac:dyDescent="0.3">
      <c r="A10" s="1" t="s">
        <v>11</v>
      </c>
      <c r="B10" s="18">
        <v>341</v>
      </c>
      <c r="C10" s="19">
        <v>0</v>
      </c>
      <c r="D10" s="12">
        <v>0</v>
      </c>
      <c r="E10" s="15">
        <v>285779</v>
      </c>
      <c r="F10" s="19">
        <v>372982</v>
      </c>
      <c r="G10" s="15">
        <v>115382</v>
      </c>
      <c r="H10" s="15">
        <v>93853</v>
      </c>
      <c r="I10" s="19">
        <v>3712</v>
      </c>
      <c r="J10" s="15">
        <v>0</v>
      </c>
      <c r="K10" s="12">
        <v>5821</v>
      </c>
      <c r="L10" s="27">
        <v>3119341</v>
      </c>
      <c r="M10" s="15">
        <v>3997211</v>
      </c>
      <c r="N10" s="19">
        <v>21863984</v>
      </c>
      <c r="O10" s="12">
        <f t="shared" ref="O10:O14" si="1">SUM(M10:N10)</f>
        <v>25861195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ht="15" customHeight="1" x14ac:dyDescent="0.3">
      <c r="A11" s="1" t="s">
        <v>12</v>
      </c>
      <c r="B11" s="18">
        <v>800</v>
      </c>
      <c r="C11" s="19">
        <v>0</v>
      </c>
      <c r="D11" s="12">
        <v>0</v>
      </c>
      <c r="E11" s="15">
        <v>401059</v>
      </c>
      <c r="F11" s="19">
        <v>429283</v>
      </c>
      <c r="G11" s="15">
        <v>135483</v>
      </c>
      <c r="H11" s="15">
        <v>63800</v>
      </c>
      <c r="I11" s="19">
        <v>4242</v>
      </c>
      <c r="J11" s="15">
        <v>0</v>
      </c>
      <c r="K11" s="12">
        <v>19038</v>
      </c>
      <c r="L11" s="27">
        <v>3312718</v>
      </c>
      <c r="M11" s="15">
        <v>4366423</v>
      </c>
      <c r="N11" s="19">
        <v>29025218</v>
      </c>
      <c r="O11" s="12">
        <f t="shared" si="1"/>
        <v>33391641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ht="15" customHeight="1" x14ac:dyDescent="0.3">
      <c r="A12" s="1" t="s">
        <v>13</v>
      </c>
      <c r="B12" s="18">
        <v>234</v>
      </c>
      <c r="C12" s="19">
        <v>0</v>
      </c>
      <c r="D12" s="12">
        <v>0</v>
      </c>
      <c r="E12" s="15">
        <v>255574</v>
      </c>
      <c r="F12" s="19">
        <v>499489</v>
      </c>
      <c r="G12" s="15">
        <v>109574</v>
      </c>
      <c r="H12" s="15">
        <v>122126</v>
      </c>
      <c r="I12" s="19">
        <v>3626</v>
      </c>
      <c r="J12" s="15">
        <v>0</v>
      </c>
      <c r="K12" s="12">
        <v>8471</v>
      </c>
      <c r="L12" s="27">
        <v>3327351</v>
      </c>
      <c r="M12" s="15">
        <v>4326445</v>
      </c>
      <c r="N12" s="19">
        <v>23014968</v>
      </c>
      <c r="O12" s="12">
        <f t="shared" si="1"/>
        <v>27341413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15" customHeight="1" x14ac:dyDescent="0.3">
      <c r="A13" s="1" t="s">
        <v>14</v>
      </c>
      <c r="B13" s="18">
        <v>580</v>
      </c>
      <c r="C13" s="19">
        <v>0</v>
      </c>
      <c r="D13" s="12">
        <v>0</v>
      </c>
      <c r="E13" s="15">
        <v>311444</v>
      </c>
      <c r="F13" s="19">
        <v>470142</v>
      </c>
      <c r="G13" s="15">
        <v>157983</v>
      </c>
      <c r="H13" s="15">
        <v>63842</v>
      </c>
      <c r="I13" s="19">
        <v>4195</v>
      </c>
      <c r="J13" s="15">
        <v>0</v>
      </c>
      <c r="K13" s="12">
        <v>18413</v>
      </c>
      <c r="L13" s="27">
        <v>2324173</v>
      </c>
      <c r="M13" s="15">
        <v>3350772</v>
      </c>
      <c r="N13" s="19">
        <v>21839492</v>
      </c>
      <c r="O13" s="12">
        <f t="shared" si="1"/>
        <v>25190264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15" customHeight="1" x14ac:dyDescent="0.3">
      <c r="A14" s="10" t="s">
        <v>0</v>
      </c>
      <c r="B14" s="20">
        <v>438</v>
      </c>
      <c r="C14" s="17">
        <v>0</v>
      </c>
      <c r="D14" s="16">
        <v>0</v>
      </c>
      <c r="E14" s="17">
        <v>228977</v>
      </c>
      <c r="F14" s="17">
        <v>320180</v>
      </c>
      <c r="G14" s="17">
        <v>92238</v>
      </c>
      <c r="H14" s="17">
        <v>62088</v>
      </c>
      <c r="I14" s="17">
        <v>4720</v>
      </c>
      <c r="J14" s="17">
        <v>0</v>
      </c>
      <c r="K14" s="16">
        <v>37328</v>
      </c>
      <c r="L14" s="28">
        <v>2720760</v>
      </c>
      <c r="M14" s="17">
        <v>3466729</v>
      </c>
      <c r="N14" s="17">
        <v>25448439</v>
      </c>
      <c r="O14" s="16">
        <f t="shared" si="1"/>
        <v>28915168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15" customHeight="1" x14ac:dyDescent="0.3">
      <c r="A15" s="22" t="s">
        <v>23</v>
      </c>
      <c r="B15" s="23">
        <f>SUM(B3:B14)</f>
        <v>3969</v>
      </c>
      <c r="C15" s="24">
        <f t="shared" ref="C15:M15" si="2">SUM(C3:C14)</f>
        <v>0</v>
      </c>
      <c r="D15" s="25">
        <f t="shared" si="2"/>
        <v>189</v>
      </c>
      <c r="E15" s="24">
        <f t="shared" si="2"/>
        <v>3556406</v>
      </c>
      <c r="F15" s="24">
        <f t="shared" ref="F15" si="3">SUM(F3:F14)</f>
        <v>6242539</v>
      </c>
      <c r="G15" s="24">
        <f t="shared" ref="G15" si="4">SUM(G3:G14)</f>
        <v>1387457</v>
      </c>
      <c r="H15" s="24">
        <f t="shared" ref="H15" si="5">SUM(H3:H14)</f>
        <v>1278795</v>
      </c>
      <c r="I15" s="24">
        <f t="shared" ref="I15" si="6">SUM(I3:I14)</f>
        <v>62263</v>
      </c>
      <c r="J15" s="24">
        <f t="shared" ref="J15" si="7">SUM(J3:J14)</f>
        <v>0</v>
      </c>
      <c r="K15" s="25">
        <f t="shared" ref="K15" si="8">SUM(K3:K14)</f>
        <v>150808</v>
      </c>
      <c r="L15" s="29">
        <f t="shared" si="2"/>
        <v>39091127</v>
      </c>
      <c r="M15" s="24">
        <f t="shared" si="2"/>
        <v>51263218</v>
      </c>
      <c r="N15" s="24">
        <f>SUM(N3:N14)</f>
        <v>313764051</v>
      </c>
      <c r="O15" s="25">
        <f t="shared" si="0"/>
        <v>365027269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A16" s="1" t="s">
        <v>1</v>
      </c>
    </row>
    <row r="17" spans="1:1" x14ac:dyDescent="0.3">
      <c r="A17" s="5" t="s">
        <v>24</v>
      </c>
    </row>
    <row r="18" spans="1:1" x14ac:dyDescent="0.3">
      <c r="A18" s="5" t="s">
        <v>32</v>
      </c>
    </row>
    <row r="19" spans="1:1" x14ac:dyDescent="0.3">
      <c r="A19" s="1"/>
    </row>
    <row r="20" spans="1:1" x14ac:dyDescent="0.3">
      <c r="A20" s="1"/>
    </row>
  </sheetData>
  <mergeCells count="3">
    <mergeCell ref="M1:O1"/>
    <mergeCell ref="B1:D1"/>
    <mergeCell ref="E1:K1"/>
  </mergeCells>
  <phoneticPr fontId="18" type="noConversion"/>
  <pageMargins left="0.7" right="0.7" top="0.75" bottom="0.75" header="0.3" footer="0.3"/>
  <pageSetup paperSize="9" orientation="portrait" r:id="rId1"/>
  <ignoredErrors>
    <ignoredError sqref="O3:O11 O12:O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2020년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2026-06-23T07:35:17Z</dcterms:modified>
</cp:coreProperties>
</file>