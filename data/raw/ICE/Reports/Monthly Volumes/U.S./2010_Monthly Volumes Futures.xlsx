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U.S\Historical Monthly Volume\Futures\"/>
    </mc:Choice>
  </mc:AlternateContent>
  <bookViews>
    <workbookView xWindow="0" yWindow="0" windowWidth="25125" windowHeight="11640"/>
  </bookViews>
  <sheets>
    <sheet name="2017년" sheetId="1" r:id="rId1"/>
  </sheets>
  <calcPr calcId="162913"/>
</workbook>
</file>

<file path=xl/calcChain.xml><?xml version="1.0" encoding="utf-8"?>
<calcChain xmlns="http://schemas.openxmlformats.org/spreadsheetml/2006/main">
  <c r="F15" i="1" l="1"/>
  <c r="E15" i="1"/>
  <c r="O14" i="1" l="1"/>
  <c r="O13" i="1"/>
  <c r="O12" i="1"/>
  <c r="O11" i="1"/>
  <c r="O10" i="1"/>
  <c r="O9" i="1"/>
  <c r="O8" i="1"/>
  <c r="O7" i="1"/>
  <c r="O6" i="1"/>
  <c r="O5" i="1"/>
  <c r="O4" i="1"/>
  <c r="O3" i="1"/>
  <c r="C15" i="1"/>
  <c r="B15" i="1"/>
  <c r="D15" i="1" l="1"/>
  <c r="H15" i="1" l="1"/>
  <c r="N15" i="1"/>
  <c r="K15" i="1"/>
  <c r="J15" i="1"/>
  <c r="I15" i="1"/>
  <c r="L15" i="1"/>
  <c r="G15" i="1"/>
  <c r="M15" i="1"/>
  <c r="O15" i="1" l="1"/>
</calcChain>
</file>

<file path=xl/sharedStrings.xml><?xml version="1.0" encoding="utf-8"?>
<sst xmlns="http://schemas.openxmlformats.org/spreadsheetml/2006/main" count="33" uniqueCount="33">
  <si>
    <t>December</t>
  </si>
  <si>
    <t>Notes:</t>
  </si>
  <si>
    <t>Month</t>
    <phoneticPr fontId="18" type="noConversion"/>
  </si>
  <si>
    <t>US$</t>
    <phoneticPr fontId="18" type="noConversion"/>
  </si>
  <si>
    <t>CURRENCIES</t>
    <phoneticPr fontId="18" type="noConversion"/>
  </si>
  <si>
    <t>Futures Financial Products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</si>
  <si>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</si>
  <si>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</si>
  <si>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</si>
  <si>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</si>
  <si>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</si>
  <si>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</si>
  <si>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</si>
  <si>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</si>
  <si>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</si>
  <si>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</si>
  <si>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</si>
  <si>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Futures Agricultural Products</t>
  </si>
  <si>
    <t>Coffee</t>
  </si>
  <si>
    <t>Sugar</t>
  </si>
  <si>
    <t>Cocoa</t>
  </si>
  <si>
    <t>Cotton</t>
  </si>
  <si>
    <t>FCOJ</t>
  </si>
  <si>
    <t>Monthly Totals</t>
  </si>
  <si>
    <t>Futures</t>
  </si>
  <si>
    <t>Options</t>
  </si>
  <si>
    <t>Overall</t>
  </si>
  <si>
    <t>Yearly Total</t>
    <phoneticPr fontId="18" type="noConversion"/>
  </si>
  <si>
    <t>Other</t>
    <phoneticPr fontId="18" type="noConversion"/>
  </si>
  <si>
    <t>RUSSELL</t>
    <phoneticPr fontId="18" type="noConversion"/>
  </si>
  <si>
    <t>CRB/CCI INDEX</t>
    <phoneticPr fontId="18" type="noConversion"/>
  </si>
  <si>
    <t>*This report has been retroactively adjusted to include Canola volumes traded on ICE Futures Canada from 2006 - July 30, 2018. On July 30, 2018, we transitioned the trading of Canola contracts from ICE Futures Canada to ICE Futures U.S., after which ICE Futures Canada ceased operations.</t>
    <phoneticPr fontId="18" type="noConversion"/>
  </si>
  <si>
    <t>Canola*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</si>
</sst>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  <xf numFmtId="177" fontId="20" fillId="0" borderId="11" xfId="0" applyNumberFormat="1" applyFont="1" applyBorder="1" applyAlignment="1">
      <alignment horizontal="center" vertical="center"/>
    </xf>
    <xf numFmtId="177" fontId="20" fillId="0" borderId="12" xfId="0" applyNumberFormat="1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3.25" customWidth="1"/>
    <col min="3" max="3" width="14.875" customWidth="1"/>
    <col min="4" max="4" width="18.25" customWidth="1"/>
    <col min="5" max="5" width="12.125" customWidth="1"/>
    <col min="6" max="6" width="8.5" customWidth="1"/>
    <col min="7" max="7" width="12.5" bestFit="1" customWidth="1"/>
    <col min="8" max="9" width="12.625" bestFit="1" customWidth="1"/>
    <col min="10" max="10" width="12.5" bestFit="1" customWidth="1"/>
    <col min="11" max="11" width="9.125" bestFit="1" customWidth="1"/>
    <col min="12" max="12" width="12.5" bestFit="1" customWidth="1"/>
    <col min="13" max="13" width="13.875" bestFit="1" customWidth="1"/>
    <col min="14" max="14" width="12.625" bestFit="1" customWidth="1"/>
    <col min="15" max="15" width="13.875" bestFit="1" customWidth="1"/>
  </cols>
  <sheetData>
    <row r="1" spans="1:39" x14ac:dyDescent="0.3">
      <c r="A1" s="1"/>
      <c r="B1" s="27" t="s">
        <v>5</v>
      </c>
      <c r="C1" s="28"/>
      <c r="D1" s="28"/>
      <c r="E1" s="28"/>
      <c r="F1" s="29"/>
      <c r="G1" s="27" t="s">
        <v>17</v>
      </c>
      <c r="H1" s="28"/>
      <c r="I1" s="28"/>
      <c r="J1" s="28"/>
      <c r="K1" s="28"/>
      <c r="L1" s="29"/>
      <c r="M1" s="24" t="s">
        <v>23</v>
      </c>
      <c r="N1" s="26"/>
      <c r="O1" s="25"/>
    </row>
    <row r="2" spans="1:39" x14ac:dyDescent="0.3">
      <c r="A2" s="2" t="s">
        <v>2</v>
      </c>
      <c r="B2" s="10" t="s">
        <v>3</v>
      </c>
      <c r="C2" s="7" t="s">
        <v>4</v>
      </c>
      <c r="D2" s="8" t="s">
        <v>30</v>
      </c>
      <c r="E2" s="6" t="s">
        <v>29</v>
      </c>
      <c r="F2" s="4" t="s">
        <v>28</v>
      </c>
      <c r="G2" s="2" t="s">
        <v>18</v>
      </c>
      <c r="H2" s="8" t="s">
        <v>19</v>
      </c>
      <c r="I2" s="6" t="s">
        <v>20</v>
      </c>
      <c r="J2" s="2" t="s">
        <v>21</v>
      </c>
      <c r="K2" s="6" t="s">
        <v>22</v>
      </c>
      <c r="L2" s="4" t="s">
        <v>32</v>
      </c>
      <c r="M2" s="2" t="s">
        <v>24</v>
      </c>
      <c r="N2" s="6" t="s">
        <v>25</v>
      </c>
      <c r="O2" s="4" t="s">
        <v>26</v>
      </c>
    </row>
    <row r="3" spans="1:39" ht="15" customHeight="1" x14ac:dyDescent="0.3">
      <c r="A3" s="1" t="s">
        <v>6</v>
      </c>
      <c r="B3" s="12">
        <v>376945</v>
      </c>
      <c r="C3" s="13">
        <v>74872</v>
      </c>
      <c r="D3" s="18">
        <v>453</v>
      </c>
      <c r="E3" s="18">
        <v>2420782</v>
      </c>
      <c r="F3" s="11">
        <v>0</v>
      </c>
      <c r="G3" s="14">
        <v>336188</v>
      </c>
      <c r="H3" s="18">
        <v>2357644</v>
      </c>
      <c r="I3" s="14">
        <v>255025</v>
      </c>
      <c r="J3" s="14">
        <v>321331</v>
      </c>
      <c r="K3" s="18">
        <v>55002</v>
      </c>
      <c r="L3" s="11">
        <v>239347</v>
      </c>
      <c r="M3" s="14">
        <v>6198242</v>
      </c>
      <c r="N3" s="18">
        <v>1167669</v>
      </c>
      <c r="O3" s="11">
        <f>SUM(M3:N3)</f>
        <v>7365911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5" customHeight="1" x14ac:dyDescent="0.3">
      <c r="A4" s="1" t="s">
        <v>7</v>
      </c>
      <c r="B4" s="17">
        <v>521754</v>
      </c>
      <c r="C4" s="18">
        <v>60578</v>
      </c>
      <c r="D4" s="18">
        <v>1823</v>
      </c>
      <c r="E4" s="18">
        <v>2517978</v>
      </c>
      <c r="F4" s="11">
        <v>0</v>
      </c>
      <c r="G4" s="14">
        <v>544197</v>
      </c>
      <c r="H4" s="18">
        <v>2993208</v>
      </c>
      <c r="I4" s="14">
        <v>361068</v>
      </c>
      <c r="J4" s="14">
        <v>570117</v>
      </c>
      <c r="K4" s="18">
        <v>62671</v>
      </c>
      <c r="L4" s="11">
        <v>349512</v>
      </c>
      <c r="M4" s="14">
        <v>7633394</v>
      </c>
      <c r="N4" s="18">
        <v>1070634</v>
      </c>
      <c r="O4" s="11">
        <f t="shared" ref="O4:O15" si="0">SUM(M4:N4)</f>
        <v>8704028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5" customHeight="1" x14ac:dyDescent="0.3">
      <c r="A5" s="1" t="s">
        <v>8</v>
      </c>
      <c r="B5" s="17">
        <v>706254</v>
      </c>
      <c r="C5" s="18">
        <v>139276</v>
      </c>
      <c r="D5" s="18">
        <v>958</v>
      </c>
      <c r="E5" s="18">
        <v>3790900</v>
      </c>
      <c r="F5" s="11">
        <v>52</v>
      </c>
      <c r="G5" s="14">
        <v>388468</v>
      </c>
      <c r="H5" s="18">
        <v>2781061</v>
      </c>
      <c r="I5" s="14">
        <v>282222</v>
      </c>
      <c r="J5" s="14">
        <v>344389</v>
      </c>
      <c r="K5" s="18">
        <v>42726</v>
      </c>
      <c r="L5" s="11">
        <v>283156</v>
      </c>
      <c r="M5" s="14">
        <v>8476306</v>
      </c>
      <c r="N5" s="18">
        <v>1517875</v>
      </c>
      <c r="O5" s="11">
        <f t="shared" si="0"/>
        <v>9994181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15" customHeight="1" x14ac:dyDescent="0.3">
      <c r="A6" s="1" t="s">
        <v>9</v>
      </c>
      <c r="B6" s="17">
        <v>459362</v>
      </c>
      <c r="C6" s="18">
        <v>50911</v>
      </c>
      <c r="D6" s="18">
        <v>143</v>
      </c>
      <c r="E6" s="18">
        <v>3185746</v>
      </c>
      <c r="F6" s="11">
        <v>0</v>
      </c>
      <c r="G6" s="14">
        <v>586602</v>
      </c>
      <c r="H6" s="18">
        <v>2763589</v>
      </c>
      <c r="I6" s="14">
        <v>372997</v>
      </c>
      <c r="J6" s="14">
        <v>567774</v>
      </c>
      <c r="K6" s="18">
        <v>73654</v>
      </c>
      <c r="L6" s="11">
        <v>415932</v>
      </c>
      <c r="M6" s="14">
        <v>8060778</v>
      </c>
      <c r="N6" s="18">
        <v>1000679</v>
      </c>
      <c r="O6" s="11">
        <f t="shared" si="0"/>
        <v>9061457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5" customHeight="1" x14ac:dyDescent="0.3">
      <c r="A7" s="1" t="s">
        <v>10</v>
      </c>
      <c r="B7" s="17">
        <v>711420</v>
      </c>
      <c r="C7" s="18">
        <v>79785</v>
      </c>
      <c r="D7" s="18">
        <v>865</v>
      </c>
      <c r="E7" s="18">
        <v>4464858</v>
      </c>
      <c r="F7" s="11">
        <v>0</v>
      </c>
      <c r="G7" s="14">
        <v>372641</v>
      </c>
      <c r="H7" s="18">
        <v>1735909</v>
      </c>
      <c r="I7" s="14">
        <v>290545</v>
      </c>
      <c r="J7" s="14">
        <v>365998</v>
      </c>
      <c r="K7" s="18">
        <v>36599</v>
      </c>
      <c r="L7" s="11">
        <v>232711</v>
      </c>
      <c r="M7" s="14">
        <v>8058620</v>
      </c>
      <c r="N7" s="18">
        <v>872215</v>
      </c>
      <c r="O7" s="11">
        <f t="shared" si="0"/>
        <v>8930835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5" customHeight="1" x14ac:dyDescent="0.3">
      <c r="A8" s="1" t="s">
        <v>11</v>
      </c>
      <c r="B8" s="17">
        <v>569158</v>
      </c>
      <c r="C8" s="18">
        <v>104774</v>
      </c>
      <c r="D8" s="18">
        <v>50</v>
      </c>
      <c r="E8" s="18">
        <v>4526622</v>
      </c>
      <c r="F8" s="11">
        <v>64</v>
      </c>
      <c r="G8" s="14">
        <v>791873</v>
      </c>
      <c r="H8" s="18">
        <v>2945812</v>
      </c>
      <c r="I8" s="14">
        <v>366645</v>
      </c>
      <c r="J8" s="14">
        <v>550206</v>
      </c>
      <c r="K8" s="18">
        <v>63734</v>
      </c>
      <c r="L8" s="11">
        <v>534781</v>
      </c>
      <c r="M8" s="14">
        <v>9918938</v>
      </c>
      <c r="N8" s="18">
        <v>919053</v>
      </c>
      <c r="O8" s="11">
        <f t="shared" si="0"/>
        <v>10837991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15" customHeight="1" x14ac:dyDescent="0.3">
      <c r="A9" s="1" t="s">
        <v>12</v>
      </c>
      <c r="B9" s="17">
        <v>415803</v>
      </c>
      <c r="C9" s="18">
        <v>67323</v>
      </c>
      <c r="D9" s="18">
        <v>1409</v>
      </c>
      <c r="E9" s="18">
        <v>3547354</v>
      </c>
      <c r="F9" s="11">
        <v>0</v>
      </c>
      <c r="G9" s="14">
        <v>384464</v>
      </c>
      <c r="H9" s="18">
        <v>1845924</v>
      </c>
      <c r="I9" s="14">
        <v>253289</v>
      </c>
      <c r="J9" s="14">
        <v>327296</v>
      </c>
      <c r="K9" s="18">
        <v>37098</v>
      </c>
      <c r="L9" s="11">
        <v>200250</v>
      </c>
      <c r="M9" s="14">
        <v>6879960</v>
      </c>
      <c r="N9" s="18">
        <v>1059685</v>
      </c>
      <c r="O9" s="11">
        <f>SUM(M9:N9)</f>
        <v>7939645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ht="15" customHeight="1" x14ac:dyDescent="0.3">
      <c r="A10" s="1" t="s">
        <v>13</v>
      </c>
      <c r="B10" s="17">
        <v>446154</v>
      </c>
      <c r="C10" s="18">
        <v>71525</v>
      </c>
      <c r="D10" s="18">
        <v>253</v>
      </c>
      <c r="E10" s="18">
        <v>3373100</v>
      </c>
      <c r="F10" s="11">
        <v>0</v>
      </c>
      <c r="G10" s="14">
        <v>601583</v>
      </c>
      <c r="H10" s="18">
        <v>2193287</v>
      </c>
      <c r="I10" s="14">
        <v>425322</v>
      </c>
      <c r="J10" s="14">
        <v>331579</v>
      </c>
      <c r="K10" s="18">
        <v>64224</v>
      </c>
      <c r="L10" s="11">
        <v>277736</v>
      </c>
      <c r="M10" s="14">
        <v>7507027</v>
      </c>
      <c r="N10" s="18">
        <v>1032797</v>
      </c>
      <c r="O10" s="11">
        <f t="shared" ref="O10:O14" si="1">SUM(M10:N10)</f>
        <v>8539824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15" customHeight="1" x14ac:dyDescent="0.3">
      <c r="A11" s="1" t="s">
        <v>14</v>
      </c>
      <c r="B11" s="17">
        <v>543769</v>
      </c>
      <c r="C11" s="18">
        <v>176261</v>
      </c>
      <c r="D11" s="18">
        <v>68</v>
      </c>
      <c r="E11" s="18">
        <v>3953648</v>
      </c>
      <c r="F11" s="11">
        <v>76</v>
      </c>
      <c r="G11" s="14">
        <v>336930</v>
      </c>
      <c r="H11" s="18">
        <v>3379649</v>
      </c>
      <c r="I11" s="14">
        <v>247749</v>
      </c>
      <c r="J11" s="14">
        <v>440411</v>
      </c>
      <c r="K11" s="18">
        <v>50953</v>
      </c>
      <c r="L11" s="11">
        <v>376578</v>
      </c>
      <c r="M11" s="14">
        <v>9129514</v>
      </c>
      <c r="N11" s="18">
        <v>1544580</v>
      </c>
      <c r="O11" s="11">
        <f t="shared" si="1"/>
        <v>10674094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ht="15" customHeight="1" x14ac:dyDescent="0.3">
      <c r="A12" s="1" t="s">
        <v>15</v>
      </c>
      <c r="B12" s="17">
        <v>528852</v>
      </c>
      <c r="C12" s="18">
        <v>64638</v>
      </c>
      <c r="D12" s="18">
        <v>62</v>
      </c>
      <c r="E12" s="18">
        <v>2763234</v>
      </c>
      <c r="F12" s="11">
        <v>0</v>
      </c>
      <c r="G12" s="14">
        <v>370233</v>
      </c>
      <c r="H12" s="18">
        <v>1984789</v>
      </c>
      <c r="I12" s="14">
        <v>284483</v>
      </c>
      <c r="J12" s="14">
        <v>600977</v>
      </c>
      <c r="K12" s="18">
        <v>72996</v>
      </c>
      <c r="L12" s="11">
        <v>500943</v>
      </c>
      <c r="M12" s="14">
        <v>6670264</v>
      </c>
      <c r="N12" s="18">
        <v>1722928</v>
      </c>
      <c r="O12" s="11">
        <f t="shared" si="1"/>
        <v>8393192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15" customHeight="1" x14ac:dyDescent="0.3">
      <c r="A13" s="1" t="s">
        <v>16</v>
      </c>
      <c r="B13" s="17">
        <v>582251</v>
      </c>
      <c r="C13" s="18">
        <v>93421</v>
      </c>
      <c r="D13" s="18">
        <v>1278</v>
      </c>
      <c r="E13" s="18">
        <v>2706759</v>
      </c>
      <c r="F13" s="11">
        <v>0</v>
      </c>
      <c r="G13" s="14">
        <v>519808</v>
      </c>
      <c r="H13" s="18">
        <v>2639372</v>
      </c>
      <c r="I13" s="14">
        <v>404682</v>
      </c>
      <c r="J13" s="14">
        <v>887594</v>
      </c>
      <c r="K13" s="18">
        <v>34959</v>
      </c>
      <c r="L13" s="11">
        <v>312248</v>
      </c>
      <c r="M13" s="14">
        <v>7870124</v>
      </c>
      <c r="N13" s="18">
        <v>1667038</v>
      </c>
      <c r="O13" s="11">
        <f t="shared" si="1"/>
        <v>9537162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15" customHeight="1" x14ac:dyDescent="0.3">
      <c r="A14" s="9" t="s">
        <v>0</v>
      </c>
      <c r="B14" s="19">
        <v>507795</v>
      </c>
      <c r="C14" s="16">
        <v>154701</v>
      </c>
      <c r="D14" s="16">
        <v>2193</v>
      </c>
      <c r="E14" s="16">
        <v>2889704</v>
      </c>
      <c r="F14" s="15">
        <v>60</v>
      </c>
      <c r="G14" s="16">
        <v>260575</v>
      </c>
      <c r="H14" s="16">
        <v>1612553</v>
      </c>
      <c r="I14" s="16">
        <v>261190</v>
      </c>
      <c r="J14" s="16">
        <v>425234</v>
      </c>
      <c r="K14" s="16">
        <v>96967</v>
      </c>
      <c r="L14" s="15">
        <v>478345</v>
      </c>
      <c r="M14" s="16">
        <v>6210972</v>
      </c>
      <c r="N14" s="16">
        <v>1107869</v>
      </c>
      <c r="O14" s="15">
        <f t="shared" si="1"/>
        <v>7318841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5" customHeight="1" x14ac:dyDescent="0.3">
      <c r="A15" s="20" t="s">
        <v>27</v>
      </c>
      <c r="B15" s="21">
        <f>SUM(B3:B14)</f>
        <v>6369517</v>
      </c>
      <c r="C15" s="22">
        <f t="shared" ref="C15:N15" si="2">SUM(C3:C14)</f>
        <v>1138065</v>
      </c>
      <c r="D15" s="22">
        <f t="shared" si="2"/>
        <v>9555</v>
      </c>
      <c r="E15" s="30">
        <f t="shared" si="2"/>
        <v>40140685</v>
      </c>
      <c r="F15" s="31">
        <f t="shared" si="2"/>
        <v>252</v>
      </c>
      <c r="G15" s="22">
        <f t="shared" si="2"/>
        <v>5493562</v>
      </c>
      <c r="H15" s="22">
        <f t="shared" ref="H15" si="3">SUM(H3:H14)</f>
        <v>29232797</v>
      </c>
      <c r="I15" s="22">
        <f t="shared" ref="I15" si="4">SUM(I3:I14)</f>
        <v>3805217</v>
      </c>
      <c r="J15" s="22">
        <f t="shared" ref="J15" si="5">SUM(J3:J14)</f>
        <v>5732906</v>
      </c>
      <c r="K15" s="22">
        <f t="shared" ref="K15" si="6">SUM(K3:K14)</f>
        <v>691583</v>
      </c>
      <c r="L15" s="23">
        <f t="shared" ref="L15" si="7">SUM(L3:L14)</f>
        <v>4201539</v>
      </c>
      <c r="M15" s="22">
        <f t="shared" si="2"/>
        <v>92614139</v>
      </c>
      <c r="N15" s="22">
        <f t="shared" si="2"/>
        <v>14683022</v>
      </c>
      <c r="O15" s="23">
        <f t="shared" si="0"/>
        <v>107297161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 s="1" t="s">
        <v>1</v>
      </c>
    </row>
    <row r="17" spans="1:1" x14ac:dyDescent="0.3">
      <c r="A17" s="5" t="s">
        <v>31</v>
      </c>
    </row>
    <row r="18" spans="1:1" x14ac:dyDescent="0.3">
      <c r="A18" s="1"/>
    </row>
    <row r="19" spans="1:1" x14ac:dyDescent="0.3">
      <c r="A19" s="1"/>
    </row>
  </sheetData>
  <mergeCells count="3">
    <mergeCell ref="M1:O1"/>
    <mergeCell ref="G1:L1"/>
    <mergeCell ref="B1:F1"/>
  </mergeCells>
  <phoneticPr fontId="18" type="noConversion"/>
  <pageMargins left="0.7" right="0.7" top="0.75" bottom="0.75" header="0.3" footer="0.3"/>
  <pageSetup paperSize="9" orientation="portrait" r:id="rId1"/>
  <ignoredErrors>
    <ignoredError sqref="O3:O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2017년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2026-07-16T06:44:47Z</dcterms:modified>
</cp:coreProperties>
</file>