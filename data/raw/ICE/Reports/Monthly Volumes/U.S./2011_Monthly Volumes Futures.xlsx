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Futures\"/>
    </mc:Choice>
  </mc:AlternateContent>
  <bookViews>
    <workbookView xWindow="0" yWindow="0" windowWidth="25125" windowHeight="11640"/>
  </bookViews>
  <sheets>
    <sheet name="2011년" sheetId="1" r:id="rId1"/>
  </sheets>
  <calcPr calcId="162913"/>
</workbook>
</file>

<file path=xl/calcChain.xml><?xml version="1.0" encoding="utf-8"?>
<calcChain xmlns="http://schemas.openxmlformats.org/spreadsheetml/2006/main">
  <c r="F15" i="1" l="1"/>
  <c r="E15" i="1"/>
  <c r="O14" i="1" l="1"/>
  <c r="O13" i="1"/>
  <c r="O12" i="1"/>
  <c r="O11" i="1"/>
  <c r="O10" i="1"/>
  <c r="O9" i="1"/>
  <c r="O8" i="1"/>
  <c r="O7" i="1"/>
  <c r="O6" i="1"/>
  <c r="O5" i="1"/>
  <c r="O4" i="1"/>
  <c r="O3" i="1"/>
  <c r="C15" i="1"/>
  <c r="B15" i="1"/>
  <c r="D15" i="1" l="1"/>
  <c r="H15" i="1" l="1"/>
  <c r="N15" i="1"/>
  <c r="K15" i="1"/>
  <c r="J15" i="1"/>
  <c r="I15" i="1"/>
  <c r="L15" i="1"/>
  <c r="G15" i="1"/>
  <c r="M15" i="1"/>
  <c r="O15" i="1" l="1"/>
</calcChain>
</file>

<file path=xl/sharedStrings.xml><?xml version="1.0" encoding="utf-8"?>
<sst xmlns="http://schemas.openxmlformats.org/spreadsheetml/2006/main" count="33" uniqueCount="33">
  <si>
    <t>December</t>
  </si>
  <si>
    <t>Notes:</t>
  </si>
  <si>
    <t>Month</t>
    <phoneticPr fontId="18" type="noConversion"/>
  </si>
  <si>
    <t>US$</t>
    <phoneticPr fontId="18" type="noConversion"/>
  </si>
  <si>
    <t>CURRENCIES</t>
    <phoneticPr fontId="18" type="noConversion"/>
  </si>
  <si>
    <t>Futures Financial Products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</si>
  <si>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</si>
  <si>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</si>
  <si>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</si>
  <si>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</si>
  <si>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</si>
  <si>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</si>
  <si>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</si>
  <si>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</si>
  <si>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</si>
  <si>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</si>
  <si>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</si>
  <si>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Futures Agricultural Products</t>
  </si>
  <si>
    <t>Coffee</t>
  </si>
  <si>
    <t>Sugar</t>
  </si>
  <si>
    <t>Cocoa</t>
  </si>
  <si>
    <t>Cotton</t>
  </si>
  <si>
    <t>FCOJ</t>
  </si>
  <si>
    <t>Monthly Totals</t>
  </si>
  <si>
    <t>Futures</t>
  </si>
  <si>
    <t>Options</t>
  </si>
  <si>
    <t>Overall</t>
  </si>
  <si>
    <t>Yearly Total</t>
    <phoneticPr fontId="18" type="noConversion"/>
  </si>
  <si>
    <t>Other</t>
    <phoneticPr fontId="18" type="noConversion"/>
  </si>
  <si>
    <t>RUSSELL</t>
    <phoneticPr fontId="18" type="noConversion"/>
  </si>
  <si>
    <t>CRB/CCI INDEX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</si>
  <si>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</si>
  <si>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Canola*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</si>
</sst>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  <xf numFmtId="177" fontId="20" fillId="0" borderId="12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3.25" customWidth="1"/>
    <col min="3" max="3" width="14.875" customWidth="1"/>
    <col min="4" max="4" width="18.25" customWidth="1"/>
    <col min="5" max="5" width="12.125" customWidth="1"/>
    <col min="6" max="6" width="8.5" customWidth="1"/>
    <col min="7" max="7" width="12.5" bestFit="1" customWidth="1"/>
    <col min="8" max="9" width="12.625" bestFit="1" customWidth="1"/>
    <col min="10" max="10" width="12.5" bestFit="1" customWidth="1"/>
    <col min="11" max="11" width="9.125" bestFit="1" customWidth="1"/>
    <col min="12" max="12" width="12.5" bestFit="1" customWidth="1"/>
    <col min="13" max="13" width="13.875" bestFit="1" customWidth="1"/>
    <col min="14" max="14" width="12.625" bestFit="1" customWidth="1"/>
    <col min="15" max="15" width="13.875" bestFit="1" customWidth="1"/>
  </cols>
  <sheetData>
    <row r="1" spans="1:39" x14ac:dyDescent="0.3">
      <c r="A1" s="1"/>
      <c r="B1" s="27" t="s">
        <v>5</v>
      </c>
      <c r="C1" s="28"/>
      <c r="D1" s="28"/>
      <c r="E1" s="28"/>
      <c r="F1" s="29"/>
      <c r="G1" s="27" t="s">
        <v>17</v>
      </c>
      <c r="H1" s="28"/>
      <c r="I1" s="28"/>
      <c r="J1" s="28"/>
      <c r="K1" s="28"/>
      <c r="L1" s="29"/>
      <c r="M1" s="24" t="s">
        <v>23</v>
      </c>
      <c r="N1" s="26"/>
      <c r="O1" s="25"/>
    </row>
    <row r="2" spans="1:39" x14ac:dyDescent="0.3">
      <c r="A2" s="2" t="s">
        <v>2</v>
      </c>
      <c r="B2" s="10" t="s">
        <v>3</v>
      </c>
      <c r="C2" s="7" t="s">
        <v>4</v>
      </c>
      <c r="D2" s="8" t="s">
        <v>30</v>
      </c>
      <c r="E2" s="6" t="s">
        <v>29</v>
      </c>
      <c r="F2" s="4" t="s">
        <v>28</v>
      </c>
      <c r="G2" s="2" t="s">
        <v>18</v>
      </c>
      <c r="H2" s="8" t="s">
        <v>19</v>
      </c>
      <c r="I2" s="6" t="s">
        <v>20</v>
      </c>
      <c r="J2" s="2" t="s">
        <v>21</v>
      </c>
      <c r="K2" s="6" t="s">
        <v>22</v>
      </c>
      <c r="L2" s="4" t="s">
        <v>32</v>
      </c>
      <c r="M2" s="2" t="s">
        <v>24</v>
      </c>
      <c r="N2" s="6" t="s">
        <v>25</v>
      </c>
      <c r="O2" s="4" t="s">
        <v>26</v>
      </c>
    </row>
    <row r="3" spans="1:39" ht="15" customHeight="1" x14ac:dyDescent="0.3">
      <c r="A3" s="1" t="s">
        <v>6</v>
      </c>
      <c r="B3" s="12">
        <v>498457</v>
      </c>
      <c r="C3" s="13">
        <v>111872</v>
      </c>
      <c r="D3" s="18">
        <v>427</v>
      </c>
      <c r="E3" s="18">
        <v>2495901</v>
      </c>
      <c r="F3" s="11">
        <v>0</v>
      </c>
      <c r="G3" s="14">
        <v>390345</v>
      </c>
      <c r="H3" s="18">
        <v>2183606</v>
      </c>
      <c r="I3" s="14">
        <v>395349</v>
      </c>
      <c r="J3" s="14">
        <v>457454</v>
      </c>
      <c r="K3" s="18">
        <v>39184</v>
      </c>
      <c r="L3" s="11">
        <v>345505</v>
      </c>
      <c r="M3" s="14">
        <v>6572595</v>
      </c>
      <c r="N3" s="18">
        <v>1090539</v>
      </c>
      <c r="O3" s="11">
        <f>SUM(M3:N3)</f>
        <v>7663134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7</v>
      </c>
      <c r="B4" s="17">
        <v>413679</v>
      </c>
      <c r="C4" s="18">
        <v>97505</v>
      </c>
      <c r="D4" s="18">
        <v>88</v>
      </c>
      <c r="E4" s="18">
        <v>2250561</v>
      </c>
      <c r="F4" s="11">
        <v>0</v>
      </c>
      <c r="G4" s="14">
        <v>471890</v>
      </c>
      <c r="H4" s="18">
        <v>3348736</v>
      </c>
      <c r="I4" s="14">
        <v>401740</v>
      </c>
      <c r="J4" s="14">
        <v>719075</v>
      </c>
      <c r="K4" s="18">
        <v>63134</v>
      </c>
      <c r="L4" s="11">
        <v>483744</v>
      </c>
      <c r="M4" s="14">
        <v>7766408</v>
      </c>
      <c r="N4" s="18">
        <v>1155912</v>
      </c>
      <c r="O4" s="11">
        <f t="shared" ref="O4:O15" si="0">SUM(M4:N4)</f>
        <v>8922320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8</v>
      </c>
      <c r="B5" s="17">
        <v>729472</v>
      </c>
      <c r="C5" s="18">
        <v>209058</v>
      </c>
      <c r="D5" s="18">
        <v>191</v>
      </c>
      <c r="E5" s="18">
        <v>4291653</v>
      </c>
      <c r="F5" s="11">
        <v>62</v>
      </c>
      <c r="G5" s="14">
        <v>408416</v>
      </c>
      <c r="H5" s="18">
        <v>1779543</v>
      </c>
      <c r="I5" s="14">
        <v>390590</v>
      </c>
      <c r="J5" s="14">
        <v>590294</v>
      </c>
      <c r="K5" s="18">
        <v>43077</v>
      </c>
      <c r="L5" s="11">
        <v>342887</v>
      </c>
      <c r="M5" s="14">
        <v>8442356</v>
      </c>
      <c r="N5" s="18">
        <v>1280694</v>
      </c>
      <c r="O5" s="11">
        <f t="shared" si="0"/>
        <v>9723050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9</v>
      </c>
      <c r="B6" s="17">
        <v>470221</v>
      </c>
      <c r="C6" s="18">
        <v>66993</v>
      </c>
      <c r="D6" s="18">
        <v>86</v>
      </c>
      <c r="E6" s="18">
        <v>2242604</v>
      </c>
      <c r="F6" s="11">
        <v>0</v>
      </c>
      <c r="G6" s="14">
        <v>516121</v>
      </c>
      <c r="H6" s="18">
        <v>2343182</v>
      </c>
      <c r="I6" s="14">
        <v>423879</v>
      </c>
      <c r="J6" s="14">
        <v>602903</v>
      </c>
      <c r="K6" s="18">
        <v>63680</v>
      </c>
      <c r="L6" s="11">
        <v>417453</v>
      </c>
      <c r="M6" s="14">
        <v>6729669</v>
      </c>
      <c r="N6" s="18">
        <v>1057601</v>
      </c>
      <c r="O6" s="11">
        <f t="shared" si="0"/>
        <v>7787270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10</v>
      </c>
      <c r="B7" s="17">
        <v>822538</v>
      </c>
      <c r="C7" s="18">
        <v>88628</v>
      </c>
      <c r="D7" s="18">
        <v>57</v>
      </c>
      <c r="E7" s="18">
        <v>3109218</v>
      </c>
      <c r="F7" s="11">
        <v>0</v>
      </c>
      <c r="G7" s="14">
        <v>388052</v>
      </c>
      <c r="H7" s="18">
        <v>1837674</v>
      </c>
      <c r="I7" s="14">
        <v>357282</v>
      </c>
      <c r="J7" s="14">
        <v>325606</v>
      </c>
      <c r="K7" s="18">
        <v>41142</v>
      </c>
      <c r="L7" s="11">
        <v>326805</v>
      </c>
      <c r="M7" s="14">
        <v>6970197</v>
      </c>
      <c r="N7" s="18">
        <v>1091648</v>
      </c>
      <c r="O7" s="11">
        <f t="shared" si="0"/>
        <v>8061845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11</v>
      </c>
      <c r="B8" s="17">
        <v>850244</v>
      </c>
      <c r="C8" s="18">
        <v>184773</v>
      </c>
      <c r="D8" s="18">
        <v>1053</v>
      </c>
      <c r="E8" s="18">
        <v>4589017</v>
      </c>
      <c r="F8" s="11">
        <v>76</v>
      </c>
      <c r="G8" s="14">
        <v>555238</v>
      </c>
      <c r="H8" s="18">
        <v>3275126</v>
      </c>
      <c r="I8" s="14">
        <v>454217</v>
      </c>
      <c r="J8" s="14">
        <v>536555</v>
      </c>
      <c r="K8" s="18">
        <v>89150</v>
      </c>
      <c r="L8" s="11">
        <v>436050</v>
      </c>
      <c r="M8" s="14">
        <v>10535449</v>
      </c>
      <c r="N8" s="18">
        <v>1054563</v>
      </c>
      <c r="O8" s="11">
        <f t="shared" si="0"/>
        <v>11590012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12</v>
      </c>
      <c r="B9" s="17">
        <v>580841</v>
      </c>
      <c r="C9" s="18">
        <v>108793</v>
      </c>
      <c r="D9" s="18">
        <v>167</v>
      </c>
      <c r="E9" s="18">
        <v>3075728</v>
      </c>
      <c r="F9" s="11">
        <v>0</v>
      </c>
      <c r="G9" s="14">
        <v>332701</v>
      </c>
      <c r="H9" s="18">
        <v>1709240</v>
      </c>
      <c r="I9" s="14">
        <v>328156</v>
      </c>
      <c r="J9" s="14">
        <v>293608</v>
      </c>
      <c r="K9" s="18">
        <v>28260</v>
      </c>
      <c r="L9" s="11">
        <v>268144</v>
      </c>
      <c r="M9" s="14">
        <v>6457494</v>
      </c>
      <c r="N9" s="18">
        <v>1287915</v>
      </c>
      <c r="O9" s="11">
        <f>SUM(M9:N9)</f>
        <v>7745409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13</v>
      </c>
      <c r="B10" s="17">
        <v>641273</v>
      </c>
      <c r="C10" s="18">
        <v>94781</v>
      </c>
      <c r="D10" s="18">
        <v>459</v>
      </c>
      <c r="E10" s="18">
        <v>6002364</v>
      </c>
      <c r="F10" s="11">
        <v>0</v>
      </c>
      <c r="G10" s="14">
        <v>577095</v>
      </c>
      <c r="H10" s="18">
        <v>1990900</v>
      </c>
      <c r="I10" s="14">
        <v>571410</v>
      </c>
      <c r="J10" s="14">
        <v>290265</v>
      </c>
      <c r="K10" s="18">
        <v>80733</v>
      </c>
      <c r="L10" s="11">
        <v>331289</v>
      </c>
      <c r="M10" s="14">
        <v>10249280</v>
      </c>
      <c r="N10" s="18">
        <v>1306991</v>
      </c>
      <c r="O10" s="11">
        <f t="shared" ref="O10:O14" si="1">SUM(M10:N10)</f>
        <v>11556271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14</v>
      </c>
      <c r="B11" s="17">
        <v>950956</v>
      </c>
      <c r="C11" s="18">
        <v>131224</v>
      </c>
      <c r="D11" s="18">
        <v>128</v>
      </c>
      <c r="E11" s="18">
        <v>5315830</v>
      </c>
      <c r="F11" s="11">
        <v>19</v>
      </c>
      <c r="G11" s="14">
        <v>391134</v>
      </c>
      <c r="H11" s="18">
        <v>2566872</v>
      </c>
      <c r="I11" s="14">
        <v>335481</v>
      </c>
      <c r="J11" s="14">
        <v>307617</v>
      </c>
      <c r="K11" s="18">
        <v>32920</v>
      </c>
      <c r="L11" s="11">
        <v>490065</v>
      </c>
      <c r="M11" s="14">
        <v>10032181</v>
      </c>
      <c r="N11" s="18">
        <v>1170815</v>
      </c>
      <c r="O11" s="11">
        <f t="shared" si="1"/>
        <v>11202996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15</v>
      </c>
      <c r="B12" s="17">
        <v>662379</v>
      </c>
      <c r="C12" s="18">
        <v>76726</v>
      </c>
      <c r="D12" s="18">
        <v>19</v>
      </c>
      <c r="E12" s="18">
        <v>3894654</v>
      </c>
      <c r="F12" s="11">
        <v>0</v>
      </c>
      <c r="G12" s="14">
        <v>420084</v>
      </c>
      <c r="H12" s="18">
        <v>1264799</v>
      </c>
      <c r="I12" s="14">
        <v>388486</v>
      </c>
      <c r="J12" s="14">
        <v>350452</v>
      </c>
      <c r="K12" s="18">
        <v>59502</v>
      </c>
      <c r="L12" s="11">
        <v>443909</v>
      </c>
      <c r="M12" s="14">
        <v>7117101</v>
      </c>
      <c r="N12" s="18">
        <v>1062543</v>
      </c>
      <c r="O12" s="11">
        <f t="shared" si="1"/>
        <v>8179644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16</v>
      </c>
      <c r="B13" s="17">
        <v>555745</v>
      </c>
      <c r="C13" s="18">
        <v>81354</v>
      </c>
      <c r="D13" s="18">
        <v>74</v>
      </c>
      <c r="E13" s="18">
        <v>3363461</v>
      </c>
      <c r="F13" s="11">
        <v>0</v>
      </c>
      <c r="G13" s="14">
        <v>483740</v>
      </c>
      <c r="H13" s="18">
        <v>1293891</v>
      </c>
      <c r="I13" s="14">
        <v>554320</v>
      </c>
      <c r="J13" s="14">
        <v>598711</v>
      </c>
      <c r="K13" s="18">
        <v>24493</v>
      </c>
      <c r="L13" s="11">
        <v>361250</v>
      </c>
      <c r="M13" s="14">
        <v>6955789</v>
      </c>
      <c r="N13" s="18">
        <v>911974</v>
      </c>
      <c r="O13" s="11">
        <f t="shared" si="1"/>
        <v>7867763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9" t="s">
        <v>0</v>
      </c>
      <c r="B14" s="19">
        <v>575465</v>
      </c>
      <c r="C14" s="16">
        <v>99919</v>
      </c>
      <c r="D14" s="16">
        <v>39</v>
      </c>
      <c r="E14" s="16">
        <v>3627036</v>
      </c>
      <c r="F14" s="15">
        <v>0</v>
      </c>
      <c r="G14" s="16">
        <v>239722</v>
      </c>
      <c r="H14" s="16">
        <v>1110676</v>
      </c>
      <c r="I14" s="16">
        <v>347142</v>
      </c>
      <c r="J14" s="16">
        <v>215914</v>
      </c>
      <c r="K14" s="16">
        <v>62335</v>
      </c>
      <c r="L14" s="15">
        <v>406052</v>
      </c>
      <c r="M14" s="16">
        <v>6278248</v>
      </c>
      <c r="N14" s="16">
        <v>709505</v>
      </c>
      <c r="O14" s="15">
        <f t="shared" si="1"/>
        <v>6987753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0" t="s">
        <v>27</v>
      </c>
      <c r="B15" s="21">
        <f>SUM(B3:B14)</f>
        <v>7751270</v>
      </c>
      <c r="C15" s="22">
        <f t="shared" ref="C15:N15" si="2">SUM(C3:C14)</f>
        <v>1351626</v>
      </c>
      <c r="D15" s="22">
        <f t="shared" si="2"/>
        <v>2788</v>
      </c>
      <c r="E15" s="30">
        <f t="shared" si="2"/>
        <v>44258027</v>
      </c>
      <c r="F15" s="31">
        <f t="shared" si="2"/>
        <v>157</v>
      </c>
      <c r="G15" s="22">
        <f t="shared" si="2"/>
        <v>5174538</v>
      </c>
      <c r="H15" s="22">
        <f t="shared" ref="H15" si="3">SUM(H3:H14)</f>
        <v>24704245</v>
      </c>
      <c r="I15" s="22">
        <f t="shared" ref="I15" si="4">SUM(I3:I14)</f>
        <v>4948052</v>
      </c>
      <c r="J15" s="22">
        <f t="shared" ref="J15" si="5">SUM(J3:J14)</f>
        <v>5288454</v>
      </c>
      <c r="K15" s="22">
        <f t="shared" ref="K15" si="6">SUM(K3:K14)</f>
        <v>627610</v>
      </c>
      <c r="L15" s="23">
        <f t="shared" ref="L15" si="7">SUM(L3:L14)</f>
        <v>4653153</v>
      </c>
      <c r="M15" s="22">
        <f t="shared" si="2"/>
        <v>94106767</v>
      </c>
      <c r="N15" s="22">
        <f t="shared" si="2"/>
        <v>13180700</v>
      </c>
      <c r="O15" s="23">
        <f t="shared" si="0"/>
        <v>107287467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31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G1:L1"/>
    <mergeCell ref="B1:F1"/>
  </mergeCells>
  <phoneticPr fontId="18" type="noConversion"/>
  <pageMargins left="0.7" right="0.7" top="0.75" bottom="0.75" header="0.3" footer="0.3"/>
  <pageSetup paperSize="9" orientation="portrait" r:id="rId1"/>
  <ignoredErrors>
    <ignoredError sqref="O3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2011년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2026-07-16T06:51:07Z</dcterms:modified>
</cp:coreProperties>
</file>