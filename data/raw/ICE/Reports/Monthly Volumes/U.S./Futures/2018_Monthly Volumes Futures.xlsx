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Historical Monthly Volume\Futures\"/>
    </mc:Choice>
  </mc:AlternateContent>
  <bookViews>
    <workbookView xWindow="0" yWindow="0" windowWidth="25125" windowHeight="11640"/>
  </bookViews>
  <sheets>
    <sheet name="2018년" sheetId="1" r:id="rId1"/>
  </sheets>
  <calcPr calcId="162913"/>
</workbook>
</file>

<file path=xl/calcChain.xml><?xml version="1.0" encoding="utf-8"?>
<calcChain xmlns="http://schemas.openxmlformats.org/spreadsheetml/2006/main">
  <c r="P13" i="1" l="1"/>
  <c r="P10" i="1"/>
  <c r="P14" i="1" l="1"/>
  <c r="P12" i="1"/>
  <c r="P11" i="1"/>
  <c r="P9" i="1"/>
  <c r="P8" i="1"/>
  <c r="P7" i="1"/>
  <c r="P6" i="1"/>
  <c r="P5" i="1"/>
  <c r="P4" i="1"/>
  <c r="P3" i="1"/>
  <c r="C15" i="1"/>
  <c r="B15" i="1"/>
  <c r="D15" i="1" l="1"/>
  <c r="J15" i="1" l="1"/>
  <c r="F15" i="1"/>
  <c r="O15" i="1"/>
  <c r="I15" i="1"/>
  <c r="H15" i="1"/>
  <c r="G15" i="1"/>
  <c r="L15" i="1"/>
  <c r="K15" i="1"/>
  <c r="E15" i="1"/>
  <c r="N15" i="1"/>
  <c r="M15" i="1"/>
  <c r="P15" i="1" l="1"/>
</calcChain>
</file>

<file path=xl/sharedStrings.xml><?xml version="1.0" encoding="utf-8"?>
<sst xmlns="http://schemas.openxmlformats.org/spreadsheetml/2006/main" count="37" uniqueCount="37">
  <si>
    <t>December</t>
  </si>
  <si>
    <t>Notes:</t>
  </si>
  <si>
    <t>*Equity derivatives include Russell and MSCI Index futures and options.</t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</si>
  <si>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</si>
  <si>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</si>
  <si>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</si>
  <si>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</si>
  <si>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</si>
  <si>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</si>
  <si>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</si>
  <si>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</si>
  <si>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</si>
  <si>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</si>
  <si>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</si>
  <si>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</si>
  <si>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</si>
  <si>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</si>
  <si>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</si>
  <si>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</si>
  <si>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</si>
  <si>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</si>
  <si>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</si>
  <si>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</si>
  <si>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</si>
  <si>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</si>
  <si>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Metals &amp; Grains</t>
  </si>
  <si>
    <t>Canola**</t>
  </si>
  <si>
    <t>Futures Energy</t>
  </si>
  <si>
    <t>Gas</t>
  </si>
  <si>
    <t>Power***</t>
  </si>
  <si>
    <t>Monthly Totals</t>
  </si>
  <si>
    <t>Futures</t>
  </si>
  <si>
    <t>Options</t>
  </si>
  <si>
    <t>Overall</t>
  </si>
  <si>
    <t>Yearly Total</t>
    <phoneticPr fontId="18" type="noConversion"/>
  </si>
  <si>
    <t>***Power contract volume is now reported using the new contract conversion methodology. Prior monthly power volumes have been adjusted for comparison purposes.</t>
  </si>
  <si>
    <t>EQUITY DERIVATIVES*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</si>
</sst>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40" x14ac:dyDescent="0.3">
      <c r="A1" s="1"/>
      <c r="B1" s="30" t="s">
        <v>7</v>
      </c>
      <c r="C1" s="31"/>
      <c r="D1" s="32"/>
      <c r="E1" s="30" t="s">
        <v>19</v>
      </c>
      <c r="F1" s="31"/>
      <c r="G1" s="31"/>
      <c r="H1" s="31"/>
      <c r="I1" s="31"/>
      <c r="J1" s="31"/>
      <c r="K1" s="32"/>
      <c r="L1" s="27" t="s">
        <v>27</v>
      </c>
      <c r="M1" s="28"/>
      <c r="N1" s="27" t="s">
        <v>30</v>
      </c>
      <c r="O1" s="29"/>
      <c r="P1" s="28"/>
    </row>
    <row r="2" spans="1:40" x14ac:dyDescent="0.3">
      <c r="A2" s="2" t="s">
        <v>4</v>
      </c>
      <c r="B2" s="13" t="s">
        <v>5</v>
      </c>
      <c r="C2" s="9" t="s">
        <v>6</v>
      </c>
      <c r="D2" s="10" t="s">
        <v>36</v>
      </c>
      <c r="E2" s="2" t="s">
        <v>20</v>
      </c>
      <c r="F2" s="11" t="s">
        <v>21</v>
      </c>
      <c r="G2" s="8" t="s">
        <v>22</v>
      </c>
      <c r="H2" s="2" t="s">
        <v>23</v>
      </c>
      <c r="I2" s="8" t="s">
        <v>24</v>
      </c>
      <c r="J2" s="2" t="s">
        <v>25</v>
      </c>
      <c r="K2" s="5" t="s">
        <v>26</v>
      </c>
      <c r="L2" s="4" t="s">
        <v>28</v>
      </c>
      <c r="M2" s="5" t="s">
        <v>29</v>
      </c>
      <c r="N2" s="2" t="s">
        <v>31</v>
      </c>
      <c r="O2" s="8" t="s">
        <v>32</v>
      </c>
      <c r="P2" s="5" t="s">
        <v>33</v>
      </c>
    </row>
    <row r="3" spans="1:40" ht="15" customHeight="1" x14ac:dyDescent="0.3">
      <c r="A3" s="1" t="s">
        <v>8</v>
      </c>
      <c r="B3" s="15">
        <v>598315</v>
      </c>
      <c r="C3" s="16">
        <v>60689</v>
      </c>
      <c r="D3" s="14">
        <v>2539998</v>
      </c>
      <c r="E3" s="17">
        <v>931694</v>
      </c>
      <c r="F3" s="21">
        <v>3222655</v>
      </c>
      <c r="G3" s="17">
        <v>973387</v>
      </c>
      <c r="H3" s="17">
        <v>908692</v>
      </c>
      <c r="I3" s="21">
        <v>23671</v>
      </c>
      <c r="J3" s="17">
        <v>41928</v>
      </c>
      <c r="K3" s="14">
        <v>349016</v>
      </c>
      <c r="L3" s="20">
        <v>17182543</v>
      </c>
      <c r="M3" s="14">
        <v>985799</v>
      </c>
      <c r="N3" s="17">
        <v>27469371</v>
      </c>
      <c r="O3" s="21">
        <v>6408559</v>
      </c>
      <c r="P3" s="14">
        <f>SUM(N3:O3)</f>
        <v>33877930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9</v>
      </c>
      <c r="B4" s="20">
        <v>553452</v>
      </c>
      <c r="C4" s="21">
        <v>35883</v>
      </c>
      <c r="D4" s="14">
        <v>3307364</v>
      </c>
      <c r="E4" s="17">
        <v>1202836</v>
      </c>
      <c r="F4" s="21">
        <v>3698096</v>
      </c>
      <c r="G4" s="17">
        <v>1122890</v>
      </c>
      <c r="H4" s="17">
        <v>1040986</v>
      </c>
      <c r="I4" s="21">
        <v>29581</v>
      </c>
      <c r="J4" s="17">
        <v>33751</v>
      </c>
      <c r="K4" s="14">
        <v>530467</v>
      </c>
      <c r="L4" s="20">
        <v>12596420</v>
      </c>
      <c r="M4" s="14">
        <v>1059117</v>
      </c>
      <c r="N4" s="17">
        <v>24680376</v>
      </c>
      <c r="O4" s="21">
        <v>4874536</v>
      </c>
      <c r="P4" s="14">
        <f t="shared" ref="P4:P15" si="0">SUM(N4:O4)</f>
        <v>29554912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10</v>
      </c>
      <c r="B5" s="20">
        <v>641665</v>
      </c>
      <c r="C5" s="21">
        <v>82116</v>
      </c>
      <c r="D5" s="14">
        <v>6179867</v>
      </c>
      <c r="E5" s="17">
        <v>818537</v>
      </c>
      <c r="F5" s="21">
        <v>2843337</v>
      </c>
      <c r="G5" s="17">
        <v>1135854</v>
      </c>
      <c r="H5" s="17">
        <v>697571</v>
      </c>
      <c r="I5" s="21">
        <v>16795</v>
      </c>
      <c r="J5" s="17">
        <v>34262</v>
      </c>
      <c r="K5" s="14">
        <v>351802</v>
      </c>
      <c r="L5" s="20">
        <v>11216359</v>
      </c>
      <c r="M5" s="14">
        <v>878836</v>
      </c>
      <c r="N5" s="17">
        <v>24545199</v>
      </c>
      <c r="O5" s="21">
        <v>2658707</v>
      </c>
      <c r="P5" s="14">
        <f t="shared" si="0"/>
        <v>27203906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11</v>
      </c>
      <c r="B6" s="20">
        <v>485599</v>
      </c>
      <c r="C6" s="21">
        <v>35702</v>
      </c>
      <c r="D6" s="14">
        <v>2164618</v>
      </c>
      <c r="E6" s="17">
        <v>1357172</v>
      </c>
      <c r="F6" s="21">
        <v>4162914</v>
      </c>
      <c r="G6" s="17">
        <v>1266511</v>
      </c>
      <c r="H6" s="17">
        <v>967537</v>
      </c>
      <c r="I6" s="21">
        <v>36685</v>
      </c>
      <c r="J6" s="17">
        <v>34808</v>
      </c>
      <c r="K6" s="14">
        <v>541694</v>
      </c>
      <c r="L6" s="20">
        <v>11727034</v>
      </c>
      <c r="M6" s="14">
        <v>1103742</v>
      </c>
      <c r="N6" s="17">
        <v>23342322</v>
      </c>
      <c r="O6" s="21">
        <v>2217737</v>
      </c>
      <c r="P6" s="14">
        <f t="shared" si="0"/>
        <v>25560059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12</v>
      </c>
      <c r="B7" s="20">
        <v>616154</v>
      </c>
      <c r="C7" s="21">
        <v>37259</v>
      </c>
      <c r="D7" s="14">
        <v>2479455</v>
      </c>
      <c r="E7" s="17">
        <v>937402</v>
      </c>
      <c r="F7" s="21">
        <v>3201054</v>
      </c>
      <c r="G7" s="17">
        <v>972472</v>
      </c>
      <c r="H7" s="17">
        <v>865014</v>
      </c>
      <c r="I7" s="21">
        <v>27571</v>
      </c>
      <c r="J7" s="17">
        <v>29772</v>
      </c>
      <c r="K7" s="14">
        <v>324795</v>
      </c>
      <c r="L7" s="20">
        <v>12061685</v>
      </c>
      <c r="M7" s="14">
        <v>1016921</v>
      </c>
      <c r="N7" s="17">
        <v>22244759</v>
      </c>
      <c r="O7" s="21">
        <v>2684959</v>
      </c>
      <c r="P7" s="14">
        <f t="shared" si="0"/>
        <v>24929718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13</v>
      </c>
      <c r="B8" s="20">
        <v>605508</v>
      </c>
      <c r="C8" s="21">
        <v>84970</v>
      </c>
      <c r="D8" s="14">
        <v>6037560</v>
      </c>
      <c r="E8" s="17">
        <v>1313761</v>
      </c>
      <c r="F8" s="21">
        <v>3990554</v>
      </c>
      <c r="G8" s="17">
        <v>1176038</v>
      </c>
      <c r="H8" s="17">
        <v>966955</v>
      </c>
      <c r="I8" s="21">
        <v>36726</v>
      </c>
      <c r="J8" s="17">
        <v>28078</v>
      </c>
      <c r="K8" s="14">
        <v>561388</v>
      </c>
      <c r="L8" s="20">
        <v>10876182</v>
      </c>
      <c r="M8" s="14">
        <v>874427</v>
      </c>
      <c r="N8" s="17">
        <v>25990759</v>
      </c>
      <c r="O8" s="21">
        <v>2458053</v>
      </c>
      <c r="P8" s="14">
        <f t="shared" si="0"/>
        <v>28448812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14</v>
      </c>
      <c r="B9" s="20">
        <v>418483</v>
      </c>
      <c r="C9" s="21">
        <v>34926</v>
      </c>
      <c r="D9" s="14">
        <v>2096938</v>
      </c>
      <c r="E9" s="17">
        <v>939824</v>
      </c>
      <c r="F9" s="21">
        <v>2009946</v>
      </c>
      <c r="G9" s="17">
        <v>884333</v>
      </c>
      <c r="H9" s="17">
        <v>395024</v>
      </c>
      <c r="I9" s="21">
        <v>16771</v>
      </c>
      <c r="J9" s="17">
        <v>30076</v>
      </c>
      <c r="K9" s="14">
        <v>18851</v>
      </c>
      <c r="L9" s="20">
        <v>9472369</v>
      </c>
      <c r="M9" s="14">
        <v>825878</v>
      </c>
      <c r="N9" s="17">
        <v>17124568</v>
      </c>
      <c r="O9" s="21">
        <v>2132083</v>
      </c>
      <c r="P9" s="14">
        <f>SUM(N9:O9)</f>
        <v>19256651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15</v>
      </c>
      <c r="B10" s="20">
        <v>476123</v>
      </c>
      <c r="C10" s="21">
        <v>54773</v>
      </c>
      <c r="D10" s="14">
        <v>2305117</v>
      </c>
      <c r="E10" s="17">
        <v>1698417</v>
      </c>
      <c r="F10" s="21">
        <v>2840602</v>
      </c>
      <c r="G10" s="17">
        <v>1090296</v>
      </c>
      <c r="H10" s="17">
        <v>544209</v>
      </c>
      <c r="I10" s="21">
        <v>40982</v>
      </c>
      <c r="J10" s="17">
        <v>34862</v>
      </c>
      <c r="K10" s="14">
        <v>251140</v>
      </c>
      <c r="L10" s="20">
        <v>12612117</v>
      </c>
      <c r="M10" s="14">
        <v>888023</v>
      </c>
      <c r="N10" s="17">
        <v>22836661</v>
      </c>
      <c r="O10" s="21">
        <v>2596938</v>
      </c>
      <c r="P10" s="14">
        <f>SUM(N10:O10)</f>
        <v>25433599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16</v>
      </c>
      <c r="B11" s="20">
        <v>545385</v>
      </c>
      <c r="C11" s="21">
        <v>113510</v>
      </c>
      <c r="D11" s="14">
        <v>6218411</v>
      </c>
      <c r="E11" s="17">
        <v>734886</v>
      </c>
      <c r="F11" s="21">
        <v>4149302</v>
      </c>
      <c r="G11" s="17">
        <v>707925</v>
      </c>
      <c r="H11" s="17">
        <v>451364</v>
      </c>
      <c r="I11" s="21">
        <v>18075</v>
      </c>
      <c r="J11" s="17">
        <v>30634</v>
      </c>
      <c r="K11" s="14">
        <v>260732</v>
      </c>
      <c r="L11" s="20">
        <v>13949503</v>
      </c>
      <c r="M11" s="14">
        <v>932138</v>
      </c>
      <c r="N11" s="17">
        <v>28111865</v>
      </c>
      <c r="O11" s="21">
        <v>2779136</v>
      </c>
      <c r="P11" s="14">
        <f t="shared" ref="P11:P14" si="1">SUM(N11:O11)</f>
        <v>30891001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17</v>
      </c>
      <c r="B12" s="20">
        <v>509379</v>
      </c>
      <c r="C12" s="21">
        <v>49939</v>
      </c>
      <c r="D12" s="14">
        <v>3612230</v>
      </c>
      <c r="E12" s="17">
        <v>1493016</v>
      </c>
      <c r="F12" s="21">
        <v>3225589</v>
      </c>
      <c r="G12" s="17">
        <v>1021630</v>
      </c>
      <c r="H12" s="17">
        <v>641924</v>
      </c>
      <c r="I12" s="21">
        <v>46573</v>
      </c>
      <c r="J12" s="17">
        <v>34917</v>
      </c>
      <c r="K12" s="14">
        <v>537386</v>
      </c>
      <c r="L12" s="20">
        <v>17322324</v>
      </c>
      <c r="M12" s="14">
        <v>1084093</v>
      </c>
      <c r="N12" s="17">
        <v>29579000</v>
      </c>
      <c r="O12" s="21">
        <v>4542889</v>
      </c>
      <c r="P12" s="14">
        <f t="shared" si="1"/>
        <v>34121889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18</v>
      </c>
      <c r="B13" s="20">
        <v>489892</v>
      </c>
      <c r="C13" s="21">
        <v>57825</v>
      </c>
      <c r="D13" s="14">
        <v>3189407</v>
      </c>
      <c r="E13" s="17">
        <v>1342642</v>
      </c>
      <c r="F13" s="21">
        <v>2137827</v>
      </c>
      <c r="G13" s="17">
        <v>1077251</v>
      </c>
      <c r="H13" s="17">
        <v>889009</v>
      </c>
      <c r="I13" s="21">
        <v>25131</v>
      </c>
      <c r="J13" s="17">
        <v>38121</v>
      </c>
      <c r="K13" s="14">
        <v>333575</v>
      </c>
      <c r="L13" s="20">
        <v>17984356</v>
      </c>
      <c r="M13" s="14">
        <v>907449</v>
      </c>
      <c r="N13" s="17">
        <v>28472485</v>
      </c>
      <c r="O13" s="21">
        <v>4614716</v>
      </c>
      <c r="P13" s="14">
        <f t="shared" si="1"/>
        <v>33087201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12" t="s">
        <v>0</v>
      </c>
      <c r="B14" s="22">
        <v>521271</v>
      </c>
      <c r="C14" s="19">
        <v>108685</v>
      </c>
      <c r="D14" s="18">
        <v>7608894</v>
      </c>
      <c r="E14" s="19">
        <v>617518</v>
      </c>
      <c r="F14" s="19">
        <v>1604272</v>
      </c>
      <c r="G14" s="19">
        <v>607002</v>
      </c>
      <c r="H14" s="19">
        <v>507810</v>
      </c>
      <c r="I14" s="19">
        <v>38293</v>
      </c>
      <c r="J14" s="19">
        <v>28536</v>
      </c>
      <c r="K14" s="18">
        <v>516654</v>
      </c>
      <c r="L14" s="22">
        <v>10852357</v>
      </c>
      <c r="M14" s="18">
        <v>769036</v>
      </c>
      <c r="N14" s="19">
        <v>23780328</v>
      </c>
      <c r="O14" s="19">
        <v>2933643</v>
      </c>
      <c r="P14" s="18">
        <f t="shared" si="1"/>
        <v>26713971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3" t="s">
        <v>34</v>
      </c>
      <c r="B15" s="24">
        <f>SUM(B3:B14)</f>
        <v>6461226</v>
      </c>
      <c r="C15" s="25">
        <f t="shared" ref="C15:O15" si="2">SUM(C3:C14)</f>
        <v>756277</v>
      </c>
      <c r="D15" s="26">
        <f t="shared" si="2"/>
        <v>47739859</v>
      </c>
      <c r="E15" s="25">
        <f t="shared" si="2"/>
        <v>13387705</v>
      </c>
      <c r="F15" s="25">
        <f t="shared" ref="F15" si="3">SUM(F3:F14)</f>
        <v>37086148</v>
      </c>
      <c r="G15" s="25">
        <f t="shared" ref="G15" si="4">SUM(G3:G14)</f>
        <v>12035589</v>
      </c>
      <c r="H15" s="25">
        <f t="shared" ref="H15" si="5">SUM(H3:H14)</f>
        <v>8876095</v>
      </c>
      <c r="I15" s="25">
        <f t="shared" ref="I15" si="6">SUM(I3:I14)</f>
        <v>356854</v>
      </c>
      <c r="J15" s="25">
        <f t="shared" ref="J15" si="7">SUM(J3:J14)</f>
        <v>399745</v>
      </c>
      <c r="K15" s="26">
        <f t="shared" ref="K15" si="8">SUM(K3:K14)</f>
        <v>4577500</v>
      </c>
      <c r="L15" s="24">
        <f t="shared" si="2"/>
        <v>157853249</v>
      </c>
      <c r="M15" s="26">
        <f t="shared" si="2"/>
        <v>11325459</v>
      </c>
      <c r="N15" s="25">
        <f t="shared" si="2"/>
        <v>298177693</v>
      </c>
      <c r="O15" s="25">
        <f t="shared" si="2"/>
        <v>40901956</v>
      </c>
      <c r="P15" s="26">
        <f t="shared" si="0"/>
        <v>339079649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6" t="s">
        <v>2</v>
      </c>
    </row>
    <row r="18" spans="1:1" x14ac:dyDescent="0.3">
      <c r="A18" s="6" t="s">
        <v>3</v>
      </c>
    </row>
    <row r="19" spans="1:1" x14ac:dyDescent="0.3">
      <c r="A19" s="7" t="s">
        <v>35</v>
      </c>
    </row>
    <row r="20" spans="1:1" x14ac:dyDescent="0.3">
      <c r="A20" s="1"/>
    </row>
    <row r="21" spans="1:1" x14ac:dyDescent="0.3">
      <c r="A21" s="1"/>
    </row>
  </sheetData>
  <mergeCells count="4">
    <mergeCell ref="L1:M1"/>
    <mergeCell ref="N1:P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P3:P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2026-06-23T08:19:37Z</dcterms:modified>
</cp:coreProperties>
</file>