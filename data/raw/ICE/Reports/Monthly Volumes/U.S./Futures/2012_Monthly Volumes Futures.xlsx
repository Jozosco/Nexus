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U.S\Historical Monthly Volume\Futures\"/>
    </mc:Choice>
  </mc:AlternateContent>
  <bookViews>
    <workbookView xWindow="0" yWindow="0" windowWidth="25125" windowHeight="11640"/>
  </bookViews>
  <sheets>
    <sheet name="2012년" sheetId="1" r:id="rId1"/>
  </sheets>
  <calcPr calcId="162913"/>
</workbook>
</file>

<file path=xl/calcChain.xml><?xml version="1.0" encoding="utf-8"?>
<calcChain xmlns="http://schemas.openxmlformats.org/spreadsheetml/2006/main">
  <c r="J15" i="1" l="1"/>
  <c r="M15" i="1"/>
  <c r="L15" i="1"/>
  <c r="D15" i="1"/>
  <c r="P14" i="1" l="1"/>
  <c r="P13" i="1"/>
  <c r="P12" i="1"/>
  <c r="P11" i="1"/>
  <c r="P10" i="1"/>
  <c r="P9" i="1"/>
  <c r="P8" i="1"/>
  <c r="P7" i="1"/>
  <c r="P6" i="1"/>
  <c r="P5" i="1"/>
  <c r="P4" i="1"/>
  <c r="P3" i="1"/>
  <c r="C15" i="1"/>
  <c r="B15" i="1"/>
  <c r="F15" i="1" l="1"/>
  <c r="O15" i="1"/>
  <c r="I15" i="1"/>
  <c r="H15" i="1"/>
  <c r="G15" i="1"/>
  <c r="K15" i="1"/>
  <c r="E15" i="1"/>
  <c r="N15" i="1"/>
  <c r="P15" i="1" l="1"/>
</calcChain>
</file>

<file path=xl/sharedStrings.xml><?xml version="1.0" encoding="utf-8"?>
<sst xmlns="http://schemas.openxmlformats.org/spreadsheetml/2006/main" count="35" uniqueCount="35">
  <si>
    <t>December</t>
  </si>
  <si>
    <t>Notes:</t>
  </si>
  <si>
    <t>Month</t>
    <phoneticPr fontId="18" type="noConversion"/>
  </si>
  <si>
    <t>CURRENCIES</t>
    <phoneticPr fontId="18" type="noConversion"/>
  </si>
  <si>
    <t>Futures Financial Products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</si>
  <si>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</si>
  <si>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</si>
  <si>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</si>
  <si>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</si>
  <si>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</si>
  <si>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</si>
  <si>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</si>
  <si>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</si>
  <si>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</si>
  <si>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</si>
  <si>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</si>
  <si>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Futures Agricultural Products</t>
  </si>
  <si>
    <t>Coffee</t>
  </si>
  <si>
    <t>Sugar</t>
  </si>
  <si>
    <t>Cocoa</t>
  </si>
  <si>
    <t>Cotton</t>
  </si>
  <si>
    <t>FCOJ</t>
  </si>
  <si>
    <t>Monthly Totals</t>
  </si>
  <si>
    <t>Futures</t>
  </si>
  <si>
    <t>Options</t>
  </si>
  <si>
    <t>Overall</t>
  </si>
  <si>
    <t>Yearly Total</t>
    <phoneticPr fontId="18" type="noConversion"/>
  </si>
  <si>
    <t>RUSSELL</t>
    <phoneticPr fontId="18" type="noConversion"/>
  </si>
  <si>
    <t>*This report has been retroactively adjusted to include Canola volumes traded on ICE Futures Canada from 2006 - July 30, 2018. On July 30, 2018, we transitioned the trading of Canola contracts from ICE Futures Canada to ICE Futures U.S., after which ICE Futures Canada ceased operations.</t>
    <phoneticPr fontId="18" type="noConversion"/>
  </si>
  <si>
    <t>Canola*</t>
    <phoneticPr fontId="18" type="noConversion"/>
  </si>
  <si>
    <t>US$ &amp; CRB</t>
    <phoneticPr fontId="18" type="noConversion"/>
  </si>
  <si>
    <t>Grains</t>
    <phoneticPr fontId="18" type="noConversion"/>
  </si>
  <si>
    <t>Futures Energy</t>
    <phoneticPr fontId="18" type="noConversion"/>
  </si>
  <si>
    <t>Gas</t>
    <phoneticPr fontId="18" type="noConversion"/>
  </si>
  <si>
    <t>Power**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</si>
</sst>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  <xf numFmtId="177" fontId="20" fillId="0" borderId="12" xfId="0" applyNumberFormat="1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3.25" customWidth="1"/>
    <col min="3" max="3" width="14.875" customWidth="1"/>
    <col min="4" max="4" width="12.125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9.125" customWidth="1"/>
    <col min="11" max="11" width="12.5" bestFit="1" customWidth="1"/>
    <col min="12" max="13" width="12.5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40" x14ac:dyDescent="0.3">
      <c r="A1" s="1"/>
      <c r="B1" s="27" t="s">
        <v>4</v>
      </c>
      <c r="C1" s="28"/>
      <c r="D1" s="29"/>
      <c r="E1" s="27" t="s">
        <v>16</v>
      </c>
      <c r="F1" s="28"/>
      <c r="G1" s="28"/>
      <c r="H1" s="28"/>
      <c r="I1" s="28"/>
      <c r="J1" s="28"/>
      <c r="K1" s="29"/>
      <c r="L1" s="27" t="s">
        <v>32</v>
      </c>
      <c r="M1" s="29"/>
      <c r="N1" s="24" t="s">
        <v>22</v>
      </c>
      <c r="O1" s="26"/>
      <c r="P1" s="25"/>
    </row>
    <row r="2" spans="1:40" x14ac:dyDescent="0.3">
      <c r="A2" s="2" t="s">
        <v>2</v>
      </c>
      <c r="B2" s="10" t="s">
        <v>30</v>
      </c>
      <c r="C2" s="7" t="s">
        <v>3</v>
      </c>
      <c r="D2" s="4" t="s">
        <v>27</v>
      </c>
      <c r="E2" s="2" t="s">
        <v>17</v>
      </c>
      <c r="F2" s="8" t="s">
        <v>18</v>
      </c>
      <c r="G2" s="6" t="s">
        <v>19</v>
      </c>
      <c r="H2" s="2" t="s">
        <v>20</v>
      </c>
      <c r="I2" s="6" t="s">
        <v>21</v>
      </c>
      <c r="J2" s="6" t="s">
        <v>31</v>
      </c>
      <c r="K2" s="4" t="s">
        <v>29</v>
      </c>
      <c r="L2" s="8" t="s">
        <v>33</v>
      </c>
      <c r="M2" s="4" t="s">
        <v>34</v>
      </c>
      <c r="N2" s="2" t="s">
        <v>23</v>
      </c>
      <c r="O2" s="6" t="s">
        <v>24</v>
      </c>
      <c r="P2" s="4" t="s">
        <v>25</v>
      </c>
    </row>
    <row r="3" spans="1:40" ht="15" customHeight="1" x14ac:dyDescent="0.3">
      <c r="A3" s="1" t="s">
        <v>5</v>
      </c>
      <c r="B3" s="12">
        <v>459836</v>
      </c>
      <c r="C3" s="13">
        <v>54977</v>
      </c>
      <c r="D3" s="11">
        <v>2395154</v>
      </c>
      <c r="E3" s="14">
        <v>401399</v>
      </c>
      <c r="F3" s="18">
        <v>2005399</v>
      </c>
      <c r="G3" s="14">
        <v>395832</v>
      </c>
      <c r="H3" s="14">
        <v>471729</v>
      </c>
      <c r="I3" s="18">
        <v>59578</v>
      </c>
      <c r="J3" s="18">
        <v>0</v>
      </c>
      <c r="K3" s="11">
        <v>375738</v>
      </c>
      <c r="L3" s="18">
        <v>0</v>
      </c>
      <c r="M3" s="11">
        <v>0</v>
      </c>
      <c r="N3" s="14">
        <v>6243904</v>
      </c>
      <c r="O3" s="18">
        <v>864209</v>
      </c>
      <c r="P3" s="11">
        <f>SUM(N3:O3)</f>
        <v>7108113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6</v>
      </c>
      <c r="B4" s="17">
        <v>581533</v>
      </c>
      <c r="C4" s="18">
        <v>56113</v>
      </c>
      <c r="D4" s="11">
        <v>2699653</v>
      </c>
      <c r="E4" s="14">
        <v>578415</v>
      </c>
      <c r="F4" s="18">
        <v>2769329</v>
      </c>
      <c r="G4" s="14">
        <v>586013</v>
      </c>
      <c r="H4" s="14">
        <v>605161</v>
      </c>
      <c r="I4" s="18">
        <v>68746</v>
      </c>
      <c r="J4" s="18">
        <v>0</v>
      </c>
      <c r="K4" s="11">
        <v>588006</v>
      </c>
      <c r="L4" s="18">
        <v>0</v>
      </c>
      <c r="M4" s="11">
        <v>0</v>
      </c>
      <c r="N4" s="14">
        <v>7944963</v>
      </c>
      <c r="O4" s="18">
        <v>808839</v>
      </c>
      <c r="P4" s="11">
        <f t="shared" ref="P4:P15" si="0">SUM(N4:O4)</f>
        <v>8753802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7</v>
      </c>
      <c r="B5" s="17">
        <v>673361</v>
      </c>
      <c r="C5" s="18">
        <v>136063</v>
      </c>
      <c r="D5" s="11">
        <v>3846694</v>
      </c>
      <c r="E5" s="14">
        <v>541098</v>
      </c>
      <c r="F5" s="18">
        <v>2322868</v>
      </c>
      <c r="G5" s="14">
        <v>474613</v>
      </c>
      <c r="H5" s="14">
        <v>499276</v>
      </c>
      <c r="I5" s="18">
        <v>29672</v>
      </c>
      <c r="J5" s="18">
        <v>0</v>
      </c>
      <c r="K5" s="11">
        <v>536743</v>
      </c>
      <c r="L5" s="18">
        <v>0</v>
      </c>
      <c r="M5" s="11">
        <v>0</v>
      </c>
      <c r="N5" s="14">
        <v>8523645</v>
      </c>
      <c r="O5" s="18">
        <v>1048769</v>
      </c>
      <c r="P5" s="11">
        <f t="shared" si="0"/>
        <v>9572414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8</v>
      </c>
      <c r="B6" s="17">
        <v>416073</v>
      </c>
      <c r="C6" s="18">
        <v>56628</v>
      </c>
      <c r="D6" s="11">
        <v>2796839</v>
      </c>
      <c r="E6" s="14">
        <v>628814</v>
      </c>
      <c r="F6" s="18">
        <v>2769833</v>
      </c>
      <c r="G6" s="14">
        <v>605217</v>
      </c>
      <c r="H6" s="14">
        <v>660539</v>
      </c>
      <c r="I6" s="18">
        <v>58405</v>
      </c>
      <c r="J6" s="18">
        <v>0</v>
      </c>
      <c r="K6" s="11">
        <v>535291</v>
      </c>
      <c r="L6" s="18">
        <v>0</v>
      </c>
      <c r="M6" s="11">
        <v>0</v>
      </c>
      <c r="N6" s="14">
        <v>7992348</v>
      </c>
      <c r="O6" s="18">
        <v>953765</v>
      </c>
      <c r="P6" s="11">
        <f t="shared" si="0"/>
        <v>8946113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9</v>
      </c>
      <c r="B7" s="17">
        <v>673789</v>
      </c>
      <c r="C7" s="18">
        <v>87652</v>
      </c>
      <c r="D7" s="11">
        <v>3103349</v>
      </c>
      <c r="E7" s="14">
        <v>494615</v>
      </c>
      <c r="F7" s="18">
        <v>1946779</v>
      </c>
      <c r="G7" s="14">
        <v>459683</v>
      </c>
      <c r="H7" s="14">
        <v>564011</v>
      </c>
      <c r="I7" s="18">
        <v>42001</v>
      </c>
      <c r="J7" s="18">
        <v>37735</v>
      </c>
      <c r="K7" s="11">
        <v>367014</v>
      </c>
      <c r="L7" s="18">
        <v>0</v>
      </c>
      <c r="M7" s="11">
        <v>0</v>
      </c>
      <c r="N7" s="14">
        <v>7409614</v>
      </c>
      <c r="O7" s="18">
        <v>1154250</v>
      </c>
      <c r="P7" s="11">
        <f t="shared" si="0"/>
        <v>8563864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10</v>
      </c>
      <c r="B8" s="17">
        <v>798973</v>
      </c>
      <c r="C8" s="18">
        <v>123135</v>
      </c>
      <c r="D8" s="11">
        <v>3992065</v>
      </c>
      <c r="E8" s="14">
        <v>642772</v>
      </c>
      <c r="F8" s="18">
        <v>3469035</v>
      </c>
      <c r="G8" s="14">
        <v>620166</v>
      </c>
      <c r="H8" s="14">
        <v>826818</v>
      </c>
      <c r="I8" s="18">
        <v>56218</v>
      </c>
      <c r="J8" s="18">
        <v>79845</v>
      </c>
      <c r="K8" s="11">
        <v>399329</v>
      </c>
      <c r="L8" s="18">
        <v>0</v>
      </c>
      <c r="M8" s="11">
        <v>0</v>
      </c>
      <c r="N8" s="14">
        <v>10609027</v>
      </c>
      <c r="O8" s="18">
        <v>954192</v>
      </c>
      <c r="P8" s="11">
        <f t="shared" si="0"/>
        <v>11563219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11</v>
      </c>
      <c r="B9" s="17">
        <v>450697</v>
      </c>
      <c r="C9" s="18">
        <v>60255</v>
      </c>
      <c r="D9" s="11">
        <v>2390772</v>
      </c>
      <c r="E9" s="14">
        <v>466738</v>
      </c>
      <c r="F9" s="18">
        <v>2259141</v>
      </c>
      <c r="G9" s="14">
        <v>457510</v>
      </c>
      <c r="H9" s="14">
        <v>308028</v>
      </c>
      <c r="I9" s="18">
        <v>28654</v>
      </c>
      <c r="J9" s="18">
        <v>84024</v>
      </c>
      <c r="K9" s="11">
        <v>299775</v>
      </c>
      <c r="L9" s="18">
        <v>0</v>
      </c>
      <c r="M9" s="11">
        <v>0</v>
      </c>
      <c r="N9" s="14">
        <v>6505819</v>
      </c>
      <c r="O9" s="18">
        <v>1045177</v>
      </c>
      <c r="P9" s="11">
        <f>SUM(N9:O9)</f>
        <v>7550996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12</v>
      </c>
      <c r="B10" s="17">
        <v>417154</v>
      </c>
      <c r="C10" s="18">
        <v>69701</v>
      </c>
      <c r="D10" s="11">
        <v>2005277</v>
      </c>
      <c r="E10" s="14">
        <v>581141</v>
      </c>
      <c r="F10" s="18">
        <v>2058972</v>
      </c>
      <c r="G10" s="14">
        <v>627854</v>
      </c>
      <c r="H10" s="14">
        <v>339672</v>
      </c>
      <c r="I10" s="18">
        <v>57465</v>
      </c>
      <c r="J10" s="18">
        <v>52414</v>
      </c>
      <c r="K10" s="11">
        <v>279962</v>
      </c>
      <c r="L10" s="18">
        <v>0</v>
      </c>
      <c r="M10" s="11">
        <v>0</v>
      </c>
      <c r="N10" s="14">
        <v>6209650</v>
      </c>
      <c r="O10" s="18">
        <v>989099</v>
      </c>
      <c r="P10" s="11">
        <f t="shared" ref="P10:P14" si="1">SUM(N10:O10)</f>
        <v>7198749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13</v>
      </c>
      <c r="B11" s="17">
        <v>499573</v>
      </c>
      <c r="C11" s="18">
        <v>138732</v>
      </c>
      <c r="D11" s="11">
        <v>2927790</v>
      </c>
      <c r="E11" s="14">
        <v>406023</v>
      </c>
      <c r="F11" s="18">
        <v>2741282</v>
      </c>
      <c r="G11" s="14">
        <v>346794</v>
      </c>
      <c r="H11" s="14">
        <v>349649</v>
      </c>
      <c r="I11" s="18">
        <v>31796</v>
      </c>
      <c r="J11" s="18">
        <v>35632</v>
      </c>
      <c r="K11" s="11">
        <v>332661</v>
      </c>
      <c r="L11" s="18">
        <v>0</v>
      </c>
      <c r="M11" s="11">
        <v>0</v>
      </c>
      <c r="N11" s="14">
        <v>7477271</v>
      </c>
      <c r="O11" s="18">
        <v>749624</v>
      </c>
      <c r="P11" s="11">
        <f t="shared" si="1"/>
        <v>8226895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14</v>
      </c>
      <c r="B12" s="17">
        <v>398397</v>
      </c>
      <c r="C12" s="18">
        <v>65538</v>
      </c>
      <c r="D12" s="11">
        <v>2255726</v>
      </c>
      <c r="E12" s="14">
        <v>503577</v>
      </c>
      <c r="F12" s="18">
        <v>1790522</v>
      </c>
      <c r="G12" s="14">
        <v>467949</v>
      </c>
      <c r="H12" s="14">
        <v>584358</v>
      </c>
      <c r="I12" s="18">
        <v>51993</v>
      </c>
      <c r="J12" s="18">
        <v>57817</v>
      </c>
      <c r="K12" s="11">
        <v>487242</v>
      </c>
      <c r="L12" s="18">
        <v>25503713</v>
      </c>
      <c r="M12" s="11">
        <v>3175009</v>
      </c>
      <c r="N12" s="14">
        <v>34854629</v>
      </c>
      <c r="O12" s="18">
        <v>6602255</v>
      </c>
      <c r="P12" s="11">
        <f t="shared" si="1"/>
        <v>41456884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15</v>
      </c>
      <c r="B13" s="17">
        <v>436535</v>
      </c>
      <c r="C13" s="18">
        <v>85120</v>
      </c>
      <c r="D13" s="11">
        <v>2447475</v>
      </c>
      <c r="E13" s="14">
        <v>603866</v>
      </c>
      <c r="F13" s="18">
        <v>1639602</v>
      </c>
      <c r="G13" s="14">
        <v>651655</v>
      </c>
      <c r="H13" s="14">
        <v>632610</v>
      </c>
      <c r="I13" s="18">
        <v>36729</v>
      </c>
      <c r="J13" s="18">
        <v>70925</v>
      </c>
      <c r="K13" s="11">
        <v>279767</v>
      </c>
      <c r="L13" s="18">
        <v>19325380</v>
      </c>
      <c r="M13" s="11">
        <v>3462448</v>
      </c>
      <c r="N13" s="14">
        <v>29392345</v>
      </c>
      <c r="O13" s="18">
        <v>4963022</v>
      </c>
      <c r="P13" s="11">
        <f t="shared" si="1"/>
        <v>34355367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9" t="s">
        <v>0</v>
      </c>
      <c r="B14" s="19">
        <v>516477</v>
      </c>
      <c r="C14" s="16">
        <v>144800</v>
      </c>
      <c r="D14" s="15">
        <v>2728548</v>
      </c>
      <c r="E14" s="16">
        <v>277026</v>
      </c>
      <c r="F14" s="16">
        <v>1430501</v>
      </c>
      <c r="G14" s="16">
        <v>306527</v>
      </c>
      <c r="H14" s="16">
        <v>288501</v>
      </c>
      <c r="I14" s="16">
        <v>65518</v>
      </c>
      <c r="J14" s="16">
        <v>45763</v>
      </c>
      <c r="K14" s="15">
        <v>388733</v>
      </c>
      <c r="L14" s="16">
        <v>15380440</v>
      </c>
      <c r="M14" s="15">
        <v>2669043</v>
      </c>
      <c r="N14" s="16">
        <v>23853144</v>
      </c>
      <c r="O14" s="16">
        <v>5531086</v>
      </c>
      <c r="P14" s="15">
        <f t="shared" si="1"/>
        <v>29384230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0" t="s">
        <v>26</v>
      </c>
      <c r="B15" s="21">
        <f>SUM(B3:B14)</f>
        <v>6322398</v>
      </c>
      <c r="C15" s="22">
        <f t="shared" ref="C15:O15" si="2">SUM(C3:C14)</f>
        <v>1078714</v>
      </c>
      <c r="D15" s="30">
        <f t="shared" si="2"/>
        <v>33589342</v>
      </c>
      <c r="E15" s="22">
        <f t="shared" si="2"/>
        <v>6125484</v>
      </c>
      <c r="F15" s="22">
        <f t="shared" ref="F15" si="3">SUM(F3:F14)</f>
        <v>27203263</v>
      </c>
      <c r="G15" s="22">
        <f t="shared" ref="G15" si="4">SUM(G3:G14)</f>
        <v>5999813</v>
      </c>
      <c r="H15" s="22">
        <f t="shared" ref="H15" si="5">SUM(H3:H14)</f>
        <v>6130352</v>
      </c>
      <c r="I15" s="22">
        <f t="shared" ref="I15:J15" si="6">SUM(I3:I14)</f>
        <v>586775</v>
      </c>
      <c r="J15" s="22">
        <f t="shared" si="6"/>
        <v>464155</v>
      </c>
      <c r="K15" s="23">
        <f t="shared" ref="K15:M15" si="7">SUM(K3:K14)</f>
        <v>4870261</v>
      </c>
      <c r="L15" s="22">
        <f t="shared" si="7"/>
        <v>60209533</v>
      </c>
      <c r="M15" s="23">
        <f t="shared" si="7"/>
        <v>9306500</v>
      </c>
      <c r="N15" s="22">
        <f t="shared" si="2"/>
        <v>157016359</v>
      </c>
      <c r="O15" s="22">
        <f t="shared" si="2"/>
        <v>25664287</v>
      </c>
      <c r="P15" s="23">
        <f t="shared" si="0"/>
        <v>182680646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5" t="s">
        <v>28</v>
      </c>
    </row>
    <row r="18" spans="1:1" x14ac:dyDescent="0.3">
      <c r="A18" s="1"/>
    </row>
    <row r="19" spans="1:1" x14ac:dyDescent="0.3">
      <c r="A19" s="1"/>
    </row>
  </sheetData>
  <mergeCells count="4">
    <mergeCell ref="N1:P1"/>
    <mergeCell ref="B1:D1"/>
    <mergeCell ref="E1:K1"/>
    <mergeCell ref="L1:M1"/>
  </mergeCells>
  <phoneticPr fontId="18" type="noConversion"/>
  <pageMargins left="0.7" right="0.7" top="0.75" bottom="0.75" header="0.3" footer="0.3"/>
  <pageSetup paperSize="9" orientation="portrait" r:id="rId1"/>
  <ignoredErrors>
    <ignoredError sqref="P3:P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2012년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2026-07-16T06:59:20Z</dcterms:modified>
</cp:coreProperties>
</file>