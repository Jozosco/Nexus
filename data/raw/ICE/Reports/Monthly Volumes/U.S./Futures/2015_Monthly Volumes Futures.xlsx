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5년" sheetId="1" r:id="rId1"/>
  </sheets>
  <calcPr calcId="162913"/>
</workbook>
</file>

<file path=xl/calcChain.xml><?xml version="1.0" encoding="utf-8"?>
<calcChain xmlns="http://schemas.openxmlformats.org/spreadsheetml/2006/main">
  <c r="J15" i="1" l="1"/>
  <c r="M15" i="1"/>
  <c r="L15" i="1"/>
  <c r="D15" i="1"/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F15" i="1" l="1"/>
  <c r="O15" i="1"/>
  <c r="I15" i="1"/>
  <c r="H15" i="1"/>
  <c r="G15" i="1"/>
  <c r="K15" i="1"/>
  <c r="E15" i="1"/>
  <c r="N15" i="1"/>
  <c r="P15" i="1" l="1"/>
</calcChain>
</file>

<file path=xl/sharedStrings.xml><?xml version="1.0" encoding="utf-8"?>
<sst xmlns="http://schemas.openxmlformats.org/spreadsheetml/2006/main" count="37" uniqueCount="37">
  <si>
    <t>December</t>
  </si>
  <si>
    <t>Notes:</t>
  </si>
  <si>
    <t>Month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</si>
  <si>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</si>
  <si>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</si>
  <si>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</si>
  <si>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</si>
  <si>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</si>
  <si>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</si>
  <si>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</si>
  <si>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</si>
  <si>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</si>
  <si>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</si>
  <si>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</si>
  <si>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</si>
  <si>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</si>
  <si>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</si>
  <si>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</si>
  <si>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</si>
  <si>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</si>
  <si>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</si>
  <si>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</si>
  <si>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</si>
  <si>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</si>
  <si>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</si>
  <si>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</si>
  <si>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</si>
  <si>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Futures Energy</t>
    <phoneticPr fontId="18" type="noConversion"/>
  </si>
  <si>
    <t>Gas</t>
    <phoneticPr fontId="18" type="noConversion"/>
  </si>
  <si>
    <t>US$</t>
    <phoneticPr fontId="18" type="noConversion"/>
  </si>
  <si>
    <t>Canola**</t>
    <phoneticPr fontId="18" type="noConversion"/>
  </si>
  <si>
    <t>Power***</t>
    <phoneticPr fontId="18" type="noConversion"/>
  </si>
  <si>
    <t>EQUITY DERIVATIVES*</t>
    <phoneticPr fontId="18" type="noConversion"/>
  </si>
  <si>
    <t>Metals &amp; Grains</t>
    <phoneticPr fontId="18" type="noConversion"/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</si>
  <si>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</si>
  <si>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*Equity derivatives include Russell and MSCI Index futures and options.</t>
    <phoneticPr fontId="18" type="noConversion"/>
  </si>
  <si>
    <t>***Power contract volume is now reported using the new contract conversion methodology. Prior monthly power volumes have been adjusted for comparison purposes.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</si>
</sst>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177" fontId="21" fillId="0" borderId="12" xfId="0" applyNumberFormat="1" applyFont="1" applyBorder="1" applyAlignment="1">
      <alignment horizontal="center" vertical="center"/>
    </xf>
    <xf numFmtId="49" fontId="22" fillId="0" borderId="0" xfId="0" applyNumberFormat="1" applyFont="1">
      <alignment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20.1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1" width="15.375" customWidth="1"/>
    <col min="12" max="12" width="13.25" customWidth="1"/>
    <col min="13" max="13" width="12.5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30" t="s">
        <v>4</v>
      </c>
      <c r="C1" s="31"/>
      <c r="D1" s="32"/>
      <c r="E1" s="30" t="s">
        <v>16</v>
      </c>
      <c r="F1" s="31"/>
      <c r="G1" s="31"/>
      <c r="H1" s="31"/>
      <c r="I1" s="31"/>
      <c r="J1" s="31"/>
      <c r="K1" s="32"/>
      <c r="L1" s="30" t="s">
        <v>27</v>
      </c>
      <c r="M1" s="32"/>
      <c r="N1" s="27" t="s">
        <v>22</v>
      </c>
      <c r="O1" s="28"/>
      <c r="P1" s="29"/>
    </row>
    <row r="2" spans="1:40" x14ac:dyDescent="0.3">
      <c r="A2" s="2" t="s">
        <v>2</v>
      </c>
      <c r="B2" s="11" t="s">
        <v>29</v>
      </c>
      <c r="C2" s="8" t="s">
        <v>3</v>
      </c>
      <c r="D2" s="4" t="s">
        <v>32</v>
      </c>
      <c r="E2" s="2" t="s">
        <v>17</v>
      </c>
      <c r="F2" s="9" t="s">
        <v>18</v>
      </c>
      <c r="G2" s="7" t="s">
        <v>19</v>
      </c>
      <c r="H2" s="2" t="s">
        <v>20</v>
      </c>
      <c r="I2" s="7" t="s">
        <v>21</v>
      </c>
      <c r="J2" s="7" t="s">
        <v>33</v>
      </c>
      <c r="K2" s="4" t="s">
        <v>30</v>
      </c>
      <c r="L2" s="9" t="s">
        <v>28</v>
      </c>
      <c r="M2" s="4" t="s">
        <v>31</v>
      </c>
      <c r="N2" s="2" t="s">
        <v>23</v>
      </c>
      <c r="O2" s="7" t="s">
        <v>24</v>
      </c>
      <c r="P2" s="4" t="s">
        <v>25</v>
      </c>
    </row>
    <row r="3" spans="1:40" ht="15" customHeight="1" x14ac:dyDescent="0.3">
      <c r="A3" s="1" t="s">
        <v>5</v>
      </c>
      <c r="B3" s="13">
        <v>950142</v>
      </c>
      <c r="C3" s="14">
        <v>64446</v>
      </c>
      <c r="D3" s="12">
        <v>3322455</v>
      </c>
      <c r="E3" s="15">
        <v>586593</v>
      </c>
      <c r="F3" s="19">
        <v>2552382</v>
      </c>
      <c r="G3" s="15">
        <v>586564</v>
      </c>
      <c r="H3" s="15">
        <v>474061</v>
      </c>
      <c r="I3" s="19">
        <v>21377</v>
      </c>
      <c r="J3" s="19">
        <v>54459</v>
      </c>
      <c r="K3" s="12">
        <v>489637</v>
      </c>
      <c r="L3" s="19">
        <v>18577387</v>
      </c>
      <c r="M3" s="12">
        <v>2323117</v>
      </c>
      <c r="N3" s="15">
        <v>29512983</v>
      </c>
      <c r="O3" s="19">
        <v>5190219</v>
      </c>
      <c r="P3" s="12">
        <f>SUM(N3:O3)</f>
        <v>34703202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6</v>
      </c>
      <c r="B4" s="18">
        <v>672873</v>
      </c>
      <c r="C4" s="19">
        <v>61778</v>
      </c>
      <c r="D4" s="12">
        <v>2486574</v>
      </c>
      <c r="E4" s="15">
        <v>795022</v>
      </c>
      <c r="F4" s="19">
        <v>3640498</v>
      </c>
      <c r="G4" s="15">
        <v>679362</v>
      </c>
      <c r="H4" s="15">
        <v>764365</v>
      </c>
      <c r="I4" s="19">
        <v>37435</v>
      </c>
      <c r="J4" s="19">
        <v>33554</v>
      </c>
      <c r="K4" s="12">
        <v>486854</v>
      </c>
      <c r="L4" s="19">
        <v>15647087</v>
      </c>
      <c r="M4" s="12">
        <v>2353114</v>
      </c>
      <c r="N4" s="15">
        <v>27171662</v>
      </c>
      <c r="O4" s="19">
        <v>4442300</v>
      </c>
      <c r="P4" s="12">
        <f t="shared" ref="P4:P15" si="0">SUM(N4:O4)</f>
        <v>31613962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7</v>
      </c>
      <c r="B5" s="18">
        <v>1719620</v>
      </c>
      <c r="C5" s="19">
        <v>107324</v>
      </c>
      <c r="D5" s="12">
        <v>5105080</v>
      </c>
      <c r="E5" s="15">
        <v>615139</v>
      </c>
      <c r="F5" s="19">
        <v>2797340</v>
      </c>
      <c r="G5" s="15">
        <v>694091</v>
      </c>
      <c r="H5" s="15">
        <v>532511</v>
      </c>
      <c r="I5" s="19">
        <v>34855</v>
      </c>
      <c r="J5" s="19">
        <v>39656</v>
      </c>
      <c r="K5" s="12">
        <v>400209</v>
      </c>
      <c r="L5" s="19">
        <v>13025746</v>
      </c>
      <c r="M5" s="12">
        <v>2641728</v>
      </c>
      <c r="N5" s="15">
        <v>27313090</v>
      </c>
      <c r="O5" s="19">
        <v>4313265</v>
      </c>
      <c r="P5" s="12">
        <f t="shared" si="0"/>
        <v>31626355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8</v>
      </c>
      <c r="B6" s="18">
        <v>1172088</v>
      </c>
      <c r="C6" s="19">
        <v>57354</v>
      </c>
      <c r="D6" s="12">
        <v>2673214</v>
      </c>
      <c r="E6" s="15">
        <v>786626</v>
      </c>
      <c r="F6" s="19">
        <v>3856477</v>
      </c>
      <c r="G6" s="15">
        <v>739813</v>
      </c>
      <c r="H6" s="15">
        <v>774667</v>
      </c>
      <c r="I6" s="19">
        <v>39065</v>
      </c>
      <c r="J6" s="19">
        <v>38252</v>
      </c>
      <c r="K6" s="12">
        <v>447467</v>
      </c>
      <c r="L6" s="19">
        <v>10428438</v>
      </c>
      <c r="M6" s="12">
        <v>2353391</v>
      </c>
      <c r="N6" s="15">
        <v>22919385</v>
      </c>
      <c r="O6" s="19">
        <v>3649165</v>
      </c>
      <c r="P6" s="12">
        <f t="shared" si="0"/>
        <v>26568550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9</v>
      </c>
      <c r="B7" s="18">
        <v>1048860</v>
      </c>
      <c r="C7" s="19">
        <v>71004</v>
      </c>
      <c r="D7" s="12">
        <v>2472459</v>
      </c>
      <c r="E7" s="15">
        <v>596214</v>
      </c>
      <c r="F7" s="19">
        <v>2277422</v>
      </c>
      <c r="G7" s="15">
        <v>520024</v>
      </c>
      <c r="H7" s="15">
        <v>504552</v>
      </c>
      <c r="I7" s="19">
        <v>23789</v>
      </c>
      <c r="J7" s="19">
        <v>30069</v>
      </c>
      <c r="K7" s="12">
        <v>327911</v>
      </c>
      <c r="L7" s="19">
        <v>12160782</v>
      </c>
      <c r="M7" s="12">
        <v>2455615</v>
      </c>
      <c r="N7" s="15">
        <v>22160790</v>
      </c>
      <c r="O7" s="19">
        <v>3967850</v>
      </c>
      <c r="P7" s="12">
        <f t="shared" si="0"/>
        <v>26128640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10</v>
      </c>
      <c r="B8" s="18">
        <v>1400581</v>
      </c>
      <c r="C8" s="19">
        <v>123439</v>
      </c>
      <c r="D8" s="12">
        <v>5367470</v>
      </c>
      <c r="E8" s="15">
        <v>847139</v>
      </c>
      <c r="F8" s="19">
        <v>3794625</v>
      </c>
      <c r="G8" s="15">
        <v>710582</v>
      </c>
      <c r="H8" s="15">
        <v>748679</v>
      </c>
      <c r="I8" s="19">
        <v>42032</v>
      </c>
      <c r="J8" s="19">
        <v>28062</v>
      </c>
      <c r="K8" s="12">
        <v>644971</v>
      </c>
      <c r="L8" s="19">
        <v>13151330</v>
      </c>
      <c r="M8" s="12">
        <v>2368133</v>
      </c>
      <c r="N8" s="15">
        <v>28582072</v>
      </c>
      <c r="O8" s="19">
        <v>4190732</v>
      </c>
      <c r="P8" s="12">
        <f t="shared" si="0"/>
        <v>32772804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11</v>
      </c>
      <c r="B9" s="18">
        <v>878339</v>
      </c>
      <c r="C9" s="19">
        <v>66829</v>
      </c>
      <c r="D9" s="12">
        <v>2995957</v>
      </c>
      <c r="E9" s="15">
        <v>540970</v>
      </c>
      <c r="F9" s="19">
        <v>2267023</v>
      </c>
      <c r="G9" s="15">
        <v>531381</v>
      </c>
      <c r="H9" s="15">
        <v>391137</v>
      </c>
      <c r="I9" s="19">
        <v>18914</v>
      </c>
      <c r="J9" s="19">
        <v>34284</v>
      </c>
      <c r="K9" s="12">
        <v>335432</v>
      </c>
      <c r="L9" s="19">
        <v>12749884</v>
      </c>
      <c r="M9" s="12">
        <v>2006374</v>
      </c>
      <c r="N9" s="15">
        <v>22481092</v>
      </c>
      <c r="O9" s="19">
        <v>4043359</v>
      </c>
      <c r="P9" s="12">
        <f>SUM(N9:O9)</f>
        <v>26524451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12</v>
      </c>
      <c r="B10" s="18">
        <v>1127737</v>
      </c>
      <c r="C10" s="19">
        <v>73505</v>
      </c>
      <c r="D10" s="12">
        <v>4210270</v>
      </c>
      <c r="E10" s="15">
        <v>964634</v>
      </c>
      <c r="F10" s="19">
        <v>2318205</v>
      </c>
      <c r="G10" s="15">
        <v>801763</v>
      </c>
      <c r="H10" s="15">
        <v>541234</v>
      </c>
      <c r="I10" s="19">
        <v>42607</v>
      </c>
      <c r="J10" s="19">
        <v>37335</v>
      </c>
      <c r="K10" s="12">
        <v>385088</v>
      </c>
      <c r="L10" s="19">
        <v>12237127</v>
      </c>
      <c r="M10" s="12">
        <v>1886152</v>
      </c>
      <c r="N10" s="15">
        <v>24240569</v>
      </c>
      <c r="O10" s="19">
        <v>4195986</v>
      </c>
      <c r="P10" s="12">
        <f t="shared" ref="P10:P14" si="1">SUM(N10:O10)</f>
        <v>28436555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13</v>
      </c>
      <c r="B11" s="18">
        <v>986539</v>
      </c>
      <c r="C11" s="19">
        <v>116985</v>
      </c>
      <c r="D11" s="12">
        <v>6343039</v>
      </c>
      <c r="E11" s="15">
        <v>490262</v>
      </c>
      <c r="F11" s="19">
        <v>4332691</v>
      </c>
      <c r="G11" s="15">
        <v>602091</v>
      </c>
      <c r="H11" s="15">
        <v>378522</v>
      </c>
      <c r="I11" s="19">
        <v>24694</v>
      </c>
      <c r="J11" s="19">
        <v>24177</v>
      </c>
      <c r="K11" s="12">
        <v>447279</v>
      </c>
      <c r="L11" s="19">
        <v>11868796</v>
      </c>
      <c r="M11" s="12">
        <v>2457040</v>
      </c>
      <c r="N11" s="15">
        <v>27624836</v>
      </c>
      <c r="O11" s="19">
        <v>4611965</v>
      </c>
      <c r="P11" s="12">
        <f t="shared" si="1"/>
        <v>32236801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14</v>
      </c>
      <c r="B12" s="18">
        <v>657286</v>
      </c>
      <c r="C12" s="19">
        <v>70639</v>
      </c>
      <c r="D12" s="12">
        <v>3738161</v>
      </c>
      <c r="E12" s="15">
        <v>633066</v>
      </c>
      <c r="F12" s="19">
        <v>2611588</v>
      </c>
      <c r="G12" s="15">
        <v>770424</v>
      </c>
      <c r="H12" s="15">
        <v>492136</v>
      </c>
      <c r="I12" s="19">
        <v>48774</v>
      </c>
      <c r="J12" s="19">
        <v>32641</v>
      </c>
      <c r="K12" s="12">
        <v>624741</v>
      </c>
      <c r="L12" s="19">
        <v>14488617</v>
      </c>
      <c r="M12" s="12">
        <v>2387181</v>
      </c>
      <c r="N12" s="15">
        <v>25930513</v>
      </c>
      <c r="O12" s="19">
        <v>7000140</v>
      </c>
      <c r="P12" s="12">
        <f t="shared" si="1"/>
        <v>32930653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15</v>
      </c>
      <c r="B13" s="18">
        <v>621081</v>
      </c>
      <c r="C13" s="19">
        <v>69103</v>
      </c>
      <c r="D13" s="12">
        <v>3013701</v>
      </c>
      <c r="E13" s="15">
        <v>864055</v>
      </c>
      <c r="F13" s="19">
        <v>2313296</v>
      </c>
      <c r="G13" s="15">
        <v>775633</v>
      </c>
      <c r="H13" s="15">
        <v>719228</v>
      </c>
      <c r="I13" s="19">
        <v>28965</v>
      </c>
      <c r="J13" s="19">
        <v>32542</v>
      </c>
      <c r="K13" s="12">
        <v>403539</v>
      </c>
      <c r="L13" s="19">
        <v>12139623</v>
      </c>
      <c r="M13" s="12">
        <v>2177994</v>
      </c>
      <c r="N13" s="15">
        <v>22755221</v>
      </c>
      <c r="O13" s="19">
        <v>5913668</v>
      </c>
      <c r="P13" s="12">
        <f t="shared" si="1"/>
        <v>28668889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0" t="s">
        <v>0</v>
      </c>
      <c r="B14" s="20">
        <v>875039</v>
      </c>
      <c r="C14" s="17">
        <v>148955</v>
      </c>
      <c r="D14" s="16">
        <v>6261828</v>
      </c>
      <c r="E14" s="17">
        <v>388415</v>
      </c>
      <c r="F14" s="17">
        <v>1704437</v>
      </c>
      <c r="G14" s="17">
        <v>501308</v>
      </c>
      <c r="H14" s="17">
        <v>405494</v>
      </c>
      <c r="I14" s="17">
        <v>36060</v>
      </c>
      <c r="J14" s="17">
        <v>26691</v>
      </c>
      <c r="K14" s="16">
        <v>585625</v>
      </c>
      <c r="L14" s="17">
        <v>15427655</v>
      </c>
      <c r="M14" s="16">
        <v>2179270</v>
      </c>
      <c r="N14" s="17">
        <v>27955152</v>
      </c>
      <c r="O14" s="17">
        <v>5301552</v>
      </c>
      <c r="P14" s="16">
        <f t="shared" si="1"/>
        <v>33256704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1" t="s">
        <v>26</v>
      </c>
      <c r="B15" s="22">
        <f>SUM(B3:B14)</f>
        <v>12110185</v>
      </c>
      <c r="C15" s="23">
        <f t="shared" ref="C15:O15" si="2">SUM(C3:C14)</f>
        <v>1031361</v>
      </c>
      <c r="D15" s="25">
        <f t="shared" si="2"/>
        <v>47990208</v>
      </c>
      <c r="E15" s="23">
        <f t="shared" si="2"/>
        <v>8108135</v>
      </c>
      <c r="F15" s="23">
        <f t="shared" ref="F15" si="3">SUM(F3:F14)</f>
        <v>34465984</v>
      </c>
      <c r="G15" s="23">
        <f t="shared" ref="G15" si="4">SUM(G3:G14)</f>
        <v>7913036</v>
      </c>
      <c r="H15" s="23">
        <f t="shared" ref="H15" si="5">SUM(H3:H14)</f>
        <v>6726586</v>
      </c>
      <c r="I15" s="23">
        <f t="shared" ref="I15:J15" si="6">SUM(I3:I14)</f>
        <v>398567</v>
      </c>
      <c r="J15" s="23">
        <f t="shared" si="6"/>
        <v>411722</v>
      </c>
      <c r="K15" s="24">
        <f t="shared" ref="K15:M15" si="7">SUM(K3:K14)</f>
        <v>5578753</v>
      </c>
      <c r="L15" s="23">
        <f t="shared" si="7"/>
        <v>161902472</v>
      </c>
      <c r="M15" s="24">
        <f t="shared" si="7"/>
        <v>27589109</v>
      </c>
      <c r="N15" s="23">
        <f t="shared" si="2"/>
        <v>308647365</v>
      </c>
      <c r="O15" s="23">
        <f t="shared" si="2"/>
        <v>56820201</v>
      </c>
      <c r="P15" s="24">
        <f t="shared" si="0"/>
        <v>365467566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35</v>
      </c>
    </row>
    <row r="18" spans="1:1" x14ac:dyDescent="0.3">
      <c r="A18" s="5" t="s">
        <v>34</v>
      </c>
    </row>
    <row r="19" spans="1:1" x14ac:dyDescent="0.3">
      <c r="A19" s="26" t="s">
        <v>36</v>
      </c>
    </row>
    <row r="20" spans="1:1" x14ac:dyDescent="0.3">
      <c r="A20" s="1"/>
    </row>
  </sheetData>
  <mergeCells count="4">
    <mergeCell ref="N1:P1"/>
    <mergeCell ref="B1:D1"/>
    <mergeCell ref="E1:K1"/>
    <mergeCell ref="L1:M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2026-08-13T03:52:57Z</dcterms:modified>
</cp:coreProperties>
</file>