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3년" sheetId="1" r:id="rId1"/>
  </sheets>
  <calcPr calcId="162913"/>
</workbook>
</file>

<file path=xl/calcChain.xml><?xml version="1.0" encoding="utf-8"?>
<calcChain xmlns="http://schemas.openxmlformats.org/spreadsheetml/2006/main">
  <c r="J15" i="1" l="1"/>
  <c r="M15" i="1"/>
  <c r="L15" i="1"/>
  <c r="D15" i="1"/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F15" i="1" l="1"/>
  <c r="O15" i="1"/>
  <c r="I15" i="1"/>
  <c r="H15" i="1"/>
  <c r="G15" i="1"/>
  <c r="K15" i="1"/>
  <c r="E15" i="1"/>
  <c r="N15" i="1"/>
  <c r="P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<sst xmlns="http://schemas.openxmlformats.org/spreadsheetml/2006/main" count="35" uniqueCount="35">
  <si>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</si>
  <si>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</si>
  <si>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</si>
  <si>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</si>
  <si>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</si>
  <si>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</si>
  <si>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</si>
  <si>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</si>
  <si>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</si>
  <si>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</si>
  <si>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</si>
  <si>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</si>
  <si>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</si>
  <si>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</si>
  <si>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</si>
  <si>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</si>
  <si>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</si>
  <si>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</si>
  <si>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</si>
  <si>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</si>
  <si>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</si>
  <si>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</si>
  <si>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</si>
  <si>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</si>
  <si>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</si>
  <si>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</si>
  <si>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</si>
  <si>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</si>
  <si>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</si>
  <si>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Canola*</t>
    <phoneticPr fontId="18" type="noConversion"/>
  </si>
  <si>
    <t>Grains</t>
    <phoneticPr fontId="18" type="noConversion"/>
  </si>
  <si>
    <t>Futures Energy</t>
    <phoneticPr fontId="18" type="noConversion"/>
  </si>
  <si>
    <t>Gas</t>
    <phoneticPr fontId="18" type="noConversion"/>
  </si>
  <si>
    <t>Power**</t>
    <phoneticPr fontId="18" type="noConversion"/>
  </si>
  <si>
    <t>US$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</si>
</sst>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12.1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9.125" customWidth="1"/>
    <col min="11" max="11" width="12.5" bestFit="1" customWidth="1"/>
    <col min="12" max="12" width="13.25" customWidth="1"/>
    <col min="13" max="13" width="12.5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7" t="s">
        <v>4</v>
      </c>
      <c r="C1" s="28"/>
      <c r="D1" s="29"/>
      <c r="E1" s="27" t="s">
        <v>16</v>
      </c>
      <c r="F1" s="28"/>
      <c r="G1" s="28"/>
      <c r="H1" s="28"/>
      <c r="I1" s="28"/>
      <c r="J1" s="28"/>
      <c r="K1" s="29"/>
      <c r="L1" s="27" t="s">
        <v>31</v>
      </c>
      <c r="M1" s="29"/>
      <c r="N1" s="24" t="s">
        <v>22</v>
      </c>
      <c r="O1" s="26"/>
      <c r="P1" s="25"/>
    </row>
    <row r="2" spans="1:40" x14ac:dyDescent="0.3">
      <c r="A2" s="2" t="s">
        <v>2</v>
      </c>
      <c r="B2" s="10" t="s">
        <v>34</v>
      </c>
      <c r="C2" s="7" t="s">
        <v>3</v>
      </c>
      <c r="D2" s="4" t="s">
        <v>27</v>
      </c>
      <c r="E2" s="2" t="s">
        <v>17</v>
      </c>
      <c r="F2" s="8" t="s">
        <v>18</v>
      </c>
      <c r="G2" s="6" t="s">
        <v>19</v>
      </c>
      <c r="H2" s="2" t="s">
        <v>20</v>
      </c>
      <c r="I2" s="6" t="s">
        <v>21</v>
      </c>
      <c r="J2" s="6" t="s">
        <v>30</v>
      </c>
      <c r="K2" s="4" t="s">
        <v>29</v>
      </c>
      <c r="L2" s="8" t="s">
        <v>32</v>
      </c>
      <c r="M2" s="4" t="s">
        <v>33</v>
      </c>
      <c r="N2" s="2" t="s">
        <v>23</v>
      </c>
      <c r="O2" s="6" t="s">
        <v>24</v>
      </c>
      <c r="P2" s="4" t="s">
        <v>25</v>
      </c>
    </row>
    <row r="3" spans="1:40" ht="15" customHeight="1" x14ac:dyDescent="0.3">
      <c r="A3" s="1" t="s">
        <v>5</v>
      </c>
      <c r="B3" s="12">
        <v>582890</v>
      </c>
      <c r="C3" s="13">
        <v>103086</v>
      </c>
      <c r="D3" s="11">
        <v>1887747</v>
      </c>
      <c r="E3" s="14">
        <v>555032</v>
      </c>
      <c r="F3" s="18">
        <v>2375874</v>
      </c>
      <c r="G3" s="14">
        <v>505589</v>
      </c>
      <c r="H3" s="14">
        <v>599171</v>
      </c>
      <c r="I3" s="18">
        <v>46432</v>
      </c>
      <c r="J3" s="18">
        <v>78258</v>
      </c>
      <c r="K3" s="11">
        <v>413545</v>
      </c>
      <c r="L3" s="18">
        <v>21071808</v>
      </c>
      <c r="M3" s="11">
        <v>2865785</v>
      </c>
      <c r="N3" s="14">
        <v>30671672</v>
      </c>
      <c r="O3" s="18">
        <v>6683595</v>
      </c>
      <c r="P3" s="11">
        <f>SUM(N3:O3)</f>
        <v>37355267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6</v>
      </c>
      <c r="B4" s="17">
        <v>645025</v>
      </c>
      <c r="C4" s="18">
        <v>90220</v>
      </c>
      <c r="D4" s="11">
        <v>1986406</v>
      </c>
      <c r="E4" s="14">
        <v>758665</v>
      </c>
      <c r="F4" s="18">
        <v>3041053</v>
      </c>
      <c r="G4" s="14">
        <v>598270</v>
      </c>
      <c r="H4" s="14">
        <v>738954</v>
      </c>
      <c r="I4" s="18">
        <v>54711</v>
      </c>
      <c r="J4" s="18">
        <v>56819</v>
      </c>
      <c r="K4" s="11">
        <v>558269</v>
      </c>
      <c r="L4" s="18">
        <v>17696000</v>
      </c>
      <c r="M4" s="11">
        <v>2900858</v>
      </c>
      <c r="N4" s="14">
        <v>28566981</v>
      </c>
      <c r="O4" s="18">
        <v>3898060</v>
      </c>
      <c r="P4" s="11">
        <f t="shared" ref="P4:P15" si="0">SUM(N4:O4)</f>
        <v>32465041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7</v>
      </c>
      <c r="B5" s="17">
        <v>772167</v>
      </c>
      <c r="C5" s="18">
        <v>120376</v>
      </c>
      <c r="D5" s="11">
        <v>3080359</v>
      </c>
      <c r="E5" s="14">
        <v>468082</v>
      </c>
      <c r="F5" s="18">
        <v>2047388</v>
      </c>
      <c r="G5" s="14">
        <v>425547</v>
      </c>
      <c r="H5" s="14">
        <v>474475</v>
      </c>
      <c r="I5" s="18">
        <v>37532</v>
      </c>
      <c r="J5" s="18">
        <v>45173</v>
      </c>
      <c r="K5" s="11">
        <v>295056</v>
      </c>
      <c r="L5" s="18">
        <v>24897674</v>
      </c>
      <c r="M5" s="11">
        <v>2617952</v>
      </c>
      <c r="N5" s="14">
        <v>34986725</v>
      </c>
      <c r="O5" s="18">
        <v>7540116</v>
      </c>
      <c r="P5" s="11">
        <f t="shared" si="0"/>
        <v>42526841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8</v>
      </c>
      <c r="B6" s="17">
        <v>621365</v>
      </c>
      <c r="C6" s="18">
        <v>73008</v>
      </c>
      <c r="D6" s="11">
        <v>2632307</v>
      </c>
      <c r="E6" s="14">
        <v>904549</v>
      </c>
      <c r="F6" s="18">
        <v>3095340</v>
      </c>
      <c r="G6" s="14">
        <v>752332</v>
      </c>
      <c r="H6" s="14">
        <v>725015</v>
      </c>
      <c r="I6" s="18">
        <v>67361</v>
      </c>
      <c r="J6" s="18">
        <v>31888</v>
      </c>
      <c r="K6" s="11">
        <v>489741</v>
      </c>
      <c r="L6" s="18">
        <v>26629448</v>
      </c>
      <c r="M6" s="11">
        <v>3118023</v>
      </c>
      <c r="N6" s="14">
        <v>38650636</v>
      </c>
      <c r="O6" s="18">
        <v>6716679</v>
      </c>
      <c r="P6" s="11">
        <f t="shared" si="0"/>
        <v>45367315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9</v>
      </c>
      <c r="B7" s="17">
        <v>886710</v>
      </c>
      <c r="C7" s="18">
        <v>62935</v>
      </c>
      <c r="D7" s="11">
        <v>2288704</v>
      </c>
      <c r="E7" s="14">
        <v>609068</v>
      </c>
      <c r="F7" s="18">
        <v>1912333</v>
      </c>
      <c r="G7" s="14">
        <v>541022</v>
      </c>
      <c r="H7" s="14">
        <v>494848</v>
      </c>
      <c r="I7" s="18">
        <v>31399</v>
      </c>
      <c r="J7" s="18">
        <v>14993</v>
      </c>
      <c r="K7" s="11">
        <v>355341</v>
      </c>
      <c r="L7" s="18">
        <v>21001146</v>
      </c>
      <c r="M7" s="11">
        <v>2851942</v>
      </c>
      <c r="N7" s="14">
        <v>30695100</v>
      </c>
      <c r="O7" s="18">
        <v>6852892</v>
      </c>
      <c r="P7" s="11">
        <f t="shared" si="0"/>
        <v>37547992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10</v>
      </c>
      <c r="B8" s="17">
        <v>1093604</v>
      </c>
      <c r="C8" s="18">
        <v>101712</v>
      </c>
      <c r="D8" s="11">
        <v>3879871</v>
      </c>
      <c r="E8" s="14">
        <v>742238</v>
      </c>
      <c r="F8" s="18">
        <v>3980425</v>
      </c>
      <c r="G8" s="14">
        <v>792100</v>
      </c>
      <c r="H8" s="14">
        <v>729167</v>
      </c>
      <c r="I8" s="18">
        <v>63622</v>
      </c>
      <c r="J8" s="18">
        <v>12526</v>
      </c>
      <c r="K8" s="11">
        <v>347609</v>
      </c>
      <c r="L8" s="18">
        <v>16593904</v>
      </c>
      <c r="M8" s="11">
        <v>2526239</v>
      </c>
      <c r="N8" s="14">
        <v>30515408</v>
      </c>
      <c r="O8" s="18">
        <v>5620810</v>
      </c>
      <c r="P8" s="11">
        <f t="shared" si="0"/>
        <v>36136218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11</v>
      </c>
      <c r="B9" s="17">
        <v>795683</v>
      </c>
      <c r="C9" s="18">
        <v>57352</v>
      </c>
      <c r="D9" s="11">
        <v>1956253</v>
      </c>
      <c r="E9" s="14">
        <v>590940</v>
      </c>
      <c r="F9" s="18">
        <v>2040278</v>
      </c>
      <c r="G9" s="14">
        <v>504933</v>
      </c>
      <c r="H9" s="14">
        <v>282565</v>
      </c>
      <c r="I9" s="18">
        <v>26724</v>
      </c>
      <c r="J9" s="18">
        <v>2085</v>
      </c>
      <c r="K9" s="11">
        <v>276608</v>
      </c>
      <c r="L9" s="18">
        <v>16639497</v>
      </c>
      <c r="M9" s="11">
        <v>2153434</v>
      </c>
      <c r="N9" s="14">
        <v>25049744</v>
      </c>
      <c r="O9" s="18">
        <v>4819438</v>
      </c>
      <c r="P9" s="11">
        <f>SUM(N9:O9)</f>
        <v>29869182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12</v>
      </c>
      <c r="B10" s="17">
        <v>681206</v>
      </c>
      <c r="C10" s="18">
        <v>65589</v>
      </c>
      <c r="D10" s="11">
        <v>1991750</v>
      </c>
      <c r="E10" s="14">
        <v>703755</v>
      </c>
      <c r="F10" s="18">
        <v>2122189</v>
      </c>
      <c r="G10" s="14">
        <v>646114</v>
      </c>
      <c r="H10" s="14">
        <v>464074</v>
      </c>
      <c r="I10" s="18">
        <v>43047</v>
      </c>
      <c r="J10" s="18">
        <v>694</v>
      </c>
      <c r="K10" s="11">
        <v>381094</v>
      </c>
      <c r="L10" s="18">
        <v>16801724</v>
      </c>
      <c r="M10" s="11">
        <v>2035601</v>
      </c>
      <c r="N10" s="14">
        <v>25555743</v>
      </c>
      <c r="O10" s="18">
        <v>4831171</v>
      </c>
      <c r="P10" s="11">
        <f t="shared" ref="P10:P14" si="1">SUM(N10:O10)</f>
        <v>30386914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13</v>
      </c>
      <c r="B11" s="17">
        <v>647107</v>
      </c>
      <c r="C11" s="18">
        <v>86393</v>
      </c>
      <c r="D11" s="11">
        <v>2758365</v>
      </c>
      <c r="E11" s="14">
        <v>347915</v>
      </c>
      <c r="F11" s="18">
        <v>3800124</v>
      </c>
      <c r="G11" s="14">
        <v>379515</v>
      </c>
      <c r="H11" s="14">
        <v>273354</v>
      </c>
      <c r="I11" s="18">
        <v>29937</v>
      </c>
      <c r="J11" s="18">
        <v>434</v>
      </c>
      <c r="K11" s="11">
        <v>523431</v>
      </c>
      <c r="L11" s="18">
        <v>16772386</v>
      </c>
      <c r="M11" s="11">
        <v>2427734</v>
      </c>
      <c r="N11" s="14">
        <v>27523264</v>
      </c>
      <c r="O11" s="18">
        <v>3253680</v>
      </c>
      <c r="P11" s="11">
        <f t="shared" si="1"/>
        <v>30776944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14</v>
      </c>
      <c r="B12" s="17">
        <v>405006</v>
      </c>
      <c r="C12" s="18">
        <v>58507</v>
      </c>
      <c r="D12" s="11">
        <v>2463784</v>
      </c>
      <c r="E12" s="14">
        <v>423480</v>
      </c>
      <c r="F12" s="18">
        <v>2287948</v>
      </c>
      <c r="G12" s="14">
        <v>484417</v>
      </c>
      <c r="H12" s="14">
        <v>487233</v>
      </c>
      <c r="I12" s="18">
        <v>40275</v>
      </c>
      <c r="J12" s="18">
        <v>731</v>
      </c>
      <c r="K12" s="11">
        <v>654471</v>
      </c>
      <c r="L12" s="18">
        <v>20344892</v>
      </c>
      <c r="M12" s="11">
        <v>2780216</v>
      </c>
      <c r="N12" s="14">
        <v>29776489</v>
      </c>
      <c r="O12" s="18">
        <v>4646257</v>
      </c>
      <c r="P12" s="11">
        <f t="shared" si="1"/>
        <v>34422746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15</v>
      </c>
      <c r="B13" s="17">
        <v>406857</v>
      </c>
      <c r="C13" s="18">
        <v>69177</v>
      </c>
      <c r="D13" s="11">
        <v>1910206</v>
      </c>
      <c r="E13" s="14">
        <v>700471</v>
      </c>
      <c r="F13" s="18">
        <v>1565993</v>
      </c>
      <c r="G13" s="14">
        <v>621749</v>
      </c>
      <c r="H13" s="14">
        <v>588624</v>
      </c>
      <c r="I13" s="18">
        <v>24295</v>
      </c>
      <c r="J13" s="18">
        <v>1056</v>
      </c>
      <c r="K13" s="11">
        <v>479983</v>
      </c>
      <c r="L13" s="18">
        <v>17758818</v>
      </c>
      <c r="M13" s="11">
        <v>2137840</v>
      </c>
      <c r="N13" s="14">
        <v>25785086</v>
      </c>
      <c r="O13" s="18">
        <v>4220816</v>
      </c>
      <c r="P13" s="11">
        <f t="shared" si="1"/>
        <v>30005902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514064</v>
      </c>
      <c r="C14" s="16">
        <v>94053</v>
      </c>
      <c r="D14" s="15">
        <v>2647897</v>
      </c>
      <c r="E14" s="16">
        <v>319834</v>
      </c>
      <c r="F14" s="16">
        <v>1620852</v>
      </c>
      <c r="G14" s="16">
        <v>332158</v>
      </c>
      <c r="H14" s="16">
        <v>297544</v>
      </c>
      <c r="I14" s="16">
        <v>39684</v>
      </c>
      <c r="J14" s="16">
        <v>237</v>
      </c>
      <c r="K14" s="15">
        <v>716539</v>
      </c>
      <c r="L14" s="16">
        <v>23595975</v>
      </c>
      <c r="M14" s="15">
        <v>1741297</v>
      </c>
      <c r="N14" s="16">
        <v>31203595</v>
      </c>
      <c r="O14" s="16">
        <v>5575756</v>
      </c>
      <c r="P14" s="15">
        <f t="shared" si="1"/>
        <v>36779351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26</v>
      </c>
      <c r="B15" s="21">
        <f>SUM(B3:B14)</f>
        <v>8051684</v>
      </c>
      <c r="C15" s="22">
        <f t="shared" ref="C15:O15" si="2">SUM(C3:C14)</f>
        <v>982408</v>
      </c>
      <c r="D15" s="30">
        <f t="shared" si="2"/>
        <v>29483649</v>
      </c>
      <c r="E15" s="22">
        <f t="shared" si="2"/>
        <v>7124029</v>
      </c>
      <c r="F15" s="22">
        <f t="shared" ref="F15" si="3">SUM(F3:F14)</f>
        <v>29889797</v>
      </c>
      <c r="G15" s="22">
        <f t="shared" ref="G15" si="4">SUM(G3:G14)</f>
        <v>6583746</v>
      </c>
      <c r="H15" s="22">
        <f t="shared" ref="H15" si="5">SUM(H3:H14)</f>
        <v>6155024</v>
      </c>
      <c r="I15" s="22">
        <f t="shared" ref="I15:J15" si="6">SUM(I3:I14)</f>
        <v>505019</v>
      </c>
      <c r="J15" s="22">
        <f t="shared" si="6"/>
        <v>244894</v>
      </c>
      <c r="K15" s="23">
        <f t="shared" ref="K15:M15" si="7">SUM(K3:K14)</f>
        <v>5491687</v>
      </c>
      <c r="L15" s="22">
        <f t="shared" si="7"/>
        <v>239803272</v>
      </c>
      <c r="M15" s="23">
        <f t="shared" si="7"/>
        <v>30156921</v>
      </c>
      <c r="N15" s="22">
        <f t="shared" si="2"/>
        <v>358980443</v>
      </c>
      <c r="O15" s="22">
        <f t="shared" si="2"/>
        <v>64659270</v>
      </c>
      <c r="P15" s="23">
        <f t="shared" si="0"/>
        <v>423639713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28</v>
      </c>
    </row>
    <row r="18" spans="1:1" x14ac:dyDescent="0.3">
      <c r="A18" s="1"/>
    </row>
    <row r="19" spans="1:1" x14ac:dyDescent="0.3">
      <c r="A19" s="1"/>
    </row>
  </sheetData>
  <mergeCells count="4">
    <mergeCell ref="N1:P1"/>
    <mergeCell ref="B1:D1"/>
    <mergeCell ref="E1:K1"/>
    <mergeCell ref="L1:M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2026-07-16T07:05:44Z</dcterms:modified>
</cp:coreProperties>
</file>