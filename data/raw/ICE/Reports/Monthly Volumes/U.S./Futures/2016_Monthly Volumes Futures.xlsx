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U.S\Historical Monthly Volume\Futures\"/>
    </mc:Choice>
  </mc:AlternateContent>
  <bookViews>
    <workbookView xWindow="0" yWindow="0" windowWidth="25125" windowHeight="11640"/>
  </bookViews>
  <sheets>
    <sheet name="2016년" sheetId="1" r:id="rId1"/>
  </sheets>
  <calcPr calcId="162913"/>
</workbook>
</file>

<file path=xl/calcChain.xml><?xml version="1.0" encoding="utf-8"?>
<calcChain xmlns="http://schemas.openxmlformats.org/spreadsheetml/2006/main">
  <c r="J15" i="1" l="1"/>
  <c r="M15" i="1"/>
  <c r="L15" i="1"/>
  <c r="D15" i="1"/>
  <c r="P14" i="1" l="1"/>
  <c r="P13" i="1"/>
  <c r="P12" i="1"/>
  <c r="P11" i="1"/>
  <c r="P10" i="1"/>
  <c r="P9" i="1"/>
  <c r="P8" i="1"/>
  <c r="P7" i="1"/>
  <c r="P6" i="1"/>
  <c r="P5" i="1"/>
  <c r="P4" i="1"/>
  <c r="P3" i="1"/>
  <c r="C15" i="1"/>
  <c r="B15" i="1"/>
  <c r="F15" i="1" l="1"/>
  <c r="O15" i="1"/>
  <c r="I15" i="1"/>
  <c r="H15" i="1"/>
  <c r="G15" i="1"/>
  <c r="K15" i="1"/>
  <c r="E15" i="1"/>
  <c r="N15" i="1"/>
  <c r="P15" i="1" l="1"/>
</calcChain>
</file>

<file path=xl/sharedStrings.xml><?xml version="1.0" encoding="utf-8"?>
<sst xmlns="http://schemas.openxmlformats.org/spreadsheetml/2006/main" count="37" uniqueCount="37">
  <si>
    <t>December</t>
  </si>
  <si>
    <t>Notes:</t>
  </si>
  <si>
    <t>Month</t>
    <phoneticPr fontId="18" type="noConversion"/>
  </si>
  <si>
    <t>CURRENCIES</t>
    <phoneticPr fontId="18" type="noConversion"/>
  </si>
  <si>
    <t>Futures Financial Products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</si>
  <si>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</si>
  <si>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</si>
  <si>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</si>
  <si>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</si>
  <si>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</si>
  <si>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</si>
  <si>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</si>
  <si>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</si>
  <si>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</si>
  <si>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</si>
  <si>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</si>
  <si>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Futures Agricultural Products</t>
  </si>
  <si>
    <t>Coffee</t>
  </si>
  <si>
    <t>Sugar</t>
  </si>
  <si>
    <t>Cocoa</t>
  </si>
  <si>
    <t>Cotton</t>
  </si>
  <si>
    <t>FCOJ</t>
  </si>
  <si>
    <t>Monthly Totals</t>
  </si>
  <si>
    <t>Futures</t>
  </si>
  <si>
    <t>Options</t>
  </si>
  <si>
    <t>Overall</t>
  </si>
  <si>
    <t>Yearly Total</t>
    <phoneticPr fontId="18" type="noConversion"/>
  </si>
  <si>
    <t>Futures Energy</t>
    <phoneticPr fontId="18" type="noConversion"/>
  </si>
  <si>
    <t>Gas</t>
    <phoneticPr fontId="18" type="noConversion"/>
  </si>
  <si>
    <t>US$</t>
    <phoneticPr fontId="18" type="noConversion"/>
  </si>
  <si>
    <t>Canola**</t>
    <phoneticPr fontId="18" type="noConversion"/>
  </si>
  <si>
    <t>Power***</t>
    <phoneticPr fontId="18" type="noConversion"/>
  </si>
  <si>
    <t>EQUITY DERIVATIVES*</t>
    <phoneticPr fontId="18" type="noConversion"/>
  </si>
  <si>
    <t>Metals &amp; Grains</t>
    <phoneticPr fontId="18" type="noConversion"/>
  </si>
  <si>
    <t>**This report has been retroactively adjusted to include Canola volumes traded on ICE Futures Canada from 2006 - July 30, 2018. On July 30, 2018, we transitioned the trading of Canola contracts from ICE Futures Canada to ICE Futures U.S., after which ICE Futures Canada ceased operations.</t>
    <phoneticPr fontId="18" type="noConversion"/>
  </si>
  <si>
    <t>*Equity derivatives include Russell and MSCI Index futures and options.</t>
    <phoneticPr fontId="18" type="noConversion"/>
  </si>
  <si>
    <t>***Power contract volume is now reported using the new contract conversion methodology. Prior monthly power volumes have been adjusted for comparison purposes.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</si>
</sst>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20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1" fillId="0" borderId="17" xfId="0" applyNumberFormat="1" applyFont="1" applyBorder="1">
      <alignment vertical="center"/>
    </xf>
    <xf numFmtId="177" fontId="21" fillId="0" borderId="16" xfId="0" applyNumberFormat="1" applyFont="1" applyBorder="1" applyAlignment="1">
      <alignment horizontal="center" vertical="center"/>
    </xf>
    <xf numFmtId="177" fontId="21" fillId="0" borderId="17" xfId="0" applyNumberFormat="1" applyFont="1" applyBorder="1" applyAlignment="1">
      <alignment horizontal="center" vertical="center"/>
    </xf>
    <xf numFmtId="177" fontId="21" fillId="0" borderId="18" xfId="0" applyNumberFormat="1" applyFont="1" applyBorder="1" applyAlignment="1">
      <alignment horizontal="center" vertical="center"/>
    </xf>
    <xf numFmtId="177" fontId="21" fillId="0" borderId="12" xfId="0" applyNumberFormat="1" applyFont="1" applyBorder="1" applyAlignment="1">
      <alignment horizontal="center" vertical="center"/>
    </xf>
    <xf numFmtId="49" fontId="22" fillId="0" borderId="0" xfId="0" applyNumberFormat="1" applyFont="1">
      <alignment vertical="center"/>
    </xf>
    <xf numFmtId="49" fontId="21" fillId="33" borderId="10" xfId="0" applyNumberFormat="1" applyFont="1" applyFill="1" applyBorder="1" applyAlignment="1">
      <alignment horizontal="center" vertical="center"/>
    </xf>
    <xf numFmtId="49" fontId="21" fillId="33" borderId="11" xfId="0" applyNumberFormat="1" applyFont="1" applyFill="1" applyBorder="1" applyAlignment="1">
      <alignment horizontal="center" vertical="center"/>
    </xf>
    <xf numFmtId="49" fontId="21" fillId="33" borderId="12" xfId="0" applyNumberFormat="1" applyFont="1" applyFill="1" applyBorder="1" applyAlignment="1">
      <alignment horizontal="center" vertical="center"/>
    </xf>
    <xf numFmtId="49" fontId="21" fillId="34" borderId="10" xfId="0" applyNumberFormat="1" applyFont="1" applyFill="1" applyBorder="1" applyAlignment="1">
      <alignment horizontal="center" vertical="center"/>
    </xf>
    <xf numFmtId="49" fontId="21" fillId="34" borderId="11" xfId="0" applyNumberFormat="1" applyFont="1" applyFill="1" applyBorder="1" applyAlignment="1">
      <alignment horizontal="center" vertical="center"/>
    </xf>
    <xf numFmtId="49" fontId="21" fillId="34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0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3.25" customWidth="1"/>
    <col min="3" max="3" width="14.875" customWidth="1"/>
    <col min="4" max="4" width="20.125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1" width="15.375" customWidth="1"/>
    <col min="12" max="12" width="13.25" customWidth="1"/>
    <col min="13" max="13" width="12.5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40" x14ac:dyDescent="0.3">
      <c r="A1" s="1"/>
      <c r="B1" s="30" t="s">
        <v>4</v>
      </c>
      <c r="C1" s="31"/>
      <c r="D1" s="32"/>
      <c r="E1" s="30" t="s">
        <v>16</v>
      </c>
      <c r="F1" s="31"/>
      <c r="G1" s="31"/>
      <c r="H1" s="31"/>
      <c r="I1" s="31"/>
      <c r="J1" s="31"/>
      <c r="K1" s="32"/>
      <c r="L1" s="30" t="s">
        <v>27</v>
      </c>
      <c r="M1" s="32"/>
      <c r="N1" s="27" t="s">
        <v>22</v>
      </c>
      <c r="O1" s="28"/>
      <c r="P1" s="29"/>
    </row>
    <row r="2" spans="1:40" x14ac:dyDescent="0.3">
      <c r="A2" s="2" t="s">
        <v>2</v>
      </c>
      <c r="B2" s="11" t="s">
        <v>29</v>
      </c>
      <c r="C2" s="8" t="s">
        <v>3</v>
      </c>
      <c r="D2" s="4" t="s">
        <v>32</v>
      </c>
      <c r="E2" s="2" t="s">
        <v>17</v>
      </c>
      <c r="F2" s="9" t="s">
        <v>18</v>
      </c>
      <c r="G2" s="7" t="s">
        <v>19</v>
      </c>
      <c r="H2" s="2" t="s">
        <v>20</v>
      </c>
      <c r="I2" s="7" t="s">
        <v>21</v>
      </c>
      <c r="J2" s="7" t="s">
        <v>33</v>
      </c>
      <c r="K2" s="4" t="s">
        <v>30</v>
      </c>
      <c r="L2" s="9" t="s">
        <v>28</v>
      </c>
      <c r="M2" s="4" t="s">
        <v>31</v>
      </c>
      <c r="N2" s="2" t="s">
        <v>23</v>
      </c>
      <c r="O2" s="7" t="s">
        <v>24</v>
      </c>
      <c r="P2" s="4" t="s">
        <v>25</v>
      </c>
    </row>
    <row r="3" spans="1:40" ht="15" customHeight="1" x14ac:dyDescent="0.3">
      <c r="A3" s="1" t="s">
        <v>5</v>
      </c>
      <c r="B3" s="13">
        <v>683793</v>
      </c>
      <c r="C3" s="14">
        <v>59342</v>
      </c>
      <c r="D3" s="12">
        <v>4665909</v>
      </c>
      <c r="E3" s="15">
        <v>665155</v>
      </c>
      <c r="F3" s="19">
        <v>3191099</v>
      </c>
      <c r="G3" s="15">
        <v>940394</v>
      </c>
      <c r="H3" s="15">
        <v>556719</v>
      </c>
      <c r="I3" s="19">
        <v>28008</v>
      </c>
      <c r="J3" s="19">
        <v>32128</v>
      </c>
      <c r="K3" s="12">
        <v>408059</v>
      </c>
      <c r="L3" s="19">
        <v>13653965</v>
      </c>
      <c r="M3" s="12">
        <v>2030914</v>
      </c>
      <c r="N3" s="15">
        <v>26507426</v>
      </c>
      <c r="O3" s="19">
        <v>4769736</v>
      </c>
      <c r="P3" s="12">
        <f>SUM(N3:O3)</f>
        <v>31277162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6</v>
      </c>
      <c r="B4" s="18">
        <v>598788</v>
      </c>
      <c r="C4" s="19">
        <v>63805</v>
      </c>
      <c r="D4" s="12">
        <v>3994355</v>
      </c>
      <c r="E4" s="15">
        <v>983217</v>
      </c>
      <c r="F4" s="19">
        <v>3777520</v>
      </c>
      <c r="G4" s="15">
        <v>950705</v>
      </c>
      <c r="H4" s="15">
        <v>939935</v>
      </c>
      <c r="I4" s="19">
        <v>34218</v>
      </c>
      <c r="J4" s="19">
        <v>46125</v>
      </c>
      <c r="K4" s="12">
        <v>641600</v>
      </c>
      <c r="L4" s="19">
        <v>13612632</v>
      </c>
      <c r="M4" s="12">
        <v>2418345</v>
      </c>
      <c r="N4" s="15">
        <v>27419645</v>
      </c>
      <c r="O4" s="19">
        <v>6273677</v>
      </c>
      <c r="P4" s="12">
        <f t="shared" ref="P4:P15" si="0">SUM(N4:O4)</f>
        <v>33693322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7</v>
      </c>
      <c r="B5" s="18">
        <v>629243</v>
      </c>
      <c r="C5" s="19">
        <v>133691</v>
      </c>
      <c r="D5" s="12">
        <v>6929582</v>
      </c>
      <c r="E5" s="15">
        <v>863904</v>
      </c>
      <c r="F5" s="19">
        <v>2662634</v>
      </c>
      <c r="G5" s="15">
        <v>667648</v>
      </c>
      <c r="H5" s="15">
        <v>544182</v>
      </c>
      <c r="I5" s="19">
        <v>25553</v>
      </c>
      <c r="J5" s="19">
        <v>51219</v>
      </c>
      <c r="K5" s="12">
        <v>441094</v>
      </c>
      <c r="L5" s="19">
        <v>14038580</v>
      </c>
      <c r="M5" s="12">
        <v>2135981</v>
      </c>
      <c r="N5" s="15">
        <v>28682217</v>
      </c>
      <c r="O5" s="19">
        <v>4384978</v>
      </c>
      <c r="P5" s="12">
        <f t="shared" si="0"/>
        <v>33067195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8</v>
      </c>
      <c r="B6" s="18">
        <v>496488</v>
      </c>
      <c r="C6" s="19">
        <v>55627</v>
      </c>
      <c r="D6" s="12">
        <v>3089530</v>
      </c>
      <c r="E6" s="15">
        <v>1009149</v>
      </c>
      <c r="F6" s="19">
        <v>3522543</v>
      </c>
      <c r="G6" s="15">
        <v>927406</v>
      </c>
      <c r="H6" s="15">
        <v>920993</v>
      </c>
      <c r="I6" s="19">
        <v>40101</v>
      </c>
      <c r="J6" s="19">
        <v>40978</v>
      </c>
      <c r="K6" s="12">
        <v>619493</v>
      </c>
      <c r="L6" s="19">
        <v>13536294</v>
      </c>
      <c r="M6" s="12">
        <v>2519829</v>
      </c>
      <c r="N6" s="15">
        <v>26158938</v>
      </c>
      <c r="O6" s="19">
        <v>4014832</v>
      </c>
      <c r="P6" s="12">
        <f t="shared" si="0"/>
        <v>30173770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9</v>
      </c>
      <c r="B7" s="18">
        <v>417857</v>
      </c>
      <c r="C7" s="19">
        <v>71421</v>
      </c>
      <c r="D7" s="12">
        <v>3286686</v>
      </c>
      <c r="E7" s="15">
        <v>777352</v>
      </c>
      <c r="F7" s="19">
        <v>2602574</v>
      </c>
      <c r="G7" s="15">
        <v>857735</v>
      </c>
      <c r="H7" s="15">
        <v>567262</v>
      </c>
      <c r="I7" s="19">
        <v>20743</v>
      </c>
      <c r="J7" s="19">
        <v>41387</v>
      </c>
      <c r="K7" s="12">
        <v>518643</v>
      </c>
      <c r="L7" s="19">
        <v>11949345</v>
      </c>
      <c r="M7" s="12">
        <v>2649830</v>
      </c>
      <c r="N7" s="15">
        <v>23242192</v>
      </c>
      <c r="O7" s="19">
        <v>3819899</v>
      </c>
      <c r="P7" s="12">
        <f t="shared" si="0"/>
        <v>27062091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10</v>
      </c>
      <c r="B8" s="18">
        <v>744786</v>
      </c>
      <c r="C8" s="19">
        <v>139057</v>
      </c>
      <c r="D8" s="12">
        <v>7113765</v>
      </c>
      <c r="E8" s="15">
        <v>1181746</v>
      </c>
      <c r="F8" s="19">
        <v>4218476</v>
      </c>
      <c r="G8" s="15">
        <v>778284</v>
      </c>
      <c r="H8" s="15">
        <v>802605</v>
      </c>
      <c r="I8" s="19">
        <v>50207</v>
      </c>
      <c r="J8" s="19">
        <v>40443</v>
      </c>
      <c r="K8" s="12">
        <v>644052</v>
      </c>
      <c r="L8" s="19">
        <v>13179558</v>
      </c>
      <c r="M8" s="12">
        <v>2039996</v>
      </c>
      <c r="N8" s="15">
        <v>30288923</v>
      </c>
      <c r="O8" s="19">
        <v>4545978</v>
      </c>
      <c r="P8" s="12">
        <f t="shared" si="0"/>
        <v>34834901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11</v>
      </c>
      <c r="B9" s="18">
        <v>417565</v>
      </c>
      <c r="C9" s="19">
        <v>47157</v>
      </c>
      <c r="D9" s="12">
        <v>2979615</v>
      </c>
      <c r="E9" s="15">
        <v>553988</v>
      </c>
      <c r="F9" s="19">
        <v>1742224</v>
      </c>
      <c r="G9" s="15">
        <v>712599</v>
      </c>
      <c r="H9" s="15">
        <v>582169</v>
      </c>
      <c r="I9" s="19">
        <v>24414</v>
      </c>
      <c r="J9" s="19">
        <v>43737</v>
      </c>
      <c r="K9" s="12">
        <v>358823</v>
      </c>
      <c r="L9" s="19">
        <v>10481327</v>
      </c>
      <c r="M9" s="12">
        <v>1932344</v>
      </c>
      <c r="N9" s="15">
        <v>19517139</v>
      </c>
      <c r="O9" s="19">
        <v>3265374</v>
      </c>
      <c r="P9" s="12">
        <f>SUM(N9:O9)</f>
        <v>22782513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12</v>
      </c>
      <c r="B10" s="18">
        <v>431912</v>
      </c>
      <c r="C10" s="19">
        <v>52083</v>
      </c>
      <c r="D10" s="12">
        <v>3279589</v>
      </c>
      <c r="E10" s="15">
        <v>908304</v>
      </c>
      <c r="F10" s="19">
        <v>2013125</v>
      </c>
      <c r="G10" s="15">
        <v>987963</v>
      </c>
      <c r="H10" s="15">
        <v>538811</v>
      </c>
      <c r="I10" s="19">
        <v>47704</v>
      </c>
      <c r="J10" s="19">
        <v>30949</v>
      </c>
      <c r="K10" s="12">
        <v>385481</v>
      </c>
      <c r="L10" s="19">
        <v>12356348</v>
      </c>
      <c r="M10" s="12">
        <v>1869627</v>
      </c>
      <c r="N10" s="15">
        <v>22516415</v>
      </c>
      <c r="O10" s="19">
        <v>4365146</v>
      </c>
      <c r="P10" s="12">
        <f t="shared" ref="P10:P14" si="1">SUM(N10:O10)</f>
        <v>26881561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13</v>
      </c>
      <c r="B11" s="18">
        <v>609622</v>
      </c>
      <c r="C11" s="19">
        <v>138133</v>
      </c>
      <c r="D11" s="12">
        <v>7352534</v>
      </c>
      <c r="E11" s="15">
        <v>600690</v>
      </c>
      <c r="F11" s="19">
        <v>3971481</v>
      </c>
      <c r="G11" s="15">
        <v>730541</v>
      </c>
      <c r="H11" s="15">
        <v>437283</v>
      </c>
      <c r="I11" s="19">
        <v>24848</v>
      </c>
      <c r="J11" s="19">
        <v>24266</v>
      </c>
      <c r="K11" s="12">
        <v>407031</v>
      </c>
      <c r="L11" s="19">
        <v>12811051</v>
      </c>
      <c r="M11" s="12">
        <v>2014082</v>
      </c>
      <c r="N11" s="15">
        <v>28714531</v>
      </c>
      <c r="O11" s="19">
        <v>4297485</v>
      </c>
      <c r="P11" s="12">
        <f t="shared" si="1"/>
        <v>33012016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14</v>
      </c>
      <c r="B12" s="18">
        <v>523163</v>
      </c>
      <c r="C12" s="19">
        <v>69577</v>
      </c>
      <c r="D12" s="12">
        <v>3081230</v>
      </c>
      <c r="E12" s="15">
        <v>695422</v>
      </c>
      <c r="F12" s="19">
        <v>1727505</v>
      </c>
      <c r="G12" s="15">
        <v>856408</v>
      </c>
      <c r="H12" s="15">
        <v>528534</v>
      </c>
      <c r="I12" s="19">
        <v>49991</v>
      </c>
      <c r="J12" s="19">
        <v>22660</v>
      </c>
      <c r="K12" s="12">
        <v>702156</v>
      </c>
      <c r="L12" s="19">
        <v>16459173</v>
      </c>
      <c r="M12" s="12">
        <v>1925744</v>
      </c>
      <c r="N12" s="15">
        <v>25939407</v>
      </c>
      <c r="O12" s="19">
        <v>4497557</v>
      </c>
      <c r="P12" s="12">
        <f t="shared" si="1"/>
        <v>30436964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15</v>
      </c>
      <c r="B13" s="18">
        <v>891553</v>
      </c>
      <c r="C13" s="19">
        <v>76693</v>
      </c>
      <c r="D13" s="12">
        <v>4443222</v>
      </c>
      <c r="E13" s="15">
        <v>1092826</v>
      </c>
      <c r="F13" s="19">
        <v>1972513</v>
      </c>
      <c r="G13" s="15">
        <v>829030</v>
      </c>
      <c r="H13" s="15">
        <v>876713</v>
      </c>
      <c r="I13" s="19">
        <v>22202</v>
      </c>
      <c r="J13" s="19">
        <v>45187</v>
      </c>
      <c r="K13" s="12">
        <v>490671</v>
      </c>
      <c r="L13" s="19">
        <v>15394762</v>
      </c>
      <c r="M13" s="12">
        <v>2507898</v>
      </c>
      <c r="N13" s="15">
        <v>28152599</v>
      </c>
      <c r="O13" s="19">
        <v>4806614</v>
      </c>
      <c r="P13" s="12">
        <f t="shared" si="1"/>
        <v>32959213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10" t="s">
        <v>0</v>
      </c>
      <c r="B14" s="20">
        <v>1000433</v>
      </c>
      <c r="C14" s="17">
        <v>107502</v>
      </c>
      <c r="D14" s="16">
        <v>8390746</v>
      </c>
      <c r="E14" s="17">
        <v>524561</v>
      </c>
      <c r="F14" s="17">
        <v>1792050</v>
      </c>
      <c r="G14" s="17">
        <v>623505</v>
      </c>
      <c r="H14" s="17">
        <v>408670</v>
      </c>
      <c r="I14" s="17">
        <v>45915</v>
      </c>
      <c r="J14" s="17">
        <v>23016</v>
      </c>
      <c r="K14" s="16">
        <v>627053</v>
      </c>
      <c r="L14" s="17">
        <v>15220548</v>
      </c>
      <c r="M14" s="16">
        <v>2031527</v>
      </c>
      <c r="N14" s="17">
        <v>30168473</v>
      </c>
      <c r="O14" s="17">
        <v>3816974</v>
      </c>
      <c r="P14" s="16">
        <f t="shared" si="1"/>
        <v>33985447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1" t="s">
        <v>26</v>
      </c>
      <c r="B15" s="22">
        <f>SUM(B3:B14)</f>
        <v>7445203</v>
      </c>
      <c r="C15" s="23">
        <f t="shared" ref="C15:O15" si="2">SUM(C3:C14)</f>
        <v>1014088</v>
      </c>
      <c r="D15" s="25">
        <f t="shared" si="2"/>
        <v>58606763</v>
      </c>
      <c r="E15" s="23">
        <f t="shared" si="2"/>
        <v>9856314</v>
      </c>
      <c r="F15" s="23">
        <f t="shared" ref="F15" si="3">SUM(F3:F14)</f>
        <v>33193744</v>
      </c>
      <c r="G15" s="23">
        <f t="shared" ref="G15" si="4">SUM(G3:G14)</f>
        <v>9862218</v>
      </c>
      <c r="H15" s="23">
        <f t="shared" ref="H15" si="5">SUM(H3:H14)</f>
        <v>7703876</v>
      </c>
      <c r="I15" s="23">
        <f t="shared" ref="I15:J15" si="6">SUM(I3:I14)</f>
        <v>413904</v>
      </c>
      <c r="J15" s="23">
        <f t="shared" si="6"/>
        <v>442095</v>
      </c>
      <c r="K15" s="24">
        <f t="shared" ref="K15:M15" si="7">SUM(K3:K14)</f>
        <v>6244156</v>
      </c>
      <c r="L15" s="23">
        <f t="shared" si="7"/>
        <v>162693583</v>
      </c>
      <c r="M15" s="24">
        <f t="shared" si="7"/>
        <v>26076117</v>
      </c>
      <c r="N15" s="23">
        <f t="shared" si="2"/>
        <v>317307905</v>
      </c>
      <c r="O15" s="23">
        <f t="shared" si="2"/>
        <v>52858250</v>
      </c>
      <c r="P15" s="24">
        <f t="shared" si="0"/>
        <v>370166155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6" t="s">
        <v>35</v>
      </c>
    </row>
    <row r="18" spans="1:1" x14ac:dyDescent="0.3">
      <c r="A18" s="5" t="s">
        <v>34</v>
      </c>
    </row>
    <row r="19" spans="1:1" x14ac:dyDescent="0.3">
      <c r="A19" s="26" t="s">
        <v>36</v>
      </c>
    </row>
    <row r="20" spans="1:1" x14ac:dyDescent="0.3">
      <c r="A20" s="1"/>
    </row>
  </sheetData>
  <mergeCells count="4">
    <mergeCell ref="N1:P1"/>
    <mergeCell ref="B1:D1"/>
    <mergeCell ref="E1:K1"/>
    <mergeCell ref="L1:M1"/>
  </mergeCells>
  <phoneticPr fontId="18" type="noConversion"/>
  <pageMargins left="0.7" right="0.7" top="0.75" bottom="0.75" header="0.3" footer="0.3"/>
  <pageSetup paperSize="9" orientation="portrait" r:id="rId1"/>
  <ignoredErrors>
    <ignoredError sqref="P3:P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2026-08-13T03:53:17Z</dcterms:modified>
</cp:coreProperties>
</file>