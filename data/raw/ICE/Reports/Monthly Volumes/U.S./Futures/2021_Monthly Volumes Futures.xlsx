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Futures\"/>
    </mc:Choice>
  </mc:AlternateContent>
  <bookViews>
    <workbookView xWindow="0" yWindow="0" windowWidth="25125" windowHeight="11640"/>
  </bookViews>
  <sheets>
    <sheet name="2021년" sheetId="1" r:id="rId1"/>
  </sheets>
  <calcPr calcId="162913"/>
</workbook>
</file>

<file path=xl/calcChain.xml><?xml version="1.0" encoding="utf-8"?>
<calcChain xmlns="http://schemas.openxmlformats.org/spreadsheetml/2006/main">
  <c r="P11" i="1" l="1"/>
  <c r="P6" i="1" l="1"/>
  <c r="P14" i="1"/>
  <c r="P8" i="1"/>
  <c r="P13" i="1"/>
  <c r="P10" i="1"/>
  <c r="P12" i="1" l="1"/>
  <c r="P9" i="1"/>
  <c r="P7" i="1"/>
  <c r="P5" i="1"/>
  <c r="P4" i="1"/>
  <c r="P3" i="1"/>
  <c r="C15" i="1"/>
  <c r="B15" i="1"/>
  <c r="D15" i="1" l="1"/>
  <c r="J15" i="1" l="1"/>
  <c r="F15" i="1"/>
  <c r="O15" i="1"/>
  <c r="I15" i="1"/>
  <c r="H15" i="1"/>
  <c r="G15" i="1"/>
  <c r="L15" i="1"/>
  <c r="K15" i="1"/>
  <c r="E15" i="1"/>
  <c r="N15" i="1"/>
  <c r="M15" i="1"/>
  <c r="P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<sst xmlns="http://schemas.openxmlformats.org/spreadsheetml/2006/main" count="36" uniqueCount="36">
  <si>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</si>
  <si>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</si>
  <si>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*Equity derivatives include Russell and MSCI Index futures and options.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</si>
  <si>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</si>
  <si>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</si>
  <si>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</si>
  <si>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</si>
  <si>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</si>
  <si>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</si>
  <si>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</si>
  <si>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</si>
  <si>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</si>
  <si>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</si>
  <si>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</si>
  <si>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</si>
  <si>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</si>
  <si>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</si>
  <si>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</si>
  <si>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</si>
  <si>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</si>
  <si>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</si>
  <si>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</si>
  <si>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</si>
  <si>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</si>
  <si>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Metals &amp; Grains</t>
  </si>
  <si>
    <t>Futures Energy</t>
  </si>
  <si>
    <t>Gas</t>
  </si>
  <si>
    <t>Monthly Totals</t>
  </si>
  <si>
    <t>Futures</t>
  </si>
  <si>
    <t>Options</t>
  </si>
  <si>
    <t>Overall</t>
  </si>
  <si>
    <t>Yearly Total</t>
    <phoneticPr fontId="18" type="noConversion"/>
  </si>
  <si>
    <t>**Power contract volume is now reported using the new contract conversion methodology. Prior monthly power volumes have been adjusted for comparison purposes.</t>
  </si>
  <si>
    <t>Power**</t>
    <phoneticPr fontId="18" type="noConversion"/>
  </si>
  <si>
    <t>Canola</t>
    <phoneticPr fontId="18" type="noConversion"/>
  </si>
  <si>
    <t>EQUITY DERIVATIVES*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</si>
</sst>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29" t="s">
        <v>6</v>
      </c>
      <c r="C1" s="30"/>
      <c r="D1" s="31"/>
      <c r="E1" s="29" t="s">
        <v>18</v>
      </c>
      <c r="F1" s="30"/>
      <c r="G1" s="30"/>
      <c r="H1" s="30"/>
      <c r="I1" s="30"/>
      <c r="J1" s="30"/>
      <c r="K1" s="31"/>
      <c r="L1" s="26" t="s">
        <v>25</v>
      </c>
      <c r="M1" s="27"/>
      <c r="N1" s="26" t="s">
        <v>27</v>
      </c>
      <c r="O1" s="28"/>
      <c r="P1" s="27"/>
    </row>
    <row r="2" spans="1:40" x14ac:dyDescent="0.3">
      <c r="A2" s="2" t="s">
        <v>3</v>
      </c>
      <c r="B2" s="12" t="s">
        <v>4</v>
      </c>
      <c r="C2" s="8" t="s">
        <v>5</v>
      </c>
      <c r="D2" s="9" t="s">
        <v>35</v>
      </c>
      <c r="E2" s="2" t="s">
        <v>19</v>
      </c>
      <c r="F2" s="10" t="s">
        <v>20</v>
      </c>
      <c r="G2" s="7" t="s">
        <v>21</v>
      </c>
      <c r="H2" s="2" t="s">
        <v>22</v>
      </c>
      <c r="I2" s="7" t="s">
        <v>23</v>
      </c>
      <c r="J2" s="2" t="s">
        <v>24</v>
      </c>
      <c r="K2" s="5" t="s">
        <v>34</v>
      </c>
      <c r="L2" s="4" t="s">
        <v>26</v>
      </c>
      <c r="M2" s="5" t="s">
        <v>33</v>
      </c>
      <c r="N2" s="2" t="s">
        <v>28</v>
      </c>
      <c r="O2" s="7" t="s">
        <v>29</v>
      </c>
      <c r="P2" s="5" t="s">
        <v>30</v>
      </c>
    </row>
    <row r="3" spans="1:40" ht="15" customHeight="1" x14ac:dyDescent="0.3">
      <c r="A3" s="1" t="s">
        <v>7</v>
      </c>
      <c r="B3" s="14">
        <v>562567</v>
      </c>
      <c r="C3" s="15">
        <v>58761</v>
      </c>
      <c r="D3" s="13">
        <v>3200700</v>
      </c>
      <c r="E3" s="16">
        <v>789092</v>
      </c>
      <c r="F3" s="20">
        <v>2577200</v>
      </c>
      <c r="G3" s="16">
        <v>697054</v>
      </c>
      <c r="H3" s="16">
        <v>678039</v>
      </c>
      <c r="I3" s="20">
        <v>19272</v>
      </c>
      <c r="J3" s="16">
        <v>34283</v>
      </c>
      <c r="K3" s="13">
        <v>664635</v>
      </c>
      <c r="L3" s="19">
        <v>10980098</v>
      </c>
      <c r="M3" s="13">
        <v>750626</v>
      </c>
      <c r="N3" s="16">
        <v>21012327</v>
      </c>
      <c r="O3" s="20">
        <v>4610536</v>
      </c>
      <c r="P3" s="13">
        <f>SUM(N3:O3)</f>
        <v>25622863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8</v>
      </c>
      <c r="B4" s="19">
        <v>574331</v>
      </c>
      <c r="C4" s="20">
        <v>56380</v>
      </c>
      <c r="D4" s="13">
        <v>2737796</v>
      </c>
      <c r="E4" s="16">
        <v>1169014</v>
      </c>
      <c r="F4" s="20">
        <v>3517576</v>
      </c>
      <c r="G4" s="16">
        <v>910711</v>
      </c>
      <c r="H4" s="16">
        <v>1073253</v>
      </c>
      <c r="I4" s="20">
        <v>36891</v>
      </c>
      <c r="J4" s="16">
        <v>30343</v>
      </c>
      <c r="K4" s="13">
        <v>538933</v>
      </c>
      <c r="L4" s="19">
        <v>12479237</v>
      </c>
      <c r="M4" s="13">
        <v>839306</v>
      </c>
      <c r="N4" s="16">
        <v>23963771</v>
      </c>
      <c r="O4" s="20">
        <v>4909962</v>
      </c>
      <c r="P4" s="13">
        <f t="shared" ref="P4:P15" si="0">SUM(N4:O4)</f>
        <v>28873733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9</v>
      </c>
      <c r="B5" s="19">
        <v>823593</v>
      </c>
      <c r="C5" s="20">
        <v>93811</v>
      </c>
      <c r="D5" s="13">
        <v>8818151</v>
      </c>
      <c r="E5" s="16">
        <v>966970</v>
      </c>
      <c r="F5" s="20">
        <v>2636280</v>
      </c>
      <c r="G5" s="16">
        <v>893567</v>
      </c>
      <c r="H5" s="16">
        <v>765629</v>
      </c>
      <c r="I5" s="20">
        <v>20474</v>
      </c>
      <c r="J5" s="16">
        <v>39458</v>
      </c>
      <c r="K5" s="13">
        <v>550593</v>
      </c>
      <c r="L5" s="19">
        <v>9678532</v>
      </c>
      <c r="M5" s="13">
        <v>689890</v>
      </c>
      <c r="N5" s="16">
        <v>25976948</v>
      </c>
      <c r="O5" s="20">
        <v>4101949</v>
      </c>
      <c r="P5" s="13">
        <f t="shared" si="0"/>
        <v>30078897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10</v>
      </c>
      <c r="B6" s="19">
        <v>475138</v>
      </c>
      <c r="C6" s="20">
        <v>43955</v>
      </c>
      <c r="D6" s="13">
        <v>2588697</v>
      </c>
      <c r="E6" s="16">
        <v>1164007</v>
      </c>
      <c r="F6" s="20">
        <v>3542327</v>
      </c>
      <c r="G6" s="16">
        <v>955673</v>
      </c>
      <c r="H6" s="16">
        <v>821506</v>
      </c>
      <c r="I6" s="20">
        <v>33674</v>
      </c>
      <c r="J6" s="16">
        <v>29320</v>
      </c>
      <c r="K6" s="13">
        <v>480895</v>
      </c>
      <c r="L6" s="19">
        <v>9040437</v>
      </c>
      <c r="M6" s="13">
        <v>782255</v>
      </c>
      <c r="N6" s="16">
        <v>19957884</v>
      </c>
      <c r="O6" s="20">
        <v>3406120</v>
      </c>
      <c r="P6" s="13">
        <f t="shared" si="0"/>
        <v>23364004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11</v>
      </c>
      <c r="B7" s="19">
        <v>538010</v>
      </c>
      <c r="C7" s="20">
        <v>37527</v>
      </c>
      <c r="D7" s="13">
        <v>2507526</v>
      </c>
      <c r="E7" s="16">
        <v>821494</v>
      </c>
      <c r="F7" s="20">
        <v>2109440</v>
      </c>
      <c r="G7" s="16">
        <v>841366</v>
      </c>
      <c r="H7" s="16">
        <v>529388</v>
      </c>
      <c r="I7" s="20">
        <v>22776</v>
      </c>
      <c r="J7" s="16">
        <v>27615</v>
      </c>
      <c r="K7" s="13">
        <v>434674</v>
      </c>
      <c r="L7" s="19">
        <v>9369617</v>
      </c>
      <c r="M7" s="13">
        <v>751199</v>
      </c>
      <c r="N7" s="16">
        <v>17990632</v>
      </c>
      <c r="O7" s="20">
        <v>3940383</v>
      </c>
      <c r="P7" s="13">
        <f t="shared" si="0"/>
        <v>21931015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12</v>
      </c>
      <c r="B8" s="19">
        <v>587779</v>
      </c>
      <c r="C8" s="20">
        <v>78915</v>
      </c>
      <c r="D8" s="13">
        <v>6882396</v>
      </c>
      <c r="E8" s="16">
        <v>1182773</v>
      </c>
      <c r="F8" s="20">
        <v>3345952</v>
      </c>
      <c r="G8" s="16">
        <v>937129</v>
      </c>
      <c r="H8" s="16">
        <v>726755</v>
      </c>
      <c r="I8" s="20">
        <v>38150</v>
      </c>
      <c r="J8" s="16">
        <v>35343</v>
      </c>
      <c r="K8" s="13">
        <v>457399</v>
      </c>
      <c r="L8" s="19">
        <v>12601374</v>
      </c>
      <c r="M8" s="13">
        <v>1085659</v>
      </c>
      <c r="N8" s="16">
        <v>27959624</v>
      </c>
      <c r="O8" s="20">
        <v>4960606</v>
      </c>
      <c r="P8" s="13">
        <f t="shared" si="0"/>
        <v>32920230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13</v>
      </c>
      <c r="B9" s="19">
        <v>441072</v>
      </c>
      <c r="C9" s="20">
        <v>38960</v>
      </c>
      <c r="D9" s="13">
        <v>2934040</v>
      </c>
      <c r="E9" s="16">
        <v>1171247</v>
      </c>
      <c r="F9" s="20">
        <v>2079826</v>
      </c>
      <c r="G9" s="16">
        <v>863810</v>
      </c>
      <c r="H9" s="16">
        <v>464057</v>
      </c>
      <c r="I9" s="20">
        <v>22018</v>
      </c>
      <c r="J9" s="16">
        <v>31609</v>
      </c>
      <c r="K9" s="13">
        <v>389025</v>
      </c>
      <c r="L9" s="19">
        <v>10113884</v>
      </c>
      <c r="M9" s="13">
        <v>693706</v>
      </c>
      <c r="N9" s="16">
        <v>19243254</v>
      </c>
      <c r="O9" s="20">
        <v>4078391</v>
      </c>
      <c r="P9" s="13">
        <f>SUM(N9:O9)</f>
        <v>23321645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14</v>
      </c>
      <c r="B10" s="19">
        <v>404208</v>
      </c>
      <c r="C10" s="20">
        <v>40162</v>
      </c>
      <c r="D10" s="13">
        <v>2599679</v>
      </c>
      <c r="E10" s="16">
        <v>1202805</v>
      </c>
      <c r="F10" s="20">
        <v>2317460</v>
      </c>
      <c r="G10" s="16">
        <v>1177193</v>
      </c>
      <c r="H10" s="16">
        <v>549246</v>
      </c>
      <c r="I10" s="20">
        <v>35756</v>
      </c>
      <c r="J10" s="16">
        <v>23732</v>
      </c>
      <c r="K10" s="13">
        <v>369036</v>
      </c>
      <c r="L10" s="19">
        <v>11647956</v>
      </c>
      <c r="M10" s="13">
        <v>840433</v>
      </c>
      <c r="N10" s="16">
        <v>21207666</v>
      </c>
      <c r="O10" s="20">
        <v>5210030</v>
      </c>
      <c r="P10" s="13">
        <f>SUM(N10:O10)</f>
        <v>26417696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15</v>
      </c>
      <c r="B11" s="19">
        <v>626790</v>
      </c>
      <c r="C11" s="20">
        <v>111203</v>
      </c>
      <c r="D11" s="13">
        <v>7610201</v>
      </c>
      <c r="E11" s="16">
        <v>663287</v>
      </c>
      <c r="F11" s="20">
        <v>3447199</v>
      </c>
      <c r="G11" s="16">
        <v>744937</v>
      </c>
      <c r="H11" s="16">
        <v>699970</v>
      </c>
      <c r="I11" s="20">
        <v>16070</v>
      </c>
      <c r="J11" s="16">
        <v>26384</v>
      </c>
      <c r="K11" s="13">
        <v>543404</v>
      </c>
      <c r="L11" s="19">
        <v>15405601</v>
      </c>
      <c r="M11" s="13">
        <v>1101613</v>
      </c>
      <c r="N11" s="16">
        <v>30996659</v>
      </c>
      <c r="O11" s="20">
        <v>5588639</v>
      </c>
      <c r="P11" s="13">
        <f>SUM(N11:O11)</f>
        <v>36585298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16</v>
      </c>
      <c r="B12" s="19">
        <v>509303</v>
      </c>
      <c r="C12" s="20">
        <v>62174</v>
      </c>
      <c r="D12" s="13">
        <v>2708427</v>
      </c>
      <c r="E12" s="16">
        <v>830270</v>
      </c>
      <c r="F12" s="20">
        <v>1821067</v>
      </c>
      <c r="G12" s="16">
        <v>955216</v>
      </c>
      <c r="H12" s="16">
        <v>837650</v>
      </c>
      <c r="I12" s="20">
        <v>36477</v>
      </c>
      <c r="J12" s="16">
        <v>26556</v>
      </c>
      <c r="K12" s="13">
        <v>578551</v>
      </c>
      <c r="L12" s="19">
        <v>12660995</v>
      </c>
      <c r="M12" s="13">
        <v>1025917</v>
      </c>
      <c r="N12" s="16">
        <v>22052603</v>
      </c>
      <c r="O12" s="20">
        <v>4549396</v>
      </c>
      <c r="P12" s="13">
        <f t="shared" ref="P11:P14" si="1">SUM(N12:O12)</f>
        <v>26601999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17</v>
      </c>
      <c r="B13" s="19">
        <v>464618</v>
      </c>
      <c r="C13" s="20">
        <v>65874</v>
      </c>
      <c r="D13" s="13">
        <v>3109104</v>
      </c>
      <c r="E13" s="16">
        <v>1367461</v>
      </c>
      <c r="F13" s="20">
        <v>1904787</v>
      </c>
      <c r="G13" s="16">
        <v>1140537</v>
      </c>
      <c r="H13" s="16">
        <v>889742</v>
      </c>
      <c r="I13" s="20">
        <v>23241</v>
      </c>
      <c r="J13" s="16">
        <v>27236</v>
      </c>
      <c r="K13" s="13">
        <v>505083</v>
      </c>
      <c r="L13" s="19">
        <v>11716440</v>
      </c>
      <c r="M13" s="13">
        <v>818650</v>
      </c>
      <c r="N13" s="16">
        <v>22032773</v>
      </c>
      <c r="O13" s="20">
        <v>4237323</v>
      </c>
      <c r="P13" s="13">
        <f t="shared" si="1"/>
        <v>26270096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1" t="s">
        <v>0</v>
      </c>
      <c r="B14" s="21">
        <v>436580</v>
      </c>
      <c r="C14" s="18">
        <v>118989</v>
      </c>
      <c r="D14" s="17">
        <v>7831542</v>
      </c>
      <c r="E14" s="18">
        <v>635638</v>
      </c>
      <c r="F14" s="18">
        <v>1795503</v>
      </c>
      <c r="G14" s="18">
        <v>713353</v>
      </c>
      <c r="H14" s="18">
        <v>466475</v>
      </c>
      <c r="I14" s="18">
        <v>38503</v>
      </c>
      <c r="J14" s="18">
        <v>29654</v>
      </c>
      <c r="K14" s="17">
        <v>403009</v>
      </c>
      <c r="L14" s="21">
        <v>10721181</v>
      </c>
      <c r="M14" s="17">
        <v>803315</v>
      </c>
      <c r="N14" s="18">
        <v>23993742</v>
      </c>
      <c r="O14" s="18">
        <v>3139754</v>
      </c>
      <c r="P14" s="17">
        <f t="shared" si="0"/>
        <v>27133496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2" t="s">
        <v>31</v>
      </c>
      <c r="B15" s="23">
        <f>SUM(B3:B14)</f>
        <v>6443989</v>
      </c>
      <c r="C15" s="24">
        <f t="shared" ref="C15:O15" si="2">SUM(C3:C14)</f>
        <v>806711</v>
      </c>
      <c r="D15" s="25">
        <f t="shared" si="2"/>
        <v>53528259</v>
      </c>
      <c r="E15" s="24">
        <f t="shared" si="2"/>
        <v>11964058</v>
      </c>
      <c r="F15" s="24">
        <f t="shared" ref="F15" si="3">SUM(F3:F14)</f>
        <v>31094617</v>
      </c>
      <c r="G15" s="24">
        <f t="shared" ref="G15" si="4">SUM(G3:G14)</f>
        <v>10830546</v>
      </c>
      <c r="H15" s="24">
        <f t="shared" ref="H15" si="5">SUM(H3:H14)</f>
        <v>8501710</v>
      </c>
      <c r="I15" s="24">
        <f t="shared" ref="I15" si="6">SUM(I3:I14)</f>
        <v>343302</v>
      </c>
      <c r="J15" s="24">
        <f t="shared" ref="J15" si="7">SUM(J3:J14)</f>
        <v>361533</v>
      </c>
      <c r="K15" s="25">
        <f t="shared" ref="K15" si="8">SUM(K3:K14)</f>
        <v>5915237</v>
      </c>
      <c r="L15" s="23">
        <f t="shared" si="2"/>
        <v>136415352</v>
      </c>
      <c r="M15" s="25">
        <f t="shared" si="2"/>
        <v>10182569</v>
      </c>
      <c r="N15" s="24">
        <f t="shared" si="2"/>
        <v>276387883</v>
      </c>
      <c r="O15" s="24">
        <f t="shared" si="2"/>
        <v>52733089</v>
      </c>
      <c r="P15" s="25">
        <f t="shared" si="0"/>
        <v>329120972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2</v>
      </c>
    </row>
    <row r="18" spans="1:1" x14ac:dyDescent="0.3">
      <c r="A18" s="6" t="s">
        <v>32</v>
      </c>
    </row>
    <row r="19" spans="1:1" x14ac:dyDescent="0.3">
      <c r="A19" s="1"/>
    </row>
    <row r="20" spans="1:1" x14ac:dyDescent="0.3">
      <c r="A20" s="1"/>
    </row>
  </sheetData>
  <mergeCells count="4">
    <mergeCell ref="L1:M1"/>
    <mergeCell ref="N1:P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P3:P6 P7:P11 P12:P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2026-06-23T08:22:29Z</dcterms:modified>
</cp:coreProperties>
</file>