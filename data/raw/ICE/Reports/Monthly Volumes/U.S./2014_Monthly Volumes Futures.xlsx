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4년" sheetId="1" r:id="rId1"/>
  </sheets>
  <calcPr calcId="162913"/>
</workbook>
</file>

<file path=xl/calcChain.xml><?xml version="1.0" encoding="utf-8"?>
<calcChain xmlns="http://schemas.openxmlformats.org/spreadsheetml/2006/main">
  <c r="J15" i="1" l="1"/>
  <c r="M15" i="1"/>
  <c r="L15" i="1"/>
  <c r="D15" i="1"/>
  <c r="P14" i="1" l="1"/>
  <c r="P13" i="1"/>
  <c r="P12" i="1"/>
  <c r="P11" i="1"/>
  <c r="P10" i="1"/>
  <c r="P9" i="1"/>
  <c r="P8" i="1"/>
  <c r="P7" i="1"/>
  <c r="P6" i="1"/>
  <c r="P5" i="1"/>
  <c r="P4" i="1"/>
  <c r="P3" i="1"/>
  <c r="C15" i="1"/>
  <c r="B15" i="1"/>
  <c r="F15" i="1" l="1"/>
  <c r="O15" i="1"/>
  <c r="I15" i="1"/>
  <c r="H15" i="1"/>
  <c r="G15" i="1"/>
  <c r="K15" i="1"/>
  <c r="E15" i="1"/>
  <c r="N15" i="1"/>
  <c r="P15" i="1" l="1"/>
</calcChain>
</file>

<file path=xl/sharedStrings.xml><?xml version="1.0" encoding="utf-8"?>
<sst xmlns="http://schemas.openxmlformats.org/spreadsheetml/2006/main" count="37" uniqueCount="37">
  <si>
    <t>December</t>
  </si>
  <si>
    <t>Notes:</t>
  </si>
  <si>
    <t>Month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</si>
  <si>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</si>
  <si>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</si>
  <si>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</si>
  <si>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</si>
  <si>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</si>
  <si>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</si>
  <si>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</si>
  <si>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</si>
  <si>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</si>
  <si>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</si>
  <si>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</si>
  <si>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</si>
  <si>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</si>
  <si>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</si>
  <si>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</si>
  <si>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</si>
  <si>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</si>
  <si>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</si>
  <si>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</si>
  <si>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</si>
  <si>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</si>
  <si>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</si>
  <si>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</si>
  <si>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</si>
  <si>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Futures Energy</t>
    <phoneticPr fontId="18" type="noConversion"/>
  </si>
  <si>
    <t>Gas</t>
    <phoneticPr fontId="18" type="noConversion"/>
  </si>
  <si>
    <t>US$</t>
    <phoneticPr fontId="18" type="noConversion"/>
  </si>
  <si>
    <t>Canola**</t>
    <phoneticPr fontId="18" type="noConversion"/>
  </si>
  <si>
    <t>Power***</t>
    <phoneticPr fontId="18" type="noConversion"/>
  </si>
  <si>
    <t>EQUITY DERIVATIVES*</t>
    <phoneticPr fontId="18" type="noConversion"/>
  </si>
  <si>
    <t>Metals &amp; Grains</t>
    <phoneticPr fontId="18" type="noConversion"/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</si>
  <si>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</si>
  <si>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*Equity derivatives include Russell and MSCI Index futures and options.</t>
    <phoneticPr fontId="18" type="noConversion"/>
  </si>
  <si>
    <t>***Power contract volume is now reported using the new contract conversion methodology. Prior monthly power volumes have been adjusted for comparison purposes.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</si>
</sst>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  <xf numFmtId="177" fontId="21" fillId="0" borderId="12" xfId="0" applyNumberFormat="1" applyFont="1" applyBorder="1" applyAlignment="1">
      <alignment horizontal="center" vertical="center"/>
    </xf>
    <xf numFmtId="49" fontId="22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20.1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1" width="15.375" customWidth="1"/>
    <col min="12" max="12" width="13.25" customWidth="1"/>
    <col min="13" max="13" width="12.5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8" t="s">
        <v>4</v>
      </c>
      <c r="C1" s="29"/>
      <c r="D1" s="30"/>
      <c r="E1" s="28" t="s">
        <v>16</v>
      </c>
      <c r="F1" s="29"/>
      <c r="G1" s="29"/>
      <c r="H1" s="29"/>
      <c r="I1" s="29"/>
      <c r="J1" s="29"/>
      <c r="K1" s="30"/>
      <c r="L1" s="28" t="s">
        <v>27</v>
      </c>
      <c r="M1" s="30"/>
      <c r="N1" s="25" t="s">
        <v>22</v>
      </c>
      <c r="O1" s="27"/>
      <c r="P1" s="26"/>
    </row>
    <row r="2" spans="1:40" x14ac:dyDescent="0.3">
      <c r="A2" s="2" t="s">
        <v>2</v>
      </c>
      <c r="B2" s="11" t="s">
        <v>29</v>
      </c>
      <c r="C2" s="8" t="s">
        <v>3</v>
      </c>
      <c r="D2" s="4" t="s">
        <v>32</v>
      </c>
      <c r="E2" s="2" t="s">
        <v>17</v>
      </c>
      <c r="F2" s="9" t="s">
        <v>18</v>
      </c>
      <c r="G2" s="7" t="s">
        <v>19</v>
      </c>
      <c r="H2" s="2" t="s">
        <v>20</v>
      </c>
      <c r="I2" s="7" t="s">
        <v>21</v>
      </c>
      <c r="J2" s="7" t="s">
        <v>33</v>
      </c>
      <c r="K2" s="4" t="s">
        <v>30</v>
      </c>
      <c r="L2" s="9" t="s">
        <v>28</v>
      </c>
      <c r="M2" s="4" t="s">
        <v>31</v>
      </c>
      <c r="N2" s="2" t="s">
        <v>23</v>
      </c>
      <c r="O2" s="7" t="s">
        <v>24</v>
      </c>
      <c r="P2" s="4" t="s">
        <v>25</v>
      </c>
    </row>
    <row r="3" spans="1:40" ht="15" customHeight="1" x14ac:dyDescent="0.3">
      <c r="A3" s="1" t="s">
        <v>5</v>
      </c>
      <c r="B3" s="13">
        <v>499259</v>
      </c>
      <c r="C3" s="14">
        <v>49999</v>
      </c>
      <c r="D3" s="12">
        <v>2372947</v>
      </c>
      <c r="E3" s="15">
        <v>567574</v>
      </c>
      <c r="F3" s="19">
        <v>2466923</v>
      </c>
      <c r="G3" s="15">
        <v>571906</v>
      </c>
      <c r="H3" s="15">
        <v>544180</v>
      </c>
      <c r="I3" s="19">
        <v>27695</v>
      </c>
      <c r="J3" s="19">
        <v>118</v>
      </c>
      <c r="K3" s="12">
        <v>536669</v>
      </c>
      <c r="L3" s="19">
        <v>23647051</v>
      </c>
      <c r="M3" s="12">
        <v>2557702</v>
      </c>
      <c r="N3" s="15">
        <v>33305354</v>
      </c>
      <c r="O3" s="19">
        <v>6185553</v>
      </c>
      <c r="P3" s="12">
        <f>SUM(N3:O3)</f>
        <v>39490907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6</v>
      </c>
      <c r="B4" s="18">
        <v>389980</v>
      </c>
      <c r="C4" s="19">
        <v>44017</v>
      </c>
      <c r="D4" s="12">
        <v>2466845</v>
      </c>
      <c r="E4" s="15">
        <v>1140881</v>
      </c>
      <c r="F4" s="19">
        <v>4166755</v>
      </c>
      <c r="G4" s="15">
        <v>588461</v>
      </c>
      <c r="H4" s="15">
        <v>602542</v>
      </c>
      <c r="I4" s="19">
        <v>39560</v>
      </c>
      <c r="J4" s="19">
        <v>210</v>
      </c>
      <c r="K4" s="12">
        <v>570465</v>
      </c>
      <c r="L4" s="19">
        <v>20248231</v>
      </c>
      <c r="M4" s="12">
        <v>2400485</v>
      </c>
      <c r="N4" s="15">
        <v>32087967</v>
      </c>
      <c r="O4" s="19">
        <v>5219904</v>
      </c>
      <c r="P4" s="12">
        <f t="shared" ref="P4:P15" si="0">SUM(N4:O4)</f>
        <v>37307871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7</v>
      </c>
      <c r="B5" s="18">
        <v>569225</v>
      </c>
      <c r="C5" s="19">
        <v>80400</v>
      </c>
      <c r="D5" s="12">
        <v>3650512</v>
      </c>
      <c r="E5" s="15">
        <v>596963</v>
      </c>
      <c r="F5" s="19">
        <v>2488600</v>
      </c>
      <c r="G5" s="15">
        <v>453219</v>
      </c>
      <c r="H5" s="15">
        <v>446810</v>
      </c>
      <c r="I5" s="19">
        <v>29605</v>
      </c>
      <c r="J5" s="19">
        <v>110</v>
      </c>
      <c r="K5" s="12">
        <v>454015</v>
      </c>
      <c r="L5" s="19">
        <v>12917424</v>
      </c>
      <c r="M5" s="12">
        <v>2545843</v>
      </c>
      <c r="N5" s="15">
        <v>23778711</v>
      </c>
      <c r="O5" s="19">
        <v>3100988</v>
      </c>
      <c r="P5" s="12">
        <f t="shared" si="0"/>
        <v>26879699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8</v>
      </c>
      <c r="B6" s="18">
        <v>322310</v>
      </c>
      <c r="C6" s="19">
        <v>41540</v>
      </c>
      <c r="D6" s="12">
        <v>2888419</v>
      </c>
      <c r="E6" s="15">
        <v>736494</v>
      </c>
      <c r="F6" s="19">
        <v>2870254</v>
      </c>
      <c r="G6" s="15">
        <v>593071</v>
      </c>
      <c r="H6" s="15">
        <v>568063</v>
      </c>
      <c r="I6" s="19">
        <v>51337</v>
      </c>
      <c r="J6" s="19">
        <v>79</v>
      </c>
      <c r="K6" s="12">
        <v>552959</v>
      </c>
      <c r="L6" s="19">
        <v>11975860</v>
      </c>
      <c r="M6" s="12">
        <v>2478138</v>
      </c>
      <c r="N6" s="15">
        <v>22525565</v>
      </c>
      <c r="O6" s="19">
        <v>2569058</v>
      </c>
      <c r="P6" s="12">
        <f t="shared" si="0"/>
        <v>25094623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9</v>
      </c>
      <c r="B7" s="18">
        <v>362682</v>
      </c>
      <c r="C7" s="19">
        <v>54096</v>
      </c>
      <c r="D7" s="12">
        <v>2960021</v>
      </c>
      <c r="E7" s="15">
        <v>458676</v>
      </c>
      <c r="F7" s="19">
        <v>1912215</v>
      </c>
      <c r="G7" s="15">
        <v>454372</v>
      </c>
      <c r="H7" s="15">
        <v>399736</v>
      </c>
      <c r="I7" s="19">
        <v>24033</v>
      </c>
      <c r="J7" s="19">
        <v>31</v>
      </c>
      <c r="K7" s="12">
        <v>369170</v>
      </c>
      <c r="L7" s="19">
        <v>12250867</v>
      </c>
      <c r="M7" s="12">
        <v>2646602</v>
      </c>
      <c r="N7" s="15">
        <v>21523331</v>
      </c>
      <c r="O7" s="19">
        <v>2698503</v>
      </c>
      <c r="P7" s="12">
        <f t="shared" si="0"/>
        <v>24221834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10</v>
      </c>
      <c r="B8" s="18">
        <v>527502</v>
      </c>
      <c r="C8" s="19">
        <v>133878</v>
      </c>
      <c r="D8" s="12">
        <v>3065117</v>
      </c>
      <c r="E8" s="15">
        <v>596745</v>
      </c>
      <c r="F8" s="19">
        <v>3376181</v>
      </c>
      <c r="G8" s="15">
        <v>625401</v>
      </c>
      <c r="H8" s="15">
        <v>611785</v>
      </c>
      <c r="I8" s="19">
        <v>51811</v>
      </c>
      <c r="J8" s="19">
        <v>1657</v>
      </c>
      <c r="K8" s="12">
        <v>424087</v>
      </c>
      <c r="L8" s="19">
        <v>12777104</v>
      </c>
      <c r="M8" s="12">
        <v>1774783</v>
      </c>
      <c r="N8" s="15">
        <v>23541964</v>
      </c>
      <c r="O8" s="19">
        <v>2866446</v>
      </c>
      <c r="P8" s="12">
        <f t="shared" si="0"/>
        <v>26408410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11</v>
      </c>
      <c r="B9" s="18">
        <v>392546</v>
      </c>
      <c r="C9" s="19">
        <v>55513</v>
      </c>
      <c r="D9" s="12">
        <v>3223469</v>
      </c>
      <c r="E9" s="15">
        <v>404407</v>
      </c>
      <c r="F9" s="19">
        <v>1988434</v>
      </c>
      <c r="G9" s="15">
        <v>551959</v>
      </c>
      <c r="H9" s="15">
        <v>362461</v>
      </c>
      <c r="I9" s="19">
        <v>21141</v>
      </c>
      <c r="J9" s="19">
        <v>48511</v>
      </c>
      <c r="K9" s="12">
        <v>331748</v>
      </c>
      <c r="L9" s="19">
        <v>12435666</v>
      </c>
      <c r="M9" s="12">
        <v>1893902</v>
      </c>
      <c r="N9" s="15">
        <v>21378009</v>
      </c>
      <c r="O9" s="19">
        <v>3607752</v>
      </c>
      <c r="P9" s="12">
        <f>SUM(N9:O9)</f>
        <v>24985761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12</v>
      </c>
      <c r="B10" s="18">
        <v>445473</v>
      </c>
      <c r="C10" s="19">
        <v>70293</v>
      </c>
      <c r="D10" s="12">
        <v>3047094</v>
      </c>
      <c r="E10" s="15">
        <v>619641</v>
      </c>
      <c r="F10" s="19">
        <v>1857929</v>
      </c>
      <c r="G10" s="15">
        <v>541132</v>
      </c>
      <c r="H10" s="15">
        <v>338548</v>
      </c>
      <c r="I10" s="19">
        <v>36438</v>
      </c>
      <c r="J10" s="19">
        <v>48772</v>
      </c>
      <c r="K10" s="12">
        <v>298308</v>
      </c>
      <c r="L10" s="19">
        <v>11865324</v>
      </c>
      <c r="M10" s="12">
        <v>1580875</v>
      </c>
      <c r="N10" s="15">
        <v>20451519</v>
      </c>
      <c r="O10" s="19">
        <v>2844247</v>
      </c>
      <c r="P10" s="12">
        <f t="shared" ref="P10:P14" si="1">SUM(N10:O10)</f>
        <v>23295766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13</v>
      </c>
      <c r="B11" s="18">
        <v>893250</v>
      </c>
      <c r="C11" s="19">
        <v>160651</v>
      </c>
      <c r="D11" s="12">
        <v>5772131</v>
      </c>
      <c r="E11" s="15">
        <v>394952</v>
      </c>
      <c r="F11" s="19">
        <v>3664731</v>
      </c>
      <c r="G11" s="15">
        <v>478549</v>
      </c>
      <c r="H11" s="15">
        <v>460119</v>
      </c>
      <c r="I11" s="19">
        <v>18068</v>
      </c>
      <c r="J11" s="19">
        <v>47569</v>
      </c>
      <c r="K11" s="12">
        <v>486457</v>
      </c>
      <c r="L11" s="19">
        <v>13379214</v>
      </c>
      <c r="M11" s="12">
        <v>2277513</v>
      </c>
      <c r="N11" s="15">
        <v>27546747</v>
      </c>
      <c r="O11" s="19">
        <v>4890358</v>
      </c>
      <c r="P11" s="12">
        <f t="shared" si="1"/>
        <v>32437105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14</v>
      </c>
      <c r="B12" s="18">
        <v>950756</v>
      </c>
      <c r="C12" s="19">
        <v>67625</v>
      </c>
      <c r="D12" s="12">
        <v>5167840</v>
      </c>
      <c r="E12" s="15">
        <v>583259</v>
      </c>
      <c r="F12" s="19">
        <v>1660299</v>
      </c>
      <c r="G12" s="15">
        <v>617492</v>
      </c>
      <c r="H12" s="15">
        <v>477742</v>
      </c>
      <c r="I12" s="19">
        <v>35974</v>
      </c>
      <c r="J12" s="19">
        <v>47706</v>
      </c>
      <c r="K12" s="12">
        <v>615158</v>
      </c>
      <c r="L12" s="19">
        <v>16054941</v>
      </c>
      <c r="M12" s="12">
        <v>2311968</v>
      </c>
      <c r="N12" s="15">
        <v>27975602</v>
      </c>
      <c r="O12" s="19">
        <v>5435891</v>
      </c>
      <c r="P12" s="12">
        <f t="shared" si="1"/>
        <v>33411493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15</v>
      </c>
      <c r="B13" s="18">
        <v>736023</v>
      </c>
      <c r="C13" s="19">
        <v>57622</v>
      </c>
      <c r="D13" s="12">
        <v>2289876</v>
      </c>
      <c r="E13" s="15">
        <v>610793</v>
      </c>
      <c r="F13" s="19">
        <v>1577317</v>
      </c>
      <c r="G13" s="15">
        <v>508452</v>
      </c>
      <c r="H13" s="15">
        <v>625593</v>
      </c>
      <c r="I13" s="19">
        <v>27182</v>
      </c>
      <c r="J13" s="19">
        <v>66696</v>
      </c>
      <c r="K13" s="12">
        <v>346000</v>
      </c>
      <c r="L13" s="19">
        <v>18413717</v>
      </c>
      <c r="M13" s="12">
        <v>1932311</v>
      </c>
      <c r="N13" s="15">
        <v>26845582</v>
      </c>
      <c r="O13" s="19">
        <v>5809000</v>
      </c>
      <c r="P13" s="12">
        <f t="shared" si="1"/>
        <v>32654582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0" t="s">
        <v>0</v>
      </c>
      <c r="B14" s="20">
        <v>1023144</v>
      </c>
      <c r="C14" s="17">
        <v>133339</v>
      </c>
      <c r="D14" s="16">
        <v>5608913</v>
      </c>
      <c r="E14" s="17">
        <v>341845</v>
      </c>
      <c r="F14" s="17">
        <v>1453220</v>
      </c>
      <c r="G14" s="17">
        <v>331778</v>
      </c>
      <c r="H14" s="17">
        <v>350304</v>
      </c>
      <c r="I14" s="17">
        <v>35685</v>
      </c>
      <c r="J14" s="17">
        <v>48321</v>
      </c>
      <c r="K14" s="16">
        <v>568886</v>
      </c>
      <c r="L14" s="17">
        <v>15247789</v>
      </c>
      <c r="M14" s="16">
        <v>2442235</v>
      </c>
      <c r="N14" s="17">
        <v>27016573</v>
      </c>
      <c r="O14" s="17">
        <v>4918783</v>
      </c>
      <c r="P14" s="16">
        <f t="shared" si="1"/>
        <v>31935356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1" t="s">
        <v>26</v>
      </c>
      <c r="B15" s="22">
        <f>SUM(B3:B14)</f>
        <v>7112150</v>
      </c>
      <c r="C15" s="23">
        <f t="shared" ref="C15:O15" si="2">SUM(C3:C14)</f>
        <v>948973</v>
      </c>
      <c r="D15" s="31">
        <f t="shared" si="2"/>
        <v>42513184</v>
      </c>
      <c r="E15" s="23">
        <f t="shared" si="2"/>
        <v>7052230</v>
      </c>
      <c r="F15" s="23">
        <f t="shared" ref="F15" si="3">SUM(F3:F14)</f>
        <v>29482858</v>
      </c>
      <c r="G15" s="23">
        <f t="shared" ref="G15" si="4">SUM(G3:G14)</f>
        <v>6315792</v>
      </c>
      <c r="H15" s="23">
        <f t="shared" ref="H15" si="5">SUM(H3:H14)</f>
        <v>5787883</v>
      </c>
      <c r="I15" s="23">
        <f t="shared" ref="I15:J15" si="6">SUM(I3:I14)</f>
        <v>398529</v>
      </c>
      <c r="J15" s="23">
        <f t="shared" si="6"/>
        <v>309780</v>
      </c>
      <c r="K15" s="24">
        <f t="shared" ref="K15:M15" si="7">SUM(K3:K14)</f>
        <v>5553922</v>
      </c>
      <c r="L15" s="23">
        <f t="shared" si="7"/>
        <v>181213188</v>
      </c>
      <c r="M15" s="24">
        <f t="shared" si="7"/>
        <v>26842357</v>
      </c>
      <c r="N15" s="23">
        <f t="shared" si="2"/>
        <v>307976924</v>
      </c>
      <c r="O15" s="23">
        <f t="shared" si="2"/>
        <v>50146483</v>
      </c>
      <c r="P15" s="24">
        <f t="shared" si="0"/>
        <v>358123407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35</v>
      </c>
    </row>
    <row r="18" spans="1:1" x14ac:dyDescent="0.3">
      <c r="A18" s="5" t="s">
        <v>34</v>
      </c>
    </row>
    <row r="19" spans="1:1" x14ac:dyDescent="0.3">
      <c r="A19" s="32" t="s">
        <v>36</v>
      </c>
    </row>
    <row r="20" spans="1:1" x14ac:dyDescent="0.3">
      <c r="A20" s="1"/>
    </row>
  </sheetData>
  <mergeCells count="4">
    <mergeCell ref="N1:P1"/>
    <mergeCell ref="B1:D1"/>
    <mergeCell ref="E1:K1"/>
    <mergeCell ref="L1:M1"/>
  </mergeCells>
  <phoneticPr fontId="18" type="noConversion"/>
  <pageMargins left="0.7" right="0.7" top="0.75" bottom="0.75" header="0.3" footer="0.3"/>
  <pageSetup paperSize="9" orientation="portrait" r:id="rId1"/>
  <ignoredErrors>
    <ignoredError sqref="P3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2026-07-16T07:13:22Z</dcterms:modified>
</cp:coreProperties>
</file>