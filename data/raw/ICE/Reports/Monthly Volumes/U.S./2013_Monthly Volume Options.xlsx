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3년" sheetId="1" r:id="rId1"/>
  </sheets>
  <calcPr calcId="162913"/>
</workbook>
</file>

<file path=xl/calcChain.xml><?xml version="1.0" encoding="utf-8"?>
<calcChain xmlns="http://schemas.openxmlformats.org/spreadsheetml/2006/main">
  <c r="O5" i="1" l="1"/>
  <c r="O14" i="1" l="1"/>
  <c r="O13" i="1"/>
  <c r="O12" i="1"/>
  <c r="O11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<sst xmlns="http://schemas.openxmlformats.org/spreadsheetml/2006/main" count="34" uniqueCount="34">
  <si>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</si>
  <si>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</si>
  <si>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</si>
  <si>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</si>
  <si>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</si>
  <si>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</si>
  <si>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</si>
  <si>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</si>
  <si>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</si>
  <si>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</si>
  <si>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</si>
  <si>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</si>
  <si>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</si>
  <si>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</si>
  <si>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</si>
  <si>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</si>
  <si>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</si>
  <si>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</si>
  <si>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</si>
  <si>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</si>
  <si>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Monthly Totals</t>
  </si>
  <si>
    <t>Overall</t>
  </si>
  <si>
    <t>Yearly Total</t>
    <phoneticPr fontId="18" type="noConversion"/>
  </si>
  <si>
    <t>CURRENCIES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</si>
  <si>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</si>
  <si>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</si>
  <si>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</si>
  <si>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</si>
  <si>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</si>
  <si>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Gas &amp; Power**</t>
    <phoneticPr fontId="18" type="noConversion"/>
  </si>
  <si>
    <t>Canola*</t>
    <phoneticPr fontId="18" type="noConversion"/>
  </si>
  <si>
    <t>Grains</t>
    <phoneticPr fontId="18" type="noConversion"/>
  </si>
  <si>
    <t>RUSSELL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</si>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</sst>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0.75" customWidth="1"/>
    <col min="3" max="3" width="11.375" customWidth="1"/>
    <col min="4" max="4" width="16.6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9.875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24</v>
      </c>
      <c r="C1" s="34"/>
      <c r="D1" s="35"/>
      <c r="E1" s="33" t="s">
        <v>25</v>
      </c>
      <c r="F1" s="34"/>
      <c r="G1" s="34"/>
      <c r="H1" s="34"/>
      <c r="I1" s="34"/>
      <c r="J1" s="34"/>
      <c r="K1" s="35"/>
      <c r="L1" s="21" t="s">
        <v>26</v>
      </c>
      <c r="M1" s="30" t="s">
        <v>20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32</v>
      </c>
      <c r="D2" s="8" t="s">
        <v>23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31</v>
      </c>
      <c r="K2" s="4" t="s">
        <v>30</v>
      </c>
      <c r="L2" s="26" t="s">
        <v>29</v>
      </c>
      <c r="M2" s="2" t="s">
        <v>28</v>
      </c>
      <c r="N2" s="6" t="s">
        <v>27</v>
      </c>
      <c r="O2" s="4" t="s">
        <v>21</v>
      </c>
    </row>
    <row r="3" spans="1:39" ht="15" customHeight="1" x14ac:dyDescent="0.3">
      <c r="A3" s="1" t="s">
        <v>4</v>
      </c>
      <c r="B3" s="13">
        <v>994</v>
      </c>
      <c r="C3" s="14">
        <v>3386</v>
      </c>
      <c r="D3" s="12">
        <v>0</v>
      </c>
      <c r="E3" s="15">
        <v>226116</v>
      </c>
      <c r="F3" s="19">
        <v>386727</v>
      </c>
      <c r="G3" s="15">
        <v>49448</v>
      </c>
      <c r="H3" s="15">
        <v>281514</v>
      </c>
      <c r="I3" s="19">
        <v>13477</v>
      </c>
      <c r="J3" s="15">
        <v>250</v>
      </c>
      <c r="K3" s="12">
        <v>13726</v>
      </c>
      <c r="L3" s="27">
        <v>5721683</v>
      </c>
      <c r="M3" s="15">
        <v>6683595</v>
      </c>
      <c r="N3" s="19">
        <v>30671672</v>
      </c>
      <c r="O3" s="12">
        <f>SUM(M3:N3)</f>
        <v>37355267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3420</v>
      </c>
      <c r="C4" s="19">
        <v>7173</v>
      </c>
      <c r="D4" s="12">
        <v>0</v>
      </c>
      <c r="E4" s="15">
        <v>152209</v>
      </c>
      <c r="F4" s="19">
        <v>339855</v>
      </c>
      <c r="G4" s="15">
        <v>48982</v>
      </c>
      <c r="H4" s="15">
        <v>230815</v>
      </c>
      <c r="I4" s="19">
        <v>14089</v>
      </c>
      <c r="J4" s="15">
        <v>0</v>
      </c>
      <c r="K4" s="12">
        <v>12091</v>
      </c>
      <c r="L4" s="27">
        <v>3101517</v>
      </c>
      <c r="M4" s="15">
        <v>3898060</v>
      </c>
      <c r="N4" s="19">
        <v>28566981</v>
      </c>
      <c r="O4" s="12">
        <f t="shared" ref="O4:O15" si="0">SUM(M4:N4)</f>
        <v>32465041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2053</v>
      </c>
      <c r="C5" s="19">
        <v>7830</v>
      </c>
      <c r="D5" s="12">
        <v>0</v>
      </c>
      <c r="E5" s="15">
        <v>161595</v>
      </c>
      <c r="F5" s="19">
        <v>279081</v>
      </c>
      <c r="G5" s="15">
        <v>43734</v>
      </c>
      <c r="H5" s="15">
        <v>319913</v>
      </c>
      <c r="I5" s="19">
        <v>10668</v>
      </c>
      <c r="J5" s="15">
        <v>0</v>
      </c>
      <c r="K5" s="12">
        <v>6911</v>
      </c>
      <c r="L5" s="27">
        <v>6715242</v>
      </c>
      <c r="M5" s="15">
        <v>7540116</v>
      </c>
      <c r="N5" s="19">
        <v>34986725</v>
      </c>
      <c r="O5" s="12">
        <f t="shared" si="0"/>
        <v>42526841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2043</v>
      </c>
      <c r="C6" s="19">
        <v>6852</v>
      </c>
      <c r="D6" s="12">
        <v>0</v>
      </c>
      <c r="E6" s="15">
        <v>162828</v>
      </c>
      <c r="F6" s="19">
        <v>345124</v>
      </c>
      <c r="G6" s="15">
        <v>39725</v>
      </c>
      <c r="H6" s="15">
        <v>215942</v>
      </c>
      <c r="I6" s="19">
        <v>10091</v>
      </c>
      <c r="J6" s="15">
        <v>0</v>
      </c>
      <c r="K6" s="12">
        <v>19239</v>
      </c>
      <c r="L6" s="27">
        <v>5934074</v>
      </c>
      <c r="M6" s="15">
        <v>6716679</v>
      </c>
      <c r="N6" s="19">
        <v>38650636</v>
      </c>
      <c r="O6" s="12">
        <f t="shared" si="0"/>
        <v>45367315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2487</v>
      </c>
      <c r="C7" s="19">
        <v>7103</v>
      </c>
      <c r="D7" s="12">
        <v>0</v>
      </c>
      <c r="E7" s="15">
        <v>222456</v>
      </c>
      <c r="F7" s="19">
        <v>428466</v>
      </c>
      <c r="G7" s="15">
        <v>52335</v>
      </c>
      <c r="H7" s="15">
        <v>206049</v>
      </c>
      <c r="I7" s="19">
        <v>6664</v>
      </c>
      <c r="J7" s="15">
        <v>0</v>
      </c>
      <c r="K7" s="12">
        <v>30944</v>
      </c>
      <c r="L7" s="27">
        <v>5927332</v>
      </c>
      <c r="M7" s="15">
        <v>6852892</v>
      </c>
      <c r="N7" s="19">
        <v>30695100</v>
      </c>
      <c r="O7" s="12">
        <f t="shared" si="0"/>
        <v>37547992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3542</v>
      </c>
      <c r="C8" s="19">
        <v>3835</v>
      </c>
      <c r="D8" s="12">
        <v>0</v>
      </c>
      <c r="E8" s="15">
        <v>151215</v>
      </c>
      <c r="F8" s="19">
        <v>399105</v>
      </c>
      <c r="G8" s="15">
        <v>51915</v>
      </c>
      <c r="H8" s="15">
        <v>224944</v>
      </c>
      <c r="I8" s="19">
        <v>13135</v>
      </c>
      <c r="J8" s="15">
        <v>0</v>
      </c>
      <c r="K8" s="12">
        <v>17395</v>
      </c>
      <c r="L8" s="27">
        <v>4773119</v>
      </c>
      <c r="M8" s="15">
        <v>5620810</v>
      </c>
      <c r="N8" s="19">
        <v>30515408</v>
      </c>
      <c r="O8" s="12">
        <f t="shared" si="0"/>
        <v>36136218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4016</v>
      </c>
      <c r="C9" s="19">
        <v>4795</v>
      </c>
      <c r="D9" s="12">
        <v>0</v>
      </c>
      <c r="E9" s="15">
        <v>170401</v>
      </c>
      <c r="F9" s="19">
        <v>414045</v>
      </c>
      <c r="G9" s="15">
        <v>69289</v>
      </c>
      <c r="H9" s="15">
        <v>122800</v>
      </c>
      <c r="I9" s="19">
        <v>9573</v>
      </c>
      <c r="J9" s="15">
        <v>200</v>
      </c>
      <c r="K9" s="12">
        <v>16612</v>
      </c>
      <c r="L9" s="27">
        <v>4024319</v>
      </c>
      <c r="M9" s="15">
        <v>4819438</v>
      </c>
      <c r="N9" s="19">
        <v>25049744</v>
      </c>
      <c r="O9" s="12">
        <f>SUM(M9:N9)</f>
        <v>29869182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3643</v>
      </c>
      <c r="C10" s="19">
        <v>3983</v>
      </c>
      <c r="D10" s="12">
        <v>0</v>
      </c>
      <c r="E10" s="15">
        <v>115809</v>
      </c>
      <c r="F10" s="19">
        <v>400077</v>
      </c>
      <c r="G10" s="15">
        <v>71416</v>
      </c>
      <c r="H10" s="15">
        <v>264356</v>
      </c>
      <c r="I10" s="19">
        <v>10453</v>
      </c>
      <c r="J10" s="15">
        <v>0</v>
      </c>
      <c r="K10" s="12">
        <v>15493</v>
      </c>
      <c r="L10" s="27">
        <v>3961434</v>
      </c>
      <c r="M10" s="15">
        <v>4831171</v>
      </c>
      <c r="N10" s="19">
        <v>25555743</v>
      </c>
      <c r="O10" s="12">
        <f t="shared" ref="O10:O14" si="1">SUM(M10:N10)</f>
        <v>30386914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3761</v>
      </c>
      <c r="C11" s="19">
        <v>4216</v>
      </c>
      <c r="D11" s="12">
        <v>0</v>
      </c>
      <c r="E11" s="15">
        <v>80490</v>
      </c>
      <c r="F11" s="19">
        <v>542770</v>
      </c>
      <c r="G11" s="15">
        <v>70446</v>
      </c>
      <c r="H11" s="15">
        <v>106831</v>
      </c>
      <c r="I11" s="19">
        <v>8740</v>
      </c>
      <c r="J11" s="15">
        <v>0</v>
      </c>
      <c r="K11" s="12">
        <v>20613</v>
      </c>
      <c r="L11" s="27">
        <v>2436426</v>
      </c>
      <c r="M11" s="15">
        <v>3253680</v>
      </c>
      <c r="N11" s="19">
        <v>27523264</v>
      </c>
      <c r="O11" s="12">
        <f t="shared" si="1"/>
        <v>30776944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6617</v>
      </c>
      <c r="C12" s="19">
        <v>5140</v>
      </c>
      <c r="D12" s="12">
        <v>0</v>
      </c>
      <c r="E12" s="15">
        <v>96880</v>
      </c>
      <c r="F12" s="19">
        <v>695581</v>
      </c>
      <c r="G12" s="15">
        <v>98994</v>
      </c>
      <c r="H12" s="15">
        <v>261024</v>
      </c>
      <c r="I12" s="19">
        <v>11570</v>
      </c>
      <c r="J12" s="15">
        <v>0</v>
      </c>
      <c r="K12" s="12">
        <v>14587</v>
      </c>
      <c r="L12" s="27">
        <v>3470451</v>
      </c>
      <c r="M12" s="15">
        <v>4646257</v>
      </c>
      <c r="N12" s="19">
        <v>29776489</v>
      </c>
      <c r="O12" s="12">
        <f t="shared" si="1"/>
        <v>34422746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6138</v>
      </c>
      <c r="C13" s="19">
        <v>4924</v>
      </c>
      <c r="D13" s="12">
        <v>0</v>
      </c>
      <c r="E13" s="15">
        <v>83144</v>
      </c>
      <c r="F13" s="19">
        <v>380790</v>
      </c>
      <c r="G13" s="15">
        <v>65925</v>
      </c>
      <c r="H13" s="15">
        <v>115451</v>
      </c>
      <c r="I13" s="19">
        <v>8821</v>
      </c>
      <c r="J13" s="15">
        <v>0</v>
      </c>
      <c r="K13" s="12">
        <v>11969</v>
      </c>
      <c r="L13" s="27">
        <v>3555623</v>
      </c>
      <c r="M13" s="15">
        <v>4220816</v>
      </c>
      <c r="N13" s="19">
        <v>25785086</v>
      </c>
      <c r="O13" s="12">
        <f t="shared" si="1"/>
        <v>30005902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3201</v>
      </c>
      <c r="C14" s="17">
        <v>5895</v>
      </c>
      <c r="D14" s="16">
        <v>0</v>
      </c>
      <c r="E14" s="17">
        <v>90827</v>
      </c>
      <c r="F14" s="17">
        <v>394769</v>
      </c>
      <c r="G14" s="17">
        <v>70920</v>
      </c>
      <c r="H14" s="17">
        <v>108607</v>
      </c>
      <c r="I14" s="17">
        <v>12879</v>
      </c>
      <c r="J14" s="17">
        <v>0</v>
      </c>
      <c r="K14" s="16">
        <v>16948</v>
      </c>
      <c r="L14" s="28">
        <v>4888658</v>
      </c>
      <c r="M14" s="17">
        <v>5575756</v>
      </c>
      <c r="N14" s="17">
        <v>31203595</v>
      </c>
      <c r="O14" s="16">
        <f t="shared" si="1"/>
        <v>36779351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22</v>
      </c>
      <c r="B15" s="23">
        <f>SUM(B3:B14)</f>
        <v>41915</v>
      </c>
      <c r="C15" s="24">
        <f t="shared" ref="C15:N15" si="2">SUM(C3:C14)</f>
        <v>65132</v>
      </c>
      <c r="D15" s="25">
        <f t="shared" si="2"/>
        <v>0</v>
      </c>
      <c r="E15" s="24">
        <f t="shared" si="2"/>
        <v>1713970</v>
      </c>
      <c r="F15" s="24">
        <f t="shared" ref="F15" si="3">SUM(F3:F14)</f>
        <v>5006390</v>
      </c>
      <c r="G15" s="24">
        <f t="shared" ref="G15" si="4">SUM(G3:G14)</f>
        <v>733129</v>
      </c>
      <c r="H15" s="24">
        <f t="shared" ref="H15" si="5">SUM(H3:H14)</f>
        <v>2458246</v>
      </c>
      <c r="I15" s="24">
        <f t="shared" ref="I15" si="6">SUM(I3:I14)</f>
        <v>130160</v>
      </c>
      <c r="J15" s="24">
        <f t="shared" ref="J15" si="7">SUM(J3:J14)</f>
        <v>450</v>
      </c>
      <c r="K15" s="25">
        <f t="shared" ref="K15" si="8">SUM(K3:K14)</f>
        <v>196528</v>
      </c>
      <c r="L15" s="29">
        <f t="shared" si="2"/>
        <v>54509878</v>
      </c>
      <c r="M15" s="24">
        <f t="shared" si="2"/>
        <v>64659270</v>
      </c>
      <c r="N15" s="24">
        <f t="shared" si="2"/>
        <v>358980443</v>
      </c>
      <c r="O15" s="25">
        <f t="shared" si="0"/>
        <v>423639713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33</v>
      </c>
    </row>
    <row r="18" spans="1:1" x14ac:dyDescent="0.3">
      <c r="A18" s="1"/>
    </row>
    <row r="19" spans="1:1" x14ac:dyDescent="0.3">
      <c r="A19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2026-07-16T07:56:23Z</dcterms:modified>
</cp:coreProperties>
</file>