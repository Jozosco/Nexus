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Historical Monthly Volume\Options\"/>
    </mc:Choice>
  </mc:AlternateContent>
  <bookViews>
    <workbookView xWindow="0" yWindow="0" windowWidth="25125" windowHeight="11640"/>
  </bookViews>
  <sheets>
    <sheet name="2017년" sheetId="1" r:id="rId1"/>
  </sheets>
  <calcPr calcId="162913"/>
</workbook>
</file>

<file path=xl/calcChain.xml><?xml version="1.0" encoding="utf-8"?>
<calcChain xmlns="http://schemas.openxmlformats.org/spreadsheetml/2006/main">
  <c r="O5" i="1" l="1"/>
  <c r="O14" i="1" l="1"/>
  <c r="O13" i="1"/>
  <c r="O12" i="1"/>
  <c r="O11" i="1"/>
  <c r="O10" i="1"/>
  <c r="O9" i="1"/>
  <c r="O8" i="1"/>
  <c r="O7" i="1"/>
  <c r="O6" i="1"/>
  <c r="O4" i="1"/>
  <c r="O3" i="1"/>
  <c r="C15" i="1"/>
  <c r="B15" i="1"/>
  <c r="D15" i="1" l="1"/>
  <c r="J15" i="1" l="1"/>
  <c r="F15" i="1"/>
  <c r="N15" i="1"/>
  <c r="I15" i="1"/>
  <c r="H15" i="1"/>
  <c r="G15" i="1"/>
  <c r="L15" i="1"/>
  <c r="K15" i="1"/>
  <c r="E15" i="1"/>
  <c r="M15" i="1"/>
  <c r="O15" i="1" l="1"/>
</calcChain>
</file>

<file path=xl/sharedStrings.xml><?xml version="1.0" encoding="utf-8"?>
<sst xmlns="http://schemas.openxmlformats.org/spreadsheetml/2006/main" count="36" uniqueCount="36">
  <si>
    <t>December</t>
  </si>
  <si>
    <t>Notes:</t>
  </si>
  <si>
    <t>**This report has been retroactively adjusted to include Canola volumes traded on ICE Futures Canada from 2006 - July 30, 2018. On July 30, 2018, we transitioned the trading of Canola contracts from ICE Futures Canada to ICE Futures U.S., after which ICE Futures Canada ceased operations.</t>
  </si>
  <si>
    <t>Month</t>
    <phoneticPr fontId="18" type="noConversion"/>
  </si>
  <si>
    <t>US$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</si>
  <si>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</si>
  <si>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</si>
  <si>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</si>
  <si>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</si>
  <si>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</si>
  <si>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</si>
  <si>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</si>
  <si>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</si>
  <si>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</si>
  <si>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</si>
  <si>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</si>
  <si>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Coffee</t>
  </si>
  <si>
    <t>Sugar</t>
  </si>
  <si>
    <t>Cocoa</t>
  </si>
  <si>
    <t>Cotton</t>
  </si>
  <si>
    <t>FCOJ</t>
  </si>
  <si>
    <t>Metals &amp; Grains</t>
  </si>
  <si>
    <t>Canola**</t>
  </si>
  <si>
    <t>Monthly Totals</t>
  </si>
  <si>
    <t>Overall</t>
  </si>
  <si>
    <t>Yearly Total</t>
    <phoneticPr fontId="18" type="noConversion"/>
  </si>
  <si>
    <t>*Equity derivatives include Russell and MSCI Index futures and options</t>
  </si>
  <si>
    <t>***Power contract volume is now reported using the new contract conversion methodology. Prior monthly power volumes have been adjusted for comparison purposes.</t>
  </si>
  <si>
    <t>CURRENCIES</t>
    <phoneticPr fontId="18" type="noConversion"/>
  </si>
  <si>
    <t>EQUITY DERIVATIVES*</t>
    <phoneticPr fontId="18" type="noConversion"/>
  </si>
  <si>
    <t>Options Financial Products</t>
    <phoneticPr fontId="18" type="noConversion"/>
  </si>
  <si>
    <t>Options Agricultural Products</t>
    <phoneticPr fontId="18" type="noConversion"/>
  </si>
  <si>
    <t>Gas &amp; Power***</t>
    <phoneticPr fontId="18" type="noConversion"/>
  </si>
  <si>
    <t>Options Energy</t>
    <phoneticPr fontId="18" type="noConversion"/>
  </si>
  <si>
    <t>Futures</t>
    <phoneticPr fontId="18" type="noConversion"/>
  </si>
  <si>
    <t>Options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</si>
</sst>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20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1" fillId="33" borderId="10" xfId="0" applyNumberFormat="1" applyFont="1" applyFill="1" applyBorder="1" applyAlignment="1">
      <alignment horizontal="center" vertical="center"/>
    </xf>
    <xf numFmtId="49" fontId="21" fillId="0" borderId="17" xfId="0" applyNumberFormat="1" applyFont="1" applyBorder="1">
      <alignment vertical="center"/>
    </xf>
    <xf numFmtId="177" fontId="21" fillId="0" borderId="16" xfId="0" applyNumberFormat="1" applyFont="1" applyBorder="1" applyAlignment="1">
      <alignment horizontal="center" vertical="center"/>
    </xf>
    <xf numFmtId="177" fontId="21" fillId="0" borderId="17" xfId="0" applyNumberFormat="1" applyFont="1" applyBorder="1" applyAlignment="1">
      <alignment horizontal="center" vertical="center"/>
    </xf>
    <xf numFmtId="177" fontId="21" fillId="0" borderId="18" xfId="0" applyNumberFormat="1" applyFont="1" applyBorder="1" applyAlignment="1">
      <alignment horizontal="center" vertical="center"/>
    </xf>
    <xf numFmtId="49" fontId="21" fillId="33" borderId="10" xfId="0" applyNumberFormat="1" applyFont="1" applyFill="1" applyBorder="1" applyAlignment="1">
      <alignment horizontal="center" vertical="center"/>
    </xf>
    <xf numFmtId="49" fontId="21" fillId="33" borderId="12" xfId="0" applyNumberFormat="1" applyFont="1" applyFill="1" applyBorder="1" applyAlignment="1">
      <alignment horizontal="center" vertical="center"/>
    </xf>
    <xf numFmtId="49" fontId="21" fillId="33" borderId="11" xfId="0" applyNumberFormat="1" applyFont="1" applyFill="1" applyBorder="1" applyAlignment="1">
      <alignment horizontal="center" vertical="center"/>
    </xf>
    <xf numFmtId="49" fontId="21" fillId="34" borderId="10" xfId="0" applyNumberFormat="1" applyFont="1" applyFill="1" applyBorder="1" applyAlignment="1">
      <alignment horizontal="center" vertical="center"/>
    </xf>
    <xf numFmtId="49" fontId="21" fillId="34" borderId="11" xfId="0" applyNumberFormat="1" applyFont="1" applyFill="1" applyBorder="1" applyAlignment="1">
      <alignment horizontal="center" vertical="center"/>
    </xf>
    <xf numFmtId="49" fontId="21" fillId="34" borderId="12" xfId="0" applyNumberFormat="1" applyFont="1" applyFill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/>
    </xf>
    <xf numFmtId="177" fontId="0" fillId="0" borderId="22" xfId="0" applyNumberFormat="1" applyBorder="1" applyAlignment="1">
      <alignment horizontal="center" vertical="center"/>
    </xf>
    <xf numFmtId="177" fontId="0" fillId="0" borderId="23" xfId="0" applyNumberFormat="1" applyBorder="1" applyAlignment="1">
      <alignment horizontal="center" vertical="center"/>
    </xf>
    <xf numFmtId="177" fontId="21" fillId="0" borderId="23" xfId="0" applyNumberFormat="1" applyFont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1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2" width="16" bestFit="1" customWidth="1"/>
    <col min="3" max="3" width="21.625" bestFit="1" customWidth="1"/>
    <col min="4" max="4" width="20.75" bestFit="1" customWidth="1"/>
    <col min="5" max="5" width="12.5" bestFit="1" customWidth="1"/>
    <col min="6" max="7" width="12.625" bestFit="1" customWidth="1"/>
    <col min="8" max="8" width="12.5" bestFit="1" customWidth="1"/>
    <col min="9" max="9" width="9.125" bestFit="1" customWidth="1"/>
    <col min="10" max="10" width="15.875" bestFit="1" customWidth="1"/>
    <col min="11" max="11" width="12.5" bestFit="1" customWidth="1"/>
    <col min="12" max="12" width="15.875" bestFit="1" customWidth="1"/>
    <col min="13" max="13" width="12.625" bestFit="1" customWidth="1"/>
    <col min="14" max="14" width="13.875" bestFit="1" customWidth="1"/>
    <col min="15" max="15" width="12.625" bestFit="1" customWidth="1"/>
    <col min="16" max="16" width="13.875" bestFit="1" customWidth="1"/>
  </cols>
  <sheetData>
    <row r="1" spans="1:39" x14ac:dyDescent="0.3">
      <c r="A1" s="1"/>
      <c r="B1" s="30" t="s">
        <v>30</v>
      </c>
      <c r="C1" s="31"/>
      <c r="D1" s="32"/>
      <c r="E1" s="30" t="s">
        <v>31</v>
      </c>
      <c r="F1" s="31"/>
      <c r="G1" s="31"/>
      <c r="H1" s="31"/>
      <c r="I1" s="31"/>
      <c r="J1" s="31"/>
      <c r="K1" s="32"/>
      <c r="L1" s="22" t="s">
        <v>33</v>
      </c>
      <c r="M1" s="27" t="s">
        <v>23</v>
      </c>
      <c r="N1" s="29"/>
      <c r="O1" s="28"/>
    </row>
    <row r="2" spans="1:39" x14ac:dyDescent="0.3">
      <c r="A2" s="2" t="s">
        <v>3</v>
      </c>
      <c r="B2" s="12" t="s">
        <v>4</v>
      </c>
      <c r="C2" s="8" t="s">
        <v>29</v>
      </c>
      <c r="D2" s="9" t="s">
        <v>28</v>
      </c>
      <c r="E2" s="2" t="s">
        <v>16</v>
      </c>
      <c r="F2" s="10" t="s">
        <v>17</v>
      </c>
      <c r="G2" s="7" t="s">
        <v>18</v>
      </c>
      <c r="H2" s="2" t="s">
        <v>19</v>
      </c>
      <c r="I2" s="7" t="s">
        <v>20</v>
      </c>
      <c r="J2" s="2" t="s">
        <v>21</v>
      </c>
      <c r="K2" s="4" t="s">
        <v>22</v>
      </c>
      <c r="L2" s="33" t="s">
        <v>32</v>
      </c>
      <c r="M2" s="2" t="s">
        <v>35</v>
      </c>
      <c r="N2" s="7" t="s">
        <v>34</v>
      </c>
      <c r="O2" s="4" t="s">
        <v>24</v>
      </c>
    </row>
    <row r="3" spans="1:39" ht="15" customHeight="1" x14ac:dyDescent="0.3">
      <c r="A3" s="1" t="s">
        <v>5</v>
      </c>
      <c r="B3" s="14">
        <v>2196</v>
      </c>
      <c r="C3" s="15">
        <v>11608</v>
      </c>
      <c r="D3" s="13">
        <v>0</v>
      </c>
      <c r="E3" s="16">
        <v>181831</v>
      </c>
      <c r="F3" s="20">
        <v>489704</v>
      </c>
      <c r="G3" s="16">
        <v>80861</v>
      </c>
      <c r="H3" s="16">
        <v>167615</v>
      </c>
      <c r="I3" s="20">
        <v>11654</v>
      </c>
      <c r="J3" s="16">
        <v>0</v>
      </c>
      <c r="K3" s="13">
        <v>7293</v>
      </c>
      <c r="L3" s="34">
        <v>4365869</v>
      </c>
      <c r="M3" s="16">
        <v>5311338</v>
      </c>
      <c r="N3" s="20">
        <v>25784956</v>
      </c>
      <c r="O3" s="13">
        <f>SUM(M3:N3)</f>
        <v>31096294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ht="15" customHeight="1" x14ac:dyDescent="0.3">
      <c r="A4" s="1" t="s">
        <v>6</v>
      </c>
      <c r="B4" s="19">
        <v>1709</v>
      </c>
      <c r="C4" s="20">
        <v>11054</v>
      </c>
      <c r="D4" s="13">
        <v>0</v>
      </c>
      <c r="E4" s="16">
        <v>157458</v>
      </c>
      <c r="F4" s="20">
        <v>459894</v>
      </c>
      <c r="G4" s="16">
        <v>136033</v>
      </c>
      <c r="H4" s="16">
        <v>146479</v>
      </c>
      <c r="I4" s="20">
        <v>7655</v>
      </c>
      <c r="J4" s="16">
        <v>0</v>
      </c>
      <c r="K4" s="13">
        <v>10260</v>
      </c>
      <c r="L4" s="34">
        <v>5156026</v>
      </c>
      <c r="M4" s="16">
        <v>6076308</v>
      </c>
      <c r="N4" s="20">
        <v>27007800</v>
      </c>
      <c r="O4" s="13">
        <f t="shared" ref="O4:O15" si="0">SUM(M4:N4)</f>
        <v>33084108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39" ht="15" customHeight="1" x14ac:dyDescent="0.3">
      <c r="A5" s="1" t="s">
        <v>7</v>
      </c>
      <c r="B5" s="19">
        <v>1306</v>
      </c>
      <c r="C5" s="20">
        <v>15375</v>
      </c>
      <c r="D5" s="13">
        <v>0</v>
      </c>
      <c r="E5" s="16">
        <v>193066</v>
      </c>
      <c r="F5" s="20">
        <v>516066</v>
      </c>
      <c r="G5" s="16">
        <v>140260</v>
      </c>
      <c r="H5" s="16">
        <v>136881</v>
      </c>
      <c r="I5" s="20">
        <v>8490</v>
      </c>
      <c r="J5" s="16">
        <v>0</v>
      </c>
      <c r="K5" s="13">
        <v>9711</v>
      </c>
      <c r="L5" s="34">
        <v>3112326</v>
      </c>
      <c r="M5" s="16">
        <v>4123770</v>
      </c>
      <c r="N5" s="20">
        <v>32062021</v>
      </c>
      <c r="O5" s="13">
        <f t="shared" si="0"/>
        <v>36185791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39" ht="15" customHeight="1" x14ac:dyDescent="0.3">
      <c r="A6" s="1" t="s">
        <v>8</v>
      </c>
      <c r="B6" s="19">
        <v>922</v>
      </c>
      <c r="C6" s="20">
        <v>5830</v>
      </c>
      <c r="D6" s="13">
        <v>0</v>
      </c>
      <c r="E6" s="16">
        <v>207951</v>
      </c>
      <c r="F6" s="20">
        <v>408126</v>
      </c>
      <c r="G6" s="16">
        <v>142611</v>
      </c>
      <c r="H6" s="16">
        <v>118567</v>
      </c>
      <c r="I6" s="20">
        <v>4521</v>
      </c>
      <c r="J6" s="16">
        <v>0</v>
      </c>
      <c r="K6" s="13">
        <v>8059</v>
      </c>
      <c r="L6" s="34">
        <v>3902499</v>
      </c>
      <c r="M6" s="16">
        <v>4791027</v>
      </c>
      <c r="N6" s="20">
        <v>25232011</v>
      </c>
      <c r="O6" s="13">
        <f t="shared" si="0"/>
        <v>30023038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39" ht="15" customHeight="1" x14ac:dyDescent="0.3">
      <c r="A7" s="1" t="s">
        <v>9</v>
      </c>
      <c r="B7" s="19">
        <v>465</v>
      </c>
      <c r="C7" s="20">
        <v>3084</v>
      </c>
      <c r="D7" s="13">
        <v>0</v>
      </c>
      <c r="E7" s="16">
        <v>200441</v>
      </c>
      <c r="F7" s="20">
        <v>460773</v>
      </c>
      <c r="G7" s="16">
        <v>118155</v>
      </c>
      <c r="H7" s="16">
        <v>233958</v>
      </c>
      <c r="I7" s="20">
        <v>2969</v>
      </c>
      <c r="J7" s="16">
        <v>0</v>
      </c>
      <c r="K7" s="13">
        <v>12609</v>
      </c>
      <c r="L7" s="34">
        <v>4108738</v>
      </c>
      <c r="M7" s="16">
        <v>5128583</v>
      </c>
      <c r="N7" s="20">
        <v>25096352</v>
      </c>
      <c r="O7" s="13">
        <f t="shared" si="0"/>
        <v>30224935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39" ht="15" customHeight="1" x14ac:dyDescent="0.3">
      <c r="A8" s="1" t="s">
        <v>10</v>
      </c>
      <c r="B8" s="19">
        <v>814</v>
      </c>
      <c r="C8" s="20">
        <v>3066</v>
      </c>
      <c r="D8" s="13">
        <v>0</v>
      </c>
      <c r="E8" s="16">
        <v>259856</v>
      </c>
      <c r="F8" s="20">
        <v>459905</v>
      </c>
      <c r="G8" s="16">
        <v>129479</v>
      </c>
      <c r="H8" s="16">
        <v>176946</v>
      </c>
      <c r="I8" s="20">
        <v>4196</v>
      </c>
      <c r="J8" s="16">
        <v>0</v>
      </c>
      <c r="K8" s="13">
        <v>15895</v>
      </c>
      <c r="L8" s="34">
        <v>4031756</v>
      </c>
      <c r="M8" s="16">
        <v>5066018</v>
      </c>
      <c r="N8" s="20">
        <v>30551863</v>
      </c>
      <c r="O8" s="13">
        <f t="shared" si="0"/>
        <v>35617881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15" customHeight="1" x14ac:dyDescent="0.3">
      <c r="A9" s="1" t="s">
        <v>11</v>
      </c>
      <c r="B9" s="19">
        <v>972</v>
      </c>
      <c r="C9" s="20">
        <v>3056</v>
      </c>
      <c r="D9" s="13">
        <v>0</v>
      </c>
      <c r="E9" s="16">
        <v>197402</v>
      </c>
      <c r="F9" s="20">
        <v>360012</v>
      </c>
      <c r="G9" s="16">
        <v>119361</v>
      </c>
      <c r="H9" s="16">
        <v>66299</v>
      </c>
      <c r="I9" s="20">
        <v>3032</v>
      </c>
      <c r="J9" s="16">
        <v>0</v>
      </c>
      <c r="K9" s="13">
        <v>13799</v>
      </c>
      <c r="L9" s="34">
        <v>2862278</v>
      </c>
      <c r="M9" s="16">
        <v>3612412</v>
      </c>
      <c r="N9" s="20">
        <v>18954106</v>
      </c>
      <c r="O9" s="13">
        <f>SUM(M9:N9)</f>
        <v>22566518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1:39" ht="15" customHeight="1" x14ac:dyDescent="0.3">
      <c r="A10" s="1" t="s">
        <v>12</v>
      </c>
      <c r="B10" s="19">
        <v>290</v>
      </c>
      <c r="C10" s="20">
        <v>4806</v>
      </c>
      <c r="D10" s="13">
        <v>0</v>
      </c>
      <c r="E10" s="16">
        <v>227049</v>
      </c>
      <c r="F10" s="20">
        <v>405839</v>
      </c>
      <c r="G10" s="16">
        <v>108331</v>
      </c>
      <c r="H10" s="16">
        <v>135667</v>
      </c>
      <c r="I10" s="20">
        <v>4803</v>
      </c>
      <c r="J10" s="16">
        <v>0</v>
      </c>
      <c r="K10" s="13">
        <v>20340</v>
      </c>
      <c r="L10" s="34">
        <v>2688761</v>
      </c>
      <c r="M10" s="16">
        <v>3575546</v>
      </c>
      <c r="N10" s="20">
        <v>21732480</v>
      </c>
      <c r="O10" s="13">
        <f t="shared" ref="O10:O14" si="1">SUM(M10:N10)</f>
        <v>25308026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39" ht="15" customHeight="1" x14ac:dyDescent="0.3">
      <c r="A11" s="1" t="s">
        <v>13</v>
      </c>
      <c r="B11" s="19">
        <v>405</v>
      </c>
      <c r="C11" s="20">
        <v>1738</v>
      </c>
      <c r="D11" s="13">
        <v>0</v>
      </c>
      <c r="E11" s="16">
        <v>223763</v>
      </c>
      <c r="F11" s="20">
        <v>251155</v>
      </c>
      <c r="G11" s="16">
        <v>77482</v>
      </c>
      <c r="H11" s="16">
        <v>201293</v>
      </c>
      <c r="I11" s="20">
        <v>14949</v>
      </c>
      <c r="J11" s="16">
        <v>0</v>
      </c>
      <c r="K11" s="13">
        <v>22934</v>
      </c>
      <c r="L11" s="34">
        <v>2542773</v>
      </c>
      <c r="M11" s="16">
        <v>3313558</v>
      </c>
      <c r="N11" s="20">
        <v>25763915</v>
      </c>
      <c r="O11" s="13">
        <f t="shared" si="1"/>
        <v>29077473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ht="15" customHeight="1" x14ac:dyDescent="0.3">
      <c r="A12" s="1" t="s">
        <v>14</v>
      </c>
      <c r="B12" s="19">
        <v>190</v>
      </c>
      <c r="C12" s="20">
        <v>1333</v>
      </c>
      <c r="D12" s="13">
        <v>0</v>
      </c>
      <c r="E12" s="16">
        <v>225097</v>
      </c>
      <c r="F12" s="20">
        <v>306338</v>
      </c>
      <c r="G12" s="16">
        <v>107090</v>
      </c>
      <c r="H12" s="16">
        <v>126820</v>
      </c>
      <c r="I12" s="20">
        <v>10416</v>
      </c>
      <c r="J12" s="16">
        <v>0</v>
      </c>
      <c r="K12" s="13">
        <v>18617</v>
      </c>
      <c r="L12" s="34">
        <v>3075993</v>
      </c>
      <c r="M12" s="16">
        <v>3853277</v>
      </c>
      <c r="N12" s="20">
        <v>21030043</v>
      </c>
      <c r="O12" s="13">
        <f t="shared" si="1"/>
        <v>24883320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ht="15" customHeight="1" x14ac:dyDescent="0.3">
      <c r="A13" s="1" t="s">
        <v>15</v>
      </c>
      <c r="B13" s="19">
        <v>316</v>
      </c>
      <c r="C13" s="20">
        <v>2020</v>
      </c>
      <c r="D13" s="13">
        <v>0</v>
      </c>
      <c r="E13" s="16">
        <v>195896</v>
      </c>
      <c r="F13" s="20">
        <v>302062</v>
      </c>
      <c r="G13" s="16">
        <v>90396</v>
      </c>
      <c r="H13" s="16">
        <v>148246</v>
      </c>
      <c r="I13" s="20">
        <v>5544</v>
      </c>
      <c r="J13" s="16">
        <v>0</v>
      </c>
      <c r="K13" s="13">
        <v>11140</v>
      </c>
      <c r="L13" s="34">
        <v>3692512</v>
      </c>
      <c r="M13" s="16">
        <v>4436992</v>
      </c>
      <c r="N13" s="20">
        <v>22833741</v>
      </c>
      <c r="O13" s="13">
        <f t="shared" si="1"/>
        <v>27270733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ht="15" customHeight="1" x14ac:dyDescent="0.3">
      <c r="A14" s="11" t="s">
        <v>0</v>
      </c>
      <c r="B14" s="21">
        <v>625</v>
      </c>
      <c r="C14" s="18">
        <v>589</v>
      </c>
      <c r="D14" s="17">
        <v>0</v>
      </c>
      <c r="E14" s="18">
        <v>146685</v>
      </c>
      <c r="F14" s="18">
        <v>361282</v>
      </c>
      <c r="G14" s="18">
        <v>110312</v>
      </c>
      <c r="H14" s="18">
        <v>175274</v>
      </c>
      <c r="I14" s="18">
        <v>7875</v>
      </c>
      <c r="J14" s="18">
        <v>0</v>
      </c>
      <c r="K14" s="17">
        <v>3867</v>
      </c>
      <c r="L14" s="35">
        <v>3116815</v>
      </c>
      <c r="M14" s="18">
        <v>3919457</v>
      </c>
      <c r="N14" s="18">
        <v>25247278</v>
      </c>
      <c r="O14" s="17">
        <f t="shared" si="1"/>
        <v>29166735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ht="15" customHeight="1" x14ac:dyDescent="0.3">
      <c r="A15" s="23" t="s">
        <v>25</v>
      </c>
      <c r="B15" s="24">
        <f>SUM(B3:B14)</f>
        <v>10210</v>
      </c>
      <c r="C15" s="25">
        <f t="shared" ref="C15:N15" si="2">SUM(C3:C14)</f>
        <v>63559</v>
      </c>
      <c r="D15" s="26">
        <f t="shared" si="2"/>
        <v>0</v>
      </c>
      <c r="E15" s="25">
        <f t="shared" si="2"/>
        <v>2416495</v>
      </c>
      <c r="F15" s="25">
        <f t="shared" ref="F15" si="3">SUM(F3:F14)</f>
        <v>4781156</v>
      </c>
      <c r="G15" s="25">
        <f t="shared" ref="G15" si="4">SUM(G3:G14)</f>
        <v>1360371</v>
      </c>
      <c r="H15" s="25">
        <f t="shared" ref="H15" si="5">SUM(H3:H14)</f>
        <v>1834045</v>
      </c>
      <c r="I15" s="25">
        <f t="shared" ref="I15" si="6">SUM(I3:I14)</f>
        <v>86104</v>
      </c>
      <c r="J15" s="25">
        <f t="shared" ref="J15" si="7">SUM(J3:J14)</f>
        <v>0</v>
      </c>
      <c r="K15" s="26">
        <f t="shared" ref="K15" si="8">SUM(K3:K14)</f>
        <v>154524</v>
      </c>
      <c r="L15" s="36">
        <f t="shared" si="2"/>
        <v>42656346</v>
      </c>
      <c r="M15" s="25">
        <f t="shared" si="2"/>
        <v>53208286</v>
      </c>
      <c r="N15" s="25">
        <f t="shared" si="2"/>
        <v>301296566</v>
      </c>
      <c r="O15" s="26">
        <f t="shared" si="0"/>
        <v>354504852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 x14ac:dyDescent="0.3">
      <c r="A16" s="1" t="s">
        <v>1</v>
      </c>
    </row>
    <row r="17" spans="1:1" x14ac:dyDescent="0.3">
      <c r="A17" s="5" t="s">
        <v>26</v>
      </c>
    </row>
    <row r="18" spans="1:1" x14ac:dyDescent="0.3">
      <c r="A18" s="5" t="s">
        <v>2</v>
      </c>
    </row>
    <row r="19" spans="1:1" x14ac:dyDescent="0.3">
      <c r="A19" s="6" t="s">
        <v>27</v>
      </c>
    </row>
    <row r="20" spans="1:1" x14ac:dyDescent="0.3">
      <c r="A20" s="1"/>
    </row>
    <row r="21" spans="1:1" x14ac:dyDescent="0.3">
      <c r="A21" s="1"/>
    </row>
  </sheetData>
  <mergeCells count="3">
    <mergeCell ref="M1:O1"/>
    <mergeCell ref="B1:D1"/>
    <mergeCell ref="E1:K1"/>
  </mergeCells>
  <phoneticPr fontId="18" type="noConversion"/>
  <pageMargins left="0.7" right="0.7" top="0.75" bottom="0.75" header="0.3" footer="0.3"/>
  <pageSetup paperSize="9" orientation="portrait" r:id="rId1"/>
  <ignoredErrors>
    <ignoredError sqref="O3:O11 O12:O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2017년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2026-06-23T05:24:53Z</dcterms:modified>
</cp:coreProperties>
</file>