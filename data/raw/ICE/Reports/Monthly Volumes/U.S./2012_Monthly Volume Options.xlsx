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Options\"/>
    </mc:Choice>
  </mc:AlternateContent>
  <bookViews>
    <workbookView xWindow="0" yWindow="0" windowWidth="25125" windowHeight="11640"/>
  </bookViews>
  <sheets>
    <sheet name="2012년" sheetId="1" r:id="rId1"/>
  </sheets>
  <calcPr calcId="162913"/>
</workbook>
</file>

<file path=xl/calcChain.xml><?xml version="1.0" encoding="utf-8"?>
<calcChain xmlns="http://schemas.openxmlformats.org/spreadsheetml/2006/main">
  <c r="O5" i="1" l="1"/>
  <c r="O14" i="1" l="1"/>
  <c r="O13" i="1"/>
  <c r="O12" i="1"/>
  <c r="O11" i="1"/>
  <c r="O10" i="1"/>
  <c r="O9" i="1"/>
  <c r="O8" i="1"/>
  <c r="O7" i="1"/>
  <c r="O6" i="1"/>
  <c r="O4" i="1"/>
  <c r="O3" i="1"/>
  <c r="C15" i="1"/>
  <c r="B15" i="1"/>
  <c r="D15" i="1" l="1"/>
  <c r="J15" i="1" l="1"/>
  <c r="F15" i="1"/>
  <c r="N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<sst xmlns="http://schemas.openxmlformats.org/spreadsheetml/2006/main" count="34" uniqueCount="34">
  <si>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</si>
  <si>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</si>
  <si>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</si>
  <si>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</si>
  <si>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</si>
  <si>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</si>
  <si>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</si>
  <si>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</si>
  <si>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</si>
  <si>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</si>
  <si>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</si>
  <si>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</si>
  <si>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</si>
  <si>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</si>
  <si>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</si>
  <si>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</si>
  <si>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</si>
  <si>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</si>
  <si>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</si>
  <si>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Monthly Totals</t>
  </si>
  <si>
    <t>Overall</t>
  </si>
  <si>
    <t>Yearly Total</t>
    <phoneticPr fontId="18" type="noConversion"/>
  </si>
  <si>
    <t>CURRENCIES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</si>
  <si>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</si>
  <si>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</si>
  <si>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</si>
  <si>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</si>
  <si>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</si>
  <si>
    <t>Gas &amp; Power**</t>
    <phoneticPr fontId="18" type="noConversion"/>
  </si>
  <si>
    <t>Canola*</t>
    <phoneticPr fontId="18" type="noConversion"/>
  </si>
  <si>
    <t>Grains</t>
    <phoneticPr fontId="18" type="noConversion"/>
  </si>
  <si>
    <t>RUSSELL</t>
    <phoneticPr fontId="18" type="noConversion"/>
  </si>
  <si>
    <t>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</si>
  <si>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US$ &amp; CRB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</si>
</sst>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0" fillId="0" borderId="23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2.25" customWidth="1"/>
    <col min="3" max="3" width="11.375" customWidth="1"/>
    <col min="4" max="4" width="16.625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9.875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3" t="s">
        <v>23</v>
      </c>
      <c r="C1" s="34"/>
      <c r="D1" s="35"/>
      <c r="E1" s="33" t="s">
        <v>24</v>
      </c>
      <c r="F1" s="34"/>
      <c r="G1" s="34"/>
      <c r="H1" s="34"/>
      <c r="I1" s="34"/>
      <c r="J1" s="34"/>
      <c r="K1" s="35"/>
      <c r="L1" s="21" t="s">
        <v>25</v>
      </c>
      <c r="M1" s="30" t="s">
        <v>19</v>
      </c>
      <c r="N1" s="31"/>
      <c r="O1" s="32"/>
    </row>
    <row r="2" spans="1:39" x14ac:dyDescent="0.3">
      <c r="A2" s="2" t="s">
        <v>2</v>
      </c>
      <c r="B2" s="11" t="s">
        <v>33</v>
      </c>
      <c r="C2" s="7" t="s">
        <v>31</v>
      </c>
      <c r="D2" s="8" t="s">
        <v>22</v>
      </c>
      <c r="E2" s="2" t="s">
        <v>14</v>
      </c>
      <c r="F2" s="9" t="s">
        <v>15</v>
      </c>
      <c r="G2" s="6" t="s">
        <v>16</v>
      </c>
      <c r="H2" s="2" t="s">
        <v>17</v>
      </c>
      <c r="I2" s="6" t="s">
        <v>18</v>
      </c>
      <c r="J2" s="2" t="s">
        <v>30</v>
      </c>
      <c r="K2" s="4" t="s">
        <v>29</v>
      </c>
      <c r="L2" s="26" t="s">
        <v>28</v>
      </c>
      <c r="M2" s="2" t="s">
        <v>27</v>
      </c>
      <c r="N2" s="6" t="s">
        <v>26</v>
      </c>
      <c r="O2" s="4" t="s">
        <v>20</v>
      </c>
    </row>
    <row r="3" spans="1:39" ht="15" customHeight="1" x14ac:dyDescent="0.3">
      <c r="A3" s="1" t="s">
        <v>3</v>
      </c>
      <c r="B3" s="13">
        <v>1673</v>
      </c>
      <c r="C3" s="14">
        <v>6077</v>
      </c>
      <c r="D3" s="12">
        <v>0</v>
      </c>
      <c r="E3" s="15">
        <v>177422</v>
      </c>
      <c r="F3" s="19">
        <v>420625</v>
      </c>
      <c r="G3" s="15">
        <v>42742</v>
      </c>
      <c r="H3" s="15">
        <v>188460</v>
      </c>
      <c r="I3" s="19">
        <v>27210</v>
      </c>
      <c r="J3" s="15">
        <v>0</v>
      </c>
      <c r="K3" s="12">
        <v>6413</v>
      </c>
      <c r="L3" s="27">
        <v>0</v>
      </c>
      <c r="M3" s="15">
        <v>864209</v>
      </c>
      <c r="N3" s="19">
        <v>6243904</v>
      </c>
      <c r="O3" s="12">
        <f>SUM(M3:N3)</f>
        <v>7108113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4</v>
      </c>
      <c r="B4" s="18">
        <v>671</v>
      </c>
      <c r="C4" s="19">
        <v>6987</v>
      </c>
      <c r="D4" s="12">
        <v>0</v>
      </c>
      <c r="E4" s="15">
        <v>172092</v>
      </c>
      <c r="F4" s="19">
        <v>447325</v>
      </c>
      <c r="G4" s="15">
        <v>29058</v>
      </c>
      <c r="H4" s="15">
        <v>135587</v>
      </c>
      <c r="I4" s="19">
        <v>17119</v>
      </c>
      <c r="J4" s="15">
        <v>0</v>
      </c>
      <c r="K4" s="12">
        <v>14822</v>
      </c>
      <c r="L4" s="27">
        <v>0</v>
      </c>
      <c r="M4" s="15">
        <v>808839</v>
      </c>
      <c r="N4" s="19">
        <v>7944963</v>
      </c>
      <c r="O4" s="12">
        <f t="shared" ref="O4:O15" si="0">SUM(M4:N4)</f>
        <v>8753802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5</v>
      </c>
      <c r="B5" s="18">
        <v>1602</v>
      </c>
      <c r="C5" s="19">
        <v>6725</v>
      </c>
      <c r="D5" s="12">
        <v>0</v>
      </c>
      <c r="E5" s="15">
        <v>240679</v>
      </c>
      <c r="F5" s="19">
        <v>510661</v>
      </c>
      <c r="G5" s="15">
        <v>31883</v>
      </c>
      <c r="H5" s="15">
        <v>245490</v>
      </c>
      <c r="I5" s="19">
        <v>11729</v>
      </c>
      <c r="J5" s="15">
        <v>0</v>
      </c>
      <c r="K5" s="12">
        <v>10730</v>
      </c>
      <c r="L5" s="27">
        <v>0</v>
      </c>
      <c r="M5" s="15">
        <v>1048769</v>
      </c>
      <c r="N5" s="19">
        <v>8523645</v>
      </c>
      <c r="O5" s="12">
        <f t="shared" si="0"/>
        <v>9572414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6</v>
      </c>
      <c r="B6" s="18">
        <v>939</v>
      </c>
      <c r="C6" s="19">
        <v>6379</v>
      </c>
      <c r="D6" s="12">
        <v>0</v>
      </c>
      <c r="E6" s="15">
        <v>195096</v>
      </c>
      <c r="F6" s="19">
        <v>484694</v>
      </c>
      <c r="G6" s="15">
        <v>38295</v>
      </c>
      <c r="H6" s="15">
        <v>212936</v>
      </c>
      <c r="I6" s="19">
        <v>15426</v>
      </c>
      <c r="J6" s="15">
        <v>0</v>
      </c>
      <c r="K6" s="12">
        <v>23609</v>
      </c>
      <c r="L6" s="27">
        <v>0</v>
      </c>
      <c r="M6" s="15">
        <v>953765</v>
      </c>
      <c r="N6" s="19">
        <v>7992348</v>
      </c>
      <c r="O6" s="12">
        <f t="shared" si="0"/>
        <v>8946113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7</v>
      </c>
      <c r="B7" s="18">
        <v>1428</v>
      </c>
      <c r="C7" s="19">
        <v>7775</v>
      </c>
      <c r="D7" s="12">
        <v>0</v>
      </c>
      <c r="E7" s="15">
        <v>195493</v>
      </c>
      <c r="F7" s="19">
        <v>564536</v>
      </c>
      <c r="G7" s="15">
        <v>33509</v>
      </c>
      <c r="H7" s="15">
        <v>331011</v>
      </c>
      <c r="I7" s="19">
        <v>17549</v>
      </c>
      <c r="J7" s="15">
        <v>2949</v>
      </c>
      <c r="K7" s="12">
        <v>6853</v>
      </c>
      <c r="L7" s="27">
        <v>0</v>
      </c>
      <c r="M7" s="15">
        <v>1154250</v>
      </c>
      <c r="N7" s="19">
        <v>7409614</v>
      </c>
      <c r="O7" s="12">
        <f t="shared" si="0"/>
        <v>8563864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8</v>
      </c>
      <c r="B8" s="18">
        <v>1350</v>
      </c>
      <c r="C8" s="19">
        <v>5165</v>
      </c>
      <c r="D8" s="12">
        <v>0</v>
      </c>
      <c r="E8" s="15">
        <v>231043</v>
      </c>
      <c r="F8" s="19">
        <v>401231</v>
      </c>
      <c r="G8" s="15">
        <v>28430</v>
      </c>
      <c r="H8" s="15">
        <v>275227</v>
      </c>
      <c r="I8" s="19">
        <v>8336</v>
      </c>
      <c r="J8" s="15">
        <v>3410</v>
      </c>
      <c r="K8" s="12">
        <v>15807</v>
      </c>
      <c r="L8" s="27">
        <v>0</v>
      </c>
      <c r="M8" s="15">
        <v>954192</v>
      </c>
      <c r="N8" s="19">
        <v>10609027</v>
      </c>
      <c r="O8" s="12">
        <f t="shared" si="0"/>
        <v>11563219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9</v>
      </c>
      <c r="B9" s="18">
        <v>1932</v>
      </c>
      <c r="C9" s="19">
        <v>4697</v>
      </c>
      <c r="D9" s="12">
        <v>0</v>
      </c>
      <c r="E9" s="15">
        <v>306271</v>
      </c>
      <c r="F9" s="19">
        <v>545243</v>
      </c>
      <c r="G9" s="15">
        <v>44948</v>
      </c>
      <c r="H9" s="15">
        <v>129582</v>
      </c>
      <c r="I9" s="19">
        <v>11754</v>
      </c>
      <c r="J9" s="15">
        <v>750</v>
      </c>
      <c r="K9" s="12">
        <v>23144</v>
      </c>
      <c r="L9" s="27">
        <v>0</v>
      </c>
      <c r="M9" s="15">
        <v>1045177</v>
      </c>
      <c r="N9" s="19">
        <v>6505819</v>
      </c>
      <c r="O9" s="12">
        <f>SUM(M9:N9)</f>
        <v>7550996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10</v>
      </c>
      <c r="B10" s="18">
        <v>2380</v>
      </c>
      <c r="C10" s="19">
        <v>5664</v>
      </c>
      <c r="D10" s="12">
        <v>0</v>
      </c>
      <c r="E10" s="15">
        <v>217571</v>
      </c>
      <c r="F10" s="19">
        <v>491431</v>
      </c>
      <c r="G10" s="15">
        <v>70525</v>
      </c>
      <c r="H10" s="15">
        <v>184853</v>
      </c>
      <c r="I10" s="19">
        <v>11795</v>
      </c>
      <c r="J10" s="15">
        <v>4880</v>
      </c>
      <c r="K10" s="12">
        <v>4781</v>
      </c>
      <c r="L10" s="27">
        <v>0</v>
      </c>
      <c r="M10" s="15">
        <v>989099</v>
      </c>
      <c r="N10" s="19">
        <v>6209650</v>
      </c>
      <c r="O10" s="12">
        <f t="shared" ref="O10:O14" si="1">SUM(M10:N10)</f>
        <v>7198749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11</v>
      </c>
      <c r="B11" s="18">
        <v>2066</v>
      </c>
      <c r="C11" s="19">
        <v>4571</v>
      </c>
      <c r="D11" s="12">
        <v>0</v>
      </c>
      <c r="E11" s="15">
        <v>217875</v>
      </c>
      <c r="F11" s="19">
        <v>286952</v>
      </c>
      <c r="G11" s="15">
        <v>69286</v>
      </c>
      <c r="H11" s="15">
        <v>155975</v>
      </c>
      <c r="I11" s="19">
        <v>10047</v>
      </c>
      <c r="J11" s="15">
        <v>2852</v>
      </c>
      <c r="K11" s="12">
        <v>13297</v>
      </c>
      <c r="L11" s="27">
        <v>0</v>
      </c>
      <c r="M11" s="15">
        <v>749624</v>
      </c>
      <c r="N11" s="19">
        <v>7477271</v>
      </c>
      <c r="O11" s="12">
        <f t="shared" si="1"/>
        <v>8226895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12</v>
      </c>
      <c r="B12" s="18">
        <v>1680</v>
      </c>
      <c r="C12" s="19">
        <v>3756</v>
      </c>
      <c r="D12" s="12">
        <v>0</v>
      </c>
      <c r="E12" s="15">
        <v>261243</v>
      </c>
      <c r="F12" s="19">
        <v>345302</v>
      </c>
      <c r="G12" s="15">
        <v>66342</v>
      </c>
      <c r="H12" s="15">
        <v>237369</v>
      </c>
      <c r="I12" s="19">
        <v>12150</v>
      </c>
      <c r="J12" s="15">
        <v>950</v>
      </c>
      <c r="K12" s="12">
        <v>26914</v>
      </c>
      <c r="L12" s="27">
        <v>5673463</v>
      </c>
      <c r="M12" s="15">
        <v>6602255</v>
      </c>
      <c r="N12" s="19">
        <v>34854629</v>
      </c>
      <c r="O12" s="12">
        <f t="shared" si="1"/>
        <v>41456884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13</v>
      </c>
      <c r="B13" s="18">
        <v>2245</v>
      </c>
      <c r="C13" s="19">
        <v>6203</v>
      </c>
      <c r="D13" s="12">
        <v>0</v>
      </c>
      <c r="E13" s="15">
        <v>182947</v>
      </c>
      <c r="F13" s="19">
        <v>310941</v>
      </c>
      <c r="G13" s="15">
        <v>64164</v>
      </c>
      <c r="H13" s="15">
        <v>128140</v>
      </c>
      <c r="I13" s="19">
        <v>20840</v>
      </c>
      <c r="J13" s="15">
        <v>300</v>
      </c>
      <c r="K13" s="12">
        <v>9198</v>
      </c>
      <c r="L13" s="27">
        <v>4247242</v>
      </c>
      <c r="M13" s="15">
        <v>4963022</v>
      </c>
      <c r="N13" s="19">
        <v>29392345</v>
      </c>
      <c r="O13" s="12">
        <f t="shared" si="1"/>
        <v>34355367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1644</v>
      </c>
      <c r="C14" s="17">
        <v>3775</v>
      </c>
      <c r="D14" s="16">
        <v>0</v>
      </c>
      <c r="E14" s="17">
        <v>140075</v>
      </c>
      <c r="F14" s="17">
        <v>303796</v>
      </c>
      <c r="G14" s="17">
        <v>60486</v>
      </c>
      <c r="H14" s="17">
        <v>147189</v>
      </c>
      <c r="I14" s="17">
        <v>20976</v>
      </c>
      <c r="J14" s="17">
        <v>1000</v>
      </c>
      <c r="K14" s="16">
        <v>11092</v>
      </c>
      <c r="L14" s="28">
        <v>4852145</v>
      </c>
      <c r="M14" s="17">
        <v>5531086</v>
      </c>
      <c r="N14" s="17">
        <v>23853144</v>
      </c>
      <c r="O14" s="16">
        <f t="shared" si="1"/>
        <v>29384230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2" t="s">
        <v>21</v>
      </c>
      <c r="B15" s="23">
        <f>SUM(B3:B14)</f>
        <v>19610</v>
      </c>
      <c r="C15" s="24">
        <f t="shared" ref="C15:N15" si="2">SUM(C3:C14)</f>
        <v>67774</v>
      </c>
      <c r="D15" s="25">
        <f t="shared" si="2"/>
        <v>0</v>
      </c>
      <c r="E15" s="24">
        <f t="shared" si="2"/>
        <v>2537807</v>
      </c>
      <c r="F15" s="24">
        <f t="shared" ref="F15" si="3">SUM(F3:F14)</f>
        <v>5112737</v>
      </c>
      <c r="G15" s="24">
        <f t="shared" ref="G15" si="4">SUM(G3:G14)</f>
        <v>579668</v>
      </c>
      <c r="H15" s="24">
        <f t="shared" ref="H15" si="5">SUM(H3:H14)</f>
        <v>2371819</v>
      </c>
      <c r="I15" s="24">
        <f t="shared" ref="I15" si="6">SUM(I3:I14)</f>
        <v>184931</v>
      </c>
      <c r="J15" s="24">
        <f t="shared" ref="J15" si="7">SUM(J3:J14)</f>
        <v>17091</v>
      </c>
      <c r="K15" s="25">
        <f t="shared" ref="K15" si="8">SUM(K3:K14)</f>
        <v>166660</v>
      </c>
      <c r="L15" s="29">
        <f t="shared" si="2"/>
        <v>14772850</v>
      </c>
      <c r="M15" s="24">
        <f t="shared" si="2"/>
        <v>25664287</v>
      </c>
      <c r="N15" s="24">
        <f t="shared" si="2"/>
        <v>157016359</v>
      </c>
      <c r="O15" s="25">
        <f t="shared" si="0"/>
        <v>182680646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32</v>
      </c>
    </row>
    <row r="18" spans="1:1" x14ac:dyDescent="0.3">
      <c r="A18" s="1"/>
    </row>
    <row r="19" spans="1:1" x14ac:dyDescent="0.3">
      <c r="A19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2012년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2026-07-16T08:02:12Z</dcterms:modified>
</cp:coreProperties>
</file>