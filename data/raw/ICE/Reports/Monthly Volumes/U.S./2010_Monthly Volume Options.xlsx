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U.S\Historical Monthly Volume\Options\"/>
    </mc:Choice>
  </mc:AlternateContent>
  <bookViews>
    <workbookView xWindow="0" yWindow="0" windowWidth="25125" windowHeight="11640"/>
  </bookViews>
  <sheets>
    <sheet name="2010년" sheetId="1" r:id="rId1"/>
  </sheets>
  <calcPr calcId="162913"/>
</workbook>
</file>

<file path=xl/calcChain.xml><?xml version="1.0" encoding="utf-8"?>
<calcChain xmlns="http://schemas.openxmlformats.org/spreadsheetml/2006/main">
  <c r="D15" i="1" l="1"/>
  <c r="C15" i="1"/>
  <c r="O5" i="1" l="1"/>
  <c r="O14" i="1" l="1"/>
  <c r="O13" i="1"/>
  <c r="O12" i="1"/>
  <c r="O11" i="1"/>
  <c r="O10" i="1"/>
  <c r="O9" i="1"/>
  <c r="O8" i="1"/>
  <c r="O7" i="1"/>
  <c r="O6" i="1"/>
  <c r="O4" i="1"/>
  <c r="O3" i="1"/>
  <c r="E15" i="1"/>
  <c r="B15" i="1"/>
  <c r="F15" i="1" l="1"/>
  <c r="H15" i="1" l="1"/>
  <c r="N15" i="1"/>
  <c r="K15" i="1"/>
  <c r="J15" i="1"/>
  <c r="I15" i="1"/>
  <c r="L15" i="1"/>
  <c r="G15" i="1"/>
  <c r="M15" i="1"/>
  <c r="O15" i="1" l="1"/>
</calcChain>
</file>

<file path=xl/sharedStrings.xml><?xml version="1.0" encoding="utf-8"?>
<sst xmlns="http://schemas.openxmlformats.org/spreadsheetml/2006/main" count="33" uniqueCount="33">
  <si>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</si>
  <si>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</si>
  <si>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</si>
  <si>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</si>
  <si>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</si>
  <si>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</si>
  <si>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</si>
  <si>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</si>
  <si>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</si>
  <si>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</si>
  <si>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</si>
  <si>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</si>
  <si>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</si>
  <si>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</si>
  <si>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</si>
  <si>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</si>
  <si>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</si>
  <si>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</si>
  <si>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</si>
  <si>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Monthly Totals</t>
  </si>
  <si>
    <t>Overall</t>
  </si>
  <si>
    <t>Yearly Total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</si>
  <si>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</si>
  <si>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</si>
  <si>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Futures</t>
    <phoneticPr fontId="18" type="noConversion"/>
  </si>
  <si>
    <t>Options</t>
    <phoneticPr fontId="18" type="noConversion"/>
  </si>
  <si>
    <t>Canola*</t>
    <phoneticPr fontId="18" type="noConversion"/>
  </si>
  <si>
    <t>RUSSELL</t>
    <phoneticPr fontId="18" type="noConversion"/>
  </si>
  <si>
    <t>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  <phoneticPr fontId="18" type="noConversion"/>
  </si>
  <si>
    <t>NYSE INDEX</t>
    <phoneticPr fontId="18" type="noConversion"/>
  </si>
  <si>
    <t>CRB INDEX</t>
    <phoneticPr fontId="18" type="noConversion"/>
  </si>
  <si>
    <t>US$ INDEX</t>
    <phoneticPr fontId="18" type="noConversion"/>
  </si>
  <si>
    <t>CURRENCIES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</si>
</sst>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4" width="12.25" customWidth="1"/>
    <col min="5" max="5" width="11.375" customWidth="1"/>
    <col min="6" max="6" width="16.625" customWidth="1"/>
    <col min="7" max="7" width="12.5" bestFit="1" customWidth="1"/>
    <col min="8" max="9" width="12.625" bestFit="1" customWidth="1"/>
    <col min="10" max="10" width="12.5" bestFit="1" customWidth="1"/>
    <col min="11" max="11" width="9.125" bestFit="1" customWidth="1"/>
    <col min="12" max="12" width="12.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28" t="s">
        <v>22</v>
      </c>
      <c r="C1" s="29"/>
      <c r="D1" s="29"/>
      <c r="E1" s="29"/>
      <c r="F1" s="30"/>
      <c r="G1" s="28" t="s">
        <v>23</v>
      </c>
      <c r="H1" s="29"/>
      <c r="I1" s="29"/>
      <c r="J1" s="29"/>
      <c r="K1" s="29"/>
      <c r="L1" s="30"/>
      <c r="M1" s="25" t="s">
        <v>19</v>
      </c>
      <c r="N1" s="26"/>
      <c r="O1" s="27"/>
    </row>
    <row r="2" spans="1:39" x14ac:dyDescent="0.3">
      <c r="A2" s="2" t="s">
        <v>2</v>
      </c>
      <c r="B2" s="11" t="s">
        <v>31</v>
      </c>
      <c r="C2" s="9" t="s">
        <v>29</v>
      </c>
      <c r="D2" s="9" t="s">
        <v>30</v>
      </c>
      <c r="E2" s="7" t="s">
        <v>27</v>
      </c>
      <c r="F2" s="8" t="s">
        <v>32</v>
      </c>
      <c r="G2" s="2" t="s">
        <v>14</v>
      </c>
      <c r="H2" s="9" t="s">
        <v>15</v>
      </c>
      <c r="I2" s="6" t="s">
        <v>16</v>
      </c>
      <c r="J2" s="2" t="s">
        <v>17</v>
      </c>
      <c r="K2" s="6" t="s">
        <v>18</v>
      </c>
      <c r="L2" s="4" t="s">
        <v>26</v>
      </c>
      <c r="M2" s="2" t="s">
        <v>25</v>
      </c>
      <c r="N2" s="6" t="s">
        <v>24</v>
      </c>
      <c r="O2" s="4" t="s">
        <v>20</v>
      </c>
    </row>
    <row r="3" spans="1:39" ht="15" customHeight="1" x14ac:dyDescent="0.3">
      <c r="A3" s="1" t="s">
        <v>3</v>
      </c>
      <c r="B3" s="13">
        <v>4632</v>
      </c>
      <c r="C3" s="14">
        <v>0</v>
      </c>
      <c r="D3" s="14">
        <v>38</v>
      </c>
      <c r="E3" s="14">
        <v>14535</v>
      </c>
      <c r="F3" s="12">
        <v>0</v>
      </c>
      <c r="G3" s="15">
        <v>123257</v>
      </c>
      <c r="H3" s="19">
        <v>801118</v>
      </c>
      <c r="I3" s="15">
        <v>20404</v>
      </c>
      <c r="J3" s="15">
        <v>157723</v>
      </c>
      <c r="K3" s="19">
        <v>45962</v>
      </c>
      <c r="L3" s="12">
        <v>2163</v>
      </c>
      <c r="M3" s="15">
        <v>1167669</v>
      </c>
      <c r="N3" s="19">
        <v>6198242</v>
      </c>
      <c r="O3" s="12">
        <f>SUM(M3:N3)</f>
        <v>7365911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4</v>
      </c>
      <c r="B4" s="18">
        <v>2122</v>
      </c>
      <c r="C4" s="19">
        <v>0</v>
      </c>
      <c r="D4" s="19">
        <v>14</v>
      </c>
      <c r="E4" s="19">
        <v>12825</v>
      </c>
      <c r="F4" s="12">
        <v>0</v>
      </c>
      <c r="G4" s="15">
        <v>117914</v>
      </c>
      <c r="H4" s="19">
        <v>668580</v>
      </c>
      <c r="I4" s="15">
        <v>29408</v>
      </c>
      <c r="J4" s="15">
        <v>220019</v>
      </c>
      <c r="K4" s="19">
        <v>19752</v>
      </c>
      <c r="L4" s="12">
        <v>7303</v>
      </c>
      <c r="M4" s="15">
        <v>1070634</v>
      </c>
      <c r="N4" s="19">
        <v>7633394</v>
      </c>
      <c r="O4" s="12">
        <f t="shared" ref="O4:O15" si="0">SUM(M4:N4)</f>
        <v>8704028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5</v>
      </c>
      <c r="B5" s="18">
        <v>1194</v>
      </c>
      <c r="C5" s="19">
        <v>0</v>
      </c>
      <c r="D5" s="19">
        <v>0</v>
      </c>
      <c r="E5" s="19">
        <v>20533</v>
      </c>
      <c r="F5" s="12">
        <v>0</v>
      </c>
      <c r="G5" s="15">
        <v>156880</v>
      </c>
      <c r="H5" s="19">
        <v>1075230</v>
      </c>
      <c r="I5" s="15">
        <v>43667</v>
      </c>
      <c r="J5" s="15">
        <v>202904</v>
      </c>
      <c r="K5" s="19">
        <v>17467</v>
      </c>
      <c r="L5" s="12">
        <v>5348</v>
      </c>
      <c r="M5" s="15">
        <v>1517875</v>
      </c>
      <c r="N5" s="19">
        <v>8476306</v>
      </c>
      <c r="O5" s="12">
        <f t="shared" si="0"/>
        <v>9994181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6</v>
      </c>
      <c r="B6" s="18">
        <v>1200</v>
      </c>
      <c r="C6" s="19">
        <v>0</v>
      </c>
      <c r="D6" s="19">
        <v>10</v>
      </c>
      <c r="E6" s="19">
        <v>30711</v>
      </c>
      <c r="F6" s="12">
        <v>0</v>
      </c>
      <c r="G6" s="15">
        <v>147157</v>
      </c>
      <c r="H6" s="19">
        <v>561263</v>
      </c>
      <c r="I6" s="15">
        <v>22280</v>
      </c>
      <c r="J6" s="15">
        <v>220154</v>
      </c>
      <c r="K6" s="19">
        <v>17904</v>
      </c>
      <c r="L6" s="12">
        <v>3608</v>
      </c>
      <c r="M6" s="15">
        <v>1000679</v>
      </c>
      <c r="N6" s="19">
        <v>8060778</v>
      </c>
      <c r="O6" s="12">
        <f t="shared" si="0"/>
        <v>9061457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7</v>
      </c>
      <c r="B7" s="18">
        <v>1964</v>
      </c>
      <c r="C7" s="19">
        <v>0</v>
      </c>
      <c r="D7" s="19">
        <v>0</v>
      </c>
      <c r="E7" s="19">
        <v>31191</v>
      </c>
      <c r="F7" s="12">
        <v>0</v>
      </c>
      <c r="G7" s="15">
        <v>144037</v>
      </c>
      <c r="H7" s="19">
        <v>514853</v>
      </c>
      <c r="I7" s="15">
        <v>23580</v>
      </c>
      <c r="J7" s="15">
        <v>143093</v>
      </c>
      <c r="K7" s="19">
        <v>13497</v>
      </c>
      <c r="L7" s="12">
        <v>5780</v>
      </c>
      <c r="M7" s="15">
        <v>872215</v>
      </c>
      <c r="N7" s="19">
        <v>8058620</v>
      </c>
      <c r="O7" s="12">
        <f t="shared" si="0"/>
        <v>8930835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8</v>
      </c>
      <c r="B8" s="18">
        <v>888</v>
      </c>
      <c r="C8" s="19">
        <v>0</v>
      </c>
      <c r="D8" s="19">
        <v>4</v>
      </c>
      <c r="E8" s="19">
        <v>15730</v>
      </c>
      <c r="F8" s="12">
        <v>0</v>
      </c>
      <c r="G8" s="15">
        <v>320435</v>
      </c>
      <c r="H8" s="19">
        <v>434521</v>
      </c>
      <c r="I8" s="15">
        <v>18698</v>
      </c>
      <c r="J8" s="15">
        <v>116809</v>
      </c>
      <c r="K8" s="19">
        <v>11968</v>
      </c>
      <c r="L8" s="12">
        <v>4759</v>
      </c>
      <c r="M8" s="15">
        <v>919053</v>
      </c>
      <c r="N8" s="19">
        <v>9918938</v>
      </c>
      <c r="O8" s="12">
        <f t="shared" si="0"/>
        <v>10837991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9</v>
      </c>
      <c r="B9" s="18">
        <v>1441</v>
      </c>
      <c r="C9" s="19">
        <v>0</v>
      </c>
      <c r="D9" s="19">
        <v>0</v>
      </c>
      <c r="E9" s="19">
        <v>21185</v>
      </c>
      <c r="F9" s="12">
        <v>0</v>
      </c>
      <c r="G9" s="15">
        <v>229329</v>
      </c>
      <c r="H9" s="19">
        <v>601697</v>
      </c>
      <c r="I9" s="15">
        <v>37909</v>
      </c>
      <c r="J9" s="15">
        <v>154347</v>
      </c>
      <c r="K9" s="19">
        <v>13777</v>
      </c>
      <c r="L9" s="12">
        <v>13460</v>
      </c>
      <c r="M9" s="15">
        <v>1059685</v>
      </c>
      <c r="N9" s="19">
        <v>6879960</v>
      </c>
      <c r="O9" s="12">
        <f>SUM(M9:N9)</f>
        <v>7939645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10</v>
      </c>
      <c r="B10" s="18">
        <v>675</v>
      </c>
      <c r="C10" s="19">
        <v>0</v>
      </c>
      <c r="D10" s="19">
        <v>31</v>
      </c>
      <c r="E10" s="19">
        <v>14877</v>
      </c>
      <c r="F10" s="12">
        <v>0</v>
      </c>
      <c r="G10" s="15">
        <v>241020</v>
      </c>
      <c r="H10" s="19">
        <v>487598</v>
      </c>
      <c r="I10" s="15">
        <v>16396</v>
      </c>
      <c r="J10" s="15">
        <v>255416</v>
      </c>
      <c r="K10" s="19">
        <v>16784</v>
      </c>
      <c r="L10" s="12">
        <v>9930</v>
      </c>
      <c r="M10" s="15">
        <v>1032797</v>
      </c>
      <c r="N10" s="19">
        <v>7507027</v>
      </c>
      <c r="O10" s="12">
        <f t="shared" ref="O10:O14" si="1">SUM(M10:N10)</f>
        <v>8539824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11</v>
      </c>
      <c r="B11" s="18">
        <v>908</v>
      </c>
      <c r="C11" s="19">
        <v>0</v>
      </c>
      <c r="D11" s="19">
        <v>16</v>
      </c>
      <c r="E11" s="19">
        <v>13507</v>
      </c>
      <c r="F11" s="12">
        <v>0</v>
      </c>
      <c r="G11" s="15">
        <v>226998</v>
      </c>
      <c r="H11" s="19">
        <v>842062</v>
      </c>
      <c r="I11" s="15">
        <v>33970</v>
      </c>
      <c r="J11" s="15">
        <v>406871</v>
      </c>
      <c r="K11" s="19">
        <v>20248</v>
      </c>
      <c r="L11" s="12">
        <v>12053</v>
      </c>
      <c r="M11" s="15">
        <v>1544580</v>
      </c>
      <c r="N11" s="19">
        <v>9129514</v>
      </c>
      <c r="O11" s="12">
        <f t="shared" si="1"/>
        <v>10674094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12</v>
      </c>
      <c r="B12" s="18">
        <v>2658</v>
      </c>
      <c r="C12" s="19">
        <v>0</v>
      </c>
      <c r="D12" s="19">
        <v>4</v>
      </c>
      <c r="E12" s="19">
        <v>12698</v>
      </c>
      <c r="F12" s="12">
        <v>0</v>
      </c>
      <c r="G12" s="15">
        <v>238833</v>
      </c>
      <c r="H12" s="19">
        <v>981643</v>
      </c>
      <c r="I12" s="15">
        <v>20948</v>
      </c>
      <c r="J12" s="15">
        <v>445932</v>
      </c>
      <c r="K12" s="19">
        <v>20212</v>
      </c>
      <c r="L12" s="12">
        <v>11483</v>
      </c>
      <c r="M12" s="15">
        <v>1722928</v>
      </c>
      <c r="N12" s="19">
        <v>6670264</v>
      </c>
      <c r="O12" s="12">
        <f t="shared" si="1"/>
        <v>8393192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13</v>
      </c>
      <c r="B13" s="18">
        <v>3283</v>
      </c>
      <c r="C13" s="19">
        <v>0</v>
      </c>
      <c r="D13" s="19">
        <v>38</v>
      </c>
      <c r="E13" s="19">
        <v>12275</v>
      </c>
      <c r="F13" s="12">
        <v>0</v>
      </c>
      <c r="G13" s="15">
        <v>189898</v>
      </c>
      <c r="H13" s="19">
        <v>1084698</v>
      </c>
      <c r="I13" s="15">
        <v>18134</v>
      </c>
      <c r="J13" s="15">
        <v>342609</v>
      </c>
      <c r="K13" s="19">
        <v>16103</v>
      </c>
      <c r="L13" s="12">
        <v>7251</v>
      </c>
      <c r="M13" s="15">
        <v>1667038</v>
      </c>
      <c r="N13" s="19">
        <v>7870124</v>
      </c>
      <c r="O13" s="12">
        <f t="shared" si="1"/>
        <v>9537162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0" t="s">
        <v>0</v>
      </c>
      <c r="B14" s="20">
        <v>1283</v>
      </c>
      <c r="C14" s="17">
        <v>0</v>
      </c>
      <c r="D14" s="17">
        <v>20</v>
      </c>
      <c r="E14" s="17">
        <v>11393</v>
      </c>
      <c r="F14" s="16">
        <v>0</v>
      </c>
      <c r="G14" s="17">
        <v>164095</v>
      </c>
      <c r="H14" s="17">
        <v>624265</v>
      </c>
      <c r="I14" s="17">
        <v>37065</v>
      </c>
      <c r="J14" s="17">
        <v>245632</v>
      </c>
      <c r="K14" s="17">
        <v>24116</v>
      </c>
      <c r="L14" s="16">
        <v>17090</v>
      </c>
      <c r="M14" s="17">
        <v>1107869</v>
      </c>
      <c r="N14" s="17">
        <v>6210972</v>
      </c>
      <c r="O14" s="16">
        <f t="shared" si="1"/>
        <v>7318841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1" t="s">
        <v>21</v>
      </c>
      <c r="B15" s="22">
        <f>SUM(B3:B14)</f>
        <v>22248</v>
      </c>
      <c r="C15" s="23">
        <f t="shared" ref="C15:D15" si="2">SUM(C3:C14)</f>
        <v>0</v>
      </c>
      <c r="D15" s="23">
        <f t="shared" si="2"/>
        <v>175</v>
      </c>
      <c r="E15" s="23">
        <f t="shared" ref="E15:N15" si="3">SUM(E3:E14)</f>
        <v>211460</v>
      </c>
      <c r="F15" s="24">
        <f t="shared" si="3"/>
        <v>0</v>
      </c>
      <c r="G15" s="23">
        <f t="shared" si="3"/>
        <v>2299853</v>
      </c>
      <c r="H15" s="23">
        <f t="shared" ref="H15" si="4">SUM(H3:H14)</f>
        <v>8677528</v>
      </c>
      <c r="I15" s="23">
        <f t="shared" ref="I15" si="5">SUM(I3:I14)</f>
        <v>322459</v>
      </c>
      <c r="J15" s="23">
        <f t="shared" ref="J15" si="6">SUM(J3:J14)</f>
        <v>2911509</v>
      </c>
      <c r="K15" s="23">
        <f t="shared" ref="K15" si="7">SUM(K3:K14)</f>
        <v>237790</v>
      </c>
      <c r="L15" s="24">
        <f t="shared" ref="L15" si="8">SUM(L3:L14)</f>
        <v>100228</v>
      </c>
      <c r="M15" s="23">
        <f t="shared" si="3"/>
        <v>14683022</v>
      </c>
      <c r="N15" s="23">
        <f t="shared" si="3"/>
        <v>92614139</v>
      </c>
      <c r="O15" s="24">
        <f t="shared" si="0"/>
        <v>107297161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28</v>
      </c>
    </row>
    <row r="18" spans="1:1" x14ac:dyDescent="0.3">
      <c r="A18" s="1"/>
    </row>
    <row r="19" spans="1:1" x14ac:dyDescent="0.3">
      <c r="A19" s="1"/>
    </row>
  </sheetData>
  <mergeCells count="3">
    <mergeCell ref="M1:O1"/>
    <mergeCell ref="B1:F1"/>
    <mergeCell ref="G1:L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2010년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2026-07-16T08:07:57Z</dcterms:modified>
</cp:coreProperties>
</file>