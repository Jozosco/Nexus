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U.S\Historical Monthly Volume\Options\"/>
    </mc:Choice>
  </mc:AlternateContent>
  <bookViews>
    <workbookView xWindow="0" yWindow="0" windowWidth="25125" windowHeight="11640"/>
  </bookViews>
  <sheets>
    <sheet name="2014년" sheetId="1" r:id="rId1"/>
  </sheets>
  <calcPr calcId="162913"/>
</workbook>
</file>

<file path=xl/calcChain.xml><?xml version="1.0" encoding="utf-8"?>
<calcChain xmlns="http://schemas.openxmlformats.org/spreadsheetml/2006/main">
  <c r="O5" i="1" l="1"/>
  <c r="O14" i="1" l="1"/>
  <c r="O13" i="1"/>
  <c r="O12" i="1"/>
  <c r="O11" i="1"/>
  <c r="O10" i="1"/>
  <c r="O9" i="1"/>
  <c r="O8" i="1"/>
  <c r="O7" i="1"/>
  <c r="O6" i="1"/>
  <c r="O4" i="1"/>
  <c r="O3" i="1"/>
  <c r="C15" i="1"/>
  <c r="B15" i="1"/>
  <c r="D15" i="1" l="1"/>
  <c r="J15" i="1" l="1"/>
  <c r="F15" i="1"/>
  <c r="N15" i="1"/>
  <c r="I15" i="1"/>
  <c r="H15" i="1"/>
  <c r="G15" i="1"/>
  <c r="L15" i="1"/>
  <c r="K15" i="1"/>
  <c r="E15" i="1"/>
  <c r="M15" i="1"/>
  <c r="O15" i="1" l="1"/>
</calcChain>
</file>

<file path=xl/sharedStrings.xml><?xml version="1.0" encoding="utf-8"?>
<sst xmlns="http://schemas.openxmlformats.org/spreadsheetml/2006/main" count="36" uniqueCount="36">
  <si>
    <t>December</t>
  </si>
  <si>
    <t>Notes:</t>
  </si>
  <si>
    <t>**This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</si>
  <si>
    <t>Month</t>
    <phoneticPr fontId="18" type="noConversion"/>
  </si>
  <si>
    <t>US$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</si>
  <si>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</si>
  <si>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</si>
  <si>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</si>
  <si>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</si>
  <si>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</si>
  <si>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</si>
  <si>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</si>
  <si>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</si>
  <si>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</si>
  <si>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</si>
  <si>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</si>
  <si>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</si>
  <si>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</si>
  <si>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</si>
  <si>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</si>
  <si>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</si>
  <si>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Metals &amp; Grains</t>
  </si>
  <si>
    <t>Canola**</t>
  </si>
  <si>
    <t>Monthly Totals</t>
  </si>
  <si>
    <t>Overall</t>
  </si>
  <si>
    <t>Yearly Total</t>
    <phoneticPr fontId="18" type="noConversion"/>
  </si>
  <si>
    <t>*Equity derivatives include Russell and MSCI Index futures and options</t>
  </si>
  <si>
    <t>***Power contract volume is now reported using the new contract conversion methodology. Prior monthly power volumes have been adjusted for comparison purposes.</t>
  </si>
  <si>
    <t>CURRENCIES</t>
    <phoneticPr fontId="18" type="noConversion"/>
  </si>
  <si>
    <t>EQUITY DERIVATIVES*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</si>
  <si>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</si>
  <si>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</si>
  <si>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Gas &amp; Power***</t>
    <phoneticPr fontId="18" type="noConversion"/>
  </si>
  <si>
    <t>Options Energy</t>
    <phoneticPr fontId="18" type="noConversion"/>
  </si>
  <si>
    <t>Futures</t>
    <phoneticPr fontId="18" type="noConversion"/>
  </si>
  <si>
    <t>Options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</si>
</sst>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1" fillId="33" borderId="10" xfId="0" applyNumberFormat="1" applyFont="1" applyFill="1" applyBorder="1" applyAlignment="1">
      <alignment horizontal="center" vertical="center"/>
    </xf>
    <xf numFmtId="49" fontId="21" fillId="0" borderId="17" xfId="0" applyNumberFormat="1" applyFont="1" applyBorder="1">
      <alignment vertical="center"/>
    </xf>
    <xf numFmtId="177" fontId="21" fillId="0" borderId="16" xfId="0" applyNumberFormat="1" applyFont="1" applyBorder="1" applyAlignment="1">
      <alignment horizontal="center" vertical="center"/>
    </xf>
    <xf numFmtId="177" fontId="21" fillId="0" borderId="17" xfId="0" applyNumberFormat="1" applyFont="1" applyBorder="1" applyAlignment="1">
      <alignment horizontal="center" vertical="center"/>
    </xf>
    <xf numFmtId="177" fontId="21" fillId="0" borderId="18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21" fillId="0" borderId="23" xfId="0" applyNumberFormat="1" applyFont="1" applyBorder="1" applyAlignment="1">
      <alignment horizontal="center" vertical="center"/>
    </xf>
    <xf numFmtId="49" fontId="21" fillId="33" borderId="10" xfId="0" applyNumberFormat="1" applyFont="1" applyFill="1" applyBorder="1" applyAlignment="1">
      <alignment horizontal="center" vertical="center"/>
    </xf>
    <xf numFmtId="49" fontId="21" fillId="33" borderId="11" xfId="0" applyNumberFormat="1" applyFont="1" applyFill="1" applyBorder="1" applyAlignment="1">
      <alignment horizontal="center" vertical="center"/>
    </xf>
    <xf numFmtId="49" fontId="21" fillId="33" borderId="12" xfId="0" applyNumberFormat="1" applyFont="1" applyFill="1" applyBorder="1" applyAlignment="1">
      <alignment horizontal="center" vertical="center"/>
    </xf>
    <xf numFmtId="49" fontId="21" fillId="34" borderId="10" xfId="0" applyNumberFormat="1" applyFont="1" applyFill="1" applyBorder="1" applyAlignment="1">
      <alignment horizontal="center" vertical="center"/>
    </xf>
    <xf numFmtId="49" fontId="21" fillId="34" borderId="11" xfId="0" applyNumberFormat="1" applyFont="1" applyFill="1" applyBorder="1" applyAlignment="1">
      <alignment horizontal="center" vertical="center"/>
    </xf>
    <xf numFmtId="49" fontId="21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21.625" bestFit="1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5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34" t="s">
        <v>30</v>
      </c>
      <c r="C1" s="35"/>
      <c r="D1" s="36"/>
      <c r="E1" s="34" t="s">
        <v>31</v>
      </c>
      <c r="F1" s="35"/>
      <c r="G1" s="35"/>
      <c r="H1" s="35"/>
      <c r="I1" s="35"/>
      <c r="J1" s="35"/>
      <c r="K1" s="36"/>
      <c r="L1" s="22" t="s">
        <v>33</v>
      </c>
      <c r="M1" s="31" t="s">
        <v>23</v>
      </c>
      <c r="N1" s="32"/>
      <c r="O1" s="33"/>
    </row>
    <row r="2" spans="1:39" x14ac:dyDescent="0.3">
      <c r="A2" s="2" t="s">
        <v>3</v>
      </c>
      <c r="B2" s="12" t="s">
        <v>4</v>
      </c>
      <c r="C2" s="8" t="s">
        <v>29</v>
      </c>
      <c r="D2" s="9" t="s">
        <v>28</v>
      </c>
      <c r="E2" s="2" t="s">
        <v>16</v>
      </c>
      <c r="F2" s="10" t="s">
        <v>17</v>
      </c>
      <c r="G2" s="7" t="s">
        <v>18</v>
      </c>
      <c r="H2" s="2" t="s">
        <v>19</v>
      </c>
      <c r="I2" s="7" t="s">
        <v>20</v>
      </c>
      <c r="J2" s="2" t="s">
        <v>21</v>
      </c>
      <c r="K2" s="4" t="s">
        <v>22</v>
      </c>
      <c r="L2" s="27" t="s">
        <v>32</v>
      </c>
      <c r="M2" s="2" t="s">
        <v>35</v>
      </c>
      <c r="N2" s="7" t="s">
        <v>34</v>
      </c>
      <c r="O2" s="4" t="s">
        <v>24</v>
      </c>
    </row>
    <row r="3" spans="1:39" ht="15" customHeight="1" x14ac:dyDescent="0.3">
      <c r="A3" s="1" t="s">
        <v>5</v>
      </c>
      <c r="B3" s="14">
        <v>3868</v>
      </c>
      <c r="C3" s="15">
        <v>5305</v>
      </c>
      <c r="D3" s="13">
        <v>0</v>
      </c>
      <c r="E3" s="16">
        <v>171361</v>
      </c>
      <c r="F3" s="20">
        <v>526823</v>
      </c>
      <c r="G3" s="16">
        <v>87675</v>
      </c>
      <c r="H3" s="16">
        <v>221713</v>
      </c>
      <c r="I3" s="20">
        <v>12009</v>
      </c>
      <c r="J3" s="16">
        <v>0</v>
      </c>
      <c r="K3" s="13">
        <v>14295</v>
      </c>
      <c r="L3" s="28">
        <v>5156799</v>
      </c>
      <c r="M3" s="16">
        <v>6185553</v>
      </c>
      <c r="N3" s="20">
        <v>33305354</v>
      </c>
      <c r="O3" s="13">
        <f>SUM(M3:N3)</f>
        <v>39490907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6</v>
      </c>
      <c r="B4" s="19">
        <v>1746</v>
      </c>
      <c r="C4" s="20">
        <v>5314</v>
      </c>
      <c r="D4" s="13">
        <v>0</v>
      </c>
      <c r="E4" s="16">
        <v>373327</v>
      </c>
      <c r="F4" s="20">
        <v>611570</v>
      </c>
      <c r="G4" s="16">
        <v>57209</v>
      </c>
      <c r="H4" s="16">
        <v>131488</v>
      </c>
      <c r="I4" s="20">
        <v>11520</v>
      </c>
      <c r="J4" s="16">
        <v>0</v>
      </c>
      <c r="K4" s="13">
        <v>14476</v>
      </c>
      <c r="L4" s="28">
        <v>4027730</v>
      </c>
      <c r="M4" s="16">
        <v>5219904</v>
      </c>
      <c r="N4" s="20">
        <v>32087967</v>
      </c>
      <c r="O4" s="13">
        <f t="shared" ref="O4:O15" si="0">SUM(M4:N4)</f>
        <v>37307871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7</v>
      </c>
      <c r="B5" s="19">
        <v>1721</v>
      </c>
      <c r="C5" s="20">
        <v>4583</v>
      </c>
      <c r="D5" s="13">
        <v>0</v>
      </c>
      <c r="E5" s="16">
        <v>298821</v>
      </c>
      <c r="F5" s="20">
        <v>554388</v>
      </c>
      <c r="G5" s="16">
        <v>75836</v>
      </c>
      <c r="H5" s="16">
        <v>210137</v>
      </c>
      <c r="I5" s="20">
        <v>8556</v>
      </c>
      <c r="J5" s="16">
        <v>0</v>
      </c>
      <c r="K5" s="13">
        <v>17010</v>
      </c>
      <c r="L5" s="28">
        <v>1946946</v>
      </c>
      <c r="M5" s="16">
        <v>3100988</v>
      </c>
      <c r="N5" s="20">
        <v>23778711</v>
      </c>
      <c r="O5" s="13">
        <f t="shared" si="0"/>
        <v>26879699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8</v>
      </c>
      <c r="B6" s="19">
        <v>1866</v>
      </c>
      <c r="C6" s="20">
        <v>4508</v>
      </c>
      <c r="D6" s="13">
        <v>0</v>
      </c>
      <c r="E6" s="16">
        <v>245989</v>
      </c>
      <c r="F6" s="20">
        <v>367225</v>
      </c>
      <c r="G6" s="16">
        <v>49724</v>
      </c>
      <c r="H6" s="16">
        <v>125966</v>
      </c>
      <c r="I6" s="20">
        <v>8153</v>
      </c>
      <c r="J6" s="16">
        <v>0</v>
      </c>
      <c r="K6" s="13">
        <v>8817</v>
      </c>
      <c r="L6" s="28">
        <v>1765627</v>
      </c>
      <c r="M6" s="16">
        <v>2569058</v>
      </c>
      <c r="N6" s="20">
        <v>22525565</v>
      </c>
      <c r="O6" s="13">
        <f t="shared" si="0"/>
        <v>25094623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9</v>
      </c>
      <c r="B7" s="19">
        <v>1760</v>
      </c>
      <c r="C7" s="20">
        <v>8203</v>
      </c>
      <c r="D7" s="13">
        <v>0</v>
      </c>
      <c r="E7" s="16">
        <v>218168</v>
      </c>
      <c r="F7" s="20">
        <v>379464</v>
      </c>
      <c r="G7" s="16">
        <v>102746</v>
      </c>
      <c r="H7" s="16">
        <v>132050</v>
      </c>
      <c r="I7" s="20">
        <v>8547</v>
      </c>
      <c r="J7" s="16">
        <v>0</v>
      </c>
      <c r="K7" s="13">
        <v>4552</v>
      </c>
      <c r="L7" s="28">
        <v>1847565</v>
      </c>
      <c r="M7" s="16">
        <v>2698503</v>
      </c>
      <c r="N7" s="20">
        <v>21523331</v>
      </c>
      <c r="O7" s="13">
        <f t="shared" si="0"/>
        <v>24221834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10</v>
      </c>
      <c r="B8" s="19">
        <v>1718</v>
      </c>
      <c r="C8" s="20">
        <v>5605</v>
      </c>
      <c r="D8" s="13">
        <v>0</v>
      </c>
      <c r="E8" s="16">
        <v>184286</v>
      </c>
      <c r="F8" s="20">
        <v>398394</v>
      </c>
      <c r="G8" s="16">
        <v>89539</v>
      </c>
      <c r="H8" s="16">
        <v>135010</v>
      </c>
      <c r="I8" s="20">
        <v>8857</v>
      </c>
      <c r="J8" s="16">
        <v>0</v>
      </c>
      <c r="K8" s="13">
        <v>6755</v>
      </c>
      <c r="L8" s="28">
        <v>2043037</v>
      </c>
      <c r="M8" s="16">
        <v>2866446</v>
      </c>
      <c r="N8" s="20">
        <v>23541964</v>
      </c>
      <c r="O8" s="13">
        <f t="shared" si="0"/>
        <v>26408410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11</v>
      </c>
      <c r="B9" s="19">
        <v>1332</v>
      </c>
      <c r="C9" s="20">
        <v>6003</v>
      </c>
      <c r="D9" s="13">
        <v>0</v>
      </c>
      <c r="E9" s="16">
        <v>228873</v>
      </c>
      <c r="F9" s="20">
        <v>409437</v>
      </c>
      <c r="G9" s="16">
        <v>91899</v>
      </c>
      <c r="H9" s="16">
        <v>213010</v>
      </c>
      <c r="I9" s="20">
        <v>4597</v>
      </c>
      <c r="J9" s="16">
        <v>0</v>
      </c>
      <c r="K9" s="13">
        <v>12682</v>
      </c>
      <c r="L9" s="28">
        <v>2652601</v>
      </c>
      <c r="M9" s="16">
        <v>3607752</v>
      </c>
      <c r="N9" s="20">
        <v>21378009</v>
      </c>
      <c r="O9" s="13">
        <f>SUM(M9:N9)</f>
        <v>24985761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12</v>
      </c>
      <c r="B10" s="19">
        <v>1217</v>
      </c>
      <c r="C10" s="20">
        <v>8840</v>
      </c>
      <c r="D10" s="13">
        <v>0</v>
      </c>
      <c r="E10" s="16">
        <v>157741</v>
      </c>
      <c r="F10" s="20">
        <v>363924</v>
      </c>
      <c r="G10" s="16">
        <v>67947</v>
      </c>
      <c r="H10" s="16">
        <v>111202</v>
      </c>
      <c r="I10" s="20">
        <v>5991</v>
      </c>
      <c r="J10" s="16">
        <v>0</v>
      </c>
      <c r="K10" s="13">
        <v>8604</v>
      </c>
      <c r="L10" s="28">
        <v>2127385</v>
      </c>
      <c r="M10" s="16">
        <v>2844247</v>
      </c>
      <c r="N10" s="20">
        <v>20451519</v>
      </c>
      <c r="O10" s="13">
        <f t="shared" ref="O10:O14" si="1">SUM(M10:N10)</f>
        <v>23295766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13</v>
      </c>
      <c r="B11" s="19">
        <v>3248</v>
      </c>
      <c r="C11" s="20">
        <v>6933</v>
      </c>
      <c r="D11" s="13">
        <v>0</v>
      </c>
      <c r="E11" s="16">
        <v>207920</v>
      </c>
      <c r="F11" s="20">
        <v>478704</v>
      </c>
      <c r="G11" s="16">
        <v>112498</v>
      </c>
      <c r="H11" s="16">
        <v>172702</v>
      </c>
      <c r="I11" s="20">
        <v>2984</v>
      </c>
      <c r="J11" s="16">
        <v>0</v>
      </c>
      <c r="K11" s="13">
        <v>11320</v>
      </c>
      <c r="L11" s="28">
        <v>3905369</v>
      </c>
      <c r="M11" s="16">
        <v>4890358</v>
      </c>
      <c r="N11" s="20">
        <v>27546747</v>
      </c>
      <c r="O11" s="13">
        <f t="shared" si="1"/>
        <v>32437105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14</v>
      </c>
      <c r="B12" s="19">
        <v>1878</v>
      </c>
      <c r="C12" s="20">
        <v>7680</v>
      </c>
      <c r="D12" s="13">
        <v>0</v>
      </c>
      <c r="E12" s="16">
        <v>329914</v>
      </c>
      <c r="F12" s="20">
        <v>324686</v>
      </c>
      <c r="G12" s="16">
        <v>133425</v>
      </c>
      <c r="H12" s="16">
        <v>148473</v>
      </c>
      <c r="I12" s="20">
        <v>4616</v>
      </c>
      <c r="J12" s="16">
        <v>0</v>
      </c>
      <c r="K12" s="13">
        <v>11194</v>
      </c>
      <c r="L12" s="28">
        <v>4485219</v>
      </c>
      <c r="M12" s="16">
        <v>5435891</v>
      </c>
      <c r="N12" s="20">
        <v>27975602</v>
      </c>
      <c r="O12" s="13">
        <f t="shared" si="1"/>
        <v>33411493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15</v>
      </c>
      <c r="B13" s="19">
        <v>1359</v>
      </c>
      <c r="C13" s="20">
        <v>4585</v>
      </c>
      <c r="D13" s="13">
        <v>0</v>
      </c>
      <c r="E13" s="16">
        <v>164257</v>
      </c>
      <c r="F13" s="20">
        <v>247920</v>
      </c>
      <c r="G13" s="16">
        <v>73388</v>
      </c>
      <c r="H13" s="16">
        <v>100525</v>
      </c>
      <c r="I13" s="20">
        <v>6888</v>
      </c>
      <c r="J13" s="16">
        <v>0</v>
      </c>
      <c r="K13" s="13">
        <v>5419</v>
      </c>
      <c r="L13" s="28">
        <v>5210078</v>
      </c>
      <c r="M13" s="16">
        <v>5809000</v>
      </c>
      <c r="N13" s="20">
        <v>26845582</v>
      </c>
      <c r="O13" s="13">
        <f t="shared" si="1"/>
        <v>32654582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1" t="s">
        <v>0</v>
      </c>
      <c r="B14" s="21">
        <v>1686</v>
      </c>
      <c r="C14" s="18">
        <v>6065</v>
      </c>
      <c r="D14" s="17">
        <v>0</v>
      </c>
      <c r="E14" s="18">
        <v>153111</v>
      </c>
      <c r="F14" s="18">
        <v>303001</v>
      </c>
      <c r="G14" s="18">
        <v>51389</v>
      </c>
      <c r="H14" s="18">
        <v>82769</v>
      </c>
      <c r="I14" s="18">
        <v>4841</v>
      </c>
      <c r="J14" s="18">
        <v>0</v>
      </c>
      <c r="K14" s="17">
        <v>6579</v>
      </c>
      <c r="L14" s="29">
        <v>4315921</v>
      </c>
      <c r="M14" s="18">
        <v>4918783</v>
      </c>
      <c r="N14" s="18">
        <v>27016573</v>
      </c>
      <c r="O14" s="17">
        <f t="shared" si="1"/>
        <v>31935356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3" t="s">
        <v>25</v>
      </c>
      <c r="B15" s="24">
        <f>SUM(B3:B14)</f>
        <v>23399</v>
      </c>
      <c r="C15" s="25">
        <f t="shared" ref="C15:N15" si="2">SUM(C3:C14)</f>
        <v>73624</v>
      </c>
      <c r="D15" s="26">
        <f t="shared" si="2"/>
        <v>0</v>
      </c>
      <c r="E15" s="25">
        <f t="shared" si="2"/>
        <v>2733768</v>
      </c>
      <c r="F15" s="25">
        <f t="shared" ref="F15" si="3">SUM(F3:F14)</f>
        <v>4965536</v>
      </c>
      <c r="G15" s="25">
        <f t="shared" ref="G15" si="4">SUM(G3:G14)</f>
        <v>993275</v>
      </c>
      <c r="H15" s="25">
        <f t="shared" ref="H15" si="5">SUM(H3:H14)</f>
        <v>1785045</v>
      </c>
      <c r="I15" s="25">
        <f t="shared" ref="I15" si="6">SUM(I3:I14)</f>
        <v>87559</v>
      </c>
      <c r="J15" s="25">
        <f t="shared" ref="J15" si="7">SUM(J3:J14)</f>
        <v>0</v>
      </c>
      <c r="K15" s="26">
        <f t="shared" ref="K15" si="8">SUM(K3:K14)</f>
        <v>121703</v>
      </c>
      <c r="L15" s="30">
        <f t="shared" si="2"/>
        <v>39484277</v>
      </c>
      <c r="M15" s="25">
        <f t="shared" si="2"/>
        <v>50146483</v>
      </c>
      <c r="N15" s="25">
        <f t="shared" si="2"/>
        <v>307976924</v>
      </c>
      <c r="O15" s="26">
        <f t="shared" si="0"/>
        <v>358123407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26</v>
      </c>
    </row>
    <row r="18" spans="1:1" x14ac:dyDescent="0.3">
      <c r="A18" s="5" t="s">
        <v>2</v>
      </c>
    </row>
    <row r="19" spans="1:1" x14ac:dyDescent="0.3">
      <c r="A19" s="6" t="s">
        <v>27</v>
      </c>
    </row>
    <row r="20" spans="1:1" x14ac:dyDescent="0.3">
      <c r="A20" s="1"/>
    </row>
    <row r="21" spans="1:1" x14ac:dyDescent="0.3">
      <c r="A21" s="1"/>
    </row>
  </sheetData>
  <mergeCells count="3">
    <mergeCell ref="M1:O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2014년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2026-07-16T07:35:17Z</dcterms:modified>
</cp:coreProperties>
</file>