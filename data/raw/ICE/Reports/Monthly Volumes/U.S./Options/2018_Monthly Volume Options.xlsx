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18년" sheetId="1" r:id="rId1"/>
  </sheets>
  <calcPr calcId="162913"/>
</workbook>
</file>

<file path=xl/calcChain.xml><?xml version="1.0" encoding="utf-8"?>
<calcChain xmlns="http://schemas.openxmlformats.org/spreadsheetml/2006/main">
  <c r="O11" i="1" l="1"/>
  <c r="O5" i="1" l="1"/>
  <c r="O14" i="1" l="1"/>
  <c r="O13" i="1"/>
  <c r="O12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<sst xmlns="http://schemas.openxmlformats.org/spreadsheetml/2006/main" count="36" uniqueCount="36">
  <si>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</si>
  <si>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</si>
  <si>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</si>
  <si>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</si>
  <si>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</si>
  <si>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</si>
  <si>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</si>
  <si>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</si>
  <si>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</si>
  <si>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</si>
  <si>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</si>
  <si>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</si>
  <si>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</si>
  <si>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</si>
  <si>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</si>
  <si>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</si>
  <si>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</si>
  <si>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</si>
  <si>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</si>
  <si>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</si>
  <si>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</si>
  <si>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</si>
  <si>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Canola**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</si>
  <si>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</si>
  <si>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</si>
  <si>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</si>
  <si>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</si>
  <si>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***Power contract volume is now reported using the new contract conversion methodology. Prior monthly power volumes have been adjusted for comparison purposes.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</si>
  <si>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</si>
  <si>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</si>
  <si>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</si>
  <si>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</si>
  <si>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Gas &amp; Power***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</si>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</sst>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1" fillId="0" borderId="23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0" t="s">
        <v>30</v>
      </c>
      <c r="C1" s="31"/>
      <c r="D1" s="32"/>
      <c r="E1" s="30" t="s">
        <v>31</v>
      </c>
      <c r="F1" s="31"/>
      <c r="G1" s="31"/>
      <c r="H1" s="31"/>
      <c r="I1" s="31"/>
      <c r="J1" s="31"/>
      <c r="K1" s="32"/>
      <c r="L1" s="22" t="s">
        <v>33</v>
      </c>
      <c r="M1" s="27" t="s">
        <v>23</v>
      </c>
      <c r="N1" s="29"/>
      <c r="O1" s="28"/>
    </row>
    <row r="2" spans="1:39" x14ac:dyDescent="0.3">
      <c r="A2" s="2" t="s">
        <v>3</v>
      </c>
      <c r="B2" s="12" t="s">
        <v>4</v>
      </c>
      <c r="C2" s="8" t="s">
        <v>29</v>
      </c>
      <c r="D2" s="9" t="s">
        <v>28</v>
      </c>
      <c r="E2" s="2" t="s">
        <v>16</v>
      </c>
      <c r="F2" s="10" t="s">
        <v>17</v>
      </c>
      <c r="G2" s="7" t="s">
        <v>18</v>
      </c>
      <c r="H2" s="2" t="s">
        <v>19</v>
      </c>
      <c r="I2" s="7" t="s">
        <v>20</v>
      </c>
      <c r="J2" s="2" t="s">
        <v>21</v>
      </c>
      <c r="K2" s="4" t="s">
        <v>22</v>
      </c>
      <c r="L2" s="33" t="s">
        <v>32</v>
      </c>
      <c r="M2" s="2" t="s">
        <v>35</v>
      </c>
      <c r="N2" s="7" t="s">
        <v>34</v>
      </c>
      <c r="O2" s="4" t="s">
        <v>24</v>
      </c>
    </row>
    <row r="3" spans="1:39" ht="15" customHeight="1" x14ac:dyDescent="0.3">
      <c r="A3" s="1" t="s">
        <v>5</v>
      </c>
      <c r="B3" s="14">
        <v>648</v>
      </c>
      <c r="C3" s="15">
        <v>0</v>
      </c>
      <c r="D3" s="13">
        <v>0</v>
      </c>
      <c r="E3" s="16">
        <v>213856</v>
      </c>
      <c r="F3" s="20">
        <v>522185</v>
      </c>
      <c r="G3" s="16">
        <v>112743</v>
      </c>
      <c r="H3" s="16">
        <v>298716</v>
      </c>
      <c r="I3" s="20">
        <v>6835</v>
      </c>
      <c r="J3" s="16">
        <v>0</v>
      </c>
      <c r="K3" s="13">
        <v>7977</v>
      </c>
      <c r="L3" s="34">
        <v>5253576</v>
      </c>
      <c r="M3" s="16">
        <v>6408559</v>
      </c>
      <c r="N3" s="20">
        <v>27469371</v>
      </c>
      <c r="O3" s="13">
        <f>SUM(M3:N3)</f>
        <v>33877930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6</v>
      </c>
      <c r="B4" s="19">
        <v>341</v>
      </c>
      <c r="C4" s="20">
        <v>0</v>
      </c>
      <c r="D4" s="13">
        <v>0</v>
      </c>
      <c r="E4" s="16">
        <v>188952</v>
      </c>
      <c r="F4" s="20">
        <v>321515</v>
      </c>
      <c r="G4" s="16">
        <v>82015</v>
      </c>
      <c r="H4" s="16">
        <v>151263</v>
      </c>
      <c r="I4" s="20">
        <v>6653</v>
      </c>
      <c r="J4" s="16">
        <v>0</v>
      </c>
      <c r="K4" s="13">
        <v>7079</v>
      </c>
      <c r="L4" s="34">
        <v>4123797</v>
      </c>
      <c r="M4" s="16">
        <v>4874536</v>
      </c>
      <c r="N4" s="20">
        <v>24680376</v>
      </c>
      <c r="O4" s="13">
        <f t="shared" ref="O4:O15" si="0">SUM(M4:N4)</f>
        <v>29554912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7</v>
      </c>
      <c r="B5" s="19">
        <v>422</v>
      </c>
      <c r="C5" s="20">
        <v>300</v>
      </c>
      <c r="D5" s="13">
        <v>0</v>
      </c>
      <c r="E5" s="16">
        <v>173246</v>
      </c>
      <c r="F5" s="20">
        <v>421161</v>
      </c>
      <c r="G5" s="16">
        <v>173552</v>
      </c>
      <c r="H5" s="16">
        <v>166608</v>
      </c>
      <c r="I5" s="20">
        <v>3724</v>
      </c>
      <c r="J5" s="16">
        <v>0</v>
      </c>
      <c r="K5" s="13">
        <v>9155</v>
      </c>
      <c r="L5" s="34">
        <v>1719694</v>
      </c>
      <c r="M5" s="16">
        <v>2658707</v>
      </c>
      <c r="N5" s="20">
        <v>24545199</v>
      </c>
      <c r="O5" s="13">
        <f t="shared" si="0"/>
        <v>27203906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8</v>
      </c>
      <c r="B6" s="19">
        <v>164</v>
      </c>
      <c r="C6" s="20">
        <v>0</v>
      </c>
      <c r="D6" s="13">
        <v>0</v>
      </c>
      <c r="E6" s="16">
        <v>213430</v>
      </c>
      <c r="F6" s="20">
        <v>463112</v>
      </c>
      <c r="G6" s="16">
        <v>134549</v>
      </c>
      <c r="H6" s="16">
        <v>193755</v>
      </c>
      <c r="I6" s="20">
        <v>6219</v>
      </c>
      <c r="J6" s="16">
        <v>0</v>
      </c>
      <c r="K6" s="13">
        <v>4713</v>
      </c>
      <c r="L6" s="34">
        <v>1206508</v>
      </c>
      <c r="M6" s="16">
        <v>2217737</v>
      </c>
      <c r="N6" s="20">
        <v>23342322</v>
      </c>
      <c r="O6" s="13">
        <f t="shared" si="0"/>
        <v>25560059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9</v>
      </c>
      <c r="B7" s="19">
        <v>553</v>
      </c>
      <c r="C7" s="20">
        <v>0</v>
      </c>
      <c r="D7" s="13">
        <v>0</v>
      </c>
      <c r="E7" s="16">
        <v>342973</v>
      </c>
      <c r="F7" s="20">
        <v>532976</v>
      </c>
      <c r="G7" s="16">
        <v>133244</v>
      </c>
      <c r="H7" s="16">
        <v>402630</v>
      </c>
      <c r="I7" s="20">
        <v>5300</v>
      </c>
      <c r="J7" s="16">
        <v>0</v>
      </c>
      <c r="K7" s="13">
        <v>25477</v>
      </c>
      <c r="L7" s="34">
        <v>1267283</v>
      </c>
      <c r="M7" s="16">
        <v>2684959</v>
      </c>
      <c r="N7" s="20">
        <v>22244759</v>
      </c>
      <c r="O7" s="13">
        <f t="shared" si="0"/>
        <v>24929718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10</v>
      </c>
      <c r="B8" s="19">
        <v>75</v>
      </c>
      <c r="C8" s="20">
        <v>0</v>
      </c>
      <c r="D8" s="13">
        <v>0</v>
      </c>
      <c r="E8" s="16">
        <v>277301</v>
      </c>
      <c r="F8" s="20">
        <v>408978</v>
      </c>
      <c r="G8" s="16">
        <v>118520</v>
      </c>
      <c r="H8" s="16">
        <v>335120</v>
      </c>
      <c r="I8" s="20">
        <v>4298</v>
      </c>
      <c r="J8" s="16">
        <v>0</v>
      </c>
      <c r="K8" s="13">
        <v>4648</v>
      </c>
      <c r="L8" s="34">
        <v>1313761</v>
      </c>
      <c r="M8" s="16">
        <v>2458053</v>
      </c>
      <c r="N8" s="20">
        <v>25990759</v>
      </c>
      <c r="O8" s="13">
        <f t="shared" si="0"/>
        <v>28448812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11</v>
      </c>
      <c r="B9" s="19">
        <v>843</v>
      </c>
      <c r="C9" s="20">
        <v>0</v>
      </c>
      <c r="D9" s="13">
        <v>0</v>
      </c>
      <c r="E9" s="16">
        <v>321916</v>
      </c>
      <c r="F9" s="20">
        <v>406594</v>
      </c>
      <c r="G9" s="16">
        <v>123480</v>
      </c>
      <c r="H9" s="16">
        <v>136742</v>
      </c>
      <c r="I9" s="20">
        <v>3789</v>
      </c>
      <c r="J9" s="16">
        <v>0</v>
      </c>
      <c r="K9" s="13">
        <v>157</v>
      </c>
      <c r="L9" s="34">
        <v>1138719</v>
      </c>
      <c r="M9" s="16">
        <v>2132083</v>
      </c>
      <c r="N9" s="20">
        <v>17124568</v>
      </c>
      <c r="O9" s="13">
        <f>SUM(M9:N9)</f>
        <v>19256651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12</v>
      </c>
      <c r="B10" s="19">
        <v>822</v>
      </c>
      <c r="C10" s="20">
        <v>0</v>
      </c>
      <c r="D10" s="13">
        <v>0</v>
      </c>
      <c r="E10" s="16">
        <v>356687</v>
      </c>
      <c r="F10" s="20">
        <v>433822</v>
      </c>
      <c r="G10" s="16">
        <v>103452</v>
      </c>
      <c r="H10" s="16">
        <v>169533</v>
      </c>
      <c r="I10" s="20">
        <v>6731</v>
      </c>
      <c r="J10" s="16">
        <v>0</v>
      </c>
      <c r="K10" s="13">
        <v>7132</v>
      </c>
      <c r="L10" s="34">
        <v>1518759</v>
      </c>
      <c r="M10" s="16">
        <v>2596938</v>
      </c>
      <c r="N10" s="20">
        <v>22836661</v>
      </c>
      <c r="O10" s="13">
        <f t="shared" ref="O10:O14" si="1">SUM(M10:N10)</f>
        <v>25433599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13</v>
      </c>
      <c r="B11" s="19">
        <v>133</v>
      </c>
      <c r="C11" s="20">
        <v>0</v>
      </c>
      <c r="D11" s="13">
        <v>0</v>
      </c>
      <c r="E11" s="16">
        <v>233813</v>
      </c>
      <c r="F11" s="20">
        <v>556941</v>
      </c>
      <c r="G11" s="16">
        <v>76842</v>
      </c>
      <c r="H11" s="16">
        <v>139941</v>
      </c>
      <c r="I11" s="20">
        <v>4070</v>
      </c>
      <c r="J11" s="16">
        <v>0</v>
      </c>
      <c r="K11" s="13">
        <v>6795</v>
      </c>
      <c r="L11" s="34">
        <v>1760601</v>
      </c>
      <c r="M11" s="16">
        <v>2779136</v>
      </c>
      <c r="N11" s="20">
        <v>28111865</v>
      </c>
      <c r="O11" s="13">
        <f t="shared" si="1"/>
        <v>30891001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14</v>
      </c>
      <c r="B12" s="19">
        <v>157</v>
      </c>
      <c r="C12" s="20">
        <v>0</v>
      </c>
      <c r="D12" s="13">
        <v>0</v>
      </c>
      <c r="E12" s="16">
        <v>427458</v>
      </c>
      <c r="F12" s="20">
        <v>889913</v>
      </c>
      <c r="G12" s="16">
        <v>161031</v>
      </c>
      <c r="H12" s="16">
        <v>166633</v>
      </c>
      <c r="I12" s="20">
        <v>4789</v>
      </c>
      <c r="J12" s="16">
        <v>0</v>
      </c>
      <c r="K12" s="13">
        <v>13379</v>
      </c>
      <c r="L12" s="34">
        <v>2879529</v>
      </c>
      <c r="M12" s="16">
        <v>4542889</v>
      </c>
      <c r="N12" s="20">
        <v>29579000</v>
      </c>
      <c r="O12" s="13">
        <f t="shared" si="1"/>
        <v>34121889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15</v>
      </c>
      <c r="B13" s="19">
        <v>115</v>
      </c>
      <c r="C13" s="20">
        <v>0</v>
      </c>
      <c r="D13" s="13">
        <v>0</v>
      </c>
      <c r="E13" s="16">
        <v>242496</v>
      </c>
      <c r="F13" s="20">
        <v>492311</v>
      </c>
      <c r="G13" s="16">
        <v>120437</v>
      </c>
      <c r="H13" s="16">
        <v>121405</v>
      </c>
      <c r="I13" s="20">
        <v>3502</v>
      </c>
      <c r="J13" s="16">
        <v>0</v>
      </c>
      <c r="K13" s="13">
        <v>7952</v>
      </c>
      <c r="L13" s="34">
        <v>3626498</v>
      </c>
      <c r="M13" s="16">
        <v>4614716</v>
      </c>
      <c r="N13" s="20">
        <v>28472485</v>
      </c>
      <c r="O13" s="13">
        <f t="shared" si="1"/>
        <v>33087201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1" t="s">
        <v>0</v>
      </c>
      <c r="B14" s="21">
        <v>1435</v>
      </c>
      <c r="C14" s="18">
        <v>0</v>
      </c>
      <c r="D14" s="17">
        <v>0</v>
      </c>
      <c r="E14" s="18">
        <v>189143</v>
      </c>
      <c r="F14" s="18">
        <v>292450</v>
      </c>
      <c r="G14" s="18">
        <v>92886</v>
      </c>
      <c r="H14" s="18">
        <v>129252</v>
      </c>
      <c r="I14" s="18">
        <v>4715</v>
      </c>
      <c r="J14" s="18">
        <v>0</v>
      </c>
      <c r="K14" s="17">
        <v>5284</v>
      </c>
      <c r="L14" s="35">
        <v>2218478</v>
      </c>
      <c r="M14" s="18">
        <v>2933643</v>
      </c>
      <c r="N14" s="18">
        <v>23780328</v>
      </c>
      <c r="O14" s="17">
        <f t="shared" si="1"/>
        <v>26713971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3" t="s">
        <v>25</v>
      </c>
      <c r="B15" s="24">
        <f>SUM(B3:B14)</f>
        <v>5708</v>
      </c>
      <c r="C15" s="25">
        <f t="shared" ref="C15:N15" si="2">SUM(C3:C14)</f>
        <v>300</v>
      </c>
      <c r="D15" s="26">
        <f t="shared" si="2"/>
        <v>0</v>
      </c>
      <c r="E15" s="25">
        <f t="shared" si="2"/>
        <v>3181271</v>
      </c>
      <c r="F15" s="25">
        <f t="shared" ref="F15" si="3">SUM(F3:F14)</f>
        <v>5741958</v>
      </c>
      <c r="G15" s="25">
        <f t="shared" ref="G15" si="4">SUM(G3:G14)</f>
        <v>1432751</v>
      </c>
      <c r="H15" s="25">
        <f t="shared" ref="H15" si="5">SUM(H3:H14)</f>
        <v>2411598</v>
      </c>
      <c r="I15" s="25">
        <f t="shared" ref="I15" si="6">SUM(I3:I14)</f>
        <v>60625</v>
      </c>
      <c r="J15" s="25">
        <f t="shared" ref="J15" si="7">SUM(J3:J14)</f>
        <v>0</v>
      </c>
      <c r="K15" s="26">
        <f t="shared" ref="K15" si="8">SUM(K3:K14)</f>
        <v>99748</v>
      </c>
      <c r="L15" s="36">
        <f t="shared" si="2"/>
        <v>28027203</v>
      </c>
      <c r="M15" s="25">
        <f t="shared" si="2"/>
        <v>40901956</v>
      </c>
      <c r="N15" s="25">
        <f t="shared" si="2"/>
        <v>298177693</v>
      </c>
      <c r="O15" s="26">
        <f t="shared" si="0"/>
        <v>339079649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26</v>
      </c>
    </row>
    <row r="18" spans="1:1" x14ac:dyDescent="0.3">
      <c r="A18" s="5" t="s">
        <v>2</v>
      </c>
    </row>
    <row r="19" spans="1:1" x14ac:dyDescent="0.3">
      <c r="A19" s="6" t="s">
        <v>27</v>
      </c>
    </row>
    <row r="20" spans="1:1" x14ac:dyDescent="0.3">
      <c r="A20" s="1"/>
    </row>
    <row r="21" spans="1:1" x14ac:dyDescent="0.3">
      <c r="A21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2026-06-23T05:30:46Z</dcterms:modified>
</cp:coreProperties>
</file>