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Historical Monthly Volume\Options\"/>
    </mc:Choice>
  </mc:AlternateContent>
  <bookViews>
    <workbookView xWindow="0" yWindow="0" windowWidth="25125" windowHeight="11640"/>
  </bookViews>
  <sheets>
    <sheet name="2019년" sheetId="1" r:id="rId1"/>
  </sheets>
  <calcPr calcId="162913"/>
</workbook>
</file>

<file path=xl/calcChain.xml><?xml version="1.0" encoding="utf-8"?>
<calcChain xmlns="http://schemas.openxmlformats.org/spreadsheetml/2006/main">
  <c r="N15" i="1" l="1"/>
  <c r="O7" i="1"/>
  <c r="O11" i="1"/>
  <c r="O5" i="1" l="1"/>
  <c r="O14" i="1" l="1"/>
  <c r="O13" i="1"/>
  <c r="O12" i="1"/>
  <c r="O10" i="1"/>
  <c r="O9" i="1"/>
  <c r="O8" i="1"/>
  <c r="O6" i="1"/>
  <c r="O4" i="1"/>
  <c r="O3" i="1"/>
  <c r="C15" i="1"/>
  <c r="B15" i="1"/>
  <c r="D15" i="1" l="1"/>
  <c r="J15" i="1" l="1"/>
  <c r="F15" i="1"/>
  <c r="I15" i="1"/>
  <c r="H15" i="1"/>
  <c r="G15" i="1"/>
  <c r="L15" i="1"/>
  <c r="K15" i="1"/>
  <c r="E15" i="1"/>
  <c r="M15" i="1"/>
  <c r="O15" i="1" l="1"/>
</calcChain>
</file>

<file path=xl/sharedStrings.xml><?xml version="1.0" encoding="utf-8"?>
<sst xmlns="http://schemas.openxmlformats.org/spreadsheetml/2006/main" count="35" uniqueCount="35">
  <si>
    <t>December</t>
  </si>
  <si>
    <t>Notes:</t>
  </si>
  <si>
    <t>Month</t>
    <phoneticPr fontId="18" type="noConversion"/>
  </si>
  <si>
    <t>US$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</si>
  <si>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</si>
  <si>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</si>
  <si>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</si>
  <si>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</si>
  <si>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</si>
  <si>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</si>
  <si>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</si>
  <si>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</si>
  <si>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</si>
  <si>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</si>
  <si>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</si>
  <si>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Coffee</t>
  </si>
  <si>
    <t>Sugar</t>
  </si>
  <si>
    <t>Cocoa</t>
  </si>
  <si>
    <t>Cotton</t>
  </si>
  <si>
    <t>FCOJ</t>
  </si>
  <si>
    <t>Metals &amp; Grains</t>
  </si>
  <si>
    <t>Monthly Totals</t>
  </si>
  <si>
    <t>Overall</t>
  </si>
  <si>
    <t>Yearly Total</t>
    <phoneticPr fontId="18" type="noConversion"/>
  </si>
  <si>
    <t>*Equity derivatives include Russell and MSCI Index futures and options</t>
  </si>
  <si>
    <t>CURRENCIES</t>
    <phoneticPr fontId="18" type="noConversion"/>
  </si>
  <si>
    <t>EQUITY DERIVATIVES*</t>
    <phoneticPr fontId="18" type="noConversion"/>
  </si>
  <si>
    <t>Options Financial Products</t>
    <phoneticPr fontId="18" type="noConversion"/>
  </si>
  <si>
    <t>Options Agricultural Products</t>
    <phoneticPr fontId="18" type="noConversion"/>
  </si>
  <si>
    <t>Options Energy</t>
    <phoneticPr fontId="18" type="noConversion"/>
  </si>
  <si>
    <t>Futures</t>
    <phoneticPr fontId="18" type="noConversion"/>
  </si>
  <si>
    <t>Options</t>
    <phoneticPr fontId="18" type="noConversion"/>
  </si>
  <si>
    <t>**Power contract volume is now reported using the new contract conversion methodology. Prior monthly power volumes have been adjusted for comparison purposes.</t>
  </si>
  <si>
    <t>Canola</t>
    <phoneticPr fontId="18" type="noConversion"/>
  </si>
  <si>
    <t>Gas &amp; Power**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</si>
</sst>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177" fontId="0" fillId="0" borderId="22" xfId="0" applyNumberFormat="1" applyBorder="1" applyAlignment="1">
      <alignment horizontal="center" vertical="center"/>
    </xf>
    <xf numFmtId="177" fontId="0" fillId="0" borderId="23" xfId="0" applyNumberFormat="1" applyBorder="1" applyAlignment="1">
      <alignment horizontal="center" vertical="center"/>
    </xf>
    <xf numFmtId="177" fontId="20" fillId="0" borderId="23" xfId="0" applyNumberFormat="1" applyFont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0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6" bestFit="1" customWidth="1"/>
    <col min="3" max="3" width="21.625" bestFit="1" customWidth="1"/>
    <col min="4" max="4" width="20.75" bestFit="1" customWidth="1"/>
    <col min="5" max="5" width="12.5" bestFit="1" customWidth="1"/>
    <col min="6" max="7" width="12.625" bestFit="1" customWidth="1"/>
    <col min="8" max="8" width="12.5" bestFit="1" customWidth="1"/>
    <col min="9" max="9" width="9.125" bestFit="1" customWidth="1"/>
    <col min="10" max="10" width="15.875" bestFit="1" customWidth="1"/>
    <col min="11" max="11" width="12.5" bestFit="1" customWidth="1"/>
    <col min="12" max="12" width="15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</cols>
  <sheetData>
    <row r="1" spans="1:39" x14ac:dyDescent="0.3">
      <c r="A1" s="1"/>
      <c r="B1" s="33" t="s">
        <v>27</v>
      </c>
      <c r="C1" s="34"/>
      <c r="D1" s="35"/>
      <c r="E1" s="33" t="s">
        <v>28</v>
      </c>
      <c r="F1" s="34"/>
      <c r="G1" s="34"/>
      <c r="H1" s="34"/>
      <c r="I1" s="34"/>
      <c r="J1" s="34"/>
      <c r="K1" s="35"/>
      <c r="L1" s="21" t="s">
        <v>29</v>
      </c>
      <c r="M1" s="30" t="s">
        <v>21</v>
      </c>
      <c r="N1" s="31"/>
      <c r="O1" s="32"/>
    </row>
    <row r="2" spans="1:39" x14ac:dyDescent="0.3">
      <c r="A2" s="2" t="s">
        <v>2</v>
      </c>
      <c r="B2" s="11" t="s">
        <v>3</v>
      </c>
      <c r="C2" s="7" t="s">
        <v>26</v>
      </c>
      <c r="D2" s="8" t="s">
        <v>25</v>
      </c>
      <c r="E2" s="2" t="s">
        <v>15</v>
      </c>
      <c r="F2" s="9" t="s">
        <v>16</v>
      </c>
      <c r="G2" s="6" t="s">
        <v>17</v>
      </c>
      <c r="H2" s="2" t="s">
        <v>18</v>
      </c>
      <c r="I2" s="6" t="s">
        <v>19</v>
      </c>
      <c r="J2" s="2" t="s">
        <v>20</v>
      </c>
      <c r="K2" s="4" t="s">
        <v>33</v>
      </c>
      <c r="L2" s="26" t="s">
        <v>34</v>
      </c>
      <c r="M2" s="2" t="s">
        <v>31</v>
      </c>
      <c r="N2" s="6" t="s">
        <v>30</v>
      </c>
      <c r="O2" s="4" t="s">
        <v>22</v>
      </c>
    </row>
    <row r="3" spans="1:39" ht="15" customHeight="1" x14ac:dyDescent="0.3">
      <c r="A3" s="1" t="s">
        <v>4</v>
      </c>
      <c r="B3" s="13">
        <v>193</v>
      </c>
      <c r="C3" s="14">
        <v>0</v>
      </c>
      <c r="D3" s="12">
        <v>0</v>
      </c>
      <c r="E3" s="15">
        <v>307677</v>
      </c>
      <c r="F3" s="19">
        <v>570964</v>
      </c>
      <c r="G3" s="15">
        <v>137052</v>
      </c>
      <c r="H3" s="15">
        <v>121699</v>
      </c>
      <c r="I3" s="19">
        <v>2226</v>
      </c>
      <c r="J3" s="15">
        <v>0</v>
      </c>
      <c r="K3" s="12">
        <v>3061</v>
      </c>
      <c r="L3" s="27">
        <v>2954422</v>
      </c>
      <c r="M3" s="15">
        <v>4097294</v>
      </c>
      <c r="N3" s="19">
        <v>24406058</v>
      </c>
      <c r="O3" s="12">
        <f>SUM(M3:N3)</f>
        <v>28503352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15" customHeight="1" x14ac:dyDescent="0.3">
      <c r="A4" s="1" t="s">
        <v>5</v>
      </c>
      <c r="B4" s="18">
        <v>807</v>
      </c>
      <c r="C4" s="19">
        <v>0</v>
      </c>
      <c r="D4" s="12">
        <v>0</v>
      </c>
      <c r="E4" s="15">
        <v>298851</v>
      </c>
      <c r="F4" s="19">
        <v>433287</v>
      </c>
      <c r="G4" s="15">
        <v>86761</v>
      </c>
      <c r="H4" s="15">
        <v>98414</v>
      </c>
      <c r="I4" s="19">
        <v>5048</v>
      </c>
      <c r="J4" s="15">
        <v>0</v>
      </c>
      <c r="K4" s="12">
        <v>11451</v>
      </c>
      <c r="L4" s="27">
        <v>1811168</v>
      </c>
      <c r="M4" s="15">
        <v>2745787</v>
      </c>
      <c r="N4" s="19">
        <v>21504619</v>
      </c>
      <c r="O4" s="12">
        <f t="shared" ref="O4:O15" si="0">SUM(M4:N4)</f>
        <v>24250406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ht="15" customHeight="1" x14ac:dyDescent="0.3">
      <c r="A5" s="1" t="s">
        <v>6</v>
      </c>
      <c r="B5" s="18">
        <v>987</v>
      </c>
      <c r="C5" s="19">
        <v>0</v>
      </c>
      <c r="D5" s="12">
        <v>0</v>
      </c>
      <c r="E5" s="15">
        <v>285302</v>
      </c>
      <c r="F5" s="19">
        <v>595736</v>
      </c>
      <c r="G5" s="15">
        <v>111919</v>
      </c>
      <c r="H5" s="15">
        <v>131482</v>
      </c>
      <c r="I5" s="19">
        <v>4687</v>
      </c>
      <c r="J5" s="15">
        <v>0</v>
      </c>
      <c r="K5" s="12">
        <v>13502</v>
      </c>
      <c r="L5" s="27">
        <v>1291585</v>
      </c>
      <c r="M5" s="15">
        <v>2435200</v>
      </c>
      <c r="N5" s="19">
        <v>23827564</v>
      </c>
      <c r="O5" s="12">
        <f t="shared" si="0"/>
        <v>26262764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ht="15" customHeight="1" x14ac:dyDescent="0.3">
      <c r="A6" s="1" t="s">
        <v>7</v>
      </c>
      <c r="B6" s="18">
        <v>231</v>
      </c>
      <c r="C6" s="19">
        <v>0</v>
      </c>
      <c r="D6" s="12">
        <v>0</v>
      </c>
      <c r="E6" s="15">
        <v>304348</v>
      </c>
      <c r="F6" s="19">
        <v>415592</v>
      </c>
      <c r="G6" s="15">
        <v>126307</v>
      </c>
      <c r="H6" s="15">
        <v>110165</v>
      </c>
      <c r="I6" s="19">
        <v>7237</v>
      </c>
      <c r="J6" s="15">
        <v>0</v>
      </c>
      <c r="K6" s="12">
        <v>8609</v>
      </c>
      <c r="L6" s="27">
        <v>1441925</v>
      </c>
      <c r="M6" s="15">
        <v>2414414</v>
      </c>
      <c r="N6" s="19">
        <v>22201950</v>
      </c>
      <c r="O6" s="12">
        <f t="shared" si="0"/>
        <v>24616364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ht="15" customHeight="1" x14ac:dyDescent="0.3">
      <c r="A7" s="1" t="s">
        <v>8</v>
      </c>
      <c r="B7" s="18">
        <v>1038</v>
      </c>
      <c r="C7" s="19">
        <v>0</v>
      </c>
      <c r="D7" s="12">
        <v>0</v>
      </c>
      <c r="E7" s="15">
        <v>368622</v>
      </c>
      <c r="F7" s="19">
        <v>538674</v>
      </c>
      <c r="G7" s="15">
        <v>127753</v>
      </c>
      <c r="H7" s="15">
        <v>203413</v>
      </c>
      <c r="I7" s="19">
        <v>8935</v>
      </c>
      <c r="J7" s="15">
        <v>0</v>
      </c>
      <c r="K7" s="12">
        <v>12282</v>
      </c>
      <c r="L7" s="27">
        <v>1678705</v>
      </c>
      <c r="M7" s="15">
        <v>2939422</v>
      </c>
      <c r="N7" s="19">
        <v>21832591</v>
      </c>
      <c r="O7" s="12">
        <f t="shared" si="0"/>
        <v>24772013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ht="15" customHeight="1" x14ac:dyDescent="0.3">
      <c r="A8" s="1" t="s">
        <v>9</v>
      </c>
      <c r="B8" s="18">
        <v>1785</v>
      </c>
      <c r="C8" s="19">
        <v>0</v>
      </c>
      <c r="D8" s="12">
        <v>0</v>
      </c>
      <c r="E8" s="15">
        <v>343823</v>
      </c>
      <c r="F8" s="19">
        <v>410768</v>
      </c>
      <c r="G8" s="15">
        <v>111919</v>
      </c>
      <c r="H8" s="15">
        <v>121124</v>
      </c>
      <c r="I8" s="19">
        <v>8941</v>
      </c>
      <c r="J8" s="15">
        <v>0</v>
      </c>
      <c r="K8" s="12">
        <v>9299</v>
      </c>
      <c r="L8" s="27">
        <v>1808600</v>
      </c>
      <c r="M8" s="15">
        <v>2816259</v>
      </c>
      <c r="N8" s="19">
        <v>27253847</v>
      </c>
      <c r="O8" s="12">
        <f t="shared" si="0"/>
        <v>30070106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15" customHeight="1" x14ac:dyDescent="0.3">
      <c r="A9" s="1" t="s">
        <v>10</v>
      </c>
      <c r="B9" s="18">
        <v>3201</v>
      </c>
      <c r="C9" s="19">
        <v>0</v>
      </c>
      <c r="D9" s="12">
        <v>0</v>
      </c>
      <c r="E9" s="15">
        <v>417113</v>
      </c>
      <c r="F9" s="19">
        <v>521741</v>
      </c>
      <c r="G9" s="15">
        <v>95077</v>
      </c>
      <c r="H9" s="15">
        <v>144331</v>
      </c>
      <c r="I9" s="19">
        <v>5195</v>
      </c>
      <c r="J9" s="15">
        <v>0</v>
      </c>
      <c r="K9" s="12">
        <v>5381</v>
      </c>
      <c r="L9" s="27">
        <v>1475069</v>
      </c>
      <c r="M9" s="15">
        <v>2667108</v>
      </c>
      <c r="N9" s="19">
        <v>19778502</v>
      </c>
      <c r="O9" s="12">
        <f>SUM(M9:N9)</f>
        <v>22445610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ht="15" customHeight="1" x14ac:dyDescent="0.3">
      <c r="A10" s="1" t="s">
        <v>11</v>
      </c>
      <c r="B10" s="18">
        <v>265</v>
      </c>
      <c r="C10" s="19">
        <v>0</v>
      </c>
      <c r="D10" s="12">
        <v>0</v>
      </c>
      <c r="E10" s="15">
        <v>188324</v>
      </c>
      <c r="F10" s="19">
        <v>422647</v>
      </c>
      <c r="G10" s="15">
        <v>107270</v>
      </c>
      <c r="H10" s="15">
        <v>185259</v>
      </c>
      <c r="I10" s="19">
        <v>14852</v>
      </c>
      <c r="J10" s="15">
        <v>0</v>
      </c>
      <c r="K10" s="12">
        <v>7278</v>
      </c>
      <c r="L10" s="27">
        <v>1549978</v>
      </c>
      <c r="M10" s="15">
        <v>2475873</v>
      </c>
      <c r="N10" s="19">
        <v>23773004</v>
      </c>
      <c r="O10" s="12">
        <f t="shared" ref="O10:O14" si="1">SUM(M10:N10)</f>
        <v>26248877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ht="15" customHeight="1" x14ac:dyDescent="0.3">
      <c r="A11" s="1" t="s">
        <v>12</v>
      </c>
      <c r="B11" s="18">
        <v>162</v>
      </c>
      <c r="C11" s="19">
        <v>0</v>
      </c>
      <c r="D11" s="12">
        <v>0</v>
      </c>
      <c r="E11" s="15">
        <v>255763</v>
      </c>
      <c r="F11" s="19">
        <v>611708</v>
      </c>
      <c r="G11" s="15">
        <v>96174</v>
      </c>
      <c r="H11" s="15">
        <v>133988</v>
      </c>
      <c r="I11" s="19">
        <v>7829</v>
      </c>
      <c r="J11" s="15">
        <v>0</v>
      </c>
      <c r="K11" s="12">
        <v>6451</v>
      </c>
      <c r="L11" s="27">
        <v>1678230</v>
      </c>
      <c r="M11" s="15">
        <v>2790305</v>
      </c>
      <c r="N11" s="19">
        <v>30003410</v>
      </c>
      <c r="O11" s="12">
        <f t="shared" si="1"/>
        <v>32793715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ht="15" customHeight="1" x14ac:dyDescent="0.3">
      <c r="A12" s="1" t="s">
        <v>13</v>
      </c>
      <c r="B12" s="18">
        <v>261</v>
      </c>
      <c r="C12" s="19">
        <v>0</v>
      </c>
      <c r="D12" s="12">
        <v>0</v>
      </c>
      <c r="E12" s="15">
        <v>252514</v>
      </c>
      <c r="F12" s="19">
        <v>421840</v>
      </c>
      <c r="G12" s="15">
        <v>108943</v>
      </c>
      <c r="H12" s="15">
        <v>184615</v>
      </c>
      <c r="I12" s="19">
        <v>5713</v>
      </c>
      <c r="J12" s="15">
        <v>0</v>
      </c>
      <c r="K12" s="12">
        <v>10808</v>
      </c>
      <c r="L12" s="27">
        <v>3433967</v>
      </c>
      <c r="M12" s="15">
        <v>4418661</v>
      </c>
      <c r="N12" s="19">
        <v>25826818</v>
      </c>
      <c r="O12" s="12">
        <f t="shared" si="1"/>
        <v>30245479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15" customHeight="1" x14ac:dyDescent="0.3">
      <c r="A13" s="1" t="s">
        <v>14</v>
      </c>
      <c r="B13" s="18">
        <v>32</v>
      </c>
      <c r="C13" s="19">
        <v>0</v>
      </c>
      <c r="D13" s="12">
        <v>0</v>
      </c>
      <c r="E13" s="15">
        <v>309340</v>
      </c>
      <c r="F13" s="19">
        <v>367929</v>
      </c>
      <c r="G13" s="15">
        <v>109099</v>
      </c>
      <c r="H13" s="15">
        <v>101730</v>
      </c>
      <c r="I13" s="19">
        <v>4997</v>
      </c>
      <c r="J13" s="15">
        <v>0</v>
      </c>
      <c r="K13" s="12">
        <v>5327</v>
      </c>
      <c r="L13" s="27">
        <v>3263128</v>
      </c>
      <c r="M13" s="15">
        <v>4161582</v>
      </c>
      <c r="N13" s="19">
        <v>21559762</v>
      </c>
      <c r="O13" s="12">
        <f t="shared" si="1"/>
        <v>25721344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ht="15" customHeight="1" x14ac:dyDescent="0.3">
      <c r="A14" s="10" t="s">
        <v>0</v>
      </c>
      <c r="B14" s="20">
        <v>813</v>
      </c>
      <c r="C14" s="17">
        <v>0</v>
      </c>
      <c r="D14" s="16">
        <v>68</v>
      </c>
      <c r="E14" s="17">
        <v>465963</v>
      </c>
      <c r="F14" s="17">
        <v>414110</v>
      </c>
      <c r="G14" s="17">
        <v>103088</v>
      </c>
      <c r="H14" s="17">
        <v>110089</v>
      </c>
      <c r="I14" s="17">
        <v>12052</v>
      </c>
      <c r="J14" s="17">
        <v>0</v>
      </c>
      <c r="K14" s="16">
        <v>10151</v>
      </c>
      <c r="L14" s="28">
        <v>2243039</v>
      </c>
      <c r="M14" s="17">
        <v>3359373</v>
      </c>
      <c r="N14" s="17">
        <v>25517608</v>
      </c>
      <c r="O14" s="16">
        <f t="shared" si="1"/>
        <v>28876981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15" customHeight="1" x14ac:dyDescent="0.3">
      <c r="A15" s="22" t="s">
        <v>23</v>
      </c>
      <c r="B15" s="23">
        <f>SUM(B3:B14)</f>
        <v>9775</v>
      </c>
      <c r="C15" s="24">
        <f t="shared" ref="C15:M15" si="2">SUM(C3:C14)</f>
        <v>0</v>
      </c>
      <c r="D15" s="25">
        <f t="shared" si="2"/>
        <v>68</v>
      </c>
      <c r="E15" s="24">
        <f t="shared" si="2"/>
        <v>3797640</v>
      </c>
      <c r="F15" s="24">
        <f t="shared" ref="F15" si="3">SUM(F3:F14)</f>
        <v>5724996</v>
      </c>
      <c r="G15" s="24">
        <f t="shared" ref="G15" si="4">SUM(G3:G14)</f>
        <v>1321362</v>
      </c>
      <c r="H15" s="24">
        <f t="shared" ref="H15" si="5">SUM(H3:H14)</f>
        <v>1646309</v>
      </c>
      <c r="I15" s="24">
        <f t="shared" ref="I15" si="6">SUM(I3:I14)</f>
        <v>87712</v>
      </c>
      <c r="J15" s="24">
        <f t="shared" ref="J15" si="7">SUM(J3:J14)</f>
        <v>0</v>
      </c>
      <c r="K15" s="25">
        <f t="shared" ref="K15" si="8">SUM(K3:K14)</f>
        <v>103600</v>
      </c>
      <c r="L15" s="29">
        <f t="shared" si="2"/>
        <v>24629816</v>
      </c>
      <c r="M15" s="24">
        <f t="shared" si="2"/>
        <v>37321278</v>
      </c>
      <c r="N15" s="24">
        <f>SUM(N3:N14)</f>
        <v>287485733</v>
      </c>
      <c r="O15" s="25">
        <f t="shared" si="0"/>
        <v>324807011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x14ac:dyDescent="0.3">
      <c r="A16" s="1" t="s">
        <v>1</v>
      </c>
    </row>
    <row r="17" spans="1:1" x14ac:dyDescent="0.3">
      <c r="A17" s="5" t="s">
        <v>24</v>
      </c>
    </row>
    <row r="18" spans="1:1" x14ac:dyDescent="0.3">
      <c r="A18" s="5" t="s">
        <v>32</v>
      </c>
    </row>
    <row r="19" spans="1:1" x14ac:dyDescent="0.3">
      <c r="A19" s="1"/>
    </row>
    <row r="20" spans="1:1" x14ac:dyDescent="0.3">
      <c r="A20" s="1"/>
    </row>
  </sheetData>
  <mergeCells count="3">
    <mergeCell ref="M1:O1"/>
    <mergeCell ref="B1:D1"/>
    <mergeCell ref="E1:K1"/>
  </mergeCells>
  <phoneticPr fontId="18" type="noConversion"/>
  <pageMargins left="0.7" right="0.7" top="0.75" bottom="0.75" header="0.3" footer="0.3"/>
  <pageSetup paperSize="9" orientation="portrait" r:id="rId1"/>
  <ignoredErrors>
    <ignoredError sqref="O3:O11 O12:O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2019년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2026-06-23T07:35:57Z</dcterms:modified>
</cp:coreProperties>
</file>