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Options\"/>
    </mc:Choice>
  </mc:AlternateContent>
  <bookViews>
    <workbookView xWindow="0" yWindow="0" windowWidth="25125" windowHeight="11640"/>
  </bookViews>
  <sheets>
    <sheet name="2015년" sheetId="1" r:id="rId1"/>
  </sheets>
  <calcPr calcId="162913"/>
</workbook>
</file>

<file path=xl/calcChain.xml><?xml version="1.0" encoding="utf-8"?>
<calcChain xmlns="http://schemas.openxmlformats.org/spreadsheetml/2006/main">
  <c r="O5" i="1" l="1"/>
  <c r="O14" i="1" l="1"/>
  <c r="O13" i="1"/>
  <c r="O12" i="1"/>
  <c r="O11" i="1"/>
  <c r="O10" i="1"/>
  <c r="O9" i="1"/>
  <c r="O8" i="1"/>
  <c r="O7" i="1"/>
  <c r="O6" i="1"/>
  <c r="O4" i="1"/>
  <c r="O3" i="1"/>
  <c r="C15" i="1"/>
  <c r="B15" i="1"/>
  <c r="D15" i="1" l="1"/>
  <c r="J15" i="1" l="1"/>
  <c r="F15" i="1"/>
  <c r="N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<sst xmlns="http://schemas.openxmlformats.org/spreadsheetml/2006/main" count="36" uniqueCount="36">
  <si>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</si>
  <si>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</si>
  <si>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</si>
  <si>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</si>
  <si>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</si>
  <si>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</si>
  <si>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</si>
  <si>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</si>
  <si>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</si>
  <si>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</si>
  <si>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</si>
  <si>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</si>
  <si>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</si>
  <si>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</si>
  <si>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</si>
  <si>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</si>
  <si>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</si>
  <si>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</si>
  <si>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</si>
  <si>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</si>
  <si>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</si>
  <si>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</si>
  <si>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Canola**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</si>
  <si>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</si>
  <si>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</si>
  <si>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</si>
  <si>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</si>
  <si>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***Power contract volume is now reported using the new contract conversion methodology. Prior monthly power volumes have been adjusted for comparison purposes.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</si>
  <si>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</si>
  <si>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</si>
  <si>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</si>
  <si>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</si>
  <si>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Gas &amp; Power***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</si>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</sst>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0" borderId="17" xfId="0" applyNumberFormat="1" applyFont="1" applyBorder="1">
      <alignment vertical="center"/>
    </xf>
    <xf numFmtId="177" fontId="21" fillId="0" borderId="16" xfId="0" applyNumberFormat="1" applyFont="1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177" fontId="21" fillId="0" borderId="1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1" fillId="0" borderId="23" xfId="0" applyNumberFormat="1" applyFon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11" xfId="0" applyNumberFormat="1" applyFont="1" applyFill="1" applyBorder="1" applyAlignment="1">
      <alignment horizontal="center" vertical="center"/>
    </xf>
    <xf numFmtId="49" fontId="21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4" t="s">
        <v>30</v>
      </c>
      <c r="C1" s="35"/>
      <c r="D1" s="36"/>
      <c r="E1" s="34" t="s">
        <v>31</v>
      </c>
      <c r="F1" s="35"/>
      <c r="G1" s="35"/>
      <c r="H1" s="35"/>
      <c r="I1" s="35"/>
      <c r="J1" s="35"/>
      <c r="K1" s="36"/>
      <c r="L1" s="22" t="s">
        <v>33</v>
      </c>
      <c r="M1" s="31" t="s">
        <v>23</v>
      </c>
      <c r="N1" s="32"/>
      <c r="O1" s="33"/>
    </row>
    <row r="2" spans="1:39" x14ac:dyDescent="0.3">
      <c r="A2" s="2" t="s">
        <v>3</v>
      </c>
      <c r="B2" s="12" t="s">
        <v>4</v>
      </c>
      <c r="C2" s="8" t="s">
        <v>29</v>
      </c>
      <c r="D2" s="9" t="s">
        <v>28</v>
      </c>
      <c r="E2" s="2" t="s">
        <v>16</v>
      </c>
      <c r="F2" s="10" t="s">
        <v>17</v>
      </c>
      <c r="G2" s="7" t="s">
        <v>18</v>
      </c>
      <c r="H2" s="2" t="s">
        <v>19</v>
      </c>
      <c r="I2" s="7" t="s">
        <v>20</v>
      </c>
      <c r="J2" s="2" t="s">
        <v>21</v>
      </c>
      <c r="K2" s="4" t="s">
        <v>22</v>
      </c>
      <c r="L2" s="27" t="s">
        <v>32</v>
      </c>
      <c r="M2" s="2" t="s">
        <v>35</v>
      </c>
      <c r="N2" s="7" t="s">
        <v>34</v>
      </c>
      <c r="O2" s="4" t="s">
        <v>24</v>
      </c>
    </row>
    <row r="3" spans="1:39" ht="15" customHeight="1" x14ac:dyDescent="0.3">
      <c r="A3" s="1" t="s">
        <v>5</v>
      </c>
      <c r="B3" s="14">
        <v>1901</v>
      </c>
      <c r="C3" s="15">
        <v>4062</v>
      </c>
      <c r="D3" s="13">
        <v>0</v>
      </c>
      <c r="E3" s="16">
        <v>268894</v>
      </c>
      <c r="F3" s="20">
        <v>433219</v>
      </c>
      <c r="G3" s="16">
        <v>99799</v>
      </c>
      <c r="H3" s="16">
        <v>120363</v>
      </c>
      <c r="I3" s="20">
        <v>4624</v>
      </c>
      <c r="J3" s="16">
        <v>0</v>
      </c>
      <c r="K3" s="13">
        <v>9869</v>
      </c>
      <c r="L3" s="28">
        <v>4257357</v>
      </c>
      <c r="M3" s="16">
        <v>5190219</v>
      </c>
      <c r="N3" s="20">
        <v>29512983</v>
      </c>
      <c r="O3" s="13">
        <f>SUM(M3:N3)</f>
        <v>34703202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6</v>
      </c>
      <c r="B4" s="19">
        <v>1249</v>
      </c>
      <c r="C4" s="20">
        <v>2366</v>
      </c>
      <c r="D4" s="13">
        <v>0</v>
      </c>
      <c r="E4" s="16">
        <v>192419</v>
      </c>
      <c r="F4" s="20">
        <v>377111</v>
      </c>
      <c r="G4" s="16">
        <v>96389</v>
      </c>
      <c r="H4" s="16">
        <v>170589</v>
      </c>
      <c r="I4" s="20">
        <v>6346</v>
      </c>
      <c r="J4" s="16">
        <v>0</v>
      </c>
      <c r="K4" s="13">
        <v>9716</v>
      </c>
      <c r="L4" s="28">
        <v>3595831</v>
      </c>
      <c r="M4" s="16">
        <v>4442300</v>
      </c>
      <c r="N4" s="20">
        <v>27171662</v>
      </c>
      <c r="O4" s="13">
        <f t="shared" ref="O4:O15" si="0">SUM(M4:N4)</f>
        <v>31613962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7</v>
      </c>
      <c r="B5" s="19">
        <v>1844</v>
      </c>
      <c r="C5" s="20">
        <v>2505</v>
      </c>
      <c r="D5" s="13">
        <v>0</v>
      </c>
      <c r="E5" s="16">
        <v>152298</v>
      </c>
      <c r="F5" s="20">
        <v>548650</v>
      </c>
      <c r="G5" s="16">
        <v>107654</v>
      </c>
      <c r="H5" s="16">
        <v>137616</v>
      </c>
      <c r="I5" s="20">
        <v>7086</v>
      </c>
      <c r="J5" s="16">
        <v>0</v>
      </c>
      <c r="K5" s="13">
        <v>12465</v>
      </c>
      <c r="L5" s="28">
        <v>3355612</v>
      </c>
      <c r="M5" s="16">
        <v>4313265</v>
      </c>
      <c r="N5" s="20">
        <v>27313090</v>
      </c>
      <c r="O5" s="13">
        <f t="shared" si="0"/>
        <v>31626355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8</v>
      </c>
      <c r="B6" s="19">
        <v>1383</v>
      </c>
      <c r="C6" s="20">
        <v>2837</v>
      </c>
      <c r="D6" s="13">
        <v>0</v>
      </c>
      <c r="E6" s="16">
        <v>111207</v>
      </c>
      <c r="F6" s="20">
        <v>423887</v>
      </c>
      <c r="G6" s="16">
        <v>74568</v>
      </c>
      <c r="H6" s="16">
        <v>159363</v>
      </c>
      <c r="I6" s="20">
        <v>3711</v>
      </c>
      <c r="J6" s="16">
        <v>0</v>
      </c>
      <c r="K6" s="13">
        <v>8519</v>
      </c>
      <c r="L6" s="28">
        <v>2872239</v>
      </c>
      <c r="M6" s="16">
        <v>3649195</v>
      </c>
      <c r="N6" s="20">
        <v>22919385</v>
      </c>
      <c r="O6" s="13">
        <f t="shared" si="0"/>
        <v>26568580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9</v>
      </c>
      <c r="B7" s="19">
        <v>1443</v>
      </c>
      <c r="C7" s="20">
        <v>2254</v>
      </c>
      <c r="D7" s="13">
        <v>0</v>
      </c>
      <c r="E7" s="16">
        <v>107679</v>
      </c>
      <c r="F7" s="20">
        <v>426774</v>
      </c>
      <c r="G7" s="16">
        <v>108475</v>
      </c>
      <c r="H7" s="16">
        <v>162696</v>
      </c>
      <c r="I7" s="20">
        <v>2504</v>
      </c>
      <c r="J7" s="16">
        <v>0</v>
      </c>
      <c r="K7" s="13">
        <v>7241</v>
      </c>
      <c r="L7" s="28">
        <v>3156025</v>
      </c>
      <c r="M7" s="16">
        <v>3967850</v>
      </c>
      <c r="N7" s="20">
        <v>22160790</v>
      </c>
      <c r="O7" s="13">
        <f t="shared" si="0"/>
        <v>26128640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10</v>
      </c>
      <c r="B8" s="19">
        <v>1114</v>
      </c>
      <c r="C8" s="20">
        <v>2754</v>
      </c>
      <c r="D8" s="13">
        <v>0</v>
      </c>
      <c r="E8" s="16">
        <v>110042</v>
      </c>
      <c r="F8" s="20">
        <v>480479</v>
      </c>
      <c r="G8" s="16">
        <v>117691</v>
      </c>
      <c r="H8" s="16">
        <v>164400</v>
      </c>
      <c r="I8" s="20">
        <v>2939</v>
      </c>
      <c r="J8" s="16">
        <v>0</v>
      </c>
      <c r="K8" s="13">
        <v>38013</v>
      </c>
      <c r="L8" s="28">
        <v>3311313</v>
      </c>
      <c r="M8" s="16">
        <v>4190732</v>
      </c>
      <c r="N8" s="20">
        <v>28582072</v>
      </c>
      <c r="O8" s="13">
        <f t="shared" si="0"/>
        <v>32772804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11</v>
      </c>
      <c r="B9" s="19">
        <v>1720</v>
      </c>
      <c r="C9" s="20">
        <v>3537</v>
      </c>
      <c r="D9" s="13">
        <v>0</v>
      </c>
      <c r="E9" s="16">
        <v>130452</v>
      </c>
      <c r="F9" s="20">
        <v>481161</v>
      </c>
      <c r="G9" s="16">
        <v>118371</v>
      </c>
      <c r="H9" s="16">
        <v>111396</v>
      </c>
      <c r="I9" s="20">
        <v>3466</v>
      </c>
      <c r="J9" s="16">
        <v>0</v>
      </c>
      <c r="K9" s="13">
        <v>10427</v>
      </c>
      <c r="L9" s="28">
        <v>3193256</v>
      </c>
      <c r="M9" s="16">
        <v>4043359</v>
      </c>
      <c r="N9" s="20">
        <v>22481092</v>
      </c>
      <c r="O9" s="13">
        <f>SUM(M9:N9)</f>
        <v>26524451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12</v>
      </c>
      <c r="B10" s="19">
        <v>1103</v>
      </c>
      <c r="C10" s="20">
        <v>2722</v>
      </c>
      <c r="D10" s="13">
        <v>0</v>
      </c>
      <c r="E10" s="16">
        <v>179749</v>
      </c>
      <c r="F10" s="20">
        <v>487913</v>
      </c>
      <c r="G10" s="16">
        <v>124238</v>
      </c>
      <c r="H10" s="16">
        <v>202428</v>
      </c>
      <c r="I10" s="20">
        <v>4577</v>
      </c>
      <c r="J10" s="16">
        <v>0</v>
      </c>
      <c r="K10" s="13">
        <v>21112</v>
      </c>
      <c r="L10" s="28">
        <v>3159010</v>
      </c>
      <c r="M10" s="16">
        <v>4161740</v>
      </c>
      <c r="N10" s="20">
        <v>24240569</v>
      </c>
      <c r="O10" s="13">
        <f t="shared" ref="O10:O14" si="1">SUM(M10:N10)</f>
        <v>28402309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13</v>
      </c>
      <c r="B11" s="19">
        <v>755</v>
      </c>
      <c r="C11" s="20">
        <v>1331</v>
      </c>
      <c r="D11" s="13">
        <v>0</v>
      </c>
      <c r="E11" s="16">
        <v>129354</v>
      </c>
      <c r="F11" s="20">
        <v>637992</v>
      </c>
      <c r="G11" s="16">
        <v>111242</v>
      </c>
      <c r="H11" s="16">
        <v>129638</v>
      </c>
      <c r="I11" s="20">
        <v>4278</v>
      </c>
      <c r="J11" s="16">
        <v>0</v>
      </c>
      <c r="K11" s="13">
        <v>22801</v>
      </c>
      <c r="L11" s="28">
        <v>3597375</v>
      </c>
      <c r="M11" s="16">
        <v>4611965</v>
      </c>
      <c r="N11" s="20">
        <v>27624836</v>
      </c>
      <c r="O11" s="13">
        <f t="shared" si="1"/>
        <v>32236801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14</v>
      </c>
      <c r="B12" s="19">
        <v>793</v>
      </c>
      <c r="C12" s="20">
        <v>1349</v>
      </c>
      <c r="D12" s="13">
        <v>0</v>
      </c>
      <c r="E12" s="16">
        <v>240483</v>
      </c>
      <c r="F12" s="20">
        <v>717150</v>
      </c>
      <c r="G12" s="16">
        <v>167104</v>
      </c>
      <c r="H12" s="16">
        <v>141060</v>
      </c>
      <c r="I12" s="20">
        <v>10989</v>
      </c>
      <c r="J12" s="16">
        <v>0</v>
      </c>
      <c r="K12" s="13">
        <v>10760</v>
      </c>
      <c r="L12" s="28">
        <v>5721212</v>
      </c>
      <c r="M12" s="16">
        <v>7000140</v>
      </c>
      <c r="N12" s="20">
        <v>25930513</v>
      </c>
      <c r="O12" s="13">
        <f t="shared" si="1"/>
        <v>32930653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15</v>
      </c>
      <c r="B13" s="19">
        <v>634</v>
      </c>
      <c r="C13" s="20">
        <v>1854</v>
      </c>
      <c r="D13" s="13">
        <v>0</v>
      </c>
      <c r="E13" s="16">
        <v>111959</v>
      </c>
      <c r="F13" s="20">
        <v>713065</v>
      </c>
      <c r="G13" s="16">
        <v>122134</v>
      </c>
      <c r="H13" s="16">
        <v>142482</v>
      </c>
      <c r="I13" s="20">
        <v>8084</v>
      </c>
      <c r="J13" s="16">
        <v>0</v>
      </c>
      <c r="K13" s="13">
        <v>6695</v>
      </c>
      <c r="L13" s="28">
        <v>4813456</v>
      </c>
      <c r="M13" s="16">
        <v>5913668</v>
      </c>
      <c r="N13" s="20">
        <v>22755221</v>
      </c>
      <c r="O13" s="13">
        <f t="shared" si="1"/>
        <v>28668889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1" t="s">
        <v>0</v>
      </c>
      <c r="B14" s="21">
        <v>2160</v>
      </c>
      <c r="C14" s="18">
        <v>1803</v>
      </c>
      <c r="D14" s="17">
        <v>0</v>
      </c>
      <c r="E14" s="18">
        <v>110891</v>
      </c>
      <c r="F14" s="18">
        <v>468493</v>
      </c>
      <c r="G14" s="18">
        <v>103731</v>
      </c>
      <c r="H14" s="18">
        <v>105607</v>
      </c>
      <c r="I14" s="18">
        <v>3583</v>
      </c>
      <c r="J14" s="18">
        <v>0</v>
      </c>
      <c r="K14" s="17">
        <v>8705</v>
      </c>
      <c r="L14" s="29">
        <v>4505284</v>
      </c>
      <c r="M14" s="18">
        <v>5301552</v>
      </c>
      <c r="N14" s="18">
        <v>27955152</v>
      </c>
      <c r="O14" s="17">
        <f t="shared" si="1"/>
        <v>33256704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3" t="s">
        <v>25</v>
      </c>
      <c r="B15" s="24">
        <f>SUM(B3:B14)</f>
        <v>16099</v>
      </c>
      <c r="C15" s="25">
        <f t="shared" ref="C15:N15" si="2">SUM(C3:C14)</f>
        <v>29374</v>
      </c>
      <c r="D15" s="26">
        <f t="shared" si="2"/>
        <v>0</v>
      </c>
      <c r="E15" s="25">
        <f t="shared" si="2"/>
        <v>1845427</v>
      </c>
      <c r="F15" s="25">
        <f t="shared" ref="F15" si="3">SUM(F3:F14)</f>
        <v>6195894</v>
      </c>
      <c r="G15" s="25">
        <f t="shared" ref="G15" si="4">SUM(G3:G14)</f>
        <v>1351396</v>
      </c>
      <c r="H15" s="25">
        <f t="shared" ref="H15" si="5">SUM(H3:H14)</f>
        <v>1747638</v>
      </c>
      <c r="I15" s="25">
        <f t="shared" ref="I15" si="6">SUM(I3:I14)</f>
        <v>62187</v>
      </c>
      <c r="J15" s="25">
        <f t="shared" ref="J15" si="7">SUM(J3:J14)</f>
        <v>0</v>
      </c>
      <c r="K15" s="26">
        <f t="shared" ref="K15" si="8">SUM(K3:K14)</f>
        <v>166323</v>
      </c>
      <c r="L15" s="30">
        <f t="shared" si="2"/>
        <v>45537970</v>
      </c>
      <c r="M15" s="25">
        <f t="shared" si="2"/>
        <v>56785985</v>
      </c>
      <c r="N15" s="25">
        <f t="shared" si="2"/>
        <v>308647365</v>
      </c>
      <c r="O15" s="26">
        <f t="shared" si="0"/>
        <v>365433350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26</v>
      </c>
    </row>
    <row r="18" spans="1:1" x14ac:dyDescent="0.3">
      <c r="A18" s="5" t="s">
        <v>2</v>
      </c>
    </row>
    <row r="19" spans="1:1" x14ac:dyDescent="0.3">
      <c r="A19" s="6" t="s">
        <v>27</v>
      </c>
    </row>
    <row r="20" spans="1:1" x14ac:dyDescent="0.3">
      <c r="A20" s="1"/>
    </row>
    <row r="21" spans="1:1" x14ac:dyDescent="0.3">
      <c r="A21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2026-07-16T07:32:41Z</dcterms:modified>
</cp:coreProperties>
</file>