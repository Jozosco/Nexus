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U.S\Historical Monthly Volume\Options\"/>
    </mc:Choice>
  </mc:AlternateContent>
  <bookViews>
    <workbookView xWindow="0" yWindow="0" windowWidth="25125" windowHeight="11640"/>
  </bookViews>
  <sheets>
    <sheet name="2011년" sheetId="1" r:id="rId1"/>
  </sheets>
  <calcPr calcId="162913"/>
</workbook>
</file>

<file path=xl/calcChain.xml><?xml version="1.0" encoding="utf-8"?>
<calcChain xmlns="http://schemas.openxmlformats.org/spreadsheetml/2006/main">
  <c r="D15" i="1" l="1"/>
  <c r="C15" i="1"/>
  <c r="O5" i="1" l="1"/>
  <c r="O14" i="1" l="1"/>
  <c r="O13" i="1"/>
  <c r="O12" i="1"/>
  <c r="O11" i="1"/>
  <c r="O10" i="1"/>
  <c r="O9" i="1"/>
  <c r="O8" i="1"/>
  <c r="O7" i="1"/>
  <c r="O6" i="1"/>
  <c r="O4" i="1"/>
  <c r="O3" i="1"/>
  <c r="E15" i="1"/>
  <c r="B15" i="1"/>
  <c r="F15" i="1" l="1"/>
  <c r="H15" i="1" l="1"/>
  <c r="N15" i="1"/>
  <c r="K15" i="1"/>
  <c r="J15" i="1"/>
  <c r="I15" i="1"/>
  <c r="L15" i="1"/>
  <c r="G15" i="1"/>
  <c r="M15" i="1"/>
  <c r="O15" i="1" l="1"/>
</calcChain>
</file>

<file path=xl/sharedStrings.xml><?xml version="1.0" encoding="utf-8"?>
<sst xmlns="http://schemas.openxmlformats.org/spreadsheetml/2006/main" count="33" uniqueCount="33">
  <si>
    <t>December</t>
  </si>
  <si>
    <t>Notes:</t>
  </si>
  <si>
    <t>Month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</si>
  <si>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</si>
  <si>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</si>
  <si>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</si>
  <si>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</si>
  <si>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</si>
  <si>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</si>
  <si>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</si>
  <si>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</si>
  <si>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</si>
  <si>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</si>
  <si>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</si>
  <si>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Coffee</t>
  </si>
  <si>
    <t>Sugar</t>
  </si>
  <si>
    <t>Cocoa</t>
  </si>
  <si>
    <t>Cotton</t>
  </si>
  <si>
    <t>FCOJ</t>
  </si>
  <si>
    <t>Monthly Totals</t>
  </si>
  <si>
    <t>Overall</t>
  </si>
  <si>
    <t>Yearly Total</t>
    <phoneticPr fontId="18" type="noConversion"/>
  </si>
  <si>
    <t>Options Financial Products</t>
    <phoneticPr fontId="18" type="noConversion"/>
  </si>
  <si>
    <t>Options Agricultural Products</t>
    <phoneticPr fontId="18" type="noConversion"/>
  </si>
  <si>
    <t>Futures</t>
    <phoneticPr fontId="18" type="noConversion"/>
  </si>
  <si>
    <t>Options</t>
    <phoneticPr fontId="18" type="noConversion"/>
  </si>
  <si>
    <t>Canola*</t>
    <phoneticPr fontId="18" type="noConversion"/>
  </si>
  <si>
    <t>RUSSELL</t>
    <phoneticPr fontId="18" type="noConversion"/>
  </si>
  <si>
    <t>*This report has been retroactively adjusted to include Canola volumes traded on ICE Futures Canada from 2006 - July 30, 2018. On July 30, 2018, we transitioned the trading of Canola contracts from ICE Futures Canada to ICE Futures U.S., after which ICE Futures Canada ceased operations.</t>
    <phoneticPr fontId="18" type="noConversion"/>
  </si>
  <si>
    <t>NYSE INDEX</t>
    <phoneticPr fontId="18" type="noConversion"/>
  </si>
  <si>
    <t>CRB INDEX</t>
    <phoneticPr fontId="18" type="noConversion"/>
  </si>
  <si>
    <t>US$ INDEX</t>
    <phoneticPr fontId="18" type="noConversion"/>
  </si>
  <si>
    <t>OTHER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</si>
</sst>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0" fillId="0" borderId="17" xfId="0" applyNumberFormat="1" applyFont="1" applyBorder="1">
      <alignment vertical="center"/>
    </xf>
    <xf numFmtId="177" fontId="20" fillId="0" borderId="16" xfId="0" applyNumberFormat="1" applyFont="1" applyBorder="1" applyAlignment="1">
      <alignment horizontal="center" vertical="center"/>
    </xf>
    <xf numFmtId="177" fontId="20" fillId="0" borderId="17" xfId="0" applyNumberFormat="1" applyFont="1" applyBorder="1" applyAlignment="1">
      <alignment horizontal="center" vertical="center"/>
    </xf>
    <xf numFmtId="177" fontId="20" fillId="0" borderId="18" xfId="0" applyNumberFormat="1" applyFont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33" borderId="11" xfId="0" applyNumberFormat="1" applyFont="1" applyFill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  <xf numFmtId="49" fontId="20" fillId="34" borderId="10" xfId="0" applyNumberFormat="1" applyFont="1" applyFill="1" applyBorder="1" applyAlignment="1">
      <alignment horizontal="center" vertical="center"/>
    </xf>
    <xf numFmtId="49" fontId="20" fillId="34" borderId="11" xfId="0" applyNumberFormat="1" applyFont="1" applyFill="1" applyBorder="1" applyAlignment="1">
      <alignment horizontal="center" vertical="center"/>
    </xf>
    <xf numFmtId="49" fontId="20" fillId="34" borderId="12" xfId="0" applyNumberFormat="1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9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4" width="12.25" customWidth="1"/>
    <col min="5" max="5" width="11.375" customWidth="1"/>
    <col min="6" max="6" width="16.625" customWidth="1"/>
    <col min="7" max="7" width="12.5" bestFit="1" customWidth="1"/>
    <col min="8" max="9" width="12.625" bestFit="1" customWidth="1"/>
    <col min="10" max="10" width="12.5" bestFit="1" customWidth="1"/>
    <col min="11" max="11" width="9.125" bestFit="1" customWidth="1"/>
    <col min="12" max="12" width="12.5" bestFit="1" customWidth="1"/>
    <col min="13" max="13" width="12.625" bestFit="1" customWidth="1"/>
    <col min="14" max="14" width="13.875" bestFit="1" customWidth="1"/>
    <col min="15" max="15" width="12.625" bestFit="1" customWidth="1"/>
    <col min="16" max="16" width="13.875" bestFit="1" customWidth="1"/>
  </cols>
  <sheetData>
    <row r="1" spans="1:39" x14ac:dyDescent="0.3">
      <c r="A1" s="1"/>
      <c r="B1" s="28" t="s">
        <v>22</v>
      </c>
      <c r="C1" s="29"/>
      <c r="D1" s="29"/>
      <c r="E1" s="29"/>
      <c r="F1" s="30"/>
      <c r="G1" s="28" t="s">
        <v>23</v>
      </c>
      <c r="H1" s="29"/>
      <c r="I1" s="29"/>
      <c r="J1" s="29"/>
      <c r="K1" s="29"/>
      <c r="L1" s="30"/>
      <c r="M1" s="25" t="s">
        <v>19</v>
      </c>
      <c r="N1" s="26"/>
      <c r="O1" s="27"/>
    </row>
    <row r="2" spans="1:39" x14ac:dyDescent="0.3">
      <c r="A2" s="2" t="s">
        <v>2</v>
      </c>
      <c r="B2" s="11" t="s">
        <v>31</v>
      </c>
      <c r="C2" s="9" t="s">
        <v>29</v>
      </c>
      <c r="D2" s="9" t="s">
        <v>30</v>
      </c>
      <c r="E2" s="7" t="s">
        <v>27</v>
      </c>
      <c r="F2" s="8" t="s">
        <v>32</v>
      </c>
      <c r="G2" s="2" t="s">
        <v>14</v>
      </c>
      <c r="H2" s="9" t="s">
        <v>15</v>
      </c>
      <c r="I2" s="6" t="s">
        <v>16</v>
      </c>
      <c r="J2" s="2" t="s">
        <v>17</v>
      </c>
      <c r="K2" s="6" t="s">
        <v>18</v>
      </c>
      <c r="L2" s="4" t="s">
        <v>26</v>
      </c>
      <c r="M2" s="2" t="s">
        <v>25</v>
      </c>
      <c r="N2" s="6" t="s">
        <v>24</v>
      </c>
      <c r="O2" s="4" t="s">
        <v>20</v>
      </c>
    </row>
    <row r="3" spans="1:39" ht="15" customHeight="1" x14ac:dyDescent="0.3">
      <c r="A3" s="1" t="s">
        <v>3</v>
      </c>
      <c r="B3" s="13">
        <v>4064</v>
      </c>
      <c r="C3" s="14">
        <v>0</v>
      </c>
      <c r="D3" s="14">
        <v>32</v>
      </c>
      <c r="E3" s="14">
        <v>13539</v>
      </c>
      <c r="F3" s="12">
        <v>0</v>
      </c>
      <c r="G3" s="15">
        <v>211241</v>
      </c>
      <c r="H3" s="19">
        <v>528269</v>
      </c>
      <c r="I3" s="15">
        <v>47011</v>
      </c>
      <c r="J3" s="15">
        <v>270772</v>
      </c>
      <c r="K3" s="19">
        <v>15611</v>
      </c>
      <c r="L3" s="12">
        <v>9988</v>
      </c>
      <c r="M3" s="15">
        <v>1090539</v>
      </c>
      <c r="N3" s="19">
        <v>6572595</v>
      </c>
      <c r="O3" s="12">
        <f>SUM(M3:N3)</f>
        <v>7663134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ht="15" customHeight="1" x14ac:dyDescent="0.3">
      <c r="A4" s="1" t="s">
        <v>4</v>
      </c>
      <c r="B4" s="18">
        <v>945</v>
      </c>
      <c r="C4" s="19">
        <v>0</v>
      </c>
      <c r="D4" s="19">
        <v>17</v>
      </c>
      <c r="E4" s="19">
        <v>12879</v>
      </c>
      <c r="F4" s="12">
        <v>0</v>
      </c>
      <c r="G4" s="15">
        <v>189258</v>
      </c>
      <c r="H4" s="19">
        <v>604764</v>
      </c>
      <c r="I4" s="15">
        <v>44316</v>
      </c>
      <c r="J4" s="15">
        <v>290747</v>
      </c>
      <c r="K4" s="19">
        <v>12986</v>
      </c>
      <c r="L4" s="12">
        <v>16158</v>
      </c>
      <c r="M4" s="15">
        <v>1155912</v>
      </c>
      <c r="N4" s="19">
        <v>7766408</v>
      </c>
      <c r="O4" s="12">
        <f t="shared" ref="O4:O15" si="0">SUM(M4:N4)</f>
        <v>8922320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39" ht="15" customHeight="1" x14ac:dyDescent="0.3">
      <c r="A5" s="1" t="s">
        <v>5</v>
      </c>
      <c r="B5" s="18">
        <v>4442</v>
      </c>
      <c r="C5" s="19">
        <v>0</v>
      </c>
      <c r="D5" s="19">
        <v>25</v>
      </c>
      <c r="E5" s="19">
        <v>15595</v>
      </c>
      <c r="F5" s="12">
        <v>0</v>
      </c>
      <c r="G5" s="15">
        <v>221658</v>
      </c>
      <c r="H5" s="19">
        <v>605032</v>
      </c>
      <c r="I5" s="15">
        <v>69351</v>
      </c>
      <c r="J5" s="15">
        <v>353139</v>
      </c>
      <c r="K5" s="19">
        <v>11452</v>
      </c>
      <c r="L5" s="12">
        <v>14349</v>
      </c>
      <c r="M5" s="15">
        <v>1280694</v>
      </c>
      <c r="N5" s="19">
        <v>8442356</v>
      </c>
      <c r="O5" s="12">
        <f t="shared" si="0"/>
        <v>9723050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39" ht="15" customHeight="1" x14ac:dyDescent="0.3">
      <c r="A6" s="1" t="s">
        <v>6</v>
      </c>
      <c r="B6" s="18">
        <v>3851</v>
      </c>
      <c r="C6" s="19">
        <v>0</v>
      </c>
      <c r="D6" s="19">
        <v>17</v>
      </c>
      <c r="E6" s="19">
        <v>19304</v>
      </c>
      <c r="F6" s="12">
        <v>0</v>
      </c>
      <c r="G6" s="15">
        <v>188658</v>
      </c>
      <c r="H6" s="19">
        <v>505582</v>
      </c>
      <c r="I6" s="15">
        <v>51456</v>
      </c>
      <c r="J6" s="15">
        <v>281415</v>
      </c>
      <c r="K6" s="19">
        <v>7318</v>
      </c>
      <c r="L6" s="12">
        <v>8492</v>
      </c>
      <c r="M6" s="15">
        <v>1057601</v>
      </c>
      <c r="N6" s="19">
        <v>6729669</v>
      </c>
      <c r="O6" s="12">
        <f t="shared" si="0"/>
        <v>7787270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39" ht="15" customHeight="1" x14ac:dyDescent="0.3">
      <c r="A7" s="1" t="s">
        <v>7</v>
      </c>
      <c r="B7" s="18">
        <v>5848</v>
      </c>
      <c r="C7" s="19">
        <v>0</v>
      </c>
      <c r="D7" s="19">
        <v>8</v>
      </c>
      <c r="E7" s="19">
        <v>17752</v>
      </c>
      <c r="F7" s="12">
        <v>0</v>
      </c>
      <c r="G7" s="15">
        <v>249020</v>
      </c>
      <c r="H7" s="19">
        <v>448631</v>
      </c>
      <c r="I7" s="15">
        <v>95914</v>
      </c>
      <c r="J7" s="15">
        <v>260589</v>
      </c>
      <c r="K7" s="19">
        <v>13886</v>
      </c>
      <c r="L7" s="12">
        <v>6435</v>
      </c>
      <c r="M7" s="15">
        <v>1091648</v>
      </c>
      <c r="N7" s="19">
        <v>6970197</v>
      </c>
      <c r="O7" s="12">
        <f t="shared" si="0"/>
        <v>8061845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39" ht="15" customHeight="1" x14ac:dyDescent="0.3">
      <c r="A8" s="1" t="s">
        <v>8</v>
      </c>
      <c r="B8" s="18">
        <v>2790</v>
      </c>
      <c r="C8" s="19">
        <v>0</v>
      </c>
      <c r="D8" s="19">
        <v>27</v>
      </c>
      <c r="E8" s="19">
        <v>13202</v>
      </c>
      <c r="F8" s="12">
        <v>0</v>
      </c>
      <c r="G8" s="15">
        <v>251375</v>
      </c>
      <c r="H8" s="19">
        <v>558099</v>
      </c>
      <c r="I8" s="15">
        <v>28701</v>
      </c>
      <c r="J8" s="15">
        <v>192112</v>
      </c>
      <c r="K8" s="19">
        <v>8257</v>
      </c>
      <c r="L8" s="12">
        <v>9821</v>
      </c>
      <c r="M8" s="15">
        <v>1054563</v>
      </c>
      <c r="N8" s="19">
        <v>10535449</v>
      </c>
      <c r="O8" s="12">
        <f t="shared" si="0"/>
        <v>11590012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15" customHeight="1" x14ac:dyDescent="0.3">
      <c r="A9" s="1" t="s">
        <v>9</v>
      </c>
      <c r="B9" s="18">
        <v>5816</v>
      </c>
      <c r="C9" s="19">
        <v>0</v>
      </c>
      <c r="D9" s="19">
        <v>0</v>
      </c>
      <c r="E9" s="19">
        <v>13488</v>
      </c>
      <c r="F9" s="12">
        <v>0</v>
      </c>
      <c r="G9" s="15">
        <v>209411</v>
      </c>
      <c r="H9" s="19">
        <v>749160</v>
      </c>
      <c r="I9" s="15">
        <v>48743</v>
      </c>
      <c r="J9" s="15">
        <v>249046</v>
      </c>
      <c r="K9" s="19">
        <v>12251</v>
      </c>
      <c r="L9" s="12">
        <v>5296</v>
      </c>
      <c r="M9" s="15">
        <v>1287915</v>
      </c>
      <c r="N9" s="19">
        <v>6457494</v>
      </c>
      <c r="O9" s="12">
        <f>SUM(M9:N9)</f>
        <v>7745409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spans="1:39" ht="15" customHeight="1" x14ac:dyDescent="0.3">
      <c r="A10" s="1" t="s">
        <v>10</v>
      </c>
      <c r="B10" s="18">
        <v>2177</v>
      </c>
      <c r="C10" s="19">
        <v>0</v>
      </c>
      <c r="D10" s="19">
        <v>0</v>
      </c>
      <c r="E10" s="19">
        <v>22856</v>
      </c>
      <c r="F10" s="12">
        <v>0</v>
      </c>
      <c r="G10" s="15">
        <v>280358</v>
      </c>
      <c r="H10" s="19">
        <v>735478</v>
      </c>
      <c r="I10" s="15">
        <v>50395</v>
      </c>
      <c r="J10" s="15">
        <v>193609</v>
      </c>
      <c r="K10" s="19">
        <v>22118</v>
      </c>
      <c r="L10" s="12">
        <v>6562</v>
      </c>
      <c r="M10" s="15">
        <v>1306991</v>
      </c>
      <c r="N10" s="19">
        <v>10249280</v>
      </c>
      <c r="O10" s="12">
        <f t="shared" ref="O10:O14" si="1">SUM(M10:N10)</f>
        <v>11556271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39" ht="15" customHeight="1" x14ac:dyDescent="0.3">
      <c r="A11" s="1" t="s">
        <v>11</v>
      </c>
      <c r="B11" s="18">
        <v>2901</v>
      </c>
      <c r="C11" s="19">
        <v>0</v>
      </c>
      <c r="D11" s="19">
        <v>2</v>
      </c>
      <c r="E11" s="19">
        <v>4470</v>
      </c>
      <c r="F11" s="12">
        <v>0</v>
      </c>
      <c r="G11" s="15">
        <v>299648</v>
      </c>
      <c r="H11" s="19">
        <v>587142</v>
      </c>
      <c r="I11" s="15">
        <v>65509</v>
      </c>
      <c r="J11" s="15">
        <v>200060</v>
      </c>
      <c r="K11" s="19">
        <v>11083</v>
      </c>
      <c r="L11" s="12">
        <v>4743</v>
      </c>
      <c r="M11" s="15">
        <v>1170815</v>
      </c>
      <c r="N11" s="19">
        <v>10032181</v>
      </c>
      <c r="O11" s="12">
        <f t="shared" si="1"/>
        <v>11202996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ht="15" customHeight="1" x14ac:dyDescent="0.3">
      <c r="A12" s="1" t="s">
        <v>12</v>
      </c>
      <c r="B12" s="18">
        <v>2826</v>
      </c>
      <c r="C12" s="19">
        <v>0</v>
      </c>
      <c r="D12" s="19">
        <v>1</v>
      </c>
      <c r="E12" s="19">
        <v>8135</v>
      </c>
      <c r="F12" s="12">
        <v>0</v>
      </c>
      <c r="G12" s="15">
        <v>256524</v>
      </c>
      <c r="H12" s="19">
        <v>557499</v>
      </c>
      <c r="I12" s="15">
        <v>58037</v>
      </c>
      <c r="J12" s="15">
        <v>161464</v>
      </c>
      <c r="K12" s="19">
        <v>18057</v>
      </c>
      <c r="L12" s="12">
        <v>7466</v>
      </c>
      <c r="M12" s="15">
        <v>1062543</v>
      </c>
      <c r="N12" s="19">
        <v>7117101</v>
      </c>
      <c r="O12" s="12">
        <f t="shared" si="1"/>
        <v>8179644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ht="15" customHeight="1" x14ac:dyDescent="0.3">
      <c r="A13" s="1" t="s">
        <v>13</v>
      </c>
      <c r="B13" s="18">
        <v>2947</v>
      </c>
      <c r="C13" s="19">
        <v>0</v>
      </c>
      <c r="D13" s="19">
        <v>8</v>
      </c>
      <c r="E13" s="19">
        <v>9088</v>
      </c>
      <c r="F13" s="12">
        <v>0</v>
      </c>
      <c r="G13" s="15">
        <v>162764</v>
      </c>
      <c r="H13" s="19">
        <v>468804</v>
      </c>
      <c r="I13" s="15">
        <v>43291</v>
      </c>
      <c r="J13" s="15">
        <v>216292</v>
      </c>
      <c r="K13" s="19">
        <v>8780</v>
      </c>
      <c r="L13" s="12">
        <v>4452</v>
      </c>
      <c r="M13" s="15">
        <v>911974</v>
      </c>
      <c r="N13" s="19">
        <v>6955789</v>
      </c>
      <c r="O13" s="12">
        <f t="shared" si="1"/>
        <v>7867763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ht="15" customHeight="1" x14ac:dyDescent="0.3">
      <c r="A14" s="10" t="s">
        <v>0</v>
      </c>
      <c r="B14" s="20">
        <v>3186</v>
      </c>
      <c r="C14" s="17">
        <v>0</v>
      </c>
      <c r="D14" s="17">
        <v>2</v>
      </c>
      <c r="E14" s="17">
        <v>7852</v>
      </c>
      <c r="F14" s="16">
        <v>0</v>
      </c>
      <c r="G14" s="17">
        <v>110215</v>
      </c>
      <c r="H14" s="17">
        <v>401926</v>
      </c>
      <c r="I14" s="17">
        <v>49356</v>
      </c>
      <c r="J14" s="17">
        <v>125591</v>
      </c>
      <c r="K14" s="17">
        <v>11377</v>
      </c>
      <c r="L14" s="16">
        <v>7157</v>
      </c>
      <c r="M14" s="17">
        <v>709505</v>
      </c>
      <c r="N14" s="17">
        <v>6278248</v>
      </c>
      <c r="O14" s="16">
        <f t="shared" si="1"/>
        <v>6987753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ht="15" customHeight="1" x14ac:dyDescent="0.3">
      <c r="A15" s="21" t="s">
        <v>21</v>
      </c>
      <c r="B15" s="22">
        <f>SUM(B3:B14)</f>
        <v>41793</v>
      </c>
      <c r="C15" s="23">
        <f t="shared" ref="C15:D15" si="2">SUM(C3:C14)</f>
        <v>0</v>
      </c>
      <c r="D15" s="23">
        <f t="shared" si="2"/>
        <v>139</v>
      </c>
      <c r="E15" s="23">
        <f t="shared" ref="E15:N15" si="3">SUM(E3:E14)</f>
        <v>158160</v>
      </c>
      <c r="F15" s="24">
        <f t="shared" si="3"/>
        <v>0</v>
      </c>
      <c r="G15" s="23">
        <f t="shared" si="3"/>
        <v>2630130</v>
      </c>
      <c r="H15" s="23">
        <f t="shared" ref="H15" si="4">SUM(H3:H14)</f>
        <v>6750386</v>
      </c>
      <c r="I15" s="23">
        <f t="shared" ref="I15" si="5">SUM(I3:I14)</f>
        <v>652080</v>
      </c>
      <c r="J15" s="23">
        <f t="shared" ref="J15" si="6">SUM(J3:J14)</f>
        <v>2794836</v>
      </c>
      <c r="K15" s="23">
        <f t="shared" ref="K15" si="7">SUM(K3:K14)</f>
        <v>153176</v>
      </c>
      <c r="L15" s="24">
        <f t="shared" ref="L15" si="8">SUM(L3:L14)</f>
        <v>100919</v>
      </c>
      <c r="M15" s="23">
        <f t="shared" si="3"/>
        <v>13180700</v>
      </c>
      <c r="N15" s="23">
        <f t="shared" si="3"/>
        <v>94106767</v>
      </c>
      <c r="O15" s="24">
        <f t="shared" si="0"/>
        <v>107287467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39" x14ac:dyDescent="0.3">
      <c r="A16" s="1" t="s">
        <v>1</v>
      </c>
    </row>
    <row r="17" spans="1:1" x14ac:dyDescent="0.3">
      <c r="A17" s="5" t="s">
        <v>28</v>
      </c>
    </row>
    <row r="18" spans="1:1" x14ac:dyDescent="0.3">
      <c r="A18" s="1"/>
    </row>
    <row r="19" spans="1:1" x14ac:dyDescent="0.3">
      <c r="A19" s="1"/>
    </row>
  </sheetData>
  <mergeCells count="3">
    <mergeCell ref="M1:O1"/>
    <mergeCell ref="B1:F1"/>
    <mergeCell ref="G1:L1"/>
  </mergeCells>
  <phoneticPr fontId="18" type="noConversion"/>
  <pageMargins left="0.7" right="0.7" top="0.75" bottom="0.75" header="0.3" footer="0.3"/>
  <pageSetup paperSize="9" orientation="portrait" r:id="rId1"/>
  <ignoredErrors>
    <ignoredError sqref="O3:O11 O12:O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2011년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2026-07-16T08:05:27Z</dcterms:modified>
</cp:coreProperties>
</file>