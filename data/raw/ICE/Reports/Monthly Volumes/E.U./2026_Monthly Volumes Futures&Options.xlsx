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26년" sheetId="1" r:id="rId1"/>
  </sheets>
  <calcPr calcId="162913"/>
</workbook>
</file>

<file path=xl/calcChain.xml><?xml version="1.0" encoding="utf-8"?>
<calcChain xmlns="http://schemas.openxmlformats.org/spreadsheetml/2006/main">
  <c r="S4" i="1" l="1"/>
  <c r="S3" i="1"/>
  <c r="S12" i="1"/>
  <c r="S7" i="1"/>
  <c r="S5" i="1"/>
  <c r="S9" i="1"/>
  <c r="S13" i="1"/>
  <c r="S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 l="1"/>
  <c r="S10" i="1"/>
  <c r="S8" i="1"/>
  <c r="S14" i="1"/>
  <c r="S11" i="1"/>
  <c r="S15" i="1" l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<sst xmlns="http://schemas.openxmlformats.org/spreadsheetml/2006/main" count="37" uniqueCount="31">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</sst>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2" sqref="A2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8" t="s">
        <v>26</v>
      </c>
      <c r="C1" s="29"/>
      <c r="D1" s="29"/>
      <c r="E1" s="29"/>
      <c r="F1" s="29"/>
      <c r="G1" s="29"/>
      <c r="H1" s="29"/>
      <c r="I1" s="29"/>
      <c r="J1" s="29"/>
      <c r="K1" s="30"/>
      <c r="L1" s="25" t="s">
        <v>29</v>
      </c>
      <c r="M1" s="27"/>
      <c r="N1" s="27"/>
      <c r="O1" s="27"/>
      <c r="P1" s="27"/>
      <c r="Q1" s="27"/>
      <c r="R1" s="26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33674551</v>
      </c>
      <c r="C3" s="13">
        <v>9323280</v>
      </c>
      <c r="D3" s="18">
        <v>8709423</v>
      </c>
      <c r="E3" s="14">
        <v>4153882</v>
      </c>
      <c r="F3" s="18">
        <v>10628601</v>
      </c>
      <c r="G3" s="14">
        <v>18305817</v>
      </c>
      <c r="H3" s="14">
        <v>1518551</v>
      </c>
      <c r="I3" s="18">
        <v>67416911</v>
      </c>
      <c r="J3" s="14">
        <v>2159905</v>
      </c>
      <c r="K3" s="11">
        <v>1603771</v>
      </c>
      <c r="L3" s="17">
        <v>9185908</v>
      </c>
      <c r="M3" s="18">
        <v>530575</v>
      </c>
      <c r="N3" s="14">
        <v>219537</v>
      </c>
      <c r="O3" s="18">
        <v>550879</v>
      </c>
      <c r="P3" s="18">
        <v>18306969</v>
      </c>
      <c r="Q3" s="18">
        <v>1881559</v>
      </c>
      <c r="R3" s="11">
        <v>3995929</v>
      </c>
      <c r="S3" s="11">
        <f t="shared" ref="S3:S4" si="0">SUM(B3:R3)</f>
        <v>192166048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28574234</v>
      </c>
      <c r="C4" s="18">
        <v>8329902</v>
      </c>
      <c r="D4" s="18">
        <v>8939036</v>
      </c>
      <c r="E4" s="14">
        <v>4327332</v>
      </c>
      <c r="F4" s="18">
        <v>7797050</v>
      </c>
      <c r="G4" s="14">
        <v>10814168</v>
      </c>
      <c r="H4" s="14">
        <v>1685514</v>
      </c>
      <c r="I4" s="18">
        <v>66921012</v>
      </c>
      <c r="J4" s="14">
        <v>3007591</v>
      </c>
      <c r="K4" s="11">
        <v>1893615</v>
      </c>
      <c r="L4" s="17">
        <v>7467861</v>
      </c>
      <c r="M4" s="18">
        <v>477973</v>
      </c>
      <c r="N4" s="14">
        <v>181642</v>
      </c>
      <c r="O4" s="18">
        <v>474564</v>
      </c>
      <c r="P4" s="18">
        <v>16309110</v>
      </c>
      <c r="Q4" s="18">
        <v>1481122</v>
      </c>
      <c r="R4" s="11">
        <v>3377124</v>
      </c>
      <c r="S4" s="11">
        <f t="shared" si="0"/>
        <v>172058850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57320442</v>
      </c>
      <c r="C5" s="18">
        <v>13597065</v>
      </c>
      <c r="D5" s="18">
        <v>10106023</v>
      </c>
      <c r="E5" s="14">
        <v>3558103</v>
      </c>
      <c r="F5" s="18">
        <v>12102381</v>
      </c>
      <c r="G5" s="14">
        <v>18771815</v>
      </c>
      <c r="H5" s="14">
        <v>1782650</v>
      </c>
      <c r="I5" s="18">
        <v>179683334</v>
      </c>
      <c r="J5" s="14">
        <v>6683803</v>
      </c>
      <c r="K5" s="11">
        <v>1767954</v>
      </c>
      <c r="L5" s="17">
        <v>9875547</v>
      </c>
      <c r="M5" s="18">
        <v>670805</v>
      </c>
      <c r="N5" s="14">
        <v>331866</v>
      </c>
      <c r="O5" s="18">
        <v>978878</v>
      </c>
      <c r="P5" s="18">
        <v>44035414</v>
      </c>
      <c r="Q5" s="18">
        <v>1821988</v>
      </c>
      <c r="R5" s="11">
        <v>3699791</v>
      </c>
      <c r="S5" s="11">
        <f>SUM(B5:R5)</f>
        <v>366787859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30684163</v>
      </c>
      <c r="C6" s="18">
        <v>7842658</v>
      </c>
      <c r="D6" s="18">
        <v>4644774</v>
      </c>
      <c r="E6" s="14">
        <v>909033</v>
      </c>
      <c r="F6" s="18">
        <v>6726681</v>
      </c>
      <c r="G6" s="14">
        <v>8709102</v>
      </c>
      <c r="H6" s="14">
        <v>891179</v>
      </c>
      <c r="I6" s="18">
        <v>78597551</v>
      </c>
      <c r="J6" s="14">
        <v>2352878</v>
      </c>
      <c r="K6" s="11">
        <v>1517555</v>
      </c>
      <c r="L6" s="17">
        <v>7451717</v>
      </c>
      <c r="M6" s="18">
        <v>415241</v>
      </c>
      <c r="N6" s="14">
        <v>141752</v>
      </c>
      <c r="O6" s="18">
        <v>461260</v>
      </c>
      <c r="P6" s="18">
        <v>21310461</v>
      </c>
      <c r="Q6" s="18">
        <v>1204116</v>
      </c>
      <c r="R6" s="11">
        <v>2290257</v>
      </c>
      <c r="S6" s="11">
        <f t="shared" ref="S4:S14" si="1">SUM(B6:R6)</f>
        <v>176150378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25252602</v>
      </c>
      <c r="C7" s="18">
        <v>6421162</v>
      </c>
      <c r="D7" s="18">
        <v>4199412</v>
      </c>
      <c r="E7" s="14">
        <v>1273391</v>
      </c>
      <c r="F7" s="18">
        <v>5359866</v>
      </c>
      <c r="G7" s="14">
        <v>7671904</v>
      </c>
      <c r="H7" s="14">
        <v>744371</v>
      </c>
      <c r="I7" s="18">
        <v>76396096</v>
      </c>
      <c r="J7" s="14">
        <v>3506773</v>
      </c>
      <c r="K7" s="11">
        <v>1436386</v>
      </c>
      <c r="L7" s="17">
        <v>6902111</v>
      </c>
      <c r="M7" s="18">
        <v>356833</v>
      </c>
      <c r="N7" s="14">
        <v>124054</v>
      </c>
      <c r="O7" s="18">
        <v>368041</v>
      </c>
      <c r="P7" s="18">
        <v>16366794</v>
      </c>
      <c r="Q7" s="18">
        <v>1435853</v>
      </c>
      <c r="R7" s="11">
        <v>2036141</v>
      </c>
      <c r="S7" s="11">
        <f t="shared" si="1"/>
        <v>159851790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/>
      <c r="C8" s="18"/>
      <c r="D8" s="18"/>
      <c r="E8" s="14"/>
      <c r="F8" s="18"/>
      <c r="G8" s="14"/>
      <c r="H8" s="14"/>
      <c r="I8" s="18"/>
      <c r="J8" s="14"/>
      <c r="K8" s="11"/>
      <c r="L8" s="17"/>
      <c r="M8" s="18"/>
      <c r="N8" s="14"/>
      <c r="O8" s="18"/>
      <c r="P8" s="18"/>
      <c r="Q8" s="18"/>
      <c r="R8" s="11"/>
      <c r="S8" s="11">
        <f t="shared" si="1"/>
        <v>0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/>
      <c r="C9" s="18"/>
      <c r="D9" s="18"/>
      <c r="E9" s="14"/>
      <c r="F9" s="18"/>
      <c r="G9" s="14"/>
      <c r="H9" s="14"/>
      <c r="I9" s="18"/>
      <c r="J9" s="14"/>
      <c r="K9" s="11"/>
      <c r="L9" s="17"/>
      <c r="M9" s="18"/>
      <c r="N9" s="14"/>
      <c r="O9" s="18"/>
      <c r="P9" s="18"/>
      <c r="Q9" s="18"/>
      <c r="R9" s="11"/>
      <c r="S9" s="11">
        <f t="shared" si="1"/>
        <v>0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/>
      <c r="C10" s="18"/>
      <c r="D10" s="18"/>
      <c r="E10" s="14"/>
      <c r="F10" s="18"/>
      <c r="G10" s="14"/>
      <c r="H10" s="14"/>
      <c r="I10" s="18"/>
      <c r="J10" s="14"/>
      <c r="K10" s="11"/>
      <c r="L10" s="17"/>
      <c r="M10" s="18"/>
      <c r="N10" s="14"/>
      <c r="O10" s="18"/>
      <c r="P10" s="18"/>
      <c r="Q10" s="18"/>
      <c r="R10" s="11"/>
      <c r="S10" s="11">
        <f t="shared" si="1"/>
        <v>0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/>
      <c r="C11" s="18"/>
      <c r="D11" s="18"/>
      <c r="E11" s="14"/>
      <c r="F11" s="18"/>
      <c r="G11" s="14"/>
      <c r="H11" s="14"/>
      <c r="I11" s="18"/>
      <c r="J11" s="14"/>
      <c r="K11" s="11"/>
      <c r="L11" s="17"/>
      <c r="M11" s="18"/>
      <c r="N11" s="14"/>
      <c r="O11" s="18"/>
      <c r="P11" s="18"/>
      <c r="Q11" s="18"/>
      <c r="R11" s="11"/>
      <c r="S11" s="11">
        <f t="shared" si="1"/>
        <v>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/>
      <c r="C12" s="18"/>
      <c r="D12" s="18"/>
      <c r="E12" s="14"/>
      <c r="F12" s="18"/>
      <c r="G12" s="14"/>
      <c r="H12" s="14"/>
      <c r="I12" s="18"/>
      <c r="J12" s="14"/>
      <c r="K12" s="11"/>
      <c r="L12" s="17"/>
      <c r="M12" s="18"/>
      <c r="N12" s="14"/>
      <c r="O12" s="18"/>
      <c r="P12" s="18"/>
      <c r="Q12" s="18"/>
      <c r="R12" s="11"/>
      <c r="S12" s="11">
        <f t="shared" si="1"/>
        <v>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/>
      <c r="C13" s="18"/>
      <c r="D13" s="18"/>
      <c r="E13" s="14"/>
      <c r="F13" s="18"/>
      <c r="G13" s="14"/>
      <c r="H13" s="14"/>
      <c r="I13" s="18"/>
      <c r="J13" s="14"/>
      <c r="K13" s="11"/>
      <c r="L13" s="17"/>
      <c r="M13" s="18"/>
      <c r="N13" s="14"/>
      <c r="O13" s="18"/>
      <c r="P13" s="18"/>
      <c r="Q13" s="18"/>
      <c r="R13" s="11"/>
      <c r="S13" s="11">
        <f t="shared" si="1"/>
        <v>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/>
      <c r="C14" s="16"/>
      <c r="D14" s="16"/>
      <c r="E14" s="16"/>
      <c r="F14" s="16"/>
      <c r="G14" s="16"/>
      <c r="H14" s="16"/>
      <c r="I14" s="16"/>
      <c r="J14" s="16"/>
      <c r="K14" s="15"/>
      <c r="L14" s="19"/>
      <c r="M14" s="16"/>
      <c r="N14" s="16"/>
      <c r="O14" s="16"/>
      <c r="P14" s="16"/>
      <c r="Q14" s="16"/>
      <c r="R14" s="15"/>
      <c r="S14" s="15">
        <f t="shared" si="1"/>
        <v>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 t="shared" ref="B15:R15" si="2">SUM(B3:B14)</f>
        <v>175505992</v>
      </c>
      <c r="C15" s="22">
        <f t="shared" ref="C15" si="3">SUM(C3:C14)</f>
        <v>45514067</v>
      </c>
      <c r="D15" s="22">
        <f t="shared" ref="D15" si="4">SUM(D3:D14)</f>
        <v>36598668</v>
      </c>
      <c r="E15" s="31">
        <f t="shared" ref="E15" si="5">SUM(E3:E14)</f>
        <v>14221741</v>
      </c>
      <c r="F15" s="22">
        <f t="shared" ref="F15" si="6">SUM(F3:F14)</f>
        <v>42614579</v>
      </c>
      <c r="G15" s="22">
        <f t="shared" ref="G15" si="7">SUM(G3:G14)</f>
        <v>64272806</v>
      </c>
      <c r="H15" s="22">
        <f t="shared" ref="H15" si="8">SUM(H3:H14)</f>
        <v>6622265</v>
      </c>
      <c r="I15" s="22">
        <f t="shared" ref="I15" si="9">SUM(I3:I14)</f>
        <v>469014904</v>
      </c>
      <c r="J15" s="22">
        <f t="shared" ref="J15" si="10">SUM(J3:J14)</f>
        <v>17710950</v>
      </c>
      <c r="K15" s="23">
        <f t="shared" ref="K15" si="11">SUM(K3:K14)</f>
        <v>8219281</v>
      </c>
      <c r="L15" s="21">
        <f t="shared" ref="L15" si="12">SUM(L3:L14)</f>
        <v>40883144</v>
      </c>
      <c r="M15" s="22">
        <f t="shared" ref="M15" si="13">SUM(M3:M14)</f>
        <v>2451427</v>
      </c>
      <c r="N15" s="22">
        <f t="shared" ref="N15" si="14">SUM(N3:N14)</f>
        <v>998851</v>
      </c>
      <c r="O15" s="22">
        <f t="shared" ref="O15" si="15">SUM(O3:O14)</f>
        <v>2833622</v>
      </c>
      <c r="P15" s="22">
        <f t="shared" ref="P15" si="16">SUM(P3:P14)</f>
        <v>116328748</v>
      </c>
      <c r="Q15" s="22">
        <f t="shared" ref="Q15" si="17">SUM(Q3:Q14)</f>
        <v>7824638</v>
      </c>
      <c r="R15" s="23">
        <f t="shared" ref="R15" si="18">SUM(R3:R14)</f>
        <v>15399242</v>
      </c>
      <c r="S15" s="23">
        <f>SUM(S3:S14)</f>
        <v>1067014925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2026-06-23T09:45:15Z</dcterms:modified>
</cp:coreProperties>
</file>