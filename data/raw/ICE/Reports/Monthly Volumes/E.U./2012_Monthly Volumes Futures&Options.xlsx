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12년" sheetId="1" r:id="rId1"/>
  </sheets>
  <calcPr calcId="162913"/>
</workbook>
</file>

<file path=xl/calcChain.xml><?xml version="1.0" encoding="utf-8"?>
<calcChain xmlns="http://schemas.openxmlformats.org/spreadsheetml/2006/main">
  <c r="P4" i="1" l="1"/>
  <c r="Q14" i="1"/>
  <c r="Q13" i="1"/>
  <c r="Q12" i="1"/>
  <c r="Q11" i="1"/>
  <c r="Q10" i="1"/>
  <c r="Q9" i="1"/>
  <c r="Q8" i="1"/>
  <c r="Q7" i="1"/>
  <c r="Q6" i="1"/>
  <c r="Q5" i="1"/>
  <c r="Q4" i="1"/>
  <c r="Q3" i="1"/>
  <c r="P14" i="1"/>
  <c r="P13" i="1"/>
  <c r="P12" i="1"/>
  <c r="R12" i="1" s="1"/>
  <c r="P11" i="1"/>
  <c r="R11" i="1" s="1"/>
  <c r="P10" i="1"/>
  <c r="R10" i="1" s="1"/>
  <c r="P9" i="1"/>
  <c r="R9" i="1" s="1"/>
  <c r="P8" i="1"/>
  <c r="P7" i="1"/>
  <c r="P6" i="1"/>
  <c r="P5" i="1"/>
  <c r="R5" i="1" s="1"/>
  <c r="P3" i="1"/>
  <c r="J15" i="1"/>
  <c r="I15" i="1"/>
  <c r="H15" i="1"/>
  <c r="G15" i="1"/>
  <c r="F15" i="1"/>
  <c r="E15" i="1"/>
  <c r="D15" i="1"/>
  <c r="C15" i="1"/>
  <c r="R14" i="1" l="1"/>
  <c r="R13" i="1"/>
  <c r="R8" i="1"/>
  <c r="R7" i="1"/>
  <c r="R6" i="1"/>
  <c r="R4" i="1"/>
  <c r="R3" i="1"/>
  <c r="Q15" i="1"/>
  <c r="O15" i="1"/>
  <c r="N15" i="1"/>
  <c r="M15" i="1"/>
  <c r="L15" i="1"/>
  <c r="K15" i="1"/>
  <c r="R15" i="1" l="1"/>
  <c r="P15" i="1"/>
  <c r="B15" i="1"/>
</calcChain>
</file>

<file path=xl/sharedStrings.xml><?xml version="1.0" encoding="utf-8"?>
<sst xmlns="http://schemas.openxmlformats.org/spreadsheetml/2006/main" count="34" uniqueCount="30">
  <si>
    <t>December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</si>
  <si>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</si>
  <si>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</si>
  <si>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</si>
  <si>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</si>
  <si>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</si>
  <si>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</si>
  <si>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</si>
  <si>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</si>
  <si>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</si>
  <si>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</si>
  <si>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</si>
  <si>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</si>
  <si>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</si>
  <si>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Brent</t>
    <phoneticPr fontId="18" type="noConversion"/>
  </si>
  <si>
    <t>Gas Oil</t>
    <phoneticPr fontId="18" type="noConversion"/>
  </si>
  <si>
    <t>WTI</t>
    <phoneticPr fontId="18" type="noConversion"/>
  </si>
  <si>
    <t>Oil Products</t>
    <phoneticPr fontId="18" type="noConversion"/>
  </si>
  <si>
    <t>EU NAT Gas</t>
    <phoneticPr fontId="18" type="noConversion"/>
  </si>
  <si>
    <t>Futures</t>
    <phoneticPr fontId="18" type="noConversion"/>
  </si>
  <si>
    <t>Monthly Totals</t>
    <phoneticPr fontId="18" type="noConversion"/>
  </si>
  <si>
    <t>Options</t>
    <phoneticPr fontId="18" type="noConversion"/>
  </si>
  <si>
    <t>Emissions</t>
    <phoneticPr fontId="18" type="noConversion"/>
  </si>
  <si>
    <t>Coal &amp; Elec</t>
    <phoneticPr fontId="18" type="noConversion"/>
  </si>
  <si>
    <t>RBOB Gasoline</t>
    <phoneticPr fontId="18" type="noConversion"/>
  </si>
  <si>
    <t>Heating Oil</t>
    <phoneticPr fontId="18" type="noConversion"/>
  </si>
  <si>
    <t>Other</t>
    <phoneticPr fontId="18" type="noConversion"/>
  </si>
  <si>
    <t>Futures</t>
    <phoneticPr fontId="18" type="noConversion"/>
  </si>
  <si>
    <t>Options</t>
    <phoneticPr fontId="18" type="noConversion"/>
  </si>
  <si>
    <t>Overall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</si>
</sst>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19" fillId="0" borderId="17" xfId="0" applyNumberFormat="1" applyFont="1" applyBorder="1">
      <alignment vertical="center"/>
    </xf>
    <xf numFmtId="177" fontId="19" fillId="0" borderId="16" xfId="0" applyNumberFormat="1" applyFont="1" applyBorder="1" applyAlignment="1">
      <alignment horizontal="center" vertical="center"/>
    </xf>
    <xf numFmtId="177" fontId="19" fillId="0" borderId="17" xfId="0" applyNumberFormat="1" applyFont="1" applyBorder="1" applyAlignment="1">
      <alignment horizontal="center" vertical="center"/>
    </xf>
    <xf numFmtId="177" fontId="19" fillId="0" borderId="18" xfId="0" applyNumberFormat="1" applyFont="1" applyBorder="1" applyAlignment="1">
      <alignment horizontal="center" vertical="center"/>
    </xf>
    <xf numFmtId="177" fontId="19" fillId="0" borderId="11" xfId="0" applyNumberFormat="1" applyFont="1" applyBorder="1" applyAlignment="1">
      <alignment horizontal="center" vertical="center"/>
    </xf>
    <xf numFmtId="49" fontId="19" fillId="34" borderId="10" xfId="0" applyNumberFormat="1" applyFont="1" applyFill="1" applyBorder="1" applyAlignment="1">
      <alignment horizontal="center" vertical="center"/>
    </xf>
    <xf numFmtId="49" fontId="19" fillId="34" borderId="11" xfId="0" applyNumberFormat="1" applyFont="1" applyFill="1" applyBorder="1" applyAlignment="1">
      <alignment horizontal="center" vertical="center"/>
    </xf>
    <xf numFmtId="49" fontId="19" fillId="34" borderId="12" xfId="0" applyNumberFormat="1" applyFont="1" applyFill="1" applyBorder="1" applyAlignment="1">
      <alignment horizontal="center" vertical="center"/>
    </xf>
    <xf numFmtId="49" fontId="19" fillId="33" borderId="10" xfId="0" applyNumberFormat="1" applyFont="1" applyFill="1" applyBorder="1" applyAlignment="1">
      <alignment horizontal="center" vertical="center"/>
    </xf>
    <xf numFmtId="49" fontId="19" fillId="33" borderId="11" xfId="0" applyNumberFormat="1" applyFont="1" applyFill="1" applyBorder="1" applyAlignment="1">
      <alignment horizontal="center" vertical="center"/>
    </xf>
    <xf numFmtId="49" fontId="19" fillId="33" borderId="12" xfId="0" applyNumberFormat="1" applyFon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177" fontId="19" fillId="0" borderId="12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7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5" customWidth="1"/>
    <col min="3" max="3" width="12.125" customWidth="1"/>
    <col min="4" max="4" width="12.25" customWidth="1"/>
    <col min="5" max="5" width="15.875" customWidth="1"/>
    <col min="6" max="6" width="16.875" customWidth="1"/>
    <col min="7" max="8" width="12.625" bestFit="1" customWidth="1"/>
    <col min="9" max="9" width="13.5" customWidth="1"/>
    <col min="10" max="10" width="14" bestFit="1" customWidth="1"/>
    <col min="11" max="11" width="13.875" bestFit="1" customWidth="1"/>
    <col min="12" max="12" width="12.625" bestFit="1" customWidth="1"/>
    <col min="13" max="13" width="13.875" bestFit="1" customWidth="1"/>
    <col min="14" max="14" width="12.625" bestFit="1" customWidth="1"/>
    <col min="15" max="15" width="13.875" bestFit="1" customWidth="1"/>
    <col min="16" max="16" width="14.625" customWidth="1"/>
    <col min="17" max="17" width="16.75" customWidth="1"/>
    <col min="18" max="18" width="13.875" customWidth="1"/>
  </cols>
  <sheetData>
    <row r="1" spans="1:39" x14ac:dyDescent="0.3">
      <c r="A1" s="1"/>
      <c r="B1" s="24" t="s">
        <v>19</v>
      </c>
      <c r="C1" s="25"/>
      <c r="D1" s="25"/>
      <c r="E1" s="25"/>
      <c r="F1" s="25"/>
      <c r="G1" s="25"/>
      <c r="H1" s="25"/>
      <c r="I1" s="25"/>
      <c r="J1" s="26"/>
      <c r="K1" s="27" t="s">
        <v>21</v>
      </c>
      <c r="L1" s="28"/>
      <c r="M1" s="28"/>
      <c r="N1" s="28"/>
      <c r="O1" s="29"/>
      <c r="P1" s="27" t="s">
        <v>20</v>
      </c>
      <c r="Q1" s="28"/>
      <c r="R1" s="29"/>
    </row>
    <row r="2" spans="1:39" x14ac:dyDescent="0.3">
      <c r="A2" s="2" t="s">
        <v>1</v>
      </c>
      <c r="B2" s="9" t="s">
        <v>14</v>
      </c>
      <c r="C2" s="6" t="s">
        <v>15</v>
      </c>
      <c r="D2" s="5" t="s">
        <v>16</v>
      </c>
      <c r="E2" s="2" t="s">
        <v>25</v>
      </c>
      <c r="F2" s="2" t="s">
        <v>24</v>
      </c>
      <c r="G2" s="7" t="s">
        <v>17</v>
      </c>
      <c r="H2" s="5" t="s">
        <v>18</v>
      </c>
      <c r="I2" s="2" t="s">
        <v>23</v>
      </c>
      <c r="J2" s="5" t="s">
        <v>22</v>
      </c>
      <c r="K2" s="9" t="s">
        <v>14</v>
      </c>
      <c r="L2" s="5" t="s">
        <v>16</v>
      </c>
      <c r="M2" s="6" t="s">
        <v>15</v>
      </c>
      <c r="N2" s="7" t="s">
        <v>17</v>
      </c>
      <c r="O2" s="4" t="s">
        <v>26</v>
      </c>
      <c r="P2" s="30" t="s">
        <v>27</v>
      </c>
      <c r="Q2" s="7" t="s">
        <v>28</v>
      </c>
      <c r="R2" s="4" t="s">
        <v>29</v>
      </c>
    </row>
    <row r="3" spans="1:39" ht="15" customHeight="1" x14ac:dyDescent="0.3">
      <c r="A3" s="1" t="s">
        <v>2</v>
      </c>
      <c r="B3" s="11">
        <v>11208911</v>
      </c>
      <c r="C3" s="12">
        <v>5793857</v>
      </c>
      <c r="D3" s="17">
        <v>3076393</v>
      </c>
      <c r="E3" s="13">
        <v>138059</v>
      </c>
      <c r="F3" s="13">
        <v>75169</v>
      </c>
      <c r="G3" s="17">
        <v>0</v>
      </c>
      <c r="H3" s="13">
        <v>739680</v>
      </c>
      <c r="I3" s="13">
        <v>128540</v>
      </c>
      <c r="J3" s="17">
        <v>561715</v>
      </c>
      <c r="K3" s="16">
        <v>321030</v>
      </c>
      <c r="L3" s="17">
        <v>64147</v>
      </c>
      <c r="M3" s="13">
        <v>15907</v>
      </c>
      <c r="N3" s="17">
        <v>0</v>
      </c>
      <c r="O3" s="10">
        <v>142224</v>
      </c>
      <c r="P3" s="16">
        <f>SUM(B3:J3)</f>
        <v>21722324</v>
      </c>
      <c r="Q3" s="17">
        <f>SUM(K3:O3)</f>
        <v>543308</v>
      </c>
      <c r="R3" s="10">
        <f>SUM(P3:Q3)</f>
        <v>22265632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3</v>
      </c>
      <c r="B4" s="16">
        <v>12176976</v>
      </c>
      <c r="C4" s="17">
        <v>5491052</v>
      </c>
      <c r="D4" s="17">
        <v>3586956</v>
      </c>
      <c r="E4" s="13">
        <v>164333</v>
      </c>
      <c r="F4" s="13">
        <v>87276</v>
      </c>
      <c r="G4" s="17">
        <v>0</v>
      </c>
      <c r="H4" s="13">
        <v>953255</v>
      </c>
      <c r="I4" s="13">
        <v>106768</v>
      </c>
      <c r="J4" s="17">
        <v>624442</v>
      </c>
      <c r="K4" s="16">
        <v>542603</v>
      </c>
      <c r="L4" s="17">
        <v>104320</v>
      </c>
      <c r="M4" s="13">
        <v>21973</v>
      </c>
      <c r="N4" s="17">
        <v>0</v>
      </c>
      <c r="O4" s="10">
        <v>134725</v>
      </c>
      <c r="P4" s="16">
        <f t="shared" ref="P4:P14" si="0">SUM(B4:J4)</f>
        <v>23191058</v>
      </c>
      <c r="Q4" s="17">
        <f t="shared" ref="Q4:Q14" si="1">SUM(K4:O4)</f>
        <v>803621</v>
      </c>
      <c r="R4" s="10">
        <f t="shared" ref="R4:R14" si="2">SUM(P4:Q4)</f>
        <v>23994679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4</v>
      </c>
      <c r="B5" s="16">
        <v>12102263</v>
      </c>
      <c r="C5" s="17">
        <v>5513656</v>
      </c>
      <c r="D5" s="17">
        <v>2964291</v>
      </c>
      <c r="E5" s="13">
        <v>207965</v>
      </c>
      <c r="F5" s="13">
        <v>204632</v>
      </c>
      <c r="G5" s="17">
        <v>0</v>
      </c>
      <c r="H5" s="13">
        <v>684295</v>
      </c>
      <c r="I5" s="13">
        <v>92892</v>
      </c>
      <c r="J5" s="17">
        <v>642320</v>
      </c>
      <c r="K5" s="16">
        <v>558272</v>
      </c>
      <c r="L5" s="17">
        <v>71866</v>
      </c>
      <c r="M5" s="13">
        <v>27290</v>
      </c>
      <c r="N5" s="17">
        <v>0</v>
      </c>
      <c r="O5" s="10">
        <v>147510</v>
      </c>
      <c r="P5" s="16">
        <f t="shared" si="0"/>
        <v>22412314</v>
      </c>
      <c r="Q5" s="17">
        <f t="shared" si="1"/>
        <v>804938</v>
      </c>
      <c r="R5" s="10">
        <f t="shared" si="2"/>
        <v>23217252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5</v>
      </c>
      <c r="B6" s="16">
        <v>11682835</v>
      </c>
      <c r="C6" s="17">
        <v>4760851</v>
      </c>
      <c r="D6" s="17">
        <v>2535518</v>
      </c>
      <c r="E6" s="13">
        <v>172651</v>
      </c>
      <c r="F6" s="13">
        <v>235314</v>
      </c>
      <c r="G6" s="17">
        <v>0</v>
      </c>
      <c r="H6" s="13">
        <v>519440</v>
      </c>
      <c r="I6" s="13">
        <v>75951</v>
      </c>
      <c r="J6" s="17">
        <v>549585</v>
      </c>
      <c r="K6" s="16">
        <v>571569</v>
      </c>
      <c r="L6" s="17">
        <v>106067</v>
      </c>
      <c r="M6" s="13">
        <v>16760</v>
      </c>
      <c r="N6" s="17">
        <v>0</v>
      </c>
      <c r="O6" s="10">
        <v>88185</v>
      </c>
      <c r="P6" s="16">
        <f t="shared" si="0"/>
        <v>20532145</v>
      </c>
      <c r="Q6" s="17">
        <f t="shared" si="1"/>
        <v>782581</v>
      </c>
      <c r="R6" s="10">
        <f t="shared" si="2"/>
        <v>21314726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6</v>
      </c>
      <c r="B7" s="16">
        <v>13531134</v>
      </c>
      <c r="C7" s="17">
        <v>5557886</v>
      </c>
      <c r="D7" s="17">
        <v>2871180</v>
      </c>
      <c r="E7" s="13">
        <v>196909</v>
      </c>
      <c r="F7" s="13">
        <v>175533</v>
      </c>
      <c r="G7" s="17">
        <v>0</v>
      </c>
      <c r="H7" s="13">
        <v>593455</v>
      </c>
      <c r="I7" s="13">
        <v>127907</v>
      </c>
      <c r="J7" s="17">
        <v>557175</v>
      </c>
      <c r="K7" s="16">
        <v>1090080</v>
      </c>
      <c r="L7" s="17">
        <v>216633</v>
      </c>
      <c r="M7" s="13">
        <v>38065</v>
      </c>
      <c r="N7" s="17">
        <v>0</v>
      </c>
      <c r="O7" s="10">
        <v>75521</v>
      </c>
      <c r="P7" s="16">
        <f t="shared" si="0"/>
        <v>23611179</v>
      </c>
      <c r="Q7" s="17">
        <f t="shared" si="1"/>
        <v>1420299</v>
      </c>
      <c r="R7" s="10">
        <f t="shared" si="2"/>
        <v>25031478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7</v>
      </c>
      <c r="B8" s="16">
        <v>15052437</v>
      </c>
      <c r="C8" s="17">
        <v>5294783</v>
      </c>
      <c r="D8" s="17">
        <v>2706765</v>
      </c>
      <c r="E8" s="13">
        <v>218724</v>
      </c>
      <c r="F8" s="13">
        <v>214484</v>
      </c>
      <c r="G8" s="17">
        <v>0</v>
      </c>
      <c r="H8" s="13">
        <v>473250</v>
      </c>
      <c r="I8" s="13">
        <v>108332</v>
      </c>
      <c r="J8" s="17">
        <v>590066</v>
      </c>
      <c r="K8" s="16">
        <v>794506</v>
      </c>
      <c r="L8" s="17">
        <v>139088</v>
      </c>
      <c r="M8" s="13">
        <v>41090</v>
      </c>
      <c r="N8" s="17">
        <v>0</v>
      </c>
      <c r="O8" s="10">
        <v>90255</v>
      </c>
      <c r="P8" s="16">
        <f t="shared" si="0"/>
        <v>24658841</v>
      </c>
      <c r="Q8" s="17">
        <f t="shared" si="1"/>
        <v>1064939</v>
      </c>
      <c r="R8" s="10">
        <f t="shared" si="2"/>
        <v>25723780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8</v>
      </c>
      <c r="B9" s="16">
        <v>13133801</v>
      </c>
      <c r="C9" s="17">
        <v>5582659</v>
      </c>
      <c r="D9" s="17">
        <v>2642130</v>
      </c>
      <c r="E9" s="13">
        <v>215649</v>
      </c>
      <c r="F9" s="13">
        <v>192809</v>
      </c>
      <c r="G9" s="17">
        <v>0</v>
      </c>
      <c r="H9" s="13">
        <v>519340</v>
      </c>
      <c r="I9" s="13">
        <v>86894</v>
      </c>
      <c r="J9" s="17">
        <v>734516</v>
      </c>
      <c r="K9" s="16">
        <v>789334</v>
      </c>
      <c r="L9" s="17">
        <v>152215</v>
      </c>
      <c r="M9" s="13">
        <v>51117</v>
      </c>
      <c r="N9" s="17">
        <v>0</v>
      </c>
      <c r="O9" s="10">
        <v>143015</v>
      </c>
      <c r="P9" s="16">
        <f t="shared" si="0"/>
        <v>23107798</v>
      </c>
      <c r="Q9" s="17">
        <f t="shared" si="1"/>
        <v>1135681</v>
      </c>
      <c r="R9" s="10">
        <f t="shared" si="2"/>
        <v>24243479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9</v>
      </c>
      <c r="B10" s="16">
        <v>12633205</v>
      </c>
      <c r="C10" s="17">
        <v>5284078</v>
      </c>
      <c r="D10" s="17">
        <v>2671285</v>
      </c>
      <c r="E10" s="13">
        <v>255204</v>
      </c>
      <c r="F10" s="13">
        <v>155031</v>
      </c>
      <c r="G10" s="17">
        <v>0</v>
      </c>
      <c r="H10" s="13">
        <v>520190</v>
      </c>
      <c r="I10" s="13">
        <v>93361</v>
      </c>
      <c r="J10" s="17">
        <v>616964</v>
      </c>
      <c r="K10" s="16">
        <v>894077</v>
      </c>
      <c r="L10" s="17">
        <v>167534</v>
      </c>
      <c r="M10" s="13">
        <v>47886</v>
      </c>
      <c r="N10" s="17">
        <v>0</v>
      </c>
      <c r="O10" s="10">
        <v>48740</v>
      </c>
      <c r="P10" s="17">
        <f t="shared" si="0"/>
        <v>22229318</v>
      </c>
      <c r="Q10" s="17">
        <f t="shared" si="1"/>
        <v>1158237</v>
      </c>
      <c r="R10" s="10">
        <f t="shared" si="2"/>
        <v>23387555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10</v>
      </c>
      <c r="B11" s="16">
        <v>12218221</v>
      </c>
      <c r="C11" s="17">
        <v>5422224</v>
      </c>
      <c r="D11" s="17">
        <v>2551079</v>
      </c>
      <c r="E11" s="13">
        <v>221606</v>
      </c>
      <c r="F11" s="13">
        <v>219731</v>
      </c>
      <c r="G11" s="17">
        <v>0</v>
      </c>
      <c r="H11" s="13">
        <v>509650</v>
      </c>
      <c r="I11" s="13">
        <v>67758</v>
      </c>
      <c r="J11" s="17">
        <v>709204</v>
      </c>
      <c r="K11" s="16">
        <v>1056414</v>
      </c>
      <c r="L11" s="17">
        <v>202110</v>
      </c>
      <c r="M11" s="13">
        <v>74215</v>
      </c>
      <c r="N11" s="17">
        <v>0</v>
      </c>
      <c r="O11" s="10">
        <v>124800</v>
      </c>
      <c r="P11" s="16">
        <f t="shared" si="0"/>
        <v>21919473</v>
      </c>
      <c r="Q11" s="17">
        <f t="shared" si="1"/>
        <v>1457539</v>
      </c>
      <c r="R11" s="10">
        <f t="shared" si="2"/>
        <v>23377012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11</v>
      </c>
      <c r="B12" s="16">
        <v>13171664</v>
      </c>
      <c r="C12" s="17">
        <v>6770042</v>
      </c>
      <c r="D12" s="17">
        <v>2807419</v>
      </c>
      <c r="E12" s="13">
        <v>293092</v>
      </c>
      <c r="F12" s="13">
        <v>181751</v>
      </c>
      <c r="G12" s="17">
        <v>580951</v>
      </c>
      <c r="H12" s="13">
        <v>818475</v>
      </c>
      <c r="I12" s="13">
        <v>80200</v>
      </c>
      <c r="J12" s="17">
        <v>953207</v>
      </c>
      <c r="K12" s="16">
        <v>972274</v>
      </c>
      <c r="L12" s="17">
        <v>378625</v>
      </c>
      <c r="M12" s="13">
        <v>80658</v>
      </c>
      <c r="N12" s="17">
        <v>147453</v>
      </c>
      <c r="O12" s="10">
        <v>102735</v>
      </c>
      <c r="P12" s="16">
        <f t="shared" si="0"/>
        <v>25656801</v>
      </c>
      <c r="Q12" s="17">
        <f t="shared" si="1"/>
        <v>1681745</v>
      </c>
      <c r="R12" s="10">
        <f t="shared" si="2"/>
        <v>27338546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12</v>
      </c>
      <c r="B13" s="16">
        <v>11803989</v>
      </c>
      <c r="C13" s="17">
        <v>4871107</v>
      </c>
      <c r="D13" s="17">
        <v>2686914</v>
      </c>
      <c r="E13" s="13">
        <v>242404</v>
      </c>
      <c r="F13" s="13">
        <v>173869</v>
      </c>
      <c r="G13" s="17">
        <v>1025023</v>
      </c>
      <c r="H13" s="13">
        <v>737540</v>
      </c>
      <c r="I13" s="13">
        <v>100445</v>
      </c>
      <c r="J13" s="17">
        <v>1077565</v>
      </c>
      <c r="K13" s="16">
        <v>851786</v>
      </c>
      <c r="L13" s="17">
        <v>193458</v>
      </c>
      <c r="M13" s="13">
        <v>89775</v>
      </c>
      <c r="N13" s="17">
        <v>221841</v>
      </c>
      <c r="O13" s="10">
        <v>93715</v>
      </c>
      <c r="P13" s="17">
        <f t="shared" si="0"/>
        <v>22718856</v>
      </c>
      <c r="Q13" s="17">
        <f t="shared" si="1"/>
        <v>1450575</v>
      </c>
      <c r="R13" s="10">
        <f t="shared" si="2"/>
        <v>24169431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8" t="s">
        <v>0</v>
      </c>
      <c r="B14" s="18">
        <v>8706771</v>
      </c>
      <c r="C14" s="15">
        <v>3270649</v>
      </c>
      <c r="D14" s="15">
        <v>2075729</v>
      </c>
      <c r="E14" s="15">
        <v>245270</v>
      </c>
      <c r="F14" s="15">
        <v>185217</v>
      </c>
      <c r="G14" s="15">
        <v>705042</v>
      </c>
      <c r="H14" s="15">
        <v>402210</v>
      </c>
      <c r="I14" s="15">
        <v>60095</v>
      </c>
      <c r="J14" s="15">
        <v>870282</v>
      </c>
      <c r="K14" s="18">
        <v>470012</v>
      </c>
      <c r="L14" s="15">
        <v>163580</v>
      </c>
      <c r="M14" s="15">
        <v>64608</v>
      </c>
      <c r="N14" s="15">
        <v>163234</v>
      </c>
      <c r="O14" s="14">
        <v>150620</v>
      </c>
      <c r="P14" s="18">
        <f t="shared" si="0"/>
        <v>16521265</v>
      </c>
      <c r="Q14" s="17">
        <f t="shared" si="1"/>
        <v>1012054</v>
      </c>
      <c r="R14" s="10">
        <f t="shared" si="2"/>
        <v>17533319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19" t="s">
        <v>13</v>
      </c>
      <c r="B15" s="20">
        <f>SUM(B3:B14)</f>
        <v>147422207</v>
      </c>
      <c r="C15" s="21">
        <f t="shared" ref="C15:J15" si="3">SUM(C3:C14)</f>
        <v>63612844</v>
      </c>
      <c r="D15" s="21">
        <f t="shared" si="3"/>
        <v>33175659</v>
      </c>
      <c r="E15" s="23">
        <f t="shared" si="3"/>
        <v>2571866</v>
      </c>
      <c r="F15" s="21">
        <f t="shared" si="3"/>
        <v>2100816</v>
      </c>
      <c r="G15" s="21">
        <f t="shared" si="3"/>
        <v>2311016</v>
      </c>
      <c r="H15" s="21">
        <f t="shared" si="3"/>
        <v>7470780</v>
      </c>
      <c r="I15" s="21">
        <f t="shared" si="3"/>
        <v>1129143</v>
      </c>
      <c r="J15" s="21">
        <f t="shared" si="3"/>
        <v>8487041</v>
      </c>
      <c r="K15" s="20">
        <f t="shared" ref="K15:O15" si="4">SUM(K3:K14)</f>
        <v>8911957</v>
      </c>
      <c r="L15" s="21">
        <f t="shared" si="4"/>
        <v>1959643</v>
      </c>
      <c r="M15" s="21">
        <f t="shared" si="4"/>
        <v>569344</v>
      </c>
      <c r="N15" s="21">
        <f t="shared" si="4"/>
        <v>532528</v>
      </c>
      <c r="O15" s="22">
        <f t="shared" si="4"/>
        <v>1342045</v>
      </c>
      <c r="P15" s="21">
        <f>SUM(P3:P14)</f>
        <v>268281372</v>
      </c>
      <c r="Q15" s="23">
        <f t="shared" ref="Q15:R15" si="5">SUM(Q3:Q14)</f>
        <v>13315517</v>
      </c>
      <c r="R15" s="31">
        <f t="shared" si="5"/>
        <v>281596889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/>
    </row>
    <row r="17" spans="1:1" x14ac:dyDescent="0.3">
      <c r="A17" s="1"/>
    </row>
  </sheetData>
  <mergeCells count="3">
    <mergeCell ref="K1:O1"/>
    <mergeCell ref="P1:R1"/>
    <mergeCell ref="B1:J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2012년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2026-07-16T08:39:32Z</dcterms:modified>
</cp:coreProperties>
</file>