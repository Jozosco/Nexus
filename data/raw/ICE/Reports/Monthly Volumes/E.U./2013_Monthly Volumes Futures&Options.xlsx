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경제, 무역\ICE\Reports\E.U\"/>
    </mc:Choice>
  </mc:AlternateContent>
  <bookViews>
    <workbookView xWindow="0" yWindow="0" windowWidth="25125" windowHeight="11640"/>
  </bookViews>
  <sheets>
    <sheet name="2013년" sheetId="1" r:id="rId1"/>
  </sheets>
  <calcPr calcId="162913"/>
</workbook>
</file>

<file path=xl/calcChain.xml><?xml version="1.0" encoding="utf-8"?>
<calcChain xmlns="http://schemas.openxmlformats.org/spreadsheetml/2006/main">
  <c r="Q14" i="1" l="1"/>
  <c r="Q13" i="1"/>
  <c r="Q12" i="1"/>
  <c r="Q11" i="1"/>
  <c r="Q10" i="1"/>
  <c r="Q9" i="1"/>
  <c r="Q8" i="1"/>
  <c r="Q7" i="1"/>
  <c r="Q6" i="1"/>
  <c r="Q5" i="1"/>
  <c r="Q4" i="1"/>
  <c r="Q3" i="1"/>
  <c r="P14" i="1"/>
  <c r="R14" i="1" s="1"/>
  <c r="P13" i="1"/>
  <c r="R13" i="1" s="1"/>
  <c r="P12" i="1"/>
  <c r="R12" i="1" s="1"/>
  <c r="P11" i="1"/>
  <c r="R11" i="1" s="1"/>
  <c r="P10" i="1"/>
  <c r="R10" i="1" s="1"/>
  <c r="P9" i="1"/>
  <c r="R9" i="1" s="1"/>
  <c r="P8" i="1"/>
  <c r="R8" i="1" s="1"/>
  <c r="P7" i="1"/>
  <c r="R7" i="1" s="1"/>
  <c r="P6" i="1"/>
  <c r="R6" i="1" s="1"/>
  <c r="P5" i="1"/>
  <c r="R5" i="1" s="1"/>
  <c r="P4" i="1"/>
  <c r="R4" i="1" s="1"/>
  <c r="P3" i="1"/>
  <c r="R3" i="1" s="1"/>
  <c r="J15" i="1"/>
  <c r="I15" i="1"/>
  <c r="H15" i="1"/>
  <c r="G15" i="1"/>
  <c r="F15" i="1"/>
  <c r="E15" i="1"/>
  <c r="D15" i="1"/>
  <c r="C15" i="1"/>
  <c r="R15" i="1" l="1"/>
  <c r="Q15" i="1"/>
  <c r="O15" i="1"/>
  <c r="N15" i="1"/>
  <c r="M15" i="1"/>
  <c r="L15" i="1"/>
  <c r="K15" i="1"/>
  <c r="P15" i="1" l="1"/>
  <c r="B15" i="1"/>
</calcChain>
</file>

<file path=xl/sharedStrings.xml><?xml version="1.0" encoding="utf-8"?>
<sst xmlns="http://schemas.openxmlformats.org/spreadsheetml/2006/main" count="34" uniqueCount="30">
  <si>
    <t>December</t>
  </si>
  <si>
    <t>Month</t>
    <phoneticPr fontId="18" type="noConversion"/>
  </si>
  <si>
    <t>January</t>
    <phoneticPr fontId="18" type="noConversion"/>
  </si>
  <si>
    <t>February</t>
    <phoneticPr fontId="18" type="noConversion"/>
  </si>
  <si>
    <t>March</t>
    <phoneticPr fontId="18" type="noConversion"/>
  </si>
  <si>
    <t>April</t>
    <phoneticPr fontId="18" type="noConversion"/>
  </si>
  <si>
    <t>May</t>
    <phoneticPr fontId="18" type="noConversion"/>
  </si>
  <si>
    <t>June</t>
    <phoneticPr fontId="18" type="noConversion"/>
  </si>
  <si>
    <t>July</t>
    <phoneticPr fontId="18" type="noConversion"/>
  </si>
  <si>
    <t>August</t>
    <phoneticPr fontId="18" type="noConversion"/>
  </si>
  <si>
    <t>September</t>
    <phoneticPr fontId="18" type="noConversion"/>
  </si>
  <si>
    <t>October</t>
    <phoneticPr fontId="18" type="noConversion"/>
  </si>
  <si>
    <t>November</t>
    <phoneticPr fontId="18" type="noConversion"/>
  </si>
  <si>
    <t>Yearly Total</t>
    <phoneticPr fontId="18" type="noConversion"/>
  </si>
  <si>
    <t>Brent</t>
    <phoneticPr fontId="18" type="noConversion"/>
  </si>
  <si>
    <t>Gas Oil</t>
    <phoneticPr fontId="18" type="noConversion"/>
  </si>
  <si>
    <t>WTI</t>
    <phoneticPr fontId="18" type="noConversion"/>
  </si>
  <si>
    <t>Oil Products</t>
    <phoneticPr fontId="18" type="noConversion"/>
  </si>
  <si>
    <t>EU NAT Gas</t>
    <phoneticPr fontId="18" type="noConversion"/>
  </si>
  <si>
    <t>Futures</t>
    <phoneticPr fontId="18" type="noConversion"/>
  </si>
  <si>
    <t>Monthly Totals</t>
    <phoneticPr fontId="18" type="noConversion"/>
  </si>
  <si>
    <t>Options</t>
    <phoneticPr fontId="18" type="noConversion"/>
  </si>
  <si>
    <t>Emissions</t>
    <phoneticPr fontId="18" type="noConversion"/>
  </si>
  <si>
    <t>Coal &amp; Elec</t>
    <phoneticPr fontId="18" type="noConversion"/>
  </si>
  <si>
    <t>RBOB Gasoline</t>
    <phoneticPr fontId="18" type="noConversion"/>
  </si>
  <si>
    <t>Heating Oil</t>
    <phoneticPr fontId="18" type="noConversion"/>
  </si>
  <si>
    <t>Other</t>
    <phoneticPr fontId="18" type="noConversion"/>
  </si>
  <si>
    <t>Futures</t>
    <phoneticPr fontId="18" type="noConversion"/>
  </si>
  <si>
    <t>Options</t>
    <phoneticPr fontId="18" type="noConversion"/>
  </si>
  <si>
    <t>Overall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</si>
</sst>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#,##0.0_);[Red]\(#,##0.0\)"/>
    <numFmt numFmtId="177" formatCode="#,##0_);[Red]\(#,##0\)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DEBF7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0" fillId="0" borderId="14" xfId="0" applyNumberFormat="1" applyBorder="1" applyAlignment="1">
      <alignment horizontal="center" vertical="center"/>
    </xf>
    <xf numFmtId="49" fontId="0" fillId="0" borderId="20" xfId="0" applyNumberFormat="1" applyBorder="1" applyAlignment="1">
      <alignment horizontal="center" vertical="center"/>
    </xf>
    <xf numFmtId="49" fontId="0" fillId="0" borderId="17" xfId="0" applyNumberFormat="1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49" fontId="0" fillId="0" borderId="17" xfId="0" applyNumberFormat="1" applyBorder="1">
      <alignment vertical="center"/>
    </xf>
    <xf numFmtId="49" fontId="0" fillId="0" borderId="19" xfId="0" applyNumberFormat="1" applyBorder="1" applyAlignment="1">
      <alignment horizontal="center" vertical="center"/>
    </xf>
    <xf numFmtId="177" fontId="0" fillId="0" borderId="15" xfId="0" applyNumberFormat="1" applyBorder="1" applyAlignment="1">
      <alignment horizontal="center" vertical="center"/>
    </xf>
    <xf numFmtId="177" fontId="0" fillId="0" borderId="13" xfId="0" applyNumberFormat="1" applyBorder="1" applyAlignment="1">
      <alignment horizontal="center" vertical="center"/>
    </xf>
    <xf numFmtId="177" fontId="0" fillId="0" borderId="20" xfId="0" applyNumberForma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7" fontId="0" fillId="0" borderId="18" xfId="0" applyNumberFormat="1" applyBorder="1" applyAlignment="1">
      <alignment horizontal="center" vertical="center"/>
    </xf>
    <xf numFmtId="177" fontId="0" fillId="0" borderId="17" xfId="0" applyNumberFormat="1" applyBorder="1" applyAlignment="1">
      <alignment horizontal="center" vertical="center"/>
    </xf>
    <xf numFmtId="177" fontId="0" fillId="0" borderId="19" xfId="0" applyNumberFormat="1" applyBorder="1" applyAlignment="1">
      <alignment horizontal="center" vertical="center"/>
    </xf>
    <xf numFmtId="177" fontId="0" fillId="0" borderId="0" xfId="0" applyNumberFormat="1" applyBorder="1" applyAlignment="1">
      <alignment horizontal="center" vertical="center"/>
    </xf>
    <xf numFmtId="177" fontId="0" fillId="0" borderId="16" xfId="0" applyNumberFormat="1" applyBorder="1" applyAlignment="1">
      <alignment horizontal="center" vertical="center"/>
    </xf>
    <xf numFmtId="49" fontId="19" fillId="0" borderId="17" xfId="0" applyNumberFormat="1" applyFont="1" applyBorder="1">
      <alignment vertical="center"/>
    </xf>
    <xf numFmtId="177" fontId="19" fillId="0" borderId="16" xfId="0" applyNumberFormat="1" applyFont="1" applyBorder="1" applyAlignment="1">
      <alignment horizontal="center" vertical="center"/>
    </xf>
    <xf numFmtId="177" fontId="19" fillId="0" borderId="17" xfId="0" applyNumberFormat="1" applyFont="1" applyBorder="1" applyAlignment="1">
      <alignment horizontal="center" vertical="center"/>
    </xf>
    <xf numFmtId="177" fontId="19" fillId="0" borderId="18" xfId="0" applyNumberFormat="1" applyFont="1" applyBorder="1" applyAlignment="1">
      <alignment horizontal="center" vertical="center"/>
    </xf>
    <xf numFmtId="177" fontId="19" fillId="0" borderId="11" xfId="0" applyNumberFormat="1" applyFont="1" applyBorder="1" applyAlignment="1">
      <alignment horizontal="center" vertical="center"/>
    </xf>
    <xf numFmtId="49" fontId="19" fillId="34" borderId="10" xfId="0" applyNumberFormat="1" applyFont="1" applyFill="1" applyBorder="1" applyAlignment="1">
      <alignment horizontal="center" vertical="center"/>
    </xf>
    <xf numFmtId="49" fontId="19" fillId="34" borderId="11" xfId="0" applyNumberFormat="1" applyFont="1" applyFill="1" applyBorder="1" applyAlignment="1">
      <alignment horizontal="center" vertical="center"/>
    </xf>
    <xf numFmtId="49" fontId="19" fillId="34" borderId="12" xfId="0" applyNumberFormat="1" applyFont="1" applyFill="1" applyBorder="1" applyAlignment="1">
      <alignment horizontal="center" vertical="center"/>
    </xf>
    <xf numFmtId="49" fontId="19" fillId="33" borderId="10" xfId="0" applyNumberFormat="1" applyFont="1" applyFill="1" applyBorder="1" applyAlignment="1">
      <alignment horizontal="center" vertical="center"/>
    </xf>
    <xf numFmtId="49" fontId="19" fillId="33" borderId="11" xfId="0" applyNumberFormat="1" applyFont="1" applyFill="1" applyBorder="1" applyAlignment="1">
      <alignment horizontal="center" vertical="center"/>
    </xf>
    <xf numFmtId="49" fontId="19" fillId="33" borderId="12" xfId="0" applyNumberFormat="1" applyFont="1" applyFill="1" applyBorder="1" applyAlignment="1">
      <alignment horizontal="center" vertical="center"/>
    </xf>
    <xf numFmtId="49" fontId="0" fillId="0" borderId="13" xfId="0" applyNumberFormat="1" applyBorder="1" applyAlignment="1">
      <alignment horizontal="center" vertical="center"/>
    </xf>
    <xf numFmtId="177" fontId="19" fillId="0" borderId="12" xfId="0" applyNumberFormat="1" applyFont="1" applyBorder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colors>
    <mruColors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7"/>
  <sheetViews>
    <sheetView showGridLines="0" tabSelected="1" workbookViewId="0">
      <pane ySplit="2" topLeftCell="A3" activePane="bottomLeft" state="frozen"/>
      <selection pane="bottomLeft" activeCell="A3" sqref="A3"/>
    </sheetView>
  </sheetViews>
  <sheetFormatPr defaultRowHeight="16.5" x14ac:dyDescent="0.3"/>
  <cols>
    <col min="1" max="1" width="11" customWidth="1"/>
    <col min="2" max="2" width="13.5" customWidth="1"/>
    <col min="3" max="3" width="12.125" customWidth="1"/>
    <col min="4" max="4" width="12.25" customWidth="1"/>
    <col min="5" max="5" width="15.875" customWidth="1"/>
    <col min="6" max="6" width="16.875" customWidth="1"/>
    <col min="7" max="8" width="12.625" bestFit="1" customWidth="1"/>
    <col min="9" max="9" width="13.5" customWidth="1"/>
    <col min="10" max="10" width="14" bestFit="1" customWidth="1"/>
    <col min="11" max="11" width="13.875" bestFit="1" customWidth="1"/>
    <col min="12" max="12" width="12.625" bestFit="1" customWidth="1"/>
    <col min="13" max="13" width="13.875" bestFit="1" customWidth="1"/>
    <col min="14" max="14" width="12.625" bestFit="1" customWidth="1"/>
    <col min="15" max="15" width="13.875" bestFit="1" customWidth="1"/>
    <col min="16" max="16" width="14.625" customWidth="1"/>
    <col min="17" max="17" width="16.75" customWidth="1"/>
    <col min="18" max="18" width="13.875" customWidth="1"/>
  </cols>
  <sheetData>
    <row r="1" spans="1:39" x14ac:dyDescent="0.3">
      <c r="A1" s="1"/>
      <c r="B1" s="24" t="s">
        <v>19</v>
      </c>
      <c r="C1" s="25"/>
      <c r="D1" s="25"/>
      <c r="E1" s="25"/>
      <c r="F1" s="25"/>
      <c r="G1" s="25"/>
      <c r="H1" s="25"/>
      <c r="I1" s="25"/>
      <c r="J1" s="26"/>
      <c r="K1" s="27" t="s">
        <v>21</v>
      </c>
      <c r="L1" s="28"/>
      <c r="M1" s="28"/>
      <c r="N1" s="28"/>
      <c r="O1" s="29"/>
      <c r="P1" s="27" t="s">
        <v>20</v>
      </c>
      <c r="Q1" s="28"/>
      <c r="R1" s="29"/>
    </row>
    <row r="2" spans="1:39" x14ac:dyDescent="0.3">
      <c r="A2" s="2" t="s">
        <v>1</v>
      </c>
      <c r="B2" s="9" t="s">
        <v>14</v>
      </c>
      <c r="C2" s="6" t="s">
        <v>15</v>
      </c>
      <c r="D2" s="5" t="s">
        <v>16</v>
      </c>
      <c r="E2" s="2" t="s">
        <v>25</v>
      </c>
      <c r="F2" s="2" t="s">
        <v>24</v>
      </c>
      <c r="G2" s="7" t="s">
        <v>17</v>
      </c>
      <c r="H2" s="5" t="s">
        <v>18</v>
      </c>
      <c r="I2" s="2" t="s">
        <v>23</v>
      </c>
      <c r="J2" s="5" t="s">
        <v>22</v>
      </c>
      <c r="K2" s="9" t="s">
        <v>14</v>
      </c>
      <c r="L2" s="5" t="s">
        <v>16</v>
      </c>
      <c r="M2" s="6" t="s">
        <v>15</v>
      </c>
      <c r="N2" s="7" t="s">
        <v>17</v>
      </c>
      <c r="O2" s="4" t="s">
        <v>26</v>
      </c>
      <c r="P2" s="30" t="s">
        <v>27</v>
      </c>
      <c r="Q2" s="7" t="s">
        <v>28</v>
      </c>
      <c r="R2" s="4" t="s">
        <v>29</v>
      </c>
    </row>
    <row r="3" spans="1:39" ht="15" customHeight="1" x14ac:dyDescent="0.3">
      <c r="A3" s="1" t="s">
        <v>2</v>
      </c>
      <c r="B3" s="11">
        <v>13298193</v>
      </c>
      <c r="C3" s="12">
        <v>5998797</v>
      </c>
      <c r="D3" s="17">
        <v>3226381</v>
      </c>
      <c r="E3" s="13">
        <v>221829</v>
      </c>
      <c r="F3" s="13">
        <v>255916</v>
      </c>
      <c r="G3" s="17">
        <v>1262162</v>
      </c>
      <c r="H3" s="13">
        <v>634310</v>
      </c>
      <c r="I3" s="13">
        <v>82098</v>
      </c>
      <c r="J3" s="17">
        <v>756384</v>
      </c>
      <c r="K3" s="16">
        <v>900657</v>
      </c>
      <c r="L3" s="17">
        <v>312406</v>
      </c>
      <c r="M3" s="13">
        <v>84579</v>
      </c>
      <c r="N3" s="17">
        <v>307494</v>
      </c>
      <c r="O3" s="10">
        <v>131327</v>
      </c>
      <c r="P3" s="16">
        <f>SUM(B3:J3)</f>
        <v>25736070</v>
      </c>
      <c r="Q3" s="17">
        <f>SUM(K3:O3)</f>
        <v>1736463</v>
      </c>
      <c r="R3" s="10">
        <f>SUM(P3:Q3)</f>
        <v>27472533</v>
      </c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</row>
    <row r="4" spans="1:39" ht="15" customHeight="1" x14ac:dyDescent="0.3">
      <c r="A4" s="1" t="s">
        <v>3</v>
      </c>
      <c r="B4" s="16">
        <v>12212794</v>
      </c>
      <c r="C4" s="17">
        <v>5453885</v>
      </c>
      <c r="D4" s="17">
        <v>3154861</v>
      </c>
      <c r="E4" s="13">
        <v>259551</v>
      </c>
      <c r="F4" s="13">
        <v>325315</v>
      </c>
      <c r="G4" s="17">
        <v>1073649</v>
      </c>
      <c r="H4" s="13">
        <v>696970</v>
      </c>
      <c r="I4" s="13">
        <v>78866</v>
      </c>
      <c r="J4" s="17">
        <v>934316</v>
      </c>
      <c r="K4" s="16">
        <v>837229</v>
      </c>
      <c r="L4" s="17">
        <v>286733</v>
      </c>
      <c r="M4" s="13">
        <v>64441</v>
      </c>
      <c r="N4" s="17">
        <v>204164</v>
      </c>
      <c r="O4" s="10">
        <v>119881</v>
      </c>
      <c r="P4" s="16">
        <f t="shared" ref="P4:P14" si="0">SUM(B4:J4)</f>
        <v>24190207</v>
      </c>
      <c r="Q4" s="17">
        <f t="shared" ref="Q4:Q14" si="1">SUM(K4:O4)</f>
        <v>1512448</v>
      </c>
      <c r="R4" s="10">
        <f t="shared" ref="R4:R14" si="2">SUM(P4:Q4)</f>
        <v>25702655</v>
      </c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</row>
    <row r="5" spans="1:39" ht="15" customHeight="1" x14ac:dyDescent="0.3">
      <c r="A5" s="1" t="s">
        <v>4</v>
      </c>
      <c r="B5" s="16">
        <v>13601879</v>
      </c>
      <c r="C5" s="17">
        <v>5253667</v>
      </c>
      <c r="D5" s="17">
        <v>2578704</v>
      </c>
      <c r="E5" s="13">
        <v>278267</v>
      </c>
      <c r="F5" s="13">
        <v>342306</v>
      </c>
      <c r="G5" s="17">
        <v>1203001</v>
      </c>
      <c r="H5" s="13">
        <v>716565</v>
      </c>
      <c r="I5" s="13">
        <v>102936</v>
      </c>
      <c r="J5" s="17">
        <v>759394</v>
      </c>
      <c r="K5" s="16">
        <v>792812</v>
      </c>
      <c r="L5" s="17">
        <v>275747</v>
      </c>
      <c r="M5" s="13">
        <v>49188</v>
      </c>
      <c r="N5" s="17">
        <v>165624</v>
      </c>
      <c r="O5" s="10">
        <v>157458</v>
      </c>
      <c r="P5" s="16">
        <f t="shared" si="0"/>
        <v>24836719</v>
      </c>
      <c r="Q5" s="17">
        <f t="shared" si="1"/>
        <v>1440829</v>
      </c>
      <c r="R5" s="10">
        <f t="shared" si="2"/>
        <v>26277548</v>
      </c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</row>
    <row r="6" spans="1:39" ht="15" customHeight="1" x14ac:dyDescent="0.3">
      <c r="A6" s="1" t="s">
        <v>5</v>
      </c>
      <c r="B6" s="16">
        <v>16588993</v>
      </c>
      <c r="C6" s="17">
        <v>5491988</v>
      </c>
      <c r="D6" s="17">
        <v>3182152</v>
      </c>
      <c r="E6" s="13">
        <v>324016</v>
      </c>
      <c r="F6" s="13">
        <v>371479</v>
      </c>
      <c r="G6" s="17">
        <v>1277756</v>
      </c>
      <c r="H6" s="13">
        <v>561470</v>
      </c>
      <c r="I6" s="13">
        <v>94115</v>
      </c>
      <c r="J6" s="17">
        <v>876947</v>
      </c>
      <c r="K6" s="16">
        <v>1082234</v>
      </c>
      <c r="L6" s="17">
        <v>375379</v>
      </c>
      <c r="M6" s="13">
        <v>88132</v>
      </c>
      <c r="N6" s="17">
        <v>167857</v>
      </c>
      <c r="O6" s="10">
        <v>127216</v>
      </c>
      <c r="P6" s="16">
        <f t="shared" si="0"/>
        <v>28768916</v>
      </c>
      <c r="Q6" s="17">
        <f t="shared" si="1"/>
        <v>1840818</v>
      </c>
      <c r="R6" s="10">
        <f t="shared" si="2"/>
        <v>30609734</v>
      </c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</row>
    <row r="7" spans="1:39" ht="15" customHeight="1" x14ac:dyDescent="0.3">
      <c r="A7" s="1" t="s">
        <v>6</v>
      </c>
      <c r="B7" s="16">
        <v>13866863</v>
      </c>
      <c r="C7" s="17">
        <v>5788636</v>
      </c>
      <c r="D7" s="17">
        <v>2900102</v>
      </c>
      <c r="E7" s="13">
        <v>402066</v>
      </c>
      <c r="F7" s="13">
        <v>381010</v>
      </c>
      <c r="G7" s="17">
        <v>2130388</v>
      </c>
      <c r="H7" s="13">
        <v>523845</v>
      </c>
      <c r="I7" s="13">
        <v>72853</v>
      </c>
      <c r="J7" s="17">
        <v>532568</v>
      </c>
      <c r="K7" s="16">
        <v>867141</v>
      </c>
      <c r="L7" s="17">
        <v>276514</v>
      </c>
      <c r="M7" s="13">
        <v>53062</v>
      </c>
      <c r="N7" s="17">
        <v>212457</v>
      </c>
      <c r="O7" s="10">
        <v>78609</v>
      </c>
      <c r="P7" s="16">
        <f t="shared" si="0"/>
        <v>26598331</v>
      </c>
      <c r="Q7" s="17">
        <f t="shared" si="1"/>
        <v>1487783</v>
      </c>
      <c r="R7" s="10">
        <f t="shared" si="2"/>
        <v>28086114</v>
      </c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</row>
    <row r="8" spans="1:39" ht="15" customHeight="1" x14ac:dyDescent="0.3">
      <c r="A8" s="1" t="s">
        <v>7</v>
      </c>
      <c r="B8" s="16">
        <v>11592912</v>
      </c>
      <c r="C8" s="17">
        <v>5741228</v>
      </c>
      <c r="D8" s="17">
        <v>2997498</v>
      </c>
      <c r="E8" s="13">
        <v>351745</v>
      </c>
      <c r="F8" s="13">
        <v>341326</v>
      </c>
      <c r="G8" s="17">
        <v>1181384</v>
      </c>
      <c r="H8" s="13">
        <v>529165</v>
      </c>
      <c r="I8" s="13">
        <v>103058</v>
      </c>
      <c r="J8" s="17">
        <v>823609</v>
      </c>
      <c r="K8" s="16">
        <v>602626</v>
      </c>
      <c r="L8" s="17">
        <v>214474</v>
      </c>
      <c r="M8" s="13">
        <v>36044</v>
      </c>
      <c r="N8" s="17">
        <v>165648</v>
      </c>
      <c r="O8" s="10">
        <v>105115</v>
      </c>
      <c r="P8" s="16">
        <f t="shared" si="0"/>
        <v>23661925</v>
      </c>
      <c r="Q8" s="17">
        <f t="shared" si="1"/>
        <v>1123907</v>
      </c>
      <c r="R8" s="10">
        <f t="shared" si="2"/>
        <v>24785832</v>
      </c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</row>
    <row r="9" spans="1:39" ht="15" customHeight="1" x14ac:dyDescent="0.3">
      <c r="A9" s="1" t="s">
        <v>8</v>
      </c>
      <c r="B9" s="16">
        <v>13696067</v>
      </c>
      <c r="C9" s="17">
        <v>5693435</v>
      </c>
      <c r="D9" s="17">
        <v>4302688</v>
      </c>
      <c r="E9" s="13">
        <v>341818</v>
      </c>
      <c r="F9" s="13">
        <v>337277</v>
      </c>
      <c r="G9" s="17">
        <v>1273251</v>
      </c>
      <c r="H9" s="13">
        <v>323870</v>
      </c>
      <c r="I9" s="13">
        <v>62331</v>
      </c>
      <c r="J9" s="17">
        <v>541914</v>
      </c>
      <c r="K9" s="16">
        <v>693064</v>
      </c>
      <c r="L9" s="17">
        <v>251296</v>
      </c>
      <c r="M9" s="13">
        <v>30317</v>
      </c>
      <c r="N9" s="17">
        <v>131818</v>
      </c>
      <c r="O9" s="10">
        <v>99828</v>
      </c>
      <c r="P9" s="16">
        <f t="shared" si="0"/>
        <v>26572651</v>
      </c>
      <c r="Q9" s="17">
        <f t="shared" si="1"/>
        <v>1206323</v>
      </c>
      <c r="R9" s="10">
        <f t="shared" si="2"/>
        <v>27778974</v>
      </c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</row>
    <row r="10" spans="1:39" ht="15" customHeight="1" x14ac:dyDescent="0.3">
      <c r="A10" s="1" t="s">
        <v>9</v>
      </c>
      <c r="B10" s="16">
        <v>13694741</v>
      </c>
      <c r="C10" s="17">
        <v>5133360</v>
      </c>
      <c r="D10" s="17">
        <v>3250670</v>
      </c>
      <c r="E10" s="13">
        <v>292960</v>
      </c>
      <c r="F10" s="13">
        <v>278030</v>
      </c>
      <c r="G10" s="17">
        <v>1362644</v>
      </c>
      <c r="H10" s="13">
        <v>395990</v>
      </c>
      <c r="I10" s="13">
        <v>72112</v>
      </c>
      <c r="J10" s="17">
        <v>328945</v>
      </c>
      <c r="K10" s="16">
        <v>893812</v>
      </c>
      <c r="L10" s="17">
        <v>280641</v>
      </c>
      <c r="M10" s="13">
        <v>39655</v>
      </c>
      <c r="N10" s="17">
        <v>161340</v>
      </c>
      <c r="O10" s="10">
        <v>68397</v>
      </c>
      <c r="P10" s="17">
        <f t="shared" si="0"/>
        <v>24809452</v>
      </c>
      <c r="Q10" s="17">
        <f t="shared" si="1"/>
        <v>1443845</v>
      </c>
      <c r="R10" s="10">
        <f t="shared" si="2"/>
        <v>26253297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</row>
    <row r="11" spans="1:39" ht="15" customHeight="1" x14ac:dyDescent="0.3">
      <c r="A11" s="1" t="s">
        <v>10</v>
      </c>
      <c r="B11" s="16">
        <v>13467312</v>
      </c>
      <c r="C11" s="17">
        <v>5532501</v>
      </c>
      <c r="D11" s="17">
        <v>2646383</v>
      </c>
      <c r="E11" s="13">
        <v>392537</v>
      </c>
      <c r="F11" s="13">
        <v>323033</v>
      </c>
      <c r="G11" s="17">
        <v>1220605</v>
      </c>
      <c r="H11" s="13">
        <v>518955</v>
      </c>
      <c r="I11" s="13">
        <v>125335</v>
      </c>
      <c r="J11" s="17">
        <v>653681</v>
      </c>
      <c r="K11" s="16">
        <v>837100</v>
      </c>
      <c r="L11" s="17">
        <v>298357</v>
      </c>
      <c r="M11" s="13">
        <v>50968</v>
      </c>
      <c r="N11" s="17">
        <v>208850</v>
      </c>
      <c r="O11" s="10">
        <v>77384</v>
      </c>
      <c r="P11" s="16">
        <f t="shared" si="0"/>
        <v>24880342</v>
      </c>
      <c r="Q11" s="17">
        <f t="shared" si="1"/>
        <v>1472659</v>
      </c>
      <c r="R11" s="10">
        <f t="shared" si="2"/>
        <v>26353001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</row>
    <row r="12" spans="1:39" ht="15" customHeight="1" x14ac:dyDescent="0.3">
      <c r="A12" s="1" t="s">
        <v>11</v>
      </c>
      <c r="B12" s="16">
        <v>13851407</v>
      </c>
      <c r="C12" s="17">
        <v>6149710</v>
      </c>
      <c r="D12" s="17">
        <v>3218003</v>
      </c>
      <c r="E12" s="13">
        <v>430570</v>
      </c>
      <c r="F12" s="13">
        <v>340827</v>
      </c>
      <c r="G12" s="17">
        <v>1384273</v>
      </c>
      <c r="H12" s="13">
        <v>478567</v>
      </c>
      <c r="I12" s="13">
        <v>156938</v>
      </c>
      <c r="J12" s="17">
        <v>690302</v>
      </c>
      <c r="K12" s="16">
        <v>804978</v>
      </c>
      <c r="L12" s="17">
        <v>402969</v>
      </c>
      <c r="M12" s="13">
        <v>53318</v>
      </c>
      <c r="N12" s="17">
        <v>113797</v>
      </c>
      <c r="O12" s="10">
        <v>94444</v>
      </c>
      <c r="P12" s="16">
        <f t="shared" si="0"/>
        <v>26700597</v>
      </c>
      <c r="Q12" s="17">
        <f t="shared" si="1"/>
        <v>1469506</v>
      </c>
      <c r="R12" s="10">
        <f t="shared" si="2"/>
        <v>28170103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</row>
    <row r="13" spans="1:39" ht="15" customHeight="1" x14ac:dyDescent="0.3">
      <c r="A13" s="1" t="s">
        <v>12</v>
      </c>
      <c r="B13" s="16">
        <v>13273094</v>
      </c>
      <c r="C13" s="17">
        <v>4460672</v>
      </c>
      <c r="D13" s="17">
        <v>2446488</v>
      </c>
      <c r="E13" s="13">
        <v>443499</v>
      </c>
      <c r="F13" s="13">
        <v>404903</v>
      </c>
      <c r="G13" s="17">
        <v>1499542</v>
      </c>
      <c r="H13" s="13">
        <v>638337</v>
      </c>
      <c r="I13" s="13">
        <v>75840</v>
      </c>
      <c r="J13" s="17">
        <v>743826</v>
      </c>
      <c r="K13" s="16">
        <v>774325</v>
      </c>
      <c r="L13" s="17">
        <v>310247</v>
      </c>
      <c r="M13" s="13">
        <v>51351</v>
      </c>
      <c r="N13" s="17">
        <v>151025</v>
      </c>
      <c r="O13" s="10">
        <v>148035</v>
      </c>
      <c r="P13" s="17">
        <f t="shared" si="0"/>
        <v>23986201</v>
      </c>
      <c r="Q13" s="17">
        <f t="shared" si="1"/>
        <v>1434983</v>
      </c>
      <c r="R13" s="10">
        <f t="shared" si="2"/>
        <v>25421184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</row>
    <row r="14" spans="1:39" ht="15" customHeight="1" x14ac:dyDescent="0.3">
      <c r="A14" s="8" t="s">
        <v>0</v>
      </c>
      <c r="B14" s="18">
        <v>9956370</v>
      </c>
      <c r="C14" s="15">
        <v>3302982</v>
      </c>
      <c r="D14" s="15">
        <v>2206273</v>
      </c>
      <c r="E14" s="15">
        <v>408932</v>
      </c>
      <c r="F14" s="15">
        <v>393205</v>
      </c>
      <c r="G14" s="15">
        <v>1209238</v>
      </c>
      <c r="H14" s="15">
        <v>533393</v>
      </c>
      <c r="I14" s="15">
        <v>52488</v>
      </c>
      <c r="J14" s="15">
        <v>641106</v>
      </c>
      <c r="K14" s="18">
        <v>606043</v>
      </c>
      <c r="L14" s="15">
        <v>253857</v>
      </c>
      <c r="M14" s="15">
        <v>17663</v>
      </c>
      <c r="N14" s="15">
        <v>203116</v>
      </c>
      <c r="O14" s="14">
        <v>84542</v>
      </c>
      <c r="P14" s="18">
        <f t="shared" si="0"/>
        <v>18703987</v>
      </c>
      <c r="Q14" s="17">
        <f t="shared" si="1"/>
        <v>1165221</v>
      </c>
      <c r="R14" s="10">
        <f t="shared" si="2"/>
        <v>19869208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</row>
    <row r="15" spans="1:39" ht="15" customHeight="1" x14ac:dyDescent="0.3">
      <c r="A15" s="19" t="s">
        <v>13</v>
      </c>
      <c r="B15" s="20">
        <f>SUM(B3:B14)</f>
        <v>159100625</v>
      </c>
      <c r="C15" s="21">
        <f t="shared" ref="C15:J15" si="3">SUM(C3:C14)</f>
        <v>64000861</v>
      </c>
      <c r="D15" s="21">
        <f t="shared" si="3"/>
        <v>36110203</v>
      </c>
      <c r="E15" s="23">
        <f t="shared" si="3"/>
        <v>4147790</v>
      </c>
      <c r="F15" s="21">
        <f t="shared" si="3"/>
        <v>4094627</v>
      </c>
      <c r="G15" s="21">
        <f t="shared" si="3"/>
        <v>16077893</v>
      </c>
      <c r="H15" s="21">
        <f t="shared" si="3"/>
        <v>6551437</v>
      </c>
      <c r="I15" s="21">
        <f t="shared" si="3"/>
        <v>1078970</v>
      </c>
      <c r="J15" s="21">
        <f t="shared" si="3"/>
        <v>8282992</v>
      </c>
      <c r="K15" s="20">
        <f t="shared" ref="K15:O15" si="4">SUM(K3:K14)</f>
        <v>9692021</v>
      </c>
      <c r="L15" s="21">
        <f t="shared" si="4"/>
        <v>3538620</v>
      </c>
      <c r="M15" s="21">
        <f t="shared" si="4"/>
        <v>618718</v>
      </c>
      <c r="N15" s="21">
        <f t="shared" si="4"/>
        <v>2193190</v>
      </c>
      <c r="O15" s="22">
        <f t="shared" si="4"/>
        <v>1292236</v>
      </c>
      <c r="P15" s="21">
        <f>SUM(P3:P14)</f>
        <v>299445398</v>
      </c>
      <c r="Q15" s="23">
        <f t="shared" ref="Q15:R15" si="5">SUM(Q3:Q14)</f>
        <v>17334785</v>
      </c>
      <c r="R15" s="31">
        <f t="shared" si="5"/>
        <v>316780183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</row>
    <row r="16" spans="1:39" x14ac:dyDescent="0.3">
      <c r="A16" s="1"/>
    </row>
    <row r="17" spans="1:1" x14ac:dyDescent="0.3">
      <c r="A17" s="1"/>
    </row>
  </sheetData>
  <mergeCells count="3">
    <mergeCell ref="K1:O1"/>
    <mergeCell ref="P1:R1"/>
    <mergeCell ref="B1:J1"/>
  </mergeCells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2013년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2026-06-15T09:24:56Z</dcterms:created>
  <dcterms:modified xsi:type="dcterms:W3CDTF">2026-07-16T08:35:56Z</dcterms:modified>
</cp:coreProperties>
</file>