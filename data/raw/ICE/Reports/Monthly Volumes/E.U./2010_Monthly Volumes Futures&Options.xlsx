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E.U\"/>
    </mc:Choice>
  </mc:AlternateContent>
  <bookViews>
    <workbookView xWindow="0" yWindow="0" windowWidth="25125" windowHeight="11640"/>
  </bookViews>
  <sheets>
    <sheet name="2010년" sheetId="1" r:id="rId1"/>
  </sheets>
  <calcPr calcId="162913"/>
</workbook>
</file>

<file path=xl/calcChain.xml><?xml version="1.0" encoding="utf-8"?>
<calcChain xmlns="http://schemas.openxmlformats.org/spreadsheetml/2006/main">
  <c r="I15" i="1" l="1"/>
  <c r="P4" i="1"/>
  <c r="Q14" i="1"/>
  <c r="Q13" i="1"/>
  <c r="Q12" i="1"/>
  <c r="Q11" i="1"/>
  <c r="Q10" i="1"/>
  <c r="Q9" i="1"/>
  <c r="Q8" i="1"/>
  <c r="Q7" i="1"/>
  <c r="Q6" i="1"/>
  <c r="Q5" i="1"/>
  <c r="Q4" i="1"/>
  <c r="Q3" i="1"/>
  <c r="P14" i="1"/>
  <c r="P13" i="1"/>
  <c r="P12" i="1"/>
  <c r="P11" i="1"/>
  <c r="P10" i="1"/>
  <c r="P9" i="1"/>
  <c r="P8" i="1"/>
  <c r="P7" i="1"/>
  <c r="P6" i="1"/>
  <c r="P5" i="1"/>
  <c r="P3" i="1"/>
  <c r="K15" i="1"/>
  <c r="J15" i="1"/>
  <c r="H15" i="1"/>
  <c r="G15" i="1"/>
  <c r="F15" i="1"/>
  <c r="E15" i="1"/>
  <c r="D15" i="1"/>
  <c r="C15" i="1"/>
  <c r="R12" i="1" l="1"/>
  <c r="R5" i="1"/>
  <c r="R10" i="1"/>
  <c r="R11" i="1"/>
  <c r="R9" i="1"/>
  <c r="R14" i="1"/>
  <c r="R13" i="1"/>
  <c r="R8" i="1"/>
  <c r="R7" i="1"/>
  <c r="R6" i="1"/>
  <c r="R4" i="1"/>
  <c r="R3" i="1"/>
  <c r="Q15" i="1"/>
  <c r="O15" i="1"/>
  <c r="N15" i="1"/>
  <c r="M15" i="1"/>
  <c r="L15" i="1"/>
  <c r="R15" i="1" l="1"/>
  <c r="P15" i="1"/>
  <c r="B15" i="1"/>
</calcChain>
</file>

<file path=xl/sharedStrings.xml><?xml version="1.0" encoding="utf-8"?>
<sst xmlns="http://schemas.openxmlformats.org/spreadsheetml/2006/main" count="34" uniqueCount="31">
  <si>
    <t>December</t>
  </si>
  <si>
    <t>Month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</si>
  <si>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</si>
  <si>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</si>
  <si>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</si>
  <si>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</si>
  <si>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</si>
  <si>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</si>
  <si>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</si>
  <si>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</si>
  <si>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</si>
  <si>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</si>
  <si>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</si>
  <si>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Yearly Total</t>
    <phoneticPr fontId="18" type="noConversion"/>
  </si>
  <si>
    <t>Brent</t>
    <phoneticPr fontId="18" type="noConversion"/>
  </si>
  <si>
    <t>Gas Oil</t>
    <phoneticPr fontId="18" type="noConversion"/>
  </si>
  <si>
    <t>WTI</t>
    <phoneticPr fontId="18" type="noConversion"/>
  </si>
  <si>
    <t>Futures</t>
    <phoneticPr fontId="18" type="noConversion"/>
  </si>
  <si>
    <t>Monthly Totals</t>
    <phoneticPr fontId="18" type="noConversion"/>
  </si>
  <si>
    <t>Options</t>
    <phoneticPr fontId="18" type="noConversion"/>
  </si>
  <si>
    <t>Emissions</t>
    <phoneticPr fontId="18" type="noConversion"/>
  </si>
  <si>
    <t>RBOB Gasoline</t>
    <phoneticPr fontId="18" type="noConversion"/>
  </si>
  <si>
    <t>Heating Oil</t>
    <phoneticPr fontId="18" type="noConversion"/>
  </si>
  <si>
    <t>Futures</t>
    <phoneticPr fontId="18" type="noConversion"/>
  </si>
  <si>
    <t>Options</t>
    <phoneticPr fontId="18" type="noConversion"/>
  </si>
  <si>
    <t>Overall</t>
    <phoneticPr fontId="18" type="noConversion"/>
  </si>
  <si>
    <t>Coal</t>
    <phoneticPr fontId="18" type="noConversion"/>
  </si>
  <si>
    <t>Elec</t>
    <phoneticPr fontId="18" type="noConversion"/>
  </si>
  <si>
    <t>Emissions</t>
    <phoneticPr fontId="18" type="noConversion"/>
  </si>
  <si>
    <t>NAT Gas</t>
    <phoneticPr fontId="18" type="noConversion"/>
  </si>
  <si>
    <t>DUTCH TTF Gas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</si>
</sst>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19" fillId="0" borderId="17" xfId="0" applyNumberFormat="1" applyFont="1" applyBorder="1">
      <alignment vertical="center"/>
    </xf>
    <xf numFmtId="177" fontId="19" fillId="0" borderId="16" xfId="0" applyNumberFormat="1" applyFont="1" applyBorder="1" applyAlignment="1">
      <alignment horizontal="center" vertical="center"/>
    </xf>
    <xf numFmtId="177" fontId="19" fillId="0" borderId="17" xfId="0" applyNumberFormat="1" applyFont="1" applyBorder="1" applyAlignment="1">
      <alignment horizontal="center" vertical="center"/>
    </xf>
    <xf numFmtId="177" fontId="19" fillId="0" borderId="11" xfId="0" applyNumberFormat="1" applyFont="1" applyBorder="1" applyAlignment="1">
      <alignment horizontal="center" vertical="center"/>
    </xf>
    <xf numFmtId="49" fontId="19" fillId="34" borderId="10" xfId="0" applyNumberFormat="1" applyFont="1" applyFill="1" applyBorder="1" applyAlignment="1">
      <alignment horizontal="center" vertical="center"/>
    </xf>
    <xf numFmtId="49" fontId="19" fillId="34" borderId="11" xfId="0" applyNumberFormat="1" applyFont="1" applyFill="1" applyBorder="1" applyAlignment="1">
      <alignment horizontal="center" vertical="center"/>
    </xf>
    <xf numFmtId="49" fontId="19" fillId="34" borderId="12" xfId="0" applyNumberFormat="1" applyFont="1" applyFill="1" applyBorder="1" applyAlignment="1">
      <alignment horizontal="center" vertical="center"/>
    </xf>
    <xf numFmtId="49" fontId="19" fillId="33" borderId="10" xfId="0" applyNumberFormat="1" applyFont="1" applyFill="1" applyBorder="1" applyAlignment="1">
      <alignment horizontal="center" vertical="center"/>
    </xf>
    <xf numFmtId="49" fontId="19" fillId="33" borderId="11" xfId="0" applyNumberFormat="1" applyFont="1" applyFill="1" applyBorder="1" applyAlignment="1">
      <alignment horizontal="center" vertical="center"/>
    </xf>
    <xf numFmtId="49" fontId="19" fillId="33" borderId="12" xfId="0" applyNumberFormat="1" applyFont="1" applyFill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177" fontId="19" fillId="0" borderId="12" xfId="0" applyNumberFormat="1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7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3.5" customWidth="1"/>
    <col min="3" max="3" width="12.125" customWidth="1"/>
    <col min="4" max="4" width="12.25" customWidth="1"/>
    <col min="5" max="5" width="15.875" customWidth="1"/>
    <col min="6" max="6" width="16.875" customWidth="1"/>
    <col min="7" max="7" width="11" customWidth="1"/>
    <col min="8" max="8" width="11.625" customWidth="1"/>
    <col min="9" max="9" width="15.25" customWidth="1"/>
    <col min="10" max="10" width="11.125" customWidth="1"/>
    <col min="11" max="11" width="14" bestFit="1" customWidth="1"/>
    <col min="12" max="12" width="13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4.625" customWidth="1"/>
    <col min="17" max="17" width="16.75" customWidth="1"/>
    <col min="18" max="18" width="13.875" customWidth="1"/>
  </cols>
  <sheetData>
    <row r="1" spans="1:39" x14ac:dyDescent="0.3">
      <c r="A1" s="1"/>
      <c r="B1" s="23" t="s">
        <v>17</v>
      </c>
      <c r="C1" s="24"/>
      <c r="D1" s="24"/>
      <c r="E1" s="24"/>
      <c r="F1" s="24"/>
      <c r="G1" s="24"/>
      <c r="H1" s="24"/>
      <c r="I1" s="24"/>
      <c r="J1" s="24"/>
      <c r="K1" s="25"/>
      <c r="L1" s="26" t="s">
        <v>19</v>
      </c>
      <c r="M1" s="27"/>
      <c r="N1" s="27"/>
      <c r="O1" s="28"/>
      <c r="P1" s="26" t="s">
        <v>18</v>
      </c>
      <c r="Q1" s="27"/>
      <c r="R1" s="28"/>
    </row>
    <row r="2" spans="1:39" x14ac:dyDescent="0.3">
      <c r="A2" s="2" t="s">
        <v>1</v>
      </c>
      <c r="B2" s="9" t="s">
        <v>14</v>
      </c>
      <c r="C2" s="6" t="s">
        <v>15</v>
      </c>
      <c r="D2" s="5" t="s">
        <v>16</v>
      </c>
      <c r="E2" s="2" t="s">
        <v>22</v>
      </c>
      <c r="F2" s="2" t="s">
        <v>21</v>
      </c>
      <c r="G2" s="7" t="s">
        <v>26</v>
      </c>
      <c r="H2" s="5" t="s">
        <v>29</v>
      </c>
      <c r="I2" s="7" t="s">
        <v>30</v>
      </c>
      <c r="J2" s="2" t="s">
        <v>27</v>
      </c>
      <c r="K2" s="5" t="s">
        <v>20</v>
      </c>
      <c r="L2" s="9" t="s">
        <v>14</v>
      </c>
      <c r="M2" s="5" t="s">
        <v>16</v>
      </c>
      <c r="N2" s="6" t="s">
        <v>15</v>
      </c>
      <c r="O2" s="7" t="s">
        <v>28</v>
      </c>
      <c r="P2" s="29" t="s">
        <v>23</v>
      </c>
      <c r="Q2" s="7" t="s">
        <v>24</v>
      </c>
      <c r="R2" s="4" t="s">
        <v>25</v>
      </c>
    </row>
    <row r="3" spans="1:39" ht="15" customHeight="1" x14ac:dyDescent="0.3">
      <c r="A3" s="1" t="s">
        <v>2</v>
      </c>
      <c r="B3" s="11">
        <v>7117165</v>
      </c>
      <c r="C3" s="12">
        <v>3782083</v>
      </c>
      <c r="D3" s="17">
        <v>3633364</v>
      </c>
      <c r="E3" s="13">
        <v>8528</v>
      </c>
      <c r="F3" s="13">
        <v>238</v>
      </c>
      <c r="G3" s="17">
        <v>108730</v>
      </c>
      <c r="H3" s="13">
        <v>306850</v>
      </c>
      <c r="I3" s="13">
        <v>0</v>
      </c>
      <c r="J3" s="13">
        <v>5710</v>
      </c>
      <c r="K3" s="17">
        <v>382098</v>
      </c>
      <c r="L3" s="16">
        <v>22850</v>
      </c>
      <c r="M3" s="17">
        <v>1800</v>
      </c>
      <c r="N3" s="13">
        <v>14315</v>
      </c>
      <c r="O3" s="10">
        <v>34325</v>
      </c>
      <c r="P3" s="17">
        <f>SUM(B3:K3)</f>
        <v>15344766</v>
      </c>
      <c r="Q3" s="17">
        <f>SUM(L3:O3)</f>
        <v>73290</v>
      </c>
      <c r="R3" s="10">
        <f>SUM(P3:Q3)</f>
        <v>15418056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5" customHeight="1" x14ac:dyDescent="0.3">
      <c r="A4" s="1" t="s">
        <v>3</v>
      </c>
      <c r="B4" s="16">
        <v>8055262</v>
      </c>
      <c r="C4" s="17">
        <v>4113214</v>
      </c>
      <c r="D4" s="17">
        <v>3941578</v>
      </c>
      <c r="E4" s="13">
        <v>5202</v>
      </c>
      <c r="F4" s="13">
        <v>291</v>
      </c>
      <c r="G4" s="17">
        <v>71350</v>
      </c>
      <c r="H4" s="13">
        <v>283930</v>
      </c>
      <c r="I4" s="13">
        <v>0</v>
      </c>
      <c r="J4" s="13">
        <v>1430</v>
      </c>
      <c r="K4" s="17">
        <v>397371</v>
      </c>
      <c r="L4" s="16">
        <v>11700</v>
      </c>
      <c r="M4" s="17">
        <v>4800</v>
      </c>
      <c r="N4" s="13">
        <v>22174</v>
      </c>
      <c r="O4" s="10">
        <v>61571</v>
      </c>
      <c r="P4" s="17">
        <f>SUM(B4:K4)</f>
        <v>16869628</v>
      </c>
      <c r="Q4" s="17">
        <f>SUM(L4:O4)</f>
        <v>100245</v>
      </c>
      <c r="R4" s="10">
        <f t="shared" ref="R4:R14" si="0">SUM(P4:Q4)</f>
        <v>16969873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15" customHeight="1" x14ac:dyDescent="0.3">
      <c r="A5" s="1" t="s">
        <v>4</v>
      </c>
      <c r="B5" s="16">
        <v>9278614</v>
      </c>
      <c r="C5" s="17">
        <v>5096457</v>
      </c>
      <c r="D5" s="17">
        <v>3972187</v>
      </c>
      <c r="E5" s="13">
        <v>10940</v>
      </c>
      <c r="F5" s="13">
        <v>72</v>
      </c>
      <c r="G5" s="17">
        <v>103795</v>
      </c>
      <c r="H5" s="13">
        <v>342595</v>
      </c>
      <c r="I5" s="13">
        <v>3630</v>
      </c>
      <c r="J5" s="13">
        <v>825</v>
      </c>
      <c r="K5" s="17">
        <v>397083</v>
      </c>
      <c r="L5" s="16">
        <v>2150</v>
      </c>
      <c r="M5" s="17">
        <v>3650</v>
      </c>
      <c r="N5" s="13">
        <v>20639</v>
      </c>
      <c r="O5" s="10">
        <v>79350</v>
      </c>
      <c r="P5" s="17">
        <f>SUM(B5:K5)</f>
        <v>19206198</v>
      </c>
      <c r="Q5" s="17">
        <f>SUM(L5:O5)</f>
        <v>105789</v>
      </c>
      <c r="R5" s="10">
        <f t="shared" si="0"/>
        <v>19311987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15" customHeight="1" x14ac:dyDescent="0.3">
      <c r="A6" s="1" t="s">
        <v>5</v>
      </c>
      <c r="B6" s="16">
        <v>8817777</v>
      </c>
      <c r="C6" s="17">
        <v>3885310</v>
      </c>
      <c r="D6" s="17">
        <v>5676857</v>
      </c>
      <c r="E6" s="13">
        <v>11722</v>
      </c>
      <c r="F6" s="13">
        <v>83</v>
      </c>
      <c r="G6" s="17">
        <v>146445</v>
      </c>
      <c r="H6" s="13">
        <v>430815</v>
      </c>
      <c r="I6" s="13">
        <v>6510</v>
      </c>
      <c r="J6" s="13">
        <v>1050</v>
      </c>
      <c r="K6" s="17">
        <v>624034</v>
      </c>
      <c r="L6" s="16">
        <v>1565</v>
      </c>
      <c r="M6" s="17">
        <v>1650</v>
      </c>
      <c r="N6" s="13">
        <v>21170</v>
      </c>
      <c r="O6" s="10">
        <v>114371</v>
      </c>
      <c r="P6" s="17">
        <f>SUM(B6:K6)</f>
        <v>19600603</v>
      </c>
      <c r="Q6" s="17">
        <f>SUM(L6:O6)</f>
        <v>138756</v>
      </c>
      <c r="R6" s="10">
        <f t="shared" si="0"/>
        <v>19739359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15" customHeight="1" x14ac:dyDescent="0.3">
      <c r="A7" s="1" t="s">
        <v>6</v>
      </c>
      <c r="B7" s="16">
        <v>9062487</v>
      </c>
      <c r="C7" s="17">
        <v>3973513</v>
      </c>
      <c r="D7" s="17">
        <v>5319007</v>
      </c>
      <c r="E7" s="13">
        <v>8003</v>
      </c>
      <c r="F7" s="13">
        <v>60</v>
      </c>
      <c r="G7" s="17">
        <v>89585</v>
      </c>
      <c r="H7" s="13">
        <v>474975</v>
      </c>
      <c r="I7" s="13">
        <v>6150</v>
      </c>
      <c r="J7" s="13">
        <v>835</v>
      </c>
      <c r="K7" s="17">
        <v>613471</v>
      </c>
      <c r="L7" s="16">
        <v>4673</v>
      </c>
      <c r="M7" s="17">
        <v>2800</v>
      </c>
      <c r="N7" s="13">
        <v>28372</v>
      </c>
      <c r="O7" s="10">
        <v>78061</v>
      </c>
      <c r="P7" s="17">
        <f>SUM(B7:K7)</f>
        <v>19548086</v>
      </c>
      <c r="Q7" s="17">
        <f>SUM(L7:O7)</f>
        <v>113906</v>
      </c>
      <c r="R7" s="10">
        <f t="shared" si="0"/>
        <v>19661992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5" customHeight="1" x14ac:dyDescent="0.3">
      <c r="A8" s="1" t="s">
        <v>7</v>
      </c>
      <c r="B8" s="16">
        <v>8342773</v>
      </c>
      <c r="C8" s="17">
        <v>4505281</v>
      </c>
      <c r="D8" s="17">
        <v>4354175</v>
      </c>
      <c r="E8" s="13">
        <v>4170</v>
      </c>
      <c r="F8" s="13">
        <v>31</v>
      </c>
      <c r="G8" s="17">
        <v>75785</v>
      </c>
      <c r="H8" s="13">
        <v>376355</v>
      </c>
      <c r="I8" s="13">
        <v>13610</v>
      </c>
      <c r="J8" s="13">
        <v>1170</v>
      </c>
      <c r="K8" s="17">
        <v>513168</v>
      </c>
      <c r="L8" s="16">
        <v>4334</v>
      </c>
      <c r="M8" s="17">
        <v>17200</v>
      </c>
      <c r="N8" s="13">
        <v>12541</v>
      </c>
      <c r="O8" s="10">
        <v>72128</v>
      </c>
      <c r="P8" s="17">
        <f>SUM(B8:K8)</f>
        <v>18186518</v>
      </c>
      <c r="Q8" s="17">
        <f>SUM(L8:O8)</f>
        <v>106203</v>
      </c>
      <c r="R8" s="10">
        <f t="shared" si="0"/>
        <v>18292721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15" customHeight="1" x14ac:dyDescent="0.3">
      <c r="A9" s="1" t="s">
        <v>8</v>
      </c>
      <c r="B9" s="16">
        <v>7344259</v>
      </c>
      <c r="C9" s="17">
        <v>4072423</v>
      </c>
      <c r="D9" s="17">
        <v>3433695</v>
      </c>
      <c r="E9" s="13">
        <v>3353</v>
      </c>
      <c r="F9" s="13">
        <v>270</v>
      </c>
      <c r="G9" s="17">
        <v>65155</v>
      </c>
      <c r="H9" s="13">
        <v>480695</v>
      </c>
      <c r="I9" s="13">
        <v>23240</v>
      </c>
      <c r="J9" s="13">
        <v>4870</v>
      </c>
      <c r="K9" s="17">
        <v>451553</v>
      </c>
      <c r="L9" s="16">
        <v>4280</v>
      </c>
      <c r="M9" s="17">
        <v>3300</v>
      </c>
      <c r="N9" s="13">
        <v>16611</v>
      </c>
      <c r="O9" s="10">
        <v>72370</v>
      </c>
      <c r="P9" s="17">
        <f>SUM(B9:K9)</f>
        <v>15879513</v>
      </c>
      <c r="Q9" s="17">
        <f>SUM(L9:O9)</f>
        <v>96561</v>
      </c>
      <c r="R9" s="10">
        <f t="shared" si="0"/>
        <v>15976074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ht="15" customHeight="1" x14ac:dyDescent="0.3">
      <c r="A10" s="1" t="s">
        <v>9</v>
      </c>
      <c r="B10" s="16">
        <v>8311420</v>
      </c>
      <c r="C10" s="17">
        <v>3933272</v>
      </c>
      <c r="D10" s="17">
        <v>4448674</v>
      </c>
      <c r="E10" s="13">
        <v>17614</v>
      </c>
      <c r="F10" s="13">
        <v>338</v>
      </c>
      <c r="G10" s="17">
        <v>54154</v>
      </c>
      <c r="H10" s="13">
        <v>267155</v>
      </c>
      <c r="I10" s="13">
        <v>7720</v>
      </c>
      <c r="J10" s="13">
        <v>235</v>
      </c>
      <c r="K10" s="17">
        <v>340554</v>
      </c>
      <c r="L10" s="16">
        <v>12562</v>
      </c>
      <c r="M10" s="17">
        <v>25100</v>
      </c>
      <c r="N10" s="13">
        <v>19527</v>
      </c>
      <c r="O10" s="10">
        <v>54155</v>
      </c>
      <c r="P10" s="17">
        <f>SUM(B10:K10)</f>
        <v>17381136</v>
      </c>
      <c r="Q10" s="17">
        <f>SUM(L10:O10)</f>
        <v>111344</v>
      </c>
      <c r="R10" s="10">
        <f t="shared" si="0"/>
        <v>17492480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ht="15" customHeight="1" x14ac:dyDescent="0.3">
      <c r="A11" s="1" t="s">
        <v>10</v>
      </c>
      <c r="B11" s="16">
        <v>8828441</v>
      </c>
      <c r="C11" s="17">
        <v>5088218</v>
      </c>
      <c r="D11" s="17">
        <v>5286247</v>
      </c>
      <c r="E11" s="13">
        <v>16005</v>
      </c>
      <c r="F11" s="13">
        <v>678</v>
      </c>
      <c r="G11" s="17">
        <v>55407</v>
      </c>
      <c r="H11" s="13">
        <v>261415</v>
      </c>
      <c r="I11" s="13">
        <v>8020</v>
      </c>
      <c r="J11" s="13">
        <v>1885</v>
      </c>
      <c r="K11" s="17">
        <v>361944</v>
      </c>
      <c r="L11" s="16">
        <v>15734</v>
      </c>
      <c r="M11" s="17">
        <v>19790</v>
      </c>
      <c r="N11" s="13">
        <v>25144</v>
      </c>
      <c r="O11" s="10">
        <v>91886</v>
      </c>
      <c r="P11" s="17">
        <f>SUM(B11:K11)</f>
        <v>19908260</v>
      </c>
      <c r="Q11" s="17">
        <f>SUM(L11:O11)</f>
        <v>152554</v>
      </c>
      <c r="R11" s="10">
        <f t="shared" si="0"/>
        <v>20060814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ht="15" customHeight="1" x14ac:dyDescent="0.3">
      <c r="A12" s="1" t="s">
        <v>11</v>
      </c>
      <c r="B12" s="16">
        <v>8559043</v>
      </c>
      <c r="C12" s="17">
        <v>5069162</v>
      </c>
      <c r="D12" s="17">
        <v>4329600</v>
      </c>
      <c r="E12" s="13">
        <v>14046</v>
      </c>
      <c r="F12" s="13">
        <v>34</v>
      </c>
      <c r="G12" s="17">
        <v>95434</v>
      </c>
      <c r="H12" s="13">
        <v>290260</v>
      </c>
      <c r="I12" s="13">
        <v>5260</v>
      </c>
      <c r="J12" s="13">
        <v>455</v>
      </c>
      <c r="K12" s="17">
        <v>393722</v>
      </c>
      <c r="L12" s="16">
        <v>14191</v>
      </c>
      <c r="M12" s="17">
        <v>36337</v>
      </c>
      <c r="N12" s="13">
        <v>21813</v>
      </c>
      <c r="O12" s="10">
        <v>56057</v>
      </c>
      <c r="P12" s="17">
        <f>SUM(B12:K12)</f>
        <v>18757016</v>
      </c>
      <c r="Q12" s="17">
        <f>SUM(L12:O12)</f>
        <v>128398</v>
      </c>
      <c r="R12" s="10">
        <f t="shared" si="0"/>
        <v>18885414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15" customHeight="1" x14ac:dyDescent="0.3">
      <c r="A13" s="1" t="s">
        <v>12</v>
      </c>
      <c r="B13" s="16">
        <v>8557014</v>
      </c>
      <c r="C13" s="17">
        <v>4870109</v>
      </c>
      <c r="D13" s="17">
        <v>4234486</v>
      </c>
      <c r="E13" s="13">
        <v>9860</v>
      </c>
      <c r="F13" s="13">
        <v>95</v>
      </c>
      <c r="G13" s="17">
        <v>114586</v>
      </c>
      <c r="H13" s="13">
        <v>358045</v>
      </c>
      <c r="I13" s="13">
        <v>4180</v>
      </c>
      <c r="J13" s="13">
        <v>695</v>
      </c>
      <c r="K13" s="17">
        <v>496600</v>
      </c>
      <c r="L13" s="16">
        <v>39371</v>
      </c>
      <c r="M13" s="17">
        <v>33060</v>
      </c>
      <c r="N13" s="13">
        <v>36231</v>
      </c>
      <c r="O13" s="10">
        <v>49300</v>
      </c>
      <c r="P13" s="17">
        <f>SUM(B13:K13)</f>
        <v>18645670</v>
      </c>
      <c r="Q13" s="17">
        <f>SUM(L13:O13)</f>
        <v>157962</v>
      </c>
      <c r="R13" s="10">
        <f t="shared" si="0"/>
        <v>18803632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15" customHeight="1" x14ac:dyDescent="0.3">
      <c r="A14" s="8" t="s">
        <v>0</v>
      </c>
      <c r="B14" s="18">
        <v>7777414</v>
      </c>
      <c r="C14" s="15">
        <v>3934806</v>
      </c>
      <c r="D14" s="15">
        <v>3961885</v>
      </c>
      <c r="E14" s="15">
        <v>9420</v>
      </c>
      <c r="F14" s="15">
        <v>67</v>
      </c>
      <c r="G14" s="15">
        <v>62407</v>
      </c>
      <c r="H14" s="15">
        <v>295570</v>
      </c>
      <c r="I14" s="15">
        <v>4240</v>
      </c>
      <c r="J14" s="15">
        <v>385</v>
      </c>
      <c r="K14" s="15">
        <v>373092</v>
      </c>
      <c r="L14" s="18">
        <v>31876</v>
      </c>
      <c r="M14" s="15">
        <v>48758</v>
      </c>
      <c r="N14" s="15">
        <v>20962</v>
      </c>
      <c r="O14" s="14">
        <v>57499</v>
      </c>
      <c r="P14" s="15">
        <f>SUM(B14:K14)</f>
        <v>16419286</v>
      </c>
      <c r="Q14" s="17">
        <f>SUM(L14:O14)</f>
        <v>159095</v>
      </c>
      <c r="R14" s="10">
        <f t="shared" si="0"/>
        <v>16578381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15" customHeight="1" x14ac:dyDescent="0.3">
      <c r="A15" s="19" t="s">
        <v>13</v>
      </c>
      <c r="B15" s="20">
        <f>SUM(B3:B14)</f>
        <v>100051669</v>
      </c>
      <c r="C15" s="21">
        <f t="shared" ref="C15:K15" si="1">SUM(C3:C14)</f>
        <v>52323848</v>
      </c>
      <c r="D15" s="21">
        <f t="shared" si="1"/>
        <v>52591755</v>
      </c>
      <c r="E15" s="22">
        <f t="shared" si="1"/>
        <v>118863</v>
      </c>
      <c r="F15" s="21">
        <f t="shared" si="1"/>
        <v>2257</v>
      </c>
      <c r="G15" s="21">
        <f t="shared" si="1"/>
        <v>1042833</v>
      </c>
      <c r="H15" s="21">
        <f t="shared" si="1"/>
        <v>4168660</v>
      </c>
      <c r="I15" s="21">
        <f t="shared" si="1"/>
        <v>82560</v>
      </c>
      <c r="J15" s="21">
        <f t="shared" si="1"/>
        <v>19545</v>
      </c>
      <c r="K15" s="21">
        <f t="shared" si="1"/>
        <v>5344690</v>
      </c>
      <c r="L15" s="20">
        <f t="shared" ref="L15:O15" si="2">SUM(L3:L14)</f>
        <v>165286</v>
      </c>
      <c r="M15" s="21">
        <f t="shared" si="2"/>
        <v>198245</v>
      </c>
      <c r="N15" s="21">
        <f t="shared" si="2"/>
        <v>259499</v>
      </c>
      <c r="O15" s="30">
        <f t="shared" si="2"/>
        <v>821073</v>
      </c>
      <c r="P15" s="21">
        <f>SUM(P3:P14)</f>
        <v>215746680</v>
      </c>
      <c r="Q15" s="22">
        <f t="shared" ref="Q15:R15" si="3">SUM(Q3:Q14)</f>
        <v>1444103</v>
      </c>
      <c r="R15" s="30">
        <f t="shared" si="3"/>
        <v>217190783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 s="1"/>
    </row>
    <row r="17" spans="1:1" x14ac:dyDescent="0.3">
      <c r="A17" s="1"/>
    </row>
  </sheetData>
  <mergeCells count="3">
    <mergeCell ref="B1:K1"/>
    <mergeCell ref="P1:R1"/>
    <mergeCell ref="L1:O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2010년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2026-07-16T08:47:08Z</dcterms:modified>
</cp:coreProperties>
</file>