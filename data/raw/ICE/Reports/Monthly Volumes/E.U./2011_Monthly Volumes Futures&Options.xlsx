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11년" sheetId="1" r:id="rId1"/>
  </sheets>
  <calcPr calcId="162913"/>
</workbook>
</file>

<file path=xl/calcChain.xml><?xml version="1.0" encoding="utf-8"?>
<calcChain xmlns="http://schemas.openxmlformats.org/spreadsheetml/2006/main">
  <c r="P4" i="1" l="1"/>
  <c r="Q14" i="1"/>
  <c r="Q13" i="1"/>
  <c r="Q12" i="1"/>
  <c r="Q11" i="1"/>
  <c r="Q10" i="1"/>
  <c r="Q9" i="1"/>
  <c r="Q8" i="1"/>
  <c r="Q7" i="1"/>
  <c r="Q6" i="1"/>
  <c r="Q5" i="1"/>
  <c r="Q4" i="1"/>
  <c r="Q3" i="1"/>
  <c r="P14" i="1"/>
  <c r="P13" i="1"/>
  <c r="P12" i="1"/>
  <c r="R12" i="1" s="1"/>
  <c r="P11" i="1"/>
  <c r="R11" i="1" s="1"/>
  <c r="P10" i="1"/>
  <c r="R10" i="1" s="1"/>
  <c r="P9" i="1"/>
  <c r="P8" i="1"/>
  <c r="P7" i="1"/>
  <c r="P6" i="1"/>
  <c r="P5" i="1"/>
  <c r="R5" i="1" s="1"/>
  <c r="P3" i="1"/>
  <c r="J15" i="1"/>
  <c r="I15" i="1"/>
  <c r="H15" i="1"/>
  <c r="G15" i="1"/>
  <c r="F15" i="1"/>
  <c r="E15" i="1"/>
  <c r="D15" i="1"/>
  <c r="C15" i="1"/>
  <c r="R9" i="1" l="1"/>
  <c r="R14" i="1"/>
  <c r="R13" i="1"/>
  <c r="R8" i="1"/>
  <c r="R7" i="1"/>
  <c r="R6" i="1"/>
  <c r="R4" i="1"/>
  <c r="R3" i="1"/>
  <c r="Q15" i="1"/>
  <c r="O15" i="1"/>
  <c r="N15" i="1"/>
  <c r="M15" i="1"/>
  <c r="L15" i="1"/>
  <c r="K15" i="1"/>
  <c r="R15" i="1" l="1"/>
  <c r="P15" i="1"/>
  <c r="B15" i="1"/>
</calcChain>
</file>

<file path=xl/sharedStrings.xml><?xml version="1.0" encoding="utf-8"?>
<sst xmlns="http://schemas.openxmlformats.org/spreadsheetml/2006/main" count="34" uniqueCount="31">
  <si>
    <t>December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</si>
  <si>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</si>
  <si>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</si>
  <si>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</si>
  <si>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</si>
  <si>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</si>
  <si>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</si>
  <si>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</si>
  <si>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</si>
  <si>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</si>
  <si>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</si>
  <si>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</si>
  <si>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</si>
  <si>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</si>
  <si>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Brent</t>
    <phoneticPr fontId="18" type="noConversion"/>
  </si>
  <si>
    <t>Gas Oil</t>
    <phoneticPr fontId="18" type="noConversion"/>
  </si>
  <si>
    <t>WTI</t>
    <phoneticPr fontId="18" type="noConversion"/>
  </si>
  <si>
    <t>EU NAT Gas</t>
    <phoneticPr fontId="18" type="noConversion"/>
  </si>
  <si>
    <t>Futures</t>
    <phoneticPr fontId="18" type="noConversion"/>
  </si>
  <si>
    <t>Monthly Totals</t>
    <phoneticPr fontId="18" type="noConversion"/>
  </si>
  <si>
    <t>Options</t>
    <phoneticPr fontId="18" type="noConversion"/>
  </si>
  <si>
    <t>Emissions</t>
    <phoneticPr fontId="18" type="noConversion"/>
  </si>
  <si>
    <t>RBOB Gasoline</t>
    <phoneticPr fontId="18" type="noConversion"/>
  </si>
  <si>
    <t>Heating Oil</t>
    <phoneticPr fontId="18" type="noConversion"/>
  </si>
  <si>
    <t>Other</t>
    <phoneticPr fontId="18" type="noConversion"/>
  </si>
  <si>
    <t>Futures</t>
    <phoneticPr fontId="18" type="noConversion"/>
  </si>
  <si>
    <t>Options</t>
    <phoneticPr fontId="18" type="noConversion"/>
  </si>
  <si>
    <t>Overall</t>
    <phoneticPr fontId="18" type="noConversion"/>
  </si>
  <si>
    <t>Coal</t>
    <phoneticPr fontId="18" type="noConversion"/>
  </si>
  <si>
    <t>Elec</t>
    <phoneticPr fontId="18" type="noConversion"/>
  </si>
  <si>
    <t>Emissions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</si>
</sst>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19" fillId="0" borderId="17" xfId="0" applyNumberFormat="1" applyFont="1" applyBorder="1">
      <alignment vertical="center"/>
    </xf>
    <xf numFmtId="177" fontId="19" fillId="0" borderId="16" xfId="0" applyNumberFormat="1" applyFont="1" applyBorder="1" applyAlignment="1">
      <alignment horizontal="center" vertical="center"/>
    </xf>
    <xf numFmtId="177" fontId="19" fillId="0" borderId="17" xfId="0" applyNumberFormat="1" applyFont="1" applyBorder="1" applyAlignment="1">
      <alignment horizontal="center" vertical="center"/>
    </xf>
    <xf numFmtId="177" fontId="19" fillId="0" borderId="18" xfId="0" applyNumberFormat="1" applyFont="1" applyBorder="1" applyAlignment="1">
      <alignment horizontal="center" vertical="center"/>
    </xf>
    <xf numFmtId="177" fontId="19" fillId="0" borderId="11" xfId="0" applyNumberFormat="1" applyFont="1" applyBorder="1" applyAlignment="1">
      <alignment horizontal="center" vertical="center"/>
    </xf>
    <xf numFmtId="49" fontId="19" fillId="34" borderId="10" xfId="0" applyNumberFormat="1" applyFont="1" applyFill="1" applyBorder="1" applyAlignment="1">
      <alignment horizontal="center" vertical="center"/>
    </xf>
    <xf numFmtId="49" fontId="19" fillId="34" borderId="11" xfId="0" applyNumberFormat="1" applyFont="1" applyFill="1" applyBorder="1" applyAlignment="1">
      <alignment horizontal="center" vertical="center"/>
    </xf>
    <xf numFmtId="49" fontId="19" fillId="34" borderId="12" xfId="0" applyNumberFormat="1" applyFont="1" applyFill="1" applyBorder="1" applyAlignment="1">
      <alignment horizontal="center" vertical="center"/>
    </xf>
    <xf numFmtId="49" fontId="19" fillId="33" borderId="10" xfId="0" applyNumberFormat="1" applyFont="1" applyFill="1" applyBorder="1" applyAlignment="1">
      <alignment horizontal="center" vertical="center"/>
    </xf>
    <xf numFmtId="49" fontId="19" fillId="33" borderId="11" xfId="0" applyNumberFormat="1" applyFont="1" applyFill="1" applyBorder="1" applyAlignment="1">
      <alignment horizontal="center" vertical="center"/>
    </xf>
    <xf numFmtId="49" fontId="19" fillId="33" borderId="12" xfId="0" applyNumberFormat="1" applyFont="1" applyFill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177" fontId="19" fillId="0" borderId="12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7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3.5" customWidth="1"/>
    <col min="3" max="3" width="12.125" customWidth="1"/>
    <col min="4" max="4" width="12.25" customWidth="1"/>
    <col min="5" max="5" width="15.875" customWidth="1"/>
    <col min="6" max="6" width="16.875" customWidth="1"/>
    <col min="7" max="7" width="11" customWidth="1"/>
    <col min="8" max="8" width="12.625" bestFit="1" customWidth="1"/>
    <col min="9" max="9" width="13.5" customWidth="1"/>
    <col min="10" max="10" width="14" bestFit="1" customWidth="1"/>
    <col min="11" max="11" width="13.875" bestFit="1" customWidth="1"/>
    <col min="12" max="12" width="12.625" bestFit="1" customWidth="1"/>
    <col min="13" max="13" width="13.875" bestFit="1" customWidth="1"/>
    <col min="14" max="14" width="12.625" bestFit="1" customWidth="1"/>
    <col min="15" max="15" width="13.875" bestFit="1" customWidth="1"/>
    <col min="16" max="16" width="14.625" customWidth="1"/>
    <col min="17" max="17" width="16.75" customWidth="1"/>
    <col min="18" max="18" width="13.875" customWidth="1"/>
  </cols>
  <sheetData>
    <row r="1" spans="1:39" x14ac:dyDescent="0.3">
      <c r="A1" s="1"/>
      <c r="B1" s="24" t="s">
        <v>18</v>
      </c>
      <c r="C1" s="25"/>
      <c r="D1" s="25"/>
      <c r="E1" s="25"/>
      <c r="F1" s="25"/>
      <c r="G1" s="25"/>
      <c r="H1" s="25"/>
      <c r="I1" s="25"/>
      <c r="J1" s="26"/>
      <c r="K1" s="27" t="s">
        <v>20</v>
      </c>
      <c r="L1" s="28"/>
      <c r="M1" s="28"/>
      <c r="N1" s="28"/>
      <c r="O1" s="29"/>
      <c r="P1" s="27" t="s">
        <v>19</v>
      </c>
      <c r="Q1" s="28"/>
      <c r="R1" s="29"/>
    </row>
    <row r="2" spans="1:39" x14ac:dyDescent="0.3">
      <c r="A2" s="2" t="s">
        <v>1</v>
      </c>
      <c r="B2" s="9" t="s">
        <v>14</v>
      </c>
      <c r="C2" s="6" t="s">
        <v>15</v>
      </c>
      <c r="D2" s="5" t="s">
        <v>16</v>
      </c>
      <c r="E2" s="2" t="s">
        <v>23</v>
      </c>
      <c r="F2" s="2" t="s">
        <v>22</v>
      </c>
      <c r="G2" s="7" t="s">
        <v>28</v>
      </c>
      <c r="H2" s="5" t="s">
        <v>17</v>
      </c>
      <c r="I2" s="2" t="s">
        <v>29</v>
      </c>
      <c r="J2" s="5" t="s">
        <v>21</v>
      </c>
      <c r="K2" s="9" t="s">
        <v>14</v>
      </c>
      <c r="L2" s="5" t="s">
        <v>16</v>
      </c>
      <c r="M2" s="6" t="s">
        <v>15</v>
      </c>
      <c r="N2" s="7" t="s">
        <v>30</v>
      </c>
      <c r="O2" s="4" t="s">
        <v>24</v>
      </c>
      <c r="P2" s="30" t="s">
        <v>25</v>
      </c>
      <c r="Q2" s="7" t="s">
        <v>26</v>
      </c>
      <c r="R2" s="4" t="s">
        <v>27</v>
      </c>
    </row>
    <row r="3" spans="1:39" ht="15" customHeight="1" x14ac:dyDescent="0.3">
      <c r="A3" s="1" t="s">
        <v>2</v>
      </c>
      <c r="B3" s="11">
        <v>10681994</v>
      </c>
      <c r="C3" s="12">
        <v>5282513</v>
      </c>
      <c r="D3" s="17">
        <v>6432931</v>
      </c>
      <c r="E3" s="13">
        <v>5522</v>
      </c>
      <c r="F3" s="13">
        <v>33</v>
      </c>
      <c r="G3" s="17">
        <v>86332</v>
      </c>
      <c r="H3" s="13">
        <v>368910</v>
      </c>
      <c r="I3" s="13">
        <v>1140</v>
      </c>
      <c r="J3" s="17">
        <v>361367</v>
      </c>
      <c r="K3" s="16">
        <v>105444</v>
      </c>
      <c r="L3" s="17">
        <v>100955</v>
      </c>
      <c r="M3" s="13">
        <v>24020</v>
      </c>
      <c r="N3" s="17">
        <v>79704</v>
      </c>
      <c r="O3" s="10">
        <v>0</v>
      </c>
      <c r="P3" s="16">
        <f>SUM(B3:J3)</f>
        <v>23220742</v>
      </c>
      <c r="Q3" s="17">
        <f>SUM(K3:O3)</f>
        <v>310123</v>
      </c>
      <c r="R3" s="10">
        <f>SUM(P3:Q3)</f>
        <v>23530865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3</v>
      </c>
      <c r="B4" s="16">
        <v>10956940</v>
      </c>
      <c r="C4" s="17">
        <v>5746450</v>
      </c>
      <c r="D4" s="17">
        <v>5609916</v>
      </c>
      <c r="E4" s="13">
        <v>8461</v>
      </c>
      <c r="F4" s="13">
        <v>104</v>
      </c>
      <c r="G4" s="17">
        <v>106553</v>
      </c>
      <c r="H4" s="13">
        <v>474010</v>
      </c>
      <c r="I4" s="13">
        <v>2280</v>
      </c>
      <c r="J4" s="17">
        <v>374374</v>
      </c>
      <c r="K4" s="16">
        <v>140795</v>
      </c>
      <c r="L4" s="17">
        <v>59130</v>
      </c>
      <c r="M4" s="13">
        <v>40502</v>
      </c>
      <c r="N4" s="17">
        <v>71110</v>
      </c>
      <c r="O4" s="10">
        <v>0</v>
      </c>
      <c r="P4" s="16">
        <f t="shared" ref="P4:P14" si="0">SUM(B4:J4)</f>
        <v>23279088</v>
      </c>
      <c r="Q4" s="17">
        <f t="shared" ref="Q4:Q14" si="1">SUM(K4:O4)</f>
        <v>311537</v>
      </c>
      <c r="R4" s="10">
        <f t="shared" ref="R4:R14" si="2">SUM(P4:Q4)</f>
        <v>23590625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4</v>
      </c>
      <c r="B5" s="16">
        <v>11120576</v>
      </c>
      <c r="C5" s="17">
        <v>6638953</v>
      </c>
      <c r="D5" s="17">
        <v>4644938</v>
      </c>
      <c r="E5" s="13">
        <v>5136</v>
      </c>
      <c r="F5" s="13">
        <v>2400</v>
      </c>
      <c r="G5" s="17">
        <v>129769</v>
      </c>
      <c r="H5" s="13">
        <v>700870</v>
      </c>
      <c r="I5" s="13">
        <v>2910</v>
      </c>
      <c r="J5" s="17">
        <v>699001</v>
      </c>
      <c r="K5" s="16">
        <v>147101</v>
      </c>
      <c r="L5" s="17">
        <v>55499</v>
      </c>
      <c r="M5" s="13">
        <v>37981</v>
      </c>
      <c r="N5" s="17">
        <v>68543</v>
      </c>
      <c r="O5" s="10">
        <v>26840</v>
      </c>
      <c r="P5" s="16">
        <f t="shared" si="0"/>
        <v>23944553</v>
      </c>
      <c r="Q5" s="17">
        <f t="shared" si="1"/>
        <v>335964</v>
      </c>
      <c r="R5" s="10">
        <f t="shared" si="2"/>
        <v>24280517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5</v>
      </c>
      <c r="B6" s="16">
        <v>8457359</v>
      </c>
      <c r="C6" s="17">
        <v>4440532</v>
      </c>
      <c r="D6" s="17">
        <v>3327772</v>
      </c>
      <c r="E6" s="13">
        <v>16114</v>
      </c>
      <c r="F6" s="13">
        <v>8173</v>
      </c>
      <c r="G6" s="17">
        <v>80006</v>
      </c>
      <c r="H6" s="13">
        <v>407570</v>
      </c>
      <c r="I6" s="13">
        <v>405</v>
      </c>
      <c r="J6" s="17">
        <v>360705</v>
      </c>
      <c r="K6" s="16">
        <v>111300</v>
      </c>
      <c r="L6" s="17">
        <v>49461</v>
      </c>
      <c r="M6" s="13">
        <v>24471</v>
      </c>
      <c r="N6" s="17">
        <v>30360</v>
      </c>
      <c r="O6" s="10">
        <v>20130</v>
      </c>
      <c r="P6" s="16">
        <f t="shared" si="0"/>
        <v>17098636</v>
      </c>
      <c r="Q6" s="17">
        <f t="shared" si="1"/>
        <v>235722</v>
      </c>
      <c r="R6" s="10">
        <f t="shared" si="2"/>
        <v>17334358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6</v>
      </c>
      <c r="B7" s="16">
        <v>11122002</v>
      </c>
      <c r="C7" s="17">
        <v>4874862</v>
      </c>
      <c r="D7" s="17">
        <v>4415079</v>
      </c>
      <c r="E7" s="13">
        <v>47901</v>
      </c>
      <c r="F7" s="13">
        <v>38762</v>
      </c>
      <c r="G7" s="17">
        <v>80848</v>
      </c>
      <c r="H7" s="13">
        <v>359065</v>
      </c>
      <c r="I7" s="13">
        <v>90</v>
      </c>
      <c r="J7" s="17">
        <v>432536</v>
      </c>
      <c r="K7" s="16">
        <v>149475</v>
      </c>
      <c r="L7" s="17">
        <v>39073</v>
      </c>
      <c r="M7" s="13">
        <v>38940</v>
      </c>
      <c r="N7" s="17">
        <v>25330</v>
      </c>
      <c r="O7" s="10">
        <v>4400</v>
      </c>
      <c r="P7" s="16">
        <f t="shared" si="0"/>
        <v>21371145</v>
      </c>
      <c r="Q7" s="17">
        <f t="shared" si="1"/>
        <v>257218</v>
      </c>
      <c r="R7" s="10">
        <f t="shared" si="2"/>
        <v>21628363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7</v>
      </c>
      <c r="B8" s="16">
        <v>12976247</v>
      </c>
      <c r="C8" s="17">
        <v>5257682</v>
      </c>
      <c r="D8" s="17">
        <v>4565426</v>
      </c>
      <c r="E8" s="13">
        <v>125584</v>
      </c>
      <c r="F8" s="13">
        <v>104323</v>
      </c>
      <c r="G8" s="17">
        <v>91699</v>
      </c>
      <c r="H8" s="13">
        <v>411295</v>
      </c>
      <c r="I8" s="13">
        <v>1320</v>
      </c>
      <c r="J8" s="17">
        <v>766526</v>
      </c>
      <c r="K8" s="16">
        <v>241995</v>
      </c>
      <c r="L8" s="17">
        <v>47229</v>
      </c>
      <c r="M8" s="13">
        <v>52182</v>
      </c>
      <c r="N8" s="17">
        <v>65490</v>
      </c>
      <c r="O8" s="10">
        <v>9720</v>
      </c>
      <c r="P8" s="16">
        <f t="shared" si="0"/>
        <v>24300102</v>
      </c>
      <c r="Q8" s="17">
        <f t="shared" si="1"/>
        <v>416616</v>
      </c>
      <c r="R8" s="10">
        <f t="shared" si="2"/>
        <v>24716718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8</v>
      </c>
      <c r="B9" s="16">
        <v>8915456</v>
      </c>
      <c r="C9" s="17">
        <v>4255517</v>
      </c>
      <c r="D9" s="17">
        <v>3192182</v>
      </c>
      <c r="E9" s="13">
        <v>113945</v>
      </c>
      <c r="F9" s="13">
        <v>78122</v>
      </c>
      <c r="G9" s="17">
        <v>80329</v>
      </c>
      <c r="H9" s="13">
        <v>461890</v>
      </c>
      <c r="I9" s="13">
        <v>1075</v>
      </c>
      <c r="J9" s="17">
        <v>599834</v>
      </c>
      <c r="K9" s="16">
        <v>185302</v>
      </c>
      <c r="L9" s="17">
        <v>95496</v>
      </c>
      <c r="M9" s="13">
        <v>18528</v>
      </c>
      <c r="N9" s="17">
        <v>72950</v>
      </c>
      <c r="O9" s="10">
        <v>25910</v>
      </c>
      <c r="P9" s="16">
        <f t="shared" si="0"/>
        <v>17698350</v>
      </c>
      <c r="Q9" s="17">
        <f t="shared" si="1"/>
        <v>398186</v>
      </c>
      <c r="R9" s="10">
        <f t="shared" si="2"/>
        <v>18096536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9</v>
      </c>
      <c r="B10" s="16">
        <v>12266837</v>
      </c>
      <c r="C10" s="17">
        <v>6601923</v>
      </c>
      <c r="D10" s="17">
        <v>4734168</v>
      </c>
      <c r="E10" s="13">
        <v>121267</v>
      </c>
      <c r="F10" s="13">
        <v>111992</v>
      </c>
      <c r="G10" s="17">
        <v>93422</v>
      </c>
      <c r="H10" s="13">
        <v>749495</v>
      </c>
      <c r="I10" s="13">
        <v>2670</v>
      </c>
      <c r="J10" s="17">
        <v>731695</v>
      </c>
      <c r="K10" s="16">
        <v>234026</v>
      </c>
      <c r="L10" s="17">
        <v>50881</v>
      </c>
      <c r="M10" s="13">
        <v>38180</v>
      </c>
      <c r="N10" s="17">
        <v>67805</v>
      </c>
      <c r="O10" s="10">
        <v>27970</v>
      </c>
      <c r="P10" s="17">
        <f t="shared" si="0"/>
        <v>25413469</v>
      </c>
      <c r="Q10" s="17">
        <f t="shared" si="1"/>
        <v>418862</v>
      </c>
      <c r="R10" s="10">
        <f t="shared" si="2"/>
        <v>25832331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10</v>
      </c>
      <c r="B11" s="16">
        <v>12733849</v>
      </c>
      <c r="C11" s="17">
        <v>6151612</v>
      </c>
      <c r="D11" s="17">
        <v>3902865</v>
      </c>
      <c r="E11" s="13">
        <v>128449</v>
      </c>
      <c r="F11" s="13">
        <v>86337</v>
      </c>
      <c r="G11" s="17">
        <v>112115</v>
      </c>
      <c r="H11" s="13">
        <v>585935</v>
      </c>
      <c r="I11" s="13">
        <v>1845</v>
      </c>
      <c r="J11" s="17">
        <v>566027</v>
      </c>
      <c r="K11" s="16">
        <v>190903</v>
      </c>
      <c r="L11" s="17">
        <v>65454</v>
      </c>
      <c r="M11" s="13">
        <v>28370</v>
      </c>
      <c r="N11" s="17">
        <v>47057</v>
      </c>
      <c r="O11" s="10">
        <v>21300</v>
      </c>
      <c r="P11" s="16">
        <f t="shared" si="0"/>
        <v>24269034</v>
      </c>
      <c r="Q11" s="17">
        <f t="shared" si="1"/>
        <v>353084</v>
      </c>
      <c r="R11" s="10">
        <f t="shared" si="2"/>
        <v>24622118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11</v>
      </c>
      <c r="B12" s="16">
        <v>12454684</v>
      </c>
      <c r="C12" s="17">
        <v>6655441</v>
      </c>
      <c r="D12" s="17">
        <v>4132829</v>
      </c>
      <c r="E12" s="13">
        <v>77063</v>
      </c>
      <c r="F12" s="13">
        <v>79862</v>
      </c>
      <c r="G12" s="17">
        <v>117818</v>
      </c>
      <c r="H12" s="13">
        <v>577605</v>
      </c>
      <c r="I12" s="13">
        <v>915</v>
      </c>
      <c r="J12" s="17">
        <v>561522</v>
      </c>
      <c r="K12" s="16">
        <v>275501</v>
      </c>
      <c r="L12" s="17">
        <v>87559</v>
      </c>
      <c r="M12" s="13">
        <v>40458</v>
      </c>
      <c r="N12" s="17">
        <v>81050</v>
      </c>
      <c r="O12" s="10">
        <v>8680</v>
      </c>
      <c r="P12" s="16">
        <f t="shared" si="0"/>
        <v>24657739</v>
      </c>
      <c r="Q12" s="17">
        <f t="shared" si="1"/>
        <v>493248</v>
      </c>
      <c r="R12" s="10">
        <f t="shared" si="2"/>
        <v>25150987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12</v>
      </c>
      <c r="B13" s="16">
        <v>12495149</v>
      </c>
      <c r="C13" s="17">
        <v>5912474</v>
      </c>
      <c r="D13" s="17">
        <v>3953360</v>
      </c>
      <c r="E13" s="13">
        <v>121806</v>
      </c>
      <c r="F13" s="13">
        <v>95097</v>
      </c>
      <c r="G13" s="17">
        <v>111595</v>
      </c>
      <c r="H13" s="13">
        <v>606675</v>
      </c>
      <c r="I13" s="13">
        <v>5120</v>
      </c>
      <c r="J13" s="17">
        <v>751329</v>
      </c>
      <c r="K13" s="16">
        <v>257770</v>
      </c>
      <c r="L13" s="17">
        <v>112308</v>
      </c>
      <c r="M13" s="13">
        <v>44760</v>
      </c>
      <c r="N13" s="17">
        <v>99142</v>
      </c>
      <c r="O13" s="10">
        <v>31325</v>
      </c>
      <c r="P13" s="17">
        <f t="shared" si="0"/>
        <v>24052605</v>
      </c>
      <c r="Q13" s="17">
        <f t="shared" si="1"/>
        <v>545305</v>
      </c>
      <c r="R13" s="10">
        <f t="shared" si="2"/>
        <v>24597910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8" t="s">
        <v>0</v>
      </c>
      <c r="B14" s="18">
        <v>7875355</v>
      </c>
      <c r="C14" s="15">
        <v>3975888</v>
      </c>
      <c r="D14" s="15">
        <v>2194098</v>
      </c>
      <c r="E14" s="15">
        <v>105689</v>
      </c>
      <c r="F14" s="15">
        <v>59579</v>
      </c>
      <c r="G14" s="15">
        <v>72776</v>
      </c>
      <c r="H14" s="15">
        <v>401210</v>
      </c>
      <c r="I14" s="15">
        <v>1560</v>
      </c>
      <c r="J14" s="15">
        <v>578982</v>
      </c>
      <c r="K14" s="18">
        <v>152121</v>
      </c>
      <c r="L14" s="15">
        <v>67027</v>
      </c>
      <c r="M14" s="15">
        <v>19435</v>
      </c>
      <c r="N14" s="15">
        <v>77922</v>
      </c>
      <c r="O14" s="14">
        <v>30950</v>
      </c>
      <c r="P14" s="18">
        <f t="shared" si="0"/>
        <v>15265137</v>
      </c>
      <c r="Q14" s="17">
        <f t="shared" si="1"/>
        <v>347455</v>
      </c>
      <c r="R14" s="10">
        <f t="shared" si="2"/>
        <v>15612592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19" t="s">
        <v>13</v>
      </c>
      <c r="B15" s="20">
        <f>SUM(B3:B14)</f>
        <v>132056448</v>
      </c>
      <c r="C15" s="21">
        <f t="shared" ref="C15:J15" si="3">SUM(C3:C14)</f>
        <v>65793847</v>
      </c>
      <c r="D15" s="21">
        <f t="shared" si="3"/>
        <v>51105564</v>
      </c>
      <c r="E15" s="23">
        <f t="shared" si="3"/>
        <v>876937</v>
      </c>
      <c r="F15" s="21">
        <f t="shared" si="3"/>
        <v>664784</v>
      </c>
      <c r="G15" s="21">
        <f t="shared" si="3"/>
        <v>1163262</v>
      </c>
      <c r="H15" s="21">
        <f t="shared" si="3"/>
        <v>6104530</v>
      </c>
      <c r="I15" s="21">
        <f t="shared" si="3"/>
        <v>21330</v>
      </c>
      <c r="J15" s="21">
        <f t="shared" si="3"/>
        <v>6783898</v>
      </c>
      <c r="K15" s="20">
        <f t="shared" ref="K15:O15" si="4">SUM(K3:K14)</f>
        <v>2191733</v>
      </c>
      <c r="L15" s="21">
        <f t="shared" si="4"/>
        <v>830072</v>
      </c>
      <c r="M15" s="21">
        <f t="shared" si="4"/>
        <v>407827</v>
      </c>
      <c r="N15" s="21">
        <f t="shared" si="4"/>
        <v>786463</v>
      </c>
      <c r="O15" s="22">
        <f t="shared" si="4"/>
        <v>207225</v>
      </c>
      <c r="P15" s="21">
        <f>SUM(P3:P14)</f>
        <v>264570600</v>
      </c>
      <c r="Q15" s="23">
        <f t="shared" ref="Q15:R15" si="5">SUM(Q3:Q14)</f>
        <v>4423320</v>
      </c>
      <c r="R15" s="31">
        <f t="shared" si="5"/>
        <v>268993920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/>
    </row>
    <row r="17" spans="1:1" x14ac:dyDescent="0.3">
      <c r="A17" s="1"/>
    </row>
  </sheetData>
  <mergeCells count="3">
    <mergeCell ref="K1:O1"/>
    <mergeCell ref="P1:R1"/>
    <mergeCell ref="B1:J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2011년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2026-07-16T08:42:21Z</dcterms:modified>
</cp:coreProperties>
</file>