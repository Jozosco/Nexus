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ICE\Reports\E.U\"/>
    </mc:Choice>
  </mc:AlternateContent>
  <bookViews>
    <workbookView xWindow="0" yWindow="0" windowWidth="25125" windowHeight="11640"/>
  </bookViews>
  <sheets>
    <sheet name="2024년" sheetId="1" r:id="rId1"/>
  </sheets>
  <calcPr calcId="162913"/>
</workbook>
</file>

<file path=xl/calcChain.xml><?xml version="1.0" encoding="utf-8"?>
<calcChain xmlns="http://schemas.openxmlformats.org/spreadsheetml/2006/main">
  <c r="S9" i="1" l="1"/>
  <c r="S13" i="1"/>
  <c r="S7" i="1"/>
  <c r="S4" i="1"/>
  <c r="S12" i="1"/>
  <c r="S6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 l="1"/>
  <c r="S10" i="1"/>
  <c r="S8" i="1"/>
  <c r="S5" i="1"/>
  <c r="S14" i="1"/>
  <c r="S11" i="1"/>
  <c r="S3" i="1"/>
  <c r="S15" i="1" l="1"/>
</calcChain>
</file>

<file path=xl/sharedStrings.xml><?xml version="1.0" encoding="utf-8"?>
<sst xmlns="http://schemas.openxmlformats.org/spreadsheetml/2006/main" count="37" uniqueCount="31">
  <si>
    <t>December</t>
  </si>
  <si>
    <t>Notes:</t>
  </si>
  <si>
    <t>Month</t>
    <phoneticPr fontId="18" type="noConversion"/>
  </si>
  <si>
    <t>January</t>
    <phoneticPr fontId="18" type="noConversion"/>
  </si>
  <si>
    <t>February</t>
    <phoneticPr fontId="18" type="noConversion"/>
  </si>
  <si>
    <t>March</t>
    <phoneticPr fontId="18" type="noConversion"/>
  </si>
  <si>
    <t>April</t>
    <phoneticPr fontId="18" type="noConversion"/>
  </si>
  <si>
    <t>May</t>
    <phoneticPr fontId="18" type="noConversion"/>
  </si>
  <si>
    <t>June</t>
    <phoneticPr fontId="18" type="noConversion"/>
  </si>
  <si>
    <t>July</t>
    <phoneticPr fontId="18" type="noConversion"/>
  </si>
  <si>
    <t>August</t>
    <phoneticPr fontId="18" type="noConversion"/>
  </si>
  <si>
    <t>September</t>
    <phoneticPr fontId="18" type="noConversion"/>
  </si>
  <si>
    <t>October</t>
    <phoneticPr fontId="18" type="noConversion"/>
  </si>
  <si>
    <t>November</t>
    <phoneticPr fontId="18" type="noConversion"/>
  </si>
  <si>
    <t>Yearly Total</t>
    <phoneticPr fontId="18" type="noConversion"/>
  </si>
  <si>
    <t>*Liffe volumes included from the date of migration</t>
  </si>
  <si>
    <t>Brent</t>
    <phoneticPr fontId="18" type="noConversion"/>
  </si>
  <si>
    <t>Gas Oil</t>
    <phoneticPr fontId="18" type="noConversion"/>
  </si>
  <si>
    <t>WTI</t>
    <phoneticPr fontId="18" type="noConversion"/>
  </si>
  <si>
    <t>Heating Oil &amp; RBOB</t>
    <phoneticPr fontId="18" type="noConversion"/>
  </si>
  <si>
    <t>Oil Products</t>
    <phoneticPr fontId="18" type="noConversion"/>
  </si>
  <si>
    <t>EU NAT Gas</t>
    <phoneticPr fontId="18" type="noConversion"/>
  </si>
  <si>
    <t>Coal Power &amp; Emissions</t>
    <phoneticPr fontId="18" type="noConversion"/>
  </si>
  <si>
    <t>Interest Rates*</t>
    <phoneticPr fontId="18" type="noConversion"/>
  </si>
  <si>
    <t>Equity Derivatives*</t>
    <phoneticPr fontId="18" type="noConversion"/>
  </si>
  <si>
    <t>London AGS*</t>
    <phoneticPr fontId="18" type="noConversion"/>
  </si>
  <si>
    <t>Futures</t>
    <phoneticPr fontId="18" type="noConversion"/>
  </si>
  <si>
    <t>Total Monthly Volume</t>
    <phoneticPr fontId="18" type="noConversion"/>
  </si>
  <si>
    <t>Monthly Totals</t>
    <phoneticPr fontId="18" type="noConversion"/>
  </si>
  <si>
    <t>Options</t>
    <phoneticPr fontId="18" type="noConversion"/>
  </si>
  <si>
    <t>London AGS &amp; Other Energy Options*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</si>
</sst>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.0_);[Red]\(#,##0.0\)"/>
    <numFmt numFmtId="177" formatCode="#,##0_);[Red]\(#,##0\)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DEBF7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49" fontId="19" fillId="0" borderId="0" xfId="0" applyNumberFormat="1" applyFont="1">
      <alignment vertical="center"/>
    </xf>
    <xf numFmtId="49" fontId="0" fillId="0" borderId="20" xfId="0" applyNumberFormat="1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49" fontId="0" fillId="0" borderId="17" xfId="0" applyNumberFormat="1" applyBorder="1">
      <alignment vertical="center"/>
    </xf>
    <xf numFmtId="49" fontId="0" fillId="0" borderId="19" xfId="0" applyNumberFormat="1" applyBorder="1" applyAlignment="1">
      <alignment horizontal="center" vertical="center"/>
    </xf>
    <xf numFmtId="177" fontId="0" fillId="0" borderId="15" xfId="0" applyNumberFormat="1" applyBorder="1" applyAlignment="1">
      <alignment horizontal="center" vertical="center"/>
    </xf>
    <xf numFmtId="177" fontId="0" fillId="0" borderId="13" xfId="0" applyNumberFormat="1" applyBorder="1" applyAlignment="1">
      <alignment horizontal="center" vertical="center"/>
    </xf>
    <xf numFmtId="177" fontId="0" fillId="0" borderId="20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177" fontId="0" fillId="0" borderId="17" xfId="0" applyNumberFormat="1" applyBorder="1" applyAlignment="1">
      <alignment horizontal="center" vertical="center"/>
    </xf>
    <xf numFmtId="177" fontId="0" fillId="0" borderId="19" xfId="0" applyNumberFormat="1" applyBorder="1" applyAlignment="1">
      <alignment horizontal="center" vertical="center"/>
    </xf>
    <xf numFmtId="177" fontId="0" fillId="0" borderId="0" xfId="0" applyNumberFormat="1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49" fontId="20" fillId="0" borderId="17" xfId="0" applyNumberFormat="1" applyFont="1" applyBorder="1">
      <alignment vertical="center"/>
    </xf>
    <xf numFmtId="177" fontId="20" fillId="0" borderId="16" xfId="0" applyNumberFormat="1" applyFont="1" applyBorder="1" applyAlignment="1">
      <alignment horizontal="center" vertical="center"/>
    </xf>
    <xf numFmtId="177" fontId="20" fillId="0" borderId="17" xfId="0" applyNumberFormat="1" applyFont="1" applyBorder="1" applyAlignment="1">
      <alignment horizontal="center" vertical="center"/>
    </xf>
    <xf numFmtId="177" fontId="20" fillId="0" borderId="18" xfId="0" applyNumberFormat="1" applyFont="1" applyBorder="1" applyAlignment="1">
      <alignment horizontal="center" vertical="center"/>
    </xf>
    <xf numFmtId="49" fontId="20" fillId="33" borderId="12" xfId="0" applyNumberFormat="1" applyFont="1" applyFill="1" applyBorder="1" applyAlignment="1">
      <alignment horizontal="center" vertical="center"/>
    </xf>
    <xf numFmtId="49" fontId="20" fillId="33" borderId="10" xfId="0" applyNumberFormat="1" applyFont="1" applyFill="1" applyBorder="1" applyAlignment="1">
      <alignment horizontal="center" vertical="center"/>
    </xf>
    <xf numFmtId="49" fontId="20" fillId="33" borderId="12" xfId="0" applyNumberFormat="1" applyFont="1" applyFill="1" applyBorder="1" applyAlignment="1">
      <alignment horizontal="center" vertical="center"/>
    </xf>
    <xf numFmtId="49" fontId="20" fillId="33" borderId="11" xfId="0" applyNumberFormat="1" applyFont="1" applyFill="1" applyBorder="1" applyAlignment="1">
      <alignment horizontal="center" vertical="center"/>
    </xf>
    <xf numFmtId="49" fontId="20" fillId="34" borderId="10" xfId="0" applyNumberFormat="1" applyFont="1" applyFill="1" applyBorder="1" applyAlignment="1">
      <alignment horizontal="center" vertical="center"/>
    </xf>
    <xf numFmtId="49" fontId="20" fillId="34" borderId="11" xfId="0" applyNumberFormat="1" applyFont="1" applyFill="1" applyBorder="1" applyAlignment="1">
      <alignment horizontal="center" vertical="center"/>
    </xf>
    <xf numFmtId="49" fontId="20" fillId="34" borderId="12" xfId="0" applyNumberFormat="1" applyFont="1" applyFill="1" applyBorder="1" applyAlignment="1">
      <alignment horizontal="center" vertical="center"/>
    </xf>
    <xf numFmtId="177" fontId="20" fillId="0" borderId="11" xfId="0" applyNumberFormat="1" applyFont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colors>
    <mruColors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9"/>
  <sheetViews>
    <sheetView showGridLines="0" tabSelected="1" workbookViewId="0">
      <pane ySplit="2" topLeftCell="A3" activePane="bottomLeft" state="frozen"/>
      <selection pane="bottomLeft" activeCell="A3" sqref="A3"/>
    </sheetView>
  </sheetViews>
  <sheetFormatPr defaultRowHeight="16.5" x14ac:dyDescent="0.3"/>
  <cols>
    <col min="1" max="1" width="11" customWidth="1"/>
    <col min="2" max="2" width="16" bestFit="1" customWidth="1"/>
    <col min="3" max="3" width="16" customWidth="1"/>
    <col min="4" max="4" width="20.75" bestFit="1" customWidth="1"/>
    <col min="5" max="5" width="20" bestFit="1" customWidth="1"/>
    <col min="6" max="7" width="12.625" bestFit="1" customWidth="1"/>
    <col min="8" max="8" width="23.5" bestFit="1" customWidth="1"/>
    <col min="9" max="9" width="14" bestFit="1" customWidth="1"/>
    <col min="10" max="10" width="15.875" bestFit="1" customWidth="1"/>
    <col min="11" max="11" width="12.5" bestFit="1" customWidth="1"/>
    <col min="12" max="12" width="13.875" bestFit="1" customWidth="1"/>
    <col min="13" max="13" width="12.625" bestFit="1" customWidth="1"/>
    <col min="14" max="14" width="13.875" bestFit="1" customWidth="1"/>
    <col min="15" max="15" width="12.625" bestFit="1" customWidth="1"/>
    <col min="16" max="16" width="13.875" bestFit="1" customWidth="1"/>
    <col min="17" max="17" width="18" bestFit="1" customWidth="1"/>
    <col min="18" max="18" width="37" bestFit="1" customWidth="1"/>
    <col min="19" max="19" width="21.875" bestFit="1" customWidth="1"/>
  </cols>
  <sheetData>
    <row r="1" spans="1:40" x14ac:dyDescent="0.3">
      <c r="A1" s="1"/>
      <c r="B1" s="28" t="s">
        <v>26</v>
      </c>
      <c r="C1" s="29"/>
      <c r="D1" s="29"/>
      <c r="E1" s="29"/>
      <c r="F1" s="29"/>
      <c r="G1" s="29"/>
      <c r="H1" s="29"/>
      <c r="I1" s="29"/>
      <c r="J1" s="29"/>
      <c r="K1" s="30"/>
      <c r="L1" s="25" t="s">
        <v>29</v>
      </c>
      <c r="M1" s="27"/>
      <c r="N1" s="27"/>
      <c r="O1" s="27"/>
      <c r="P1" s="27"/>
      <c r="Q1" s="27"/>
      <c r="R1" s="26"/>
      <c r="S1" s="24" t="s">
        <v>28</v>
      </c>
    </row>
    <row r="2" spans="1:40" x14ac:dyDescent="0.3">
      <c r="A2" s="2" t="s">
        <v>2</v>
      </c>
      <c r="B2" s="10" t="s">
        <v>16</v>
      </c>
      <c r="C2" s="7" t="s">
        <v>17</v>
      </c>
      <c r="D2" s="6" t="s">
        <v>18</v>
      </c>
      <c r="E2" s="2" t="s">
        <v>19</v>
      </c>
      <c r="F2" s="8" t="s">
        <v>20</v>
      </c>
      <c r="G2" s="6" t="s">
        <v>21</v>
      </c>
      <c r="H2" s="2" t="s">
        <v>22</v>
      </c>
      <c r="I2" s="6" t="s">
        <v>23</v>
      </c>
      <c r="J2" s="2" t="s">
        <v>24</v>
      </c>
      <c r="K2" s="4" t="s">
        <v>25</v>
      </c>
      <c r="L2" s="10" t="s">
        <v>16</v>
      </c>
      <c r="M2" s="6" t="s">
        <v>18</v>
      </c>
      <c r="N2" s="7" t="s">
        <v>17</v>
      </c>
      <c r="O2" s="8" t="s">
        <v>20</v>
      </c>
      <c r="P2" s="6" t="s">
        <v>23</v>
      </c>
      <c r="Q2" s="2" t="s">
        <v>24</v>
      </c>
      <c r="R2" s="4" t="s">
        <v>30</v>
      </c>
      <c r="S2" s="4" t="s">
        <v>27</v>
      </c>
    </row>
    <row r="3" spans="1:40" ht="15" customHeight="1" x14ac:dyDescent="0.3">
      <c r="A3" s="1" t="s">
        <v>3</v>
      </c>
      <c r="B3" s="12">
        <v>23032472</v>
      </c>
      <c r="C3" s="13">
        <v>8915142</v>
      </c>
      <c r="D3" s="18">
        <v>6048813</v>
      </c>
      <c r="E3" s="14">
        <v>3372066</v>
      </c>
      <c r="F3" s="18">
        <v>6641550</v>
      </c>
      <c r="G3" s="14">
        <v>6592965</v>
      </c>
      <c r="H3" s="14">
        <v>938299</v>
      </c>
      <c r="I3" s="18">
        <v>48185144</v>
      </c>
      <c r="J3" s="14">
        <v>2598258</v>
      </c>
      <c r="K3" s="11">
        <v>1672370</v>
      </c>
      <c r="L3" s="17">
        <v>3473332</v>
      </c>
      <c r="M3" s="18">
        <v>294962</v>
      </c>
      <c r="N3" s="14">
        <v>59035</v>
      </c>
      <c r="O3" s="18">
        <v>360327</v>
      </c>
      <c r="P3" s="18">
        <v>13865262</v>
      </c>
      <c r="Q3" s="18">
        <v>1888456</v>
      </c>
      <c r="R3" s="11">
        <v>2356873</v>
      </c>
      <c r="S3" s="11">
        <f>SUM(B3:R3)</f>
        <v>130295326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spans="1:40" ht="15" customHeight="1" x14ac:dyDescent="0.3">
      <c r="A4" s="1" t="s">
        <v>4</v>
      </c>
      <c r="B4" s="17">
        <v>22330190</v>
      </c>
      <c r="C4" s="18">
        <v>7668510</v>
      </c>
      <c r="D4" s="18">
        <v>6403873</v>
      </c>
      <c r="E4" s="14">
        <v>3066153</v>
      </c>
      <c r="F4" s="18">
        <v>6120186</v>
      </c>
      <c r="G4" s="14">
        <v>6516827</v>
      </c>
      <c r="H4" s="14">
        <v>997775</v>
      </c>
      <c r="I4" s="18">
        <v>48075695</v>
      </c>
      <c r="J4" s="14">
        <v>2854727</v>
      </c>
      <c r="K4" s="11">
        <v>1923644</v>
      </c>
      <c r="L4" s="17">
        <v>3031846</v>
      </c>
      <c r="M4" s="18">
        <v>307692</v>
      </c>
      <c r="N4" s="14">
        <v>79331</v>
      </c>
      <c r="O4" s="18">
        <v>395312</v>
      </c>
      <c r="P4" s="18">
        <v>11318043</v>
      </c>
      <c r="Q4" s="18">
        <v>1731604</v>
      </c>
      <c r="R4" s="11">
        <v>2400818</v>
      </c>
      <c r="S4" s="11">
        <f>SUM(B4:R4)</f>
        <v>125222226</v>
      </c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 spans="1:40" ht="15" customHeight="1" x14ac:dyDescent="0.3">
      <c r="A5" s="1" t="s">
        <v>5</v>
      </c>
      <c r="B5" s="17">
        <v>22879706</v>
      </c>
      <c r="C5" s="18">
        <v>7048056</v>
      </c>
      <c r="D5" s="18">
        <v>6177110</v>
      </c>
      <c r="E5" s="14">
        <v>2821561</v>
      </c>
      <c r="F5" s="18">
        <v>6403051</v>
      </c>
      <c r="G5" s="14">
        <v>6862455</v>
      </c>
      <c r="H5" s="14">
        <v>1159679</v>
      </c>
      <c r="I5" s="18">
        <v>44850758</v>
      </c>
      <c r="J5" s="14">
        <v>5565977</v>
      </c>
      <c r="K5" s="11">
        <v>1471772</v>
      </c>
      <c r="L5" s="17">
        <v>3641118</v>
      </c>
      <c r="M5" s="18">
        <v>342645</v>
      </c>
      <c r="N5" s="14">
        <v>116005</v>
      </c>
      <c r="O5" s="18">
        <v>319405</v>
      </c>
      <c r="P5" s="18">
        <v>9711897</v>
      </c>
      <c r="Q5" s="18">
        <v>1621381</v>
      </c>
      <c r="R5" s="11">
        <v>1858534</v>
      </c>
      <c r="S5" s="11">
        <f t="shared" ref="S4:S14" si="0">SUM(B5:R5)</f>
        <v>122851110</v>
      </c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</row>
    <row r="6" spans="1:40" ht="15" customHeight="1" x14ac:dyDescent="0.3">
      <c r="A6" s="1" t="s">
        <v>6</v>
      </c>
      <c r="B6" s="17">
        <v>25910166</v>
      </c>
      <c r="C6" s="18">
        <v>7662883</v>
      </c>
      <c r="D6" s="18">
        <v>7287374</v>
      </c>
      <c r="E6" s="14">
        <v>3323269</v>
      </c>
      <c r="F6" s="18">
        <v>6608941</v>
      </c>
      <c r="G6" s="14">
        <v>7741778</v>
      </c>
      <c r="H6" s="14">
        <v>1218080</v>
      </c>
      <c r="I6" s="18">
        <v>50951608</v>
      </c>
      <c r="J6" s="14">
        <v>3337151</v>
      </c>
      <c r="K6" s="11">
        <v>1472936</v>
      </c>
      <c r="L6" s="17">
        <v>6028550</v>
      </c>
      <c r="M6" s="18">
        <v>415161</v>
      </c>
      <c r="N6" s="14">
        <v>65397</v>
      </c>
      <c r="O6" s="18">
        <v>293122</v>
      </c>
      <c r="P6" s="18">
        <v>8921850</v>
      </c>
      <c r="Q6" s="18">
        <v>1770235</v>
      </c>
      <c r="R6" s="11">
        <v>2256778</v>
      </c>
      <c r="S6" s="11">
        <f t="shared" si="0"/>
        <v>135265279</v>
      </c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 spans="1:40" ht="15" customHeight="1" x14ac:dyDescent="0.3">
      <c r="A7" s="1" t="s">
        <v>7</v>
      </c>
      <c r="B7" s="17">
        <v>25621130</v>
      </c>
      <c r="C7" s="18">
        <v>6609214</v>
      </c>
      <c r="D7" s="18">
        <v>7866861</v>
      </c>
      <c r="E7" s="14">
        <v>2977206</v>
      </c>
      <c r="F7" s="18">
        <v>7064514</v>
      </c>
      <c r="G7" s="14">
        <v>7009199</v>
      </c>
      <c r="H7" s="14">
        <v>1033341</v>
      </c>
      <c r="I7" s="18">
        <v>50016469</v>
      </c>
      <c r="J7" s="14">
        <v>3721567</v>
      </c>
      <c r="K7" s="11">
        <v>1218980</v>
      </c>
      <c r="L7" s="17">
        <v>3726243</v>
      </c>
      <c r="M7" s="18">
        <v>324626</v>
      </c>
      <c r="N7" s="14">
        <v>106884</v>
      </c>
      <c r="O7" s="18">
        <v>372138</v>
      </c>
      <c r="P7" s="18">
        <v>9190169</v>
      </c>
      <c r="Q7" s="18">
        <v>2156051</v>
      </c>
      <c r="R7" s="11">
        <v>2009520</v>
      </c>
      <c r="S7" s="11">
        <f t="shared" si="0"/>
        <v>131024112</v>
      </c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</row>
    <row r="8" spans="1:40" ht="15" customHeight="1" x14ac:dyDescent="0.3">
      <c r="A8" s="1" t="s">
        <v>8</v>
      </c>
      <c r="B8" s="17">
        <v>23588889</v>
      </c>
      <c r="C8" s="18">
        <v>7431188</v>
      </c>
      <c r="D8" s="18">
        <v>6901330</v>
      </c>
      <c r="E8" s="14">
        <v>2711717</v>
      </c>
      <c r="F8" s="18">
        <v>6152471</v>
      </c>
      <c r="G8" s="14">
        <v>6179554</v>
      </c>
      <c r="H8" s="14">
        <v>908106</v>
      </c>
      <c r="I8" s="18">
        <v>48373562</v>
      </c>
      <c r="J8" s="14">
        <v>5373069</v>
      </c>
      <c r="K8" s="11">
        <v>1070516</v>
      </c>
      <c r="L8" s="17">
        <v>3774159</v>
      </c>
      <c r="M8" s="18">
        <v>459918</v>
      </c>
      <c r="N8" s="14">
        <v>115740</v>
      </c>
      <c r="O8" s="18">
        <v>470761</v>
      </c>
      <c r="P8" s="18">
        <v>7523685</v>
      </c>
      <c r="Q8" s="18">
        <v>1385986</v>
      </c>
      <c r="R8" s="11">
        <v>1568073</v>
      </c>
      <c r="S8" s="11">
        <f t="shared" si="0"/>
        <v>123988724</v>
      </c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1:40" ht="15" customHeight="1" x14ac:dyDescent="0.3">
      <c r="A9" s="1" t="s">
        <v>9</v>
      </c>
      <c r="B9" s="17">
        <v>25543268</v>
      </c>
      <c r="C9" s="18">
        <v>8070599</v>
      </c>
      <c r="D9" s="18">
        <v>7758226</v>
      </c>
      <c r="E9" s="14">
        <v>3291002</v>
      </c>
      <c r="F9" s="18">
        <v>6546772</v>
      </c>
      <c r="G9" s="14">
        <v>6124507</v>
      </c>
      <c r="H9" s="14">
        <v>1005449</v>
      </c>
      <c r="I9" s="18">
        <v>48785657</v>
      </c>
      <c r="J9" s="14">
        <v>2787893</v>
      </c>
      <c r="K9" s="11">
        <v>1115156</v>
      </c>
      <c r="L9" s="17">
        <v>4027648</v>
      </c>
      <c r="M9" s="18">
        <v>310723</v>
      </c>
      <c r="N9" s="14">
        <v>136489</v>
      </c>
      <c r="O9" s="18">
        <v>319840</v>
      </c>
      <c r="P9" s="18">
        <v>8836231</v>
      </c>
      <c r="Q9" s="18">
        <v>1439466</v>
      </c>
      <c r="R9" s="11">
        <v>1337577</v>
      </c>
      <c r="S9" s="11">
        <f t="shared" si="0"/>
        <v>127436503</v>
      </c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</row>
    <row r="10" spans="1:40" ht="15" customHeight="1" x14ac:dyDescent="0.3">
      <c r="A10" s="1" t="s">
        <v>10</v>
      </c>
      <c r="B10" s="17">
        <v>26223870</v>
      </c>
      <c r="C10" s="18">
        <v>7345791</v>
      </c>
      <c r="D10" s="18">
        <v>7570010</v>
      </c>
      <c r="E10" s="14">
        <v>2977721</v>
      </c>
      <c r="F10" s="18">
        <v>6364837</v>
      </c>
      <c r="G10" s="14">
        <v>6556886</v>
      </c>
      <c r="H10" s="14">
        <v>864953</v>
      </c>
      <c r="I10" s="18">
        <v>50403719</v>
      </c>
      <c r="J10" s="14">
        <v>2990948</v>
      </c>
      <c r="K10" s="11">
        <v>1168929</v>
      </c>
      <c r="L10" s="17">
        <v>5715952</v>
      </c>
      <c r="M10" s="18">
        <v>382956</v>
      </c>
      <c r="N10" s="14">
        <v>112699</v>
      </c>
      <c r="O10" s="18">
        <v>329819</v>
      </c>
      <c r="P10" s="18">
        <v>9703602</v>
      </c>
      <c r="Q10" s="18">
        <v>1097594</v>
      </c>
      <c r="R10" s="11">
        <v>1778201</v>
      </c>
      <c r="S10" s="11">
        <f t="shared" si="0"/>
        <v>131588487</v>
      </c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</row>
    <row r="11" spans="1:40" ht="15" customHeight="1" x14ac:dyDescent="0.3">
      <c r="A11" s="1" t="s">
        <v>11</v>
      </c>
      <c r="B11" s="17">
        <v>26948194</v>
      </c>
      <c r="C11" s="18">
        <v>7931628</v>
      </c>
      <c r="D11" s="18">
        <v>7424525</v>
      </c>
      <c r="E11" s="14">
        <v>2983368</v>
      </c>
      <c r="F11" s="18">
        <v>6540914</v>
      </c>
      <c r="G11" s="14">
        <v>7271198</v>
      </c>
      <c r="H11" s="14">
        <v>1100684</v>
      </c>
      <c r="I11" s="18">
        <v>59156573</v>
      </c>
      <c r="J11" s="14">
        <v>5010650</v>
      </c>
      <c r="K11" s="11">
        <v>1307840</v>
      </c>
      <c r="L11" s="17">
        <v>4970396</v>
      </c>
      <c r="M11" s="18">
        <v>343536</v>
      </c>
      <c r="N11" s="14">
        <v>94599</v>
      </c>
      <c r="O11" s="18">
        <v>299025</v>
      </c>
      <c r="P11" s="18">
        <v>13082191</v>
      </c>
      <c r="Q11" s="18">
        <v>1227327</v>
      </c>
      <c r="R11" s="11">
        <v>1943202</v>
      </c>
      <c r="S11" s="11">
        <f t="shared" si="0"/>
        <v>147635850</v>
      </c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</row>
    <row r="12" spans="1:40" ht="15" customHeight="1" x14ac:dyDescent="0.3">
      <c r="A12" s="1" t="s">
        <v>12</v>
      </c>
      <c r="B12" s="17">
        <v>29888859</v>
      </c>
      <c r="C12" s="18">
        <v>9019167</v>
      </c>
      <c r="D12" s="18">
        <v>8102137</v>
      </c>
      <c r="E12" s="14">
        <v>3931570</v>
      </c>
      <c r="F12" s="18">
        <v>6698327</v>
      </c>
      <c r="G12" s="14">
        <v>7556601</v>
      </c>
      <c r="H12" s="14">
        <v>1177510</v>
      </c>
      <c r="I12" s="18">
        <v>69647923</v>
      </c>
      <c r="J12" s="14">
        <v>3294200</v>
      </c>
      <c r="K12" s="11">
        <v>1344550</v>
      </c>
      <c r="L12" s="17">
        <v>8381777</v>
      </c>
      <c r="M12" s="18">
        <v>760750</v>
      </c>
      <c r="N12" s="14">
        <v>157886</v>
      </c>
      <c r="O12" s="18">
        <v>706200</v>
      </c>
      <c r="P12" s="18">
        <v>15343604</v>
      </c>
      <c r="Q12" s="18">
        <v>3152657</v>
      </c>
      <c r="R12" s="11">
        <v>2206127</v>
      </c>
      <c r="S12" s="11">
        <f t="shared" si="0"/>
        <v>171369845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spans="1:40" ht="15" customHeight="1" x14ac:dyDescent="0.3">
      <c r="A13" s="1" t="s">
        <v>13</v>
      </c>
      <c r="B13" s="17">
        <v>21828851</v>
      </c>
      <c r="C13" s="18">
        <v>7921175</v>
      </c>
      <c r="D13" s="18">
        <v>6871093</v>
      </c>
      <c r="E13" s="14">
        <v>2625648</v>
      </c>
      <c r="F13" s="18">
        <v>6363314</v>
      </c>
      <c r="G13" s="14">
        <v>8392871</v>
      </c>
      <c r="H13" s="14">
        <v>1225516</v>
      </c>
      <c r="I13" s="18">
        <v>61491630</v>
      </c>
      <c r="J13" s="14">
        <v>3735982</v>
      </c>
      <c r="K13" s="11">
        <v>1265278</v>
      </c>
      <c r="L13" s="17">
        <v>4449277</v>
      </c>
      <c r="M13" s="18">
        <v>411148</v>
      </c>
      <c r="N13" s="14">
        <v>108033</v>
      </c>
      <c r="O13" s="18">
        <v>509994</v>
      </c>
      <c r="P13" s="18">
        <v>12077031</v>
      </c>
      <c r="Q13" s="18">
        <v>1591681</v>
      </c>
      <c r="R13" s="11">
        <v>2497765</v>
      </c>
      <c r="S13" s="11">
        <f t="shared" si="0"/>
        <v>143366287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</row>
    <row r="14" spans="1:40" ht="15" customHeight="1" x14ac:dyDescent="0.3">
      <c r="A14" s="9" t="s">
        <v>0</v>
      </c>
      <c r="B14" s="19">
        <v>18151402</v>
      </c>
      <c r="C14" s="16">
        <v>5967035</v>
      </c>
      <c r="D14" s="16">
        <v>5515679</v>
      </c>
      <c r="E14" s="16">
        <v>2254991</v>
      </c>
      <c r="F14" s="16">
        <v>5611191</v>
      </c>
      <c r="G14" s="16">
        <v>6269973</v>
      </c>
      <c r="H14" s="16">
        <v>1150013</v>
      </c>
      <c r="I14" s="16">
        <v>44885181</v>
      </c>
      <c r="J14" s="16">
        <v>5250291</v>
      </c>
      <c r="K14" s="15">
        <v>1130575</v>
      </c>
      <c r="L14" s="19">
        <v>3041876</v>
      </c>
      <c r="M14" s="16">
        <v>305901</v>
      </c>
      <c r="N14" s="16">
        <v>67084</v>
      </c>
      <c r="O14" s="16">
        <v>468119</v>
      </c>
      <c r="P14" s="16">
        <v>8203059</v>
      </c>
      <c r="Q14" s="16">
        <v>1005574</v>
      </c>
      <c r="R14" s="15">
        <v>1852389</v>
      </c>
      <c r="S14" s="15">
        <f t="shared" si="0"/>
        <v>111130333</v>
      </c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spans="1:40" ht="15" customHeight="1" x14ac:dyDescent="0.3">
      <c r="A15" s="20" t="s">
        <v>14</v>
      </c>
      <c r="B15" s="21">
        <f t="shared" ref="B15:R15" si="1">SUM(B3:B14)</f>
        <v>291946997</v>
      </c>
      <c r="C15" s="22">
        <f t="shared" ref="C15" si="2">SUM(C3:C14)</f>
        <v>91590388</v>
      </c>
      <c r="D15" s="22">
        <f t="shared" ref="D15" si="3">SUM(D3:D14)</f>
        <v>83927031</v>
      </c>
      <c r="E15" s="31">
        <f t="shared" ref="E15" si="4">SUM(E3:E14)</f>
        <v>36336272</v>
      </c>
      <c r="F15" s="22">
        <f t="shared" ref="F15" si="5">SUM(F3:F14)</f>
        <v>77116068</v>
      </c>
      <c r="G15" s="22">
        <f t="shared" ref="G15" si="6">SUM(G3:G14)</f>
        <v>83074814</v>
      </c>
      <c r="H15" s="22">
        <f t="shared" ref="H15" si="7">SUM(H3:H14)</f>
        <v>12779405</v>
      </c>
      <c r="I15" s="22">
        <f t="shared" ref="I15" si="8">SUM(I3:I14)</f>
        <v>624823919</v>
      </c>
      <c r="J15" s="22">
        <f t="shared" ref="J15" si="9">SUM(J3:J14)</f>
        <v>46520713</v>
      </c>
      <c r="K15" s="23">
        <f t="shared" ref="K15" si="10">SUM(K3:K14)</f>
        <v>16162546</v>
      </c>
      <c r="L15" s="21">
        <f t="shared" ref="L15" si="11">SUM(L3:L14)</f>
        <v>54262174</v>
      </c>
      <c r="M15" s="22">
        <f t="shared" ref="M15" si="12">SUM(M3:M14)</f>
        <v>4660018</v>
      </c>
      <c r="N15" s="22">
        <f t="shared" ref="N15" si="13">SUM(N3:N14)</f>
        <v>1219182</v>
      </c>
      <c r="O15" s="22">
        <f t="shared" ref="O15" si="14">SUM(O3:O14)</f>
        <v>4844062</v>
      </c>
      <c r="P15" s="22">
        <f t="shared" ref="P15" si="15">SUM(P3:P14)</f>
        <v>127776624</v>
      </c>
      <c r="Q15" s="22">
        <f t="shared" ref="Q15" si="16">SUM(Q3:Q14)</f>
        <v>20068012</v>
      </c>
      <c r="R15" s="23">
        <f t="shared" ref="R15" si="17">SUM(R3:R14)</f>
        <v>24065857</v>
      </c>
      <c r="S15" s="23">
        <f>SUM(S3:S14)</f>
        <v>1601174082</v>
      </c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</row>
    <row r="16" spans="1:40" x14ac:dyDescent="0.3">
      <c r="A16" s="1" t="s">
        <v>1</v>
      </c>
    </row>
    <row r="17" spans="1:1" x14ac:dyDescent="0.3">
      <c r="A17" s="5" t="s">
        <v>15</v>
      </c>
    </row>
    <row r="18" spans="1:1" x14ac:dyDescent="0.3">
      <c r="A18" s="1"/>
    </row>
    <row r="19" spans="1:1" x14ac:dyDescent="0.3">
      <c r="A19" s="1"/>
    </row>
  </sheetData>
  <mergeCells count="2">
    <mergeCell ref="B1:K1"/>
    <mergeCell ref="L1:R1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2024년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2026-06-15T09:24:56Z</dcterms:created>
  <dcterms:modified xsi:type="dcterms:W3CDTF">2026-06-23T09:38:41Z</dcterms:modified>
</cp:coreProperties>
</file>