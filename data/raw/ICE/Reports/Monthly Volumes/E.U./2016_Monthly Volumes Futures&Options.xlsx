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16년" sheetId="1" r:id="rId1"/>
  </sheets>
  <calcPr calcId="162913"/>
</workbook>
</file>

<file path=xl/calcChain.xml><?xml version="1.0" encoding="utf-8"?>
<calcChain xmlns="http://schemas.openxmlformats.org/spreadsheetml/2006/main">
  <c r="R15" i="1" l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S14" i="1" l="1"/>
  <c r="S13" i="1"/>
  <c r="S12" i="1"/>
  <c r="S11" i="1"/>
  <c r="S10" i="1"/>
  <c r="S9" i="1"/>
  <c r="S8" i="1"/>
  <c r="S7" i="1"/>
  <c r="S6" i="1"/>
  <c r="S5" i="1"/>
  <c r="S4" i="1"/>
  <c r="S3" i="1"/>
  <c r="S15" i="1" l="1"/>
  <c r="B15" i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<sst xmlns="http://schemas.openxmlformats.org/spreadsheetml/2006/main" count="37" uniqueCount="31">
  <si>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</si>
  <si>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</si>
  <si>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</si>
  <si>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</si>
  <si>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</si>
  <si>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</si>
  <si>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</si>
  <si>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</si>
  <si>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</si>
  <si>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</si>
  <si>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</si>
  <si>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</si>
  <si>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</si>
  <si>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</si>
  <si>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</si>
  <si>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*Liffe volumes included from the date of migration</t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</si>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</sst>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6" t="s">
        <v>26</v>
      </c>
      <c r="C1" s="27"/>
      <c r="D1" s="27"/>
      <c r="E1" s="27"/>
      <c r="F1" s="27"/>
      <c r="G1" s="27"/>
      <c r="H1" s="27"/>
      <c r="I1" s="27"/>
      <c r="J1" s="27"/>
      <c r="K1" s="28"/>
      <c r="L1" s="29" t="s">
        <v>29</v>
      </c>
      <c r="M1" s="30"/>
      <c r="N1" s="30"/>
      <c r="O1" s="30"/>
      <c r="P1" s="30"/>
      <c r="Q1" s="30"/>
      <c r="R1" s="31"/>
      <c r="S1" s="24" t="s">
        <v>28</v>
      </c>
    </row>
    <row r="2" spans="1:40" x14ac:dyDescent="0.3">
      <c r="A2" s="2" t="s">
        <v>2</v>
      </c>
      <c r="B2" s="10" t="s">
        <v>16</v>
      </c>
      <c r="C2" s="7" t="s">
        <v>17</v>
      </c>
      <c r="D2" s="6" t="s">
        <v>18</v>
      </c>
      <c r="E2" s="2" t="s">
        <v>19</v>
      </c>
      <c r="F2" s="8" t="s">
        <v>20</v>
      </c>
      <c r="G2" s="6" t="s">
        <v>21</v>
      </c>
      <c r="H2" s="2" t="s">
        <v>22</v>
      </c>
      <c r="I2" s="6" t="s">
        <v>23</v>
      </c>
      <c r="J2" s="2" t="s">
        <v>24</v>
      </c>
      <c r="K2" s="4" t="s">
        <v>25</v>
      </c>
      <c r="L2" s="10" t="s">
        <v>16</v>
      </c>
      <c r="M2" s="6" t="s">
        <v>18</v>
      </c>
      <c r="N2" s="7" t="s">
        <v>17</v>
      </c>
      <c r="O2" s="8" t="s">
        <v>20</v>
      </c>
      <c r="P2" s="6" t="s">
        <v>23</v>
      </c>
      <c r="Q2" s="2" t="s">
        <v>24</v>
      </c>
      <c r="R2" s="4" t="s">
        <v>30</v>
      </c>
      <c r="S2" s="4" t="s">
        <v>27</v>
      </c>
    </row>
    <row r="3" spans="1:40" ht="15" customHeight="1" x14ac:dyDescent="0.3">
      <c r="A3" s="1" t="s">
        <v>3</v>
      </c>
      <c r="B3" s="12">
        <v>21586558</v>
      </c>
      <c r="C3" s="13">
        <v>5817524</v>
      </c>
      <c r="D3" s="18">
        <v>3830441</v>
      </c>
      <c r="E3" s="14">
        <v>872218</v>
      </c>
      <c r="F3" s="18">
        <v>3157435</v>
      </c>
      <c r="G3" s="14">
        <v>2092201</v>
      </c>
      <c r="H3" s="14">
        <v>749757</v>
      </c>
      <c r="I3" s="18">
        <v>30965108</v>
      </c>
      <c r="J3" s="14">
        <v>9873433</v>
      </c>
      <c r="K3" s="11">
        <v>1352671</v>
      </c>
      <c r="L3" s="17">
        <v>1760921</v>
      </c>
      <c r="M3" s="18">
        <v>305444</v>
      </c>
      <c r="N3" s="14">
        <v>25210</v>
      </c>
      <c r="O3" s="18">
        <v>165921</v>
      </c>
      <c r="P3" s="18">
        <v>8857971</v>
      </c>
      <c r="Q3" s="18">
        <v>4335696</v>
      </c>
      <c r="R3" s="11">
        <v>862157</v>
      </c>
      <c r="S3" s="11">
        <f>SUM(B3:R3)</f>
        <v>96610666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18354421</v>
      </c>
      <c r="C4" s="18">
        <v>5324168</v>
      </c>
      <c r="D4" s="18">
        <v>4946213</v>
      </c>
      <c r="E4" s="14">
        <v>844460</v>
      </c>
      <c r="F4" s="18">
        <v>2407744</v>
      </c>
      <c r="G4" s="14">
        <v>2013176</v>
      </c>
      <c r="H4" s="14">
        <v>658427</v>
      </c>
      <c r="I4" s="18">
        <v>34607737</v>
      </c>
      <c r="J4" s="14">
        <v>7452495</v>
      </c>
      <c r="K4" s="11">
        <v>1507580</v>
      </c>
      <c r="L4" s="17">
        <v>1387197</v>
      </c>
      <c r="M4" s="18">
        <v>212755</v>
      </c>
      <c r="N4" s="14">
        <v>18732</v>
      </c>
      <c r="O4" s="18">
        <v>153735</v>
      </c>
      <c r="P4" s="18">
        <v>9716000</v>
      </c>
      <c r="Q4" s="18">
        <v>4842431</v>
      </c>
      <c r="R4" s="11">
        <v>604272</v>
      </c>
      <c r="S4" s="11">
        <f t="shared" ref="S4:S14" si="0">SUM(B4:R4)</f>
        <v>95051543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17027708</v>
      </c>
      <c r="C5" s="18">
        <v>5266656</v>
      </c>
      <c r="D5" s="18">
        <v>4130915</v>
      </c>
      <c r="E5" s="14">
        <v>762598</v>
      </c>
      <c r="F5" s="18">
        <v>2817027</v>
      </c>
      <c r="G5" s="14">
        <v>1588773</v>
      </c>
      <c r="H5" s="14">
        <v>515275</v>
      </c>
      <c r="I5" s="18">
        <v>27396210</v>
      </c>
      <c r="J5" s="14">
        <v>7729013</v>
      </c>
      <c r="K5" s="11">
        <v>1161193</v>
      </c>
      <c r="L5" s="17">
        <v>1051120</v>
      </c>
      <c r="M5" s="18">
        <v>231265</v>
      </c>
      <c r="N5" s="14">
        <v>13130</v>
      </c>
      <c r="O5" s="18">
        <v>103229</v>
      </c>
      <c r="P5" s="18">
        <v>5437769</v>
      </c>
      <c r="Q5" s="18">
        <v>2833437</v>
      </c>
      <c r="R5" s="11">
        <v>557479</v>
      </c>
      <c r="S5" s="11">
        <f t="shared" si="0"/>
        <v>78622797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18523223</v>
      </c>
      <c r="C6" s="18">
        <v>5611676</v>
      </c>
      <c r="D6" s="18">
        <v>3736178</v>
      </c>
      <c r="E6" s="14">
        <v>859018</v>
      </c>
      <c r="F6" s="18">
        <v>2653101</v>
      </c>
      <c r="G6" s="14">
        <v>1834652</v>
      </c>
      <c r="H6" s="14">
        <v>655522</v>
      </c>
      <c r="I6" s="18">
        <v>20746091</v>
      </c>
      <c r="J6" s="14">
        <v>8392629</v>
      </c>
      <c r="K6" s="11">
        <v>1480350</v>
      </c>
      <c r="L6" s="17">
        <v>1452789</v>
      </c>
      <c r="M6" s="18">
        <v>252503</v>
      </c>
      <c r="N6" s="14">
        <v>16522</v>
      </c>
      <c r="O6" s="18">
        <v>82328</v>
      </c>
      <c r="P6" s="18">
        <v>2925681</v>
      </c>
      <c r="Q6" s="18">
        <v>2913090</v>
      </c>
      <c r="R6" s="11">
        <v>517711</v>
      </c>
      <c r="S6" s="11">
        <f t="shared" si="0"/>
        <v>72653064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16186956</v>
      </c>
      <c r="C7" s="18">
        <v>5537832</v>
      </c>
      <c r="D7" s="18">
        <v>3548153</v>
      </c>
      <c r="E7" s="14">
        <v>857513</v>
      </c>
      <c r="F7" s="18">
        <v>2318992</v>
      </c>
      <c r="G7" s="14">
        <v>1384029</v>
      </c>
      <c r="H7" s="14">
        <v>503914</v>
      </c>
      <c r="I7" s="18">
        <v>23213175</v>
      </c>
      <c r="J7" s="14">
        <v>9286867</v>
      </c>
      <c r="K7" s="11">
        <v>1200633</v>
      </c>
      <c r="L7" s="17">
        <v>1005877</v>
      </c>
      <c r="M7" s="18">
        <v>256076</v>
      </c>
      <c r="N7" s="14">
        <v>36755</v>
      </c>
      <c r="O7" s="18">
        <v>96912</v>
      </c>
      <c r="P7" s="18">
        <v>3247691</v>
      </c>
      <c r="Q7" s="18">
        <v>2842636</v>
      </c>
      <c r="R7" s="11">
        <v>677611</v>
      </c>
      <c r="S7" s="11">
        <f t="shared" si="0"/>
        <v>72201622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>
        <v>15936605</v>
      </c>
      <c r="C8" s="18">
        <v>5063447</v>
      </c>
      <c r="D8" s="18">
        <v>3173065</v>
      </c>
      <c r="E8" s="14">
        <v>860045</v>
      </c>
      <c r="F8" s="18">
        <v>2787114</v>
      </c>
      <c r="G8" s="14">
        <v>1740402</v>
      </c>
      <c r="H8" s="14">
        <v>702296</v>
      </c>
      <c r="I8" s="18">
        <v>34206984</v>
      </c>
      <c r="J8" s="14">
        <v>10601734</v>
      </c>
      <c r="K8" s="11">
        <v>1303671</v>
      </c>
      <c r="L8" s="17">
        <v>1333824</v>
      </c>
      <c r="M8" s="18">
        <v>359220</v>
      </c>
      <c r="N8" s="14">
        <v>33293</v>
      </c>
      <c r="O8" s="18">
        <v>126383</v>
      </c>
      <c r="P8" s="18">
        <v>6841551</v>
      </c>
      <c r="Q8" s="18">
        <v>3488384</v>
      </c>
      <c r="R8" s="11">
        <v>667623</v>
      </c>
      <c r="S8" s="11">
        <f t="shared" si="0"/>
        <v>89225641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>
        <v>16076086</v>
      </c>
      <c r="C9" s="18">
        <v>5832037</v>
      </c>
      <c r="D9" s="18">
        <v>3080500</v>
      </c>
      <c r="E9" s="14">
        <v>835684</v>
      </c>
      <c r="F9" s="18">
        <v>2648075</v>
      </c>
      <c r="G9" s="14">
        <v>1205680</v>
      </c>
      <c r="H9" s="14">
        <v>544774</v>
      </c>
      <c r="I9" s="18">
        <v>22024744</v>
      </c>
      <c r="J9" s="14">
        <v>3864542</v>
      </c>
      <c r="K9" s="11">
        <v>1139728</v>
      </c>
      <c r="L9" s="17">
        <v>1012824</v>
      </c>
      <c r="M9" s="18">
        <v>351797</v>
      </c>
      <c r="N9" s="14">
        <v>11219</v>
      </c>
      <c r="O9" s="18">
        <v>105736</v>
      </c>
      <c r="P9" s="18">
        <v>5998343</v>
      </c>
      <c r="Q9" s="18">
        <v>3356906</v>
      </c>
      <c r="R9" s="11">
        <v>644157</v>
      </c>
      <c r="S9" s="11">
        <f t="shared" si="0"/>
        <v>68732832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>
        <v>16342140</v>
      </c>
      <c r="C10" s="18">
        <v>5329293</v>
      </c>
      <c r="D10" s="18">
        <v>3828281</v>
      </c>
      <c r="E10" s="14">
        <v>862430</v>
      </c>
      <c r="F10" s="18">
        <v>2599775</v>
      </c>
      <c r="G10" s="14">
        <v>1251849</v>
      </c>
      <c r="H10" s="14">
        <v>401529</v>
      </c>
      <c r="I10" s="18">
        <v>25765465</v>
      </c>
      <c r="J10" s="14">
        <v>2975264</v>
      </c>
      <c r="K10" s="11">
        <v>1270780</v>
      </c>
      <c r="L10" s="17">
        <v>1295257</v>
      </c>
      <c r="M10" s="18">
        <v>426104</v>
      </c>
      <c r="N10" s="14">
        <v>20265</v>
      </c>
      <c r="O10" s="18">
        <v>70726</v>
      </c>
      <c r="P10" s="18">
        <v>3631653</v>
      </c>
      <c r="Q10" s="18">
        <v>2302614</v>
      </c>
      <c r="R10" s="11">
        <v>458032</v>
      </c>
      <c r="S10" s="11">
        <f t="shared" si="0"/>
        <v>68831457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>
        <v>17682071</v>
      </c>
      <c r="C11" s="18">
        <v>5850931</v>
      </c>
      <c r="D11" s="18">
        <v>4003755</v>
      </c>
      <c r="E11" s="14">
        <v>906744</v>
      </c>
      <c r="F11" s="18">
        <v>2930380</v>
      </c>
      <c r="G11" s="14">
        <v>1328074</v>
      </c>
      <c r="H11" s="14">
        <v>575035</v>
      </c>
      <c r="I11" s="18">
        <v>31858282</v>
      </c>
      <c r="J11" s="14">
        <v>6605876</v>
      </c>
      <c r="K11" s="11">
        <v>1409883</v>
      </c>
      <c r="L11" s="17">
        <v>1443027</v>
      </c>
      <c r="M11" s="18">
        <v>541224</v>
      </c>
      <c r="N11" s="14">
        <v>16445</v>
      </c>
      <c r="O11" s="18">
        <v>93200</v>
      </c>
      <c r="P11" s="18">
        <v>2245507</v>
      </c>
      <c r="Q11" s="18">
        <v>3074190</v>
      </c>
      <c r="R11" s="11">
        <v>565477</v>
      </c>
      <c r="S11" s="11">
        <f t="shared" si="0"/>
        <v>81130101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>
        <v>16065734</v>
      </c>
      <c r="C12" s="18">
        <v>5370844</v>
      </c>
      <c r="D12" s="18">
        <v>3941888</v>
      </c>
      <c r="E12" s="14">
        <v>841003</v>
      </c>
      <c r="F12" s="18">
        <v>3162109</v>
      </c>
      <c r="G12" s="14">
        <v>1168118</v>
      </c>
      <c r="H12" s="14">
        <v>625228</v>
      </c>
      <c r="I12" s="18">
        <v>38189508</v>
      </c>
      <c r="J12" s="14">
        <v>4163996</v>
      </c>
      <c r="K12" s="11">
        <v>1166879</v>
      </c>
      <c r="L12" s="17">
        <v>1441202</v>
      </c>
      <c r="M12" s="18">
        <v>647354</v>
      </c>
      <c r="N12" s="14">
        <v>15580</v>
      </c>
      <c r="O12" s="18">
        <v>81554</v>
      </c>
      <c r="P12" s="18">
        <v>7330495</v>
      </c>
      <c r="Q12" s="18">
        <v>3179277</v>
      </c>
      <c r="R12" s="11">
        <v>421174</v>
      </c>
      <c r="S12" s="11">
        <f t="shared" si="0"/>
        <v>87811943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>
        <v>20523558</v>
      </c>
      <c r="C13" s="18">
        <v>6306629</v>
      </c>
      <c r="D13" s="18">
        <v>4822018</v>
      </c>
      <c r="E13" s="14">
        <v>939306</v>
      </c>
      <c r="F13" s="18">
        <v>3758511</v>
      </c>
      <c r="G13" s="14">
        <v>1411744</v>
      </c>
      <c r="H13" s="14">
        <v>810723</v>
      </c>
      <c r="I13" s="18">
        <v>34817779</v>
      </c>
      <c r="J13" s="14">
        <v>3994522</v>
      </c>
      <c r="K13" s="11">
        <v>1346351</v>
      </c>
      <c r="L13" s="17">
        <v>1606654</v>
      </c>
      <c r="M13" s="18">
        <v>663281</v>
      </c>
      <c r="N13" s="14">
        <v>27731</v>
      </c>
      <c r="O13" s="18">
        <v>77410</v>
      </c>
      <c r="P13" s="18">
        <v>5102333</v>
      </c>
      <c r="Q13" s="18">
        <v>2852097</v>
      </c>
      <c r="R13" s="11">
        <v>701193</v>
      </c>
      <c r="S13" s="11">
        <f t="shared" si="0"/>
        <v>89761840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16246415</v>
      </c>
      <c r="C14" s="16">
        <v>4846411</v>
      </c>
      <c r="D14" s="16">
        <v>4248058</v>
      </c>
      <c r="E14" s="16">
        <v>889390</v>
      </c>
      <c r="F14" s="16">
        <v>2861105</v>
      </c>
      <c r="G14" s="16">
        <v>1073575</v>
      </c>
      <c r="H14" s="16">
        <v>719654</v>
      </c>
      <c r="I14" s="16">
        <v>24804188</v>
      </c>
      <c r="J14" s="16">
        <v>9450058</v>
      </c>
      <c r="K14" s="15">
        <v>1180136</v>
      </c>
      <c r="L14" s="19">
        <v>1369900</v>
      </c>
      <c r="M14" s="16">
        <v>397458</v>
      </c>
      <c r="N14" s="16">
        <v>20635</v>
      </c>
      <c r="O14" s="16">
        <v>95712</v>
      </c>
      <c r="P14" s="16">
        <v>2273634</v>
      </c>
      <c r="Q14" s="16">
        <v>2338223</v>
      </c>
      <c r="R14" s="15">
        <v>410332</v>
      </c>
      <c r="S14" s="15">
        <f t="shared" si="0"/>
        <v>73224884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>SUM(B3:B14)</f>
        <v>210551475</v>
      </c>
      <c r="C15" s="22">
        <f t="shared" ref="C15:R15" si="1">SUM(C3:C14)</f>
        <v>66157448</v>
      </c>
      <c r="D15" s="22">
        <f t="shared" si="1"/>
        <v>47289465</v>
      </c>
      <c r="E15" s="25">
        <f t="shared" si="1"/>
        <v>10330409</v>
      </c>
      <c r="F15" s="22">
        <f t="shared" si="1"/>
        <v>34101368</v>
      </c>
      <c r="G15" s="22">
        <f t="shared" si="1"/>
        <v>18092273</v>
      </c>
      <c r="H15" s="22">
        <f t="shared" si="1"/>
        <v>7462134</v>
      </c>
      <c r="I15" s="22">
        <f t="shared" si="1"/>
        <v>348595271</v>
      </c>
      <c r="J15" s="22">
        <f t="shared" si="1"/>
        <v>84390429</v>
      </c>
      <c r="K15" s="23">
        <f t="shared" si="1"/>
        <v>15519855</v>
      </c>
      <c r="L15" s="21">
        <f t="shared" si="1"/>
        <v>16160592</v>
      </c>
      <c r="M15" s="22">
        <f t="shared" si="1"/>
        <v>4644481</v>
      </c>
      <c r="N15" s="22">
        <f t="shared" si="1"/>
        <v>255517</v>
      </c>
      <c r="O15" s="22">
        <f t="shared" si="1"/>
        <v>1252846</v>
      </c>
      <c r="P15" s="22">
        <f t="shared" si="1"/>
        <v>63608628</v>
      </c>
      <c r="Q15" s="22">
        <f t="shared" si="1"/>
        <v>38358981</v>
      </c>
      <c r="R15" s="23">
        <f t="shared" si="1"/>
        <v>7087218</v>
      </c>
      <c r="S15" s="23">
        <f>SUM(S3:S14)</f>
        <v>973858390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15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2026-07-16T08:19:10Z</dcterms:modified>
</cp:coreProperties>
</file>