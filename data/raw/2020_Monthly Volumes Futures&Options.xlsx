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0년" sheetId="1" r:id="rId1"/>
  </sheets>
  <calcPr calcId="162913"/>
</workbook>
</file>

<file path=xl/calcChain.xml><?xml version="1.0" encoding="utf-8"?>
<calcChain xmlns="http://schemas.openxmlformats.org/spreadsheetml/2006/main">
  <c r="C15" i="1" l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B15" i="1"/>
  <c r="S12" i="1"/>
  <c r="S10" i="1"/>
  <c r="S8" i="1"/>
  <c r="S5" i="1"/>
  <c r="S14" i="1"/>
  <c r="S13" i="1"/>
  <c r="S11" i="1"/>
  <c r="S9" i="1"/>
  <c r="S7" i="1"/>
  <c r="S6" i="1"/>
  <c r="S4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<sst xmlns="http://schemas.openxmlformats.org/spreadsheetml/2006/main" count="37" uniqueCount="31">
  <si>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</si>
  <si>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</si>
  <si>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</si>
  <si>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</si>
  <si>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</si>
  <si>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</si>
  <si>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</si>
  <si>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</si>
  <si>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</si>
  <si>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</si>
  <si>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</si>
  <si>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</si>
  <si>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</si>
  <si>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</si>
  <si>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</si>
  <si>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</si>
  <si>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</si>
  <si>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</si>
  <si>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</si>
  <si>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</si>
  <si>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</si>
  <si>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</si>
  <si>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</si>
  <si>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</si>
  <si>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</si>
  <si>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</si>
  <si>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</si>
  <si>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</si>
  <si>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</si>
  <si>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</si>
  <si>
    <t>*Liffe volumes included from the date of migration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</si>
</sst>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25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28</v>
      </c>
      <c r="M1" s="27"/>
      <c r="N1" s="27"/>
      <c r="O1" s="27"/>
      <c r="P1" s="27"/>
      <c r="Q1" s="27"/>
      <c r="R1" s="26"/>
      <c r="S1" s="24" t="s">
        <v>27</v>
      </c>
    </row>
    <row r="2" spans="1:40" x14ac:dyDescent="0.3">
      <c r="A2" s="2" t="s">
        <v>2</v>
      </c>
      <c r="B2" s="10" t="s">
        <v>15</v>
      </c>
      <c r="C2" s="7" t="s">
        <v>16</v>
      </c>
      <c r="D2" s="6" t="s">
        <v>17</v>
      </c>
      <c r="E2" s="2" t="s">
        <v>18</v>
      </c>
      <c r="F2" s="8" t="s">
        <v>19</v>
      </c>
      <c r="G2" s="6" t="s">
        <v>20</v>
      </c>
      <c r="H2" s="2" t="s">
        <v>21</v>
      </c>
      <c r="I2" s="6" t="s">
        <v>22</v>
      </c>
      <c r="J2" s="2" t="s">
        <v>23</v>
      </c>
      <c r="K2" s="4" t="s">
        <v>24</v>
      </c>
      <c r="L2" s="10" t="s">
        <v>15</v>
      </c>
      <c r="M2" s="6" t="s">
        <v>17</v>
      </c>
      <c r="N2" s="7" t="s">
        <v>16</v>
      </c>
      <c r="O2" s="8" t="s">
        <v>19</v>
      </c>
      <c r="P2" s="6" t="s">
        <v>22</v>
      </c>
      <c r="Q2" s="2" t="s">
        <v>23</v>
      </c>
      <c r="R2" s="4" t="s">
        <v>29</v>
      </c>
      <c r="S2" s="4" t="s">
        <v>26</v>
      </c>
    </row>
    <row r="3" spans="1:40" ht="15" customHeight="1" x14ac:dyDescent="0.3">
      <c r="A3" s="1" t="s">
        <v>3</v>
      </c>
      <c r="B3" s="12">
        <v>22058919</v>
      </c>
      <c r="C3" s="13">
        <v>9883940</v>
      </c>
      <c r="D3" s="18">
        <v>4625845</v>
      </c>
      <c r="E3" s="14">
        <v>5435872</v>
      </c>
      <c r="F3" s="18">
        <v>4443304</v>
      </c>
      <c r="G3" s="14">
        <v>3382028</v>
      </c>
      <c r="H3" s="14">
        <v>738800</v>
      </c>
      <c r="I3" s="18">
        <v>44151514</v>
      </c>
      <c r="J3" s="14">
        <v>2556712</v>
      </c>
      <c r="K3" s="11">
        <v>1494738</v>
      </c>
      <c r="L3" s="17">
        <v>2804721</v>
      </c>
      <c r="M3" s="18">
        <v>397647</v>
      </c>
      <c r="N3" s="14">
        <v>40009</v>
      </c>
      <c r="O3" s="18">
        <v>273956</v>
      </c>
      <c r="P3" s="18">
        <v>13425559</v>
      </c>
      <c r="Q3" s="18">
        <v>2038491</v>
      </c>
      <c r="R3" s="11">
        <v>1646920</v>
      </c>
      <c r="S3" s="11">
        <f>SUM(B3:R3)</f>
        <v>119398975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23686683</v>
      </c>
      <c r="C4" s="18">
        <v>8594690</v>
      </c>
      <c r="D4" s="18">
        <v>4744904</v>
      </c>
      <c r="E4" s="14">
        <v>6091827</v>
      </c>
      <c r="F4" s="18">
        <v>4225060</v>
      </c>
      <c r="G4" s="14">
        <v>3165293</v>
      </c>
      <c r="H4" s="14">
        <v>729548</v>
      </c>
      <c r="I4" s="18">
        <v>42454861</v>
      </c>
      <c r="J4" s="14">
        <v>4375103</v>
      </c>
      <c r="K4" s="11">
        <v>1455756</v>
      </c>
      <c r="L4" s="17">
        <v>3216476</v>
      </c>
      <c r="M4" s="18">
        <v>347223</v>
      </c>
      <c r="N4" s="14">
        <v>24995</v>
      </c>
      <c r="O4" s="18">
        <v>594301</v>
      </c>
      <c r="P4" s="18">
        <v>9109092</v>
      </c>
      <c r="Q4" s="18">
        <v>2059387</v>
      </c>
      <c r="R4" s="11">
        <v>980523</v>
      </c>
      <c r="S4" s="11">
        <f t="shared" ref="S4:S14" si="0">SUM(B4:R4)</f>
        <v>115855722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32785404</v>
      </c>
      <c r="C5" s="18">
        <v>9633249</v>
      </c>
      <c r="D5" s="18">
        <v>7672801</v>
      </c>
      <c r="E5" s="14">
        <v>5474465</v>
      </c>
      <c r="F5" s="18">
        <v>5739997</v>
      </c>
      <c r="G5" s="14">
        <v>3880934</v>
      </c>
      <c r="H5" s="14">
        <v>1343648</v>
      </c>
      <c r="I5" s="18">
        <v>57252887</v>
      </c>
      <c r="J5" s="14">
        <v>11554330</v>
      </c>
      <c r="K5" s="11">
        <v>1573230</v>
      </c>
      <c r="L5" s="17">
        <v>4660758</v>
      </c>
      <c r="M5" s="18">
        <v>495609</v>
      </c>
      <c r="N5" s="14">
        <v>10020</v>
      </c>
      <c r="O5" s="18">
        <v>683471</v>
      </c>
      <c r="P5" s="18">
        <v>16956690</v>
      </c>
      <c r="Q5" s="18">
        <v>2194841</v>
      </c>
      <c r="R5" s="11">
        <v>1151083</v>
      </c>
      <c r="S5" s="11">
        <f t="shared" si="0"/>
        <v>163063417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25705419</v>
      </c>
      <c r="C6" s="18">
        <v>7811729</v>
      </c>
      <c r="D6" s="18">
        <v>6301155</v>
      </c>
      <c r="E6" s="14">
        <v>3229957</v>
      </c>
      <c r="F6" s="18">
        <v>4622911</v>
      </c>
      <c r="G6" s="14">
        <v>2733667</v>
      </c>
      <c r="H6" s="14">
        <v>872629</v>
      </c>
      <c r="I6" s="18">
        <v>28427038</v>
      </c>
      <c r="J6" s="14">
        <v>2698360</v>
      </c>
      <c r="K6" s="11">
        <v>1129863</v>
      </c>
      <c r="L6" s="17">
        <v>2259030</v>
      </c>
      <c r="M6" s="18">
        <v>323452</v>
      </c>
      <c r="N6" s="14">
        <v>7985</v>
      </c>
      <c r="O6" s="18">
        <v>300027</v>
      </c>
      <c r="P6" s="18">
        <v>6822870</v>
      </c>
      <c r="Q6" s="18">
        <v>940468</v>
      </c>
      <c r="R6" s="11">
        <v>907584</v>
      </c>
      <c r="S6" s="11">
        <f t="shared" si="0"/>
        <v>95094144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16502048</v>
      </c>
      <c r="C7" s="18">
        <v>5976422</v>
      </c>
      <c r="D7" s="18">
        <v>3191283</v>
      </c>
      <c r="E7" s="14">
        <v>4476736</v>
      </c>
      <c r="F7" s="18">
        <v>3543446</v>
      </c>
      <c r="G7" s="14">
        <v>2395274</v>
      </c>
      <c r="H7" s="14">
        <v>710710</v>
      </c>
      <c r="I7" s="18">
        <v>27292131</v>
      </c>
      <c r="J7" s="14">
        <v>2798005</v>
      </c>
      <c r="K7" s="11">
        <v>902161</v>
      </c>
      <c r="L7" s="17">
        <v>1404125</v>
      </c>
      <c r="M7" s="18">
        <v>238371</v>
      </c>
      <c r="N7" s="14">
        <v>5830</v>
      </c>
      <c r="O7" s="18">
        <v>166584</v>
      </c>
      <c r="P7" s="18">
        <v>6422771</v>
      </c>
      <c r="Q7" s="18">
        <v>1010827</v>
      </c>
      <c r="R7" s="11">
        <v>763643</v>
      </c>
      <c r="S7" s="11">
        <f t="shared" si="0"/>
        <v>77800367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17068027</v>
      </c>
      <c r="C8" s="18">
        <v>6225651</v>
      </c>
      <c r="D8" s="18">
        <v>4294244</v>
      </c>
      <c r="E8" s="14">
        <v>4365274</v>
      </c>
      <c r="F8" s="18">
        <v>3849091</v>
      </c>
      <c r="G8" s="14">
        <v>2875474</v>
      </c>
      <c r="H8" s="14">
        <v>949776</v>
      </c>
      <c r="I8" s="18">
        <v>29591942</v>
      </c>
      <c r="J8" s="14">
        <v>5719022</v>
      </c>
      <c r="K8" s="11">
        <v>1399936</v>
      </c>
      <c r="L8" s="17">
        <v>1879452</v>
      </c>
      <c r="M8" s="18">
        <v>246373</v>
      </c>
      <c r="N8" s="14">
        <v>15795</v>
      </c>
      <c r="O8" s="18">
        <v>172324</v>
      </c>
      <c r="P8" s="18">
        <v>4054301</v>
      </c>
      <c r="Q8" s="18">
        <v>1411877</v>
      </c>
      <c r="R8" s="11">
        <v>729533</v>
      </c>
      <c r="S8" s="11">
        <f t="shared" si="0"/>
        <v>84848092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14798531</v>
      </c>
      <c r="C9" s="18">
        <v>5201704</v>
      </c>
      <c r="D9" s="18">
        <v>3072086</v>
      </c>
      <c r="E9" s="14">
        <v>4739284</v>
      </c>
      <c r="F9" s="18">
        <v>3386668</v>
      </c>
      <c r="G9" s="14">
        <v>2293454</v>
      </c>
      <c r="H9" s="14">
        <v>1026766</v>
      </c>
      <c r="I9" s="18">
        <v>25897766</v>
      </c>
      <c r="J9" s="14">
        <v>2379329</v>
      </c>
      <c r="K9" s="11">
        <v>1287824</v>
      </c>
      <c r="L9" s="17">
        <v>1262536</v>
      </c>
      <c r="M9" s="18">
        <v>157492</v>
      </c>
      <c r="N9" s="14">
        <v>3430</v>
      </c>
      <c r="O9" s="18">
        <v>200547</v>
      </c>
      <c r="P9" s="18">
        <v>3178402</v>
      </c>
      <c r="Q9" s="18">
        <v>1251544</v>
      </c>
      <c r="R9" s="11">
        <v>649827</v>
      </c>
      <c r="S9" s="11">
        <f t="shared" si="0"/>
        <v>70787190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12991196</v>
      </c>
      <c r="C10" s="18">
        <v>5679884</v>
      </c>
      <c r="D10" s="18">
        <v>3379773</v>
      </c>
      <c r="E10" s="14">
        <v>5094791</v>
      </c>
      <c r="F10" s="18">
        <v>2837649</v>
      </c>
      <c r="G10" s="14">
        <v>2646994</v>
      </c>
      <c r="H10" s="14">
        <v>631915</v>
      </c>
      <c r="I10" s="18">
        <v>28137960</v>
      </c>
      <c r="J10" s="14">
        <v>2382605</v>
      </c>
      <c r="K10" s="11">
        <v>1158101</v>
      </c>
      <c r="L10" s="17">
        <v>1175492</v>
      </c>
      <c r="M10" s="18">
        <v>165051</v>
      </c>
      <c r="N10" s="14">
        <v>3060</v>
      </c>
      <c r="O10" s="18">
        <v>59355</v>
      </c>
      <c r="P10" s="18">
        <v>2816865</v>
      </c>
      <c r="Q10" s="18">
        <v>948364</v>
      </c>
      <c r="R10" s="11">
        <v>527074</v>
      </c>
      <c r="S10" s="11">
        <f t="shared" si="0"/>
        <v>70636129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15864474</v>
      </c>
      <c r="C11" s="18">
        <v>7319132</v>
      </c>
      <c r="D11" s="18">
        <v>3486647</v>
      </c>
      <c r="E11" s="14">
        <v>4974403</v>
      </c>
      <c r="F11" s="18">
        <v>3659332</v>
      </c>
      <c r="G11" s="14">
        <v>2551060</v>
      </c>
      <c r="H11" s="14">
        <v>1044012</v>
      </c>
      <c r="I11" s="18">
        <v>37380338</v>
      </c>
      <c r="J11" s="14">
        <v>5767252</v>
      </c>
      <c r="K11" s="11">
        <v>1146334</v>
      </c>
      <c r="L11" s="17">
        <v>1782741</v>
      </c>
      <c r="M11" s="18">
        <v>199476</v>
      </c>
      <c r="N11" s="14">
        <v>10265</v>
      </c>
      <c r="O11" s="18">
        <v>106175</v>
      </c>
      <c r="P11" s="18">
        <v>9476420</v>
      </c>
      <c r="Q11" s="18">
        <v>2015435</v>
      </c>
      <c r="R11" s="11">
        <v>661894</v>
      </c>
      <c r="S11" s="11">
        <f t="shared" si="0"/>
        <v>97445390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16652137</v>
      </c>
      <c r="C12" s="18">
        <v>6524840</v>
      </c>
      <c r="D12" s="18">
        <v>2935941</v>
      </c>
      <c r="E12" s="14">
        <v>4357035</v>
      </c>
      <c r="F12" s="18">
        <v>3533485</v>
      </c>
      <c r="G12" s="14">
        <v>2830828</v>
      </c>
      <c r="H12" s="14">
        <v>959445</v>
      </c>
      <c r="I12" s="18">
        <v>30210241</v>
      </c>
      <c r="J12" s="14">
        <v>2545924</v>
      </c>
      <c r="K12" s="11">
        <v>1233036</v>
      </c>
      <c r="L12" s="17">
        <v>2158945</v>
      </c>
      <c r="M12" s="18">
        <v>263100</v>
      </c>
      <c r="N12" s="14">
        <v>7640</v>
      </c>
      <c r="O12" s="18">
        <v>122631</v>
      </c>
      <c r="P12" s="18">
        <v>4199783</v>
      </c>
      <c r="Q12" s="18">
        <v>1571500</v>
      </c>
      <c r="R12" s="11">
        <v>815670</v>
      </c>
      <c r="S12" s="11">
        <f t="shared" si="0"/>
        <v>80922181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18386586</v>
      </c>
      <c r="C13" s="18">
        <v>6489341</v>
      </c>
      <c r="D13" s="18">
        <v>3404887</v>
      </c>
      <c r="E13" s="14">
        <v>4320781</v>
      </c>
      <c r="F13" s="18">
        <v>3836242</v>
      </c>
      <c r="G13" s="14">
        <v>2982623</v>
      </c>
      <c r="H13" s="14">
        <v>1156723</v>
      </c>
      <c r="I13" s="18">
        <v>31113354</v>
      </c>
      <c r="J13" s="14">
        <v>4000325</v>
      </c>
      <c r="K13" s="11">
        <v>1122750</v>
      </c>
      <c r="L13" s="17">
        <v>1861327</v>
      </c>
      <c r="M13" s="18">
        <v>187827</v>
      </c>
      <c r="N13" s="14">
        <v>25340</v>
      </c>
      <c r="O13" s="18">
        <v>181439</v>
      </c>
      <c r="P13" s="18">
        <v>5028512</v>
      </c>
      <c r="Q13" s="18">
        <v>2063454</v>
      </c>
      <c r="R13" s="11">
        <v>670278</v>
      </c>
      <c r="S13" s="11">
        <f t="shared" si="0"/>
        <v>86831789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15376707</v>
      </c>
      <c r="C14" s="16">
        <v>5184002</v>
      </c>
      <c r="D14" s="16">
        <v>3012282</v>
      </c>
      <c r="E14" s="16">
        <v>4526039</v>
      </c>
      <c r="F14" s="16">
        <v>3192090</v>
      </c>
      <c r="G14" s="16">
        <v>3329871</v>
      </c>
      <c r="H14" s="16">
        <v>1034809</v>
      </c>
      <c r="I14" s="16">
        <v>29797311</v>
      </c>
      <c r="J14" s="16">
        <v>5802149</v>
      </c>
      <c r="K14" s="15">
        <v>872211</v>
      </c>
      <c r="L14" s="19">
        <v>1401174</v>
      </c>
      <c r="M14" s="16">
        <v>162923</v>
      </c>
      <c r="N14" s="16">
        <v>9570</v>
      </c>
      <c r="O14" s="16">
        <v>173102</v>
      </c>
      <c r="P14" s="16">
        <v>3495027</v>
      </c>
      <c r="Q14" s="16">
        <v>2026386</v>
      </c>
      <c r="R14" s="15">
        <v>614665</v>
      </c>
      <c r="S14" s="15">
        <f t="shared" si="0"/>
        <v>80010318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231876131</v>
      </c>
      <c r="C15" s="22">
        <f>SUM(C3:C14)</f>
        <v>84524584</v>
      </c>
      <c r="D15" s="22">
        <f t="shared" si="1"/>
        <v>50121848</v>
      </c>
      <c r="E15" s="31">
        <f t="shared" si="1"/>
        <v>57086464</v>
      </c>
      <c r="F15" s="22">
        <f t="shared" si="1"/>
        <v>46869275</v>
      </c>
      <c r="G15" s="22">
        <f t="shared" si="1"/>
        <v>35067500</v>
      </c>
      <c r="H15" s="22">
        <f t="shared" si="1"/>
        <v>11198781</v>
      </c>
      <c r="I15" s="22">
        <f t="shared" si="1"/>
        <v>411707343</v>
      </c>
      <c r="J15" s="22">
        <f t="shared" si="1"/>
        <v>52579116</v>
      </c>
      <c r="K15" s="23">
        <f t="shared" si="1"/>
        <v>14775940</v>
      </c>
      <c r="L15" s="21">
        <f t="shared" si="1"/>
        <v>25866777</v>
      </c>
      <c r="M15" s="22">
        <f t="shared" si="1"/>
        <v>3184544</v>
      </c>
      <c r="N15" s="22">
        <f t="shared" si="1"/>
        <v>163939</v>
      </c>
      <c r="O15" s="22">
        <f t="shared" si="1"/>
        <v>3033912</v>
      </c>
      <c r="P15" s="22">
        <f t="shared" si="1"/>
        <v>84986292</v>
      </c>
      <c r="Q15" s="22">
        <f t="shared" si="1"/>
        <v>19532574</v>
      </c>
      <c r="R15" s="23">
        <f t="shared" si="1"/>
        <v>10118694</v>
      </c>
      <c r="S15" s="23">
        <f>SUM(S3:S14)</f>
        <v>1142693714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30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2026-06-23T09:02:59Z</dcterms:modified>
</cp:coreProperties>
</file>