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17년" sheetId="1" r:id="rId1"/>
  </sheets>
  <calcPr calcId="162913"/>
</workbook>
</file>

<file path=xl/calcChain.xml><?xml version="1.0" encoding="utf-8"?>
<calcChain xmlns="http://schemas.openxmlformats.org/spreadsheetml/2006/main">
  <c r="P14" i="1" l="1"/>
  <c r="P13" i="1"/>
  <c r="P12" i="1"/>
  <c r="P11" i="1"/>
  <c r="P10" i="1"/>
  <c r="P9" i="1"/>
  <c r="P8" i="1"/>
  <c r="P7" i="1"/>
  <c r="P6" i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<sst xmlns="http://schemas.openxmlformats.org/spreadsheetml/2006/main" count="37" uniqueCount="37">
  <si>
    <t>December</t>
  </si>
  <si>
    <t>Notes:</t>
  </si>
  <si>
    <t>*Equity derivatives include Russell and MSCI Index futures and options.</t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</si>
  <si>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</si>
  <si>
    <t>***Power contract volume is now reported using the new contract conversion methodology. Prior monthly power volumes have been adjusted for comparison purposes.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</si>
  <si>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</si>
  <si>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</si>
  <si>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</si>
  <si>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</si>
  <si>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</si>
  <si>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</si>
  <si>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</si>
  <si>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</si>
  <si>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</si>
  <si>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</si>
  <si>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</si>
  <si>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</si>
  <si>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</si>
  <si>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</si>
  <si>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</si>
  <si>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</si>
  <si>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</si>
  <si>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</si>
  <si>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</si>
  <si>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</si>
  <si>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</si>
  <si>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</si>
  <si>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Canola**</t>
  </si>
  <si>
    <t>Futures Energy</t>
  </si>
  <si>
    <t>Gas</t>
  </si>
  <si>
    <t>Power***</t>
  </si>
  <si>
    <t>Monthly Totals</t>
  </si>
  <si>
    <t>Futures</t>
  </si>
  <si>
    <t>Options</t>
  </si>
  <si>
    <t>Overall</t>
  </si>
  <si>
    <t>Yearly Total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</si>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</sst>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30" t="s">
        <v>8</v>
      </c>
      <c r="C1" s="31"/>
      <c r="D1" s="32"/>
      <c r="E1" s="30" t="s">
        <v>20</v>
      </c>
      <c r="F1" s="31"/>
      <c r="G1" s="31"/>
      <c r="H1" s="31"/>
      <c r="I1" s="31"/>
      <c r="J1" s="31"/>
      <c r="K1" s="32"/>
      <c r="L1" s="27" t="s">
        <v>28</v>
      </c>
      <c r="M1" s="28"/>
      <c r="N1" s="27" t="s">
        <v>31</v>
      </c>
      <c r="O1" s="29"/>
      <c r="P1" s="28"/>
    </row>
    <row r="2" spans="1:40" x14ac:dyDescent="0.3">
      <c r="A2" s="2" t="s">
        <v>5</v>
      </c>
      <c r="B2" s="13" t="s">
        <v>6</v>
      </c>
      <c r="C2" s="9" t="s">
        <v>7</v>
      </c>
      <c r="D2" s="10" t="s">
        <v>36</v>
      </c>
      <c r="E2" s="2" t="s">
        <v>21</v>
      </c>
      <c r="F2" s="11" t="s">
        <v>22</v>
      </c>
      <c r="G2" s="8" t="s">
        <v>23</v>
      </c>
      <c r="H2" s="2" t="s">
        <v>24</v>
      </c>
      <c r="I2" s="8" t="s">
        <v>25</v>
      </c>
      <c r="J2" s="2" t="s">
        <v>26</v>
      </c>
      <c r="K2" s="5" t="s">
        <v>27</v>
      </c>
      <c r="L2" s="4" t="s">
        <v>29</v>
      </c>
      <c r="M2" s="5" t="s">
        <v>30</v>
      </c>
      <c r="N2" s="2" t="s">
        <v>32</v>
      </c>
      <c r="O2" s="8" t="s">
        <v>33</v>
      </c>
      <c r="P2" s="5" t="s">
        <v>34</v>
      </c>
    </row>
    <row r="3" spans="1:40" ht="15" customHeight="1" x14ac:dyDescent="0.3">
      <c r="A3" s="1" t="s">
        <v>9</v>
      </c>
      <c r="B3" s="15">
        <v>899038</v>
      </c>
      <c r="C3" s="16">
        <v>63227</v>
      </c>
      <c r="D3" s="14">
        <v>4171697</v>
      </c>
      <c r="E3" s="17">
        <v>621047</v>
      </c>
      <c r="F3" s="21">
        <v>2501768</v>
      </c>
      <c r="G3" s="17">
        <v>797471</v>
      </c>
      <c r="H3" s="17">
        <v>621642</v>
      </c>
      <c r="I3" s="21">
        <v>30883</v>
      </c>
      <c r="J3" s="17">
        <v>28016</v>
      </c>
      <c r="K3" s="14">
        <v>397507</v>
      </c>
      <c r="L3" s="20">
        <v>14089212</v>
      </c>
      <c r="M3" s="14">
        <v>1960955</v>
      </c>
      <c r="N3" s="17">
        <v>25784956</v>
      </c>
      <c r="O3" s="21">
        <v>5311338</v>
      </c>
      <c r="P3" s="14">
        <f>SUM(N3:O3)</f>
        <v>31096294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10</v>
      </c>
      <c r="B4" s="20">
        <v>690982</v>
      </c>
      <c r="C4" s="21">
        <v>58911</v>
      </c>
      <c r="D4" s="14">
        <v>3800018</v>
      </c>
      <c r="E4" s="17">
        <v>824746</v>
      </c>
      <c r="F4" s="21">
        <v>3273275</v>
      </c>
      <c r="G4" s="17">
        <v>929400</v>
      </c>
      <c r="H4" s="17">
        <v>919593</v>
      </c>
      <c r="I4" s="21">
        <v>37187</v>
      </c>
      <c r="J4" s="17">
        <v>26056</v>
      </c>
      <c r="K4" s="14">
        <v>549415</v>
      </c>
      <c r="L4" s="20">
        <v>14433708</v>
      </c>
      <c r="M4" s="14">
        <v>2013924</v>
      </c>
      <c r="N4" s="17">
        <v>27007800</v>
      </c>
      <c r="O4" s="21">
        <v>6076308</v>
      </c>
      <c r="P4" s="14">
        <f t="shared" ref="P4:P15" si="0">SUM(N4:O4)</f>
        <v>33084108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11</v>
      </c>
      <c r="B5" s="20">
        <v>913300</v>
      </c>
      <c r="C5" s="21">
        <v>153580</v>
      </c>
      <c r="D5" s="14">
        <v>9676263</v>
      </c>
      <c r="E5" s="17">
        <v>618426</v>
      </c>
      <c r="F5" s="21">
        <v>2777906</v>
      </c>
      <c r="G5" s="17">
        <v>906294</v>
      </c>
      <c r="H5" s="17">
        <v>648217</v>
      </c>
      <c r="I5" s="21">
        <v>35311</v>
      </c>
      <c r="J5" s="17">
        <v>27404</v>
      </c>
      <c r="K5" s="14">
        <v>508671</v>
      </c>
      <c r="L5" s="20">
        <v>14380643</v>
      </c>
      <c r="M5" s="14">
        <v>1924677</v>
      </c>
      <c r="N5" s="17">
        <v>32062021</v>
      </c>
      <c r="O5" s="21">
        <v>4123770</v>
      </c>
      <c r="P5" s="14">
        <f t="shared" si="0"/>
        <v>36185791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12</v>
      </c>
      <c r="B6" s="20">
        <v>474945</v>
      </c>
      <c r="C6" s="21">
        <v>63280</v>
      </c>
      <c r="D6" s="14">
        <v>4330198</v>
      </c>
      <c r="E6" s="17">
        <v>1018525</v>
      </c>
      <c r="F6" s="21">
        <v>3299189</v>
      </c>
      <c r="G6" s="17">
        <v>974013</v>
      </c>
      <c r="H6" s="17">
        <v>805263</v>
      </c>
      <c r="I6" s="21">
        <v>33218</v>
      </c>
      <c r="J6" s="17">
        <v>24885</v>
      </c>
      <c r="K6" s="14">
        <v>521424</v>
      </c>
      <c r="L6" s="20">
        <v>12269690</v>
      </c>
      <c r="M6" s="14">
        <v>1938805</v>
      </c>
      <c r="N6" s="17">
        <v>25232011</v>
      </c>
      <c r="O6" s="21">
        <v>4791027</v>
      </c>
      <c r="P6" s="14">
        <f t="shared" si="0"/>
        <v>30023038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13</v>
      </c>
      <c r="B7" s="20">
        <v>610497</v>
      </c>
      <c r="C7" s="21">
        <v>60860</v>
      </c>
      <c r="D7" s="14">
        <v>4584192</v>
      </c>
      <c r="E7" s="17">
        <v>642116</v>
      </c>
      <c r="F7" s="21">
        <v>2489279</v>
      </c>
      <c r="G7" s="17">
        <v>927022</v>
      </c>
      <c r="H7" s="17">
        <v>728004</v>
      </c>
      <c r="I7" s="21">
        <v>25193</v>
      </c>
      <c r="J7" s="17">
        <v>31450</v>
      </c>
      <c r="K7" s="14">
        <v>344251</v>
      </c>
      <c r="L7" s="20">
        <v>13826307</v>
      </c>
      <c r="M7" s="14">
        <v>1171432</v>
      </c>
      <c r="N7" s="17">
        <v>25096352</v>
      </c>
      <c r="O7" s="21">
        <v>5128583</v>
      </c>
      <c r="P7" s="14">
        <f t="shared" si="0"/>
        <v>30224935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14</v>
      </c>
      <c r="B8" s="20">
        <v>677676</v>
      </c>
      <c r="C8" s="21">
        <v>103543</v>
      </c>
      <c r="D8" s="14">
        <v>9453026</v>
      </c>
      <c r="E8" s="17">
        <v>1079212</v>
      </c>
      <c r="F8" s="21">
        <v>3523038</v>
      </c>
      <c r="G8" s="17">
        <v>1095512</v>
      </c>
      <c r="H8" s="17">
        <v>731750</v>
      </c>
      <c r="I8" s="21">
        <v>34836</v>
      </c>
      <c r="J8" s="17">
        <v>33643</v>
      </c>
      <c r="K8" s="14">
        <v>530093</v>
      </c>
      <c r="L8" s="20">
        <v>12784894</v>
      </c>
      <c r="M8" s="14">
        <v>1034733</v>
      </c>
      <c r="N8" s="17">
        <v>30551863</v>
      </c>
      <c r="O8" s="21">
        <v>5066018</v>
      </c>
      <c r="P8" s="14">
        <f t="shared" si="0"/>
        <v>35617881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15</v>
      </c>
      <c r="B9" s="20">
        <v>465929</v>
      </c>
      <c r="C9" s="21">
        <v>46446</v>
      </c>
      <c r="D9" s="14">
        <v>3379990</v>
      </c>
      <c r="E9" s="17">
        <v>637351</v>
      </c>
      <c r="F9" s="21">
        <v>1867041</v>
      </c>
      <c r="G9" s="17">
        <v>790389</v>
      </c>
      <c r="H9" s="17">
        <v>367996</v>
      </c>
      <c r="I9" s="21">
        <v>18627</v>
      </c>
      <c r="J9" s="17">
        <v>31255</v>
      </c>
      <c r="K9" s="14">
        <v>331900</v>
      </c>
      <c r="L9" s="20">
        <v>10583145</v>
      </c>
      <c r="M9" s="14">
        <v>765937</v>
      </c>
      <c r="N9" s="17">
        <v>18954106</v>
      </c>
      <c r="O9" s="21">
        <v>3612412</v>
      </c>
      <c r="P9" s="14">
        <f>SUM(N9:O9)</f>
        <v>22566518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16</v>
      </c>
      <c r="B10" s="20">
        <v>594447</v>
      </c>
      <c r="C10" s="21">
        <v>46822</v>
      </c>
      <c r="D10" s="14">
        <v>4405345</v>
      </c>
      <c r="E10" s="17">
        <v>983180</v>
      </c>
      <c r="F10" s="21">
        <v>2296674</v>
      </c>
      <c r="G10" s="17">
        <v>1116901</v>
      </c>
      <c r="H10" s="17">
        <v>499490</v>
      </c>
      <c r="I10" s="21">
        <v>36316</v>
      </c>
      <c r="J10" s="17">
        <v>34715</v>
      </c>
      <c r="K10" s="14">
        <v>298854</v>
      </c>
      <c r="L10" s="20">
        <v>10848519</v>
      </c>
      <c r="M10" s="14">
        <v>870071</v>
      </c>
      <c r="N10" s="17">
        <v>21732480</v>
      </c>
      <c r="O10" s="21">
        <v>3575546</v>
      </c>
      <c r="P10" s="14">
        <f t="shared" ref="P10:P14" si="1">SUM(N10:O10)</f>
        <v>25308026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17</v>
      </c>
      <c r="B11" s="20">
        <v>790091</v>
      </c>
      <c r="C11" s="21">
        <v>118105</v>
      </c>
      <c r="D11" s="14">
        <v>7029422</v>
      </c>
      <c r="E11" s="17">
        <v>599210</v>
      </c>
      <c r="F11" s="21">
        <v>3366576</v>
      </c>
      <c r="G11" s="17">
        <v>660699</v>
      </c>
      <c r="H11" s="17">
        <v>527357</v>
      </c>
      <c r="I11" s="21">
        <v>34697</v>
      </c>
      <c r="J11" s="17">
        <v>30152</v>
      </c>
      <c r="K11" s="14">
        <v>390755</v>
      </c>
      <c r="L11" s="20">
        <v>11677264</v>
      </c>
      <c r="M11" s="14">
        <v>930342</v>
      </c>
      <c r="N11" s="17">
        <v>25763915</v>
      </c>
      <c r="O11" s="21">
        <v>3313558</v>
      </c>
      <c r="P11" s="14">
        <f t="shared" si="1"/>
        <v>29077473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18</v>
      </c>
      <c r="B12" s="20">
        <v>485672</v>
      </c>
      <c r="C12" s="21">
        <v>37578</v>
      </c>
      <c r="D12" s="14">
        <v>2187846</v>
      </c>
      <c r="E12" s="17">
        <v>701745</v>
      </c>
      <c r="F12" s="21">
        <v>1672329</v>
      </c>
      <c r="G12" s="17">
        <v>1066289</v>
      </c>
      <c r="H12" s="17">
        <v>539450</v>
      </c>
      <c r="I12" s="21">
        <v>25936</v>
      </c>
      <c r="J12" s="17">
        <v>32557</v>
      </c>
      <c r="K12" s="14">
        <v>625937</v>
      </c>
      <c r="L12" s="20">
        <v>13287374</v>
      </c>
      <c r="M12" s="14">
        <v>993267</v>
      </c>
      <c r="N12" s="17">
        <v>21030043</v>
      </c>
      <c r="O12" s="21">
        <v>3853277</v>
      </c>
      <c r="P12" s="14">
        <f t="shared" si="1"/>
        <v>24883320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19</v>
      </c>
      <c r="B13" s="20">
        <v>425302</v>
      </c>
      <c r="C13" s="21">
        <v>46632</v>
      </c>
      <c r="D13" s="14">
        <v>2480626</v>
      </c>
      <c r="E13" s="17">
        <v>1135521</v>
      </c>
      <c r="F13" s="21">
        <v>2062201</v>
      </c>
      <c r="G13" s="17">
        <v>1049735</v>
      </c>
      <c r="H13" s="17">
        <v>954722</v>
      </c>
      <c r="I13" s="21">
        <v>16504</v>
      </c>
      <c r="J13" s="17">
        <v>44847</v>
      </c>
      <c r="K13" s="14">
        <v>381367</v>
      </c>
      <c r="L13" s="20">
        <v>13359575</v>
      </c>
      <c r="M13" s="14">
        <v>1258076</v>
      </c>
      <c r="N13" s="17">
        <v>22833741</v>
      </c>
      <c r="O13" s="21">
        <v>4436992</v>
      </c>
      <c r="P13" s="14">
        <f t="shared" si="1"/>
        <v>27270733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2" t="s">
        <v>0</v>
      </c>
      <c r="B14" s="22">
        <v>518162</v>
      </c>
      <c r="C14" s="19">
        <v>92851</v>
      </c>
      <c r="D14" s="18">
        <v>5559070</v>
      </c>
      <c r="E14" s="19">
        <v>573043</v>
      </c>
      <c r="F14" s="19">
        <v>1902551</v>
      </c>
      <c r="G14" s="19">
        <v>747881</v>
      </c>
      <c r="H14" s="19">
        <v>564023</v>
      </c>
      <c r="I14" s="19">
        <v>34791</v>
      </c>
      <c r="J14" s="19">
        <v>32630</v>
      </c>
      <c r="K14" s="18">
        <v>511181</v>
      </c>
      <c r="L14" s="22">
        <v>14026211</v>
      </c>
      <c r="M14" s="18">
        <v>1196065</v>
      </c>
      <c r="N14" s="19">
        <v>25247278</v>
      </c>
      <c r="O14" s="19">
        <v>3919457</v>
      </c>
      <c r="P14" s="18">
        <f t="shared" si="1"/>
        <v>29166735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3" t="s">
        <v>35</v>
      </c>
      <c r="B15" s="24">
        <f>SUM(B3:B14)</f>
        <v>7546041</v>
      </c>
      <c r="C15" s="25">
        <f t="shared" ref="C15:O15" si="2">SUM(C3:C14)</f>
        <v>891835</v>
      </c>
      <c r="D15" s="26">
        <f t="shared" si="2"/>
        <v>61057693</v>
      </c>
      <c r="E15" s="25">
        <f t="shared" si="2"/>
        <v>9434122</v>
      </c>
      <c r="F15" s="25">
        <f t="shared" ref="F15" si="3">SUM(F3:F14)</f>
        <v>31031827</v>
      </c>
      <c r="G15" s="25">
        <f t="shared" ref="G15" si="4">SUM(G3:G14)</f>
        <v>11061606</v>
      </c>
      <c r="H15" s="25">
        <f t="shared" ref="H15" si="5">SUM(H3:H14)</f>
        <v>7907507</v>
      </c>
      <c r="I15" s="25">
        <f t="shared" ref="I15" si="6">SUM(I3:I14)</f>
        <v>363499</v>
      </c>
      <c r="J15" s="25">
        <f t="shared" ref="J15" si="7">SUM(J3:J14)</f>
        <v>377610</v>
      </c>
      <c r="K15" s="26">
        <f t="shared" ref="K15" si="8">SUM(K3:K14)</f>
        <v>5391355</v>
      </c>
      <c r="L15" s="24">
        <f t="shared" si="2"/>
        <v>155566542</v>
      </c>
      <c r="M15" s="26">
        <f t="shared" si="2"/>
        <v>16058284</v>
      </c>
      <c r="N15" s="25">
        <f t="shared" si="2"/>
        <v>301296566</v>
      </c>
      <c r="O15" s="25">
        <f t="shared" si="2"/>
        <v>53208286</v>
      </c>
      <c r="P15" s="26">
        <f t="shared" si="0"/>
        <v>354504852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</v>
      </c>
    </row>
    <row r="19" spans="1:1" x14ac:dyDescent="0.3">
      <c r="A19" s="7" t="s">
        <v>4</v>
      </c>
    </row>
    <row r="20" spans="1:1" x14ac:dyDescent="0.3">
      <c r="A20" s="1"/>
    </row>
    <row r="21" spans="1:1" x14ac:dyDescent="0.3">
      <c r="A21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2017년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2026-06-23T08:20:08Z</dcterms:modified>
</cp:coreProperties>
</file>