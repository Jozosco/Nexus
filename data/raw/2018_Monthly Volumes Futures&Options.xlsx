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ICE\Reports\E.U\"/>
    </mc:Choice>
  </mc:AlternateContent>
  <bookViews>
    <workbookView xWindow="0" yWindow="0" windowWidth="25125" windowHeight="11640"/>
  </bookViews>
  <sheets>
    <sheet name="2018년" sheetId="1" r:id="rId1"/>
  </sheets>
  <calcPr calcId="162913"/>
</workbook>
</file>

<file path=xl/calcChain.xml><?xml version="1.0" encoding="utf-8"?>
<calcChain xmlns="http://schemas.openxmlformats.org/spreadsheetml/2006/main">
  <c r="R15" i="1" l="1"/>
  <c r="Q15" i="1"/>
  <c r="P15" i="1"/>
  <c r="S5" i="1" l="1"/>
  <c r="S14" i="1"/>
  <c r="S13" i="1"/>
  <c r="S12" i="1"/>
  <c r="S11" i="1"/>
  <c r="S10" i="1"/>
  <c r="S9" i="1"/>
  <c r="S8" i="1"/>
  <c r="S7" i="1"/>
  <c r="S6" i="1"/>
  <c r="S4" i="1"/>
  <c r="S3" i="1"/>
  <c r="S15" i="1" l="1"/>
  <c r="C15" i="1"/>
  <c r="B15" i="1"/>
  <c r="D15" i="1" l="1"/>
  <c r="J15" i="1" l="1"/>
  <c r="F15" i="1"/>
  <c r="O15" i="1"/>
  <c r="I15" i="1"/>
  <c r="H15" i="1"/>
  <c r="G15" i="1"/>
  <c r="L15" i="1"/>
  <c r="K15" i="1"/>
  <c r="E15" i="1"/>
  <c r="N15" i="1"/>
  <c r="M15" i="1"/>
</calcChain>
</file>

<file path=xl/sharedStrings.xml><?xml version="1.0" encoding="utf-8"?>
<sst xmlns="http://schemas.openxmlformats.org/spreadsheetml/2006/main" count="37" uniqueCount="31">
  <si>
    <t>December</t>
  </si>
  <si>
    <t>Notes:</t>
  </si>
  <si>
    <t>Month</t>
    <phoneticPr fontId="18" type="noConversion"/>
  </si>
  <si>
    <t>January</t>
    <phoneticPr fontId="18" type="noConversion"/>
  </si>
  <si>
    <t>February</t>
    <phoneticPr fontId="18" type="noConversion"/>
  </si>
  <si>
    <t>March</t>
    <phoneticPr fontId="18" type="noConversion"/>
  </si>
  <si>
    <t>April</t>
    <phoneticPr fontId="18" type="noConversion"/>
  </si>
  <si>
    <t>May</t>
    <phoneticPr fontId="18" type="noConversion"/>
  </si>
  <si>
    <t>June</t>
    <phoneticPr fontId="18" type="noConversion"/>
  </si>
  <si>
    <t>July</t>
    <phoneticPr fontId="18" type="noConversion"/>
  </si>
  <si>
    <t>August</t>
    <phoneticPr fontId="18" type="noConversion"/>
  </si>
  <si>
    <t>September</t>
    <phoneticPr fontId="18" type="noConversion"/>
  </si>
  <si>
    <t>October</t>
    <phoneticPr fontId="18" type="noConversion"/>
  </si>
  <si>
    <t>November</t>
    <phoneticPr fontId="18" type="noConversion"/>
  </si>
  <si>
    <t>Yearly Total</t>
    <phoneticPr fontId="18" type="noConversion"/>
  </si>
  <si>
    <t>*Liffe volumes included from the date of migration</t>
  </si>
  <si>
    <t>Brent</t>
    <phoneticPr fontId="18" type="noConversion"/>
  </si>
  <si>
    <t>Gas Oil</t>
    <phoneticPr fontId="18" type="noConversion"/>
  </si>
  <si>
    <t>WTI</t>
    <phoneticPr fontId="18" type="noConversion"/>
  </si>
  <si>
    <t>Heating Oil &amp; RBOB</t>
    <phoneticPr fontId="18" type="noConversion"/>
  </si>
  <si>
    <t>Oil Products</t>
    <phoneticPr fontId="18" type="noConversion"/>
  </si>
  <si>
    <t>EU NAT Gas</t>
    <phoneticPr fontId="18" type="noConversion"/>
  </si>
  <si>
    <t>Coal Power &amp; Emissions</t>
    <phoneticPr fontId="18" type="noConversion"/>
  </si>
  <si>
    <t>Interest Rates*</t>
    <phoneticPr fontId="18" type="noConversion"/>
  </si>
  <si>
    <t>Equity Derivatives*</t>
    <phoneticPr fontId="18" type="noConversion"/>
  </si>
  <si>
    <t>London AGS*</t>
    <phoneticPr fontId="18" type="noConversion"/>
  </si>
  <si>
    <t>Futures</t>
    <phoneticPr fontId="18" type="noConversion"/>
  </si>
  <si>
    <t>Total Monthly Volume</t>
    <phoneticPr fontId="18" type="noConversion"/>
  </si>
  <si>
    <t>Monthly Totals</t>
    <phoneticPr fontId="18" type="noConversion"/>
  </si>
  <si>
    <t>Options</t>
    <phoneticPr fontId="18" type="noConversion"/>
  </si>
  <si>
    <t>London AGS &amp; Other Energy Options*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</si>
</sst>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_);[Red]\(#,##0.0\)"/>
    <numFmt numFmtId="177" formatCode="#,##0_);[Red]\(#,##0\)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19" fillId="0" borderId="0" xfId="0" applyNumberFormat="1" applyFont="1">
      <alignment vertical="center"/>
    </xf>
    <xf numFmtId="49" fontId="0" fillId="0" borderId="20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17" xfId="0" applyNumberFormat="1" applyBorder="1">
      <alignment vertical="center"/>
    </xf>
    <xf numFmtId="49" fontId="0" fillId="0" borderId="19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49" fontId="20" fillId="0" borderId="17" xfId="0" applyNumberFormat="1" applyFont="1" applyBorder="1">
      <alignment vertical="center"/>
    </xf>
    <xf numFmtId="177" fontId="20" fillId="0" borderId="16" xfId="0" applyNumberFormat="1" applyFont="1" applyBorder="1" applyAlignment="1">
      <alignment horizontal="center" vertical="center"/>
    </xf>
    <xf numFmtId="177" fontId="20" fillId="0" borderId="17" xfId="0" applyNumberFormat="1" applyFont="1" applyBorder="1" applyAlignment="1">
      <alignment horizontal="center" vertical="center"/>
    </xf>
    <xf numFmtId="177" fontId="20" fillId="0" borderId="18" xfId="0" applyNumberFormat="1" applyFont="1" applyBorder="1" applyAlignment="1">
      <alignment horizontal="center" vertical="center"/>
    </xf>
    <xf numFmtId="49" fontId="20" fillId="33" borderId="12" xfId="0" applyNumberFormat="1" applyFont="1" applyFill="1" applyBorder="1" applyAlignment="1">
      <alignment horizontal="center" vertical="center"/>
    </xf>
    <xf numFmtId="177" fontId="20" fillId="0" borderId="11" xfId="0" applyNumberFormat="1" applyFont="1" applyBorder="1" applyAlignment="1">
      <alignment horizontal="center" vertical="center"/>
    </xf>
    <xf numFmtId="49" fontId="20" fillId="34" borderId="10" xfId="0" applyNumberFormat="1" applyFont="1" applyFill="1" applyBorder="1" applyAlignment="1">
      <alignment horizontal="center" vertical="center"/>
    </xf>
    <xf numFmtId="49" fontId="20" fillId="34" borderId="11" xfId="0" applyNumberFormat="1" applyFont="1" applyFill="1" applyBorder="1" applyAlignment="1">
      <alignment horizontal="center" vertical="center"/>
    </xf>
    <xf numFmtId="49" fontId="20" fillId="34" borderId="12" xfId="0" applyNumberFormat="1" applyFont="1" applyFill="1" applyBorder="1" applyAlignment="1">
      <alignment horizontal="center" vertical="center"/>
    </xf>
    <xf numFmtId="49" fontId="20" fillId="33" borderId="10" xfId="0" applyNumberFormat="1" applyFont="1" applyFill="1" applyBorder="1" applyAlignment="1">
      <alignment horizontal="center" vertical="center"/>
    </xf>
    <xf numFmtId="49" fontId="20" fillId="33" borderId="11" xfId="0" applyNumberFormat="1" applyFont="1" applyFill="1" applyBorder="1" applyAlignment="1">
      <alignment horizontal="center" vertical="center"/>
    </xf>
    <xf numFmtId="49" fontId="20" fillId="33" borderId="12" xfId="0" applyNumberFormat="1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9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6.5" x14ac:dyDescent="0.3"/>
  <cols>
    <col min="1" max="1" width="11" customWidth="1"/>
    <col min="2" max="2" width="16" bestFit="1" customWidth="1"/>
    <col min="3" max="3" width="16" customWidth="1"/>
    <col min="4" max="4" width="20.75" bestFit="1" customWidth="1"/>
    <col min="5" max="5" width="20" bestFit="1" customWidth="1"/>
    <col min="6" max="7" width="12.625" bestFit="1" customWidth="1"/>
    <col min="8" max="8" width="23.5" bestFit="1" customWidth="1"/>
    <col min="9" max="9" width="14" bestFit="1" customWidth="1"/>
    <col min="10" max="10" width="15.875" bestFit="1" customWidth="1"/>
    <col min="11" max="11" width="12.5" bestFit="1" customWidth="1"/>
    <col min="12" max="12" width="13.875" bestFit="1" customWidth="1"/>
    <col min="13" max="13" width="12.625" bestFit="1" customWidth="1"/>
    <col min="14" max="14" width="13.875" bestFit="1" customWidth="1"/>
    <col min="15" max="15" width="12.625" bestFit="1" customWidth="1"/>
    <col min="16" max="16" width="13.875" bestFit="1" customWidth="1"/>
    <col min="17" max="17" width="18" bestFit="1" customWidth="1"/>
    <col min="18" max="18" width="37" bestFit="1" customWidth="1"/>
    <col min="19" max="19" width="21.875" bestFit="1" customWidth="1"/>
  </cols>
  <sheetData>
    <row r="1" spans="1:40" x14ac:dyDescent="0.3">
      <c r="A1" s="1"/>
      <c r="B1" s="26" t="s">
        <v>26</v>
      </c>
      <c r="C1" s="27"/>
      <c r="D1" s="27"/>
      <c r="E1" s="27"/>
      <c r="F1" s="27"/>
      <c r="G1" s="27"/>
      <c r="H1" s="27"/>
      <c r="I1" s="27"/>
      <c r="J1" s="27"/>
      <c r="K1" s="28"/>
      <c r="L1" s="29" t="s">
        <v>29</v>
      </c>
      <c r="M1" s="30"/>
      <c r="N1" s="30"/>
      <c r="O1" s="30"/>
      <c r="P1" s="30"/>
      <c r="Q1" s="30"/>
      <c r="R1" s="31"/>
      <c r="S1" s="24" t="s">
        <v>28</v>
      </c>
    </row>
    <row r="2" spans="1:40" x14ac:dyDescent="0.3">
      <c r="A2" s="2" t="s">
        <v>2</v>
      </c>
      <c r="B2" s="10" t="s">
        <v>16</v>
      </c>
      <c r="C2" s="7" t="s">
        <v>17</v>
      </c>
      <c r="D2" s="6" t="s">
        <v>18</v>
      </c>
      <c r="E2" s="2" t="s">
        <v>19</v>
      </c>
      <c r="F2" s="8" t="s">
        <v>20</v>
      </c>
      <c r="G2" s="6" t="s">
        <v>21</v>
      </c>
      <c r="H2" s="2" t="s">
        <v>22</v>
      </c>
      <c r="I2" s="6" t="s">
        <v>23</v>
      </c>
      <c r="J2" s="2" t="s">
        <v>24</v>
      </c>
      <c r="K2" s="4" t="s">
        <v>25</v>
      </c>
      <c r="L2" s="10" t="s">
        <v>16</v>
      </c>
      <c r="M2" s="6" t="s">
        <v>18</v>
      </c>
      <c r="N2" s="7" t="s">
        <v>17</v>
      </c>
      <c r="O2" s="8" t="s">
        <v>20</v>
      </c>
      <c r="P2" s="6" t="s">
        <v>23</v>
      </c>
      <c r="Q2" s="2" t="s">
        <v>24</v>
      </c>
      <c r="R2" s="4" t="s">
        <v>30</v>
      </c>
      <c r="S2" s="4" t="s">
        <v>27</v>
      </c>
    </row>
    <row r="3" spans="1:40" ht="15" customHeight="1" x14ac:dyDescent="0.3">
      <c r="A3" s="1" t="s">
        <v>3</v>
      </c>
      <c r="B3" s="12">
        <v>19111750</v>
      </c>
      <c r="C3" s="13">
        <v>7121468</v>
      </c>
      <c r="D3" s="18">
        <v>5209236</v>
      </c>
      <c r="E3" s="14">
        <v>851604</v>
      </c>
      <c r="F3" s="18">
        <v>3283080</v>
      </c>
      <c r="G3" s="14">
        <v>1438792</v>
      </c>
      <c r="H3" s="14">
        <v>543735</v>
      </c>
      <c r="I3" s="18">
        <v>45022180</v>
      </c>
      <c r="J3" s="14">
        <v>6259097</v>
      </c>
      <c r="K3" s="11">
        <v>1186201</v>
      </c>
      <c r="L3" s="17">
        <v>1071428</v>
      </c>
      <c r="M3" s="18">
        <v>417787</v>
      </c>
      <c r="N3" s="14">
        <v>13606</v>
      </c>
      <c r="O3" s="18">
        <v>120114</v>
      </c>
      <c r="P3" s="18">
        <v>9283820</v>
      </c>
      <c r="Q3" s="18">
        <v>2425909</v>
      </c>
      <c r="R3" s="11">
        <v>532280</v>
      </c>
      <c r="S3" s="11">
        <f>SUM(B3:R3)</f>
        <v>103892087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15" customHeight="1" x14ac:dyDescent="0.3">
      <c r="A4" s="1" t="s">
        <v>4</v>
      </c>
      <c r="B4" s="17">
        <v>19037691</v>
      </c>
      <c r="C4" s="18">
        <v>7596403</v>
      </c>
      <c r="D4" s="18">
        <v>5117311</v>
      </c>
      <c r="E4" s="14">
        <v>852639</v>
      </c>
      <c r="F4" s="18">
        <v>2726869</v>
      </c>
      <c r="G4" s="14">
        <v>1592393</v>
      </c>
      <c r="H4" s="14">
        <v>616006</v>
      </c>
      <c r="I4" s="18">
        <v>46705221</v>
      </c>
      <c r="J4" s="14">
        <v>6007020</v>
      </c>
      <c r="K4" s="11">
        <v>1472908</v>
      </c>
      <c r="L4" s="17">
        <v>1692551</v>
      </c>
      <c r="M4" s="18">
        <v>442345</v>
      </c>
      <c r="N4" s="14">
        <v>13150</v>
      </c>
      <c r="O4" s="18">
        <v>248612</v>
      </c>
      <c r="P4" s="18">
        <v>6681141</v>
      </c>
      <c r="Q4" s="18">
        <v>2392821</v>
      </c>
      <c r="R4" s="11">
        <v>501196</v>
      </c>
      <c r="S4" s="11">
        <f t="shared" ref="S4:S14" si="0">SUM(B4:R4)</f>
        <v>103696277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ht="15" customHeight="1" x14ac:dyDescent="0.3">
      <c r="A5" s="1" t="s">
        <v>5</v>
      </c>
      <c r="B5" s="17">
        <v>19914186</v>
      </c>
      <c r="C5" s="18">
        <v>6988547</v>
      </c>
      <c r="D5" s="18">
        <v>4428950</v>
      </c>
      <c r="E5" s="14">
        <v>1023617</v>
      </c>
      <c r="F5" s="18">
        <v>2629674</v>
      </c>
      <c r="G5" s="14">
        <v>1449503</v>
      </c>
      <c r="H5" s="14">
        <v>846923</v>
      </c>
      <c r="I5" s="18">
        <v>41085594</v>
      </c>
      <c r="J5" s="14">
        <v>11313579</v>
      </c>
      <c r="K5" s="11">
        <v>1574588</v>
      </c>
      <c r="L5" s="17">
        <v>1723426</v>
      </c>
      <c r="M5" s="18">
        <v>368089</v>
      </c>
      <c r="N5" s="14">
        <v>6960</v>
      </c>
      <c r="O5" s="18">
        <v>116182</v>
      </c>
      <c r="P5" s="18">
        <v>5096698</v>
      </c>
      <c r="Q5" s="18">
        <v>2439410</v>
      </c>
      <c r="R5" s="11">
        <v>685478</v>
      </c>
      <c r="S5" s="11">
        <f t="shared" si="0"/>
        <v>101691404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ht="15" customHeight="1" x14ac:dyDescent="0.3">
      <c r="A6" s="1" t="s">
        <v>6</v>
      </c>
      <c r="B6" s="17">
        <v>20965102</v>
      </c>
      <c r="C6" s="18">
        <v>7176133</v>
      </c>
      <c r="D6" s="18">
        <v>4574124</v>
      </c>
      <c r="E6" s="14">
        <v>1006583</v>
      </c>
      <c r="F6" s="18">
        <v>2814450</v>
      </c>
      <c r="G6" s="14">
        <v>1389567</v>
      </c>
      <c r="H6" s="14">
        <v>740196</v>
      </c>
      <c r="I6" s="18">
        <v>33078324</v>
      </c>
      <c r="J6" s="14">
        <v>32695430</v>
      </c>
      <c r="K6" s="11">
        <v>1440518</v>
      </c>
      <c r="L6" s="17">
        <v>2275413</v>
      </c>
      <c r="M6" s="18">
        <v>443778</v>
      </c>
      <c r="N6" s="14">
        <v>7150</v>
      </c>
      <c r="O6" s="18">
        <v>181498</v>
      </c>
      <c r="P6" s="18">
        <v>5685713</v>
      </c>
      <c r="Q6" s="18">
        <v>2389080</v>
      </c>
      <c r="R6" s="11">
        <v>595491</v>
      </c>
      <c r="S6" s="11">
        <f t="shared" si="0"/>
        <v>117458550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15" customHeight="1" x14ac:dyDescent="0.3">
      <c r="A7" s="1" t="s">
        <v>7</v>
      </c>
      <c r="B7" s="17">
        <v>23450508</v>
      </c>
      <c r="C7" s="18">
        <v>7327386</v>
      </c>
      <c r="D7" s="18">
        <v>5820684</v>
      </c>
      <c r="E7" s="14">
        <v>992554</v>
      </c>
      <c r="F7" s="18">
        <v>2859542</v>
      </c>
      <c r="G7" s="14">
        <v>1901702</v>
      </c>
      <c r="H7" s="14">
        <v>782454</v>
      </c>
      <c r="I7" s="18">
        <v>56926921</v>
      </c>
      <c r="J7" s="14">
        <v>17220902</v>
      </c>
      <c r="K7" s="11">
        <v>1043867</v>
      </c>
      <c r="L7" s="17">
        <v>2672171</v>
      </c>
      <c r="M7" s="18">
        <v>446974</v>
      </c>
      <c r="N7" s="14">
        <v>5780</v>
      </c>
      <c r="O7" s="18">
        <v>380379</v>
      </c>
      <c r="P7" s="18">
        <v>11074856</v>
      </c>
      <c r="Q7" s="18">
        <v>2978973</v>
      </c>
      <c r="R7" s="11">
        <v>648405</v>
      </c>
      <c r="S7" s="11">
        <f t="shared" si="0"/>
        <v>136534058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1:40" ht="15" customHeight="1" x14ac:dyDescent="0.3">
      <c r="A8" s="1" t="s">
        <v>8</v>
      </c>
      <c r="B8" s="17">
        <v>21551390</v>
      </c>
      <c r="C8" s="18">
        <v>6620792</v>
      </c>
      <c r="D8" s="18">
        <v>5331997</v>
      </c>
      <c r="E8" s="14">
        <v>999086</v>
      </c>
      <c r="F8" s="18">
        <v>2629688</v>
      </c>
      <c r="G8" s="14">
        <v>1442448</v>
      </c>
      <c r="H8" s="14">
        <v>766222</v>
      </c>
      <c r="I8" s="18">
        <v>44264755</v>
      </c>
      <c r="J8" s="14">
        <v>18834569</v>
      </c>
      <c r="K8" s="11">
        <v>1348910</v>
      </c>
      <c r="L8" s="17">
        <v>2193009</v>
      </c>
      <c r="M8" s="18">
        <v>394116</v>
      </c>
      <c r="N8" s="14">
        <v>4525</v>
      </c>
      <c r="O8" s="18">
        <v>298950</v>
      </c>
      <c r="P8" s="18">
        <v>7249863</v>
      </c>
      <c r="Q8" s="18">
        <v>2431991</v>
      </c>
      <c r="R8" s="11">
        <v>461304</v>
      </c>
      <c r="S8" s="11">
        <f t="shared" si="0"/>
        <v>116823615</v>
      </c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15" customHeight="1" x14ac:dyDescent="0.3">
      <c r="A9" s="1" t="s">
        <v>9</v>
      </c>
      <c r="B9" s="17">
        <v>19088830</v>
      </c>
      <c r="C9" s="18">
        <v>5414170</v>
      </c>
      <c r="D9" s="18">
        <v>4113480</v>
      </c>
      <c r="E9" s="14">
        <v>1005093</v>
      </c>
      <c r="F9" s="18">
        <v>2890403</v>
      </c>
      <c r="G9" s="14">
        <v>1117738</v>
      </c>
      <c r="H9" s="14">
        <v>583737</v>
      </c>
      <c r="I9" s="18">
        <v>30194649</v>
      </c>
      <c r="J9" s="14">
        <v>8615947</v>
      </c>
      <c r="K9" s="11">
        <v>1149066</v>
      </c>
      <c r="L9" s="17">
        <v>1955952</v>
      </c>
      <c r="M9" s="18">
        <v>320376</v>
      </c>
      <c r="N9" s="14">
        <v>2705</v>
      </c>
      <c r="O9" s="18">
        <v>89022</v>
      </c>
      <c r="P9" s="18">
        <v>4454405</v>
      </c>
      <c r="Q9" s="18">
        <v>1860656</v>
      </c>
      <c r="R9" s="11">
        <v>360663</v>
      </c>
      <c r="S9" s="11">
        <f t="shared" si="0"/>
        <v>83216892</v>
      </c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1:40" ht="15" customHeight="1" x14ac:dyDescent="0.3">
      <c r="A10" s="1" t="s">
        <v>10</v>
      </c>
      <c r="B10" s="17">
        <v>16564332</v>
      </c>
      <c r="C10" s="18">
        <v>6296515</v>
      </c>
      <c r="D10" s="18">
        <v>4023311</v>
      </c>
      <c r="E10" s="14">
        <v>1068343</v>
      </c>
      <c r="F10" s="18">
        <v>2543438</v>
      </c>
      <c r="G10" s="14">
        <v>1468693</v>
      </c>
      <c r="H10" s="14">
        <v>655337</v>
      </c>
      <c r="I10" s="18">
        <v>39219200</v>
      </c>
      <c r="J10" s="14">
        <v>6395085</v>
      </c>
      <c r="K10" s="11">
        <v>1486020</v>
      </c>
      <c r="L10" s="17">
        <v>1724463</v>
      </c>
      <c r="M10" s="18">
        <v>321006</v>
      </c>
      <c r="N10" s="14">
        <v>12385</v>
      </c>
      <c r="O10" s="18">
        <v>155265</v>
      </c>
      <c r="P10" s="18">
        <v>5581585</v>
      </c>
      <c r="Q10" s="18">
        <v>1646737</v>
      </c>
      <c r="R10" s="11">
        <v>546257</v>
      </c>
      <c r="S10" s="11">
        <f t="shared" si="0"/>
        <v>89707972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pans="1:40" ht="15" customHeight="1" x14ac:dyDescent="0.3">
      <c r="A11" s="1" t="s">
        <v>11</v>
      </c>
      <c r="B11" s="17">
        <v>17014758</v>
      </c>
      <c r="C11" s="18">
        <v>6844108</v>
      </c>
      <c r="D11" s="18">
        <v>4202635</v>
      </c>
      <c r="E11" s="14">
        <v>977199</v>
      </c>
      <c r="F11" s="18">
        <v>2498026</v>
      </c>
      <c r="G11" s="14">
        <v>1777778</v>
      </c>
      <c r="H11" s="14">
        <v>1134470</v>
      </c>
      <c r="I11" s="18">
        <v>42535848</v>
      </c>
      <c r="J11" s="14">
        <v>7568437</v>
      </c>
      <c r="K11" s="11">
        <v>1223428</v>
      </c>
      <c r="L11" s="17">
        <v>2152140</v>
      </c>
      <c r="M11" s="18">
        <v>305245</v>
      </c>
      <c r="N11" s="14">
        <v>12609</v>
      </c>
      <c r="O11" s="18">
        <v>222320</v>
      </c>
      <c r="P11" s="18">
        <v>5210597</v>
      </c>
      <c r="Q11" s="18">
        <v>1984449</v>
      </c>
      <c r="R11" s="11">
        <v>550484</v>
      </c>
      <c r="S11" s="11">
        <f t="shared" si="0"/>
        <v>96214531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ht="15" customHeight="1" x14ac:dyDescent="0.3">
      <c r="A12" s="1" t="s">
        <v>12</v>
      </c>
      <c r="B12" s="17">
        <v>21188790</v>
      </c>
      <c r="C12" s="18">
        <v>8385830</v>
      </c>
      <c r="D12" s="18">
        <v>4765112</v>
      </c>
      <c r="E12" s="14">
        <v>1276344</v>
      </c>
      <c r="F12" s="18">
        <v>3223807</v>
      </c>
      <c r="G12" s="14">
        <v>1857807</v>
      </c>
      <c r="H12" s="14">
        <v>1451719</v>
      </c>
      <c r="I12" s="18">
        <v>56241682</v>
      </c>
      <c r="J12" s="14">
        <v>14131518</v>
      </c>
      <c r="K12" s="11">
        <v>1488151</v>
      </c>
      <c r="L12" s="17">
        <v>2961169</v>
      </c>
      <c r="M12" s="18">
        <v>576087</v>
      </c>
      <c r="N12" s="14">
        <v>23235</v>
      </c>
      <c r="O12" s="18">
        <v>218572</v>
      </c>
      <c r="P12" s="18">
        <v>7928729</v>
      </c>
      <c r="Q12" s="18">
        <v>2557665</v>
      </c>
      <c r="R12" s="11">
        <v>619699</v>
      </c>
      <c r="S12" s="11">
        <f t="shared" si="0"/>
        <v>128895916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15" customHeight="1" x14ac:dyDescent="0.3">
      <c r="A13" s="1" t="s">
        <v>13</v>
      </c>
      <c r="B13" s="17">
        <v>21724867</v>
      </c>
      <c r="C13" s="18">
        <v>8139837</v>
      </c>
      <c r="D13" s="18">
        <v>5226884</v>
      </c>
      <c r="E13" s="14">
        <v>1412970</v>
      </c>
      <c r="F13" s="18">
        <v>3349707</v>
      </c>
      <c r="G13" s="14">
        <v>1948343</v>
      </c>
      <c r="H13" s="14">
        <v>1168661</v>
      </c>
      <c r="I13" s="18">
        <v>47100807</v>
      </c>
      <c r="J13" s="14">
        <v>8672064</v>
      </c>
      <c r="K13" s="11">
        <v>1164933</v>
      </c>
      <c r="L13" s="17">
        <v>2911135</v>
      </c>
      <c r="M13" s="18">
        <v>746844</v>
      </c>
      <c r="N13" s="14">
        <v>18800</v>
      </c>
      <c r="O13" s="18">
        <v>159977</v>
      </c>
      <c r="P13" s="18">
        <v>7970138</v>
      </c>
      <c r="Q13" s="18">
        <v>2811796</v>
      </c>
      <c r="R13" s="11">
        <v>620865</v>
      </c>
      <c r="S13" s="11">
        <f t="shared" si="0"/>
        <v>115148628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15" customHeight="1" x14ac:dyDescent="0.3">
      <c r="A14" s="9" t="s">
        <v>0</v>
      </c>
      <c r="B14" s="19">
        <v>15381760</v>
      </c>
      <c r="C14" s="16">
        <v>4761771</v>
      </c>
      <c r="D14" s="16">
        <v>3985297</v>
      </c>
      <c r="E14" s="16">
        <v>1011032</v>
      </c>
      <c r="F14" s="16">
        <v>2297368</v>
      </c>
      <c r="G14" s="16">
        <v>1303241</v>
      </c>
      <c r="H14" s="16">
        <v>817447</v>
      </c>
      <c r="I14" s="16">
        <v>34747230</v>
      </c>
      <c r="J14" s="16">
        <v>7525305</v>
      </c>
      <c r="K14" s="15">
        <v>978222</v>
      </c>
      <c r="L14" s="19">
        <v>1617754</v>
      </c>
      <c r="M14" s="16">
        <v>294887</v>
      </c>
      <c r="N14" s="16">
        <v>2630</v>
      </c>
      <c r="O14" s="16">
        <v>121923</v>
      </c>
      <c r="P14" s="16">
        <v>5619245</v>
      </c>
      <c r="Q14" s="16">
        <v>1947824</v>
      </c>
      <c r="R14" s="15">
        <v>397510</v>
      </c>
      <c r="S14" s="15">
        <f t="shared" si="0"/>
        <v>82810446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15" customHeight="1" x14ac:dyDescent="0.3">
      <c r="A15" s="20" t="s">
        <v>14</v>
      </c>
      <c r="B15" s="21">
        <f>SUM(B3:B14)</f>
        <v>234993964</v>
      </c>
      <c r="C15" s="22">
        <f t="shared" ref="C15:Q15" si="1">SUM(C3:C14)</f>
        <v>82672960</v>
      </c>
      <c r="D15" s="22">
        <f t="shared" si="1"/>
        <v>56799021</v>
      </c>
      <c r="E15" s="25">
        <f t="shared" si="1"/>
        <v>12477064</v>
      </c>
      <c r="F15" s="22">
        <f t="shared" ref="F15" si="2">SUM(F3:F14)</f>
        <v>33746052</v>
      </c>
      <c r="G15" s="22">
        <f t="shared" ref="G15" si="3">SUM(G3:G14)</f>
        <v>18688005</v>
      </c>
      <c r="H15" s="22">
        <f t="shared" ref="H15" si="4">SUM(H3:H14)</f>
        <v>10106907</v>
      </c>
      <c r="I15" s="22">
        <f t="shared" ref="I15" si="5">SUM(I3:I14)</f>
        <v>517122411</v>
      </c>
      <c r="J15" s="22">
        <f t="shared" ref="J15" si="6">SUM(J3:J14)</f>
        <v>145238953</v>
      </c>
      <c r="K15" s="23">
        <f t="shared" ref="K15" si="7">SUM(K3:K14)</f>
        <v>15556812</v>
      </c>
      <c r="L15" s="21">
        <f t="shared" si="1"/>
        <v>24950611</v>
      </c>
      <c r="M15" s="22">
        <f t="shared" si="1"/>
        <v>5077534</v>
      </c>
      <c r="N15" s="22">
        <f t="shared" si="1"/>
        <v>123535</v>
      </c>
      <c r="O15" s="22">
        <f t="shared" si="1"/>
        <v>2312814</v>
      </c>
      <c r="P15" s="22">
        <f t="shared" si="1"/>
        <v>81836790</v>
      </c>
      <c r="Q15" s="22">
        <f t="shared" si="1"/>
        <v>27867311</v>
      </c>
      <c r="R15" s="23">
        <f>SUM(R3:R14)</f>
        <v>6519632</v>
      </c>
      <c r="S15" s="23">
        <f>SUM(S3:S14)</f>
        <v>1276090376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x14ac:dyDescent="0.3">
      <c r="A16" s="1" t="s">
        <v>1</v>
      </c>
    </row>
    <row r="17" spans="1:1" x14ac:dyDescent="0.3">
      <c r="A17" s="5" t="s">
        <v>15</v>
      </c>
    </row>
    <row r="18" spans="1:1" x14ac:dyDescent="0.3">
      <c r="A18" s="1"/>
    </row>
    <row r="19" spans="1:1" x14ac:dyDescent="0.3">
      <c r="A19" s="1"/>
    </row>
  </sheetData>
  <mergeCells count="2">
    <mergeCell ref="B1:K1"/>
    <mergeCell ref="L1:R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2018년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2026-06-15T09:24:56Z</dcterms:created>
  <dcterms:modified xsi:type="dcterms:W3CDTF">2026-06-23T09:20:14Z</dcterms:modified>
</cp:coreProperties>
</file>