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150790\"/>
    </mc:Choice>
  </mc:AlternateContent>
  <bookViews>
    <workbookView xWindow="0" yWindow="0" windowWidth="25125" windowHeight="11640"/>
  </bookViews>
  <sheets>
    <sheet name="2021년" sheetId="1" r:id="rId1"/>
  </sheets>
  <calcPr calcId="162913"/>
</workbook>
</file>

<file path=xl/calcChain.xml><?xml version="1.0" encoding="utf-8"?>
<calcChain xmlns="http://schemas.openxmlformats.org/spreadsheetml/2006/main">
  <c r="AK3" i="1" l="1"/>
  <c r="AH3" i="1"/>
  <c r="AG3" i="1"/>
  <c r="AB3" i="1"/>
  <c r="V3" i="1"/>
  <c r="U3" i="1"/>
  <c r="S3" i="1"/>
  <c r="R3" i="1"/>
  <c r="M3" i="1"/>
  <c r="L3" i="1"/>
  <c r="J3" i="1"/>
  <c r="I3" i="1"/>
  <c r="AN4" i="1"/>
  <c r="AN3" i="1" s="1"/>
  <c r="AM4" i="1"/>
  <c r="AM3" i="1" s="1"/>
  <c r="AK4" i="1"/>
  <c r="AJ4" i="1"/>
  <c r="AJ3" i="1" s="1"/>
  <c r="AH4" i="1"/>
  <c r="AG4" i="1"/>
  <c r="AE4" i="1"/>
  <c r="AE3" i="1" s="1"/>
  <c r="AD4" i="1"/>
  <c r="AD3" i="1" s="1"/>
  <c r="AB4" i="1"/>
  <c r="AA4" i="1"/>
  <c r="AA3" i="1" s="1"/>
  <c r="Y4" i="1"/>
  <c r="Y3" i="1" s="1"/>
  <c r="X4" i="1"/>
  <c r="X3" i="1" s="1"/>
  <c r="V4" i="1"/>
  <c r="U4" i="1"/>
  <c r="S4" i="1"/>
  <c r="R4" i="1"/>
  <c r="P4" i="1"/>
  <c r="P3" i="1" s="1"/>
  <c r="O4" i="1"/>
  <c r="O3" i="1" s="1"/>
  <c r="M4" i="1"/>
  <c r="L4" i="1"/>
  <c r="J4" i="1"/>
  <c r="I4" i="1"/>
  <c r="G4" i="1"/>
  <c r="G3" i="1" s="1"/>
  <c r="F4" i="1"/>
  <c r="F3" i="1" s="1"/>
  <c r="G59" i="1"/>
  <c r="F59" i="1"/>
  <c r="J59" i="1"/>
  <c r="I59" i="1"/>
  <c r="M59" i="1"/>
  <c r="L59" i="1"/>
  <c r="P59" i="1"/>
  <c r="O59" i="1"/>
  <c r="S59" i="1"/>
  <c r="R59" i="1"/>
  <c r="V59" i="1"/>
  <c r="U59" i="1"/>
  <c r="Y59" i="1"/>
  <c r="X59" i="1"/>
  <c r="AB59" i="1"/>
  <c r="AA59" i="1"/>
  <c r="AE59" i="1"/>
  <c r="AD59" i="1"/>
  <c r="AH59" i="1"/>
  <c r="AG59" i="1"/>
  <c r="AK59" i="1"/>
  <c r="AJ59" i="1"/>
  <c r="AN59" i="1"/>
  <c r="AM59" i="1"/>
  <c r="AQ77" i="1" l="1"/>
  <c r="AP77" i="1"/>
  <c r="AQ76" i="1"/>
  <c r="AP76" i="1"/>
  <c r="AQ75" i="1"/>
  <c r="AP75" i="1"/>
  <c r="AQ74" i="1"/>
  <c r="AP74" i="1"/>
  <c r="AQ73" i="1"/>
  <c r="AP73" i="1"/>
  <c r="AQ72" i="1"/>
  <c r="AP72" i="1"/>
  <c r="AQ71" i="1"/>
  <c r="AP71" i="1"/>
  <c r="AQ70" i="1"/>
  <c r="AP70" i="1"/>
  <c r="AQ69" i="1"/>
  <c r="AP69" i="1"/>
  <c r="AQ68" i="1"/>
  <c r="AP68" i="1"/>
  <c r="AQ67" i="1"/>
  <c r="AP67" i="1"/>
  <c r="AQ66" i="1"/>
  <c r="AP66" i="1"/>
  <c r="AQ64" i="1"/>
  <c r="AP64" i="1"/>
  <c r="AQ63" i="1"/>
  <c r="AP63" i="1"/>
  <c r="AQ61" i="1"/>
  <c r="AP61" i="1"/>
  <c r="AQ60" i="1"/>
  <c r="AP60" i="1"/>
  <c r="AQ59" i="1"/>
  <c r="AP59" i="1"/>
  <c r="AQ58" i="1"/>
  <c r="AP58" i="1"/>
  <c r="AQ57" i="1"/>
  <c r="AP57" i="1"/>
  <c r="AQ56" i="1"/>
  <c r="AP56" i="1"/>
  <c r="AQ55" i="1"/>
  <c r="AP55" i="1"/>
  <c r="AQ54" i="1"/>
  <c r="AP54" i="1"/>
  <c r="AQ53" i="1"/>
  <c r="AP53" i="1"/>
  <c r="AQ52" i="1"/>
  <c r="AP52" i="1"/>
  <c r="AQ51" i="1"/>
  <c r="AP51" i="1"/>
  <c r="AQ50" i="1"/>
  <c r="AP50" i="1"/>
  <c r="AQ49" i="1"/>
  <c r="AP49" i="1"/>
  <c r="AQ48" i="1"/>
  <c r="AP48" i="1"/>
  <c r="AQ47" i="1"/>
  <c r="AP47" i="1"/>
  <c r="AQ46" i="1"/>
  <c r="AP46" i="1"/>
  <c r="AQ45" i="1"/>
  <c r="AP45" i="1"/>
  <c r="AQ44" i="1"/>
  <c r="AP44" i="1"/>
  <c r="AQ43" i="1"/>
  <c r="AP43" i="1"/>
  <c r="AQ42" i="1"/>
  <c r="AP42" i="1"/>
  <c r="AQ41" i="1"/>
  <c r="AP41" i="1"/>
  <c r="AQ40" i="1"/>
  <c r="AP40" i="1"/>
  <c r="AQ39" i="1"/>
  <c r="AP39" i="1"/>
  <c r="AQ38" i="1"/>
  <c r="AP38" i="1"/>
  <c r="AQ37" i="1"/>
  <c r="AP37" i="1"/>
  <c r="AQ36" i="1"/>
  <c r="AP36" i="1"/>
  <c r="AQ35" i="1"/>
  <c r="AP35" i="1"/>
  <c r="AQ34" i="1"/>
  <c r="AP34" i="1"/>
  <c r="AQ33" i="1"/>
  <c r="AP33" i="1"/>
  <c r="AQ32" i="1"/>
  <c r="AP32" i="1"/>
  <c r="AQ31" i="1"/>
  <c r="AP31" i="1"/>
  <c r="AQ30" i="1"/>
  <c r="AP30" i="1"/>
  <c r="AQ29" i="1"/>
  <c r="AP29" i="1"/>
  <c r="AQ28" i="1"/>
  <c r="AP28" i="1"/>
  <c r="AQ27" i="1"/>
  <c r="AP27" i="1"/>
  <c r="AQ26" i="1"/>
  <c r="AP26" i="1"/>
  <c r="AQ25" i="1"/>
  <c r="AP25" i="1"/>
  <c r="AQ24" i="1"/>
  <c r="AP24" i="1"/>
  <c r="AQ23" i="1"/>
  <c r="AP23" i="1"/>
  <c r="AQ22" i="1"/>
  <c r="AP22" i="1"/>
  <c r="AQ21" i="1"/>
  <c r="AP21" i="1"/>
  <c r="AQ20" i="1"/>
  <c r="AP20" i="1"/>
  <c r="AQ19" i="1"/>
  <c r="AP19" i="1"/>
  <c r="AQ18" i="1"/>
  <c r="AP18" i="1"/>
  <c r="AQ17" i="1"/>
  <c r="AP17" i="1"/>
  <c r="AQ16" i="1"/>
  <c r="AP16" i="1"/>
  <c r="AQ15" i="1"/>
  <c r="AP15" i="1"/>
  <c r="AQ14" i="1"/>
  <c r="AP14" i="1"/>
  <c r="AQ13" i="1"/>
  <c r="AP13" i="1"/>
  <c r="AQ12" i="1"/>
  <c r="AP12" i="1"/>
  <c r="AQ11" i="1"/>
  <c r="AP11" i="1"/>
  <c r="AQ10" i="1"/>
  <c r="AP10" i="1"/>
  <c r="AQ9" i="1"/>
  <c r="AP9" i="1"/>
  <c r="AQ8" i="1"/>
  <c r="AP8" i="1"/>
  <c r="AQ7" i="1"/>
  <c r="AP7" i="1"/>
  <c r="AQ6" i="1"/>
  <c r="AP6" i="1"/>
  <c r="AL77" i="1"/>
  <c r="AL76" i="1"/>
  <c r="AL75" i="1"/>
  <c r="AL74" i="1"/>
  <c r="AL73" i="1"/>
  <c r="AL72" i="1"/>
  <c r="AL71" i="1"/>
  <c r="AL70" i="1"/>
  <c r="AL69" i="1"/>
  <c r="AL68" i="1"/>
  <c r="AL67" i="1"/>
  <c r="AL66" i="1"/>
  <c r="AL64" i="1"/>
  <c r="AL63" i="1"/>
  <c r="AL61" i="1"/>
  <c r="AL60" i="1"/>
  <c r="AL59" i="1"/>
  <c r="AL58" i="1"/>
  <c r="AL57" i="1"/>
  <c r="AL56" i="1"/>
  <c r="AL55" i="1"/>
  <c r="AL54" i="1"/>
  <c r="AL53" i="1"/>
  <c r="AL52" i="1"/>
  <c r="AL51" i="1"/>
  <c r="AL50" i="1"/>
  <c r="AL49" i="1"/>
  <c r="AL48" i="1"/>
  <c r="AL47" i="1"/>
  <c r="AL46" i="1"/>
  <c r="AL45" i="1"/>
  <c r="AI77" i="1"/>
  <c r="AI76" i="1"/>
  <c r="AI75" i="1"/>
  <c r="AI74" i="1"/>
  <c r="AI73" i="1"/>
  <c r="AI72" i="1"/>
  <c r="AI71" i="1"/>
  <c r="AI70" i="1"/>
  <c r="AI69" i="1"/>
  <c r="AI68" i="1"/>
  <c r="AI67" i="1"/>
  <c r="AI66" i="1"/>
  <c r="AI65" i="1"/>
  <c r="AI64" i="1"/>
  <c r="AI63" i="1"/>
  <c r="AI61" i="1"/>
  <c r="AI60" i="1"/>
  <c r="AI59" i="1"/>
  <c r="AI58" i="1"/>
  <c r="AI57" i="1"/>
  <c r="AI56" i="1"/>
  <c r="AI55" i="1"/>
  <c r="AI54" i="1"/>
  <c r="AI53" i="1"/>
  <c r="AI52" i="1"/>
  <c r="AI51" i="1"/>
  <c r="AI50" i="1"/>
  <c r="AI49" i="1"/>
  <c r="AI48" i="1"/>
  <c r="AI47" i="1"/>
  <c r="AI46" i="1"/>
  <c r="AI45" i="1"/>
  <c r="AF77" i="1"/>
  <c r="AF76" i="1"/>
  <c r="AF75" i="1"/>
  <c r="AF74" i="1"/>
  <c r="AF73" i="1"/>
  <c r="AF72" i="1"/>
  <c r="AF71" i="1"/>
  <c r="AF70" i="1"/>
  <c r="AF69" i="1"/>
  <c r="AF68" i="1"/>
  <c r="AF67" i="1"/>
  <c r="AF66" i="1"/>
  <c r="AF64" i="1"/>
  <c r="AF63" i="1"/>
  <c r="AF61" i="1"/>
  <c r="AF60" i="1"/>
  <c r="AF59" i="1"/>
  <c r="AF58" i="1"/>
  <c r="AF57" i="1"/>
  <c r="AF56" i="1"/>
  <c r="AF55" i="1"/>
  <c r="AF54" i="1"/>
  <c r="AF53" i="1"/>
  <c r="AF52" i="1"/>
  <c r="AF51" i="1"/>
  <c r="AF50" i="1"/>
  <c r="AF49" i="1"/>
  <c r="AF48" i="1"/>
  <c r="AF47" i="1"/>
  <c r="AF46" i="1"/>
  <c r="AF45" i="1"/>
  <c r="AC77" i="1"/>
  <c r="AC76" i="1"/>
  <c r="AC75" i="1"/>
  <c r="AC74" i="1"/>
  <c r="AC73" i="1"/>
  <c r="AC72" i="1"/>
  <c r="AC71" i="1"/>
  <c r="AC70" i="1"/>
  <c r="AC69" i="1"/>
  <c r="AC68" i="1"/>
  <c r="AC67" i="1"/>
  <c r="AC66" i="1"/>
  <c r="AC64" i="1"/>
  <c r="AC63" i="1"/>
  <c r="AC61" i="1"/>
  <c r="AC60" i="1"/>
  <c r="AC59" i="1"/>
  <c r="AC58" i="1"/>
  <c r="AC57" i="1"/>
  <c r="AC56" i="1"/>
  <c r="AC55" i="1"/>
  <c r="AC54" i="1"/>
  <c r="AC53" i="1"/>
  <c r="AC52" i="1"/>
  <c r="AC51" i="1"/>
  <c r="AC50" i="1"/>
  <c r="AC49" i="1"/>
  <c r="AC48" i="1"/>
  <c r="AC47" i="1"/>
  <c r="AC46" i="1"/>
  <c r="AC45" i="1"/>
  <c r="Z77" i="1"/>
  <c r="Z76" i="1"/>
  <c r="Z75" i="1"/>
  <c r="Z74" i="1"/>
  <c r="Z73" i="1"/>
  <c r="Z72" i="1"/>
  <c r="Z71" i="1"/>
  <c r="Z70" i="1"/>
  <c r="Z69" i="1"/>
  <c r="Z68" i="1"/>
  <c r="Z67" i="1"/>
  <c r="Z66" i="1"/>
  <c r="Z64" i="1"/>
  <c r="Z63" i="1"/>
  <c r="Z61" i="1"/>
  <c r="Z60" i="1"/>
  <c r="Z59" i="1"/>
  <c r="Z58" i="1"/>
  <c r="Z57" i="1"/>
  <c r="Z56" i="1"/>
  <c r="Z55" i="1"/>
  <c r="Z54" i="1"/>
  <c r="Z53" i="1"/>
  <c r="Z52" i="1"/>
  <c r="Z51" i="1"/>
  <c r="Z50" i="1"/>
  <c r="Z49" i="1"/>
  <c r="Z48" i="1"/>
  <c r="Z47" i="1"/>
  <c r="Z46" i="1"/>
  <c r="Z45" i="1"/>
  <c r="W77" i="1"/>
  <c r="W76" i="1"/>
  <c r="W75" i="1"/>
  <c r="W74" i="1"/>
  <c r="W73" i="1"/>
  <c r="W72" i="1"/>
  <c r="W71" i="1"/>
  <c r="W70" i="1"/>
  <c r="W69" i="1"/>
  <c r="W68" i="1"/>
  <c r="W67" i="1"/>
  <c r="W66" i="1"/>
  <c r="W64" i="1"/>
  <c r="W63" i="1"/>
  <c r="W61" i="1"/>
  <c r="W60" i="1"/>
  <c r="W59" i="1"/>
  <c r="W58" i="1"/>
  <c r="W57" i="1"/>
  <c r="W56" i="1"/>
  <c r="W55" i="1"/>
  <c r="W54" i="1"/>
  <c r="W53" i="1"/>
  <c r="W52" i="1"/>
  <c r="W51" i="1"/>
  <c r="W50" i="1"/>
  <c r="W49" i="1"/>
  <c r="W48" i="1"/>
  <c r="W47" i="1"/>
  <c r="W46" i="1"/>
  <c r="W45" i="1"/>
  <c r="T77" i="1"/>
  <c r="T76" i="1"/>
  <c r="T75" i="1"/>
  <c r="T74" i="1"/>
  <c r="T73" i="1"/>
  <c r="T72" i="1"/>
  <c r="T71" i="1"/>
  <c r="T70" i="1"/>
  <c r="T69" i="1"/>
  <c r="T68" i="1"/>
  <c r="T67" i="1"/>
  <c r="T66" i="1"/>
  <c r="T64" i="1"/>
  <c r="T63" i="1"/>
  <c r="T61" i="1"/>
  <c r="T60" i="1"/>
  <c r="T59" i="1"/>
  <c r="T58" i="1"/>
  <c r="T57" i="1"/>
  <c r="T56" i="1"/>
  <c r="T55" i="1"/>
  <c r="T54" i="1"/>
  <c r="T53" i="1"/>
  <c r="T52" i="1"/>
  <c r="T51" i="1"/>
  <c r="T50" i="1"/>
  <c r="T49" i="1"/>
  <c r="T48" i="1"/>
  <c r="T47" i="1"/>
  <c r="T46" i="1"/>
  <c r="T45" i="1"/>
  <c r="Q77" i="1"/>
  <c r="Q76" i="1"/>
  <c r="Q75" i="1"/>
  <c r="Q74" i="1"/>
  <c r="Q73" i="1"/>
  <c r="Q72" i="1"/>
  <c r="Q71" i="1"/>
  <c r="Q70" i="1"/>
  <c r="Q69" i="1"/>
  <c r="Q68" i="1"/>
  <c r="Q67" i="1"/>
  <c r="Q66" i="1"/>
  <c r="Q64" i="1"/>
  <c r="Q63" i="1"/>
  <c r="Q61" i="1"/>
  <c r="Q60" i="1"/>
  <c r="Q59" i="1"/>
  <c r="Q58" i="1"/>
  <c r="Q57" i="1"/>
  <c r="Q56" i="1"/>
  <c r="Q55" i="1"/>
  <c r="Q54" i="1"/>
  <c r="Q53" i="1"/>
  <c r="Q52" i="1"/>
  <c r="Q51" i="1"/>
  <c r="Q50" i="1"/>
  <c r="Q49" i="1"/>
  <c r="Q48" i="1"/>
  <c r="Q47" i="1"/>
  <c r="Q46" i="1"/>
  <c r="Q45" i="1"/>
  <c r="N77" i="1"/>
  <c r="N76" i="1"/>
  <c r="N75" i="1"/>
  <c r="N74" i="1"/>
  <c r="N73" i="1"/>
  <c r="N72" i="1"/>
  <c r="N71" i="1"/>
  <c r="N70" i="1"/>
  <c r="N69" i="1"/>
  <c r="N68" i="1"/>
  <c r="N67" i="1"/>
  <c r="N66" i="1"/>
  <c r="N64" i="1"/>
  <c r="N63" i="1"/>
  <c r="N61" i="1"/>
  <c r="N60" i="1"/>
  <c r="N59" i="1"/>
  <c r="N58" i="1"/>
  <c r="N57" i="1"/>
  <c r="N56" i="1"/>
  <c r="N55" i="1"/>
  <c r="N54" i="1"/>
  <c r="N53" i="1"/>
  <c r="N52" i="1"/>
  <c r="N51" i="1"/>
  <c r="N50" i="1"/>
  <c r="N49" i="1"/>
  <c r="N48" i="1"/>
  <c r="N47" i="1"/>
  <c r="N46" i="1"/>
  <c r="N45" i="1"/>
  <c r="K77" i="1"/>
  <c r="K76" i="1"/>
  <c r="K75" i="1"/>
  <c r="K74" i="1"/>
  <c r="K73" i="1"/>
  <c r="K72" i="1"/>
  <c r="K71" i="1"/>
  <c r="K70" i="1"/>
  <c r="K69" i="1"/>
  <c r="K68" i="1"/>
  <c r="K67" i="1"/>
  <c r="K66" i="1"/>
  <c r="K64" i="1"/>
  <c r="K63" i="1"/>
  <c r="K61" i="1"/>
  <c r="K60" i="1"/>
  <c r="K59" i="1"/>
  <c r="K58" i="1"/>
  <c r="K57" i="1"/>
  <c r="K56" i="1"/>
  <c r="K55" i="1"/>
  <c r="K54" i="1"/>
  <c r="K53" i="1"/>
  <c r="K52" i="1"/>
  <c r="K51" i="1"/>
  <c r="K50" i="1"/>
  <c r="K49" i="1"/>
  <c r="K48" i="1"/>
  <c r="K47" i="1"/>
  <c r="K46" i="1"/>
  <c r="K45" i="1"/>
  <c r="H77" i="1"/>
  <c r="H76" i="1"/>
  <c r="H75" i="1"/>
  <c r="H74" i="1"/>
  <c r="H73" i="1"/>
  <c r="H72" i="1"/>
  <c r="H71" i="1"/>
  <c r="H70" i="1"/>
  <c r="H69" i="1"/>
  <c r="H68" i="1"/>
  <c r="H67" i="1"/>
  <c r="H66" i="1"/>
  <c r="H64" i="1"/>
  <c r="H63" i="1"/>
  <c r="H61" i="1"/>
  <c r="H60" i="1"/>
  <c r="H59" i="1"/>
  <c r="H58" i="1"/>
  <c r="H57" i="1"/>
  <c r="H56" i="1"/>
  <c r="H55" i="1"/>
  <c r="H54" i="1"/>
  <c r="H53" i="1"/>
  <c r="H52" i="1"/>
  <c r="H51" i="1"/>
  <c r="H50" i="1"/>
  <c r="H49" i="1"/>
  <c r="H48" i="1"/>
  <c r="H47" i="1"/>
  <c r="H46" i="1"/>
  <c r="H45" i="1"/>
  <c r="E77" i="1"/>
  <c r="E76" i="1"/>
  <c r="E75" i="1"/>
  <c r="E74" i="1"/>
  <c r="E73" i="1"/>
  <c r="E72" i="1"/>
  <c r="E71" i="1"/>
  <c r="E70" i="1"/>
  <c r="E69" i="1"/>
  <c r="E68" i="1"/>
  <c r="E67" i="1"/>
  <c r="E66" i="1"/>
  <c r="E64" i="1"/>
  <c r="E63" i="1"/>
  <c r="E61" i="1"/>
  <c r="E60" i="1"/>
  <c r="E59" i="1"/>
  <c r="E58" i="1"/>
  <c r="E57" i="1"/>
  <c r="E56" i="1"/>
  <c r="E55" i="1"/>
  <c r="E54" i="1"/>
  <c r="E53" i="1"/>
  <c r="E52" i="1"/>
  <c r="E51" i="1"/>
  <c r="E50" i="1"/>
  <c r="E49" i="1"/>
  <c r="E48" i="1"/>
  <c r="E47" i="1"/>
  <c r="E46" i="1"/>
  <c r="E45" i="1"/>
  <c r="AF62" i="1"/>
  <c r="T62" i="1"/>
  <c r="N62" i="1"/>
  <c r="H62" i="1"/>
  <c r="AL65" i="1" l="1"/>
  <c r="AF65" i="1"/>
  <c r="AF3" i="1"/>
  <c r="AC65" i="1"/>
  <c r="AC3" i="1"/>
  <c r="W65" i="1"/>
  <c r="T65" i="1"/>
  <c r="Q65" i="1"/>
  <c r="Q3" i="1"/>
  <c r="N65" i="1"/>
  <c r="N3" i="1"/>
  <c r="H65" i="1"/>
  <c r="Z65" i="1"/>
  <c r="K65" i="1"/>
  <c r="AP65" i="1"/>
  <c r="AP62" i="1" s="1"/>
  <c r="E65" i="1"/>
  <c r="AO66" i="1"/>
  <c r="AO70" i="1"/>
  <c r="AO74" i="1"/>
  <c r="AQ65" i="1"/>
  <c r="AQ62" i="1" s="1"/>
  <c r="AO45" i="1"/>
  <c r="AO49" i="1"/>
  <c r="AO53" i="1"/>
  <c r="AO57" i="1"/>
  <c r="AO61" i="1"/>
  <c r="AO46" i="1"/>
  <c r="AO50" i="1"/>
  <c r="AO54" i="1"/>
  <c r="AO58" i="1"/>
  <c r="AO59" i="1"/>
  <c r="AO55" i="1"/>
  <c r="AO47" i="1"/>
  <c r="AO51" i="1"/>
  <c r="AO48" i="1"/>
  <c r="AO52" i="1"/>
  <c r="AO56" i="1"/>
  <c r="AO60" i="1"/>
  <c r="AL62" i="1"/>
  <c r="AO64" i="1"/>
  <c r="Z62" i="1"/>
  <c r="AO67" i="1"/>
  <c r="AO75" i="1"/>
  <c r="AO68" i="1"/>
  <c r="AO72" i="1"/>
  <c r="AO76" i="1"/>
  <c r="AO69" i="1"/>
  <c r="AO73" i="1"/>
  <c r="AO77" i="1"/>
  <c r="AO71" i="1"/>
  <c r="H3" i="1"/>
  <c r="Q62" i="1"/>
  <c r="AC62" i="1"/>
  <c r="K62" i="1"/>
  <c r="W3" i="1"/>
  <c r="AI62" i="1"/>
  <c r="AO63" i="1"/>
  <c r="W62" i="1"/>
  <c r="E62" i="1"/>
  <c r="AL3" i="1"/>
  <c r="T3" i="1"/>
  <c r="N43" i="1"/>
  <c r="AP5" i="1"/>
  <c r="AP4" i="1" s="1"/>
  <c r="AP3" i="1" s="1"/>
  <c r="AL44" i="1"/>
  <c r="AL43" i="1"/>
  <c r="AL42" i="1"/>
  <c r="AL41" i="1"/>
  <c r="AL40" i="1"/>
  <c r="AL39" i="1"/>
  <c r="AL38" i="1"/>
  <c r="AL37" i="1"/>
  <c r="AL36" i="1"/>
  <c r="AL35" i="1"/>
  <c r="AL34" i="1"/>
  <c r="AL33" i="1"/>
  <c r="AL32" i="1"/>
  <c r="AL31" i="1"/>
  <c r="AL30" i="1"/>
  <c r="AL29" i="1"/>
  <c r="AL28" i="1"/>
  <c r="AL27" i="1"/>
  <c r="AL26" i="1"/>
  <c r="AL25" i="1"/>
  <c r="AL24" i="1"/>
  <c r="AL23" i="1"/>
  <c r="AL22" i="1"/>
  <c r="AL21" i="1"/>
  <c r="AL20" i="1"/>
  <c r="AL19" i="1"/>
  <c r="AL18" i="1"/>
  <c r="AL17" i="1"/>
  <c r="AL16" i="1"/>
  <c r="AL15" i="1"/>
  <c r="AL14" i="1"/>
  <c r="AL13" i="1"/>
  <c r="AL12" i="1"/>
  <c r="AL11" i="1"/>
  <c r="AL10" i="1"/>
  <c r="AL9" i="1"/>
  <c r="AL8" i="1"/>
  <c r="AL7" i="1"/>
  <c r="AL6" i="1"/>
  <c r="AL5" i="1"/>
  <c r="AL4" i="1"/>
  <c r="AI44" i="1"/>
  <c r="AI43" i="1"/>
  <c r="AI42" i="1"/>
  <c r="AI41" i="1"/>
  <c r="AI40" i="1"/>
  <c r="AI39" i="1"/>
  <c r="AI38" i="1"/>
  <c r="AI37" i="1"/>
  <c r="AI36" i="1"/>
  <c r="AI35" i="1"/>
  <c r="AI34" i="1"/>
  <c r="AI33" i="1"/>
  <c r="AI32" i="1"/>
  <c r="AI31" i="1"/>
  <c r="AI30" i="1"/>
  <c r="AI29" i="1"/>
  <c r="AI28" i="1"/>
  <c r="AI27" i="1"/>
  <c r="AI26" i="1"/>
  <c r="AI25" i="1"/>
  <c r="AI24" i="1"/>
  <c r="AI23" i="1"/>
  <c r="AI22" i="1"/>
  <c r="AI21" i="1"/>
  <c r="AI20" i="1"/>
  <c r="AI19" i="1"/>
  <c r="AI18" i="1"/>
  <c r="AI17" i="1"/>
  <c r="AI16" i="1"/>
  <c r="AI15" i="1"/>
  <c r="AI14" i="1"/>
  <c r="AI13" i="1"/>
  <c r="AI12" i="1"/>
  <c r="AI11" i="1"/>
  <c r="AI10" i="1"/>
  <c r="AI9" i="1"/>
  <c r="AI8" i="1"/>
  <c r="AI7" i="1"/>
  <c r="AI6" i="1"/>
  <c r="AI5" i="1"/>
  <c r="AI4" i="1"/>
  <c r="AF44" i="1"/>
  <c r="AF43" i="1"/>
  <c r="AF42" i="1"/>
  <c r="AF41" i="1"/>
  <c r="AF40" i="1"/>
  <c r="AF39" i="1"/>
  <c r="AF38" i="1"/>
  <c r="AF37" i="1"/>
  <c r="AF36" i="1"/>
  <c r="AF35" i="1"/>
  <c r="AF34" i="1"/>
  <c r="AF33" i="1"/>
  <c r="AF32" i="1"/>
  <c r="AF31" i="1"/>
  <c r="AF30" i="1"/>
  <c r="AF29" i="1"/>
  <c r="AF28" i="1"/>
  <c r="AF27" i="1"/>
  <c r="AF26" i="1"/>
  <c r="AF25" i="1"/>
  <c r="AF24" i="1"/>
  <c r="AF23" i="1"/>
  <c r="AF22" i="1"/>
  <c r="AF21" i="1"/>
  <c r="AF20" i="1"/>
  <c r="AF19" i="1"/>
  <c r="AF18" i="1"/>
  <c r="AF17" i="1"/>
  <c r="AF16" i="1"/>
  <c r="AF15" i="1"/>
  <c r="AF14" i="1"/>
  <c r="AF13" i="1"/>
  <c r="AF12" i="1"/>
  <c r="AF11" i="1"/>
  <c r="AF10" i="1"/>
  <c r="AF9" i="1"/>
  <c r="AF8" i="1"/>
  <c r="AF7" i="1"/>
  <c r="AF6" i="1"/>
  <c r="AF5" i="1"/>
  <c r="AC44" i="1"/>
  <c r="AC43" i="1"/>
  <c r="AC42" i="1"/>
  <c r="AC41" i="1"/>
  <c r="AC40" i="1"/>
  <c r="AC39" i="1"/>
  <c r="AC38" i="1"/>
  <c r="AC37" i="1"/>
  <c r="AC36" i="1"/>
  <c r="AC35" i="1"/>
  <c r="AC34" i="1"/>
  <c r="AC33" i="1"/>
  <c r="AC32" i="1"/>
  <c r="AC31" i="1"/>
  <c r="AC30" i="1"/>
  <c r="AC29" i="1"/>
  <c r="AC28" i="1"/>
  <c r="AC27" i="1"/>
  <c r="AC26" i="1"/>
  <c r="AC25" i="1"/>
  <c r="AC24" i="1"/>
  <c r="AC23" i="1"/>
  <c r="AC22" i="1"/>
  <c r="AC21" i="1"/>
  <c r="AC20" i="1"/>
  <c r="AC19" i="1"/>
  <c r="AC18" i="1"/>
  <c r="AC17" i="1"/>
  <c r="AC16" i="1"/>
  <c r="AC15" i="1"/>
  <c r="AC14" i="1"/>
  <c r="AC13" i="1"/>
  <c r="AC12" i="1"/>
  <c r="AC11" i="1"/>
  <c r="AC10" i="1"/>
  <c r="AC9" i="1"/>
  <c r="AC8" i="1"/>
  <c r="AC7" i="1"/>
  <c r="AC6" i="1"/>
  <c r="AC5" i="1"/>
  <c r="Z44" i="1"/>
  <c r="Z43" i="1"/>
  <c r="Z42" i="1"/>
  <c r="Z41" i="1"/>
  <c r="Z40" i="1"/>
  <c r="Z39" i="1"/>
  <c r="Z38" i="1"/>
  <c r="Z37" i="1"/>
  <c r="Z36" i="1"/>
  <c r="Z35" i="1"/>
  <c r="Z34" i="1"/>
  <c r="Z33" i="1"/>
  <c r="Z32" i="1"/>
  <c r="Z31" i="1"/>
  <c r="Z30" i="1"/>
  <c r="Z29" i="1"/>
  <c r="Z28" i="1"/>
  <c r="Z27" i="1"/>
  <c r="Z26" i="1"/>
  <c r="Z25" i="1"/>
  <c r="Z24" i="1"/>
  <c r="Z23" i="1"/>
  <c r="Z22" i="1"/>
  <c r="Z21" i="1"/>
  <c r="Z20" i="1"/>
  <c r="Z19" i="1"/>
  <c r="Z18" i="1"/>
  <c r="Z17" i="1"/>
  <c r="Z16" i="1"/>
  <c r="Z15" i="1"/>
  <c r="Z14" i="1"/>
  <c r="Z13" i="1"/>
  <c r="Z12" i="1"/>
  <c r="Z11" i="1"/>
  <c r="Z10" i="1"/>
  <c r="Z9" i="1"/>
  <c r="Z8" i="1"/>
  <c r="Z7" i="1"/>
  <c r="Z6" i="1"/>
  <c r="Z5" i="1"/>
  <c r="Z4" i="1"/>
  <c r="W44" i="1"/>
  <c r="W43" i="1"/>
  <c r="W42" i="1"/>
  <c r="W41" i="1"/>
  <c r="W40" i="1"/>
  <c r="W39" i="1"/>
  <c r="W38" i="1"/>
  <c r="W37" i="1"/>
  <c r="W36" i="1"/>
  <c r="W35" i="1"/>
  <c r="W34" i="1"/>
  <c r="W33" i="1"/>
  <c r="W32" i="1"/>
  <c r="W31" i="1"/>
  <c r="W30" i="1"/>
  <c r="W29" i="1"/>
  <c r="W28" i="1"/>
  <c r="W27" i="1"/>
  <c r="W26" i="1"/>
  <c r="W25" i="1"/>
  <c r="W24" i="1"/>
  <c r="W23" i="1"/>
  <c r="W22" i="1"/>
  <c r="W21" i="1"/>
  <c r="W20" i="1"/>
  <c r="W19" i="1"/>
  <c r="W18" i="1"/>
  <c r="W17" i="1"/>
  <c r="W16" i="1"/>
  <c r="W15" i="1"/>
  <c r="W14" i="1"/>
  <c r="W13" i="1"/>
  <c r="W12" i="1"/>
  <c r="W11" i="1"/>
  <c r="W10" i="1"/>
  <c r="W9" i="1"/>
  <c r="W8" i="1"/>
  <c r="W7" i="1"/>
  <c r="W6" i="1"/>
  <c r="W5" i="1"/>
  <c r="W4" i="1"/>
  <c r="T44" i="1"/>
  <c r="T43" i="1"/>
  <c r="T42" i="1"/>
  <c r="T41" i="1"/>
  <c r="T40" i="1"/>
  <c r="T39" i="1"/>
  <c r="T38" i="1"/>
  <c r="T37" i="1"/>
  <c r="T36" i="1"/>
  <c r="T35" i="1"/>
  <c r="T34" i="1"/>
  <c r="T33" i="1"/>
  <c r="T32" i="1"/>
  <c r="T31" i="1"/>
  <c r="T30" i="1"/>
  <c r="T29" i="1"/>
  <c r="T28" i="1"/>
  <c r="T27" i="1"/>
  <c r="T26" i="1"/>
  <c r="T25" i="1"/>
  <c r="T24" i="1"/>
  <c r="T23" i="1"/>
  <c r="T22" i="1"/>
  <c r="T21" i="1"/>
  <c r="T20" i="1"/>
  <c r="T19" i="1"/>
  <c r="T18" i="1"/>
  <c r="T17" i="1"/>
  <c r="T16" i="1"/>
  <c r="T15" i="1"/>
  <c r="T14" i="1"/>
  <c r="T13" i="1"/>
  <c r="T12" i="1"/>
  <c r="T11" i="1"/>
  <c r="T10" i="1"/>
  <c r="T9" i="1"/>
  <c r="T8" i="1"/>
  <c r="T7" i="1"/>
  <c r="T6" i="1"/>
  <c r="T5" i="1"/>
  <c r="T4" i="1"/>
  <c r="Q44" i="1"/>
  <c r="Q43" i="1"/>
  <c r="Q42" i="1"/>
  <c r="Q41" i="1"/>
  <c r="Q40" i="1"/>
  <c r="Q39" i="1"/>
  <c r="Q38" i="1"/>
  <c r="Q37" i="1"/>
  <c r="Q36" i="1"/>
  <c r="Q35" i="1"/>
  <c r="Q34" i="1"/>
  <c r="Q33" i="1"/>
  <c r="Q32" i="1"/>
  <c r="Q31" i="1"/>
  <c r="Q30" i="1"/>
  <c r="Q29" i="1"/>
  <c r="Q28" i="1"/>
  <c r="Q27" i="1"/>
  <c r="Q26" i="1"/>
  <c r="Q25" i="1"/>
  <c r="Q24" i="1"/>
  <c r="Q23" i="1"/>
  <c r="Q22" i="1"/>
  <c r="Q21" i="1"/>
  <c r="Q20" i="1"/>
  <c r="Q19" i="1"/>
  <c r="Q18" i="1"/>
  <c r="Q17" i="1"/>
  <c r="Q16" i="1"/>
  <c r="Q15" i="1"/>
  <c r="Q14" i="1"/>
  <c r="Q13" i="1"/>
  <c r="Q12" i="1"/>
  <c r="Q11" i="1"/>
  <c r="Q10" i="1"/>
  <c r="Q9" i="1"/>
  <c r="Q8" i="1"/>
  <c r="Q7" i="1"/>
  <c r="Q6" i="1"/>
  <c r="Q5" i="1"/>
  <c r="Q4" i="1"/>
  <c r="N44"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1" i="1"/>
  <c r="E10" i="1"/>
  <c r="E9" i="1"/>
  <c r="E8" i="1"/>
  <c r="E7" i="1"/>
  <c r="E6" i="1"/>
  <c r="E5" i="1"/>
  <c r="E4" i="1"/>
  <c r="E12" i="1"/>
  <c r="AQ5" i="1"/>
  <c r="AQ4" i="1" s="1"/>
  <c r="AQ3" i="1" s="1"/>
  <c r="N4" i="1" l="1"/>
  <c r="AC4" i="1"/>
  <c r="AF4" i="1"/>
  <c r="AO65" i="1"/>
  <c r="AO62" i="1"/>
  <c r="K3" i="1"/>
  <c r="AI3" i="1"/>
  <c r="Z3" i="1"/>
  <c r="AO7" i="1"/>
  <c r="AO15" i="1"/>
  <c r="E3" i="1"/>
  <c r="AO10" i="1"/>
  <c r="AO18" i="1"/>
  <c r="AO26" i="1"/>
  <c r="AO34" i="1"/>
  <c r="AO42" i="1"/>
  <c r="AO11" i="1"/>
  <c r="AO27" i="1"/>
  <c r="AO35" i="1"/>
  <c r="AO43" i="1"/>
  <c r="AO20" i="1"/>
  <c r="AO28" i="1"/>
  <c r="AO36" i="1"/>
  <c r="AO44" i="1"/>
  <c r="AO5" i="1"/>
  <c r="AO13" i="1"/>
  <c r="AO21" i="1"/>
  <c r="AO29" i="1"/>
  <c r="AO37" i="1"/>
  <c r="AO6" i="1"/>
  <c r="AO14" i="1"/>
  <c r="AO22" i="1"/>
  <c r="AO30" i="1"/>
  <c r="AO38" i="1"/>
  <c r="AO31" i="1"/>
  <c r="AO39" i="1"/>
  <c r="AO8" i="1"/>
  <c r="AO16" i="1"/>
  <c r="AO24" i="1"/>
  <c r="AO32" i="1"/>
  <c r="AO40" i="1"/>
  <c r="AO9" i="1"/>
  <c r="AO17" i="1"/>
  <c r="AO25" i="1"/>
  <c r="AO33" i="1"/>
  <c r="AO41" i="1"/>
  <c r="AO19" i="1"/>
  <c r="AO23" i="1"/>
  <c r="AO3" i="1" l="1"/>
  <c r="AO4" i="1"/>
  <c r="AO12" i="1"/>
</calcChain>
</file>

<file path=xl/sharedStrings.xml><?xml version="1.0" encoding="utf-8"?>
<sst xmlns="http://schemas.openxmlformats.org/spreadsheetml/2006/main" count="141" uniqueCount="87">
  <si>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</si>
  <si>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</si>
  <si>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</si>
  <si>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</si>
  <si>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</si>
  <si>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</si>
  <si>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</si>
  <si>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</si>
  <si>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</si>
  <si>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</si>
  <si>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</si>
  <si>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</si>
  <si>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</si>
  <si>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</si>
  <si>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</si>
  <si>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</si>
  <si>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</si>
  <si>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</si>
  <si>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Costa Rica</t>
  </si>
  <si>
    <t>Canada</t>
  </si>
  <si>
    <t>Colombia</t>
  </si>
  <si>
    <t>Dominican Republic</t>
  </si>
  <si>
    <t>Korea, South</t>
  </si>
  <si>
    <t>Jamaica</t>
  </si>
  <si>
    <t>Mexico</t>
  </si>
  <si>
    <t>United Arab Emirates</t>
  </si>
  <si>
    <t>Barbados</t>
  </si>
  <si>
    <t>Bahamas, The</t>
  </si>
  <si>
    <t>Belize</t>
  </si>
  <si>
    <t>China</t>
  </si>
  <si>
    <t>Ecuador</t>
  </si>
  <si>
    <t>El Salvador</t>
  </si>
  <si>
    <t>Guatemala</t>
  </si>
  <si>
    <t>Honduras</t>
  </si>
  <si>
    <t>Japan</t>
  </si>
  <si>
    <t>Nicaragua</t>
  </si>
  <si>
    <t>Panama</t>
  </si>
  <si>
    <t>Spain</t>
  </si>
  <si>
    <t>Trinidad and Tobago</t>
  </si>
  <si>
    <t>Venezuela</t>
  </si>
  <si>
    <t>Leeward-Windward Islands(*)</t>
  </si>
  <si>
    <t>Notes:</t>
  </si>
  <si>
    <t>2. (*) denotes a country that is a summarization of its component countries.</t>
  </si>
  <si>
    <t>3. Users should use cautious interpretation on QUANTITY reports using mixed units of measure. QUANTITY line items will only include statistics on the units of measure that are equal to, or are able to be converted to, the assigned unit of measure of the grouped commodities.</t>
  </si>
  <si>
    <t>Country</t>
    <phoneticPr fontId="18" type="noConversion"/>
  </si>
  <si>
    <t>Value</t>
    <phoneticPr fontId="18" type="noConversion"/>
  </si>
  <si>
    <t>USD</t>
    <phoneticPr fontId="18" type="noConversion"/>
  </si>
  <si>
    <t>Value</t>
    <phoneticPr fontId="18" type="noConversion"/>
  </si>
  <si>
    <t>Bahrain</t>
  </si>
  <si>
    <t>Guyana</t>
  </si>
  <si>
    <t>Hong Kong</t>
  </si>
  <si>
    <t>Jordan</t>
  </si>
  <si>
    <t>Netherlands Antilles(*)</t>
  </si>
  <si>
    <t>Singapore</t>
  </si>
  <si>
    <t>Saudi Arabia</t>
  </si>
  <si>
    <t>Kuwait</t>
  </si>
  <si>
    <t>Chile</t>
  </si>
  <si>
    <t>Lebanon</t>
  </si>
  <si>
    <t>Qatar</t>
  </si>
  <si>
    <t>Oman</t>
  </si>
  <si>
    <t>India</t>
  </si>
  <si>
    <t>Cayman Islands</t>
  </si>
  <si>
    <t>Bermuda</t>
  </si>
  <si>
    <t>Equatorial Guinea</t>
  </si>
  <si>
    <t>Indonesia</t>
  </si>
  <si>
    <t>Peru</t>
  </si>
  <si>
    <t>Russia</t>
  </si>
  <si>
    <t>World Total_FLY-RFND</t>
    <phoneticPr fontId="18" type="noConversion"/>
  </si>
  <si>
    <t>1. Data Source: U.S. Census Bureau Trade Data</t>
  </si>
  <si>
    <t>4. Product Group : Harmonized</t>
  </si>
  <si>
    <t>Product</t>
    <phoneticPr fontId="18" type="noConversion"/>
  </si>
  <si>
    <t>Soybean Oil, Refined</t>
    <phoneticPr fontId="18" type="noConversion"/>
  </si>
  <si>
    <t>Haiti</t>
  </si>
  <si>
    <t>Israel(*)</t>
  </si>
  <si>
    <t>Niger</t>
  </si>
  <si>
    <t>Timor-Leste</t>
  </si>
  <si>
    <t>Turks and Caicos Islands</t>
  </si>
  <si>
    <t>SOY OIL ONC-RFND</t>
    <phoneticPr fontId="18" type="noConversion"/>
  </si>
  <si>
    <t>SOY OIL FLY-RFND</t>
    <phoneticPr fontId="18" type="noConversion"/>
  </si>
  <si>
    <t>Argentina</t>
  </si>
  <si>
    <t>Australia(*)</t>
  </si>
  <si>
    <t>Belgium-Luxembourg(*)</t>
  </si>
  <si>
    <t>Greece</t>
  </si>
  <si>
    <t>Italy(*)</t>
  </si>
  <si>
    <t>Malaysia</t>
  </si>
  <si>
    <t>Netherlands</t>
  </si>
  <si>
    <t>Zimbabwe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</si>
</sst>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0_);[Red]\(#,##0.0\)"/>
    <numFmt numFmtId="177" formatCode="#,##0.0_ "/>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37">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18" xfId="0" applyNumberFormat="1" applyBorder="1">
      <alignment vertical="center"/>
    </xf>
    <xf numFmtId="177" fontId="0" fillId="0" borderId="0" xfId="0" applyNumberFormat="1" applyAlignment="1">
      <alignment horizontal="center" vertical="center"/>
    </xf>
    <xf numFmtId="177" fontId="0" fillId="0" borderId="18" xfId="0" applyNumberFormat="1" applyBorder="1" applyAlignment="1">
      <alignment horizontal="center" vertical="center"/>
    </xf>
    <xf numFmtId="176" fontId="0" fillId="0" borderId="0" xfId="0" applyNumberFormat="1" applyBorder="1" applyAlignment="1">
      <alignment horizontal="center" vertical="center"/>
    </xf>
    <xf numFmtId="177" fontId="0" fillId="0" borderId="0" xfId="0" applyNumberFormat="1" applyBorder="1" applyAlignment="1">
      <alignment horizontal="center" vertical="center"/>
    </xf>
    <xf numFmtId="176" fontId="0" fillId="0" borderId="22" xfId="0" applyNumberFormat="1" applyBorder="1" applyAlignment="1">
      <alignment horizontal="center" vertical="center"/>
    </xf>
    <xf numFmtId="177" fontId="0" fillId="0" borderId="20" xfId="0" applyNumberFormat="1" applyBorder="1" applyAlignment="1">
      <alignment horizontal="center" vertical="center"/>
    </xf>
    <xf numFmtId="177" fontId="0" fillId="0" borderId="21" xfId="0" applyNumberFormat="1" applyBorder="1" applyAlignment="1">
      <alignment horizontal="center" vertical="center"/>
    </xf>
    <xf numFmtId="177" fontId="0" fillId="0" borderId="19" xfId="0" applyNumberFormat="1" applyBorder="1" applyAlignment="1">
      <alignment horizontal="center" vertical="center"/>
    </xf>
    <xf numFmtId="177" fontId="0" fillId="0" borderId="22" xfId="0" applyNumberFormat="1" applyBorder="1" applyAlignment="1">
      <alignment horizontal="center" vertical="center"/>
    </xf>
    <xf numFmtId="0" fontId="0" fillId="0" borderId="18" xfId="0" applyBorder="1">
      <alignment vertical="center"/>
    </xf>
    <xf numFmtId="0" fontId="0" fillId="0" borderId="21" xfId="0" applyBorder="1">
      <alignment vertical="center"/>
    </xf>
    <xf numFmtId="49" fontId="0" fillId="0" borderId="17" xfId="0" applyNumberFormat="1" applyBorder="1">
      <alignment vertical="center"/>
    </xf>
    <xf numFmtId="0" fontId="0" fillId="0" borderId="0" xfId="0" applyBorder="1">
      <alignment vertical="center"/>
    </xf>
    <xf numFmtId="176" fontId="0" fillId="0" borderId="19" xfId="0" applyNumberFormat="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0" fontId="0" fillId="0" borderId="17" xfId="0" applyBorder="1">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82"/>
  <sheetViews>
    <sheetView showGridLines="0" tabSelected="1"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24" t="s">
        <v>0</v>
      </c>
      <c r="F1" s="25"/>
      <c r="G1" s="26"/>
      <c r="H1" s="27" t="s">
        <v>1</v>
      </c>
      <c r="I1" s="28"/>
      <c r="J1" s="29"/>
      <c r="K1" s="27" t="s">
        <v>2</v>
      </c>
      <c r="L1" s="28"/>
      <c r="M1" s="29"/>
      <c r="N1" s="27" t="s">
        <v>3</v>
      </c>
      <c r="O1" s="28"/>
      <c r="P1" s="29"/>
      <c r="Q1" s="27" t="s">
        <v>4</v>
      </c>
      <c r="R1" s="28"/>
      <c r="S1" s="29"/>
      <c r="T1" s="27" t="s">
        <v>5</v>
      </c>
      <c r="U1" s="28"/>
      <c r="V1" s="29"/>
      <c r="W1" s="27" t="s">
        <v>6</v>
      </c>
      <c r="X1" s="28"/>
      <c r="Y1" s="29"/>
      <c r="Z1" s="27" t="s">
        <v>7</v>
      </c>
      <c r="AA1" s="28"/>
      <c r="AB1" s="29"/>
      <c r="AC1" s="27" t="s">
        <v>8</v>
      </c>
      <c r="AD1" s="28"/>
      <c r="AE1" s="29"/>
      <c r="AF1" s="27" t="s">
        <v>9</v>
      </c>
      <c r="AG1" s="28"/>
      <c r="AH1" s="29"/>
      <c r="AI1" s="27" t="s">
        <v>10</v>
      </c>
      <c r="AJ1" s="28"/>
      <c r="AK1" s="29"/>
      <c r="AL1" s="27" t="s">
        <v>11</v>
      </c>
      <c r="AM1" s="28"/>
      <c r="AN1" s="29"/>
      <c r="AO1" s="27" t="s">
        <v>12</v>
      </c>
      <c r="AP1" s="28"/>
      <c r="AQ1" s="29"/>
    </row>
    <row r="2" spans="1:67" x14ac:dyDescent="0.3">
      <c r="A2" s="2" t="s">
        <v>44</v>
      </c>
      <c r="B2" s="2" t="s">
        <v>70</v>
      </c>
      <c r="C2" s="2" t="s">
        <v>13</v>
      </c>
      <c r="D2" s="2" t="s">
        <v>45</v>
      </c>
      <c r="E2" s="4" t="s">
        <v>14</v>
      </c>
      <c r="F2" s="2" t="s">
        <v>45</v>
      </c>
      <c r="G2" s="5" t="s">
        <v>15</v>
      </c>
      <c r="H2" s="2" t="s">
        <v>14</v>
      </c>
      <c r="I2" s="2" t="s">
        <v>45</v>
      </c>
      <c r="J2" s="5" t="s">
        <v>15</v>
      </c>
      <c r="K2" s="2" t="s">
        <v>14</v>
      </c>
      <c r="L2" s="2" t="s">
        <v>45</v>
      </c>
      <c r="M2" s="5" t="s">
        <v>15</v>
      </c>
      <c r="N2" s="2" t="s">
        <v>14</v>
      </c>
      <c r="O2" s="2" t="s">
        <v>45</v>
      </c>
      <c r="P2" s="5" t="s">
        <v>15</v>
      </c>
      <c r="Q2" s="2" t="s">
        <v>14</v>
      </c>
      <c r="R2" s="2" t="s">
        <v>45</v>
      </c>
      <c r="S2" s="5" t="s">
        <v>15</v>
      </c>
      <c r="T2" s="2" t="s">
        <v>14</v>
      </c>
      <c r="U2" s="2" t="s">
        <v>45</v>
      </c>
      <c r="V2" s="5" t="s">
        <v>15</v>
      </c>
      <c r="W2" s="2" t="s">
        <v>14</v>
      </c>
      <c r="X2" s="2" t="s">
        <v>45</v>
      </c>
      <c r="Y2" s="5" t="s">
        <v>15</v>
      </c>
      <c r="Z2" s="2" t="s">
        <v>14</v>
      </c>
      <c r="AA2" s="2" t="s">
        <v>45</v>
      </c>
      <c r="AB2" s="5" t="s">
        <v>15</v>
      </c>
      <c r="AC2" s="2" t="s">
        <v>14</v>
      </c>
      <c r="AD2" s="2" t="s">
        <v>45</v>
      </c>
      <c r="AE2" s="5" t="s">
        <v>15</v>
      </c>
      <c r="AF2" s="2" t="s">
        <v>14</v>
      </c>
      <c r="AG2" s="2" t="s">
        <v>45</v>
      </c>
      <c r="AH2" s="5" t="s">
        <v>15</v>
      </c>
      <c r="AI2" s="2" t="s">
        <v>14</v>
      </c>
      <c r="AJ2" s="2" t="s">
        <v>45</v>
      </c>
      <c r="AK2" s="5" t="s">
        <v>15</v>
      </c>
      <c r="AL2" s="2" t="s">
        <v>14</v>
      </c>
      <c r="AM2" s="2" t="s">
        <v>45</v>
      </c>
      <c r="AN2" s="5" t="s">
        <v>15</v>
      </c>
      <c r="AO2" s="2" t="s">
        <v>14</v>
      </c>
      <c r="AP2" s="2" t="s">
        <v>47</v>
      </c>
      <c r="AQ2" s="5" t="s">
        <v>15</v>
      </c>
    </row>
    <row r="3" spans="1:67" ht="15" customHeight="1" x14ac:dyDescent="0.3">
      <c r="A3" s="9" t="s">
        <v>16</v>
      </c>
      <c r="B3" s="1" t="s">
        <v>71</v>
      </c>
      <c r="C3" s="33" t="s">
        <v>17</v>
      </c>
      <c r="D3" s="33" t="s">
        <v>46</v>
      </c>
      <c r="E3" s="23">
        <f>F3/G3</f>
        <v>1168.1251041344349</v>
      </c>
      <c r="F3" s="7">
        <f>SUM(F4,F59)</f>
        <v>14722932</v>
      </c>
      <c r="G3" s="8">
        <f t="shared" ref="G3" si="0">SUM(G4,G59)</f>
        <v>12603.899999999996</v>
      </c>
      <c r="H3" s="7">
        <f>I3/J3</f>
        <v>1184.3939615647255</v>
      </c>
      <c r="I3" s="7">
        <f t="shared" ref="I3:J3" si="1">SUM(I4,I59)</f>
        <v>14569467</v>
      </c>
      <c r="J3" s="8">
        <f t="shared" si="1"/>
        <v>12301.199999999999</v>
      </c>
      <c r="K3" s="7">
        <f>L3/M3</f>
        <v>1319.1561577393504</v>
      </c>
      <c r="L3" s="7">
        <f t="shared" ref="L3:M3" si="2">SUM(L4,L59)</f>
        <v>12510877</v>
      </c>
      <c r="M3" s="8">
        <f t="shared" si="2"/>
        <v>9484</v>
      </c>
      <c r="N3" s="7">
        <f>O3/P3</f>
        <v>1415.1631460774563</v>
      </c>
      <c r="O3" s="7">
        <f t="shared" ref="O3:P3" si="3">SUM(O4,O59)</f>
        <v>12668682</v>
      </c>
      <c r="P3" s="8">
        <f t="shared" si="3"/>
        <v>8952.1000000000022</v>
      </c>
      <c r="Q3" s="7">
        <f>R3/S3</f>
        <v>1543.3771243078099</v>
      </c>
      <c r="R3" s="7">
        <f t="shared" ref="R3:S3" si="4">SUM(R4,R59)</f>
        <v>12123999</v>
      </c>
      <c r="S3" s="8">
        <f t="shared" si="4"/>
        <v>7855.4999999999991</v>
      </c>
      <c r="T3" s="7">
        <f>U3/V3</f>
        <v>1729.6319898040463</v>
      </c>
      <c r="U3" s="7">
        <f t="shared" ref="U3:V3" si="5">SUM(U4,U59)</f>
        <v>13028280</v>
      </c>
      <c r="V3" s="8">
        <f t="shared" si="5"/>
        <v>7532.4000000000015</v>
      </c>
      <c r="W3" s="7">
        <f>X3/Y3</f>
        <v>1725.1095066526711</v>
      </c>
      <c r="X3" s="7">
        <f t="shared" ref="X3:Y3" si="6">SUM(X4,X59)</f>
        <v>12161677</v>
      </c>
      <c r="Y3" s="8">
        <f t="shared" si="6"/>
        <v>7049.7999999999993</v>
      </c>
      <c r="Z3" s="7">
        <f>AA3/AB3</f>
        <v>1915.7670574566969</v>
      </c>
      <c r="AA3" s="7">
        <f t="shared" ref="AA3:AB3" si="7">SUM(AA4,AA59)</f>
        <v>14510786</v>
      </c>
      <c r="AB3" s="8">
        <f t="shared" si="7"/>
        <v>7574.3999999999978</v>
      </c>
      <c r="AC3" s="7">
        <f>AD3/AE3</f>
        <v>1811.3208831296104</v>
      </c>
      <c r="AD3" s="7">
        <f t="shared" ref="AD3:AE3" si="8">SUM(AD4,AD59)</f>
        <v>13307050</v>
      </c>
      <c r="AE3" s="8">
        <f t="shared" si="8"/>
        <v>7346.6000000000022</v>
      </c>
      <c r="AF3" s="7">
        <f>AG3/AH3</f>
        <v>1740.6121196997108</v>
      </c>
      <c r="AG3" s="7">
        <f t="shared" ref="AG3:AH3" si="9">SUM(AG4,AG59)</f>
        <v>16740163</v>
      </c>
      <c r="AH3" s="8">
        <f t="shared" si="9"/>
        <v>9617.4000000000015</v>
      </c>
      <c r="AI3" s="7">
        <f>AJ3/AK3</f>
        <v>1785.8449857091982</v>
      </c>
      <c r="AJ3" s="7">
        <f t="shared" ref="AJ3:AK3" si="10">SUM(AJ4,AJ59)</f>
        <v>18557251</v>
      </c>
      <c r="AK3" s="8">
        <f t="shared" si="10"/>
        <v>10391.300000000005</v>
      </c>
      <c r="AL3" s="7">
        <f>AM3/AN3</f>
        <v>1632.6140401898126</v>
      </c>
      <c r="AM3" s="7">
        <f t="shared" ref="AM3:AN3" si="11">SUM(AM4,AM59)</f>
        <v>23016756</v>
      </c>
      <c r="AN3" s="8">
        <f t="shared" si="11"/>
        <v>14098.100000000002</v>
      </c>
      <c r="AO3" s="7">
        <f>AP3/AQ3</f>
        <v>1549.7172203364437</v>
      </c>
      <c r="AP3" s="7">
        <f t="shared" ref="AP3" si="12">SUM(AP4,AP59)</f>
        <v>177917920</v>
      </c>
      <c r="AQ3" s="8">
        <f t="shared" ref="AQ3" si="13">SUM(AQ4,AQ59)</f>
        <v>114806.70000000001</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21" t="s">
        <v>67</v>
      </c>
      <c r="B4" s="33" t="s">
        <v>78</v>
      </c>
      <c r="C4" s="34"/>
      <c r="D4" s="34"/>
      <c r="E4" s="3">
        <f t="shared" ref="E4:E11" si="14">F4/G4</f>
        <v>1169.6164691263625</v>
      </c>
      <c r="F4" s="3">
        <f>SUM(F5:F58)</f>
        <v>14683833</v>
      </c>
      <c r="G4" s="6">
        <f t="shared" ref="G4" si="15">SUM(G5:G58)</f>
        <v>12554.399999999996</v>
      </c>
      <c r="H4" s="3">
        <f t="shared" ref="H4:H11" si="16">I4/J4</f>
        <v>1186.2607162102584</v>
      </c>
      <c r="I4" s="3">
        <f t="shared" ref="I4:J4" si="17">SUM(I5:I58)</f>
        <v>14529084</v>
      </c>
      <c r="J4" s="6">
        <f t="shared" si="17"/>
        <v>12247.8</v>
      </c>
      <c r="K4" s="3">
        <f t="shared" ref="K4:K11" si="18">L4/M4</f>
        <v>1328.3522617695589</v>
      </c>
      <c r="L4" s="3">
        <f>SUM(L5:L58)</f>
        <v>12398043</v>
      </c>
      <c r="M4" s="6">
        <f>SUM(M5:M58)</f>
        <v>9333.4</v>
      </c>
      <c r="N4" s="3">
        <f t="shared" ref="N4:N11" si="19">O4/P4</f>
        <v>1424.5549613650264</v>
      </c>
      <c r="O4" s="3">
        <f t="shared" ref="O4:P4" si="20">SUM(O5:O58)</f>
        <v>12573407</v>
      </c>
      <c r="P4" s="6">
        <f t="shared" si="20"/>
        <v>8826.2000000000025</v>
      </c>
      <c r="Q4" s="3">
        <f t="shared" ref="Q4:Q11" si="21">R4/S4</f>
        <v>1555.7117666126419</v>
      </c>
      <c r="R4" s="3">
        <f t="shared" ref="R4:S4" si="22">SUM(R5:R58)</f>
        <v>11998427</v>
      </c>
      <c r="S4" s="6">
        <f t="shared" si="22"/>
        <v>7712.4999999999991</v>
      </c>
      <c r="T4" s="3">
        <f t="shared" ref="T4:T11" si="23">U4/V4</f>
        <v>1749.7875119031421</v>
      </c>
      <c r="U4" s="3">
        <f t="shared" ref="U4:V4" si="24">SUM(U5:U58)</f>
        <v>12862688</v>
      </c>
      <c r="V4" s="6">
        <f t="shared" si="24"/>
        <v>7351.0000000000018</v>
      </c>
      <c r="W4" s="3">
        <f t="shared" ref="W4:W11" si="25">X4/Y4</f>
        <v>1736.8266064403324</v>
      </c>
      <c r="X4" s="3">
        <f t="shared" ref="X4:Y4" si="26">SUM(X5:X58)</f>
        <v>11919841</v>
      </c>
      <c r="Y4" s="6">
        <f t="shared" si="26"/>
        <v>6862.9999999999991</v>
      </c>
      <c r="Z4" s="3">
        <f t="shared" ref="Z4:Z11" si="27">AA4/AB4</f>
        <v>1951.3413394157583</v>
      </c>
      <c r="AA4" s="3">
        <f t="shared" ref="AA4:AB4" si="28">SUM(AA5:AA58)</f>
        <v>14201472</v>
      </c>
      <c r="AB4" s="6">
        <f t="shared" si="28"/>
        <v>7277.7999999999975</v>
      </c>
      <c r="AC4" s="3">
        <f t="shared" ref="AC4:AC11" si="29">AD4/AE4</f>
        <v>1852.5187884308807</v>
      </c>
      <c r="AD4" s="3">
        <f t="shared" ref="AD4:AE4" si="30">SUM(AD5:AD58)</f>
        <v>13015056</v>
      </c>
      <c r="AE4" s="6">
        <f t="shared" si="30"/>
        <v>7025.6000000000022</v>
      </c>
      <c r="AF4" s="3">
        <f t="shared" ref="AF4:AF11" si="31">AG4/AH4</f>
        <v>1753.9506094126896</v>
      </c>
      <c r="AG4" s="3">
        <f t="shared" ref="AG4:AH4" si="32">SUM(AG5:AG58)</f>
        <v>16505903</v>
      </c>
      <c r="AH4" s="6">
        <f t="shared" si="32"/>
        <v>9410.7000000000007</v>
      </c>
      <c r="AI4" s="3">
        <f t="shared" ref="AI4:AI11" si="33">AJ4/AK4</f>
        <v>1816.7883633268473</v>
      </c>
      <c r="AJ4" s="3">
        <f t="shared" ref="AJ4:AK4" si="34">SUM(AJ5:AJ58)</f>
        <v>17929521</v>
      </c>
      <c r="AK4" s="6">
        <f t="shared" si="34"/>
        <v>9868.8000000000047</v>
      </c>
      <c r="AL4" s="3">
        <f t="shared" ref="AL4:AL11" si="35">AM4/AN4</f>
        <v>1757.2516050919567</v>
      </c>
      <c r="AM4" s="3">
        <f t="shared" ref="AM4:AN4" si="36">SUM(AM5:AM58)</f>
        <v>20609574</v>
      </c>
      <c r="AN4" s="6">
        <f t="shared" si="36"/>
        <v>11728.300000000003</v>
      </c>
      <c r="AO4" s="3">
        <f t="shared" ref="AO4:AO61" si="37">AP4/AQ4</f>
        <v>1571.9386113367118</v>
      </c>
      <c r="AP4" s="3">
        <f t="shared" ref="AP4" si="38">SUM(AP5:AP58)</f>
        <v>173226849</v>
      </c>
      <c r="AQ4" s="6">
        <f t="shared" ref="AQ4" si="39">SUM(AQ5:AQ58)</f>
        <v>110199.50000000001</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9" t="s">
        <v>24</v>
      </c>
      <c r="B5" s="34"/>
      <c r="C5" s="34"/>
      <c r="D5" s="34"/>
      <c r="E5" s="3">
        <f t="shared" si="14"/>
        <v>1018.791886677498</v>
      </c>
      <c r="F5" s="3">
        <v>4013225</v>
      </c>
      <c r="G5" s="6">
        <v>3939.2</v>
      </c>
      <c r="H5" s="3">
        <f t="shared" si="16"/>
        <v>1126.5416071144989</v>
      </c>
      <c r="I5" s="3">
        <v>2837533</v>
      </c>
      <c r="J5" s="6">
        <v>2518.8000000000002</v>
      </c>
      <c r="K5" s="3">
        <f t="shared" si="18"/>
        <v>1221.9756466604222</v>
      </c>
      <c r="L5" s="3">
        <v>5087940</v>
      </c>
      <c r="M5" s="6">
        <v>4163.7</v>
      </c>
      <c r="N5" s="3">
        <f t="shared" si="19"/>
        <v>1405.7046269621965</v>
      </c>
      <c r="O5" s="3">
        <v>4781926</v>
      </c>
      <c r="P5" s="6">
        <v>3401.8</v>
      </c>
      <c r="Q5" s="3">
        <f t="shared" si="21"/>
        <v>1394.7603671756076</v>
      </c>
      <c r="R5" s="3">
        <v>3023701</v>
      </c>
      <c r="S5" s="6">
        <v>2167.9</v>
      </c>
      <c r="T5" s="3">
        <f t="shared" si="23"/>
        <v>1632.8829029385574</v>
      </c>
      <c r="U5" s="3">
        <v>2200473</v>
      </c>
      <c r="V5" s="6">
        <v>1347.6</v>
      </c>
      <c r="W5" s="3">
        <f t="shared" si="25"/>
        <v>1492.9591456600024</v>
      </c>
      <c r="X5" s="3">
        <v>3606840</v>
      </c>
      <c r="Y5" s="6">
        <v>2415.9</v>
      </c>
      <c r="Z5" s="3">
        <f t="shared" si="27"/>
        <v>1744.4002020045064</v>
      </c>
      <c r="AA5" s="3">
        <v>4490435</v>
      </c>
      <c r="AB5" s="6">
        <v>2574.1999999999998</v>
      </c>
      <c r="AC5" s="3">
        <f t="shared" si="29"/>
        <v>1672.9533527696792</v>
      </c>
      <c r="AD5" s="3">
        <v>5164407</v>
      </c>
      <c r="AE5" s="6">
        <v>3087</v>
      </c>
      <c r="AF5" s="3">
        <f t="shared" si="31"/>
        <v>1533.3852449151523</v>
      </c>
      <c r="AG5" s="3">
        <v>6370449</v>
      </c>
      <c r="AH5" s="6">
        <v>4154.5</v>
      </c>
      <c r="AI5" s="3">
        <f t="shared" si="33"/>
        <v>1623.1731516214236</v>
      </c>
      <c r="AJ5" s="3">
        <v>7312882</v>
      </c>
      <c r="AK5" s="6">
        <v>4505.3</v>
      </c>
      <c r="AL5" s="3">
        <f t="shared" si="35"/>
        <v>1624.1881440825962</v>
      </c>
      <c r="AM5" s="3">
        <v>8463482</v>
      </c>
      <c r="AN5" s="6">
        <v>5210.8999999999996</v>
      </c>
      <c r="AO5" s="3">
        <f t="shared" si="37"/>
        <v>1452.4674828043801</v>
      </c>
      <c r="AP5" s="3">
        <f t="shared" ref="AP5" si="40">SUM(F5,I5,L5,O5,R5,U5,X5,AA5,AD5,AG5,AJ5,AM5)</f>
        <v>57353293</v>
      </c>
      <c r="AQ5" s="6">
        <f t="shared" ref="AQ5" si="41">SUM(G5,J5,M5,P5,S5,V5,Y5,AB5,AE5,AH5,AK5,AN5)</f>
        <v>39486.800000000003</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9" t="s">
        <v>19</v>
      </c>
      <c r="B6" s="34"/>
      <c r="C6" s="34"/>
      <c r="D6" s="34"/>
      <c r="E6" s="3">
        <f t="shared" si="14"/>
        <v>1334.8634117988956</v>
      </c>
      <c r="F6" s="3">
        <v>2755959</v>
      </c>
      <c r="G6" s="6">
        <v>2064.6</v>
      </c>
      <c r="H6" s="3">
        <f t="shared" si="16"/>
        <v>1231.639986932375</v>
      </c>
      <c r="I6" s="3">
        <v>2262030</v>
      </c>
      <c r="J6" s="6">
        <v>1836.6</v>
      </c>
      <c r="K6" s="3">
        <f t="shared" si="18"/>
        <v>1387.0984001753231</v>
      </c>
      <c r="L6" s="3">
        <v>3164665</v>
      </c>
      <c r="M6" s="6">
        <v>2281.5</v>
      </c>
      <c r="N6" s="3">
        <f t="shared" si="19"/>
        <v>1386.5549406663624</v>
      </c>
      <c r="O6" s="3">
        <v>4860707</v>
      </c>
      <c r="P6" s="6">
        <v>3505.6</v>
      </c>
      <c r="Q6" s="3">
        <f t="shared" si="21"/>
        <v>1596.8051328710819</v>
      </c>
      <c r="R6" s="3">
        <v>5089497</v>
      </c>
      <c r="S6" s="6">
        <v>3187.3</v>
      </c>
      <c r="T6" s="3">
        <f t="shared" si="23"/>
        <v>1729.2125187076326</v>
      </c>
      <c r="U6" s="3">
        <v>7856850</v>
      </c>
      <c r="V6" s="6">
        <v>4543.6000000000004</v>
      </c>
      <c r="W6" s="3">
        <f t="shared" si="25"/>
        <v>1809.9853135555882</v>
      </c>
      <c r="X6" s="3">
        <v>6162095</v>
      </c>
      <c r="Y6" s="6">
        <v>3404.5</v>
      </c>
      <c r="Z6" s="3">
        <f t="shared" si="27"/>
        <v>1984.0437909541313</v>
      </c>
      <c r="AA6" s="3">
        <v>6207081</v>
      </c>
      <c r="AB6" s="6">
        <v>3128.5</v>
      </c>
      <c r="AC6" s="3">
        <f t="shared" si="29"/>
        <v>1878.7502750275028</v>
      </c>
      <c r="AD6" s="3">
        <v>5123352</v>
      </c>
      <c r="AE6" s="6">
        <v>2727</v>
      </c>
      <c r="AF6" s="3">
        <f t="shared" si="31"/>
        <v>1820.4921203143645</v>
      </c>
      <c r="AG6" s="3">
        <v>4424342</v>
      </c>
      <c r="AH6" s="6">
        <v>2430.3000000000002</v>
      </c>
      <c r="AI6" s="3">
        <f t="shared" si="33"/>
        <v>1854.5675940586596</v>
      </c>
      <c r="AJ6" s="3">
        <v>4919426</v>
      </c>
      <c r="AK6" s="6">
        <v>2652.6</v>
      </c>
      <c r="AL6" s="3">
        <f t="shared" si="35"/>
        <v>1806.438931432403</v>
      </c>
      <c r="AM6" s="3">
        <v>5118906</v>
      </c>
      <c r="AN6" s="6">
        <v>2833.7</v>
      </c>
      <c r="AO6" s="3">
        <f t="shared" si="37"/>
        <v>1674.9116944831455</v>
      </c>
      <c r="AP6" s="3">
        <f t="shared" ref="AP6:AP61" si="42">SUM(F6,I6,L6,O6,R6,U6,X6,AA6,AD6,AG6,AJ6,AM6)</f>
        <v>57944910</v>
      </c>
      <c r="AQ6" s="6">
        <f t="shared" ref="AQ6:AQ61" si="43">SUM(G6,J6,M6,P6,S6,V6,Y6,AB6,AE6,AH6,AK6,AN6)</f>
        <v>34595.799999999996</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9" t="s">
        <v>20</v>
      </c>
      <c r="B7" s="34"/>
      <c r="C7" s="34"/>
      <c r="D7" s="34"/>
      <c r="E7" s="3">
        <f t="shared" si="14"/>
        <v>1124.7374737473747</v>
      </c>
      <c r="F7" s="3">
        <v>2249250</v>
      </c>
      <c r="G7" s="6">
        <v>1999.8</v>
      </c>
      <c r="H7" s="3" t="e">
        <f t="shared" si="16"/>
        <v>#DIV/0!</v>
      </c>
      <c r="I7" s="3">
        <v>0</v>
      </c>
      <c r="J7" s="6">
        <v>0</v>
      </c>
      <c r="K7" s="3" t="e">
        <f t="shared" si="18"/>
        <v>#DIV/0!</v>
      </c>
      <c r="L7" s="3">
        <v>0</v>
      </c>
      <c r="M7" s="6">
        <v>0</v>
      </c>
      <c r="N7" s="3">
        <f t="shared" si="19"/>
        <v>1950.6521739130437</v>
      </c>
      <c r="O7" s="3">
        <v>8973</v>
      </c>
      <c r="P7" s="6">
        <v>4.5999999999999996</v>
      </c>
      <c r="Q7" s="3" t="e">
        <f t="shared" si="21"/>
        <v>#DIV/0!</v>
      </c>
      <c r="R7" s="3">
        <v>0</v>
      </c>
      <c r="S7" s="6">
        <v>0</v>
      </c>
      <c r="T7" s="3" t="e">
        <f t="shared" si="23"/>
        <v>#DIV/0!</v>
      </c>
      <c r="U7" s="3">
        <v>0</v>
      </c>
      <c r="V7" s="6">
        <v>0</v>
      </c>
      <c r="W7" s="3" t="e">
        <f t="shared" si="25"/>
        <v>#DIV/0!</v>
      </c>
      <c r="X7" s="3">
        <v>0</v>
      </c>
      <c r="Y7" s="6">
        <v>0</v>
      </c>
      <c r="Z7" s="3">
        <f t="shared" si="27"/>
        <v>5257.1428571428578</v>
      </c>
      <c r="AA7" s="3">
        <v>3680</v>
      </c>
      <c r="AB7" s="6">
        <v>0.7</v>
      </c>
      <c r="AC7" s="3">
        <f t="shared" si="29"/>
        <v>12446.666666666668</v>
      </c>
      <c r="AD7" s="3">
        <v>7468</v>
      </c>
      <c r="AE7" s="6">
        <v>0.6</v>
      </c>
      <c r="AF7" s="3">
        <f t="shared" si="31"/>
        <v>2872.9281767955799</v>
      </c>
      <c r="AG7" s="3">
        <v>52000</v>
      </c>
      <c r="AH7" s="6">
        <v>18.100000000000001</v>
      </c>
      <c r="AI7" s="3">
        <f t="shared" si="33"/>
        <v>2857.1428571428573</v>
      </c>
      <c r="AJ7" s="3">
        <v>26000</v>
      </c>
      <c r="AK7" s="6">
        <v>9.1</v>
      </c>
      <c r="AL7" s="3">
        <f t="shared" si="35"/>
        <v>1314.1058117290058</v>
      </c>
      <c r="AM7" s="3">
        <v>1992053</v>
      </c>
      <c r="AN7" s="6">
        <v>1515.9</v>
      </c>
      <c r="AO7" s="3">
        <f t="shared" si="37"/>
        <v>1222.7862939585214</v>
      </c>
      <c r="AP7" s="3">
        <f t="shared" si="42"/>
        <v>4339424</v>
      </c>
      <c r="AQ7" s="6">
        <f t="shared" si="43"/>
        <v>3548.7999999999997</v>
      </c>
      <c r="AR7" s="3"/>
      <c r="AS7" s="3"/>
      <c r="AT7" s="3"/>
      <c r="AU7" s="3"/>
      <c r="AV7" s="3"/>
      <c r="AW7" s="3"/>
      <c r="AX7" s="3"/>
      <c r="AY7" s="3"/>
      <c r="AZ7" s="3"/>
      <c r="BA7" s="3"/>
      <c r="BB7" s="3"/>
      <c r="BC7" s="3"/>
      <c r="BD7" s="3"/>
      <c r="BE7" s="3"/>
      <c r="BF7" s="3"/>
      <c r="BG7" s="3"/>
      <c r="BH7" s="3"/>
      <c r="BI7" s="3"/>
      <c r="BJ7" s="3"/>
      <c r="BK7" s="3"/>
      <c r="BL7" s="3"/>
      <c r="BM7" s="3"/>
      <c r="BN7" s="3"/>
      <c r="BO7" s="3"/>
    </row>
    <row r="8" spans="1:67" ht="15" customHeight="1" x14ac:dyDescent="0.3">
      <c r="A8" s="9" t="s">
        <v>54</v>
      </c>
      <c r="B8" s="34"/>
      <c r="C8" s="34"/>
      <c r="D8" s="34"/>
      <c r="E8" s="3">
        <f t="shared" si="14"/>
        <v>1320.3046478323135</v>
      </c>
      <c r="F8" s="3">
        <v>1014126</v>
      </c>
      <c r="G8" s="6">
        <v>768.1</v>
      </c>
      <c r="H8" s="3">
        <f t="shared" si="16"/>
        <v>1299.3272292993631</v>
      </c>
      <c r="I8" s="3">
        <v>326391</v>
      </c>
      <c r="J8" s="6">
        <v>251.2</v>
      </c>
      <c r="K8" s="3">
        <f t="shared" si="18"/>
        <v>1291.5791805094132</v>
      </c>
      <c r="L8" s="3">
        <v>583148</v>
      </c>
      <c r="M8" s="6">
        <v>451.5</v>
      </c>
      <c r="N8" s="3">
        <f t="shared" si="19"/>
        <v>1519.9283154121863</v>
      </c>
      <c r="O8" s="3">
        <v>127218</v>
      </c>
      <c r="P8" s="6">
        <v>83.7</v>
      </c>
      <c r="Q8" s="3">
        <f t="shared" si="21"/>
        <v>1393.0753564154786</v>
      </c>
      <c r="R8" s="3">
        <v>205200</v>
      </c>
      <c r="S8" s="6">
        <v>147.30000000000001</v>
      </c>
      <c r="T8" s="3">
        <f t="shared" si="23"/>
        <v>1271.6595744680851</v>
      </c>
      <c r="U8" s="3">
        <v>29884</v>
      </c>
      <c r="V8" s="6">
        <v>23.5</v>
      </c>
      <c r="W8" s="3">
        <f t="shared" si="25"/>
        <v>1588.4915254237287</v>
      </c>
      <c r="X8" s="3">
        <v>93721</v>
      </c>
      <c r="Y8" s="6">
        <v>59</v>
      </c>
      <c r="Z8" s="3">
        <f t="shared" si="27"/>
        <v>2700.4149715215622</v>
      </c>
      <c r="AA8" s="3">
        <v>331881</v>
      </c>
      <c r="AB8" s="6">
        <v>122.9</v>
      </c>
      <c r="AC8" s="3">
        <f t="shared" si="29"/>
        <v>2445.9221311475412</v>
      </c>
      <c r="AD8" s="3">
        <v>477444</v>
      </c>
      <c r="AE8" s="6">
        <v>195.2</v>
      </c>
      <c r="AF8" s="3">
        <f t="shared" si="31"/>
        <v>2767.0896464646462</v>
      </c>
      <c r="AG8" s="3">
        <v>438307</v>
      </c>
      <c r="AH8" s="6">
        <v>158.4</v>
      </c>
      <c r="AI8" s="3">
        <f t="shared" si="33"/>
        <v>2308.4166417240344</v>
      </c>
      <c r="AJ8" s="3">
        <v>771242</v>
      </c>
      <c r="AK8" s="6">
        <v>334.1</v>
      </c>
      <c r="AL8" s="3">
        <f t="shared" si="35"/>
        <v>2355.5585536967083</v>
      </c>
      <c r="AM8" s="3">
        <v>1309455</v>
      </c>
      <c r="AN8" s="6">
        <v>555.9</v>
      </c>
      <c r="AO8" s="3">
        <f t="shared" si="37"/>
        <v>1811.6087977656466</v>
      </c>
      <c r="AP8" s="3">
        <f t="shared" si="42"/>
        <v>5708017</v>
      </c>
      <c r="AQ8" s="6">
        <f t="shared" si="43"/>
        <v>3150.8</v>
      </c>
      <c r="AR8" s="3"/>
      <c r="AS8" s="3"/>
      <c r="AT8" s="3"/>
      <c r="AU8" s="3"/>
      <c r="AV8" s="3"/>
      <c r="AW8" s="3"/>
      <c r="AX8" s="3"/>
      <c r="AY8" s="3"/>
      <c r="AZ8" s="3"/>
      <c r="BA8" s="3"/>
      <c r="BB8" s="3"/>
      <c r="BC8" s="3"/>
      <c r="BD8" s="3"/>
      <c r="BE8" s="3"/>
      <c r="BF8" s="3"/>
      <c r="BG8" s="3"/>
      <c r="BH8" s="3"/>
      <c r="BI8" s="3"/>
      <c r="BJ8" s="3"/>
      <c r="BK8" s="3"/>
      <c r="BL8" s="3"/>
      <c r="BM8" s="3"/>
      <c r="BN8" s="3"/>
      <c r="BO8" s="3"/>
    </row>
    <row r="9" spans="1:67" ht="15" customHeight="1" x14ac:dyDescent="0.3">
      <c r="A9" s="9" t="s">
        <v>56</v>
      </c>
      <c r="B9" s="34"/>
      <c r="C9" s="34"/>
      <c r="D9" s="34"/>
      <c r="E9" s="3">
        <f t="shared" si="14"/>
        <v>1485.4736842105262</v>
      </c>
      <c r="F9" s="3">
        <v>28224</v>
      </c>
      <c r="G9" s="6">
        <v>19</v>
      </c>
      <c r="H9" s="3">
        <f t="shared" si="16"/>
        <v>1575.1166965888688</v>
      </c>
      <c r="I9" s="3">
        <v>87734</v>
      </c>
      <c r="J9" s="6">
        <v>55.7</v>
      </c>
      <c r="K9" s="3">
        <f t="shared" si="18"/>
        <v>1633.5558583106265</v>
      </c>
      <c r="L9" s="3">
        <v>119903</v>
      </c>
      <c r="M9" s="6">
        <v>73.400000000000006</v>
      </c>
      <c r="N9" s="3">
        <f t="shared" si="19"/>
        <v>1809.360119047619</v>
      </c>
      <c r="O9" s="3">
        <v>121589</v>
      </c>
      <c r="P9" s="6">
        <v>67.2</v>
      </c>
      <c r="Q9" s="3">
        <f t="shared" si="21"/>
        <v>1938.4892086330935</v>
      </c>
      <c r="R9" s="3">
        <v>269450</v>
      </c>
      <c r="S9" s="6">
        <v>139</v>
      </c>
      <c r="T9" s="3">
        <f t="shared" si="23"/>
        <v>2500.6109324758841</v>
      </c>
      <c r="U9" s="3">
        <v>155538</v>
      </c>
      <c r="V9" s="6">
        <v>62.2</v>
      </c>
      <c r="W9" s="3">
        <f t="shared" si="25"/>
        <v>2502.0601503759399</v>
      </c>
      <c r="X9" s="3">
        <v>166387</v>
      </c>
      <c r="Y9" s="6">
        <v>66.5</v>
      </c>
      <c r="Z9" s="3">
        <f t="shared" si="27"/>
        <v>2288.3404255319151</v>
      </c>
      <c r="AA9" s="3">
        <v>107552</v>
      </c>
      <c r="AB9" s="6">
        <v>47</v>
      </c>
      <c r="AC9" s="3">
        <f t="shared" si="29"/>
        <v>2580.8074534161487</v>
      </c>
      <c r="AD9" s="3">
        <v>332408</v>
      </c>
      <c r="AE9" s="6">
        <v>128.80000000000001</v>
      </c>
      <c r="AF9" s="3">
        <f t="shared" si="31"/>
        <v>2398.2342233009708</v>
      </c>
      <c r="AG9" s="3">
        <v>395229</v>
      </c>
      <c r="AH9" s="6">
        <v>164.8</v>
      </c>
      <c r="AI9" s="3">
        <f t="shared" si="33"/>
        <v>2212.9118329466355</v>
      </c>
      <c r="AJ9" s="3">
        <v>190753</v>
      </c>
      <c r="AK9" s="6">
        <v>86.2</v>
      </c>
      <c r="AL9" s="3">
        <f t="shared" si="35"/>
        <v>2337.1804207119744</v>
      </c>
      <c r="AM9" s="3">
        <v>577751</v>
      </c>
      <c r="AN9" s="6">
        <v>247.2</v>
      </c>
      <c r="AO9" s="3">
        <f t="shared" si="37"/>
        <v>2206.1521175453759</v>
      </c>
      <c r="AP9" s="3">
        <f t="shared" si="42"/>
        <v>2552518</v>
      </c>
      <c r="AQ9" s="6">
        <f t="shared" si="43"/>
        <v>1157</v>
      </c>
      <c r="AR9" s="3"/>
      <c r="AS9" s="3"/>
      <c r="AT9" s="3"/>
      <c r="AU9" s="3"/>
      <c r="AV9" s="3"/>
      <c r="AW9" s="3"/>
      <c r="AX9" s="3"/>
      <c r="AY9" s="3"/>
      <c r="AZ9" s="3"/>
      <c r="BA9" s="3"/>
      <c r="BB9" s="3"/>
      <c r="BC9" s="3"/>
      <c r="BD9" s="3"/>
      <c r="BE9" s="3"/>
      <c r="BF9" s="3"/>
      <c r="BG9" s="3"/>
      <c r="BH9" s="3"/>
      <c r="BI9" s="3"/>
      <c r="BJ9" s="3"/>
      <c r="BK9" s="3"/>
      <c r="BL9" s="3"/>
      <c r="BM9" s="3"/>
      <c r="BN9" s="3"/>
      <c r="BO9" s="3"/>
    </row>
    <row r="10" spans="1:67" ht="15" customHeight="1" x14ac:dyDescent="0.3">
      <c r="A10" s="9" t="s">
        <v>25</v>
      </c>
      <c r="B10" s="34"/>
      <c r="C10" s="34"/>
      <c r="D10" s="34"/>
      <c r="E10" s="3">
        <f t="shared" si="14"/>
        <v>1242.5201938610662</v>
      </c>
      <c r="F10" s="3">
        <v>538384</v>
      </c>
      <c r="G10" s="6">
        <v>433.3</v>
      </c>
      <c r="H10" s="3">
        <f t="shared" si="16"/>
        <v>1438.9331436699858</v>
      </c>
      <c r="I10" s="3">
        <v>101157</v>
      </c>
      <c r="J10" s="6">
        <v>70.3</v>
      </c>
      <c r="K10" s="3">
        <f t="shared" si="18"/>
        <v>1307.4126637554587</v>
      </c>
      <c r="L10" s="3">
        <v>479036</v>
      </c>
      <c r="M10" s="6">
        <v>366.4</v>
      </c>
      <c r="N10" s="3">
        <f t="shared" si="19"/>
        <v>1631.804347826087</v>
      </c>
      <c r="O10" s="3">
        <v>75063</v>
      </c>
      <c r="P10" s="6">
        <v>46</v>
      </c>
      <c r="Q10" s="3">
        <f t="shared" si="21"/>
        <v>1544.7858823529411</v>
      </c>
      <c r="R10" s="3">
        <v>328267</v>
      </c>
      <c r="S10" s="6">
        <v>212.5</v>
      </c>
      <c r="T10" s="3">
        <f t="shared" si="23"/>
        <v>1267.8048780487804</v>
      </c>
      <c r="U10" s="3">
        <v>88366</v>
      </c>
      <c r="V10" s="6">
        <v>69.7</v>
      </c>
      <c r="W10" s="3">
        <f t="shared" si="25"/>
        <v>2199.3391373169766</v>
      </c>
      <c r="X10" s="3">
        <v>555773</v>
      </c>
      <c r="Y10" s="6">
        <v>252.7</v>
      </c>
      <c r="Z10" s="3">
        <f t="shared" si="27"/>
        <v>2276.3481781376518</v>
      </c>
      <c r="AA10" s="3">
        <v>562258</v>
      </c>
      <c r="AB10" s="6">
        <v>247</v>
      </c>
      <c r="AC10" s="3">
        <f t="shared" si="29"/>
        <v>2091.7885264341958</v>
      </c>
      <c r="AD10" s="3">
        <v>371920</v>
      </c>
      <c r="AE10" s="6">
        <v>177.8</v>
      </c>
      <c r="AF10" s="3">
        <f t="shared" si="31"/>
        <v>2268.9652283200671</v>
      </c>
      <c r="AG10" s="3">
        <v>541602</v>
      </c>
      <c r="AH10" s="6">
        <v>238.7</v>
      </c>
      <c r="AI10" s="3">
        <f t="shared" si="33"/>
        <v>2154.0497904855806</v>
      </c>
      <c r="AJ10" s="3">
        <v>873898</v>
      </c>
      <c r="AK10" s="6">
        <v>405.7</v>
      </c>
      <c r="AL10" s="3">
        <f t="shared" si="35"/>
        <v>2301.3743637204998</v>
      </c>
      <c r="AM10" s="3">
        <v>497327</v>
      </c>
      <c r="AN10" s="6">
        <v>216.1</v>
      </c>
      <c r="AO10" s="3">
        <f t="shared" si="37"/>
        <v>1832.1215554418538</v>
      </c>
      <c r="AP10" s="3">
        <f t="shared" si="42"/>
        <v>5013051</v>
      </c>
      <c r="AQ10" s="6">
        <f t="shared" si="43"/>
        <v>2736.2</v>
      </c>
      <c r="AR10" s="3"/>
      <c r="AS10" s="3"/>
      <c r="AT10" s="3"/>
      <c r="AU10" s="3"/>
      <c r="AV10" s="3"/>
      <c r="AW10" s="3"/>
      <c r="AX10" s="3"/>
      <c r="AY10" s="3"/>
      <c r="AZ10" s="3"/>
      <c r="BA10" s="3"/>
      <c r="BB10" s="3"/>
      <c r="BC10" s="3"/>
      <c r="BD10" s="3"/>
      <c r="BE10" s="3"/>
      <c r="BF10" s="3"/>
      <c r="BG10" s="3"/>
      <c r="BH10" s="3"/>
      <c r="BI10" s="3"/>
      <c r="BJ10" s="3"/>
      <c r="BK10" s="3"/>
      <c r="BL10" s="3"/>
      <c r="BM10" s="3"/>
      <c r="BN10" s="3"/>
      <c r="BO10" s="3"/>
    </row>
    <row r="11" spans="1:67" ht="15" customHeight="1" x14ac:dyDescent="0.3">
      <c r="A11" s="9" t="s">
        <v>36</v>
      </c>
      <c r="B11" s="34"/>
      <c r="C11" s="34"/>
      <c r="D11" s="34"/>
      <c r="E11" s="3">
        <f t="shared" si="14"/>
        <v>1239.0417457305502</v>
      </c>
      <c r="F11" s="3">
        <v>130595</v>
      </c>
      <c r="G11" s="6">
        <v>105.4</v>
      </c>
      <c r="H11" s="3">
        <f t="shared" si="16"/>
        <v>1657.989247311828</v>
      </c>
      <c r="I11" s="3">
        <v>154193</v>
      </c>
      <c r="J11" s="6">
        <v>93</v>
      </c>
      <c r="K11" s="3">
        <f t="shared" si="18"/>
        <v>1502.3050458715595</v>
      </c>
      <c r="L11" s="3">
        <v>131001</v>
      </c>
      <c r="M11" s="6">
        <v>87.2</v>
      </c>
      <c r="N11" s="3">
        <f t="shared" si="19"/>
        <v>1354.0248833592534</v>
      </c>
      <c r="O11" s="3">
        <v>435319</v>
      </c>
      <c r="P11" s="6">
        <v>321.5</v>
      </c>
      <c r="Q11" s="3">
        <f t="shared" si="21"/>
        <v>1861.698662012798</v>
      </c>
      <c r="R11" s="3">
        <v>320026</v>
      </c>
      <c r="S11" s="6">
        <v>171.9</v>
      </c>
      <c r="T11" s="3">
        <f t="shared" si="23"/>
        <v>1867.5777511961724</v>
      </c>
      <c r="U11" s="3">
        <v>312259</v>
      </c>
      <c r="V11" s="6">
        <v>167.2</v>
      </c>
      <c r="W11" s="3">
        <f t="shared" si="25"/>
        <v>2045.1955307262572</v>
      </c>
      <c r="X11" s="3">
        <v>73218</v>
      </c>
      <c r="Y11" s="6">
        <v>35.799999999999997</v>
      </c>
      <c r="Z11" s="3">
        <f t="shared" si="27"/>
        <v>1868.3426339285716</v>
      </c>
      <c r="AA11" s="3">
        <v>334807</v>
      </c>
      <c r="AB11" s="6">
        <v>179.2</v>
      </c>
      <c r="AC11" s="3">
        <f t="shared" si="29"/>
        <v>1675.957894736842</v>
      </c>
      <c r="AD11" s="3">
        <v>159216</v>
      </c>
      <c r="AE11" s="6">
        <v>95</v>
      </c>
      <c r="AF11" s="3">
        <f t="shared" si="31"/>
        <v>2436.4077669902913</v>
      </c>
      <c r="AG11" s="3">
        <v>25095</v>
      </c>
      <c r="AH11" s="6">
        <v>10.3</v>
      </c>
      <c r="AI11" s="3">
        <f t="shared" si="33"/>
        <v>2008.9202387411826</v>
      </c>
      <c r="AJ11" s="3">
        <v>370244</v>
      </c>
      <c r="AK11" s="6">
        <v>184.3</v>
      </c>
      <c r="AL11" s="3">
        <f t="shared" si="35"/>
        <v>2134.8220064724919</v>
      </c>
      <c r="AM11" s="3">
        <v>461762</v>
      </c>
      <c r="AN11" s="6">
        <v>216.3</v>
      </c>
      <c r="AO11" s="3">
        <f t="shared" si="37"/>
        <v>1744.1875112470759</v>
      </c>
      <c r="AP11" s="3">
        <f t="shared" si="42"/>
        <v>2907735</v>
      </c>
      <c r="AQ11" s="6">
        <f t="shared" si="43"/>
        <v>1667.1</v>
      </c>
      <c r="AR11" s="3"/>
      <c r="AS11" s="3"/>
      <c r="AT11" s="3"/>
      <c r="AU11" s="3"/>
      <c r="AV11" s="3"/>
      <c r="AW11" s="3"/>
      <c r="AX11" s="3"/>
      <c r="AY11" s="3"/>
      <c r="AZ11" s="3"/>
      <c r="BA11" s="3"/>
      <c r="BB11" s="3"/>
      <c r="BC11" s="3"/>
      <c r="BD11" s="3"/>
      <c r="BE11" s="3"/>
      <c r="BF11" s="3"/>
      <c r="BG11" s="3"/>
      <c r="BH11" s="3"/>
      <c r="BI11" s="3"/>
      <c r="BJ11" s="3"/>
      <c r="BK11" s="3"/>
      <c r="BL11" s="3"/>
      <c r="BM11" s="3"/>
      <c r="BN11" s="3"/>
      <c r="BO11" s="3"/>
    </row>
    <row r="12" spans="1:67" ht="15" customHeight="1" x14ac:dyDescent="0.3">
      <c r="A12" s="9" t="s">
        <v>51</v>
      </c>
      <c r="B12" s="34"/>
      <c r="C12" s="34"/>
      <c r="D12" s="34"/>
      <c r="E12" s="3">
        <f>F12/G12</f>
        <v>1146.122448979592</v>
      </c>
      <c r="F12" s="3">
        <v>78624</v>
      </c>
      <c r="G12" s="6">
        <v>68.599999999999994</v>
      </c>
      <c r="H12" s="3">
        <f>I12/J12</f>
        <v>1445.4715025906735</v>
      </c>
      <c r="I12" s="3">
        <v>139488</v>
      </c>
      <c r="J12" s="6">
        <v>96.5</v>
      </c>
      <c r="K12" s="3">
        <f>L12/M12</f>
        <v>1990.9844559585492</v>
      </c>
      <c r="L12" s="3">
        <v>192130</v>
      </c>
      <c r="M12" s="6">
        <v>96.5</v>
      </c>
      <c r="N12" s="3">
        <f>O12/P12</f>
        <v>1826.7716535433071</v>
      </c>
      <c r="O12" s="3">
        <v>46400</v>
      </c>
      <c r="P12" s="6">
        <v>25.4</v>
      </c>
      <c r="Q12" s="3">
        <f>R12/S12</f>
        <v>1539.2560175054703</v>
      </c>
      <c r="R12" s="3">
        <v>70344</v>
      </c>
      <c r="S12" s="6">
        <v>45.7</v>
      </c>
      <c r="T12" s="3">
        <f>U12/V12</f>
        <v>2030.5032822757109</v>
      </c>
      <c r="U12" s="3">
        <v>92794</v>
      </c>
      <c r="V12" s="6">
        <v>45.7</v>
      </c>
      <c r="W12" s="3">
        <f>X12/Y12</f>
        <v>2692.9133858267719</v>
      </c>
      <c r="X12" s="3">
        <v>68400</v>
      </c>
      <c r="Y12" s="6">
        <v>25.4</v>
      </c>
      <c r="Z12" s="3">
        <f>AA12/AB12</f>
        <v>2575.3424657534247</v>
      </c>
      <c r="AA12" s="3">
        <v>169200</v>
      </c>
      <c r="AB12" s="6">
        <v>65.7</v>
      </c>
      <c r="AC12" s="3">
        <f>AD12/AE12</f>
        <v>2581.1533052039385</v>
      </c>
      <c r="AD12" s="3">
        <v>183520</v>
      </c>
      <c r="AE12" s="6">
        <v>71.099999999999994</v>
      </c>
      <c r="AF12" s="3">
        <f>AG12/AH12</f>
        <v>2452.8413284132844</v>
      </c>
      <c r="AG12" s="3">
        <v>398832</v>
      </c>
      <c r="AH12" s="6">
        <v>162.6</v>
      </c>
      <c r="AI12" s="3">
        <f>AJ12/AK12</f>
        <v>2413.3083411433927</v>
      </c>
      <c r="AJ12" s="3">
        <v>515000</v>
      </c>
      <c r="AK12" s="6">
        <v>213.4</v>
      </c>
      <c r="AL12" s="3">
        <f>AM12/AN12</f>
        <v>2479.9073537927043</v>
      </c>
      <c r="AM12" s="3">
        <v>428280</v>
      </c>
      <c r="AN12" s="6">
        <v>172.7</v>
      </c>
      <c r="AO12" s="3">
        <f t="shared" si="37"/>
        <v>2187.6544569907282</v>
      </c>
      <c r="AP12" s="3">
        <f t="shared" si="42"/>
        <v>2383012</v>
      </c>
      <c r="AQ12" s="6">
        <f t="shared" si="43"/>
        <v>1089.3</v>
      </c>
      <c r="AR12" s="3"/>
      <c r="AS12" s="3"/>
      <c r="AT12" s="3"/>
      <c r="AU12" s="3"/>
      <c r="AV12" s="3"/>
      <c r="AW12" s="3"/>
      <c r="AX12" s="3"/>
      <c r="AY12" s="3"/>
      <c r="AZ12" s="3"/>
      <c r="BA12" s="3"/>
      <c r="BB12" s="3"/>
      <c r="BC12" s="3"/>
      <c r="BD12" s="3"/>
      <c r="BE12" s="3"/>
      <c r="BF12" s="3"/>
      <c r="BG12" s="3"/>
      <c r="BH12" s="3"/>
      <c r="BI12" s="3"/>
      <c r="BJ12" s="3"/>
      <c r="BK12" s="3"/>
      <c r="BL12" s="3"/>
      <c r="BM12" s="3"/>
      <c r="BN12" s="3"/>
      <c r="BO12" s="3"/>
    </row>
    <row r="13" spans="1:67" ht="15" customHeight="1" x14ac:dyDescent="0.3">
      <c r="A13" s="9" t="s">
        <v>38</v>
      </c>
      <c r="B13" s="34"/>
      <c r="C13" s="34"/>
      <c r="D13" s="34"/>
      <c r="E13" s="3">
        <f t="shared" ref="E13:E70" si="44">F13/G13</f>
        <v>1175.2153443766347</v>
      </c>
      <c r="F13" s="3">
        <v>673986</v>
      </c>
      <c r="G13" s="6">
        <v>573.5</v>
      </c>
      <c r="H13" s="3">
        <f t="shared" ref="H13:H70" si="45">I13/J13</f>
        <v>1144.4177983241837</v>
      </c>
      <c r="I13" s="3">
        <v>396083</v>
      </c>
      <c r="J13" s="6">
        <v>346.1</v>
      </c>
      <c r="K13" s="3">
        <f t="shared" ref="K13:K70" si="46">L13/M13</f>
        <v>1504.4556922597726</v>
      </c>
      <c r="L13" s="3">
        <v>966011</v>
      </c>
      <c r="M13" s="6">
        <v>642.1</v>
      </c>
      <c r="N13" s="3">
        <f t="shared" ref="N13:N70" si="47">O13/P13</f>
        <v>1711.049545587804</v>
      </c>
      <c r="O13" s="3">
        <v>583639</v>
      </c>
      <c r="P13" s="6">
        <v>341.1</v>
      </c>
      <c r="Q13" s="3">
        <f t="shared" ref="Q13:Q70" si="48">R13/S13</f>
        <v>1637.1158743633277</v>
      </c>
      <c r="R13" s="3">
        <v>771409</v>
      </c>
      <c r="S13" s="6">
        <v>471.2</v>
      </c>
      <c r="T13" s="3">
        <f t="shared" ref="T13:T70" si="49">U13/V13</f>
        <v>1733.464566929134</v>
      </c>
      <c r="U13" s="3">
        <v>396270</v>
      </c>
      <c r="V13" s="6">
        <v>228.6</v>
      </c>
      <c r="W13" s="3">
        <f t="shared" ref="W13:W70" si="50">X13/Y13</f>
        <v>1899.4160583941607</v>
      </c>
      <c r="X13" s="3">
        <v>338286</v>
      </c>
      <c r="Y13" s="6">
        <v>178.1</v>
      </c>
      <c r="Z13" s="3">
        <f t="shared" ref="Z13:Z70" si="51">AA13/AB13</f>
        <v>2357.9111405835542</v>
      </c>
      <c r="AA13" s="3">
        <v>355573</v>
      </c>
      <c r="AB13" s="6">
        <v>150.80000000000001</v>
      </c>
      <c r="AC13" s="3">
        <f t="shared" ref="AC13:AC70" si="52">AD13/AE13</f>
        <v>2021.1332417582419</v>
      </c>
      <c r="AD13" s="3">
        <v>294277</v>
      </c>
      <c r="AE13" s="6">
        <v>145.6</v>
      </c>
      <c r="AF13" s="3">
        <f t="shared" ref="AF13:AF70" si="53">AG13/AH13</f>
        <v>2008.0593803786574</v>
      </c>
      <c r="AG13" s="3">
        <v>466673</v>
      </c>
      <c r="AH13" s="6">
        <v>232.4</v>
      </c>
      <c r="AI13" s="3">
        <f t="shared" ref="AI13:AI70" si="54">AJ13/AK13</f>
        <v>2016.9080949482652</v>
      </c>
      <c r="AJ13" s="3">
        <v>331378</v>
      </c>
      <c r="AK13" s="6">
        <v>164.3</v>
      </c>
      <c r="AL13" s="3">
        <f t="shared" ref="AL13:AL70" si="55">AM13/AN13</f>
        <v>2045.5208333333333</v>
      </c>
      <c r="AM13" s="3">
        <v>392740</v>
      </c>
      <c r="AN13" s="6">
        <v>192</v>
      </c>
      <c r="AO13" s="3">
        <f t="shared" si="37"/>
        <v>1627.564242457308</v>
      </c>
      <c r="AP13" s="3">
        <f t="shared" si="42"/>
        <v>5966325</v>
      </c>
      <c r="AQ13" s="6">
        <f t="shared" si="43"/>
        <v>3665.8</v>
      </c>
      <c r="AR13" s="3"/>
      <c r="AS13" s="3"/>
      <c r="AT13" s="3"/>
      <c r="AU13" s="3"/>
      <c r="AV13" s="3"/>
      <c r="AW13" s="3"/>
      <c r="AX13" s="3"/>
      <c r="AY13" s="3"/>
      <c r="AZ13" s="3"/>
      <c r="BA13" s="3"/>
      <c r="BB13" s="3"/>
      <c r="BC13" s="3"/>
      <c r="BD13" s="3"/>
      <c r="BE13" s="3"/>
      <c r="BF13" s="3"/>
      <c r="BG13" s="3"/>
      <c r="BH13" s="3"/>
      <c r="BI13" s="3"/>
      <c r="BJ13" s="3"/>
      <c r="BK13" s="3"/>
      <c r="BL13" s="3"/>
      <c r="BM13" s="3"/>
      <c r="BN13" s="3"/>
      <c r="BO13" s="3"/>
    </row>
    <row r="14" spans="1:67" ht="15" customHeight="1" x14ac:dyDescent="0.3">
      <c r="A14" s="9" t="s">
        <v>27</v>
      </c>
      <c r="B14" s="34"/>
      <c r="C14" s="34"/>
      <c r="D14" s="34"/>
      <c r="E14" s="3">
        <f t="shared" si="44"/>
        <v>1879.0078328981724</v>
      </c>
      <c r="F14" s="3">
        <v>143932</v>
      </c>
      <c r="G14" s="6">
        <v>76.599999999999994</v>
      </c>
      <c r="H14" s="3">
        <f t="shared" si="45"/>
        <v>1572.3760523854069</v>
      </c>
      <c r="I14" s="3">
        <v>168087</v>
      </c>
      <c r="J14" s="6">
        <v>106.9</v>
      </c>
      <c r="K14" s="3">
        <f t="shared" si="46"/>
        <v>1458.2620817843867</v>
      </c>
      <c r="L14" s="3">
        <v>156909</v>
      </c>
      <c r="M14" s="6">
        <v>107.6</v>
      </c>
      <c r="N14" s="3">
        <f t="shared" si="47"/>
        <v>1516.5904505716207</v>
      </c>
      <c r="O14" s="3">
        <v>225517</v>
      </c>
      <c r="P14" s="6">
        <v>148.69999999999999</v>
      </c>
      <c r="Q14" s="3">
        <f t="shared" si="48"/>
        <v>2075.9823677581862</v>
      </c>
      <c r="R14" s="3">
        <v>329666</v>
      </c>
      <c r="S14" s="6">
        <v>158.80000000000001</v>
      </c>
      <c r="T14" s="3">
        <f t="shared" si="49"/>
        <v>2118.7184661957622</v>
      </c>
      <c r="U14" s="3">
        <v>209965</v>
      </c>
      <c r="V14" s="6">
        <v>99.1</v>
      </c>
      <c r="W14" s="3">
        <f t="shared" si="50"/>
        <v>1891.4216478190631</v>
      </c>
      <c r="X14" s="3">
        <v>117079</v>
      </c>
      <c r="Y14" s="6">
        <v>61.9</v>
      </c>
      <c r="Z14" s="3">
        <f t="shared" si="51"/>
        <v>2142.4937500000001</v>
      </c>
      <c r="AA14" s="3">
        <v>342799</v>
      </c>
      <c r="AB14" s="6">
        <v>160</v>
      </c>
      <c r="AC14" s="3">
        <f t="shared" si="52"/>
        <v>2019.4955156950673</v>
      </c>
      <c r="AD14" s="3">
        <v>180139</v>
      </c>
      <c r="AE14" s="6">
        <v>89.2</v>
      </c>
      <c r="AF14" s="3">
        <f t="shared" si="53"/>
        <v>2285.2839268527428</v>
      </c>
      <c r="AG14" s="3">
        <v>474882</v>
      </c>
      <c r="AH14" s="6">
        <v>207.8</v>
      </c>
      <c r="AI14" s="3">
        <f t="shared" si="54"/>
        <v>2463.2739938080499</v>
      </c>
      <c r="AJ14" s="3">
        <v>318255</v>
      </c>
      <c r="AK14" s="6">
        <v>129.19999999999999</v>
      </c>
      <c r="AL14" s="3">
        <f t="shared" si="55"/>
        <v>2220.9718309859154</v>
      </c>
      <c r="AM14" s="3">
        <v>315378</v>
      </c>
      <c r="AN14" s="6">
        <v>142</v>
      </c>
      <c r="AO14" s="3">
        <f t="shared" si="37"/>
        <v>2004.7103105256081</v>
      </c>
      <c r="AP14" s="3">
        <f t="shared" si="42"/>
        <v>2982608</v>
      </c>
      <c r="AQ14" s="6">
        <f t="shared" si="43"/>
        <v>1487.8000000000002</v>
      </c>
      <c r="AR14" s="3"/>
      <c r="AS14" s="3"/>
      <c r="AT14" s="3"/>
      <c r="AU14" s="3"/>
      <c r="AV14" s="3"/>
      <c r="AW14" s="3"/>
      <c r="AX14" s="3"/>
      <c r="AY14" s="3"/>
      <c r="AZ14" s="3"/>
      <c r="BA14" s="3"/>
      <c r="BB14" s="3"/>
      <c r="BC14" s="3"/>
      <c r="BD14" s="3"/>
      <c r="BE14" s="3"/>
      <c r="BF14" s="3"/>
      <c r="BG14" s="3"/>
      <c r="BH14" s="3"/>
      <c r="BI14" s="3"/>
      <c r="BJ14" s="3"/>
      <c r="BK14" s="3"/>
      <c r="BL14" s="3"/>
      <c r="BM14" s="3"/>
      <c r="BN14" s="3"/>
      <c r="BO14" s="3"/>
    </row>
    <row r="15" spans="1:67" ht="15" customHeight="1" x14ac:dyDescent="0.3">
      <c r="A15" s="9" t="s">
        <v>55</v>
      </c>
      <c r="B15" s="34"/>
      <c r="C15" s="34"/>
      <c r="D15" s="34"/>
      <c r="E15" s="3">
        <f t="shared" si="44"/>
        <v>1306.2992125984251</v>
      </c>
      <c r="F15" s="3">
        <v>398160</v>
      </c>
      <c r="G15" s="6">
        <v>304.8</v>
      </c>
      <c r="H15" s="3">
        <f t="shared" si="45"/>
        <v>1284.1509433962265</v>
      </c>
      <c r="I15" s="3">
        <v>285852</v>
      </c>
      <c r="J15" s="6">
        <v>222.6</v>
      </c>
      <c r="K15" s="3">
        <f t="shared" si="46"/>
        <v>1336.7446808510638</v>
      </c>
      <c r="L15" s="3">
        <v>251308</v>
      </c>
      <c r="M15" s="6">
        <v>188</v>
      </c>
      <c r="N15" s="3">
        <f t="shared" si="47"/>
        <v>1147.2654867256638</v>
      </c>
      <c r="O15" s="3">
        <v>129641</v>
      </c>
      <c r="P15" s="6">
        <v>113</v>
      </c>
      <c r="Q15" s="3">
        <f t="shared" si="48"/>
        <v>1395.4229074889868</v>
      </c>
      <c r="R15" s="3">
        <v>316761</v>
      </c>
      <c r="S15" s="6">
        <v>227</v>
      </c>
      <c r="T15" s="3">
        <f t="shared" si="49"/>
        <v>1518.6443148688047</v>
      </c>
      <c r="U15" s="3">
        <v>104179</v>
      </c>
      <c r="V15" s="6">
        <v>68.599999999999994</v>
      </c>
      <c r="W15" s="3">
        <f t="shared" si="50"/>
        <v>1665.9153175591532</v>
      </c>
      <c r="X15" s="3">
        <v>133773</v>
      </c>
      <c r="Y15" s="6">
        <v>80.3</v>
      </c>
      <c r="Z15" s="3" t="e">
        <f t="shared" si="51"/>
        <v>#DIV/0!</v>
      </c>
      <c r="AA15" s="3">
        <v>0</v>
      </c>
      <c r="AB15" s="6">
        <v>0</v>
      </c>
      <c r="AC15" s="3">
        <f t="shared" si="52"/>
        <v>2582.8129032258066</v>
      </c>
      <c r="AD15" s="3">
        <v>200168</v>
      </c>
      <c r="AE15" s="6">
        <v>77.5</v>
      </c>
      <c r="AF15" s="3">
        <f t="shared" si="53"/>
        <v>2120.1961523953223</v>
      </c>
      <c r="AG15" s="3">
        <v>562064</v>
      </c>
      <c r="AH15" s="6">
        <v>265.10000000000002</v>
      </c>
      <c r="AI15" s="3">
        <f t="shared" si="54"/>
        <v>2148.5794655414911</v>
      </c>
      <c r="AJ15" s="3">
        <v>152764</v>
      </c>
      <c r="AK15" s="6">
        <v>71.099999999999994</v>
      </c>
      <c r="AL15" s="3">
        <f t="shared" si="55"/>
        <v>2495.634249471459</v>
      </c>
      <c r="AM15" s="3">
        <v>236087</v>
      </c>
      <c r="AN15" s="6">
        <v>94.6</v>
      </c>
      <c r="AO15" s="3">
        <f t="shared" si="37"/>
        <v>1617.8658180544203</v>
      </c>
      <c r="AP15" s="3">
        <f t="shared" si="42"/>
        <v>2770757</v>
      </c>
      <c r="AQ15" s="6">
        <f t="shared" si="43"/>
        <v>1712.6</v>
      </c>
      <c r="AR15" s="3"/>
      <c r="AS15" s="3"/>
      <c r="AT15" s="3"/>
      <c r="AU15" s="3"/>
      <c r="AV15" s="3"/>
      <c r="AW15" s="3"/>
      <c r="AX15" s="3"/>
      <c r="AY15" s="3"/>
      <c r="AZ15" s="3"/>
      <c r="BA15" s="3"/>
      <c r="BB15" s="3"/>
      <c r="BC15" s="3"/>
      <c r="BD15" s="3"/>
      <c r="BE15" s="3"/>
      <c r="BF15" s="3"/>
      <c r="BG15" s="3"/>
      <c r="BH15" s="3"/>
      <c r="BI15" s="3"/>
      <c r="BJ15" s="3"/>
      <c r="BK15" s="3"/>
      <c r="BL15" s="3"/>
      <c r="BM15" s="3"/>
      <c r="BN15" s="3"/>
      <c r="BO15" s="3"/>
    </row>
    <row r="16" spans="1:67" ht="15" customHeight="1" x14ac:dyDescent="0.3">
      <c r="A16" s="9" t="s">
        <v>58</v>
      </c>
      <c r="B16" s="34"/>
      <c r="C16" s="34"/>
      <c r="D16" s="34"/>
      <c r="E16" s="3">
        <f t="shared" si="44"/>
        <v>1395.7894736842106</v>
      </c>
      <c r="F16" s="3">
        <v>90168</v>
      </c>
      <c r="G16" s="6">
        <v>64.599999999999994</v>
      </c>
      <c r="H16" s="3">
        <f t="shared" si="45"/>
        <v>1220.0262467191601</v>
      </c>
      <c r="I16" s="3">
        <v>46483</v>
      </c>
      <c r="J16" s="6">
        <v>38.1</v>
      </c>
      <c r="K16" s="3">
        <f t="shared" si="46"/>
        <v>1588.5260115606936</v>
      </c>
      <c r="L16" s="3">
        <v>109926</v>
      </c>
      <c r="M16" s="6">
        <v>69.2</v>
      </c>
      <c r="N16" s="3" t="e">
        <f t="shared" si="47"/>
        <v>#DIV/0!</v>
      </c>
      <c r="O16" s="3">
        <v>0</v>
      </c>
      <c r="P16" s="6">
        <v>0</v>
      </c>
      <c r="Q16" s="3">
        <f t="shared" si="48"/>
        <v>2226.6141732283463</v>
      </c>
      <c r="R16" s="3">
        <v>141390</v>
      </c>
      <c r="S16" s="6">
        <v>63.5</v>
      </c>
      <c r="T16" s="3">
        <f t="shared" si="49"/>
        <v>1138.165938864629</v>
      </c>
      <c r="U16" s="3">
        <v>26064</v>
      </c>
      <c r="V16" s="6">
        <v>22.9</v>
      </c>
      <c r="W16" s="3">
        <f t="shared" si="50"/>
        <v>1474.585152838428</v>
      </c>
      <c r="X16" s="3">
        <v>33768</v>
      </c>
      <c r="Y16" s="6">
        <v>22.9</v>
      </c>
      <c r="Z16" s="3">
        <f t="shared" si="51"/>
        <v>1896.6666666666665</v>
      </c>
      <c r="AA16" s="3">
        <v>163872</v>
      </c>
      <c r="AB16" s="6">
        <v>86.4</v>
      </c>
      <c r="AC16" s="3" t="e">
        <f t="shared" si="52"/>
        <v>#DIV/0!</v>
      </c>
      <c r="AD16" s="3">
        <v>0</v>
      </c>
      <c r="AE16" s="6">
        <v>0</v>
      </c>
      <c r="AF16" s="3">
        <f t="shared" si="53"/>
        <v>2526.8166089965398</v>
      </c>
      <c r="AG16" s="3">
        <v>146050</v>
      </c>
      <c r="AH16" s="6">
        <v>57.8</v>
      </c>
      <c r="AI16" s="3">
        <f t="shared" si="54"/>
        <v>2252.9540481400436</v>
      </c>
      <c r="AJ16" s="3">
        <v>205920</v>
      </c>
      <c r="AK16" s="6">
        <v>91.4</v>
      </c>
      <c r="AL16" s="3">
        <f t="shared" si="55"/>
        <v>2283.3815350389318</v>
      </c>
      <c r="AM16" s="3">
        <v>205276</v>
      </c>
      <c r="AN16" s="6">
        <v>89.9</v>
      </c>
      <c r="AO16" s="3">
        <f t="shared" si="37"/>
        <v>1926.6804021757048</v>
      </c>
      <c r="AP16" s="3">
        <f t="shared" si="42"/>
        <v>1168917</v>
      </c>
      <c r="AQ16" s="6">
        <f t="shared" si="43"/>
        <v>606.69999999999993</v>
      </c>
      <c r="AR16" s="3"/>
      <c r="AS16" s="3"/>
      <c r="AT16" s="3"/>
      <c r="AU16" s="3"/>
      <c r="AV16" s="3"/>
      <c r="AW16" s="3"/>
      <c r="AX16" s="3"/>
      <c r="AY16" s="3"/>
      <c r="AZ16" s="3"/>
      <c r="BA16" s="3"/>
      <c r="BB16" s="3"/>
      <c r="BC16" s="3"/>
      <c r="BD16" s="3"/>
      <c r="BE16" s="3"/>
      <c r="BF16" s="3"/>
      <c r="BG16" s="3"/>
      <c r="BH16" s="3"/>
      <c r="BI16" s="3"/>
      <c r="BJ16" s="3"/>
      <c r="BK16" s="3"/>
      <c r="BL16" s="3"/>
      <c r="BM16" s="3"/>
      <c r="BN16" s="3"/>
      <c r="BO16" s="3"/>
    </row>
    <row r="17" spans="1:67" ht="15" customHeight="1" x14ac:dyDescent="0.3">
      <c r="A17" s="9" t="s">
        <v>48</v>
      </c>
      <c r="B17" s="34"/>
      <c r="C17" s="34"/>
      <c r="D17" s="34"/>
      <c r="E17" s="3">
        <f t="shared" si="44"/>
        <v>1247.0270270270271</v>
      </c>
      <c r="F17" s="3">
        <v>106122</v>
      </c>
      <c r="G17" s="6">
        <v>85.1</v>
      </c>
      <c r="H17" s="3" t="e">
        <f t="shared" si="45"/>
        <v>#DIV/0!</v>
      </c>
      <c r="I17" s="3">
        <v>0</v>
      </c>
      <c r="J17" s="6">
        <v>0</v>
      </c>
      <c r="K17" s="3">
        <f t="shared" si="46"/>
        <v>1121.6438356164383</v>
      </c>
      <c r="L17" s="3">
        <v>16376</v>
      </c>
      <c r="M17" s="6">
        <v>14.6</v>
      </c>
      <c r="N17" s="3" t="e">
        <f t="shared" si="47"/>
        <v>#DIV/0!</v>
      </c>
      <c r="O17" s="3">
        <v>0</v>
      </c>
      <c r="P17" s="6">
        <v>0</v>
      </c>
      <c r="Q17" s="3">
        <f t="shared" si="48"/>
        <v>1536.7413793103449</v>
      </c>
      <c r="R17" s="3">
        <v>267393</v>
      </c>
      <c r="S17" s="6">
        <v>174</v>
      </c>
      <c r="T17" s="3">
        <f t="shared" si="49"/>
        <v>1600.7002188183806</v>
      </c>
      <c r="U17" s="3">
        <v>73152</v>
      </c>
      <c r="V17" s="6">
        <v>45.7</v>
      </c>
      <c r="W17" s="3">
        <f t="shared" si="50"/>
        <v>2301.8518518518517</v>
      </c>
      <c r="X17" s="3">
        <v>74580</v>
      </c>
      <c r="Y17" s="6">
        <v>32.4</v>
      </c>
      <c r="Z17" s="3" t="e">
        <f t="shared" si="51"/>
        <v>#DIV/0!</v>
      </c>
      <c r="AA17" s="3">
        <v>0</v>
      </c>
      <c r="AB17" s="6">
        <v>0</v>
      </c>
      <c r="AC17" s="3" t="e">
        <f t="shared" si="52"/>
        <v>#DIV/0!</v>
      </c>
      <c r="AD17" s="3">
        <v>0</v>
      </c>
      <c r="AE17" s="6">
        <v>0</v>
      </c>
      <c r="AF17" s="3">
        <f t="shared" si="53"/>
        <v>1477.1428571428571</v>
      </c>
      <c r="AG17" s="3">
        <v>31020</v>
      </c>
      <c r="AH17" s="6">
        <v>21</v>
      </c>
      <c r="AI17" s="3">
        <f t="shared" si="54"/>
        <v>2404.2013129102843</v>
      </c>
      <c r="AJ17" s="3">
        <v>109872</v>
      </c>
      <c r="AK17" s="6">
        <v>45.7</v>
      </c>
      <c r="AL17" s="3">
        <f t="shared" si="55"/>
        <v>2341.5034965034965</v>
      </c>
      <c r="AM17" s="3">
        <v>133934</v>
      </c>
      <c r="AN17" s="6">
        <v>57.2</v>
      </c>
      <c r="AO17" s="3">
        <f t="shared" si="37"/>
        <v>1707.9020391002734</v>
      </c>
      <c r="AP17" s="3">
        <f t="shared" si="42"/>
        <v>812449</v>
      </c>
      <c r="AQ17" s="6">
        <f t="shared" si="43"/>
        <v>475.69999999999993</v>
      </c>
      <c r="AR17" s="3"/>
      <c r="AS17" s="3"/>
      <c r="AT17" s="3"/>
      <c r="AU17" s="3"/>
      <c r="AV17" s="3"/>
      <c r="AW17" s="3"/>
      <c r="AX17" s="3"/>
      <c r="AY17" s="3"/>
      <c r="AZ17" s="3"/>
      <c r="BA17" s="3"/>
      <c r="BB17" s="3"/>
      <c r="BC17" s="3"/>
      <c r="BD17" s="3"/>
      <c r="BE17" s="3"/>
      <c r="BF17" s="3"/>
      <c r="BG17" s="3"/>
      <c r="BH17" s="3"/>
      <c r="BI17" s="3"/>
      <c r="BJ17" s="3"/>
      <c r="BK17" s="3"/>
      <c r="BL17" s="3"/>
      <c r="BM17" s="3"/>
      <c r="BN17" s="3"/>
      <c r="BO17" s="3"/>
    </row>
    <row r="18" spans="1:67" ht="15" customHeight="1" x14ac:dyDescent="0.3">
      <c r="A18" s="9" t="s">
        <v>57</v>
      </c>
      <c r="B18" s="34"/>
      <c r="C18" s="34"/>
      <c r="D18" s="34"/>
      <c r="E18" s="3">
        <f t="shared" si="44"/>
        <v>1303.4957020057307</v>
      </c>
      <c r="F18" s="3">
        <v>45492</v>
      </c>
      <c r="G18" s="6">
        <v>34.9</v>
      </c>
      <c r="H18" s="3" t="e">
        <f t="shared" si="45"/>
        <v>#DIV/0!</v>
      </c>
      <c r="I18" s="3">
        <v>0</v>
      </c>
      <c r="J18" s="6">
        <v>0</v>
      </c>
      <c r="K18" s="3">
        <f t="shared" si="46"/>
        <v>1537.4672489082971</v>
      </c>
      <c r="L18" s="3">
        <v>35208</v>
      </c>
      <c r="M18" s="6">
        <v>22.9</v>
      </c>
      <c r="N18" s="3">
        <f t="shared" si="47"/>
        <v>1622.3580786026203</v>
      </c>
      <c r="O18" s="3">
        <v>37152</v>
      </c>
      <c r="P18" s="6">
        <v>22.9</v>
      </c>
      <c r="Q18" s="3">
        <f t="shared" si="48"/>
        <v>1622.3580786026203</v>
      </c>
      <c r="R18" s="3">
        <v>37152</v>
      </c>
      <c r="S18" s="6">
        <v>22.9</v>
      </c>
      <c r="T18" s="3" t="e">
        <f t="shared" si="49"/>
        <v>#DIV/0!</v>
      </c>
      <c r="U18" s="3">
        <v>0</v>
      </c>
      <c r="V18" s="6">
        <v>0</v>
      </c>
      <c r="W18" s="3" t="e">
        <f t="shared" si="50"/>
        <v>#DIV/0!</v>
      </c>
      <c r="X18" s="3">
        <v>0</v>
      </c>
      <c r="Y18" s="6">
        <v>0</v>
      </c>
      <c r="Z18" s="3" t="e">
        <f t="shared" si="51"/>
        <v>#DIV/0!</v>
      </c>
      <c r="AA18" s="3">
        <v>0</v>
      </c>
      <c r="AB18" s="6">
        <v>0</v>
      </c>
      <c r="AC18" s="3" t="e">
        <f t="shared" si="52"/>
        <v>#DIV/0!</v>
      </c>
      <c r="AD18" s="3">
        <v>0</v>
      </c>
      <c r="AE18" s="6">
        <v>0</v>
      </c>
      <c r="AF18" s="3" t="e">
        <f t="shared" si="53"/>
        <v>#DIV/0!</v>
      </c>
      <c r="AG18" s="3">
        <v>0</v>
      </c>
      <c r="AH18" s="6">
        <v>0</v>
      </c>
      <c r="AI18" s="3" t="e">
        <f t="shared" si="54"/>
        <v>#DIV/0!</v>
      </c>
      <c r="AJ18" s="3">
        <v>0</v>
      </c>
      <c r="AK18" s="6">
        <v>0</v>
      </c>
      <c r="AL18" s="3">
        <f t="shared" si="55"/>
        <v>2385.8792650918635</v>
      </c>
      <c r="AM18" s="3">
        <v>90902</v>
      </c>
      <c r="AN18" s="6">
        <v>38.1</v>
      </c>
      <c r="AO18" s="3">
        <f t="shared" si="37"/>
        <v>1735.3987297106564</v>
      </c>
      <c r="AP18" s="3">
        <f t="shared" si="42"/>
        <v>245906</v>
      </c>
      <c r="AQ18" s="6">
        <f t="shared" si="43"/>
        <v>141.69999999999999</v>
      </c>
      <c r="AR18" s="3"/>
      <c r="AS18" s="3"/>
      <c r="AT18" s="3"/>
      <c r="AU18" s="3"/>
      <c r="AV18" s="3"/>
      <c r="AW18" s="3"/>
      <c r="AX18" s="3"/>
      <c r="AY18" s="3"/>
      <c r="AZ18" s="3"/>
      <c r="BA18" s="3"/>
      <c r="BB18" s="3"/>
      <c r="BC18" s="3"/>
      <c r="BD18" s="3"/>
      <c r="BE18" s="3"/>
      <c r="BF18" s="3"/>
      <c r="BG18" s="3"/>
      <c r="BH18" s="3"/>
      <c r="BI18" s="3"/>
      <c r="BJ18" s="3"/>
      <c r="BK18" s="3"/>
      <c r="BL18" s="3"/>
      <c r="BM18" s="3"/>
      <c r="BN18" s="3"/>
      <c r="BO18" s="3"/>
    </row>
    <row r="19" spans="1:67" ht="15" customHeight="1" x14ac:dyDescent="0.3">
      <c r="A19" s="9" t="s">
        <v>32</v>
      </c>
      <c r="B19" s="34"/>
      <c r="C19" s="34"/>
      <c r="D19" s="34"/>
      <c r="E19" s="3">
        <f t="shared" si="44"/>
        <v>897.57281553398059</v>
      </c>
      <c r="F19" s="3">
        <v>27735</v>
      </c>
      <c r="G19" s="6">
        <v>30.9</v>
      </c>
      <c r="H19" s="3">
        <f t="shared" si="45"/>
        <v>1432.384</v>
      </c>
      <c r="I19" s="3">
        <v>89524</v>
      </c>
      <c r="J19" s="6">
        <v>62.5</v>
      </c>
      <c r="K19" s="3">
        <f t="shared" si="46"/>
        <v>885.42586750788644</v>
      </c>
      <c r="L19" s="3">
        <v>28068</v>
      </c>
      <c r="M19" s="6">
        <v>31.7</v>
      </c>
      <c r="N19" s="3">
        <f t="shared" si="47"/>
        <v>1306.9855072463768</v>
      </c>
      <c r="O19" s="3">
        <v>45091</v>
      </c>
      <c r="P19" s="6">
        <v>34.5</v>
      </c>
      <c r="Q19" s="3">
        <f t="shared" si="48"/>
        <v>1603.9915966386554</v>
      </c>
      <c r="R19" s="3">
        <v>38175</v>
      </c>
      <c r="S19" s="6">
        <v>23.8</v>
      </c>
      <c r="T19" s="3">
        <f t="shared" si="49"/>
        <v>1409.2372881355932</v>
      </c>
      <c r="U19" s="3">
        <v>33258</v>
      </c>
      <c r="V19" s="6">
        <v>23.6</v>
      </c>
      <c r="W19" s="3">
        <f t="shared" si="50"/>
        <v>1568.4668192219679</v>
      </c>
      <c r="X19" s="3">
        <v>68542</v>
      </c>
      <c r="Y19" s="6">
        <v>43.7</v>
      </c>
      <c r="Z19" s="3">
        <f t="shared" si="51"/>
        <v>1543.1519274376417</v>
      </c>
      <c r="AA19" s="3">
        <v>68053</v>
      </c>
      <c r="AB19" s="6">
        <v>44.1</v>
      </c>
      <c r="AC19" s="3">
        <f t="shared" si="52"/>
        <v>1461.0602409638554</v>
      </c>
      <c r="AD19" s="3">
        <v>60634</v>
      </c>
      <c r="AE19" s="6">
        <v>41.5</v>
      </c>
      <c r="AF19" s="3">
        <f t="shared" si="53"/>
        <v>1602.7851458885941</v>
      </c>
      <c r="AG19" s="3">
        <v>60425</v>
      </c>
      <c r="AH19" s="6">
        <v>37.700000000000003</v>
      </c>
      <c r="AI19" s="3">
        <f t="shared" si="54"/>
        <v>1549.1560102301789</v>
      </c>
      <c r="AJ19" s="3">
        <v>60572</v>
      </c>
      <c r="AK19" s="6">
        <v>39.1</v>
      </c>
      <c r="AL19" s="3">
        <f t="shared" si="55"/>
        <v>2198.835227272727</v>
      </c>
      <c r="AM19" s="3">
        <v>77399</v>
      </c>
      <c r="AN19" s="6">
        <v>35.200000000000003</v>
      </c>
      <c r="AO19" s="3">
        <f t="shared" si="37"/>
        <v>1466.598260093687</v>
      </c>
      <c r="AP19" s="3">
        <f t="shared" si="42"/>
        <v>657476</v>
      </c>
      <c r="AQ19" s="6">
        <f t="shared" si="43"/>
        <v>448.30000000000007</v>
      </c>
      <c r="AR19" s="3"/>
      <c r="AS19" s="3"/>
      <c r="AT19" s="3"/>
      <c r="AU19" s="3"/>
      <c r="AV19" s="3"/>
      <c r="AW19" s="3"/>
      <c r="AX19" s="3"/>
      <c r="AY19" s="3"/>
      <c r="AZ19" s="3"/>
      <c r="BA19" s="3"/>
      <c r="BB19" s="3"/>
      <c r="BC19" s="3"/>
      <c r="BD19" s="3"/>
      <c r="BE19" s="3"/>
      <c r="BF19" s="3"/>
      <c r="BG19" s="3"/>
      <c r="BH19" s="3"/>
      <c r="BI19" s="3"/>
      <c r="BJ19" s="3"/>
      <c r="BK19" s="3"/>
      <c r="BL19" s="3"/>
      <c r="BM19" s="3"/>
      <c r="BN19" s="3"/>
      <c r="BO19" s="3"/>
    </row>
    <row r="20" spans="1:67" x14ac:dyDescent="0.3">
      <c r="A20" s="9" t="s">
        <v>22</v>
      </c>
      <c r="B20" s="34"/>
      <c r="C20" s="34"/>
      <c r="D20" s="34"/>
      <c r="E20" s="3">
        <f t="shared" si="44"/>
        <v>1548.9721627408992</v>
      </c>
      <c r="F20" s="3">
        <v>289348</v>
      </c>
      <c r="G20" s="6">
        <v>186.8</v>
      </c>
      <c r="H20" s="3">
        <f t="shared" si="45"/>
        <v>2085.2793296089385</v>
      </c>
      <c r="I20" s="3">
        <v>74653</v>
      </c>
      <c r="J20" s="6">
        <v>35.799999999999997</v>
      </c>
      <c r="K20" s="3">
        <f t="shared" si="46"/>
        <v>1506.1651077673851</v>
      </c>
      <c r="L20" s="3">
        <v>370366</v>
      </c>
      <c r="M20" s="6">
        <v>245.9</v>
      </c>
      <c r="N20" s="3">
        <f t="shared" si="47"/>
        <v>3142.8571428571427</v>
      </c>
      <c r="O20" s="3">
        <v>66000</v>
      </c>
      <c r="P20" s="6">
        <v>21</v>
      </c>
      <c r="Q20" s="3" t="e">
        <f t="shared" si="48"/>
        <v>#DIV/0!</v>
      </c>
      <c r="R20" s="3">
        <v>0</v>
      </c>
      <c r="S20" s="6">
        <v>0</v>
      </c>
      <c r="T20" s="3">
        <f t="shared" si="49"/>
        <v>3399.2753623188405</v>
      </c>
      <c r="U20" s="3">
        <v>23455</v>
      </c>
      <c r="V20" s="6">
        <v>6.9</v>
      </c>
      <c r="W20" s="3" t="e">
        <f t="shared" si="50"/>
        <v>#DIV/0!</v>
      </c>
      <c r="X20" s="3">
        <v>0</v>
      </c>
      <c r="Y20" s="6">
        <v>0</v>
      </c>
      <c r="Z20" s="3">
        <f t="shared" si="51"/>
        <v>3205.086956521739</v>
      </c>
      <c r="AA20" s="3">
        <v>73717</v>
      </c>
      <c r="AB20" s="6">
        <v>23</v>
      </c>
      <c r="AC20" s="3" t="e">
        <f t="shared" si="52"/>
        <v>#DIV/0!</v>
      </c>
      <c r="AD20" s="3">
        <v>0</v>
      </c>
      <c r="AE20" s="6">
        <v>0</v>
      </c>
      <c r="AF20" s="3">
        <f t="shared" si="53"/>
        <v>3192.1186440677966</v>
      </c>
      <c r="AG20" s="3">
        <v>75334</v>
      </c>
      <c r="AH20" s="6">
        <v>23.6</v>
      </c>
      <c r="AI20" s="3">
        <f t="shared" si="54"/>
        <v>3386.2068965517242</v>
      </c>
      <c r="AJ20" s="3">
        <v>78560</v>
      </c>
      <c r="AK20" s="6">
        <v>23.2</v>
      </c>
      <c r="AL20" s="3">
        <f t="shared" si="55"/>
        <v>3474.536082474227</v>
      </c>
      <c r="AM20" s="3">
        <v>67406</v>
      </c>
      <c r="AN20" s="6">
        <v>19.399999999999999</v>
      </c>
      <c r="AO20" s="3">
        <f t="shared" si="37"/>
        <v>1910.5857240437158</v>
      </c>
      <c r="AP20" s="3">
        <f t="shared" si="42"/>
        <v>1118839</v>
      </c>
      <c r="AQ20" s="6">
        <f t="shared" si="43"/>
        <v>585.6</v>
      </c>
      <c r="AR20" s="3"/>
      <c r="AS20" s="3"/>
      <c r="AT20" s="3"/>
      <c r="AU20" s="3"/>
      <c r="AV20" s="3"/>
      <c r="AW20" s="3"/>
      <c r="AX20" s="3"/>
      <c r="AY20" s="3"/>
      <c r="AZ20" s="3"/>
      <c r="BA20" s="3"/>
      <c r="BB20" s="3"/>
      <c r="BC20" s="3"/>
      <c r="BD20" s="3"/>
      <c r="BE20" s="3"/>
      <c r="BF20" s="3"/>
      <c r="BG20" s="3"/>
      <c r="BH20" s="3"/>
      <c r="BI20" s="3"/>
      <c r="BJ20" s="3"/>
      <c r="BK20" s="3"/>
      <c r="BL20" s="3"/>
      <c r="BM20" s="3"/>
      <c r="BN20" s="3"/>
      <c r="BO20" s="3"/>
    </row>
    <row r="21" spans="1:67" x14ac:dyDescent="0.3">
      <c r="A21" s="9" t="s">
        <v>65</v>
      </c>
      <c r="B21" s="34"/>
      <c r="C21" s="34"/>
      <c r="D21" s="34"/>
      <c r="E21" s="3" t="e">
        <f t="shared" si="44"/>
        <v>#DIV/0!</v>
      </c>
      <c r="F21" s="3">
        <v>0</v>
      </c>
      <c r="G21" s="6">
        <v>0</v>
      </c>
      <c r="H21" s="3">
        <f t="shared" si="45"/>
        <v>2344.848484848485</v>
      </c>
      <c r="I21" s="3">
        <v>7738</v>
      </c>
      <c r="J21" s="6">
        <v>3.3</v>
      </c>
      <c r="K21" s="3" t="e">
        <f t="shared" si="46"/>
        <v>#DIV/0!</v>
      </c>
      <c r="L21" s="3">
        <v>0</v>
      </c>
      <c r="M21" s="6">
        <v>0</v>
      </c>
      <c r="N21" s="3" t="e">
        <f t="shared" si="47"/>
        <v>#DIV/0!</v>
      </c>
      <c r="O21" s="3">
        <v>0</v>
      </c>
      <c r="P21" s="6">
        <v>0</v>
      </c>
      <c r="Q21" s="3">
        <f t="shared" si="48"/>
        <v>2052.1621621621621</v>
      </c>
      <c r="R21" s="3">
        <v>7593</v>
      </c>
      <c r="S21" s="6">
        <v>3.7</v>
      </c>
      <c r="T21" s="3" t="e">
        <f t="shared" si="49"/>
        <v>#DIV/0!</v>
      </c>
      <c r="U21" s="3">
        <v>0</v>
      </c>
      <c r="V21" s="6">
        <v>0</v>
      </c>
      <c r="W21" s="3" t="e">
        <f t="shared" si="50"/>
        <v>#DIV/0!</v>
      </c>
      <c r="X21" s="3">
        <v>0</v>
      </c>
      <c r="Y21" s="6">
        <v>0</v>
      </c>
      <c r="Z21" s="3" t="e">
        <f t="shared" si="51"/>
        <v>#DIV/0!</v>
      </c>
      <c r="AA21" s="3">
        <v>0</v>
      </c>
      <c r="AB21" s="6">
        <v>0</v>
      </c>
      <c r="AC21" s="3" t="e">
        <f t="shared" si="52"/>
        <v>#DIV/0!</v>
      </c>
      <c r="AD21" s="3">
        <v>0</v>
      </c>
      <c r="AE21" s="6">
        <v>0</v>
      </c>
      <c r="AF21" s="3" t="e">
        <f t="shared" si="53"/>
        <v>#DIV/0!</v>
      </c>
      <c r="AG21" s="3">
        <v>0</v>
      </c>
      <c r="AH21" s="6">
        <v>0</v>
      </c>
      <c r="AI21" s="3" t="e">
        <f t="shared" si="54"/>
        <v>#DIV/0!</v>
      </c>
      <c r="AJ21" s="3">
        <v>0</v>
      </c>
      <c r="AK21" s="6">
        <v>0</v>
      </c>
      <c r="AL21" s="3">
        <f t="shared" si="55"/>
        <v>3169.2857142857142</v>
      </c>
      <c r="AM21" s="3">
        <v>53244</v>
      </c>
      <c r="AN21" s="6">
        <v>16.8</v>
      </c>
      <c r="AO21" s="3">
        <f t="shared" si="37"/>
        <v>2881.3025210084033</v>
      </c>
      <c r="AP21" s="3">
        <f t="shared" si="42"/>
        <v>68575</v>
      </c>
      <c r="AQ21" s="6">
        <f t="shared" si="43"/>
        <v>23.8</v>
      </c>
      <c r="AR21" s="3"/>
      <c r="AS21" s="3"/>
      <c r="AT21" s="3"/>
      <c r="AU21" s="3"/>
      <c r="AV21" s="3"/>
      <c r="AW21" s="3"/>
      <c r="AX21" s="3"/>
      <c r="AY21" s="3"/>
      <c r="AZ21" s="3"/>
      <c r="BA21" s="3"/>
      <c r="BB21" s="3"/>
      <c r="BC21" s="3"/>
      <c r="BD21" s="3"/>
      <c r="BE21" s="3"/>
      <c r="BF21" s="3"/>
      <c r="BG21" s="3"/>
      <c r="BH21" s="3"/>
      <c r="BI21" s="3"/>
      <c r="BJ21" s="3"/>
      <c r="BK21" s="3"/>
      <c r="BL21" s="3"/>
      <c r="BM21" s="3"/>
      <c r="BN21" s="3"/>
      <c r="BO21" s="3"/>
    </row>
    <row r="22" spans="1:67" x14ac:dyDescent="0.3">
      <c r="A22" s="9" t="s">
        <v>60</v>
      </c>
      <c r="B22" s="34"/>
      <c r="C22" s="34"/>
      <c r="D22" s="34"/>
      <c r="E22" s="3" t="e">
        <f t="shared" si="44"/>
        <v>#DIV/0!</v>
      </c>
      <c r="F22" s="3">
        <v>0</v>
      </c>
      <c r="G22" s="6">
        <v>0</v>
      </c>
      <c r="H22" s="3" t="e">
        <f t="shared" si="45"/>
        <v>#DIV/0!</v>
      </c>
      <c r="I22" s="3">
        <v>0</v>
      </c>
      <c r="J22" s="6">
        <v>0</v>
      </c>
      <c r="K22" s="3" t="e">
        <f t="shared" si="46"/>
        <v>#DIV/0!</v>
      </c>
      <c r="L22" s="3">
        <v>0</v>
      </c>
      <c r="M22" s="6">
        <v>0</v>
      </c>
      <c r="N22" s="3">
        <f t="shared" si="47"/>
        <v>2067</v>
      </c>
      <c r="O22" s="3">
        <v>4134</v>
      </c>
      <c r="P22" s="6">
        <v>2</v>
      </c>
      <c r="Q22" s="3">
        <f t="shared" si="48"/>
        <v>2082.5</v>
      </c>
      <c r="R22" s="3">
        <v>15827</v>
      </c>
      <c r="S22" s="6">
        <v>7.6</v>
      </c>
      <c r="T22" s="3" t="e">
        <f t="shared" si="49"/>
        <v>#DIV/0!</v>
      </c>
      <c r="U22" s="3">
        <v>0</v>
      </c>
      <c r="V22" s="6">
        <v>0</v>
      </c>
      <c r="W22" s="3">
        <f t="shared" si="50"/>
        <v>1560.4651162790699</v>
      </c>
      <c r="X22" s="3">
        <v>6710</v>
      </c>
      <c r="Y22" s="6">
        <v>4.3</v>
      </c>
      <c r="Z22" s="3">
        <f t="shared" si="51"/>
        <v>1943.9226519337014</v>
      </c>
      <c r="AA22" s="3">
        <v>35185</v>
      </c>
      <c r="AB22" s="6">
        <v>18.100000000000001</v>
      </c>
      <c r="AC22" s="3" t="e">
        <f t="shared" si="52"/>
        <v>#DIV/0!</v>
      </c>
      <c r="AD22" s="3">
        <v>0</v>
      </c>
      <c r="AE22" s="6">
        <v>0</v>
      </c>
      <c r="AF22" s="3">
        <f t="shared" si="53"/>
        <v>3186.019417475728</v>
      </c>
      <c r="AG22" s="3">
        <v>32816</v>
      </c>
      <c r="AH22" s="6">
        <v>10.3</v>
      </c>
      <c r="AI22" s="3" t="e">
        <f t="shared" si="54"/>
        <v>#DIV/0!</v>
      </c>
      <c r="AJ22" s="3">
        <v>0</v>
      </c>
      <c r="AK22" s="6">
        <v>0</v>
      </c>
      <c r="AL22" s="3">
        <f t="shared" si="55"/>
        <v>3661.9708029197081</v>
      </c>
      <c r="AM22" s="3">
        <v>50169</v>
      </c>
      <c r="AN22" s="6">
        <v>13.7</v>
      </c>
      <c r="AO22" s="3">
        <f t="shared" si="37"/>
        <v>2586.4464285714284</v>
      </c>
      <c r="AP22" s="3">
        <f t="shared" si="42"/>
        <v>144841</v>
      </c>
      <c r="AQ22" s="6">
        <f t="shared" si="43"/>
        <v>56</v>
      </c>
      <c r="AR22" s="3"/>
      <c r="AS22" s="3"/>
      <c r="AT22" s="3"/>
      <c r="AU22" s="3"/>
      <c r="AV22" s="3"/>
      <c r="AW22" s="3"/>
      <c r="AX22" s="3"/>
      <c r="AY22" s="3"/>
      <c r="AZ22" s="3"/>
      <c r="BA22" s="3"/>
      <c r="BB22" s="3"/>
      <c r="BC22" s="3"/>
      <c r="BD22" s="3"/>
      <c r="BE22" s="3"/>
      <c r="BF22" s="3"/>
      <c r="BG22" s="3"/>
      <c r="BH22" s="3"/>
      <c r="BI22" s="3"/>
      <c r="BJ22" s="3"/>
      <c r="BK22" s="3"/>
      <c r="BL22" s="3"/>
      <c r="BM22" s="3"/>
      <c r="BN22" s="3"/>
      <c r="BO22" s="3"/>
    </row>
    <row r="23" spans="1:67" x14ac:dyDescent="0.3">
      <c r="A23" s="9" t="s">
        <v>34</v>
      </c>
      <c r="B23" s="34"/>
      <c r="C23" s="34"/>
      <c r="D23" s="34"/>
      <c r="E23" s="3" t="e">
        <f t="shared" si="44"/>
        <v>#DIV/0!</v>
      </c>
      <c r="F23" s="3">
        <v>0</v>
      </c>
      <c r="G23" s="6">
        <v>0</v>
      </c>
      <c r="H23" s="3">
        <f t="shared" si="45"/>
        <v>2455.229357798165</v>
      </c>
      <c r="I23" s="3">
        <v>80286</v>
      </c>
      <c r="J23" s="6">
        <v>32.700000000000003</v>
      </c>
      <c r="K23" s="3">
        <f t="shared" si="46"/>
        <v>3290.5154639175262</v>
      </c>
      <c r="L23" s="3">
        <v>63836</v>
      </c>
      <c r="M23" s="6">
        <v>19.399999999999999</v>
      </c>
      <c r="N23" s="3">
        <f t="shared" si="47"/>
        <v>2673.0263157894738</v>
      </c>
      <c r="O23" s="3">
        <v>60945</v>
      </c>
      <c r="P23" s="6">
        <v>22.8</v>
      </c>
      <c r="Q23" s="3" t="e">
        <f t="shared" si="48"/>
        <v>#DIV/0!</v>
      </c>
      <c r="R23" s="3">
        <v>0</v>
      </c>
      <c r="S23" s="6">
        <v>0</v>
      </c>
      <c r="T23" s="3">
        <f t="shared" si="49"/>
        <v>3190.8376963350784</v>
      </c>
      <c r="U23" s="3">
        <v>60945</v>
      </c>
      <c r="V23" s="6">
        <v>19.100000000000001</v>
      </c>
      <c r="W23" s="3">
        <f t="shared" si="50"/>
        <v>3207.6315789473683</v>
      </c>
      <c r="X23" s="3">
        <v>60945</v>
      </c>
      <c r="Y23" s="6">
        <v>19</v>
      </c>
      <c r="Z23" s="3">
        <f t="shared" si="51"/>
        <v>3096.7010309278353</v>
      </c>
      <c r="AA23" s="3">
        <v>60076</v>
      </c>
      <c r="AB23" s="6">
        <v>19.399999999999999</v>
      </c>
      <c r="AC23" s="3" t="e">
        <f t="shared" si="52"/>
        <v>#DIV/0!</v>
      </c>
      <c r="AD23" s="3">
        <v>0</v>
      </c>
      <c r="AE23" s="6">
        <v>0</v>
      </c>
      <c r="AF23" s="3">
        <f t="shared" si="53"/>
        <v>4690</v>
      </c>
      <c r="AG23" s="3">
        <v>7035</v>
      </c>
      <c r="AH23" s="6">
        <v>1.5</v>
      </c>
      <c r="AI23" s="3">
        <f t="shared" si="54"/>
        <v>3172.2619047619046</v>
      </c>
      <c r="AJ23" s="3">
        <v>106588</v>
      </c>
      <c r="AK23" s="6">
        <v>33.6</v>
      </c>
      <c r="AL23" s="3">
        <f t="shared" si="55"/>
        <v>2536.6091954022991</v>
      </c>
      <c r="AM23" s="3">
        <v>44137</v>
      </c>
      <c r="AN23" s="6">
        <v>17.399999999999999</v>
      </c>
      <c r="AO23" s="3">
        <f t="shared" si="37"/>
        <v>2946.4196863169282</v>
      </c>
      <c r="AP23" s="3">
        <f t="shared" si="42"/>
        <v>544793</v>
      </c>
      <c r="AQ23" s="6">
        <f t="shared" si="43"/>
        <v>184.9</v>
      </c>
      <c r="AR23" s="3"/>
      <c r="AS23" s="3"/>
      <c r="AT23" s="3"/>
      <c r="AU23" s="3"/>
      <c r="AV23" s="3"/>
      <c r="AW23" s="3"/>
      <c r="AX23" s="3"/>
      <c r="AY23" s="3"/>
      <c r="AZ23" s="3"/>
      <c r="BA23" s="3"/>
      <c r="BB23" s="3"/>
      <c r="BC23" s="3"/>
      <c r="BD23" s="3"/>
      <c r="BE23" s="3"/>
      <c r="BF23" s="3"/>
      <c r="BG23" s="3"/>
      <c r="BH23" s="3"/>
      <c r="BI23" s="3"/>
      <c r="BJ23" s="3"/>
      <c r="BK23" s="3"/>
      <c r="BL23" s="3"/>
      <c r="BM23" s="3"/>
      <c r="BN23" s="3"/>
      <c r="BO23" s="3"/>
    </row>
    <row r="24" spans="1:67" x14ac:dyDescent="0.3">
      <c r="A24" s="9" t="s">
        <v>62</v>
      </c>
      <c r="B24" s="34"/>
      <c r="C24" s="34"/>
      <c r="D24" s="34"/>
      <c r="E24" s="3">
        <f t="shared" si="44"/>
        <v>1256.8965517241379</v>
      </c>
      <c r="F24" s="3">
        <v>3645</v>
      </c>
      <c r="G24" s="6">
        <v>2.9</v>
      </c>
      <c r="H24" s="3">
        <f t="shared" si="45"/>
        <v>1971.0344827586207</v>
      </c>
      <c r="I24" s="3">
        <v>5716</v>
      </c>
      <c r="J24" s="6">
        <v>2.9</v>
      </c>
      <c r="K24" s="3">
        <f t="shared" si="46"/>
        <v>1832.6315789473686</v>
      </c>
      <c r="L24" s="3">
        <v>3482</v>
      </c>
      <c r="M24" s="6">
        <v>1.9</v>
      </c>
      <c r="N24" s="3">
        <f t="shared" si="47"/>
        <v>1993.4782608695655</v>
      </c>
      <c r="O24" s="3">
        <v>9170</v>
      </c>
      <c r="P24" s="6">
        <v>4.5999999999999996</v>
      </c>
      <c r="Q24" s="3">
        <f t="shared" si="48"/>
        <v>2086.363636363636</v>
      </c>
      <c r="R24" s="3">
        <v>4590</v>
      </c>
      <c r="S24" s="6">
        <v>2.2000000000000002</v>
      </c>
      <c r="T24" s="3">
        <f t="shared" si="49"/>
        <v>2102.105263157895</v>
      </c>
      <c r="U24" s="3">
        <v>7988</v>
      </c>
      <c r="V24" s="6">
        <v>3.8</v>
      </c>
      <c r="W24" s="3">
        <f t="shared" si="50"/>
        <v>2336.8421052631579</v>
      </c>
      <c r="X24" s="3">
        <v>4440</v>
      </c>
      <c r="Y24" s="6">
        <v>1.9</v>
      </c>
      <c r="Z24" s="3">
        <f t="shared" si="51"/>
        <v>2400</v>
      </c>
      <c r="AA24" s="3">
        <v>4560</v>
      </c>
      <c r="AB24" s="6">
        <v>1.9</v>
      </c>
      <c r="AC24" s="3">
        <f t="shared" si="52"/>
        <v>2079.5</v>
      </c>
      <c r="AD24" s="3">
        <v>4159</v>
      </c>
      <c r="AE24" s="6">
        <v>2</v>
      </c>
      <c r="AF24" s="3" t="e">
        <f t="shared" si="53"/>
        <v>#DIV/0!</v>
      </c>
      <c r="AG24" s="3">
        <v>0</v>
      </c>
      <c r="AH24" s="6">
        <v>0</v>
      </c>
      <c r="AI24" s="3">
        <f t="shared" si="54"/>
        <v>2099.9242424242425</v>
      </c>
      <c r="AJ24" s="3">
        <v>27719</v>
      </c>
      <c r="AK24" s="6">
        <v>13.2</v>
      </c>
      <c r="AL24" s="3">
        <f t="shared" si="55"/>
        <v>2178.030303030303</v>
      </c>
      <c r="AM24" s="3">
        <v>28750</v>
      </c>
      <c r="AN24" s="6">
        <v>13.2</v>
      </c>
      <c r="AO24" s="3">
        <f t="shared" si="37"/>
        <v>2063.7425742574255</v>
      </c>
      <c r="AP24" s="3">
        <f t="shared" si="42"/>
        <v>104219</v>
      </c>
      <c r="AQ24" s="6">
        <f t="shared" si="43"/>
        <v>50.5</v>
      </c>
      <c r="AR24" s="3"/>
      <c r="AS24" s="3"/>
      <c r="AT24" s="3"/>
      <c r="AU24" s="3"/>
      <c r="AV24" s="3"/>
      <c r="AW24" s="3"/>
      <c r="AX24" s="3"/>
      <c r="AY24" s="3"/>
      <c r="AZ24" s="3"/>
      <c r="BA24" s="3"/>
      <c r="BB24" s="3"/>
      <c r="BC24" s="3"/>
      <c r="BD24" s="3"/>
      <c r="BE24" s="3"/>
      <c r="BF24" s="3"/>
      <c r="BG24" s="3"/>
      <c r="BH24" s="3"/>
      <c r="BI24" s="3"/>
      <c r="BJ24" s="3"/>
      <c r="BK24" s="3"/>
      <c r="BL24" s="3"/>
      <c r="BM24" s="3"/>
      <c r="BN24" s="3"/>
      <c r="BO24" s="3"/>
    </row>
    <row r="25" spans="1:67" x14ac:dyDescent="0.3">
      <c r="A25" s="9" t="s">
        <v>52</v>
      </c>
      <c r="B25" s="34"/>
      <c r="C25" s="34"/>
      <c r="D25" s="34"/>
      <c r="E25" s="3">
        <f t="shared" si="44"/>
        <v>1716.9642857142858</v>
      </c>
      <c r="F25" s="3">
        <v>19230</v>
      </c>
      <c r="G25" s="6">
        <v>11.2</v>
      </c>
      <c r="H25" s="3">
        <f t="shared" si="45"/>
        <v>1559.2592592592591</v>
      </c>
      <c r="I25" s="3">
        <v>4210</v>
      </c>
      <c r="J25" s="6">
        <v>2.7</v>
      </c>
      <c r="K25" s="3">
        <f t="shared" si="46"/>
        <v>1596.4925373134329</v>
      </c>
      <c r="L25" s="3">
        <v>21393</v>
      </c>
      <c r="M25" s="6">
        <v>13.4</v>
      </c>
      <c r="N25" s="3">
        <f t="shared" si="47"/>
        <v>2468.75</v>
      </c>
      <c r="O25" s="3">
        <v>11850</v>
      </c>
      <c r="P25" s="6">
        <v>4.8</v>
      </c>
      <c r="Q25" s="3">
        <f t="shared" si="48"/>
        <v>2131.1627906976746</v>
      </c>
      <c r="R25" s="3">
        <v>45820</v>
      </c>
      <c r="S25" s="6">
        <v>21.5</v>
      </c>
      <c r="T25" s="3">
        <f t="shared" si="49"/>
        <v>2045.8805031446541</v>
      </c>
      <c r="U25" s="3">
        <v>65059</v>
      </c>
      <c r="V25" s="6">
        <v>31.8</v>
      </c>
      <c r="W25" s="3">
        <f t="shared" si="50"/>
        <v>1919.0607734806629</v>
      </c>
      <c r="X25" s="3">
        <v>34735</v>
      </c>
      <c r="Y25" s="6">
        <v>18.100000000000001</v>
      </c>
      <c r="Z25" s="3">
        <f t="shared" si="51"/>
        <v>2694.0588235294117</v>
      </c>
      <c r="AA25" s="3">
        <v>45799</v>
      </c>
      <c r="AB25" s="6">
        <v>17</v>
      </c>
      <c r="AC25" s="3">
        <f t="shared" si="52"/>
        <v>2123.2673267326732</v>
      </c>
      <c r="AD25" s="3">
        <v>21445</v>
      </c>
      <c r="AE25" s="6">
        <v>10.1</v>
      </c>
      <c r="AF25" s="3">
        <f t="shared" si="53"/>
        <v>2940.3846153846152</v>
      </c>
      <c r="AG25" s="3">
        <v>30580</v>
      </c>
      <c r="AH25" s="6">
        <v>10.4</v>
      </c>
      <c r="AI25" s="3">
        <f t="shared" si="54"/>
        <v>1664.051282051282</v>
      </c>
      <c r="AJ25" s="3">
        <v>32449</v>
      </c>
      <c r="AK25" s="6">
        <v>19.5</v>
      </c>
      <c r="AL25" s="3">
        <f t="shared" si="55"/>
        <v>1740.1834862385319</v>
      </c>
      <c r="AM25" s="3">
        <v>18968</v>
      </c>
      <c r="AN25" s="6">
        <v>10.9</v>
      </c>
      <c r="AO25" s="3">
        <f t="shared" si="37"/>
        <v>2050.9801633605598</v>
      </c>
      <c r="AP25" s="3">
        <f t="shared" si="42"/>
        <v>351538</v>
      </c>
      <c r="AQ25" s="6">
        <f t="shared" si="43"/>
        <v>171.4</v>
      </c>
      <c r="AR25" s="3"/>
      <c r="AS25" s="3"/>
      <c r="AT25" s="3"/>
      <c r="AU25" s="3"/>
      <c r="AV25" s="3"/>
      <c r="AW25" s="3"/>
      <c r="AX25" s="3"/>
      <c r="AY25" s="3"/>
      <c r="AZ25" s="3"/>
      <c r="BA25" s="3"/>
      <c r="BB25" s="3"/>
      <c r="BC25" s="3"/>
      <c r="BD25" s="3"/>
      <c r="BE25" s="3"/>
      <c r="BF25" s="3"/>
      <c r="BG25" s="3"/>
      <c r="BH25" s="3"/>
      <c r="BI25" s="3"/>
      <c r="BJ25" s="3"/>
      <c r="BK25" s="3"/>
      <c r="BL25" s="3"/>
      <c r="BM25" s="3"/>
      <c r="BN25" s="3"/>
      <c r="BO25" s="3"/>
    </row>
    <row r="26" spans="1:67" x14ac:dyDescent="0.3">
      <c r="A26" s="9" t="s">
        <v>49</v>
      </c>
      <c r="B26" s="34"/>
      <c r="C26" s="34"/>
      <c r="D26" s="34"/>
      <c r="E26" s="3">
        <f t="shared" si="44"/>
        <v>1544.6370967741934</v>
      </c>
      <c r="F26" s="3">
        <v>38307</v>
      </c>
      <c r="G26" s="6">
        <v>24.8</v>
      </c>
      <c r="H26" s="3">
        <f t="shared" si="45"/>
        <v>1351.7391304347827</v>
      </c>
      <c r="I26" s="3">
        <v>3109</v>
      </c>
      <c r="J26" s="6">
        <v>2.2999999999999998</v>
      </c>
      <c r="K26" s="3">
        <f t="shared" si="46"/>
        <v>1543.5398230088495</v>
      </c>
      <c r="L26" s="3">
        <v>17442</v>
      </c>
      <c r="M26" s="6">
        <v>11.3</v>
      </c>
      <c r="N26" s="3">
        <f t="shared" si="47"/>
        <v>1453.015873015873</v>
      </c>
      <c r="O26" s="3">
        <v>9154</v>
      </c>
      <c r="P26" s="6">
        <v>6.3</v>
      </c>
      <c r="Q26" s="3">
        <f t="shared" si="48"/>
        <v>1698.8</v>
      </c>
      <c r="R26" s="3">
        <v>16988</v>
      </c>
      <c r="S26" s="6">
        <v>10</v>
      </c>
      <c r="T26" s="3">
        <f t="shared" si="49"/>
        <v>2207.0048309178746</v>
      </c>
      <c r="U26" s="3">
        <v>45685</v>
      </c>
      <c r="V26" s="6">
        <v>20.7</v>
      </c>
      <c r="W26" s="3">
        <f t="shared" si="50"/>
        <v>1692.6582278481012</v>
      </c>
      <c r="X26" s="3">
        <v>13372</v>
      </c>
      <c r="Y26" s="6">
        <v>7.9</v>
      </c>
      <c r="Z26" s="3">
        <f t="shared" si="51"/>
        <v>1323.6734693877549</v>
      </c>
      <c r="AA26" s="3">
        <v>6486</v>
      </c>
      <c r="AB26" s="6">
        <v>4.9000000000000004</v>
      </c>
      <c r="AC26" s="3">
        <f t="shared" si="52"/>
        <v>1534.4394618834081</v>
      </c>
      <c r="AD26" s="3">
        <v>34218</v>
      </c>
      <c r="AE26" s="6">
        <v>22.3</v>
      </c>
      <c r="AF26" s="3">
        <f t="shared" si="53"/>
        <v>1997.802197802198</v>
      </c>
      <c r="AG26" s="3">
        <v>36360</v>
      </c>
      <c r="AH26" s="6">
        <v>18.2</v>
      </c>
      <c r="AI26" s="3">
        <f t="shared" si="54"/>
        <v>1465.2</v>
      </c>
      <c r="AJ26" s="3">
        <v>3663</v>
      </c>
      <c r="AK26" s="6">
        <v>2.5</v>
      </c>
      <c r="AL26" s="3">
        <f t="shared" si="55"/>
        <v>2165.373134328358</v>
      </c>
      <c r="AM26" s="3">
        <v>14508</v>
      </c>
      <c r="AN26" s="6">
        <v>6.7</v>
      </c>
      <c r="AO26" s="3">
        <f t="shared" si="37"/>
        <v>1735.2574329224074</v>
      </c>
      <c r="AP26" s="3">
        <f t="shared" si="42"/>
        <v>239292</v>
      </c>
      <c r="AQ26" s="6">
        <f t="shared" si="43"/>
        <v>137.9</v>
      </c>
      <c r="AR26" s="3"/>
      <c r="AS26" s="3"/>
      <c r="AT26" s="3"/>
      <c r="AU26" s="3"/>
      <c r="AV26" s="3"/>
      <c r="AW26" s="3"/>
      <c r="AX26" s="3"/>
      <c r="AY26" s="3"/>
      <c r="AZ26" s="3"/>
      <c r="BA26" s="3"/>
      <c r="BB26" s="3"/>
      <c r="BC26" s="3"/>
      <c r="BD26" s="3"/>
      <c r="BE26" s="3"/>
      <c r="BF26" s="3"/>
      <c r="BG26" s="3"/>
      <c r="BH26" s="3"/>
      <c r="BI26" s="3"/>
      <c r="BJ26" s="3"/>
      <c r="BK26" s="3"/>
      <c r="BL26" s="3"/>
      <c r="BM26" s="3"/>
      <c r="BN26" s="3"/>
      <c r="BO26" s="3"/>
    </row>
    <row r="27" spans="1:67" x14ac:dyDescent="0.3">
      <c r="A27" s="9" t="s">
        <v>33</v>
      </c>
      <c r="B27" s="34"/>
      <c r="C27" s="34"/>
      <c r="D27" s="34"/>
      <c r="E27" s="3">
        <f t="shared" si="44"/>
        <v>1345.3309481216459</v>
      </c>
      <c r="F27" s="3">
        <v>75204</v>
      </c>
      <c r="G27" s="6">
        <v>55.9</v>
      </c>
      <c r="H27" s="3">
        <f t="shared" si="45"/>
        <v>1453.6888888888889</v>
      </c>
      <c r="I27" s="3">
        <v>98124</v>
      </c>
      <c r="J27" s="6">
        <v>67.5</v>
      </c>
      <c r="K27" s="3">
        <f t="shared" si="46"/>
        <v>1253.141402271837</v>
      </c>
      <c r="L27" s="3">
        <v>319927</v>
      </c>
      <c r="M27" s="6">
        <v>255.3</v>
      </c>
      <c r="N27" s="3">
        <f t="shared" si="47"/>
        <v>1324.3540819518298</v>
      </c>
      <c r="O27" s="3">
        <v>423396</v>
      </c>
      <c r="P27" s="6">
        <v>319.7</v>
      </c>
      <c r="Q27" s="3">
        <f t="shared" si="48"/>
        <v>1434.4</v>
      </c>
      <c r="R27" s="3">
        <v>408804</v>
      </c>
      <c r="S27" s="6">
        <v>285</v>
      </c>
      <c r="T27" s="3">
        <f t="shared" si="49"/>
        <v>2371.3778705636746</v>
      </c>
      <c r="U27" s="3">
        <v>227178</v>
      </c>
      <c r="V27" s="6">
        <v>95.8</v>
      </c>
      <c r="W27" s="3">
        <f t="shared" si="50"/>
        <v>3054.5137614678897</v>
      </c>
      <c r="X27" s="3">
        <v>166471</v>
      </c>
      <c r="Y27" s="6">
        <v>54.5</v>
      </c>
      <c r="Z27" s="3">
        <f t="shared" si="51"/>
        <v>2612.3279648609077</v>
      </c>
      <c r="AA27" s="3">
        <v>178422</v>
      </c>
      <c r="AB27" s="6">
        <v>68.3</v>
      </c>
      <c r="AC27" s="3">
        <f t="shared" si="52"/>
        <v>2587.2106824925813</v>
      </c>
      <c r="AD27" s="3">
        <v>174378</v>
      </c>
      <c r="AE27" s="6">
        <v>67.400000000000006</v>
      </c>
      <c r="AF27" s="3">
        <f t="shared" si="53"/>
        <v>1539.448636099826</v>
      </c>
      <c r="AG27" s="3">
        <v>1591482</v>
      </c>
      <c r="AH27" s="6">
        <v>1033.8</v>
      </c>
      <c r="AI27" s="3">
        <f t="shared" si="54"/>
        <v>2273.3271028037384</v>
      </c>
      <c r="AJ27" s="3">
        <v>121623</v>
      </c>
      <c r="AK27" s="6">
        <v>53.5</v>
      </c>
      <c r="AL27" s="3">
        <f t="shared" si="55"/>
        <v>2313.125</v>
      </c>
      <c r="AM27" s="3">
        <v>11103</v>
      </c>
      <c r="AN27" s="6">
        <v>4.8</v>
      </c>
      <c r="AO27" s="3">
        <f t="shared" si="37"/>
        <v>1607.500317594749</v>
      </c>
      <c r="AP27" s="3">
        <f t="shared" si="42"/>
        <v>3796112</v>
      </c>
      <c r="AQ27" s="6">
        <f t="shared" si="43"/>
        <v>2361.5</v>
      </c>
      <c r="AR27" s="3"/>
      <c r="AS27" s="3"/>
      <c r="AT27" s="3"/>
      <c r="AU27" s="3"/>
      <c r="AV27" s="3"/>
      <c r="AW27" s="3"/>
      <c r="AX27" s="3"/>
      <c r="AY27" s="3"/>
      <c r="AZ27" s="3"/>
      <c r="BA27" s="3"/>
      <c r="BB27" s="3"/>
      <c r="BC27" s="3"/>
      <c r="BD27" s="3"/>
      <c r="BE27" s="3"/>
      <c r="BF27" s="3"/>
      <c r="BG27" s="3"/>
      <c r="BH27" s="3"/>
      <c r="BI27" s="3"/>
      <c r="BJ27" s="3"/>
      <c r="BK27" s="3"/>
      <c r="BL27" s="3"/>
      <c r="BM27" s="3"/>
      <c r="BN27" s="3"/>
      <c r="BO27" s="3"/>
    </row>
    <row r="28" spans="1:67" x14ac:dyDescent="0.3">
      <c r="A28" s="9" t="s">
        <v>40</v>
      </c>
      <c r="B28" s="34"/>
      <c r="C28" s="34"/>
      <c r="D28" s="34"/>
      <c r="E28" s="3" t="e">
        <f t="shared" si="44"/>
        <v>#DIV/0!</v>
      </c>
      <c r="F28" s="3">
        <v>0</v>
      </c>
      <c r="G28" s="6">
        <v>0</v>
      </c>
      <c r="H28" s="3" t="e">
        <f t="shared" si="45"/>
        <v>#DIV/0!</v>
      </c>
      <c r="I28" s="3">
        <v>0</v>
      </c>
      <c r="J28" s="6">
        <v>0</v>
      </c>
      <c r="K28" s="3">
        <f t="shared" si="46"/>
        <v>1635.5076923076922</v>
      </c>
      <c r="L28" s="3">
        <v>53154</v>
      </c>
      <c r="M28" s="6">
        <v>32.5</v>
      </c>
      <c r="N28" s="3" t="e">
        <f t="shared" si="47"/>
        <v>#DIV/0!</v>
      </c>
      <c r="O28" s="3">
        <v>0</v>
      </c>
      <c r="P28" s="6">
        <v>0</v>
      </c>
      <c r="Q28" s="3">
        <f t="shared" si="48"/>
        <v>3280</v>
      </c>
      <c r="R28" s="3">
        <v>9840</v>
      </c>
      <c r="S28" s="6">
        <v>3</v>
      </c>
      <c r="T28" s="3">
        <f t="shared" si="49"/>
        <v>5400</v>
      </c>
      <c r="U28" s="3">
        <v>2700</v>
      </c>
      <c r="V28" s="6">
        <v>0.5</v>
      </c>
      <c r="W28" s="3">
        <f t="shared" si="50"/>
        <v>2033.75</v>
      </c>
      <c r="X28" s="3">
        <v>3254</v>
      </c>
      <c r="Y28" s="6">
        <v>1.6</v>
      </c>
      <c r="Z28" s="3">
        <f t="shared" si="51"/>
        <v>2790</v>
      </c>
      <c r="AA28" s="3">
        <v>4185</v>
      </c>
      <c r="AB28" s="6">
        <v>1.5</v>
      </c>
      <c r="AC28" s="3">
        <f t="shared" si="52"/>
        <v>2016.1538461538462</v>
      </c>
      <c r="AD28" s="3">
        <v>41936</v>
      </c>
      <c r="AE28" s="6">
        <v>20.8</v>
      </c>
      <c r="AF28" s="3" t="e">
        <f t="shared" si="53"/>
        <v>#DIV/0!</v>
      </c>
      <c r="AG28" s="3">
        <v>0</v>
      </c>
      <c r="AH28" s="6">
        <v>0</v>
      </c>
      <c r="AI28" s="3">
        <f t="shared" si="54"/>
        <v>2396.4516129032259</v>
      </c>
      <c r="AJ28" s="3">
        <v>52003</v>
      </c>
      <c r="AK28" s="6">
        <v>21.7</v>
      </c>
      <c r="AL28" s="3">
        <f t="shared" si="55"/>
        <v>2416.0975609756101</v>
      </c>
      <c r="AM28" s="3">
        <v>9906</v>
      </c>
      <c r="AN28" s="6">
        <v>4.0999999999999996</v>
      </c>
      <c r="AO28" s="3">
        <f t="shared" si="37"/>
        <v>2065.0875145857644</v>
      </c>
      <c r="AP28" s="3">
        <f t="shared" si="42"/>
        <v>176978</v>
      </c>
      <c r="AQ28" s="6">
        <f t="shared" si="43"/>
        <v>85.7</v>
      </c>
      <c r="AR28" s="3"/>
      <c r="AS28" s="3"/>
      <c r="AT28" s="3"/>
      <c r="AU28" s="3"/>
      <c r="AV28" s="3"/>
      <c r="AW28" s="3"/>
      <c r="AX28" s="3"/>
      <c r="AY28" s="3"/>
      <c r="AZ28" s="3"/>
      <c r="BA28" s="3"/>
      <c r="BB28" s="3"/>
      <c r="BC28" s="3"/>
      <c r="BD28" s="3"/>
      <c r="BE28" s="3"/>
      <c r="BF28" s="3"/>
      <c r="BG28" s="3"/>
      <c r="BH28" s="3"/>
      <c r="BI28" s="3"/>
      <c r="BJ28" s="3"/>
      <c r="BK28" s="3"/>
      <c r="BL28" s="3"/>
      <c r="BM28" s="3"/>
      <c r="BN28" s="3"/>
      <c r="BO28" s="3"/>
    </row>
    <row r="29" spans="1:67" x14ac:dyDescent="0.3">
      <c r="A29" s="9" t="s">
        <v>63</v>
      </c>
      <c r="B29" s="34"/>
      <c r="C29" s="34"/>
      <c r="D29" s="34"/>
      <c r="E29" s="3" t="e">
        <f t="shared" si="44"/>
        <v>#DIV/0!</v>
      </c>
      <c r="F29" s="3">
        <v>0</v>
      </c>
      <c r="G29" s="6">
        <v>0</v>
      </c>
      <c r="H29" s="3">
        <f t="shared" si="45"/>
        <v>1849</v>
      </c>
      <c r="I29" s="3">
        <v>3698</v>
      </c>
      <c r="J29" s="6">
        <v>2</v>
      </c>
      <c r="K29" s="3">
        <f t="shared" si="46"/>
        <v>1812.9411764705883</v>
      </c>
      <c r="L29" s="3">
        <v>3082</v>
      </c>
      <c r="M29" s="6">
        <v>1.7</v>
      </c>
      <c r="N29" s="3">
        <f t="shared" si="47"/>
        <v>1812.9411764705883</v>
      </c>
      <c r="O29" s="3">
        <v>3082</v>
      </c>
      <c r="P29" s="6">
        <v>1.7</v>
      </c>
      <c r="Q29" s="3">
        <f t="shared" si="48"/>
        <v>1952</v>
      </c>
      <c r="R29" s="3">
        <v>2928</v>
      </c>
      <c r="S29" s="6">
        <v>1.5</v>
      </c>
      <c r="T29" s="3">
        <f t="shared" si="49"/>
        <v>2390.454545454545</v>
      </c>
      <c r="U29" s="3">
        <v>5259</v>
      </c>
      <c r="V29" s="6">
        <v>2.2000000000000002</v>
      </c>
      <c r="W29" s="3" t="e">
        <f t="shared" si="50"/>
        <v>#DIV/0!</v>
      </c>
      <c r="X29" s="3">
        <v>0</v>
      </c>
      <c r="Y29" s="6">
        <v>0</v>
      </c>
      <c r="Z29" s="3" t="e">
        <f t="shared" si="51"/>
        <v>#DIV/0!</v>
      </c>
      <c r="AA29" s="3">
        <v>0</v>
      </c>
      <c r="AB29" s="6">
        <v>0</v>
      </c>
      <c r="AC29" s="3">
        <f t="shared" si="52"/>
        <v>2864.9999999999995</v>
      </c>
      <c r="AD29" s="3">
        <v>6303</v>
      </c>
      <c r="AE29" s="6">
        <v>2.2000000000000002</v>
      </c>
      <c r="AF29" s="3">
        <f t="shared" si="53"/>
        <v>2876.2222222222222</v>
      </c>
      <c r="AG29" s="3">
        <v>12943</v>
      </c>
      <c r="AH29" s="6">
        <v>4.5</v>
      </c>
      <c r="AI29" s="3" t="e">
        <f t="shared" si="54"/>
        <v>#DIV/0!</v>
      </c>
      <c r="AJ29" s="3">
        <v>0</v>
      </c>
      <c r="AK29" s="6">
        <v>0</v>
      </c>
      <c r="AL29" s="3">
        <f t="shared" si="55"/>
        <v>3226.25</v>
      </c>
      <c r="AM29" s="3">
        <v>7743</v>
      </c>
      <c r="AN29" s="6">
        <v>2.4</v>
      </c>
      <c r="AO29" s="3">
        <f t="shared" si="37"/>
        <v>2474.6153846153848</v>
      </c>
      <c r="AP29" s="3">
        <f t="shared" si="42"/>
        <v>45038</v>
      </c>
      <c r="AQ29" s="6">
        <f t="shared" si="43"/>
        <v>18.2</v>
      </c>
      <c r="AR29" s="3"/>
      <c r="AS29" s="3"/>
      <c r="AT29" s="3"/>
      <c r="AU29" s="3"/>
      <c r="AV29" s="3"/>
      <c r="AW29" s="3"/>
      <c r="AX29" s="3"/>
      <c r="AY29" s="3"/>
      <c r="AZ29" s="3"/>
      <c r="BA29" s="3"/>
      <c r="BB29" s="3"/>
      <c r="BC29" s="3"/>
      <c r="BD29" s="3"/>
      <c r="BE29" s="3"/>
      <c r="BF29" s="3"/>
      <c r="BG29" s="3"/>
      <c r="BH29" s="3"/>
      <c r="BI29" s="3"/>
      <c r="BJ29" s="3"/>
      <c r="BK29" s="3"/>
      <c r="BL29" s="3"/>
      <c r="BM29" s="3"/>
      <c r="BN29" s="3"/>
      <c r="BO29" s="3"/>
    </row>
    <row r="30" spans="1:67" x14ac:dyDescent="0.3">
      <c r="A30" s="9" t="s">
        <v>26</v>
      </c>
      <c r="B30" s="34"/>
      <c r="C30" s="34"/>
      <c r="D30" s="34"/>
      <c r="E30" s="3" t="e">
        <f t="shared" si="44"/>
        <v>#DIV/0!</v>
      </c>
      <c r="F30" s="3">
        <v>0</v>
      </c>
      <c r="G30" s="6">
        <v>0</v>
      </c>
      <c r="H30" s="3" t="e">
        <f t="shared" si="45"/>
        <v>#DIV/0!</v>
      </c>
      <c r="I30" s="3">
        <v>0</v>
      </c>
      <c r="J30" s="6">
        <v>0</v>
      </c>
      <c r="K30" s="3" t="e">
        <f t="shared" si="46"/>
        <v>#DIV/0!</v>
      </c>
      <c r="L30" s="3">
        <v>0</v>
      </c>
      <c r="M30" s="6">
        <v>0</v>
      </c>
      <c r="N30" s="3" t="e">
        <f t="shared" si="47"/>
        <v>#DIV/0!</v>
      </c>
      <c r="O30" s="3">
        <v>0</v>
      </c>
      <c r="P30" s="6">
        <v>0</v>
      </c>
      <c r="Q30" s="3" t="e">
        <f t="shared" si="48"/>
        <v>#DIV/0!</v>
      </c>
      <c r="R30" s="3">
        <v>0</v>
      </c>
      <c r="S30" s="6">
        <v>0</v>
      </c>
      <c r="T30" s="3" t="e">
        <f t="shared" si="49"/>
        <v>#DIV/0!</v>
      </c>
      <c r="U30" s="3">
        <v>0</v>
      </c>
      <c r="V30" s="6">
        <v>0</v>
      </c>
      <c r="W30" s="3" t="e">
        <f t="shared" si="50"/>
        <v>#DIV/0!</v>
      </c>
      <c r="X30" s="3">
        <v>0</v>
      </c>
      <c r="Y30" s="6">
        <v>0</v>
      </c>
      <c r="Z30" s="3" t="e">
        <f t="shared" si="51"/>
        <v>#DIV/0!</v>
      </c>
      <c r="AA30" s="3">
        <v>0</v>
      </c>
      <c r="AB30" s="6">
        <v>0</v>
      </c>
      <c r="AC30" s="3">
        <f t="shared" si="52"/>
        <v>2501.875</v>
      </c>
      <c r="AD30" s="3">
        <v>4003</v>
      </c>
      <c r="AE30" s="6">
        <v>1.6</v>
      </c>
      <c r="AF30" s="3">
        <f t="shared" si="53"/>
        <v>2590</v>
      </c>
      <c r="AG30" s="3">
        <v>4403</v>
      </c>
      <c r="AH30" s="6">
        <v>1.7</v>
      </c>
      <c r="AI30" s="3">
        <f t="shared" si="54"/>
        <v>2423.125</v>
      </c>
      <c r="AJ30" s="3">
        <v>7754</v>
      </c>
      <c r="AK30" s="6">
        <v>3.2</v>
      </c>
      <c r="AL30" s="3">
        <f t="shared" si="55"/>
        <v>2423.3333333333335</v>
      </c>
      <c r="AM30" s="3">
        <v>2908</v>
      </c>
      <c r="AN30" s="6">
        <v>1.2</v>
      </c>
      <c r="AO30" s="3">
        <f t="shared" si="37"/>
        <v>2476.3636363636365</v>
      </c>
      <c r="AP30" s="3">
        <f t="shared" si="42"/>
        <v>19068</v>
      </c>
      <c r="AQ30" s="6">
        <f t="shared" si="43"/>
        <v>7.7</v>
      </c>
      <c r="AR30" s="3"/>
      <c r="AS30" s="3"/>
      <c r="AT30" s="3"/>
      <c r="AU30" s="3"/>
      <c r="AV30" s="3"/>
      <c r="AW30" s="3"/>
      <c r="AX30" s="3"/>
      <c r="AY30" s="3"/>
      <c r="AZ30" s="3"/>
      <c r="BA30" s="3"/>
      <c r="BB30" s="3"/>
      <c r="BC30" s="3"/>
      <c r="BD30" s="3"/>
      <c r="BE30" s="3"/>
      <c r="BF30" s="3"/>
      <c r="BG30" s="3"/>
      <c r="BH30" s="3"/>
      <c r="BI30" s="3"/>
      <c r="BJ30" s="3"/>
      <c r="BK30" s="3"/>
      <c r="BL30" s="3"/>
      <c r="BM30" s="3"/>
      <c r="BN30" s="3"/>
      <c r="BO30" s="3"/>
    </row>
    <row r="31" spans="1:67" x14ac:dyDescent="0.3">
      <c r="A31" s="9" t="s">
        <v>79</v>
      </c>
      <c r="B31" s="34"/>
      <c r="C31" s="34"/>
      <c r="D31" s="34"/>
      <c r="E31" s="3" t="e">
        <f t="shared" si="44"/>
        <v>#DIV/0!</v>
      </c>
      <c r="F31" s="3">
        <v>0</v>
      </c>
      <c r="G31" s="6">
        <v>0</v>
      </c>
      <c r="H31" s="3">
        <f t="shared" si="45"/>
        <v>1939.4117647058824</v>
      </c>
      <c r="I31" s="3">
        <v>3297</v>
      </c>
      <c r="J31" s="6">
        <v>1.7</v>
      </c>
      <c r="K31" s="3" t="e">
        <f t="shared" si="46"/>
        <v>#DIV/0!</v>
      </c>
      <c r="L31" s="3">
        <v>0</v>
      </c>
      <c r="M31" s="6">
        <v>0</v>
      </c>
      <c r="N31" s="3">
        <f t="shared" si="47"/>
        <v>1927.8947368421054</v>
      </c>
      <c r="O31" s="3">
        <v>3663</v>
      </c>
      <c r="P31" s="6">
        <v>1.9</v>
      </c>
      <c r="Q31" s="3" t="e">
        <f t="shared" si="48"/>
        <v>#DIV/0!</v>
      </c>
      <c r="R31" s="3">
        <v>0</v>
      </c>
      <c r="S31" s="6">
        <v>0</v>
      </c>
      <c r="T31" s="3" t="e">
        <f t="shared" si="49"/>
        <v>#DIV/0!</v>
      </c>
      <c r="U31" s="3">
        <v>0</v>
      </c>
      <c r="V31" s="6">
        <v>0</v>
      </c>
      <c r="W31" s="3" t="e">
        <f t="shared" si="50"/>
        <v>#DIV/0!</v>
      </c>
      <c r="X31" s="3">
        <v>0</v>
      </c>
      <c r="Y31" s="6">
        <v>0</v>
      </c>
      <c r="Z31" s="3" t="e">
        <f t="shared" si="51"/>
        <v>#DIV/0!</v>
      </c>
      <c r="AA31" s="3">
        <v>0</v>
      </c>
      <c r="AB31" s="6">
        <v>0</v>
      </c>
      <c r="AC31" s="3" t="e">
        <f t="shared" si="52"/>
        <v>#DIV/0!</v>
      </c>
      <c r="AD31" s="3">
        <v>0</v>
      </c>
      <c r="AE31" s="6">
        <v>0</v>
      </c>
      <c r="AF31" s="3" t="e">
        <f t="shared" si="53"/>
        <v>#DIV/0!</v>
      </c>
      <c r="AG31" s="3">
        <v>0</v>
      </c>
      <c r="AH31" s="6">
        <v>0</v>
      </c>
      <c r="AI31" s="3" t="e">
        <f t="shared" si="54"/>
        <v>#DIV/0!</v>
      </c>
      <c r="AJ31" s="3">
        <v>0</v>
      </c>
      <c r="AK31" s="6">
        <v>0</v>
      </c>
      <c r="AL31" s="3" t="e">
        <f t="shared" si="55"/>
        <v>#DIV/0!</v>
      </c>
      <c r="AM31" s="3">
        <v>0</v>
      </c>
      <c r="AN31" s="6">
        <v>0</v>
      </c>
      <c r="AO31" s="3">
        <f t="shared" si="37"/>
        <v>1933.3333333333335</v>
      </c>
      <c r="AP31" s="3">
        <f t="shared" si="42"/>
        <v>6960</v>
      </c>
      <c r="AQ31" s="6">
        <f t="shared" si="43"/>
        <v>3.5999999999999996</v>
      </c>
      <c r="AR31" s="3"/>
      <c r="AS31" s="3"/>
      <c r="AT31" s="3"/>
      <c r="AU31" s="3"/>
      <c r="AV31" s="3"/>
      <c r="AW31" s="3"/>
      <c r="AX31" s="3"/>
      <c r="AY31" s="3"/>
      <c r="AZ31" s="3"/>
      <c r="BA31" s="3"/>
      <c r="BB31" s="3"/>
      <c r="BC31" s="3"/>
      <c r="BD31" s="3"/>
      <c r="BE31" s="3"/>
      <c r="BF31" s="3"/>
      <c r="BG31" s="3"/>
      <c r="BH31" s="3"/>
      <c r="BI31" s="3"/>
      <c r="BJ31" s="3"/>
      <c r="BK31" s="3"/>
      <c r="BL31" s="3"/>
      <c r="BM31" s="3"/>
      <c r="BN31" s="3"/>
      <c r="BO31" s="3"/>
    </row>
    <row r="32" spans="1:67" x14ac:dyDescent="0.3">
      <c r="A32" s="9" t="s">
        <v>80</v>
      </c>
      <c r="B32" s="34"/>
      <c r="C32" s="34"/>
      <c r="D32" s="34"/>
      <c r="E32" s="3" t="e">
        <f t="shared" si="44"/>
        <v>#DIV/0!</v>
      </c>
      <c r="F32" s="3">
        <v>0</v>
      </c>
      <c r="G32" s="6">
        <v>0</v>
      </c>
      <c r="H32" s="3">
        <f t="shared" si="45"/>
        <v>1677.9274611398964</v>
      </c>
      <c r="I32" s="3">
        <v>32384</v>
      </c>
      <c r="J32" s="6">
        <v>19.3</v>
      </c>
      <c r="K32" s="3" t="e">
        <f t="shared" si="46"/>
        <v>#DIV/0!</v>
      </c>
      <c r="L32" s="3">
        <v>0</v>
      </c>
      <c r="M32" s="6">
        <v>0</v>
      </c>
      <c r="N32" s="3" t="e">
        <f t="shared" si="47"/>
        <v>#DIV/0!</v>
      </c>
      <c r="O32" s="3">
        <v>0</v>
      </c>
      <c r="P32" s="6">
        <v>0</v>
      </c>
      <c r="Q32" s="3">
        <f t="shared" si="48"/>
        <v>1977</v>
      </c>
      <c r="R32" s="3">
        <v>3954</v>
      </c>
      <c r="S32" s="6">
        <v>2</v>
      </c>
      <c r="T32" s="3" t="e">
        <f t="shared" si="49"/>
        <v>#DIV/0!</v>
      </c>
      <c r="U32" s="3">
        <v>0</v>
      </c>
      <c r="V32" s="6">
        <v>0</v>
      </c>
      <c r="W32" s="3" t="e">
        <f t="shared" si="50"/>
        <v>#DIV/0!</v>
      </c>
      <c r="X32" s="3">
        <v>0</v>
      </c>
      <c r="Y32" s="6">
        <v>0</v>
      </c>
      <c r="Z32" s="3" t="e">
        <f t="shared" si="51"/>
        <v>#DIV/0!</v>
      </c>
      <c r="AA32" s="3">
        <v>0</v>
      </c>
      <c r="AB32" s="6">
        <v>0</v>
      </c>
      <c r="AC32" s="3" t="e">
        <f t="shared" si="52"/>
        <v>#DIV/0!</v>
      </c>
      <c r="AD32" s="3">
        <v>0</v>
      </c>
      <c r="AE32" s="6">
        <v>0</v>
      </c>
      <c r="AF32" s="3" t="e">
        <f t="shared" si="53"/>
        <v>#DIV/0!</v>
      </c>
      <c r="AG32" s="3">
        <v>0</v>
      </c>
      <c r="AH32" s="6">
        <v>0</v>
      </c>
      <c r="AI32" s="3">
        <f t="shared" si="54"/>
        <v>2411.25</v>
      </c>
      <c r="AJ32" s="3">
        <v>19290</v>
      </c>
      <c r="AK32" s="6">
        <v>8</v>
      </c>
      <c r="AL32" s="3" t="e">
        <f t="shared" si="55"/>
        <v>#DIV/0!</v>
      </c>
      <c r="AM32" s="3">
        <v>0</v>
      </c>
      <c r="AN32" s="6">
        <v>0</v>
      </c>
      <c r="AO32" s="3">
        <f t="shared" si="37"/>
        <v>1898.5665529010239</v>
      </c>
      <c r="AP32" s="3">
        <f t="shared" si="42"/>
        <v>55628</v>
      </c>
      <c r="AQ32" s="6">
        <f t="shared" si="43"/>
        <v>29.3</v>
      </c>
      <c r="AR32" s="3"/>
      <c r="AS32" s="3"/>
      <c r="AT32" s="3"/>
      <c r="AU32" s="3"/>
      <c r="AV32" s="3"/>
      <c r="AW32" s="3"/>
      <c r="AX32" s="3"/>
      <c r="AY32" s="3"/>
      <c r="AZ32" s="3"/>
      <c r="BA32" s="3"/>
      <c r="BB32" s="3"/>
      <c r="BC32" s="3"/>
      <c r="BD32" s="3"/>
      <c r="BE32" s="3"/>
      <c r="BF32" s="3"/>
      <c r="BG32" s="3"/>
      <c r="BH32" s="3"/>
      <c r="BI32" s="3"/>
      <c r="BJ32" s="3"/>
      <c r="BK32" s="3"/>
      <c r="BL32" s="3"/>
      <c r="BM32" s="3"/>
      <c r="BN32" s="3"/>
      <c r="BO32" s="3"/>
    </row>
    <row r="33" spans="1:67" x14ac:dyDescent="0.3">
      <c r="A33" s="9" t="s">
        <v>81</v>
      </c>
      <c r="B33" s="34"/>
      <c r="C33" s="34"/>
      <c r="D33" s="34"/>
      <c r="E33" s="3" t="e">
        <f t="shared" si="44"/>
        <v>#DIV/0!</v>
      </c>
      <c r="F33" s="3">
        <v>0</v>
      </c>
      <c r="G33" s="6">
        <v>0</v>
      </c>
      <c r="H33" s="3" t="e">
        <f t="shared" si="45"/>
        <v>#DIV/0!</v>
      </c>
      <c r="I33" s="3">
        <v>0</v>
      </c>
      <c r="J33" s="6">
        <v>0</v>
      </c>
      <c r="K33" s="3" t="e">
        <f t="shared" si="46"/>
        <v>#DIV/0!</v>
      </c>
      <c r="L33" s="3">
        <v>0</v>
      </c>
      <c r="M33" s="6">
        <v>0</v>
      </c>
      <c r="N33" s="3" t="e">
        <f t="shared" si="47"/>
        <v>#DIV/0!</v>
      </c>
      <c r="O33" s="3">
        <v>0</v>
      </c>
      <c r="P33" s="6">
        <v>0</v>
      </c>
      <c r="Q33" s="3">
        <f t="shared" si="48"/>
        <v>1888.0952380952381</v>
      </c>
      <c r="R33" s="3">
        <v>3965</v>
      </c>
      <c r="S33" s="6">
        <v>2.1</v>
      </c>
      <c r="T33" s="3" t="e">
        <f t="shared" si="49"/>
        <v>#DIV/0!</v>
      </c>
      <c r="U33" s="3">
        <v>0</v>
      </c>
      <c r="V33" s="6">
        <v>0</v>
      </c>
      <c r="W33" s="3" t="e">
        <f t="shared" si="50"/>
        <v>#DIV/0!</v>
      </c>
      <c r="X33" s="3">
        <v>0</v>
      </c>
      <c r="Y33" s="6">
        <v>0</v>
      </c>
      <c r="Z33" s="3" t="e">
        <f t="shared" si="51"/>
        <v>#DIV/0!</v>
      </c>
      <c r="AA33" s="3">
        <v>0</v>
      </c>
      <c r="AB33" s="6">
        <v>0</v>
      </c>
      <c r="AC33" s="3" t="e">
        <f t="shared" si="52"/>
        <v>#DIV/0!</v>
      </c>
      <c r="AD33" s="3">
        <v>0</v>
      </c>
      <c r="AE33" s="6">
        <v>0</v>
      </c>
      <c r="AF33" s="3" t="e">
        <f t="shared" si="53"/>
        <v>#DIV/0!</v>
      </c>
      <c r="AG33" s="3">
        <v>0</v>
      </c>
      <c r="AH33" s="6">
        <v>0</v>
      </c>
      <c r="AI33" s="3" t="e">
        <f t="shared" si="54"/>
        <v>#DIV/0!</v>
      </c>
      <c r="AJ33" s="3">
        <v>0</v>
      </c>
      <c r="AK33" s="6">
        <v>0</v>
      </c>
      <c r="AL33" s="3" t="e">
        <f t="shared" si="55"/>
        <v>#DIV/0!</v>
      </c>
      <c r="AM33" s="3">
        <v>0</v>
      </c>
      <c r="AN33" s="6">
        <v>0</v>
      </c>
      <c r="AO33" s="3">
        <f t="shared" si="37"/>
        <v>1888.0952380952381</v>
      </c>
      <c r="AP33" s="3">
        <f t="shared" si="42"/>
        <v>3965</v>
      </c>
      <c r="AQ33" s="6">
        <f t="shared" si="43"/>
        <v>2.1</v>
      </c>
      <c r="AR33" s="3"/>
      <c r="AS33" s="3"/>
      <c r="AT33" s="3"/>
      <c r="AU33" s="3"/>
      <c r="AV33" s="3"/>
      <c r="AW33" s="3"/>
      <c r="AX33" s="3"/>
      <c r="AY33" s="3"/>
      <c r="AZ33" s="3"/>
      <c r="BA33" s="3"/>
      <c r="BB33" s="3"/>
      <c r="BC33" s="3"/>
      <c r="BD33" s="3"/>
      <c r="BE33" s="3"/>
      <c r="BF33" s="3"/>
      <c r="BG33" s="3"/>
      <c r="BH33" s="3"/>
      <c r="BI33" s="3"/>
      <c r="BJ33" s="3"/>
      <c r="BK33" s="3"/>
      <c r="BL33" s="3"/>
      <c r="BM33" s="3"/>
      <c r="BN33" s="3"/>
      <c r="BO33" s="3"/>
    </row>
    <row r="34" spans="1:67" x14ac:dyDescent="0.3">
      <c r="A34" s="9" t="s">
        <v>28</v>
      </c>
      <c r="B34" s="34"/>
      <c r="C34" s="34"/>
      <c r="D34" s="34"/>
      <c r="E34" s="3" t="e">
        <f t="shared" si="44"/>
        <v>#DIV/0!</v>
      </c>
      <c r="F34" s="3">
        <v>0</v>
      </c>
      <c r="G34" s="6">
        <v>0</v>
      </c>
      <c r="H34" s="3" t="e">
        <f t="shared" si="45"/>
        <v>#DIV/0!</v>
      </c>
      <c r="I34" s="3">
        <v>0</v>
      </c>
      <c r="J34" s="6">
        <v>0</v>
      </c>
      <c r="K34" s="3" t="e">
        <f t="shared" si="46"/>
        <v>#DIV/0!</v>
      </c>
      <c r="L34" s="3">
        <v>0</v>
      </c>
      <c r="M34" s="6">
        <v>0</v>
      </c>
      <c r="N34" s="3">
        <f t="shared" si="47"/>
        <v>1793.6111111111111</v>
      </c>
      <c r="O34" s="3">
        <v>6457</v>
      </c>
      <c r="P34" s="6">
        <v>3.6</v>
      </c>
      <c r="Q34" s="3">
        <f t="shared" si="48"/>
        <v>2589.4736842105262</v>
      </c>
      <c r="R34" s="3">
        <v>14760</v>
      </c>
      <c r="S34" s="6">
        <v>5.7</v>
      </c>
      <c r="T34" s="3">
        <f t="shared" si="49"/>
        <v>2000.7818930041151</v>
      </c>
      <c r="U34" s="3">
        <v>48619</v>
      </c>
      <c r="V34" s="6">
        <v>24.3</v>
      </c>
      <c r="W34" s="3" t="e">
        <f t="shared" si="50"/>
        <v>#DIV/0!</v>
      </c>
      <c r="X34" s="3">
        <v>0</v>
      </c>
      <c r="Y34" s="6">
        <v>0</v>
      </c>
      <c r="Z34" s="3" t="e">
        <f t="shared" si="51"/>
        <v>#DIV/0!</v>
      </c>
      <c r="AA34" s="3">
        <v>0</v>
      </c>
      <c r="AB34" s="6">
        <v>0</v>
      </c>
      <c r="AC34" s="3" t="e">
        <f t="shared" si="52"/>
        <v>#DIV/0!</v>
      </c>
      <c r="AD34" s="3">
        <v>0</v>
      </c>
      <c r="AE34" s="6">
        <v>0</v>
      </c>
      <c r="AF34" s="3" t="e">
        <f t="shared" si="53"/>
        <v>#DIV/0!</v>
      </c>
      <c r="AG34" s="3">
        <v>0</v>
      </c>
      <c r="AH34" s="6">
        <v>0</v>
      </c>
      <c r="AI34" s="3">
        <f t="shared" si="54"/>
        <v>2980.7692307692305</v>
      </c>
      <c r="AJ34" s="3">
        <v>3875</v>
      </c>
      <c r="AK34" s="6">
        <v>1.3</v>
      </c>
      <c r="AL34" s="3" t="e">
        <f t="shared" si="55"/>
        <v>#DIV/0!</v>
      </c>
      <c r="AM34" s="3">
        <v>0</v>
      </c>
      <c r="AN34" s="6">
        <v>0</v>
      </c>
      <c r="AO34" s="3">
        <f t="shared" si="37"/>
        <v>2112.0630372492838</v>
      </c>
      <c r="AP34" s="3">
        <f t="shared" si="42"/>
        <v>73711</v>
      </c>
      <c r="AQ34" s="6">
        <f t="shared" si="43"/>
        <v>34.9</v>
      </c>
      <c r="AR34" s="3"/>
      <c r="AS34" s="3"/>
      <c r="AT34" s="3"/>
      <c r="AU34" s="3"/>
      <c r="AV34" s="3"/>
      <c r="AW34" s="3"/>
      <c r="AX34" s="3"/>
      <c r="AY34" s="3"/>
      <c r="AZ34" s="3"/>
      <c r="BA34" s="3"/>
      <c r="BB34" s="3"/>
      <c r="BC34" s="3"/>
      <c r="BD34" s="3"/>
      <c r="BE34" s="3"/>
      <c r="BF34" s="3"/>
      <c r="BG34" s="3"/>
      <c r="BH34" s="3"/>
      <c r="BI34" s="3"/>
      <c r="BJ34" s="3"/>
      <c r="BK34" s="3"/>
      <c r="BL34" s="3"/>
      <c r="BM34" s="3"/>
      <c r="BN34" s="3"/>
      <c r="BO34" s="3"/>
    </row>
    <row r="35" spans="1:67" x14ac:dyDescent="0.3">
      <c r="A35" s="9" t="s">
        <v>29</v>
      </c>
      <c r="B35" s="34"/>
      <c r="C35" s="34"/>
      <c r="D35" s="34"/>
      <c r="E35" s="3" t="e">
        <f t="shared" si="44"/>
        <v>#DIV/0!</v>
      </c>
      <c r="F35" s="3">
        <v>0</v>
      </c>
      <c r="G35" s="6">
        <v>0</v>
      </c>
      <c r="H35" s="3" t="e">
        <f t="shared" si="45"/>
        <v>#DIV/0!</v>
      </c>
      <c r="I35" s="3">
        <v>0</v>
      </c>
      <c r="J35" s="6">
        <v>0</v>
      </c>
      <c r="K35" s="3" t="e">
        <f t="shared" si="46"/>
        <v>#DIV/0!</v>
      </c>
      <c r="L35" s="3">
        <v>0</v>
      </c>
      <c r="M35" s="6">
        <v>0</v>
      </c>
      <c r="N35" s="3">
        <f t="shared" si="47"/>
        <v>2783.3333333333335</v>
      </c>
      <c r="O35" s="3">
        <v>3340</v>
      </c>
      <c r="P35" s="6">
        <v>1.2</v>
      </c>
      <c r="Q35" s="3" t="e">
        <f t="shared" si="48"/>
        <v>#DIV/0!</v>
      </c>
      <c r="R35" s="3">
        <v>0</v>
      </c>
      <c r="S35" s="6">
        <v>0</v>
      </c>
      <c r="T35" s="3" t="e">
        <f t="shared" si="49"/>
        <v>#DIV/0!</v>
      </c>
      <c r="U35" s="3">
        <v>0</v>
      </c>
      <c r="V35" s="6">
        <v>0</v>
      </c>
      <c r="W35" s="3" t="e">
        <f t="shared" si="50"/>
        <v>#DIV/0!</v>
      </c>
      <c r="X35" s="3">
        <v>0</v>
      </c>
      <c r="Y35" s="6">
        <v>0</v>
      </c>
      <c r="Z35" s="3" t="e">
        <f t="shared" si="51"/>
        <v>#DIV/0!</v>
      </c>
      <c r="AA35" s="3">
        <v>0</v>
      </c>
      <c r="AB35" s="6">
        <v>0</v>
      </c>
      <c r="AC35" s="3" t="e">
        <f t="shared" si="52"/>
        <v>#DIV/0!</v>
      </c>
      <c r="AD35" s="3">
        <v>0</v>
      </c>
      <c r="AE35" s="6">
        <v>0</v>
      </c>
      <c r="AF35" s="3" t="e">
        <f t="shared" si="53"/>
        <v>#DIV/0!</v>
      </c>
      <c r="AG35" s="3">
        <v>0</v>
      </c>
      <c r="AH35" s="6">
        <v>0</v>
      </c>
      <c r="AI35" s="3" t="e">
        <f t="shared" si="54"/>
        <v>#DIV/0!</v>
      </c>
      <c r="AJ35" s="3">
        <v>0</v>
      </c>
      <c r="AK35" s="6">
        <v>0</v>
      </c>
      <c r="AL35" s="3" t="e">
        <f t="shared" si="55"/>
        <v>#DIV/0!</v>
      </c>
      <c r="AM35" s="3">
        <v>0</v>
      </c>
      <c r="AN35" s="6">
        <v>0</v>
      </c>
      <c r="AO35" s="3">
        <f t="shared" si="37"/>
        <v>2783.3333333333335</v>
      </c>
      <c r="AP35" s="3">
        <f t="shared" si="42"/>
        <v>3340</v>
      </c>
      <c r="AQ35" s="6">
        <f t="shared" si="43"/>
        <v>1.2</v>
      </c>
      <c r="AR35" s="3"/>
      <c r="AS35" s="3"/>
      <c r="AT35" s="3"/>
      <c r="AU35" s="3"/>
      <c r="AV35" s="3"/>
      <c r="AW35" s="3"/>
      <c r="AX35" s="3"/>
      <c r="AY35" s="3"/>
      <c r="AZ35" s="3"/>
      <c r="BA35" s="3"/>
      <c r="BB35" s="3"/>
      <c r="BC35" s="3"/>
      <c r="BD35" s="3"/>
      <c r="BE35" s="3"/>
      <c r="BF35" s="3"/>
      <c r="BG35" s="3"/>
      <c r="BH35" s="3"/>
      <c r="BI35" s="3"/>
      <c r="BJ35" s="3"/>
      <c r="BK35" s="3"/>
      <c r="BL35" s="3"/>
      <c r="BM35" s="3"/>
      <c r="BN35" s="3"/>
      <c r="BO35" s="3"/>
    </row>
    <row r="36" spans="1:67" x14ac:dyDescent="0.3">
      <c r="A36" s="9" t="s">
        <v>61</v>
      </c>
      <c r="B36" s="34"/>
      <c r="C36" s="34"/>
      <c r="D36" s="34"/>
      <c r="E36" s="3">
        <f t="shared" si="44"/>
        <v>1617.2</v>
      </c>
      <c r="F36" s="3">
        <v>32344</v>
      </c>
      <c r="G36" s="6">
        <v>20</v>
      </c>
      <c r="H36" s="3">
        <f t="shared" si="45"/>
        <v>1747.6</v>
      </c>
      <c r="I36" s="3">
        <v>34952</v>
      </c>
      <c r="J36" s="6">
        <v>20</v>
      </c>
      <c r="K36" s="3" t="e">
        <f t="shared" si="46"/>
        <v>#DIV/0!</v>
      </c>
      <c r="L36" s="3">
        <v>0</v>
      </c>
      <c r="M36" s="6">
        <v>0</v>
      </c>
      <c r="N36" s="3">
        <f t="shared" si="47"/>
        <v>2098.4259259259256</v>
      </c>
      <c r="O36" s="3">
        <v>45326</v>
      </c>
      <c r="P36" s="6">
        <v>21.6</v>
      </c>
      <c r="Q36" s="3" t="e">
        <f t="shared" si="48"/>
        <v>#DIV/0!</v>
      </c>
      <c r="R36" s="3">
        <v>0</v>
      </c>
      <c r="S36" s="6">
        <v>0</v>
      </c>
      <c r="T36" s="3">
        <f t="shared" si="49"/>
        <v>2156.3333333333335</v>
      </c>
      <c r="U36" s="3">
        <v>12938</v>
      </c>
      <c r="V36" s="6">
        <v>6</v>
      </c>
      <c r="W36" s="3" t="e">
        <f t="shared" si="50"/>
        <v>#DIV/0!</v>
      </c>
      <c r="X36" s="3">
        <v>0</v>
      </c>
      <c r="Y36" s="6">
        <v>0</v>
      </c>
      <c r="Z36" s="3" t="e">
        <f t="shared" si="51"/>
        <v>#DIV/0!</v>
      </c>
      <c r="AA36" s="3">
        <v>0</v>
      </c>
      <c r="AB36" s="6">
        <v>0</v>
      </c>
      <c r="AC36" s="3" t="e">
        <f t="shared" si="52"/>
        <v>#DIV/0!</v>
      </c>
      <c r="AD36" s="3">
        <v>0</v>
      </c>
      <c r="AE36" s="6">
        <v>0</v>
      </c>
      <c r="AF36" s="3" t="e">
        <f t="shared" si="53"/>
        <v>#DIV/0!</v>
      </c>
      <c r="AG36" s="3">
        <v>0</v>
      </c>
      <c r="AH36" s="6">
        <v>0</v>
      </c>
      <c r="AI36" s="3" t="e">
        <f t="shared" si="54"/>
        <v>#DIV/0!</v>
      </c>
      <c r="AJ36" s="3">
        <v>0</v>
      </c>
      <c r="AK36" s="6">
        <v>0</v>
      </c>
      <c r="AL36" s="3" t="e">
        <f t="shared" si="55"/>
        <v>#DIV/0!</v>
      </c>
      <c r="AM36" s="3">
        <v>0</v>
      </c>
      <c r="AN36" s="6">
        <v>0</v>
      </c>
      <c r="AO36" s="3">
        <f t="shared" si="37"/>
        <v>1857.3964497041422</v>
      </c>
      <c r="AP36" s="3">
        <f t="shared" si="42"/>
        <v>125560</v>
      </c>
      <c r="AQ36" s="6">
        <f t="shared" si="43"/>
        <v>67.599999999999994</v>
      </c>
      <c r="AR36" s="3"/>
      <c r="AS36" s="3"/>
      <c r="AT36" s="3"/>
      <c r="AU36" s="3"/>
      <c r="AV36" s="3"/>
      <c r="AW36" s="3"/>
      <c r="AX36" s="3"/>
      <c r="AY36" s="3"/>
      <c r="AZ36" s="3"/>
      <c r="BA36" s="3"/>
      <c r="BB36" s="3"/>
      <c r="BC36" s="3"/>
      <c r="BD36" s="3"/>
      <c r="BE36" s="3"/>
      <c r="BF36" s="3"/>
      <c r="BG36" s="3"/>
      <c r="BH36" s="3"/>
      <c r="BI36" s="3"/>
      <c r="BJ36" s="3"/>
      <c r="BK36" s="3"/>
      <c r="BL36" s="3"/>
      <c r="BM36" s="3"/>
      <c r="BN36" s="3"/>
      <c r="BO36" s="3"/>
    </row>
    <row r="37" spans="1:67" x14ac:dyDescent="0.3">
      <c r="A37" s="9" t="s">
        <v>18</v>
      </c>
      <c r="B37" s="34"/>
      <c r="C37" s="34"/>
      <c r="D37" s="34"/>
      <c r="E37" s="3">
        <f t="shared" si="44"/>
        <v>1265.0930232558139</v>
      </c>
      <c r="F37" s="3">
        <v>54399</v>
      </c>
      <c r="G37" s="6">
        <v>43</v>
      </c>
      <c r="H37" s="3">
        <f t="shared" si="45"/>
        <v>1078.238341968912</v>
      </c>
      <c r="I37" s="3">
        <v>20810</v>
      </c>
      <c r="J37" s="6">
        <v>19.3</v>
      </c>
      <c r="K37" s="3">
        <f t="shared" si="46"/>
        <v>1362.5183374083131</v>
      </c>
      <c r="L37" s="3">
        <v>55727</v>
      </c>
      <c r="M37" s="6">
        <v>40.9</v>
      </c>
      <c r="N37" s="3">
        <f t="shared" si="47"/>
        <v>1201.4701492537313</v>
      </c>
      <c r="O37" s="3">
        <v>160997</v>
      </c>
      <c r="P37" s="6">
        <v>134</v>
      </c>
      <c r="Q37" s="3">
        <f t="shared" si="48"/>
        <v>1396.25</v>
      </c>
      <c r="R37" s="3">
        <v>55850</v>
      </c>
      <c r="S37" s="6">
        <v>40</v>
      </c>
      <c r="T37" s="3">
        <f t="shared" si="49"/>
        <v>3189.9152542372881</v>
      </c>
      <c r="U37" s="3">
        <v>37641</v>
      </c>
      <c r="V37" s="6">
        <v>11.8</v>
      </c>
      <c r="W37" s="3" t="e">
        <f t="shared" si="50"/>
        <v>#DIV/0!</v>
      </c>
      <c r="X37" s="3">
        <v>0</v>
      </c>
      <c r="Y37" s="6">
        <v>0</v>
      </c>
      <c r="Z37" s="3">
        <f t="shared" si="51"/>
        <v>6029.333333333333</v>
      </c>
      <c r="AA37" s="3">
        <v>9044</v>
      </c>
      <c r="AB37" s="6">
        <v>1.5</v>
      </c>
      <c r="AC37" s="3">
        <f t="shared" si="52"/>
        <v>3732.0481927710839</v>
      </c>
      <c r="AD37" s="3">
        <v>30976</v>
      </c>
      <c r="AE37" s="6">
        <v>8.3000000000000007</v>
      </c>
      <c r="AF37" s="3">
        <f t="shared" si="53"/>
        <v>4445.4838709677415</v>
      </c>
      <c r="AG37" s="3">
        <v>27562</v>
      </c>
      <c r="AH37" s="6">
        <v>6.2</v>
      </c>
      <c r="AI37" s="3">
        <f t="shared" si="54"/>
        <v>6152.8571428571431</v>
      </c>
      <c r="AJ37" s="3">
        <v>4307</v>
      </c>
      <c r="AK37" s="6">
        <v>0.7</v>
      </c>
      <c r="AL37" s="3" t="e">
        <f t="shared" si="55"/>
        <v>#DIV/0!</v>
      </c>
      <c r="AM37" s="3">
        <v>0</v>
      </c>
      <c r="AN37" s="6">
        <v>0</v>
      </c>
      <c r="AO37" s="3">
        <f t="shared" si="37"/>
        <v>1495.9535492312725</v>
      </c>
      <c r="AP37" s="3">
        <f t="shared" si="42"/>
        <v>457313</v>
      </c>
      <c r="AQ37" s="6">
        <f t="shared" si="43"/>
        <v>305.7</v>
      </c>
      <c r="AR37" s="3"/>
      <c r="AS37" s="3"/>
      <c r="AT37" s="3"/>
      <c r="AU37" s="3"/>
      <c r="AV37" s="3"/>
      <c r="AW37" s="3"/>
      <c r="AX37" s="3"/>
      <c r="AY37" s="3"/>
      <c r="AZ37" s="3"/>
      <c r="BA37" s="3"/>
      <c r="BB37" s="3"/>
      <c r="BC37" s="3"/>
      <c r="BD37" s="3"/>
      <c r="BE37" s="3"/>
      <c r="BF37" s="3"/>
      <c r="BG37" s="3"/>
      <c r="BH37" s="3"/>
      <c r="BI37" s="3"/>
      <c r="BJ37" s="3"/>
      <c r="BK37" s="3"/>
      <c r="BL37" s="3"/>
      <c r="BM37" s="3"/>
      <c r="BN37" s="3"/>
      <c r="BO37" s="3"/>
    </row>
    <row r="38" spans="1:67" x14ac:dyDescent="0.3">
      <c r="A38" s="9" t="s">
        <v>21</v>
      </c>
      <c r="B38" s="34"/>
      <c r="C38" s="34"/>
      <c r="D38" s="34"/>
      <c r="E38" s="3" t="e">
        <f t="shared" si="44"/>
        <v>#DIV/0!</v>
      </c>
      <c r="F38" s="3">
        <v>0</v>
      </c>
      <c r="G38" s="6">
        <v>0</v>
      </c>
      <c r="H38" s="3">
        <f t="shared" si="45"/>
        <v>1120.5114466634195</v>
      </c>
      <c r="I38" s="3">
        <v>690123</v>
      </c>
      <c r="J38" s="6">
        <v>615.9</v>
      </c>
      <c r="K38" s="3">
        <f t="shared" si="46"/>
        <v>1552.5</v>
      </c>
      <c r="L38" s="3">
        <v>21735</v>
      </c>
      <c r="M38" s="6">
        <v>14</v>
      </c>
      <c r="N38" s="3">
        <f t="shared" si="47"/>
        <v>1733.8277511961724</v>
      </c>
      <c r="O38" s="3">
        <v>36237</v>
      </c>
      <c r="P38" s="6">
        <v>20.9</v>
      </c>
      <c r="Q38" s="3" t="e">
        <f t="shared" si="48"/>
        <v>#DIV/0!</v>
      </c>
      <c r="R38" s="3">
        <v>0</v>
      </c>
      <c r="S38" s="6">
        <v>0</v>
      </c>
      <c r="T38" s="3">
        <f t="shared" si="49"/>
        <v>1439.0184049079753</v>
      </c>
      <c r="U38" s="3">
        <v>23456</v>
      </c>
      <c r="V38" s="6">
        <v>16.3</v>
      </c>
      <c r="W38" s="3" t="e">
        <f t="shared" si="50"/>
        <v>#DIV/0!</v>
      </c>
      <c r="X38" s="3">
        <v>0</v>
      </c>
      <c r="Y38" s="6">
        <v>0</v>
      </c>
      <c r="Z38" s="3">
        <f t="shared" si="51"/>
        <v>2542.105263157895</v>
      </c>
      <c r="AA38" s="3">
        <v>4830</v>
      </c>
      <c r="AB38" s="6">
        <v>1.9</v>
      </c>
      <c r="AC38" s="3">
        <f t="shared" si="52"/>
        <v>2366.782608695652</v>
      </c>
      <c r="AD38" s="3">
        <v>54436</v>
      </c>
      <c r="AE38" s="6">
        <v>23</v>
      </c>
      <c r="AF38" s="3" t="e">
        <f t="shared" si="53"/>
        <v>#DIV/0!</v>
      </c>
      <c r="AG38" s="3">
        <v>0</v>
      </c>
      <c r="AH38" s="6">
        <v>0</v>
      </c>
      <c r="AI38" s="3">
        <f t="shared" si="54"/>
        <v>1685.2040533037202</v>
      </c>
      <c r="AJ38" s="3">
        <v>1214021</v>
      </c>
      <c r="AK38" s="6">
        <v>720.4</v>
      </c>
      <c r="AL38" s="3" t="e">
        <f t="shared" si="55"/>
        <v>#DIV/0!</v>
      </c>
      <c r="AM38" s="3">
        <v>0</v>
      </c>
      <c r="AN38" s="6">
        <v>0</v>
      </c>
      <c r="AO38" s="3">
        <f t="shared" si="37"/>
        <v>1447.7754177286888</v>
      </c>
      <c r="AP38" s="3">
        <f t="shared" si="42"/>
        <v>2044838</v>
      </c>
      <c r="AQ38" s="6">
        <f t="shared" si="43"/>
        <v>1412.3999999999999</v>
      </c>
      <c r="AR38" s="3"/>
      <c r="AS38" s="3"/>
      <c r="AT38" s="3"/>
      <c r="AU38" s="3"/>
      <c r="AV38" s="3"/>
      <c r="AW38" s="3"/>
      <c r="AX38" s="3"/>
      <c r="AY38" s="3"/>
      <c r="AZ38" s="3"/>
      <c r="BA38" s="3"/>
      <c r="BB38" s="3"/>
      <c r="BC38" s="3"/>
      <c r="BD38" s="3"/>
      <c r="BE38" s="3"/>
      <c r="BF38" s="3"/>
      <c r="BG38" s="3"/>
      <c r="BH38" s="3"/>
      <c r="BI38" s="3"/>
      <c r="BJ38" s="3"/>
      <c r="BK38" s="3"/>
      <c r="BL38" s="3"/>
      <c r="BM38" s="3"/>
      <c r="BN38" s="3"/>
      <c r="BO38" s="3"/>
    </row>
    <row r="39" spans="1:67" x14ac:dyDescent="0.3">
      <c r="A39" s="9" t="s">
        <v>31</v>
      </c>
      <c r="B39" s="34"/>
      <c r="C39" s="34"/>
      <c r="D39" s="34"/>
      <c r="E39" s="3" t="e">
        <f t="shared" si="44"/>
        <v>#DIV/0!</v>
      </c>
      <c r="F39" s="3">
        <v>0</v>
      </c>
      <c r="G39" s="6">
        <v>0</v>
      </c>
      <c r="H39" s="3" t="e">
        <f t="shared" si="45"/>
        <v>#DIV/0!</v>
      </c>
      <c r="I39" s="3">
        <v>0</v>
      </c>
      <c r="J39" s="6">
        <v>0</v>
      </c>
      <c r="K39" s="3" t="e">
        <f t="shared" si="46"/>
        <v>#DIV/0!</v>
      </c>
      <c r="L39" s="3">
        <v>0</v>
      </c>
      <c r="M39" s="6">
        <v>0</v>
      </c>
      <c r="N39" s="3">
        <f t="shared" si="47"/>
        <v>2418.6666666666665</v>
      </c>
      <c r="O39" s="3">
        <v>3628</v>
      </c>
      <c r="P39" s="6">
        <v>1.5</v>
      </c>
      <c r="Q39" s="3" t="e">
        <f t="shared" si="48"/>
        <v>#DIV/0!</v>
      </c>
      <c r="R39" s="3">
        <v>0</v>
      </c>
      <c r="S39" s="6">
        <v>0</v>
      </c>
      <c r="T39" s="3" t="e">
        <f t="shared" si="49"/>
        <v>#DIV/0!</v>
      </c>
      <c r="U39" s="3">
        <v>0</v>
      </c>
      <c r="V39" s="6">
        <v>0</v>
      </c>
      <c r="W39" s="3" t="e">
        <f t="shared" si="50"/>
        <v>#DIV/0!</v>
      </c>
      <c r="X39" s="3">
        <v>0</v>
      </c>
      <c r="Y39" s="6">
        <v>0</v>
      </c>
      <c r="Z39" s="3" t="e">
        <f t="shared" si="51"/>
        <v>#DIV/0!</v>
      </c>
      <c r="AA39" s="3">
        <v>0</v>
      </c>
      <c r="AB39" s="6">
        <v>0</v>
      </c>
      <c r="AC39" s="3" t="e">
        <f t="shared" si="52"/>
        <v>#DIV/0!</v>
      </c>
      <c r="AD39" s="3">
        <v>0</v>
      </c>
      <c r="AE39" s="6">
        <v>0</v>
      </c>
      <c r="AF39" s="3" t="e">
        <f t="shared" si="53"/>
        <v>#DIV/0!</v>
      </c>
      <c r="AG39" s="3">
        <v>0</v>
      </c>
      <c r="AH39" s="6">
        <v>0</v>
      </c>
      <c r="AI39" s="3" t="e">
        <f t="shared" si="54"/>
        <v>#DIV/0!</v>
      </c>
      <c r="AJ39" s="3">
        <v>0</v>
      </c>
      <c r="AK39" s="6">
        <v>0</v>
      </c>
      <c r="AL39" s="3" t="e">
        <f t="shared" si="55"/>
        <v>#DIV/0!</v>
      </c>
      <c r="AM39" s="3">
        <v>0</v>
      </c>
      <c r="AN39" s="6">
        <v>0</v>
      </c>
      <c r="AO39" s="3">
        <f t="shared" si="37"/>
        <v>2418.6666666666665</v>
      </c>
      <c r="AP39" s="3">
        <f t="shared" si="42"/>
        <v>3628</v>
      </c>
      <c r="AQ39" s="6">
        <f t="shared" si="43"/>
        <v>1.5</v>
      </c>
      <c r="AR39" s="3"/>
      <c r="AS39" s="3"/>
      <c r="AT39" s="3"/>
      <c r="AU39" s="3"/>
      <c r="AV39" s="3"/>
      <c r="AW39" s="3"/>
      <c r="AX39" s="3"/>
      <c r="AY39" s="3"/>
      <c r="AZ39" s="3"/>
      <c r="BA39" s="3"/>
      <c r="BB39" s="3"/>
      <c r="BC39" s="3"/>
      <c r="BD39" s="3"/>
      <c r="BE39" s="3"/>
      <c r="BF39" s="3"/>
      <c r="BG39" s="3"/>
      <c r="BH39" s="3"/>
      <c r="BI39" s="3"/>
      <c r="BJ39" s="3"/>
      <c r="BK39" s="3"/>
      <c r="BL39" s="3"/>
      <c r="BM39" s="3"/>
      <c r="BN39" s="3"/>
      <c r="BO39" s="3"/>
    </row>
    <row r="40" spans="1:67" x14ac:dyDescent="0.3">
      <c r="A40" s="9" t="s">
        <v>82</v>
      </c>
      <c r="B40" s="34"/>
      <c r="C40" s="34"/>
      <c r="D40" s="34"/>
      <c r="E40" s="3" t="e">
        <f t="shared" si="44"/>
        <v>#DIV/0!</v>
      </c>
      <c r="F40" s="3">
        <v>0</v>
      </c>
      <c r="G40" s="6">
        <v>0</v>
      </c>
      <c r="H40" s="3" t="e">
        <f t="shared" si="45"/>
        <v>#DIV/0!</v>
      </c>
      <c r="I40" s="3">
        <v>0</v>
      </c>
      <c r="J40" s="6">
        <v>0</v>
      </c>
      <c r="K40" s="3" t="e">
        <f t="shared" si="46"/>
        <v>#DIV/0!</v>
      </c>
      <c r="L40" s="3">
        <v>0</v>
      </c>
      <c r="M40" s="6">
        <v>0</v>
      </c>
      <c r="N40" s="3" t="e">
        <f t="shared" si="47"/>
        <v>#DIV/0!</v>
      </c>
      <c r="O40" s="3">
        <v>0</v>
      </c>
      <c r="P40" s="6">
        <v>0</v>
      </c>
      <c r="Q40" s="3" t="e">
        <f t="shared" si="48"/>
        <v>#DIV/0!</v>
      </c>
      <c r="R40" s="3">
        <v>0</v>
      </c>
      <c r="S40" s="6">
        <v>0</v>
      </c>
      <c r="T40" s="3">
        <f t="shared" si="49"/>
        <v>1553.8461538461538</v>
      </c>
      <c r="U40" s="3">
        <v>4040</v>
      </c>
      <c r="V40" s="6">
        <v>2.6</v>
      </c>
      <c r="W40" s="3">
        <f t="shared" si="50"/>
        <v>1549.079754601227</v>
      </c>
      <c r="X40" s="3">
        <v>25250</v>
      </c>
      <c r="Y40" s="6">
        <v>16.3</v>
      </c>
      <c r="Z40" s="3">
        <f t="shared" si="51"/>
        <v>11362.5</v>
      </c>
      <c r="AA40" s="3">
        <v>4545</v>
      </c>
      <c r="AB40" s="6">
        <v>0.4</v>
      </c>
      <c r="AC40" s="3">
        <f t="shared" si="52"/>
        <v>7088.8888888888887</v>
      </c>
      <c r="AD40" s="3">
        <v>19140</v>
      </c>
      <c r="AE40" s="6">
        <v>2.7</v>
      </c>
      <c r="AF40" s="3" t="e">
        <f t="shared" si="53"/>
        <v>#DIV/0!</v>
      </c>
      <c r="AG40" s="3">
        <v>0</v>
      </c>
      <c r="AH40" s="6">
        <v>0</v>
      </c>
      <c r="AI40" s="3" t="e">
        <f t="shared" si="54"/>
        <v>#DIV/0!</v>
      </c>
      <c r="AJ40" s="3">
        <v>0</v>
      </c>
      <c r="AK40" s="6">
        <v>0</v>
      </c>
      <c r="AL40" s="3" t="e">
        <f t="shared" si="55"/>
        <v>#DIV/0!</v>
      </c>
      <c r="AM40" s="3">
        <v>0</v>
      </c>
      <c r="AN40" s="6">
        <v>0</v>
      </c>
      <c r="AO40" s="3">
        <f t="shared" si="37"/>
        <v>2407.9545454545455</v>
      </c>
      <c r="AP40" s="3">
        <f t="shared" si="42"/>
        <v>52975</v>
      </c>
      <c r="AQ40" s="6">
        <f t="shared" si="43"/>
        <v>22</v>
      </c>
      <c r="AR40" s="3"/>
      <c r="AS40" s="3"/>
      <c r="AT40" s="3"/>
      <c r="AU40" s="3"/>
      <c r="AV40" s="3"/>
      <c r="AW40" s="3"/>
      <c r="AX40" s="3"/>
      <c r="AY40" s="3"/>
      <c r="AZ40" s="3"/>
      <c r="BA40" s="3"/>
      <c r="BB40" s="3"/>
      <c r="BC40" s="3"/>
      <c r="BD40" s="3"/>
      <c r="BE40" s="3"/>
      <c r="BF40" s="3"/>
      <c r="BG40" s="3"/>
      <c r="BH40" s="3"/>
      <c r="BI40" s="3"/>
      <c r="BJ40" s="3"/>
      <c r="BK40" s="3"/>
      <c r="BL40" s="3"/>
      <c r="BM40" s="3"/>
      <c r="BN40" s="3"/>
      <c r="BO40" s="3"/>
    </row>
    <row r="41" spans="1:67" x14ac:dyDescent="0.3">
      <c r="A41" s="9" t="s">
        <v>72</v>
      </c>
      <c r="B41" s="34"/>
      <c r="C41" s="34"/>
      <c r="D41" s="34"/>
      <c r="E41" s="3">
        <f t="shared" si="44"/>
        <v>1119.9335826670106</v>
      </c>
      <c r="F41" s="3">
        <v>1736793</v>
      </c>
      <c r="G41" s="6">
        <v>1550.8</v>
      </c>
      <c r="H41" s="3">
        <f t="shared" si="45"/>
        <v>1488.1889763779529</v>
      </c>
      <c r="I41" s="3">
        <v>75600</v>
      </c>
      <c r="J41" s="6">
        <v>50.8</v>
      </c>
      <c r="K41" s="3" t="e">
        <f t="shared" si="46"/>
        <v>#DIV/0!</v>
      </c>
      <c r="L41" s="3">
        <v>0</v>
      </c>
      <c r="M41" s="6">
        <v>0</v>
      </c>
      <c r="N41" s="3" t="e">
        <f t="shared" si="47"/>
        <v>#DIV/0!</v>
      </c>
      <c r="O41" s="3">
        <v>0</v>
      </c>
      <c r="P41" s="6">
        <v>0</v>
      </c>
      <c r="Q41" s="3">
        <f t="shared" si="48"/>
        <v>2271.2820512820513</v>
      </c>
      <c r="R41" s="3">
        <v>8858</v>
      </c>
      <c r="S41" s="6">
        <v>3.9</v>
      </c>
      <c r="T41" s="3" t="e">
        <f t="shared" si="49"/>
        <v>#DIV/0!</v>
      </c>
      <c r="U41" s="3">
        <v>0</v>
      </c>
      <c r="V41" s="6">
        <v>0</v>
      </c>
      <c r="W41" s="3" t="e">
        <f t="shared" si="50"/>
        <v>#DIV/0!</v>
      </c>
      <c r="X41" s="3">
        <v>0</v>
      </c>
      <c r="Y41" s="6">
        <v>0</v>
      </c>
      <c r="Z41" s="3" t="e">
        <f t="shared" si="51"/>
        <v>#DIV/0!</v>
      </c>
      <c r="AA41" s="3">
        <v>0</v>
      </c>
      <c r="AB41" s="6">
        <v>0</v>
      </c>
      <c r="AC41" s="3" t="e">
        <f t="shared" si="52"/>
        <v>#DIV/0!</v>
      </c>
      <c r="AD41" s="3">
        <v>0</v>
      </c>
      <c r="AE41" s="6">
        <v>0</v>
      </c>
      <c r="AF41" s="3" t="e">
        <f t="shared" si="53"/>
        <v>#DIV/0!</v>
      </c>
      <c r="AG41" s="3">
        <v>0</v>
      </c>
      <c r="AH41" s="6">
        <v>0</v>
      </c>
      <c r="AI41" s="3" t="e">
        <f t="shared" si="54"/>
        <v>#DIV/0!</v>
      </c>
      <c r="AJ41" s="3">
        <v>0</v>
      </c>
      <c r="AK41" s="6">
        <v>0</v>
      </c>
      <c r="AL41" s="3" t="e">
        <f t="shared" si="55"/>
        <v>#DIV/0!</v>
      </c>
      <c r="AM41" s="3">
        <v>0</v>
      </c>
      <c r="AN41" s="6">
        <v>0</v>
      </c>
      <c r="AO41" s="3">
        <f t="shared" si="37"/>
        <v>1134.3824353783868</v>
      </c>
      <c r="AP41" s="3">
        <f t="shared" si="42"/>
        <v>1821251</v>
      </c>
      <c r="AQ41" s="6">
        <f t="shared" si="43"/>
        <v>1605.5</v>
      </c>
      <c r="AR41" s="3"/>
      <c r="AS41" s="3"/>
      <c r="AT41" s="3"/>
      <c r="AU41" s="3"/>
      <c r="AV41" s="3"/>
      <c r="AW41" s="3"/>
      <c r="AX41" s="3"/>
      <c r="AY41" s="3"/>
      <c r="AZ41" s="3"/>
      <c r="BA41" s="3"/>
      <c r="BB41" s="3"/>
      <c r="BC41" s="3"/>
      <c r="BD41" s="3"/>
      <c r="BE41" s="3"/>
      <c r="BF41" s="3"/>
      <c r="BG41" s="3"/>
      <c r="BH41" s="3"/>
      <c r="BI41" s="3"/>
      <c r="BJ41" s="3"/>
      <c r="BK41" s="3"/>
      <c r="BL41" s="3"/>
      <c r="BM41" s="3"/>
      <c r="BN41" s="3"/>
      <c r="BO41" s="3"/>
    </row>
    <row r="42" spans="1:67" x14ac:dyDescent="0.3">
      <c r="A42" s="9" t="s">
        <v>50</v>
      </c>
      <c r="B42" s="34"/>
      <c r="C42" s="34"/>
      <c r="D42" s="34"/>
      <c r="E42" s="3">
        <f t="shared" si="44"/>
        <v>1877.3809523809525</v>
      </c>
      <c r="F42" s="3">
        <v>70965</v>
      </c>
      <c r="G42" s="6">
        <v>37.799999999999997</v>
      </c>
      <c r="H42" s="3">
        <f t="shared" si="45"/>
        <v>1144.8260300155741</v>
      </c>
      <c r="I42" s="3">
        <v>6468725</v>
      </c>
      <c r="J42" s="6">
        <v>5650.4</v>
      </c>
      <c r="K42" s="3">
        <f t="shared" si="46"/>
        <v>1688.5925925925926</v>
      </c>
      <c r="L42" s="3">
        <v>22796</v>
      </c>
      <c r="M42" s="6">
        <v>13.5</v>
      </c>
      <c r="N42" s="3">
        <f t="shared" si="47"/>
        <v>1967.4074074074074</v>
      </c>
      <c r="O42" s="3">
        <v>47808</v>
      </c>
      <c r="P42" s="6">
        <v>24.3</v>
      </c>
      <c r="Q42" s="3">
        <f t="shared" si="48"/>
        <v>1694.8698884758364</v>
      </c>
      <c r="R42" s="3">
        <v>45592</v>
      </c>
      <c r="S42" s="6">
        <v>26.9</v>
      </c>
      <c r="T42" s="3" t="e">
        <f t="shared" si="49"/>
        <v>#DIV/0!</v>
      </c>
      <c r="U42" s="3">
        <v>0</v>
      </c>
      <c r="V42" s="6">
        <v>0</v>
      </c>
      <c r="W42" s="3">
        <f t="shared" si="50"/>
        <v>1868.954248366013</v>
      </c>
      <c r="X42" s="3">
        <v>28595</v>
      </c>
      <c r="Y42" s="6">
        <v>15.3</v>
      </c>
      <c r="Z42" s="3">
        <f t="shared" si="51"/>
        <v>1830.185873605948</v>
      </c>
      <c r="AA42" s="3">
        <v>49232</v>
      </c>
      <c r="AB42" s="6">
        <v>26.9</v>
      </c>
      <c r="AC42" s="3" t="e">
        <f t="shared" si="52"/>
        <v>#DIV/0!</v>
      </c>
      <c r="AD42" s="3">
        <v>0</v>
      </c>
      <c r="AE42" s="6">
        <v>0</v>
      </c>
      <c r="AF42" s="3">
        <f t="shared" si="53"/>
        <v>1918.2003710575141</v>
      </c>
      <c r="AG42" s="3">
        <v>103391</v>
      </c>
      <c r="AH42" s="6">
        <v>53.9</v>
      </c>
      <c r="AI42" s="3">
        <f t="shared" si="54"/>
        <v>2846.5060240963853</v>
      </c>
      <c r="AJ42" s="3">
        <v>23626</v>
      </c>
      <c r="AK42" s="6">
        <v>8.3000000000000007</v>
      </c>
      <c r="AL42" s="3" t="e">
        <f t="shared" si="55"/>
        <v>#DIV/0!</v>
      </c>
      <c r="AM42" s="3">
        <v>0</v>
      </c>
      <c r="AN42" s="6">
        <v>0</v>
      </c>
      <c r="AO42" s="3">
        <f t="shared" si="37"/>
        <v>1171.3127208782205</v>
      </c>
      <c r="AP42" s="3">
        <f t="shared" si="42"/>
        <v>6860730</v>
      </c>
      <c r="AQ42" s="6">
        <f t="shared" si="43"/>
        <v>5857.2999999999993</v>
      </c>
      <c r="AR42" s="3"/>
      <c r="AS42" s="3"/>
      <c r="AT42" s="3"/>
      <c r="AU42" s="3"/>
      <c r="AV42" s="3"/>
      <c r="AW42" s="3"/>
      <c r="AX42" s="3"/>
      <c r="AY42" s="3"/>
      <c r="AZ42" s="3"/>
      <c r="BA42" s="3"/>
      <c r="BB42" s="3"/>
      <c r="BC42" s="3"/>
      <c r="BD42" s="3"/>
      <c r="BE42" s="3"/>
      <c r="BF42" s="3"/>
      <c r="BG42" s="3"/>
      <c r="BH42" s="3"/>
      <c r="BI42" s="3"/>
      <c r="BJ42" s="3"/>
      <c r="BK42" s="3"/>
      <c r="BL42" s="3"/>
      <c r="BM42" s="3"/>
      <c r="BN42" s="3"/>
      <c r="BO42" s="3"/>
    </row>
    <row r="43" spans="1:67" x14ac:dyDescent="0.3">
      <c r="A43" s="9" t="s">
        <v>64</v>
      </c>
      <c r="B43" s="34"/>
      <c r="C43" s="34"/>
      <c r="D43" s="34"/>
      <c r="E43" s="3" t="e">
        <f t="shared" si="44"/>
        <v>#DIV/0!</v>
      </c>
      <c r="F43" s="3">
        <v>0</v>
      </c>
      <c r="G43" s="6">
        <v>0</v>
      </c>
      <c r="H43" s="3" t="e">
        <f t="shared" si="45"/>
        <v>#DIV/0!</v>
      </c>
      <c r="I43" s="3">
        <v>0</v>
      </c>
      <c r="J43" s="6">
        <v>0</v>
      </c>
      <c r="K43" s="3">
        <f t="shared" si="46"/>
        <v>2086.9565217391305</v>
      </c>
      <c r="L43" s="3">
        <v>9600</v>
      </c>
      <c r="M43" s="6">
        <v>4.5999999999999996</v>
      </c>
      <c r="N43" s="3">
        <f t="shared" si="47"/>
        <v>1970.7329842931936</v>
      </c>
      <c r="O43" s="3">
        <v>37641</v>
      </c>
      <c r="P43" s="6">
        <v>19.100000000000001</v>
      </c>
      <c r="Q43" s="3">
        <f t="shared" si="48"/>
        <v>2374.1071428571427</v>
      </c>
      <c r="R43" s="3">
        <v>39885</v>
      </c>
      <c r="S43" s="6">
        <v>16.8</v>
      </c>
      <c r="T43" s="3" t="e">
        <f t="shared" si="49"/>
        <v>#DIV/0!</v>
      </c>
      <c r="U43" s="3">
        <v>0</v>
      </c>
      <c r="V43" s="6">
        <v>0</v>
      </c>
      <c r="W43" s="3" t="e">
        <f t="shared" si="50"/>
        <v>#DIV/0!</v>
      </c>
      <c r="X43" s="3">
        <v>0</v>
      </c>
      <c r="Y43" s="6">
        <v>0</v>
      </c>
      <c r="Z43" s="3">
        <f t="shared" si="51"/>
        <v>2746.6492146596856</v>
      </c>
      <c r="AA43" s="3">
        <v>52461</v>
      </c>
      <c r="AB43" s="6">
        <v>19.100000000000001</v>
      </c>
      <c r="AC43" s="3">
        <f t="shared" si="52"/>
        <v>2719.633507853403</v>
      </c>
      <c r="AD43" s="3">
        <v>51945</v>
      </c>
      <c r="AE43" s="6">
        <v>19.100000000000001</v>
      </c>
      <c r="AF43" s="3">
        <f t="shared" si="53"/>
        <v>3038.2142857142858</v>
      </c>
      <c r="AG43" s="3">
        <v>51042</v>
      </c>
      <c r="AH43" s="6">
        <v>16.8</v>
      </c>
      <c r="AI43" s="3">
        <f t="shared" si="54"/>
        <v>2689.2553191489365</v>
      </c>
      <c r="AJ43" s="3">
        <v>75837</v>
      </c>
      <c r="AK43" s="6">
        <v>28.2</v>
      </c>
      <c r="AL43" s="3" t="e">
        <f t="shared" si="55"/>
        <v>#DIV/0!</v>
      </c>
      <c r="AM43" s="3">
        <v>0</v>
      </c>
      <c r="AN43" s="6">
        <v>0</v>
      </c>
      <c r="AO43" s="3">
        <f t="shared" si="37"/>
        <v>2574.0582053354892</v>
      </c>
      <c r="AP43" s="3">
        <f t="shared" si="42"/>
        <v>318411</v>
      </c>
      <c r="AQ43" s="6">
        <f t="shared" si="43"/>
        <v>123.7</v>
      </c>
      <c r="AR43" s="3"/>
      <c r="AS43" s="3"/>
      <c r="AT43" s="3"/>
      <c r="AU43" s="3"/>
      <c r="AV43" s="3"/>
      <c r="AW43" s="3"/>
      <c r="AX43" s="3"/>
      <c r="AY43" s="3"/>
      <c r="AZ43" s="3"/>
      <c r="BA43" s="3"/>
      <c r="BB43" s="3"/>
      <c r="BC43" s="3"/>
      <c r="BD43" s="3"/>
      <c r="BE43" s="3"/>
      <c r="BF43" s="3"/>
      <c r="BG43" s="3"/>
      <c r="BH43" s="3"/>
      <c r="BI43" s="3"/>
      <c r="BJ43" s="3"/>
      <c r="BK43" s="3"/>
      <c r="BL43" s="3"/>
      <c r="BM43" s="3"/>
      <c r="BN43" s="3"/>
      <c r="BO43" s="3"/>
    </row>
    <row r="44" spans="1:67" x14ac:dyDescent="0.3">
      <c r="A44" s="9" t="s">
        <v>73</v>
      </c>
      <c r="B44" s="34"/>
      <c r="C44" s="34"/>
      <c r="D44" s="34"/>
      <c r="E44" s="12" t="e">
        <f t="shared" si="44"/>
        <v>#DIV/0!</v>
      </c>
      <c r="F44" s="12">
        <v>0</v>
      </c>
      <c r="G44" s="6">
        <v>0</v>
      </c>
      <c r="H44" s="14" t="e">
        <f t="shared" si="45"/>
        <v>#DIV/0!</v>
      </c>
      <c r="I44" s="12">
        <v>0</v>
      </c>
      <c r="J44" s="6">
        <v>0</v>
      </c>
      <c r="K44" s="12" t="e">
        <f t="shared" si="46"/>
        <v>#DIV/0!</v>
      </c>
      <c r="L44" s="12">
        <v>0</v>
      </c>
      <c r="M44" s="6">
        <v>0</v>
      </c>
      <c r="N44" s="12">
        <f t="shared" si="47"/>
        <v>1636.2068965517242</v>
      </c>
      <c r="O44" s="12">
        <v>37960</v>
      </c>
      <c r="P44" s="6">
        <v>23.2</v>
      </c>
      <c r="Q44" s="14" t="e">
        <f t="shared" si="48"/>
        <v>#DIV/0!</v>
      </c>
      <c r="R44" s="12">
        <v>0</v>
      </c>
      <c r="S44" s="6">
        <v>0</v>
      </c>
      <c r="T44" s="14" t="e">
        <f t="shared" si="49"/>
        <v>#DIV/0!</v>
      </c>
      <c r="U44" s="12">
        <v>0</v>
      </c>
      <c r="V44" s="6">
        <v>0</v>
      </c>
      <c r="W44" s="12" t="e">
        <f t="shared" si="50"/>
        <v>#DIV/0!</v>
      </c>
      <c r="X44" s="12">
        <v>0</v>
      </c>
      <c r="Y44" s="6">
        <v>0</v>
      </c>
      <c r="Z44" s="12" t="e">
        <f t="shared" si="51"/>
        <v>#DIV/0!</v>
      </c>
      <c r="AA44" s="12">
        <v>0</v>
      </c>
      <c r="AB44" s="6">
        <v>0</v>
      </c>
      <c r="AC44" s="12" t="e">
        <f t="shared" si="52"/>
        <v>#DIV/0!</v>
      </c>
      <c r="AD44" s="12">
        <v>0</v>
      </c>
      <c r="AE44" s="6">
        <v>0</v>
      </c>
      <c r="AF44" s="12" t="e">
        <f t="shared" si="53"/>
        <v>#DIV/0!</v>
      </c>
      <c r="AG44" s="12">
        <v>0</v>
      </c>
      <c r="AH44" s="6">
        <v>0</v>
      </c>
      <c r="AI44" s="12" t="e">
        <f t="shared" si="54"/>
        <v>#DIV/0!</v>
      </c>
      <c r="AJ44" s="12">
        <v>0</v>
      </c>
      <c r="AK44" s="6">
        <v>0</v>
      </c>
      <c r="AL44" s="12" t="e">
        <f t="shared" si="55"/>
        <v>#DIV/0!</v>
      </c>
      <c r="AM44" s="12">
        <v>0</v>
      </c>
      <c r="AN44" s="6">
        <v>0</v>
      </c>
      <c r="AO44" s="12">
        <f t="shared" si="37"/>
        <v>1636.2068965517242</v>
      </c>
      <c r="AP44" s="12">
        <f t="shared" si="42"/>
        <v>37960</v>
      </c>
      <c r="AQ44" s="6">
        <f t="shared" si="43"/>
        <v>23.2</v>
      </c>
      <c r="AR44" s="3"/>
      <c r="AS44" s="3"/>
      <c r="AT44" s="3"/>
      <c r="AU44" s="3"/>
      <c r="AV44" s="3"/>
      <c r="AW44" s="3"/>
      <c r="AX44" s="3"/>
      <c r="AY44" s="3"/>
      <c r="AZ44" s="3"/>
      <c r="BA44" s="3"/>
      <c r="BB44" s="3"/>
      <c r="BC44" s="3"/>
      <c r="BD44" s="3"/>
      <c r="BE44" s="3"/>
      <c r="BF44" s="3"/>
      <c r="BG44" s="3"/>
      <c r="BH44" s="3"/>
      <c r="BI44" s="3"/>
      <c r="BJ44" s="3"/>
      <c r="BK44" s="3"/>
      <c r="BL44" s="3"/>
      <c r="BM44" s="3"/>
      <c r="BN44" s="3"/>
      <c r="BO44" s="3"/>
    </row>
    <row r="45" spans="1:67" x14ac:dyDescent="0.3">
      <c r="A45" s="9" t="s">
        <v>83</v>
      </c>
      <c r="B45" s="34"/>
      <c r="C45" s="34"/>
      <c r="D45" s="34"/>
      <c r="E45" s="13" t="e">
        <f t="shared" si="44"/>
        <v>#DIV/0!</v>
      </c>
      <c r="F45" s="13">
        <v>0</v>
      </c>
      <c r="G45" s="11">
        <v>0</v>
      </c>
      <c r="H45" s="10" t="e">
        <f t="shared" si="45"/>
        <v>#DIV/0!</v>
      </c>
      <c r="I45" s="13">
        <v>0</v>
      </c>
      <c r="J45" s="11">
        <v>0</v>
      </c>
      <c r="K45" s="18" t="e">
        <f t="shared" si="46"/>
        <v>#DIV/0!</v>
      </c>
      <c r="L45" s="10">
        <v>0</v>
      </c>
      <c r="M45" s="11">
        <v>0</v>
      </c>
      <c r="N45" s="18" t="e">
        <f t="shared" si="47"/>
        <v>#DIV/0!</v>
      </c>
      <c r="O45" s="10">
        <v>0</v>
      </c>
      <c r="P45" s="11">
        <v>0</v>
      </c>
      <c r="Q45" s="10">
        <f t="shared" si="48"/>
        <v>3128.5714285714289</v>
      </c>
      <c r="R45" s="13">
        <v>4380</v>
      </c>
      <c r="S45" s="11">
        <v>1.4</v>
      </c>
      <c r="T45" s="10" t="e">
        <f t="shared" si="49"/>
        <v>#DIV/0!</v>
      </c>
      <c r="U45" s="13">
        <v>0</v>
      </c>
      <c r="V45" s="11">
        <v>0</v>
      </c>
      <c r="W45" s="13">
        <f t="shared" si="50"/>
        <v>1546.4114832535886</v>
      </c>
      <c r="X45" s="13">
        <v>32320</v>
      </c>
      <c r="Y45" s="11">
        <v>20.9</v>
      </c>
      <c r="Z45" s="13">
        <f t="shared" si="51"/>
        <v>1144.3910256410256</v>
      </c>
      <c r="AA45" s="13">
        <v>35705</v>
      </c>
      <c r="AB45" s="11">
        <v>31.2</v>
      </c>
      <c r="AC45" s="13">
        <f t="shared" si="52"/>
        <v>1553.8461538461538</v>
      </c>
      <c r="AD45" s="13">
        <v>14140</v>
      </c>
      <c r="AE45" s="11">
        <v>9.1</v>
      </c>
      <c r="AF45" s="10" t="e">
        <f t="shared" si="53"/>
        <v>#DIV/0!</v>
      </c>
      <c r="AG45" s="13">
        <v>0</v>
      </c>
      <c r="AH45" s="11">
        <v>0</v>
      </c>
      <c r="AI45" s="13" t="e">
        <f t="shared" si="54"/>
        <v>#DIV/0!</v>
      </c>
      <c r="AJ45" s="13">
        <v>0</v>
      </c>
      <c r="AK45" s="11">
        <v>0</v>
      </c>
      <c r="AL45" s="13" t="e">
        <f t="shared" si="55"/>
        <v>#DIV/0!</v>
      </c>
      <c r="AM45" s="13">
        <v>0</v>
      </c>
      <c r="AN45" s="11">
        <v>0</v>
      </c>
      <c r="AO45" s="13">
        <f t="shared" si="37"/>
        <v>1382.5079872204471</v>
      </c>
      <c r="AP45" s="10">
        <f t="shared" si="42"/>
        <v>86545</v>
      </c>
      <c r="AQ45" s="11">
        <f t="shared" si="43"/>
        <v>62.6</v>
      </c>
    </row>
    <row r="46" spans="1:67" x14ac:dyDescent="0.3">
      <c r="A46" s="9" t="s">
        <v>23</v>
      </c>
      <c r="B46" s="34"/>
      <c r="C46" s="34"/>
      <c r="D46" s="34"/>
      <c r="E46" s="10">
        <f t="shared" si="44"/>
        <v>1288.3402489626556</v>
      </c>
      <c r="F46" s="10">
        <v>31049</v>
      </c>
      <c r="G46" s="11">
        <v>24.1</v>
      </c>
      <c r="H46" s="10" t="e">
        <f t="shared" si="45"/>
        <v>#DIV/0!</v>
      </c>
      <c r="I46" s="10">
        <v>0</v>
      </c>
      <c r="J46" s="11">
        <v>0</v>
      </c>
      <c r="K46" s="10" t="e">
        <f t="shared" si="46"/>
        <v>#DIV/0!</v>
      </c>
      <c r="L46" s="10">
        <v>0</v>
      </c>
      <c r="M46" s="11">
        <v>0</v>
      </c>
      <c r="N46" s="10">
        <f t="shared" si="47"/>
        <v>1795.9080962800874</v>
      </c>
      <c r="O46" s="10">
        <v>82073</v>
      </c>
      <c r="P46" s="11">
        <v>45.7</v>
      </c>
      <c r="Q46" s="10">
        <f t="shared" si="48"/>
        <v>2131.369294605809</v>
      </c>
      <c r="R46" s="10">
        <v>51366</v>
      </c>
      <c r="S46" s="11">
        <v>24.1</v>
      </c>
      <c r="T46" s="10" t="e">
        <f t="shared" si="49"/>
        <v>#DIV/0!</v>
      </c>
      <c r="U46" s="10">
        <v>0</v>
      </c>
      <c r="V46" s="11">
        <v>0</v>
      </c>
      <c r="W46" s="10">
        <f t="shared" si="50"/>
        <v>2128.0912863070539</v>
      </c>
      <c r="X46" s="10">
        <v>51287</v>
      </c>
      <c r="Y46" s="11">
        <v>24.1</v>
      </c>
      <c r="Z46" s="10">
        <f t="shared" si="51"/>
        <v>2133.294117647059</v>
      </c>
      <c r="AA46" s="10">
        <v>54399</v>
      </c>
      <c r="AB46" s="11">
        <v>25.5</v>
      </c>
      <c r="AC46" s="10" t="e">
        <f t="shared" si="52"/>
        <v>#DIV/0!</v>
      </c>
      <c r="AD46" s="10">
        <v>0</v>
      </c>
      <c r="AE46" s="11">
        <v>0</v>
      </c>
      <c r="AF46" s="10">
        <f t="shared" si="53"/>
        <v>2497.5933609958506</v>
      </c>
      <c r="AG46" s="10">
        <v>60192</v>
      </c>
      <c r="AH46" s="11">
        <v>24.1</v>
      </c>
      <c r="AI46" s="10" t="e">
        <f t="shared" si="54"/>
        <v>#DIV/0!</v>
      </c>
      <c r="AJ46" s="10">
        <v>0</v>
      </c>
      <c r="AK46" s="11">
        <v>0</v>
      </c>
      <c r="AL46" s="10" t="e">
        <f t="shared" si="55"/>
        <v>#DIV/0!</v>
      </c>
      <c r="AM46" s="10">
        <v>0</v>
      </c>
      <c r="AN46" s="11">
        <v>0</v>
      </c>
      <c r="AO46" s="10">
        <f t="shared" si="37"/>
        <v>1971.1575178997614</v>
      </c>
      <c r="AP46" s="10">
        <f t="shared" si="42"/>
        <v>330366</v>
      </c>
      <c r="AQ46" s="11">
        <f t="shared" si="43"/>
        <v>167.6</v>
      </c>
    </row>
    <row r="47" spans="1:67" x14ac:dyDescent="0.3">
      <c r="A47" s="9" t="s">
        <v>59</v>
      </c>
      <c r="B47" s="34"/>
      <c r="C47" s="34"/>
      <c r="D47" s="34"/>
      <c r="E47" s="10">
        <f t="shared" si="44"/>
        <v>1343.7979094076654</v>
      </c>
      <c r="F47" s="10">
        <v>38567</v>
      </c>
      <c r="G47" s="11">
        <v>28.7</v>
      </c>
      <c r="H47" s="10">
        <f t="shared" si="45"/>
        <v>1358.2532751091703</v>
      </c>
      <c r="I47" s="10">
        <v>31104</v>
      </c>
      <c r="J47" s="11">
        <v>22.9</v>
      </c>
      <c r="K47" s="10">
        <f t="shared" si="46"/>
        <v>1376.0662251655629</v>
      </c>
      <c r="L47" s="10">
        <v>103893</v>
      </c>
      <c r="M47" s="11">
        <v>75.5</v>
      </c>
      <c r="N47" s="10" t="e">
        <f t="shared" si="47"/>
        <v>#DIV/0!</v>
      </c>
      <c r="O47" s="10">
        <v>0</v>
      </c>
      <c r="P47" s="11">
        <v>0</v>
      </c>
      <c r="Q47" s="10">
        <f t="shared" si="48"/>
        <v>1392.8384279475983</v>
      </c>
      <c r="R47" s="10">
        <v>31896</v>
      </c>
      <c r="S47" s="11">
        <v>22.9</v>
      </c>
      <c r="T47" s="10">
        <f t="shared" si="49"/>
        <v>1575.9610027855153</v>
      </c>
      <c r="U47" s="10">
        <v>113154</v>
      </c>
      <c r="V47" s="11">
        <v>71.8</v>
      </c>
      <c r="W47" s="10" t="e">
        <f t="shared" si="50"/>
        <v>#DIV/0!</v>
      </c>
      <c r="X47" s="10">
        <v>0</v>
      </c>
      <c r="Y47" s="11">
        <v>0</v>
      </c>
      <c r="Z47" s="10" t="e">
        <f t="shared" si="51"/>
        <v>#DIV/0!</v>
      </c>
      <c r="AA47" s="10">
        <v>0</v>
      </c>
      <c r="AB47" s="11">
        <v>0</v>
      </c>
      <c r="AC47" s="10" t="e">
        <f t="shared" si="52"/>
        <v>#DIV/0!</v>
      </c>
      <c r="AD47" s="10">
        <v>0</v>
      </c>
      <c r="AE47" s="11">
        <v>0</v>
      </c>
      <c r="AF47" s="10">
        <f t="shared" si="53"/>
        <v>2169.4323144104806</v>
      </c>
      <c r="AG47" s="10">
        <v>49680</v>
      </c>
      <c r="AH47" s="11">
        <v>22.9</v>
      </c>
      <c r="AI47" s="10" t="e">
        <f t="shared" si="54"/>
        <v>#DIV/0!</v>
      </c>
      <c r="AJ47" s="10">
        <v>0</v>
      </c>
      <c r="AK47" s="11">
        <v>0</v>
      </c>
      <c r="AL47" s="10" t="e">
        <f t="shared" si="55"/>
        <v>#DIV/0!</v>
      </c>
      <c r="AM47" s="10">
        <v>0</v>
      </c>
      <c r="AN47" s="11">
        <v>0</v>
      </c>
      <c r="AO47" s="10">
        <f t="shared" si="37"/>
        <v>1505.0837760523088</v>
      </c>
      <c r="AP47" s="10">
        <f t="shared" si="42"/>
        <v>368294</v>
      </c>
      <c r="AQ47" s="11">
        <f t="shared" si="43"/>
        <v>244.70000000000002</v>
      </c>
    </row>
    <row r="48" spans="1:67" x14ac:dyDescent="0.3">
      <c r="A48" s="9" t="s">
        <v>84</v>
      </c>
      <c r="B48" s="34"/>
      <c r="C48" s="34"/>
      <c r="D48" s="34"/>
      <c r="E48" s="10" t="e">
        <f t="shared" si="44"/>
        <v>#DIV/0!</v>
      </c>
      <c r="F48" s="10">
        <v>0</v>
      </c>
      <c r="G48" s="11">
        <v>0</v>
      </c>
      <c r="H48" s="10" t="e">
        <f t="shared" si="45"/>
        <v>#DIV/0!</v>
      </c>
      <c r="I48" s="10">
        <v>0</v>
      </c>
      <c r="J48" s="11">
        <v>0</v>
      </c>
      <c r="K48" s="10" t="e">
        <f t="shared" si="46"/>
        <v>#DIV/0!</v>
      </c>
      <c r="L48" s="10">
        <v>0</v>
      </c>
      <c r="M48" s="11">
        <v>0</v>
      </c>
      <c r="N48" s="10" t="e">
        <f t="shared" si="47"/>
        <v>#DIV/0!</v>
      </c>
      <c r="O48" s="10">
        <v>0</v>
      </c>
      <c r="P48" s="11">
        <v>0</v>
      </c>
      <c r="Q48" s="10" t="e">
        <f t="shared" si="48"/>
        <v>#DIV/0!</v>
      </c>
      <c r="R48" s="10">
        <v>0</v>
      </c>
      <c r="S48" s="11">
        <v>0</v>
      </c>
      <c r="T48" s="10">
        <f t="shared" si="49"/>
        <v>2254.7368421052633</v>
      </c>
      <c r="U48" s="10">
        <v>4284</v>
      </c>
      <c r="V48" s="11">
        <v>1.9</v>
      </c>
      <c r="W48" s="10" t="e">
        <f t="shared" si="50"/>
        <v>#DIV/0!</v>
      </c>
      <c r="X48" s="10">
        <v>0</v>
      </c>
      <c r="Y48" s="11">
        <v>0</v>
      </c>
      <c r="Z48" s="10" t="e">
        <f t="shared" si="51"/>
        <v>#DIV/0!</v>
      </c>
      <c r="AA48" s="10">
        <v>0</v>
      </c>
      <c r="AB48" s="11">
        <v>0</v>
      </c>
      <c r="AC48" s="10" t="e">
        <f t="shared" si="52"/>
        <v>#DIV/0!</v>
      </c>
      <c r="AD48" s="10">
        <v>0</v>
      </c>
      <c r="AE48" s="11">
        <v>0</v>
      </c>
      <c r="AF48" s="10">
        <f t="shared" si="53"/>
        <v>1547.5510204081631</v>
      </c>
      <c r="AG48" s="10">
        <v>15166</v>
      </c>
      <c r="AH48" s="11">
        <v>9.8000000000000007</v>
      </c>
      <c r="AI48" s="10" t="e">
        <f t="shared" si="54"/>
        <v>#DIV/0!</v>
      </c>
      <c r="AJ48" s="10">
        <v>0</v>
      </c>
      <c r="AK48" s="11">
        <v>0</v>
      </c>
      <c r="AL48" s="10" t="e">
        <f t="shared" si="55"/>
        <v>#DIV/0!</v>
      </c>
      <c r="AM48" s="10">
        <v>0</v>
      </c>
      <c r="AN48" s="11">
        <v>0</v>
      </c>
      <c r="AO48" s="10">
        <f t="shared" si="37"/>
        <v>1662.3931623931621</v>
      </c>
      <c r="AP48" s="10">
        <f t="shared" si="42"/>
        <v>19450</v>
      </c>
      <c r="AQ48" s="11">
        <f t="shared" si="43"/>
        <v>11.700000000000001</v>
      </c>
    </row>
    <row r="49" spans="1:43" x14ac:dyDescent="0.3">
      <c r="A49" s="9" t="s">
        <v>74</v>
      </c>
      <c r="B49" s="34"/>
      <c r="C49" s="34"/>
      <c r="D49" s="34"/>
      <c r="E49" s="10" t="e">
        <f t="shared" si="44"/>
        <v>#DIV/0!</v>
      </c>
      <c r="F49" s="10">
        <v>0</v>
      </c>
      <c r="G49" s="11">
        <v>0</v>
      </c>
      <c r="H49" s="10" t="e">
        <f t="shared" si="45"/>
        <v>#DIV/0!</v>
      </c>
      <c r="I49" s="10">
        <v>0</v>
      </c>
      <c r="J49" s="11">
        <v>0</v>
      </c>
      <c r="K49" s="10" t="e">
        <f t="shared" si="46"/>
        <v>#DIV/0!</v>
      </c>
      <c r="L49" s="10">
        <v>0</v>
      </c>
      <c r="M49" s="11">
        <v>0</v>
      </c>
      <c r="N49" s="10" t="e">
        <f t="shared" si="47"/>
        <v>#DIV/0!</v>
      </c>
      <c r="O49" s="10">
        <v>0</v>
      </c>
      <c r="P49" s="11">
        <v>0</v>
      </c>
      <c r="Q49" s="10" t="e">
        <f t="shared" si="48"/>
        <v>#DIV/0!</v>
      </c>
      <c r="R49" s="10">
        <v>0</v>
      </c>
      <c r="S49" s="11">
        <v>0</v>
      </c>
      <c r="T49" s="10" t="e">
        <f t="shared" si="49"/>
        <v>#DIV/0!</v>
      </c>
      <c r="U49" s="10">
        <v>0</v>
      </c>
      <c r="V49" s="11">
        <v>0</v>
      </c>
      <c r="W49" s="10" t="e">
        <f t="shared" si="50"/>
        <v>#DIV/0!</v>
      </c>
      <c r="X49" s="10">
        <v>0</v>
      </c>
      <c r="Y49" s="11">
        <v>0</v>
      </c>
      <c r="Z49" s="10">
        <f t="shared" si="51"/>
        <v>2107.9642857142858</v>
      </c>
      <c r="AA49" s="10">
        <v>295115</v>
      </c>
      <c r="AB49" s="11">
        <v>140</v>
      </c>
      <c r="AC49" s="10" t="e">
        <f t="shared" si="52"/>
        <v>#DIV/0!</v>
      </c>
      <c r="AD49" s="10">
        <v>0</v>
      </c>
      <c r="AE49" s="11">
        <v>0</v>
      </c>
      <c r="AF49" s="10" t="e">
        <f t="shared" si="53"/>
        <v>#DIV/0!</v>
      </c>
      <c r="AG49" s="10">
        <v>0</v>
      </c>
      <c r="AH49" s="11">
        <v>0</v>
      </c>
      <c r="AI49" s="10" t="e">
        <f t="shared" si="54"/>
        <v>#DIV/0!</v>
      </c>
      <c r="AJ49" s="10">
        <v>0</v>
      </c>
      <c r="AK49" s="11">
        <v>0</v>
      </c>
      <c r="AL49" s="10" t="e">
        <f t="shared" si="55"/>
        <v>#DIV/0!</v>
      </c>
      <c r="AM49" s="10">
        <v>0</v>
      </c>
      <c r="AN49" s="11">
        <v>0</v>
      </c>
      <c r="AO49" s="10">
        <f t="shared" si="37"/>
        <v>2107.9642857142858</v>
      </c>
      <c r="AP49" s="10">
        <f t="shared" si="42"/>
        <v>295115</v>
      </c>
      <c r="AQ49" s="11">
        <f t="shared" si="43"/>
        <v>140</v>
      </c>
    </row>
    <row r="50" spans="1:43" x14ac:dyDescent="0.3">
      <c r="A50" s="9" t="s">
        <v>85</v>
      </c>
      <c r="B50" s="34"/>
      <c r="C50" s="34"/>
      <c r="D50" s="34"/>
      <c r="E50" s="10" t="e">
        <f t="shared" si="44"/>
        <v>#DIV/0!</v>
      </c>
      <c r="F50" s="10">
        <v>0</v>
      </c>
      <c r="G50" s="11">
        <v>0</v>
      </c>
      <c r="H50" s="10" t="e">
        <f t="shared" si="45"/>
        <v>#DIV/0!</v>
      </c>
      <c r="I50" s="10">
        <v>0</v>
      </c>
      <c r="J50" s="11">
        <v>0</v>
      </c>
      <c r="K50" s="10" t="e">
        <f t="shared" si="46"/>
        <v>#DIV/0!</v>
      </c>
      <c r="L50" s="10">
        <v>0</v>
      </c>
      <c r="M50" s="11">
        <v>0</v>
      </c>
      <c r="N50" s="10" t="e">
        <f t="shared" si="47"/>
        <v>#DIV/0!</v>
      </c>
      <c r="O50" s="10">
        <v>0</v>
      </c>
      <c r="P50" s="11">
        <v>0</v>
      </c>
      <c r="Q50" s="10" t="e">
        <f t="shared" si="48"/>
        <v>#DIV/0!</v>
      </c>
      <c r="R50" s="10">
        <v>0</v>
      </c>
      <c r="S50" s="11">
        <v>0</v>
      </c>
      <c r="T50" s="10">
        <f t="shared" si="49"/>
        <v>2692</v>
      </c>
      <c r="U50" s="10">
        <v>5384</v>
      </c>
      <c r="V50" s="11">
        <v>2</v>
      </c>
      <c r="W50" s="10" t="e">
        <f t="shared" si="50"/>
        <v>#DIV/0!</v>
      </c>
      <c r="X50" s="10">
        <v>0</v>
      </c>
      <c r="Y50" s="11">
        <v>0</v>
      </c>
      <c r="Z50" s="10" t="e">
        <f t="shared" si="51"/>
        <v>#DIV/0!</v>
      </c>
      <c r="AA50" s="10">
        <v>0</v>
      </c>
      <c r="AB50" s="11">
        <v>0</v>
      </c>
      <c r="AC50" s="10" t="e">
        <f t="shared" si="52"/>
        <v>#DIV/0!</v>
      </c>
      <c r="AD50" s="10">
        <v>0</v>
      </c>
      <c r="AE50" s="11">
        <v>0</v>
      </c>
      <c r="AF50" s="10" t="e">
        <f t="shared" si="53"/>
        <v>#DIV/0!</v>
      </c>
      <c r="AG50" s="10">
        <v>0</v>
      </c>
      <c r="AH50" s="11">
        <v>0</v>
      </c>
      <c r="AI50" s="10" t="e">
        <f t="shared" si="54"/>
        <v>#DIV/0!</v>
      </c>
      <c r="AJ50" s="10">
        <v>0</v>
      </c>
      <c r="AK50" s="11">
        <v>0</v>
      </c>
      <c r="AL50" s="10" t="e">
        <f t="shared" si="55"/>
        <v>#DIV/0!</v>
      </c>
      <c r="AM50" s="10">
        <v>0</v>
      </c>
      <c r="AN50" s="11">
        <v>0</v>
      </c>
      <c r="AO50" s="10">
        <f t="shared" si="37"/>
        <v>2692</v>
      </c>
      <c r="AP50" s="10">
        <f t="shared" si="42"/>
        <v>5384</v>
      </c>
      <c r="AQ50" s="11">
        <f t="shared" si="43"/>
        <v>2</v>
      </c>
    </row>
    <row r="51" spans="1:43" x14ac:dyDescent="0.3">
      <c r="A51" s="19" t="s">
        <v>35</v>
      </c>
      <c r="B51" s="34"/>
      <c r="C51" s="34"/>
      <c r="D51" s="34"/>
      <c r="E51" s="10" t="e">
        <f t="shared" si="44"/>
        <v>#DIV/0!</v>
      </c>
      <c r="F51" s="10">
        <v>0</v>
      </c>
      <c r="G51" s="11">
        <v>0</v>
      </c>
      <c r="H51" s="10" t="e">
        <f t="shared" si="45"/>
        <v>#DIV/0!</v>
      </c>
      <c r="I51" s="10">
        <v>0</v>
      </c>
      <c r="J51" s="11">
        <v>0</v>
      </c>
      <c r="K51" s="10" t="e">
        <f t="shared" si="46"/>
        <v>#DIV/0!</v>
      </c>
      <c r="L51" s="10">
        <v>0</v>
      </c>
      <c r="M51" s="11">
        <v>0</v>
      </c>
      <c r="N51" s="10">
        <f t="shared" si="47"/>
        <v>2467.1428571428573</v>
      </c>
      <c r="O51" s="10">
        <v>6908</v>
      </c>
      <c r="P51" s="11">
        <v>2.8</v>
      </c>
      <c r="Q51" s="10" t="e">
        <f t="shared" si="48"/>
        <v>#DIV/0!</v>
      </c>
      <c r="R51" s="10">
        <v>0</v>
      </c>
      <c r="S51" s="11">
        <v>0</v>
      </c>
      <c r="T51" s="10" t="e">
        <f t="shared" si="49"/>
        <v>#DIV/0!</v>
      </c>
      <c r="U51" s="10">
        <v>0</v>
      </c>
      <c r="V51" s="11">
        <v>0</v>
      </c>
      <c r="W51" s="10" t="e">
        <f t="shared" si="50"/>
        <v>#DIV/0!</v>
      </c>
      <c r="X51" s="10">
        <v>0</v>
      </c>
      <c r="Y51" s="11">
        <v>0</v>
      </c>
      <c r="Z51" s="10" t="e">
        <f t="shared" si="51"/>
        <v>#DIV/0!</v>
      </c>
      <c r="AA51" s="10">
        <v>0</v>
      </c>
      <c r="AB51" s="11">
        <v>0</v>
      </c>
      <c r="AC51" s="10" t="e">
        <f t="shared" si="52"/>
        <v>#DIV/0!</v>
      </c>
      <c r="AD51" s="10">
        <v>0</v>
      </c>
      <c r="AE51" s="11">
        <v>0</v>
      </c>
      <c r="AF51" s="10" t="e">
        <f t="shared" si="53"/>
        <v>#DIV/0!</v>
      </c>
      <c r="AG51" s="10">
        <v>0</v>
      </c>
      <c r="AH51" s="11">
        <v>0</v>
      </c>
      <c r="AI51" s="10" t="e">
        <f t="shared" si="54"/>
        <v>#DIV/0!</v>
      </c>
      <c r="AJ51" s="10">
        <v>0</v>
      </c>
      <c r="AK51" s="11">
        <v>0</v>
      </c>
      <c r="AL51" s="10" t="e">
        <f t="shared" si="55"/>
        <v>#DIV/0!</v>
      </c>
      <c r="AM51" s="10">
        <v>0</v>
      </c>
      <c r="AN51" s="11">
        <v>0</v>
      </c>
      <c r="AO51" s="10">
        <f t="shared" si="37"/>
        <v>2467.1428571428573</v>
      </c>
      <c r="AP51" s="10">
        <f t="shared" si="42"/>
        <v>6908</v>
      </c>
      <c r="AQ51" s="11">
        <f t="shared" si="43"/>
        <v>2.8</v>
      </c>
    </row>
    <row r="52" spans="1:43" x14ac:dyDescent="0.3">
      <c r="A52" s="19" t="s">
        <v>66</v>
      </c>
      <c r="B52" s="34"/>
      <c r="C52" s="34"/>
      <c r="D52" s="34"/>
      <c r="E52" s="10" t="e">
        <f t="shared" si="44"/>
        <v>#DIV/0!</v>
      </c>
      <c r="F52" s="10">
        <v>0</v>
      </c>
      <c r="G52" s="11">
        <v>0</v>
      </c>
      <c r="H52" s="10" t="e">
        <f t="shared" si="45"/>
        <v>#DIV/0!</v>
      </c>
      <c r="I52" s="10">
        <v>0</v>
      </c>
      <c r="J52" s="11">
        <v>0</v>
      </c>
      <c r="K52" s="10" t="e">
        <f t="shared" si="46"/>
        <v>#DIV/0!</v>
      </c>
      <c r="L52" s="10">
        <v>0</v>
      </c>
      <c r="M52" s="11">
        <v>0</v>
      </c>
      <c r="N52" s="10">
        <f t="shared" si="47"/>
        <v>4197.1428571428578</v>
      </c>
      <c r="O52" s="10">
        <v>2938</v>
      </c>
      <c r="P52" s="11">
        <v>0.7</v>
      </c>
      <c r="Q52" s="10" t="e">
        <f t="shared" si="48"/>
        <v>#DIV/0!</v>
      </c>
      <c r="R52" s="10">
        <v>0</v>
      </c>
      <c r="S52" s="11">
        <v>0</v>
      </c>
      <c r="T52" s="10" t="e">
        <f t="shared" si="49"/>
        <v>#DIV/0!</v>
      </c>
      <c r="U52" s="10">
        <v>0</v>
      </c>
      <c r="V52" s="11">
        <v>0</v>
      </c>
      <c r="W52" s="10" t="e">
        <f t="shared" si="50"/>
        <v>#DIV/0!</v>
      </c>
      <c r="X52" s="10">
        <v>0</v>
      </c>
      <c r="Y52" s="11">
        <v>0</v>
      </c>
      <c r="Z52" s="10">
        <f t="shared" si="51"/>
        <v>4197.1428571428578</v>
      </c>
      <c r="AA52" s="10">
        <v>2938</v>
      </c>
      <c r="AB52" s="11">
        <v>0.7</v>
      </c>
      <c r="AC52" s="10">
        <f t="shared" si="52"/>
        <v>4320</v>
      </c>
      <c r="AD52" s="10">
        <v>3024</v>
      </c>
      <c r="AE52" s="11">
        <v>0.7</v>
      </c>
      <c r="AF52" s="10">
        <f t="shared" si="53"/>
        <v>1551.6296296296296</v>
      </c>
      <c r="AG52" s="10">
        <v>20947</v>
      </c>
      <c r="AH52" s="11">
        <v>13.5</v>
      </c>
      <c r="AI52" s="10" t="e">
        <f t="shared" si="54"/>
        <v>#DIV/0!</v>
      </c>
      <c r="AJ52" s="10">
        <v>0</v>
      </c>
      <c r="AK52" s="11">
        <v>0</v>
      </c>
      <c r="AL52" s="10" t="e">
        <f t="shared" si="55"/>
        <v>#DIV/0!</v>
      </c>
      <c r="AM52" s="10">
        <v>0</v>
      </c>
      <c r="AN52" s="11">
        <v>0</v>
      </c>
      <c r="AO52" s="10">
        <f t="shared" si="37"/>
        <v>1913.2692307692307</v>
      </c>
      <c r="AP52" s="10">
        <f t="shared" si="42"/>
        <v>29847</v>
      </c>
      <c r="AQ52" s="11">
        <f t="shared" si="43"/>
        <v>15.6</v>
      </c>
    </row>
    <row r="53" spans="1:43" x14ac:dyDescent="0.3">
      <c r="A53" s="19" t="s">
        <v>53</v>
      </c>
      <c r="B53" s="34"/>
      <c r="C53" s="34"/>
      <c r="D53" s="34"/>
      <c r="E53" s="10" t="e">
        <f t="shared" si="44"/>
        <v>#DIV/0!</v>
      </c>
      <c r="F53" s="10">
        <v>0</v>
      </c>
      <c r="G53" s="11">
        <v>0</v>
      </c>
      <c r="H53" s="10" t="e">
        <f t="shared" si="45"/>
        <v>#DIV/0!</v>
      </c>
      <c r="I53" s="10">
        <v>0</v>
      </c>
      <c r="J53" s="11">
        <v>0</v>
      </c>
      <c r="K53" s="10">
        <f t="shared" si="46"/>
        <v>1386.25</v>
      </c>
      <c r="L53" s="10">
        <v>9981</v>
      </c>
      <c r="M53" s="11">
        <v>7.2</v>
      </c>
      <c r="N53" s="10">
        <f t="shared" si="47"/>
        <v>1521.4285714285713</v>
      </c>
      <c r="O53" s="10">
        <v>14910</v>
      </c>
      <c r="P53" s="11">
        <v>9.8000000000000007</v>
      </c>
      <c r="Q53" s="10" t="e">
        <f t="shared" si="48"/>
        <v>#DIV/0!</v>
      </c>
      <c r="R53" s="10">
        <v>0</v>
      </c>
      <c r="S53" s="11">
        <v>0</v>
      </c>
      <c r="T53" s="10" t="e">
        <f t="shared" si="49"/>
        <v>#DIV/0!</v>
      </c>
      <c r="U53" s="10">
        <v>0</v>
      </c>
      <c r="V53" s="11">
        <v>0</v>
      </c>
      <c r="W53" s="10" t="e">
        <f t="shared" si="50"/>
        <v>#DIV/0!</v>
      </c>
      <c r="X53" s="10">
        <v>0</v>
      </c>
      <c r="Y53" s="11">
        <v>0</v>
      </c>
      <c r="Z53" s="10" t="e">
        <f t="shared" si="51"/>
        <v>#DIV/0!</v>
      </c>
      <c r="AA53" s="10">
        <v>0</v>
      </c>
      <c r="AB53" s="11">
        <v>0</v>
      </c>
      <c r="AC53" s="10" t="e">
        <f t="shared" si="52"/>
        <v>#DIV/0!</v>
      </c>
      <c r="AD53" s="10">
        <v>0</v>
      </c>
      <c r="AE53" s="11">
        <v>0</v>
      </c>
      <c r="AF53" s="10" t="e">
        <f t="shared" si="53"/>
        <v>#DIV/0!</v>
      </c>
      <c r="AG53" s="10">
        <v>0</v>
      </c>
      <c r="AH53" s="11">
        <v>0</v>
      </c>
      <c r="AI53" s="10" t="e">
        <f t="shared" si="54"/>
        <v>#DIV/0!</v>
      </c>
      <c r="AJ53" s="10">
        <v>0</v>
      </c>
      <c r="AK53" s="11">
        <v>0</v>
      </c>
      <c r="AL53" s="10" t="e">
        <f t="shared" si="55"/>
        <v>#DIV/0!</v>
      </c>
      <c r="AM53" s="10">
        <v>0</v>
      </c>
      <c r="AN53" s="11">
        <v>0</v>
      </c>
      <c r="AO53" s="10">
        <f t="shared" si="37"/>
        <v>1464.1764705882354</v>
      </c>
      <c r="AP53" s="10">
        <f t="shared" si="42"/>
        <v>24891</v>
      </c>
      <c r="AQ53" s="11">
        <f t="shared" si="43"/>
        <v>17</v>
      </c>
    </row>
    <row r="54" spans="1:43" x14ac:dyDescent="0.3">
      <c r="A54" s="19" t="s">
        <v>37</v>
      </c>
      <c r="B54" s="34"/>
      <c r="C54" s="34"/>
      <c r="D54" s="34"/>
      <c r="E54" s="10" t="e">
        <f t="shared" si="44"/>
        <v>#DIV/0!</v>
      </c>
      <c r="F54" s="10">
        <v>0</v>
      </c>
      <c r="G54" s="11">
        <v>0</v>
      </c>
      <c r="H54" s="10" t="e">
        <f t="shared" si="45"/>
        <v>#DIV/0!</v>
      </c>
      <c r="I54" s="10">
        <v>0</v>
      </c>
      <c r="J54" s="11">
        <v>0</v>
      </c>
      <c r="K54" s="10" t="e">
        <f t="shared" si="46"/>
        <v>#DIV/0!</v>
      </c>
      <c r="L54" s="10">
        <v>0</v>
      </c>
      <c r="M54" s="11">
        <v>0</v>
      </c>
      <c r="N54" s="10" t="e">
        <f t="shared" si="47"/>
        <v>#DIV/0!</v>
      </c>
      <c r="O54" s="10">
        <v>0</v>
      </c>
      <c r="P54" s="11">
        <v>0</v>
      </c>
      <c r="Q54" s="10">
        <f t="shared" si="48"/>
        <v>881.4432989690722</v>
      </c>
      <c r="R54" s="10">
        <v>17100</v>
      </c>
      <c r="S54" s="11">
        <v>19.399999999999999</v>
      </c>
      <c r="T54" s="10" t="e">
        <f t="shared" si="49"/>
        <v>#DIV/0!</v>
      </c>
      <c r="U54" s="10">
        <v>0</v>
      </c>
      <c r="V54" s="11">
        <v>0</v>
      </c>
      <c r="W54" s="10" t="e">
        <f t="shared" si="50"/>
        <v>#DIV/0!</v>
      </c>
      <c r="X54" s="10">
        <v>0</v>
      </c>
      <c r="Y54" s="11">
        <v>0</v>
      </c>
      <c r="Z54" s="10" t="e">
        <f t="shared" si="51"/>
        <v>#DIV/0!</v>
      </c>
      <c r="AA54" s="10">
        <v>0</v>
      </c>
      <c r="AB54" s="11">
        <v>0</v>
      </c>
      <c r="AC54" s="10" t="e">
        <f t="shared" si="52"/>
        <v>#DIV/0!</v>
      </c>
      <c r="AD54" s="10">
        <v>0</v>
      </c>
      <c r="AE54" s="11">
        <v>0</v>
      </c>
      <c r="AF54" s="10" t="e">
        <f t="shared" si="53"/>
        <v>#DIV/0!</v>
      </c>
      <c r="AG54" s="10">
        <v>0</v>
      </c>
      <c r="AH54" s="11">
        <v>0</v>
      </c>
      <c r="AI54" s="10" t="e">
        <f t="shared" si="54"/>
        <v>#DIV/0!</v>
      </c>
      <c r="AJ54" s="10">
        <v>0</v>
      </c>
      <c r="AK54" s="11">
        <v>0</v>
      </c>
      <c r="AL54" s="10" t="e">
        <f t="shared" si="55"/>
        <v>#DIV/0!</v>
      </c>
      <c r="AM54" s="10">
        <v>0</v>
      </c>
      <c r="AN54" s="11">
        <v>0</v>
      </c>
      <c r="AO54" s="10">
        <f t="shared" si="37"/>
        <v>881.4432989690722</v>
      </c>
      <c r="AP54" s="10">
        <f t="shared" si="42"/>
        <v>17100</v>
      </c>
      <c r="AQ54" s="11">
        <f t="shared" si="43"/>
        <v>19.399999999999999</v>
      </c>
    </row>
    <row r="55" spans="1:43" x14ac:dyDescent="0.3">
      <c r="A55" s="19" t="s">
        <v>76</v>
      </c>
      <c r="B55" s="34"/>
      <c r="C55" s="34"/>
      <c r="D55" s="34"/>
      <c r="E55" s="10" t="e">
        <f t="shared" si="44"/>
        <v>#DIV/0!</v>
      </c>
      <c r="F55" s="10">
        <v>0</v>
      </c>
      <c r="G55" s="11">
        <v>0</v>
      </c>
      <c r="H55" s="10" t="e">
        <f t="shared" si="45"/>
        <v>#DIV/0!</v>
      </c>
      <c r="I55" s="10">
        <v>0</v>
      </c>
      <c r="J55" s="11">
        <v>0</v>
      </c>
      <c r="K55" s="10" t="e">
        <f t="shared" si="46"/>
        <v>#DIV/0!</v>
      </c>
      <c r="L55" s="10">
        <v>0</v>
      </c>
      <c r="M55" s="11">
        <v>0</v>
      </c>
      <c r="N55" s="10">
        <f t="shared" si="47"/>
        <v>1801.25</v>
      </c>
      <c r="O55" s="10">
        <v>7205</v>
      </c>
      <c r="P55" s="11">
        <v>4</v>
      </c>
      <c r="Q55" s="10" t="e">
        <f t="shared" si="48"/>
        <v>#DIV/0!</v>
      </c>
      <c r="R55" s="10">
        <v>0</v>
      </c>
      <c r="S55" s="11">
        <v>0</v>
      </c>
      <c r="T55" s="10">
        <f t="shared" si="49"/>
        <v>1560</v>
      </c>
      <c r="U55" s="10">
        <v>8580</v>
      </c>
      <c r="V55" s="11">
        <v>5.5</v>
      </c>
      <c r="W55" s="10" t="e">
        <f t="shared" si="50"/>
        <v>#DIV/0!</v>
      </c>
      <c r="X55" s="10">
        <v>0</v>
      </c>
      <c r="Y55" s="11">
        <v>0</v>
      </c>
      <c r="Z55" s="10" t="e">
        <f t="shared" si="51"/>
        <v>#DIV/0!</v>
      </c>
      <c r="AA55" s="10">
        <v>0</v>
      </c>
      <c r="AB55" s="11">
        <v>0</v>
      </c>
      <c r="AC55" s="10" t="e">
        <f t="shared" si="52"/>
        <v>#DIV/0!</v>
      </c>
      <c r="AD55" s="10">
        <v>0</v>
      </c>
      <c r="AE55" s="11">
        <v>0</v>
      </c>
      <c r="AF55" s="10" t="e">
        <f t="shared" si="53"/>
        <v>#DIV/0!</v>
      </c>
      <c r="AG55" s="10">
        <v>0</v>
      </c>
      <c r="AH55" s="11">
        <v>0</v>
      </c>
      <c r="AI55" s="10" t="e">
        <f t="shared" si="54"/>
        <v>#DIV/0!</v>
      </c>
      <c r="AJ55" s="10">
        <v>0</v>
      </c>
      <c r="AK55" s="11">
        <v>0</v>
      </c>
      <c r="AL55" s="10" t="e">
        <f t="shared" si="55"/>
        <v>#DIV/0!</v>
      </c>
      <c r="AM55" s="10">
        <v>0</v>
      </c>
      <c r="AN55" s="11">
        <v>0</v>
      </c>
      <c r="AO55" s="10">
        <f t="shared" si="37"/>
        <v>1661.578947368421</v>
      </c>
      <c r="AP55" s="10">
        <f t="shared" si="42"/>
        <v>15785</v>
      </c>
      <c r="AQ55" s="11">
        <f t="shared" si="43"/>
        <v>9.5</v>
      </c>
    </row>
    <row r="56" spans="1:43" x14ac:dyDescent="0.3">
      <c r="A56" s="19" t="s">
        <v>75</v>
      </c>
      <c r="B56" s="34"/>
      <c r="C56" s="34"/>
      <c r="D56" s="34"/>
      <c r="E56" s="10" t="e">
        <f t="shared" si="44"/>
        <v>#DIV/0!</v>
      </c>
      <c r="F56" s="10">
        <v>0</v>
      </c>
      <c r="G56" s="11">
        <v>0</v>
      </c>
      <c r="H56" s="10" t="e">
        <f t="shared" si="45"/>
        <v>#DIV/0!</v>
      </c>
      <c r="I56" s="10">
        <v>0</v>
      </c>
      <c r="J56" s="11">
        <v>0</v>
      </c>
      <c r="K56" s="10" t="e">
        <f t="shared" si="46"/>
        <v>#DIV/0!</v>
      </c>
      <c r="L56" s="10">
        <v>0</v>
      </c>
      <c r="M56" s="11">
        <v>0</v>
      </c>
      <c r="N56" s="10" t="e">
        <f t="shared" si="47"/>
        <v>#DIV/0!</v>
      </c>
      <c r="O56" s="10">
        <v>0</v>
      </c>
      <c r="P56" s="11">
        <v>0</v>
      </c>
      <c r="Q56" s="10" t="e">
        <f t="shared" si="48"/>
        <v>#DIV/0!</v>
      </c>
      <c r="R56" s="10">
        <v>0</v>
      </c>
      <c r="S56" s="11">
        <v>0</v>
      </c>
      <c r="T56" s="10" t="e">
        <f t="shared" si="49"/>
        <v>#DIV/0!</v>
      </c>
      <c r="U56" s="10">
        <v>0</v>
      </c>
      <c r="V56" s="11">
        <v>0</v>
      </c>
      <c r="W56" s="10" t="e">
        <f t="shared" si="50"/>
        <v>#DIV/0!</v>
      </c>
      <c r="X56" s="10">
        <v>0</v>
      </c>
      <c r="Y56" s="11">
        <v>0</v>
      </c>
      <c r="Z56" s="10">
        <f t="shared" si="51"/>
        <v>2108.3142857142857</v>
      </c>
      <c r="AA56" s="10">
        <v>147582</v>
      </c>
      <c r="AB56" s="11">
        <v>70</v>
      </c>
      <c r="AC56" s="10" t="e">
        <f t="shared" si="52"/>
        <v>#DIV/0!</v>
      </c>
      <c r="AD56" s="10">
        <v>0</v>
      </c>
      <c r="AE56" s="11">
        <v>0</v>
      </c>
      <c r="AF56" s="10" t="e">
        <f t="shared" si="53"/>
        <v>#DIV/0!</v>
      </c>
      <c r="AG56" s="10">
        <v>0</v>
      </c>
      <c r="AH56" s="11">
        <v>0</v>
      </c>
      <c r="AI56" s="10" t="e">
        <f t="shared" si="54"/>
        <v>#DIV/0!</v>
      </c>
      <c r="AJ56" s="10">
        <v>0</v>
      </c>
      <c r="AK56" s="11">
        <v>0</v>
      </c>
      <c r="AL56" s="10" t="e">
        <f t="shared" si="55"/>
        <v>#DIV/0!</v>
      </c>
      <c r="AM56" s="10">
        <v>0</v>
      </c>
      <c r="AN56" s="11">
        <v>0</v>
      </c>
      <c r="AO56" s="10">
        <f t="shared" si="37"/>
        <v>2108.3142857142857</v>
      </c>
      <c r="AP56" s="10">
        <f t="shared" si="42"/>
        <v>147582</v>
      </c>
      <c r="AQ56" s="11">
        <f t="shared" si="43"/>
        <v>70</v>
      </c>
    </row>
    <row r="57" spans="1:43" x14ac:dyDescent="0.3">
      <c r="A57" s="19" t="s">
        <v>39</v>
      </c>
      <c r="B57" s="34"/>
      <c r="C57" s="34"/>
      <c r="D57" s="34"/>
      <c r="E57" s="10" t="e">
        <f t="shared" si="44"/>
        <v>#DIV/0!</v>
      </c>
      <c r="F57" s="10">
        <v>0</v>
      </c>
      <c r="G57" s="11">
        <v>0</v>
      </c>
      <c r="H57" s="10" t="e">
        <f t="shared" si="45"/>
        <v>#DIV/0!</v>
      </c>
      <c r="I57" s="10">
        <v>0</v>
      </c>
      <c r="J57" s="11">
        <v>0</v>
      </c>
      <c r="K57" s="10" t="e">
        <f t="shared" si="46"/>
        <v>#DIV/0!</v>
      </c>
      <c r="L57" s="10">
        <v>0</v>
      </c>
      <c r="M57" s="11">
        <v>0</v>
      </c>
      <c r="N57" s="10">
        <f t="shared" si="47"/>
        <v>796.15384615384619</v>
      </c>
      <c r="O57" s="10">
        <v>10350</v>
      </c>
      <c r="P57" s="11">
        <v>13</v>
      </c>
      <c r="Q57" s="10" t="e">
        <f t="shared" si="48"/>
        <v>#DIV/0!</v>
      </c>
      <c r="R57" s="10">
        <v>0</v>
      </c>
      <c r="S57" s="11">
        <v>0</v>
      </c>
      <c r="T57" s="10" t="e">
        <f t="shared" si="49"/>
        <v>#DIV/0!</v>
      </c>
      <c r="U57" s="10">
        <v>0</v>
      </c>
      <c r="V57" s="11">
        <v>0</v>
      </c>
      <c r="W57" s="10" t="e">
        <f t="shared" si="50"/>
        <v>#DIV/0!</v>
      </c>
      <c r="X57" s="10">
        <v>0</v>
      </c>
      <c r="Y57" s="11">
        <v>0</v>
      </c>
      <c r="Z57" s="10" t="e">
        <f t="shared" si="51"/>
        <v>#DIV/0!</v>
      </c>
      <c r="AA57" s="10">
        <v>0</v>
      </c>
      <c r="AB57" s="11">
        <v>0</v>
      </c>
      <c r="AC57" s="10" t="e">
        <f t="shared" si="52"/>
        <v>#DIV/0!</v>
      </c>
      <c r="AD57" s="10">
        <v>0</v>
      </c>
      <c r="AE57" s="11">
        <v>0</v>
      </c>
      <c r="AF57" s="10" t="e">
        <f t="shared" si="53"/>
        <v>#DIV/0!</v>
      </c>
      <c r="AG57" s="10">
        <v>0</v>
      </c>
      <c r="AH57" s="11">
        <v>0</v>
      </c>
      <c r="AI57" s="10" t="e">
        <f t="shared" si="54"/>
        <v>#DIV/0!</v>
      </c>
      <c r="AJ57" s="10">
        <v>0</v>
      </c>
      <c r="AK57" s="11">
        <v>0</v>
      </c>
      <c r="AL57" s="10" t="e">
        <f t="shared" si="55"/>
        <v>#DIV/0!</v>
      </c>
      <c r="AM57" s="10">
        <v>0</v>
      </c>
      <c r="AN57" s="11">
        <v>0</v>
      </c>
      <c r="AO57" s="10">
        <f t="shared" si="37"/>
        <v>796.15384615384619</v>
      </c>
      <c r="AP57" s="10">
        <f t="shared" si="42"/>
        <v>10350</v>
      </c>
      <c r="AQ57" s="11">
        <f t="shared" si="43"/>
        <v>13</v>
      </c>
    </row>
    <row r="58" spans="1:43" x14ac:dyDescent="0.3">
      <c r="A58" s="19" t="s">
        <v>86</v>
      </c>
      <c r="B58" s="35"/>
      <c r="C58" s="34"/>
      <c r="D58" s="34"/>
      <c r="E58" s="17" t="e">
        <f t="shared" si="44"/>
        <v>#DIV/0!</v>
      </c>
      <c r="F58" s="15">
        <v>0</v>
      </c>
      <c r="G58" s="16">
        <v>0</v>
      </c>
      <c r="H58" s="15" t="e">
        <f t="shared" si="45"/>
        <v>#DIV/0!</v>
      </c>
      <c r="I58" s="15">
        <v>0</v>
      </c>
      <c r="J58" s="16">
        <v>0</v>
      </c>
      <c r="K58" s="15" t="e">
        <f t="shared" si="46"/>
        <v>#DIV/0!</v>
      </c>
      <c r="L58" s="15">
        <v>0</v>
      </c>
      <c r="M58" s="16">
        <v>0</v>
      </c>
      <c r="N58" s="15" t="e">
        <f t="shared" si="47"/>
        <v>#DIV/0!</v>
      </c>
      <c r="O58" s="15">
        <v>0</v>
      </c>
      <c r="P58" s="16">
        <v>0</v>
      </c>
      <c r="Q58" s="15" t="e">
        <f t="shared" si="48"/>
        <v>#DIV/0!</v>
      </c>
      <c r="R58" s="15">
        <v>0</v>
      </c>
      <c r="S58" s="16">
        <v>0</v>
      </c>
      <c r="T58" s="15">
        <f t="shared" si="49"/>
        <v>2097.3964285714287</v>
      </c>
      <c r="U58" s="15">
        <v>587271</v>
      </c>
      <c r="V58" s="16">
        <v>280</v>
      </c>
      <c r="W58" s="15" t="e">
        <f t="shared" si="50"/>
        <v>#DIV/0!</v>
      </c>
      <c r="X58" s="15">
        <v>0</v>
      </c>
      <c r="Y58" s="16">
        <v>0</v>
      </c>
      <c r="Z58" s="15" t="e">
        <f t="shared" si="51"/>
        <v>#DIV/0!</v>
      </c>
      <c r="AA58" s="15">
        <v>0</v>
      </c>
      <c r="AB58" s="16">
        <v>0</v>
      </c>
      <c r="AC58" s="15" t="e">
        <f t="shared" si="52"/>
        <v>#DIV/0!</v>
      </c>
      <c r="AD58" s="15">
        <v>0</v>
      </c>
      <c r="AE58" s="16">
        <v>0</v>
      </c>
      <c r="AF58" s="15" t="e">
        <f t="shared" si="53"/>
        <v>#DIV/0!</v>
      </c>
      <c r="AG58" s="15">
        <v>0</v>
      </c>
      <c r="AH58" s="16">
        <v>0</v>
      </c>
      <c r="AI58" s="15" t="e">
        <f t="shared" si="54"/>
        <v>#DIV/0!</v>
      </c>
      <c r="AJ58" s="15">
        <v>0</v>
      </c>
      <c r="AK58" s="16">
        <v>0</v>
      </c>
      <c r="AL58" s="15" t="e">
        <f t="shared" si="55"/>
        <v>#DIV/0!</v>
      </c>
      <c r="AM58" s="15">
        <v>0</v>
      </c>
      <c r="AN58" s="16">
        <v>0</v>
      </c>
      <c r="AO58" s="15">
        <f t="shared" si="37"/>
        <v>2097.3964285714287</v>
      </c>
      <c r="AP58" s="15">
        <f t="shared" si="42"/>
        <v>587271</v>
      </c>
      <c r="AQ58" s="16">
        <f t="shared" si="43"/>
        <v>280</v>
      </c>
    </row>
    <row r="59" spans="1:43" x14ac:dyDescent="0.3">
      <c r="A59" s="36" t="s">
        <v>16</v>
      </c>
      <c r="B59" s="30" t="s">
        <v>77</v>
      </c>
      <c r="C59" s="34"/>
      <c r="D59" s="34"/>
      <c r="E59" s="10">
        <f t="shared" si="44"/>
        <v>789.87878787878788</v>
      </c>
      <c r="F59" s="10">
        <f>SUM(F60:F77)</f>
        <v>39099</v>
      </c>
      <c r="G59" s="11">
        <f t="shared" ref="G59" si="56">SUM(G60:G77)</f>
        <v>49.5</v>
      </c>
      <c r="H59" s="10">
        <f t="shared" si="45"/>
        <v>756.23595505617982</v>
      </c>
      <c r="I59" s="10">
        <f>SUM(I60:I77)</f>
        <v>40383</v>
      </c>
      <c r="J59" s="11">
        <f t="shared" ref="J59" si="57">SUM(J60:J77)</f>
        <v>53.4</v>
      </c>
      <c r="K59" s="10">
        <f t="shared" si="46"/>
        <v>749.22974767596281</v>
      </c>
      <c r="L59" s="10">
        <f>SUM(L60:L77)</f>
        <v>112834</v>
      </c>
      <c r="M59" s="11">
        <f t="shared" ref="M59" si="58">SUM(M60:M77)</f>
        <v>150.6</v>
      </c>
      <c r="N59" s="10">
        <f t="shared" si="47"/>
        <v>756.75138999205717</v>
      </c>
      <c r="O59" s="10">
        <f>SUM(O60:O77)</f>
        <v>95275</v>
      </c>
      <c r="P59" s="11">
        <f t="shared" ref="P59" si="59">SUM(P60:P77)</f>
        <v>125.9</v>
      </c>
      <c r="Q59" s="10">
        <f t="shared" si="48"/>
        <v>878.12587412587413</v>
      </c>
      <c r="R59" s="10">
        <f>SUM(R60:R77)</f>
        <v>125572</v>
      </c>
      <c r="S59" s="11">
        <f t="shared" ref="S59" si="60">SUM(S60:S77)</f>
        <v>143</v>
      </c>
      <c r="T59" s="10">
        <f t="shared" si="49"/>
        <v>912.85556780595368</v>
      </c>
      <c r="U59" s="10">
        <f>SUM(U60:U77)</f>
        <v>165592</v>
      </c>
      <c r="V59" s="11">
        <f t="shared" ref="V59" si="61">SUM(V60:V77)</f>
        <v>181.4</v>
      </c>
      <c r="W59" s="10">
        <f t="shared" si="50"/>
        <v>1294.6252676659528</v>
      </c>
      <c r="X59" s="10">
        <f>SUM(X60:X77)</f>
        <v>241836</v>
      </c>
      <c r="Y59" s="11">
        <f t="shared" ref="Y59" si="62">SUM(Y60:Y77)</f>
        <v>186.8</v>
      </c>
      <c r="Z59" s="10">
        <f t="shared" si="51"/>
        <v>1042.8658125421441</v>
      </c>
      <c r="AA59" s="10">
        <f>SUM(AA60:AA77)</f>
        <v>309314</v>
      </c>
      <c r="AB59" s="11">
        <f t="shared" ref="AB59" si="63">SUM(AB60:AB77)</f>
        <v>296.60000000000002</v>
      </c>
      <c r="AC59" s="10">
        <f t="shared" si="52"/>
        <v>909.63862928348908</v>
      </c>
      <c r="AD59" s="10">
        <f>SUM(AD60:AD77)</f>
        <v>291994</v>
      </c>
      <c r="AE59" s="11">
        <f t="shared" ref="AE59" si="64">SUM(AE60:AE77)</f>
        <v>321</v>
      </c>
      <c r="AF59" s="10">
        <f t="shared" si="53"/>
        <v>1133.3333333333333</v>
      </c>
      <c r="AG59" s="10">
        <f>SUM(AG60:AG77)</f>
        <v>234260</v>
      </c>
      <c r="AH59" s="11">
        <f t="shared" ref="AH59" si="65">SUM(AH60:AH77)</f>
        <v>206.70000000000002</v>
      </c>
      <c r="AI59" s="10">
        <f t="shared" si="54"/>
        <v>1201.3971291866028</v>
      </c>
      <c r="AJ59" s="10">
        <f>SUM(AJ60:AJ77)</f>
        <v>627730</v>
      </c>
      <c r="AK59" s="11">
        <f t="shared" ref="AK59" si="66">SUM(AK60:AK77)</f>
        <v>522.5</v>
      </c>
      <c r="AL59" s="10">
        <f t="shared" si="55"/>
        <v>1015.7743269474219</v>
      </c>
      <c r="AM59" s="10">
        <f>SUM(AM60:AM77)</f>
        <v>2407182</v>
      </c>
      <c r="AN59" s="11">
        <f t="shared" ref="AN59" si="67">SUM(AN60:AN77)</f>
        <v>2369.7999999999997</v>
      </c>
      <c r="AO59" s="10">
        <f t="shared" si="37"/>
        <v>1018.2043323493665</v>
      </c>
      <c r="AP59" s="10">
        <f t="shared" si="42"/>
        <v>4691071</v>
      </c>
      <c r="AQ59" s="11">
        <f t="shared" si="43"/>
        <v>4607.1999999999989</v>
      </c>
    </row>
    <row r="60" spans="1:43" x14ac:dyDescent="0.3">
      <c r="A60" s="19" t="s">
        <v>18</v>
      </c>
      <c r="B60" s="31"/>
      <c r="C60" s="34"/>
      <c r="D60" s="34"/>
      <c r="E60" s="10" t="e">
        <f t="shared" si="44"/>
        <v>#DIV/0!</v>
      </c>
      <c r="F60" s="10">
        <v>0</v>
      </c>
      <c r="G60" s="11">
        <v>0</v>
      </c>
      <c r="H60" s="10" t="e">
        <f t="shared" si="45"/>
        <v>#DIV/0!</v>
      </c>
      <c r="I60" s="10">
        <v>0</v>
      </c>
      <c r="J60" s="11">
        <v>0</v>
      </c>
      <c r="K60" s="10" t="e">
        <f t="shared" si="46"/>
        <v>#DIV/0!</v>
      </c>
      <c r="L60" s="10">
        <v>0</v>
      </c>
      <c r="M60" s="11">
        <v>0</v>
      </c>
      <c r="N60" s="10" t="e">
        <f t="shared" si="47"/>
        <v>#DIV/0!</v>
      </c>
      <c r="O60" s="3">
        <v>0</v>
      </c>
      <c r="P60" s="6">
        <v>0</v>
      </c>
      <c r="Q60" s="10">
        <f t="shared" si="48"/>
        <v>2550</v>
      </c>
      <c r="R60" s="10">
        <v>5355</v>
      </c>
      <c r="S60" s="11">
        <v>2.1</v>
      </c>
      <c r="T60" s="10" t="e">
        <f t="shared" si="49"/>
        <v>#DIV/0!</v>
      </c>
      <c r="U60" s="10">
        <v>0</v>
      </c>
      <c r="V60" s="11">
        <v>0</v>
      </c>
      <c r="W60" s="10" t="e">
        <f t="shared" si="50"/>
        <v>#DIV/0!</v>
      </c>
      <c r="X60" s="10">
        <v>0</v>
      </c>
      <c r="Y60" s="11">
        <v>0</v>
      </c>
      <c r="Z60" s="10" t="e">
        <f t="shared" si="51"/>
        <v>#DIV/0!</v>
      </c>
      <c r="AA60" s="10">
        <v>0</v>
      </c>
      <c r="AB60" s="11">
        <v>0</v>
      </c>
      <c r="AC60" s="10" t="e">
        <f t="shared" si="52"/>
        <v>#DIV/0!</v>
      </c>
      <c r="AD60" s="10">
        <v>0</v>
      </c>
      <c r="AE60" s="11">
        <v>0</v>
      </c>
      <c r="AF60" s="10">
        <f t="shared" si="53"/>
        <v>718.62831858407071</v>
      </c>
      <c r="AG60" s="10">
        <v>16241</v>
      </c>
      <c r="AH60" s="11">
        <v>22.6</v>
      </c>
      <c r="AI60" s="10">
        <f t="shared" si="54"/>
        <v>1697.3019517795638</v>
      </c>
      <c r="AJ60" s="10">
        <v>147835</v>
      </c>
      <c r="AK60" s="11">
        <v>87.1</v>
      </c>
      <c r="AL60" s="10">
        <f t="shared" si="55"/>
        <v>1515.4830053667263</v>
      </c>
      <c r="AM60" s="10">
        <v>169431</v>
      </c>
      <c r="AN60" s="11">
        <v>111.8</v>
      </c>
      <c r="AO60" s="10">
        <f t="shared" si="37"/>
        <v>1515.4830053667263</v>
      </c>
      <c r="AP60" s="10">
        <f t="shared" si="42"/>
        <v>338862</v>
      </c>
      <c r="AQ60" s="11">
        <f t="shared" si="43"/>
        <v>223.6</v>
      </c>
    </row>
    <row r="61" spans="1:43" x14ac:dyDescent="0.3">
      <c r="A61" s="19" t="s">
        <v>36</v>
      </c>
      <c r="B61" s="31"/>
      <c r="C61" s="34"/>
      <c r="D61" s="34"/>
      <c r="E61" s="10" t="e">
        <f t="shared" si="44"/>
        <v>#DIV/0!</v>
      </c>
      <c r="F61" s="10">
        <v>0</v>
      </c>
      <c r="G61" s="11">
        <v>0</v>
      </c>
      <c r="H61" s="10" t="e">
        <f t="shared" si="45"/>
        <v>#DIV/0!</v>
      </c>
      <c r="I61" s="10">
        <v>0</v>
      </c>
      <c r="J61" s="11">
        <v>0</v>
      </c>
      <c r="K61" s="10" t="e">
        <f t="shared" si="46"/>
        <v>#DIV/0!</v>
      </c>
      <c r="L61" s="10">
        <v>0</v>
      </c>
      <c r="M61" s="11">
        <v>0</v>
      </c>
      <c r="N61" s="10" t="e">
        <f t="shared" si="47"/>
        <v>#DIV/0!</v>
      </c>
      <c r="O61" s="3">
        <v>0</v>
      </c>
      <c r="P61" s="6">
        <v>0</v>
      </c>
      <c r="Q61" s="10" t="e">
        <f t="shared" si="48"/>
        <v>#DIV/0!</v>
      </c>
      <c r="R61" s="10">
        <v>0</v>
      </c>
      <c r="S61" s="11">
        <v>0</v>
      </c>
      <c r="T61" s="10" t="e">
        <f t="shared" si="49"/>
        <v>#DIV/0!</v>
      </c>
      <c r="U61" s="10">
        <v>0</v>
      </c>
      <c r="V61" s="11">
        <v>0</v>
      </c>
      <c r="W61" s="10">
        <f t="shared" si="50"/>
        <v>1989.6831683168316</v>
      </c>
      <c r="X61" s="10">
        <v>100479</v>
      </c>
      <c r="Y61" s="11">
        <v>50.5</v>
      </c>
      <c r="Z61" s="10">
        <f t="shared" si="51"/>
        <v>2052.0175438596489</v>
      </c>
      <c r="AA61" s="10">
        <v>23393</v>
      </c>
      <c r="AB61" s="11">
        <v>11.4</v>
      </c>
      <c r="AC61" s="10">
        <f t="shared" si="52"/>
        <v>2055.7894736842104</v>
      </c>
      <c r="AD61" s="10">
        <v>3906</v>
      </c>
      <c r="AE61" s="11">
        <v>1.9</v>
      </c>
      <c r="AF61" s="10">
        <f t="shared" si="53"/>
        <v>1216.2173913043478</v>
      </c>
      <c r="AG61" s="10">
        <v>55946</v>
      </c>
      <c r="AH61" s="11">
        <v>46</v>
      </c>
      <c r="AI61" s="10">
        <f t="shared" si="54"/>
        <v>1814.1142020497805</v>
      </c>
      <c r="AJ61" s="10">
        <v>123904</v>
      </c>
      <c r="AK61" s="11">
        <v>68.3</v>
      </c>
      <c r="AL61" s="10">
        <f t="shared" si="55"/>
        <v>1726.3075196408531</v>
      </c>
      <c r="AM61" s="10">
        <v>307628</v>
      </c>
      <c r="AN61" s="11">
        <v>178.2</v>
      </c>
      <c r="AO61" s="10">
        <f t="shared" si="37"/>
        <v>1726.7920291888861</v>
      </c>
      <c r="AP61" s="10">
        <f t="shared" si="42"/>
        <v>615256</v>
      </c>
      <c r="AQ61" s="11">
        <f t="shared" si="43"/>
        <v>356.29999999999995</v>
      </c>
    </row>
    <row r="62" spans="1:43" x14ac:dyDescent="0.3">
      <c r="A62" s="19" t="s">
        <v>24</v>
      </c>
      <c r="B62" s="31"/>
      <c r="C62" s="34"/>
      <c r="D62" s="34"/>
      <c r="E62" s="10">
        <f t="shared" si="44"/>
        <v>789.87878787878788</v>
      </c>
      <c r="F62" s="10">
        <v>39099</v>
      </c>
      <c r="G62" s="11">
        <v>49.5</v>
      </c>
      <c r="H62" s="10">
        <f t="shared" si="45"/>
        <v>808.16593886462886</v>
      </c>
      <c r="I62" s="10">
        <v>18507</v>
      </c>
      <c r="J62" s="11">
        <v>22.9</v>
      </c>
      <c r="K62" s="10">
        <f t="shared" si="46"/>
        <v>769.17171717171721</v>
      </c>
      <c r="L62" s="10">
        <v>38074</v>
      </c>
      <c r="M62" s="11">
        <v>49.5</v>
      </c>
      <c r="N62" s="10">
        <f t="shared" si="47"/>
        <v>756.75138999205717</v>
      </c>
      <c r="O62" s="3">
        <v>95275</v>
      </c>
      <c r="P62" s="6">
        <v>125.9</v>
      </c>
      <c r="Q62" s="10">
        <f t="shared" si="48"/>
        <v>871.93211488250654</v>
      </c>
      <c r="R62" s="10">
        <v>66790</v>
      </c>
      <c r="S62" s="11">
        <v>76.599999999999994</v>
      </c>
      <c r="T62" s="10">
        <f t="shared" si="49"/>
        <v>875.16046213093705</v>
      </c>
      <c r="U62" s="10">
        <v>68175</v>
      </c>
      <c r="V62" s="11">
        <v>77.900000000000006</v>
      </c>
      <c r="W62" s="10">
        <f t="shared" si="50"/>
        <v>1008.6474164133739</v>
      </c>
      <c r="X62" s="10">
        <v>66369</v>
      </c>
      <c r="Y62" s="11">
        <v>65.8</v>
      </c>
      <c r="Z62" s="10">
        <f t="shared" si="51"/>
        <v>771.51484135107466</v>
      </c>
      <c r="AA62" s="10">
        <v>75377</v>
      </c>
      <c r="AB62" s="11">
        <v>97.7</v>
      </c>
      <c r="AC62" s="10">
        <f t="shared" si="52"/>
        <v>812.25783475783476</v>
      </c>
      <c r="AD62" s="10">
        <v>114041</v>
      </c>
      <c r="AE62" s="11">
        <v>140.4</v>
      </c>
      <c r="AF62" s="10">
        <f t="shared" si="53"/>
        <v>774.36906377204878</v>
      </c>
      <c r="AG62" s="10">
        <v>57071</v>
      </c>
      <c r="AH62" s="11">
        <v>73.7</v>
      </c>
      <c r="AI62" s="10">
        <f t="shared" si="54"/>
        <v>785.79259259259254</v>
      </c>
      <c r="AJ62" s="10">
        <v>106082</v>
      </c>
      <c r="AK62" s="11">
        <v>135</v>
      </c>
      <c r="AL62" s="10">
        <f t="shared" si="55"/>
        <v>813.77754237288138</v>
      </c>
      <c r="AM62" s="10">
        <v>768206</v>
      </c>
      <c r="AN62" s="11">
        <v>944</v>
      </c>
      <c r="AO62" s="10">
        <f t="shared" ref="AO62:AO77" si="68">AP62/AQ62</f>
        <v>1025.5889134845968</v>
      </c>
      <c r="AP62" s="10">
        <f>SUM(AP63:AP77)</f>
        <v>2223887</v>
      </c>
      <c r="AQ62" s="11">
        <f>SUM(AQ63:AQ77)</f>
        <v>2168.4000000000005</v>
      </c>
    </row>
    <row r="63" spans="1:43" x14ac:dyDescent="0.3">
      <c r="A63" s="19" t="s">
        <v>52</v>
      </c>
      <c r="B63" s="31"/>
      <c r="C63" s="34"/>
      <c r="D63" s="34"/>
      <c r="E63" s="10" t="e">
        <f t="shared" si="44"/>
        <v>#DIV/0!</v>
      </c>
      <c r="F63" s="10">
        <v>0</v>
      </c>
      <c r="G63" s="11">
        <v>0</v>
      </c>
      <c r="H63" s="10" t="e">
        <f t="shared" si="45"/>
        <v>#DIV/0!</v>
      </c>
      <c r="I63" s="10">
        <v>0</v>
      </c>
      <c r="J63" s="11">
        <v>0</v>
      </c>
      <c r="K63" s="10">
        <f t="shared" si="46"/>
        <v>719.2622950819673</v>
      </c>
      <c r="L63" s="10">
        <v>17550</v>
      </c>
      <c r="M63" s="11">
        <v>24.4</v>
      </c>
      <c r="N63" s="10" t="e">
        <f t="shared" si="47"/>
        <v>#DIV/0!</v>
      </c>
      <c r="O63" s="3">
        <v>0</v>
      </c>
      <c r="P63" s="6">
        <v>0</v>
      </c>
      <c r="Q63" s="10" t="e">
        <f t="shared" si="48"/>
        <v>#DIV/0!</v>
      </c>
      <c r="R63" s="10">
        <v>0</v>
      </c>
      <c r="S63" s="11">
        <v>0</v>
      </c>
      <c r="T63" s="10">
        <f t="shared" si="49"/>
        <v>1119.1186440677966</v>
      </c>
      <c r="U63" s="10">
        <v>33014</v>
      </c>
      <c r="V63" s="11">
        <v>29.5</v>
      </c>
      <c r="W63" s="10">
        <f t="shared" si="50"/>
        <v>2129.5620437956204</v>
      </c>
      <c r="X63" s="10">
        <v>29175</v>
      </c>
      <c r="Y63" s="11">
        <v>13.7</v>
      </c>
      <c r="Z63" s="10">
        <f t="shared" si="51"/>
        <v>1131.5398550724638</v>
      </c>
      <c r="AA63" s="10">
        <v>62461</v>
      </c>
      <c r="AB63" s="11">
        <v>55.2</v>
      </c>
      <c r="AC63" s="10">
        <f t="shared" si="52"/>
        <v>2055.7894736842104</v>
      </c>
      <c r="AD63" s="10">
        <v>7812</v>
      </c>
      <c r="AE63" s="11">
        <v>3.8</v>
      </c>
      <c r="AF63" s="10">
        <f t="shared" si="53"/>
        <v>1264.0401146131805</v>
      </c>
      <c r="AG63" s="10">
        <v>44115</v>
      </c>
      <c r="AH63" s="11">
        <v>34.9</v>
      </c>
      <c r="AI63" s="10">
        <f t="shared" si="54"/>
        <v>772.86995515695071</v>
      </c>
      <c r="AJ63" s="10">
        <v>86175</v>
      </c>
      <c r="AK63" s="11">
        <v>111.5</v>
      </c>
      <c r="AL63" s="10">
        <f t="shared" si="55"/>
        <v>984.26944971537</v>
      </c>
      <c r="AM63" s="10">
        <v>311226</v>
      </c>
      <c r="AN63" s="11">
        <v>316.2</v>
      </c>
      <c r="AO63" s="10">
        <f t="shared" si="68"/>
        <v>1003.9511201629327</v>
      </c>
      <c r="AP63" s="10">
        <f t="shared" ref="AP63:AP77" si="69">SUM(F63,I63,L63,O63,R63,U63,X63,AA63,AD63,AG63,AJ63,AM63)</f>
        <v>591528</v>
      </c>
      <c r="AQ63" s="11">
        <f t="shared" ref="AQ63:AQ77" si="70">SUM(G63,J63,M63,P63,S63,V63,Y63,AB63,AE63,AH63,AK63,AN63)</f>
        <v>589.20000000000005</v>
      </c>
    </row>
    <row r="64" spans="1:43" x14ac:dyDescent="0.3">
      <c r="A64" s="19" t="s">
        <v>38</v>
      </c>
      <c r="B64" s="31"/>
      <c r="C64" s="34"/>
      <c r="D64" s="34"/>
      <c r="E64" s="13" t="e">
        <f t="shared" si="44"/>
        <v>#DIV/0!</v>
      </c>
      <c r="F64" s="13">
        <v>0</v>
      </c>
      <c r="G64" s="11">
        <v>0</v>
      </c>
      <c r="H64" s="13" t="e">
        <f t="shared" si="45"/>
        <v>#DIV/0!</v>
      </c>
      <c r="I64" s="13">
        <v>0</v>
      </c>
      <c r="J64" s="11">
        <v>0</v>
      </c>
      <c r="K64" s="18">
        <f t="shared" si="46"/>
        <v>717.60259179265665</v>
      </c>
      <c r="L64" s="13">
        <v>33225</v>
      </c>
      <c r="M64" s="11">
        <v>46.3</v>
      </c>
      <c r="N64" s="18" t="e">
        <f t="shared" si="47"/>
        <v>#DIV/0!</v>
      </c>
      <c r="O64" s="3">
        <v>0</v>
      </c>
      <c r="P64" s="6">
        <v>0</v>
      </c>
      <c r="Q64" s="13">
        <f t="shared" si="48"/>
        <v>1005.5696202531645</v>
      </c>
      <c r="R64" s="13">
        <v>15888</v>
      </c>
      <c r="S64" s="11">
        <v>15.8</v>
      </c>
      <c r="T64" s="18">
        <f t="shared" si="49"/>
        <v>1974.3283582089553</v>
      </c>
      <c r="U64" s="13">
        <v>13228</v>
      </c>
      <c r="V64" s="11">
        <v>6.7</v>
      </c>
      <c r="W64" s="18" t="e">
        <f t="shared" si="50"/>
        <v>#DIV/0!</v>
      </c>
      <c r="X64" s="13">
        <v>0</v>
      </c>
      <c r="Y64" s="11">
        <v>0</v>
      </c>
      <c r="Z64" s="18">
        <f t="shared" si="51"/>
        <v>2032.7083333333335</v>
      </c>
      <c r="AA64" s="13">
        <v>9757</v>
      </c>
      <c r="AB64" s="11">
        <v>4.8</v>
      </c>
      <c r="AC64" s="18">
        <f t="shared" si="52"/>
        <v>2054.2105263157896</v>
      </c>
      <c r="AD64" s="13">
        <v>7806</v>
      </c>
      <c r="AE64" s="11">
        <v>3.8</v>
      </c>
      <c r="AF64" s="18">
        <f t="shared" si="53"/>
        <v>2065.1750972762648</v>
      </c>
      <c r="AG64" s="13">
        <v>53075</v>
      </c>
      <c r="AH64" s="11">
        <v>25.7</v>
      </c>
      <c r="AI64" s="18">
        <f t="shared" si="54"/>
        <v>981.89655172413791</v>
      </c>
      <c r="AJ64" s="13">
        <v>85425</v>
      </c>
      <c r="AK64" s="11">
        <v>87</v>
      </c>
      <c r="AL64" s="18">
        <f t="shared" si="55"/>
        <v>1228.5172903837044</v>
      </c>
      <c r="AM64" s="13">
        <v>259340</v>
      </c>
      <c r="AN64" s="11">
        <v>211.1</v>
      </c>
      <c r="AO64" s="18">
        <f t="shared" si="68"/>
        <v>1190.7876370887338</v>
      </c>
      <c r="AP64" s="13">
        <f t="shared" si="69"/>
        <v>477744</v>
      </c>
      <c r="AQ64" s="11">
        <f t="shared" si="70"/>
        <v>401.2</v>
      </c>
    </row>
    <row r="65" spans="1:43" x14ac:dyDescent="0.3">
      <c r="A65" s="19" t="s">
        <v>21</v>
      </c>
      <c r="B65" s="31"/>
      <c r="C65" s="34"/>
      <c r="D65" s="34"/>
      <c r="E65" s="10" t="e">
        <f t="shared" si="44"/>
        <v>#DIV/0!</v>
      </c>
      <c r="F65" s="13">
        <v>0</v>
      </c>
      <c r="G65" s="11">
        <v>0</v>
      </c>
      <c r="H65" s="18" t="e">
        <f t="shared" si="45"/>
        <v>#DIV/0!</v>
      </c>
      <c r="I65" s="10">
        <v>0</v>
      </c>
      <c r="J65" s="11">
        <v>0</v>
      </c>
      <c r="K65" s="10" t="e">
        <f t="shared" si="46"/>
        <v>#DIV/0!</v>
      </c>
      <c r="L65" s="10">
        <v>0</v>
      </c>
      <c r="M65" s="11">
        <v>0</v>
      </c>
      <c r="N65" s="10" t="e">
        <f t="shared" si="47"/>
        <v>#DIV/0!</v>
      </c>
      <c r="O65" s="3">
        <v>0</v>
      </c>
      <c r="P65" s="6">
        <v>0</v>
      </c>
      <c r="Q65" s="13" t="e">
        <f t="shared" si="48"/>
        <v>#DIV/0!</v>
      </c>
      <c r="R65" s="10">
        <v>0</v>
      </c>
      <c r="S65" s="11">
        <v>0</v>
      </c>
      <c r="T65" s="10" t="e">
        <f t="shared" si="49"/>
        <v>#DIV/0!</v>
      </c>
      <c r="U65" s="10">
        <v>0</v>
      </c>
      <c r="V65" s="11">
        <v>0</v>
      </c>
      <c r="W65" s="10" t="e">
        <f t="shared" si="50"/>
        <v>#DIV/0!</v>
      </c>
      <c r="X65" s="10">
        <v>0</v>
      </c>
      <c r="Y65" s="11">
        <v>0</v>
      </c>
      <c r="Z65" s="10" t="e">
        <f t="shared" si="51"/>
        <v>#DIV/0!</v>
      </c>
      <c r="AA65" s="10">
        <v>0</v>
      </c>
      <c r="AB65" s="11">
        <v>0</v>
      </c>
      <c r="AC65" s="10" t="e">
        <f t="shared" si="52"/>
        <v>#DIV/0!</v>
      </c>
      <c r="AD65" s="10">
        <v>0</v>
      </c>
      <c r="AE65" s="11">
        <v>0</v>
      </c>
      <c r="AF65" s="10" t="e">
        <f t="shared" si="53"/>
        <v>#DIV/0!</v>
      </c>
      <c r="AG65" s="10">
        <v>0</v>
      </c>
      <c r="AH65" s="11">
        <v>0</v>
      </c>
      <c r="AI65" s="10">
        <f t="shared" si="54"/>
        <v>2322.6027397260277</v>
      </c>
      <c r="AJ65" s="10">
        <v>50865</v>
      </c>
      <c r="AK65" s="11">
        <v>21.9</v>
      </c>
      <c r="AL65" s="10">
        <f t="shared" si="55"/>
        <v>2322.6027397260277</v>
      </c>
      <c r="AM65" s="10">
        <v>50865</v>
      </c>
      <c r="AN65" s="11">
        <v>21.9</v>
      </c>
      <c r="AO65" s="10">
        <f t="shared" si="68"/>
        <v>2322.6027397260277</v>
      </c>
      <c r="AP65" s="13">
        <f t="shared" si="69"/>
        <v>101730</v>
      </c>
      <c r="AQ65" s="11">
        <f t="shared" si="70"/>
        <v>43.8</v>
      </c>
    </row>
    <row r="66" spans="1:43" x14ac:dyDescent="0.3">
      <c r="A66" s="19" t="s">
        <v>32</v>
      </c>
      <c r="B66" s="31"/>
      <c r="C66" s="34"/>
      <c r="D66" s="34"/>
      <c r="E66" s="10" t="e">
        <f t="shared" si="44"/>
        <v>#DIV/0!</v>
      </c>
      <c r="F66" s="3">
        <v>0</v>
      </c>
      <c r="G66" s="6">
        <v>0</v>
      </c>
      <c r="H66" s="10">
        <f t="shared" si="45"/>
        <v>717.24590163934431</v>
      </c>
      <c r="I66" s="10">
        <v>21876</v>
      </c>
      <c r="J66" s="11">
        <v>30.5</v>
      </c>
      <c r="K66" s="10">
        <f t="shared" si="46"/>
        <v>717.80303030303037</v>
      </c>
      <c r="L66" s="10">
        <v>18950</v>
      </c>
      <c r="M66" s="11">
        <v>26.4</v>
      </c>
      <c r="N66" s="10" t="e">
        <f t="shared" si="47"/>
        <v>#DIV/0!</v>
      </c>
      <c r="O66" s="3">
        <v>0</v>
      </c>
      <c r="P66" s="6">
        <v>0</v>
      </c>
      <c r="Q66" s="10">
        <f t="shared" si="48"/>
        <v>719.16666666666663</v>
      </c>
      <c r="R66" s="10">
        <v>19849</v>
      </c>
      <c r="S66" s="11">
        <v>27.6</v>
      </c>
      <c r="T66" s="10">
        <f t="shared" si="49"/>
        <v>717.78452200303479</v>
      </c>
      <c r="U66" s="10">
        <v>47302</v>
      </c>
      <c r="V66" s="11">
        <v>65.900000000000006</v>
      </c>
      <c r="W66" s="10">
        <f t="shared" si="50"/>
        <v>2818.3333333333335</v>
      </c>
      <c r="X66" s="10">
        <v>6764</v>
      </c>
      <c r="Y66" s="11">
        <v>2.4</v>
      </c>
      <c r="Z66" s="10" t="e">
        <f t="shared" si="51"/>
        <v>#DIV/0!</v>
      </c>
      <c r="AA66" s="10">
        <v>0</v>
      </c>
      <c r="AB66" s="11">
        <v>0</v>
      </c>
      <c r="AC66" s="10">
        <f t="shared" si="52"/>
        <v>970.99502487562177</v>
      </c>
      <c r="AD66" s="10">
        <v>19517</v>
      </c>
      <c r="AE66" s="11">
        <v>20.100000000000001</v>
      </c>
      <c r="AF66" s="10">
        <f t="shared" si="53"/>
        <v>2055.7894736842104</v>
      </c>
      <c r="AG66" s="10">
        <v>7812</v>
      </c>
      <c r="AH66" s="11">
        <v>3.8</v>
      </c>
      <c r="AI66" s="10">
        <f t="shared" si="54"/>
        <v>2314.651162790698</v>
      </c>
      <c r="AJ66" s="10">
        <v>19906</v>
      </c>
      <c r="AK66" s="11">
        <v>8.6</v>
      </c>
      <c r="AL66" s="10">
        <f t="shared" si="55"/>
        <v>847.36067766384303</v>
      </c>
      <c r="AM66" s="10">
        <v>190063</v>
      </c>
      <c r="AN66" s="11">
        <v>224.3</v>
      </c>
      <c r="AO66" s="10">
        <f t="shared" si="68"/>
        <v>859.47021484375</v>
      </c>
      <c r="AP66" s="10">
        <f t="shared" si="69"/>
        <v>352039</v>
      </c>
      <c r="AQ66" s="11">
        <f t="shared" si="70"/>
        <v>409.6</v>
      </c>
    </row>
    <row r="67" spans="1:43" x14ac:dyDescent="0.3">
      <c r="A67" s="19" t="s">
        <v>33</v>
      </c>
      <c r="B67" s="31"/>
      <c r="C67" s="34"/>
      <c r="D67" s="34"/>
      <c r="E67" s="10" t="e">
        <f t="shared" si="44"/>
        <v>#DIV/0!</v>
      </c>
      <c r="F67" s="3">
        <v>0</v>
      </c>
      <c r="G67" s="6">
        <v>0</v>
      </c>
      <c r="H67" s="10" t="e">
        <f t="shared" si="45"/>
        <v>#DIV/0!</v>
      </c>
      <c r="I67" s="10">
        <v>0</v>
      </c>
      <c r="J67" s="11">
        <v>0</v>
      </c>
      <c r="K67" s="10" t="e">
        <f t="shared" si="46"/>
        <v>#DIV/0!</v>
      </c>
      <c r="L67" s="10">
        <v>0</v>
      </c>
      <c r="M67" s="11">
        <v>0</v>
      </c>
      <c r="N67" s="10" t="e">
        <f t="shared" si="47"/>
        <v>#DIV/0!</v>
      </c>
      <c r="O67" s="3">
        <v>0</v>
      </c>
      <c r="P67" s="6">
        <v>0</v>
      </c>
      <c r="Q67" s="10" t="e">
        <f t="shared" si="48"/>
        <v>#DIV/0!</v>
      </c>
      <c r="R67" s="10">
        <v>0</v>
      </c>
      <c r="S67" s="11">
        <v>0</v>
      </c>
      <c r="T67" s="10" t="e">
        <f t="shared" si="49"/>
        <v>#DIV/0!</v>
      </c>
      <c r="U67" s="10">
        <v>0</v>
      </c>
      <c r="V67" s="11">
        <v>0</v>
      </c>
      <c r="W67" s="10" t="e">
        <f t="shared" si="50"/>
        <v>#DIV/0!</v>
      </c>
      <c r="X67" s="10">
        <v>0</v>
      </c>
      <c r="Y67" s="11">
        <v>0</v>
      </c>
      <c r="Z67" s="10">
        <f t="shared" si="51"/>
        <v>2016.5517241379312</v>
      </c>
      <c r="AA67" s="10">
        <v>5848</v>
      </c>
      <c r="AB67" s="11">
        <v>2.9</v>
      </c>
      <c r="AC67" s="10" t="e">
        <f t="shared" si="52"/>
        <v>#DIV/0!</v>
      </c>
      <c r="AD67" s="10">
        <v>0</v>
      </c>
      <c r="AE67" s="11">
        <v>0</v>
      </c>
      <c r="AF67" s="10" t="e">
        <f t="shared" si="53"/>
        <v>#DIV/0!</v>
      </c>
      <c r="AG67" s="10">
        <v>0</v>
      </c>
      <c r="AH67" s="11">
        <v>0</v>
      </c>
      <c r="AI67" s="10">
        <f t="shared" si="54"/>
        <v>2329.4736842105262</v>
      </c>
      <c r="AJ67" s="10">
        <v>4426</v>
      </c>
      <c r="AK67" s="11">
        <v>1.9</v>
      </c>
      <c r="AL67" s="10">
        <f t="shared" si="55"/>
        <v>2140.416666666667</v>
      </c>
      <c r="AM67" s="10">
        <v>10274</v>
      </c>
      <c r="AN67" s="11">
        <v>4.8</v>
      </c>
      <c r="AO67" s="10">
        <f t="shared" si="68"/>
        <v>2140.416666666667</v>
      </c>
      <c r="AP67" s="10">
        <f t="shared" si="69"/>
        <v>20548</v>
      </c>
      <c r="AQ67" s="11">
        <f t="shared" si="70"/>
        <v>9.6</v>
      </c>
    </row>
    <row r="68" spans="1:43" x14ac:dyDescent="0.3">
      <c r="A68" s="19" t="s">
        <v>40</v>
      </c>
      <c r="B68" s="31"/>
      <c r="C68" s="34"/>
      <c r="D68" s="34"/>
      <c r="E68" s="10" t="e">
        <f t="shared" si="44"/>
        <v>#DIV/0!</v>
      </c>
      <c r="F68" s="3">
        <v>0</v>
      </c>
      <c r="G68" s="6">
        <v>0</v>
      </c>
      <c r="H68" s="10" t="e">
        <f t="shared" si="45"/>
        <v>#DIV/0!</v>
      </c>
      <c r="I68" s="10">
        <v>0</v>
      </c>
      <c r="J68" s="11">
        <v>0</v>
      </c>
      <c r="K68" s="10">
        <f t="shared" si="46"/>
        <v>1258.75</v>
      </c>
      <c r="L68" s="10">
        <v>5035</v>
      </c>
      <c r="M68" s="11">
        <v>4</v>
      </c>
      <c r="N68" s="10" t="e">
        <f t="shared" si="47"/>
        <v>#DIV/0!</v>
      </c>
      <c r="O68" s="3">
        <v>0</v>
      </c>
      <c r="P68" s="6">
        <v>0</v>
      </c>
      <c r="Q68" s="10" t="e">
        <f t="shared" si="48"/>
        <v>#DIV/0!</v>
      </c>
      <c r="R68" s="10">
        <v>0</v>
      </c>
      <c r="S68" s="11">
        <v>0</v>
      </c>
      <c r="T68" s="10" t="e">
        <f t="shared" si="49"/>
        <v>#DIV/0!</v>
      </c>
      <c r="U68" s="10">
        <v>0</v>
      </c>
      <c r="V68" s="11">
        <v>0</v>
      </c>
      <c r="W68" s="10" t="e">
        <f t="shared" si="50"/>
        <v>#DIV/0!</v>
      </c>
      <c r="X68" s="10">
        <v>0</v>
      </c>
      <c r="Y68" s="11">
        <v>0</v>
      </c>
      <c r="Z68" s="10" t="e">
        <f t="shared" si="51"/>
        <v>#DIV/0!</v>
      </c>
      <c r="AA68" s="10">
        <v>0</v>
      </c>
      <c r="AB68" s="11">
        <v>0</v>
      </c>
      <c r="AC68" s="10" t="e">
        <f t="shared" si="52"/>
        <v>#DIV/0!</v>
      </c>
      <c r="AD68" s="10">
        <v>0</v>
      </c>
      <c r="AE68" s="11">
        <v>0</v>
      </c>
      <c r="AF68" s="10" t="e">
        <f t="shared" si="53"/>
        <v>#DIV/0!</v>
      </c>
      <c r="AG68" s="10">
        <v>0</v>
      </c>
      <c r="AH68" s="11">
        <v>0</v>
      </c>
      <c r="AI68" s="10">
        <f t="shared" si="54"/>
        <v>2593.3333333333335</v>
      </c>
      <c r="AJ68" s="10">
        <v>3112</v>
      </c>
      <c r="AK68" s="11">
        <v>1.2</v>
      </c>
      <c r="AL68" s="10">
        <f t="shared" si="55"/>
        <v>1566.7307692307693</v>
      </c>
      <c r="AM68" s="10">
        <v>8147</v>
      </c>
      <c r="AN68" s="11">
        <v>5.2</v>
      </c>
      <c r="AO68" s="10">
        <f t="shared" si="68"/>
        <v>1566.7307692307693</v>
      </c>
      <c r="AP68" s="10">
        <f t="shared" si="69"/>
        <v>16294</v>
      </c>
      <c r="AQ68" s="11">
        <f t="shared" si="70"/>
        <v>10.4</v>
      </c>
    </row>
    <row r="69" spans="1:43" x14ac:dyDescent="0.3">
      <c r="A69" s="19" t="s">
        <v>25</v>
      </c>
      <c r="B69" s="31"/>
      <c r="C69" s="34"/>
      <c r="D69" s="34"/>
      <c r="E69" s="10" t="e">
        <f t="shared" si="44"/>
        <v>#DIV/0!</v>
      </c>
      <c r="F69" s="3">
        <v>0</v>
      </c>
      <c r="G69" s="6">
        <v>0</v>
      </c>
      <c r="H69" s="10" t="e">
        <f t="shared" si="45"/>
        <v>#DIV/0!</v>
      </c>
      <c r="I69" s="10">
        <v>0</v>
      </c>
      <c r="J69" s="11">
        <v>0</v>
      </c>
      <c r="K69" s="10" t="e">
        <f t="shared" si="46"/>
        <v>#DIV/0!</v>
      </c>
      <c r="L69" s="10">
        <v>0</v>
      </c>
      <c r="M69" s="11">
        <v>0</v>
      </c>
      <c r="N69" s="10" t="e">
        <f t="shared" si="47"/>
        <v>#DIV/0!</v>
      </c>
      <c r="O69" s="3">
        <v>0</v>
      </c>
      <c r="P69" s="6">
        <v>0</v>
      </c>
      <c r="Q69" s="10" t="e">
        <f t="shared" si="48"/>
        <v>#DIV/0!</v>
      </c>
      <c r="R69" s="10">
        <v>0</v>
      </c>
      <c r="S69" s="11">
        <v>0</v>
      </c>
      <c r="T69" s="10" t="e">
        <f t="shared" si="49"/>
        <v>#DIV/0!</v>
      </c>
      <c r="U69" s="10">
        <v>0</v>
      </c>
      <c r="V69" s="11">
        <v>0</v>
      </c>
      <c r="W69" s="10" t="e">
        <f t="shared" si="50"/>
        <v>#DIV/0!</v>
      </c>
      <c r="X69" s="10">
        <v>0</v>
      </c>
      <c r="Y69" s="11">
        <v>0</v>
      </c>
      <c r="Z69" s="10">
        <f t="shared" si="51"/>
        <v>718.34961997828452</v>
      </c>
      <c r="AA69" s="10">
        <v>66160</v>
      </c>
      <c r="AB69" s="11">
        <v>92.1</v>
      </c>
      <c r="AC69" s="10" t="e">
        <f t="shared" si="52"/>
        <v>#DIV/0!</v>
      </c>
      <c r="AD69" s="10">
        <v>0</v>
      </c>
      <c r="AE69" s="11">
        <v>0</v>
      </c>
      <c r="AF69" s="10" t="e">
        <f t="shared" si="53"/>
        <v>#DIV/0!</v>
      </c>
      <c r="AG69" s="10">
        <v>0</v>
      </c>
      <c r="AH69" s="11">
        <v>0</v>
      </c>
      <c r="AI69" s="10" t="e">
        <f t="shared" si="54"/>
        <v>#DIV/0!</v>
      </c>
      <c r="AJ69" s="10">
        <v>0</v>
      </c>
      <c r="AK69" s="11">
        <v>0</v>
      </c>
      <c r="AL69" s="10">
        <f t="shared" si="55"/>
        <v>718.34961997828452</v>
      </c>
      <c r="AM69" s="10">
        <v>66160</v>
      </c>
      <c r="AN69" s="11">
        <v>92.1</v>
      </c>
      <c r="AO69" s="10">
        <f t="shared" si="68"/>
        <v>718.34961997828452</v>
      </c>
      <c r="AP69" s="10">
        <f t="shared" si="69"/>
        <v>132320</v>
      </c>
      <c r="AQ69" s="11">
        <f t="shared" si="70"/>
        <v>184.2</v>
      </c>
    </row>
    <row r="70" spans="1:43" x14ac:dyDescent="0.3">
      <c r="A70" s="19" t="s">
        <v>79</v>
      </c>
      <c r="B70" s="31"/>
      <c r="C70" s="34"/>
      <c r="D70" s="34"/>
      <c r="E70" s="10" t="e">
        <f t="shared" si="44"/>
        <v>#DIV/0!</v>
      </c>
      <c r="F70" s="3">
        <v>0</v>
      </c>
      <c r="G70" s="6">
        <v>0</v>
      </c>
      <c r="H70" s="10" t="e">
        <f t="shared" si="45"/>
        <v>#DIV/0!</v>
      </c>
      <c r="I70" s="10">
        <v>0</v>
      </c>
      <c r="J70" s="11">
        <v>0</v>
      </c>
      <c r="K70" s="10" t="e">
        <f t="shared" si="46"/>
        <v>#DIV/0!</v>
      </c>
      <c r="L70" s="10">
        <v>0</v>
      </c>
      <c r="M70" s="11">
        <v>0</v>
      </c>
      <c r="N70" s="10" t="e">
        <f t="shared" si="47"/>
        <v>#DIV/0!</v>
      </c>
      <c r="O70" s="3">
        <v>0</v>
      </c>
      <c r="P70" s="6">
        <v>0</v>
      </c>
      <c r="Q70" s="10">
        <f t="shared" si="48"/>
        <v>716.75392670157066</v>
      </c>
      <c r="R70" s="10">
        <v>13690</v>
      </c>
      <c r="S70" s="11">
        <v>19.100000000000001</v>
      </c>
      <c r="T70" s="10" t="e">
        <f t="shared" si="49"/>
        <v>#DIV/0!</v>
      </c>
      <c r="U70" s="10">
        <v>0</v>
      </c>
      <c r="V70" s="11">
        <v>0</v>
      </c>
      <c r="W70" s="10" t="e">
        <f t="shared" si="50"/>
        <v>#DIV/0!</v>
      </c>
      <c r="X70" s="10">
        <v>0</v>
      </c>
      <c r="Y70" s="11">
        <v>0</v>
      </c>
      <c r="Z70" s="10" t="e">
        <f t="shared" si="51"/>
        <v>#DIV/0!</v>
      </c>
      <c r="AA70" s="10">
        <v>0</v>
      </c>
      <c r="AB70" s="11">
        <v>0</v>
      </c>
      <c r="AC70" s="10" t="e">
        <f t="shared" si="52"/>
        <v>#DIV/0!</v>
      </c>
      <c r="AD70" s="10">
        <v>0</v>
      </c>
      <c r="AE70" s="11">
        <v>0</v>
      </c>
      <c r="AF70" s="10" t="e">
        <f t="shared" si="53"/>
        <v>#DIV/0!</v>
      </c>
      <c r="AG70" s="10">
        <v>0</v>
      </c>
      <c r="AH70" s="11">
        <v>0</v>
      </c>
      <c r="AI70" s="10" t="e">
        <f t="shared" si="54"/>
        <v>#DIV/0!</v>
      </c>
      <c r="AJ70" s="10">
        <v>0</v>
      </c>
      <c r="AK70" s="11">
        <v>0</v>
      </c>
      <c r="AL70" s="10">
        <f t="shared" si="55"/>
        <v>716.75392670157066</v>
      </c>
      <c r="AM70" s="10">
        <v>13690</v>
      </c>
      <c r="AN70" s="11">
        <v>19.100000000000001</v>
      </c>
      <c r="AO70" s="10">
        <f t="shared" si="68"/>
        <v>716.75392670157066</v>
      </c>
      <c r="AP70" s="10">
        <f t="shared" si="69"/>
        <v>27380</v>
      </c>
      <c r="AQ70" s="11">
        <f t="shared" si="70"/>
        <v>38.200000000000003</v>
      </c>
    </row>
    <row r="71" spans="1:43" x14ac:dyDescent="0.3">
      <c r="A71" s="19" t="s">
        <v>81</v>
      </c>
      <c r="B71" s="31"/>
      <c r="C71" s="34"/>
      <c r="D71" s="34"/>
      <c r="E71" s="10" t="e">
        <f t="shared" ref="E71:E77" si="71">F71/G71</f>
        <v>#DIV/0!</v>
      </c>
      <c r="F71" s="3">
        <v>0</v>
      </c>
      <c r="G71" s="6">
        <v>0</v>
      </c>
      <c r="H71" s="10" t="e">
        <f t="shared" ref="H71:H77" si="72">I71/J71</f>
        <v>#DIV/0!</v>
      </c>
      <c r="I71" s="10">
        <v>0</v>
      </c>
      <c r="J71" s="11">
        <v>0</v>
      </c>
      <c r="K71" s="10" t="e">
        <f t="shared" ref="K71:K77" si="73">L71/M71</f>
        <v>#DIV/0!</v>
      </c>
      <c r="L71" s="10">
        <v>0</v>
      </c>
      <c r="M71" s="11">
        <v>0</v>
      </c>
      <c r="N71" s="10" t="e">
        <f t="shared" ref="N71:N77" si="74">O71/P71</f>
        <v>#DIV/0!</v>
      </c>
      <c r="O71" s="3">
        <v>0</v>
      </c>
      <c r="P71" s="6">
        <v>0</v>
      </c>
      <c r="Q71" s="10" t="e">
        <f t="shared" ref="Q71:Q77" si="75">R71/S71</f>
        <v>#DIV/0!</v>
      </c>
      <c r="R71" s="10">
        <v>0</v>
      </c>
      <c r="S71" s="11">
        <v>0</v>
      </c>
      <c r="T71" s="10">
        <f t="shared" ref="T71:T77" si="76">U71/V71</f>
        <v>2766.4285714285716</v>
      </c>
      <c r="U71" s="10">
        <v>3873</v>
      </c>
      <c r="V71" s="11">
        <v>1.4</v>
      </c>
      <c r="W71" s="10" t="e">
        <f t="shared" ref="W71:W77" si="77">X71/Y71</f>
        <v>#DIV/0!</v>
      </c>
      <c r="X71" s="10">
        <v>0</v>
      </c>
      <c r="Y71" s="11">
        <v>0</v>
      </c>
      <c r="Z71" s="10" t="e">
        <f t="shared" ref="Z71:Z77" si="78">AA71/AB71</f>
        <v>#DIV/0!</v>
      </c>
      <c r="AA71" s="10">
        <v>0</v>
      </c>
      <c r="AB71" s="11">
        <v>0</v>
      </c>
      <c r="AC71" s="10" t="e">
        <f t="shared" ref="AC71:AC77" si="79">AD71/AE71</f>
        <v>#DIV/0!</v>
      </c>
      <c r="AD71" s="10">
        <v>0</v>
      </c>
      <c r="AE71" s="11">
        <v>0</v>
      </c>
      <c r="AF71" s="10" t="e">
        <f t="shared" ref="AF71:AF77" si="80">AG71/AH71</f>
        <v>#DIV/0!</v>
      </c>
      <c r="AG71" s="10">
        <v>0</v>
      </c>
      <c r="AH71" s="11">
        <v>0</v>
      </c>
      <c r="AI71" s="10" t="e">
        <f t="shared" ref="AI71:AI77" si="81">AJ71/AK71</f>
        <v>#DIV/0!</v>
      </c>
      <c r="AJ71" s="10">
        <v>0</v>
      </c>
      <c r="AK71" s="11">
        <v>0</v>
      </c>
      <c r="AL71" s="10">
        <f t="shared" ref="AL71:AL77" si="82">AM71/AN71</f>
        <v>2766.4285714285716</v>
      </c>
      <c r="AM71" s="10">
        <v>3873</v>
      </c>
      <c r="AN71" s="11">
        <v>1.4</v>
      </c>
      <c r="AO71" s="10">
        <f t="shared" si="68"/>
        <v>2766.4285714285716</v>
      </c>
      <c r="AP71" s="10">
        <f t="shared" si="69"/>
        <v>7746</v>
      </c>
      <c r="AQ71" s="11">
        <f t="shared" si="70"/>
        <v>2.8</v>
      </c>
    </row>
    <row r="72" spans="1:43" x14ac:dyDescent="0.3">
      <c r="A72" s="19" t="s">
        <v>20</v>
      </c>
      <c r="B72" s="31"/>
      <c r="C72" s="34"/>
      <c r="D72" s="34"/>
      <c r="E72" s="10" t="e">
        <f t="shared" si="71"/>
        <v>#DIV/0!</v>
      </c>
      <c r="F72" s="3">
        <v>0</v>
      </c>
      <c r="G72" s="6">
        <v>0</v>
      </c>
      <c r="H72" s="10" t="e">
        <f t="shared" si="72"/>
        <v>#DIV/0!</v>
      </c>
      <c r="I72" s="10">
        <v>0</v>
      </c>
      <c r="J72" s="11">
        <v>0</v>
      </c>
      <c r="K72" s="10" t="e">
        <f t="shared" si="73"/>
        <v>#DIV/0!</v>
      </c>
      <c r="L72" s="10">
        <v>0</v>
      </c>
      <c r="M72" s="11">
        <v>0</v>
      </c>
      <c r="N72" s="10" t="e">
        <f t="shared" si="74"/>
        <v>#DIV/0!</v>
      </c>
      <c r="O72" s="3">
        <v>0</v>
      </c>
      <c r="P72" s="6">
        <v>0</v>
      </c>
      <c r="Q72" s="10" t="e">
        <f t="shared" si="75"/>
        <v>#DIV/0!</v>
      </c>
      <c r="R72" s="10">
        <v>0</v>
      </c>
      <c r="S72" s="11">
        <v>0</v>
      </c>
      <c r="T72" s="10" t="e">
        <f t="shared" si="76"/>
        <v>#DIV/0!</v>
      </c>
      <c r="U72" s="10">
        <v>0</v>
      </c>
      <c r="V72" s="11">
        <v>0</v>
      </c>
      <c r="W72" s="10" t="e">
        <f t="shared" si="77"/>
        <v>#DIV/0!</v>
      </c>
      <c r="X72" s="10">
        <v>0</v>
      </c>
      <c r="Y72" s="11">
        <v>0</v>
      </c>
      <c r="Z72" s="10">
        <f t="shared" si="78"/>
        <v>2044.5608108108106</v>
      </c>
      <c r="AA72" s="10">
        <v>60519</v>
      </c>
      <c r="AB72" s="11">
        <v>29.6</v>
      </c>
      <c r="AC72" s="10">
        <f t="shared" si="79"/>
        <v>1196.7295597484276</v>
      </c>
      <c r="AD72" s="10">
        <v>76112</v>
      </c>
      <c r="AE72" s="11">
        <v>63.6</v>
      </c>
      <c r="AF72" s="10" t="e">
        <f t="shared" si="80"/>
        <v>#DIV/0!</v>
      </c>
      <c r="AG72" s="10">
        <v>0</v>
      </c>
      <c r="AH72" s="11">
        <v>0</v>
      </c>
      <c r="AI72" s="10" t="e">
        <f t="shared" si="81"/>
        <v>#DIV/0!</v>
      </c>
      <c r="AJ72" s="10">
        <v>0</v>
      </c>
      <c r="AK72" s="11">
        <v>0</v>
      </c>
      <c r="AL72" s="10">
        <f t="shared" si="82"/>
        <v>1465.9978540772531</v>
      </c>
      <c r="AM72" s="10">
        <v>136631</v>
      </c>
      <c r="AN72" s="11">
        <v>93.2</v>
      </c>
      <c r="AO72" s="10">
        <f t="shared" si="68"/>
        <v>1465.9978540772531</v>
      </c>
      <c r="AP72" s="10">
        <f t="shared" si="69"/>
        <v>273262</v>
      </c>
      <c r="AQ72" s="11">
        <f t="shared" si="70"/>
        <v>186.4</v>
      </c>
    </row>
    <row r="73" spans="1:43" x14ac:dyDescent="0.3">
      <c r="A73" s="19" t="s">
        <v>30</v>
      </c>
      <c r="B73" s="31"/>
      <c r="C73" s="34"/>
      <c r="D73" s="34"/>
      <c r="E73" s="10" t="e">
        <f t="shared" si="71"/>
        <v>#DIV/0!</v>
      </c>
      <c r="F73" s="3">
        <v>0</v>
      </c>
      <c r="G73" s="6">
        <v>0</v>
      </c>
      <c r="H73" s="10" t="e">
        <f t="shared" si="72"/>
        <v>#DIV/0!</v>
      </c>
      <c r="I73" s="10">
        <v>0</v>
      </c>
      <c r="J73" s="11">
        <v>0</v>
      </c>
      <c r="K73" s="10" t="e">
        <f t="shared" si="73"/>
        <v>#DIV/0!</v>
      </c>
      <c r="L73" s="10">
        <v>0</v>
      </c>
      <c r="M73" s="11">
        <v>0</v>
      </c>
      <c r="N73" s="10" t="e">
        <f t="shared" si="74"/>
        <v>#DIV/0!</v>
      </c>
      <c r="O73" s="3">
        <v>0</v>
      </c>
      <c r="P73" s="6">
        <v>0</v>
      </c>
      <c r="Q73" s="10" t="e">
        <f t="shared" si="75"/>
        <v>#DIV/0!</v>
      </c>
      <c r="R73" s="10">
        <v>0</v>
      </c>
      <c r="S73" s="11">
        <v>0</v>
      </c>
      <c r="T73" s="10" t="e">
        <f t="shared" si="76"/>
        <v>#DIV/0!</v>
      </c>
      <c r="U73" s="10">
        <v>0</v>
      </c>
      <c r="V73" s="11">
        <v>0</v>
      </c>
      <c r="W73" s="10">
        <f t="shared" si="77"/>
        <v>717.88413098236765</v>
      </c>
      <c r="X73" s="10">
        <v>28500</v>
      </c>
      <c r="Y73" s="11">
        <v>39.700000000000003</v>
      </c>
      <c r="Z73" s="10" t="e">
        <f t="shared" si="78"/>
        <v>#DIV/0!</v>
      </c>
      <c r="AA73" s="10">
        <v>0</v>
      </c>
      <c r="AB73" s="11">
        <v>0</v>
      </c>
      <c r="AC73" s="10" t="e">
        <f t="shared" si="79"/>
        <v>#DIV/0!</v>
      </c>
      <c r="AD73" s="10">
        <v>0</v>
      </c>
      <c r="AE73" s="11">
        <v>0</v>
      </c>
      <c r="AF73" s="10" t="e">
        <f t="shared" si="80"/>
        <v>#DIV/0!</v>
      </c>
      <c r="AG73" s="10">
        <v>0</v>
      </c>
      <c r="AH73" s="11">
        <v>0</v>
      </c>
      <c r="AI73" s="10" t="e">
        <f t="shared" si="81"/>
        <v>#DIV/0!</v>
      </c>
      <c r="AJ73" s="10">
        <v>0</v>
      </c>
      <c r="AK73" s="11">
        <v>0</v>
      </c>
      <c r="AL73" s="10">
        <f t="shared" si="82"/>
        <v>717.88413098236765</v>
      </c>
      <c r="AM73" s="10">
        <v>28500</v>
      </c>
      <c r="AN73" s="11">
        <v>39.700000000000003</v>
      </c>
      <c r="AO73" s="10">
        <f t="shared" si="68"/>
        <v>717.88413098236765</v>
      </c>
      <c r="AP73" s="10">
        <f t="shared" si="69"/>
        <v>57000</v>
      </c>
      <c r="AQ73" s="11">
        <f t="shared" si="70"/>
        <v>79.400000000000006</v>
      </c>
    </row>
    <row r="74" spans="1:43" x14ac:dyDescent="0.3">
      <c r="A74" s="19" t="s">
        <v>83</v>
      </c>
      <c r="B74" s="31"/>
      <c r="C74" s="34"/>
      <c r="D74" s="34"/>
      <c r="E74" s="18" t="e">
        <f t="shared" si="71"/>
        <v>#DIV/0!</v>
      </c>
      <c r="F74" s="12">
        <v>0</v>
      </c>
      <c r="G74" s="6">
        <v>0</v>
      </c>
      <c r="H74" s="18" t="e">
        <f t="shared" si="72"/>
        <v>#DIV/0!</v>
      </c>
      <c r="I74" s="13">
        <v>0</v>
      </c>
      <c r="J74" s="11">
        <v>0</v>
      </c>
      <c r="K74" s="18" t="e">
        <f t="shared" si="73"/>
        <v>#DIV/0!</v>
      </c>
      <c r="L74" s="13">
        <v>0</v>
      </c>
      <c r="M74" s="11">
        <v>0</v>
      </c>
      <c r="N74" s="18" t="e">
        <f t="shared" si="74"/>
        <v>#DIV/0!</v>
      </c>
      <c r="O74" s="3">
        <v>0</v>
      </c>
      <c r="P74" s="6">
        <v>0</v>
      </c>
      <c r="Q74" s="13">
        <f t="shared" si="75"/>
        <v>2222.2222222222222</v>
      </c>
      <c r="R74" s="13">
        <v>4000</v>
      </c>
      <c r="S74" s="11">
        <v>1.8</v>
      </c>
      <c r="T74" s="18" t="e">
        <f t="shared" si="76"/>
        <v>#DIV/0!</v>
      </c>
      <c r="U74" s="13">
        <v>0</v>
      </c>
      <c r="V74" s="11">
        <v>0</v>
      </c>
      <c r="W74" s="18" t="e">
        <f t="shared" si="77"/>
        <v>#DIV/0!</v>
      </c>
      <c r="X74" s="13">
        <v>0</v>
      </c>
      <c r="Y74" s="11">
        <v>0</v>
      </c>
      <c r="Z74" s="18" t="e">
        <f t="shared" si="78"/>
        <v>#DIV/0!</v>
      </c>
      <c r="AA74" s="13">
        <v>0</v>
      </c>
      <c r="AB74" s="11">
        <v>0</v>
      </c>
      <c r="AC74" s="18" t="e">
        <f t="shared" si="79"/>
        <v>#DIV/0!</v>
      </c>
      <c r="AD74" s="13">
        <v>0</v>
      </c>
      <c r="AE74" s="11">
        <v>0</v>
      </c>
      <c r="AF74" s="18" t="e">
        <f t="shared" si="80"/>
        <v>#DIV/0!</v>
      </c>
      <c r="AG74" s="13">
        <v>0</v>
      </c>
      <c r="AH74" s="11">
        <v>0</v>
      </c>
      <c r="AI74" s="18" t="e">
        <f t="shared" si="81"/>
        <v>#DIV/0!</v>
      </c>
      <c r="AJ74" s="13">
        <v>0</v>
      </c>
      <c r="AK74" s="11">
        <v>0</v>
      </c>
      <c r="AL74" s="18">
        <f t="shared" si="82"/>
        <v>2222.2222222222222</v>
      </c>
      <c r="AM74" s="13">
        <v>4000</v>
      </c>
      <c r="AN74" s="11">
        <v>1.8</v>
      </c>
      <c r="AO74" s="18">
        <f t="shared" si="68"/>
        <v>2222.2222222222222</v>
      </c>
      <c r="AP74" s="13">
        <f t="shared" si="69"/>
        <v>8000</v>
      </c>
      <c r="AQ74" s="11">
        <f t="shared" si="70"/>
        <v>3.6</v>
      </c>
    </row>
    <row r="75" spans="1:43" x14ac:dyDescent="0.3">
      <c r="A75" s="19" t="s">
        <v>23</v>
      </c>
      <c r="B75" s="31"/>
      <c r="C75" s="34"/>
      <c r="D75" s="34"/>
      <c r="E75" s="18" t="e">
        <f t="shared" si="71"/>
        <v>#DIV/0!</v>
      </c>
      <c r="F75" s="12">
        <v>0</v>
      </c>
      <c r="G75" s="6">
        <v>0</v>
      </c>
      <c r="H75" s="18" t="e">
        <f t="shared" si="72"/>
        <v>#DIV/0!</v>
      </c>
      <c r="I75" s="10">
        <v>0</v>
      </c>
      <c r="J75" s="11">
        <v>0</v>
      </c>
      <c r="K75" s="18" t="e">
        <f t="shared" si="73"/>
        <v>#DIV/0!</v>
      </c>
      <c r="L75" s="10">
        <v>0</v>
      </c>
      <c r="M75" s="11">
        <v>0</v>
      </c>
      <c r="N75" s="10" t="e">
        <f t="shared" si="74"/>
        <v>#DIV/0!</v>
      </c>
      <c r="O75" s="3">
        <v>0</v>
      </c>
      <c r="P75" s="6">
        <v>0</v>
      </c>
      <c r="Q75" s="13" t="e">
        <f t="shared" si="75"/>
        <v>#DIV/0!</v>
      </c>
      <c r="R75" s="13">
        <v>0</v>
      </c>
      <c r="S75" s="11">
        <v>0</v>
      </c>
      <c r="T75" s="18" t="e">
        <f t="shared" si="76"/>
        <v>#DIV/0!</v>
      </c>
      <c r="U75" s="13">
        <v>0</v>
      </c>
      <c r="V75" s="11">
        <v>0</v>
      </c>
      <c r="W75" s="18" t="e">
        <f t="shared" si="77"/>
        <v>#DIV/0!</v>
      </c>
      <c r="X75" s="13">
        <v>0</v>
      </c>
      <c r="Y75" s="11">
        <v>0</v>
      </c>
      <c r="Z75" s="18">
        <f t="shared" si="78"/>
        <v>1999.6551724137933</v>
      </c>
      <c r="AA75" s="13">
        <v>5799</v>
      </c>
      <c r="AB75" s="11">
        <v>2.9</v>
      </c>
      <c r="AC75" s="18" t="e">
        <f t="shared" si="79"/>
        <v>#DIV/0!</v>
      </c>
      <c r="AD75" s="10">
        <v>0</v>
      </c>
      <c r="AE75" s="11">
        <v>0</v>
      </c>
      <c r="AF75" s="10" t="e">
        <f t="shared" si="80"/>
        <v>#DIV/0!</v>
      </c>
      <c r="AG75" s="10">
        <v>0</v>
      </c>
      <c r="AH75" s="11">
        <v>0</v>
      </c>
      <c r="AI75" s="10" t="e">
        <f t="shared" si="81"/>
        <v>#DIV/0!</v>
      </c>
      <c r="AJ75" s="10">
        <v>0</v>
      </c>
      <c r="AK75" s="11">
        <v>0</v>
      </c>
      <c r="AL75" s="18">
        <f t="shared" si="82"/>
        <v>1999.6551724137933</v>
      </c>
      <c r="AM75" s="13">
        <v>5799</v>
      </c>
      <c r="AN75" s="11">
        <v>2.9</v>
      </c>
      <c r="AO75" s="10">
        <f t="shared" si="68"/>
        <v>1999.6551724137933</v>
      </c>
      <c r="AP75" s="13">
        <f t="shared" si="69"/>
        <v>11598</v>
      </c>
      <c r="AQ75" s="11">
        <f t="shared" si="70"/>
        <v>5.8</v>
      </c>
    </row>
    <row r="76" spans="1:43" x14ac:dyDescent="0.3">
      <c r="A76" s="22" t="s">
        <v>65</v>
      </c>
      <c r="B76" s="31"/>
      <c r="C76" s="34"/>
      <c r="D76" s="34"/>
      <c r="E76" s="10" t="e">
        <f t="shared" si="71"/>
        <v>#DIV/0!</v>
      </c>
      <c r="F76" s="3">
        <v>0</v>
      </c>
      <c r="G76" s="6">
        <v>0</v>
      </c>
      <c r="H76" s="10" t="e">
        <f t="shared" si="72"/>
        <v>#DIV/0!</v>
      </c>
      <c r="I76" s="10">
        <v>0</v>
      </c>
      <c r="J76" s="11">
        <v>0</v>
      </c>
      <c r="K76" s="10" t="e">
        <f t="shared" si="73"/>
        <v>#DIV/0!</v>
      </c>
      <c r="L76" s="10">
        <v>0</v>
      </c>
      <c r="M76" s="11">
        <v>0</v>
      </c>
      <c r="N76" s="10" t="e">
        <f t="shared" si="74"/>
        <v>#DIV/0!</v>
      </c>
      <c r="O76" s="3">
        <v>0</v>
      </c>
      <c r="P76" s="6">
        <v>0</v>
      </c>
      <c r="Q76" s="10" t="e">
        <f t="shared" si="75"/>
        <v>#DIV/0!</v>
      </c>
      <c r="R76" s="10">
        <v>0</v>
      </c>
      <c r="S76" s="11">
        <v>0</v>
      </c>
      <c r="T76" s="10" t="e">
        <f t="shared" si="76"/>
        <v>#DIV/0!</v>
      </c>
      <c r="U76" s="10">
        <v>0</v>
      </c>
      <c r="V76" s="11">
        <v>0</v>
      </c>
      <c r="W76" s="10">
        <f t="shared" si="77"/>
        <v>717.61904761904771</v>
      </c>
      <c r="X76" s="10">
        <v>10549</v>
      </c>
      <c r="Y76" s="11">
        <v>14.7</v>
      </c>
      <c r="Z76" s="10" t="e">
        <f t="shared" si="78"/>
        <v>#DIV/0!</v>
      </c>
      <c r="AA76" s="10">
        <v>0</v>
      </c>
      <c r="AB76" s="11">
        <v>0</v>
      </c>
      <c r="AC76" s="10" t="e">
        <f t="shared" si="79"/>
        <v>#DIV/0!</v>
      </c>
      <c r="AD76" s="10">
        <v>0</v>
      </c>
      <c r="AE76" s="11">
        <v>0</v>
      </c>
      <c r="AF76" s="10" t="e">
        <f t="shared" si="80"/>
        <v>#DIV/0!</v>
      </c>
      <c r="AG76" s="10">
        <v>0</v>
      </c>
      <c r="AH76" s="11">
        <v>0</v>
      </c>
      <c r="AI76" s="10" t="e">
        <f t="shared" si="81"/>
        <v>#DIV/0!</v>
      </c>
      <c r="AJ76" s="10">
        <v>0</v>
      </c>
      <c r="AK76" s="11">
        <v>0</v>
      </c>
      <c r="AL76" s="10">
        <f t="shared" si="82"/>
        <v>717.61904761904771</v>
      </c>
      <c r="AM76" s="10">
        <v>10549</v>
      </c>
      <c r="AN76" s="11">
        <v>14.7</v>
      </c>
      <c r="AO76" s="10">
        <f t="shared" si="68"/>
        <v>717.61904761904771</v>
      </c>
      <c r="AP76" s="10">
        <f t="shared" si="69"/>
        <v>21098</v>
      </c>
      <c r="AQ76" s="11">
        <f t="shared" si="70"/>
        <v>29.4</v>
      </c>
    </row>
    <row r="77" spans="1:43" x14ac:dyDescent="0.3">
      <c r="A77" s="20" t="s">
        <v>54</v>
      </c>
      <c r="B77" s="32"/>
      <c r="C77" s="35"/>
      <c r="D77" s="35"/>
      <c r="E77" s="17" t="e">
        <f t="shared" si="71"/>
        <v>#DIV/0!</v>
      </c>
      <c r="F77" s="7">
        <v>0</v>
      </c>
      <c r="G77" s="8">
        <v>0</v>
      </c>
      <c r="H77" s="15" t="e">
        <f t="shared" si="72"/>
        <v>#DIV/0!</v>
      </c>
      <c r="I77" s="15">
        <v>0</v>
      </c>
      <c r="J77" s="16">
        <v>0</v>
      </c>
      <c r="K77" s="15" t="e">
        <f t="shared" si="73"/>
        <v>#DIV/0!</v>
      </c>
      <c r="L77" s="15">
        <v>0</v>
      </c>
      <c r="M77" s="16">
        <v>0</v>
      </c>
      <c r="N77" s="15" t="e">
        <f t="shared" si="74"/>
        <v>#DIV/0!</v>
      </c>
      <c r="O77" s="7">
        <v>0</v>
      </c>
      <c r="P77" s="8">
        <v>0</v>
      </c>
      <c r="Q77" s="15" t="e">
        <f t="shared" si="75"/>
        <v>#DIV/0!</v>
      </c>
      <c r="R77" s="15">
        <v>0</v>
      </c>
      <c r="S77" s="16">
        <v>0</v>
      </c>
      <c r="T77" s="15" t="e">
        <f t="shared" si="76"/>
        <v>#DIV/0!</v>
      </c>
      <c r="U77" s="15">
        <v>0</v>
      </c>
      <c r="V77" s="16">
        <v>0</v>
      </c>
      <c r="W77" s="15" t="e">
        <f t="shared" si="77"/>
        <v>#DIV/0!</v>
      </c>
      <c r="X77" s="15">
        <v>0</v>
      </c>
      <c r="Y77" s="16">
        <v>0</v>
      </c>
      <c r="Z77" s="15" t="e">
        <f t="shared" si="78"/>
        <v>#DIV/0!</v>
      </c>
      <c r="AA77" s="15">
        <v>0</v>
      </c>
      <c r="AB77" s="16">
        <v>0</v>
      </c>
      <c r="AC77" s="15">
        <f t="shared" si="79"/>
        <v>718.53546910755142</v>
      </c>
      <c r="AD77" s="15">
        <v>62800</v>
      </c>
      <c r="AE77" s="16">
        <v>87.4</v>
      </c>
      <c r="AF77" s="15" t="e">
        <f t="shared" si="80"/>
        <v>#DIV/0!</v>
      </c>
      <c r="AG77" s="15">
        <v>0</v>
      </c>
      <c r="AH77" s="16">
        <v>0</v>
      </c>
      <c r="AI77" s="15" t="e">
        <f t="shared" si="81"/>
        <v>#DIV/0!</v>
      </c>
      <c r="AJ77" s="15">
        <v>0</v>
      </c>
      <c r="AK77" s="16">
        <v>0</v>
      </c>
      <c r="AL77" s="15">
        <f t="shared" si="82"/>
        <v>718.53546910755142</v>
      </c>
      <c r="AM77" s="15">
        <v>62800</v>
      </c>
      <c r="AN77" s="16">
        <v>87.4</v>
      </c>
      <c r="AO77" s="15">
        <f t="shared" si="68"/>
        <v>718.53546910755142</v>
      </c>
      <c r="AP77" s="15">
        <f t="shared" si="69"/>
        <v>125600</v>
      </c>
      <c r="AQ77" s="16">
        <f t="shared" si="70"/>
        <v>174.8</v>
      </c>
    </row>
    <row r="78" spans="1:43" x14ac:dyDescent="0.3">
      <c r="A78" s="1" t="s">
        <v>41</v>
      </c>
    </row>
    <row r="79" spans="1:43" x14ac:dyDescent="0.3">
      <c r="A79" s="1" t="s">
        <v>68</v>
      </c>
    </row>
    <row r="80" spans="1:43" x14ac:dyDescent="0.3">
      <c r="A80" s="1" t="s">
        <v>42</v>
      </c>
    </row>
    <row r="81" spans="1:1" x14ac:dyDescent="0.3">
      <c r="A81" s="1" t="s">
        <v>43</v>
      </c>
    </row>
    <row r="82" spans="1:1" x14ac:dyDescent="0.3">
      <c r="A82" s="1" t="s">
        <v>69</v>
      </c>
    </row>
  </sheetData>
  <mergeCells count="17">
    <mergeCell ref="B59:B77"/>
    <mergeCell ref="B4:B58"/>
    <mergeCell ref="N1:P1"/>
    <mergeCell ref="Q1:S1"/>
    <mergeCell ref="T1:V1"/>
    <mergeCell ref="AL1:AN1"/>
    <mergeCell ref="AO1:AQ1"/>
    <mergeCell ref="W1:Y1"/>
    <mergeCell ref="Z1:AB1"/>
    <mergeCell ref="AC1:AE1"/>
    <mergeCell ref="AF1:AH1"/>
    <mergeCell ref="AI1:AK1"/>
    <mergeCell ref="E1:G1"/>
    <mergeCell ref="H1:J1"/>
    <mergeCell ref="K1:M1"/>
    <mergeCell ref="C3:C77"/>
    <mergeCell ref="D3:D77"/>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2021년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2026-06-16T09:38:26Z</dcterms:modified>
</cp:coreProperties>
</file>