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90\"/>
    </mc:Choice>
  </mc:AlternateContent>
  <bookViews>
    <workbookView xWindow="0" yWindow="0" windowWidth="25125" windowHeight="11640"/>
  </bookViews>
  <sheets>
    <sheet name="2025년" sheetId="1" r:id="rId1"/>
  </sheets>
  <calcPr calcId="162913"/>
</workbook>
</file>

<file path=xl/calcChain.xml><?xml version="1.0" encoding="utf-8"?>
<calcChain xmlns="http://schemas.openxmlformats.org/spreadsheetml/2006/main">
  <c r="E76" i="1" l="1"/>
  <c r="E75" i="1"/>
  <c r="E74" i="1"/>
  <c r="H76" i="1"/>
  <c r="H75" i="1"/>
  <c r="H74" i="1"/>
  <c r="K76" i="1"/>
  <c r="K75" i="1"/>
  <c r="K74" i="1"/>
  <c r="N76" i="1"/>
  <c r="N75" i="1"/>
  <c r="N74" i="1"/>
  <c r="T76" i="1"/>
  <c r="T75" i="1"/>
  <c r="T74" i="1"/>
  <c r="Q76" i="1"/>
  <c r="Q75" i="1"/>
  <c r="Q74" i="1"/>
  <c r="W76" i="1"/>
  <c r="W75" i="1"/>
  <c r="W74" i="1"/>
  <c r="Z76" i="1"/>
  <c r="Z75" i="1"/>
  <c r="Z74" i="1"/>
  <c r="AC76" i="1"/>
  <c r="AC75" i="1"/>
  <c r="AC74" i="1"/>
  <c r="AF76" i="1"/>
  <c r="AF75" i="1"/>
  <c r="AF74" i="1"/>
  <c r="AI76" i="1"/>
  <c r="AI75" i="1"/>
  <c r="AI74" i="1"/>
  <c r="AL76" i="1"/>
  <c r="AL75" i="1"/>
  <c r="AO76" i="1"/>
  <c r="AO75" i="1"/>
  <c r="AQ76" i="1"/>
  <c r="AP76" i="1"/>
  <c r="AQ75" i="1"/>
  <c r="AP75" i="1"/>
  <c r="AN59" i="1"/>
  <c r="AM59" i="1"/>
  <c r="AK59" i="1"/>
  <c r="AJ59" i="1"/>
  <c r="AH59" i="1"/>
  <c r="AG59" i="1"/>
  <c r="AE59" i="1"/>
  <c r="AD59" i="1"/>
  <c r="AB59" i="1"/>
  <c r="AA59" i="1"/>
  <c r="Y59" i="1"/>
  <c r="X59" i="1"/>
  <c r="V59" i="1"/>
  <c r="U59" i="1"/>
  <c r="S59" i="1"/>
  <c r="R59" i="1"/>
  <c r="P59" i="1"/>
  <c r="O59" i="1"/>
  <c r="M59" i="1"/>
  <c r="L59" i="1"/>
  <c r="J59" i="1"/>
  <c r="I59" i="1"/>
  <c r="G59" i="1"/>
  <c r="F59" i="1"/>
  <c r="I56" i="1" l="1"/>
  <c r="I4" i="1" s="1"/>
  <c r="I3" i="1" s="1"/>
  <c r="J56" i="1"/>
  <c r="J4" i="1" s="1"/>
  <c r="J3" i="1" s="1"/>
  <c r="AN56" i="1"/>
  <c r="AN4" i="1" s="1"/>
  <c r="AN3" i="1" s="1"/>
  <c r="AM56" i="1"/>
  <c r="AM4" i="1" s="1"/>
  <c r="AM3" i="1" s="1"/>
  <c r="AK56" i="1"/>
  <c r="AK4" i="1" s="1"/>
  <c r="AK3" i="1" s="1"/>
  <c r="AJ56" i="1"/>
  <c r="AJ4" i="1" s="1"/>
  <c r="AJ3" i="1" s="1"/>
  <c r="AH56" i="1"/>
  <c r="AH4" i="1" s="1"/>
  <c r="AH3" i="1" s="1"/>
  <c r="AG56" i="1"/>
  <c r="AG4" i="1" s="1"/>
  <c r="AG3" i="1" s="1"/>
  <c r="AE56" i="1"/>
  <c r="AE4" i="1" s="1"/>
  <c r="AE3" i="1" s="1"/>
  <c r="AD56" i="1"/>
  <c r="AD4" i="1" s="1"/>
  <c r="AD3" i="1" s="1"/>
  <c r="AB56" i="1"/>
  <c r="AB4" i="1" s="1"/>
  <c r="AB3" i="1" s="1"/>
  <c r="AA56" i="1"/>
  <c r="AA4" i="1" s="1"/>
  <c r="AA3" i="1" s="1"/>
  <c r="Y56" i="1"/>
  <c r="Y4" i="1" s="1"/>
  <c r="Y3" i="1" s="1"/>
  <c r="X56" i="1"/>
  <c r="X4" i="1" s="1"/>
  <c r="X3" i="1" s="1"/>
  <c r="V56" i="1"/>
  <c r="V4" i="1" s="1"/>
  <c r="V3" i="1" s="1"/>
  <c r="U56" i="1"/>
  <c r="U4" i="1" s="1"/>
  <c r="U3" i="1" s="1"/>
  <c r="S56" i="1"/>
  <c r="S4" i="1" s="1"/>
  <c r="S3" i="1" s="1"/>
  <c r="R56" i="1"/>
  <c r="R4" i="1" s="1"/>
  <c r="R3" i="1" s="1"/>
  <c r="P56" i="1"/>
  <c r="P4" i="1" s="1"/>
  <c r="P3" i="1" s="1"/>
  <c r="M56" i="1"/>
  <c r="M4" i="1" s="1"/>
  <c r="M3" i="1" s="1"/>
  <c r="O56" i="1"/>
  <c r="O4" i="1" s="1"/>
  <c r="O3" i="1" s="1"/>
  <c r="L56" i="1"/>
  <c r="L4" i="1" s="1"/>
  <c r="L3" i="1" s="1"/>
  <c r="G56" i="1"/>
  <c r="G4" i="1" s="1"/>
  <c r="G3" i="1" s="1"/>
  <c r="F56" i="1"/>
  <c r="F4" i="1" s="1"/>
  <c r="F3" i="1" s="1"/>
  <c r="AQ74" i="1" l="1"/>
  <c r="AP74" i="1"/>
  <c r="AQ73" i="1"/>
  <c r="AP73" i="1"/>
  <c r="AQ72" i="1"/>
  <c r="AP72" i="1"/>
  <c r="AQ71" i="1"/>
  <c r="AP71" i="1"/>
  <c r="AQ70" i="1"/>
  <c r="AP70" i="1"/>
  <c r="AQ69" i="1"/>
  <c r="AP69" i="1"/>
  <c r="AQ68" i="1"/>
  <c r="AP68" i="1"/>
  <c r="AQ67" i="1"/>
  <c r="AP67" i="1"/>
  <c r="AQ66" i="1"/>
  <c r="AP66" i="1"/>
  <c r="AQ64" i="1"/>
  <c r="AP64" i="1"/>
  <c r="AQ63" i="1"/>
  <c r="AP63" i="1"/>
  <c r="AQ61" i="1"/>
  <c r="AP61" i="1"/>
  <c r="AQ60" i="1"/>
  <c r="AP60" i="1"/>
  <c r="AQ59" i="1"/>
  <c r="AP59" i="1"/>
  <c r="AQ58" i="1"/>
  <c r="AP58" i="1"/>
  <c r="AQ57" i="1"/>
  <c r="AP57" i="1"/>
  <c r="AQ56" i="1"/>
  <c r="AQ4" i="1" s="1"/>
  <c r="AP56" i="1"/>
  <c r="AP4" i="1" s="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L74" i="1"/>
  <c r="AL73" i="1"/>
  <c r="AL72" i="1"/>
  <c r="AL71" i="1"/>
  <c r="AL70" i="1"/>
  <c r="AL69" i="1"/>
  <c r="AL68" i="1"/>
  <c r="AL67" i="1"/>
  <c r="AL66" i="1"/>
  <c r="AL64" i="1"/>
  <c r="AL63" i="1"/>
  <c r="AL61" i="1"/>
  <c r="AL60" i="1"/>
  <c r="AL59" i="1"/>
  <c r="AL58" i="1"/>
  <c r="AL57" i="1"/>
  <c r="AL56" i="1"/>
  <c r="AL55" i="1"/>
  <c r="AL54" i="1"/>
  <c r="AL53" i="1"/>
  <c r="AL52" i="1"/>
  <c r="AL51" i="1"/>
  <c r="AL50" i="1"/>
  <c r="AL49" i="1"/>
  <c r="AL48" i="1"/>
  <c r="AL47" i="1"/>
  <c r="AL46" i="1"/>
  <c r="AL45" i="1"/>
  <c r="AI73" i="1"/>
  <c r="AI72" i="1"/>
  <c r="AI71" i="1"/>
  <c r="AI70" i="1"/>
  <c r="AI69" i="1"/>
  <c r="AI68" i="1"/>
  <c r="AI67" i="1"/>
  <c r="AI66" i="1"/>
  <c r="AI65" i="1"/>
  <c r="AI64" i="1"/>
  <c r="AI63" i="1"/>
  <c r="AI61" i="1"/>
  <c r="AI60" i="1"/>
  <c r="AI59" i="1"/>
  <c r="AI58" i="1"/>
  <c r="AI57" i="1"/>
  <c r="AI56" i="1"/>
  <c r="AI55" i="1"/>
  <c r="AI54" i="1"/>
  <c r="AI53" i="1"/>
  <c r="AI52" i="1"/>
  <c r="AI51" i="1"/>
  <c r="AI50" i="1"/>
  <c r="AI49" i="1"/>
  <c r="AI48" i="1"/>
  <c r="AI47" i="1"/>
  <c r="AI46" i="1"/>
  <c r="AI45" i="1"/>
  <c r="AF73" i="1"/>
  <c r="AF72" i="1"/>
  <c r="AF71" i="1"/>
  <c r="AF70" i="1"/>
  <c r="AF69" i="1"/>
  <c r="AF68" i="1"/>
  <c r="AF67" i="1"/>
  <c r="AF66" i="1"/>
  <c r="AF64" i="1"/>
  <c r="AF63" i="1"/>
  <c r="AF61" i="1"/>
  <c r="AF60" i="1"/>
  <c r="AF59" i="1"/>
  <c r="AF58" i="1"/>
  <c r="AF57" i="1"/>
  <c r="AF56" i="1"/>
  <c r="AF55" i="1"/>
  <c r="AF54" i="1"/>
  <c r="AF53" i="1"/>
  <c r="AF52" i="1"/>
  <c r="AF51" i="1"/>
  <c r="AF50" i="1"/>
  <c r="AF49" i="1"/>
  <c r="AF48" i="1"/>
  <c r="AF47" i="1"/>
  <c r="AF46" i="1"/>
  <c r="AF45" i="1"/>
  <c r="AC73" i="1"/>
  <c r="AC72" i="1"/>
  <c r="AC71" i="1"/>
  <c r="AC70" i="1"/>
  <c r="AC69" i="1"/>
  <c r="AC68" i="1"/>
  <c r="AC67" i="1"/>
  <c r="AC66" i="1"/>
  <c r="AC64" i="1"/>
  <c r="AC63" i="1"/>
  <c r="AC61" i="1"/>
  <c r="AC60" i="1"/>
  <c r="AC59" i="1"/>
  <c r="AC58" i="1"/>
  <c r="AC57" i="1"/>
  <c r="AC56" i="1"/>
  <c r="AC55" i="1"/>
  <c r="AC54" i="1"/>
  <c r="AC53" i="1"/>
  <c r="AC52" i="1"/>
  <c r="AC51" i="1"/>
  <c r="AC50" i="1"/>
  <c r="AC49" i="1"/>
  <c r="AC48" i="1"/>
  <c r="AC47" i="1"/>
  <c r="AC46" i="1"/>
  <c r="AC45" i="1"/>
  <c r="Z73" i="1"/>
  <c r="Z72" i="1"/>
  <c r="Z71" i="1"/>
  <c r="Z70" i="1"/>
  <c r="Z69" i="1"/>
  <c r="Z68" i="1"/>
  <c r="Z67" i="1"/>
  <c r="Z66" i="1"/>
  <c r="Z64" i="1"/>
  <c r="Z63" i="1"/>
  <c r="Z61" i="1"/>
  <c r="Z60" i="1"/>
  <c r="Z59" i="1"/>
  <c r="Z58" i="1"/>
  <c r="Z57" i="1"/>
  <c r="Z56" i="1"/>
  <c r="Z55" i="1"/>
  <c r="Z54" i="1"/>
  <c r="Z53" i="1"/>
  <c r="Z52" i="1"/>
  <c r="Z51" i="1"/>
  <c r="Z50" i="1"/>
  <c r="Z49" i="1"/>
  <c r="Z48" i="1"/>
  <c r="Z47" i="1"/>
  <c r="Z46" i="1"/>
  <c r="Z45" i="1"/>
  <c r="W73" i="1"/>
  <c r="W72" i="1"/>
  <c r="W71" i="1"/>
  <c r="W70" i="1"/>
  <c r="W69" i="1"/>
  <c r="W68" i="1"/>
  <c r="W67" i="1"/>
  <c r="W66" i="1"/>
  <c r="W64" i="1"/>
  <c r="W63" i="1"/>
  <c r="W61" i="1"/>
  <c r="W60" i="1"/>
  <c r="W59" i="1"/>
  <c r="W58" i="1"/>
  <c r="W57" i="1"/>
  <c r="W56" i="1"/>
  <c r="W55" i="1"/>
  <c r="W54" i="1"/>
  <c r="W53" i="1"/>
  <c r="W52" i="1"/>
  <c r="W51" i="1"/>
  <c r="W50" i="1"/>
  <c r="W49" i="1"/>
  <c r="W48" i="1"/>
  <c r="W47" i="1"/>
  <c r="W46" i="1"/>
  <c r="W45" i="1"/>
  <c r="T73" i="1"/>
  <c r="T72" i="1"/>
  <c r="T71" i="1"/>
  <c r="T70" i="1"/>
  <c r="T69" i="1"/>
  <c r="T68" i="1"/>
  <c r="T67" i="1"/>
  <c r="T66" i="1"/>
  <c r="T64" i="1"/>
  <c r="T63" i="1"/>
  <c r="T61" i="1"/>
  <c r="T60" i="1"/>
  <c r="T59" i="1"/>
  <c r="T58" i="1"/>
  <c r="T57" i="1"/>
  <c r="T56" i="1"/>
  <c r="T55" i="1"/>
  <c r="T54" i="1"/>
  <c r="T53" i="1"/>
  <c r="T52" i="1"/>
  <c r="T51" i="1"/>
  <c r="T50" i="1"/>
  <c r="T49" i="1"/>
  <c r="T48" i="1"/>
  <c r="T47" i="1"/>
  <c r="T46" i="1"/>
  <c r="T45" i="1"/>
  <c r="Q73" i="1"/>
  <c r="Q72" i="1"/>
  <c r="Q71" i="1"/>
  <c r="Q70" i="1"/>
  <c r="Q69" i="1"/>
  <c r="Q68" i="1"/>
  <c r="Q67" i="1"/>
  <c r="Q66" i="1"/>
  <c r="Q64" i="1"/>
  <c r="Q63" i="1"/>
  <c r="Q61" i="1"/>
  <c r="Q60" i="1"/>
  <c r="Q59" i="1"/>
  <c r="Q58" i="1"/>
  <c r="Q57" i="1"/>
  <c r="Q56" i="1"/>
  <c r="Q55" i="1"/>
  <c r="Q54" i="1"/>
  <c r="Q53" i="1"/>
  <c r="Q52" i="1"/>
  <c r="Q51" i="1"/>
  <c r="Q50" i="1"/>
  <c r="Q49" i="1"/>
  <c r="Q48" i="1"/>
  <c r="Q47" i="1"/>
  <c r="Q46" i="1"/>
  <c r="Q45" i="1"/>
  <c r="N73" i="1"/>
  <c r="N72" i="1"/>
  <c r="N71" i="1"/>
  <c r="N70" i="1"/>
  <c r="N69" i="1"/>
  <c r="N68" i="1"/>
  <c r="N67" i="1"/>
  <c r="N66" i="1"/>
  <c r="N64" i="1"/>
  <c r="N63" i="1"/>
  <c r="N61" i="1"/>
  <c r="N60" i="1"/>
  <c r="N59" i="1"/>
  <c r="N58" i="1"/>
  <c r="N57" i="1"/>
  <c r="N56" i="1"/>
  <c r="N55" i="1"/>
  <c r="N54" i="1"/>
  <c r="N53" i="1"/>
  <c r="N52" i="1"/>
  <c r="N51" i="1"/>
  <c r="N50" i="1"/>
  <c r="N49" i="1"/>
  <c r="N48" i="1"/>
  <c r="N47" i="1"/>
  <c r="N46" i="1"/>
  <c r="N45" i="1"/>
  <c r="K73" i="1"/>
  <c r="K72" i="1"/>
  <c r="K71" i="1"/>
  <c r="K70" i="1"/>
  <c r="K69" i="1"/>
  <c r="K68" i="1"/>
  <c r="K67" i="1"/>
  <c r="K66" i="1"/>
  <c r="K64" i="1"/>
  <c r="K63" i="1"/>
  <c r="K61" i="1"/>
  <c r="K60" i="1"/>
  <c r="K59" i="1"/>
  <c r="K58" i="1"/>
  <c r="K57" i="1"/>
  <c r="K56" i="1"/>
  <c r="K55" i="1"/>
  <c r="K54" i="1"/>
  <c r="K53" i="1"/>
  <c r="K52" i="1"/>
  <c r="K51" i="1"/>
  <c r="K50" i="1"/>
  <c r="K49" i="1"/>
  <c r="K48" i="1"/>
  <c r="K47" i="1"/>
  <c r="K46" i="1"/>
  <c r="K45" i="1"/>
  <c r="H73" i="1"/>
  <c r="H72" i="1"/>
  <c r="H71" i="1"/>
  <c r="H70" i="1"/>
  <c r="H69" i="1"/>
  <c r="H68" i="1"/>
  <c r="H67" i="1"/>
  <c r="H66" i="1"/>
  <c r="H64" i="1"/>
  <c r="H63" i="1"/>
  <c r="H61" i="1"/>
  <c r="H60" i="1"/>
  <c r="H59" i="1"/>
  <c r="H58" i="1"/>
  <c r="H57" i="1"/>
  <c r="H56" i="1"/>
  <c r="H55" i="1"/>
  <c r="H54" i="1"/>
  <c r="H53" i="1"/>
  <c r="H52" i="1"/>
  <c r="H51" i="1"/>
  <c r="H50" i="1"/>
  <c r="H49" i="1"/>
  <c r="H48" i="1"/>
  <c r="H47" i="1"/>
  <c r="H46" i="1"/>
  <c r="H45" i="1"/>
  <c r="E73" i="1"/>
  <c r="E72" i="1"/>
  <c r="E71" i="1"/>
  <c r="E70" i="1"/>
  <c r="E69" i="1"/>
  <c r="E68" i="1"/>
  <c r="E67" i="1"/>
  <c r="E66" i="1"/>
  <c r="E64" i="1"/>
  <c r="E63" i="1"/>
  <c r="E61" i="1"/>
  <c r="E60" i="1"/>
  <c r="E59" i="1"/>
  <c r="E58" i="1"/>
  <c r="E57" i="1"/>
  <c r="E56" i="1"/>
  <c r="E55" i="1"/>
  <c r="E54" i="1"/>
  <c r="E53" i="1"/>
  <c r="E52" i="1"/>
  <c r="E51" i="1"/>
  <c r="E50" i="1"/>
  <c r="E49" i="1"/>
  <c r="E48" i="1"/>
  <c r="E47" i="1"/>
  <c r="E46" i="1"/>
  <c r="E45" i="1"/>
  <c r="AF62" i="1"/>
  <c r="T62" i="1"/>
  <c r="N62" i="1"/>
  <c r="H62" i="1"/>
  <c r="AQ3" i="1" l="1"/>
  <c r="AP3" i="1"/>
  <c r="AL65" i="1"/>
  <c r="AF65" i="1"/>
  <c r="AF3" i="1"/>
  <c r="AC65" i="1"/>
  <c r="AC3" i="1"/>
  <c r="W65" i="1"/>
  <c r="T65" i="1"/>
  <c r="Q65" i="1"/>
  <c r="Q3" i="1"/>
  <c r="N65" i="1"/>
  <c r="N3" i="1"/>
  <c r="H65" i="1"/>
  <c r="Z65" i="1"/>
  <c r="K65" i="1"/>
  <c r="AP65" i="1"/>
  <c r="AP62" i="1" s="1"/>
  <c r="E65" i="1"/>
  <c r="AO66" i="1"/>
  <c r="AO70" i="1"/>
  <c r="AO74" i="1"/>
  <c r="AQ65" i="1"/>
  <c r="AQ62" i="1" s="1"/>
  <c r="AO45" i="1"/>
  <c r="AO49" i="1"/>
  <c r="AO53" i="1"/>
  <c r="AO57" i="1"/>
  <c r="AO61" i="1"/>
  <c r="AO46" i="1"/>
  <c r="AO50" i="1"/>
  <c r="AO54" i="1"/>
  <c r="AO58" i="1"/>
  <c r="AO59" i="1"/>
  <c r="AO55" i="1"/>
  <c r="AO47" i="1"/>
  <c r="AO51" i="1"/>
  <c r="AO48" i="1"/>
  <c r="AO52" i="1"/>
  <c r="AO56" i="1"/>
  <c r="AO60" i="1"/>
  <c r="AL62" i="1"/>
  <c r="AO64" i="1"/>
  <c r="Z62" i="1"/>
  <c r="AO67" i="1"/>
  <c r="AO68" i="1"/>
  <c r="AO72" i="1"/>
  <c r="AO69" i="1"/>
  <c r="AO73" i="1"/>
  <c r="AO71" i="1"/>
  <c r="H3" i="1"/>
  <c r="Q62" i="1"/>
  <c r="AC62" i="1"/>
  <c r="K62" i="1"/>
  <c r="W3" i="1"/>
  <c r="AI62" i="1"/>
  <c r="AO63" i="1"/>
  <c r="W62" i="1"/>
  <c r="E62" i="1"/>
  <c r="AL3" i="1"/>
  <c r="T3" i="1"/>
  <c r="N43" i="1"/>
  <c r="AP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N4" i="1" l="1"/>
  <c r="AC4" i="1"/>
  <c r="AF4" i="1"/>
  <c r="AO65" i="1"/>
  <c r="AO62" i="1"/>
  <c r="K3" i="1"/>
  <c r="AI3" i="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<sst xmlns="http://schemas.openxmlformats.org/spreadsheetml/2006/main" count="140" uniqueCount="87">
  <si>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</si>
  <si>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</si>
  <si>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</si>
  <si>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</si>
  <si>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</si>
  <si>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</si>
  <si>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</si>
  <si>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</si>
  <si>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</si>
  <si>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</si>
  <si>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</si>
  <si>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</si>
  <si>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</si>
  <si>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</si>
  <si>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</si>
  <si>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</si>
  <si>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</si>
  <si>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</si>
  <si>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</si>
  <si>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Canada</t>
  </si>
  <si>
    <t>Colombia</t>
  </si>
  <si>
    <t>Dominican Republic</t>
  </si>
  <si>
    <t>Korea, South</t>
  </si>
  <si>
    <t>Jamaica</t>
  </si>
  <si>
    <t>Mexico</t>
  </si>
  <si>
    <t>United Arab Emirates</t>
  </si>
  <si>
    <t>Barbados</t>
  </si>
  <si>
    <t>Bahamas, The</t>
  </si>
  <si>
    <t>Belize</t>
  </si>
  <si>
    <t>China</t>
  </si>
  <si>
    <t>El Salvador</t>
  </si>
  <si>
    <t>Guatemala</t>
  </si>
  <si>
    <t>Honduras</t>
  </si>
  <si>
    <t>Japan</t>
  </si>
  <si>
    <t>Nicaragua</t>
  </si>
  <si>
    <t>Panama</t>
  </si>
  <si>
    <t>Spain</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</si>
  <si>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</si>
  <si>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</si>
  <si>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</si>
  <si>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</si>
  <si>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</si>
  <si>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</si>
  <si>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</si>
  <si>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</si>
  <si>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</si>
  <si>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</si>
  <si>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</si>
  <si>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Jordan</t>
  </si>
  <si>
    <t>Netherlands Antilles(*)</t>
  </si>
  <si>
    <t>Saudi Arabia</t>
  </si>
  <si>
    <t>Kuwait</t>
  </si>
  <si>
    <t>Chile</t>
  </si>
  <si>
    <t>Lebanon</t>
  </si>
  <si>
    <t>Qatar</t>
  </si>
  <si>
    <t>Oman</t>
  </si>
  <si>
    <t>India</t>
  </si>
  <si>
    <t>Cayman Islands</t>
  </si>
  <si>
    <t>Bermuda</t>
  </si>
  <si>
    <t>Indonesia</t>
  </si>
  <si>
    <t>Peru</t>
  </si>
  <si>
    <t>United Kingdom</t>
  </si>
  <si>
    <t>World Total_FLY-RFND</t>
    <phoneticPr fontId="18" type="noConversion"/>
  </si>
  <si>
    <t>1. Data Source: U.S. Census Bureau Trade Data</t>
  </si>
  <si>
    <t>4. Product Group : Harmonized</t>
  </si>
  <si>
    <t>Product</t>
    <phoneticPr fontId="18" type="noConversion"/>
  </si>
  <si>
    <t>Soybean Oil, Refined</t>
    <phoneticPr fontId="18" type="noConversion"/>
  </si>
  <si>
    <t>Turks and Caicos Islands</t>
  </si>
  <si>
    <t>Brazil</t>
  </si>
  <si>
    <t>SOY OIL FLY-RFND</t>
    <phoneticPr fontId="18" type="noConversion"/>
  </si>
  <si>
    <t>Argentina</t>
  </si>
  <si>
    <t>Australia(*)</t>
  </si>
  <si>
    <t>Belgium-Luxembourg(*)</t>
  </si>
  <si>
    <t>Netherlands</t>
  </si>
  <si>
    <t>Timor-Leste</t>
  </si>
  <si>
    <t>Congo (Kinshasa)</t>
  </si>
  <si>
    <t>Venezuela</t>
  </si>
  <si>
    <t>Cuba</t>
  </si>
  <si>
    <t>Iraq</t>
  </si>
  <si>
    <t>Mongolia</t>
  </si>
  <si>
    <t>Haiti</t>
  </si>
  <si>
    <t>Hong Kong</t>
  </si>
  <si>
    <t>Israel(*)</t>
  </si>
  <si>
    <t>Malawi</t>
  </si>
  <si>
    <t>Suriname</t>
  </si>
  <si>
    <t>Vietnam</t>
  </si>
  <si>
    <t>SOY OIL ONC-RFND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</si>
</sst>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49" fontId="0" fillId="0" borderId="17" xfId="0" applyNumberFormat="1" applyBorder="1">
      <alignment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0" borderId="12"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81"/>
  <sheetViews>
    <sheetView showGridLines="0" tabSelected="1" workbookViewId="0">
      <pane ySplit="2" topLeftCell="A21"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4" t="s">
        <v>0</v>
      </c>
      <c r="F1" s="25"/>
      <c r="G1" s="26"/>
      <c r="H1" s="21" t="s">
        <v>1</v>
      </c>
      <c r="I1" s="22"/>
      <c r="J1" s="23"/>
      <c r="K1" s="21" t="s">
        <v>2</v>
      </c>
      <c r="L1" s="22"/>
      <c r="M1" s="23"/>
      <c r="N1" s="21" t="s">
        <v>3</v>
      </c>
      <c r="O1" s="22"/>
      <c r="P1" s="23"/>
      <c r="Q1" s="21" t="s">
        <v>4</v>
      </c>
      <c r="R1" s="22"/>
      <c r="S1" s="23"/>
      <c r="T1" s="21" t="s">
        <v>5</v>
      </c>
      <c r="U1" s="22"/>
      <c r="V1" s="23"/>
      <c r="W1" s="21" t="s">
        <v>6</v>
      </c>
      <c r="X1" s="22"/>
      <c r="Y1" s="23"/>
      <c r="Z1" s="21" t="s">
        <v>7</v>
      </c>
      <c r="AA1" s="22"/>
      <c r="AB1" s="23"/>
      <c r="AC1" s="21" t="s">
        <v>8</v>
      </c>
      <c r="AD1" s="22"/>
      <c r="AE1" s="23"/>
      <c r="AF1" s="21" t="s">
        <v>9</v>
      </c>
      <c r="AG1" s="22"/>
      <c r="AH1" s="23"/>
      <c r="AI1" s="21" t="s">
        <v>10</v>
      </c>
      <c r="AJ1" s="22"/>
      <c r="AK1" s="23"/>
      <c r="AL1" s="21" t="s">
        <v>11</v>
      </c>
      <c r="AM1" s="22"/>
      <c r="AN1" s="23"/>
      <c r="AO1" s="21" t="s">
        <v>12</v>
      </c>
      <c r="AP1" s="22"/>
      <c r="AQ1" s="23"/>
    </row>
    <row r="2" spans="1:67" x14ac:dyDescent="0.3">
      <c r="A2" s="2" t="s">
        <v>42</v>
      </c>
      <c r="B2" s="2" t="s">
        <v>65</v>
      </c>
      <c r="C2" s="2" t="s">
        <v>13</v>
      </c>
      <c r="D2" s="2" t="s">
        <v>43</v>
      </c>
      <c r="E2" s="4" t="s">
        <v>14</v>
      </c>
      <c r="F2" s="2" t="s">
        <v>43</v>
      </c>
      <c r="G2" s="5" t="s">
        <v>15</v>
      </c>
      <c r="H2" s="2" t="s">
        <v>14</v>
      </c>
      <c r="I2" s="2" t="s">
        <v>43</v>
      </c>
      <c r="J2" s="5" t="s">
        <v>15</v>
      </c>
      <c r="K2" s="2" t="s">
        <v>14</v>
      </c>
      <c r="L2" s="2" t="s">
        <v>43</v>
      </c>
      <c r="M2" s="5" t="s">
        <v>15</v>
      </c>
      <c r="N2" s="2" t="s">
        <v>14</v>
      </c>
      <c r="O2" s="2" t="s">
        <v>43</v>
      </c>
      <c r="P2" s="5" t="s">
        <v>15</v>
      </c>
      <c r="Q2" s="2" t="s">
        <v>14</v>
      </c>
      <c r="R2" s="2" t="s">
        <v>43</v>
      </c>
      <c r="S2" s="5" t="s">
        <v>15</v>
      </c>
      <c r="T2" s="2" t="s">
        <v>14</v>
      </c>
      <c r="U2" s="2" t="s">
        <v>43</v>
      </c>
      <c r="V2" s="5" t="s">
        <v>15</v>
      </c>
      <c r="W2" s="2" t="s">
        <v>14</v>
      </c>
      <c r="X2" s="2" t="s">
        <v>43</v>
      </c>
      <c r="Y2" s="5" t="s">
        <v>15</v>
      </c>
      <c r="Z2" s="2" t="s">
        <v>14</v>
      </c>
      <c r="AA2" s="2" t="s">
        <v>43</v>
      </c>
      <c r="AB2" s="5" t="s">
        <v>15</v>
      </c>
      <c r="AC2" s="2" t="s">
        <v>14</v>
      </c>
      <c r="AD2" s="2" t="s">
        <v>43</v>
      </c>
      <c r="AE2" s="5" t="s">
        <v>15</v>
      </c>
      <c r="AF2" s="2" t="s">
        <v>14</v>
      </c>
      <c r="AG2" s="2" t="s">
        <v>43</v>
      </c>
      <c r="AH2" s="5" t="s">
        <v>15</v>
      </c>
      <c r="AI2" s="2" t="s">
        <v>14</v>
      </c>
      <c r="AJ2" s="2" t="s">
        <v>43</v>
      </c>
      <c r="AK2" s="5" t="s">
        <v>15</v>
      </c>
      <c r="AL2" s="2" t="s">
        <v>14</v>
      </c>
      <c r="AM2" s="2" t="s">
        <v>43</v>
      </c>
      <c r="AN2" s="5" t="s">
        <v>15</v>
      </c>
      <c r="AO2" s="2" t="s">
        <v>14</v>
      </c>
      <c r="AP2" s="2" t="s">
        <v>45</v>
      </c>
      <c r="AQ2" s="5" t="s">
        <v>15</v>
      </c>
    </row>
    <row r="3" spans="1:67" ht="15" customHeight="1" x14ac:dyDescent="0.3">
      <c r="A3" s="9" t="s">
        <v>16</v>
      </c>
      <c r="B3" s="30" t="s">
        <v>66</v>
      </c>
      <c r="C3" s="27" t="s">
        <v>17</v>
      </c>
      <c r="D3" s="27" t="s">
        <v>44</v>
      </c>
      <c r="E3" s="7">
        <f>F3/G3</f>
        <v>1259.7906035056578</v>
      </c>
      <c r="F3" s="7">
        <f>SUM(F4,F59)</f>
        <v>18169204</v>
      </c>
      <c r="G3" s="8">
        <f t="shared" ref="G3" si="0">SUM(G4,G59)</f>
        <v>14422.400000000001</v>
      </c>
      <c r="H3" s="7">
        <f>I3/J3</f>
        <v>1640.9920944031026</v>
      </c>
      <c r="I3" s="7">
        <f t="shared" ref="I3:J3" si="1">SUM(I4,I59)</f>
        <v>9901254</v>
      </c>
      <c r="J3" s="8">
        <f t="shared" si="1"/>
        <v>6033.7</v>
      </c>
      <c r="K3" s="7">
        <f>L3/M3</f>
        <v>1395.7517530054463</v>
      </c>
      <c r="L3" s="7">
        <f t="shared" ref="L3:M3" si="2">SUM(L4,L59)</f>
        <v>16939262</v>
      </c>
      <c r="M3" s="8">
        <f t="shared" si="2"/>
        <v>12136.300000000001</v>
      </c>
      <c r="N3" s="7">
        <f>O3/P3</f>
        <v>1439.2557671562522</v>
      </c>
      <c r="O3" s="7">
        <f t="shared" ref="O3:P3" si="3">SUM(O4,O59)</f>
        <v>13875577</v>
      </c>
      <c r="P3" s="8">
        <f t="shared" si="3"/>
        <v>9640.8000000000029</v>
      </c>
      <c r="Q3" s="7">
        <f>R3/S3</f>
        <v>1362.2914953350539</v>
      </c>
      <c r="R3" s="7">
        <f t="shared" ref="R3:S3" si="4">SUM(R4,R59)</f>
        <v>19215394</v>
      </c>
      <c r="S3" s="8">
        <f t="shared" si="4"/>
        <v>14105.199999999997</v>
      </c>
      <c r="T3" s="7">
        <f>U3/V3</f>
        <v>1230.3927199020311</v>
      </c>
      <c r="U3" s="7">
        <f t="shared" ref="U3:V3" si="5">SUM(U4,U59)</f>
        <v>37878009</v>
      </c>
      <c r="V3" s="8">
        <f t="shared" si="5"/>
        <v>30785.300000000003</v>
      </c>
      <c r="W3" s="7">
        <f>X3/Y3</f>
        <v>1103.9013613364252</v>
      </c>
      <c r="X3" s="7">
        <f t="shared" ref="X3:Y3" si="6">SUM(X4,X59)</f>
        <v>32703409</v>
      </c>
      <c r="Y3" s="8">
        <f t="shared" si="6"/>
        <v>29625.300000000003</v>
      </c>
      <c r="Z3" s="7">
        <f>AA3/AB3</f>
        <v>1310.001335486299</v>
      </c>
      <c r="AA3" s="7">
        <f t="shared" ref="AA3:AB3" si="7">SUM(AA4,AA59)</f>
        <v>21580176</v>
      </c>
      <c r="AB3" s="8">
        <f t="shared" si="7"/>
        <v>16473.400000000001</v>
      </c>
      <c r="AC3" s="7">
        <f>AD3/AE3</f>
        <v>1343.1205346245952</v>
      </c>
      <c r="AD3" s="7">
        <f t="shared" ref="AD3:AE3" si="8">SUM(AD4,AD59)</f>
        <v>20359424</v>
      </c>
      <c r="AE3" s="8">
        <f t="shared" si="8"/>
        <v>15158.3</v>
      </c>
      <c r="AF3" s="7">
        <f>AG3/AH3</f>
        <v>1283.2852392962366</v>
      </c>
      <c r="AG3" s="7">
        <f t="shared" ref="AG3:AH3" si="9">SUM(AG4,AG59)</f>
        <v>16943600</v>
      </c>
      <c r="AH3" s="8">
        <f t="shared" si="9"/>
        <v>13203.3</v>
      </c>
      <c r="AI3" s="7">
        <f>AJ3/AK3</f>
        <v>1263.3459513720202</v>
      </c>
      <c r="AJ3" s="7">
        <f t="shared" ref="AJ3:AK3" si="10">SUM(AJ4,AJ59)</f>
        <v>16486791</v>
      </c>
      <c r="AK3" s="8">
        <f t="shared" si="10"/>
        <v>13050.099999999999</v>
      </c>
      <c r="AL3" s="7">
        <f>AM3/AN3</f>
        <v>1302.92935942448</v>
      </c>
      <c r="AM3" s="7">
        <f t="shared" ref="AM3:AN3" si="11">SUM(AM4,AM59)</f>
        <v>30282163</v>
      </c>
      <c r="AN3" s="8">
        <f t="shared" si="11"/>
        <v>23241.600000000006</v>
      </c>
      <c r="AO3" s="7">
        <f>AP3/AQ3</f>
        <v>1285.3233772514764</v>
      </c>
      <c r="AP3" s="7">
        <f t="shared" ref="AP3" si="12">SUM(AP4,AP59)</f>
        <v>254334263</v>
      </c>
      <c r="AQ3" s="8">
        <f t="shared" ref="AQ3" si="13">SUM(AQ4,AQ59)</f>
        <v>197875.70000000004</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62</v>
      </c>
      <c r="B4" s="27" t="s">
        <v>69</v>
      </c>
      <c r="C4" s="28"/>
      <c r="D4" s="28"/>
      <c r="E4" s="3">
        <f t="shared" ref="E4:E11" si="14">F4/G4</f>
        <v>1324.7948821738441</v>
      </c>
      <c r="F4" s="3">
        <f>SUM(F5:F58)</f>
        <v>15055234</v>
      </c>
      <c r="G4" s="6">
        <f t="shared" ref="G4" si="15">SUM(G5:G58)</f>
        <v>11364.2</v>
      </c>
      <c r="H4" s="3">
        <f t="shared" ref="H4:H11" si="16">I4/J4</f>
        <v>1644.4916316942267</v>
      </c>
      <c r="I4" s="3">
        <f>SUM(I5:I58)</f>
        <v>9835540</v>
      </c>
      <c r="J4" s="6">
        <f t="shared" ref="J4" si="17">SUM(J5:J58)</f>
        <v>5980.9</v>
      </c>
      <c r="K4" s="3">
        <f t="shared" ref="K4:K11" si="18">L4/M4</f>
        <v>1396.2600377990707</v>
      </c>
      <c r="L4" s="3">
        <f>SUM(L5:L58)</f>
        <v>16918064</v>
      </c>
      <c r="M4" s="6">
        <f t="shared" ref="M4" si="19">SUM(M5:M58)</f>
        <v>12116.7</v>
      </c>
      <c r="N4" s="3">
        <f t="shared" ref="N4:N11" si="20">O4/P4</f>
        <v>1448.6656905396433</v>
      </c>
      <c r="O4" s="3">
        <f>SUM(O5:O58)</f>
        <v>13752618</v>
      </c>
      <c r="P4" s="6">
        <f t="shared" ref="P4" si="21">SUM(P5:P58)</f>
        <v>9493.3000000000029</v>
      </c>
      <c r="Q4" s="3">
        <f t="shared" ref="Q4:Q11" si="22">R4/S4</f>
        <v>1364.4841368795289</v>
      </c>
      <c r="R4" s="3">
        <f>SUM(R5:R58)</f>
        <v>19151490</v>
      </c>
      <c r="S4" s="6">
        <f t="shared" ref="S4" si="23">SUM(S5:S58)</f>
        <v>14035.699999999997</v>
      </c>
      <c r="T4" s="3">
        <f t="shared" ref="T4:T11" si="24">U4/V4</f>
        <v>1263.3726874535128</v>
      </c>
      <c r="U4" s="3">
        <f>SUM(U5:U58)</f>
        <v>32102679</v>
      </c>
      <c r="V4" s="6">
        <f t="shared" ref="V4" si="25">SUM(V5:V58)</f>
        <v>25410.300000000003</v>
      </c>
      <c r="W4" s="3">
        <f t="shared" ref="W4:W11" si="26">X4/Y4</f>
        <v>1152.5040583922694</v>
      </c>
      <c r="X4" s="3">
        <f>SUM(X5:X58)</f>
        <v>28469040</v>
      </c>
      <c r="Y4" s="6">
        <f t="shared" ref="Y4" si="27">SUM(Y5:Y58)</f>
        <v>24701.9</v>
      </c>
      <c r="Z4" s="3">
        <f t="shared" ref="Z4:Z11" si="28">AA4/AB4</f>
        <v>1315.7281344777198</v>
      </c>
      <c r="AA4" s="3">
        <f>SUM(AA5:AA58)</f>
        <v>21430843</v>
      </c>
      <c r="AB4" s="6">
        <f t="shared" ref="AB4" si="29">SUM(AB5:AB58)</f>
        <v>16288.200000000003</v>
      </c>
      <c r="AC4" s="3">
        <f t="shared" ref="AC4:AC11" si="30">AD4/AE4</f>
        <v>1342.8430372029529</v>
      </c>
      <c r="AD4" s="3">
        <f>SUM(AD5:AD58)</f>
        <v>20263770</v>
      </c>
      <c r="AE4" s="6">
        <f t="shared" ref="AE4" si="31">SUM(AE5:AE58)</f>
        <v>15090.199999999999</v>
      </c>
      <c r="AF4" s="3">
        <f t="shared" ref="AF4:AF11" si="32">AG4/AH4</f>
        <v>1282.2013491135049</v>
      </c>
      <c r="AG4" s="3">
        <f>SUM(AG5:AG58)</f>
        <v>16879155</v>
      </c>
      <c r="AH4" s="6">
        <f t="shared" ref="AH4" si="33">SUM(AH5:AH58)</f>
        <v>13164.199999999999</v>
      </c>
      <c r="AI4" s="3">
        <f t="shared" ref="AI4:AI11" si="34">AJ4/AK4</f>
        <v>1266.9567991037741</v>
      </c>
      <c r="AJ4" s="3">
        <f>SUM(AJ5:AJ58)</f>
        <v>16285336</v>
      </c>
      <c r="AK4" s="6">
        <f t="shared" ref="AK4" si="35">SUM(AK5:AK58)</f>
        <v>12853.899999999998</v>
      </c>
      <c r="AL4" s="3">
        <f t="shared" ref="AL4:AL11" si="36">AM4/AN4</f>
        <v>1302.4929596872119</v>
      </c>
      <c r="AM4" s="3">
        <f>SUM(AM5:AM58)</f>
        <v>30248315</v>
      </c>
      <c r="AN4" s="6">
        <f t="shared" ref="AN4" si="37">SUM(AN5:AN58)</f>
        <v>23223.400000000005</v>
      </c>
      <c r="AO4" s="3">
        <f t="shared" ref="AO4:AO61" si="38">AP4/AQ4</f>
        <v>1308.4492134622299</v>
      </c>
      <c r="AP4" s="3">
        <f>SUM(AP5:AP58)</f>
        <v>240392084</v>
      </c>
      <c r="AQ4" s="6">
        <f t="shared" ref="AQ4" si="39">SUM(AQ5:AQ58)</f>
        <v>183722.90000000005</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24</v>
      </c>
      <c r="B5" s="28"/>
      <c r="C5" s="28"/>
      <c r="D5" s="28"/>
      <c r="E5" s="3">
        <f t="shared" si="14"/>
        <v>1673.9166126593218</v>
      </c>
      <c r="F5" s="3">
        <v>774856</v>
      </c>
      <c r="G5" s="6">
        <v>462.9</v>
      </c>
      <c r="H5" s="3">
        <f t="shared" si="16"/>
        <v>1436.3110381616743</v>
      </c>
      <c r="I5" s="3">
        <v>2800232</v>
      </c>
      <c r="J5" s="6">
        <v>1949.6</v>
      </c>
      <c r="K5" s="3">
        <f t="shared" si="18"/>
        <v>1210.0378169954026</v>
      </c>
      <c r="L5" s="3">
        <v>9791142</v>
      </c>
      <c r="M5" s="6">
        <v>8091.6</v>
      </c>
      <c r="N5" s="3">
        <f t="shared" si="20"/>
        <v>1218.9397729459304</v>
      </c>
      <c r="O5" s="3">
        <v>5701347</v>
      </c>
      <c r="P5" s="6">
        <v>4677.3</v>
      </c>
      <c r="Q5" s="3">
        <f t="shared" si="22"/>
        <v>1176.5796249041664</v>
      </c>
      <c r="R5" s="3">
        <v>10282247</v>
      </c>
      <c r="S5" s="6">
        <v>8739.1</v>
      </c>
      <c r="T5" s="3">
        <f t="shared" si="24"/>
        <v>1203.6032218466764</v>
      </c>
      <c r="U5" s="3">
        <v>7157708</v>
      </c>
      <c r="V5" s="6">
        <v>5946.9</v>
      </c>
      <c r="W5" s="3">
        <f t="shared" si="26"/>
        <v>1154.513629687521</v>
      </c>
      <c r="X5" s="3">
        <v>8567992</v>
      </c>
      <c r="Y5" s="6">
        <v>7421.3</v>
      </c>
      <c r="Z5" s="3">
        <f t="shared" si="28"/>
        <v>1155.5923083821212</v>
      </c>
      <c r="AA5" s="3">
        <v>9020438</v>
      </c>
      <c r="AB5" s="6">
        <v>7805.9</v>
      </c>
      <c r="AC5" s="3">
        <f t="shared" si="30"/>
        <v>1174.8040888502824</v>
      </c>
      <c r="AD5" s="3">
        <v>7573727</v>
      </c>
      <c r="AE5" s="6">
        <v>6446.8</v>
      </c>
      <c r="AF5" s="3">
        <f t="shared" si="32"/>
        <v>1138.9933230611196</v>
      </c>
      <c r="AG5" s="3">
        <v>5100526</v>
      </c>
      <c r="AH5" s="6">
        <v>4478.1000000000004</v>
      </c>
      <c r="AI5" s="3">
        <f t="shared" si="34"/>
        <v>1166.0044132069304</v>
      </c>
      <c r="AJ5" s="3">
        <v>5706892</v>
      </c>
      <c r="AK5" s="6">
        <v>4894.3999999999996</v>
      </c>
      <c r="AL5" s="3">
        <f t="shared" si="36"/>
        <v>1193.4080191012645</v>
      </c>
      <c r="AM5" s="3">
        <v>18093617</v>
      </c>
      <c r="AN5" s="6">
        <v>15161.3</v>
      </c>
      <c r="AO5" s="3">
        <f t="shared" si="38"/>
        <v>1190.5420426104695</v>
      </c>
      <c r="AP5" s="3">
        <f t="shared" ref="AP5" si="40">SUM(F5,I5,L5,O5,R5,U5,X5,AA5,AD5,AG5,AJ5,AM5)</f>
        <v>90570724</v>
      </c>
      <c r="AQ5" s="6">
        <f t="shared" ref="AQ5" si="41">SUM(G5,J5,M5,P5,S5,V5,Y5,AB5,AE5,AH5,AK5,AN5)</f>
        <v>76075.200000000012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19</v>
      </c>
      <c r="B6" s="28"/>
      <c r="C6" s="28"/>
      <c r="D6" s="28"/>
      <c r="E6" s="3">
        <f t="shared" si="14"/>
        <v>1720.1550868486354</v>
      </c>
      <c r="F6" s="3">
        <v>5823069</v>
      </c>
      <c r="G6" s="6">
        <v>3385.2</v>
      </c>
      <c r="H6" s="3">
        <f t="shared" si="16"/>
        <v>1674.578201334893</v>
      </c>
      <c r="I6" s="3">
        <v>4867329</v>
      </c>
      <c r="J6" s="6">
        <v>2906.6</v>
      </c>
      <c r="K6" s="3">
        <f t="shared" si="18"/>
        <v>1665.0157694788904</v>
      </c>
      <c r="L6" s="3">
        <v>4645727</v>
      </c>
      <c r="M6" s="6">
        <v>2790.2</v>
      </c>
      <c r="N6" s="3">
        <f t="shared" si="20"/>
        <v>1642.1025054203806</v>
      </c>
      <c r="O6" s="3">
        <v>5453094</v>
      </c>
      <c r="P6" s="6">
        <v>3320.8</v>
      </c>
      <c r="Q6" s="3">
        <f t="shared" si="22"/>
        <v>1608.58038572449</v>
      </c>
      <c r="R6" s="3">
        <v>6080273</v>
      </c>
      <c r="S6" s="6">
        <v>3779.9</v>
      </c>
      <c r="T6" s="3">
        <f t="shared" si="24"/>
        <v>1454.2498638461318</v>
      </c>
      <c r="U6" s="3">
        <v>10146883</v>
      </c>
      <c r="V6" s="6">
        <v>6977.4</v>
      </c>
      <c r="W6" s="3">
        <f t="shared" si="26"/>
        <v>1462.6088685279626</v>
      </c>
      <c r="X6" s="3">
        <v>8460461</v>
      </c>
      <c r="Y6" s="6">
        <v>5784.5</v>
      </c>
      <c r="Z6" s="3">
        <f t="shared" si="28"/>
        <v>1430.9946112164321</v>
      </c>
      <c r="AA6" s="3">
        <v>9586376</v>
      </c>
      <c r="AB6" s="6">
        <v>6699.1</v>
      </c>
      <c r="AC6" s="3">
        <f t="shared" si="30"/>
        <v>1409.2861767318609</v>
      </c>
      <c r="AD6" s="3">
        <v>9360056</v>
      </c>
      <c r="AE6" s="6">
        <v>6641.7</v>
      </c>
      <c r="AF6" s="3">
        <f t="shared" si="32"/>
        <v>1284.1288423069336</v>
      </c>
      <c r="AG6" s="3">
        <v>9115517</v>
      </c>
      <c r="AH6" s="6">
        <v>7098.6</v>
      </c>
      <c r="AI6" s="3">
        <f t="shared" si="34"/>
        <v>1620.3345713106687</v>
      </c>
      <c r="AJ6" s="3">
        <v>5104540</v>
      </c>
      <c r="AK6" s="6">
        <v>3150.3</v>
      </c>
      <c r="AL6" s="3">
        <f t="shared" si="36"/>
        <v>1754.0825311997085</v>
      </c>
      <c r="AM6" s="3">
        <v>5776720</v>
      </c>
      <c r="AN6" s="6">
        <v>3293.3</v>
      </c>
      <c r="AO6" s="3">
        <f t="shared" si="38"/>
        <v>1512.1560840874406</v>
      </c>
      <c r="AP6" s="3">
        <f t="shared" ref="AP6:AP61" si="42">SUM(F6,I6,L6,O6,R6,U6,X6,AA6,AD6,AG6,AJ6,AM6)</f>
        <v>84420045</v>
      </c>
      <c r="AQ6" s="6">
        <f t="shared" ref="AQ6:AQ61" si="43">SUM(G6,J6,M6,P6,S6,V6,Y6,AB6,AE6,AH6,AK6,AN6)</f>
        <v>55827.6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23</v>
      </c>
      <c r="B7" s="28"/>
      <c r="C7" s="28"/>
      <c r="D7" s="28"/>
      <c r="E7" s="3">
        <f t="shared" si="14"/>
        <v>2131.0994764397906</v>
      </c>
      <c r="F7" s="3">
        <v>40704</v>
      </c>
      <c r="G7" s="6">
        <v>19.100000000000001</v>
      </c>
      <c r="H7" s="3">
        <f t="shared" si="16"/>
        <v>2637.2549019607845</v>
      </c>
      <c r="I7" s="3">
        <v>13450</v>
      </c>
      <c r="J7" s="6">
        <v>5.0999999999999996</v>
      </c>
      <c r="K7" s="3">
        <f t="shared" si="18"/>
        <v>2473.4222222222224</v>
      </c>
      <c r="L7" s="3">
        <v>55652</v>
      </c>
      <c r="M7" s="6">
        <v>22.5</v>
      </c>
      <c r="N7" s="3">
        <f t="shared" si="20"/>
        <v>2255.7142857142853</v>
      </c>
      <c r="O7" s="3">
        <v>88424</v>
      </c>
      <c r="P7" s="6">
        <v>39.200000000000003</v>
      </c>
      <c r="Q7" s="3">
        <f t="shared" si="22"/>
        <v>2256.8945868945866</v>
      </c>
      <c r="R7" s="3">
        <v>79217</v>
      </c>
      <c r="S7" s="6">
        <v>35.1</v>
      </c>
      <c r="T7" s="3">
        <f t="shared" si="24"/>
        <v>1861.8855218855219</v>
      </c>
      <c r="U7" s="3">
        <v>55298</v>
      </c>
      <c r="V7" s="6">
        <v>29.7</v>
      </c>
      <c r="W7" s="3">
        <f t="shared" si="26"/>
        <v>1904.7161572052403</v>
      </c>
      <c r="X7" s="3">
        <v>43618</v>
      </c>
      <c r="Y7" s="6">
        <v>22.9</v>
      </c>
      <c r="Z7" s="3">
        <f t="shared" si="28"/>
        <v>2102.1804511278197</v>
      </c>
      <c r="AA7" s="3">
        <v>27959</v>
      </c>
      <c r="AB7" s="6">
        <v>13.3</v>
      </c>
      <c r="AC7" s="3">
        <f t="shared" si="30"/>
        <v>1431.1217303822937</v>
      </c>
      <c r="AD7" s="3">
        <v>569014</v>
      </c>
      <c r="AE7" s="6">
        <v>397.6</v>
      </c>
      <c r="AF7" s="3">
        <f t="shared" si="32"/>
        <v>1344.0764331210191</v>
      </c>
      <c r="AG7" s="3">
        <v>464244</v>
      </c>
      <c r="AH7" s="6">
        <v>345.4</v>
      </c>
      <c r="AI7" s="3">
        <f t="shared" si="34"/>
        <v>946.41108278416471</v>
      </c>
      <c r="AJ7" s="3">
        <v>1967494</v>
      </c>
      <c r="AK7" s="6">
        <v>2078.9</v>
      </c>
      <c r="AL7" s="3">
        <f t="shared" si="36"/>
        <v>1299.8202494497432</v>
      </c>
      <c r="AM7" s="3">
        <v>1062993</v>
      </c>
      <c r="AN7" s="6">
        <v>817.8</v>
      </c>
      <c r="AO7" s="3">
        <f t="shared" si="38"/>
        <v>1167.6336695761249</v>
      </c>
      <c r="AP7" s="3">
        <f t="shared" si="42"/>
        <v>4468067</v>
      </c>
      <c r="AQ7" s="6">
        <f t="shared" si="43"/>
        <v>3826.6000000000004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35</v>
      </c>
      <c r="B8" s="28"/>
      <c r="C8" s="28"/>
      <c r="D8" s="28"/>
      <c r="E8" s="3">
        <f t="shared" si="14"/>
        <v>1928.145506419401</v>
      </c>
      <c r="F8" s="3">
        <v>135163</v>
      </c>
      <c r="G8" s="6">
        <v>70.099999999999994</v>
      </c>
      <c r="H8" s="3">
        <f t="shared" si="16"/>
        <v>1826.3899613899614</v>
      </c>
      <c r="I8" s="3">
        <v>283821</v>
      </c>
      <c r="J8" s="6">
        <v>155.4</v>
      </c>
      <c r="K8" s="3">
        <f t="shared" si="18"/>
        <v>1728.7671232876712</v>
      </c>
      <c r="L8" s="3">
        <v>201920</v>
      </c>
      <c r="M8" s="6">
        <v>116.8</v>
      </c>
      <c r="N8" s="3">
        <f t="shared" si="20"/>
        <v>1550.127388535032</v>
      </c>
      <c r="O8" s="3">
        <v>48674</v>
      </c>
      <c r="P8" s="6">
        <v>31.4</v>
      </c>
      <c r="Q8" s="3">
        <f t="shared" si="22"/>
        <v>1809</v>
      </c>
      <c r="R8" s="3">
        <v>289440</v>
      </c>
      <c r="S8" s="6">
        <v>160</v>
      </c>
      <c r="T8" s="3">
        <f t="shared" si="24"/>
        <v>1807.2904091213952</v>
      </c>
      <c r="U8" s="3">
        <v>269467</v>
      </c>
      <c r="V8" s="6">
        <v>149.1</v>
      </c>
      <c r="W8" s="3">
        <f t="shared" si="26"/>
        <v>1549.1961414790997</v>
      </c>
      <c r="X8" s="3">
        <v>48180</v>
      </c>
      <c r="Y8" s="6">
        <v>31.1</v>
      </c>
      <c r="Z8" s="3">
        <f t="shared" si="28"/>
        <v>2333.2558139534881</v>
      </c>
      <c r="AA8" s="3">
        <v>30099</v>
      </c>
      <c r="AB8" s="6">
        <v>12.9</v>
      </c>
      <c r="AC8" s="3">
        <f t="shared" si="30"/>
        <v>1805.1978891820579</v>
      </c>
      <c r="AD8" s="3">
        <v>205251</v>
      </c>
      <c r="AE8" s="6">
        <v>113.7</v>
      </c>
      <c r="AF8" s="3">
        <f t="shared" si="32"/>
        <v>1933.4251968503938</v>
      </c>
      <c r="AG8" s="3">
        <v>98218</v>
      </c>
      <c r="AH8" s="6">
        <v>50.8</v>
      </c>
      <c r="AI8" s="3">
        <f t="shared" si="34"/>
        <v>1610.4366543665437</v>
      </c>
      <c r="AJ8" s="3">
        <v>261857</v>
      </c>
      <c r="AK8" s="6">
        <v>162.6</v>
      </c>
      <c r="AL8" s="3">
        <f t="shared" si="36"/>
        <v>1743.1324544883867</v>
      </c>
      <c r="AM8" s="3">
        <v>555362</v>
      </c>
      <c r="AN8" s="6">
        <v>318.60000000000002</v>
      </c>
      <c r="AO8" s="3">
        <f t="shared" si="38"/>
        <v>1768.6353369763206</v>
      </c>
      <c r="AP8" s="3">
        <f t="shared" si="42"/>
        <v>2427452</v>
      </c>
      <c r="AQ8" s="6">
        <f t="shared" si="43"/>
        <v>1372.5</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32</v>
      </c>
      <c r="B9" s="28"/>
      <c r="C9" s="28"/>
      <c r="D9" s="28"/>
      <c r="E9" s="3">
        <f t="shared" si="14"/>
        <v>1928.8977272727273</v>
      </c>
      <c r="F9" s="3">
        <v>339486</v>
      </c>
      <c r="G9" s="6">
        <v>176</v>
      </c>
      <c r="H9" s="3">
        <f t="shared" si="16"/>
        <v>2041.3593155893536</v>
      </c>
      <c r="I9" s="3">
        <v>214751</v>
      </c>
      <c r="J9" s="6">
        <v>105.2</v>
      </c>
      <c r="K9" s="3">
        <f t="shared" si="18"/>
        <v>2268.3007047768206</v>
      </c>
      <c r="L9" s="3">
        <v>289662</v>
      </c>
      <c r="M9" s="6">
        <v>127.7</v>
      </c>
      <c r="N9" s="3">
        <f t="shared" si="20"/>
        <v>1757.9642365887207</v>
      </c>
      <c r="O9" s="3">
        <v>383412</v>
      </c>
      <c r="P9" s="6">
        <v>218.1</v>
      </c>
      <c r="Q9" s="3">
        <f t="shared" si="22"/>
        <v>1770.9882643607164</v>
      </c>
      <c r="R9" s="3">
        <v>286723</v>
      </c>
      <c r="S9" s="6">
        <v>161.9</v>
      </c>
      <c r="T9" s="3">
        <f t="shared" si="24"/>
        <v>2108.8940092165899</v>
      </c>
      <c r="U9" s="3">
        <v>320341</v>
      </c>
      <c r="V9" s="6">
        <v>151.9</v>
      </c>
      <c r="W9" s="3">
        <f t="shared" si="26"/>
        <v>2069.3639575971733</v>
      </c>
      <c r="X9" s="3">
        <v>292815</v>
      </c>
      <c r="Y9" s="6">
        <v>141.5</v>
      </c>
      <c r="Z9" s="3">
        <f t="shared" si="28"/>
        <v>1769.3836405529955</v>
      </c>
      <c r="AA9" s="3">
        <v>307165</v>
      </c>
      <c r="AB9" s="6">
        <v>173.6</v>
      </c>
      <c r="AC9" s="3">
        <f t="shared" si="30"/>
        <v>1737.8913922588099</v>
      </c>
      <c r="AD9" s="3">
        <v>300829</v>
      </c>
      <c r="AE9" s="6">
        <v>173.1</v>
      </c>
      <c r="AF9" s="3">
        <f t="shared" si="32"/>
        <v>1695.4261473197068</v>
      </c>
      <c r="AG9" s="3">
        <v>439624</v>
      </c>
      <c r="AH9" s="6">
        <v>259.3</v>
      </c>
      <c r="AI9" s="3">
        <f t="shared" si="34"/>
        <v>1575.7445306986592</v>
      </c>
      <c r="AJ9" s="3">
        <v>223283</v>
      </c>
      <c r="AK9" s="6">
        <v>141.69999999999999</v>
      </c>
      <c r="AL9" s="3">
        <f t="shared" si="36"/>
        <v>1726.4942741041743</v>
      </c>
      <c r="AM9" s="3">
        <v>467362</v>
      </c>
      <c r="AN9" s="6">
        <v>270.7</v>
      </c>
      <c r="AO9" s="3">
        <f t="shared" si="38"/>
        <v>1840.0785452468226</v>
      </c>
      <c r="AP9" s="3">
        <f t="shared" si="42"/>
        <v>3865453</v>
      </c>
      <c r="AQ9" s="6">
        <f t="shared" si="43"/>
        <v>2100.6999999999998</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27</v>
      </c>
      <c r="B10" s="28"/>
      <c r="C10" s="28"/>
      <c r="D10" s="28"/>
      <c r="E10" s="3" t="e">
        <f t="shared" si="14"/>
        <v>#DIV/0!</v>
      </c>
      <c r="F10" s="3">
        <v>0</v>
      </c>
      <c r="G10" s="6">
        <v>0</v>
      </c>
      <c r="H10" s="3">
        <f t="shared" si="16"/>
        <v>1884.5386766076422</v>
      </c>
      <c r="I10" s="3">
        <v>202211</v>
      </c>
      <c r="J10" s="6">
        <v>107.3</v>
      </c>
      <c r="K10" s="3">
        <f t="shared" si="18"/>
        <v>1861.5745393634841</v>
      </c>
      <c r="L10" s="3">
        <v>222272</v>
      </c>
      <c r="M10" s="6">
        <v>119.4</v>
      </c>
      <c r="N10" s="3">
        <f t="shared" si="20"/>
        <v>1753.4739803094235</v>
      </c>
      <c r="O10" s="3">
        <v>124672</v>
      </c>
      <c r="P10" s="6">
        <v>71.099999999999994</v>
      </c>
      <c r="Q10" s="3">
        <f t="shared" si="22"/>
        <v>1816.5709598031171</v>
      </c>
      <c r="R10" s="3">
        <v>221440</v>
      </c>
      <c r="S10" s="6">
        <v>121.9</v>
      </c>
      <c r="T10" s="3">
        <f t="shared" si="24"/>
        <v>1638.7117552334944</v>
      </c>
      <c r="U10" s="3">
        <v>203528</v>
      </c>
      <c r="V10" s="6">
        <v>124.2</v>
      </c>
      <c r="W10" s="3" t="e">
        <f t="shared" si="26"/>
        <v>#DIV/0!</v>
      </c>
      <c r="X10" s="3">
        <v>0</v>
      </c>
      <c r="Y10" s="6">
        <v>0</v>
      </c>
      <c r="Z10" s="3">
        <f t="shared" si="28"/>
        <v>1749.6062992125983</v>
      </c>
      <c r="AA10" s="3">
        <v>266640</v>
      </c>
      <c r="AB10" s="6">
        <v>152.4</v>
      </c>
      <c r="AC10" s="3">
        <f t="shared" si="30"/>
        <v>2050.3883495145633</v>
      </c>
      <c r="AD10" s="3">
        <v>232309</v>
      </c>
      <c r="AE10" s="6">
        <v>113.3</v>
      </c>
      <c r="AF10" s="3">
        <f t="shared" si="32"/>
        <v>1646.6343411294922</v>
      </c>
      <c r="AG10" s="3">
        <v>288655</v>
      </c>
      <c r="AH10" s="6">
        <v>175.3</v>
      </c>
      <c r="AI10" s="3">
        <f t="shared" si="34"/>
        <v>1950.9583333333333</v>
      </c>
      <c r="AJ10" s="3">
        <v>234115</v>
      </c>
      <c r="AK10" s="6">
        <v>120</v>
      </c>
      <c r="AL10" s="3">
        <f t="shared" si="36"/>
        <v>1712.0359955005624</v>
      </c>
      <c r="AM10" s="3">
        <v>304400</v>
      </c>
      <c r="AN10" s="6">
        <v>177.8</v>
      </c>
      <c r="AO10" s="3">
        <f t="shared" si="38"/>
        <v>1793.2813596320264</v>
      </c>
      <c r="AP10" s="3">
        <f t="shared" si="42"/>
        <v>2300242</v>
      </c>
      <c r="AQ10" s="6">
        <f t="shared" si="43"/>
        <v>1282.6999999999998</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51</v>
      </c>
      <c r="B11" s="28"/>
      <c r="C11" s="28"/>
      <c r="D11" s="28"/>
      <c r="E11" s="3">
        <f t="shared" si="14"/>
        <v>2250.8186528497408</v>
      </c>
      <c r="F11" s="3">
        <v>217204</v>
      </c>
      <c r="G11" s="6">
        <v>96.5</v>
      </c>
      <c r="H11" s="3">
        <f t="shared" si="16"/>
        <v>2249.0833333333335</v>
      </c>
      <c r="I11" s="3">
        <v>296879</v>
      </c>
      <c r="J11" s="6">
        <v>132</v>
      </c>
      <c r="K11" s="3">
        <f t="shared" si="18"/>
        <v>2673.8356164383563</v>
      </c>
      <c r="L11" s="3">
        <v>273266</v>
      </c>
      <c r="M11" s="6">
        <v>102.2</v>
      </c>
      <c r="N11" s="3">
        <f t="shared" si="20"/>
        <v>2207.4425287356325</v>
      </c>
      <c r="O11" s="3">
        <v>307276</v>
      </c>
      <c r="P11" s="6">
        <v>139.19999999999999</v>
      </c>
      <c r="Q11" s="3">
        <f t="shared" si="22"/>
        <v>2051.5595757953834</v>
      </c>
      <c r="R11" s="3">
        <v>328865</v>
      </c>
      <c r="S11" s="6">
        <v>160.30000000000001</v>
      </c>
      <c r="T11" s="3">
        <f t="shared" si="24"/>
        <v>2185.5026455026455</v>
      </c>
      <c r="U11" s="3">
        <v>289142</v>
      </c>
      <c r="V11" s="6">
        <v>132.30000000000001</v>
      </c>
      <c r="W11" s="3">
        <f t="shared" si="26"/>
        <v>2562.5472636815921</v>
      </c>
      <c r="X11" s="3">
        <v>257536</v>
      </c>
      <c r="Y11" s="6">
        <v>100.5</v>
      </c>
      <c r="Z11" s="3">
        <f t="shared" si="28"/>
        <v>1944.6547314578006</v>
      </c>
      <c r="AA11" s="3">
        <v>228108</v>
      </c>
      <c r="AB11" s="6">
        <v>117.3</v>
      </c>
      <c r="AC11" s="3">
        <f t="shared" si="30"/>
        <v>2002.6134699853587</v>
      </c>
      <c r="AD11" s="3">
        <v>273557</v>
      </c>
      <c r="AE11" s="6">
        <v>136.6</v>
      </c>
      <c r="AF11" s="3">
        <f t="shared" si="32"/>
        <v>2359.0902366863907</v>
      </c>
      <c r="AG11" s="3">
        <v>318949</v>
      </c>
      <c r="AH11" s="6">
        <v>135.19999999999999</v>
      </c>
      <c r="AI11" s="3">
        <f t="shared" si="34"/>
        <v>1638.4593837535012</v>
      </c>
      <c r="AJ11" s="3">
        <v>116986</v>
      </c>
      <c r="AK11" s="6">
        <v>71.400000000000006</v>
      </c>
      <c r="AL11" s="3">
        <f t="shared" si="36"/>
        <v>2153.321647677476</v>
      </c>
      <c r="AM11" s="3">
        <v>245694</v>
      </c>
      <c r="AN11" s="6">
        <v>114.1</v>
      </c>
      <c r="AO11" s="3">
        <f t="shared" si="38"/>
        <v>2193.5601001669452</v>
      </c>
      <c r="AP11" s="3">
        <f t="shared" si="42"/>
        <v>3153462</v>
      </c>
      <c r="AQ11" s="6">
        <f t="shared" si="43"/>
        <v>1437.6</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50</v>
      </c>
      <c r="B12" s="28"/>
      <c r="C12" s="28"/>
      <c r="D12" s="28"/>
      <c r="E12" s="3">
        <f>F12/G12</f>
        <v>2020.3515625</v>
      </c>
      <c r="F12" s="3">
        <v>51721</v>
      </c>
      <c r="G12" s="6">
        <v>25.6</v>
      </c>
      <c r="H12" s="3" t="e">
        <f>I12/J12</f>
        <v>#DIV/0!</v>
      </c>
      <c r="I12" s="3">
        <v>0</v>
      </c>
      <c r="J12" s="6">
        <v>0</v>
      </c>
      <c r="K12" s="3">
        <f>L12/M12</f>
        <v>1472.6190476190475</v>
      </c>
      <c r="L12" s="3">
        <v>24740</v>
      </c>
      <c r="M12" s="6">
        <v>16.8</v>
      </c>
      <c r="N12" s="3">
        <f>O12/P12</f>
        <v>2121.25</v>
      </c>
      <c r="O12" s="3">
        <v>6788</v>
      </c>
      <c r="P12" s="6">
        <v>3.2</v>
      </c>
      <c r="Q12" s="3">
        <f>R12/S12</f>
        <v>2118.4507042253522</v>
      </c>
      <c r="R12" s="3">
        <v>15041</v>
      </c>
      <c r="S12" s="6">
        <v>7.1</v>
      </c>
      <c r="T12" s="3">
        <f>U12/V12</f>
        <v>1890</v>
      </c>
      <c r="U12" s="3">
        <v>3780</v>
      </c>
      <c r="V12" s="6">
        <v>2</v>
      </c>
      <c r="W12" s="3">
        <f>X12/Y12</f>
        <v>1843.9429928741092</v>
      </c>
      <c r="X12" s="3">
        <v>77630</v>
      </c>
      <c r="Y12" s="6">
        <v>42.1</v>
      </c>
      <c r="Z12" s="3">
        <f>AA12/AB12</f>
        <v>1542.8865979381444</v>
      </c>
      <c r="AA12" s="3">
        <v>29932</v>
      </c>
      <c r="AB12" s="6">
        <v>19.399999999999999</v>
      </c>
      <c r="AC12" s="3">
        <f>AD12/AE12</f>
        <v>1975.9677419354839</v>
      </c>
      <c r="AD12" s="3">
        <v>12251</v>
      </c>
      <c r="AE12" s="6">
        <v>6.2</v>
      </c>
      <c r="AF12" s="3">
        <f>AG12/AH12</f>
        <v>1979.1803278688526</v>
      </c>
      <c r="AG12" s="3">
        <v>12073</v>
      </c>
      <c r="AH12" s="6">
        <v>6.1</v>
      </c>
      <c r="AI12" s="3">
        <f>AJ12/AK12</f>
        <v>1472.869757174393</v>
      </c>
      <c r="AJ12" s="3">
        <v>66721</v>
      </c>
      <c r="AK12" s="6">
        <v>45.3</v>
      </c>
      <c r="AL12" s="3">
        <f>AM12/AN12</f>
        <v>1385.4383651944629</v>
      </c>
      <c r="AM12" s="3">
        <v>210171</v>
      </c>
      <c r="AN12" s="6">
        <v>151.69999999999999</v>
      </c>
      <c r="AO12" s="3">
        <f t="shared" si="38"/>
        <v>1569.4254992319509</v>
      </c>
      <c r="AP12" s="3">
        <f t="shared" si="42"/>
        <v>510848</v>
      </c>
      <c r="AQ12" s="6">
        <f t="shared" si="43"/>
        <v>325.5</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52</v>
      </c>
      <c r="B13" s="28"/>
      <c r="C13" s="28"/>
      <c r="D13" s="28"/>
      <c r="E13" s="3">
        <f t="shared" ref="E13:E70" si="44">F13/G13</f>
        <v>1747.4015748031495</v>
      </c>
      <c r="F13" s="3">
        <v>66576</v>
      </c>
      <c r="G13" s="6">
        <v>38.1</v>
      </c>
      <c r="H13" s="3">
        <f t="shared" ref="H13:H70" si="45">I13/J13</f>
        <v>4224.7619047619046</v>
      </c>
      <c r="I13" s="3">
        <v>17744</v>
      </c>
      <c r="J13" s="6">
        <v>4.2</v>
      </c>
      <c r="K13" s="3">
        <f t="shared" ref="K13:K70" si="46">L13/M13</f>
        <v>1840.7831325301204</v>
      </c>
      <c r="L13" s="3">
        <v>61114</v>
      </c>
      <c r="M13" s="6">
        <v>33.200000000000003</v>
      </c>
      <c r="N13" s="3">
        <f t="shared" ref="N13:N70" si="47">O13/P13</f>
        <v>3347.5</v>
      </c>
      <c r="O13" s="3">
        <v>22763</v>
      </c>
      <c r="P13" s="6">
        <v>6.8</v>
      </c>
      <c r="Q13" s="3">
        <f t="shared" ref="Q13:Q70" si="48">R13/S13</f>
        <v>1786.876355748373</v>
      </c>
      <c r="R13" s="3">
        <v>82375</v>
      </c>
      <c r="S13" s="6">
        <v>46.1</v>
      </c>
      <c r="T13" s="3">
        <f t="shared" ref="T13:T70" si="49">U13/V13</f>
        <v>2228.4883720930234</v>
      </c>
      <c r="U13" s="3">
        <v>38330</v>
      </c>
      <c r="V13" s="6">
        <v>17.2</v>
      </c>
      <c r="W13" s="3">
        <f t="shared" ref="W13:W70" si="50">X13/Y13</f>
        <v>3476.6071428571431</v>
      </c>
      <c r="X13" s="3">
        <v>19469</v>
      </c>
      <c r="Y13" s="6">
        <v>5.6</v>
      </c>
      <c r="Z13" s="3">
        <f t="shared" ref="Z13:Z70" si="51">AA13/AB13</f>
        <v>1912.3882224645583</v>
      </c>
      <c r="AA13" s="3">
        <v>175366</v>
      </c>
      <c r="AB13" s="6">
        <v>91.7</v>
      </c>
      <c r="AC13" s="3">
        <f t="shared" ref="AC13:AC70" si="52">AD13/AE13</f>
        <v>2108.4120171673817</v>
      </c>
      <c r="AD13" s="3">
        <v>49126</v>
      </c>
      <c r="AE13" s="6">
        <v>23.3</v>
      </c>
      <c r="AF13" s="3">
        <f t="shared" ref="AF13:AF70" si="53">AG13/AH13</f>
        <v>2653.0363036303629</v>
      </c>
      <c r="AG13" s="3">
        <v>80387</v>
      </c>
      <c r="AH13" s="6">
        <v>30.3</v>
      </c>
      <c r="AI13" s="3">
        <f t="shared" ref="AI13:AI70" si="54">AJ13/AK13</f>
        <v>1838.2692307692307</v>
      </c>
      <c r="AJ13" s="3">
        <v>191180</v>
      </c>
      <c r="AK13" s="6">
        <v>104</v>
      </c>
      <c r="AL13" s="3">
        <f t="shared" ref="AL13:AL70" si="55">AM13/AN13</f>
        <v>1942.2415940224159</v>
      </c>
      <c r="AM13" s="3">
        <v>155962</v>
      </c>
      <c r="AN13" s="6">
        <v>80.3</v>
      </c>
      <c r="AO13" s="3">
        <f t="shared" si="38"/>
        <v>1997.4875207986688</v>
      </c>
      <c r="AP13" s="3">
        <f t="shared" si="42"/>
        <v>960392</v>
      </c>
      <c r="AQ13" s="6">
        <f t="shared" si="43"/>
        <v>480.8</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21</v>
      </c>
      <c r="B14" s="28"/>
      <c r="C14" s="28"/>
      <c r="D14" s="28"/>
      <c r="E14" s="3">
        <f t="shared" si="44"/>
        <v>1852.3324150596877</v>
      </c>
      <c r="F14" s="3">
        <v>201719</v>
      </c>
      <c r="G14" s="6">
        <v>108.9</v>
      </c>
      <c r="H14" s="3">
        <f t="shared" si="45"/>
        <v>1780.6429780033841</v>
      </c>
      <c r="I14" s="3">
        <v>210472</v>
      </c>
      <c r="J14" s="6">
        <v>118.2</v>
      </c>
      <c r="K14" s="3">
        <f t="shared" si="46"/>
        <v>1718.534221683828</v>
      </c>
      <c r="L14" s="3">
        <v>283730</v>
      </c>
      <c r="M14" s="6">
        <v>165.1</v>
      </c>
      <c r="N14" s="3">
        <f t="shared" si="47"/>
        <v>1980.9415971394519</v>
      </c>
      <c r="O14" s="3">
        <v>498603</v>
      </c>
      <c r="P14" s="6">
        <v>251.7</v>
      </c>
      <c r="Q14" s="3">
        <f t="shared" si="48"/>
        <v>1657.485311398355</v>
      </c>
      <c r="R14" s="3">
        <v>141052</v>
      </c>
      <c r="S14" s="6">
        <v>85.1</v>
      </c>
      <c r="T14" s="3">
        <f t="shared" si="49"/>
        <v>1710.2393038433647</v>
      </c>
      <c r="U14" s="3">
        <v>235842</v>
      </c>
      <c r="V14" s="6">
        <v>137.9</v>
      </c>
      <c r="W14" s="3">
        <f t="shared" si="50"/>
        <v>1787.9744816586922</v>
      </c>
      <c r="X14" s="3">
        <v>224212</v>
      </c>
      <c r="Y14" s="6">
        <v>125.4</v>
      </c>
      <c r="Z14" s="3">
        <f t="shared" si="51"/>
        <v>1747.9259259259259</v>
      </c>
      <c r="AA14" s="3">
        <v>188776</v>
      </c>
      <c r="AB14" s="6">
        <v>108</v>
      </c>
      <c r="AC14" s="3">
        <f t="shared" si="52"/>
        <v>1608.477508650519</v>
      </c>
      <c r="AD14" s="3">
        <v>139455</v>
      </c>
      <c r="AE14" s="6">
        <v>86.7</v>
      </c>
      <c r="AF14" s="3">
        <f t="shared" si="53"/>
        <v>1644.2553191489362</v>
      </c>
      <c r="AG14" s="3">
        <v>154560</v>
      </c>
      <c r="AH14" s="6">
        <v>94</v>
      </c>
      <c r="AI14" s="3">
        <f t="shared" si="54"/>
        <v>1660.4671052631579</v>
      </c>
      <c r="AJ14" s="3">
        <v>252391</v>
      </c>
      <c r="AK14" s="6">
        <v>152</v>
      </c>
      <c r="AL14" s="3">
        <f t="shared" si="55"/>
        <v>1701.5317286652078</v>
      </c>
      <c r="AM14" s="3">
        <v>155520</v>
      </c>
      <c r="AN14" s="6">
        <v>91.4</v>
      </c>
      <c r="AO14" s="3">
        <f t="shared" si="38"/>
        <v>1762.2225137759115</v>
      </c>
      <c r="AP14" s="3">
        <f t="shared" si="42"/>
        <v>2686332</v>
      </c>
      <c r="AQ14" s="6">
        <f t="shared" si="43"/>
        <v>1524.4000000000003</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53</v>
      </c>
      <c r="B15" s="28"/>
      <c r="C15" s="28"/>
      <c r="D15" s="28"/>
      <c r="E15" s="3" t="e">
        <f t="shared" si="44"/>
        <v>#DIV/0!</v>
      </c>
      <c r="F15" s="3">
        <v>0</v>
      </c>
      <c r="G15" s="6">
        <v>0</v>
      </c>
      <c r="H15" s="3" t="e">
        <f t="shared" si="45"/>
        <v>#DIV/0!</v>
      </c>
      <c r="I15" s="3">
        <v>0</v>
      </c>
      <c r="J15" s="6">
        <v>0</v>
      </c>
      <c r="K15" s="3" t="e">
        <f t="shared" si="46"/>
        <v>#DIV/0!</v>
      </c>
      <c r="L15" s="3">
        <v>0</v>
      </c>
      <c r="M15" s="6">
        <v>0</v>
      </c>
      <c r="N15" s="3" t="e">
        <f t="shared" si="47"/>
        <v>#DIV/0!</v>
      </c>
      <c r="O15" s="3">
        <v>0</v>
      </c>
      <c r="P15" s="6">
        <v>0</v>
      </c>
      <c r="Q15" s="3">
        <f t="shared" si="48"/>
        <v>3861</v>
      </c>
      <c r="R15" s="3">
        <v>15444</v>
      </c>
      <c r="S15" s="6">
        <v>4</v>
      </c>
      <c r="T15" s="3">
        <f t="shared" si="49"/>
        <v>1549.2330603127325</v>
      </c>
      <c r="U15" s="3">
        <v>208062</v>
      </c>
      <c r="V15" s="6">
        <v>134.30000000000001</v>
      </c>
      <c r="W15" s="3">
        <f t="shared" si="50"/>
        <v>1548.6794766966477</v>
      </c>
      <c r="X15" s="3">
        <v>378807</v>
      </c>
      <c r="Y15" s="6">
        <v>244.6</v>
      </c>
      <c r="Z15" s="3">
        <f t="shared" si="51"/>
        <v>1548.6343612334801</v>
      </c>
      <c r="AA15" s="3">
        <v>35154</v>
      </c>
      <c r="AB15" s="6">
        <v>22.7</v>
      </c>
      <c r="AC15" s="3" t="e">
        <f t="shared" si="52"/>
        <v>#DIV/0!</v>
      </c>
      <c r="AD15" s="3">
        <v>0</v>
      </c>
      <c r="AE15" s="6">
        <v>0</v>
      </c>
      <c r="AF15" s="3" t="e">
        <f t="shared" si="53"/>
        <v>#DIV/0!</v>
      </c>
      <c r="AG15" s="3">
        <v>0</v>
      </c>
      <c r="AH15" s="6">
        <v>0</v>
      </c>
      <c r="AI15" s="3">
        <f t="shared" si="54"/>
        <v>1548.2887700534759</v>
      </c>
      <c r="AJ15" s="3">
        <v>173718</v>
      </c>
      <c r="AK15" s="6">
        <v>112.2</v>
      </c>
      <c r="AL15" s="3">
        <f t="shared" si="55"/>
        <v>1548.2704402515722</v>
      </c>
      <c r="AM15" s="3">
        <v>147705</v>
      </c>
      <c r="AN15" s="6">
        <v>95.4</v>
      </c>
      <c r="AO15" s="3">
        <f t="shared" si="38"/>
        <v>1563.7475538160472</v>
      </c>
      <c r="AP15" s="3">
        <f t="shared" si="42"/>
        <v>958890</v>
      </c>
      <c r="AQ15" s="6">
        <f t="shared" si="43"/>
        <v>613.19999999999993</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48</v>
      </c>
      <c r="B16" s="28"/>
      <c r="C16" s="28"/>
      <c r="D16" s="28"/>
      <c r="E16" s="3">
        <f t="shared" si="44"/>
        <v>1777.7777777777778</v>
      </c>
      <c r="F16" s="3">
        <v>6400</v>
      </c>
      <c r="G16" s="6">
        <v>3.6</v>
      </c>
      <c r="H16" s="3" t="e">
        <f t="shared" si="45"/>
        <v>#DIV/0!</v>
      </c>
      <c r="I16" s="3">
        <v>0</v>
      </c>
      <c r="J16" s="6">
        <v>0</v>
      </c>
      <c r="K16" s="3">
        <f t="shared" si="46"/>
        <v>1801.7821782178219</v>
      </c>
      <c r="L16" s="3">
        <v>36396</v>
      </c>
      <c r="M16" s="6">
        <v>20.2</v>
      </c>
      <c r="N16" s="3" t="e">
        <f t="shared" si="47"/>
        <v>#DIV/0!</v>
      </c>
      <c r="O16" s="3">
        <v>0</v>
      </c>
      <c r="P16" s="6">
        <v>0</v>
      </c>
      <c r="Q16" s="3">
        <f t="shared" si="48"/>
        <v>1305.7677902621724</v>
      </c>
      <c r="R16" s="3">
        <v>34864</v>
      </c>
      <c r="S16" s="6">
        <v>26.7</v>
      </c>
      <c r="T16" s="3">
        <f t="shared" si="49"/>
        <v>1909.7435897435898</v>
      </c>
      <c r="U16" s="3">
        <v>37240</v>
      </c>
      <c r="V16" s="6">
        <v>19.5</v>
      </c>
      <c r="W16" s="3" t="e">
        <f t="shared" si="50"/>
        <v>#DIV/0!</v>
      </c>
      <c r="X16" s="3">
        <v>0</v>
      </c>
      <c r="Y16" s="6">
        <v>0</v>
      </c>
      <c r="Z16" s="3">
        <f t="shared" si="51"/>
        <v>1624.2592592592591</v>
      </c>
      <c r="AA16" s="3">
        <v>35084</v>
      </c>
      <c r="AB16" s="6">
        <v>21.6</v>
      </c>
      <c r="AC16" s="3" t="e">
        <f t="shared" si="52"/>
        <v>#DIV/0!</v>
      </c>
      <c r="AD16" s="3">
        <v>0</v>
      </c>
      <c r="AE16" s="6">
        <v>0</v>
      </c>
      <c r="AF16" s="3" t="e">
        <f t="shared" si="53"/>
        <v>#DIV/0!</v>
      </c>
      <c r="AG16" s="3">
        <v>0</v>
      </c>
      <c r="AH16" s="6">
        <v>0</v>
      </c>
      <c r="AI16" s="3">
        <f t="shared" si="54"/>
        <v>4511.9047619047615</v>
      </c>
      <c r="AJ16" s="3">
        <v>9475</v>
      </c>
      <c r="AK16" s="6">
        <v>2.1</v>
      </c>
      <c r="AL16" s="3">
        <f t="shared" si="55"/>
        <v>1426.5142276422764</v>
      </c>
      <c r="AM16" s="3">
        <v>140369</v>
      </c>
      <c r="AN16" s="6">
        <v>98.4</v>
      </c>
      <c r="AO16" s="3">
        <f t="shared" si="38"/>
        <v>1560.7912545549193</v>
      </c>
      <c r="AP16" s="3">
        <f t="shared" si="42"/>
        <v>299828</v>
      </c>
      <c r="AQ16" s="6">
        <f t="shared" si="43"/>
        <v>192.1</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36</v>
      </c>
      <c r="B17" s="28"/>
      <c r="C17" s="28"/>
      <c r="D17" s="28"/>
      <c r="E17" s="3">
        <f t="shared" si="44"/>
        <v>1995.5670103092782</v>
      </c>
      <c r="F17" s="3">
        <v>232284</v>
      </c>
      <c r="G17" s="6">
        <v>116.4</v>
      </c>
      <c r="H17" s="3">
        <f t="shared" si="45"/>
        <v>1960.8695652173915</v>
      </c>
      <c r="I17" s="3">
        <v>72160</v>
      </c>
      <c r="J17" s="6">
        <v>36.799999999999997</v>
      </c>
      <c r="K17" s="3">
        <f t="shared" si="46"/>
        <v>1789.8453038674033</v>
      </c>
      <c r="L17" s="3">
        <v>161981</v>
      </c>
      <c r="M17" s="6">
        <v>90.5</v>
      </c>
      <c r="N17" s="3">
        <f t="shared" si="47"/>
        <v>1746.0788381742739</v>
      </c>
      <c r="O17" s="3">
        <v>84161</v>
      </c>
      <c r="P17" s="6">
        <v>48.2</v>
      </c>
      <c r="Q17" s="3">
        <f t="shared" si="48"/>
        <v>1836.1594963273872</v>
      </c>
      <c r="R17" s="3">
        <v>174986</v>
      </c>
      <c r="S17" s="6">
        <v>95.3</v>
      </c>
      <c r="T17" s="3">
        <f t="shared" si="49"/>
        <v>1753.6405529953918</v>
      </c>
      <c r="U17" s="3">
        <v>114162</v>
      </c>
      <c r="V17" s="6">
        <v>65.099999999999994</v>
      </c>
      <c r="W17" s="3">
        <f t="shared" si="50"/>
        <v>1775.1732377538829</v>
      </c>
      <c r="X17" s="3">
        <v>148582</v>
      </c>
      <c r="Y17" s="6">
        <v>83.7</v>
      </c>
      <c r="Z17" s="3">
        <f t="shared" si="51"/>
        <v>1715.6708407871199</v>
      </c>
      <c r="AA17" s="3">
        <v>95906</v>
      </c>
      <c r="AB17" s="6">
        <v>55.9</v>
      </c>
      <c r="AC17" s="3">
        <f t="shared" si="52"/>
        <v>1721.4052953156822</v>
      </c>
      <c r="AD17" s="3">
        <v>84521</v>
      </c>
      <c r="AE17" s="6">
        <v>49.1</v>
      </c>
      <c r="AF17" s="3" t="e">
        <f t="shared" si="53"/>
        <v>#DIV/0!</v>
      </c>
      <c r="AG17" s="3">
        <v>0</v>
      </c>
      <c r="AH17" s="6">
        <v>0</v>
      </c>
      <c r="AI17" s="3" t="e">
        <f t="shared" si="54"/>
        <v>#DIV/0!</v>
      </c>
      <c r="AJ17" s="3">
        <v>0</v>
      </c>
      <c r="AK17" s="6">
        <v>0</v>
      </c>
      <c r="AL17" s="3">
        <f t="shared" si="55"/>
        <v>1715.3015873015872</v>
      </c>
      <c r="AM17" s="3">
        <v>108064</v>
      </c>
      <c r="AN17" s="6">
        <v>63</v>
      </c>
      <c r="AO17" s="3">
        <f t="shared" si="38"/>
        <v>1813.6463068181818</v>
      </c>
      <c r="AP17" s="3">
        <f t="shared" si="42"/>
        <v>1276807</v>
      </c>
      <c r="AQ17" s="6">
        <f t="shared" si="43"/>
        <v>704</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25</v>
      </c>
      <c r="B18" s="28"/>
      <c r="C18" s="28"/>
      <c r="D18" s="28"/>
      <c r="E18" s="3" t="e">
        <f t="shared" si="44"/>
        <v>#DIV/0!</v>
      </c>
      <c r="F18" s="3">
        <v>0</v>
      </c>
      <c r="G18" s="6">
        <v>0</v>
      </c>
      <c r="H18" s="3" t="e">
        <f t="shared" si="45"/>
        <v>#DIV/0!</v>
      </c>
      <c r="I18" s="3">
        <v>0</v>
      </c>
      <c r="J18" s="6">
        <v>0</v>
      </c>
      <c r="K18" s="3">
        <f t="shared" si="46"/>
        <v>2133.6595744680849</v>
      </c>
      <c r="L18" s="3">
        <v>100282</v>
      </c>
      <c r="M18" s="6">
        <v>47</v>
      </c>
      <c r="N18" s="3" t="e">
        <f t="shared" si="47"/>
        <v>#DIV/0!</v>
      </c>
      <c r="O18" s="3">
        <v>0</v>
      </c>
      <c r="P18" s="6">
        <v>0</v>
      </c>
      <c r="Q18" s="3" t="e">
        <f t="shared" si="48"/>
        <v>#DIV/0!</v>
      </c>
      <c r="R18" s="3">
        <v>0</v>
      </c>
      <c r="S18" s="6">
        <v>0</v>
      </c>
      <c r="T18" s="3">
        <f t="shared" si="49"/>
        <v>2314.4871794871797</v>
      </c>
      <c r="U18" s="3">
        <v>54159</v>
      </c>
      <c r="V18" s="6">
        <v>23.4</v>
      </c>
      <c r="W18" s="3" t="e">
        <f t="shared" si="50"/>
        <v>#DIV/0!</v>
      </c>
      <c r="X18" s="3">
        <v>0</v>
      </c>
      <c r="Y18" s="6">
        <v>0</v>
      </c>
      <c r="Z18" s="3">
        <f t="shared" si="51"/>
        <v>1551.6908212560386</v>
      </c>
      <c r="AA18" s="3">
        <v>32120</v>
      </c>
      <c r="AB18" s="6">
        <v>20.7</v>
      </c>
      <c r="AC18" s="3">
        <f t="shared" si="52"/>
        <v>1793.2840549102427</v>
      </c>
      <c r="AD18" s="3">
        <v>169824</v>
      </c>
      <c r="AE18" s="6">
        <v>94.7</v>
      </c>
      <c r="AF18" s="3">
        <f t="shared" si="53"/>
        <v>2185.1528384279477</v>
      </c>
      <c r="AG18" s="3">
        <v>50040</v>
      </c>
      <c r="AH18" s="6">
        <v>22.9</v>
      </c>
      <c r="AI18" s="3">
        <f t="shared" si="54"/>
        <v>2193.2017543859647</v>
      </c>
      <c r="AJ18" s="3">
        <v>50005</v>
      </c>
      <c r="AK18" s="6">
        <v>22.8</v>
      </c>
      <c r="AL18" s="3">
        <f t="shared" si="55"/>
        <v>2014.8148148148148</v>
      </c>
      <c r="AM18" s="3">
        <v>87040</v>
      </c>
      <c r="AN18" s="6">
        <v>43.2</v>
      </c>
      <c r="AO18" s="3">
        <f t="shared" si="38"/>
        <v>1978.4128139788857</v>
      </c>
      <c r="AP18" s="3">
        <f t="shared" si="42"/>
        <v>543470</v>
      </c>
      <c r="AQ18" s="6">
        <f t="shared" si="43"/>
        <v>274.70000000000005</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55</v>
      </c>
      <c r="B19" s="28"/>
      <c r="C19" s="28"/>
      <c r="D19" s="28"/>
      <c r="E19" s="3" t="e">
        <f t="shared" si="44"/>
        <v>#DIV/0!</v>
      </c>
      <c r="F19" s="3">
        <v>0</v>
      </c>
      <c r="G19" s="6">
        <v>0</v>
      </c>
      <c r="H19" s="3">
        <f t="shared" si="45"/>
        <v>2075.1091703056768</v>
      </c>
      <c r="I19" s="3">
        <v>47520</v>
      </c>
      <c r="J19" s="6">
        <v>22.9</v>
      </c>
      <c r="K19" s="3">
        <f t="shared" si="46"/>
        <v>2041.3994169096211</v>
      </c>
      <c r="L19" s="3">
        <v>140040</v>
      </c>
      <c r="M19" s="6">
        <v>68.599999999999994</v>
      </c>
      <c r="N19" s="3">
        <f t="shared" si="47"/>
        <v>1965.0655021834061</v>
      </c>
      <c r="O19" s="3">
        <v>45000</v>
      </c>
      <c r="P19" s="6">
        <v>22.9</v>
      </c>
      <c r="Q19" s="3">
        <f t="shared" si="48"/>
        <v>2004.6647230320702</v>
      </c>
      <c r="R19" s="3">
        <v>137520</v>
      </c>
      <c r="S19" s="6">
        <v>68.599999999999994</v>
      </c>
      <c r="T19" s="3">
        <f t="shared" si="49"/>
        <v>1989.0590809628009</v>
      </c>
      <c r="U19" s="3">
        <v>181800</v>
      </c>
      <c r="V19" s="6">
        <v>91.4</v>
      </c>
      <c r="W19" s="3">
        <f t="shared" si="50"/>
        <v>1985.1203501094092</v>
      </c>
      <c r="X19" s="3">
        <v>90720</v>
      </c>
      <c r="Y19" s="6">
        <v>45.7</v>
      </c>
      <c r="Z19" s="3">
        <f t="shared" si="51"/>
        <v>1697.8165938864629</v>
      </c>
      <c r="AA19" s="3">
        <v>38880</v>
      </c>
      <c r="AB19" s="6">
        <v>22.9</v>
      </c>
      <c r="AC19" s="3" t="e">
        <f t="shared" si="52"/>
        <v>#DIV/0!</v>
      </c>
      <c r="AD19" s="3">
        <v>0</v>
      </c>
      <c r="AE19" s="6">
        <v>0</v>
      </c>
      <c r="AF19" s="3" t="e">
        <f t="shared" si="53"/>
        <v>#DIV/0!</v>
      </c>
      <c r="AG19" s="3">
        <v>0</v>
      </c>
      <c r="AH19" s="6">
        <v>0</v>
      </c>
      <c r="AI19" s="3">
        <f t="shared" si="54"/>
        <v>1697.8165938864629</v>
      </c>
      <c r="AJ19" s="3">
        <v>38880</v>
      </c>
      <c r="AK19" s="6">
        <v>22.9</v>
      </c>
      <c r="AL19" s="3">
        <f t="shared" si="55"/>
        <v>1718.8621444201312</v>
      </c>
      <c r="AM19" s="3">
        <v>78552</v>
      </c>
      <c r="AN19" s="6">
        <v>45.7</v>
      </c>
      <c r="AO19" s="3">
        <f t="shared" si="38"/>
        <v>1940.9912536443153</v>
      </c>
      <c r="AP19" s="3">
        <f t="shared" si="42"/>
        <v>798912</v>
      </c>
      <c r="AQ19" s="6">
        <f t="shared" si="43"/>
        <v>411.59999999999991</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77</v>
      </c>
      <c r="B20" s="28"/>
      <c r="C20" s="28"/>
      <c r="D20" s="28"/>
      <c r="E20" s="3">
        <f t="shared" si="44"/>
        <v>2457.3515981735163</v>
      </c>
      <c r="F20" s="3">
        <v>107632</v>
      </c>
      <c r="G20" s="6">
        <v>43.8</v>
      </c>
      <c r="H20" s="3">
        <f t="shared" si="45"/>
        <v>2352.6424050632909</v>
      </c>
      <c r="I20" s="3">
        <v>148687</v>
      </c>
      <c r="J20" s="6">
        <v>63.2</v>
      </c>
      <c r="K20" s="3">
        <f t="shared" si="46"/>
        <v>2141.1353711790393</v>
      </c>
      <c r="L20" s="3">
        <v>49032</v>
      </c>
      <c r="M20" s="6">
        <v>22.9</v>
      </c>
      <c r="N20" s="3">
        <f t="shared" si="47"/>
        <v>2441.655629139073</v>
      </c>
      <c r="O20" s="3">
        <v>110607</v>
      </c>
      <c r="P20" s="6">
        <v>45.3</v>
      </c>
      <c r="Q20" s="3">
        <f t="shared" si="48"/>
        <v>2052.9446064139943</v>
      </c>
      <c r="R20" s="3">
        <v>70416</v>
      </c>
      <c r="S20" s="6">
        <v>34.299999999999997</v>
      </c>
      <c r="T20" s="3">
        <f t="shared" si="49"/>
        <v>2162.9912023460411</v>
      </c>
      <c r="U20" s="3">
        <v>147516</v>
      </c>
      <c r="V20" s="6">
        <v>68.2</v>
      </c>
      <c r="W20" s="3">
        <f t="shared" si="50"/>
        <v>2374.6188340807171</v>
      </c>
      <c r="X20" s="3">
        <v>158862</v>
      </c>
      <c r="Y20" s="6">
        <v>66.900000000000006</v>
      </c>
      <c r="Z20" s="3">
        <f t="shared" si="51"/>
        <v>2114.5930232558139</v>
      </c>
      <c r="AA20" s="3">
        <v>72742</v>
      </c>
      <c r="AB20" s="6">
        <v>34.4</v>
      </c>
      <c r="AC20" s="3">
        <f t="shared" si="52"/>
        <v>1881.7829457364339</v>
      </c>
      <c r="AD20" s="3">
        <v>145650</v>
      </c>
      <c r="AE20" s="6">
        <v>77.400000000000006</v>
      </c>
      <c r="AF20" s="3">
        <f t="shared" si="53"/>
        <v>1818.0935875216637</v>
      </c>
      <c r="AG20" s="3">
        <v>104904</v>
      </c>
      <c r="AH20" s="6">
        <v>57.7</v>
      </c>
      <c r="AI20" s="3" t="e">
        <f t="shared" si="54"/>
        <v>#DIV/0!</v>
      </c>
      <c r="AJ20" s="3">
        <v>0</v>
      </c>
      <c r="AK20" s="6">
        <v>0</v>
      </c>
      <c r="AL20" s="3">
        <f t="shared" si="55"/>
        <v>1612.3841059602651</v>
      </c>
      <c r="AM20" s="3">
        <v>73041</v>
      </c>
      <c r="AN20" s="6">
        <v>45.3</v>
      </c>
      <c r="AO20" s="3">
        <f t="shared" si="38"/>
        <v>2125.6506971755452</v>
      </c>
      <c r="AP20" s="3">
        <f t="shared" si="42"/>
        <v>1189089</v>
      </c>
      <c r="AQ20" s="6">
        <f t="shared" si="43"/>
        <v>559.4</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31</v>
      </c>
      <c r="B21" s="28"/>
      <c r="C21" s="28"/>
      <c r="D21" s="28"/>
      <c r="E21" s="3">
        <f t="shared" si="44"/>
        <v>1751.1278195488721</v>
      </c>
      <c r="F21" s="3">
        <v>23290</v>
      </c>
      <c r="G21" s="6">
        <v>13.3</v>
      </c>
      <c r="H21" s="3" t="e">
        <f t="shared" si="45"/>
        <v>#DIV/0!</v>
      </c>
      <c r="I21" s="3">
        <v>0</v>
      </c>
      <c r="J21" s="6">
        <v>0</v>
      </c>
      <c r="K21" s="3">
        <f t="shared" si="46"/>
        <v>1724.6327683615821</v>
      </c>
      <c r="L21" s="3">
        <v>30526</v>
      </c>
      <c r="M21" s="6">
        <v>17.7</v>
      </c>
      <c r="N21" s="3">
        <f t="shared" si="47"/>
        <v>1680.4195804195804</v>
      </c>
      <c r="O21" s="3">
        <v>24030</v>
      </c>
      <c r="P21" s="6">
        <v>14.3</v>
      </c>
      <c r="Q21" s="3">
        <f t="shared" si="48"/>
        <v>1696.4743589743591</v>
      </c>
      <c r="R21" s="3">
        <v>26465</v>
      </c>
      <c r="S21" s="6">
        <v>15.6</v>
      </c>
      <c r="T21" s="3">
        <f t="shared" si="49"/>
        <v>1692.4848484848485</v>
      </c>
      <c r="U21" s="3">
        <v>27926</v>
      </c>
      <c r="V21" s="6">
        <v>16.5</v>
      </c>
      <c r="W21" s="3">
        <f t="shared" si="50"/>
        <v>1618.0921052631579</v>
      </c>
      <c r="X21" s="3">
        <v>24595</v>
      </c>
      <c r="Y21" s="6">
        <v>15.2</v>
      </c>
      <c r="Z21" s="3" t="e">
        <f t="shared" si="51"/>
        <v>#DIV/0!</v>
      </c>
      <c r="AA21" s="3">
        <v>0</v>
      </c>
      <c r="AB21" s="6">
        <v>0</v>
      </c>
      <c r="AC21" s="3">
        <f t="shared" si="52"/>
        <v>1641.9871794871794</v>
      </c>
      <c r="AD21" s="3">
        <v>25615</v>
      </c>
      <c r="AE21" s="6">
        <v>15.6</v>
      </c>
      <c r="AF21" s="3">
        <f t="shared" si="53"/>
        <v>1513.3333333333335</v>
      </c>
      <c r="AG21" s="3">
        <v>40406</v>
      </c>
      <c r="AH21" s="6">
        <v>26.7</v>
      </c>
      <c r="AI21" s="3">
        <f t="shared" si="54"/>
        <v>900.86938435940101</v>
      </c>
      <c r="AJ21" s="3">
        <v>1082845</v>
      </c>
      <c r="AK21" s="6">
        <v>1202</v>
      </c>
      <c r="AL21" s="3">
        <f t="shared" si="55"/>
        <v>1908.948948948949</v>
      </c>
      <c r="AM21" s="3">
        <v>63568</v>
      </c>
      <c r="AN21" s="6">
        <v>33.299999999999997</v>
      </c>
      <c r="AO21" s="3">
        <f t="shared" si="38"/>
        <v>999.31834768646911</v>
      </c>
      <c r="AP21" s="3">
        <f t="shared" si="42"/>
        <v>1369266</v>
      </c>
      <c r="AQ21" s="6">
        <f t="shared" si="43"/>
        <v>1370.2</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37</v>
      </c>
      <c r="B22" s="28"/>
      <c r="C22" s="28"/>
      <c r="D22" s="28"/>
      <c r="E22" s="3">
        <f t="shared" si="44"/>
        <v>2913.5802469135806</v>
      </c>
      <c r="F22" s="3">
        <v>47200</v>
      </c>
      <c r="G22" s="6">
        <v>16.2</v>
      </c>
      <c r="H22" s="3" t="e">
        <f t="shared" si="45"/>
        <v>#DIV/0!</v>
      </c>
      <c r="I22" s="3">
        <v>0</v>
      </c>
      <c r="J22" s="6">
        <v>0</v>
      </c>
      <c r="K22" s="3">
        <f t="shared" si="46"/>
        <v>4567.5949367088606</v>
      </c>
      <c r="L22" s="3">
        <v>36084</v>
      </c>
      <c r="M22" s="6">
        <v>7.9</v>
      </c>
      <c r="N22" s="3">
        <f t="shared" si="47"/>
        <v>2913.5802469135806</v>
      </c>
      <c r="O22" s="3">
        <v>47200</v>
      </c>
      <c r="P22" s="6">
        <v>16.2</v>
      </c>
      <c r="Q22" s="3">
        <f t="shared" si="48"/>
        <v>3069.0445859872611</v>
      </c>
      <c r="R22" s="3">
        <v>96368</v>
      </c>
      <c r="S22" s="6">
        <v>31.4</v>
      </c>
      <c r="T22" s="3">
        <f t="shared" si="49"/>
        <v>1547.5694444444443</v>
      </c>
      <c r="U22" s="3">
        <v>89140</v>
      </c>
      <c r="V22" s="6">
        <v>57.6</v>
      </c>
      <c r="W22" s="3">
        <f t="shared" si="50"/>
        <v>2826.3473053892217</v>
      </c>
      <c r="X22" s="3">
        <v>47200</v>
      </c>
      <c r="Y22" s="6">
        <v>16.7</v>
      </c>
      <c r="Z22" s="3">
        <f t="shared" si="51"/>
        <v>2554.7119645494831</v>
      </c>
      <c r="AA22" s="3">
        <v>172954</v>
      </c>
      <c r="AB22" s="6">
        <v>67.7</v>
      </c>
      <c r="AC22" s="3">
        <f t="shared" si="52"/>
        <v>1550.0821018062397</v>
      </c>
      <c r="AD22" s="3">
        <v>94400</v>
      </c>
      <c r="AE22" s="6">
        <v>60.9</v>
      </c>
      <c r="AF22" s="3">
        <f t="shared" si="53"/>
        <v>2239.2413793103447</v>
      </c>
      <c r="AG22" s="3">
        <v>97407</v>
      </c>
      <c r="AH22" s="6">
        <v>43.5</v>
      </c>
      <c r="AI22" s="3">
        <f t="shared" si="54"/>
        <v>3060.1215805471124</v>
      </c>
      <c r="AJ22" s="3">
        <v>100678</v>
      </c>
      <c r="AK22" s="6">
        <v>32.9</v>
      </c>
      <c r="AL22" s="3">
        <f t="shared" si="55"/>
        <v>1542.2648083623694</v>
      </c>
      <c r="AM22" s="3">
        <v>44263</v>
      </c>
      <c r="AN22" s="6">
        <v>28.7</v>
      </c>
      <c r="AO22" s="3">
        <f t="shared" si="38"/>
        <v>2298.904398209113</v>
      </c>
      <c r="AP22" s="3">
        <f t="shared" si="42"/>
        <v>872894</v>
      </c>
      <c r="AQ22" s="6">
        <f t="shared" si="43"/>
        <v>379.69999999999993</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9" t="s">
        <v>78</v>
      </c>
      <c r="B23" s="28"/>
      <c r="C23" s="28"/>
      <c r="D23" s="28"/>
      <c r="E23" s="3" t="e">
        <f t="shared" si="44"/>
        <v>#DIV/0!</v>
      </c>
      <c r="F23" s="3">
        <v>0</v>
      </c>
      <c r="G23" s="6">
        <v>0</v>
      </c>
      <c r="H23" s="3" t="e">
        <f t="shared" si="45"/>
        <v>#DIV/0!</v>
      </c>
      <c r="I23" s="3">
        <v>0</v>
      </c>
      <c r="J23" s="6">
        <v>0</v>
      </c>
      <c r="K23" s="3">
        <f t="shared" si="46"/>
        <v>1925.6936416184969</v>
      </c>
      <c r="L23" s="3">
        <v>133258</v>
      </c>
      <c r="M23" s="6">
        <v>69.2</v>
      </c>
      <c r="N23" s="3" t="e">
        <f t="shared" si="47"/>
        <v>#DIV/0!</v>
      </c>
      <c r="O23" s="3">
        <v>0</v>
      </c>
      <c r="P23" s="6">
        <v>0</v>
      </c>
      <c r="Q23" s="3" t="e">
        <f t="shared" si="48"/>
        <v>#DIV/0!</v>
      </c>
      <c r="R23" s="3">
        <v>0</v>
      </c>
      <c r="S23" s="6">
        <v>0</v>
      </c>
      <c r="T23" s="3" t="e">
        <f t="shared" si="49"/>
        <v>#DIV/0!</v>
      </c>
      <c r="U23" s="3">
        <v>0</v>
      </c>
      <c r="V23" s="6">
        <v>0</v>
      </c>
      <c r="W23" s="3">
        <f t="shared" si="50"/>
        <v>6424</v>
      </c>
      <c r="X23" s="3">
        <v>3212</v>
      </c>
      <c r="Y23" s="6">
        <v>0.5</v>
      </c>
      <c r="Z23" s="3">
        <f t="shared" si="51"/>
        <v>1679.4748358862144</v>
      </c>
      <c r="AA23" s="3">
        <v>76752</v>
      </c>
      <c r="AB23" s="6">
        <v>45.7</v>
      </c>
      <c r="AC23" s="3" t="e">
        <f t="shared" si="52"/>
        <v>#DIV/0!</v>
      </c>
      <c r="AD23" s="3">
        <v>0</v>
      </c>
      <c r="AE23" s="6">
        <v>0</v>
      </c>
      <c r="AF23" s="3" t="e">
        <f t="shared" si="53"/>
        <v>#DIV/0!</v>
      </c>
      <c r="AG23" s="3">
        <v>0</v>
      </c>
      <c r="AH23" s="6">
        <v>0</v>
      </c>
      <c r="AI23" s="3">
        <f t="shared" si="54"/>
        <v>1712.7510917030568</v>
      </c>
      <c r="AJ23" s="3">
        <v>39222</v>
      </c>
      <c r="AK23" s="6">
        <v>22.9</v>
      </c>
      <c r="AL23" s="3">
        <f t="shared" si="55"/>
        <v>1732.4017467248909</v>
      </c>
      <c r="AM23" s="3">
        <v>39672</v>
      </c>
      <c r="AN23" s="6">
        <v>22.9</v>
      </c>
      <c r="AO23" s="3">
        <f t="shared" si="38"/>
        <v>1812.1339950372208</v>
      </c>
      <c r="AP23" s="3">
        <f t="shared" si="42"/>
        <v>292116</v>
      </c>
      <c r="AQ23" s="6">
        <f t="shared" si="43"/>
        <v>161.20000000000002</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9" t="s">
        <v>49</v>
      </c>
      <c r="B24" s="28"/>
      <c r="C24" s="28"/>
      <c r="D24" s="28"/>
      <c r="E24" s="3" t="e">
        <f t="shared" si="44"/>
        <v>#DIV/0!</v>
      </c>
      <c r="F24" s="3">
        <v>0</v>
      </c>
      <c r="G24" s="6">
        <v>0</v>
      </c>
      <c r="H24" s="3" t="e">
        <f t="shared" si="45"/>
        <v>#DIV/0!</v>
      </c>
      <c r="I24" s="3">
        <v>0</v>
      </c>
      <c r="J24" s="6">
        <v>0</v>
      </c>
      <c r="K24" s="3">
        <f t="shared" si="46"/>
        <v>3646.3063063063064</v>
      </c>
      <c r="L24" s="3">
        <v>40474</v>
      </c>
      <c r="M24" s="6">
        <v>11.1</v>
      </c>
      <c r="N24" s="3">
        <f t="shared" si="47"/>
        <v>1549.8489425981873</v>
      </c>
      <c r="O24" s="3">
        <v>51300</v>
      </c>
      <c r="P24" s="6">
        <v>33.1</v>
      </c>
      <c r="Q24" s="3">
        <f t="shared" si="48"/>
        <v>1851.1518324607327</v>
      </c>
      <c r="R24" s="3">
        <v>35357</v>
      </c>
      <c r="S24" s="6">
        <v>19.100000000000001</v>
      </c>
      <c r="T24" s="3">
        <f t="shared" si="49"/>
        <v>3973.6526946107788</v>
      </c>
      <c r="U24" s="3">
        <v>66360</v>
      </c>
      <c r="V24" s="6">
        <v>16.7</v>
      </c>
      <c r="W24" s="3" t="e">
        <f t="shared" si="50"/>
        <v>#DIV/0!</v>
      </c>
      <c r="X24" s="3">
        <v>0</v>
      </c>
      <c r="Y24" s="6">
        <v>0</v>
      </c>
      <c r="Z24" s="3">
        <f t="shared" si="51"/>
        <v>1915.9685863874345</v>
      </c>
      <c r="AA24" s="3">
        <v>36595</v>
      </c>
      <c r="AB24" s="6">
        <v>19.100000000000001</v>
      </c>
      <c r="AC24" s="3" t="e">
        <f t="shared" si="52"/>
        <v>#DIV/0!</v>
      </c>
      <c r="AD24" s="3">
        <v>0</v>
      </c>
      <c r="AE24" s="6">
        <v>0</v>
      </c>
      <c r="AF24" s="3">
        <f t="shared" si="53"/>
        <v>1860.6806282722512</v>
      </c>
      <c r="AG24" s="3">
        <v>35539</v>
      </c>
      <c r="AH24" s="6">
        <v>19.100000000000001</v>
      </c>
      <c r="AI24" s="3" t="e">
        <f t="shared" si="54"/>
        <v>#DIV/0!</v>
      </c>
      <c r="AJ24" s="3">
        <v>0</v>
      </c>
      <c r="AK24" s="6">
        <v>0</v>
      </c>
      <c r="AL24" s="3">
        <f t="shared" si="55"/>
        <v>1859.4240837696334</v>
      </c>
      <c r="AM24" s="3">
        <v>35515</v>
      </c>
      <c r="AN24" s="6">
        <v>19.100000000000001</v>
      </c>
      <c r="AO24" s="3">
        <f t="shared" si="38"/>
        <v>2193.2993445010929</v>
      </c>
      <c r="AP24" s="3">
        <f t="shared" si="42"/>
        <v>301140</v>
      </c>
      <c r="AQ24" s="6">
        <f t="shared" si="43"/>
        <v>137.29999999999998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9" t="s">
        <v>79</v>
      </c>
      <c r="B25" s="28"/>
      <c r="C25" s="28"/>
      <c r="D25" s="28"/>
      <c r="E25" s="3">
        <f t="shared" si="44"/>
        <v>4316</v>
      </c>
      <c r="F25" s="3">
        <v>6474</v>
      </c>
      <c r="G25" s="6">
        <v>1.5</v>
      </c>
      <c r="H25" s="3">
        <f t="shared" si="45"/>
        <v>4399.6000000000004</v>
      </c>
      <c r="I25" s="3">
        <v>10999</v>
      </c>
      <c r="J25" s="6">
        <v>2.5</v>
      </c>
      <c r="K25" s="3" t="e">
        <f t="shared" si="46"/>
        <v>#DIV/0!</v>
      </c>
      <c r="L25" s="3">
        <v>0</v>
      </c>
      <c r="M25" s="6">
        <v>0</v>
      </c>
      <c r="N25" s="3">
        <f t="shared" si="47"/>
        <v>4269.6000000000004</v>
      </c>
      <c r="O25" s="3">
        <v>10674</v>
      </c>
      <c r="P25" s="6">
        <v>2.5</v>
      </c>
      <c r="Q25" s="3">
        <f t="shared" si="48"/>
        <v>2937.7142857142858</v>
      </c>
      <c r="R25" s="3">
        <v>10282</v>
      </c>
      <c r="S25" s="6">
        <v>3.5</v>
      </c>
      <c r="T25" s="3">
        <f t="shared" si="49"/>
        <v>1617.5862068965519</v>
      </c>
      <c r="U25" s="3">
        <v>4691</v>
      </c>
      <c r="V25" s="6">
        <v>2.9</v>
      </c>
      <c r="W25" s="3">
        <f t="shared" si="50"/>
        <v>2453.090909090909</v>
      </c>
      <c r="X25" s="3">
        <v>13492</v>
      </c>
      <c r="Y25" s="6">
        <v>5.5</v>
      </c>
      <c r="Z25" s="3" t="e">
        <f t="shared" si="51"/>
        <v>#DIV/0!</v>
      </c>
      <c r="AA25" s="3">
        <v>0</v>
      </c>
      <c r="AB25" s="6">
        <v>0</v>
      </c>
      <c r="AC25" s="3">
        <f t="shared" si="52"/>
        <v>5064.3999999999996</v>
      </c>
      <c r="AD25" s="3">
        <v>12661</v>
      </c>
      <c r="AE25" s="6">
        <v>2.5</v>
      </c>
      <c r="AF25" s="3">
        <f t="shared" si="53"/>
        <v>3315.5555555555552</v>
      </c>
      <c r="AG25" s="3">
        <v>8952</v>
      </c>
      <c r="AH25" s="6">
        <v>2.7</v>
      </c>
      <c r="AI25" s="3">
        <f t="shared" si="54"/>
        <v>3890</v>
      </c>
      <c r="AJ25" s="3">
        <v>7780</v>
      </c>
      <c r="AK25" s="6">
        <v>2</v>
      </c>
      <c r="AL25" s="3">
        <f t="shared" si="55"/>
        <v>1562.4528301886794</v>
      </c>
      <c r="AM25" s="3">
        <v>33124</v>
      </c>
      <c r="AN25" s="6">
        <v>21.2</v>
      </c>
      <c r="AO25" s="3">
        <f t="shared" si="38"/>
        <v>2545.4914529914531</v>
      </c>
      <c r="AP25" s="3">
        <f t="shared" si="42"/>
        <v>119129</v>
      </c>
      <c r="AQ25" s="6">
        <f t="shared" si="43"/>
        <v>46.8</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9" t="s">
        <v>28</v>
      </c>
      <c r="B26" s="28"/>
      <c r="C26" s="28"/>
      <c r="D26" s="28"/>
      <c r="E26" s="3">
        <f t="shared" si="44"/>
        <v>1890</v>
      </c>
      <c r="F26" s="3">
        <v>4725</v>
      </c>
      <c r="G26" s="6">
        <v>2.5</v>
      </c>
      <c r="H26" s="3">
        <f t="shared" si="45"/>
        <v>1735.163043478261</v>
      </c>
      <c r="I26" s="3">
        <v>63854</v>
      </c>
      <c r="J26" s="6">
        <v>36.799999999999997</v>
      </c>
      <c r="K26" s="3">
        <f t="shared" si="46"/>
        <v>2277.2932330827066</v>
      </c>
      <c r="L26" s="3">
        <v>30288</v>
      </c>
      <c r="M26" s="6">
        <v>13.3</v>
      </c>
      <c r="N26" s="3">
        <f t="shared" si="47"/>
        <v>2184.7183098591549</v>
      </c>
      <c r="O26" s="3">
        <v>31023</v>
      </c>
      <c r="P26" s="6">
        <v>14.2</v>
      </c>
      <c r="Q26" s="3">
        <f t="shared" si="48"/>
        <v>2242.3333333333335</v>
      </c>
      <c r="R26" s="3">
        <v>53816</v>
      </c>
      <c r="S26" s="6">
        <v>24</v>
      </c>
      <c r="T26" s="3">
        <f t="shared" si="49"/>
        <v>2215.1666666666665</v>
      </c>
      <c r="U26" s="3">
        <v>13291</v>
      </c>
      <c r="V26" s="6">
        <v>6</v>
      </c>
      <c r="W26" s="3">
        <f t="shared" si="50"/>
        <v>2371.5714285714284</v>
      </c>
      <c r="X26" s="3">
        <v>16601</v>
      </c>
      <c r="Y26" s="6">
        <v>7</v>
      </c>
      <c r="Z26" s="3">
        <f t="shared" si="51"/>
        <v>1799.9149659863947</v>
      </c>
      <c r="AA26" s="3">
        <v>105835</v>
      </c>
      <c r="AB26" s="6">
        <v>58.8</v>
      </c>
      <c r="AC26" s="3">
        <f t="shared" si="52"/>
        <v>1978.1818181818182</v>
      </c>
      <c r="AD26" s="3">
        <v>13056</v>
      </c>
      <c r="AE26" s="6">
        <v>6.6</v>
      </c>
      <c r="AF26" s="3">
        <f t="shared" si="53"/>
        <v>2500.8045977011498</v>
      </c>
      <c r="AG26" s="3">
        <v>43514</v>
      </c>
      <c r="AH26" s="6">
        <v>17.399999999999999</v>
      </c>
      <c r="AI26" s="3">
        <f t="shared" si="54"/>
        <v>2373.7639198218262</v>
      </c>
      <c r="AJ26" s="3">
        <v>106582</v>
      </c>
      <c r="AK26" s="6">
        <v>44.9</v>
      </c>
      <c r="AL26" s="3">
        <f t="shared" si="55"/>
        <v>2175.5555555555557</v>
      </c>
      <c r="AM26" s="3">
        <v>21538</v>
      </c>
      <c r="AN26" s="6">
        <v>9.9</v>
      </c>
      <c r="AO26" s="3">
        <f t="shared" si="38"/>
        <v>2088.3305716652858</v>
      </c>
      <c r="AP26" s="3">
        <f t="shared" si="42"/>
        <v>504123</v>
      </c>
      <c r="AQ26" s="6">
        <f t="shared" si="43"/>
        <v>241.4</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9" t="s">
        <v>47</v>
      </c>
      <c r="B27" s="28"/>
      <c r="C27" s="28"/>
      <c r="D27" s="28"/>
      <c r="E27" s="3">
        <f t="shared" si="44"/>
        <v>2644.0993788819874</v>
      </c>
      <c r="F27" s="3">
        <v>42570</v>
      </c>
      <c r="G27" s="6">
        <v>16.100000000000001</v>
      </c>
      <c r="H27" s="3">
        <f t="shared" si="45"/>
        <v>2022.5663716814158</v>
      </c>
      <c r="I27" s="3">
        <v>22855</v>
      </c>
      <c r="J27" s="6">
        <v>11.3</v>
      </c>
      <c r="K27" s="3">
        <f t="shared" si="46"/>
        <v>2091.0714285714289</v>
      </c>
      <c r="L27" s="3">
        <v>11710</v>
      </c>
      <c r="M27" s="6">
        <v>5.6</v>
      </c>
      <c r="N27" s="3">
        <f t="shared" si="47"/>
        <v>2492.1568627450984</v>
      </c>
      <c r="O27" s="3">
        <v>12710</v>
      </c>
      <c r="P27" s="6">
        <v>5.0999999999999996</v>
      </c>
      <c r="Q27" s="3">
        <f t="shared" si="48"/>
        <v>3699.3617021276596</v>
      </c>
      <c r="R27" s="3">
        <v>52161</v>
      </c>
      <c r="S27" s="6">
        <v>14.1</v>
      </c>
      <c r="T27" s="3">
        <f t="shared" si="49"/>
        <v>3563.2835820895521</v>
      </c>
      <c r="U27" s="3">
        <v>23874</v>
      </c>
      <c r="V27" s="6">
        <v>6.7</v>
      </c>
      <c r="W27" s="3">
        <f t="shared" si="50"/>
        <v>1608.1753554502368</v>
      </c>
      <c r="X27" s="3">
        <v>135730</v>
      </c>
      <c r="Y27" s="6">
        <v>84.4</v>
      </c>
      <c r="Z27" s="3">
        <f t="shared" si="51"/>
        <v>2343.0769230769233</v>
      </c>
      <c r="AA27" s="3">
        <v>27414</v>
      </c>
      <c r="AB27" s="6">
        <v>11.7</v>
      </c>
      <c r="AC27" s="3">
        <f t="shared" si="52"/>
        <v>2085.416666666667</v>
      </c>
      <c r="AD27" s="3">
        <v>10010</v>
      </c>
      <c r="AE27" s="6">
        <v>4.8</v>
      </c>
      <c r="AF27" s="3">
        <f t="shared" si="53"/>
        <v>1838.75</v>
      </c>
      <c r="AG27" s="3">
        <v>8826</v>
      </c>
      <c r="AH27" s="6">
        <v>4.8</v>
      </c>
      <c r="AI27" s="3">
        <f t="shared" si="54"/>
        <v>1985.3846153846152</v>
      </c>
      <c r="AJ27" s="3">
        <v>28391</v>
      </c>
      <c r="AK27" s="6">
        <v>14.3</v>
      </c>
      <c r="AL27" s="3">
        <f t="shared" si="55"/>
        <v>2197.5257731958764</v>
      </c>
      <c r="AM27" s="3">
        <v>21316</v>
      </c>
      <c r="AN27" s="6">
        <v>9.6999999999999993</v>
      </c>
      <c r="AO27" s="3">
        <f t="shared" si="38"/>
        <v>2107.9904559915162</v>
      </c>
      <c r="AP27" s="3">
        <f t="shared" si="42"/>
        <v>397567</v>
      </c>
      <c r="AQ27" s="6">
        <f t="shared" si="43"/>
        <v>188.60000000000002</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9" t="s">
        <v>58</v>
      </c>
      <c r="B28" s="28"/>
      <c r="C28" s="28"/>
      <c r="D28" s="28"/>
      <c r="E28" s="3">
        <f t="shared" si="44"/>
        <v>1945.3269537480062</v>
      </c>
      <c r="F28" s="3">
        <v>121972</v>
      </c>
      <c r="G28" s="6">
        <v>62.7</v>
      </c>
      <c r="H28" s="3">
        <f t="shared" si="45"/>
        <v>2012.3800383877158</v>
      </c>
      <c r="I28" s="3">
        <v>104845</v>
      </c>
      <c r="J28" s="6">
        <v>52.1</v>
      </c>
      <c r="K28" s="3">
        <f t="shared" si="46"/>
        <v>1549.179810725552</v>
      </c>
      <c r="L28" s="3">
        <v>49109</v>
      </c>
      <c r="M28" s="6">
        <v>31.7</v>
      </c>
      <c r="N28" s="3">
        <f t="shared" si="47"/>
        <v>1903.9238653001464</v>
      </c>
      <c r="O28" s="3">
        <v>260076</v>
      </c>
      <c r="P28" s="6">
        <v>136.6</v>
      </c>
      <c r="Q28" s="3">
        <f t="shared" si="48"/>
        <v>1827.372685185185</v>
      </c>
      <c r="R28" s="3">
        <v>157885</v>
      </c>
      <c r="S28" s="6">
        <v>86.4</v>
      </c>
      <c r="T28" s="3">
        <f t="shared" si="49"/>
        <v>1855.6246619794483</v>
      </c>
      <c r="U28" s="3">
        <v>343105</v>
      </c>
      <c r="V28" s="6">
        <v>184.9</v>
      </c>
      <c r="W28" s="3">
        <f t="shared" si="50"/>
        <v>1652.1309398099261</v>
      </c>
      <c r="X28" s="3">
        <v>782284</v>
      </c>
      <c r="Y28" s="6">
        <v>473.5</v>
      </c>
      <c r="Z28" s="3">
        <f t="shared" si="51"/>
        <v>1683.9210950080515</v>
      </c>
      <c r="AA28" s="3">
        <v>418286</v>
      </c>
      <c r="AB28" s="6">
        <v>248.4</v>
      </c>
      <c r="AC28" s="3">
        <f t="shared" si="52"/>
        <v>1848.2902418682233</v>
      </c>
      <c r="AD28" s="3">
        <v>221610</v>
      </c>
      <c r="AE28" s="6">
        <v>119.9</v>
      </c>
      <c r="AF28" s="3" t="e">
        <f t="shared" si="53"/>
        <v>#DIV/0!</v>
      </c>
      <c r="AG28" s="3">
        <v>0</v>
      </c>
      <c r="AH28" s="6">
        <v>0</v>
      </c>
      <c r="AI28" s="3">
        <f t="shared" si="54"/>
        <v>1895.0537634408602</v>
      </c>
      <c r="AJ28" s="3">
        <v>35248</v>
      </c>
      <c r="AK28" s="6">
        <v>18.600000000000001</v>
      </c>
      <c r="AL28" s="3">
        <f t="shared" si="55"/>
        <v>1547.3504273504275</v>
      </c>
      <c r="AM28" s="3">
        <v>18104</v>
      </c>
      <c r="AN28" s="6">
        <v>11.7</v>
      </c>
      <c r="AO28" s="3">
        <f t="shared" si="38"/>
        <v>1761.320715036803</v>
      </c>
      <c r="AP28" s="3">
        <f t="shared" si="42"/>
        <v>2512524</v>
      </c>
      <c r="AQ28" s="6">
        <f t="shared" si="43"/>
        <v>1426.5000000000002</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9" t="s">
        <v>18</v>
      </c>
      <c r="B29" s="28"/>
      <c r="C29" s="28"/>
      <c r="D29" s="28"/>
      <c r="E29" s="3">
        <f t="shared" si="44"/>
        <v>2097.9503105590061</v>
      </c>
      <c r="F29" s="3">
        <v>67554</v>
      </c>
      <c r="G29" s="6">
        <v>32.200000000000003</v>
      </c>
      <c r="H29" s="3">
        <f t="shared" si="45"/>
        <v>1549.6453900709221</v>
      </c>
      <c r="I29" s="3">
        <v>43700</v>
      </c>
      <c r="J29" s="6">
        <v>28.2</v>
      </c>
      <c r="K29" s="3">
        <f t="shared" si="46"/>
        <v>1547.1544715447153</v>
      </c>
      <c r="L29" s="3">
        <v>19030</v>
      </c>
      <c r="M29" s="6">
        <v>12.3</v>
      </c>
      <c r="N29" s="3">
        <f t="shared" si="47"/>
        <v>4425.7142857142862</v>
      </c>
      <c r="O29" s="3">
        <v>3098</v>
      </c>
      <c r="P29" s="6">
        <v>0.7</v>
      </c>
      <c r="Q29" s="3">
        <f t="shared" si="48"/>
        <v>1238.503787878788</v>
      </c>
      <c r="R29" s="3">
        <v>65393</v>
      </c>
      <c r="S29" s="6">
        <v>52.8</v>
      </c>
      <c r="T29" s="3">
        <f t="shared" si="49"/>
        <v>3181.060606060606</v>
      </c>
      <c r="U29" s="3">
        <v>20995</v>
      </c>
      <c r="V29" s="6">
        <v>6.6</v>
      </c>
      <c r="W29" s="3" t="e">
        <f t="shared" si="50"/>
        <v>#DIV/0!</v>
      </c>
      <c r="X29" s="3">
        <v>0</v>
      </c>
      <c r="Y29" s="6">
        <v>0</v>
      </c>
      <c r="Z29" s="3" t="e">
        <f t="shared" si="51"/>
        <v>#DIV/0!</v>
      </c>
      <c r="AA29" s="3">
        <v>0</v>
      </c>
      <c r="AB29" s="6">
        <v>0</v>
      </c>
      <c r="AC29" s="3">
        <f t="shared" si="52"/>
        <v>872.54901960784321</v>
      </c>
      <c r="AD29" s="3">
        <v>17800</v>
      </c>
      <c r="AE29" s="6">
        <v>20.399999999999999</v>
      </c>
      <c r="AF29" s="3">
        <f t="shared" si="53"/>
        <v>1548.5480943738658</v>
      </c>
      <c r="AG29" s="3">
        <v>85325</v>
      </c>
      <c r="AH29" s="6">
        <v>55.1</v>
      </c>
      <c r="AI29" s="3" t="e">
        <f t="shared" si="54"/>
        <v>#DIV/0!</v>
      </c>
      <c r="AJ29" s="3">
        <v>0</v>
      </c>
      <c r="AK29" s="6">
        <v>0</v>
      </c>
      <c r="AL29" s="3">
        <f t="shared" si="55"/>
        <v>1555</v>
      </c>
      <c r="AM29" s="3">
        <v>13373</v>
      </c>
      <c r="AN29" s="6">
        <v>8.6</v>
      </c>
      <c r="AO29" s="3">
        <f t="shared" si="38"/>
        <v>1550.336560627017</v>
      </c>
      <c r="AP29" s="3">
        <f t="shared" si="42"/>
        <v>336268</v>
      </c>
      <c r="AQ29" s="6">
        <f t="shared" si="43"/>
        <v>216.9</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9" t="s">
        <v>38</v>
      </c>
      <c r="B30" s="28"/>
      <c r="C30" s="28"/>
      <c r="D30" s="28"/>
      <c r="E30" s="3">
        <f t="shared" si="44"/>
        <v>3261.8181818181815</v>
      </c>
      <c r="F30" s="3">
        <v>3588</v>
      </c>
      <c r="G30" s="6">
        <v>1.1000000000000001</v>
      </c>
      <c r="H30" s="3" t="e">
        <f t="shared" si="45"/>
        <v>#DIV/0!</v>
      </c>
      <c r="I30" s="3">
        <v>0</v>
      </c>
      <c r="J30" s="6">
        <v>0</v>
      </c>
      <c r="K30" s="3" t="e">
        <f t="shared" si="46"/>
        <v>#DIV/0!</v>
      </c>
      <c r="L30" s="3">
        <v>0</v>
      </c>
      <c r="M30" s="6">
        <v>0</v>
      </c>
      <c r="N30" s="3">
        <f t="shared" si="47"/>
        <v>2797.3333333333335</v>
      </c>
      <c r="O30" s="3">
        <v>4196</v>
      </c>
      <c r="P30" s="6">
        <v>1.5</v>
      </c>
      <c r="Q30" s="3" t="e">
        <f t="shared" si="48"/>
        <v>#DIV/0!</v>
      </c>
      <c r="R30" s="3">
        <v>0</v>
      </c>
      <c r="S30" s="6">
        <v>0</v>
      </c>
      <c r="T30" s="3" t="e">
        <f t="shared" si="49"/>
        <v>#DIV/0!</v>
      </c>
      <c r="U30" s="3">
        <v>0</v>
      </c>
      <c r="V30" s="6">
        <v>0</v>
      </c>
      <c r="W30" s="3" t="e">
        <f t="shared" si="50"/>
        <v>#DIV/0!</v>
      </c>
      <c r="X30" s="3">
        <v>0</v>
      </c>
      <c r="Y30" s="6">
        <v>0</v>
      </c>
      <c r="Z30" s="3">
        <f t="shared" si="51"/>
        <v>1411.7647058823529</v>
      </c>
      <c r="AA30" s="3">
        <v>14400</v>
      </c>
      <c r="AB30" s="6">
        <v>10.199999999999999</v>
      </c>
      <c r="AC30" s="3">
        <f t="shared" si="52"/>
        <v>2146.8421052631579</v>
      </c>
      <c r="AD30" s="3">
        <v>4079</v>
      </c>
      <c r="AE30" s="6">
        <v>1.9</v>
      </c>
      <c r="AF30" s="3" t="e">
        <f t="shared" si="53"/>
        <v>#DIV/0!</v>
      </c>
      <c r="AG30" s="3">
        <v>0</v>
      </c>
      <c r="AH30" s="6">
        <v>0</v>
      </c>
      <c r="AI30" s="3">
        <f t="shared" si="54"/>
        <v>1545.4545454545455</v>
      </c>
      <c r="AJ30" s="3">
        <v>10200</v>
      </c>
      <c r="AK30" s="6">
        <v>6.6</v>
      </c>
      <c r="AL30" s="3">
        <f t="shared" si="55"/>
        <v>1644.9367088607594</v>
      </c>
      <c r="AM30" s="3">
        <v>12995</v>
      </c>
      <c r="AN30" s="6">
        <v>7.9</v>
      </c>
      <c r="AO30" s="3">
        <f t="shared" si="38"/>
        <v>1693.7671232876714</v>
      </c>
      <c r="AP30" s="3">
        <f t="shared" si="42"/>
        <v>49458</v>
      </c>
      <c r="AQ30" s="6">
        <f t="shared" si="43"/>
        <v>29.199999999999996</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9" t="s">
        <v>70</v>
      </c>
      <c r="B31" s="28"/>
      <c r="C31" s="28"/>
      <c r="D31" s="28"/>
      <c r="E31" s="3">
        <f t="shared" si="44"/>
        <v>3263.9344262295085</v>
      </c>
      <c r="F31" s="3">
        <v>19910</v>
      </c>
      <c r="G31" s="6">
        <v>6.1</v>
      </c>
      <c r="H31" s="3">
        <f t="shared" si="45"/>
        <v>2477.1887550200804</v>
      </c>
      <c r="I31" s="3">
        <v>61682</v>
      </c>
      <c r="J31" s="6">
        <v>24.9</v>
      </c>
      <c r="K31" s="3">
        <f t="shared" si="46"/>
        <v>2480.4285714285716</v>
      </c>
      <c r="L31" s="3">
        <v>17363</v>
      </c>
      <c r="M31" s="6">
        <v>7</v>
      </c>
      <c r="N31" s="3">
        <f t="shared" si="47"/>
        <v>4040</v>
      </c>
      <c r="O31" s="3">
        <v>19392</v>
      </c>
      <c r="P31" s="6">
        <v>4.8</v>
      </c>
      <c r="Q31" s="3">
        <f t="shared" si="48"/>
        <v>3359.1071428571431</v>
      </c>
      <c r="R31" s="3">
        <v>18811</v>
      </c>
      <c r="S31" s="6">
        <v>5.6</v>
      </c>
      <c r="T31" s="3">
        <f t="shared" si="49"/>
        <v>2221.5789473684213</v>
      </c>
      <c r="U31" s="3">
        <v>4221</v>
      </c>
      <c r="V31" s="6">
        <v>1.9</v>
      </c>
      <c r="W31" s="3">
        <f t="shared" si="50"/>
        <v>3289.3220338983051</v>
      </c>
      <c r="X31" s="3">
        <v>19407</v>
      </c>
      <c r="Y31" s="6">
        <v>5.9</v>
      </c>
      <c r="Z31" s="3">
        <f t="shared" si="51"/>
        <v>3947.878787878788</v>
      </c>
      <c r="AA31" s="3">
        <v>13028</v>
      </c>
      <c r="AB31" s="6">
        <v>3.3</v>
      </c>
      <c r="AC31" s="3">
        <f t="shared" si="52"/>
        <v>2690.7142857142858</v>
      </c>
      <c r="AD31" s="3">
        <v>7534</v>
      </c>
      <c r="AE31" s="6">
        <v>2.8</v>
      </c>
      <c r="AF31" s="3">
        <f t="shared" si="53"/>
        <v>2397.0833333333335</v>
      </c>
      <c r="AG31" s="3">
        <v>5753</v>
      </c>
      <c r="AH31" s="6">
        <v>2.4</v>
      </c>
      <c r="AI31" s="3">
        <f t="shared" si="54"/>
        <v>3900.0000000000005</v>
      </c>
      <c r="AJ31" s="3">
        <v>2730</v>
      </c>
      <c r="AK31" s="6">
        <v>0.7</v>
      </c>
      <c r="AL31" s="3">
        <f t="shared" si="55"/>
        <v>2400</v>
      </c>
      <c r="AM31" s="3">
        <v>7200</v>
      </c>
      <c r="AN31" s="6">
        <v>3</v>
      </c>
      <c r="AO31" s="3">
        <f t="shared" si="38"/>
        <v>2880.5701754385968</v>
      </c>
      <c r="AP31" s="3">
        <f t="shared" si="42"/>
        <v>197031</v>
      </c>
      <c r="AQ31" s="6">
        <f t="shared" si="43"/>
        <v>68.399999999999991</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9" t="s">
        <v>73</v>
      </c>
      <c r="B32" s="28"/>
      <c r="C32" s="28"/>
      <c r="D32" s="28"/>
      <c r="E32" s="3">
        <f t="shared" si="44"/>
        <v>2215.6338028169016</v>
      </c>
      <c r="F32" s="3">
        <v>15731</v>
      </c>
      <c r="G32" s="6">
        <v>7.1</v>
      </c>
      <c r="H32" s="3">
        <f t="shared" si="45"/>
        <v>2108.75</v>
      </c>
      <c r="I32" s="3">
        <v>6748</v>
      </c>
      <c r="J32" s="6">
        <v>3.2</v>
      </c>
      <c r="K32" s="3">
        <f t="shared" si="46"/>
        <v>2481.2244897959181</v>
      </c>
      <c r="L32" s="3">
        <v>12158</v>
      </c>
      <c r="M32" s="6">
        <v>4.9000000000000004</v>
      </c>
      <c r="N32" s="3">
        <f t="shared" si="47"/>
        <v>2039.4666666666667</v>
      </c>
      <c r="O32" s="3">
        <v>15296</v>
      </c>
      <c r="P32" s="6">
        <v>7.5</v>
      </c>
      <c r="Q32" s="3">
        <f t="shared" si="48"/>
        <v>2063.75</v>
      </c>
      <c r="R32" s="3">
        <v>3302</v>
      </c>
      <c r="S32" s="6">
        <v>1.6</v>
      </c>
      <c r="T32" s="3" t="e">
        <f t="shared" si="49"/>
        <v>#DIV/0!</v>
      </c>
      <c r="U32" s="3">
        <v>0</v>
      </c>
      <c r="V32" s="6">
        <v>0</v>
      </c>
      <c r="W32" s="3" t="e">
        <f t="shared" si="50"/>
        <v>#DIV/0!</v>
      </c>
      <c r="X32" s="3">
        <v>0</v>
      </c>
      <c r="Y32" s="6">
        <v>0</v>
      </c>
      <c r="Z32" s="3">
        <f t="shared" si="51"/>
        <v>1961.6666666666667</v>
      </c>
      <c r="AA32" s="3">
        <v>20009</v>
      </c>
      <c r="AB32" s="6">
        <v>10.199999999999999</v>
      </c>
      <c r="AC32" s="3">
        <f t="shared" si="52"/>
        <v>1898.3333333333335</v>
      </c>
      <c r="AD32" s="3">
        <v>4556</v>
      </c>
      <c r="AE32" s="6">
        <v>2.4</v>
      </c>
      <c r="AF32" s="3">
        <f t="shared" si="53"/>
        <v>1983.6363636363635</v>
      </c>
      <c r="AG32" s="3">
        <v>8728</v>
      </c>
      <c r="AH32" s="6">
        <v>4.4000000000000004</v>
      </c>
      <c r="AI32" s="3" t="e">
        <f t="shared" si="54"/>
        <v>#DIV/0!</v>
      </c>
      <c r="AJ32" s="3">
        <v>0</v>
      </c>
      <c r="AK32" s="6">
        <v>0</v>
      </c>
      <c r="AL32" s="3">
        <f t="shared" si="55"/>
        <v>1905.9259259259259</v>
      </c>
      <c r="AM32" s="3">
        <v>5146</v>
      </c>
      <c r="AN32" s="6">
        <v>2.7</v>
      </c>
      <c r="AO32" s="3">
        <f t="shared" si="38"/>
        <v>2083.5</v>
      </c>
      <c r="AP32" s="3">
        <f t="shared" si="42"/>
        <v>91674</v>
      </c>
      <c r="AQ32" s="6">
        <f t="shared" si="43"/>
        <v>44</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9" t="s">
        <v>54</v>
      </c>
      <c r="B33" s="28"/>
      <c r="C33" s="28"/>
      <c r="D33" s="28"/>
      <c r="E33" s="3" t="e">
        <f t="shared" si="44"/>
        <v>#DIV/0!</v>
      </c>
      <c r="F33" s="3">
        <v>0</v>
      </c>
      <c r="G33" s="6">
        <v>0</v>
      </c>
      <c r="H33" s="3" t="e">
        <f t="shared" si="45"/>
        <v>#DIV/0!</v>
      </c>
      <c r="I33" s="3">
        <v>0</v>
      </c>
      <c r="J33" s="6">
        <v>0</v>
      </c>
      <c r="K33" s="3">
        <f t="shared" si="46"/>
        <v>1770</v>
      </c>
      <c r="L33" s="3">
        <v>3540</v>
      </c>
      <c r="M33" s="6">
        <v>2</v>
      </c>
      <c r="N33" s="3" t="e">
        <f t="shared" si="47"/>
        <v>#DIV/0!</v>
      </c>
      <c r="O33" s="3">
        <v>0</v>
      </c>
      <c r="P33" s="6">
        <v>0</v>
      </c>
      <c r="Q33" s="3" t="e">
        <f t="shared" si="48"/>
        <v>#DIV/0!</v>
      </c>
      <c r="R33" s="3">
        <v>0</v>
      </c>
      <c r="S33" s="6">
        <v>0</v>
      </c>
      <c r="T33" s="3" t="e">
        <f t="shared" si="49"/>
        <v>#DIV/0!</v>
      </c>
      <c r="U33" s="3">
        <v>0</v>
      </c>
      <c r="V33" s="6">
        <v>0</v>
      </c>
      <c r="W33" s="3">
        <f t="shared" si="50"/>
        <v>1547.6288659793815</v>
      </c>
      <c r="X33" s="3">
        <v>15012</v>
      </c>
      <c r="Y33" s="6">
        <v>9.6999999999999993</v>
      </c>
      <c r="Z33" s="3">
        <f t="shared" si="51"/>
        <v>6612.8571428571431</v>
      </c>
      <c r="AA33" s="3">
        <v>4629</v>
      </c>
      <c r="AB33" s="6">
        <v>0.7</v>
      </c>
      <c r="AC33" s="3">
        <f t="shared" si="52"/>
        <v>6427</v>
      </c>
      <c r="AD33" s="3">
        <v>6427</v>
      </c>
      <c r="AE33" s="6">
        <v>1</v>
      </c>
      <c r="AF33" s="3" t="e">
        <f t="shared" si="53"/>
        <v>#DIV/0!</v>
      </c>
      <c r="AG33" s="3">
        <v>0</v>
      </c>
      <c r="AH33" s="6">
        <v>0</v>
      </c>
      <c r="AI33" s="3">
        <f t="shared" si="54"/>
        <v>9422.5</v>
      </c>
      <c r="AJ33" s="3">
        <v>3769</v>
      </c>
      <c r="AK33" s="6">
        <v>0.4</v>
      </c>
      <c r="AL33" s="3">
        <f t="shared" si="55"/>
        <v>12563.333333333334</v>
      </c>
      <c r="AM33" s="3">
        <v>3769</v>
      </c>
      <c r="AN33" s="6">
        <v>0.3</v>
      </c>
      <c r="AO33" s="3">
        <f t="shared" si="38"/>
        <v>2634.4680851063831</v>
      </c>
      <c r="AP33" s="3">
        <f t="shared" si="42"/>
        <v>37146</v>
      </c>
      <c r="AQ33" s="6">
        <f t="shared" si="43"/>
        <v>14.1</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9" t="s">
        <v>71</v>
      </c>
      <c r="B34" s="28"/>
      <c r="C34" s="28"/>
      <c r="D34" s="28"/>
      <c r="E34" s="3">
        <f t="shared" si="44"/>
        <v>1540.7142857142856</v>
      </c>
      <c r="F34" s="3">
        <v>12942</v>
      </c>
      <c r="G34" s="6">
        <v>8.4</v>
      </c>
      <c r="H34" s="3" t="e">
        <f t="shared" si="45"/>
        <v>#DIV/0!</v>
      </c>
      <c r="I34" s="3">
        <v>0</v>
      </c>
      <c r="J34" s="6">
        <v>0</v>
      </c>
      <c r="K34" s="3" t="e">
        <f t="shared" si="46"/>
        <v>#DIV/0!</v>
      </c>
      <c r="L34" s="3">
        <v>0</v>
      </c>
      <c r="M34" s="6">
        <v>0</v>
      </c>
      <c r="N34" s="3" t="e">
        <f t="shared" si="47"/>
        <v>#DIV/0!</v>
      </c>
      <c r="O34" s="3">
        <v>0</v>
      </c>
      <c r="P34" s="6">
        <v>0</v>
      </c>
      <c r="Q34" s="3" t="e">
        <f t="shared" si="48"/>
        <v>#DIV/0!</v>
      </c>
      <c r="R34" s="3">
        <v>0</v>
      </c>
      <c r="S34" s="6">
        <v>0</v>
      </c>
      <c r="T34" s="3" t="e">
        <f t="shared" si="49"/>
        <v>#DIV/0!</v>
      </c>
      <c r="U34" s="3">
        <v>0</v>
      </c>
      <c r="V34" s="6">
        <v>0</v>
      </c>
      <c r="W34" s="3" t="e">
        <f t="shared" si="50"/>
        <v>#DIV/0!</v>
      </c>
      <c r="X34" s="3">
        <v>0</v>
      </c>
      <c r="Y34" s="6">
        <v>0</v>
      </c>
      <c r="Z34" s="3" t="e">
        <f t="shared" si="51"/>
        <v>#DIV/0!</v>
      </c>
      <c r="AA34" s="3">
        <v>0</v>
      </c>
      <c r="AB34" s="6">
        <v>0</v>
      </c>
      <c r="AC34" s="3" t="e">
        <f t="shared" si="52"/>
        <v>#DIV/0!</v>
      </c>
      <c r="AD34" s="3">
        <v>0</v>
      </c>
      <c r="AE34" s="6">
        <v>0</v>
      </c>
      <c r="AF34" s="3" t="e">
        <f t="shared" si="53"/>
        <v>#DIV/0!</v>
      </c>
      <c r="AG34" s="3">
        <v>0</v>
      </c>
      <c r="AH34" s="6">
        <v>0</v>
      </c>
      <c r="AI34" s="3" t="e">
        <f t="shared" si="54"/>
        <v>#DIV/0!</v>
      </c>
      <c r="AJ34" s="3">
        <v>0</v>
      </c>
      <c r="AK34" s="6">
        <v>0</v>
      </c>
      <c r="AL34" s="3" t="e">
        <f t="shared" si="55"/>
        <v>#DIV/0!</v>
      </c>
      <c r="AM34" s="3">
        <v>0</v>
      </c>
      <c r="AN34" s="6">
        <v>0</v>
      </c>
      <c r="AO34" s="3">
        <f t="shared" si="38"/>
        <v>1540.7142857142856</v>
      </c>
      <c r="AP34" s="3">
        <f t="shared" si="42"/>
        <v>12942</v>
      </c>
      <c r="AQ34" s="6">
        <f t="shared" si="43"/>
        <v>8.4</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9" t="s">
        <v>46</v>
      </c>
      <c r="B35" s="28"/>
      <c r="C35" s="28"/>
      <c r="D35" s="28"/>
      <c r="E35" s="3">
        <f t="shared" si="44"/>
        <v>1551.5</v>
      </c>
      <c r="F35" s="3">
        <v>6206</v>
      </c>
      <c r="G35" s="6">
        <v>4</v>
      </c>
      <c r="H35" s="3" t="e">
        <f t="shared" si="45"/>
        <v>#DIV/0!</v>
      </c>
      <c r="I35" s="3">
        <v>0</v>
      </c>
      <c r="J35" s="6">
        <v>0</v>
      </c>
      <c r="K35" s="3" t="e">
        <f t="shared" si="46"/>
        <v>#DIV/0!</v>
      </c>
      <c r="L35" s="3">
        <v>0</v>
      </c>
      <c r="M35" s="6">
        <v>0</v>
      </c>
      <c r="N35" s="3" t="e">
        <f t="shared" si="47"/>
        <v>#DIV/0!</v>
      </c>
      <c r="O35" s="3">
        <v>0</v>
      </c>
      <c r="P35" s="6">
        <v>0</v>
      </c>
      <c r="Q35" s="3" t="e">
        <f t="shared" si="48"/>
        <v>#DIV/0!</v>
      </c>
      <c r="R35" s="3">
        <v>0</v>
      </c>
      <c r="S35" s="6">
        <v>0</v>
      </c>
      <c r="T35" s="3" t="e">
        <f t="shared" si="49"/>
        <v>#DIV/0!</v>
      </c>
      <c r="U35" s="3">
        <v>0</v>
      </c>
      <c r="V35" s="6">
        <v>0</v>
      </c>
      <c r="W35" s="3" t="e">
        <f t="shared" si="50"/>
        <v>#DIV/0!</v>
      </c>
      <c r="X35" s="3">
        <v>0</v>
      </c>
      <c r="Y35" s="6">
        <v>0</v>
      </c>
      <c r="Z35" s="3" t="e">
        <f t="shared" si="51"/>
        <v>#DIV/0!</v>
      </c>
      <c r="AA35" s="3">
        <v>0</v>
      </c>
      <c r="AB35" s="6">
        <v>0</v>
      </c>
      <c r="AC35" s="3" t="e">
        <f t="shared" si="52"/>
        <v>#DIV/0!</v>
      </c>
      <c r="AD35" s="3">
        <v>0</v>
      </c>
      <c r="AE35" s="6">
        <v>0</v>
      </c>
      <c r="AF35" s="3" t="e">
        <f t="shared" si="53"/>
        <v>#DIV/0!</v>
      </c>
      <c r="AG35" s="3">
        <v>0</v>
      </c>
      <c r="AH35" s="6">
        <v>0</v>
      </c>
      <c r="AI35" s="3" t="e">
        <f t="shared" si="54"/>
        <v>#DIV/0!</v>
      </c>
      <c r="AJ35" s="3">
        <v>0</v>
      </c>
      <c r="AK35" s="6">
        <v>0</v>
      </c>
      <c r="AL35" s="3" t="e">
        <f t="shared" si="55"/>
        <v>#DIV/0!</v>
      </c>
      <c r="AM35" s="3">
        <v>0</v>
      </c>
      <c r="AN35" s="6">
        <v>0</v>
      </c>
      <c r="AO35" s="3">
        <f t="shared" si="38"/>
        <v>1551.5</v>
      </c>
      <c r="AP35" s="3">
        <f t="shared" si="42"/>
        <v>6206</v>
      </c>
      <c r="AQ35" s="6">
        <f t="shared" si="43"/>
        <v>4</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9" t="s">
        <v>26</v>
      </c>
      <c r="B36" s="28"/>
      <c r="C36" s="28"/>
      <c r="D36" s="28"/>
      <c r="E36" s="3">
        <f t="shared" si="44"/>
        <v>2422.970297029703</v>
      </c>
      <c r="F36" s="3">
        <v>24472</v>
      </c>
      <c r="G36" s="6">
        <v>10.1</v>
      </c>
      <c r="H36" s="3" t="e">
        <f t="shared" si="45"/>
        <v>#DIV/0!</v>
      </c>
      <c r="I36" s="3">
        <v>0</v>
      </c>
      <c r="J36" s="6">
        <v>0</v>
      </c>
      <c r="K36" s="3" t="e">
        <f t="shared" si="46"/>
        <v>#DIV/0!</v>
      </c>
      <c r="L36" s="3">
        <v>0</v>
      </c>
      <c r="M36" s="6">
        <v>0</v>
      </c>
      <c r="N36" s="3">
        <f t="shared" si="47"/>
        <v>1550</v>
      </c>
      <c r="O36" s="3">
        <v>17360</v>
      </c>
      <c r="P36" s="6">
        <v>11.2</v>
      </c>
      <c r="Q36" s="3" t="e">
        <f t="shared" si="48"/>
        <v>#DIV/0!</v>
      </c>
      <c r="R36" s="3">
        <v>0</v>
      </c>
      <c r="S36" s="6">
        <v>0</v>
      </c>
      <c r="T36" s="3" t="e">
        <f t="shared" si="49"/>
        <v>#DIV/0!</v>
      </c>
      <c r="U36" s="3">
        <v>0</v>
      </c>
      <c r="V36" s="6">
        <v>0</v>
      </c>
      <c r="W36" s="3">
        <f t="shared" si="50"/>
        <v>3172.2689075630251</v>
      </c>
      <c r="X36" s="3">
        <v>75500</v>
      </c>
      <c r="Y36" s="6">
        <v>23.8</v>
      </c>
      <c r="Z36" s="3" t="e">
        <f t="shared" si="51"/>
        <v>#DIV/0!</v>
      </c>
      <c r="AA36" s="3">
        <v>0</v>
      </c>
      <c r="AB36" s="6">
        <v>0</v>
      </c>
      <c r="AC36" s="3">
        <f t="shared" si="52"/>
        <v>1858.7148594377511</v>
      </c>
      <c r="AD36" s="3">
        <v>46282</v>
      </c>
      <c r="AE36" s="6">
        <v>24.9</v>
      </c>
      <c r="AF36" s="3" t="e">
        <f t="shared" si="53"/>
        <v>#DIV/0!</v>
      </c>
      <c r="AG36" s="3">
        <v>0</v>
      </c>
      <c r="AH36" s="6">
        <v>0</v>
      </c>
      <c r="AI36" s="3">
        <f t="shared" si="54"/>
        <v>2126.8571428571427</v>
      </c>
      <c r="AJ36" s="3">
        <v>29776</v>
      </c>
      <c r="AK36" s="6">
        <v>14</v>
      </c>
      <c r="AL36" s="3" t="e">
        <f t="shared" si="55"/>
        <v>#DIV/0!</v>
      </c>
      <c r="AM36" s="3">
        <v>0</v>
      </c>
      <c r="AN36" s="6">
        <v>0</v>
      </c>
      <c r="AO36" s="3">
        <f t="shared" si="38"/>
        <v>2302.2619047619046</v>
      </c>
      <c r="AP36" s="3">
        <f t="shared" si="42"/>
        <v>193390</v>
      </c>
      <c r="AQ36" s="6">
        <f t="shared" si="43"/>
        <v>84</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9" t="s">
        <v>72</v>
      </c>
      <c r="B37" s="28"/>
      <c r="C37" s="28"/>
      <c r="D37" s="28"/>
      <c r="E37" s="3" t="e">
        <f t="shared" si="44"/>
        <v>#DIV/0!</v>
      </c>
      <c r="F37" s="3">
        <v>0</v>
      </c>
      <c r="G37" s="6">
        <v>0</v>
      </c>
      <c r="H37" s="3">
        <f t="shared" si="45"/>
        <v>2900.5405405405404</v>
      </c>
      <c r="I37" s="3">
        <v>10732</v>
      </c>
      <c r="J37" s="6">
        <v>3.7</v>
      </c>
      <c r="K37" s="3">
        <f t="shared" si="46"/>
        <v>3002.0833333333335</v>
      </c>
      <c r="L37" s="3">
        <v>14410</v>
      </c>
      <c r="M37" s="6">
        <v>4.8</v>
      </c>
      <c r="N37" s="3">
        <f t="shared" si="47"/>
        <v>3012.954545454545</v>
      </c>
      <c r="O37" s="3">
        <v>13257</v>
      </c>
      <c r="P37" s="6">
        <v>4.4000000000000004</v>
      </c>
      <c r="Q37" s="3">
        <f t="shared" si="48"/>
        <v>3002.0833333333335</v>
      </c>
      <c r="R37" s="3">
        <v>14410</v>
      </c>
      <c r="S37" s="6">
        <v>4.8</v>
      </c>
      <c r="T37" s="3" t="e">
        <f t="shared" si="49"/>
        <v>#DIV/0!</v>
      </c>
      <c r="U37" s="3">
        <v>0</v>
      </c>
      <c r="V37" s="6">
        <v>0</v>
      </c>
      <c r="W37" s="3" t="e">
        <f t="shared" si="50"/>
        <v>#DIV/0!</v>
      </c>
      <c r="X37" s="3">
        <v>0</v>
      </c>
      <c r="Y37" s="6">
        <v>0</v>
      </c>
      <c r="Z37" s="3">
        <f t="shared" si="51"/>
        <v>2384.5454545454545</v>
      </c>
      <c r="AA37" s="3">
        <v>2623</v>
      </c>
      <c r="AB37" s="6">
        <v>1.1000000000000001</v>
      </c>
      <c r="AC37" s="3" t="e">
        <f t="shared" si="52"/>
        <v>#DIV/0!</v>
      </c>
      <c r="AD37" s="3">
        <v>0</v>
      </c>
      <c r="AE37" s="6">
        <v>0</v>
      </c>
      <c r="AF37" s="3" t="e">
        <f t="shared" si="53"/>
        <v>#DIV/0!</v>
      </c>
      <c r="AG37" s="3">
        <v>0</v>
      </c>
      <c r="AH37" s="6">
        <v>0</v>
      </c>
      <c r="AI37" s="3" t="e">
        <f t="shared" si="54"/>
        <v>#DIV/0!</v>
      </c>
      <c r="AJ37" s="3">
        <v>0</v>
      </c>
      <c r="AK37" s="6">
        <v>0</v>
      </c>
      <c r="AL37" s="3" t="e">
        <f t="shared" si="55"/>
        <v>#DIV/0!</v>
      </c>
      <c r="AM37" s="3">
        <v>0</v>
      </c>
      <c r="AN37" s="6">
        <v>0</v>
      </c>
      <c r="AO37" s="3">
        <f t="shared" si="38"/>
        <v>2948.5106382978724</v>
      </c>
      <c r="AP37" s="3">
        <f t="shared" si="42"/>
        <v>55432</v>
      </c>
      <c r="AQ37" s="6">
        <f t="shared" si="43"/>
        <v>18.8</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9" t="s">
        <v>68</v>
      </c>
      <c r="B38" s="28"/>
      <c r="C38" s="28"/>
      <c r="D38" s="28"/>
      <c r="E38" s="3" t="e">
        <f t="shared" si="44"/>
        <v>#DIV/0!</v>
      </c>
      <c r="F38" s="3">
        <v>0</v>
      </c>
      <c r="G38" s="6">
        <v>0</v>
      </c>
      <c r="H38" s="3" t="e">
        <f t="shared" si="45"/>
        <v>#DIV/0!</v>
      </c>
      <c r="I38" s="3">
        <v>0</v>
      </c>
      <c r="J38" s="6">
        <v>0</v>
      </c>
      <c r="K38" s="3" t="e">
        <f t="shared" si="46"/>
        <v>#DIV/0!</v>
      </c>
      <c r="L38" s="3">
        <v>0</v>
      </c>
      <c r="M38" s="6">
        <v>0</v>
      </c>
      <c r="N38" s="3" t="e">
        <f t="shared" si="47"/>
        <v>#DIV/0!</v>
      </c>
      <c r="O38" s="3">
        <v>0</v>
      </c>
      <c r="P38" s="6">
        <v>0</v>
      </c>
      <c r="Q38" s="3">
        <f t="shared" si="48"/>
        <v>2023.575</v>
      </c>
      <c r="R38" s="3">
        <v>161886</v>
      </c>
      <c r="S38" s="6">
        <v>80</v>
      </c>
      <c r="T38" s="3">
        <f t="shared" si="49"/>
        <v>1745.42</v>
      </c>
      <c r="U38" s="3">
        <v>174542</v>
      </c>
      <c r="V38" s="6">
        <v>100</v>
      </c>
      <c r="W38" s="3" t="e">
        <f t="shared" si="50"/>
        <v>#DIV/0!</v>
      </c>
      <c r="X38" s="3">
        <v>0</v>
      </c>
      <c r="Y38" s="6">
        <v>0</v>
      </c>
      <c r="Z38" s="3" t="e">
        <f t="shared" si="51"/>
        <v>#DIV/0!</v>
      </c>
      <c r="AA38" s="3">
        <v>0</v>
      </c>
      <c r="AB38" s="6">
        <v>0</v>
      </c>
      <c r="AC38" s="3" t="e">
        <f t="shared" si="52"/>
        <v>#DIV/0!</v>
      </c>
      <c r="AD38" s="3">
        <v>0</v>
      </c>
      <c r="AE38" s="6">
        <v>0</v>
      </c>
      <c r="AF38" s="3" t="e">
        <f t="shared" si="53"/>
        <v>#DIV/0!</v>
      </c>
      <c r="AG38" s="3">
        <v>0</v>
      </c>
      <c r="AH38" s="6">
        <v>0</v>
      </c>
      <c r="AI38" s="3" t="e">
        <f t="shared" si="54"/>
        <v>#DIV/0!</v>
      </c>
      <c r="AJ38" s="3">
        <v>0</v>
      </c>
      <c r="AK38" s="6">
        <v>0</v>
      </c>
      <c r="AL38" s="3" t="e">
        <f t="shared" si="55"/>
        <v>#DIV/0!</v>
      </c>
      <c r="AM38" s="3">
        <v>0</v>
      </c>
      <c r="AN38" s="6">
        <v>0</v>
      </c>
      <c r="AO38" s="3">
        <f t="shared" si="38"/>
        <v>1869.0444444444445</v>
      </c>
      <c r="AP38" s="3">
        <f t="shared" si="42"/>
        <v>336428</v>
      </c>
      <c r="AQ38" s="6">
        <f t="shared" si="43"/>
        <v>180</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9" t="s">
        <v>75</v>
      </c>
      <c r="B39" s="28"/>
      <c r="C39" s="28"/>
      <c r="D39" s="28"/>
      <c r="E39" s="3" t="e">
        <f t="shared" si="44"/>
        <v>#DIV/0!</v>
      </c>
      <c r="F39" s="3">
        <v>0</v>
      </c>
      <c r="G39" s="6">
        <v>0</v>
      </c>
      <c r="H39" s="3" t="e">
        <f t="shared" si="45"/>
        <v>#DIV/0!</v>
      </c>
      <c r="I39" s="3">
        <v>0</v>
      </c>
      <c r="J39" s="6">
        <v>0</v>
      </c>
      <c r="K39" s="3" t="e">
        <f t="shared" si="46"/>
        <v>#DIV/0!</v>
      </c>
      <c r="L39" s="3">
        <v>0</v>
      </c>
      <c r="M39" s="6">
        <v>0</v>
      </c>
      <c r="N39" s="3" t="e">
        <f t="shared" si="47"/>
        <v>#DIV/0!</v>
      </c>
      <c r="O39" s="3">
        <v>0</v>
      </c>
      <c r="P39" s="6">
        <v>0</v>
      </c>
      <c r="Q39" s="3" t="e">
        <f t="shared" si="48"/>
        <v>#DIV/0!</v>
      </c>
      <c r="R39" s="3">
        <v>0</v>
      </c>
      <c r="S39" s="6">
        <v>0</v>
      </c>
      <c r="T39" s="3" t="e">
        <f t="shared" si="49"/>
        <v>#DIV/0!</v>
      </c>
      <c r="U39" s="3">
        <v>0</v>
      </c>
      <c r="V39" s="6">
        <v>0</v>
      </c>
      <c r="W39" s="3" t="e">
        <f t="shared" si="50"/>
        <v>#DIV/0!</v>
      </c>
      <c r="X39" s="3">
        <v>0</v>
      </c>
      <c r="Y39" s="6">
        <v>0</v>
      </c>
      <c r="Z39" s="3" t="e">
        <f t="shared" si="51"/>
        <v>#DIV/0!</v>
      </c>
      <c r="AA39" s="3">
        <v>0</v>
      </c>
      <c r="AB39" s="6">
        <v>0</v>
      </c>
      <c r="AC39" s="3">
        <f t="shared" si="52"/>
        <v>1549.7553017944535</v>
      </c>
      <c r="AD39" s="3">
        <v>95000</v>
      </c>
      <c r="AE39" s="6">
        <v>61.3</v>
      </c>
      <c r="AF39" s="3" t="e">
        <f t="shared" si="53"/>
        <v>#DIV/0!</v>
      </c>
      <c r="AG39" s="3">
        <v>0</v>
      </c>
      <c r="AH39" s="6">
        <v>0</v>
      </c>
      <c r="AI39" s="3" t="e">
        <f t="shared" si="54"/>
        <v>#DIV/0!</v>
      </c>
      <c r="AJ39" s="3">
        <v>0</v>
      </c>
      <c r="AK39" s="6">
        <v>0</v>
      </c>
      <c r="AL39" s="3" t="e">
        <f t="shared" si="55"/>
        <v>#DIV/0!</v>
      </c>
      <c r="AM39" s="3">
        <v>0</v>
      </c>
      <c r="AN39" s="6">
        <v>0</v>
      </c>
      <c r="AO39" s="3">
        <f t="shared" si="38"/>
        <v>1549.7553017944535</v>
      </c>
      <c r="AP39" s="3">
        <f t="shared" si="42"/>
        <v>95000</v>
      </c>
      <c r="AQ39" s="6">
        <f t="shared" si="43"/>
        <v>61.3</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9" t="s">
        <v>29</v>
      </c>
      <c r="B40" s="28"/>
      <c r="C40" s="28"/>
      <c r="D40" s="28"/>
      <c r="E40" s="3" t="e">
        <f t="shared" si="44"/>
        <v>#DIV/0!</v>
      </c>
      <c r="F40" s="3">
        <v>0</v>
      </c>
      <c r="G40" s="6">
        <v>0</v>
      </c>
      <c r="H40" s="3">
        <f t="shared" si="45"/>
        <v>7200</v>
      </c>
      <c r="I40" s="3">
        <v>3600</v>
      </c>
      <c r="J40" s="6">
        <v>0.5</v>
      </c>
      <c r="K40" s="3" t="e">
        <f t="shared" si="46"/>
        <v>#DIV/0!</v>
      </c>
      <c r="L40" s="3">
        <v>0</v>
      </c>
      <c r="M40" s="6">
        <v>0</v>
      </c>
      <c r="N40" s="3" t="e">
        <f t="shared" si="47"/>
        <v>#DIV/0!</v>
      </c>
      <c r="O40" s="3">
        <v>0</v>
      </c>
      <c r="P40" s="6">
        <v>0</v>
      </c>
      <c r="Q40" s="3" t="e">
        <f t="shared" si="48"/>
        <v>#DIV/0!</v>
      </c>
      <c r="R40" s="3">
        <v>0</v>
      </c>
      <c r="S40" s="6">
        <v>0</v>
      </c>
      <c r="T40" s="3" t="e">
        <f t="shared" si="49"/>
        <v>#DIV/0!</v>
      </c>
      <c r="U40" s="3">
        <v>0</v>
      </c>
      <c r="V40" s="6">
        <v>0</v>
      </c>
      <c r="W40" s="3">
        <f t="shared" si="50"/>
        <v>7867.5</v>
      </c>
      <c r="X40" s="3">
        <v>3147</v>
      </c>
      <c r="Y40" s="6">
        <v>0.4</v>
      </c>
      <c r="Z40" s="3">
        <f t="shared" si="51"/>
        <v>6856.666666666667</v>
      </c>
      <c r="AA40" s="3">
        <v>4114</v>
      </c>
      <c r="AB40" s="6">
        <v>0.6</v>
      </c>
      <c r="AC40" s="3" t="e">
        <f t="shared" si="52"/>
        <v>#DIV/0!</v>
      </c>
      <c r="AD40" s="3">
        <v>0</v>
      </c>
      <c r="AE40" s="6">
        <v>0</v>
      </c>
      <c r="AF40" s="3">
        <f t="shared" si="53"/>
        <v>4425.4761904761899</v>
      </c>
      <c r="AG40" s="3">
        <v>18587</v>
      </c>
      <c r="AH40" s="6">
        <v>4.2</v>
      </c>
      <c r="AI40" s="3" t="e">
        <f t="shared" si="54"/>
        <v>#DIV/0!</v>
      </c>
      <c r="AJ40" s="3">
        <v>0</v>
      </c>
      <c r="AK40" s="6">
        <v>0</v>
      </c>
      <c r="AL40" s="3" t="e">
        <f t="shared" si="55"/>
        <v>#DIV/0!</v>
      </c>
      <c r="AM40" s="3">
        <v>0</v>
      </c>
      <c r="AN40" s="6">
        <v>0</v>
      </c>
      <c r="AO40" s="3">
        <f t="shared" si="38"/>
        <v>5166.3157894736842</v>
      </c>
      <c r="AP40" s="3">
        <f t="shared" si="42"/>
        <v>29448</v>
      </c>
      <c r="AQ40" s="6">
        <f t="shared" si="43"/>
        <v>5.7</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9" t="s">
        <v>57</v>
      </c>
      <c r="B41" s="28"/>
      <c r="C41" s="28"/>
      <c r="D41" s="28"/>
      <c r="E41" s="3" t="e">
        <f t="shared" si="44"/>
        <v>#DIV/0!</v>
      </c>
      <c r="F41" s="3">
        <v>0</v>
      </c>
      <c r="G41" s="6">
        <v>0</v>
      </c>
      <c r="H41" s="3">
        <f t="shared" si="45"/>
        <v>2419.1111111111113</v>
      </c>
      <c r="I41" s="3">
        <v>10886</v>
      </c>
      <c r="J41" s="6">
        <v>4.5</v>
      </c>
      <c r="K41" s="3" t="e">
        <f t="shared" si="46"/>
        <v>#DIV/0!</v>
      </c>
      <c r="L41" s="3">
        <v>0</v>
      </c>
      <c r="M41" s="6">
        <v>0</v>
      </c>
      <c r="N41" s="3" t="e">
        <f t="shared" si="47"/>
        <v>#DIV/0!</v>
      </c>
      <c r="O41" s="3">
        <v>0</v>
      </c>
      <c r="P41" s="6">
        <v>0</v>
      </c>
      <c r="Q41" s="3" t="e">
        <f t="shared" si="48"/>
        <v>#DIV/0!</v>
      </c>
      <c r="R41" s="3">
        <v>0</v>
      </c>
      <c r="S41" s="6">
        <v>0</v>
      </c>
      <c r="T41" s="3" t="e">
        <f t="shared" si="49"/>
        <v>#DIV/0!</v>
      </c>
      <c r="U41" s="3">
        <v>0</v>
      </c>
      <c r="V41" s="6">
        <v>0</v>
      </c>
      <c r="W41" s="3" t="e">
        <f t="shared" si="50"/>
        <v>#DIV/0!</v>
      </c>
      <c r="X41" s="3">
        <v>0</v>
      </c>
      <c r="Y41" s="6">
        <v>0</v>
      </c>
      <c r="Z41" s="3" t="e">
        <f t="shared" si="51"/>
        <v>#DIV/0!</v>
      </c>
      <c r="AA41" s="3">
        <v>0</v>
      </c>
      <c r="AB41" s="6">
        <v>0</v>
      </c>
      <c r="AC41" s="3" t="e">
        <f t="shared" si="52"/>
        <v>#DIV/0!</v>
      </c>
      <c r="AD41" s="3">
        <v>0</v>
      </c>
      <c r="AE41" s="6">
        <v>0</v>
      </c>
      <c r="AF41" s="3" t="e">
        <f t="shared" si="53"/>
        <v>#DIV/0!</v>
      </c>
      <c r="AG41" s="3">
        <v>0</v>
      </c>
      <c r="AH41" s="6">
        <v>0</v>
      </c>
      <c r="AI41" s="3">
        <f t="shared" si="54"/>
        <v>2419.1111111111113</v>
      </c>
      <c r="AJ41" s="3">
        <v>10886</v>
      </c>
      <c r="AK41" s="6">
        <v>4.5</v>
      </c>
      <c r="AL41" s="3" t="e">
        <f t="shared" si="55"/>
        <v>#DIV/0!</v>
      </c>
      <c r="AM41" s="3">
        <v>0</v>
      </c>
      <c r="AN41" s="6">
        <v>0</v>
      </c>
      <c r="AO41" s="3">
        <f t="shared" si="38"/>
        <v>2419.1111111111113</v>
      </c>
      <c r="AP41" s="3">
        <f t="shared" si="42"/>
        <v>21772</v>
      </c>
      <c r="AQ41" s="6">
        <f t="shared" si="43"/>
        <v>9</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9" t="s">
        <v>20</v>
      </c>
      <c r="B42" s="28"/>
      <c r="C42" s="28"/>
      <c r="D42" s="28"/>
      <c r="E42" s="3">
        <f t="shared" si="44"/>
        <v>4726.1111111111113</v>
      </c>
      <c r="F42" s="3">
        <v>8507</v>
      </c>
      <c r="G42" s="6">
        <v>1.8</v>
      </c>
      <c r="H42" s="3">
        <f t="shared" si="45"/>
        <v>2590.4054054054054</v>
      </c>
      <c r="I42" s="3">
        <v>38338</v>
      </c>
      <c r="J42" s="6">
        <v>14.8</v>
      </c>
      <c r="K42" s="3">
        <f t="shared" si="46"/>
        <v>3442.6724137931037</v>
      </c>
      <c r="L42" s="3">
        <v>79870</v>
      </c>
      <c r="M42" s="6">
        <v>23.2</v>
      </c>
      <c r="N42" s="3" t="e">
        <f t="shared" si="47"/>
        <v>#DIV/0!</v>
      </c>
      <c r="O42" s="3">
        <v>0</v>
      </c>
      <c r="P42" s="6">
        <v>0</v>
      </c>
      <c r="Q42" s="3">
        <f t="shared" si="48"/>
        <v>2584.1666666666665</v>
      </c>
      <c r="R42" s="3">
        <v>21707</v>
      </c>
      <c r="S42" s="6">
        <v>8.4</v>
      </c>
      <c r="T42" s="3" t="e">
        <f t="shared" si="49"/>
        <v>#DIV/0!</v>
      </c>
      <c r="U42" s="3">
        <v>0</v>
      </c>
      <c r="V42" s="6">
        <v>0</v>
      </c>
      <c r="W42" s="3">
        <f t="shared" si="50"/>
        <v>2571.5328467153286</v>
      </c>
      <c r="X42" s="3">
        <v>35230</v>
      </c>
      <c r="Y42" s="6">
        <v>13.7</v>
      </c>
      <c r="Z42" s="3" t="e">
        <f t="shared" si="51"/>
        <v>#DIV/0!</v>
      </c>
      <c r="AA42" s="3">
        <v>0</v>
      </c>
      <c r="AB42" s="6">
        <v>0</v>
      </c>
      <c r="AC42" s="3">
        <f t="shared" si="52"/>
        <v>2379.0666666666666</v>
      </c>
      <c r="AD42" s="3">
        <v>17843</v>
      </c>
      <c r="AE42" s="6">
        <v>7.5</v>
      </c>
      <c r="AF42" s="3" t="e">
        <f t="shared" si="53"/>
        <v>#DIV/0!</v>
      </c>
      <c r="AG42" s="3">
        <v>0</v>
      </c>
      <c r="AH42" s="6">
        <v>0</v>
      </c>
      <c r="AI42" s="3" t="e">
        <f t="shared" si="54"/>
        <v>#DIV/0!</v>
      </c>
      <c r="AJ42" s="3">
        <v>0</v>
      </c>
      <c r="AK42" s="6">
        <v>0</v>
      </c>
      <c r="AL42" s="3" t="e">
        <f t="shared" si="55"/>
        <v>#DIV/0!</v>
      </c>
      <c r="AM42" s="3">
        <v>0</v>
      </c>
      <c r="AN42" s="6">
        <v>0</v>
      </c>
      <c r="AO42" s="3">
        <f t="shared" si="38"/>
        <v>2903.3861671469745</v>
      </c>
      <c r="AP42" s="3">
        <f t="shared" si="42"/>
        <v>201495</v>
      </c>
      <c r="AQ42" s="6">
        <f t="shared" si="43"/>
        <v>69.399999999999991</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9" t="s">
        <v>30</v>
      </c>
      <c r="B43" s="28"/>
      <c r="C43" s="28"/>
      <c r="D43" s="28"/>
      <c r="E43" s="3" t="e">
        <f t="shared" si="44"/>
        <v>#DIV/0!</v>
      </c>
      <c r="F43" s="3">
        <v>0</v>
      </c>
      <c r="G43" s="6">
        <v>0</v>
      </c>
      <c r="H43" s="3" t="e">
        <f t="shared" si="45"/>
        <v>#DIV/0!</v>
      </c>
      <c r="I43" s="3">
        <v>0</v>
      </c>
      <c r="J43" s="6">
        <v>0</v>
      </c>
      <c r="K43" s="3" t="e">
        <f t="shared" si="46"/>
        <v>#DIV/0!</v>
      </c>
      <c r="L43" s="3">
        <v>0</v>
      </c>
      <c r="M43" s="6">
        <v>0</v>
      </c>
      <c r="N43" s="3" t="e">
        <f t="shared" si="47"/>
        <v>#DIV/0!</v>
      </c>
      <c r="O43" s="3">
        <v>0</v>
      </c>
      <c r="P43" s="6">
        <v>0</v>
      </c>
      <c r="Q43" s="3">
        <f t="shared" si="48"/>
        <v>1867.3333333333333</v>
      </c>
      <c r="R43" s="3">
        <v>2801</v>
      </c>
      <c r="S43" s="6">
        <v>1.5</v>
      </c>
      <c r="T43" s="3" t="e">
        <f t="shared" si="49"/>
        <v>#DIV/0!</v>
      </c>
      <c r="U43" s="3">
        <v>0</v>
      </c>
      <c r="V43" s="6">
        <v>0</v>
      </c>
      <c r="W43" s="3" t="e">
        <f t="shared" si="50"/>
        <v>#DIV/0!</v>
      </c>
      <c r="X43" s="3">
        <v>0</v>
      </c>
      <c r="Y43" s="6">
        <v>0</v>
      </c>
      <c r="Z43" s="3" t="e">
        <f t="shared" si="51"/>
        <v>#DIV/0!</v>
      </c>
      <c r="AA43" s="3">
        <v>0</v>
      </c>
      <c r="AB43" s="6">
        <v>0</v>
      </c>
      <c r="AC43" s="3" t="e">
        <f t="shared" si="52"/>
        <v>#DIV/0!</v>
      </c>
      <c r="AD43" s="3">
        <v>0</v>
      </c>
      <c r="AE43" s="6">
        <v>0</v>
      </c>
      <c r="AF43" s="3" t="e">
        <f t="shared" si="53"/>
        <v>#DIV/0!</v>
      </c>
      <c r="AG43" s="3">
        <v>0</v>
      </c>
      <c r="AH43" s="6">
        <v>0</v>
      </c>
      <c r="AI43" s="3" t="e">
        <f t="shared" si="54"/>
        <v>#DIV/0!</v>
      </c>
      <c r="AJ43" s="3">
        <v>0</v>
      </c>
      <c r="AK43" s="6">
        <v>0</v>
      </c>
      <c r="AL43" s="3" t="e">
        <f t="shared" si="55"/>
        <v>#DIV/0!</v>
      </c>
      <c r="AM43" s="3">
        <v>0</v>
      </c>
      <c r="AN43" s="6">
        <v>0</v>
      </c>
      <c r="AO43" s="3">
        <f t="shared" si="38"/>
        <v>1867.3333333333333</v>
      </c>
      <c r="AP43" s="3">
        <f t="shared" si="42"/>
        <v>2801</v>
      </c>
      <c r="AQ43" s="6">
        <f t="shared" si="43"/>
        <v>1.5</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9" t="s">
        <v>80</v>
      </c>
      <c r="B44" s="28"/>
      <c r="C44" s="28"/>
      <c r="D44" s="28"/>
      <c r="E44" s="12">
        <f t="shared" si="44"/>
        <v>2896.2980769230767</v>
      </c>
      <c r="F44" s="12">
        <v>60243</v>
      </c>
      <c r="G44" s="6">
        <v>20.8</v>
      </c>
      <c r="H44" s="14">
        <f t="shared" si="45"/>
        <v>1567.948717948718</v>
      </c>
      <c r="I44" s="12">
        <v>6115</v>
      </c>
      <c r="J44" s="6">
        <v>3.9</v>
      </c>
      <c r="K44" s="12" t="e">
        <f t="shared" si="46"/>
        <v>#DIV/0!</v>
      </c>
      <c r="L44" s="12">
        <v>0</v>
      </c>
      <c r="M44" s="6">
        <v>0</v>
      </c>
      <c r="N44" s="12" t="e">
        <f t="shared" si="47"/>
        <v>#DIV/0!</v>
      </c>
      <c r="O44" s="12">
        <v>0</v>
      </c>
      <c r="P44" s="6">
        <v>0</v>
      </c>
      <c r="Q44" s="14">
        <f t="shared" si="48"/>
        <v>2771.739130434783</v>
      </c>
      <c r="R44" s="12">
        <v>51000</v>
      </c>
      <c r="S44" s="6">
        <v>18.399999999999999</v>
      </c>
      <c r="T44" s="14" t="e">
        <f t="shared" si="49"/>
        <v>#DIV/0!</v>
      </c>
      <c r="U44" s="12">
        <v>0</v>
      </c>
      <c r="V44" s="6">
        <v>0</v>
      </c>
      <c r="W44" s="12" t="e">
        <f t="shared" si="50"/>
        <v>#DIV/0!</v>
      </c>
      <c r="X44" s="12">
        <v>0</v>
      </c>
      <c r="Y44" s="6">
        <v>0</v>
      </c>
      <c r="Z44" s="12" t="e">
        <f t="shared" si="51"/>
        <v>#DIV/0!</v>
      </c>
      <c r="AA44" s="12">
        <v>0</v>
      </c>
      <c r="AB44" s="6">
        <v>0</v>
      </c>
      <c r="AC44" s="12">
        <f t="shared" si="52"/>
        <v>2560</v>
      </c>
      <c r="AD44" s="12">
        <v>47104</v>
      </c>
      <c r="AE44" s="6">
        <v>18.399999999999999</v>
      </c>
      <c r="AF44" s="12">
        <f t="shared" si="53"/>
        <v>2619.021739130435</v>
      </c>
      <c r="AG44" s="12">
        <v>48190</v>
      </c>
      <c r="AH44" s="6">
        <v>18.399999999999999</v>
      </c>
      <c r="AI44" s="12">
        <f t="shared" si="54"/>
        <v>1545.2631578947369</v>
      </c>
      <c r="AJ44" s="12">
        <v>2936</v>
      </c>
      <c r="AK44" s="6">
        <v>1.9</v>
      </c>
      <c r="AL44" s="12" t="e">
        <f t="shared" si="55"/>
        <v>#DIV/0!</v>
      </c>
      <c r="AM44" s="12">
        <v>0</v>
      </c>
      <c r="AN44" s="6">
        <v>0</v>
      </c>
      <c r="AO44" s="12">
        <f t="shared" si="38"/>
        <v>2635.550122249389</v>
      </c>
      <c r="AP44" s="12">
        <f t="shared" si="42"/>
        <v>215588</v>
      </c>
      <c r="AQ44" s="6">
        <f t="shared" si="43"/>
        <v>81.8</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9" t="s">
        <v>81</v>
      </c>
      <c r="B45" s="28"/>
      <c r="C45" s="28"/>
      <c r="D45" s="28"/>
      <c r="E45" s="13" t="e">
        <f t="shared" si="44"/>
        <v>#DIV/0!</v>
      </c>
      <c r="F45" s="13">
        <v>0</v>
      </c>
      <c r="G45" s="11">
        <v>0</v>
      </c>
      <c r="H45" s="10">
        <f t="shared" si="45"/>
        <v>1796.058091286307</v>
      </c>
      <c r="I45" s="13">
        <v>43285</v>
      </c>
      <c r="J45" s="11">
        <v>24.1</v>
      </c>
      <c r="K45" s="18">
        <f t="shared" si="46"/>
        <v>1772.6970954356846</v>
      </c>
      <c r="L45" s="10">
        <v>42722</v>
      </c>
      <c r="M45" s="11">
        <v>24.1</v>
      </c>
      <c r="N45" s="18" t="e">
        <f t="shared" si="47"/>
        <v>#DIV/0!</v>
      </c>
      <c r="O45" s="10">
        <v>0</v>
      </c>
      <c r="P45" s="11">
        <v>0</v>
      </c>
      <c r="Q45" s="10" t="e">
        <f t="shared" si="48"/>
        <v>#DIV/0!</v>
      </c>
      <c r="R45" s="13">
        <v>0</v>
      </c>
      <c r="S45" s="11">
        <v>0</v>
      </c>
      <c r="T45" s="10" t="e">
        <f t="shared" si="49"/>
        <v>#DIV/0!</v>
      </c>
      <c r="U45" s="13">
        <v>0</v>
      </c>
      <c r="V45" s="11">
        <v>0</v>
      </c>
      <c r="W45" s="13" t="e">
        <f t="shared" si="50"/>
        <v>#DIV/0!</v>
      </c>
      <c r="X45" s="13">
        <v>0</v>
      </c>
      <c r="Y45" s="11">
        <v>0</v>
      </c>
      <c r="Z45" s="13" t="e">
        <f t="shared" si="51"/>
        <v>#DIV/0!</v>
      </c>
      <c r="AA45" s="13">
        <v>0</v>
      </c>
      <c r="AB45" s="11">
        <v>0</v>
      </c>
      <c r="AC45" s="13" t="e">
        <f t="shared" si="52"/>
        <v>#DIV/0!</v>
      </c>
      <c r="AD45" s="13">
        <v>0</v>
      </c>
      <c r="AE45" s="11">
        <v>0</v>
      </c>
      <c r="AF45" s="10">
        <f t="shared" si="53"/>
        <v>1580.7835820895523</v>
      </c>
      <c r="AG45" s="13">
        <v>42365</v>
      </c>
      <c r="AH45" s="11">
        <v>26.8</v>
      </c>
      <c r="AI45" s="13" t="e">
        <f t="shared" si="54"/>
        <v>#DIV/0!</v>
      </c>
      <c r="AJ45" s="13">
        <v>0</v>
      </c>
      <c r="AK45" s="11">
        <v>0</v>
      </c>
      <c r="AL45" s="13" t="e">
        <f t="shared" si="55"/>
        <v>#DIV/0!</v>
      </c>
      <c r="AM45" s="13">
        <v>0</v>
      </c>
      <c r="AN45" s="11">
        <v>0</v>
      </c>
      <c r="AO45" s="13">
        <f t="shared" si="38"/>
        <v>1711.6266666666668</v>
      </c>
      <c r="AP45" s="10">
        <f t="shared" si="42"/>
        <v>128372</v>
      </c>
      <c r="AQ45" s="11">
        <f t="shared" si="43"/>
        <v>75</v>
      </c>
    </row>
    <row r="46" spans="1:67" x14ac:dyDescent="0.3">
      <c r="A46" s="9" t="s">
        <v>59</v>
      </c>
      <c r="B46" s="28"/>
      <c r="C46" s="28"/>
      <c r="D46" s="28"/>
      <c r="E46" s="10" t="e">
        <f t="shared" si="44"/>
        <v>#DIV/0!</v>
      </c>
      <c r="F46" s="10">
        <v>0</v>
      </c>
      <c r="G46" s="11">
        <v>0</v>
      </c>
      <c r="H46" s="10" t="e">
        <f t="shared" si="45"/>
        <v>#DIV/0!</v>
      </c>
      <c r="I46" s="10">
        <v>0</v>
      </c>
      <c r="J46" s="11">
        <v>0</v>
      </c>
      <c r="K46" s="10" t="e">
        <f t="shared" si="46"/>
        <v>#DIV/0!</v>
      </c>
      <c r="L46" s="10">
        <v>0</v>
      </c>
      <c r="M46" s="11">
        <v>0</v>
      </c>
      <c r="N46" s="10">
        <f t="shared" si="47"/>
        <v>2378.7931034482758</v>
      </c>
      <c r="O46" s="10">
        <v>55188</v>
      </c>
      <c r="P46" s="11">
        <v>23.2</v>
      </c>
      <c r="Q46" s="10" t="e">
        <f t="shared" si="48"/>
        <v>#DIV/0!</v>
      </c>
      <c r="R46" s="10">
        <v>0</v>
      </c>
      <c r="S46" s="11">
        <v>0</v>
      </c>
      <c r="T46" s="10" t="e">
        <f t="shared" si="49"/>
        <v>#DIV/0!</v>
      </c>
      <c r="U46" s="10">
        <v>0</v>
      </c>
      <c r="V46" s="11">
        <v>0</v>
      </c>
      <c r="W46" s="10" t="e">
        <f t="shared" si="50"/>
        <v>#DIV/0!</v>
      </c>
      <c r="X46" s="10">
        <v>0</v>
      </c>
      <c r="Y46" s="11">
        <v>0</v>
      </c>
      <c r="Z46" s="10">
        <f t="shared" si="51"/>
        <v>1583.0204081632653</v>
      </c>
      <c r="AA46" s="10">
        <v>38784</v>
      </c>
      <c r="AB46" s="11">
        <v>24.5</v>
      </c>
      <c r="AC46" s="10" t="e">
        <f t="shared" si="52"/>
        <v>#DIV/0!</v>
      </c>
      <c r="AD46" s="10">
        <v>0</v>
      </c>
      <c r="AE46" s="11">
        <v>0</v>
      </c>
      <c r="AF46" s="10" t="e">
        <f t="shared" si="53"/>
        <v>#DIV/0!</v>
      </c>
      <c r="AG46" s="10">
        <v>0</v>
      </c>
      <c r="AH46" s="11">
        <v>0</v>
      </c>
      <c r="AI46" s="10" t="e">
        <f t="shared" si="54"/>
        <v>#DIV/0!</v>
      </c>
      <c r="AJ46" s="10">
        <v>0</v>
      </c>
      <c r="AK46" s="11">
        <v>0</v>
      </c>
      <c r="AL46" s="10" t="e">
        <f t="shared" si="55"/>
        <v>#DIV/0!</v>
      </c>
      <c r="AM46" s="10">
        <v>0</v>
      </c>
      <c r="AN46" s="11">
        <v>0</v>
      </c>
      <c r="AO46" s="10">
        <f t="shared" si="38"/>
        <v>1970.0628930817609</v>
      </c>
      <c r="AP46" s="10">
        <f t="shared" si="42"/>
        <v>93972</v>
      </c>
      <c r="AQ46" s="11">
        <f t="shared" si="43"/>
        <v>47.7</v>
      </c>
    </row>
    <row r="47" spans="1:67" x14ac:dyDescent="0.3">
      <c r="A47" s="9" t="s">
        <v>56</v>
      </c>
      <c r="B47" s="28"/>
      <c r="C47" s="28"/>
      <c r="D47" s="28"/>
      <c r="E47" s="10" t="e">
        <f t="shared" si="44"/>
        <v>#DIV/0!</v>
      </c>
      <c r="F47" s="10">
        <v>0</v>
      </c>
      <c r="G47" s="11">
        <v>0</v>
      </c>
      <c r="H47" s="10">
        <f t="shared" si="45"/>
        <v>3015.6521739130435</v>
      </c>
      <c r="I47" s="10">
        <v>6936</v>
      </c>
      <c r="J47" s="11">
        <v>2.2999999999999998</v>
      </c>
      <c r="K47" s="10" t="e">
        <f t="shared" si="46"/>
        <v>#DIV/0!</v>
      </c>
      <c r="L47" s="10">
        <v>0</v>
      </c>
      <c r="M47" s="11">
        <v>0</v>
      </c>
      <c r="N47" s="10">
        <f t="shared" si="47"/>
        <v>2506.7716535433074</v>
      </c>
      <c r="O47" s="10">
        <v>31836</v>
      </c>
      <c r="P47" s="11">
        <v>12.7</v>
      </c>
      <c r="Q47" s="10" t="e">
        <f t="shared" si="48"/>
        <v>#DIV/0!</v>
      </c>
      <c r="R47" s="10">
        <v>0</v>
      </c>
      <c r="S47" s="11">
        <v>0</v>
      </c>
      <c r="T47" s="10" t="e">
        <f t="shared" si="49"/>
        <v>#DIV/0!</v>
      </c>
      <c r="U47" s="10">
        <v>0</v>
      </c>
      <c r="V47" s="11">
        <v>0</v>
      </c>
      <c r="W47" s="10" t="e">
        <f t="shared" si="50"/>
        <v>#DIV/0!</v>
      </c>
      <c r="X47" s="10">
        <v>0</v>
      </c>
      <c r="Y47" s="11">
        <v>0</v>
      </c>
      <c r="Z47" s="10" t="e">
        <f t="shared" si="51"/>
        <v>#DIV/0!</v>
      </c>
      <c r="AA47" s="10">
        <v>0</v>
      </c>
      <c r="AB47" s="11">
        <v>0</v>
      </c>
      <c r="AC47" s="10">
        <f t="shared" si="52"/>
        <v>2666.6666666666665</v>
      </c>
      <c r="AD47" s="10">
        <v>4800</v>
      </c>
      <c r="AE47" s="11">
        <v>1.8</v>
      </c>
      <c r="AF47" s="10">
        <f t="shared" si="53"/>
        <v>3044</v>
      </c>
      <c r="AG47" s="10">
        <v>3044</v>
      </c>
      <c r="AH47" s="11">
        <v>1</v>
      </c>
      <c r="AI47" s="10" t="e">
        <f t="shared" si="54"/>
        <v>#DIV/0!</v>
      </c>
      <c r="AJ47" s="10">
        <v>0</v>
      </c>
      <c r="AK47" s="11">
        <v>0</v>
      </c>
      <c r="AL47" s="10" t="e">
        <f t="shared" si="55"/>
        <v>#DIV/0!</v>
      </c>
      <c r="AM47" s="10">
        <v>0</v>
      </c>
      <c r="AN47" s="11">
        <v>0</v>
      </c>
      <c r="AO47" s="10">
        <f t="shared" si="38"/>
        <v>2618.8764044943819</v>
      </c>
      <c r="AP47" s="10">
        <f t="shared" si="42"/>
        <v>46616</v>
      </c>
      <c r="AQ47" s="11">
        <f t="shared" si="43"/>
        <v>17.8</v>
      </c>
    </row>
    <row r="48" spans="1:67" x14ac:dyDescent="0.3">
      <c r="A48" s="9" t="s">
        <v>82</v>
      </c>
      <c r="B48" s="28"/>
      <c r="C48" s="28"/>
      <c r="D48" s="28"/>
      <c r="E48" s="10" t="e">
        <f t="shared" si="44"/>
        <v>#DIV/0!</v>
      </c>
      <c r="F48" s="10">
        <v>0</v>
      </c>
      <c r="G48" s="11">
        <v>0</v>
      </c>
      <c r="H48" s="10">
        <f t="shared" si="45"/>
        <v>1548.9425287356321</v>
      </c>
      <c r="I48" s="10">
        <v>67379</v>
      </c>
      <c r="J48" s="11">
        <v>43.5</v>
      </c>
      <c r="K48" s="10" t="e">
        <f t="shared" si="46"/>
        <v>#DIV/0!</v>
      </c>
      <c r="L48" s="10">
        <v>0</v>
      </c>
      <c r="M48" s="11">
        <v>0</v>
      </c>
      <c r="N48" s="10" t="e">
        <f t="shared" si="47"/>
        <v>#DIV/0!</v>
      </c>
      <c r="O48" s="10">
        <v>0</v>
      </c>
      <c r="P48" s="11">
        <v>0</v>
      </c>
      <c r="Q48" s="10" t="e">
        <f t="shared" si="48"/>
        <v>#DIV/0!</v>
      </c>
      <c r="R48" s="10">
        <v>0</v>
      </c>
      <c r="S48" s="11">
        <v>0</v>
      </c>
      <c r="T48" s="10" t="e">
        <f t="shared" si="49"/>
        <v>#DIV/0!</v>
      </c>
      <c r="U48" s="10">
        <v>0</v>
      </c>
      <c r="V48" s="11">
        <v>0</v>
      </c>
      <c r="W48" s="10" t="e">
        <f t="shared" si="50"/>
        <v>#DIV/0!</v>
      </c>
      <c r="X48" s="10">
        <v>0</v>
      </c>
      <c r="Y48" s="11">
        <v>0</v>
      </c>
      <c r="Z48" s="10" t="e">
        <f t="shared" si="51"/>
        <v>#DIV/0!</v>
      </c>
      <c r="AA48" s="10">
        <v>0</v>
      </c>
      <c r="AB48" s="11">
        <v>0</v>
      </c>
      <c r="AC48" s="10">
        <f t="shared" si="52"/>
        <v>1549.5164835164835</v>
      </c>
      <c r="AD48" s="10">
        <v>141006</v>
      </c>
      <c r="AE48" s="11">
        <v>91</v>
      </c>
      <c r="AF48" s="10" t="e">
        <f t="shared" si="53"/>
        <v>#DIV/0!</v>
      </c>
      <c r="AG48" s="10">
        <v>0</v>
      </c>
      <c r="AH48" s="11">
        <v>0</v>
      </c>
      <c r="AI48" s="10" t="e">
        <f t="shared" si="54"/>
        <v>#DIV/0!</v>
      </c>
      <c r="AJ48" s="10">
        <v>0</v>
      </c>
      <c r="AK48" s="11">
        <v>0</v>
      </c>
      <c r="AL48" s="10" t="e">
        <f t="shared" si="55"/>
        <v>#DIV/0!</v>
      </c>
      <c r="AM48" s="10">
        <v>0</v>
      </c>
      <c r="AN48" s="11">
        <v>0</v>
      </c>
      <c r="AO48" s="10">
        <f t="shared" si="38"/>
        <v>1549.3308550185873</v>
      </c>
      <c r="AP48" s="10">
        <f t="shared" si="42"/>
        <v>208385</v>
      </c>
      <c r="AQ48" s="11">
        <f t="shared" si="43"/>
        <v>134.5</v>
      </c>
    </row>
    <row r="49" spans="1:43" x14ac:dyDescent="0.3">
      <c r="A49" s="9" t="s">
        <v>33</v>
      </c>
      <c r="B49" s="28"/>
      <c r="C49" s="28"/>
      <c r="D49" s="28"/>
      <c r="E49" s="10">
        <f t="shared" si="44"/>
        <v>2133.3333333333335</v>
      </c>
      <c r="F49" s="10">
        <v>3200</v>
      </c>
      <c r="G49" s="11">
        <v>1.5</v>
      </c>
      <c r="H49" s="10" t="e">
        <f t="shared" si="45"/>
        <v>#DIV/0!</v>
      </c>
      <c r="I49" s="10">
        <v>0</v>
      </c>
      <c r="J49" s="11">
        <v>0</v>
      </c>
      <c r="K49" s="10" t="e">
        <f t="shared" si="46"/>
        <v>#DIV/0!</v>
      </c>
      <c r="L49" s="10">
        <v>0</v>
      </c>
      <c r="M49" s="11">
        <v>0</v>
      </c>
      <c r="N49" s="10" t="e">
        <f t="shared" si="47"/>
        <v>#DIV/0!</v>
      </c>
      <c r="O49" s="10">
        <v>0</v>
      </c>
      <c r="P49" s="11">
        <v>0</v>
      </c>
      <c r="Q49" s="10" t="e">
        <f t="shared" si="48"/>
        <v>#DIV/0!</v>
      </c>
      <c r="R49" s="10">
        <v>0</v>
      </c>
      <c r="S49" s="11">
        <v>0</v>
      </c>
      <c r="T49" s="10" t="e">
        <f t="shared" si="49"/>
        <v>#DIV/0!</v>
      </c>
      <c r="U49" s="10">
        <v>0</v>
      </c>
      <c r="V49" s="11">
        <v>0</v>
      </c>
      <c r="W49" s="10" t="e">
        <f t="shared" si="50"/>
        <v>#DIV/0!</v>
      </c>
      <c r="X49" s="10">
        <v>0</v>
      </c>
      <c r="Y49" s="11">
        <v>0</v>
      </c>
      <c r="Z49" s="10" t="e">
        <f t="shared" si="51"/>
        <v>#DIV/0!</v>
      </c>
      <c r="AA49" s="10">
        <v>0</v>
      </c>
      <c r="AB49" s="11">
        <v>0</v>
      </c>
      <c r="AC49" s="10" t="e">
        <f t="shared" si="52"/>
        <v>#DIV/0!</v>
      </c>
      <c r="AD49" s="10">
        <v>0</v>
      </c>
      <c r="AE49" s="11">
        <v>0</v>
      </c>
      <c r="AF49" s="10" t="e">
        <f t="shared" si="53"/>
        <v>#DIV/0!</v>
      </c>
      <c r="AG49" s="10">
        <v>0</v>
      </c>
      <c r="AH49" s="11">
        <v>0</v>
      </c>
      <c r="AI49" s="10" t="e">
        <f t="shared" si="54"/>
        <v>#DIV/0!</v>
      </c>
      <c r="AJ49" s="10">
        <v>0</v>
      </c>
      <c r="AK49" s="11">
        <v>0</v>
      </c>
      <c r="AL49" s="10" t="e">
        <f t="shared" si="55"/>
        <v>#DIV/0!</v>
      </c>
      <c r="AM49" s="10">
        <v>0</v>
      </c>
      <c r="AN49" s="11">
        <v>0</v>
      </c>
      <c r="AO49" s="10">
        <f t="shared" si="38"/>
        <v>2133.3333333333335</v>
      </c>
      <c r="AP49" s="10">
        <f t="shared" si="42"/>
        <v>3200</v>
      </c>
      <c r="AQ49" s="11">
        <f t="shared" si="43"/>
        <v>1.5</v>
      </c>
    </row>
    <row r="50" spans="1:43" x14ac:dyDescent="0.3">
      <c r="A50" s="9" t="s">
        <v>22</v>
      </c>
      <c r="B50" s="28"/>
      <c r="C50" s="28"/>
      <c r="D50" s="28"/>
      <c r="E50" s="10" t="e">
        <f t="shared" si="44"/>
        <v>#DIV/0!</v>
      </c>
      <c r="F50" s="10">
        <v>0</v>
      </c>
      <c r="G50" s="11">
        <v>0</v>
      </c>
      <c r="H50" s="10" t="e">
        <f t="shared" si="45"/>
        <v>#DIV/0!</v>
      </c>
      <c r="I50" s="10">
        <v>0</v>
      </c>
      <c r="J50" s="11">
        <v>0</v>
      </c>
      <c r="K50" s="10">
        <f t="shared" si="46"/>
        <v>2206.4</v>
      </c>
      <c r="L50" s="10">
        <v>5516</v>
      </c>
      <c r="M50" s="11">
        <v>2.5</v>
      </c>
      <c r="N50" s="10" t="e">
        <f t="shared" si="47"/>
        <v>#DIV/0!</v>
      </c>
      <c r="O50" s="10">
        <v>0</v>
      </c>
      <c r="P50" s="11">
        <v>0</v>
      </c>
      <c r="Q50" s="10">
        <f t="shared" si="48"/>
        <v>12490</v>
      </c>
      <c r="R50" s="10">
        <v>3747</v>
      </c>
      <c r="S50" s="11">
        <v>0.3</v>
      </c>
      <c r="T50" s="10" t="e">
        <f t="shared" si="49"/>
        <v>#DIV/0!</v>
      </c>
      <c r="U50" s="10">
        <v>0</v>
      </c>
      <c r="V50" s="11">
        <v>0</v>
      </c>
      <c r="W50" s="10" t="e">
        <f t="shared" si="50"/>
        <v>#DIV/0!</v>
      </c>
      <c r="X50" s="10">
        <v>0</v>
      </c>
      <c r="Y50" s="11">
        <v>0</v>
      </c>
      <c r="Z50" s="10" t="e">
        <f t="shared" si="51"/>
        <v>#DIV/0!</v>
      </c>
      <c r="AA50" s="10">
        <v>0</v>
      </c>
      <c r="AB50" s="11">
        <v>0</v>
      </c>
      <c r="AC50" s="10" t="e">
        <f t="shared" si="52"/>
        <v>#DIV/0!</v>
      </c>
      <c r="AD50" s="10">
        <v>0</v>
      </c>
      <c r="AE50" s="11">
        <v>0</v>
      </c>
      <c r="AF50" s="10" t="e">
        <f t="shared" si="53"/>
        <v>#DIV/0!</v>
      </c>
      <c r="AG50" s="10">
        <v>0</v>
      </c>
      <c r="AH50" s="11">
        <v>0</v>
      </c>
      <c r="AI50" s="10" t="e">
        <f t="shared" si="54"/>
        <v>#DIV/0!</v>
      </c>
      <c r="AJ50" s="10">
        <v>0</v>
      </c>
      <c r="AK50" s="11">
        <v>0</v>
      </c>
      <c r="AL50" s="10" t="e">
        <f t="shared" si="55"/>
        <v>#DIV/0!</v>
      </c>
      <c r="AM50" s="10">
        <v>0</v>
      </c>
      <c r="AN50" s="11">
        <v>0</v>
      </c>
      <c r="AO50" s="10">
        <f t="shared" si="38"/>
        <v>3308.2142857142858</v>
      </c>
      <c r="AP50" s="10">
        <f t="shared" si="42"/>
        <v>9263</v>
      </c>
      <c r="AQ50" s="11">
        <f t="shared" si="43"/>
        <v>2.8</v>
      </c>
    </row>
    <row r="51" spans="1:43" x14ac:dyDescent="0.3">
      <c r="A51" s="9" t="s">
        <v>83</v>
      </c>
      <c r="B51" s="28"/>
      <c r="C51" s="28"/>
      <c r="D51" s="28"/>
      <c r="E51" s="10" t="e">
        <f t="shared" si="44"/>
        <v>#DIV/0!</v>
      </c>
      <c r="F51" s="10">
        <v>0</v>
      </c>
      <c r="G51" s="11">
        <v>0</v>
      </c>
      <c r="H51" s="10" t="e">
        <f t="shared" si="45"/>
        <v>#DIV/0!</v>
      </c>
      <c r="I51" s="10">
        <v>0</v>
      </c>
      <c r="J51" s="11">
        <v>0</v>
      </c>
      <c r="K51" s="10">
        <f t="shared" si="46"/>
        <v>2233.7931034482758</v>
      </c>
      <c r="L51" s="10">
        <v>6478</v>
      </c>
      <c r="M51" s="11">
        <v>2.9</v>
      </c>
      <c r="N51" s="10">
        <f t="shared" si="47"/>
        <v>2459.6</v>
      </c>
      <c r="O51" s="10">
        <v>6149</v>
      </c>
      <c r="P51" s="11">
        <v>2.5</v>
      </c>
      <c r="Q51" s="10">
        <f t="shared" si="48"/>
        <v>2207.3684210526317</v>
      </c>
      <c r="R51" s="10">
        <v>8388</v>
      </c>
      <c r="S51" s="11">
        <v>3.8</v>
      </c>
      <c r="T51" s="10" t="e">
        <f t="shared" si="49"/>
        <v>#DIV/0!</v>
      </c>
      <c r="U51" s="10">
        <v>0</v>
      </c>
      <c r="V51" s="11">
        <v>0</v>
      </c>
      <c r="W51" s="10">
        <f t="shared" si="50"/>
        <v>2161.818181818182</v>
      </c>
      <c r="X51" s="10">
        <v>7134</v>
      </c>
      <c r="Y51" s="11">
        <v>3.3</v>
      </c>
      <c r="Z51" s="10" t="e">
        <f t="shared" si="51"/>
        <v>#DIV/0!</v>
      </c>
      <c r="AA51" s="10">
        <v>0</v>
      </c>
      <c r="AB51" s="11">
        <v>0</v>
      </c>
      <c r="AC51" s="10" t="e">
        <f t="shared" si="52"/>
        <v>#DIV/0!</v>
      </c>
      <c r="AD51" s="10">
        <v>0</v>
      </c>
      <c r="AE51" s="11">
        <v>0</v>
      </c>
      <c r="AF51" s="10" t="e">
        <f t="shared" si="53"/>
        <v>#DIV/0!</v>
      </c>
      <c r="AG51" s="10">
        <v>0</v>
      </c>
      <c r="AH51" s="11">
        <v>0</v>
      </c>
      <c r="AI51" s="10" t="e">
        <f t="shared" si="54"/>
        <v>#DIV/0!</v>
      </c>
      <c r="AJ51" s="10">
        <v>0</v>
      </c>
      <c r="AK51" s="11">
        <v>0</v>
      </c>
      <c r="AL51" s="10" t="e">
        <f t="shared" si="55"/>
        <v>#DIV/0!</v>
      </c>
      <c r="AM51" s="10">
        <v>0</v>
      </c>
      <c r="AN51" s="11">
        <v>0</v>
      </c>
      <c r="AO51" s="10">
        <f t="shared" si="38"/>
        <v>2251.92</v>
      </c>
      <c r="AP51" s="10">
        <f t="shared" si="42"/>
        <v>28149</v>
      </c>
      <c r="AQ51" s="11">
        <f t="shared" si="43"/>
        <v>12.5</v>
      </c>
    </row>
    <row r="52" spans="1:43" x14ac:dyDescent="0.3">
      <c r="A52" s="9" t="s">
        <v>84</v>
      </c>
      <c r="B52" s="28"/>
      <c r="C52" s="28"/>
      <c r="D52" s="28"/>
      <c r="E52" s="10" t="e">
        <f t="shared" si="44"/>
        <v>#DIV/0!</v>
      </c>
      <c r="F52" s="10">
        <v>0</v>
      </c>
      <c r="G52" s="11">
        <v>0</v>
      </c>
      <c r="H52" s="10" t="e">
        <f t="shared" si="45"/>
        <v>#DIV/0!</v>
      </c>
      <c r="I52" s="10">
        <v>0</v>
      </c>
      <c r="J52" s="11">
        <v>0</v>
      </c>
      <c r="K52" s="10" t="e">
        <f t="shared" si="46"/>
        <v>#DIV/0!</v>
      </c>
      <c r="L52" s="10">
        <v>0</v>
      </c>
      <c r="M52" s="11">
        <v>0</v>
      </c>
      <c r="N52" s="10" t="e">
        <f t="shared" si="47"/>
        <v>#DIV/0!</v>
      </c>
      <c r="O52" s="10">
        <v>0</v>
      </c>
      <c r="P52" s="11">
        <v>0</v>
      </c>
      <c r="Q52" s="10" t="e">
        <f t="shared" si="48"/>
        <v>#DIV/0!</v>
      </c>
      <c r="R52" s="10">
        <v>0</v>
      </c>
      <c r="S52" s="11">
        <v>0</v>
      </c>
      <c r="T52" s="10">
        <f t="shared" si="49"/>
        <v>1708.6285714285714</v>
      </c>
      <c r="U52" s="10">
        <v>119604</v>
      </c>
      <c r="V52" s="11">
        <v>70</v>
      </c>
      <c r="W52" s="10" t="e">
        <f t="shared" si="50"/>
        <v>#DIV/0!</v>
      </c>
      <c r="X52" s="10">
        <v>0</v>
      </c>
      <c r="Y52" s="11">
        <v>0</v>
      </c>
      <c r="Z52" s="10" t="e">
        <f t="shared" si="51"/>
        <v>#DIV/0!</v>
      </c>
      <c r="AA52" s="10">
        <v>0</v>
      </c>
      <c r="AB52" s="11">
        <v>0</v>
      </c>
      <c r="AC52" s="10" t="e">
        <f t="shared" si="52"/>
        <v>#DIV/0!</v>
      </c>
      <c r="AD52" s="10">
        <v>0</v>
      </c>
      <c r="AE52" s="11">
        <v>0</v>
      </c>
      <c r="AF52" s="10" t="e">
        <f t="shared" si="53"/>
        <v>#DIV/0!</v>
      </c>
      <c r="AG52" s="10">
        <v>0</v>
      </c>
      <c r="AH52" s="11">
        <v>0</v>
      </c>
      <c r="AI52" s="10" t="e">
        <f t="shared" si="54"/>
        <v>#DIV/0!</v>
      </c>
      <c r="AJ52" s="10">
        <v>0</v>
      </c>
      <c r="AK52" s="11">
        <v>0</v>
      </c>
      <c r="AL52" s="10" t="e">
        <f t="shared" si="55"/>
        <v>#DIV/0!</v>
      </c>
      <c r="AM52" s="10">
        <v>0</v>
      </c>
      <c r="AN52" s="11">
        <v>0</v>
      </c>
      <c r="AO52" s="10">
        <f t="shared" si="38"/>
        <v>1708.6285714285714</v>
      </c>
      <c r="AP52" s="10">
        <f t="shared" si="42"/>
        <v>119604</v>
      </c>
      <c r="AQ52" s="11">
        <f t="shared" si="43"/>
        <v>70</v>
      </c>
    </row>
    <row r="53" spans="1:43" x14ac:dyDescent="0.3">
      <c r="A53" s="9" t="s">
        <v>34</v>
      </c>
      <c r="B53" s="28"/>
      <c r="C53" s="28"/>
      <c r="D53" s="28"/>
      <c r="E53" s="10" t="e">
        <f t="shared" si="44"/>
        <v>#DIV/0!</v>
      </c>
      <c r="F53" s="10">
        <v>0</v>
      </c>
      <c r="G53" s="11">
        <v>0</v>
      </c>
      <c r="H53" s="10" t="e">
        <f t="shared" si="45"/>
        <v>#DIV/0!</v>
      </c>
      <c r="I53" s="10">
        <v>0</v>
      </c>
      <c r="J53" s="11">
        <v>0</v>
      </c>
      <c r="K53" s="10" t="e">
        <f t="shared" si="46"/>
        <v>#DIV/0!</v>
      </c>
      <c r="L53" s="10">
        <v>0</v>
      </c>
      <c r="M53" s="11">
        <v>0</v>
      </c>
      <c r="N53" s="10" t="e">
        <f t="shared" si="47"/>
        <v>#DIV/0!</v>
      </c>
      <c r="O53" s="10">
        <v>0</v>
      </c>
      <c r="P53" s="11">
        <v>0</v>
      </c>
      <c r="Q53" s="10" t="e">
        <f t="shared" si="48"/>
        <v>#DIV/0!</v>
      </c>
      <c r="R53" s="10">
        <v>0</v>
      </c>
      <c r="S53" s="11">
        <v>0</v>
      </c>
      <c r="T53" s="10" t="e">
        <f t="shared" si="49"/>
        <v>#DIV/0!</v>
      </c>
      <c r="U53" s="10">
        <v>0</v>
      </c>
      <c r="V53" s="11">
        <v>0</v>
      </c>
      <c r="W53" s="10" t="e">
        <f t="shared" si="50"/>
        <v>#DIV/0!</v>
      </c>
      <c r="X53" s="10">
        <v>0</v>
      </c>
      <c r="Y53" s="11">
        <v>0</v>
      </c>
      <c r="Z53" s="10" t="e">
        <f t="shared" si="51"/>
        <v>#DIV/0!</v>
      </c>
      <c r="AA53" s="10">
        <v>0</v>
      </c>
      <c r="AB53" s="11">
        <v>0</v>
      </c>
      <c r="AC53" s="10">
        <f t="shared" si="52"/>
        <v>1544.1176470588236</v>
      </c>
      <c r="AD53" s="10">
        <v>2625</v>
      </c>
      <c r="AE53" s="11">
        <v>1.7</v>
      </c>
      <c r="AF53" s="10" t="e">
        <f t="shared" si="53"/>
        <v>#DIV/0!</v>
      </c>
      <c r="AG53" s="10">
        <v>0</v>
      </c>
      <c r="AH53" s="11">
        <v>0</v>
      </c>
      <c r="AI53" s="10">
        <f t="shared" si="54"/>
        <v>1554.9122807017543</v>
      </c>
      <c r="AJ53" s="10">
        <v>17726</v>
      </c>
      <c r="AK53" s="11">
        <v>11.4</v>
      </c>
      <c r="AL53" s="10" t="e">
        <f t="shared" si="55"/>
        <v>#DIV/0!</v>
      </c>
      <c r="AM53" s="10">
        <v>0</v>
      </c>
      <c r="AN53" s="11">
        <v>0</v>
      </c>
      <c r="AO53" s="10">
        <f t="shared" si="38"/>
        <v>1553.5114503816794</v>
      </c>
      <c r="AP53" s="10">
        <f t="shared" si="42"/>
        <v>20351</v>
      </c>
      <c r="AQ53" s="11">
        <f t="shared" si="43"/>
        <v>13.1</v>
      </c>
    </row>
    <row r="54" spans="1:43" x14ac:dyDescent="0.3">
      <c r="A54" s="9" t="s">
        <v>60</v>
      </c>
      <c r="B54" s="28"/>
      <c r="C54" s="28"/>
      <c r="D54" s="28"/>
      <c r="E54" s="10" t="e">
        <f t="shared" si="44"/>
        <v>#DIV/0!</v>
      </c>
      <c r="F54" s="10">
        <v>0</v>
      </c>
      <c r="G54" s="11">
        <v>0</v>
      </c>
      <c r="H54" s="10">
        <f t="shared" si="45"/>
        <v>1567.2727272727273</v>
      </c>
      <c r="I54" s="10">
        <v>5172</v>
      </c>
      <c r="J54" s="11">
        <v>3.3</v>
      </c>
      <c r="K54" s="10" t="e">
        <f t="shared" si="46"/>
        <v>#DIV/0!</v>
      </c>
      <c r="L54" s="10">
        <v>0</v>
      </c>
      <c r="M54" s="11">
        <v>0</v>
      </c>
      <c r="N54" s="10" t="e">
        <f t="shared" si="47"/>
        <v>#DIV/0!</v>
      </c>
      <c r="O54" s="10">
        <v>0</v>
      </c>
      <c r="P54" s="11">
        <v>0</v>
      </c>
      <c r="Q54" s="10" t="e">
        <f t="shared" si="48"/>
        <v>#DIV/0!</v>
      </c>
      <c r="R54" s="10">
        <v>0</v>
      </c>
      <c r="S54" s="11">
        <v>0</v>
      </c>
      <c r="T54" s="10" t="e">
        <f t="shared" si="49"/>
        <v>#DIV/0!</v>
      </c>
      <c r="U54" s="10">
        <v>0</v>
      </c>
      <c r="V54" s="11">
        <v>0</v>
      </c>
      <c r="W54" s="10" t="e">
        <f t="shared" si="50"/>
        <v>#DIV/0!</v>
      </c>
      <c r="X54" s="10">
        <v>0</v>
      </c>
      <c r="Y54" s="11">
        <v>0</v>
      </c>
      <c r="Z54" s="10" t="e">
        <f t="shared" si="51"/>
        <v>#DIV/0!</v>
      </c>
      <c r="AA54" s="10">
        <v>0</v>
      </c>
      <c r="AB54" s="11">
        <v>0</v>
      </c>
      <c r="AC54" s="10" t="e">
        <f t="shared" si="52"/>
        <v>#DIV/0!</v>
      </c>
      <c r="AD54" s="10">
        <v>0</v>
      </c>
      <c r="AE54" s="11">
        <v>0</v>
      </c>
      <c r="AF54" s="10" t="e">
        <f t="shared" si="53"/>
        <v>#DIV/0!</v>
      </c>
      <c r="AG54" s="10">
        <v>0</v>
      </c>
      <c r="AH54" s="11">
        <v>0</v>
      </c>
      <c r="AI54" s="10" t="e">
        <f t="shared" si="54"/>
        <v>#DIV/0!</v>
      </c>
      <c r="AJ54" s="10">
        <v>0</v>
      </c>
      <c r="AK54" s="11">
        <v>0</v>
      </c>
      <c r="AL54" s="10" t="e">
        <f t="shared" si="55"/>
        <v>#DIV/0!</v>
      </c>
      <c r="AM54" s="10">
        <v>0</v>
      </c>
      <c r="AN54" s="11">
        <v>0</v>
      </c>
      <c r="AO54" s="10">
        <f t="shared" si="38"/>
        <v>1567.2727272727273</v>
      </c>
      <c r="AP54" s="10">
        <f t="shared" si="42"/>
        <v>5172</v>
      </c>
      <c r="AQ54" s="11">
        <f t="shared" si="43"/>
        <v>3.3</v>
      </c>
    </row>
    <row r="55" spans="1:43" x14ac:dyDescent="0.3">
      <c r="A55" s="9" t="s">
        <v>67</v>
      </c>
      <c r="B55" s="28"/>
      <c r="C55" s="28"/>
      <c r="D55" s="28"/>
      <c r="E55" s="18" t="e">
        <f t="shared" si="44"/>
        <v>#DIV/0!</v>
      </c>
      <c r="F55" s="13">
        <v>0</v>
      </c>
      <c r="G55" s="11">
        <v>0</v>
      </c>
      <c r="H55" s="13" t="e">
        <f t="shared" si="45"/>
        <v>#DIV/0!</v>
      </c>
      <c r="I55" s="13">
        <v>0</v>
      </c>
      <c r="J55" s="11">
        <v>0</v>
      </c>
      <c r="K55" s="18" t="e">
        <f t="shared" si="46"/>
        <v>#DIV/0!</v>
      </c>
      <c r="L55" s="13">
        <v>0</v>
      </c>
      <c r="M55" s="11">
        <v>0</v>
      </c>
      <c r="N55" s="18" t="e">
        <f t="shared" si="47"/>
        <v>#DIV/0!</v>
      </c>
      <c r="O55" s="13">
        <v>0</v>
      </c>
      <c r="P55" s="11">
        <v>0</v>
      </c>
      <c r="Q55" s="18" t="e">
        <f t="shared" si="48"/>
        <v>#DIV/0!</v>
      </c>
      <c r="R55" s="13">
        <v>0</v>
      </c>
      <c r="S55" s="11">
        <v>0</v>
      </c>
      <c r="T55" s="18">
        <f t="shared" si="49"/>
        <v>1675.1</v>
      </c>
      <c r="U55" s="13">
        <v>201012</v>
      </c>
      <c r="V55" s="11">
        <v>120</v>
      </c>
      <c r="W55" s="18" t="e">
        <f t="shared" si="50"/>
        <v>#DIV/0!</v>
      </c>
      <c r="X55" s="13">
        <v>0</v>
      </c>
      <c r="Y55" s="11">
        <v>0</v>
      </c>
      <c r="Z55" s="18" t="e">
        <f t="shared" si="51"/>
        <v>#DIV/0!</v>
      </c>
      <c r="AA55" s="13">
        <v>0</v>
      </c>
      <c r="AB55" s="11">
        <v>0</v>
      </c>
      <c r="AC55" s="18">
        <f t="shared" si="52"/>
        <v>1584.6</v>
      </c>
      <c r="AD55" s="13">
        <v>142614</v>
      </c>
      <c r="AE55" s="11">
        <v>90</v>
      </c>
      <c r="AF55" s="18" t="e">
        <f t="shared" si="53"/>
        <v>#DIV/0!</v>
      </c>
      <c r="AG55" s="13">
        <v>0</v>
      </c>
      <c r="AH55" s="11">
        <v>0</v>
      </c>
      <c r="AI55" s="13" t="e">
        <f t="shared" si="54"/>
        <v>#DIV/0!</v>
      </c>
      <c r="AJ55" s="13">
        <v>0</v>
      </c>
      <c r="AK55" s="11">
        <v>0</v>
      </c>
      <c r="AL55" s="18" t="e">
        <f t="shared" si="55"/>
        <v>#DIV/0!</v>
      </c>
      <c r="AM55" s="13">
        <v>0</v>
      </c>
      <c r="AN55" s="11">
        <v>0</v>
      </c>
      <c r="AO55" s="18">
        <f t="shared" si="38"/>
        <v>1636.3142857142857</v>
      </c>
      <c r="AP55" s="13">
        <f t="shared" si="42"/>
        <v>343626</v>
      </c>
      <c r="AQ55" s="11">
        <f t="shared" si="43"/>
        <v>210</v>
      </c>
    </row>
    <row r="56" spans="1:43" x14ac:dyDescent="0.3">
      <c r="A56" s="9" t="s">
        <v>74</v>
      </c>
      <c r="B56" s="28"/>
      <c r="C56" s="28"/>
      <c r="D56" s="28"/>
      <c r="E56" s="18">
        <f t="shared" si="44"/>
        <v>1006.9743106292717</v>
      </c>
      <c r="F56" s="13">
        <f>SUM(F57:F74)</f>
        <v>6408888</v>
      </c>
      <c r="G56" s="11">
        <f t="shared" ref="G56" si="56">SUM(G57:G74)</f>
        <v>6364.5</v>
      </c>
      <c r="H56" s="18">
        <f t="shared" si="45"/>
        <v>1291.2250453720505</v>
      </c>
      <c r="I56" s="10">
        <f t="shared" ref="I56:J56" si="57">SUM(I57:I74)</f>
        <v>142293</v>
      </c>
      <c r="J56" s="11">
        <f t="shared" si="57"/>
        <v>110.20000000000002</v>
      </c>
      <c r="K56" s="10">
        <f t="shared" si="46"/>
        <v>1123.0617283950617</v>
      </c>
      <c r="L56" s="10">
        <f>SUM(L57:L74)</f>
        <v>45484</v>
      </c>
      <c r="M56" s="11">
        <f>SUM(M57:M74)</f>
        <v>40.5</v>
      </c>
      <c r="N56" s="10">
        <f t="shared" si="47"/>
        <v>836.70093157725648</v>
      </c>
      <c r="O56" s="10">
        <f>SUM(O57:O74)</f>
        <v>260465</v>
      </c>
      <c r="P56" s="11">
        <f>SUM(P57:P74)</f>
        <v>311.30000000000007</v>
      </c>
      <c r="Q56" s="10">
        <f t="shared" si="48"/>
        <v>919.48201438848923</v>
      </c>
      <c r="R56" s="10">
        <f>SUM(R57:R74)</f>
        <v>127808</v>
      </c>
      <c r="S56" s="11">
        <f>SUM(S57:S74)</f>
        <v>139</v>
      </c>
      <c r="T56" s="10">
        <f t="shared" si="49"/>
        <v>1074.48</v>
      </c>
      <c r="U56" s="10">
        <f>SUM(U57:U74)</f>
        <v>11550660</v>
      </c>
      <c r="V56" s="11">
        <f>SUM(V57:V74)</f>
        <v>10750</v>
      </c>
      <c r="W56" s="10">
        <f t="shared" si="50"/>
        <v>859.09629959424035</v>
      </c>
      <c r="X56" s="10">
        <f t="shared" ref="X56:Y56" si="58">SUM(X57:X74)</f>
        <v>8490191</v>
      </c>
      <c r="Y56" s="11">
        <f t="shared" si="58"/>
        <v>9882.7000000000007</v>
      </c>
      <c r="Z56" s="10">
        <f t="shared" si="51"/>
        <v>787.8347064881566</v>
      </c>
      <c r="AA56" s="10">
        <f t="shared" ref="AA56:AB56" si="59">SUM(AA57:AA74)</f>
        <v>305995</v>
      </c>
      <c r="AB56" s="11">
        <f t="shared" si="59"/>
        <v>388.4</v>
      </c>
      <c r="AC56" s="10">
        <f t="shared" si="52"/>
        <v>1283.2103990326482</v>
      </c>
      <c r="AD56" s="10">
        <f t="shared" ref="AD56:AE56" si="60">SUM(AD57:AD74)</f>
        <v>212243</v>
      </c>
      <c r="AE56" s="11">
        <f t="shared" si="60"/>
        <v>165.4</v>
      </c>
      <c r="AF56" s="10">
        <f t="shared" si="53"/>
        <v>1272.7383676582763</v>
      </c>
      <c r="AG56" s="10">
        <f t="shared" ref="AG56" si="61">SUM(AG57:AG74)</f>
        <v>166856</v>
      </c>
      <c r="AH56" s="11">
        <f t="shared" ref="AH56" si="62">SUM(AH57:AH74)</f>
        <v>131.1</v>
      </c>
      <c r="AI56" s="18">
        <f t="shared" si="54"/>
        <v>1029.5967537408064</v>
      </c>
      <c r="AJ56" s="10">
        <f t="shared" ref="AJ56" si="63">SUM(AJ57:AJ74)</f>
        <v>405970</v>
      </c>
      <c r="AK56" s="11">
        <f t="shared" ref="AK56" si="64">SUM(AK57:AK74)</f>
        <v>394.3</v>
      </c>
      <c r="AL56" s="10">
        <f t="shared" si="55"/>
        <v>1054.7071583514098</v>
      </c>
      <c r="AM56" s="10">
        <f t="shared" ref="AM56" si="65">SUM(AM57:AM74)</f>
        <v>1166928</v>
      </c>
      <c r="AN56" s="11">
        <f t="shared" ref="AN56" si="66">SUM(AN57:AN74)</f>
        <v>1106.4000000000001</v>
      </c>
      <c r="AO56" s="10">
        <f t="shared" si="38"/>
        <v>983.21171240741603</v>
      </c>
      <c r="AP56" s="13">
        <f t="shared" si="42"/>
        <v>29283781</v>
      </c>
      <c r="AQ56" s="11">
        <f t="shared" si="43"/>
        <v>29783.800000000003</v>
      </c>
    </row>
    <row r="57" spans="1:43" x14ac:dyDescent="0.3">
      <c r="A57" s="9" t="s">
        <v>61</v>
      </c>
      <c r="B57" s="28"/>
      <c r="C57" s="28"/>
      <c r="D57" s="28"/>
      <c r="E57" s="10">
        <f t="shared" si="44"/>
        <v>730.4232804232804</v>
      </c>
      <c r="F57" s="10">
        <v>165660</v>
      </c>
      <c r="G57" s="11">
        <v>226.8</v>
      </c>
      <c r="H57" s="10">
        <f t="shared" si="45"/>
        <v>2361.9565217391305</v>
      </c>
      <c r="I57" s="10">
        <v>10865</v>
      </c>
      <c r="J57" s="11">
        <v>4.5999999999999996</v>
      </c>
      <c r="K57" s="10">
        <f t="shared" si="46"/>
        <v>2375.3846153846152</v>
      </c>
      <c r="L57" s="10">
        <v>3088</v>
      </c>
      <c r="M57" s="11">
        <v>1.3</v>
      </c>
      <c r="N57" s="10">
        <f t="shared" si="47"/>
        <v>892.45398773006127</v>
      </c>
      <c r="O57" s="10">
        <v>14547</v>
      </c>
      <c r="P57" s="11">
        <v>16.3</v>
      </c>
      <c r="Q57" s="10" t="e">
        <f t="shared" si="48"/>
        <v>#DIV/0!</v>
      </c>
      <c r="R57" s="10">
        <v>0</v>
      </c>
      <c r="S57" s="11">
        <v>0</v>
      </c>
      <c r="T57" s="10" t="e">
        <f t="shared" si="49"/>
        <v>#DIV/0!</v>
      </c>
      <c r="U57" s="10">
        <v>0</v>
      </c>
      <c r="V57" s="11">
        <v>0</v>
      </c>
      <c r="W57" s="10">
        <f t="shared" si="50"/>
        <v>717.3744292237443</v>
      </c>
      <c r="X57" s="10">
        <v>31421</v>
      </c>
      <c r="Y57" s="11">
        <v>43.8</v>
      </c>
      <c r="Z57" s="10">
        <f t="shared" si="51"/>
        <v>718.46153846153845</v>
      </c>
      <c r="AA57" s="10">
        <v>18680</v>
      </c>
      <c r="AB57" s="11">
        <v>26</v>
      </c>
      <c r="AC57" s="10">
        <f t="shared" si="52"/>
        <v>716.95205479452056</v>
      </c>
      <c r="AD57" s="10">
        <v>20935</v>
      </c>
      <c r="AE57" s="11">
        <v>29.2</v>
      </c>
      <c r="AF57" s="10">
        <f t="shared" si="53"/>
        <v>717.69376181474479</v>
      </c>
      <c r="AG57" s="10">
        <v>37966</v>
      </c>
      <c r="AH57" s="11">
        <v>52.9</v>
      </c>
      <c r="AI57" s="10">
        <f t="shared" si="54"/>
        <v>1610.5263157894738</v>
      </c>
      <c r="AJ57" s="10">
        <v>3060</v>
      </c>
      <c r="AK57" s="11">
        <v>1.9</v>
      </c>
      <c r="AL57" s="10">
        <f t="shared" si="55"/>
        <v>1044.501775848461</v>
      </c>
      <c r="AM57" s="10">
        <v>1058707</v>
      </c>
      <c r="AN57" s="11">
        <v>1013.6</v>
      </c>
      <c r="AO57" s="10">
        <f t="shared" si="38"/>
        <v>963.6606890708839</v>
      </c>
      <c r="AP57" s="10">
        <f t="shared" si="42"/>
        <v>1364929</v>
      </c>
      <c r="AQ57" s="11">
        <f t="shared" si="43"/>
        <v>1416.4</v>
      </c>
    </row>
    <row r="58" spans="1:43" x14ac:dyDescent="0.3">
      <c r="A58" s="20" t="s">
        <v>85</v>
      </c>
      <c r="B58" s="29"/>
      <c r="C58" s="28"/>
      <c r="D58" s="28"/>
      <c r="E58" s="17">
        <f t="shared" si="44"/>
        <v>717.74647887323943</v>
      </c>
      <c r="F58" s="15">
        <v>15288</v>
      </c>
      <c r="G58" s="16">
        <v>21.3</v>
      </c>
      <c r="H58" s="17" t="e">
        <f t="shared" si="45"/>
        <v>#DIV/0!</v>
      </c>
      <c r="I58" s="15">
        <v>0</v>
      </c>
      <c r="J58" s="16">
        <v>0</v>
      </c>
      <c r="K58" s="15" t="e">
        <f t="shared" si="46"/>
        <v>#DIV/0!</v>
      </c>
      <c r="L58" s="15">
        <v>0</v>
      </c>
      <c r="M58" s="16">
        <v>0</v>
      </c>
      <c r="N58" s="15" t="e">
        <f t="shared" si="47"/>
        <v>#DIV/0!</v>
      </c>
      <c r="O58" s="15">
        <v>0</v>
      </c>
      <c r="P58" s="16">
        <v>0</v>
      </c>
      <c r="Q58" s="15" t="e">
        <f t="shared" si="48"/>
        <v>#DIV/0!</v>
      </c>
      <c r="R58" s="15">
        <v>0</v>
      </c>
      <c r="S58" s="16">
        <v>0</v>
      </c>
      <c r="T58" s="15" t="e">
        <f t="shared" si="49"/>
        <v>#DIV/0!</v>
      </c>
      <c r="U58" s="15">
        <v>0</v>
      </c>
      <c r="V58" s="16">
        <v>0</v>
      </c>
      <c r="W58" s="15" t="e">
        <f t="shared" si="50"/>
        <v>#DIV/0!</v>
      </c>
      <c r="X58" s="15">
        <v>0</v>
      </c>
      <c r="Y58" s="16">
        <v>0</v>
      </c>
      <c r="Z58" s="15" t="e">
        <f t="shared" si="51"/>
        <v>#DIV/0!</v>
      </c>
      <c r="AA58" s="15">
        <v>0</v>
      </c>
      <c r="AB58" s="16">
        <v>0</v>
      </c>
      <c r="AC58" s="15" t="e">
        <f t="shared" si="52"/>
        <v>#DIV/0!</v>
      </c>
      <c r="AD58" s="15">
        <v>0</v>
      </c>
      <c r="AE58" s="16">
        <v>0</v>
      </c>
      <c r="AF58" s="15" t="e">
        <f t="shared" si="53"/>
        <v>#DIV/0!</v>
      </c>
      <c r="AG58" s="15">
        <v>0</v>
      </c>
      <c r="AH58" s="16">
        <v>0</v>
      </c>
      <c r="AI58" s="15" t="e">
        <f t="shared" si="54"/>
        <v>#DIV/0!</v>
      </c>
      <c r="AJ58" s="15">
        <v>0</v>
      </c>
      <c r="AK58" s="16">
        <v>0</v>
      </c>
      <c r="AL58" s="15">
        <f t="shared" si="55"/>
        <v>718.5283687943263</v>
      </c>
      <c r="AM58" s="15">
        <v>40525</v>
      </c>
      <c r="AN58" s="16">
        <v>56.4</v>
      </c>
      <c r="AO58" s="15">
        <f t="shared" si="38"/>
        <v>718.31402831402829</v>
      </c>
      <c r="AP58" s="15">
        <f t="shared" si="42"/>
        <v>55813</v>
      </c>
      <c r="AQ58" s="16">
        <f t="shared" si="43"/>
        <v>77.7</v>
      </c>
    </row>
    <row r="59" spans="1:43" x14ac:dyDescent="0.3">
      <c r="A59" s="9" t="s">
        <v>16</v>
      </c>
      <c r="B59" s="27" t="s">
        <v>86</v>
      </c>
      <c r="C59" s="28"/>
      <c r="D59" s="28"/>
      <c r="E59" s="10">
        <f t="shared" si="44"/>
        <v>1018.2362173827743</v>
      </c>
      <c r="F59" s="10">
        <f>SUM(F60:F76)</f>
        <v>3113970</v>
      </c>
      <c r="G59" s="11">
        <f t="shared" ref="G59" si="67">SUM(G60:G76)</f>
        <v>3058.2</v>
      </c>
      <c r="H59" s="10">
        <f t="shared" si="45"/>
        <v>1244.5833333333333</v>
      </c>
      <c r="I59" s="10">
        <f>SUM(I60:I76)</f>
        <v>65714</v>
      </c>
      <c r="J59" s="11">
        <f t="shared" ref="J59" si="68">SUM(J60:J76)</f>
        <v>52.800000000000004</v>
      </c>
      <c r="K59" s="18">
        <f t="shared" si="46"/>
        <v>1081.5306122448978</v>
      </c>
      <c r="L59" s="13">
        <f>SUM(L60:L76)</f>
        <v>21198</v>
      </c>
      <c r="M59" s="11">
        <f t="shared" ref="M59" si="69">SUM(M60:M76)</f>
        <v>19.600000000000001</v>
      </c>
      <c r="N59" s="18">
        <f t="shared" si="47"/>
        <v>833.62033898305083</v>
      </c>
      <c r="O59" s="13">
        <f>SUM(O60:O76)</f>
        <v>122959</v>
      </c>
      <c r="P59" s="11">
        <f t="shared" ref="P59" si="70">SUM(P60:P76)</f>
        <v>147.5</v>
      </c>
      <c r="Q59" s="18">
        <f t="shared" si="48"/>
        <v>919.48201438848923</v>
      </c>
      <c r="R59" s="10">
        <f>SUM(R60:R76)</f>
        <v>63904</v>
      </c>
      <c r="S59" s="11">
        <f t="shared" ref="S59" si="71">SUM(S60:S76)</f>
        <v>69.5</v>
      </c>
      <c r="T59" s="18">
        <f t="shared" si="49"/>
        <v>1074.4800000000002</v>
      </c>
      <c r="U59" s="13">
        <f>SUM(U60:U76)</f>
        <v>5775330</v>
      </c>
      <c r="V59" s="11">
        <f t="shared" ref="V59" si="72">SUM(V60:V76)</f>
        <v>5374.9999999999991</v>
      </c>
      <c r="W59" s="18">
        <f t="shared" si="50"/>
        <v>860.04976235934521</v>
      </c>
      <c r="X59" s="13">
        <f>SUM(X60:X76)</f>
        <v>4234369</v>
      </c>
      <c r="Y59" s="11">
        <f t="shared" ref="Y59" si="73">SUM(Y60:Y76)</f>
        <v>4923.3999999999996</v>
      </c>
      <c r="Z59" s="18">
        <f t="shared" si="51"/>
        <v>806.33369330453559</v>
      </c>
      <c r="AA59" s="13">
        <f>SUM(AA60:AA76)</f>
        <v>149333</v>
      </c>
      <c r="AB59" s="11">
        <f t="shared" ref="AB59" si="74">SUM(AB60:AB76)</f>
        <v>185.20000000000002</v>
      </c>
      <c r="AC59" s="18">
        <f t="shared" si="52"/>
        <v>1404.6108663729808</v>
      </c>
      <c r="AD59" s="10">
        <f>SUM(AD60:AD76)</f>
        <v>95654</v>
      </c>
      <c r="AE59" s="11">
        <f t="shared" ref="AE59" si="75">SUM(AE60:AE76)</f>
        <v>68.100000000000009</v>
      </c>
      <c r="AF59" s="18">
        <f t="shared" si="53"/>
        <v>1648.2097186700767</v>
      </c>
      <c r="AG59" s="13">
        <f>SUM(AG60:AG76)</f>
        <v>64445</v>
      </c>
      <c r="AH59" s="11">
        <f t="shared" ref="AH59" si="76">SUM(AH60:AH76)</f>
        <v>39.1</v>
      </c>
      <c r="AI59" s="18">
        <f t="shared" si="54"/>
        <v>1026.7838939857288</v>
      </c>
      <c r="AJ59" s="13">
        <f>SUM(AJ60:AJ76)</f>
        <v>201455</v>
      </c>
      <c r="AK59" s="11">
        <f t="shared" ref="AK59" si="77">SUM(AK60:AK76)</f>
        <v>196.20000000000002</v>
      </c>
      <c r="AL59" s="18">
        <f t="shared" si="55"/>
        <v>1859.7802197802198</v>
      </c>
      <c r="AM59" s="13">
        <f>SUM(AM60:AM76)</f>
        <v>33848</v>
      </c>
      <c r="AN59" s="11">
        <f t="shared" ref="AN59" si="78">SUM(AN60:AN76)</f>
        <v>18.2</v>
      </c>
      <c r="AO59" s="18">
        <f t="shared" si="38"/>
        <v>985.1180685094115</v>
      </c>
      <c r="AP59" s="13">
        <f t="shared" si="42"/>
        <v>13942179</v>
      </c>
      <c r="AQ59" s="11">
        <f t="shared" si="43"/>
        <v>14152.800000000001</v>
      </c>
    </row>
    <row r="60" spans="1:43" x14ac:dyDescent="0.3">
      <c r="A60" s="9" t="s">
        <v>31</v>
      </c>
      <c r="B60" s="28"/>
      <c r="C60" s="28"/>
      <c r="D60" s="28"/>
      <c r="E60" s="10">
        <f t="shared" si="44"/>
        <v>2206.8421052631579</v>
      </c>
      <c r="F60" s="10">
        <v>4193</v>
      </c>
      <c r="G60" s="11">
        <v>1.9</v>
      </c>
      <c r="H60" s="10">
        <f t="shared" si="45"/>
        <v>2166.5789473684213</v>
      </c>
      <c r="I60" s="10">
        <v>8233</v>
      </c>
      <c r="J60" s="11">
        <v>3.8</v>
      </c>
      <c r="K60" s="10">
        <f t="shared" si="46"/>
        <v>2182.4137931034484</v>
      </c>
      <c r="L60" s="10">
        <v>6329</v>
      </c>
      <c r="M60" s="11">
        <v>2.9</v>
      </c>
      <c r="N60" s="10">
        <f t="shared" si="47"/>
        <v>718.08510638297878</v>
      </c>
      <c r="O60" s="3">
        <v>40500</v>
      </c>
      <c r="P60" s="6">
        <v>56.4</v>
      </c>
      <c r="Q60" s="10" t="e">
        <f t="shared" si="48"/>
        <v>#DIV/0!</v>
      </c>
      <c r="R60" s="10">
        <v>0</v>
      </c>
      <c r="S60" s="11">
        <v>0</v>
      </c>
      <c r="T60" s="10">
        <f t="shared" si="49"/>
        <v>718.18329278183296</v>
      </c>
      <c r="U60" s="10">
        <v>88552</v>
      </c>
      <c r="V60" s="11">
        <v>123.3</v>
      </c>
      <c r="W60" s="10">
        <f t="shared" si="50"/>
        <v>2186.6279069767443</v>
      </c>
      <c r="X60" s="10">
        <v>18805</v>
      </c>
      <c r="Y60" s="11">
        <v>8.6</v>
      </c>
      <c r="Z60" s="10">
        <f t="shared" si="51"/>
        <v>718.5567010309278</v>
      </c>
      <c r="AA60" s="10">
        <v>20910</v>
      </c>
      <c r="AB60" s="11">
        <v>29.1</v>
      </c>
      <c r="AC60" s="10">
        <f t="shared" si="52"/>
        <v>2413.541666666667</v>
      </c>
      <c r="AD60" s="10">
        <v>11585</v>
      </c>
      <c r="AE60" s="11">
        <v>4.8</v>
      </c>
      <c r="AF60" s="10">
        <f t="shared" si="53"/>
        <v>2445.6578947368421</v>
      </c>
      <c r="AG60" s="10">
        <v>18587</v>
      </c>
      <c r="AH60" s="11">
        <v>7.6</v>
      </c>
      <c r="AI60" s="10">
        <f t="shared" si="54"/>
        <v>2450.4385964912281</v>
      </c>
      <c r="AJ60" s="10">
        <v>27935</v>
      </c>
      <c r="AK60" s="11">
        <v>11.4</v>
      </c>
      <c r="AL60" s="10">
        <f t="shared" si="55"/>
        <v>2428.75</v>
      </c>
      <c r="AM60" s="10">
        <v>11658</v>
      </c>
      <c r="AN60" s="11">
        <v>4.8</v>
      </c>
      <c r="AO60" s="10">
        <f t="shared" si="38"/>
        <v>1010.553809897879</v>
      </c>
      <c r="AP60" s="10">
        <f t="shared" si="42"/>
        <v>257287</v>
      </c>
      <c r="AQ60" s="11">
        <f t="shared" si="43"/>
        <v>254.60000000000002</v>
      </c>
    </row>
    <row r="61" spans="1:43" x14ac:dyDescent="0.3">
      <c r="A61" s="9" t="s">
        <v>35</v>
      </c>
      <c r="B61" s="28"/>
      <c r="C61" s="28"/>
      <c r="D61" s="28"/>
      <c r="E61" s="10">
        <f t="shared" si="44"/>
        <v>2193.75</v>
      </c>
      <c r="F61" s="10">
        <v>10530</v>
      </c>
      <c r="G61" s="11">
        <v>4.8</v>
      </c>
      <c r="H61" s="10">
        <f t="shared" si="45"/>
        <v>2181.5789473684208</v>
      </c>
      <c r="I61" s="10">
        <v>12435</v>
      </c>
      <c r="J61" s="11">
        <v>5.7</v>
      </c>
      <c r="K61" s="10">
        <f t="shared" si="46"/>
        <v>2238.9473684210529</v>
      </c>
      <c r="L61" s="10">
        <v>4254</v>
      </c>
      <c r="M61" s="11">
        <v>1.9</v>
      </c>
      <c r="N61" s="10">
        <f t="shared" si="47"/>
        <v>2223.6842105263158</v>
      </c>
      <c r="O61" s="3">
        <v>16900</v>
      </c>
      <c r="P61" s="6">
        <v>7.6</v>
      </c>
      <c r="Q61" s="10">
        <f t="shared" si="48"/>
        <v>775.72631578947369</v>
      </c>
      <c r="R61" s="10">
        <v>36847</v>
      </c>
      <c r="S61" s="11">
        <v>47.5</v>
      </c>
      <c r="T61" s="10" t="e">
        <f t="shared" si="49"/>
        <v>#DIV/0!</v>
      </c>
      <c r="U61" s="10">
        <v>0</v>
      </c>
      <c r="V61" s="11">
        <v>0</v>
      </c>
      <c r="W61" s="10">
        <f t="shared" si="50"/>
        <v>2156.2068965517242</v>
      </c>
      <c r="X61" s="10">
        <v>6253</v>
      </c>
      <c r="Y61" s="11">
        <v>2.9</v>
      </c>
      <c r="Z61" s="10">
        <f t="shared" si="51"/>
        <v>718.38627700127063</v>
      </c>
      <c r="AA61" s="10">
        <v>56537</v>
      </c>
      <c r="AB61" s="11">
        <v>78.7</v>
      </c>
      <c r="AC61" s="10">
        <f t="shared" si="52"/>
        <v>1205.7434944237918</v>
      </c>
      <c r="AD61" s="10">
        <v>64869</v>
      </c>
      <c r="AE61" s="11">
        <v>53.8</v>
      </c>
      <c r="AF61" s="10" t="e">
        <f t="shared" si="53"/>
        <v>#DIV/0!</v>
      </c>
      <c r="AG61" s="10">
        <v>0</v>
      </c>
      <c r="AH61" s="11">
        <v>0</v>
      </c>
      <c r="AI61" s="10">
        <f t="shared" si="54"/>
        <v>946.15869017632235</v>
      </c>
      <c r="AJ61" s="10">
        <v>75125</v>
      </c>
      <c r="AK61" s="11">
        <v>79.400000000000006</v>
      </c>
      <c r="AL61" s="10">
        <f t="shared" si="55"/>
        <v>2454.2105263157896</v>
      </c>
      <c r="AM61" s="10">
        <v>9326</v>
      </c>
      <c r="AN61" s="11">
        <v>3.8</v>
      </c>
      <c r="AO61" s="10">
        <f t="shared" si="38"/>
        <v>1024.3830828381681</v>
      </c>
      <c r="AP61" s="10">
        <f t="shared" si="42"/>
        <v>293076</v>
      </c>
      <c r="AQ61" s="11">
        <f t="shared" si="43"/>
        <v>286.10000000000008</v>
      </c>
    </row>
    <row r="62" spans="1:43" x14ac:dyDescent="0.3">
      <c r="A62" s="9" t="s">
        <v>24</v>
      </c>
      <c r="B62" s="28"/>
      <c r="C62" s="28"/>
      <c r="D62" s="28"/>
      <c r="E62" s="10">
        <f t="shared" si="44"/>
        <v>1015.6470588235294</v>
      </c>
      <c r="F62" s="10">
        <v>3099247</v>
      </c>
      <c r="G62" s="11">
        <v>3051.5</v>
      </c>
      <c r="H62" s="10" t="e">
        <f t="shared" si="45"/>
        <v>#DIV/0!</v>
      </c>
      <c r="I62" s="10">
        <v>0</v>
      </c>
      <c r="J62" s="11">
        <v>0</v>
      </c>
      <c r="K62" s="10" t="e">
        <f t="shared" si="46"/>
        <v>#DIV/0!</v>
      </c>
      <c r="L62" s="10">
        <v>0</v>
      </c>
      <c r="M62" s="11">
        <v>0</v>
      </c>
      <c r="N62" s="10" t="e">
        <f t="shared" si="47"/>
        <v>#DIV/0!</v>
      </c>
      <c r="O62" s="3">
        <v>0</v>
      </c>
      <c r="P62" s="6">
        <v>0</v>
      </c>
      <c r="Q62" s="10" t="e">
        <f t="shared" si="48"/>
        <v>#DIV/0!</v>
      </c>
      <c r="R62" s="10">
        <v>0</v>
      </c>
      <c r="S62" s="11">
        <v>0</v>
      </c>
      <c r="T62" s="10">
        <f t="shared" si="49"/>
        <v>1080.2803328117247</v>
      </c>
      <c r="U62" s="10">
        <v>5660885</v>
      </c>
      <c r="V62" s="11">
        <v>5240.2</v>
      </c>
      <c r="W62" s="10">
        <f t="shared" si="50"/>
        <v>858.22439926840036</v>
      </c>
      <c r="X62" s="10">
        <v>4082316</v>
      </c>
      <c r="Y62" s="11">
        <v>4756.7</v>
      </c>
      <c r="Z62" s="10" t="e">
        <f t="shared" si="51"/>
        <v>#DIV/0!</v>
      </c>
      <c r="AA62" s="10">
        <v>0</v>
      </c>
      <c r="AB62" s="11">
        <v>0</v>
      </c>
      <c r="AC62" s="10">
        <f t="shared" si="52"/>
        <v>1732.6315789473683</v>
      </c>
      <c r="AD62" s="10">
        <v>9876</v>
      </c>
      <c r="AE62" s="11">
        <v>5.7</v>
      </c>
      <c r="AF62" s="10">
        <f t="shared" si="53"/>
        <v>1736.5517241379312</v>
      </c>
      <c r="AG62" s="10">
        <v>5036</v>
      </c>
      <c r="AH62" s="11">
        <v>2.9</v>
      </c>
      <c r="AI62" s="10">
        <f t="shared" si="54"/>
        <v>787.84226190476193</v>
      </c>
      <c r="AJ62" s="10">
        <v>52943</v>
      </c>
      <c r="AK62" s="11">
        <v>67.2</v>
      </c>
      <c r="AL62" s="10">
        <f t="shared" si="55"/>
        <v>1647.2413793103449</v>
      </c>
      <c r="AM62" s="10">
        <v>4777</v>
      </c>
      <c r="AN62" s="11">
        <v>2.9</v>
      </c>
      <c r="AO62" s="10">
        <f t="shared" ref="AO62:AO76" si="79">AP62/AQ62</f>
        <v>970.8313792368366</v>
      </c>
      <c r="AP62" s="10">
        <f>SUM(AP63:AP74)</f>
        <v>455417</v>
      </c>
      <c r="AQ62" s="11">
        <f>SUM(AQ63:AQ74)</f>
        <v>469.09999999999997</v>
      </c>
    </row>
    <row r="63" spans="1:43" x14ac:dyDescent="0.3">
      <c r="A63" s="9" t="s">
        <v>37</v>
      </c>
      <c r="B63" s="28"/>
      <c r="C63" s="28"/>
      <c r="D63" s="28"/>
      <c r="E63" s="10" t="e">
        <f t="shared" si="44"/>
        <v>#DIV/0!</v>
      </c>
      <c r="F63" s="10">
        <v>0</v>
      </c>
      <c r="G63" s="11">
        <v>0</v>
      </c>
      <c r="H63" s="10" t="e">
        <f t="shared" si="45"/>
        <v>#DIV/0!</v>
      </c>
      <c r="I63" s="10">
        <v>0</v>
      </c>
      <c r="J63" s="11">
        <v>0</v>
      </c>
      <c r="K63" s="10" t="e">
        <f t="shared" si="46"/>
        <v>#DIV/0!</v>
      </c>
      <c r="L63" s="10">
        <v>0</v>
      </c>
      <c r="M63" s="11">
        <v>0</v>
      </c>
      <c r="N63" s="10" t="e">
        <f t="shared" si="47"/>
        <v>#DIV/0!</v>
      </c>
      <c r="O63" s="3">
        <v>0</v>
      </c>
      <c r="P63" s="6">
        <v>0</v>
      </c>
      <c r="Q63" s="10">
        <f t="shared" si="48"/>
        <v>2176.8421052631579</v>
      </c>
      <c r="R63" s="10">
        <v>4136</v>
      </c>
      <c r="S63" s="11">
        <v>1.9</v>
      </c>
      <c r="T63" s="10">
        <f t="shared" si="49"/>
        <v>2208.9655172413795</v>
      </c>
      <c r="U63" s="10">
        <v>6406</v>
      </c>
      <c r="V63" s="11">
        <v>2.9</v>
      </c>
      <c r="W63" s="10" t="e">
        <f t="shared" si="50"/>
        <v>#DIV/0!</v>
      </c>
      <c r="X63" s="10">
        <v>0</v>
      </c>
      <c r="Y63" s="11">
        <v>0</v>
      </c>
      <c r="Z63" s="10">
        <f t="shared" si="51"/>
        <v>2201.0526315789475</v>
      </c>
      <c r="AA63" s="10">
        <v>4182</v>
      </c>
      <c r="AB63" s="11">
        <v>1.9</v>
      </c>
      <c r="AC63" s="10">
        <f t="shared" si="52"/>
        <v>2458.9473684210529</v>
      </c>
      <c r="AD63" s="10">
        <v>4672</v>
      </c>
      <c r="AE63" s="11">
        <v>1.9</v>
      </c>
      <c r="AF63" s="10">
        <f t="shared" si="53"/>
        <v>2441.8421052631579</v>
      </c>
      <c r="AG63" s="10">
        <v>18558</v>
      </c>
      <c r="AH63" s="11">
        <v>7.6</v>
      </c>
      <c r="AI63" s="10">
        <f t="shared" si="54"/>
        <v>2446.8421052631579</v>
      </c>
      <c r="AJ63" s="10">
        <v>4649</v>
      </c>
      <c r="AK63" s="11">
        <v>1.9</v>
      </c>
      <c r="AL63" s="10">
        <f t="shared" si="55"/>
        <v>2454.2105263157896</v>
      </c>
      <c r="AM63" s="10">
        <v>4663</v>
      </c>
      <c r="AN63" s="11">
        <v>1.9</v>
      </c>
      <c r="AO63" s="10">
        <f t="shared" si="79"/>
        <v>2363.3000000000006</v>
      </c>
      <c r="AP63" s="10">
        <f t="shared" ref="AP63:AP74" si="80">SUM(F63,I63,L63,O63,R63,U63,X63,AA63,AD63,AG63,AJ63,AM63)</f>
        <v>47266</v>
      </c>
      <c r="AQ63" s="11">
        <f t="shared" ref="AQ63:AQ76" si="81">SUM(G63,J63,M63,P63,S63,V63,Y63,AB63,AE63,AH63,AK63,AN63)</f>
        <v>19.999999999999996</v>
      </c>
    </row>
    <row r="64" spans="1:43" x14ac:dyDescent="0.3">
      <c r="A64" s="9" t="s">
        <v>58</v>
      </c>
      <c r="B64" s="28"/>
      <c r="C64" s="28"/>
      <c r="D64" s="28"/>
      <c r="E64" s="13" t="e">
        <f t="shared" si="44"/>
        <v>#DIV/0!</v>
      </c>
      <c r="F64" s="13">
        <v>0</v>
      </c>
      <c r="G64" s="11">
        <v>0</v>
      </c>
      <c r="H64" s="13" t="e">
        <f t="shared" si="45"/>
        <v>#DIV/0!</v>
      </c>
      <c r="I64" s="13">
        <v>0</v>
      </c>
      <c r="J64" s="11">
        <v>0</v>
      </c>
      <c r="K64" s="18" t="e">
        <f t="shared" si="46"/>
        <v>#DIV/0!</v>
      </c>
      <c r="L64" s="13">
        <v>0</v>
      </c>
      <c r="M64" s="11">
        <v>0</v>
      </c>
      <c r="N64" s="18" t="e">
        <f t="shared" si="47"/>
        <v>#DIV/0!</v>
      </c>
      <c r="O64" s="12">
        <v>0</v>
      </c>
      <c r="P64" s="6">
        <v>0</v>
      </c>
      <c r="Q64" s="13" t="e">
        <f t="shared" si="48"/>
        <v>#DIV/0!</v>
      </c>
      <c r="R64" s="13">
        <v>0</v>
      </c>
      <c r="S64" s="11">
        <v>0</v>
      </c>
      <c r="T64" s="18" t="e">
        <f t="shared" si="49"/>
        <v>#DIV/0!</v>
      </c>
      <c r="U64" s="13">
        <v>0</v>
      </c>
      <c r="V64" s="11">
        <v>0</v>
      </c>
      <c r="W64" s="18" t="e">
        <f t="shared" si="50"/>
        <v>#DIV/0!</v>
      </c>
      <c r="X64" s="13">
        <v>0</v>
      </c>
      <c r="Y64" s="11">
        <v>0</v>
      </c>
      <c r="Z64" s="18" t="e">
        <f t="shared" si="51"/>
        <v>#DIV/0!</v>
      </c>
      <c r="AA64" s="13">
        <v>0</v>
      </c>
      <c r="AB64" s="11">
        <v>0</v>
      </c>
      <c r="AC64" s="18" t="e">
        <f t="shared" si="52"/>
        <v>#DIV/0!</v>
      </c>
      <c r="AD64" s="13">
        <v>0</v>
      </c>
      <c r="AE64" s="11">
        <v>0</v>
      </c>
      <c r="AF64" s="18" t="e">
        <f t="shared" si="53"/>
        <v>#DIV/0!</v>
      </c>
      <c r="AG64" s="13">
        <v>0</v>
      </c>
      <c r="AH64" s="11">
        <v>0</v>
      </c>
      <c r="AI64" s="18" t="e">
        <f t="shared" si="54"/>
        <v>#DIV/0!</v>
      </c>
      <c r="AJ64" s="13">
        <v>0</v>
      </c>
      <c r="AK64" s="11">
        <v>0</v>
      </c>
      <c r="AL64" s="18">
        <f t="shared" si="55"/>
        <v>713.33333333333337</v>
      </c>
      <c r="AM64" s="13">
        <v>3424</v>
      </c>
      <c r="AN64" s="11">
        <v>4.8</v>
      </c>
      <c r="AO64" s="18">
        <f t="shared" si="79"/>
        <v>713.33333333333337</v>
      </c>
      <c r="AP64" s="13">
        <f t="shared" si="80"/>
        <v>3424</v>
      </c>
      <c r="AQ64" s="11">
        <f t="shared" si="81"/>
        <v>4.8</v>
      </c>
    </row>
    <row r="65" spans="1:43" x14ac:dyDescent="0.3">
      <c r="A65" s="9" t="s">
        <v>27</v>
      </c>
      <c r="B65" s="28"/>
      <c r="C65" s="28"/>
      <c r="D65" s="28"/>
      <c r="E65" s="18" t="e">
        <f t="shared" si="44"/>
        <v>#DIV/0!</v>
      </c>
      <c r="F65" s="13">
        <v>0</v>
      </c>
      <c r="G65" s="11">
        <v>0</v>
      </c>
      <c r="H65" s="18">
        <f t="shared" si="45"/>
        <v>1869.4594594594594</v>
      </c>
      <c r="I65" s="13">
        <v>6917</v>
      </c>
      <c r="J65" s="11">
        <v>3.7</v>
      </c>
      <c r="K65" s="18" t="e">
        <f t="shared" si="46"/>
        <v>#DIV/0!</v>
      </c>
      <c r="L65" s="10">
        <v>0</v>
      </c>
      <c r="M65" s="11">
        <v>0</v>
      </c>
      <c r="N65" s="18" t="e">
        <f t="shared" si="47"/>
        <v>#DIV/0!</v>
      </c>
      <c r="O65" s="12">
        <v>0</v>
      </c>
      <c r="P65" s="6">
        <v>0</v>
      </c>
      <c r="Q65" s="18">
        <f t="shared" si="48"/>
        <v>2255.2631578947371</v>
      </c>
      <c r="R65" s="10">
        <v>4285</v>
      </c>
      <c r="S65" s="11">
        <v>1.9</v>
      </c>
      <c r="T65" s="18" t="e">
        <f t="shared" si="49"/>
        <v>#DIV/0!</v>
      </c>
      <c r="U65" s="13">
        <v>0</v>
      </c>
      <c r="V65" s="11">
        <v>0</v>
      </c>
      <c r="W65" s="18" t="e">
        <f t="shared" si="50"/>
        <v>#DIV/0!</v>
      </c>
      <c r="X65" s="13">
        <v>0</v>
      </c>
      <c r="Y65" s="11">
        <v>0</v>
      </c>
      <c r="Z65" s="18" t="e">
        <f t="shared" si="51"/>
        <v>#DIV/0!</v>
      </c>
      <c r="AA65" s="13">
        <v>0</v>
      </c>
      <c r="AB65" s="11">
        <v>0</v>
      </c>
      <c r="AC65" s="18" t="e">
        <f t="shared" si="52"/>
        <v>#DIV/0!</v>
      </c>
      <c r="AD65" s="13">
        <v>0</v>
      </c>
      <c r="AE65" s="11">
        <v>0</v>
      </c>
      <c r="AF65" s="18">
        <f t="shared" si="53"/>
        <v>2010</v>
      </c>
      <c r="AG65" s="13">
        <v>6030</v>
      </c>
      <c r="AH65" s="11">
        <v>3</v>
      </c>
      <c r="AI65" s="10" t="e">
        <f t="shared" si="54"/>
        <v>#DIV/0!</v>
      </c>
      <c r="AJ65" s="13">
        <v>0</v>
      </c>
      <c r="AK65" s="11">
        <v>0</v>
      </c>
      <c r="AL65" s="18" t="e">
        <f t="shared" si="55"/>
        <v>#DIV/0!</v>
      </c>
      <c r="AM65" s="10">
        <v>0</v>
      </c>
      <c r="AN65" s="11">
        <v>0</v>
      </c>
      <c r="AO65" s="18">
        <f t="shared" si="79"/>
        <v>2003.7209302325582</v>
      </c>
      <c r="AP65" s="13">
        <f t="shared" si="80"/>
        <v>17232</v>
      </c>
      <c r="AQ65" s="11">
        <f t="shared" si="81"/>
        <v>8.6</v>
      </c>
    </row>
    <row r="66" spans="1:43" x14ac:dyDescent="0.3">
      <c r="A66" s="9" t="s">
        <v>28</v>
      </c>
      <c r="B66" s="28"/>
      <c r="C66" s="28"/>
      <c r="D66" s="28"/>
      <c r="E66" s="10" t="e">
        <f t="shared" si="44"/>
        <v>#DIV/0!</v>
      </c>
      <c r="F66" s="3">
        <v>0</v>
      </c>
      <c r="G66" s="6">
        <v>0</v>
      </c>
      <c r="H66" s="10" t="e">
        <f t="shared" si="45"/>
        <v>#DIV/0!</v>
      </c>
      <c r="I66" s="10">
        <v>0</v>
      </c>
      <c r="J66" s="11">
        <v>0</v>
      </c>
      <c r="K66" s="10" t="e">
        <f t="shared" si="46"/>
        <v>#DIV/0!</v>
      </c>
      <c r="L66" s="10">
        <v>0</v>
      </c>
      <c r="M66" s="11">
        <v>0</v>
      </c>
      <c r="N66" s="10">
        <f t="shared" si="47"/>
        <v>719.03345724907069</v>
      </c>
      <c r="O66" s="3">
        <v>19342</v>
      </c>
      <c r="P66" s="6">
        <v>26.9</v>
      </c>
      <c r="Q66" s="10" t="e">
        <f t="shared" si="48"/>
        <v>#DIV/0!</v>
      </c>
      <c r="R66" s="10">
        <v>0</v>
      </c>
      <c r="S66" s="11">
        <v>0</v>
      </c>
      <c r="T66" s="10" t="e">
        <f t="shared" si="49"/>
        <v>#DIV/0!</v>
      </c>
      <c r="U66" s="10">
        <v>0</v>
      </c>
      <c r="V66" s="11">
        <v>0</v>
      </c>
      <c r="W66" s="10" t="e">
        <f t="shared" si="50"/>
        <v>#DIV/0!</v>
      </c>
      <c r="X66" s="10">
        <v>0</v>
      </c>
      <c r="Y66" s="11">
        <v>0</v>
      </c>
      <c r="Z66" s="10" t="e">
        <f t="shared" si="51"/>
        <v>#DIV/0!</v>
      </c>
      <c r="AA66" s="10">
        <v>0</v>
      </c>
      <c r="AB66" s="11">
        <v>0</v>
      </c>
      <c r="AC66" s="10" t="e">
        <f t="shared" si="52"/>
        <v>#DIV/0!</v>
      </c>
      <c r="AD66" s="10">
        <v>0</v>
      </c>
      <c r="AE66" s="11">
        <v>0</v>
      </c>
      <c r="AF66" s="10" t="e">
        <f t="shared" si="53"/>
        <v>#DIV/0!</v>
      </c>
      <c r="AG66" s="10">
        <v>0</v>
      </c>
      <c r="AH66" s="11">
        <v>0</v>
      </c>
      <c r="AI66" s="10">
        <f t="shared" si="54"/>
        <v>2979.3103448275865</v>
      </c>
      <c r="AJ66" s="10">
        <v>8640</v>
      </c>
      <c r="AK66" s="11">
        <v>2.9</v>
      </c>
      <c r="AL66" s="10" t="e">
        <f t="shared" si="55"/>
        <v>#DIV/0!</v>
      </c>
      <c r="AM66" s="10">
        <v>0</v>
      </c>
      <c r="AN66" s="11">
        <v>0</v>
      </c>
      <c r="AO66" s="10">
        <f t="shared" si="79"/>
        <v>938.99328859060415</v>
      </c>
      <c r="AP66" s="10">
        <f t="shared" si="80"/>
        <v>27982</v>
      </c>
      <c r="AQ66" s="11">
        <f t="shared" si="81"/>
        <v>29.799999999999997</v>
      </c>
    </row>
    <row r="67" spans="1:43" x14ac:dyDescent="0.3">
      <c r="A67" s="9" t="s">
        <v>21</v>
      </c>
      <c r="B67" s="28"/>
      <c r="C67" s="28"/>
      <c r="D67" s="28"/>
      <c r="E67" s="10" t="e">
        <f t="shared" si="44"/>
        <v>#DIV/0!</v>
      </c>
      <c r="F67" s="3">
        <v>0</v>
      </c>
      <c r="G67" s="6">
        <v>0</v>
      </c>
      <c r="H67" s="10">
        <f t="shared" si="45"/>
        <v>2158.9473684210529</v>
      </c>
      <c r="I67" s="10">
        <v>4102</v>
      </c>
      <c r="J67" s="11">
        <v>1.9</v>
      </c>
      <c r="K67" s="10" t="e">
        <f t="shared" si="46"/>
        <v>#DIV/0!</v>
      </c>
      <c r="L67" s="10">
        <v>0</v>
      </c>
      <c r="M67" s="11">
        <v>0</v>
      </c>
      <c r="N67" s="10" t="e">
        <f t="shared" si="47"/>
        <v>#DIV/0!</v>
      </c>
      <c r="O67" s="3">
        <v>0</v>
      </c>
      <c r="P67" s="6">
        <v>0</v>
      </c>
      <c r="Q67" s="10" t="e">
        <f t="shared" si="48"/>
        <v>#DIV/0!</v>
      </c>
      <c r="R67" s="10">
        <v>0</v>
      </c>
      <c r="S67" s="11">
        <v>0</v>
      </c>
      <c r="T67" s="10" t="e">
        <f t="shared" si="49"/>
        <v>#DIV/0!</v>
      </c>
      <c r="U67" s="10">
        <v>0</v>
      </c>
      <c r="V67" s="11">
        <v>0</v>
      </c>
      <c r="W67" s="10" t="e">
        <f t="shared" si="50"/>
        <v>#DIV/0!</v>
      </c>
      <c r="X67" s="10">
        <v>0</v>
      </c>
      <c r="Y67" s="11">
        <v>0</v>
      </c>
      <c r="Z67" s="10" t="e">
        <f t="shared" si="51"/>
        <v>#DIV/0!</v>
      </c>
      <c r="AA67" s="10">
        <v>0</v>
      </c>
      <c r="AB67" s="11">
        <v>0</v>
      </c>
      <c r="AC67" s="10">
        <f t="shared" si="52"/>
        <v>2448.4210526315792</v>
      </c>
      <c r="AD67" s="10">
        <v>4652</v>
      </c>
      <c r="AE67" s="11">
        <v>1.9</v>
      </c>
      <c r="AF67" s="10">
        <f t="shared" si="53"/>
        <v>2445.2631578947371</v>
      </c>
      <c r="AG67" s="10">
        <v>4646</v>
      </c>
      <c r="AH67" s="11">
        <v>1.9</v>
      </c>
      <c r="AI67" s="10" t="e">
        <f t="shared" si="54"/>
        <v>#DIV/0!</v>
      </c>
      <c r="AJ67" s="10">
        <v>0</v>
      </c>
      <c r="AK67" s="11">
        <v>0</v>
      </c>
      <c r="AL67" s="10" t="e">
        <f t="shared" si="55"/>
        <v>#DIV/0!</v>
      </c>
      <c r="AM67" s="10">
        <v>0</v>
      </c>
      <c r="AN67" s="11">
        <v>0</v>
      </c>
      <c r="AO67" s="10">
        <f t="shared" si="79"/>
        <v>2350.8771929824566</v>
      </c>
      <c r="AP67" s="10">
        <f t="shared" si="80"/>
        <v>13400</v>
      </c>
      <c r="AQ67" s="11">
        <f t="shared" si="81"/>
        <v>5.6999999999999993</v>
      </c>
    </row>
    <row r="68" spans="1:43" x14ac:dyDescent="0.3">
      <c r="A68" s="9" t="s">
        <v>30</v>
      </c>
      <c r="B68" s="28"/>
      <c r="C68" s="28"/>
      <c r="D68" s="28"/>
      <c r="E68" s="18" t="e">
        <f t="shared" si="44"/>
        <v>#DIV/0!</v>
      </c>
      <c r="F68" s="12">
        <v>0</v>
      </c>
      <c r="G68" s="6">
        <v>0</v>
      </c>
      <c r="H68" s="18">
        <f t="shared" si="45"/>
        <v>719.75155279503099</v>
      </c>
      <c r="I68" s="13">
        <v>11588</v>
      </c>
      <c r="J68" s="11">
        <v>16.100000000000001</v>
      </c>
      <c r="K68" s="18" t="e">
        <f t="shared" si="46"/>
        <v>#DIV/0!</v>
      </c>
      <c r="L68" s="13">
        <v>0</v>
      </c>
      <c r="M68" s="11">
        <v>0</v>
      </c>
      <c r="N68" s="18" t="e">
        <f t="shared" si="47"/>
        <v>#DIV/0!</v>
      </c>
      <c r="O68" s="12">
        <v>0</v>
      </c>
      <c r="P68" s="6">
        <v>0</v>
      </c>
      <c r="Q68" s="18" t="e">
        <f t="shared" si="48"/>
        <v>#DIV/0!</v>
      </c>
      <c r="R68" s="13">
        <v>0</v>
      </c>
      <c r="S68" s="11">
        <v>0</v>
      </c>
      <c r="T68" s="13" t="e">
        <f t="shared" si="49"/>
        <v>#DIV/0!</v>
      </c>
      <c r="U68" s="13">
        <v>0</v>
      </c>
      <c r="V68" s="11">
        <v>0</v>
      </c>
      <c r="W68" s="13" t="e">
        <f t="shared" si="50"/>
        <v>#DIV/0!</v>
      </c>
      <c r="X68" s="13">
        <v>0</v>
      </c>
      <c r="Y68" s="11">
        <v>0</v>
      </c>
      <c r="Z68" s="13" t="e">
        <f t="shared" si="51"/>
        <v>#DIV/0!</v>
      </c>
      <c r="AA68" s="13">
        <v>0</v>
      </c>
      <c r="AB68" s="11">
        <v>0</v>
      </c>
      <c r="AC68" s="18" t="e">
        <f t="shared" si="52"/>
        <v>#DIV/0!</v>
      </c>
      <c r="AD68" s="13">
        <v>0</v>
      </c>
      <c r="AE68" s="11">
        <v>0</v>
      </c>
      <c r="AF68" s="18" t="e">
        <f t="shared" si="53"/>
        <v>#DIV/0!</v>
      </c>
      <c r="AG68" s="13">
        <v>0</v>
      </c>
      <c r="AH68" s="11">
        <v>0</v>
      </c>
      <c r="AI68" s="18" t="e">
        <f t="shared" si="54"/>
        <v>#DIV/0!</v>
      </c>
      <c r="AJ68" s="13">
        <v>0</v>
      </c>
      <c r="AK68" s="11">
        <v>0</v>
      </c>
      <c r="AL68" s="13" t="e">
        <f t="shared" si="55"/>
        <v>#DIV/0!</v>
      </c>
      <c r="AM68" s="13">
        <v>0</v>
      </c>
      <c r="AN68" s="11">
        <v>0</v>
      </c>
      <c r="AO68" s="13">
        <f t="shared" si="79"/>
        <v>719.75155279503099</v>
      </c>
      <c r="AP68" s="13">
        <f t="shared" si="80"/>
        <v>11588</v>
      </c>
      <c r="AQ68" s="11">
        <f t="shared" si="81"/>
        <v>16.100000000000001</v>
      </c>
    </row>
    <row r="69" spans="1:43" x14ac:dyDescent="0.3">
      <c r="A69" s="9" t="s">
        <v>47</v>
      </c>
      <c r="B69" s="28"/>
      <c r="C69" s="28"/>
      <c r="D69" s="28"/>
      <c r="E69" s="18" t="e">
        <f t="shared" si="44"/>
        <v>#DIV/0!</v>
      </c>
      <c r="F69" s="12">
        <v>0</v>
      </c>
      <c r="G69" s="6">
        <v>0</v>
      </c>
      <c r="H69" s="10" t="e">
        <f t="shared" si="45"/>
        <v>#DIV/0!</v>
      </c>
      <c r="I69" s="13">
        <v>0</v>
      </c>
      <c r="J69" s="11">
        <v>0</v>
      </c>
      <c r="K69" s="10" t="e">
        <f t="shared" si="46"/>
        <v>#DIV/0!</v>
      </c>
      <c r="L69" s="10">
        <v>0</v>
      </c>
      <c r="M69" s="11">
        <v>0</v>
      </c>
      <c r="N69" s="10">
        <f t="shared" si="47"/>
        <v>719.25</v>
      </c>
      <c r="O69" s="3">
        <v>23016</v>
      </c>
      <c r="P69" s="6">
        <v>32</v>
      </c>
      <c r="Q69" s="10" t="e">
        <f t="shared" si="48"/>
        <v>#DIV/0!</v>
      </c>
      <c r="R69" s="10">
        <v>0</v>
      </c>
      <c r="S69" s="11">
        <v>0</v>
      </c>
      <c r="T69" s="18" t="e">
        <f t="shared" si="49"/>
        <v>#DIV/0!</v>
      </c>
      <c r="U69" s="13">
        <v>0</v>
      </c>
      <c r="V69" s="11">
        <v>0</v>
      </c>
      <c r="W69" s="18" t="e">
        <f t="shared" si="50"/>
        <v>#DIV/0!</v>
      </c>
      <c r="X69" s="13">
        <v>0</v>
      </c>
      <c r="Y69" s="11">
        <v>0</v>
      </c>
      <c r="Z69" s="18" t="e">
        <f t="shared" si="51"/>
        <v>#DIV/0!</v>
      </c>
      <c r="AA69" s="10">
        <v>0</v>
      </c>
      <c r="AB69" s="11">
        <v>0</v>
      </c>
      <c r="AC69" s="10" t="e">
        <f t="shared" si="52"/>
        <v>#DIV/0!</v>
      </c>
      <c r="AD69" s="10">
        <v>0</v>
      </c>
      <c r="AE69" s="11">
        <v>0</v>
      </c>
      <c r="AF69" s="10" t="e">
        <f t="shared" si="53"/>
        <v>#DIV/0!</v>
      </c>
      <c r="AG69" s="10">
        <v>0</v>
      </c>
      <c r="AH69" s="11">
        <v>0</v>
      </c>
      <c r="AI69" s="10" t="e">
        <f t="shared" si="54"/>
        <v>#DIV/0!</v>
      </c>
      <c r="AJ69" s="10">
        <v>0</v>
      </c>
      <c r="AK69" s="11">
        <v>0</v>
      </c>
      <c r="AL69" s="18" t="e">
        <f t="shared" si="55"/>
        <v>#DIV/0!</v>
      </c>
      <c r="AM69" s="10">
        <v>0</v>
      </c>
      <c r="AN69" s="11">
        <v>0</v>
      </c>
      <c r="AO69" s="18">
        <f t="shared" si="79"/>
        <v>719.25</v>
      </c>
      <c r="AP69" s="13">
        <f t="shared" si="80"/>
        <v>23016</v>
      </c>
      <c r="AQ69" s="11">
        <f t="shared" si="81"/>
        <v>32</v>
      </c>
    </row>
    <row r="70" spans="1:43" x14ac:dyDescent="0.3">
      <c r="A70" s="9" t="s">
        <v>32</v>
      </c>
      <c r="B70" s="28"/>
      <c r="C70" s="28"/>
      <c r="D70" s="28"/>
      <c r="E70" s="10" t="e">
        <f t="shared" si="44"/>
        <v>#DIV/0!</v>
      </c>
      <c r="F70" s="3">
        <v>0</v>
      </c>
      <c r="G70" s="6">
        <v>0</v>
      </c>
      <c r="H70" s="10" t="e">
        <f t="shared" si="45"/>
        <v>#DIV/0!</v>
      </c>
      <c r="I70" s="10">
        <v>0</v>
      </c>
      <c r="J70" s="11">
        <v>0</v>
      </c>
      <c r="K70" s="10" t="e">
        <f t="shared" si="46"/>
        <v>#DIV/0!</v>
      </c>
      <c r="L70" s="10">
        <v>0</v>
      </c>
      <c r="M70" s="11">
        <v>0</v>
      </c>
      <c r="N70" s="10" t="e">
        <f t="shared" si="47"/>
        <v>#DIV/0!</v>
      </c>
      <c r="O70" s="3">
        <v>0</v>
      </c>
      <c r="P70" s="6">
        <v>0</v>
      </c>
      <c r="Q70" s="10" t="e">
        <f t="shared" si="48"/>
        <v>#DIV/0!</v>
      </c>
      <c r="R70" s="3">
        <v>0</v>
      </c>
      <c r="S70" s="6">
        <v>0</v>
      </c>
      <c r="T70" s="10">
        <f t="shared" si="49"/>
        <v>2271.5789473684213</v>
      </c>
      <c r="U70" s="10">
        <v>4316</v>
      </c>
      <c r="V70" s="11">
        <v>1.9</v>
      </c>
      <c r="W70" s="10" t="e">
        <f t="shared" si="50"/>
        <v>#DIV/0!</v>
      </c>
      <c r="X70" s="10">
        <v>0</v>
      </c>
      <c r="Y70" s="11">
        <v>0</v>
      </c>
      <c r="Z70" s="10" t="e">
        <f t="shared" si="51"/>
        <v>#DIV/0!</v>
      </c>
      <c r="AA70" s="10">
        <v>0</v>
      </c>
      <c r="AB70" s="11">
        <v>0</v>
      </c>
      <c r="AC70" s="10" t="e">
        <f t="shared" si="52"/>
        <v>#DIV/0!</v>
      </c>
      <c r="AD70" s="10">
        <v>0</v>
      </c>
      <c r="AE70" s="11">
        <v>0</v>
      </c>
      <c r="AF70" s="10" t="e">
        <f t="shared" si="53"/>
        <v>#DIV/0!</v>
      </c>
      <c r="AG70" s="10">
        <v>0</v>
      </c>
      <c r="AH70" s="11">
        <v>0</v>
      </c>
      <c r="AI70" s="10">
        <f t="shared" si="54"/>
        <v>2421.25</v>
      </c>
      <c r="AJ70" s="10">
        <v>11622</v>
      </c>
      <c r="AK70" s="11">
        <v>4.8</v>
      </c>
      <c r="AL70" s="10" t="e">
        <f t="shared" si="55"/>
        <v>#DIV/0!</v>
      </c>
      <c r="AM70" s="10">
        <v>0</v>
      </c>
      <c r="AN70" s="11">
        <v>0</v>
      </c>
      <c r="AO70" s="10">
        <f t="shared" si="79"/>
        <v>2378.8059701492539</v>
      </c>
      <c r="AP70" s="10">
        <f t="shared" si="80"/>
        <v>15938</v>
      </c>
      <c r="AQ70" s="11">
        <f t="shared" si="81"/>
        <v>6.6999999999999993</v>
      </c>
    </row>
    <row r="71" spans="1:43" x14ac:dyDescent="0.3">
      <c r="A71" s="9" t="s">
        <v>56</v>
      </c>
      <c r="B71" s="28"/>
      <c r="C71" s="28"/>
      <c r="D71" s="28"/>
      <c r="E71" s="10" t="e">
        <f t="shared" ref="E71:E76" si="82">F71/G71</f>
        <v>#DIV/0!</v>
      </c>
      <c r="F71" s="3">
        <v>0</v>
      </c>
      <c r="G71" s="6">
        <v>0</v>
      </c>
      <c r="H71" s="10" t="e">
        <f t="shared" ref="H71:H76" si="83">I71/J71</f>
        <v>#DIV/0!</v>
      </c>
      <c r="I71" s="10">
        <v>0</v>
      </c>
      <c r="J71" s="11">
        <v>0</v>
      </c>
      <c r="K71" s="10" t="e">
        <f t="shared" ref="K71:K76" si="84">L71/M71</f>
        <v>#DIV/0!</v>
      </c>
      <c r="L71" s="10">
        <v>0</v>
      </c>
      <c r="M71" s="11">
        <v>0</v>
      </c>
      <c r="N71" s="10" t="e">
        <f t="shared" ref="N71:N76" si="85">O71/P71</f>
        <v>#DIV/0!</v>
      </c>
      <c r="O71" s="3">
        <v>0</v>
      </c>
      <c r="P71" s="6">
        <v>0</v>
      </c>
      <c r="Q71" s="10" t="e">
        <f t="shared" ref="Q71:Q76" si="86">R71/S71</f>
        <v>#DIV/0!</v>
      </c>
      <c r="R71" s="3">
        <v>0</v>
      </c>
      <c r="S71" s="6">
        <v>0</v>
      </c>
      <c r="T71" s="10" t="e">
        <f t="shared" ref="T71:T76" si="87">U71/V71</f>
        <v>#DIV/0!</v>
      </c>
      <c r="U71" s="10">
        <v>0</v>
      </c>
      <c r="V71" s="11">
        <v>0</v>
      </c>
      <c r="W71" s="10" t="e">
        <f t="shared" ref="W71:W76" si="88">X71/Y71</f>
        <v>#DIV/0!</v>
      </c>
      <c r="X71" s="10">
        <v>0</v>
      </c>
      <c r="Y71" s="11">
        <v>0</v>
      </c>
      <c r="Z71" s="10" t="e">
        <f t="shared" ref="Z71:Z76" si="89">AA71/AB71</f>
        <v>#DIV/0!</v>
      </c>
      <c r="AA71" s="10">
        <v>0</v>
      </c>
      <c r="AB71" s="11">
        <v>0</v>
      </c>
      <c r="AC71" s="10" t="e">
        <f t="shared" ref="AC71:AC76" si="90">AD71/AE71</f>
        <v>#DIV/0!</v>
      </c>
      <c r="AD71" s="10">
        <v>0</v>
      </c>
      <c r="AE71" s="11">
        <v>0</v>
      </c>
      <c r="AF71" s="10" t="e">
        <f t="shared" ref="AF71:AF76" si="91">AG71/AH71</f>
        <v>#DIV/0!</v>
      </c>
      <c r="AG71" s="10">
        <v>0</v>
      </c>
      <c r="AH71" s="11">
        <v>0</v>
      </c>
      <c r="AI71" s="10">
        <f t="shared" ref="AI71:AI76" si="92">AJ71/AK71</f>
        <v>718.21678321678314</v>
      </c>
      <c r="AJ71" s="10">
        <v>20541</v>
      </c>
      <c r="AK71" s="11">
        <v>28.6</v>
      </c>
      <c r="AL71" s="10" t="e">
        <f t="shared" ref="AL71:AL76" si="93">AM71/AN71</f>
        <v>#DIV/0!</v>
      </c>
      <c r="AM71" s="10">
        <v>0</v>
      </c>
      <c r="AN71" s="11">
        <v>0</v>
      </c>
      <c r="AO71" s="10">
        <f t="shared" si="79"/>
        <v>718.21678321678314</v>
      </c>
      <c r="AP71" s="10">
        <f t="shared" si="80"/>
        <v>20541</v>
      </c>
      <c r="AQ71" s="11">
        <f t="shared" si="81"/>
        <v>28.6</v>
      </c>
    </row>
    <row r="72" spans="1:43" x14ac:dyDescent="0.3">
      <c r="A72" s="9" t="s">
        <v>51</v>
      </c>
      <c r="B72" s="28"/>
      <c r="C72" s="28"/>
      <c r="D72" s="28"/>
      <c r="E72" s="10" t="e">
        <f t="shared" si="82"/>
        <v>#DIV/0!</v>
      </c>
      <c r="F72" s="3">
        <v>0</v>
      </c>
      <c r="G72" s="6">
        <v>0</v>
      </c>
      <c r="H72" s="10" t="e">
        <f t="shared" si="83"/>
        <v>#DIV/0!</v>
      </c>
      <c r="I72" s="10">
        <v>0</v>
      </c>
      <c r="J72" s="11">
        <v>0</v>
      </c>
      <c r="K72" s="10" t="e">
        <f t="shared" si="84"/>
        <v>#DIV/0!</v>
      </c>
      <c r="L72" s="10">
        <v>0</v>
      </c>
      <c r="M72" s="11">
        <v>0</v>
      </c>
      <c r="N72" s="10" t="e">
        <f t="shared" si="85"/>
        <v>#DIV/0!</v>
      </c>
      <c r="O72" s="3">
        <v>0</v>
      </c>
      <c r="P72" s="6">
        <v>0</v>
      </c>
      <c r="Q72" s="10" t="e">
        <f t="shared" si="86"/>
        <v>#DIV/0!</v>
      </c>
      <c r="R72" s="3">
        <v>0</v>
      </c>
      <c r="S72" s="6">
        <v>0</v>
      </c>
      <c r="T72" s="10" t="e">
        <f t="shared" si="87"/>
        <v>#DIV/0!</v>
      </c>
      <c r="U72" s="10">
        <v>0</v>
      </c>
      <c r="V72" s="11">
        <v>0</v>
      </c>
      <c r="W72" s="10">
        <f t="shared" si="88"/>
        <v>718.11023622047253</v>
      </c>
      <c r="X72" s="10">
        <v>100320</v>
      </c>
      <c r="Y72" s="11">
        <v>139.69999999999999</v>
      </c>
      <c r="Z72" s="10" t="e">
        <f t="shared" si="89"/>
        <v>#DIV/0!</v>
      </c>
      <c r="AA72" s="10">
        <v>0</v>
      </c>
      <c r="AB72" s="11">
        <v>0</v>
      </c>
      <c r="AC72" s="10" t="e">
        <f t="shared" si="90"/>
        <v>#DIV/0!</v>
      </c>
      <c r="AD72" s="10">
        <v>0</v>
      </c>
      <c r="AE72" s="11">
        <v>0</v>
      </c>
      <c r="AF72" s="10" t="e">
        <f t="shared" si="91"/>
        <v>#DIV/0!</v>
      </c>
      <c r="AG72" s="10">
        <v>0</v>
      </c>
      <c r="AH72" s="11">
        <v>0</v>
      </c>
      <c r="AI72" s="10" t="e">
        <f t="shared" si="92"/>
        <v>#DIV/0!</v>
      </c>
      <c r="AJ72" s="10">
        <v>0</v>
      </c>
      <c r="AK72" s="11">
        <v>0</v>
      </c>
      <c r="AL72" s="10" t="e">
        <f t="shared" si="93"/>
        <v>#DIV/0!</v>
      </c>
      <c r="AM72" s="10">
        <v>0</v>
      </c>
      <c r="AN72" s="11">
        <v>0</v>
      </c>
      <c r="AO72" s="10">
        <f t="shared" si="79"/>
        <v>718.11023622047253</v>
      </c>
      <c r="AP72" s="10">
        <f t="shared" si="80"/>
        <v>100320</v>
      </c>
      <c r="AQ72" s="11">
        <f t="shared" si="81"/>
        <v>139.69999999999999</v>
      </c>
    </row>
    <row r="73" spans="1:43" x14ac:dyDescent="0.3">
      <c r="A73" s="9" t="s">
        <v>49</v>
      </c>
      <c r="B73" s="28"/>
      <c r="C73" s="28"/>
      <c r="D73" s="28"/>
      <c r="E73" s="10" t="e">
        <f t="shared" si="82"/>
        <v>#DIV/0!</v>
      </c>
      <c r="F73" s="3">
        <v>0</v>
      </c>
      <c r="G73" s="6">
        <v>0</v>
      </c>
      <c r="H73" s="10">
        <f t="shared" si="83"/>
        <v>1038.8425925925926</v>
      </c>
      <c r="I73" s="10">
        <v>22439</v>
      </c>
      <c r="J73" s="11">
        <v>21.6</v>
      </c>
      <c r="K73" s="10">
        <f t="shared" si="84"/>
        <v>717.22972972972968</v>
      </c>
      <c r="L73" s="10">
        <v>10615</v>
      </c>
      <c r="M73" s="11">
        <v>14.8</v>
      </c>
      <c r="N73" s="10">
        <f t="shared" si="85"/>
        <v>943.130081300813</v>
      </c>
      <c r="O73" s="3">
        <v>23201</v>
      </c>
      <c r="P73" s="6">
        <v>24.6</v>
      </c>
      <c r="Q73" s="10">
        <f t="shared" si="86"/>
        <v>1023.956043956044</v>
      </c>
      <c r="R73" s="3">
        <v>18636</v>
      </c>
      <c r="S73" s="6">
        <v>18.2</v>
      </c>
      <c r="T73" s="10">
        <f t="shared" si="87"/>
        <v>2264.3283582089553</v>
      </c>
      <c r="U73" s="10">
        <v>15171</v>
      </c>
      <c r="V73" s="11">
        <v>6.7</v>
      </c>
      <c r="W73" s="10">
        <f t="shared" si="88"/>
        <v>2198.2894736842104</v>
      </c>
      <c r="X73" s="10">
        <v>16707</v>
      </c>
      <c r="Y73" s="11">
        <v>7.6</v>
      </c>
      <c r="Z73" s="10">
        <f t="shared" si="89"/>
        <v>1111.0945273631839</v>
      </c>
      <c r="AA73" s="10">
        <v>22333</v>
      </c>
      <c r="AB73" s="11">
        <v>20.100000000000001</v>
      </c>
      <c r="AC73" s="10" t="e">
        <f t="shared" si="90"/>
        <v>#DIV/0!</v>
      </c>
      <c r="AD73" s="10">
        <v>0</v>
      </c>
      <c r="AE73" s="11">
        <v>0</v>
      </c>
      <c r="AF73" s="10">
        <f t="shared" si="91"/>
        <v>719.75155279503099</v>
      </c>
      <c r="AG73" s="10">
        <v>11588</v>
      </c>
      <c r="AH73" s="11">
        <v>16.100000000000001</v>
      </c>
      <c r="AI73" s="10" t="e">
        <f t="shared" si="92"/>
        <v>#DIV/0!</v>
      </c>
      <c r="AJ73" s="10">
        <v>0</v>
      </c>
      <c r="AK73" s="11">
        <v>0</v>
      </c>
      <c r="AL73" s="10" t="e">
        <f t="shared" si="93"/>
        <v>#DIV/0!</v>
      </c>
      <c r="AM73" s="10">
        <v>0</v>
      </c>
      <c r="AN73" s="11">
        <v>0</v>
      </c>
      <c r="AO73" s="10">
        <f t="shared" si="79"/>
        <v>1084.7340015420202</v>
      </c>
      <c r="AP73" s="10">
        <f t="shared" si="80"/>
        <v>140690</v>
      </c>
      <c r="AQ73" s="11">
        <f t="shared" si="81"/>
        <v>129.69999999999999</v>
      </c>
    </row>
    <row r="74" spans="1:43" x14ac:dyDescent="0.3">
      <c r="A74" s="9" t="s">
        <v>34</v>
      </c>
      <c r="B74" s="28"/>
      <c r="C74" s="28"/>
      <c r="D74" s="28"/>
      <c r="E74" s="18" t="e">
        <f t="shared" si="82"/>
        <v>#DIV/0!</v>
      </c>
      <c r="F74" s="12">
        <v>0</v>
      </c>
      <c r="G74" s="6">
        <v>0</v>
      </c>
      <c r="H74" s="18" t="e">
        <f t="shared" si="83"/>
        <v>#DIV/0!</v>
      </c>
      <c r="I74" s="13">
        <v>0</v>
      </c>
      <c r="J74" s="11">
        <v>0</v>
      </c>
      <c r="K74" s="18" t="e">
        <f t="shared" si="84"/>
        <v>#DIV/0!</v>
      </c>
      <c r="L74" s="13">
        <v>0</v>
      </c>
      <c r="M74" s="11">
        <v>0</v>
      </c>
      <c r="N74" s="18" t="e">
        <f t="shared" si="85"/>
        <v>#DIV/0!</v>
      </c>
      <c r="O74" s="12">
        <v>0</v>
      </c>
      <c r="P74" s="6">
        <v>0</v>
      </c>
      <c r="Q74" s="18" t="e">
        <f t="shared" si="86"/>
        <v>#DIV/0!</v>
      </c>
      <c r="R74" s="12">
        <v>0</v>
      </c>
      <c r="S74" s="6">
        <v>0</v>
      </c>
      <c r="T74" s="18" t="e">
        <f t="shared" si="87"/>
        <v>#DIV/0!</v>
      </c>
      <c r="U74" s="13">
        <v>0</v>
      </c>
      <c r="V74" s="11">
        <v>0</v>
      </c>
      <c r="W74" s="13" t="e">
        <f t="shared" si="88"/>
        <v>#DIV/0!</v>
      </c>
      <c r="X74" s="13">
        <v>0</v>
      </c>
      <c r="Y74" s="11">
        <v>0</v>
      </c>
      <c r="Z74" s="18">
        <f t="shared" si="89"/>
        <v>717.72151898734182</v>
      </c>
      <c r="AA74" s="13">
        <v>34020</v>
      </c>
      <c r="AB74" s="11">
        <v>47.4</v>
      </c>
      <c r="AC74" s="18" t="e">
        <f t="shared" si="90"/>
        <v>#DIV/0!</v>
      </c>
      <c r="AD74" s="13">
        <v>0</v>
      </c>
      <c r="AE74" s="11">
        <v>0</v>
      </c>
      <c r="AF74" s="18" t="e">
        <f t="shared" si="91"/>
        <v>#DIV/0!</v>
      </c>
      <c r="AG74" s="13">
        <v>0</v>
      </c>
      <c r="AH74" s="11">
        <v>0</v>
      </c>
      <c r="AI74" s="18" t="e">
        <f t="shared" si="92"/>
        <v>#DIV/0!</v>
      </c>
      <c r="AJ74" s="13">
        <v>0</v>
      </c>
      <c r="AK74" s="11">
        <v>0</v>
      </c>
      <c r="AL74" s="18" t="e">
        <f t="shared" si="93"/>
        <v>#DIV/0!</v>
      </c>
      <c r="AM74" s="13">
        <v>0</v>
      </c>
      <c r="AN74" s="11">
        <v>0</v>
      </c>
      <c r="AO74" s="18">
        <f t="shared" si="79"/>
        <v>717.72151898734182</v>
      </c>
      <c r="AP74" s="13">
        <f t="shared" si="80"/>
        <v>34020</v>
      </c>
      <c r="AQ74" s="11">
        <f t="shared" si="81"/>
        <v>47.4</v>
      </c>
    </row>
    <row r="75" spans="1:43" x14ac:dyDescent="0.3">
      <c r="A75" s="9" t="s">
        <v>76</v>
      </c>
      <c r="B75" s="28"/>
      <c r="C75" s="28"/>
      <c r="D75" s="28"/>
      <c r="E75" s="10" t="e">
        <f t="shared" si="82"/>
        <v>#DIV/0!</v>
      </c>
      <c r="F75" s="10">
        <v>0</v>
      </c>
      <c r="G75" s="11">
        <v>0</v>
      </c>
      <c r="H75" s="10" t="e">
        <f t="shared" si="83"/>
        <v>#DIV/0!</v>
      </c>
      <c r="I75" s="10">
        <v>0</v>
      </c>
      <c r="J75" s="11">
        <v>0</v>
      </c>
      <c r="K75" s="10" t="e">
        <f t="shared" si="84"/>
        <v>#DIV/0!</v>
      </c>
      <c r="L75" s="10">
        <v>0</v>
      </c>
      <c r="M75" s="11">
        <v>0</v>
      </c>
      <c r="N75" s="10" t="e">
        <f t="shared" si="85"/>
        <v>#DIV/0!</v>
      </c>
      <c r="O75" s="10">
        <v>0</v>
      </c>
      <c r="P75" s="11">
        <v>0</v>
      </c>
      <c r="Q75" s="10" t="e">
        <f t="shared" si="86"/>
        <v>#DIV/0!</v>
      </c>
      <c r="R75" s="10">
        <v>0</v>
      </c>
      <c r="S75" s="11">
        <v>0</v>
      </c>
      <c r="T75" s="13" t="e">
        <f t="shared" si="87"/>
        <v>#DIV/0!</v>
      </c>
      <c r="U75" s="13">
        <v>0</v>
      </c>
      <c r="V75" s="11">
        <v>0</v>
      </c>
      <c r="W75" s="10" t="e">
        <f t="shared" si="88"/>
        <v>#DIV/0!</v>
      </c>
      <c r="X75" s="10">
        <v>0</v>
      </c>
      <c r="Y75" s="11">
        <v>0</v>
      </c>
      <c r="Z75" s="10">
        <f t="shared" si="89"/>
        <v>724.7619047619047</v>
      </c>
      <c r="AA75" s="10">
        <v>3044</v>
      </c>
      <c r="AB75" s="11">
        <v>4.2</v>
      </c>
      <c r="AC75" s="10" t="e">
        <f t="shared" si="90"/>
        <v>#DIV/0!</v>
      </c>
      <c r="AD75" s="10">
        <v>0</v>
      </c>
      <c r="AE75" s="11">
        <v>0</v>
      </c>
      <c r="AF75" s="13" t="e">
        <f t="shared" si="91"/>
        <v>#DIV/0!</v>
      </c>
      <c r="AG75" s="13">
        <v>0</v>
      </c>
      <c r="AH75" s="11">
        <v>0</v>
      </c>
      <c r="AI75" s="10" t="e">
        <f t="shared" si="92"/>
        <v>#DIV/0!</v>
      </c>
      <c r="AJ75" s="10">
        <v>0</v>
      </c>
      <c r="AK75" s="11">
        <v>0</v>
      </c>
      <c r="AL75" s="10" t="e">
        <f t="shared" si="93"/>
        <v>#DIV/0!</v>
      </c>
      <c r="AM75" s="10">
        <v>0</v>
      </c>
      <c r="AN75" s="11">
        <v>0</v>
      </c>
      <c r="AO75" s="10">
        <f t="shared" si="79"/>
        <v>724.7619047619047</v>
      </c>
      <c r="AP75" s="10">
        <f t="shared" ref="AP75:AQ76" si="94">SUM(F75,I75,L75,O75,R75,U75,X75,AA75,AD75,AG75,AJ75,AM75)</f>
        <v>3044</v>
      </c>
      <c r="AQ75" s="11">
        <f t="shared" si="81"/>
        <v>4.2</v>
      </c>
    </row>
    <row r="76" spans="1:43" x14ac:dyDescent="0.3">
      <c r="A76" s="20" t="s">
        <v>85</v>
      </c>
      <c r="B76" s="29"/>
      <c r="C76" s="29"/>
      <c r="D76" s="29"/>
      <c r="E76" s="15" t="e">
        <f t="shared" si="82"/>
        <v>#DIV/0!</v>
      </c>
      <c r="F76" s="15">
        <v>0</v>
      </c>
      <c r="G76" s="16">
        <v>0</v>
      </c>
      <c r="H76" s="15" t="e">
        <f t="shared" si="83"/>
        <v>#DIV/0!</v>
      </c>
      <c r="I76" s="15">
        <v>0</v>
      </c>
      <c r="J76" s="16">
        <v>0</v>
      </c>
      <c r="K76" s="15" t="e">
        <f t="shared" si="84"/>
        <v>#DIV/0!</v>
      </c>
      <c r="L76" s="15">
        <v>0</v>
      </c>
      <c r="M76" s="16">
        <v>0</v>
      </c>
      <c r="N76" s="15" t="e">
        <f t="shared" si="85"/>
        <v>#DIV/0!</v>
      </c>
      <c r="O76" s="15">
        <v>0</v>
      </c>
      <c r="P76" s="16">
        <v>0</v>
      </c>
      <c r="Q76" s="15" t="e">
        <f t="shared" si="86"/>
        <v>#DIV/0!</v>
      </c>
      <c r="R76" s="15">
        <v>0</v>
      </c>
      <c r="S76" s="16">
        <v>0</v>
      </c>
      <c r="T76" s="15" t="e">
        <f t="shared" si="87"/>
        <v>#DIV/0!</v>
      </c>
      <c r="U76" s="15">
        <v>0</v>
      </c>
      <c r="V76" s="16">
        <v>0</v>
      </c>
      <c r="W76" s="15">
        <f t="shared" si="88"/>
        <v>1261.7721518987341</v>
      </c>
      <c r="X76" s="15">
        <v>9968</v>
      </c>
      <c r="Y76" s="16">
        <v>7.9</v>
      </c>
      <c r="Z76" s="15">
        <f t="shared" si="89"/>
        <v>2186.0526315789475</v>
      </c>
      <c r="AA76" s="15">
        <v>8307</v>
      </c>
      <c r="AB76" s="16">
        <v>3.8</v>
      </c>
      <c r="AC76" s="15" t="e">
        <f t="shared" si="90"/>
        <v>#DIV/0!</v>
      </c>
      <c r="AD76" s="15">
        <v>0</v>
      </c>
      <c r="AE76" s="16">
        <v>0</v>
      </c>
      <c r="AF76" s="15" t="e">
        <f t="shared" si="91"/>
        <v>#DIV/0!</v>
      </c>
      <c r="AG76" s="15">
        <v>0</v>
      </c>
      <c r="AH76" s="16">
        <v>0</v>
      </c>
      <c r="AI76" s="15" t="e">
        <f t="shared" si="92"/>
        <v>#DIV/0!</v>
      </c>
      <c r="AJ76" s="15">
        <v>0</v>
      </c>
      <c r="AK76" s="16">
        <v>0</v>
      </c>
      <c r="AL76" s="15" t="e">
        <f t="shared" si="93"/>
        <v>#DIV/0!</v>
      </c>
      <c r="AM76" s="15">
        <v>0</v>
      </c>
      <c r="AN76" s="16">
        <v>0</v>
      </c>
      <c r="AO76" s="15">
        <f t="shared" si="79"/>
        <v>1561.965811965812</v>
      </c>
      <c r="AP76" s="15">
        <f t="shared" si="94"/>
        <v>18275</v>
      </c>
      <c r="AQ76" s="16">
        <f t="shared" si="81"/>
        <v>11.7</v>
      </c>
    </row>
    <row r="77" spans="1:43" x14ac:dyDescent="0.3">
      <c r="A77" s="1" t="s">
        <v>39</v>
      </c>
    </row>
    <row r="78" spans="1:43" x14ac:dyDescent="0.3">
      <c r="A78" s="1" t="s">
        <v>63</v>
      </c>
    </row>
    <row r="79" spans="1:43" x14ac:dyDescent="0.3">
      <c r="A79" s="1" t="s">
        <v>40</v>
      </c>
    </row>
    <row r="80" spans="1:43" x14ac:dyDescent="0.3">
      <c r="A80" s="1" t="s">
        <v>41</v>
      </c>
    </row>
    <row r="81" spans="1:1" x14ac:dyDescent="0.3">
      <c r="A81" s="1" t="s">
        <v>64</v>
      </c>
    </row>
  </sheetData>
  <mergeCells count="17">
    <mergeCell ref="B59:B76"/>
    <mergeCell ref="B4:B58"/>
    <mergeCell ref="C3:C76"/>
    <mergeCell ref="N1:P1"/>
    <mergeCell ref="E1:G1"/>
    <mergeCell ref="H1:J1"/>
    <mergeCell ref="K1:M1"/>
    <mergeCell ref="D3:D76"/>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2026-06-17T00:58:19Z</dcterms:modified>
</cp:coreProperties>
</file>