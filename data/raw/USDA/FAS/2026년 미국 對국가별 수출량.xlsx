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90\"/>
    </mc:Choice>
  </mc:AlternateContent>
  <bookViews>
    <workbookView xWindow="0" yWindow="0" windowWidth="25125" windowHeight="11640"/>
  </bookViews>
  <sheets>
    <sheet name="2026년" sheetId="1" r:id="rId1"/>
  </sheets>
  <calcPr calcId="162913"/>
</workbook>
</file>

<file path=xl/calcChain.xml><?xml version="1.0" encoding="utf-8"?>
<calcChain xmlns="http://schemas.openxmlformats.org/spreadsheetml/2006/main">
  <c r="AN49" i="1" l="1"/>
  <c r="AM49" i="1"/>
  <c r="AK49" i="1"/>
  <c r="AJ49" i="1"/>
  <c r="AH49" i="1"/>
  <c r="AG49" i="1"/>
  <c r="AE49" i="1"/>
  <c r="AD49" i="1"/>
  <c r="AB49" i="1"/>
  <c r="AA49" i="1"/>
  <c r="Y49" i="1"/>
  <c r="X49" i="1"/>
  <c r="V49" i="1"/>
  <c r="U49" i="1"/>
  <c r="S49" i="1"/>
  <c r="R49" i="1"/>
  <c r="AQ62" i="1"/>
  <c r="AP62" i="1"/>
  <c r="I49" i="1"/>
  <c r="J49" i="1"/>
  <c r="O49" i="1"/>
  <c r="P49" i="1"/>
  <c r="AN4" i="1"/>
  <c r="AM4" i="1"/>
  <c r="AK4" i="1"/>
  <c r="AJ4" i="1"/>
  <c r="AJ3" i="1" s="1"/>
  <c r="AH4" i="1"/>
  <c r="AG4" i="1"/>
  <c r="AE4" i="1"/>
  <c r="AE3" i="1" s="1"/>
  <c r="AD4" i="1"/>
  <c r="AD3" i="1" s="1"/>
  <c r="AB4" i="1"/>
  <c r="AA4" i="1"/>
  <c r="AA3" i="1" s="1"/>
  <c r="Y4" i="1"/>
  <c r="X4" i="1"/>
  <c r="X3" i="1" s="1"/>
  <c r="V4" i="1"/>
  <c r="V3" i="1" s="1"/>
  <c r="U4" i="1"/>
  <c r="S4" i="1"/>
  <c r="S3" i="1" s="1"/>
  <c r="R4" i="1"/>
  <c r="R3" i="1" s="1"/>
  <c r="P4" i="1"/>
  <c r="O4" i="1"/>
  <c r="M4" i="1"/>
  <c r="M3" i="1" s="1"/>
  <c r="L4" i="1"/>
  <c r="J4" i="1"/>
  <c r="I4" i="1"/>
  <c r="I3" i="1" s="1"/>
  <c r="G4" i="1"/>
  <c r="F4" i="1"/>
  <c r="AN3" i="1"/>
  <c r="AM3" i="1"/>
  <c r="AK3" i="1"/>
  <c r="AB3" i="1"/>
  <c r="Y3" i="1"/>
  <c r="M49" i="1"/>
  <c r="L49" i="1"/>
  <c r="G49" i="1"/>
  <c r="F49" i="1"/>
  <c r="U3" i="1" l="1"/>
  <c r="AG3" i="1"/>
  <c r="AH3" i="1"/>
  <c r="O3" i="1"/>
  <c r="P3" i="1"/>
  <c r="L3" i="1"/>
  <c r="J3" i="1"/>
  <c r="F3" i="1"/>
  <c r="G3" i="1"/>
  <c r="AQ61" i="1" l="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L61" i="1"/>
  <c r="AL60" i="1"/>
  <c r="AL59" i="1"/>
  <c r="AL58" i="1"/>
  <c r="AL57" i="1"/>
  <c r="AL56" i="1"/>
  <c r="AL55" i="1"/>
  <c r="AL54" i="1"/>
  <c r="AL53" i="1"/>
  <c r="AL52" i="1"/>
  <c r="AL51" i="1"/>
  <c r="AL50" i="1"/>
  <c r="AL49" i="1"/>
  <c r="AL48" i="1"/>
  <c r="AL47" i="1"/>
  <c r="AL46" i="1"/>
  <c r="AL45" i="1"/>
  <c r="AI61" i="1"/>
  <c r="AI60" i="1"/>
  <c r="AI59" i="1"/>
  <c r="AI58" i="1"/>
  <c r="AI57" i="1"/>
  <c r="AI56" i="1"/>
  <c r="AI55" i="1"/>
  <c r="AI54" i="1"/>
  <c r="AI53" i="1"/>
  <c r="AI52" i="1"/>
  <c r="AI51" i="1"/>
  <c r="AI50" i="1"/>
  <c r="AI49" i="1"/>
  <c r="AI48" i="1"/>
  <c r="AI47" i="1"/>
  <c r="AI46" i="1"/>
  <c r="AI45" i="1"/>
  <c r="AF61" i="1"/>
  <c r="AF60" i="1"/>
  <c r="AF59" i="1"/>
  <c r="AF58" i="1"/>
  <c r="AF57" i="1"/>
  <c r="AF56" i="1"/>
  <c r="AF55" i="1"/>
  <c r="AF54" i="1"/>
  <c r="AF53" i="1"/>
  <c r="AF52" i="1"/>
  <c r="AF51" i="1"/>
  <c r="AF50" i="1"/>
  <c r="AF49" i="1"/>
  <c r="AF48" i="1"/>
  <c r="AF47" i="1"/>
  <c r="AF46" i="1"/>
  <c r="AF45" i="1"/>
  <c r="AC61" i="1"/>
  <c r="AC60" i="1"/>
  <c r="AC59" i="1"/>
  <c r="AC58" i="1"/>
  <c r="AC57" i="1"/>
  <c r="AC56" i="1"/>
  <c r="AC55" i="1"/>
  <c r="AC54" i="1"/>
  <c r="AC53" i="1"/>
  <c r="AC52" i="1"/>
  <c r="AC51" i="1"/>
  <c r="AC50" i="1"/>
  <c r="AC49" i="1"/>
  <c r="AC48" i="1"/>
  <c r="AC47" i="1"/>
  <c r="AC46" i="1"/>
  <c r="AC45" i="1"/>
  <c r="Z61" i="1"/>
  <c r="Z60" i="1"/>
  <c r="Z59" i="1"/>
  <c r="Z58" i="1"/>
  <c r="Z57" i="1"/>
  <c r="Z56" i="1"/>
  <c r="Z55" i="1"/>
  <c r="Z54" i="1"/>
  <c r="Z53" i="1"/>
  <c r="Z52" i="1"/>
  <c r="Z51" i="1"/>
  <c r="Z50" i="1"/>
  <c r="Z49" i="1"/>
  <c r="Z48" i="1"/>
  <c r="Z47" i="1"/>
  <c r="Z46" i="1"/>
  <c r="Z45" i="1"/>
  <c r="W61" i="1"/>
  <c r="W60" i="1"/>
  <c r="W59" i="1"/>
  <c r="W58" i="1"/>
  <c r="W57" i="1"/>
  <c r="W56" i="1"/>
  <c r="W55" i="1"/>
  <c r="W54" i="1"/>
  <c r="W53" i="1"/>
  <c r="W52" i="1"/>
  <c r="W51" i="1"/>
  <c r="W50" i="1"/>
  <c r="W49" i="1"/>
  <c r="W48" i="1"/>
  <c r="W47" i="1"/>
  <c r="W46" i="1"/>
  <c r="W45" i="1"/>
  <c r="T61" i="1"/>
  <c r="T60" i="1"/>
  <c r="T59" i="1"/>
  <c r="T58" i="1"/>
  <c r="T57" i="1"/>
  <c r="T56" i="1"/>
  <c r="T55" i="1"/>
  <c r="T54" i="1"/>
  <c r="T53" i="1"/>
  <c r="T52" i="1"/>
  <c r="T51" i="1"/>
  <c r="T50" i="1"/>
  <c r="T49" i="1"/>
  <c r="T48" i="1"/>
  <c r="T47" i="1"/>
  <c r="T46" i="1"/>
  <c r="T45" i="1"/>
  <c r="Q61" i="1"/>
  <c r="Q60" i="1"/>
  <c r="Q59" i="1"/>
  <c r="Q58" i="1"/>
  <c r="Q57" i="1"/>
  <c r="Q56" i="1"/>
  <c r="Q55" i="1"/>
  <c r="Q54" i="1"/>
  <c r="Q53" i="1"/>
  <c r="Q52" i="1"/>
  <c r="Q51" i="1"/>
  <c r="Q50" i="1"/>
  <c r="Q49" i="1"/>
  <c r="Q48" i="1"/>
  <c r="Q47" i="1"/>
  <c r="Q46" i="1"/>
  <c r="Q45" i="1"/>
  <c r="N61" i="1"/>
  <c r="N60" i="1"/>
  <c r="N59" i="1"/>
  <c r="N58" i="1"/>
  <c r="N57" i="1"/>
  <c r="N56" i="1"/>
  <c r="N55" i="1"/>
  <c r="N54" i="1"/>
  <c r="N53" i="1"/>
  <c r="N52" i="1"/>
  <c r="N51" i="1"/>
  <c r="N50" i="1"/>
  <c r="N49" i="1"/>
  <c r="N48" i="1"/>
  <c r="N47" i="1"/>
  <c r="N46" i="1"/>
  <c r="N45" i="1"/>
  <c r="K61" i="1"/>
  <c r="K60" i="1"/>
  <c r="K59" i="1"/>
  <c r="K58" i="1"/>
  <c r="K57" i="1"/>
  <c r="K56" i="1"/>
  <c r="K55" i="1"/>
  <c r="K54" i="1"/>
  <c r="K53" i="1"/>
  <c r="K52" i="1"/>
  <c r="K51" i="1"/>
  <c r="K50" i="1"/>
  <c r="K49" i="1"/>
  <c r="K48" i="1"/>
  <c r="K47" i="1"/>
  <c r="K46" i="1"/>
  <c r="K45" i="1"/>
  <c r="H61" i="1"/>
  <c r="H60" i="1"/>
  <c r="H59" i="1"/>
  <c r="H58" i="1"/>
  <c r="H57" i="1"/>
  <c r="H56" i="1"/>
  <c r="H55" i="1"/>
  <c r="H54" i="1"/>
  <c r="H53" i="1"/>
  <c r="H52" i="1"/>
  <c r="H51" i="1"/>
  <c r="H50" i="1"/>
  <c r="H49" i="1"/>
  <c r="H48" i="1"/>
  <c r="H47" i="1"/>
  <c r="H46" i="1"/>
  <c r="H45" i="1"/>
  <c r="E61" i="1"/>
  <c r="E60" i="1"/>
  <c r="E59" i="1"/>
  <c r="E58" i="1"/>
  <c r="E57" i="1"/>
  <c r="E56" i="1"/>
  <c r="E55" i="1"/>
  <c r="E54" i="1"/>
  <c r="E53" i="1"/>
  <c r="E52" i="1"/>
  <c r="E51" i="1"/>
  <c r="E50" i="1"/>
  <c r="E49" i="1"/>
  <c r="E48" i="1"/>
  <c r="E47" i="1"/>
  <c r="E46" i="1"/>
  <c r="E45" i="1"/>
  <c r="AF62" i="1"/>
  <c r="T62" i="1"/>
  <c r="N62" i="1"/>
  <c r="H62" i="1"/>
  <c r="AF3" i="1" l="1"/>
  <c r="AC3" i="1"/>
  <c r="Q3" i="1"/>
  <c r="N3" i="1"/>
  <c r="AO45" i="1"/>
  <c r="AO49" i="1"/>
  <c r="AO53" i="1"/>
  <c r="AO57" i="1"/>
  <c r="AO61" i="1"/>
  <c r="AO46" i="1"/>
  <c r="AO50" i="1"/>
  <c r="AO54" i="1"/>
  <c r="AO58" i="1"/>
  <c r="AO59" i="1"/>
  <c r="AO55" i="1"/>
  <c r="AO47" i="1"/>
  <c r="AO51" i="1"/>
  <c r="AO48" i="1"/>
  <c r="AO52" i="1"/>
  <c r="AO56" i="1"/>
  <c r="AO60" i="1"/>
  <c r="AL62" i="1"/>
  <c r="Z62" i="1"/>
  <c r="H3" i="1"/>
  <c r="Q62" i="1"/>
  <c r="AC62" i="1"/>
  <c r="K62" i="1"/>
  <c r="W3" i="1"/>
  <c r="AI62" i="1"/>
  <c r="W62" i="1"/>
  <c r="E62" i="1"/>
  <c r="AL3" i="1"/>
  <c r="T3" i="1"/>
  <c r="N43" i="1"/>
  <c r="AP5" i="1"/>
  <c r="AP4" i="1" s="1"/>
  <c r="AP3" i="1" s="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Q4" i="1" s="1"/>
  <c r="AQ3" i="1" s="1"/>
  <c r="N4" i="1" l="1"/>
  <c r="AC4" i="1"/>
  <c r="AF4" i="1"/>
  <c r="AO62" i="1"/>
  <c r="K3" i="1"/>
  <c r="AI3" i="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<sst xmlns="http://schemas.openxmlformats.org/spreadsheetml/2006/main" count="126" uniqueCount="78">
  <si>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</si>
  <si>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</si>
  <si>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</si>
  <si>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</si>
  <si>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</si>
  <si>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</si>
  <si>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</si>
  <si>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</si>
  <si>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</si>
  <si>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</si>
  <si>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</si>
  <si>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</si>
  <si>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</si>
  <si>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</si>
  <si>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</si>
  <si>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</si>
  <si>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</si>
  <si>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</si>
  <si>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</si>
  <si>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Canada</t>
  </si>
  <si>
    <t>Colombia</t>
  </si>
  <si>
    <t>Dominican Republic</t>
  </si>
  <si>
    <t>Korea, South</t>
  </si>
  <si>
    <t>Jamaica</t>
  </si>
  <si>
    <t>Mexico</t>
  </si>
  <si>
    <t>United Arab Emirates</t>
  </si>
  <si>
    <t>Barbados</t>
  </si>
  <si>
    <t>Bahamas, The</t>
  </si>
  <si>
    <t>Belize</t>
  </si>
  <si>
    <t>El Salvador</t>
  </si>
  <si>
    <t>Guatemala</t>
  </si>
  <si>
    <t>Honduras</t>
  </si>
  <si>
    <t>Japan</t>
  </si>
  <si>
    <t>Nicaragua</t>
  </si>
  <si>
    <t>Panama</t>
  </si>
  <si>
    <t>Spain</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</si>
  <si>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</si>
  <si>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</si>
  <si>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</si>
  <si>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</si>
  <si>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</si>
  <si>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</si>
  <si>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</si>
  <si>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</si>
  <si>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</si>
  <si>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</si>
  <si>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</si>
  <si>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Jordan</t>
  </si>
  <si>
    <t>Netherlands Antilles(*)</t>
  </si>
  <si>
    <t>Saudi Arabia</t>
  </si>
  <si>
    <t>Kuwait</t>
  </si>
  <si>
    <t>Chile</t>
  </si>
  <si>
    <t>Lebanon</t>
  </si>
  <si>
    <t>Qatar</t>
  </si>
  <si>
    <t>Oman</t>
  </si>
  <si>
    <t>India</t>
  </si>
  <si>
    <t>Cayman Islands</t>
  </si>
  <si>
    <t>Bermuda</t>
  </si>
  <si>
    <t>Indonesia</t>
  </si>
  <si>
    <t>Peru</t>
  </si>
  <si>
    <t>World Total_FLY-RFND</t>
    <phoneticPr fontId="18" type="noConversion"/>
  </si>
  <si>
    <t>1. Data Source: U.S. Census Bureau Trade Data</t>
  </si>
  <si>
    <t>4. Product Group : Harmonized</t>
  </si>
  <si>
    <t>Product</t>
    <phoneticPr fontId="18" type="noConversion"/>
  </si>
  <si>
    <t>Soybean Oil, Refined</t>
    <phoneticPr fontId="18" type="noConversion"/>
  </si>
  <si>
    <t>Turks and Caicos Islands</t>
  </si>
  <si>
    <t>Brazil</t>
  </si>
  <si>
    <t>SOY OIL FLY-RFND</t>
    <phoneticPr fontId="18" type="noConversion"/>
  </si>
  <si>
    <t>Argentina</t>
  </si>
  <si>
    <t>Netherlands</t>
  </si>
  <si>
    <t>Cuba</t>
  </si>
  <si>
    <t>Iraq</t>
  </si>
  <si>
    <t>Mongolia</t>
  </si>
  <si>
    <t>Israel(*)</t>
  </si>
  <si>
    <t>Suriname</t>
  </si>
  <si>
    <t>SOY OIL ONC-RFND</t>
    <phoneticPr fontId="18" type="noConversion"/>
  </si>
  <si>
    <t>Ireland</t>
  </si>
  <si>
    <t>Singapore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</si>
</sst>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49" fontId="0" fillId="0" borderId="17" xfId="0" applyNumberFormat="1" applyBorder="1">
      <alignment vertical="center"/>
    </xf>
    <xf numFmtId="49" fontId="0" fillId="0" borderId="21" xfId="0" applyNumberFormat="1" applyBorder="1">
      <alignment vertical="center"/>
    </xf>
    <xf numFmtId="49" fontId="0" fillId="0" borderId="12"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7"/>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8" t="s">
        <v>0</v>
      </c>
      <c r="F1" s="29"/>
      <c r="G1" s="30"/>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41</v>
      </c>
      <c r="B2" s="2" t="s">
        <v>63</v>
      </c>
      <c r="C2" s="2" t="s">
        <v>13</v>
      </c>
      <c r="D2" s="2" t="s">
        <v>42</v>
      </c>
      <c r="E2" s="4" t="s">
        <v>14</v>
      </c>
      <c r="F2" s="2" t="s">
        <v>42</v>
      </c>
      <c r="G2" s="5" t="s">
        <v>15</v>
      </c>
      <c r="H2" s="2" t="s">
        <v>14</v>
      </c>
      <c r="I2" s="2" t="s">
        <v>42</v>
      </c>
      <c r="J2" s="5" t="s">
        <v>15</v>
      </c>
      <c r="K2" s="2" t="s">
        <v>14</v>
      </c>
      <c r="L2" s="2" t="s">
        <v>42</v>
      </c>
      <c r="M2" s="5" t="s">
        <v>15</v>
      </c>
      <c r="N2" s="2" t="s">
        <v>14</v>
      </c>
      <c r="O2" s="2" t="s">
        <v>42</v>
      </c>
      <c r="P2" s="5" t="s">
        <v>15</v>
      </c>
      <c r="Q2" s="2" t="s">
        <v>14</v>
      </c>
      <c r="R2" s="2" t="s">
        <v>42</v>
      </c>
      <c r="S2" s="5" t="s">
        <v>15</v>
      </c>
      <c r="T2" s="2" t="s">
        <v>14</v>
      </c>
      <c r="U2" s="2" t="s">
        <v>42</v>
      </c>
      <c r="V2" s="5" t="s">
        <v>15</v>
      </c>
      <c r="W2" s="2" t="s">
        <v>14</v>
      </c>
      <c r="X2" s="2" t="s">
        <v>42</v>
      </c>
      <c r="Y2" s="5" t="s">
        <v>15</v>
      </c>
      <c r="Z2" s="2" t="s">
        <v>14</v>
      </c>
      <c r="AA2" s="2" t="s">
        <v>42</v>
      </c>
      <c r="AB2" s="5" t="s">
        <v>15</v>
      </c>
      <c r="AC2" s="2" t="s">
        <v>14</v>
      </c>
      <c r="AD2" s="2" t="s">
        <v>42</v>
      </c>
      <c r="AE2" s="5" t="s">
        <v>15</v>
      </c>
      <c r="AF2" s="2" t="s">
        <v>14</v>
      </c>
      <c r="AG2" s="2" t="s">
        <v>42</v>
      </c>
      <c r="AH2" s="5" t="s">
        <v>15</v>
      </c>
      <c r="AI2" s="2" t="s">
        <v>14</v>
      </c>
      <c r="AJ2" s="2" t="s">
        <v>42</v>
      </c>
      <c r="AK2" s="5" t="s">
        <v>15</v>
      </c>
      <c r="AL2" s="2" t="s">
        <v>14</v>
      </c>
      <c r="AM2" s="2" t="s">
        <v>42</v>
      </c>
      <c r="AN2" s="5" t="s">
        <v>15</v>
      </c>
      <c r="AO2" s="2" t="s">
        <v>14</v>
      </c>
      <c r="AP2" s="2" t="s">
        <v>44</v>
      </c>
      <c r="AQ2" s="5" t="s">
        <v>15</v>
      </c>
    </row>
    <row r="3" spans="1:67" ht="15" customHeight="1" x14ac:dyDescent="0.3">
      <c r="A3" s="9" t="s">
        <v>16</v>
      </c>
      <c r="B3" s="21" t="s">
        <v>64</v>
      </c>
      <c r="C3" s="22" t="s">
        <v>17</v>
      </c>
      <c r="D3" s="22" t="s">
        <v>43</v>
      </c>
      <c r="E3" s="7">
        <f>F3/G3</f>
        <v>1339.8506346588949</v>
      </c>
      <c r="F3" s="7">
        <f>SUM(F4,F49)</f>
        <v>34939285</v>
      </c>
      <c r="G3" s="8">
        <f t="shared" ref="G3" si="0">SUM(G4,G49)</f>
        <v>26076.999999999996</v>
      </c>
      <c r="H3" s="7">
        <f>I3/J3</f>
        <v>1349.5856652400882</v>
      </c>
      <c r="I3" s="7">
        <f>SUM(I4,I49)</f>
        <v>22956992</v>
      </c>
      <c r="J3" s="8">
        <f>SUM(J4,J49)</f>
        <v>17010.400000000001</v>
      </c>
      <c r="K3" s="7">
        <f>L3/M3</f>
        <v>1384.5781449392164</v>
      </c>
      <c r="L3" s="7">
        <f t="shared" ref="L3:M3" si="1">SUM(L4,L49)</f>
        <v>30922476</v>
      </c>
      <c r="M3" s="8">
        <f t="shared" si="1"/>
        <v>22333.500000000007</v>
      </c>
      <c r="N3" s="7">
        <f>O3/P3</f>
        <v>1554.5763835293055</v>
      </c>
      <c r="O3" s="7">
        <f t="shared" ref="O3:P3" si="2">SUM(O4,O49)</f>
        <v>17121327</v>
      </c>
      <c r="P3" s="8">
        <f t="shared" si="2"/>
        <v>11013.499999999996</v>
      </c>
      <c r="Q3" s="7" t="e">
        <f>R3/S3</f>
        <v>#DIV/0!</v>
      </c>
      <c r="R3" s="7">
        <f t="shared" ref="R3:S3" si="3">SUM(R4,R49)</f>
        <v>0</v>
      </c>
      <c r="S3" s="8">
        <f t="shared" si="3"/>
        <v>0</v>
      </c>
      <c r="T3" s="7" t="e">
        <f>U3/V3</f>
        <v>#DIV/0!</v>
      </c>
      <c r="U3" s="7">
        <f t="shared" ref="U3:V3" si="4">SUM(U4,U49)</f>
        <v>0</v>
      </c>
      <c r="V3" s="8">
        <f t="shared" si="4"/>
        <v>0</v>
      </c>
      <c r="W3" s="7" t="e">
        <f>X3/Y3</f>
        <v>#DIV/0!</v>
      </c>
      <c r="X3" s="7">
        <f t="shared" ref="X3:Y3" si="5">SUM(X4,X49)</f>
        <v>0</v>
      </c>
      <c r="Y3" s="8">
        <f t="shared" si="5"/>
        <v>0</v>
      </c>
      <c r="Z3" s="7" t="e">
        <f>AA3/AB3</f>
        <v>#DIV/0!</v>
      </c>
      <c r="AA3" s="7">
        <f t="shared" ref="AA3:AB3" si="6">SUM(AA4,AA49)</f>
        <v>0</v>
      </c>
      <c r="AB3" s="8">
        <f t="shared" si="6"/>
        <v>0</v>
      </c>
      <c r="AC3" s="7" t="e">
        <f>AD3/AE3</f>
        <v>#DIV/0!</v>
      </c>
      <c r="AD3" s="7">
        <f t="shared" ref="AD3:AE3" si="7">SUM(AD4,AD49)</f>
        <v>0</v>
      </c>
      <c r="AE3" s="8">
        <f t="shared" si="7"/>
        <v>0</v>
      </c>
      <c r="AF3" s="7" t="e">
        <f>AG3/AH3</f>
        <v>#DIV/0!</v>
      </c>
      <c r="AG3" s="7">
        <f t="shared" ref="AG3:AH3" si="8">SUM(AG4,AG49)</f>
        <v>0</v>
      </c>
      <c r="AH3" s="8">
        <f t="shared" si="8"/>
        <v>0</v>
      </c>
      <c r="AI3" s="7" t="e">
        <f>AJ3/AK3</f>
        <v>#DIV/0!</v>
      </c>
      <c r="AJ3" s="7">
        <f t="shared" ref="AJ3:AK3" si="9">SUM(AJ4,AJ49)</f>
        <v>0</v>
      </c>
      <c r="AK3" s="8">
        <f t="shared" si="9"/>
        <v>0</v>
      </c>
      <c r="AL3" s="7" t="e">
        <f>AM3/AN3</f>
        <v>#DIV/0!</v>
      </c>
      <c r="AM3" s="7">
        <f t="shared" ref="AM3:AN3" si="10">SUM(AM4,AM49)</f>
        <v>0</v>
      </c>
      <c r="AN3" s="8">
        <f t="shared" si="10"/>
        <v>0</v>
      </c>
      <c r="AO3" s="7">
        <f>AP3/AQ3</f>
        <v>1386.0261871618018</v>
      </c>
      <c r="AP3" s="7">
        <f t="shared" ref="AP3:AQ3" si="11">SUM(AP4,AP49)</f>
        <v>105940080</v>
      </c>
      <c r="AQ3" s="8">
        <f t="shared" si="11"/>
        <v>76434.39999999998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60</v>
      </c>
      <c r="B4" s="22" t="s">
        <v>67</v>
      </c>
      <c r="C4" s="23"/>
      <c r="D4" s="23"/>
      <c r="E4" s="3">
        <f t="shared" ref="E4:E11" si="12">F4/G4</f>
        <v>1340.4223888009797</v>
      </c>
      <c r="F4" s="3">
        <f>SUM(F5:F48)</f>
        <v>34815729</v>
      </c>
      <c r="G4" s="6">
        <f t="shared" ref="G4" si="13">SUM(G5:G48)</f>
        <v>25973.699999999997</v>
      </c>
      <c r="H4" s="3">
        <f t="shared" ref="H4:H11" si="14">I4/J4</f>
        <v>1354.6756766394462</v>
      </c>
      <c r="I4" s="3">
        <f>SUM(I5:I48)</f>
        <v>22793502</v>
      </c>
      <c r="J4" s="6">
        <f t="shared" ref="J4" si="15">SUM(J5:J48)</f>
        <v>16825.800000000003</v>
      </c>
      <c r="K4" s="3">
        <f t="shared" ref="K4:K11" si="16">L4/M4</f>
        <v>1391.1835661328716</v>
      </c>
      <c r="L4" s="3">
        <f>SUM(L5:L48)</f>
        <v>30735975</v>
      </c>
      <c r="M4" s="6">
        <f t="shared" ref="M4" si="17">SUM(M5:M48)</f>
        <v>22093.400000000009</v>
      </c>
      <c r="N4" s="3">
        <f t="shared" ref="N4:N11" si="18">O4/P4</f>
        <v>1600.6452881967439</v>
      </c>
      <c r="O4" s="3">
        <f>SUM(O5:O48)</f>
        <v>16681445</v>
      </c>
      <c r="P4" s="6">
        <f t="shared" ref="P4" si="19">SUM(P5:P48)</f>
        <v>10421.699999999997</v>
      </c>
      <c r="Q4" s="3" t="e">
        <f t="shared" ref="Q4:Q11" si="20">R4/S4</f>
        <v>#DIV/0!</v>
      </c>
      <c r="R4" s="3">
        <f>SUM(R5:R48)</f>
        <v>0</v>
      </c>
      <c r="S4" s="6">
        <f t="shared" ref="S4" si="21">SUM(S5:S48)</f>
        <v>0</v>
      </c>
      <c r="T4" s="3" t="e">
        <f t="shared" ref="T4:T11" si="22">U4/V4</f>
        <v>#DIV/0!</v>
      </c>
      <c r="U4" s="3">
        <f>SUM(U5:U48)</f>
        <v>0</v>
      </c>
      <c r="V4" s="6">
        <f t="shared" ref="V4" si="23">SUM(V5:V48)</f>
        <v>0</v>
      </c>
      <c r="W4" s="3" t="e">
        <f t="shared" ref="W4:W11" si="24">X4/Y4</f>
        <v>#DIV/0!</v>
      </c>
      <c r="X4" s="3">
        <f>SUM(X5:X48)</f>
        <v>0</v>
      </c>
      <c r="Y4" s="6">
        <f t="shared" ref="Y4" si="25">SUM(Y5:Y48)</f>
        <v>0</v>
      </c>
      <c r="Z4" s="3" t="e">
        <f t="shared" ref="Z4:Z11" si="26">AA4/AB4</f>
        <v>#DIV/0!</v>
      </c>
      <c r="AA4" s="3">
        <f>SUM(AA5:AA48)</f>
        <v>0</v>
      </c>
      <c r="AB4" s="6">
        <f t="shared" ref="AB4" si="27">SUM(AB5:AB48)</f>
        <v>0</v>
      </c>
      <c r="AC4" s="3" t="e">
        <f t="shared" ref="AC4:AC11" si="28">AD4/AE4</f>
        <v>#DIV/0!</v>
      </c>
      <c r="AD4" s="3">
        <f>SUM(AD5:AD48)</f>
        <v>0</v>
      </c>
      <c r="AE4" s="6">
        <f t="shared" ref="AE4" si="29">SUM(AE5:AE48)</f>
        <v>0</v>
      </c>
      <c r="AF4" s="3" t="e">
        <f t="shared" ref="AF4:AF11" si="30">AG4/AH4</f>
        <v>#DIV/0!</v>
      </c>
      <c r="AG4" s="3">
        <f>SUM(AG5:AG48)</f>
        <v>0</v>
      </c>
      <c r="AH4" s="6">
        <f t="shared" ref="AH4" si="31">SUM(AH5:AH48)</f>
        <v>0</v>
      </c>
      <c r="AI4" s="3" t="e">
        <f t="shared" ref="AI4:AI11" si="32">AJ4/AK4</f>
        <v>#DIV/0!</v>
      </c>
      <c r="AJ4" s="3">
        <f>SUM(AJ5:AJ48)</f>
        <v>0</v>
      </c>
      <c r="AK4" s="6">
        <f t="shared" ref="AK4" si="33">SUM(AK5:AK48)</f>
        <v>0</v>
      </c>
      <c r="AL4" s="3" t="e">
        <f t="shared" ref="AL4:AL11" si="34">AM4/AN4</f>
        <v>#DIV/0!</v>
      </c>
      <c r="AM4" s="3">
        <f>SUM(AM5:AM48)</f>
        <v>0</v>
      </c>
      <c r="AN4" s="6">
        <f t="shared" ref="AN4" si="35">SUM(AN5:AN48)</f>
        <v>0</v>
      </c>
      <c r="AO4" s="3">
        <f t="shared" ref="AO4:AO61" si="36">AP4/AQ4</f>
        <v>1394.5058594216796</v>
      </c>
      <c r="AP4" s="3">
        <f>SUM(AP5:AP48)</f>
        <v>105026651</v>
      </c>
      <c r="AQ4" s="6">
        <f t="shared" ref="AQ4" si="37">SUM(AQ5:AQ48)</f>
        <v>75314.599999999977</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24</v>
      </c>
      <c r="B5" s="23"/>
      <c r="C5" s="23"/>
      <c r="D5" s="23"/>
      <c r="E5" s="3">
        <f t="shared" si="12"/>
        <v>1287.3322807017544</v>
      </c>
      <c r="F5" s="3">
        <v>25682279</v>
      </c>
      <c r="G5" s="6">
        <v>19950</v>
      </c>
      <c r="H5" s="3">
        <f t="shared" si="14"/>
        <v>1214.9567685633474</v>
      </c>
      <c r="I5" s="3">
        <v>12070474</v>
      </c>
      <c r="J5" s="6">
        <v>9934.9</v>
      </c>
      <c r="K5" s="3">
        <f t="shared" si="16"/>
        <v>1284.3958752064316</v>
      </c>
      <c r="L5" s="3">
        <v>20065603</v>
      </c>
      <c r="M5" s="6">
        <v>15622.6</v>
      </c>
      <c r="N5" s="3">
        <f t="shared" si="18"/>
        <v>1425.5984671366041</v>
      </c>
      <c r="O5" s="3">
        <v>8109802</v>
      </c>
      <c r="P5" s="6">
        <v>5688.7</v>
      </c>
      <c r="Q5" s="3" t="e">
        <f t="shared" si="20"/>
        <v>#DIV/0!</v>
      </c>
      <c r="R5" s="3"/>
      <c r="S5" s="6"/>
      <c r="T5" s="3" t="e">
        <f t="shared" si="22"/>
        <v>#DIV/0!</v>
      </c>
      <c r="U5" s="3"/>
      <c r="V5" s="6"/>
      <c r="W5" s="3" t="e">
        <f t="shared" si="24"/>
        <v>#DIV/0!</v>
      </c>
      <c r="X5" s="3"/>
      <c r="Y5" s="6"/>
      <c r="Z5" s="3" t="e">
        <f t="shared" si="26"/>
        <v>#DIV/0!</v>
      </c>
      <c r="AA5" s="3"/>
      <c r="AB5" s="6"/>
      <c r="AC5" s="3" t="e">
        <f t="shared" si="28"/>
        <v>#DIV/0!</v>
      </c>
      <c r="AD5" s="3"/>
      <c r="AE5" s="6"/>
      <c r="AF5" s="3" t="e">
        <f t="shared" si="30"/>
        <v>#DIV/0!</v>
      </c>
      <c r="AG5" s="3"/>
      <c r="AH5" s="6"/>
      <c r="AI5" s="3" t="e">
        <f t="shared" si="32"/>
        <v>#DIV/0!</v>
      </c>
      <c r="AJ5" s="3"/>
      <c r="AK5" s="6"/>
      <c r="AL5" s="3" t="e">
        <f t="shared" si="34"/>
        <v>#DIV/0!</v>
      </c>
      <c r="AM5" s="3"/>
      <c r="AN5" s="6"/>
      <c r="AO5" s="3">
        <f t="shared" si="36"/>
        <v>1287.7549114973378</v>
      </c>
      <c r="AP5" s="3">
        <f t="shared" ref="AP5" si="38">SUM(F5,I5,L5,O5,R5,U5,X5,AA5,AD5,AG5,AJ5,AM5)</f>
        <v>65928158</v>
      </c>
      <c r="AQ5" s="6">
        <f t="shared" ref="AQ5" si="39">SUM(G5,J5,M5,P5,S5,V5,Y5,AB5,AE5,AH5,AK5,AN5)</f>
        <v>51196.2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19</v>
      </c>
      <c r="B6" s="23"/>
      <c r="C6" s="23"/>
      <c r="D6" s="23"/>
      <c r="E6" s="3">
        <f t="shared" si="12"/>
        <v>1544.8603401440887</v>
      </c>
      <c r="F6" s="3">
        <v>5232133</v>
      </c>
      <c r="G6" s="6">
        <v>3386.8</v>
      </c>
      <c r="H6" s="3">
        <f t="shared" si="14"/>
        <v>1604.584673097535</v>
      </c>
      <c r="I6" s="3">
        <v>4790648</v>
      </c>
      <c r="J6" s="6">
        <v>2985.6</v>
      </c>
      <c r="K6" s="3">
        <f t="shared" si="16"/>
        <v>1736.4709908735333</v>
      </c>
      <c r="L6" s="3">
        <v>5327493</v>
      </c>
      <c r="M6" s="6">
        <v>3068</v>
      </c>
      <c r="N6" s="3">
        <f t="shared" si="18"/>
        <v>1755.9759731793629</v>
      </c>
      <c r="O6" s="3">
        <v>5656701</v>
      </c>
      <c r="P6" s="6">
        <v>3221.4</v>
      </c>
      <c r="Q6" s="3" t="e">
        <f t="shared" si="20"/>
        <v>#DIV/0!</v>
      </c>
      <c r="R6" s="3"/>
      <c r="S6" s="6"/>
      <c r="T6" s="3" t="e">
        <f t="shared" si="22"/>
        <v>#DIV/0!</v>
      </c>
      <c r="U6" s="3"/>
      <c r="V6" s="6"/>
      <c r="W6" s="3" t="e">
        <f t="shared" si="24"/>
        <v>#DIV/0!</v>
      </c>
      <c r="X6" s="3"/>
      <c r="Y6" s="6"/>
      <c r="Z6" s="3" t="e">
        <f t="shared" si="26"/>
        <v>#DIV/0!</v>
      </c>
      <c r="AA6" s="3"/>
      <c r="AB6" s="6"/>
      <c r="AC6" s="3" t="e">
        <f t="shared" si="28"/>
        <v>#DIV/0!</v>
      </c>
      <c r="AD6" s="3"/>
      <c r="AE6" s="6"/>
      <c r="AF6" s="3" t="e">
        <f t="shared" si="30"/>
        <v>#DIV/0!</v>
      </c>
      <c r="AG6" s="3"/>
      <c r="AH6" s="6"/>
      <c r="AI6" s="3" t="e">
        <f t="shared" si="32"/>
        <v>#DIV/0!</v>
      </c>
      <c r="AJ6" s="3"/>
      <c r="AK6" s="6"/>
      <c r="AL6" s="3" t="e">
        <f t="shared" si="34"/>
        <v>#DIV/0!</v>
      </c>
      <c r="AM6" s="3"/>
      <c r="AN6" s="6"/>
      <c r="AO6" s="3">
        <f t="shared" si="36"/>
        <v>1659.0828318248591</v>
      </c>
      <c r="AP6" s="3">
        <f t="shared" ref="AP6:AP61" si="40">SUM(F6,I6,L6,O6,R6,U6,X6,AA6,AD6,AG6,AJ6,AM6)</f>
        <v>21006975</v>
      </c>
      <c r="AQ6" s="6">
        <f t="shared" ref="AQ6:AQ61" si="41">SUM(G6,J6,M6,P6,S6,V6,Y6,AB6,AE6,AH6,AK6,AN6)</f>
        <v>12661.8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34</v>
      </c>
      <c r="B7" s="23"/>
      <c r="C7" s="23"/>
      <c r="D7" s="23"/>
      <c r="E7" s="3">
        <f t="shared" si="12"/>
        <v>1568.2279534109816</v>
      </c>
      <c r="F7" s="3">
        <v>565503</v>
      </c>
      <c r="G7" s="6">
        <v>360.6</v>
      </c>
      <c r="H7" s="3">
        <f t="shared" si="14"/>
        <v>1593.2759761747188</v>
      </c>
      <c r="I7" s="3">
        <v>240744</v>
      </c>
      <c r="J7" s="6">
        <v>151.1</v>
      </c>
      <c r="K7" s="3">
        <f t="shared" si="16"/>
        <v>1691.5349369988546</v>
      </c>
      <c r="L7" s="3">
        <v>590684</v>
      </c>
      <c r="M7" s="6">
        <v>349.2</v>
      </c>
      <c r="N7" s="3">
        <f t="shared" si="18"/>
        <v>1939.8472182185069</v>
      </c>
      <c r="O7" s="3">
        <v>672933</v>
      </c>
      <c r="P7" s="6">
        <v>346.9</v>
      </c>
      <c r="Q7" s="3" t="e">
        <f t="shared" si="20"/>
        <v>#DIV/0!</v>
      </c>
      <c r="R7" s="3"/>
      <c r="S7" s="6"/>
      <c r="T7" s="3" t="e">
        <f t="shared" si="22"/>
        <v>#DIV/0!</v>
      </c>
      <c r="U7" s="3"/>
      <c r="V7" s="6"/>
      <c r="W7" s="3" t="e">
        <f t="shared" si="24"/>
        <v>#DIV/0!</v>
      </c>
      <c r="X7" s="3"/>
      <c r="Y7" s="6"/>
      <c r="Z7" s="3" t="e">
        <f t="shared" si="26"/>
        <v>#DIV/0!</v>
      </c>
      <c r="AA7" s="3"/>
      <c r="AB7" s="6"/>
      <c r="AC7" s="3" t="e">
        <f t="shared" si="28"/>
        <v>#DIV/0!</v>
      </c>
      <c r="AD7" s="3"/>
      <c r="AE7" s="6"/>
      <c r="AF7" s="3" t="e">
        <f t="shared" si="30"/>
        <v>#DIV/0!</v>
      </c>
      <c r="AG7" s="3"/>
      <c r="AH7" s="6"/>
      <c r="AI7" s="3" t="e">
        <f t="shared" si="32"/>
        <v>#DIV/0!</v>
      </c>
      <c r="AJ7" s="3"/>
      <c r="AK7" s="6"/>
      <c r="AL7" s="3" t="e">
        <f t="shared" si="34"/>
        <v>#DIV/0!</v>
      </c>
      <c r="AM7" s="3"/>
      <c r="AN7" s="6"/>
      <c r="AO7" s="3">
        <f t="shared" si="36"/>
        <v>1713.7473091571449</v>
      </c>
      <c r="AP7" s="3">
        <f t="shared" si="40"/>
        <v>2069864</v>
      </c>
      <c r="AQ7" s="6">
        <f t="shared" si="41"/>
        <v>1207.8000000000002</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49</v>
      </c>
      <c r="B8" s="23"/>
      <c r="C8" s="23"/>
      <c r="D8" s="23"/>
      <c r="E8" s="3">
        <f t="shared" si="12"/>
        <v>1692.0524017467249</v>
      </c>
      <c r="F8" s="3">
        <v>387480</v>
      </c>
      <c r="G8" s="6">
        <v>229</v>
      </c>
      <c r="H8" s="3">
        <f t="shared" si="14"/>
        <v>2145.1330798479089</v>
      </c>
      <c r="I8" s="3">
        <v>56417</v>
      </c>
      <c r="J8" s="6">
        <v>26.3</v>
      </c>
      <c r="K8" s="3">
        <f t="shared" si="16"/>
        <v>1818.5223880597016</v>
      </c>
      <c r="L8" s="3">
        <v>243682</v>
      </c>
      <c r="M8" s="6">
        <v>134</v>
      </c>
      <c r="N8" s="3">
        <f t="shared" si="18"/>
        <v>1869.8487394957983</v>
      </c>
      <c r="O8" s="3">
        <v>556280</v>
      </c>
      <c r="P8" s="6">
        <v>297.5</v>
      </c>
      <c r="Q8" s="3" t="e">
        <f t="shared" si="20"/>
        <v>#DIV/0!</v>
      </c>
      <c r="R8" s="3"/>
      <c r="S8" s="6"/>
      <c r="T8" s="3" t="e">
        <f t="shared" si="22"/>
        <v>#DIV/0!</v>
      </c>
      <c r="U8" s="3"/>
      <c r="V8" s="6"/>
      <c r="W8" s="3" t="e">
        <f t="shared" si="24"/>
        <v>#DIV/0!</v>
      </c>
      <c r="X8" s="3"/>
      <c r="Y8" s="6"/>
      <c r="Z8" s="3" t="e">
        <f t="shared" si="26"/>
        <v>#DIV/0!</v>
      </c>
      <c r="AA8" s="3"/>
      <c r="AB8" s="6"/>
      <c r="AC8" s="3" t="e">
        <f t="shared" si="28"/>
        <v>#DIV/0!</v>
      </c>
      <c r="AD8" s="3"/>
      <c r="AE8" s="6"/>
      <c r="AF8" s="3" t="e">
        <f t="shared" si="30"/>
        <v>#DIV/0!</v>
      </c>
      <c r="AG8" s="3"/>
      <c r="AH8" s="6"/>
      <c r="AI8" s="3" t="e">
        <f t="shared" si="32"/>
        <v>#DIV/0!</v>
      </c>
      <c r="AJ8" s="3"/>
      <c r="AK8" s="6"/>
      <c r="AL8" s="3" t="e">
        <f t="shared" si="34"/>
        <v>#DIV/0!</v>
      </c>
      <c r="AM8" s="3"/>
      <c r="AN8" s="6"/>
      <c r="AO8" s="3">
        <f t="shared" si="36"/>
        <v>1811.0934769947585</v>
      </c>
      <c r="AP8" s="3">
        <f t="shared" si="40"/>
        <v>1243859</v>
      </c>
      <c r="AQ8" s="6">
        <f t="shared" si="41"/>
        <v>686.8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27</v>
      </c>
      <c r="B9" s="23"/>
      <c r="C9" s="23"/>
      <c r="D9" s="23"/>
      <c r="E9" s="3">
        <f t="shared" si="12"/>
        <v>2191.77811550152</v>
      </c>
      <c r="F9" s="3">
        <v>144219</v>
      </c>
      <c r="G9" s="6">
        <v>65.8</v>
      </c>
      <c r="H9" s="3">
        <f t="shared" si="14"/>
        <v>1979.5264317180618</v>
      </c>
      <c r="I9" s="3">
        <v>359482</v>
      </c>
      <c r="J9" s="6">
        <v>181.6</v>
      </c>
      <c r="K9" s="3">
        <f t="shared" si="16"/>
        <v>2055.0832729905865</v>
      </c>
      <c r="L9" s="3">
        <v>283807</v>
      </c>
      <c r="M9" s="6">
        <v>138.1</v>
      </c>
      <c r="N9" s="3">
        <f t="shared" si="18"/>
        <v>2087.8315217391305</v>
      </c>
      <c r="O9" s="3">
        <v>384161</v>
      </c>
      <c r="P9" s="6">
        <v>184</v>
      </c>
      <c r="Q9" s="3" t="e">
        <f t="shared" si="20"/>
        <v>#DIV/0!</v>
      </c>
      <c r="R9" s="3"/>
      <c r="S9" s="6"/>
      <c r="T9" s="3" t="e">
        <f t="shared" si="22"/>
        <v>#DIV/0!</v>
      </c>
      <c r="U9" s="3"/>
      <c r="V9" s="6"/>
      <c r="W9" s="3" t="e">
        <f t="shared" si="24"/>
        <v>#DIV/0!</v>
      </c>
      <c r="X9" s="3"/>
      <c r="Y9" s="6"/>
      <c r="Z9" s="3" t="e">
        <f t="shared" si="26"/>
        <v>#DIV/0!</v>
      </c>
      <c r="AA9" s="3"/>
      <c r="AB9" s="6"/>
      <c r="AC9" s="3" t="e">
        <f t="shared" si="28"/>
        <v>#DIV/0!</v>
      </c>
      <c r="AD9" s="3"/>
      <c r="AE9" s="6"/>
      <c r="AF9" s="3" t="e">
        <f t="shared" si="30"/>
        <v>#DIV/0!</v>
      </c>
      <c r="AG9" s="3"/>
      <c r="AH9" s="6"/>
      <c r="AI9" s="3" t="e">
        <f t="shared" si="32"/>
        <v>#DIV/0!</v>
      </c>
      <c r="AJ9" s="3"/>
      <c r="AK9" s="6"/>
      <c r="AL9" s="3" t="e">
        <f t="shared" si="34"/>
        <v>#DIV/0!</v>
      </c>
      <c r="AM9" s="3"/>
      <c r="AN9" s="6"/>
      <c r="AO9" s="3">
        <f t="shared" si="36"/>
        <v>2057.3643546971025</v>
      </c>
      <c r="AP9" s="3">
        <f t="shared" si="40"/>
        <v>1171669</v>
      </c>
      <c r="AQ9" s="6">
        <f t="shared" si="41"/>
        <v>569.5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21</v>
      </c>
      <c r="B10" s="23"/>
      <c r="C10" s="23"/>
      <c r="D10" s="23"/>
      <c r="E10" s="3">
        <f t="shared" si="12"/>
        <v>2070.017513134851</v>
      </c>
      <c r="F10" s="3">
        <v>118198</v>
      </c>
      <c r="G10" s="6">
        <v>57.1</v>
      </c>
      <c r="H10" s="3">
        <f t="shared" si="14"/>
        <v>2081.1011235955057</v>
      </c>
      <c r="I10" s="3">
        <v>92609</v>
      </c>
      <c r="J10" s="6">
        <v>44.5</v>
      </c>
      <c r="K10" s="3">
        <f t="shared" si="16"/>
        <v>1308.1394088669952</v>
      </c>
      <c r="L10" s="3">
        <v>2655523</v>
      </c>
      <c r="M10" s="6">
        <v>2030</v>
      </c>
      <c r="N10" s="3">
        <f t="shared" si="18"/>
        <v>2218.8719512195121</v>
      </c>
      <c r="O10" s="3">
        <v>218337</v>
      </c>
      <c r="P10" s="6">
        <v>98.4</v>
      </c>
      <c r="Q10" s="3" t="e">
        <f t="shared" si="20"/>
        <v>#DIV/0!</v>
      </c>
      <c r="R10" s="3"/>
      <c r="S10" s="6"/>
      <c r="T10" s="3" t="e">
        <f t="shared" si="22"/>
        <v>#DIV/0!</v>
      </c>
      <c r="U10" s="3"/>
      <c r="V10" s="6"/>
      <c r="W10" s="3" t="e">
        <f t="shared" si="24"/>
        <v>#DIV/0!</v>
      </c>
      <c r="X10" s="3"/>
      <c r="Y10" s="6"/>
      <c r="Z10" s="3" t="e">
        <f t="shared" si="26"/>
        <v>#DIV/0!</v>
      </c>
      <c r="AA10" s="3"/>
      <c r="AB10" s="6"/>
      <c r="AC10" s="3" t="e">
        <f t="shared" si="28"/>
        <v>#DIV/0!</v>
      </c>
      <c r="AD10" s="3"/>
      <c r="AE10" s="6"/>
      <c r="AF10" s="3" t="e">
        <f t="shared" si="30"/>
        <v>#DIV/0!</v>
      </c>
      <c r="AG10" s="3"/>
      <c r="AH10" s="6"/>
      <c r="AI10" s="3" t="e">
        <f t="shared" si="32"/>
        <v>#DIV/0!</v>
      </c>
      <c r="AJ10" s="3"/>
      <c r="AK10" s="6"/>
      <c r="AL10" s="3" t="e">
        <f t="shared" si="34"/>
        <v>#DIV/0!</v>
      </c>
      <c r="AM10" s="3"/>
      <c r="AN10" s="6"/>
      <c r="AO10" s="3">
        <f t="shared" si="36"/>
        <v>1383.2587443946188</v>
      </c>
      <c r="AP10" s="3">
        <f t="shared" si="40"/>
        <v>3084667</v>
      </c>
      <c r="AQ10" s="6">
        <f t="shared" si="41"/>
        <v>2230</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51</v>
      </c>
      <c r="B11" s="23"/>
      <c r="C11" s="23"/>
      <c r="D11" s="23"/>
      <c r="E11" s="3">
        <f t="shared" si="12"/>
        <v>2104.3965517241381</v>
      </c>
      <c r="F11" s="3">
        <v>122055</v>
      </c>
      <c r="G11" s="6">
        <v>58</v>
      </c>
      <c r="H11" s="3">
        <f t="shared" si="14"/>
        <v>1994.3260188087775</v>
      </c>
      <c r="I11" s="3">
        <v>127238</v>
      </c>
      <c r="J11" s="6">
        <v>63.8</v>
      </c>
      <c r="K11" s="3">
        <f t="shared" si="16"/>
        <v>2157.2958500669342</v>
      </c>
      <c r="L11" s="3">
        <v>161150</v>
      </c>
      <c r="M11" s="6">
        <v>74.7</v>
      </c>
      <c r="N11" s="3">
        <f t="shared" si="18"/>
        <v>1806.3873775843306</v>
      </c>
      <c r="O11" s="3">
        <v>166007</v>
      </c>
      <c r="P11" s="6">
        <v>91.9</v>
      </c>
      <c r="Q11" s="3" t="e">
        <f t="shared" si="20"/>
        <v>#DIV/0!</v>
      </c>
      <c r="R11" s="3"/>
      <c r="S11" s="6"/>
      <c r="T11" s="3" t="e">
        <f t="shared" si="22"/>
        <v>#DIV/0!</v>
      </c>
      <c r="U11" s="3"/>
      <c r="V11" s="6"/>
      <c r="W11" s="3" t="e">
        <f t="shared" si="24"/>
        <v>#DIV/0!</v>
      </c>
      <c r="X11" s="3"/>
      <c r="Y11" s="6"/>
      <c r="Z11" s="3" t="e">
        <f t="shared" si="26"/>
        <v>#DIV/0!</v>
      </c>
      <c r="AA11" s="3"/>
      <c r="AB11" s="6"/>
      <c r="AC11" s="3" t="e">
        <f t="shared" si="28"/>
        <v>#DIV/0!</v>
      </c>
      <c r="AD11" s="3"/>
      <c r="AE11" s="6"/>
      <c r="AF11" s="3" t="e">
        <f t="shared" si="30"/>
        <v>#DIV/0!</v>
      </c>
      <c r="AG11" s="3"/>
      <c r="AH11" s="6"/>
      <c r="AI11" s="3" t="e">
        <f t="shared" si="32"/>
        <v>#DIV/0!</v>
      </c>
      <c r="AJ11" s="3"/>
      <c r="AK11" s="6"/>
      <c r="AL11" s="3" t="e">
        <f t="shared" si="34"/>
        <v>#DIV/0!</v>
      </c>
      <c r="AM11" s="3"/>
      <c r="AN11" s="6"/>
      <c r="AO11" s="3">
        <f t="shared" si="36"/>
        <v>1998.7864077669904</v>
      </c>
      <c r="AP11" s="3">
        <f t="shared" si="40"/>
        <v>576450</v>
      </c>
      <c r="AQ11" s="6">
        <f t="shared" si="41"/>
        <v>288.39999999999998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47</v>
      </c>
      <c r="B12" s="23"/>
      <c r="C12" s="23"/>
      <c r="D12" s="23"/>
      <c r="E12" s="3">
        <f>F12/G12</f>
        <v>1778.5617367706918</v>
      </c>
      <c r="F12" s="3">
        <v>131080</v>
      </c>
      <c r="G12" s="6">
        <v>73.7</v>
      </c>
      <c r="H12" s="3">
        <f>I12/J12</f>
        <v>1732.2834645669293</v>
      </c>
      <c r="I12" s="3">
        <v>176000</v>
      </c>
      <c r="J12" s="6">
        <v>101.6</v>
      </c>
      <c r="K12" s="3">
        <f>L12/M12</f>
        <v>4138.4615384615381</v>
      </c>
      <c r="L12" s="3">
        <v>112980</v>
      </c>
      <c r="M12" s="6">
        <v>27.3</v>
      </c>
      <c r="N12" s="3">
        <f>O12/P12</f>
        <v>1220.6070287539935</v>
      </c>
      <c r="O12" s="3">
        <v>114615</v>
      </c>
      <c r="P12" s="6">
        <v>93.9</v>
      </c>
      <c r="Q12" s="3" t="e">
        <f>R12/S12</f>
        <v>#DIV/0!</v>
      </c>
      <c r="R12" s="3"/>
      <c r="S12" s="6"/>
      <c r="T12" s="3" t="e">
        <f>U12/V12</f>
        <v>#DIV/0!</v>
      </c>
      <c r="U12" s="3"/>
      <c r="V12" s="6"/>
      <c r="W12" s="3" t="e">
        <f>X12/Y12</f>
        <v>#DIV/0!</v>
      </c>
      <c r="X12" s="3"/>
      <c r="Y12" s="6"/>
      <c r="Z12" s="3" t="e">
        <f>AA12/AB12</f>
        <v>#DIV/0!</v>
      </c>
      <c r="AA12" s="3"/>
      <c r="AB12" s="6"/>
      <c r="AC12" s="3" t="e">
        <f>AD12/AE12</f>
        <v>#DIV/0!</v>
      </c>
      <c r="AD12" s="3"/>
      <c r="AE12" s="6"/>
      <c r="AF12" s="3" t="e">
        <f>AG12/AH12</f>
        <v>#DIV/0!</v>
      </c>
      <c r="AG12" s="3"/>
      <c r="AH12" s="6"/>
      <c r="AI12" s="3" t="e">
        <f>AJ12/AK12</f>
        <v>#DIV/0!</v>
      </c>
      <c r="AJ12" s="3"/>
      <c r="AK12" s="6"/>
      <c r="AL12" s="3" t="e">
        <f>AM12/AN12</f>
        <v>#DIV/0!</v>
      </c>
      <c r="AM12" s="3"/>
      <c r="AN12" s="6"/>
      <c r="AO12" s="3">
        <f t="shared" si="36"/>
        <v>1803.2883642495783</v>
      </c>
      <c r="AP12" s="3">
        <f t="shared" si="40"/>
        <v>534675</v>
      </c>
      <c r="AQ12" s="6">
        <f t="shared" si="41"/>
        <v>296.5</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31</v>
      </c>
      <c r="B13" s="23"/>
      <c r="C13" s="23"/>
      <c r="D13" s="23"/>
      <c r="E13" s="3">
        <f t="shared" ref="E13:E62" si="42">F13/G13</f>
        <v>1132.3908592022278</v>
      </c>
      <c r="F13" s="3">
        <v>1382536</v>
      </c>
      <c r="G13" s="6">
        <v>1220.9000000000001</v>
      </c>
      <c r="H13" s="3">
        <f t="shared" ref="H13:H62" si="43">I13/J13</f>
        <v>1928.7218045112782</v>
      </c>
      <c r="I13" s="3">
        <v>25652</v>
      </c>
      <c r="J13" s="6">
        <v>13.3</v>
      </c>
      <c r="K13" s="3">
        <f t="shared" ref="K13:K62" si="44">L13/M13</f>
        <v>1760.0353982300885</v>
      </c>
      <c r="L13" s="3">
        <v>99442</v>
      </c>
      <c r="M13" s="6">
        <v>56.5</v>
      </c>
      <c r="N13" s="3">
        <f t="shared" ref="N13:N62" si="45">O13/P13</f>
        <v>2013.2190476190476</v>
      </c>
      <c r="O13" s="3">
        <v>105694</v>
      </c>
      <c r="P13" s="6">
        <v>52.5</v>
      </c>
      <c r="Q13" s="3" t="e">
        <f t="shared" ref="Q13:Q62" si="46">R13/S13</f>
        <v>#DIV/0!</v>
      </c>
      <c r="R13" s="3"/>
      <c r="S13" s="6"/>
      <c r="T13" s="3" t="e">
        <f t="shared" ref="T13:T62" si="47">U13/V13</f>
        <v>#DIV/0!</v>
      </c>
      <c r="U13" s="3"/>
      <c r="V13" s="6"/>
      <c r="W13" s="3" t="e">
        <f t="shared" ref="W13:W62" si="48">X13/Y13</f>
        <v>#DIV/0!</v>
      </c>
      <c r="X13" s="3"/>
      <c r="Y13" s="6"/>
      <c r="Z13" s="3" t="e">
        <f t="shared" ref="Z13:Z62" si="49">AA13/AB13</f>
        <v>#DIV/0!</v>
      </c>
      <c r="AA13" s="3"/>
      <c r="AB13" s="6"/>
      <c r="AC13" s="3" t="e">
        <f t="shared" ref="AC13:AC62" si="50">AD13/AE13</f>
        <v>#DIV/0!</v>
      </c>
      <c r="AD13" s="3"/>
      <c r="AE13" s="6"/>
      <c r="AF13" s="3" t="e">
        <f t="shared" ref="AF13:AF62" si="51">AG13/AH13</f>
        <v>#DIV/0!</v>
      </c>
      <c r="AG13" s="3"/>
      <c r="AH13" s="6"/>
      <c r="AI13" s="3" t="e">
        <f t="shared" ref="AI13:AI62" si="52">AJ13/AK13</f>
        <v>#DIV/0!</v>
      </c>
      <c r="AJ13" s="3"/>
      <c r="AK13" s="6"/>
      <c r="AL13" s="3" t="e">
        <f t="shared" ref="AL13:AL62" si="53">AM13/AN13</f>
        <v>#DIV/0!</v>
      </c>
      <c r="AM13" s="3"/>
      <c r="AN13" s="6"/>
      <c r="AO13" s="3">
        <f t="shared" si="36"/>
        <v>1201.1048243001787</v>
      </c>
      <c r="AP13" s="3">
        <f t="shared" si="40"/>
        <v>1613324</v>
      </c>
      <c r="AQ13" s="6">
        <f t="shared" si="41"/>
        <v>1343.2</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30</v>
      </c>
      <c r="B14" s="23"/>
      <c r="C14" s="23"/>
      <c r="D14" s="23"/>
      <c r="E14" s="3">
        <f t="shared" si="42"/>
        <v>2076.9448818897636</v>
      </c>
      <c r="F14" s="3">
        <v>131886</v>
      </c>
      <c r="G14" s="6">
        <v>63.5</v>
      </c>
      <c r="H14" s="3">
        <f t="shared" si="43"/>
        <v>1720.9496124031007</v>
      </c>
      <c r="I14" s="3">
        <v>88801</v>
      </c>
      <c r="J14" s="6">
        <v>51.6</v>
      </c>
      <c r="K14" s="3">
        <f t="shared" si="44"/>
        <v>3049.6296296296296</v>
      </c>
      <c r="L14" s="3">
        <v>8234</v>
      </c>
      <c r="M14" s="6">
        <v>2.7</v>
      </c>
      <c r="N14" s="3">
        <f t="shared" si="45"/>
        <v>1896.876355748373</v>
      </c>
      <c r="O14" s="3">
        <v>87446</v>
      </c>
      <c r="P14" s="6">
        <v>46.1</v>
      </c>
      <c r="Q14" s="3" t="e">
        <f t="shared" si="46"/>
        <v>#DIV/0!</v>
      </c>
      <c r="R14" s="3"/>
      <c r="S14" s="6"/>
      <c r="T14" s="3" t="e">
        <f t="shared" si="47"/>
        <v>#DIV/0!</v>
      </c>
      <c r="U14" s="3"/>
      <c r="V14" s="6"/>
      <c r="W14" s="3" t="e">
        <f t="shared" si="48"/>
        <v>#DIV/0!</v>
      </c>
      <c r="X14" s="3"/>
      <c r="Y14" s="6"/>
      <c r="Z14" s="3" t="e">
        <f t="shared" si="49"/>
        <v>#DIV/0!</v>
      </c>
      <c r="AA14" s="3"/>
      <c r="AB14" s="6"/>
      <c r="AC14" s="3" t="e">
        <f t="shared" si="50"/>
        <v>#DIV/0!</v>
      </c>
      <c r="AD14" s="3"/>
      <c r="AE14" s="6"/>
      <c r="AF14" s="3" t="e">
        <f t="shared" si="51"/>
        <v>#DIV/0!</v>
      </c>
      <c r="AG14" s="3"/>
      <c r="AH14" s="6"/>
      <c r="AI14" s="3" t="e">
        <f t="shared" si="52"/>
        <v>#DIV/0!</v>
      </c>
      <c r="AJ14" s="3"/>
      <c r="AK14" s="6"/>
      <c r="AL14" s="3" t="e">
        <f t="shared" si="53"/>
        <v>#DIV/0!</v>
      </c>
      <c r="AM14" s="3"/>
      <c r="AN14" s="6"/>
      <c r="AO14" s="3">
        <f t="shared" si="36"/>
        <v>1930.2440512507626</v>
      </c>
      <c r="AP14" s="3">
        <f t="shared" si="40"/>
        <v>316367</v>
      </c>
      <c r="AQ14" s="6">
        <f t="shared" si="41"/>
        <v>163.9</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46</v>
      </c>
      <c r="B15" s="23"/>
      <c r="C15" s="23"/>
      <c r="D15" s="23"/>
      <c r="E15" s="3">
        <f t="shared" si="42"/>
        <v>2513.8349514563106</v>
      </c>
      <c r="F15" s="3">
        <v>51785</v>
      </c>
      <c r="G15" s="6">
        <v>20.6</v>
      </c>
      <c r="H15" s="3">
        <f t="shared" si="43"/>
        <v>2461.1709601873536</v>
      </c>
      <c r="I15" s="3">
        <v>105092</v>
      </c>
      <c r="J15" s="6">
        <v>42.7</v>
      </c>
      <c r="K15" s="3">
        <f t="shared" si="44"/>
        <v>2411.7391304347825</v>
      </c>
      <c r="L15" s="3">
        <v>61017</v>
      </c>
      <c r="M15" s="6">
        <v>25.3</v>
      </c>
      <c r="N15" s="3">
        <f t="shared" si="45"/>
        <v>2570.2735562310031</v>
      </c>
      <c r="O15" s="3">
        <v>84562</v>
      </c>
      <c r="P15" s="6">
        <v>32.9</v>
      </c>
      <c r="Q15" s="3" t="e">
        <f t="shared" si="46"/>
        <v>#DIV/0!</v>
      </c>
      <c r="R15" s="3"/>
      <c r="S15" s="6"/>
      <c r="T15" s="3" t="e">
        <f t="shared" si="47"/>
        <v>#DIV/0!</v>
      </c>
      <c r="U15" s="3"/>
      <c r="V15" s="6"/>
      <c r="W15" s="3" t="e">
        <f t="shared" si="48"/>
        <v>#DIV/0!</v>
      </c>
      <c r="X15" s="3"/>
      <c r="Y15" s="6"/>
      <c r="Z15" s="3" t="e">
        <f t="shared" si="49"/>
        <v>#DIV/0!</v>
      </c>
      <c r="AA15" s="3"/>
      <c r="AB15" s="6"/>
      <c r="AC15" s="3" t="e">
        <f t="shared" si="50"/>
        <v>#DIV/0!</v>
      </c>
      <c r="AD15" s="3"/>
      <c r="AE15" s="6"/>
      <c r="AF15" s="3" t="e">
        <f t="shared" si="51"/>
        <v>#DIV/0!</v>
      </c>
      <c r="AG15" s="3"/>
      <c r="AH15" s="6"/>
      <c r="AI15" s="3" t="e">
        <f t="shared" si="52"/>
        <v>#DIV/0!</v>
      </c>
      <c r="AJ15" s="3"/>
      <c r="AK15" s="6"/>
      <c r="AL15" s="3" t="e">
        <f t="shared" si="53"/>
        <v>#DIV/0!</v>
      </c>
      <c r="AM15" s="3"/>
      <c r="AN15" s="6"/>
      <c r="AO15" s="3">
        <f t="shared" si="36"/>
        <v>2489.349794238683</v>
      </c>
      <c r="AP15" s="3">
        <f t="shared" si="40"/>
        <v>302456</v>
      </c>
      <c r="AQ15" s="6">
        <f t="shared" si="41"/>
        <v>121.5</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52</v>
      </c>
      <c r="B16" s="23"/>
      <c r="C16" s="23"/>
      <c r="D16" s="23"/>
      <c r="E16" s="3">
        <f t="shared" si="42"/>
        <v>1620.9724238026124</v>
      </c>
      <c r="F16" s="3">
        <v>111685</v>
      </c>
      <c r="G16" s="6">
        <v>68.900000000000006</v>
      </c>
      <c r="H16" s="3">
        <f t="shared" si="43"/>
        <v>1777.2222222222222</v>
      </c>
      <c r="I16" s="3">
        <v>76776</v>
      </c>
      <c r="J16" s="6">
        <v>43.2</v>
      </c>
      <c r="K16" s="3">
        <f t="shared" si="44"/>
        <v>1854.25</v>
      </c>
      <c r="L16" s="3">
        <v>178008</v>
      </c>
      <c r="M16" s="6">
        <v>96</v>
      </c>
      <c r="N16" s="3">
        <f t="shared" si="45"/>
        <v>1674.8491379310346</v>
      </c>
      <c r="O16" s="3">
        <v>77713</v>
      </c>
      <c r="P16" s="6">
        <v>46.4</v>
      </c>
      <c r="Q16" s="3" t="e">
        <f t="shared" si="46"/>
        <v>#DIV/0!</v>
      </c>
      <c r="R16" s="3"/>
      <c r="S16" s="6"/>
      <c r="T16" s="3" t="e">
        <f t="shared" si="47"/>
        <v>#DIV/0!</v>
      </c>
      <c r="U16" s="3"/>
      <c r="V16" s="6"/>
      <c r="W16" s="3" t="e">
        <f t="shared" si="48"/>
        <v>#DIV/0!</v>
      </c>
      <c r="X16" s="3"/>
      <c r="Y16" s="6"/>
      <c r="Z16" s="3" t="e">
        <f t="shared" si="49"/>
        <v>#DIV/0!</v>
      </c>
      <c r="AA16" s="3"/>
      <c r="AB16" s="6"/>
      <c r="AC16" s="3" t="e">
        <f t="shared" si="50"/>
        <v>#DIV/0!</v>
      </c>
      <c r="AD16" s="3"/>
      <c r="AE16" s="6"/>
      <c r="AF16" s="3" t="e">
        <f t="shared" si="51"/>
        <v>#DIV/0!</v>
      </c>
      <c r="AG16" s="3"/>
      <c r="AH16" s="6"/>
      <c r="AI16" s="3" t="e">
        <f t="shared" si="52"/>
        <v>#DIV/0!</v>
      </c>
      <c r="AJ16" s="3"/>
      <c r="AK16" s="6"/>
      <c r="AL16" s="3" t="e">
        <f t="shared" si="53"/>
        <v>#DIV/0!</v>
      </c>
      <c r="AM16" s="3"/>
      <c r="AN16" s="6"/>
      <c r="AO16" s="3">
        <f t="shared" si="36"/>
        <v>1745.312377210216</v>
      </c>
      <c r="AP16" s="3">
        <f t="shared" si="40"/>
        <v>444182</v>
      </c>
      <c r="AQ16" s="6">
        <f t="shared" si="41"/>
        <v>254.50000000000003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55</v>
      </c>
      <c r="B17" s="23"/>
      <c r="C17" s="23"/>
      <c r="D17" s="23"/>
      <c r="E17" s="3" t="e">
        <f t="shared" si="42"/>
        <v>#DIV/0!</v>
      </c>
      <c r="F17" s="3">
        <v>0</v>
      </c>
      <c r="G17" s="6">
        <v>0</v>
      </c>
      <c r="H17" s="3" t="e">
        <f t="shared" si="43"/>
        <v>#DIV/0!</v>
      </c>
      <c r="I17" s="3">
        <v>0</v>
      </c>
      <c r="J17" s="6">
        <v>0</v>
      </c>
      <c r="K17" s="3">
        <f t="shared" si="44"/>
        <v>2542.0855614973261</v>
      </c>
      <c r="L17" s="3">
        <v>47537</v>
      </c>
      <c r="M17" s="6">
        <v>18.7</v>
      </c>
      <c r="N17" s="3">
        <f t="shared" si="45"/>
        <v>2542.0627802690583</v>
      </c>
      <c r="O17" s="3">
        <v>56688</v>
      </c>
      <c r="P17" s="6">
        <v>22.3</v>
      </c>
      <c r="Q17" s="3" t="e">
        <f t="shared" si="46"/>
        <v>#DIV/0!</v>
      </c>
      <c r="R17" s="3"/>
      <c r="S17" s="6"/>
      <c r="T17" s="3" t="e">
        <f t="shared" si="47"/>
        <v>#DIV/0!</v>
      </c>
      <c r="U17" s="3"/>
      <c r="V17" s="6"/>
      <c r="W17" s="3" t="e">
        <f t="shared" si="48"/>
        <v>#DIV/0!</v>
      </c>
      <c r="X17" s="3"/>
      <c r="Y17" s="6"/>
      <c r="Z17" s="3" t="e">
        <f t="shared" si="49"/>
        <v>#DIV/0!</v>
      </c>
      <c r="AA17" s="3"/>
      <c r="AB17" s="6"/>
      <c r="AC17" s="3" t="e">
        <f t="shared" si="50"/>
        <v>#DIV/0!</v>
      </c>
      <c r="AD17" s="3"/>
      <c r="AE17" s="6"/>
      <c r="AF17" s="3" t="e">
        <f t="shared" si="51"/>
        <v>#DIV/0!</v>
      </c>
      <c r="AG17" s="3"/>
      <c r="AH17" s="6"/>
      <c r="AI17" s="3" t="e">
        <f t="shared" si="52"/>
        <v>#DIV/0!</v>
      </c>
      <c r="AJ17" s="3"/>
      <c r="AK17" s="6"/>
      <c r="AL17" s="3" t="e">
        <f t="shared" si="53"/>
        <v>#DIV/0!</v>
      </c>
      <c r="AM17" s="3"/>
      <c r="AN17" s="6"/>
      <c r="AO17" s="3">
        <f t="shared" si="36"/>
        <v>2542.0731707317073</v>
      </c>
      <c r="AP17" s="3">
        <f t="shared" si="40"/>
        <v>104225</v>
      </c>
      <c r="AQ17" s="6">
        <f t="shared" si="41"/>
        <v>41</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68</v>
      </c>
      <c r="B18" s="23"/>
      <c r="C18" s="23"/>
      <c r="D18" s="23"/>
      <c r="E18" s="3">
        <f t="shared" si="42"/>
        <v>1550.8882521489973</v>
      </c>
      <c r="F18" s="3">
        <v>54126</v>
      </c>
      <c r="G18" s="6">
        <v>34.9</v>
      </c>
      <c r="H18" s="3" t="e">
        <f t="shared" si="43"/>
        <v>#DIV/0!</v>
      </c>
      <c r="I18" s="3">
        <v>0</v>
      </c>
      <c r="J18" s="6">
        <v>0</v>
      </c>
      <c r="K18" s="3">
        <f t="shared" si="44"/>
        <v>4548.4033613445381</v>
      </c>
      <c r="L18" s="3">
        <v>54126</v>
      </c>
      <c r="M18" s="6">
        <v>11.9</v>
      </c>
      <c r="N18" s="3">
        <f t="shared" si="45"/>
        <v>1550.8882521489973</v>
      </c>
      <c r="O18" s="3">
        <v>54126</v>
      </c>
      <c r="P18" s="6">
        <v>34.9</v>
      </c>
      <c r="Q18" s="3" t="e">
        <f t="shared" si="46"/>
        <v>#DIV/0!</v>
      </c>
      <c r="R18" s="3"/>
      <c r="S18" s="6"/>
      <c r="T18" s="3" t="e">
        <f t="shared" si="47"/>
        <v>#DIV/0!</v>
      </c>
      <c r="U18" s="3"/>
      <c r="V18" s="6"/>
      <c r="W18" s="3" t="e">
        <f t="shared" si="48"/>
        <v>#DIV/0!</v>
      </c>
      <c r="X18" s="3"/>
      <c r="Y18" s="6"/>
      <c r="Z18" s="3" t="e">
        <f t="shared" si="49"/>
        <v>#DIV/0!</v>
      </c>
      <c r="AA18" s="3"/>
      <c r="AB18" s="6"/>
      <c r="AC18" s="3" t="e">
        <f t="shared" si="50"/>
        <v>#DIV/0!</v>
      </c>
      <c r="AD18" s="3"/>
      <c r="AE18" s="6"/>
      <c r="AF18" s="3" t="e">
        <f t="shared" si="51"/>
        <v>#DIV/0!</v>
      </c>
      <c r="AG18" s="3"/>
      <c r="AH18" s="6"/>
      <c r="AI18" s="3" t="e">
        <f t="shared" si="52"/>
        <v>#DIV/0!</v>
      </c>
      <c r="AJ18" s="3"/>
      <c r="AK18" s="6"/>
      <c r="AL18" s="3" t="e">
        <f t="shared" si="53"/>
        <v>#DIV/0!</v>
      </c>
      <c r="AM18" s="3"/>
      <c r="AN18" s="6"/>
      <c r="AO18" s="3">
        <f t="shared" si="36"/>
        <v>1987.4908200734396</v>
      </c>
      <c r="AP18" s="3">
        <f t="shared" si="40"/>
        <v>162378</v>
      </c>
      <c r="AQ18" s="6">
        <f t="shared" si="41"/>
        <v>81.699999999999989</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70</v>
      </c>
      <c r="B19" s="23"/>
      <c r="C19" s="23"/>
      <c r="D19" s="23"/>
      <c r="E19" s="3" t="e">
        <f t="shared" si="42"/>
        <v>#DIV/0!</v>
      </c>
      <c r="F19" s="3">
        <v>0</v>
      </c>
      <c r="G19" s="6">
        <v>0</v>
      </c>
      <c r="H19" s="3">
        <f t="shared" si="43"/>
        <v>1786.7394866193338</v>
      </c>
      <c r="I19" s="3">
        <v>327152</v>
      </c>
      <c r="J19" s="6">
        <v>183.1</v>
      </c>
      <c r="K19" s="3">
        <f t="shared" si="44"/>
        <v>1786.0891719745223</v>
      </c>
      <c r="L19" s="3">
        <v>420624</v>
      </c>
      <c r="M19" s="6">
        <v>235.5</v>
      </c>
      <c r="N19" s="3">
        <f t="shared" si="45"/>
        <v>1458.3333333333335</v>
      </c>
      <c r="O19" s="3">
        <v>51625</v>
      </c>
      <c r="P19" s="6">
        <v>35.4</v>
      </c>
      <c r="Q19" s="3" t="e">
        <f t="shared" si="46"/>
        <v>#DIV/0!</v>
      </c>
      <c r="R19" s="3"/>
      <c r="S19" s="6"/>
      <c r="T19" s="3" t="e">
        <f t="shared" si="47"/>
        <v>#DIV/0!</v>
      </c>
      <c r="U19" s="3"/>
      <c r="V19" s="6"/>
      <c r="W19" s="3" t="e">
        <f t="shared" si="48"/>
        <v>#DIV/0!</v>
      </c>
      <c r="X19" s="3"/>
      <c r="Y19" s="6"/>
      <c r="Z19" s="3" t="e">
        <f t="shared" si="49"/>
        <v>#DIV/0!</v>
      </c>
      <c r="AA19" s="3"/>
      <c r="AB19" s="6"/>
      <c r="AC19" s="3" t="e">
        <f t="shared" si="50"/>
        <v>#DIV/0!</v>
      </c>
      <c r="AD19" s="3"/>
      <c r="AE19" s="6"/>
      <c r="AF19" s="3" t="e">
        <f t="shared" si="51"/>
        <v>#DIV/0!</v>
      </c>
      <c r="AG19" s="3"/>
      <c r="AH19" s="6"/>
      <c r="AI19" s="3" t="e">
        <f t="shared" si="52"/>
        <v>#DIV/0!</v>
      </c>
      <c r="AJ19" s="3"/>
      <c r="AK19" s="6"/>
      <c r="AL19" s="3" t="e">
        <f t="shared" si="53"/>
        <v>#DIV/0!</v>
      </c>
      <c r="AM19" s="3"/>
      <c r="AN19" s="6"/>
      <c r="AO19" s="3">
        <f t="shared" si="36"/>
        <v>1760.7951541850221</v>
      </c>
      <c r="AP19" s="3">
        <f t="shared" si="40"/>
        <v>799401</v>
      </c>
      <c r="AQ19" s="6">
        <f t="shared" si="41"/>
        <v>454</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36</v>
      </c>
      <c r="B20" s="23"/>
      <c r="C20" s="23"/>
      <c r="D20" s="23"/>
      <c r="E20" s="3">
        <f t="shared" si="42"/>
        <v>2184.5652173913045</v>
      </c>
      <c r="F20" s="3">
        <v>40196</v>
      </c>
      <c r="G20" s="6">
        <v>18.399999999999999</v>
      </c>
      <c r="H20" s="3">
        <f t="shared" si="43"/>
        <v>1559.591836734694</v>
      </c>
      <c r="I20" s="3">
        <v>45852</v>
      </c>
      <c r="J20" s="6">
        <v>29.4</v>
      </c>
      <c r="K20" s="3">
        <f t="shared" si="44"/>
        <v>2045.7848837209303</v>
      </c>
      <c r="L20" s="3">
        <v>70375</v>
      </c>
      <c r="M20" s="6">
        <v>34.4</v>
      </c>
      <c r="N20" s="3">
        <f t="shared" si="45"/>
        <v>2356.3861386138615</v>
      </c>
      <c r="O20" s="3">
        <v>47599</v>
      </c>
      <c r="P20" s="6">
        <v>20.2</v>
      </c>
      <c r="Q20" s="3" t="e">
        <f t="shared" si="46"/>
        <v>#DIV/0!</v>
      </c>
      <c r="R20" s="3"/>
      <c r="S20" s="6"/>
      <c r="T20" s="3" t="e">
        <f t="shared" si="47"/>
        <v>#DIV/0!</v>
      </c>
      <c r="U20" s="3"/>
      <c r="V20" s="6"/>
      <c r="W20" s="3" t="e">
        <f t="shared" si="48"/>
        <v>#DIV/0!</v>
      </c>
      <c r="X20" s="3"/>
      <c r="Y20" s="6"/>
      <c r="Z20" s="3" t="e">
        <f t="shared" si="49"/>
        <v>#DIV/0!</v>
      </c>
      <c r="AA20" s="3"/>
      <c r="AB20" s="6"/>
      <c r="AC20" s="3" t="e">
        <f t="shared" si="50"/>
        <v>#DIV/0!</v>
      </c>
      <c r="AD20" s="3"/>
      <c r="AE20" s="6"/>
      <c r="AF20" s="3" t="e">
        <f t="shared" si="51"/>
        <v>#DIV/0!</v>
      </c>
      <c r="AG20" s="3"/>
      <c r="AH20" s="6"/>
      <c r="AI20" s="3" t="e">
        <f t="shared" si="52"/>
        <v>#DIV/0!</v>
      </c>
      <c r="AJ20" s="3"/>
      <c r="AK20" s="6"/>
      <c r="AL20" s="3" t="e">
        <f t="shared" si="53"/>
        <v>#DIV/0!</v>
      </c>
      <c r="AM20" s="3"/>
      <c r="AN20" s="6"/>
      <c r="AO20" s="3">
        <f t="shared" si="36"/>
        <v>1992.4023437500002</v>
      </c>
      <c r="AP20" s="3">
        <f t="shared" si="40"/>
        <v>204022</v>
      </c>
      <c r="AQ20" s="6">
        <f t="shared" si="41"/>
        <v>102.39999999999999</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28</v>
      </c>
      <c r="B21" s="23"/>
      <c r="C21" s="23"/>
      <c r="D21" s="23"/>
      <c r="E21" s="3">
        <f t="shared" si="42"/>
        <v>1716.9902912621358</v>
      </c>
      <c r="F21" s="3">
        <v>35370</v>
      </c>
      <c r="G21" s="6">
        <v>20.6</v>
      </c>
      <c r="H21" s="3">
        <f t="shared" si="43"/>
        <v>1722.6305609284332</v>
      </c>
      <c r="I21" s="3">
        <v>89060</v>
      </c>
      <c r="J21" s="6">
        <v>51.7</v>
      </c>
      <c r="K21" s="3">
        <f t="shared" si="44"/>
        <v>2947.5</v>
      </c>
      <c r="L21" s="3">
        <v>23580</v>
      </c>
      <c r="M21" s="6">
        <v>8</v>
      </c>
      <c r="N21" s="3">
        <f t="shared" si="45"/>
        <v>2838.9473684210529</v>
      </c>
      <c r="O21" s="3">
        <v>43152</v>
      </c>
      <c r="P21" s="6">
        <v>15.2</v>
      </c>
      <c r="Q21" s="3" t="e">
        <f t="shared" si="46"/>
        <v>#DIV/0!</v>
      </c>
      <c r="R21" s="3"/>
      <c r="S21" s="6"/>
      <c r="T21" s="3" t="e">
        <f t="shared" si="47"/>
        <v>#DIV/0!</v>
      </c>
      <c r="U21" s="3"/>
      <c r="V21" s="6"/>
      <c r="W21" s="3" t="e">
        <f t="shared" si="48"/>
        <v>#DIV/0!</v>
      </c>
      <c r="X21" s="3"/>
      <c r="Y21" s="6"/>
      <c r="Z21" s="3" t="e">
        <f t="shared" si="49"/>
        <v>#DIV/0!</v>
      </c>
      <c r="AA21" s="3"/>
      <c r="AB21" s="6"/>
      <c r="AC21" s="3" t="e">
        <f t="shared" si="50"/>
        <v>#DIV/0!</v>
      </c>
      <c r="AD21" s="3"/>
      <c r="AE21" s="6"/>
      <c r="AF21" s="3" t="e">
        <f t="shared" si="51"/>
        <v>#DIV/0!</v>
      </c>
      <c r="AG21" s="3"/>
      <c r="AH21" s="6"/>
      <c r="AI21" s="3" t="e">
        <f t="shared" si="52"/>
        <v>#DIV/0!</v>
      </c>
      <c r="AJ21" s="3"/>
      <c r="AK21" s="6"/>
      <c r="AL21" s="3" t="e">
        <f t="shared" si="53"/>
        <v>#DIV/0!</v>
      </c>
      <c r="AM21" s="3"/>
      <c r="AN21" s="6"/>
      <c r="AO21" s="3">
        <f t="shared" si="36"/>
        <v>2001.6963350785338</v>
      </c>
      <c r="AP21" s="3">
        <f t="shared" si="40"/>
        <v>191162</v>
      </c>
      <c r="AQ21" s="6">
        <f t="shared" si="41"/>
        <v>95.500000000000014</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20</v>
      </c>
      <c r="B22" s="23"/>
      <c r="C22" s="23"/>
      <c r="D22" s="23"/>
      <c r="E22" s="3">
        <f t="shared" si="42"/>
        <v>1796.3492063492065</v>
      </c>
      <c r="F22" s="3">
        <v>33951</v>
      </c>
      <c r="G22" s="6">
        <v>18.899999999999999</v>
      </c>
      <c r="H22" s="3">
        <f t="shared" si="43"/>
        <v>1256.3423071805562</v>
      </c>
      <c r="I22" s="3">
        <v>2832675</v>
      </c>
      <c r="J22" s="6">
        <v>2254.6999999999998</v>
      </c>
      <c r="K22" s="3">
        <f t="shared" si="44"/>
        <v>1862.1875000000002</v>
      </c>
      <c r="L22" s="3">
        <v>41713</v>
      </c>
      <c r="M22" s="6">
        <v>22.4</v>
      </c>
      <c r="N22" s="3">
        <f t="shared" si="45"/>
        <v>2055.8375634517765</v>
      </c>
      <c r="O22" s="3">
        <v>40500</v>
      </c>
      <c r="P22" s="6">
        <v>19.7</v>
      </c>
      <c r="Q22" s="3" t="e">
        <f t="shared" si="46"/>
        <v>#DIV/0!</v>
      </c>
      <c r="R22" s="3"/>
      <c r="S22" s="6"/>
      <c r="T22" s="3" t="e">
        <f t="shared" si="47"/>
        <v>#DIV/0!</v>
      </c>
      <c r="U22" s="3"/>
      <c r="V22" s="6"/>
      <c r="W22" s="3" t="e">
        <f t="shared" si="48"/>
        <v>#DIV/0!</v>
      </c>
      <c r="X22" s="3"/>
      <c r="Y22" s="6"/>
      <c r="Z22" s="3" t="e">
        <f t="shared" si="49"/>
        <v>#DIV/0!</v>
      </c>
      <c r="AA22" s="3"/>
      <c r="AB22" s="6"/>
      <c r="AC22" s="3" t="e">
        <f t="shared" si="50"/>
        <v>#DIV/0!</v>
      </c>
      <c r="AD22" s="3"/>
      <c r="AE22" s="6"/>
      <c r="AF22" s="3" t="e">
        <f t="shared" si="51"/>
        <v>#DIV/0!</v>
      </c>
      <c r="AG22" s="3"/>
      <c r="AH22" s="6"/>
      <c r="AI22" s="3" t="e">
        <f t="shared" si="52"/>
        <v>#DIV/0!</v>
      </c>
      <c r="AJ22" s="3"/>
      <c r="AK22" s="6"/>
      <c r="AL22" s="3" t="e">
        <f t="shared" si="53"/>
        <v>#DIV/0!</v>
      </c>
      <c r="AM22" s="3"/>
      <c r="AN22" s="6"/>
      <c r="AO22" s="3">
        <f t="shared" si="36"/>
        <v>1273.4114954441422</v>
      </c>
      <c r="AP22" s="3">
        <f t="shared" si="40"/>
        <v>2948839</v>
      </c>
      <c r="AQ22" s="6">
        <f t="shared" si="41"/>
        <v>2315.6999999999998</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9" t="s">
        <v>37</v>
      </c>
      <c r="B23" s="23"/>
      <c r="C23" s="23"/>
      <c r="D23" s="23"/>
      <c r="E23" s="3">
        <f t="shared" si="42"/>
        <v>2059.1999999999998</v>
      </c>
      <c r="F23" s="3">
        <v>30888</v>
      </c>
      <c r="G23" s="6">
        <v>15</v>
      </c>
      <c r="H23" s="3">
        <f t="shared" si="43"/>
        <v>2102.9166666666665</v>
      </c>
      <c r="I23" s="3">
        <v>15141</v>
      </c>
      <c r="J23" s="6">
        <v>7.2</v>
      </c>
      <c r="K23" s="3">
        <f t="shared" si="44"/>
        <v>2308.0459770114944</v>
      </c>
      <c r="L23" s="3">
        <v>20080</v>
      </c>
      <c r="M23" s="6">
        <v>8.6999999999999993</v>
      </c>
      <c r="N23" s="3">
        <f t="shared" si="45"/>
        <v>2216.1428571428573</v>
      </c>
      <c r="O23" s="3">
        <v>31026</v>
      </c>
      <c r="P23" s="6">
        <v>14</v>
      </c>
      <c r="Q23" s="3" t="e">
        <f t="shared" si="46"/>
        <v>#DIV/0!</v>
      </c>
      <c r="R23" s="3"/>
      <c r="S23" s="6"/>
      <c r="T23" s="3" t="e">
        <f t="shared" si="47"/>
        <v>#DIV/0!</v>
      </c>
      <c r="U23" s="3"/>
      <c r="V23" s="6"/>
      <c r="W23" s="3" t="e">
        <f t="shared" si="48"/>
        <v>#DIV/0!</v>
      </c>
      <c r="X23" s="3"/>
      <c r="Y23" s="6"/>
      <c r="Z23" s="3" t="e">
        <f t="shared" si="49"/>
        <v>#DIV/0!</v>
      </c>
      <c r="AA23" s="3"/>
      <c r="AB23" s="6"/>
      <c r="AC23" s="3" t="e">
        <f t="shared" si="50"/>
        <v>#DIV/0!</v>
      </c>
      <c r="AD23" s="3"/>
      <c r="AE23" s="6"/>
      <c r="AF23" s="3" t="e">
        <f t="shared" si="51"/>
        <v>#DIV/0!</v>
      </c>
      <c r="AG23" s="3"/>
      <c r="AH23" s="6"/>
      <c r="AI23" s="3" t="e">
        <f t="shared" si="52"/>
        <v>#DIV/0!</v>
      </c>
      <c r="AJ23" s="3"/>
      <c r="AK23" s="6"/>
      <c r="AL23" s="3" t="e">
        <f t="shared" si="53"/>
        <v>#DIV/0!</v>
      </c>
      <c r="AM23" s="3"/>
      <c r="AN23" s="6"/>
      <c r="AO23" s="3">
        <f t="shared" si="36"/>
        <v>2163.3630289532293</v>
      </c>
      <c r="AP23" s="3">
        <f t="shared" si="40"/>
        <v>97135</v>
      </c>
      <c r="AQ23" s="6">
        <f t="shared" si="41"/>
        <v>44.9</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9" t="s">
        <v>25</v>
      </c>
      <c r="B24" s="23"/>
      <c r="C24" s="23"/>
      <c r="D24" s="23"/>
      <c r="E24" s="3">
        <f t="shared" si="42"/>
        <v>1547.9518072289156</v>
      </c>
      <c r="F24" s="3">
        <v>25696</v>
      </c>
      <c r="G24" s="6">
        <v>16.600000000000001</v>
      </c>
      <c r="H24" s="3">
        <f t="shared" si="43"/>
        <v>1786.6083150984682</v>
      </c>
      <c r="I24" s="3">
        <v>81648</v>
      </c>
      <c r="J24" s="6">
        <v>45.7</v>
      </c>
      <c r="K24" s="3">
        <f t="shared" si="44"/>
        <v>1547.9518072289156</v>
      </c>
      <c r="L24" s="3">
        <v>25696</v>
      </c>
      <c r="M24" s="6">
        <v>16.600000000000001</v>
      </c>
      <c r="N24" s="3">
        <f t="shared" si="45"/>
        <v>1554.1935483870968</v>
      </c>
      <c r="O24" s="3">
        <v>19272</v>
      </c>
      <c r="P24" s="6">
        <v>12.4</v>
      </c>
      <c r="Q24" s="3" t="e">
        <f t="shared" si="46"/>
        <v>#DIV/0!</v>
      </c>
      <c r="R24" s="3"/>
      <c r="S24" s="6"/>
      <c r="T24" s="3" t="e">
        <f t="shared" si="47"/>
        <v>#DIV/0!</v>
      </c>
      <c r="U24" s="3"/>
      <c r="V24" s="6"/>
      <c r="W24" s="3" t="e">
        <f t="shared" si="48"/>
        <v>#DIV/0!</v>
      </c>
      <c r="X24" s="3"/>
      <c r="Y24" s="6"/>
      <c r="Z24" s="3" t="e">
        <f t="shared" si="49"/>
        <v>#DIV/0!</v>
      </c>
      <c r="AA24" s="3"/>
      <c r="AB24" s="6"/>
      <c r="AC24" s="3" t="e">
        <f t="shared" si="50"/>
        <v>#DIV/0!</v>
      </c>
      <c r="AD24" s="3"/>
      <c r="AE24" s="6"/>
      <c r="AF24" s="3" t="e">
        <f t="shared" si="51"/>
        <v>#DIV/0!</v>
      </c>
      <c r="AG24" s="3"/>
      <c r="AH24" s="6"/>
      <c r="AI24" s="3" t="e">
        <f t="shared" si="52"/>
        <v>#DIV/0!</v>
      </c>
      <c r="AJ24" s="3"/>
      <c r="AK24" s="6"/>
      <c r="AL24" s="3" t="e">
        <f t="shared" si="53"/>
        <v>#DIV/0!</v>
      </c>
      <c r="AM24" s="3"/>
      <c r="AN24" s="6"/>
      <c r="AO24" s="3">
        <f t="shared" si="36"/>
        <v>1668.2584884994521</v>
      </c>
      <c r="AP24" s="3">
        <f t="shared" si="40"/>
        <v>152312</v>
      </c>
      <c r="AQ24" s="6">
        <f t="shared" si="41"/>
        <v>91.300000000000011</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9" t="s">
        <v>29</v>
      </c>
      <c r="B25" s="23"/>
      <c r="C25" s="23"/>
      <c r="D25" s="23"/>
      <c r="E25" s="3" t="e">
        <f t="shared" si="42"/>
        <v>#DIV/0!</v>
      </c>
      <c r="F25" s="3">
        <v>0</v>
      </c>
      <c r="G25" s="6">
        <v>0</v>
      </c>
      <c r="H25" s="3">
        <f t="shared" si="43"/>
        <v>4235.0526315789475</v>
      </c>
      <c r="I25" s="3">
        <v>160932</v>
      </c>
      <c r="J25" s="6">
        <v>38</v>
      </c>
      <c r="K25" s="3" t="e">
        <f t="shared" si="44"/>
        <v>#DIV/0!</v>
      </c>
      <c r="L25" s="3">
        <v>0</v>
      </c>
      <c r="M25" s="6">
        <v>0</v>
      </c>
      <c r="N25" s="3">
        <f t="shared" si="45"/>
        <v>1803.4615384615383</v>
      </c>
      <c r="O25" s="3">
        <v>18756</v>
      </c>
      <c r="P25" s="6">
        <v>10.4</v>
      </c>
      <c r="Q25" s="3" t="e">
        <f t="shared" si="46"/>
        <v>#DIV/0!</v>
      </c>
      <c r="R25" s="3"/>
      <c r="S25" s="6"/>
      <c r="T25" s="3" t="e">
        <f t="shared" si="47"/>
        <v>#DIV/0!</v>
      </c>
      <c r="U25" s="3"/>
      <c r="V25" s="6"/>
      <c r="W25" s="3" t="e">
        <f t="shared" si="48"/>
        <v>#DIV/0!</v>
      </c>
      <c r="X25" s="3"/>
      <c r="Y25" s="6"/>
      <c r="Z25" s="3" t="e">
        <f t="shared" si="49"/>
        <v>#DIV/0!</v>
      </c>
      <c r="AA25" s="3"/>
      <c r="AB25" s="6"/>
      <c r="AC25" s="3" t="e">
        <f t="shared" si="50"/>
        <v>#DIV/0!</v>
      </c>
      <c r="AD25" s="3"/>
      <c r="AE25" s="6"/>
      <c r="AF25" s="3" t="e">
        <f t="shared" si="51"/>
        <v>#DIV/0!</v>
      </c>
      <c r="AG25" s="3"/>
      <c r="AH25" s="6"/>
      <c r="AI25" s="3" t="e">
        <f t="shared" si="52"/>
        <v>#DIV/0!</v>
      </c>
      <c r="AJ25" s="3"/>
      <c r="AK25" s="6"/>
      <c r="AL25" s="3" t="e">
        <f t="shared" si="53"/>
        <v>#DIV/0!</v>
      </c>
      <c r="AM25" s="3"/>
      <c r="AN25" s="6"/>
      <c r="AO25" s="3">
        <f t="shared" si="36"/>
        <v>3712.5619834710747</v>
      </c>
      <c r="AP25" s="3">
        <f t="shared" si="40"/>
        <v>179688</v>
      </c>
      <c r="AQ25" s="6">
        <f t="shared" si="41"/>
        <v>48.4</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9" t="s">
        <v>48</v>
      </c>
      <c r="B26" s="23"/>
      <c r="C26" s="23"/>
      <c r="D26" s="23"/>
      <c r="E26" s="3">
        <f t="shared" si="42"/>
        <v>1953.0588235294117</v>
      </c>
      <c r="F26" s="3">
        <v>16601</v>
      </c>
      <c r="G26" s="6">
        <v>8.5</v>
      </c>
      <c r="H26" s="3">
        <f t="shared" si="43"/>
        <v>4117.3076923076924</v>
      </c>
      <c r="I26" s="3">
        <v>10705</v>
      </c>
      <c r="J26" s="6">
        <v>2.6</v>
      </c>
      <c r="K26" s="3">
        <f t="shared" si="44"/>
        <v>2555.75</v>
      </c>
      <c r="L26" s="3">
        <v>61338</v>
      </c>
      <c r="M26" s="6">
        <v>24</v>
      </c>
      <c r="N26" s="3">
        <f t="shared" si="45"/>
        <v>2115.1764705882351</v>
      </c>
      <c r="O26" s="3">
        <v>17979</v>
      </c>
      <c r="P26" s="6">
        <v>8.5</v>
      </c>
      <c r="Q26" s="3" t="e">
        <f t="shared" si="46"/>
        <v>#DIV/0!</v>
      </c>
      <c r="R26" s="3"/>
      <c r="S26" s="6"/>
      <c r="T26" s="3" t="e">
        <f t="shared" si="47"/>
        <v>#DIV/0!</v>
      </c>
      <c r="U26" s="3"/>
      <c r="V26" s="6"/>
      <c r="W26" s="3" t="e">
        <f t="shared" si="48"/>
        <v>#DIV/0!</v>
      </c>
      <c r="X26" s="3"/>
      <c r="Y26" s="6"/>
      <c r="Z26" s="3" t="e">
        <f t="shared" si="49"/>
        <v>#DIV/0!</v>
      </c>
      <c r="AA26" s="3"/>
      <c r="AB26" s="6"/>
      <c r="AC26" s="3" t="e">
        <f t="shared" si="50"/>
        <v>#DIV/0!</v>
      </c>
      <c r="AD26" s="3"/>
      <c r="AE26" s="6"/>
      <c r="AF26" s="3" t="e">
        <f t="shared" si="51"/>
        <v>#DIV/0!</v>
      </c>
      <c r="AG26" s="3"/>
      <c r="AH26" s="6"/>
      <c r="AI26" s="3" t="e">
        <f t="shared" si="52"/>
        <v>#DIV/0!</v>
      </c>
      <c r="AJ26" s="3"/>
      <c r="AK26" s="6"/>
      <c r="AL26" s="3" t="e">
        <f t="shared" si="53"/>
        <v>#DIV/0!</v>
      </c>
      <c r="AM26" s="3"/>
      <c r="AN26" s="6"/>
      <c r="AO26" s="3">
        <f t="shared" si="36"/>
        <v>2445.4816513761466</v>
      </c>
      <c r="AP26" s="3">
        <f t="shared" si="40"/>
        <v>106623</v>
      </c>
      <c r="AQ26" s="6">
        <f t="shared" si="41"/>
        <v>43.6</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9" t="s">
        <v>66</v>
      </c>
      <c r="B27" s="23"/>
      <c r="C27" s="23"/>
      <c r="D27" s="23"/>
      <c r="E27" s="3" t="e">
        <f t="shared" si="42"/>
        <v>#DIV/0!</v>
      </c>
      <c r="F27" s="3">
        <v>0</v>
      </c>
      <c r="G27" s="6">
        <v>0</v>
      </c>
      <c r="H27" s="3" t="e">
        <f t="shared" si="43"/>
        <v>#DIV/0!</v>
      </c>
      <c r="I27" s="3">
        <v>0</v>
      </c>
      <c r="J27" s="6">
        <v>0</v>
      </c>
      <c r="K27" s="3" t="e">
        <f t="shared" si="44"/>
        <v>#DIV/0!</v>
      </c>
      <c r="L27" s="3">
        <v>0</v>
      </c>
      <c r="M27" s="6">
        <v>0</v>
      </c>
      <c r="N27" s="3">
        <f t="shared" si="45"/>
        <v>1552.4705882352941</v>
      </c>
      <c r="O27" s="3">
        <v>13196</v>
      </c>
      <c r="P27" s="6">
        <v>8.5</v>
      </c>
      <c r="Q27" s="3" t="e">
        <f t="shared" si="46"/>
        <v>#DIV/0!</v>
      </c>
      <c r="R27" s="3"/>
      <c r="S27" s="6"/>
      <c r="T27" s="3" t="e">
        <f t="shared" si="47"/>
        <v>#DIV/0!</v>
      </c>
      <c r="U27" s="3"/>
      <c r="V27" s="6"/>
      <c r="W27" s="3" t="e">
        <f t="shared" si="48"/>
        <v>#DIV/0!</v>
      </c>
      <c r="X27" s="3"/>
      <c r="Y27" s="6"/>
      <c r="Z27" s="3" t="e">
        <f t="shared" si="49"/>
        <v>#DIV/0!</v>
      </c>
      <c r="AA27" s="3"/>
      <c r="AB27" s="6"/>
      <c r="AC27" s="3" t="e">
        <f t="shared" si="50"/>
        <v>#DIV/0!</v>
      </c>
      <c r="AD27" s="3"/>
      <c r="AE27" s="6"/>
      <c r="AF27" s="3" t="e">
        <f t="shared" si="51"/>
        <v>#DIV/0!</v>
      </c>
      <c r="AG27" s="3"/>
      <c r="AH27" s="6"/>
      <c r="AI27" s="3" t="e">
        <f t="shared" si="52"/>
        <v>#DIV/0!</v>
      </c>
      <c r="AJ27" s="3"/>
      <c r="AK27" s="6"/>
      <c r="AL27" s="3" t="e">
        <f t="shared" si="53"/>
        <v>#DIV/0!</v>
      </c>
      <c r="AM27" s="3"/>
      <c r="AN27" s="6"/>
      <c r="AO27" s="3">
        <f t="shared" si="36"/>
        <v>1552.4705882352941</v>
      </c>
      <c r="AP27" s="3">
        <f t="shared" si="40"/>
        <v>13196</v>
      </c>
      <c r="AQ27" s="6">
        <f t="shared" si="41"/>
        <v>8.5</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9" t="s">
        <v>74</v>
      </c>
      <c r="B28" s="23"/>
      <c r="C28" s="23"/>
      <c r="D28" s="23"/>
      <c r="E28" s="3" t="e">
        <f t="shared" si="42"/>
        <v>#DIV/0!</v>
      </c>
      <c r="F28" s="3">
        <v>0</v>
      </c>
      <c r="G28" s="6">
        <v>0</v>
      </c>
      <c r="H28" s="3" t="e">
        <f t="shared" si="43"/>
        <v>#DIV/0!</v>
      </c>
      <c r="I28" s="3">
        <v>0</v>
      </c>
      <c r="J28" s="6">
        <v>0</v>
      </c>
      <c r="K28" s="3">
        <f t="shared" si="44"/>
        <v>2140.3389830508472</v>
      </c>
      <c r="L28" s="3">
        <v>12628</v>
      </c>
      <c r="M28" s="6">
        <v>5.9</v>
      </c>
      <c r="N28" s="3">
        <f t="shared" si="45"/>
        <v>2135.217391304348</v>
      </c>
      <c r="O28" s="3">
        <v>9822</v>
      </c>
      <c r="P28" s="6">
        <v>4.5999999999999996</v>
      </c>
      <c r="Q28" s="3" t="e">
        <f t="shared" si="46"/>
        <v>#DIV/0!</v>
      </c>
      <c r="R28" s="3"/>
      <c r="S28" s="6"/>
      <c r="T28" s="3" t="e">
        <f t="shared" si="47"/>
        <v>#DIV/0!</v>
      </c>
      <c r="U28" s="3"/>
      <c r="V28" s="6"/>
      <c r="W28" s="3" t="e">
        <f t="shared" si="48"/>
        <v>#DIV/0!</v>
      </c>
      <c r="X28" s="3"/>
      <c r="Y28" s="6"/>
      <c r="Z28" s="3" t="e">
        <f t="shared" si="49"/>
        <v>#DIV/0!</v>
      </c>
      <c r="AA28" s="3"/>
      <c r="AB28" s="6"/>
      <c r="AC28" s="3" t="e">
        <f t="shared" si="50"/>
        <v>#DIV/0!</v>
      </c>
      <c r="AD28" s="3"/>
      <c r="AE28" s="6"/>
      <c r="AF28" s="3" t="e">
        <f t="shared" si="51"/>
        <v>#DIV/0!</v>
      </c>
      <c r="AG28" s="3"/>
      <c r="AH28" s="6"/>
      <c r="AI28" s="3" t="e">
        <f t="shared" si="52"/>
        <v>#DIV/0!</v>
      </c>
      <c r="AJ28" s="3"/>
      <c r="AK28" s="6"/>
      <c r="AL28" s="3" t="e">
        <f t="shared" si="53"/>
        <v>#DIV/0!</v>
      </c>
      <c r="AM28" s="3"/>
      <c r="AN28" s="6"/>
      <c r="AO28" s="3">
        <f t="shared" si="36"/>
        <v>2138.0952380952381</v>
      </c>
      <c r="AP28" s="3">
        <f t="shared" si="40"/>
        <v>22450</v>
      </c>
      <c r="AQ28" s="6">
        <f t="shared" si="41"/>
        <v>10.5</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9" t="s">
        <v>59</v>
      </c>
      <c r="B29" s="23"/>
      <c r="C29" s="23"/>
      <c r="D29" s="23"/>
      <c r="E29" s="3" t="e">
        <f t="shared" si="42"/>
        <v>#DIV/0!</v>
      </c>
      <c r="F29" s="3">
        <v>0</v>
      </c>
      <c r="G29" s="6">
        <v>0</v>
      </c>
      <c r="H29" s="3" t="e">
        <f t="shared" si="43"/>
        <v>#DIV/0!</v>
      </c>
      <c r="I29" s="3">
        <v>0</v>
      </c>
      <c r="J29" s="6">
        <v>0</v>
      </c>
      <c r="K29" s="3" t="e">
        <f t="shared" si="44"/>
        <v>#DIV/0!</v>
      </c>
      <c r="L29" s="3">
        <v>0</v>
      </c>
      <c r="M29" s="6">
        <v>0</v>
      </c>
      <c r="N29" s="3">
        <f t="shared" si="45"/>
        <v>2428.9473684210529</v>
      </c>
      <c r="O29" s="3">
        <v>9230</v>
      </c>
      <c r="P29" s="6">
        <v>3.8</v>
      </c>
      <c r="Q29" s="3" t="e">
        <f t="shared" si="46"/>
        <v>#DIV/0!</v>
      </c>
      <c r="R29" s="3"/>
      <c r="S29" s="6"/>
      <c r="T29" s="3" t="e">
        <f t="shared" si="47"/>
        <v>#DIV/0!</v>
      </c>
      <c r="U29" s="3"/>
      <c r="V29" s="6"/>
      <c r="W29" s="3" t="e">
        <f t="shared" si="48"/>
        <v>#DIV/0!</v>
      </c>
      <c r="X29" s="3"/>
      <c r="Y29" s="6"/>
      <c r="Z29" s="3" t="e">
        <f t="shared" si="49"/>
        <v>#DIV/0!</v>
      </c>
      <c r="AA29" s="3"/>
      <c r="AB29" s="6"/>
      <c r="AC29" s="3" t="e">
        <f t="shared" si="50"/>
        <v>#DIV/0!</v>
      </c>
      <c r="AD29" s="3"/>
      <c r="AE29" s="6"/>
      <c r="AF29" s="3" t="e">
        <f t="shared" si="51"/>
        <v>#DIV/0!</v>
      </c>
      <c r="AG29" s="3"/>
      <c r="AH29" s="6"/>
      <c r="AI29" s="3" t="e">
        <f t="shared" si="52"/>
        <v>#DIV/0!</v>
      </c>
      <c r="AJ29" s="3"/>
      <c r="AK29" s="6"/>
      <c r="AL29" s="3" t="e">
        <f t="shared" si="53"/>
        <v>#DIV/0!</v>
      </c>
      <c r="AM29" s="3"/>
      <c r="AN29" s="6"/>
      <c r="AO29" s="3">
        <f t="shared" si="36"/>
        <v>2428.9473684210529</v>
      </c>
      <c r="AP29" s="3">
        <f t="shared" si="40"/>
        <v>9230</v>
      </c>
      <c r="AQ29" s="6">
        <f t="shared" si="41"/>
        <v>3.8</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9" t="s">
        <v>22</v>
      </c>
      <c r="B30" s="23"/>
      <c r="C30" s="23"/>
      <c r="D30" s="23"/>
      <c r="E30" s="3" t="e">
        <f t="shared" si="42"/>
        <v>#DIV/0!</v>
      </c>
      <c r="F30" s="3">
        <v>0</v>
      </c>
      <c r="G30" s="6">
        <v>0</v>
      </c>
      <c r="H30" s="3">
        <f t="shared" si="43"/>
        <v>1871.608695652174</v>
      </c>
      <c r="I30" s="3">
        <v>43047</v>
      </c>
      <c r="J30" s="6">
        <v>23</v>
      </c>
      <c r="K30" s="3" t="e">
        <f t="shared" si="44"/>
        <v>#DIV/0!</v>
      </c>
      <c r="L30" s="3">
        <v>0</v>
      </c>
      <c r="M30" s="6">
        <v>0</v>
      </c>
      <c r="N30" s="3">
        <f t="shared" si="45"/>
        <v>8713</v>
      </c>
      <c r="O30" s="3">
        <v>8713</v>
      </c>
      <c r="P30" s="6">
        <v>1</v>
      </c>
      <c r="Q30" s="3" t="e">
        <f t="shared" si="46"/>
        <v>#DIV/0!</v>
      </c>
      <c r="R30" s="3"/>
      <c r="S30" s="6"/>
      <c r="T30" s="3" t="e">
        <f t="shared" si="47"/>
        <v>#DIV/0!</v>
      </c>
      <c r="U30" s="3"/>
      <c r="V30" s="6"/>
      <c r="W30" s="3" t="e">
        <f t="shared" si="48"/>
        <v>#DIV/0!</v>
      </c>
      <c r="X30" s="3"/>
      <c r="Y30" s="6"/>
      <c r="Z30" s="3" t="e">
        <f t="shared" si="49"/>
        <v>#DIV/0!</v>
      </c>
      <c r="AA30" s="3"/>
      <c r="AB30" s="6"/>
      <c r="AC30" s="3" t="e">
        <f t="shared" si="50"/>
        <v>#DIV/0!</v>
      </c>
      <c r="AD30" s="3"/>
      <c r="AE30" s="6"/>
      <c r="AF30" s="3" t="e">
        <f t="shared" si="51"/>
        <v>#DIV/0!</v>
      </c>
      <c r="AG30" s="3"/>
      <c r="AH30" s="6"/>
      <c r="AI30" s="3" t="e">
        <f t="shared" si="52"/>
        <v>#DIV/0!</v>
      </c>
      <c r="AJ30" s="3"/>
      <c r="AK30" s="6"/>
      <c r="AL30" s="3" t="e">
        <f t="shared" si="53"/>
        <v>#DIV/0!</v>
      </c>
      <c r="AM30" s="3"/>
      <c r="AN30" s="6"/>
      <c r="AO30" s="3">
        <f t="shared" si="36"/>
        <v>2156.6666666666665</v>
      </c>
      <c r="AP30" s="3">
        <f t="shared" si="40"/>
        <v>51760</v>
      </c>
      <c r="AQ30" s="6">
        <f t="shared" si="41"/>
        <v>24</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9" t="s">
        <v>69</v>
      </c>
      <c r="B31" s="23"/>
      <c r="C31" s="23"/>
      <c r="D31" s="23"/>
      <c r="E31" s="3">
        <f t="shared" si="42"/>
        <v>2010.625</v>
      </c>
      <c r="F31" s="3">
        <v>3217</v>
      </c>
      <c r="G31" s="6">
        <v>1.6</v>
      </c>
      <c r="H31" s="3" t="e">
        <f t="shared" si="43"/>
        <v>#DIV/0!</v>
      </c>
      <c r="I31" s="3">
        <v>0</v>
      </c>
      <c r="J31" s="6">
        <v>0</v>
      </c>
      <c r="K31" s="3" t="e">
        <f t="shared" si="44"/>
        <v>#DIV/0!</v>
      </c>
      <c r="L31" s="3">
        <v>0</v>
      </c>
      <c r="M31" s="6">
        <v>0</v>
      </c>
      <c r="N31" s="3">
        <f t="shared" si="45"/>
        <v>2845.3846153846152</v>
      </c>
      <c r="O31" s="3">
        <v>7398</v>
      </c>
      <c r="P31" s="6">
        <v>2.6</v>
      </c>
      <c r="Q31" s="3" t="e">
        <f t="shared" si="46"/>
        <v>#DIV/0!</v>
      </c>
      <c r="R31" s="3"/>
      <c r="S31" s="6"/>
      <c r="T31" s="3" t="e">
        <f t="shared" si="47"/>
        <v>#DIV/0!</v>
      </c>
      <c r="U31" s="3"/>
      <c r="V31" s="6"/>
      <c r="W31" s="3" t="e">
        <f t="shared" si="48"/>
        <v>#DIV/0!</v>
      </c>
      <c r="X31" s="3"/>
      <c r="Y31" s="6"/>
      <c r="Z31" s="3" t="e">
        <f t="shared" si="49"/>
        <v>#DIV/0!</v>
      </c>
      <c r="AA31" s="3"/>
      <c r="AB31" s="6"/>
      <c r="AC31" s="3" t="e">
        <f t="shared" si="50"/>
        <v>#DIV/0!</v>
      </c>
      <c r="AD31" s="3"/>
      <c r="AE31" s="6"/>
      <c r="AF31" s="3" t="e">
        <f t="shared" si="51"/>
        <v>#DIV/0!</v>
      </c>
      <c r="AG31" s="3"/>
      <c r="AH31" s="6"/>
      <c r="AI31" s="3" t="e">
        <f t="shared" si="52"/>
        <v>#DIV/0!</v>
      </c>
      <c r="AJ31" s="3"/>
      <c r="AK31" s="6"/>
      <c r="AL31" s="3" t="e">
        <f t="shared" si="53"/>
        <v>#DIV/0!</v>
      </c>
      <c r="AM31" s="3"/>
      <c r="AN31" s="6"/>
      <c r="AO31" s="3">
        <f t="shared" si="36"/>
        <v>2527.3809523809523</v>
      </c>
      <c r="AP31" s="3">
        <f t="shared" si="40"/>
        <v>10615</v>
      </c>
      <c r="AQ31" s="6">
        <f t="shared" si="41"/>
        <v>4.2</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9" t="s">
        <v>56</v>
      </c>
      <c r="B32" s="23"/>
      <c r="C32" s="23"/>
      <c r="D32" s="23"/>
      <c r="E32" s="3">
        <f t="shared" si="42"/>
        <v>2008.5</v>
      </c>
      <c r="F32" s="3">
        <v>12051</v>
      </c>
      <c r="G32" s="6">
        <v>6</v>
      </c>
      <c r="H32" s="3">
        <f t="shared" si="43"/>
        <v>2057</v>
      </c>
      <c r="I32" s="3">
        <v>10285</v>
      </c>
      <c r="J32" s="6">
        <v>5</v>
      </c>
      <c r="K32" s="3">
        <f t="shared" si="44"/>
        <v>1761.4018691588785</v>
      </c>
      <c r="L32" s="3">
        <v>18847</v>
      </c>
      <c r="M32" s="6">
        <v>10.7</v>
      </c>
      <c r="N32" s="3">
        <f t="shared" si="45"/>
        <v>2057</v>
      </c>
      <c r="O32" s="3">
        <v>6171</v>
      </c>
      <c r="P32" s="6">
        <v>3</v>
      </c>
      <c r="Q32" s="3" t="e">
        <f t="shared" si="46"/>
        <v>#DIV/0!</v>
      </c>
      <c r="R32" s="3"/>
      <c r="S32" s="6"/>
      <c r="T32" s="3" t="e">
        <f t="shared" si="47"/>
        <v>#DIV/0!</v>
      </c>
      <c r="U32" s="3"/>
      <c r="V32" s="6"/>
      <c r="W32" s="3" t="e">
        <f t="shared" si="48"/>
        <v>#DIV/0!</v>
      </c>
      <c r="X32" s="3"/>
      <c r="Y32" s="6"/>
      <c r="Z32" s="3" t="e">
        <f t="shared" si="49"/>
        <v>#DIV/0!</v>
      </c>
      <c r="AA32" s="3"/>
      <c r="AB32" s="6"/>
      <c r="AC32" s="3" t="e">
        <f t="shared" si="50"/>
        <v>#DIV/0!</v>
      </c>
      <c r="AD32" s="3"/>
      <c r="AE32" s="6"/>
      <c r="AF32" s="3" t="e">
        <f t="shared" si="51"/>
        <v>#DIV/0!</v>
      </c>
      <c r="AG32" s="3"/>
      <c r="AH32" s="6"/>
      <c r="AI32" s="3" t="e">
        <f t="shared" si="52"/>
        <v>#DIV/0!</v>
      </c>
      <c r="AJ32" s="3"/>
      <c r="AK32" s="6"/>
      <c r="AL32" s="3" t="e">
        <f t="shared" si="53"/>
        <v>#DIV/0!</v>
      </c>
      <c r="AM32" s="3"/>
      <c r="AN32" s="6"/>
      <c r="AO32" s="3">
        <f t="shared" si="36"/>
        <v>1917.1659919028341</v>
      </c>
      <c r="AP32" s="3">
        <f t="shared" si="40"/>
        <v>47354</v>
      </c>
      <c r="AQ32" s="6">
        <f t="shared" si="41"/>
        <v>24.7</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9" t="s">
        <v>26</v>
      </c>
      <c r="B33" s="23"/>
      <c r="C33" s="23"/>
      <c r="D33" s="23"/>
      <c r="E33" s="3">
        <f t="shared" si="42"/>
        <v>2058.9864864864862</v>
      </c>
      <c r="F33" s="3">
        <v>30473</v>
      </c>
      <c r="G33" s="6">
        <v>14.8</v>
      </c>
      <c r="H33" s="3">
        <f t="shared" si="43"/>
        <v>1803.7500000000002</v>
      </c>
      <c r="I33" s="3">
        <v>10101</v>
      </c>
      <c r="J33" s="6">
        <v>5.6</v>
      </c>
      <c r="K33" s="3">
        <f t="shared" si="44"/>
        <v>2010.625</v>
      </c>
      <c r="L33" s="3">
        <v>6434</v>
      </c>
      <c r="M33" s="6">
        <v>3.2</v>
      </c>
      <c r="N33" s="3">
        <f t="shared" si="45"/>
        <v>2010.8333333333335</v>
      </c>
      <c r="O33" s="3">
        <v>4826</v>
      </c>
      <c r="P33" s="6">
        <v>2.4</v>
      </c>
      <c r="Q33" s="3" t="e">
        <f t="shared" si="46"/>
        <v>#DIV/0!</v>
      </c>
      <c r="R33" s="3"/>
      <c r="S33" s="6"/>
      <c r="T33" s="3" t="e">
        <f t="shared" si="47"/>
        <v>#DIV/0!</v>
      </c>
      <c r="U33" s="3"/>
      <c r="V33" s="6"/>
      <c r="W33" s="3" t="e">
        <f t="shared" si="48"/>
        <v>#DIV/0!</v>
      </c>
      <c r="X33" s="3"/>
      <c r="Y33" s="6"/>
      <c r="Z33" s="3" t="e">
        <f t="shared" si="49"/>
        <v>#DIV/0!</v>
      </c>
      <c r="AA33" s="3"/>
      <c r="AB33" s="6"/>
      <c r="AC33" s="3" t="e">
        <f t="shared" si="50"/>
        <v>#DIV/0!</v>
      </c>
      <c r="AD33" s="3"/>
      <c r="AE33" s="6"/>
      <c r="AF33" s="3" t="e">
        <f t="shared" si="51"/>
        <v>#DIV/0!</v>
      </c>
      <c r="AG33" s="3"/>
      <c r="AH33" s="6"/>
      <c r="AI33" s="3" t="e">
        <f t="shared" si="52"/>
        <v>#DIV/0!</v>
      </c>
      <c r="AJ33" s="3"/>
      <c r="AK33" s="6"/>
      <c r="AL33" s="3" t="e">
        <f t="shared" si="53"/>
        <v>#DIV/0!</v>
      </c>
      <c r="AM33" s="3"/>
      <c r="AN33" s="6"/>
      <c r="AO33" s="3">
        <f t="shared" si="36"/>
        <v>1993.615384615385</v>
      </c>
      <c r="AP33" s="3">
        <f t="shared" si="40"/>
        <v>51834</v>
      </c>
      <c r="AQ33" s="6">
        <f t="shared" si="41"/>
        <v>25.999999999999996</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9" t="s">
        <v>18</v>
      </c>
      <c r="B34" s="23"/>
      <c r="C34" s="23"/>
      <c r="D34" s="23"/>
      <c r="E34" s="3">
        <f t="shared" si="42"/>
        <v>1597.1257485029942</v>
      </c>
      <c r="F34" s="3">
        <v>26672</v>
      </c>
      <c r="G34" s="6">
        <v>16.7</v>
      </c>
      <c r="H34" s="3">
        <f t="shared" si="43"/>
        <v>2635.8227848101264</v>
      </c>
      <c r="I34" s="3">
        <v>41646</v>
      </c>
      <c r="J34" s="6">
        <v>15.8</v>
      </c>
      <c r="K34" s="3">
        <f t="shared" si="44"/>
        <v>3301.8181818181815</v>
      </c>
      <c r="L34" s="3">
        <v>7264</v>
      </c>
      <c r="M34" s="6">
        <v>2.2000000000000002</v>
      </c>
      <c r="N34" s="3">
        <f t="shared" si="45"/>
        <v>8945</v>
      </c>
      <c r="O34" s="3">
        <v>3578</v>
      </c>
      <c r="P34" s="6">
        <v>0.4</v>
      </c>
      <c r="Q34" s="3" t="e">
        <f t="shared" si="46"/>
        <v>#DIV/0!</v>
      </c>
      <c r="R34" s="3"/>
      <c r="S34" s="6"/>
      <c r="T34" s="3" t="e">
        <f t="shared" si="47"/>
        <v>#DIV/0!</v>
      </c>
      <c r="U34" s="3"/>
      <c r="V34" s="6"/>
      <c r="W34" s="3" t="e">
        <f t="shared" si="48"/>
        <v>#DIV/0!</v>
      </c>
      <c r="X34" s="3"/>
      <c r="Y34" s="6"/>
      <c r="Z34" s="3" t="e">
        <f t="shared" si="49"/>
        <v>#DIV/0!</v>
      </c>
      <c r="AA34" s="3"/>
      <c r="AB34" s="6"/>
      <c r="AC34" s="3" t="e">
        <f t="shared" si="50"/>
        <v>#DIV/0!</v>
      </c>
      <c r="AD34" s="3"/>
      <c r="AE34" s="6"/>
      <c r="AF34" s="3" t="e">
        <f t="shared" si="51"/>
        <v>#DIV/0!</v>
      </c>
      <c r="AG34" s="3"/>
      <c r="AH34" s="6"/>
      <c r="AI34" s="3" t="e">
        <f t="shared" si="52"/>
        <v>#DIV/0!</v>
      </c>
      <c r="AJ34" s="3"/>
      <c r="AK34" s="6"/>
      <c r="AL34" s="3" t="e">
        <f t="shared" si="53"/>
        <v>#DIV/0!</v>
      </c>
      <c r="AM34" s="3"/>
      <c r="AN34" s="6"/>
      <c r="AO34" s="3">
        <f t="shared" si="36"/>
        <v>2255.270655270655</v>
      </c>
      <c r="AP34" s="3">
        <f t="shared" si="40"/>
        <v>79160</v>
      </c>
      <c r="AQ34" s="6">
        <f t="shared" si="41"/>
        <v>35.1</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9" t="s">
        <v>65</v>
      </c>
      <c r="B35" s="23"/>
      <c r="C35" s="23"/>
      <c r="D35" s="23"/>
      <c r="E35" s="3">
        <f t="shared" si="42"/>
        <v>2922.3913043478265</v>
      </c>
      <c r="F35" s="3">
        <v>13443</v>
      </c>
      <c r="G35" s="6">
        <v>4.5999999999999996</v>
      </c>
      <c r="H35" s="3" t="e">
        <f t="shared" si="43"/>
        <v>#DIV/0!</v>
      </c>
      <c r="I35" s="3">
        <v>0</v>
      </c>
      <c r="J35" s="6">
        <v>0</v>
      </c>
      <c r="K35" s="3" t="e">
        <f t="shared" si="44"/>
        <v>#DIV/0!</v>
      </c>
      <c r="L35" s="3">
        <v>0</v>
      </c>
      <c r="M35" s="6">
        <v>0</v>
      </c>
      <c r="N35" s="3">
        <f t="shared" si="45"/>
        <v>1965</v>
      </c>
      <c r="O35" s="3">
        <v>3537</v>
      </c>
      <c r="P35" s="6">
        <v>1.8</v>
      </c>
      <c r="Q35" s="3" t="e">
        <f t="shared" si="46"/>
        <v>#DIV/0!</v>
      </c>
      <c r="R35" s="3"/>
      <c r="S35" s="6"/>
      <c r="T35" s="3" t="e">
        <f t="shared" si="47"/>
        <v>#DIV/0!</v>
      </c>
      <c r="U35" s="3"/>
      <c r="V35" s="6"/>
      <c r="W35" s="3" t="e">
        <f t="shared" si="48"/>
        <v>#DIV/0!</v>
      </c>
      <c r="X35" s="3"/>
      <c r="Y35" s="6"/>
      <c r="Z35" s="3" t="e">
        <f t="shared" si="49"/>
        <v>#DIV/0!</v>
      </c>
      <c r="AA35" s="3"/>
      <c r="AB35" s="6"/>
      <c r="AC35" s="3" t="e">
        <f t="shared" si="50"/>
        <v>#DIV/0!</v>
      </c>
      <c r="AD35" s="3"/>
      <c r="AE35" s="6"/>
      <c r="AF35" s="3" t="e">
        <f t="shared" si="51"/>
        <v>#DIV/0!</v>
      </c>
      <c r="AG35" s="3"/>
      <c r="AH35" s="6"/>
      <c r="AI35" s="3" t="e">
        <f t="shared" si="52"/>
        <v>#DIV/0!</v>
      </c>
      <c r="AJ35" s="3"/>
      <c r="AK35" s="6"/>
      <c r="AL35" s="3" t="e">
        <f t="shared" si="53"/>
        <v>#DIV/0!</v>
      </c>
      <c r="AM35" s="3"/>
      <c r="AN35" s="6"/>
      <c r="AO35" s="3">
        <f t="shared" si="36"/>
        <v>2653.125</v>
      </c>
      <c r="AP35" s="3">
        <f t="shared" si="40"/>
        <v>16980</v>
      </c>
      <c r="AQ35" s="6">
        <f t="shared" si="41"/>
        <v>6.3999999999999995</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9" t="s">
        <v>45</v>
      </c>
      <c r="B36" s="23"/>
      <c r="C36" s="23"/>
      <c r="D36" s="23"/>
      <c r="E36" s="3">
        <f t="shared" si="42"/>
        <v>1883.3187772925764</v>
      </c>
      <c r="F36" s="3">
        <v>43128</v>
      </c>
      <c r="G36" s="6">
        <v>22.9</v>
      </c>
      <c r="H36" s="3">
        <f t="shared" si="43"/>
        <v>1814.1484716157206</v>
      </c>
      <c r="I36" s="3">
        <v>41544</v>
      </c>
      <c r="J36" s="6">
        <v>22.9</v>
      </c>
      <c r="K36" s="3">
        <f t="shared" si="44"/>
        <v>1867.4585635359115</v>
      </c>
      <c r="L36" s="3">
        <v>33801</v>
      </c>
      <c r="M36" s="6">
        <v>18.100000000000001</v>
      </c>
      <c r="N36" s="3" t="e">
        <f t="shared" si="45"/>
        <v>#DIV/0!</v>
      </c>
      <c r="O36" s="3">
        <v>0</v>
      </c>
      <c r="P36" s="6">
        <v>0</v>
      </c>
      <c r="Q36" s="3" t="e">
        <f t="shared" si="46"/>
        <v>#DIV/0!</v>
      </c>
      <c r="R36" s="3"/>
      <c r="S36" s="6"/>
      <c r="T36" s="3" t="e">
        <f t="shared" si="47"/>
        <v>#DIV/0!</v>
      </c>
      <c r="U36" s="3"/>
      <c r="V36" s="6"/>
      <c r="W36" s="3" t="e">
        <f t="shared" si="48"/>
        <v>#DIV/0!</v>
      </c>
      <c r="X36" s="3"/>
      <c r="Y36" s="6"/>
      <c r="Z36" s="3" t="e">
        <f t="shared" si="49"/>
        <v>#DIV/0!</v>
      </c>
      <c r="AA36" s="3"/>
      <c r="AB36" s="6"/>
      <c r="AC36" s="3" t="e">
        <f t="shared" si="50"/>
        <v>#DIV/0!</v>
      </c>
      <c r="AD36" s="3"/>
      <c r="AE36" s="6"/>
      <c r="AF36" s="3" t="e">
        <f t="shared" si="51"/>
        <v>#DIV/0!</v>
      </c>
      <c r="AG36" s="3"/>
      <c r="AH36" s="6"/>
      <c r="AI36" s="3" t="e">
        <f t="shared" si="52"/>
        <v>#DIV/0!</v>
      </c>
      <c r="AJ36" s="3"/>
      <c r="AK36" s="6"/>
      <c r="AL36" s="3" t="e">
        <f t="shared" si="53"/>
        <v>#DIV/0!</v>
      </c>
      <c r="AM36" s="3"/>
      <c r="AN36" s="6"/>
      <c r="AO36" s="3">
        <f t="shared" si="36"/>
        <v>1854.0375586854461</v>
      </c>
      <c r="AP36" s="3">
        <f t="shared" si="40"/>
        <v>118473</v>
      </c>
      <c r="AQ36" s="6">
        <f t="shared" si="41"/>
        <v>63.9</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9" t="s">
        <v>57</v>
      </c>
      <c r="B37" s="23"/>
      <c r="C37" s="23"/>
      <c r="D37" s="23"/>
      <c r="E37" s="3">
        <f t="shared" si="42"/>
        <v>1629.4736842105265</v>
      </c>
      <c r="F37" s="3">
        <v>3096</v>
      </c>
      <c r="G37" s="6">
        <v>1.9</v>
      </c>
      <c r="H37" s="3">
        <f t="shared" si="43"/>
        <v>2448.8695652173915</v>
      </c>
      <c r="I37" s="3">
        <v>28162</v>
      </c>
      <c r="J37" s="6">
        <v>11.5</v>
      </c>
      <c r="K37" s="3">
        <f t="shared" si="44"/>
        <v>4241.5789473684208</v>
      </c>
      <c r="L37" s="3">
        <v>8059</v>
      </c>
      <c r="M37" s="6">
        <v>1.9</v>
      </c>
      <c r="N37" s="3" t="e">
        <f t="shared" si="45"/>
        <v>#DIV/0!</v>
      </c>
      <c r="O37" s="3">
        <v>0</v>
      </c>
      <c r="P37" s="6">
        <v>0</v>
      </c>
      <c r="Q37" s="3" t="e">
        <f t="shared" si="46"/>
        <v>#DIV/0!</v>
      </c>
      <c r="R37" s="3"/>
      <c r="S37" s="6"/>
      <c r="T37" s="3" t="e">
        <f t="shared" si="47"/>
        <v>#DIV/0!</v>
      </c>
      <c r="U37" s="3"/>
      <c r="V37" s="6"/>
      <c r="W37" s="3" t="e">
        <f t="shared" si="48"/>
        <v>#DIV/0!</v>
      </c>
      <c r="X37" s="3"/>
      <c r="Y37" s="6"/>
      <c r="Z37" s="3" t="e">
        <f t="shared" si="49"/>
        <v>#DIV/0!</v>
      </c>
      <c r="AA37" s="3"/>
      <c r="AB37" s="6"/>
      <c r="AC37" s="3" t="e">
        <f t="shared" si="50"/>
        <v>#DIV/0!</v>
      </c>
      <c r="AD37" s="3"/>
      <c r="AE37" s="6"/>
      <c r="AF37" s="3" t="e">
        <f t="shared" si="51"/>
        <v>#DIV/0!</v>
      </c>
      <c r="AG37" s="3"/>
      <c r="AH37" s="6"/>
      <c r="AI37" s="3" t="e">
        <f t="shared" si="52"/>
        <v>#DIV/0!</v>
      </c>
      <c r="AJ37" s="3"/>
      <c r="AK37" s="6"/>
      <c r="AL37" s="3" t="e">
        <f t="shared" si="53"/>
        <v>#DIV/0!</v>
      </c>
      <c r="AM37" s="3"/>
      <c r="AN37" s="6"/>
      <c r="AO37" s="3">
        <f t="shared" si="36"/>
        <v>2569.7385620915034</v>
      </c>
      <c r="AP37" s="3">
        <f t="shared" si="40"/>
        <v>39317</v>
      </c>
      <c r="AQ37" s="6">
        <f t="shared" si="41"/>
        <v>15.3</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9" t="s">
        <v>76</v>
      </c>
      <c r="B38" s="23"/>
      <c r="C38" s="23"/>
      <c r="D38" s="23"/>
      <c r="E38" s="3" t="e">
        <f t="shared" si="42"/>
        <v>#DIV/0!</v>
      </c>
      <c r="F38" s="3">
        <v>0</v>
      </c>
      <c r="G38" s="6">
        <v>0</v>
      </c>
      <c r="H38" s="3" t="e">
        <f t="shared" si="43"/>
        <v>#DIV/0!</v>
      </c>
      <c r="I38" s="3">
        <v>0</v>
      </c>
      <c r="J38" s="6">
        <v>0</v>
      </c>
      <c r="K38" s="3">
        <f t="shared" si="44"/>
        <v>3270</v>
      </c>
      <c r="L38" s="3">
        <v>3270</v>
      </c>
      <c r="M38" s="6">
        <v>1</v>
      </c>
      <c r="N38" s="3" t="e">
        <f t="shared" si="45"/>
        <v>#DIV/0!</v>
      </c>
      <c r="O38" s="3">
        <v>0</v>
      </c>
      <c r="P38" s="6">
        <v>0</v>
      </c>
      <c r="Q38" s="3" t="e">
        <f t="shared" si="46"/>
        <v>#DIV/0!</v>
      </c>
      <c r="R38" s="3"/>
      <c r="S38" s="6"/>
      <c r="T38" s="3" t="e">
        <f t="shared" si="47"/>
        <v>#DIV/0!</v>
      </c>
      <c r="U38" s="3"/>
      <c r="V38" s="6"/>
      <c r="W38" s="3" t="e">
        <f t="shared" si="48"/>
        <v>#DIV/0!</v>
      </c>
      <c r="X38" s="3"/>
      <c r="Y38" s="6"/>
      <c r="Z38" s="3" t="e">
        <f t="shared" si="49"/>
        <v>#DIV/0!</v>
      </c>
      <c r="AA38" s="3"/>
      <c r="AB38" s="6"/>
      <c r="AC38" s="3" t="e">
        <f t="shared" si="50"/>
        <v>#DIV/0!</v>
      </c>
      <c r="AD38" s="3"/>
      <c r="AE38" s="6"/>
      <c r="AF38" s="3" t="e">
        <f t="shared" si="51"/>
        <v>#DIV/0!</v>
      </c>
      <c r="AG38" s="3"/>
      <c r="AH38" s="6"/>
      <c r="AI38" s="3" t="e">
        <f t="shared" si="52"/>
        <v>#DIV/0!</v>
      </c>
      <c r="AJ38" s="3"/>
      <c r="AK38" s="6"/>
      <c r="AL38" s="3" t="e">
        <f t="shared" si="53"/>
        <v>#DIV/0!</v>
      </c>
      <c r="AM38" s="3"/>
      <c r="AN38" s="6"/>
      <c r="AO38" s="3">
        <f t="shared" si="36"/>
        <v>3270</v>
      </c>
      <c r="AP38" s="3">
        <f t="shared" si="40"/>
        <v>3270</v>
      </c>
      <c r="AQ38" s="6">
        <f t="shared" si="41"/>
        <v>1</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9" t="s">
        <v>58</v>
      </c>
      <c r="B39" s="23"/>
      <c r="C39" s="23"/>
      <c r="D39" s="23"/>
      <c r="E39" s="3">
        <f t="shared" si="42"/>
        <v>1995.5497382198951</v>
      </c>
      <c r="F39" s="3">
        <v>38115</v>
      </c>
      <c r="G39" s="6">
        <v>19.100000000000001</v>
      </c>
      <c r="H39" s="3" t="e">
        <f t="shared" si="43"/>
        <v>#DIV/0!</v>
      </c>
      <c r="I39" s="3">
        <v>0</v>
      </c>
      <c r="J39" s="6">
        <v>0</v>
      </c>
      <c r="K39" s="3" t="e">
        <f t="shared" si="44"/>
        <v>#DIV/0!</v>
      </c>
      <c r="L39" s="3">
        <v>0</v>
      </c>
      <c r="M39" s="6">
        <v>0</v>
      </c>
      <c r="N39" s="3" t="e">
        <f t="shared" si="45"/>
        <v>#DIV/0!</v>
      </c>
      <c r="O39" s="3">
        <v>0</v>
      </c>
      <c r="P39" s="6">
        <v>0</v>
      </c>
      <c r="Q39" s="3" t="e">
        <f t="shared" si="46"/>
        <v>#DIV/0!</v>
      </c>
      <c r="R39" s="3"/>
      <c r="S39" s="6"/>
      <c r="T39" s="3" t="e">
        <f t="shared" si="47"/>
        <v>#DIV/0!</v>
      </c>
      <c r="U39" s="3"/>
      <c r="V39" s="6"/>
      <c r="W39" s="3" t="e">
        <f t="shared" si="48"/>
        <v>#DIV/0!</v>
      </c>
      <c r="X39" s="3"/>
      <c r="Y39" s="6"/>
      <c r="Z39" s="3" t="e">
        <f t="shared" si="49"/>
        <v>#DIV/0!</v>
      </c>
      <c r="AA39" s="3"/>
      <c r="AB39" s="6"/>
      <c r="AC39" s="3" t="e">
        <f t="shared" si="50"/>
        <v>#DIV/0!</v>
      </c>
      <c r="AD39" s="3"/>
      <c r="AE39" s="6"/>
      <c r="AF39" s="3" t="e">
        <f t="shared" si="51"/>
        <v>#DIV/0!</v>
      </c>
      <c r="AG39" s="3"/>
      <c r="AH39" s="6"/>
      <c r="AI39" s="3" t="e">
        <f t="shared" si="52"/>
        <v>#DIV/0!</v>
      </c>
      <c r="AJ39" s="3"/>
      <c r="AK39" s="6"/>
      <c r="AL39" s="3" t="e">
        <f t="shared" si="53"/>
        <v>#DIV/0!</v>
      </c>
      <c r="AM39" s="3"/>
      <c r="AN39" s="6"/>
      <c r="AO39" s="3">
        <f t="shared" si="36"/>
        <v>1995.5497382198951</v>
      </c>
      <c r="AP39" s="3">
        <f t="shared" si="40"/>
        <v>38115</v>
      </c>
      <c r="AQ39" s="6">
        <f t="shared" si="41"/>
        <v>19.100000000000001</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9" t="s">
        <v>73</v>
      </c>
      <c r="B40" s="23"/>
      <c r="C40" s="23"/>
      <c r="D40" s="23"/>
      <c r="E40" s="3" t="e">
        <f t="shared" si="42"/>
        <v>#DIV/0!</v>
      </c>
      <c r="F40" s="3">
        <v>0</v>
      </c>
      <c r="G40" s="6">
        <v>0</v>
      </c>
      <c r="H40" s="3">
        <f t="shared" si="43"/>
        <v>1551.695652173913</v>
      </c>
      <c r="I40" s="3">
        <v>35689</v>
      </c>
      <c r="J40" s="6">
        <v>23</v>
      </c>
      <c r="K40" s="3" t="e">
        <f t="shared" si="44"/>
        <v>#DIV/0!</v>
      </c>
      <c r="L40" s="3">
        <v>0</v>
      </c>
      <c r="M40" s="6">
        <v>0</v>
      </c>
      <c r="N40" s="3" t="e">
        <f t="shared" si="45"/>
        <v>#DIV/0!</v>
      </c>
      <c r="O40" s="3">
        <v>0</v>
      </c>
      <c r="P40" s="6">
        <v>0</v>
      </c>
      <c r="Q40" s="3" t="e">
        <f t="shared" si="46"/>
        <v>#DIV/0!</v>
      </c>
      <c r="R40" s="3"/>
      <c r="S40" s="6"/>
      <c r="T40" s="3" t="e">
        <f t="shared" si="47"/>
        <v>#DIV/0!</v>
      </c>
      <c r="U40" s="3"/>
      <c r="V40" s="6"/>
      <c r="W40" s="3" t="e">
        <f t="shared" si="48"/>
        <v>#DIV/0!</v>
      </c>
      <c r="X40" s="3"/>
      <c r="Y40" s="6"/>
      <c r="Z40" s="3" t="e">
        <f t="shared" si="49"/>
        <v>#DIV/0!</v>
      </c>
      <c r="AA40" s="3"/>
      <c r="AB40" s="6"/>
      <c r="AC40" s="3" t="e">
        <f t="shared" si="50"/>
        <v>#DIV/0!</v>
      </c>
      <c r="AD40" s="3"/>
      <c r="AE40" s="6"/>
      <c r="AF40" s="3" t="e">
        <f t="shared" si="51"/>
        <v>#DIV/0!</v>
      </c>
      <c r="AG40" s="3"/>
      <c r="AH40" s="6"/>
      <c r="AI40" s="3" t="e">
        <f t="shared" si="52"/>
        <v>#DIV/0!</v>
      </c>
      <c r="AJ40" s="3"/>
      <c r="AK40" s="6"/>
      <c r="AL40" s="3" t="e">
        <f t="shared" si="53"/>
        <v>#DIV/0!</v>
      </c>
      <c r="AM40" s="3"/>
      <c r="AN40" s="6"/>
      <c r="AO40" s="3">
        <f t="shared" si="36"/>
        <v>1551.695652173913</v>
      </c>
      <c r="AP40" s="3">
        <f t="shared" si="40"/>
        <v>35689</v>
      </c>
      <c r="AQ40" s="6">
        <f t="shared" si="41"/>
        <v>23</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9" t="s">
        <v>71</v>
      </c>
      <c r="B41" s="23"/>
      <c r="C41" s="23"/>
      <c r="D41" s="23"/>
      <c r="E41" s="3">
        <f t="shared" si="42"/>
        <v>1801.5748031496064</v>
      </c>
      <c r="F41" s="3">
        <v>45760</v>
      </c>
      <c r="G41" s="6">
        <v>25.4</v>
      </c>
      <c r="H41" s="3" t="e">
        <f t="shared" si="43"/>
        <v>#DIV/0!</v>
      </c>
      <c r="I41" s="3">
        <v>0</v>
      </c>
      <c r="J41" s="6">
        <v>0</v>
      </c>
      <c r="K41" s="3" t="e">
        <f t="shared" si="44"/>
        <v>#DIV/0!</v>
      </c>
      <c r="L41" s="3">
        <v>0</v>
      </c>
      <c r="M41" s="6">
        <v>0</v>
      </c>
      <c r="N41" s="3" t="e">
        <f t="shared" si="45"/>
        <v>#DIV/0!</v>
      </c>
      <c r="O41" s="3">
        <v>0</v>
      </c>
      <c r="P41" s="6">
        <v>0</v>
      </c>
      <c r="Q41" s="3" t="e">
        <f t="shared" si="46"/>
        <v>#DIV/0!</v>
      </c>
      <c r="R41" s="3"/>
      <c r="S41" s="6"/>
      <c r="T41" s="3" t="e">
        <f t="shared" si="47"/>
        <v>#DIV/0!</v>
      </c>
      <c r="U41" s="3"/>
      <c r="V41" s="6"/>
      <c r="W41" s="3" t="e">
        <f t="shared" si="48"/>
        <v>#DIV/0!</v>
      </c>
      <c r="X41" s="3"/>
      <c r="Y41" s="6"/>
      <c r="Z41" s="3" t="e">
        <f t="shared" si="49"/>
        <v>#DIV/0!</v>
      </c>
      <c r="AA41" s="3"/>
      <c r="AB41" s="6"/>
      <c r="AC41" s="3" t="e">
        <f t="shared" si="50"/>
        <v>#DIV/0!</v>
      </c>
      <c r="AD41" s="3"/>
      <c r="AE41" s="6"/>
      <c r="AF41" s="3" t="e">
        <f t="shared" si="51"/>
        <v>#DIV/0!</v>
      </c>
      <c r="AG41" s="3"/>
      <c r="AH41" s="6"/>
      <c r="AI41" s="3" t="e">
        <f t="shared" si="52"/>
        <v>#DIV/0!</v>
      </c>
      <c r="AJ41" s="3"/>
      <c r="AK41" s="6"/>
      <c r="AL41" s="3" t="e">
        <f t="shared" si="53"/>
        <v>#DIV/0!</v>
      </c>
      <c r="AM41" s="3"/>
      <c r="AN41" s="6"/>
      <c r="AO41" s="3">
        <f t="shared" si="36"/>
        <v>1801.5748031496064</v>
      </c>
      <c r="AP41" s="3">
        <f t="shared" si="40"/>
        <v>45760</v>
      </c>
      <c r="AQ41" s="6">
        <f t="shared" si="41"/>
        <v>25.4</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9" t="s">
        <v>23</v>
      </c>
      <c r="B42" s="23"/>
      <c r="C42" s="23"/>
      <c r="D42" s="23"/>
      <c r="E42" s="3" t="e">
        <f t="shared" si="42"/>
        <v>#DIV/0!</v>
      </c>
      <c r="F42" s="3">
        <v>0</v>
      </c>
      <c r="G42" s="6">
        <v>0</v>
      </c>
      <c r="H42" s="3" t="e">
        <f t="shared" si="43"/>
        <v>#DIV/0!</v>
      </c>
      <c r="I42" s="3">
        <v>0</v>
      </c>
      <c r="J42" s="6">
        <v>0</v>
      </c>
      <c r="K42" s="3">
        <f t="shared" si="44"/>
        <v>2220.9606986899566</v>
      </c>
      <c r="L42" s="3">
        <v>50860</v>
      </c>
      <c r="M42" s="6">
        <v>22.9</v>
      </c>
      <c r="N42" s="3" t="e">
        <f t="shared" si="45"/>
        <v>#DIV/0!</v>
      </c>
      <c r="O42" s="3">
        <v>0</v>
      </c>
      <c r="P42" s="6">
        <v>0</v>
      </c>
      <c r="Q42" s="3" t="e">
        <f t="shared" si="46"/>
        <v>#DIV/0!</v>
      </c>
      <c r="R42" s="3"/>
      <c r="S42" s="6"/>
      <c r="T42" s="3" t="e">
        <f t="shared" si="47"/>
        <v>#DIV/0!</v>
      </c>
      <c r="U42" s="3"/>
      <c r="V42" s="6"/>
      <c r="W42" s="3" t="e">
        <f t="shared" si="48"/>
        <v>#DIV/0!</v>
      </c>
      <c r="X42" s="3"/>
      <c r="Y42" s="6"/>
      <c r="Z42" s="3" t="e">
        <f t="shared" si="49"/>
        <v>#DIV/0!</v>
      </c>
      <c r="AA42" s="3"/>
      <c r="AB42" s="6"/>
      <c r="AC42" s="3" t="e">
        <f t="shared" si="50"/>
        <v>#DIV/0!</v>
      </c>
      <c r="AD42" s="3"/>
      <c r="AE42" s="6"/>
      <c r="AF42" s="3" t="e">
        <f t="shared" si="51"/>
        <v>#DIV/0!</v>
      </c>
      <c r="AG42" s="3"/>
      <c r="AH42" s="6"/>
      <c r="AI42" s="3" t="e">
        <f t="shared" si="52"/>
        <v>#DIV/0!</v>
      </c>
      <c r="AJ42" s="3"/>
      <c r="AK42" s="6"/>
      <c r="AL42" s="3" t="e">
        <f t="shared" si="53"/>
        <v>#DIV/0!</v>
      </c>
      <c r="AM42" s="3"/>
      <c r="AN42" s="6"/>
      <c r="AO42" s="3">
        <f t="shared" si="36"/>
        <v>2220.9606986899566</v>
      </c>
      <c r="AP42" s="3">
        <f t="shared" si="40"/>
        <v>50860</v>
      </c>
      <c r="AQ42" s="6">
        <f t="shared" si="41"/>
        <v>22.9</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9" t="s">
        <v>50</v>
      </c>
      <c r="B43" s="23"/>
      <c r="C43" s="23"/>
      <c r="D43" s="23"/>
      <c r="E43" s="3">
        <f t="shared" si="42"/>
        <v>1737.1487119437938</v>
      </c>
      <c r="F43" s="3">
        <v>296705</v>
      </c>
      <c r="G43" s="6">
        <v>170.8</v>
      </c>
      <c r="H43" s="3">
        <f t="shared" si="43"/>
        <v>1677.5035460992908</v>
      </c>
      <c r="I43" s="3">
        <v>236528</v>
      </c>
      <c r="J43" s="6">
        <v>141</v>
      </c>
      <c r="K43" s="3" t="e">
        <f t="shared" si="44"/>
        <v>#DIV/0!</v>
      </c>
      <c r="L43" s="3">
        <v>0</v>
      </c>
      <c r="M43" s="6">
        <v>0</v>
      </c>
      <c r="N43" s="3" t="e">
        <f t="shared" si="45"/>
        <v>#DIV/0!</v>
      </c>
      <c r="O43" s="3">
        <v>0</v>
      </c>
      <c r="P43" s="6">
        <v>0</v>
      </c>
      <c r="Q43" s="3" t="e">
        <f t="shared" si="46"/>
        <v>#DIV/0!</v>
      </c>
      <c r="R43" s="3"/>
      <c r="S43" s="6"/>
      <c r="T43" s="3" t="e">
        <f t="shared" si="47"/>
        <v>#DIV/0!</v>
      </c>
      <c r="U43" s="3"/>
      <c r="V43" s="6"/>
      <c r="W43" s="3" t="e">
        <f t="shared" si="48"/>
        <v>#DIV/0!</v>
      </c>
      <c r="X43" s="3"/>
      <c r="Y43" s="6"/>
      <c r="Z43" s="3" t="e">
        <f t="shared" si="49"/>
        <v>#DIV/0!</v>
      </c>
      <c r="AA43" s="3"/>
      <c r="AB43" s="6"/>
      <c r="AC43" s="3" t="e">
        <f t="shared" si="50"/>
        <v>#DIV/0!</v>
      </c>
      <c r="AD43" s="3"/>
      <c r="AE43" s="6"/>
      <c r="AF43" s="3" t="e">
        <f t="shared" si="51"/>
        <v>#DIV/0!</v>
      </c>
      <c r="AG43" s="3"/>
      <c r="AH43" s="6"/>
      <c r="AI43" s="3" t="e">
        <f t="shared" si="52"/>
        <v>#DIV/0!</v>
      </c>
      <c r="AJ43" s="3"/>
      <c r="AK43" s="6"/>
      <c r="AL43" s="3" t="e">
        <f t="shared" si="53"/>
        <v>#DIV/0!</v>
      </c>
      <c r="AM43" s="3"/>
      <c r="AN43" s="6"/>
      <c r="AO43" s="3">
        <f t="shared" si="36"/>
        <v>1710.17639512508</v>
      </c>
      <c r="AP43" s="3">
        <f t="shared" si="40"/>
        <v>533233</v>
      </c>
      <c r="AQ43" s="6">
        <f t="shared" si="41"/>
        <v>311.8</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9" t="s">
        <v>72</v>
      </c>
      <c r="B44" s="23"/>
      <c r="C44" s="23"/>
      <c r="D44" s="23"/>
      <c r="E44" s="12" t="e">
        <f t="shared" si="42"/>
        <v>#DIV/0!</v>
      </c>
      <c r="F44" s="12">
        <v>0</v>
      </c>
      <c r="G44" s="6">
        <v>0</v>
      </c>
      <c r="H44" s="14">
        <f t="shared" si="43"/>
        <v>1518.3783783783783</v>
      </c>
      <c r="I44" s="12">
        <v>28090</v>
      </c>
      <c r="J44" s="6">
        <v>18.5</v>
      </c>
      <c r="K44" s="12" t="e">
        <f t="shared" si="44"/>
        <v>#DIV/0!</v>
      </c>
      <c r="L44" s="12">
        <v>0</v>
      </c>
      <c r="M44" s="6">
        <v>0</v>
      </c>
      <c r="N44" s="12" t="e">
        <f t="shared" si="45"/>
        <v>#DIV/0!</v>
      </c>
      <c r="O44" s="12">
        <v>0</v>
      </c>
      <c r="P44" s="6">
        <v>0</v>
      </c>
      <c r="Q44" s="14" t="e">
        <f t="shared" si="46"/>
        <v>#DIV/0!</v>
      </c>
      <c r="R44" s="12"/>
      <c r="S44" s="6"/>
      <c r="T44" s="14" t="e">
        <f t="shared" si="47"/>
        <v>#DIV/0!</v>
      </c>
      <c r="U44" s="12"/>
      <c r="V44" s="6"/>
      <c r="W44" s="12" t="e">
        <f t="shared" si="48"/>
        <v>#DIV/0!</v>
      </c>
      <c r="X44" s="12"/>
      <c r="Y44" s="6"/>
      <c r="Z44" s="12" t="e">
        <f t="shared" si="49"/>
        <v>#DIV/0!</v>
      </c>
      <c r="AA44" s="12"/>
      <c r="AB44" s="6"/>
      <c r="AC44" s="12" t="e">
        <f t="shared" si="50"/>
        <v>#DIV/0!</v>
      </c>
      <c r="AD44" s="12"/>
      <c r="AE44" s="6"/>
      <c r="AF44" s="12" t="e">
        <f t="shared" si="51"/>
        <v>#DIV/0!</v>
      </c>
      <c r="AG44" s="12"/>
      <c r="AH44" s="6"/>
      <c r="AI44" s="12" t="e">
        <f t="shared" si="52"/>
        <v>#DIV/0!</v>
      </c>
      <c r="AJ44" s="12"/>
      <c r="AK44" s="6"/>
      <c r="AL44" s="12" t="e">
        <f t="shared" si="53"/>
        <v>#DIV/0!</v>
      </c>
      <c r="AM44" s="12"/>
      <c r="AN44" s="6"/>
      <c r="AO44" s="12">
        <f t="shared" si="36"/>
        <v>1518.3783783783783</v>
      </c>
      <c r="AP44" s="12">
        <f t="shared" si="40"/>
        <v>28090</v>
      </c>
      <c r="AQ44" s="6">
        <f t="shared" si="41"/>
        <v>18.5</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9" t="s">
        <v>54</v>
      </c>
      <c r="B45" s="23"/>
      <c r="C45" s="23"/>
      <c r="D45" s="23"/>
      <c r="E45" s="13" t="e">
        <f t="shared" si="42"/>
        <v>#DIV/0!</v>
      </c>
      <c r="F45" s="13">
        <v>0</v>
      </c>
      <c r="G45" s="11">
        <v>0</v>
      </c>
      <c r="H45" s="10">
        <f t="shared" si="43"/>
        <v>2286.8271334792121</v>
      </c>
      <c r="I45" s="13">
        <v>209016</v>
      </c>
      <c r="J45" s="11">
        <v>91.4</v>
      </c>
      <c r="K45" s="18">
        <f t="shared" si="44"/>
        <v>1839.3013100436683</v>
      </c>
      <c r="L45" s="10">
        <v>42120</v>
      </c>
      <c r="M45" s="11">
        <v>22.9</v>
      </c>
      <c r="N45" s="18" t="e">
        <f t="shared" si="45"/>
        <v>#DIV/0!</v>
      </c>
      <c r="O45" s="10">
        <v>0</v>
      </c>
      <c r="P45" s="11">
        <v>0</v>
      </c>
      <c r="Q45" s="10" t="e">
        <f t="shared" si="46"/>
        <v>#DIV/0!</v>
      </c>
      <c r="R45" s="13"/>
      <c r="S45" s="11"/>
      <c r="T45" s="10" t="e">
        <f t="shared" si="47"/>
        <v>#DIV/0!</v>
      </c>
      <c r="U45" s="13"/>
      <c r="V45" s="11"/>
      <c r="W45" s="13" t="e">
        <f t="shared" si="48"/>
        <v>#DIV/0!</v>
      </c>
      <c r="X45" s="13"/>
      <c r="Y45" s="11"/>
      <c r="Z45" s="13" t="e">
        <f t="shared" si="49"/>
        <v>#DIV/0!</v>
      </c>
      <c r="AA45" s="13"/>
      <c r="AB45" s="11"/>
      <c r="AC45" s="13" t="e">
        <f t="shared" si="50"/>
        <v>#DIV/0!</v>
      </c>
      <c r="AD45" s="13"/>
      <c r="AE45" s="11"/>
      <c r="AF45" s="10" t="e">
        <f t="shared" si="51"/>
        <v>#DIV/0!</v>
      </c>
      <c r="AG45" s="13"/>
      <c r="AH45" s="11"/>
      <c r="AI45" s="13" t="e">
        <f t="shared" si="52"/>
        <v>#DIV/0!</v>
      </c>
      <c r="AJ45" s="13"/>
      <c r="AK45" s="11"/>
      <c r="AL45" s="13" t="e">
        <f t="shared" si="53"/>
        <v>#DIV/0!</v>
      </c>
      <c r="AM45" s="13"/>
      <c r="AN45" s="11"/>
      <c r="AO45" s="13">
        <f t="shared" si="36"/>
        <v>2197.1653543307084</v>
      </c>
      <c r="AP45" s="10">
        <f t="shared" si="40"/>
        <v>251136</v>
      </c>
      <c r="AQ45" s="11">
        <f t="shared" si="41"/>
        <v>114.30000000000001</v>
      </c>
    </row>
    <row r="46" spans="1:67" x14ac:dyDescent="0.3">
      <c r="A46" s="9" t="s">
        <v>53</v>
      </c>
      <c r="B46" s="23"/>
      <c r="C46" s="23"/>
      <c r="D46" s="23"/>
      <c r="E46" s="10" t="e">
        <f t="shared" si="42"/>
        <v>#DIV/0!</v>
      </c>
      <c r="F46" s="10">
        <v>0</v>
      </c>
      <c r="G46" s="11">
        <v>0</v>
      </c>
      <c r="H46" s="10">
        <f t="shared" si="43"/>
        <v>6526</v>
      </c>
      <c r="I46" s="10">
        <v>3263</v>
      </c>
      <c r="J46" s="11">
        <v>0.5</v>
      </c>
      <c r="K46" s="10" t="e">
        <f t="shared" si="44"/>
        <v>#DIV/0!</v>
      </c>
      <c r="L46" s="10">
        <v>0</v>
      </c>
      <c r="M46" s="11">
        <v>0</v>
      </c>
      <c r="N46" s="10" t="e">
        <f t="shared" si="45"/>
        <v>#DIV/0!</v>
      </c>
      <c r="O46" s="10">
        <v>0</v>
      </c>
      <c r="P46" s="11">
        <v>0</v>
      </c>
      <c r="Q46" s="10" t="e">
        <f t="shared" si="46"/>
        <v>#DIV/0!</v>
      </c>
      <c r="R46" s="10"/>
      <c r="S46" s="11"/>
      <c r="T46" s="10" t="e">
        <f t="shared" si="47"/>
        <v>#DIV/0!</v>
      </c>
      <c r="U46" s="10"/>
      <c r="V46" s="11"/>
      <c r="W46" s="10" t="e">
        <f t="shared" si="48"/>
        <v>#DIV/0!</v>
      </c>
      <c r="X46" s="10"/>
      <c r="Y46" s="11"/>
      <c r="Z46" s="10" t="e">
        <f t="shared" si="49"/>
        <v>#DIV/0!</v>
      </c>
      <c r="AA46" s="10"/>
      <c r="AB46" s="11"/>
      <c r="AC46" s="10" t="e">
        <f t="shared" si="50"/>
        <v>#DIV/0!</v>
      </c>
      <c r="AD46" s="10"/>
      <c r="AE46" s="11"/>
      <c r="AF46" s="10" t="e">
        <f t="shared" si="51"/>
        <v>#DIV/0!</v>
      </c>
      <c r="AG46" s="10"/>
      <c r="AH46" s="11"/>
      <c r="AI46" s="10" t="e">
        <f t="shared" si="52"/>
        <v>#DIV/0!</v>
      </c>
      <c r="AJ46" s="10"/>
      <c r="AK46" s="11"/>
      <c r="AL46" s="10" t="e">
        <f t="shared" si="53"/>
        <v>#DIV/0!</v>
      </c>
      <c r="AM46" s="10"/>
      <c r="AN46" s="11"/>
      <c r="AO46" s="10">
        <f t="shared" si="36"/>
        <v>6526</v>
      </c>
      <c r="AP46" s="10">
        <f t="shared" si="40"/>
        <v>3263</v>
      </c>
      <c r="AQ46" s="11">
        <f t="shared" si="41"/>
        <v>0.5</v>
      </c>
    </row>
    <row r="47" spans="1:67" x14ac:dyDescent="0.3">
      <c r="A47" s="9" t="s">
        <v>77</v>
      </c>
      <c r="B47" s="23"/>
      <c r="C47" s="23"/>
      <c r="D47" s="23"/>
      <c r="E47" s="10">
        <f t="shared" si="42"/>
        <v>2572.3809523809523</v>
      </c>
      <c r="F47" s="10">
        <v>5402</v>
      </c>
      <c r="G47" s="11">
        <v>2.1</v>
      </c>
      <c r="H47" s="10" t="e">
        <f t="shared" si="43"/>
        <v>#DIV/0!</v>
      </c>
      <c r="I47" s="10">
        <v>0</v>
      </c>
      <c r="J47" s="11">
        <v>0</v>
      </c>
      <c r="K47" s="10" t="e">
        <f t="shared" si="44"/>
        <v>#DIV/0!</v>
      </c>
      <c r="L47" s="10">
        <v>0</v>
      </c>
      <c r="M47" s="11">
        <v>0</v>
      </c>
      <c r="N47" s="10" t="e">
        <f t="shared" si="45"/>
        <v>#DIV/0!</v>
      </c>
      <c r="O47" s="10">
        <v>0</v>
      </c>
      <c r="P47" s="11">
        <v>0</v>
      </c>
      <c r="Q47" s="10" t="e">
        <f t="shared" si="46"/>
        <v>#DIV/0!</v>
      </c>
      <c r="R47" s="10"/>
      <c r="S47" s="11"/>
      <c r="T47" s="10" t="e">
        <f t="shared" si="47"/>
        <v>#DIV/0!</v>
      </c>
      <c r="U47" s="10"/>
      <c r="V47" s="11"/>
      <c r="W47" s="10" t="e">
        <f t="shared" si="48"/>
        <v>#DIV/0!</v>
      </c>
      <c r="X47" s="10"/>
      <c r="Y47" s="11"/>
      <c r="Z47" s="10" t="e">
        <f t="shared" si="49"/>
        <v>#DIV/0!</v>
      </c>
      <c r="AA47" s="10"/>
      <c r="AB47" s="11"/>
      <c r="AC47" s="10" t="e">
        <f t="shared" si="50"/>
        <v>#DIV/0!</v>
      </c>
      <c r="AD47" s="10"/>
      <c r="AE47" s="11"/>
      <c r="AF47" s="10" t="e">
        <f t="shared" si="51"/>
        <v>#DIV/0!</v>
      </c>
      <c r="AG47" s="10"/>
      <c r="AH47" s="11"/>
      <c r="AI47" s="10" t="e">
        <f t="shared" si="52"/>
        <v>#DIV/0!</v>
      </c>
      <c r="AJ47" s="10"/>
      <c r="AK47" s="11"/>
      <c r="AL47" s="10" t="e">
        <f t="shared" si="53"/>
        <v>#DIV/0!</v>
      </c>
      <c r="AM47" s="10"/>
      <c r="AN47" s="11"/>
      <c r="AO47" s="10">
        <f t="shared" si="36"/>
        <v>2572.3809523809523</v>
      </c>
      <c r="AP47" s="10">
        <f t="shared" si="40"/>
        <v>5402</v>
      </c>
      <c r="AQ47" s="11">
        <f t="shared" si="41"/>
        <v>2.1</v>
      </c>
    </row>
    <row r="48" spans="1:67" x14ac:dyDescent="0.3">
      <c r="A48" s="20" t="s">
        <v>35</v>
      </c>
      <c r="B48" s="24"/>
      <c r="C48" s="23"/>
      <c r="D48" s="23"/>
      <c r="E48" s="17" t="e">
        <f t="shared" si="42"/>
        <v>#DIV/0!</v>
      </c>
      <c r="F48" s="15">
        <v>0</v>
      </c>
      <c r="G48" s="16">
        <v>0</v>
      </c>
      <c r="H48" s="15">
        <f t="shared" si="43"/>
        <v>1548.9906976744187</v>
      </c>
      <c r="I48" s="15">
        <v>333033</v>
      </c>
      <c r="J48" s="16">
        <v>215</v>
      </c>
      <c r="K48" s="15" t="e">
        <f t="shared" si="44"/>
        <v>#DIV/0!</v>
      </c>
      <c r="L48" s="15">
        <v>0</v>
      </c>
      <c r="M48" s="16">
        <v>0</v>
      </c>
      <c r="N48" s="15" t="e">
        <f t="shared" si="45"/>
        <v>#DIV/0!</v>
      </c>
      <c r="O48" s="15">
        <v>0</v>
      </c>
      <c r="P48" s="16">
        <v>0</v>
      </c>
      <c r="Q48" s="15" t="e">
        <f t="shared" si="46"/>
        <v>#DIV/0!</v>
      </c>
      <c r="R48" s="15"/>
      <c r="S48" s="16"/>
      <c r="T48" s="15" t="e">
        <f t="shared" si="47"/>
        <v>#DIV/0!</v>
      </c>
      <c r="U48" s="15"/>
      <c r="V48" s="16"/>
      <c r="W48" s="15" t="e">
        <f t="shared" si="48"/>
        <v>#DIV/0!</v>
      </c>
      <c r="X48" s="15"/>
      <c r="Y48" s="16"/>
      <c r="Z48" s="15" t="e">
        <f t="shared" si="49"/>
        <v>#DIV/0!</v>
      </c>
      <c r="AA48" s="15"/>
      <c r="AB48" s="16"/>
      <c r="AC48" s="15" t="e">
        <f t="shared" si="50"/>
        <v>#DIV/0!</v>
      </c>
      <c r="AD48" s="15"/>
      <c r="AE48" s="16"/>
      <c r="AF48" s="15" t="e">
        <f t="shared" si="51"/>
        <v>#DIV/0!</v>
      </c>
      <c r="AG48" s="15"/>
      <c r="AH48" s="16"/>
      <c r="AI48" s="15" t="e">
        <f t="shared" si="52"/>
        <v>#DIV/0!</v>
      </c>
      <c r="AJ48" s="15"/>
      <c r="AK48" s="16"/>
      <c r="AL48" s="15" t="e">
        <f t="shared" si="53"/>
        <v>#DIV/0!</v>
      </c>
      <c r="AM48" s="15"/>
      <c r="AN48" s="16"/>
      <c r="AO48" s="15">
        <f t="shared" si="36"/>
        <v>1548.9906976744187</v>
      </c>
      <c r="AP48" s="15">
        <f t="shared" si="40"/>
        <v>333033</v>
      </c>
      <c r="AQ48" s="16">
        <f t="shared" si="41"/>
        <v>215</v>
      </c>
    </row>
    <row r="49" spans="1:43" x14ac:dyDescent="0.3">
      <c r="A49" s="9" t="s">
        <v>16</v>
      </c>
      <c r="B49" s="22" t="s">
        <v>75</v>
      </c>
      <c r="C49" s="23"/>
      <c r="D49" s="23"/>
      <c r="E49" s="10">
        <f t="shared" si="42"/>
        <v>1196.0890609874152</v>
      </c>
      <c r="F49" s="10">
        <f>SUM(F50:F62)</f>
        <v>123556</v>
      </c>
      <c r="G49" s="11">
        <f t="shared" ref="G49" si="54">SUM(G50:G62)</f>
        <v>103.3</v>
      </c>
      <c r="H49" s="10">
        <f t="shared" si="43"/>
        <v>885.64463705308776</v>
      </c>
      <c r="I49" s="10">
        <f>SUM(I50:I62)</f>
        <v>163490</v>
      </c>
      <c r="J49" s="11">
        <f t="shared" ref="J49" si="55">SUM(J50:J62)</f>
        <v>184.6</v>
      </c>
      <c r="K49" s="10">
        <f t="shared" si="44"/>
        <v>776.76384839650143</v>
      </c>
      <c r="L49" s="10">
        <f>SUM(L50:L62)</f>
        <v>186501</v>
      </c>
      <c r="M49" s="11">
        <f t="shared" ref="M49" si="56">SUM(M50:M62)</f>
        <v>240.1</v>
      </c>
      <c r="N49" s="10">
        <f t="shared" si="45"/>
        <v>743.29503210544112</v>
      </c>
      <c r="O49" s="10">
        <f>SUM(O50:O62)</f>
        <v>439882</v>
      </c>
      <c r="P49" s="11">
        <f t="shared" ref="P49" si="57">SUM(P50:P62)</f>
        <v>591.79999999999995</v>
      </c>
      <c r="Q49" s="10" t="e">
        <f t="shared" si="46"/>
        <v>#DIV/0!</v>
      </c>
      <c r="R49" s="10">
        <f>SUM(R50:R62)</f>
        <v>0</v>
      </c>
      <c r="S49" s="11">
        <f t="shared" ref="S49" si="58">SUM(S50:S62)</f>
        <v>0</v>
      </c>
      <c r="T49" s="10" t="e">
        <f t="shared" si="47"/>
        <v>#DIV/0!</v>
      </c>
      <c r="U49" s="10">
        <f>SUM(U50:U62)</f>
        <v>0</v>
      </c>
      <c r="V49" s="11">
        <f t="shared" ref="V49" si="59">SUM(V50:V62)</f>
        <v>0</v>
      </c>
      <c r="W49" s="10" t="e">
        <f t="shared" si="48"/>
        <v>#DIV/0!</v>
      </c>
      <c r="X49" s="10">
        <f>SUM(X50:X62)</f>
        <v>0</v>
      </c>
      <c r="Y49" s="11">
        <f t="shared" ref="Y49" si="60">SUM(Y50:Y62)</f>
        <v>0</v>
      </c>
      <c r="Z49" s="10" t="e">
        <f t="shared" si="49"/>
        <v>#DIV/0!</v>
      </c>
      <c r="AA49" s="10">
        <f>SUM(AA50:AA62)</f>
        <v>0</v>
      </c>
      <c r="AB49" s="11">
        <f t="shared" ref="AB49" si="61">SUM(AB50:AB62)</f>
        <v>0</v>
      </c>
      <c r="AC49" s="10" t="e">
        <f t="shared" si="50"/>
        <v>#DIV/0!</v>
      </c>
      <c r="AD49" s="10">
        <f>SUM(AD50:AD62)</f>
        <v>0</v>
      </c>
      <c r="AE49" s="11">
        <f t="shared" ref="AE49" si="62">SUM(AE50:AE62)</f>
        <v>0</v>
      </c>
      <c r="AF49" s="10" t="e">
        <f t="shared" si="51"/>
        <v>#DIV/0!</v>
      </c>
      <c r="AG49" s="10">
        <f>SUM(AG50:AG62)</f>
        <v>0</v>
      </c>
      <c r="AH49" s="11">
        <f t="shared" ref="AH49" si="63">SUM(AH50:AH62)</f>
        <v>0</v>
      </c>
      <c r="AI49" s="10" t="e">
        <f t="shared" si="52"/>
        <v>#DIV/0!</v>
      </c>
      <c r="AJ49" s="10">
        <f>SUM(AJ50:AJ62)</f>
        <v>0</v>
      </c>
      <c r="AK49" s="11">
        <f t="shared" ref="AK49" si="64">SUM(AK50:AK62)</f>
        <v>0</v>
      </c>
      <c r="AL49" s="10" t="e">
        <f t="shared" si="53"/>
        <v>#DIV/0!</v>
      </c>
      <c r="AM49" s="10">
        <f>SUM(AM50:AM62)</f>
        <v>0</v>
      </c>
      <c r="AN49" s="11">
        <f t="shared" ref="AN49" si="65">SUM(AN50:AN62)</f>
        <v>0</v>
      </c>
      <c r="AO49" s="10">
        <f t="shared" si="36"/>
        <v>815.70726915520629</v>
      </c>
      <c r="AP49" s="10">
        <f t="shared" si="40"/>
        <v>913429</v>
      </c>
      <c r="AQ49" s="11">
        <f t="shared" si="41"/>
        <v>1119.8</v>
      </c>
    </row>
    <row r="50" spans="1:43" x14ac:dyDescent="0.3">
      <c r="A50" s="9" t="s">
        <v>27</v>
      </c>
      <c r="B50" s="23"/>
      <c r="C50" s="23"/>
      <c r="D50" s="23"/>
      <c r="E50" s="10" t="e">
        <f t="shared" si="42"/>
        <v>#DIV/0!</v>
      </c>
      <c r="F50" s="10">
        <v>0</v>
      </c>
      <c r="G50" s="11">
        <v>0</v>
      </c>
      <c r="H50" s="10">
        <f t="shared" si="43"/>
        <v>766.6034155597722</v>
      </c>
      <c r="I50" s="10">
        <v>40400</v>
      </c>
      <c r="J50" s="11">
        <v>52.7</v>
      </c>
      <c r="K50" s="10">
        <f t="shared" si="44"/>
        <v>718.42843779232919</v>
      </c>
      <c r="L50" s="10">
        <v>76800</v>
      </c>
      <c r="M50" s="11">
        <v>106.9</v>
      </c>
      <c r="N50" s="10">
        <f t="shared" si="45"/>
        <v>729.18304936653556</v>
      </c>
      <c r="O50" s="10">
        <v>166910</v>
      </c>
      <c r="P50" s="11">
        <v>228.9</v>
      </c>
      <c r="Q50" s="10" t="e">
        <f t="shared" si="46"/>
        <v>#DIV/0!</v>
      </c>
      <c r="R50" s="10"/>
      <c r="S50" s="11"/>
      <c r="T50" s="10" t="e">
        <f t="shared" si="47"/>
        <v>#DIV/0!</v>
      </c>
      <c r="U50" s="10"/>
      <c r="V50" s="11"/>
      <c r="W50" s="10" t="e">
        <f t="shared" si="48"/>
        <v>#DIV/0!</v>
      </c>
      <c r="X50" s="10"/>
      <c r="Y50" s="11"/>
      <c r="Z50" s="10" t="e">
        <f t="shared" si="49"/>
        <v>#DIV/0!</v>
      </c>
      <c r="AA50" s="10"/>
      <c r="AB50" s="11"/>
      <c r="AC50" s="10" t="e">
        <f t="shared" si="50"/>
        <v>#DIV/0!</v>
      </c>
      <c r="AD50" s="10"/>
      <c r="AE50" s="11"/>
      <c r="AF50" s="10" t="e">
        <f t="shared" si="51"/>
        <v>#DIV/0!</v>
      </c>
      <c r="AG50" s="10"/>
      <c r="AH50" s="11"/>
      <c r="AI50" s="10" t="e">
        <f t="shared" si="52"/>
        <v>#DIV/0!</v>
      </c>
      <c r="AJ50" s="10"/>
      <c r="AK50" s="11"/>
      <c r="AL50" s="10" t="e">
        <f t="shared" si="53"/>
        <v>#DIV/0!</v>
      </c>
      <c r="AM50" s="10"/>
      <c r="AN50" s="11"/>
      <c r="AO50" s="10">
        <f t="shared" si="36"/>
        <v>731.29987129987126</v>
      </c>
      <c r="AP50" s="10">
        <f t="shared" si="40"/>
        <v>284110</v>
      </c>
      <c r="AQ50" s="11">
        <f t="shared" si="41"/>
        <v>388.5</v>
      </c>
    </row>
    <row r="51" spans="1:43" x14ac:dyDescent="0.3">
      <c r="A51" s="9" t="s">
        <v>34</v>
      </c>
      <c r="B51" s="23"/>
      <c r="C51" s="23"/>
      <c r="D51" s="23"/>
      <c r="E51" s="10">
        <f t="shared" si="42"/>
        <v>2420.2325581395348</v>
      </c>
      <c r="F51" s="10">
        <v>20814</v>
      </c>
      <c r="G51" s="11">
        <v>8.6</v>
      </c>
      <c r="H51" s="10">
        <f t="shared" si="43"/>
        <v>1214.1150442477876</v>
      </c>
      <c r="I51" s="10">
        <v>27439</v>
      </c>
      <c r="J51" s="11">
        <v>22.6</v>
      </c>
      <c r="K51" s="10">
        <f t="shared" si="44"/>
        <v>801.1733800350263</v>
      </c>
      <c r="L51" s="10">
        <v>45747</v>
      </c>
      <c r="M51" s="11">
        <v>57.1</v>
      </c>
      <c r="N51" s="10">
        <f t="shared" si="45"/>
        <v>745.42314335060451</v>
      </c>
      <c r="O51" s="10">
        <v>129480</v>
      </c>
      <c r="P51" s="11">
        <v>173.7</v>
      </c>
      <c r="Q51" s="10" t="e">
        <f t="shared" si="46"/>
        <v>#DIV/0!</v>
      </c>
      <c r="R51" s="10"/>
      <c r="S51" s="11"/>
      <c r="T51" s="10" t="e">
        <f t="shared" si="47"/>
        <v>#DIV/0!</v>
      </c>
      <c r="U51" s="10"/>
      <c r="V51" s="11"/>
      <c r="W51" s="10" t="e">
        <f t="shared" si="48"/>
        <v>#DIV/0!</v>
      </c>
      <c r="X51" s="10"/>
      <c r="Y51" s="11"/>
      <c r="Z51" s="10" t="e">
        <f t="shared" si="49"/>
        <v>#DIV/0!</v>
      </c>
      <c r="AA51" s="10"/>
      <c r="AB51" s="11"/>
      <c r="AC51" s="10" t="e">
        <f t="shared" si="50"/>
        <v>#DIV/0!</v>
      </c>
      <c r="AD51" s="10"/>
      <c r="AE51" s="11"/>
      <c r="AF51" s="10" t="e">
        <f t="shared" si="51"/>
        <v>#DIV/0!</v>
      </c>
      <c r="AG51" s="10"/>
      <c r="AH51" s="11"/>
      <c r="AI51" s="10" t="e">
        <f t="shared" si="52"/>
        <v>#DIV/0!</v>
      </c>
      <c r="AJ51" s="10"/>
      <c r="AK51" s="11"/>
      <c r="AL51" s="10" t="e">
        <f t="shared" si="53"/>
        <v>#DIV/0!</v>
      </c>
      <c r="AM51" s="10"/>
      <c r="AN51" s="11"/>
      <c r="AO51" s="10">
        <f t="shared" si="36"/>
        <v>852.97709923664127</v>
      </c>
      <c r="AP51" s="10">
        <f t="shared" si="40"/>
        <v>223480</v>
      </c>
      <c r="AQ51" s="11">
        <f t="shared" si="41"/>
        <v>262</v>
      </c>
    </row>
    <row r="52" spans="1:43" x14ac:dyDescent="0.3">
      <c r="A52" s="9" t="s">
        <v>33</v>
      </c>
      <c r="B52" s="23"/>
      <c r="C52" s="23"/>
      <c r="D52" s="23"/>
      <c r="E52" s="10" t="e">
        <f t="shared" si="42"/>
        <v>#DIV/0!</v>
      </c>
      <c r="F52" s="10">
        <v>0</v>
      </c>
      <c r="G52" s="11">
        <v>0</v>
      </c>
      <c r="H52" s="10" t="e">
        <f t="shared" si="43"/>
        <v>#DIV/0!</v>
      </c>
      <c r="I52" s="10">
        <v>0</v>
      </c>
      <c r="J52" s="11">
        <v>0</v>
      </c>
      <c r="K52" s="10" t="e">
        <f t="shared" si="44"/>
        <v>#DIV/0!</v>
      </c>
      <c r="L52" s="10">
        <v>0</v>
      </c>
      <c r="M52" s="11">
        <v>0</v>
      </c>
      <c r="N52" s="10">
        <f t="shared" si="45"/>
        <v>717.89678675754624</v>
      </c>
      <c r="O52" s="10">
        <v>73728</v>
      </c>
      <c r="P52" s="11">
        <v>102.7</v>
      </c>
      <c r="Q52" s="10" t="e">
        <f t="shared" si="46"/>
        <v>#DIV/0!</v>
      </c>
      <c r="R52" s="10"/>
      <c r="S52" s="11"/>
      <c r="T52" s="10" t="e">
        <f t="shared" si="47"/>
        <v>#DIV/0!</v>
      </c>
      <c r="U52" s="10"/>
      <c r="V52" s="11"/>
      <c r="W52" s="10" t="e">
        <f t="shared" si="48"/>
        <v>#DIV/0!</v>
      </c>
      <c r="X52" s="10"/>
      <c r="Y52" s="11"/>
      <c r="Z52" s="10" t="e">
        <f t="shared" si="49"/>
        <v>#DIV/0!</v>
      </c>
      <c r="AA52" s="10"/>
      <c r="AB52" s="11"/>
      <c r="AC52" s="10" t="e">
        <f t="shared" si="50"/>
        <v>#DIV/0!</v>
      </c>
      <c r="AD52" s="10"/>
      <c r="AE52" s="11"/>
      <c r="AF52" s="10" t="e">
        <f t="shared" si="51"/>
        <v>#DIV/0!</v>
      </c>
      <c r="AG52" s="10"/>
      <c r="AH52" s="11"/>
      <c r="AI52" s="10" t="e">
        <f t="shared" si="52"/>
        <v>#DIV/0!</v>
      </c>
      <c r="AJ52" s="10"/>
      <c r="AK52" s="11"/>
      <c r="AL52" s="10" t="e">
        <f t="shared" si="53"/>
        <v>#DIV/0!</v>
      </c>
      <c r="AM52" s="10"/>
      <c r="AN52" s="11"/>
      <c r="AO52" s="10">
        <f t="shared" si="36"/>
        <v>717.89678675754624</v>
      </c>
      <c r="AP52" s="10">
        <f t="shared" si="40"/>
        <v>73728</v>
      </c>
      <c r="AQ52" s="11">
        <f t="shared" si="41"/>
        <v>102.7</v>
      </c>
    </row>
    <row r="53" spans="1:43" x14ac:dyDescent="0.3">
      <c r="A53" s="9" t="s">
        <v>49</v>
      </c>
      <c r="B53" s="23"/>
      <c r="C53" s="23"/>
      <c r="D53" s="23"/>
      <c r="E53" s="10" t="e">
        <f t="shared" si="42"/>
        <v>#DIV/0!</v>
      </c>
      <c r="F53" s="10">
        <v>0</v>
      </c>
      <c r="G53" s="11">
        <v>0</v>
      </c>
      <c r="H53" s="10" t="e">
        <f t="shared" si="43"/>
        <v>#DIV/0!</v>
      </c>
      <c r="I53" s="10">
        <v>0</v>
      </c>
      <c r="J53" s="11">
        <v>0</v>
      </c>
      <c r="K53" s="10" t="e">
        <f t="shared" si="44"/>
        <v>#DIV/0!</v>
      </c>
      <c r="L53" s="10">
        <v>0</v>
      </c>
      <c r="M53" s="11">
        <v>0</v>
      </c>
      <c r="N53" s="10">
        <f t="shared" si="45"/>
        <v>718.04455445544556</v>
      </c>
      <c r="O53" s="10">
        <v>58018</v>
      </c>
      <c r="P53" s="11">
        <v>80.8</v>
      </c>
      <c r="Q53" s="10" t="e">
        <f t="shared" si="46"/>
        <v>#DIV/0!</v>
      </c>
      <c r="R53" s="10"/>
      <c r="S53" s="11"/>
      <c r="T53" s="10" t="e">
        <f t="shared" si="47"/>
        <v>#DIV/0!</v>
      </c>
      <c r="U53" s="10"/>
      <c r="V53" s="11"/>
      <c r="W53" s="10" t="e">
        <f t="shared" si="48"/>
        <v>#DIV/0!</v>
      </c>
      <c r="X53" s="10"/>
      <c r="Y53" s="11"/>
      <c r="Z53" s="10" t="e">
        <f t="shared" si="49"/>
        <v>#DIV/0!</v>
      </c>
      <c r="AA53" s="10"/>
      <c r="AB53" s="11"/>
      <c r="AC53" s="10" t="e">
        <f t="shared" si="50"/>
        <v>#DIV/0!</v>
      </c>
      <c r="AD53" s="10"/>
      <c r="AE53" s="11"/>
      <c r="AF53" s="10" t="e">
        <f t="shared" si="51"/>
        <v>#DIV/0!</v>
      </c>
      <c r="AG53" s="10"/>
      <c r="AH53" s="11"/>
      <c r="AI53" s="10" t="e">
        <f t="shared" si="52"/>
        <v>#DIV/0!</v>
      </c>
      <c r="AJ53" s="10"/>
      <c r="AK53" s="11"/>
      <c r="AL53" s="10" t="e">
        <f t="shared" si="53"/>
        <v>#DIV/0!</v>
      </c>
      <c r="AM53" s="10"/>
      <c r="AN53" s="11"/>
      <c r="AO53" s="10">
        <f t="shared" si="36"/>
        <v>718.04455445544556</v>
      </c>
      <c r="AP53" s="10">
        <f t="shared" si="40"/>
        <v>58018</v>
      </c>
      <c r="AQ53" s="11">
        <f t="shared" si="41"/>
        <v>80.8</v>
      </c>
    </row>
    <row r="54" spans="1:43" x14ac:dyDescent="0.3">
      <c r="A54" s="9" t="s">
        <v>24</v>
      </c>
      <c r="B54" s="23"/>
      <c r="C54" s="23"/>
      <c r="D54" s="23"/>
      <c r="E54" s="10">
        <f t="shared" si="42"/>
        <v>2436.9230769230767</v>
      </c>
      <c r="F54" s="10">
        <v>3168</v>
      </c>
      <c r="G54" s="11">
        <v>1.3</v>
      </c>
      <c r="H54" s="10">
        <f t="shared" si="43"/>
        <v>2045.7894736842104</v>
      </c>
      <c r="I54" s="10">
        <v>11661</v>
      </c>
      <c r="J54" s="11">
        <v>5.7</v>
      </c>
      <c r="K54" s="10">
        <f t="shared" si="44"/>
        <v>718.21582733812954</v>
      </c>
      <c r="L54" s="10">
        <v>49916</v>
      </c>
      <c r="M54" s="11">
        <v>69.5</v>
      </c>
      <c r="N54" s="10">
        <f t="shared" si="45"/>
        <v>1894.7368421052633</v>
      </c>
      <c r="O54" s="10">
        <v>7200</v>
      </c>
      <c r="P54" s="11">
        <v>3.8</v>
      </c>
      <c r="Q54" s="10" t="e">
        <f t="shared" si="46"/>
        <v>#DIV/0!</v>
      </c>
      <c r="R54" s="10"/>
      <c r="S54" s="11"/>
      <c r="T54" s="10" t="e">
        <f t="shared" si="47"/>
        <v>#DIV/0!</v>
      </c>
      <c r="U54" s="10"/>
      <c r="V54" s="11"/>
      <c r="W54" s="10" t="e">
        <f t="shared" si="48"/>
        <v>#DIV/0!</v>
      </c>
      <c r="X54" s="10"/>
      <c r="Y54" s="11"/>
      <c r="Z54" s="10" t="e">
        <f t="shared" si="49"/>
        <v>#DIV/0!</v>
      </c>
      <c r="AA54" s="10"/>
      <c r="AB54" s="11"/>
      <c r="AC54" s="10" t="e">
        <f t="shared" si="50"/>
        <v>#DIV/0!</v>
      </c>
      <c r="AD54" s="10"/>
      <c r="AE54" s="11"/>
      <c r="AF54" s="10" t="e">
        <f t="shared" si="51"/>
        <v>#DIV/0!</v>
      </c>
      <c r="AG54" s="10"/>
      <c r="AH54" s="11"/>
      <c r="AI54" s="10" t="e">
        <f t="shared" si="52"/>
        <v>#DIV/0!</v>
      </c>
      <c r="AJ54" s="10"/>
      <c r="AK54" s="11"/>
      <c r="AL54" s="10" t="e">
        <f t="shared" si="53"/>
        <v>#DIV/0!</v>
      </c>
      <c r="AM54" s="10"/>
      <c r="AN54" s="11"/>
      <c r="AO54" s="10">
        <f t="shared" si="36"/>
        <v>895.95267745952685</v>
      </c>
      <c r="AP54" s="10">
        <f t="shared" si="40"/>
        <v>71945</v>
      </c>
      <c r="AQ54" s="11">
        <f t="shared" si="41"/>
        <v>80.3</v>
      </c>
    </row>
    <row r="55" spans="1:43" x14ac:dyDescent="0.3">
      <c r="A55" s="9" t="s">
        <v>36</v>
      </c>
      <c r="B55" s="23"/>
      <c r="C55" s="23"/>
      <c r="D55" s="23"/>
      <c r="E55" s="18" t="e">
        <f t="shared" si="42"/>
        <v>#DIV/0!</v>
      </c>
      <c r="F55" s="13">
        <v>0</v>
      </c>
      <c r="G55" s="11">
        <v>0</v>
      </c>
      <c r="H55" s="13">
        <f t="shared" si="43"/>
        <v>996.41921397379917</v>
      </c>
      <c r="I55" s="13">
        <v>22818</v>
      </c>
      <c r="J55" s="11">
        <v>22.9</v>
      </c>
      <c r="K55" s="18" t="e">
        <f t="shared" si="44"/>
        <v>#DIV/0!</v>
      </c>
      <c r="L55" s="13">
        <v>0</v>
      </c>
      <c r="M55" s="11">
        <v>0</v>
      </c>
      <c r="N55" s="18">
        <f t="shared" si="45"/>
        <v>2392.6315789473683</v>
      </c>
      <c r="O55" s="13">
        <v>4546</v>
      </c>
      <c r="P55" s="11">
        <v>1.9</v>
      </c>
      <c r="Q55" s="18" t="e">
        <f t="shared" si="46"/>
        <v>#DIV/0!</v>
      </c>
      <c r="R55" s="13"/>
      <c r="S55" s="11"/>
      <c r="T55" s="18" t="e">
        <f t="shared" si="47"/>
        <v>#DIV/0!</v>
      </c>
      <c r="U55" s="13"/>
      <c r="V55" s="11"/>
      <c r="W55" s="18" t="e">
        <f t="shared" si="48"/>
        <v>#DIV/0!</v>
      </c>
      <c r="X55" s="13"/>
      <c r="Y55" s="11"/>
      <c r="Z55" s="18" t="e">
        <f t="shared" si="49"/>
        <v>#DIV/0!</v>
      </c>
      <c r="AA55" s="13"/>
      <c r="AB55" s="11"/>
      <c r="AC55" s="18" t="e">
        <f t="shared" si="50"/>
        <v>#DIV/0!</v>
      </c>
      <c r="AD55" s="13"/>
      <c r="AE55" s="11"/>
      <c r="AF55" s="18" t="e">
        <f t="shared" si="51"/>
        <v>#DIV/0!</v>
      </c>
      <c r="AG55" s="13"/>
      <c r="AH55" s="11"/>
      <c r="AI55" s="13" t="e">
        <f t="shared" si="52"/>
        <v>#DIV/0!</v>
      </c>
      <c r="AJ55" s="13"/>
      <c r="AK55" s="11"/>
      <c r="AL55" s="18" t="e">
        <f t="shared" si="53"/>
        <v>#DIV/0!</v>
      </c>
      <c r="AM55" s="13"/>
      <c r="AN55" s="11"/>
      <c r="AO55" s="18">
        <f t="shared" si="36"/>
        <v>1103.3870967741937</v>
      </c>
      <c r="AP55" s="13">
        <f t="shared" si="40"/>
        <v>27364</v>
      </c>
      <c r="AQ55" s="11">
        <f t="shared" si="41"/>
        <v>24.799999999999997</v>
      </c>
    </row>
    <row r="56" spans="1:43" x14ac:dyDescent="0.3">
      <c r="A56" s="9" t="s">
        <v>20</v>
      </c>
      <c r="B56" s="23"/>
      <c r="C56" s="23"/>
      <c r="D56" s="23"/>
      <c r="E56" s="18" t="e">
        <f t="shared" si="42"/>
        <v>#DIV/0!</v>
      </c>
      <c r="F56" s="13">
        <v>0</v>
      </c>
      <c r="G56" s="11">
        <v>0</v>
      </c>
      <c r="H56" s="18">
        <f t="shared" si="43"/>
        <v>718.49557522123894</v>
      </c>
      <c r="I56" s="10">
        <v>40595</v>
      </c>
      <c r="J56" s="11">
        <v>56.5</v>
      </c>
      <c r="K56" s="10" t="e">
        <f t="shared" si="44"/>
        <v>#DIV/0!</v>
      </c>
      <c r="L56" s="10">
        <v>0</v>
      </c>
      <c r="M56" s="11">
        <v>0</v>
      </c>
      <c r="N56" s="10" t="e">
        <f t="shared" si="45"/>
        <v>#DIV/0!</v>
      </c>
      <c r="O56" s="10">
        <v>0</v>
      </c>
      <c r="P56" s="11">
        <v>0</v>
      </c>
      <c r="Q56" s="10" t="e">
        <f t="shared" si="46"/>
        <v>#DIV/0!</v>
      </c>
      <c r="R56" s="10"/>
      <c r="S56" s="11"/>
      <c r="T56" s="10" t="e">
        <f t="shared" si="47"/>
        <v>#DIV/0!</v>
      </c>
      <c r="U56" s="10"/>
      <c r="V56" s="11"/>
      <c r="W56" s="10" t="e">
        <f t="shared" si="48"/>
        <v>#DIV/0!</v>
      </c>
      <c r="X56" s="10"/>
      <c r="Y56" s="11"/>
      <c r="Z56" s="10" t="e">
        <f t="shared" si="49"/>
        <v>#DIV/0!</v>
      </c>
      <c r="AA56" s="10"/>
      <c r="AB56" s="11"/>
      <c r="AC56" s="10" t="e">
        <f t="shared" si="50"/>
        <v>#DIV/0!</v>
      </c>
      <c r="AD56" s="10"/>
      <c r="AE56" s="11"/>
      <c r="AF56" s="10" t="e">
        <f t="shared" si="51"/>
        <v>#DIV/0!</v>
      </c>
      <c r="AG56" s="10"/>
      <c r="AH56" s="11"/>
      <c r="AI56" s="18" t="e">
        <f t="shared" si="52"/>
        <v>#DIV/0!</v>
      </c>
      <c r="AJ56" s="10"/>
      <c r="AK56" s="11"/>
      <c r="AL56" s="10" t="e">
        <f t="shared" si="53"/>
        <v>#DIV/0!</v>
      </c>
      <c r="AM56" s="10"/>
      <c r="AN56" s="11"/>
      <c r="AO56" s="10">
        <f t="shared" si="36"/>
        <v>718.49557522123894</v>
      </c>
      <c r="AP56" s="13">
        <f t="shared" si="40"/>
        <v>40595</v>
      </c>
      <c r="AQ56" s="11">
        <f t="shared" si="41"/>
        <v>56.5</v>
      </c>
    </row>
    <row r="57" spans="1:43" x14ac:dyDescent="0.3">
      <c r="A57" s="9" t="s">
        <v>29</v>
      </c>
      <c r="B57" s="23"/>
      <c r="C57" s="23"/>
      <c r="D57" s="23"/>
      <c r="E57" s="10">
        <f t="shared" si="42"/>
        <v>4591.25</v>
      </c>
      <c r="F57" s="10">
        <v>3673</v>
      </c>
      <c r="G57" s="11">
        <v>0.8</v>
      </c>
      <c r="H57" s="10" t="e">
        <f t="shared" si="43"/>
        <v>#DIV/0!</v>
      </c>
      <c r="I57" s="10">
        <v>0</v>
      </c>
      <c r="J57" s="11">
        <v>0</v>
      </c>
      <c r="K57" s="10" t="e">
        <f t="shared" si="44"/>
        <v>#DIV/0!</v>
      </c>
      <c r="L57" s="10">
        <v>0</v>
      </c>
      <c r="M57" s="11">
        <v>0</v>
      </c>
      <c r="N57" s="10" t="e">
        <f t="shared" si="45"/>
        <v>#DIV/0!</v>
      </c>
      <c r="O57" s="10">
        <v>0</v>
      </c>
      <c r="P57" s="11">
        <v>0</v>
      </c>
      <c r="Q57" s="10" t="e">
        <f t="shared" si="46"/>
        <v>#DIV/0!</v>
      </c>
      <c r="R57" s="10"/>
      <c r="S57" s="11"/>
      <c r="T57" s="10" t="e">
        <f t="shared" si="47"/>
        <v>#DIV/0!</v>
      </c>
      <c r="U57" s="10"/>
      <c r="V57" s="11"/>
      <c r="W57" s="10" t="e">
        <f t="shared" si="48"/>
        <v>#DIV/0!</v>
      </c>
      <c r="X57" s="10"/>
      <c r="Y57" s="11"/>
      <c r="Z57" s="10" t="e">
        <f t="shared" si="49"/>
        <v>#DIV/0!</v>
      </c>
      <c r="AA57" s="10"/>
      <c r="AB57" s="11"/>
      <c r="AC57" s="10" t="e">
        <f t="shared" si="50"/>
        <v>#DIV/0!</v>
      </c>
      <c r="AD57" s="10"/>
      <c r="AE57" s="11"/>
      <c r="AF57" s="10" t="e">
        <f t="shared" si="51"/>
        <v>#DIV/0!</v>
      </c>
      <c r="AG57" s="10"/>
      <c r="AH57" s="11"/>
      <c r="AI57" s="10" t="e">
        <f t="shared" si="52"/>
        <v>#DIV/0!</v>
      </c>
      <c r="AJ57" s="10"/>
      <c r="AK57" s="11"/>
      <c r="AL57" s="10" t="e">
        <f t="shared" si="53"/>
        <v>#DIV/0!</v>
      </c>
      <c r="AM57" s="10"/>
      <c r="AN57" s="11"/>
      <c r="AO57" s="10">
        <f t="shared" si="36"/>
        <v>4591.25</v>
      </c>
      <c r="AP57" s="10">
        <f t="shared" si="40"/>
        <v>3673</v>
      </c>
      <c r="AQ57" s="11">
        <f t="shared" si="41"/>
        <v>0.8</v>
      </c>
    </row>
    <row r="58" spans="1:43" x14ac:dyDescent="0.3">
      <c r="A58" s="9" t="s">
        <v>30</v>
      </c>
      <c r="B58" s="23"/>
      <c r="C58" s="23"/>
      <c r="D58" s="23"/>
      <c r="E58" s="18">
        <f t="shared" si="42"/>
        <v>2438.6842105263158</v>
      </c>
      <c r="F58" s="13">
        <v>9267</v>
      </c>
      <c r="G58" s="11">
        <v>3.8</v>
      </c>
      <c r="H58" s="18">
        <f t="shared" si="43"/>
        <v>850.28925619834718</v>
      </c>
      <c r="I58" s="13">
        <v>20577</v>
      </c>
      <c r="J58" s="11">
        <v>24.2</v>
      </c>
      <c r="K58" s="13" t="e">
        <f t="shared" si="44"/>
        <v>#DIV/0!</v>
      </c>
      <c r="L58" s="13">
        <v>0</v>
      </c>
      <c r="M58" s="11">
        <v>0</v>
      </c>
      <c r="N58" s="18" t="e">
        <f t="shared" si="45"/>
        <v>#DIV/0!</v>
      </c>
      <c r="O58" s="13">
        <v>0</v>
      </c>
      <c r="P58" s="11">
        <v>0</v>
      </c>
      <c r="Q58" s="18" t="e">
        <f t="shared" si="46"/>
        <v>#DIV/0!</v>
      </c>
      <c r="R58" s="13"/>
      <c r="S58" s="11"/>
      <c r="T58" s="13" t="e">
        <f t="shared" si="47"/>
        <v>#DIV/0!</v>
      </c>
      <c r="U58" s="13"/>
      <c r="V58" s="11"/>
      <c r="W58" s="18" t="e">
        <f t="shared" si="48"/>
        <v>#DIV/0!</v>
      </c>
      <c r="X58" s="13"/>
      <c r="Y58" s="11"/>
      <c r="Z58" s="13" t="e">
        <f t="shared" si="49"/>
        <v>#DIV/0!</v>
      </c>
      <c r="AA58" s="13"/>
      <c r="AB58" s="11"/>
      <c r="AC58" s="18" t="e">
        <f t="shared" si="50"/>
        <v>#DIV/0!</v>
      </c>
      <c r="AD58" s="13"/>
      <c r="AE58" s="11"/>
      <c r="AF58" s="18" t="e">
        <f t="shared" si="51"/>
        <v>#DIV/0!</v>
      </c>
      <c r="AG58" s="13"/>
      <c r="AH58" s="11"/>
      <c r="AI58" s="18" t="e">
        <f t="shared" si="52"/>
        <v>#DIV/0!</v>
      </c>
      <c r="AJ58" s="13"/>
      <c r="AK58" s="11"/>
      <c r="AL58" s="13" t="e">
        <f t="shared" si="53"/>
        <v>#DIV/0!</v>
      </c>
      <c r="AM58" s="13"/>
      <c r="AN58" s="11"/>
      <c r="AO58" s="18">
        <f t="shared" si="36"/>
        <v>1065.8571428571429</v>
      </c>
      <c r="AP58" s="13">
        <f t="shared" si="40"/>
        <v>29844</v>
      </c>
      <c r="AQ58" s="11">
        <f t="shared" si="41"/>
        <v>28</v>
      </c>
    </row>
    <row r="59" spans="1:43" x14ac:dyDescent="0.3">
      <c r="A59" s="9" t="s">
        <v>31</v>
      </c>
      <c r="B59" s="23"/>
      <c r="C59" s="23"/>
      <c r="D59" s="23"/>
      <c r="E59" s="18">
        <f t="shared" si="42"/>
        <v>2434.2105263157896</v>
      </c>
      <c r="F59" s="13">
        <v>9250</v>
      </c>
      <c r="G59" s="11">
        <v>3.8</v>
      </c>
      <c r="H59" s="18" t="e">
        <f t="shared" si="43"/>
        <v>#DIV/0!</v>
      </c>
      <c r="I59" s="10">
        <v>0</v>
      </c>
      <c r="J59" s="11">
        <v>0</v>
      </c>
      <c r="K59" s="18">
        <f t="shared" si="44"/>
        <v>2021.063829787234</v>
      </c>
      <c r="L59" s="13">
        <v>9499</v>
      </c>
      <c r="M59" s="11">
        <v>4.7</v>
      </c>
      <c r="N59" s="18" t="e">
        <f t="shared" si="45"/>
        <v>#DIV/0!</v>
      </c>
      <c r="O59" s="13">
        <v>0</v>
      </c>
      <c r="P59" s="11">
        <v>0</v>
      </c>
      <c r="Q59" s="18" t="e">
        <f t="shared" si="46"/>
        <v>#DIV/0!</v>
      </c>
      <c r="R59" s="10"/>
      <c r="S59" s="11"/>
      <c r="T59" s="18" t="e">
        <f t="shared" si="47"/>
        <v>#DIV/0!</v>
      </c>
      <c r="U59" s="13"/>
      <c r="V59" s="11"/>
      <c r="W59" s="18" t="e">
        <f t="shared" si="48"/>
        <v>#DIV/0!</v>
      </c>
      <c r="X59" s="13"/>
      <c r="Y59" s="11"/>
      <c r="Z59" s="18" t="e">
        <f t="shared" si="49"/>
        <v>#DIV/0!</v>
      </c>
      <c r="AA59" s="13"/>
      <c r="AB59" s="11"/>
      <c r="AC59" s="18" t="e">
        <f t="shared" si="50"/>
        <v>#DIV/0!</v>
      </c>
      <c r="AD59" s="10"/>
      <c r="AE59" s="11"/>
      <c r="AF59" s="18" t="e">
        <f t="shared" si="51"/>
        <v>#DIV/0!</v>
      </c>
      <c r="AG59" s="13"/>
      <c r="AH59" s="11"/>
      <c r="AI59" s="18" t="e">
        <f t="shared" si="52"/>
        <v>#DIV/0!</v>
      </c>
      <c r="AJ59" s="13"/>
      <c r="AK59" s="11"/>
      <c r="AL59" s="18" t="e">
        <f t="shared" si="53"/>
        <v>#DIV/0!</v>
      </c>
      <c r="AM59" s="13"/>
      <c r="AN59" s="11"/>
      <c r="AO59" s="18">
        <f t="shared" si="36"/>
        <v>2205.7647058823532</v>
      </c>
      <c r="AP59" s="13">
        <f t="shared" si="40"/>
        <v>18749</v>
      </c>
      <c r="AQ59" s="11">
        <f t="shared" si="41"/>
        <v>8.5</v>
      </c>
    </row>
    <row r="60" spans="1:43" x14ac:dyDescent="0.3">
      <c r="A60" s="9" t="s">
        <v>32</v>
      </c>
      <c r="B60" s="23"/>
      <c r="C60" s="23"/>
      <c r="D60" s="23"/>
      <c r="E60" s="10">
        <f t="shared" si="42"/>
        <v>718.30985915492954</v>
      </c>
      <c r="F60" s="10">
        <v>51000</v>
      </c>
      <c r="G60" s="11">
        <v>71</v>
      </c>
      <c r="H60" s="10" t="e">
        <f t="shared" si="43"/>
        <v>#DIV/0!</v>
      </c>
      <c r="I60" s="10">
        <v>0</v>
      </c>
      <c r="J60" s="11">
        <v>0</v>
      </c>
      <c r="K60" s="10" t="e">
        <f t="shared" si="44"/>
        <v>#DIV/0!</v>
      </c>
      <c r="L60" s="10">
        <v>0</v>
      </c>
      <c r="M60" s="11">
        <v>0</v>
      </c>
      <c r="N60" s="10" t="e">
        <f t="shared" si="45"/>
        <v>#DIV/0!</v>
      </c>
      <c r="O60" s="3">
        <v>0</v>
      </c>
      <c r="P60" s="6">
        <v>0</v>
      </c>
      <c r="Q60" s="10" t="e">
        <f t="shared" si="46"/>
        <v>#DIV/0!</v>
      </c>
      <c r="R60" s="10"/>
      <c r="S60" s="11"/>
      <c r="T60" s="10" t="e">
        <f t="shared" si="47"/>
        <v>#DIV/0!</v>
      </c>
      <c r="U60" s="10"/>
      <c r="V60" s="11"/>
      <c r="W60" s="10" t="e">
        <f t="shared" si="48"/>
        <v>#DIV/0!</v>
      </c>
      <c r="X60" s="10"/>
      <c r="Y60" s="11"/>
      <c r="Z60" s="10" t="e">
        <f t="shared" si="49"/>
        <v>#DIV/0!</v>
      </c>
      <c r="AA60" s="10"/>
      <c r="AB60" s="11"/>
      <c r="AC60" s="10" t="e">
        <f t="shared" si="50"/>
        <v>#DIV/0!</v>
      </c>
      <c r="AD60" s="10"/>
      <c r="AE60" s="11"/>
      <c r="AF60" s="10" t="e">
        <f t="shared" si="51"/>
        <v>#DIV/0!</v>
      </c>
      <c r="AG60" s="10"/>
      <c r="AH60" s="11"/>
      <c r="AI60" s="10" t="e">
        <f t="shared" si="52"/>
        <v>#DIV/0!</v>
      </c>
      <c r="AJ60" s="10"/>
      <c r="AK60" s="11"/>
      <c r="AL60" s="10" t="e">
        <f t="shared" si="53"/>
        <v>#DIV/0!</v>
      </c>
      <c r="AM60" s="10"/>
      <c r="AN60" s="11"/>
      <c r="AO60" s="10">
        <f t="shared" si="36"/>
        <v>718.30985915492954</v>
      </c>
      <c r="AP60" s="10">
        <f t="shared" si="40"/>
        <v>51000</v>
      </c>
      <c r="AQ60" s="11">
        <f t="shared" si="41"/>
        <v>71</v>
      </c>
    </row>
    <row r="61" spans="1:43" x14ac:dyDescent="0.3">
      <c r="A61" s="9" t="s">
        <v>48</v>
      </c>
      <c r="B61" s="23"/>
      <c r="C61" s="23"/>
      <c r="D61" s="23"/>
      <c r="E61" s="10">
        <f t="shared" si="42"/>
        <v>2436.2105263157896</v>
      </c>
      <c r="F61" s="10">
        <v>23144</v>
      </c>
      <c r="G61" s="11">
        <v>9.5</v>
      </c>
      <c r="H61" s="10" t="e">
        <f t="shared" si="43"/>
        <v>#DIV/0!</v>
      </c>
      <c r="I61" s="10">
        <v>0</v>
      </c>
      <c r="J61" s="11">
        <v>0</v>
      </c>
      <c r="K61" s="10">
        <f t="shared" si="44"/>
        <v>2388.9473684210529</v>
      </c>
      <c r="L61" s="10">
        <v>4539</v>
      </c>
      <c r="M61" s="11">
        <v>1.9</v>
      </c>
      <c r="N61" s="10" t="e">
        <f t="shared" si="45"/>
        <v>#DIV/0!</v>
      </c>
      <c r="O61" s="3">
        <v>0</v>
      </c>
      <c r="P61" s="6">
        <v>0</v>
      </c>
      <c r="Q61" s="10" t="e">
        <f t="shared" si="46"/>
        <v>#DIV/0!</v>
      </c>
      <c r="R61" s="10"/>
      <c r="S61" s="11"/>
      <c r="T61" s="10" t="e">
        <f t="shared" si="47"/>
        <v>#DIV/0!</v>
      </c>
      <c r="U61" s="10"/>
      <c r="V61" s="11"/>
      <c r="W61" s="10" t="e">
        <f t="shared" si="48"/>
        <v>#DIV/0!</v>
      </c>
      <c r="X61" s="10"/>
      <c r="Y61" s="11"/>
      <c r="Z61" s="10" t="e">
        <f t="shared" si="49"/>
        <v>#DIV/0!</v>
      </c>
      <c r="AA61" s="10"/>
      <c r="AB61" s="11"/>
      <c r="AC61" s="10" t="e">
        <f t="shared" si="50"/>
        <v>#DIV/0!</v>
      </c>
      <c r="AD61" s="10"/>
      <c r="AE61" s="11"/>
      <c r="AF61" s="10" t="e">
        <f t="shared" si="51"/>
        <v>#DIV/0!</v>
      </c>
      <c r="AG61" s="10"/>
      <c r="AH61" s="11"/>
      <c r="AI61" s="10" t="e">
        <f t="shared" si="52"/>
        <v>#DIV/0!</v>
      </c>
      <c r="AJ61" s="10"/>
      <c r="AK61" s="11"/>
      <c r="AL61" s="10" t="e">
        <f t="shared" si="53"/>
        <v>#DIV/0!</v>
      </c>
      <c r="AM61" s="10"/>
      <c r="AN61" s="11"/>
      <c r="AO61" s="10">
        <f t="shared" si="36"/>
        <v>2428.3333333333335</v>
      </c>
      <c r="AP61" s="10">
        <f t="shared" si="40"/>
        <v>27683</v>
      </c>
      <c r="AQ61" s="11">
        <f t="shared" si="41"/>
        <v>11.4</v>
      </c>
    </row>
    <row r="62" spans="1:43" x14ac:dyDescent="0.3">
      <c r="A62" s="20" t="s">
        <v>65</v>
      </c>
      <c r="B62" s="24"/>
      <c r="C62" s="24"/>
      <c r="D62" s="24"/>
      <c r="E62" s="17">
        <f t="shared" si="42"/>
        <v>720</v>
      </c>
      <c r="F62" s="15">
        <v>3240</v>
      </c>
      <c r="G62" s="16">
        <v>4.5</v>
      </c>
      <c r="H62" s="15" t="e">
        <f t="shared" si="43"/>
        <v>#DIV/0!</v>
      </c>
      <c r="I62" s="15">
        <v>0</v>
      </c>
      <c r="J62" s="16">
        <v>0</v>
      </c>
      <c r="K62" s="15" t="e">
        <f t="shared" si="44"/>
        <v>#DIV/0!</v>
      </c>
      <c r="L62" s="15">
        <v>0</v>
      </c>
      <c r="M62" s="16">
        <v>0</v>
      </c>
      <c r="N62" s="15" t="e">
        <f t="shared" si="45"/>
        <v>#DIV/0!</v>
      </c>
      <c r="O62" s="7">
        <v>0</v>
      </c>
      <c r="P62" s="8">
        <v>0</v>
      </c>
      <c r="Q62" s="15" t="e">
        <f t="shared" si="46"/>
        <v>#DIV/0!</v>
      </c>
      <c r="R62" s="15"/>
      <c r="S62" s="16"/>
      <c r="T62" s="15" t="e">
        <f t="shared" si="47"/>
        <v>#DIV/0!</v>
      </c>
      <c r="U62" s="15"/>
      <c r="V62" s="16"/>
      <c r="W62" s="15" t="e">
        <f t="shared" si="48"/>
        <v>#DIV/0!</v>
      </c>
      <c r="X62" s="15"/>
      <c r="Y62" s="16"/>
      <c r="Z62" s="15" t="e">
        <f t="shared" si="49"/>
        <v>#DIV/0!</v>
      </c>
      <c r="AA62" s="15"/>
      <c r="AB62" s="16"/>
      <c r="AC62" s="15" t="e">
        <f t="shared" si="50"/>
        <v>#DIV/0!</v>
      </c>
      <c r="AD62" s="15"/>
      <c r="AE62" s="16"/>
      <c r="AF62" s="15" t="e">
        <f t="shared" si="51"/>
        <v>#DIV/0!</v>
      </c>
      <c r="AG62" s="15"/>
      <c r="AH62" s="16"/>
      <c r="AI62" s="15" t="e">
        <f t="shared" si="52"/>
        <v>#DIV/0!</v>
      </c>
      <c r="AJ62" s="15"/>
      <c r="AK62" s="16"/>
      <c r="AL62" s="15" t="e">
        <f t="shared" si="53"/>
        <v>#DIV/0!</v>
      </c>
      <c r="AM62" s="15"/>
      <c r="AN62" s="16"/>
      <c r="AO62" s="15">
        <f t="shared" ref="AO62" si="66">AP62/AQ62</f>
        <v>720</v>
      </c>
      <c r="AP62" s="15">
        <f t="shared" ref="AP62" si="67">SUM(F62,I62,L62,O62,R62,U62,X62,AA62,AD62,AG62,AJ62,AM62)</f>
        <v>3240</v>
      </c>
      <c r="AQ62" s="16">
        <f t="shared" ref="AQ62" si="68">SUM(G62,J62,M62,P62,S62,V62,Y62,AB62,AE62,AH62,AK62,AN62)</f>
        <v>4.5</v>
      </c>
    </row>
    <row r="63" spans="1:43" x14ac:dyDescent="0.3">
      <c r="A63" s="1" t="s">
        <v>38</v>
      </c>
    </row>
    <row r="64" spans="1:43" x14ac:dyDescent="0.3">
      <c r="A64" s="1" t="s">
        <v>61</v>
      </c>
    </row>
    <row r="65" spans="1:1" x14ac:dyDescent="0.3">
      <c r="A65" s="1" t="s">
        <v>39</v>
      </c>
    </row>
    <row r="66" spans="1:1" x14ac:dyDescent="0.3">
      <c r="A66" s="1" t="s">
        <v>40</v>
      </c>
    </row>
    <row r="67" spans="1:1" x14ac:dyDescent="0.3">
      <c r="A67" s="1" t="s">
        <v>62</v>
      </c>
    </row>
  </sheetData>
  <mergeCells count="17">
    <mergeCell ref="Q1:S1"/>
    <mergeCell ref="T1:V1"/>
    <mergeCell ref="AL1:AN1"/>
    <mergeCell ref="AO1:AQ1"/>
    <mergeCell ref="W1:Y1"/>
    <mergeCell ref="Z1:AB1"/>
    <mergeCell ref="AC1:AE1"/>
    <mergeCell ref="AF1:AH1"/>
    <mergeCell ref="AI1:AK1"/>
    <mergeCell ref="C3:C62"/>
    <mergeCell ref="N1:P1"/>
    <mergeCell ref="E1:G1"/>
    <mergeCell ref="H1:J1"/>
    <mergeCell ref="K1:M1"/>
    <mergeCell ref="D3:D62"/>
    <mergeCell ref="B49:B62"/>
    <mergeCell ref="B4:B48"/>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2026-06-17T01:29:52Z</dcterms:modified>
</cp:coreProperties>
</file>