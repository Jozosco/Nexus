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3년" sheetId="1" r:id="rId1"/>
  </sheets>
  <calcPr calcId="162913"/>
</workbook>
</file>

<file path=xl/calcChain.xml><?xml version="1.0" encoding="utf-8"?>
<calcChain xmlns="http://schemas.openxmlformats.org/spreadsheetml/2006/main">
  <c r="AQ18" i="1" l="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18" i="1"/>
  <c r="AL17" i="1"/>
  <c r="AL16" i="1"/>
  <c r="AL15" i="1"/>
  <c r="AL14" i="1"/>
  <c r="AL13" i="1"/>
  <c r="AL12" i="1"/>
  <c r="AL11" i="1"/>
  <c r="AL10" i="1"/>
  <c r="AL9" i="1"/>
  <c r="AL8" i="1"/>
  <c r="AL7" i="1"/>
  <c r="AL6" i="1"/>
  <c r="AL5" i="1"/>
  <c r="AL4" i="1"/>
  <c r="AI18" i="1"/>
  <c r="AI17" i="1"/>
  <c r="AI16" i="1"/>
  <c r="AI15" i="1"/>
  <c r="AI14" i="1"/>
  <c r="AI13" i="1"/>
  <c r="AI12" i="1"/>
  <c r="AI11" i="1"/>
  <c r="AI10" i="1"/>
  <c r="AI9" i="1"/>
  <c r="AI8" i="1"/>
  <c r="AI7" i="1"/>
  <c r="AI6" i="1"/>
  <c r="AI5" i="1"/>
  <c r="AI4" i="1"/>
  <c r="AF18" i="1"/>
  <c r="AF17" i="1"/>
  <c r="AF16" i="1"/>
  <c r="AF15" i="1"/>
  <c r="AF14" i="1"/>
  <c r="AF13" i="1"/>
  <c r="AF12" i="1"/>
  <c r="AF11" i="1"/>
  <c r="AF10" i="1"/>
  <c r="AF9" i="1"/>
  <c r="AF8" i="1"/>
  <c r="AF7" i="1"/>
  <c r="AF6" i="1"/>
  <c r="AF5" i="1"/>
  <c r="AF4" i="1"/>
  <c r="AC18" i="1"/>
  <c r="AC17" i="1"/>
  <c r="AC16" i="1"/>
  <c r="AC15" i="1"/>
  <c r="AC14" i="1"/>
  <c r="AC13" i="1"/>
  <c r="AC12" i="1"/>
  <c r="AC11" i="1"/>
  <c r="AC10" i="1"/>
  <c r="AC9" i="1"/>
  <c r="AC8" i="1"/>
  <c r="AC7" i="1"/>
  <c r="AC6" i="1"/>
  <c r="AC5" i="1"/>
  <c r="AC4" i="1"/>
  <c r="Z18" i="1"/>
  <c r="Z17" i="1"/>
  <c r="Z16" i="1"/>
  <c r="Z15" i="1"/>
  <c r="Z14" i="1"/>
  <c r="Z13" i="1"/>
  <c r="Z12" i="1"/>
  <c r="Z11" i="1"/>
  <c r="Z10" i="1"/>
  <c r="Z9" i="1"/>
  <c r="Z8" i="1"/>
  <c r="Z7" i="1"/>
  <c r="Z6" i="1"/>
  <c r="Z5" i="1"/>
  <c r="Z4" i="1"/>
  <c r="W18" i="1"/>
  <c r="W17" i="1"/>
  <c r="W16" i="1"/>
  <c r="W15" i="1"/>
  <c r="W14" i="1"/>
  <c r="W13" i="1"/>
  <c r="W12" i="1"/>
  <c r="W11" i="1"/>
  <c r="W10" i="1"/>
  <c r="W9" i="1"/>
  <c r="W8" i="1"/>
  <c r="W7" i="1"/>
  <c r="W6" i="1"/>
  <c r="W5" i="1"/>
  <c r="W4" i="1"/>
  <c r="T18" i="1"/>
  <c r="T17" i="1"/>
  <c r="T16" i="1"/>
  <c r="T15" i="1"/>
  <c r="T14" i="1"/>
  <c r="T13" i="1"/>
  <c r="T12" i="1"/>
  <c r="T11" i="1"/>
  <c r="T10" i="1"/>
  <c r="T9" i="1"/>
  <c r="T8" i="1"/>
  <c r="T7" i="1"/>
  <c r="T6" i="1"/>
  <c r="T5" i="1"/>
  <c r="T4" i="1"/>
  <c r="Q18" i="1"/>
  <c r="Q17" i="1"/>
  <c r="Q16" i="1"/>
  <c r="Q15" i="1"/>
  <c r="Q14" i="1"/>
  <c r="Q13" i="1"/>
  <c r="Q12" i="1"/>
  <c r="Q11" i="1"/>
  <c r="Q10" i="1"/>
  <c r="Q9" i="1"/>
  <c r="Q8" i="1"/>
  <c r="Q7" i="1"/>
  <c r="Q6" i="1"/>
  <c r="Q5" i="1"/>
  <c r="Q4" i="1"/>
  <c r="N18" i="1"/>
  <c r="N17" i="1"/>
  <c r="N16" i="1"/>
  <c r="N15" i="1"/>
  <c r="N14" i="1"/>
  <c r="N13" i="1"/>
  <c r="N12" i="1"/>
  <c r="N11" i="1"/>
  <c r="N10" i="1"/>
  <c r="N9" i="1"/>
  <c r="N8" i="1"/>
  <c r="N7" i="1"/>
  <c r="N6" i="1"/>
  <c r="N5" i="1"/>
  <c r="N4" i="1"/>
  <c r="K18" i="1"/>
  <c r="K17" i="1"/>
  <c r="K16" i="1"/>
  <c r="K15" i="1"/>
  <c r="K14" i="1"/>
  <c r="K13" i="1"/>
  <c r="K12" i="1"/>
  <c r="K11" i="1"/>
  <c r="K10" i="1"/>
  <c r="K9" i="1"/>
  <c r="K8" i="1"/>
  <c r="K7" i="1"/>
  <c r="K6" i="1"/>
  <c r="K5" i="1"/>
  <c r="K4" i="1"/>
  <c r="H18" i="1"/>
  <c r="H17" i="1"/>
  <c r="H16" i="1"/>
  <c r="H15" i="1"/>
  <c r="H14" i="1"/>
  <c r="H13" i="1"/>
  <c r="H12" i="1"/>
  <c r="H11" i="1"/>
  <c r="H10" i="1"/>
  <c r="H9" i="1"/>
  <c r="H8" i="1"/>
  <c r="H7" i="1"/>
  <c r="H6" i="1"/>
  <c r="H5" i="1"/>
  <c r="H4" i="1"/>
  <c r="E18" i="1"/>
  <c r="E17" i="1"/>
  <c r="E16" i="1"/>
  <c r="E15" i="1"/>
  <c r="E14" i="1"/>
  <c r="E13" i="1"/>
  <c r="E11" i="1"/>
  <c r="E10" i="1"/>
  <c r="E9" i="1"/>
  <c r="E8" i="1"/>
  <c r="E7" i="1"/>
  <c r="E6" i="1"/>
  <c r="E5" i="1"/>
  <c r="E4" i="1"/>
  <c r="E12" i="1"/>
  <c r="AI3" i="1" l="1"/>
  <c r="Z3" i="1"/>
  <c r="AO7" i="1"/>
  <c r="AO15" i="1"/>
  <c r="E3" i="1"/>
  <c r="AO10" i="1"/>
  <c r="AO18" i="1"/>
  <c r="AO11" i="1"/>
  <c r="AO5" i="1"/>
  <c r="AO13" i="1"/>
  <c r="AO6" i="1"/>
  <c r="AO14" i="1"/>
  <c r="AO8" i="1"/>
  <c r="AO16" i="1"/>
  <c r="AO9" i="1"/>
  <c r="AO17" i="1"/>
  <c r="AO3" i="1" l="1"/>
  <c r="AO4" i="1"/>
  <c r="AO12" i="1"/>
</calcChain>
</file>

<file path=xl/sharedStrings.xml><?xml version="1.0" encoding="utf-8"?>
<sst xmlns="http://schemas.openxmlformats.org/spreadsheetml/2006/main" count="80" uniqueCount="44">
  <si>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</si>
  <si>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</si>
  <si>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</si>
  <si>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</si>
  <si>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</si>
  <si>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</si>
  <si>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</si>
  <si>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</si>
  <si>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</si>
  <si>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</si>
  <si>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</si>
  <si>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</si>
  <si>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</si>
  <si>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</si>
  <si>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</si>
  <si>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</si>
  <si>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</si>
  <si>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</si>
  <si>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Mexico</t>
  </si>
  <si>
    <t>United Arab Emirates</t>
  </si>
  <si>
    <t>Belize</t>
  </si>
  <si>
    <t>China</t>
  </si>
  <si>
    <t>El Salvador</t>
  </si>
  <si>
    <t>Guatemala</t>
  </si>
  <si>
    <t>Honduras</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</si>
  <si>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</si>
  <si>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</si>
  <si>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</si>
  <si>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</si>
  <si>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</si>
  <si>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</si>
  <si>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</si>
  <si>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</si>
  <si>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</si>
  <si>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</si>
  <si>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Netherlands Antilles(*)</t>
  </si>
  <si>
    <t>Chile</t>
  </si>
  <si>
    <t>Lebanon</t>
  </si>
  <si>
    <t>1. Data Source: U.S. Census Bureau Trade Data</t>
  </si>
  <si>
    <t>4. Product Group : Harmonized</t>
  </si>
  <si>
    <t>Product</t>
    <phoneticPr fontId="18" type="noConversion"/>
  </si>
  <si>
    <t>Taiwan</t>
  </si>
  <si>
    <t>Thailand</t>
  </si>
  <si>
    <t>SOY OIL ONC-RFND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</si>
</sst>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1" xfId="0" applyNumberFormat="1" applyBorder="1">
      <alignment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3"/>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7" t="s">
        <v>0</v>
      </c>
      <c r="F1" s="18"/>
      <c r="G1" s="19"/>
      <c r="H1" s="14" t="s">
        <v>1</v>
      </c>
      <c r="I1" s="15"/>
      <c r="J1" s="16"/>
      <c r="K1" s="14" t="s">
        <v>2</v>
      </c>
      <c r="L1" s="15"/>
      <c r="M1" s="16"/>
      <c r="N1" s="14" t="s">
        <v>3</v>
      </c>
      <c r="O1" s="15"/>
      <c r="P1" s="16"/>
      <c r="Q1" s="14" t="s">
        <v>4</v>
      </c>
      <c r="R1" s="15"/>
      <c r="S1" s="16"/>
      <c r="T1" s="14" t="s">
        <v>5</v>
      </c>
      <c r="U1" s="15"/>
      <c r="V1" s="16"/>
      <c r="W1" s="14" t="s">
        <v>6</v>
      </c>
      <c r="X1" s="15"/>
      <c r="Y1" s="16"/>
      <c r="Z1" s="14" t="s">
        <v>7</v>
      </c>
      <c r="AA1" s="15"/>
      <c r="AB1" s="16"/>
      <c r="AC1" s="14" t="s">
        <v>8</v>
      </c>
      <c r="AD1" s="15"/>
      <c r="AE1" s="16"/>
      <c r="AF1" s="14" t="s">
        <v>9</v>
      </c>
      <c r="AG1" s="15"/>
      <c r="AH1" s="16"/>
      <c r="AI1" s="14" t="s">
        <v>10</v>
      </c>
      <c r="AJ1" s="15"/>
      <c r="AK1" s="16"/>
      <c r="AL1" s="14" t="s">
        <v>11</v>
      </c>
      <c r="AM1" s="15"/>
      <c r="AN1" s="16"/>
      <c r="AO1" s="14" t="s">
        <v>12</v>
      </c>
      <c r="AP1" s="15"/>
      <c r="AQ1" s="16"/>
    </row>
    <row r="2" spans="1:67" x14ac:dyDescent="0.3">
      <c r="A2" s="2" t="s">
        <v>31</v>
      </c>
      <c r="B2" s="2" t="s">
        <v>40</v>
      </c>
      <c r="C2" s="2" t="s">
        <v>13</v>
      </c>
      <c r="D2" s="2" t="s">
        <v>32</v>
      </c>
      <c r="E2" s="4" t="s">
        <v>14</v>
      </c>
      <c r="F2" s="2" t="s">
        <v>32</v>
      </c>
      <c r="G2" s="5" t="s">
        <v>15</v>
      </c>
      <c r="H2" s="2" t="s">
        <v>14</v>
      </c>
      <c r="I2" s="2" t="s">
        <v>32</v>
      </c>
      <c r="J2" s="5" t="s">
        <v>15</v>
      </c>
      <c r="K2" s="2" t="s">
        <v>14</v>
      </c>
      <c r="L2" s="2" t="s">
        <v>32</v>
      </c>
      <c r="M2" s="5" t="s">
        <v>15</v>
      </c>
      <c r="N2" s="2" t="s">
        <v>14</v>
      </c>
      <c r="O2" s="2" t="s">
        <v>32</v>
      </c>
      <c r="P2" s="5" t="s">
        <v>15</v>
      </c>
      <c r="Q2" s="2" t="s">
        <v>14</v>
      </c>
      <c r="R2" s="2" t="s">
        <v>32</v>
      </c>
      <c r="S2" s="5" t="s">
        <v>15</v>
      </c>
      <c r="T2" s="2" t="s">
        <v>14</v>
      </c>
      <c r="U2" s="2" t="s">
        <v>32</v>
      </c>
      <c r="V2" s="5" t="s">
        <v>15</v>
      </c>
      <c r="W2" s="2" t="s">
        <v>14</v>
      </c>
      <c r="X2" s="2" t="s">
        <v>32</v>
      </c>
      <c r="Y2" s="5" t="s">
        <v>15</v>
      </c>
      <c r="Z2" s="2" t="s">
        <v>14</v>
      </c>
      <c r="AA2" s="2" t="s">
        <v>32</v>
      </c>
      <c r="AB2" s="5" t="s">
        <v>15</v>
      </c>
      <c r="AC2" s="2" t="s">
        <v>14</v>
      </c>
      <c r="AD2" s="2" t="s">
        <v>32</v>
      </c>
      <c r="AE2" s="5" t="s">
        <v>15</v>
      </c>
      <c r="AF2" s="2" t="s">
        <v>14</v>
      </c>
      <c r="AG2" s="2" t="s">
        <v>32</v>
      </c>
      <c r="AH2" s="5" t="s">
        <v>15</v>
      </c>
      <c r="AI2" s="2" t="s">
        <v>14</v>
      </c>
      <c r="AJ2" s="2" t="s">
        <v>32</v>
      </c>
      <c r="AK2" s="5" t="s">
        <v>15</v>
      </c>
      <c r="AL2" s="2" t="s">
        <v>14</v>
      </c>
      <c r="AM2" s="2" t="s">
        <v>32</v>
      </c>
      <c r="AN2" s="5" t="s">
        <v>15</v>
      </c>
      <c r="AO2" s="2" t="s">
        <v>14</v>
      </c>
      <c r="AP2" s="2" t="s">
        <v>34</v>
      </c>
      <c r="AQ2" s="5" t="s">
        <v>15</v>
      </c>
    </row>
    <row r="3" spans="1:67" ht="15" customHeight="1" x14ac:dyDescent="0.3">
      <c r="A3" s="9" t="s">
        <v>16</v>
      </c>
      <c r="B3" s="11" t="s">
        <v>43</v>
      </c>
      <c r="C3" s="11" t="s">
        <v>17</v>
      </c>
      <c r="D3" s="11" t="s">
        <v>33</v>
      </c>
      <c r="E3" s="7">
        <f>F3/G3</f>
        <v>793.06092124814256</v>
      </c>
      <c r="F3" s="7">
        <f>SUM(F4:F18)</f>
        <v>266865</v>
      </c>
      <c r="G3" s="8">
        <f>SUM(G4:G18)</f>
        <v>336.50000000000006</v>
      </c>
      <c r="H3" s="7">
        <f>I3/J3</f>
        <v>749.88606939409647</v>
      </c>
      <c r="I3" s="7">
        <f>SUM(I4:I18)</f>
        <v>144803</v>
      </c>
      <c r="J3" s="8">
        <f>SUM(J4:J18)</f>
        <v>193.09999999999997</v>
      </c>
      <c r="K3" s="7">
        <f>L3/M3</f>
        <v>826.83550913838121</v>
      </c>
      <c r="L3" s="7">
        <f>SUM(L4:L18)</f>
        <v>158339</v>
      </c>
      <c r="M3" s="8">
        <f>SUM(M4:M18)</f>
        <v>191.5</v>
      </c>
      <c r="N3" s="7">
        <f>O3/P3</f>
        <v>858.19470699432907</v>
      </c>
      <c r="O3" s="7">
        <f>SUM(O4:O18)</f>
        <v>90797</v>
      </c>
      <c r="P3" s="8">
        <f>SUM(P4:P18)</f>
        <v>105.79999999999998</v>
      </c>
      <c r="Q3" s="7">
        <f>R3/S3</f>
        <v>764.02823529411762</v>
      </c>
      <c r="R3" s="7">
        <f>SUM(R4:R18)</f>
        <v>162356</v>
      </c>
      <c r="S3" s="8">
        <f>SUM(S4:S18)</f>
        <v>212.5</v>
      </c>
      <c r="T3" s="7">
        <f>U3/V3</f>
        <v>778.27551020408168</v>
      </c>
      <c r="U3" s="7">
        <f>SUM(U4:U18)</f>
        <v>228813</v>
      </c>
      <c r="V3" s="8">
        <f>SUM(V4:V18)</f>
        <v>294</v>
      </c>
      <c r="W3" s="7">
        <f>X3/Y3</f>
        <v>790.1287948482061</v>
      </c>
      <c r="X3" s="7">
        <f>SUM(X4:X18)</f>
        <v>171774</v>
      </c>
      <c r="Y3" s="8">
        <f>SUM(Y4:Y18)</f>
        <v>217.39999999999998</v>
      </c>
      <c r="Z3" s="7">
        <f>AA3/AB3</f>
        <v>778.16605359957953</v>
      </c>
      <c r="AA3" s="7">
        <f>SUM(AA4:AA18)</f>
        <v>148085</v>
      </c>
      <c r="AB3" s="8">
        <f>SUM(AB4:AB18)</f>
        <v>190.3</v>
      </c>
      <c r="AC3" s="7">
        <f>AD3/AE3</f>
        <v>868.72235872235876</v>
      </c>
      <c r="AD3" s="7">
        <f>SUM(AD4:AD18)</f>
        <v>106071</v>
      </c>
      <c r="AE3" s="8">
        <f>SUM(AE4:AE18)</f>
        <v>122.1</v>
      </c>
      <c r="AF3" s="7">
        <f>AG3/AH3</f>
        <v>734.44386422976504</v>
      </c>
      <c r="AG3" s="7">
        <f>SUM(AG4:AG18)</f>
        <v>140646</v>
      </c>
      <c r="AH3" s="8">
        <f>SUM(AH4:AH18)</f>
        <v>191.5</v>
      </c>
      <c r="AI3" s="7">
        <f>AJ3/AK3</f>
        <v>744.24231720240186</v>
      </c>
      <c r="AJ3" s="7">
        <f>SUM(AJ4:AJ18)</f>
        <v>210695</v>
      </c>
      <c r="AK3" s="8">
        <f>SUM(AK4:AK18)</f>
        <v>283.10000000000002</v>
      </c>
      <c r="AL3" s="7">
        <f>AM3/AN3</f>
        <v>831.33677567412497</v>
      </c>
      <c r="AM3" s="7">
        <f>SUM(AM4:AM18)</f>
        <v>144902</v>
      </c>
      <c r="AN3" s="8">
        <f>SUM(AN4:AN18)</f>
        <v>174.3</v>
      </c>
      <c r="AO3" s="7">
        <f>AP3/AQ3</f>
        <v>785.85486246566632</v>
      </c>
      <c r="AP3" s="7">
        <f>SUM(AP4:AP18)</f>
        <v>1974146</v>
      </c>
      <c r="AQ3" s="8">
        <f>SUM(AQ4:AQ18)</f>
        <v>2512.0999999999995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18</v>
      </c>
      <c r="B4" s="12"/>
      <c r="C4" s="12"/>
      <c r="D4" s="12"/>
      <c r="E4" s="3">
        <f t="shared" ref="E4:E11" si="0">F4/G4</f>
        <v>805.37869062901154</v>
      </c>
      <c r="F4" s="3">
        <v>62739</v>
      </c>
      <c r="G4" s="6">
        <v>77.900000000000006</v>
      </c>
      <c r="H4" s="3">
        <f t="shared" ref="H4:H11" si="1">I4/J4</f>
        <v>759.34226552984171</v>
      </c>
      <c r="I4" s="3">
        <v>62342</v>
      </c>
      <c r="J4" s="6">
        <v>82.1</v>
      </c>
      <c r="K4" s="3">
        <f t="shared" ref="K4:K11" si="2">L4/M4</f>
        <v>1533.8345864661653</v>
      </c>
      <c r="L4" s="3">
        <v>20400</v>
      </c>
      <c r="M4" s="6">
        <v>13.3</v>
      </c>
      <c r="N4" s="3">
        <f t="shared" ref="N4:N11" si="3">O4/P4</f>
        <v>853.31896551724139</v>
      </c>
      <c r="O4" s="3">
        <v>39594</v>
      </c>
      <c r="P4" s="6">
        <v>46.4</v>
      </c>
      <c r="Q4" s="3">
        <f t="shared" ref="Q4:Q11" si="4">R4/S4</f>
        <v>817.34736842105258</v>
      </c>
      <c r="R4" s="3">
        <v>38824</v>
      </c>
      <c r="S4" s="6">
        <v>47.5</v>
      </c>
      <c r="T4" s="3">
        <f t="shared" ref="T4:T11" si="5">U4/V4</f>
        <v>825.17429193899784</v>
      </c>
      <c r="U4" s="3">
        <v>75751</v>
      </c>
      <c r="V4" s="6">
        <v>91.8</v>
      </c>
      <c r="W4" s="3">
        <f t="shared" ref="W4:W11" si="6">X4/Y4</f>
        <v>848.47782258064512</v>
      </c>
      <c r="X4" s="3">
        <v>84169</v>
      </c>
      <c r="Y4" s="6">
        <v>99.2</v>
      </c>
      <c r="Z4" s="3">
        <f t="shared" ref="Z4:Z11" si="7">AA4/AB4</f>
        <v>805.63510392609703</v>
      </c>
      <c r="AA4" s="3">
        <v>34884</v>
      </c>
      <c r="AB4" s="6">
        <v>43.3</v>
      </c>
      <c r="AC4" s="3">
        <f t="shared" ref="AC4:AC11" si="8">AD4/AE4</f>
        <v>820.44831880448316</v>
      </c>
      <c r="AD4" s="3">
        <v>65882</v>
      </c>
      <c r="AE4" s="6">
        <v>80.3</v>
      </c>
      <c r="AF4" s="3">
        <f t="shared" ref="AF4:AF11" si="9">AG4/AH4</f>
        <v>792.9207920792079</v>
      </c>
      <c r="AG4" s="3">
        <v>32034</v>
      </c>
      <c r="AH4" s="6">
        <v>40.4</v>
      </c>
      <c r="AI4" s="3">
        <f t="shared" ref="AI4:AI11" si="10">AJ4/AK4</f>
        <v>1311.5322580645161</v>
      </c>
      <c r="AJ4" s="3">
        <v>16263</v>
      </c>
      <c r="AK4" s="6">
        <v>12.4</v>
      </c>
      <c r="AL4" s="3">
        <f t="shared" ref="AL4:AL11" si="11">AM4/AN4</f>
        <v>921.93146417445485</v>
      </c>
      <c r="AM4" s="3">
        <v>88782</v>
      </c>
      <c r="AN4" s="6">
        <v>96.3</v>
      </c>
      <c r="AO4" s="3">
        <f t="shared" ref="AO4:AO18" si="12">AP4/AQ4</f>
        <v>850.54590231221789</v>
      </c>
      <c r="AP4" s="3">
        <f t="shared" ref="AP4:AQ4" si="13">SUM(F4,I4,L4,O4,R4,U4,X4,AA4,AD4,AG4,AJ4,AM4)</f>
        <v>621664</v>
      </c>
      <c r="AQ4" s="6">
        <f t="shared" si="13"/>
        <v>730.9</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19</v>
      </c>
      <c r="B5" s="12"/>
      <c r="C5" s="12"/>
      <c r="D5" s="12"/>
      <c r="E5" s="3">
        <f t="shared" si="0"/>
        <v>718.08219178082197</v>
      </c>
      <c r="F5" s="3">
        <v>78630</v>
      </c>
      <c r="G5" s="6">
        <v>109.5</v>
      </c>
      <c r="H5" s="3">
        <f t="shared" si="1"/>
        <v>718.66666666666663</v>
      </c>
      <c r="I5" s="3">
        <v>26950</v>
      </c>
      <c r="J5" s="6">
        <v>37.5</v>
      </c>
      <c r="K5" s="3" t="e">
        <f t="shared" si="2"/>
        <v>#DIV/0!</v>
      </c>
      <c r="L5" s="3">
        <v>0</v>
      </c>
      <c r="M5" s="6">
        <v>0</v>
      </c>
      <c r="N5" s="3" t="e">
        <f t="shared" si="3"/>
        <v>#DIV/0!</v>
      </c>
      <c r="O5" s="3">
        <v>0</v>
      </c>
      <c r="P5" s="6">
        <v>0</v>
      </c>
      <c r="Q5" s="3" t="e">
        <f t="shared" si="4"/>
        <v>#DIV/0!</v>
      </c>
      <c r="R5" s="3">
        <v>0</v>
      </c>
      <c r="S5" s="6">
        <v>0</v>
      </c>
      <c r="T5" s="3" t="e">
        <f t="shared" si="5"/>
        <v>#DIV/0!</v>
      </c>
      <c r="U5" s="3">
        <v>0</v>
      </c>
      <c r="V5" s="6">
        <v>0</v>
      </c>
      <c r="W5" s="3">
        <f t="shared" si="6"/>
        <v>717.29729729729729</v>
      </c>
      <c r="X5" s="3">
        <v>26540</v>
      </c>
      <c r="Y5" s="6">
        <v>37</v>
      </c>
      <c r="Z5" s="3" t="e">
        <f t="shared" si="7"/>
        <v>#DIV/0!</v>
      </c>
      <c r="AA5" s="3">
        <v>0</v>
      </c>
      <c r="AB5" s="6">
        <v>0</v>
      </c>
      <c r="AC5" s="3" t="e">
        <f t="shared" si="8"/>
        <v>#DIV/0!</v>
      </c>
      <c r="AD5" s="3">
        <v>0</v>
      </c>
      <c r="AE5" s="6">
        <v>0</v>
      </c>
      <c r="AF5" s="3">
        <f t="shared" si="9"/>
        <v>719.08517350157729</v>
      </c>
      <c r="AG5" s="3">
        <v>22795</v>
      </c>
      <c r="AH5" s="6">
        <v>31.7</v>
      </c>
      <c r="AI5" s="3">
        <f t="shared" si="10"/>
        <v>718.24427480916029</v>
      </c>
      <c r="AJ5" s="3">
        <v>47045</v>
      </c>
      <c r="AK5" s="6">
        <v>65.5</v>
      </c>
      <c r="AL5" s="3">
        <f t="shared" si="11"/>
        <v>717.45562130177518</v>
      </c>
      <c r="AM5" s="3">
        <v>24250</v>
      </c>
      <c r="AN5" s="6">
        <v>33.799999999999997</v>
      </c>
      <c r="AO5" s="3">
        <f t="shared" si="12"/>
        <v>718.1269841269841</v>
      </c>
      <c r="AP5" s="3">
        <f t="shared" ref="AP5:AP18" si="14">SUM(F5,I5,L5,O5,R5,U5,X5,AA5,AD5,AG5,AJ5,AM5)</f>
        <v>226210</v>
      </c>
      <c r="AQ5" s="6">
        <f t="shared" ref="AQ5:AQ18" si="15">SUM(G5,J5,M5,P5,S5,V5,Y5,AB5,AE5,AH5,AK5,AN5)</f>
        <v>315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27</v>
      </c>
      <c r="B6" s="12"/>
      <c r="C6" s="12"/>
      <c r="D6" s="12"/>
      <c r="E6" s="3">
        <f t="shared" si="0"/>
        <v>1205.9668508287291</v>
      </c>
      <c r="F6" s="3">
        <v>21828</v>
      </c>
      <c r="G6" s="6">
        <v>18.100000000000001</v>
      </c>
      <c r="H6" s="3" t="e">
        <f t="shared" si="1"/>
        <v>#DIV/0!</v>
      </c>
      <c r="I6" s="3">
        <v>0</v>
      </c>
      <c r="J6" s="6">
        <v>0</v>
      </c>
      <c r="K6" s="3" t="e">
        <f t="shared" si="2"/>
        <v>#DIV/0!</v>
      </c>
      <c r="L6" s="3">
        <v>0</v>
      </c>
      <c r="M6" s="6">
        <v>0</v>
      </c>
      <c r="N6" s="3" t="e">
        <f t="shared" si="3"/>
        <v>#DIV/0!</v>
      </c>
      <c r="O6" s="3">
        <v>0</v>
      </c>
      <c r="P6" s="6">
        <v>0</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t="e">
        <f t="shared" si="9"/>
        <v>#DIV/0!</v>
      </c>
      <c r="AG6" s="3">
        <v>0</v>
      </c>
      <c r="AH6" s="6">
        <v>0</v>
      </c>
      <c r="AI6" s="3" t="e">
        <f t="shared" si="10"/>
        <v>#DIV/0!</v>
      </c>
      <c r="AJ6" s="3">
        <v>0</v>
      </c>
      <c r="AK6" s="6">
        <v>0</v>
      </c>
      <c r="AL6" s="3">
        <f t="shared" si="11"/>
        <v>594.42408376963351</v>
      </c>
      <c r="AM6" s="3">
        <v>22707</v>
      </c>
      <c r="AN6" s="6">
        <v>38.200000000000003</v>
      </c>
      <c r="AO6" s="3">
        <f t="shared" si="12"/>
        <v>791.03019538188266</v>
      </c>
      <c r="AP6" s="3">
        <f t="shared" si="14"/>
        <v>44535</v>
      </c>
      <c r="AQ6" s="6">
        <f t="shared" si="15"/>
        <v>56.300000000000004</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23</v>
      </c>
      <c r="B7" s="12"/>
      <c r="C7" s="12"/>
      <c r="D7" s="12"/>
      <c r="E7" s="3" t="e">
        <f t="shared" si="0"/>
        <v>#DIV/0!</v>
      </c>
      <c r="F7" s="3">
        <v>0</v>
      </c>
      <c r="G7" s="6">
        <v>0</v>
      </c>
      <c r="H7" s="3">
        <f t="shared" si="1"/>
        <v>788.9432989690722</v>
      </c>
      <c r="I7" s="3">
        <v>30611</v>
      </c>
      <c r="J7" s="6">
        <v>38.799999999999997</v>
      </c>
      <c r="K7" s="3">
        <f t="shared" si="2"/>
        <v>719.07849829351539</v>
      </c>
      <c r="L7" s="3">
        <v>21069</v>
      </c>
      <c r="M7" s="6">
        <v>29.3</v>
      </c>
      <c r="N7" s="3">
        <f t="shared" si="3"/>
        <v>808.92655367231646</v>
      </c>
      <c r="O7" s="3">
        <v>14318</v>
      </c>
      <c r="P7" s="6">
        <v>17.7</v>
      </c>
      <c r="Q7" s="3">
        <f t="shared" si="4"/>
        <v>921.625</v>
      </c>
      <c r="R7" s="3">
        <v>22119</v>
      </c>
      <c r="S7" s="6">
        <v>24</v>
      </c>
      <c r="T7" s="3">
        <f t="shared" si="5"/>
        <v>717.66423357664235</v>
      </c>
      <c r="U7" s="3">
        <v>19664</v>
      </c>
      <c r="V7" s="6">
        <v>27.4</v>
      </c>
      <c r="W7" s="3">
        <f t="shared" si="6"/>
        <v>1775.7692307692307</v>
      </c>
      <c r="X7" s="3">
        <v>4617</v>
      </c>
      <c r="Y7" s="6">
        <v>2.6</v>
      </c>
      <c r="Z7" s="3">
        <f t="shared" si="7"/>
        <v>717.48768472906397</v>
      </c>
      <c r="AA7" s="3">
        <v>14565</v>
      </c>
      <c r="AB7" s="6">
        <v>20.3</v>
      </c>
      <c r="AC7" s="3">
        <f t="shared" si="8"/>
        <v>791.93965517241384</v>
      </c>
      <c r="AD7" s="3">
        <v>18373</v>
      </c>
      <c r="AE7" s="6">
        <v>23.2</v>
      </c>
      <c r="AF7" s="3">
        <f t="shared" si="9"/>
        <v>718.59420289855075</v>
      </c>
      <c r="AG7" s="3">
        <v>49583</v>
      </c>
      <c r="AH7" s="6">
        <v>69</v>
      </c>
      <c r="AI7" s="3">
        <f t="shared" si="10"/>
        <v>717.28571428571433</v>
      </c>
      <c r="AJ7" s="3">
        <v>10042</v>
      </c>
      <c r="AK7" s="6">
        <v>14</v>
      </c>
      <c r="AL7" s="3">
        <f t="shared" si="11"/>
        <v>1527.1666666666667</v>
      </c>
      <c r="AM7" s="3">
        <v>9163</v>
      </c>
      <c r="AN7" s="6">
        <v>6</v>
      </c>
      <c r="AO7" s="3">
        <f t="shared" si="12"/>
        <v>786.35328681601186</v>
      </c>
      <c r="AP7" s="3">
        <f t="shared" si="14"/>
        <v>214124</v>
      </c>
      <c r="AQ7" s="6">
        <f t="shared" si="15"/>
        <v>272.29999999999995</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20</v>
      </c>
      <c r="B8" s="12"/>
      <c r="C8" s="12"/>
      <c r="D8" s="12"/>
      <c r="E8" s="3" t="e">
        <f t="shared" si="0"/>
        <v>#DIV/0!</v>
      </c>
      <c r="F8" s="3">
        <v>0</v>
      </c>
      <c r="G8" s="6">
        <v>0</v>
      </c>
      <c r="H8" s="3" t="e">
        <f t="shared" si="1"/>
        <v>#DIV/0!</v>
      </c>
      <c r="I8" s="3">
        <v>0</v>
      </c>
      <c r="J8" s="6">
        <v>0</v>
      </c>
      <c r="K8" s="3" t="e">
        <f t="shared" si="2"/>
        <v>#DIV/0!</v>
      </c>
      <c r="L8" s="3">
        <v>0</v>
      </c>
      <c r="M8" s="6">
        <v>0</v>
      </c>
      <c r="N8" s="3">
        <f t="shared" si="3"/>
        <v>2542.105263157895</v>
      </c>
      <c r="O8" s="3">
        <v>9660</v>
      </c>
      <c r="P8" s="6">
        <v>3.8</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t="e">
        <f t="shared" si="9"/>
        <v>#DIV/0!</v>
      </c>
      <c r="AG8" s="3">
        <v>0</v>
      </c>
      <c r="AH8" s="6">
        <v>0</v>
      </c>
      <c r="AI8" s="3" t="e">
        <f t="shared" si="10"/>
        <v>#DIV/0!</v>
      </c>
      <c r="AJ8" s="3">
        <v>0</v>
      </c>
      <c r="AK8" s="6">
        <v>0</v>
      </c>
      <c r="AL8" s="3" t="e">
        <f t="shared" si="11"/>
        <v>#DIV/0!</v>
      </c>
      <c r="AM8" s="3">
        <v>0</v>
      </c>
      <c r="AN8" s="6">
        <v>0</v>
      </c>
      <c r="AO8" s="3">
        <f t="shared" si="12"/>
        <v>2542.105263157895</v>
      </c>
      <c r="AP8" s="3">
        <f t="shared" si="14"/>
        <v>9660</v>
      </c>
      <c r="AQ8" s="6">
        <f t="shared" si="15"/>
        <v>3.8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21</v>
      </c>
      <c r="B9" s="12"/>
      <c r="C9" s="12"/>
      <c r="D9" s="12"/>
      <c r="E9" s="3">
        <f t="shared" si="0"/>
        <v>3927.5</v>
      </c>
      <c r="F9" s="3">
        <v>4713</v>
      </c>
      <c r="G9" s="6">
        <v>1.2</v>
      </c>
      <c r="H9" s="3" t="e">
        <f t="shared" si="1"/>
        <v>#DIV/0!</v>
      </c>
      <c r="I9" s="3">
        <v>0</v>
      </c>
      <c r="J9" s="6">
        <v>0</v>
      </c>
      <c r="K9" s="3" t="e">
        <f t="shared" si="2"/>
        <v>#DIV/0!</v>
      </c>
      <c r="L9" s="3">
        <v>0</v>
      </c>
      <c r="M9" s="6">
        <v>0</v>
      </c>
      <c r="N9" s="3" t="e">
        <f t="shared" si="3"/>
        <v>#DIV/0!</v>
      </c>
      <c r="O9" s="3">
        <v>0</v>
      </c>
      <c r="P9" s="6">
        <v>0</v>
      </c>
      <c r="Q9" s="3">
        <f t="shared" si="4"/>
        <v>3927.5</v>
      </c>
      <c r="R9" s="3">
        <v>4713</v>
      </c>
      <c r="S9" s="6">
        <v>1.2</v>
      </c>
      <c r="T9" s="3">
        <f t="shared" si="5"/>
        <v>4284.545454545454</v>
      </c>
      <c r="U9" s="3">
        <v>4713</v>
      </c>
      <c r="V9" s="6">
        <v>1.1000000000000001</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4039.7142857142858</v>
      </c>
      <c r="AP9" s="3">
        <f t="shared" si="14"/>
        <v>14139</v>
      </c>
      <c r="AQ9" s="6">
        <f t="shared" si="15"/>
        <v>3.5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36</v>
      </c>
      <c r="B10" s="12"/>
      <c r="C10" s="12"/>
      <c r="D10" s="12"/>
      <c r="E10" s="3" t="e">
        <f t="shared" si="0"/>
        <v>#DIV/0!</v>
      </c>
      <c r="F10" s="3">
        <v>0</v>
      </c>
      <c r="G10" s="6">
        <v>0</v>
      </c>
      <c r="H10" s="3" t="e">
        <f t="shared" si="1"/>
        <v>#DIV/0!</v>
      </c>
      <c r="I10" s="3">
        <v>0</v>
      </c>
      <c r="J10" s="6">
        <v>0</v>
      </c>
      <c r="K10" s="3" t="e">
        <f t="shared" si="2"/>
        <v>#DIV/0!</v>
      </c>
      <c r="L10" s="3">
        <v>0</v>
      </c>
      <c r="M10" s="6">
        <v>0</v>
      </c>
      <c r="N10" s="3">
        <f t="shared" si="3"/>
        <v>718.33773087071245</v>
      </c>
      <c r="O10" s="3">
        <v>27225</v>
      </c>
      <c r="P10" s="6">
        <v>37.9</v>
      </c>
      <c r="Q10" s="3" t="e">
        <f t="shared" si="4"/>
        <v>#DIV/0!</v>
      </c>
      <c r="R10" s="3">
        <v>0</v>
      </c>
      <c r="S10" s="6">
        <v>0</v>
      </c>
      <c r="T10" s="3" t="e">
        <f t="shared" si="5"/>
        <v>#DIV/0!</v>
      </c>
      <c r="U10" s="3">
        <v>0</v>
      </c>
      <c r="V10" s="6">
        <v>0</v>
      </c>
      <c r="W10" s="3" t="e">
        <f t="shared" si="6"/>
        <v>#DIV/0!</v>
      </c>
      <c r="X10" s="3">
        <v>0</v>
      </c>
      <c r="Y10" s="6">
        <v>0</v>
      </c>
      <c r="Z10" s="3" t="e">
        <f t="shared" si="7"/>
        <v>#DIV/0!</v>
      </c>
      <c r="AA10" s="3">
        <v>0</v>
      </c>
      <c r="AB10" s="6">
        <v>0</v>
      </c>
      <c r="AC10" s="3" t="e">
        <f t="shared" si="8"/>
        <v>#DIV/0!</v>
      </c>
      <c r="AD10" s="3">
        <v>0</v>
      </c>
      <c r="AE10" s="6">
        <v>0</v>
      </c>
      <c r="AF10" s="3" t="e">
        <f t="shared" si="9"/>
        <v>#DIV/0!</v>
      </c>
      <c r="AG10" s="3">
        <v>0</v>
      </c>
      <c r="AH10" s="6">
        <v>0</v>
      </c>
      <c r="AI10" s="3" t="e">
        <f t="shared" si="10"/>
        <v>#DIV/0!</v>
      </c>
      <c r="AJ10" s="3">
        <v>0</v>
      </c>
      <c r="AK10" s="6">
        <v>0</v>
      </c>
      <c r="AL10" s="3" t="e">
        <f t="shared" si="11"/>
        <v>#DIV/0!</v>
      </c>
      <c r="AM10" s="3">
        <v>0</v>
      </c>
      <c r="AN10" s="6">
        <v>0</v>
      </c>
      <c r="AO10" s="3">
        <f t="shared" si="12"/>
        <v>718.33773087071245</v>
      </c>
      <c r="AP10" s="3">
        <f t="shared" si="14"/>
        <v>27225</v>
      </c>
      <c r="AQ10" s="6">
        <f t="shared" si="15"/>
        <v>37.9</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22</v>
      </c>
      <c r="B11" s="12"/>
      <c r="C11" s="12"/>
      <c r="D11" s="12"/>
      <c r="E11" s="3">
        <f t="shared" si="0"/>
        <v>2844.6666666666665</v>
      </c>
      <c r="F11" s="3">
        <v>4267</v>
      </c>
      <c r="G11" s="6">
        <v>1.5</v>
      </c>
      <c r="H11" s="3" t="e">
        <f t="shared" si="1"/>
        <v>#DIV/0!</v>
      </c>
      <c r="I11" s="3">
        <v>0</v>
      </c>
      <c r="J11" s="6">
        <v>0</v>
      </c>
      <c r="K11" s="3" t="e">
        <f t="shared" si="2"/>
        <v>#DIV/0!</v>
      </c>
      <c r="L11" s="3">
        <v>0</v>
      </c>
      <c r="M11" s="6">
        <v>0</v>
      </c>
      <c r="N11" s="3" t="e">
        <f t="shared" si="3"/>
        <v>#DIV/0!</v>
      </c>
      <c r="O11" s="3">
        <v>0</v>
      </c>
      <c r="P11" s="6">
        <v>0</v>
      </c>
      <c r="Q11" s="3" t="e">
        <f t="shared" si="4"/>
        <v>#DIV/0!</v>
      </c>
      <c r="R11" s="3">
        <v>0</v>
      </c>
      <c r="S11" s="6">
        <v>0</v>
      </c>
      <c r="T11" s="3" t="e">
        <f t="shared" si="5"/>
        <v>#DIV/0!</v>
      </c>
      <c r="U11" s="3">
        <v>0</v>
      </c>
      <c r="V11" s="6">
        <v>0</v>
      </c>
      <c r="W11" s="3" t="e">
        <f t="shared" si="6"/>
        <v>#DIV/0!</v>
      </c>
      <c r="X11" s="3">
        <v>0</v>
      </c>
      <c r="Y11" s="6">
        <v>0</v>
      </c>
      <c r="Z11" s="3">
        <f t="shared" si="7"/>
        <v>2973.8461538461538</v>
      </c>
      <c r="AA11" s="3">
        <v>3866</v>
      </c>
      <c r="AB11" s="6">
        <v>1.3</v>
      </c>
      <c r="AC11" s="3" t="e">
        <f t="shared" si="8"/>
        <v>#DIV/0!</v>
      </c>
      <c r="AD11" s="3">
        <v>0</v>
      </c>
      <c r="AE11" s="6">
        <v>0</v>
      </c>
      <c r="AF11" s="3" t="e">
        <f t="shared" si="9"/>
        <v>#DIV/0!</v>
      </c>
      <c r="AG11" s="3">
        <v>0</v>
      </c>
      <c r="AH11" s="6">
        <v>0</v>
      </c>
      <c r="AI11" s="3" t="e">
        <f t="shared" si="10"/>
        <v>#DIV/0!</v>
      </c>
      <c r="AJ11" s="3">
        <v>0</v>
      </c>
      <c r="AK11" s="6">
        <v>0</v>
      </c>
      <c r="AL11" s="3" t="e">
        <f t="shared" si="11"/>
        <v>#DIV/0!</v>
      </c>
      <c r="AM11" s="3">
        <v>0</v>
      </c>
      <c r="AN11" s="6">
        <v>0</v>
      </c>
      <c r="AO11" s="3">
        <f t="shared" si="12"/>
        <v>2904.6428571428573</v>
      </c>
      <c r="AP11" s="3">
        <f t="shared" si="14"/>
        <v>8133</v>
      </c>
      <c r="AQ11" s="6">
        <f t="shared" si="15"/>
        <v>2.8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24</v>
      </c>
      <c r="B12" s="12"/>
      <c r="C12" s="12"/>
      <c r="D12" s="12"/>
      <c r="E12" s="3" t="e">
        <f>F12/G12</f>
        <v>#DIV/0!</v>
      </c>
      <c r="F12" s="3">
        <v>0</v>
      </c>
      <c r="G12" s="6">
        <v>0</v>
      </c>
      <c r="H12" s="3" t="e">
        <f>I12/J12</f>
        <v>#DIV/0!</v>
      </c>
      <c r="I12" s="3">
        <v>0</v>
      </c>
      <c r="J12" s="6">
        <v>0</v>
      </c>
      <c r="K12" s="3">
        <f>L12/M12</f>
        <v>2096</v>
      </c>
      <c r="L12" s="3">
        <v>6288</v>
      </c>
      <c r="M12" s="6">
        <v>3</v>
      </c>
      <c r="N12" s="3" t="e">
        <f>O12/P12</f>
        <v>#DIV/0!</v>
      </c>
      <c r="O12" s="3">
        <v>0</v>
      </c>
      <c r="P12" s="6">
        <v>0</v>
      </c>
      <c r="Q12" s="3" t="e">
        <f>R12/S12</f>
        <v>#DIV/0!</v>
      </c>
      <c r="R12" s="3">
        <v>0</v>
      </c>
      <c r="S12" s="6">
        <v>0</v>
      </c>
      <c r="T12" s="3" t="e">
        <f>U12/V12</f>
        <v>#DIV/0!</v>
      </c>
      <c r="U12" s="3">
        <v>0</v>
      </c>
      <c r="V12" s="6">
        <v>0</v>
      </c>
      <c r="W12" s="3" t="e">
        <f>X12/Y12</f>
        <v>#DIV/0!</v>
      </c>
      <c r="X12" s="3">
        <v>0</v>
      </c>
      <c r="Y12" s="6">
        <v>0</v>
      </c>
      <c r="Z12" s="3" t="e">
        <f>AA12/AB12</f>
        <v>#DIV/0!</v>
      </c>
      <c r="AA12" s="3">
        <v>0</v>
      </c>
      <c r="AB12" s="6">
        <v>0</v>
      </c>
      <c r="AC12" s="3" t="e">
        <f>AD12/AE12</f>
        <v>#DIV/0!</v>
      </c>
      <c r="AD12" s="3">
        <v>0</v>
      </c>
      <c r="AE12" s="6">
        <v>0</v>
      </c>
      <c r="AF12" s="3">
        <f>AG12/AH12</f>
        <v>719.39393939393938</v>
      </c>
      <c r="AG12" s="3">
        <v>14244</v>
      </c>
      <c r="AH12" s="6">
        <v>19.8</v>
      </c>
      <c r="AI12" s="3" t="e">
        <f>AJ12/AK12</f>
        <v>#DIV/0!</v>
      </c>
      <c r="AJ12" s="3">
        <v>0</v>
      </c>
      <c r="AK12" s="6">
        <v>0</v>
      </c>
      <c r="AL12" s="3" t="e">
        <f>AM12/AN12</f>
        <v>#DIV/0!</v>
      </c>
      <c r="AM12" s="3">
        <v>0</v>
      </c>
      <c r="AN12" s="6">
        <v>0</v>
      </c>
      <c r="AO12" s="3">
        <f t="shared" si="12"/>
        <v>900.52631578947364</v>
      </c>
      <c r="AP12" s="3">
        <f t="shared" si="14"/>
        <v>20532</v>
      </c>
      <c r="AQ12" s="6">
        <f t="shared" si="15"/>
        <v>22.8</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37</v>
      </c>
      <c r="B13" s="12"/>
      <c r="C13" s="12"/>
      <c r="D13" s="12"/>
      <c r="E13" s="3">
        <f t="shared" ref="E13:E18" si="16">F13/G13</f>
        <v>718.18181818181824</v>
      </c>
      <c r="F13" s="3">
        <v>57670</v>
      </c>
      <c r="G13" s="6">
        <v>80.3</v>
      </c>
      <c r="H13" s="3">
        <f t="shared" ref="H13:H18" si="17">I13/J13</f>
        <v>717.579250720461</v>
      </c>
      <c r="I13" s="3">
        <v>24900</v>
      </c>
      <c r="J13" s="6">
        <v>34.700000000000003</v>
      </c>
      <c r="K13" s="3">
        <f t="shared" ref="K13:K18" si="18">L13/M13</f>
        <v>718.64583333333337</v>
      </c>
      <c r="L13" s="3">
        <v>55192</v>
      </c>
      <c r="M13" s="6">
        <v>76.8</v>
      </c>
      <c r="N13" s="3" t="e">
        <f t="shared" ref="N13:N18" si="19">O13/P13</f>
        <v>#DIV/0!</v>
      </c>
      <c r="O13" s="3">
        <v>0</v>
      </c>
      <c r="P13" s="6">
        <v>0</v>
      </c>
      <c r="Q13" s="3">
        <f t="shared" ref="Q13:Q18" si="20">R13/S13</f>
        <v>717.71428571428567</v>
      </c>
      <c r="R13" s="3">
        <v>50240</v>
      </c>
      <c r="S13" s="6">
        <v>70</v>
      </c>
      <c r="T13" s="3">
        <f t="shared" ref="T13:T18" si="21">U13/V13</f>
        <v>717.99549549549556</v>
      </c>
      <c r="U13" s="3">
        <v>95637</v>
      </c>
      <c r="V13" s="6">
        <v>133.19999999999999</v>
      </c>
      <c r="W13" s="3">
        <f t="shared" ref="W13:W18" si="22">X13/Y13</f>
        <v>718.16793893129773</v>
      </c>
      <c r="X13" s="3">
        <v>56448</v>
      </c>
      <c r="Y13" s="6">
        <v>78.599999999999994</v>
      </c>
      <c r="Z13" s="3">
        <f t="shared" ref="Z13:Z18" si="23">AA13/AB13</f>
        <v>718.40451248992747</v>
      </c>
      <c r="AA13" s="3">
        <v>89154</v>
      </c>
      <c r="AB13" s="6">
        <v>124.1</v>
      </c>
      <c r="AC13" s="3" t="e">
        <f t="shared" ref="AC13:AC18" si="24">AD13/AE13</f>
        <v>#DIV/0!</v>
      </c>
      <c r="AD13" s="3">
        <v>0</v>
      </c>
      <c r="AE13" s="6">
        <v>0</v>
      </c>
      <c r="AF13" s="3">
        <f t="shared" ref="AF13:AF18" si="25">AG13/AH13</f>
        <v>718.62745098039215</v>
      </c>
      <c r="AG13" s="3">
        <v>21990</v>
      </c>
      <c r="AH13" s="6">
        <v>30.6</v>
      </c>
      <c r="AI13" s="3">
        <f t="shared" ref="AI13:AI18" si="26">AJ13/AK13</f>
        <v>718.40451248992747</v>
      </c>
      <c r="AJ13" s="3">
        <v>89154</v>
      </c>
      <c r="AK13" s="6">
        <v>124.1</v>
      </c>
      <c r="AL13" s="3" t="e">
        <f t="shared" ref="AL13:AL18" si="27">AM13/AN13</f>
        <v>#DIV/0!</v>
      </c>
      <c r="AM13" s="3">
        <v>0</v>
      </c>
      <c r="AN13" s="6">
        <v>0</v>
      </c>
      <c r="AO13" s="3">
        <f t="shared" si="12"/>
        <v>718.21504518872928</v>
      </c>
      <c r="AP13" s="3">
        <f t="shared" si="14"/>
        <v>540385</v>
      </c>
      <c r="AQ13" s="6">
        <f t="shared" si="15"/>
        <v>752.40000000000009</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35</v>
      </c>
      <c r="B14" s="12"/>
      <c r="C14" s="12"/>
      <c r="D14" s="12"/>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f t="shared" si="21"/>
        <v>3300</v>
      </c>
      <c r="U14" s="3">
        <v>8910</v>
      </c>
      <c r="V14" s="6">
        <v>2.7</v>
      </c>
      <c r="W14" s="3" t="e">
        <f t="shared" si="22"/>
        <v>#DIV/0!</v>
      </c>
      <c r="X14" s="3">
        <v>0</v>
      </c>
      <c r="Y14" s="6">
        <v>0</v>
      </c>
      <c r="Z14" s="3">
        <f t="shared" si="23"/>
        <v>4320</v>
      </c>
      <c r="AA14" s="3">
        <v>5616</v>
      </c>
      <c r="AB14" s="6">
        <v>1.3</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3631.5</v>
      </c>
      <c r="AP14" s="3">
        <f t="shared" si="14"/>
        <v>14526</v>
      </c>
      <c r="AQ14" s="6">
        <f t="shared" si="15"/>
        <v>4</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25</v>
      </c>
      <c r="B15" s="12"/>
      <c r="C15" s="12"/>
      <c r="D15" s="12"/>
      <c r="E15" s="3">
        <f t="shared" si="16"/>
        <v>717.82477341389722</v>
      </c>
      <c r="F15" s="3">
        <v>23760</v>
      </c>
      <c r="G15" s="6">
        <v>33.1</v>
      </c>
      <c r="H15" s="3" t="e">
        <f t="shared" si="17"/>
        <v>#DIV/0!</v>
      </c>
      <c r="I15" s="3">
        <v>0</v>
      </c>
      <c r="J15" s="6">
        <v>0</v>
      </c>
      <c r="K15" s="3">
        <f t="shared" si="18"/>
        <v>717.9791976225855</v>
      </c>
      <c r="L15" s="3">
        <v>48320</v>
      </c>
      <c r="M15" s="6">
        <v>67.3</v>
      </c>
      <c r="N15" s="3" t="e">
        <f t="shared" si="19"/>
        <v>#DIV/0!</v>
      </c>
      <c r="O15" s="3">
        <v>0</v>
      </c>
      <c r="P15" s="6">
        <v>0</v>
      </c>
      <c r="Q15" s="3">
        <f t="shared" si="20"/>
        <v>665.6160458452722</v>
      </c>
      <c r="R15" s="3">
        <v>46460</v>
      </c>
      <c r="S15" s="6">
        <v>69.8</v>
      </c>
      <c r="T15" s="3">
        <f t="shared" si="21"/>
        <v>638.57142857142867</v>
      </c>
      <c r="U15" s="3">
        <v>24138</v>
      </c>
      <c r="V15" s="6">
        <v>37.799999999999997</v>
      </c>
      <c r="W15" s="3" t="e">
        <f t="shared" si="22"/>
        <v>#DIV/0!</v>
      </c>
      <c r="X15" s="3">
        <v>0</v>
      </c>
      <c r="Y15" s="6">
        <v>0</v>
      </c>
      <c r="Z15" s="3" t="e">
        <f t="shared" si="23"/>
        <v>#DIV/0!</v>
      </c>
      <c r="AA15" s="3">
        <v>0</v>
      </c>
      <c r="AB15" s="6">
        <v>0</v>
      </c>
      <c r="AC15" s="3">
        <f t="shared" si="24"/>
        <v>1172.9032258064515</v>
      </c>
      <c r="AD15" s="3">
        <v>21816</v>
      </c>
      <c r="AE15" s="6">
        <v>18.600000000000001</v>
      </c>
      <c r="AF15" s="3" t="e">
        <f t="shared" si="25"/>
        <v>#DIV/0!</v>
      </c>
      <c r="AG15" s="3">
        <v>0</v>
      </c>
      <c r="AH15" s="6">
        <v>0</v>
      </c>
      <c r="AI15" s="3">
        <f t="shared" si="26"/>
        <v>719.16398713826368</v>
      </c>
      <c r="AJ15" s="3">
        <v>22366</v>
      </c>
      <c r="AK15" s="6">
        <v>31.1</v>
      </c>
      <c r="AL15" s="3" t="e">
        <f t="shared" si="27"/>
        <v>#DIV/0!</v>
      </c>
      <c r="AM15" s="3">
        <v>0</v>
      </c>
      <c r="AN15" s="6">
        <v>0</v>
      </c>
      <c r="AO15" s="3">
        <f t="shared" si="12"/>
        <v>725.10671323244082</v>
      </c>
      <c r="AP15" s="3">
        <f t="shared" si="14"/>
        <v>186860</v>
      </c>
      <c r="AQ15" s="6">
        <f t="shared" si="15"/>
        <v>257.7</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26</v>
      </c>
      <c r="B16" s="12"/>
      <c r="C16" s="12"/>
      <c r="D16" s="12"/>
      <c r="E16" s="3" t="e">
        <f t="shared" si="16"/>
        <v>#DIV/0!</v>
      </c>
      <c r="F16" s="3">
        <v>0</v>
      </c>
      <c r="G16" s="6">
        <v>0</v>
      </c>
      <c r="H16" s="3" t="e">
        <f t="shared" si="17"/>
        <v>#DIV/0!</v>
      </c>
      <c r="I16" s="3">
        <v>0</v>
      </c>
      <c r="J16" s="6">
        <v>0</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f t="shared" si="26"/>
        <v>717.36111111111109</v>
      </c>
      <c r="AJ16" s="3">
        <v>25825</v>
      </c>
      <c r="AK16" s="6">
        <v>36</v>
      </c>
      <c r="AL16" s="3" t="e">
        <f t="shared" si="27"/>
        <v>#DIV/0!</v>
      </c>
      <c r="AM16" s="3">
        <v>0</v>
      </c>
      <c r="AN16" s="6">
        <v>0</v>
      </c>
      <c r="AO16" s="3">
        <f t="shared" si="12"/>
        <v>717.36111111111109</v>
      </c>
      <c r="AP16" s="3">
        <f t="shared" si="14"/>
        <v>25825</v>
      </c>
      <c r="AQ16" s="6">
        <f t="shared" si="15"/>
        <v>36</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42</v>
      </c>
      <c r="B17" s="12"/>
      <c r="C17" s="12"/>
      <c r="D17" s="12"/>
      <c r="E17" s="3">
        <f t="shared" si="16"/>
        <v>3927.5</v>
      </c>
      <c r="F17" s="3">
        <v>3142</v>
      </c>
      <c r="G17" s="6">
        <v>0.8</v>
      </c>
      <c r="H17" s="3" t="e">
        <f t="shared" si="17"/>
        <v>#DIV/0!</v>
      </c>
      <c r="I17" s="3">
        <v>0</v>
      </c>
      <c r="J17" s="6">
        <v>0</v>
      </c>
      <c r="K17" s="3">
        <f t="shared" si="18"/>
        <v>3927.7777777777778</v>
      </c>
      <c r="L17" s="3">
        <v>7070</v>
      </c>
      <c r="M17" s="6">
        <v>1.8</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t="e">
        <f t="shared" si="23"/>
        <v>#DIV/0!</v>
      </c>
      <c r="AA17" s="3">
        <v>0</v>
      </c>
      <c r="AB17" s="6">
        <v>0</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3927.6923076923076</v>
      </c>
      <c r="AP17" s="3">
        <f t="shared" si="14"/>
        <v>10212</v>
      </c>
      <c r="AQ17" s="6">
        <f t="shared" si="15"/>
        <v>2.6</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41</v>
      </c>
      <c r="B18" s="13"/>
      <c r="C18" s="13"/>
      <c r="D18" s="13"/>
      <c r="E18" s="21">
        <f t="shared" si="16"/>
        <v>717.44680851063833</v>
      </c>
      <c r="F18" s="7">
        <v>10116</v>
      </c>
      <c r="G18" s="8">
        <v>14.1</v>
      </c>
      <c r="H18" s="7" t="e">
        <f t="shared" si="17"/>
        <v>#DIV/0!</v>
      </c>
      <c r="I18" s="7">
        <v>0</v>
      </c>
      <c r="J18" s="8">
        <v>0</v>
      </c>
      <c r="K18" s="7" t="e">
        <f t="shared" si="18"/>
        <v>#DIV/0!</v>
      </c>
      <c r="L18" s="7">
        <v>0</v>
      </c>
      <c r="M18" s="8">
        <v>0</v>
      </c>
      <c r="N18" s="7" t="e">
        <f t="shared" si="19"/>
        <v>#DIV/0!</v>
      </c>
      <c r="O18" s="7">
        <v>0</v>
      </c>
      <c r="P18" s="8">
        <v>0</v>
      </c>
      <c r="Q18" s="7" t="e">
        <f t="shared" si="20"/>
        <v>#DIV/0!</v>
      </c>
      <c r="R18" s="7">
        <v>0</v>
      </c>
      <c r="S18" s="8">
        <v>0</v>
      </c>
      <c r="T18" s="7" t="e">
        <f t="shared" si="21"/>
        <v>#DIV/0!</v>
      </c>
      <c r="U18" s="7">
        <v>0</v>
      </c>
      <c r="V18" s="8">
        <v>0</v>
      </c>
      <c r="W18" s="7" t="e">
        <f t="shared" si="22"/>
        <v>#DIV/0!</v>
      </c>
      <c r="X18" s="7">
        <v>0</v>
      </c>
      <c r="Y18" s="8">
        <v>0</v>
      </c>
      <c r="Z18" s="7" t="e">
        <f t="shared" si="23"/>
        <v>#DIV/0!</v>
      </c>
      <c r="AA18" s="7">
        <v>0</v>
      </c>
      <c r="AB18" s="8">
        <v>0</v>
      </c>
      <c r="AC18" s="7" t="e">
        <f t="shared" si="24"/>
        <v>#DIV/0!</v>
      </c>
      <c r="AD18" s="7">
        <v>0</v>
      </c>
      <c r="AE18" s="8">
        <v>0</v>
      </c>
      <c r="AF18" s="7" t="e">
        <f t="shared" si="25"/>
        <v>#DIV/0!</v>
      </c>
      <c r="AG18" s="7">
        <v>0</v>
      </c>
      <c r="AH18" s="8">
        <v>0</v>
      </c>
      <c r="AI18" s="7" t="e">
        <f t="shared" si="26"/>
        <v>#DIV/0!</v>
      </c>
      <c r="AJ18" s="7">
        <v>0</v>
      </c>
      <c r="AK18" s="8">
        <v>0</v>
      </c>
      <c r="AL18" s="7" t="e">
        <f t="shared" si="27"/>
        <v>#DIV/0!</v>
      </c>
      <c r="AM18" s="7">
        <v>0</v>
      </c>
      <c r="AN18" s="8">
        <v>0</v>
      </c>
      <c r="AO18" s="7">
        <f t="shared" si="12"/>
        <v>717.44680851063833</v>
      </c>
      <c r="AP18" s="7">
        <f t="shared" si="14"/>
        <v>10116</v>
      </c>
      <c r="AQ18" s="8">
        <f t="shared" si="15"/>
        <v>14.1</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x14ac:dyDescent="0.3">
      <c r="A19" s="1" t="s">
        <v>28</v>
      </c>
      <c r="B19" s="1"/>
    </row>
    <row r="20" spans="1:67" x14ac:dyDescent="0.3">
      <c r="A20" s="1" t="s">
        <v>38</v>
      </c>
      <c r="B20" s="1"/>
    </row>
    <row r="21" spans="1:67" x14ac:dyDescent="0.3">
      <c r="A21" s="1" t="s">
        <v>29</v>
      </c>
      <c r="B21" s="1"/>
    </row>
    <row r="22" spans="1:67" x14ac:dyDescent="0.3">
      <c r="A22" s="1" t="s">
        <v>30</v>
      </c>
      <c r="B22" s="1"/>
    </row>
    <row r="23" spans="1:67" x14ac:dyDescent="0.3">
      <c r="A23" s="1" t="s">
        <v>39</v>
      </c>
      <c r="B23" s="1"/>
    </row>
  </sheetData>
  <mergeCells count="16">
    <mergeCell ref="B3:B18"/>
    <mergeCell ref="C3:C18"/>
    <mergeCell ref="AO1:AQ1"/>
    <mergeCell ref="W1:Y1"/>
    <mergeCell ref="Z1:AB1"/>
    <mergeCell ref="AC1:AE1"/>
    <mergeCell ref="AF1:AH1"/>
    <mergeCell ref="AI1:AK1"/>
    <mergeCell ref="D3:D18"/>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2026-08-07T06:02:00Z</dcterms:modified>
</cp:coreProperties>
</file>