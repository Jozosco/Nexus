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17.90.4035\"/>
    </mc:Choice>
  </mc:AlternateContent>
  <bookViews>
    <workbookView xWindow="0" yWindow="0" windowWidth="25125" windowHeight="11640"/>
  </bookViews>
  <sheets>
    <sheet name="2025년" sheetId="1" r:id="rId1"/>
  </sheets>
  <calcPr calcId="162913"/>
</workbook>
</file>

<file path=xl/calcChain.xml><?xml version="1.0" encoding="utf-8"?>
<calcChain xmlns="http://schemas.openxmlformats.org/spreadsheetml/2006/main">
  <c r="AI4" i="1" l="1"/>
  <c r="AL4" i="1"/>
  <c r="AF4" i="1"/>
  <c r="AC4" i="1"/>
  <c r="Z4" i="1"/>
  <c r="W4" i="1"/>
  <c r="T4" i="1"/>
  <c r="Q4" i="1"/>
  <c r="N4" i="1"/>
  <c r="K4" i="1"/>
  <c r="E4" i="1"/>
  <c r="H4" i="1"/>
  <c r="AP4" i="1"/>
  <c r="AP3" i="1" s="1"/>
  <c r="AQ4" i="1"/>
  <c r="AQ3" i="1" s="1"/>
  <c r="AO4" i="1" l="1"/>
  <c r="AN3" i="1"/>
  <c r="AM3" i="1"/>
  <c r="AK3" i="1"/>
  <c r="AJ3" i="1"/>
  <c r="AH3" i="1"/>
  <c r="AG3" i="1"/>
  <c r="AE3" i="1"/>
  <c r="AD3" i="1"/>
  <c r="AB3" i="1"/>
  <c r="AA3" i="1"/>
  <c r="Y3" i="1"/>
  <c r="X3" i="1"/>
  <c r="V3" i="1"/>
  <c r="U3" i="1"/>
  <c r="S3" i="1"/>
  <c r="R3" i="1"/>
  <c r="P3" i="1"/>
  <c r="O3" i="1"/>
  <c r="M3" i="1"/>
  <c r="L3" i="1"/>
  <c r="J3" i="1"/>
  <c r="I3" i="1"/>
  <c r="G3" i="1"/>
  <c r="F3" i="1"/>
  <c r="AC3" i="1" l="1"/>
  <c r="Q3" i="1"/>
  <c r="AL3" i="1"/>
  <c r="AF3" i="1"/>
  <c r="W3" i="1"/>
  <c r="T3" i="1"/>
  <c r="N3" i="1"/>
  <c r="K3" i="1"/>
  <c r="H3" i="1"/>
  <c r="AI3" i="1" l="1"/>
  <c r="Z3" i="1"/>
  <c r="E3" i="1"/>
  <c r="AO3" i="1" l="1"/>
</calcChain>
</file>

<file path=xl/sharedStrings.xml><?xml version="1.0" encoding="utf-8"?>
<sst xmlns="http://schemas.openxmlformats.org/spreadsheetml/2006/main" count="67" uniqueCount="31">
  <si>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</si>
  <si>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</si>
  <si>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</si>
  <si>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</si>
  <si>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</si>
  <si>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</si>
  <si>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</si>
  <si>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</si>
  <si>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</si>
  <si>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</si>
  <si>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</si>
  <si>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</si>
  <si>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</si>
  <si>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</si>
  <si>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</si>
  <si>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</si>
  <si>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</si>
  <si>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</si>
  <si>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Leeward-Windward Islands(*)</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</si>
  <si>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</si>
  <si>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</si>
  <si>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</si>
  <si>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</si>
  <si>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</si>
  <si>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</si>
  <si>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</si>
  <si>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HYDRGNTD</t>
    <phoneticPr fontId="18" type="noConversion"/>
  </si>
  <si>
    <t>2. FAS Totals include all Agricultural commodities and FAS selected NONAG commodity items.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</si>
  <si>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</si>
  <si>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FAS</t>
    <phoneticPr fontId="18" type="noConversion"/>
  </si>
  <si>
    <t>3. (*) denotes a country that is a summarization of its component countries.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</si>
</sst>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9">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49" fontId="0" fillId="0" borderId="20"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0"/>
  <sheetViews>
    <sheetView showGridLines="0" tabSelected="1" zoomScaleNormal="100"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2" t="s">
        <v>0</v>
      </c>
      <c r="F1" s="13"/>
      <c r="G1" s="14"/>
      <c r="H1" s="15" t="s">
        <v>1</v>
      </c>
      <c r="I1" s="16"/>
      <c r="J1" s="17"/>
      <c r="K1" s="15" t="s">
        <v>2</v>
      </c>
      <c r="L1" s="16"/>
      <c r="M1" s="17"/>
      <c r="N1" s="15" t="s">
        <v>3</v>
      </c>
      <c r="O1" s="16"/>
      <c r="P1" s="17"/>
      <c r="Q1" s="15" t="s">
        <v>4</v>
      </c>
      <c r="R1" s="16"/>
      <c r="S1" s="17"/>
      <c r="T1" s="15" t="s">
        <v>5</v>
      </c>
      <c r="U1" s="16"/>
      <c r="V1" s="17"/>
      <c r="W1" s="15" t="s">
        <v>6</v>
      </c>
      <c r="X1" s="16"/>
      <c r="Y1" s="17"/>
      <c r="Z1" s="15" t="s">
        <v>7</v>
      </c>
      <c r="AA1" s="16"/>
      <c r="AB1" s="17"/>
      <c r="AC1" s="15" t="s">
        <v>8</v>
      </c>
      <c r="AD1" s="16"/>
      <c r="AE1" s="17"/>
      <c r="AF1" s="15" t="s">
        <v>9</v>
      </c>
      <c r="AG1" s="16"/>
      <c r="AH1" s="17"/>
      <c r="AI1" s="15" t="s">
        <v>10</v>
      </c>
      <c r="AJ1" s="16"/>
      <c r="AK1" s="17"/>
      <c r="AL1" s="15" t="s">
        <v>11</v>
      </c>
      <c r="AM1" s="16"/>
      <c r="AN1" s="17"/>
      <c r="AO1" s="15" t="s">
        <v>12</v>
      </c>
      <c r="AP1" s="16"/>
      <c r="AQ1" s="17"/>
    </row>
    <row r="2" spans="1:67" x14ac:dyDescent="0.3">
      <c r="A2" s="2" t="s">
        <v>20</v>
      </c>
      <c r="B2" s="2" t="s">
        <v>25</v>
      </c>
      <c r="C2" s="2" t="s">
        <v>13</v>
      </c>
      <c r="D2" s="2" t="s">
        <v>21</v>
      </c>
      <c r="E2" s="4" t="s">
        <v>14</v>
      </c>
      <c r="F2" s="2" t="s">
        <v>21</v>
      </c>
      <c r="G2" s="5" t="s">
        <v>15</v>
      </c>
      <c r="H2" s="2" t="s">
        <v>14</v>
      </c>
      <c r="I2" s="2" t="s">
        <v>21</v>
      </c>
      <c r="J2" s="5" t="s">
        <v>15</v>
      </c>
      <c r="K2" s="2" t="s">
        <v>14</v>
      </c>
      <c r="L2" s="2" t="s">
        <v>21</v>
      </c>
      <c r="M2" s="5" t="s">
        <v>15</v>
      </c>
      <c r="N2" s="2" t="s">
        <v>14</v>
      </c>
      <c r="O2" s="2" t="s">
        <v>21</v>
      </c>
      <c r="P2" s="5" t="s">
        <v>15</v>
      </c>
      <c r="Q2" s="2" t="s">
        <v>14</v>
      </c>
      <c r="R2" s="2" t="s">
        <v>21</v>
      </c>
      <c r="S2" s="5" t="s">
        <v>15</v>
      </c>
      <c r="T2" s="2" t="s">
        <v>14</v>
      </c>
      <c r="U2" s="2" t="s">
        <v>21</v>
      </c>
      <c r="V2" s="5" t="s">
        <v>15</v>
      </c>
      <c r="W2" s="2" t="s">
        <v>14</v>
      </c>
      <c r="X2" s="2" t="s">
        <v>21</v>
      </c>
      <c r="Y2" s="5" t="s">
        <v>15</v>
      </c>
      <c r="Z2" s="2" t="s">
        <v>14</v>
      </c>
      <c r="AA2" s="2" t="s">
        <v>21</v>
      </c>
      <c r="AB2" s="5" t="s">
        <v>15</v>
      </c>
      <c r="AC2" s="2" t="s">
        <v>14</v>
      </c>
      <c r="AD2" s="2" t="s">
        <v>21</v>
      </c>
      <c r="AE2" s="5" t="s">
        <v>15</v>
      </c>
      <c r="AF2" s="2" t="s">
        <v>14</v>
      </c>
      <c r="AG2" s="2" t="s">
        <v>21</v>
      </c>
      <c r="AH2" s="5" t="s">
        <v>15</v>
      </c>
      <c r="AI2" s="2" t="s">
        <v>14</v>
      </c>
      <c r="AJ2" s="2" t="s">
        <v>21</v>
      </c>
      <c r="AK2" s="5" t="s">
        <v>15</v>
      </c>
      <c r="AL2" s="2" t="s">
        <v>14</v>
      </c>
      <c r="AM2" s="2" t="s">
        <v>21</v>
      </c>
      <c r="AN2" s="5" t="s">
        <v>15</v>
      </c>
      <c r="AO2" s="2" t="s">
        <v>14</v>
      </c>
      <c r="AP2" s="2" t="s">
        <v>23</v>
      </c>
      <c r="AQ2" s="5" t="s">
        <v>15</v>
      </c>
    </row>
    <row r="3" spans="1:67" ht="15" customHeight="1" x14ac:dyDescent="0.3">
      <c r="A3" s="9" t="s">
        <v>16</v>
      </c>
      <c r="B3" s="10" t="s">
        <v>26</v>
      </c>
      <c r="C3" s="18" t="s">
        <v>17</v>
      </c>
      <c r="D3" s="18" t="s">
        <v>22</v>
      </c>
      <c r="E3" s="6">
        <f>F3/G3</f>
        <v>1660.8</v>
      </c>
      <c r="F3" s="7">
        <f>SUM(F4:F4)</f>
        <v>4152</v>
      </c>
      <c r="G3" s="8">
        <f>SUM(G4:G4)</f>
        <v>2.5</v>
      </c>
      <c r="H3" s="7" t="e">
        <f>I3/J3</f>
        <v>#DIV/0!</v>
      </c>
      <c r="I3" s="7">
        <f>SUM(I4:I4)</f>
        <v>0</v>
      </c>
      <c r="J3" s="8">
        <f>SUM(J4:J4)</f>
        <v>0</v>
      </c>
      <c r="K3" s="7" t="e">
        <f>L3/M3</f>
        <v>#DIV/0!</v>
      </c>
      <c r="L3" s="7">
        <f>SUM(L4:L4)</f>
        <v>0</v>
      </c>
      <c r="M3" s="8">
        <f>SUM(M4:M4)</f>
        <v>0</v>
      </c>
      <c r="N3" s="7" t="e">
        <f>O3/P3</f>
        <v>#DIV/0!</v>
      </c>
      <c r="O3" s="7">
        <f>SUM(O4:O4)</f>
        <v>0</v>
      </c>
      <c r="P3" s="8">
        <f>SUM(P4:P4)</f>
        <v>0</v>
      </c>
      <c r="Q3" s="7" t="e">
        <f>R3/S3</f>
        <v>#DIV/0!</v>
      </c>
      <c r="R3" s="7">
        <f>SUM(R4:R4)</f>
        <v>0</v>
      </c>
      <c r="S3" s="8">
        <f>SUM(S4:S4)</f>
        <v>0</v>
      </c>
      <c r="T3" s="7" t="e">
        <f>U3/V3</f>
        <v>#DIV/0!</v>
      </c>
      <c r="U3" s="7">
        <f>SUM(U4:U4)</f>
        <v>0</v>
      </c>
      <c r="V3" s="8">
        <f>SUM(V4:V4)</f>
        <v>0</v>
      </c>
      <c r="W3" s="7">
        <f>X3/Y3</f>
        <v>5063.2432432432433</v>
      </c>
      <c r="X3" s="7">
        <f>SUM(X4:X4)</f>
        <v>262276</v>
      </c>
      <c r="Y3" s="8">
        <f>SUM(Y4:Y4)</f>
        <v>51.8</v>
      </c>
      <c r="Z3" s="7" t="e">
        <f>AA3/AB3</f>
        <v>#DIV/0!</v>
      </c>
      <c r="AA3" s="7">
        <f>SUM(AA4:AA4)</f>
        <v>0</v>
      </c>
      <c r="AB3" s="8">
        <f>SUM(AB4:AB4)</f>
        <v>0</v>
      </c>
      <c r="AC3" s="7" t="e">
        <f>AD3/AE3</f>
        <v>#DIV/0!</v>
      </c>
      <c r="AD3" s="7">
        <f>SUM(AD4:AD4)</f>
        <v>0</v>
      </c>
      <c r="AE3" s="8">
        <f>SUM(AE4:AE4)</f>
        <v>0</v>
      </c>
      <c r="AF3" s="7" t="e">
        <f>AG3/AH3</f>
        <v>#DIV/0!</v>
      </c>
      <c r="AG3" s="7">
        <f>SUM(AG4:AG4)</f>
        <v>0</v>
      </c>
      <c r="AH3" s="8">
        <f>SUM(AH4:AH4)</f>
        <v>0</v>
      </c>
      <c r="AI3" s="7" t="e">
        <f>AJ3/AK3</f>
        <v>#DIV/0!</v>
      </c>
      <c r="AJ3" s="7">
        <f>SUM(AJ4:AJ4)</f>
        <v>0</v>
      </c>
      <c r="AK3" s="8">
        <f>SUM(AK4:AK4)</f>
        <v>0</v>
      </c>
      <c r="AL3" s="7" t="e">
        <f>AM3/AN3</f>
        <v>#DIV/0!</v>
      </c>
      <c r="AM3" s="7">
        <f>SUM(AM4:AM4)</f>
        <v>0</v>
      </c>
      <c r="AN3" s="8">
        <f>SUM(AN4:AN4)</f>
        <v>0</v>
      </c>
      <c r="AO3" s="7">
        <f>AP3/AQ3</f>
        <v>4906.5930018416211</v>
      </c>
      <c r="AP3" s="7">
        <f>SUM(AP4:AP4)</f>
        <v>266428</v>
      </c>
      <c r="AQ3" s="8">
        <f>SUM(AQ4:AQ4)</f>
        <v>54.3</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9" t="s">
        <v>18</v>
      </c>
      <c r="B4" s="11"/>
      <c r="C4" s="11"/>
      <c r="D4" s="11"/>
      <c r="E4" s="6">
        <f t="shared" ref="E4" si="0">F4/G4</f>
        <v>1660.8</v>
      </c>
      <c r="F4" s="7">
        <v>4152</v>
      </c>
      <c r="G4" s="8">
        <v>2.5</v>
      </c>
      <c r="H4" s="7" t="e">
        <f t="shared" ref="H4" si="1">I4/J4</f>
        <v>#DIV/0!</v>
      </c>
      <c r="I4" s="7">
        <v>0</v>
      </c>
      <c r="J4" s="8">
        <v>0</v>
      </c>
      <c r="K4" s="7" t="e">
        <f t="shared" ref="K4" si="2">L4/M4</f>
        <v>#DIV/0!</v>
      </c>
      <c r="L4" s="7">
        <v>0</v>
      </c>
      <c r="M4" s="8">
        <v>0</v>
      </c>
      <c r="N4" s="7" t="e">
        <f t="shared" ref="N4" si="3">O4/P4</f>
        <v>#DIV/0!</v>
      </c>
      <c r="O4" s="7">
        <v>0</v>
      </c>
      <c r="P4" s="8">
        <v>0</v>
      </c>
      <c r="Q4" s="7" t="e">
        <f t="shared" ref="Q4" si="4">R4/S4</f>
        <v>#DIV/0!</v>
      </c>
      <c r="R4" s="7">
        <v>0</v>
      </c>
      <c r="S4" s="8">
        <v>0</v>
      </c>
      <c r="T4" s="7" t="e">
        <f t="shared" ref="T4" si="5">U4/V4</f>
        <v>#DIV/0!</v>
      </c>
      <c r="U4" s="7">
        <v>0</v>
      </c>
      <c r="V4" s="8">
        <v>0</v>
      </c>
      <c r="W4" s="7">
        <f t="shared" ref="W4" si="6">X4/Y4</f>
        <v>5063.2432432432433</v>
      </c>
      <c r="X4" s="7">
        <v>262276</v>
      </c>
      <c r="Y4" s="8">
        <v>51.8</v>
      </c>
      <c r="Z4" s="7" t="e">
        <f t="shared" ref="Z4" si="7">AA4/AB4</f>
        <v>#DIV/0!</v>
      </c>
      <c r="AA4" s="7">
        <v>0</v>
      </c>
      <c r="AB4" s="8">
        <v>0</v>
      </c>
      <c r="AC4" s="7" t="e">
        <f t="shared" ref="AC4" si="8">AD4/AE4</f>
        <v>#DIV/0!</v>
      </c>
      <c r="AD4" s="7">
        <v>0</v>
      </c>
      <c r="AE4" s="8">
        <v>0</v>
      </c>
      <c r="AF4" s="7" t="e">
        <f t="shared" ref="AF4" si="9">AG4/AH4</f>
        <v>#DIV/0!</v>
      </c>
      <c r="AG4" s="7">
        <v>0</v>
      </c>
      <c r="AH4" s="8">
        <v>0</v>
      </c>
      <c r="AI4" s="7" t="e">
        <f t="shared" ref="AI4" si="10">AJ4/AK4</f>
        <v>#DIV/0!</v>
      </c>
      <c r="AJ4" s="7">
        <v>0</v>
      </c>
      <c r="AK4" s="8">
        <v>0</v>
      </c>
      <c r="AL4" s="7" t="e">
        <f t="shared" ref="AL4" si="11">AM4/AN4</f>
        <v>#DIV/0!</v>
      </c>
      <c r="AM4" s="7">
        <v>0</v>
      </c>
      <c r="AN4" s="8">
        <v>0</v>
      </c>
      <c r="AO4" s="7">
        <f t="shared" ref="AO4" si="12">AP4/AQ4</f>
        <v>4906.5930018416211</v>
      </c>
      <c r="AP4" s="7">
        <f t="shared" ref="AP4" si="13">SUM(F4,I4,L4,O4,R4,U4,X4,AA4,AD4,AG4,AJ4,AM4)</f>
        <v>266428</v>
      </c>
      <c r="AQ4" s="8">
        <f t="shared" ref="AQ4" si="14">SUM(G4,J4,M4,P4,S4,V4,Y4,AB4,AE4,AH4,AK4,AN4)</f>
        <v>54.3</v>
      </c>
      <c r="AR4" s="3"/>
      <c r="AS4" s="3"/>
      <c r="AT4" s="3"/>
      <c r="AU4" s="3"/>
      <c r="AV4" s="3"/>
      <c r="AW4" s="3"/>
      <c r="AX4" s="3"/>
      <c r="AY4" s="3"/>
      <c r="AZ4" s="3"/>
      <c r="BA4" s="3"/>
      <c r="BB4" s="3"/>
      <c r="BC4" s="3"/>
      <c r="BD4" s="3"/>
      <c r="BE4" s="3"/>
      <c r="BF4" s="3"/>
      <c r="BG4" s="3"/>
      <c r="BH4" s="3"/>
      <c r="BI4" s="3"/>
      <c r="BJ4" s="3"/>
      <c r="BK4" s="3"/>
      <c r="BL4" s="3"/>
      <c r="BM4" s="3"/>
      <c r="BN4" s="3"/>
      <c r="BO4" s="3"/>
    </row>
    <row r="5" spans="1:67" x14ac:dyDescent="0.3">
      <c r="A5" s="1" t="s">
        <v>19</v>
      </c>
      <c r="B5" s="1"/>
    </row>
    <row r="6" spans="1:67" x14ac:dyDescent="0.3">
      <c r="A6" s="1" t="s">
        <v>24</v>
      </c>
      <c r="B6" s="1"/>
    </row>
    <row r="7" spans="1:67" x14ac:dyDescent="0.3">
      <c r="A7" s="1" t="s">
        <v>27</v>
      </c>
      <c r="B7" s="1"/>
    </row>
    <row r="8" spans="1:67" x14ac:dyDescent="0.3">
      <c r="A8" s="1" t="s">
        <v>30</v>
      </c>
      <c r="B8" s="1"/>
    </row>
    <row r="9" spans="1:67" x14ac:dyDescent="0.3">
      <c r="A9" s="1" t="s">
        <v>28</v>
      </c>
      <c r="B9" s="1"/>
    </row>
    <row r="10" spans="1:67" x14ac:dyDescent="0.3">
      <c r="A10" s="1" t="s">
        <v>29</v>
      </c>
      <c r="B10" s="1"/>
    </row>
  </sheetData>
  <mergeCells count="16">
    <mergeCell ref="N1:P1"/>
    <mergeCell ref="Q1:S1"/>
    <mergeCell ref="T1:V1"/>
    <mergeCell ref="AL1:AN1"/>
    <mergeCell ref="AO1:AQ1"/>
    <mergeCell ref="W1:Y1"/>
    <mergeCell ref="Z1:AB1"/>
    <mergeCell ref="AC1:AE1"/>
    <mergeCell ref="AF1:AH1"/>
    <mergeCell ref="AI1:AK1"/>
    <mergeCell ref="B3:B4"/>
    <mergeCell ref="E1:G1"/>
    <mergeCell ref="H1:J1"/>
    <mergeCell ref="K1:M1"/>
    <mergeCell ref="C3:C4"/>
    <mergeCell ref="D3:D4"/>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2025년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2026-08-11T00:17:59Z</dcterms:modified>
</cp:coreProperties>
</file>