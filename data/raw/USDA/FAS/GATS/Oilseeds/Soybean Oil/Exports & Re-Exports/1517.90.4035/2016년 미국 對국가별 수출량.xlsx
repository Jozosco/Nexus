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17.90.4035\"/>
    </mc:Choice>
  </mc:AlternateContent>
  <bookViews>
    <workbookView xWindow="0" yWindow="0" windowWidth="25125" windowHeight="11640"/>
  </bookViews>
  <sheets>
    <sheet name="2016년" sheetId="1" r:id="rId1"/>
  </sheets>
  <calcPr calcId="162913"/>
</workbook>
</file>

<file path=xl/calcChain.xml><?xml version="1.0" encoding="utf-8"?>
<calcChain xmlns="http://schemas.openxmlformats.org/spreadsheetml/2006/main">
  <c r="AQ41" i="1" l="1"/>
  <c r="AP41" i="1"/>
  <c r="AO41" i="1" s="1"/>
  <c r="AQ40" i="1"/>
  <c r="AO40" i="1" s="1"/>
  <c r="AP40" i="1"/>
  <c r="AQ39" i="1"/>
  <c r="AP39" i="1"/>
  <c r="AQ38" i="1"/>
  <c r="AP38" i="1"/>
  <c r="AQ37" i="1"/>
  <c r="AP37" i="1"/>
  <c r="AO37" i="1" s="1"/>
  <c r="AQ36" i="1"/>
  <c r="AO36" i="1" s="1"/>
  <c r="AP36" i="1"/>
  <c r="AQ35" i="1"/>
  <c r="AP35" i="1"/>
  <c r="AQ34" i="1"/>
  <c r="AP34" i="1"/>
  <c r="AQ33" i="1"/>
  <c r="AP33" i="1"/>
  <c r="AQ32" i="1"/>
  <c r="AP32" i="1"/>
  <c r="AQ31" i="1"/>
  <c r="AP31" i="1"/>
  <c r="AQ30" i="1"/>
  <c r="AP30" i="1"/>
  <c r="AQ29" i="1"/>
  <c r="AP29" i="1"/>
  <c r="AQ28" i="1"/>
  <c r="AP28" i="1"/>
  <c r="AQ27" i="1"/>
  <c r="AP27" i="1"/>
  <c r="AQ26" i="1"/>
  <c r="AP26" i="1"/>
  <c r="AQ25" i="1"/>
  <c r="AP25" i="1"/>
  <c r="AQ24" i="1"/>
  <c r="AP24" i="1"/>
  <c r="AQ23" i="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Q5" i="1"/>
  <c r="AP5" i="1"/>
  <c r="AN3" i="1"/>
  <c r="AM3" i="1"/>
  <c r="AK3" i="1"/>
  <c r="AJ3" i="1"/>
  <c r="AH3" i="1"/>
  <c r="AG3" i="1"/>
  <c r="AE3" i="1"/>
  <c r="AD3" i="1"/>
  <c r="AB3" i="1"/>
  <c r="AA3" i="1"/>
  <c r="Y3" i="1"/>
  <c r="X3" i="1"/>
  <c r="V3" i="1"/>
  <c r="U3" i="1"/>
  <c r="S3" i="1"/>
  <c r="R3" i="1"/>
  <c r="P3" i="1"/>
  <c r="O3" i="1"/>
  <c r="M3" i="1"/>
  <c r="L3" i="1"/>
  <c r="J3" i="1"/>
  <c r="I3" i="1"/>
  <c r="G3" i="1"/>
  <c r="F3" i="1"/>
  <c r="E41" i="1"/>
  <c r="E40" i="1"/>
  <c r="E39" i="1"/>
  <c r="E38" i="1"/>
  <c r="E37" i="1"/>
  <c r="E36" i="1"/>
  <c r="H41" i="1"/>
  <c r="H40" i="1"/>
  <c r="H39" i="1"/>
  <c r="H38" i="1"/>
  <c r="H37" i="1"/>
  <c r="H36" i="1"/>
  <c r="K41" i="1"/>
  <c r="K40" i="1"/>
  <c r="K39" i="1"/>
  <c r="K38" i="1"/>
  <c r="K37" i="1"/>
  <c r="K36" i="1"/>
  <c r="N41" i="1"/>
  <c r="N40" i="1"/>
  <c r="N39" i="1"/>
  <c r="N38" i="1"/>
  <c r="N37" i="1"/>
  <c r="N36" i="1"/>
  <c r="Q41" i="1"/>
  <c r="Q40" i="1"/>
  <c r="Q39" i="1"/>
  <c r="Q38" i="1"/>
  <c r="Q37" i="1"/>
  <c r="Q36" i="1"/>
  <c r="T41" i="1"/>
  <c r="T40" i="1"/>
  <c r="T39" i="1"/>
  <c r="T38" i="1"/>
  <c r="T37" i="1"/>
  <c r="T36" i="1"/>
  <c r="AC41" i="1"/>
  <c r="AC40" i="1"/>
  <c r="AC39" i="1"/>
  <c r="AC38" i="1"/>
  <c r="AC37" i="1"/>
  <c r="AC36" i="1"/>
  <c r="W41" i="1"/>
  <c r="W40" i="1"/>
  <c r="W39" i="1"/>
  <c r="W38" i="1"/>
  <c r="W37" i="1"/>
  <c r="W36" i="1"/>
  <c r="Z41" i="1"/>
  <c r="Z40" i="1"/>
  <c r="Z39" i="1"/>
  <c r="Z38" i="1"/>
  <c r="Z37" i="1"/>
  <c r="Z36" i="1"/>
  <c r="AF41" i="1"/>
  <c r="AF40" i="1"/>
  <c r="AF39" i="1"/>
  <c r="AF38" i="1"/>
  <c r="AF37" i="1"/>
  <c r="AF36" i="1"/>
  <c r="AI41" i="1"/>
  <c r="AI40" i="1"/>
  <c r="AI39" i="1"/>
  <c r="AI38" i="1"/>
  <c r="AI37" i="1"/>
  <c r="AI36" i="1"/>
  <c r="AO39" i="1"/>
  <c r="AO38" i="1"/>
  <c r="AL41" i="1"/>
  <c r="AL40" i="1"/>
  <c r="AL39" i="1"/>
  <c r="AL38" i="1"/>
  <c r="AL37" i="1"/>
  <c r="AL36" i="1"/>
  <c r="AQ4" i="1" l="1"/>
  <c r="AP4" i="1"/>
  <c r="AC3" i="1" l="1"/>
  <c r="Q3" i="1"/>
  <c r="AL3" i="1"/>
  <c r="AF3" i="1"/>
  <c r="W3" i="1"/>
  <c r="T3" i="1"/>
  <c r="N3" i="1"/>
  <c r="K3" i="1"/>
  <c r="H3" i="1"/>
  <c r="AP3" i="1"/>
  <c r="AL35" i="1"/>
  <c r="AL34" i="1"/>
  <c r="AL33" i="1"/>
  <c r="AL32" i="1"/>
  <c r="AL31" i="1"/>
  <c r="AL30" i="1"/>
  <c r="AL29" i="1"/>
  <c r="AL28" i="1"/>
  <c r="AL27" i="1"/>
  <c r="AL26" i="1"/>
  <c r="AL25" i="1"/>
  <c r="AL24" i="1"/>
  <c r="AL23" i="1"/>
  <c r="AL22" i="1"/>
  <c r="AL21" i="1"/>
  <c r="AL20" i="1"/>
  <c r="AL19" i="1"/>
  <c r="AL18" i="1"/>
  <c r="AL17" i="1"/>
  <c r="AL16" i="1"/>
  <c r="AL15" i="1"/>
  <c r="AL14" i="1"/>
  <c r="AL13" i="1"/>
  <c r="AL12" i="1"/>
  <c r="AL11" i="1"/>
  <c r="AL10" i="1"/>
  <c r="AL9" i="1"/>
  <c r="AL8" i="1"/>
  <c r="AL7" i="1"/>
  <c r="AL6" i="1"/>
  <c r="AL5" i="1"/>
  <c r="AL4" i="1"/>
  <c r="AI35" i="1"/>
  <c r="AI34" i="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Z35"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E35" i="1"/>
  <c r="E34" i="1"/>
  <c r="E33" i="1"/>
  <c r="E32" i="1"/>
  <c r="E31" i="1"/>
  <c r="E30" i="1"/>
  <c r="E29" i="1"/>
  <c r="E28" i="1"/>
  <c r="E27" i="1"/>
  <c r="E26" i="1"/>
  <c r="E25" i="1"/>
  <c r="E24" i="1"/>
  <c r="E23" i="1"/>
  <c r="E22" i="1"/>
  <c r="E21" i="1"/>
  <c r="E20" i="1"/>
  <c r="E19" i="1"/>
  <c r="E18" i="1"/>
  <c r="E17" i="1"/>
  <c r="E16" i="1"/>
  <c r="E15" i="1"/>
  <c r="E14" i="1"/>
  <c r="E13" i="1"/>
  <c r="E11" i="1"/>
  <c r="E10" i="1"/>
  <c r="E9" i="1"/>
  <c r="E8" i="1"/>
  <c r="E7" i="1"/>
  <c r="E6" i="1"/>
  <c r="E5" i="1"/>
  <c r="E4" i="1"/>
  <c r="E12" i="1"/>
  <c r="AQ3" i="1"/>
  <c r="AI3" i="1" l="1"/>
  <c r="Z3" i="1"/>
  <c r="AO7" i="1"/>
  <c r="AO15" i="1"/>
  <c r="E3" i="1"/>
  <c r="AO10" i="1"/>
  <c r="AO18" i="1"/>
  <c r="AO26" i="1"/>
  <c r="AO34" i="1"/>
  <c r="AO11" i="1"/>
  <c r="AO27" i="1"/>
  <c r="AO35" i="1"/>
  <c r="AO20" i="1"/>
  <c r="AO28" i="1"/>
  <c r="AO5" i="1"/>
  <c r="AO13" i="1"/>
  <c r="AO21" i="1"/>
  <c r="AO29" i="1"/>
  <c r="AO6" i="1"/>
  <c r="AO14" i="1"/>
  <c r="AO22" i="1"/>
  <c r="AO30" i="1"/>
  <c r="AO31" i="1"/>
  <c r="AO8" i="1"/>
  <c r="AO16" i="1"/>
  <c r="AO24" i="1"/>
  <c r="AO32" i="1"/>
  <c r="AO9" i="1"/>
  <c r="AO17" i="1"/>
  <c r="AO25" i="1"/>
  <c r="AO33" i="1"/>
  <c r="AO19" i="1"/>
  <c r="AO23" i="1"/>
  <c r="AO3" i="1" l="1"/>
  <c r="AO4" i="1"/>
  <c r="AO12" i="1"/>
</calcChain>
</file>

<file path=xl/sharedStrings.xml><?xml version="1.0" encoding="utf-8"?>
<sst xmlns="http://schemas.openxmlformats.org/spreadsheetml/2006/main" count="103" uniqueCount="67">
  <si>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</si>
  <si>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</si>
  <si>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</si>
  <si>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</si>
  <si>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</si>
  <si>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</si>
  <si>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</si>
  <si>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</si>
  <si>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</si>
  <si>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</si>
  <si>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</si>
  <si>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</si>
  <si>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</si>
  <si>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</si>
  <si>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</si>
  <si>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</si>
  <si>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</si>
  <si>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</si>
  <si>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Colombia</t>
  </si>
  <si>
    <t>Dominican Republic</t>
  </si>
  <si>
    <t>Jamaica</t>
  </si>
  <si>
    <t>Mexico</t>
  </si>
  <si>
    <t>United Arab Emirates</t>
  </si>
  <si>
    <t>Bahamas, The</t>
  </si>
  <si>
    <t>Belize</t>
  </si>
  <si>
    <t>Guatemala</t>
  </si>
  <si>
    <t>Honduras</t>
  </si>
  <si>
    <t>Panama</t>
  </si>
  <si>
    <t>Trinidad and Tobago</t>
  </si>
  <si>
    <t>Venezuela</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</si>
  <si>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</si>
  <si>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</si>
  <si>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</si>
  <si>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</si>
  <si>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</si>
  <si>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</si>
  <si>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</si>
  <si>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</si>
  <si>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Netherlands Antilles(*)</t>
  </si>
  <si>
    <t>Saudi Arabia</t>
  </si>
  <si>
    <t>Kuwait</t>
  </si>
  <si>
    <t>Lebanon</t>
  </si>
  <si>
    <t>Cayman Islands</t>
  </si>
  <si>
    <t>Bermuda</t>
  </si>
  <si>
    <t>New Zealand(*)</t>
  </si>
  <si>
    <t>United Kingdom</t>
  </si>
  <si>
    <t>1. Data Source: U.S. Census Bureau Trade Data</t>
  </si>
  <si>
    <t>4. Product Group : Harmonized</t>
  </si>
  <si>
    <t>Product</t>
    <phoneticPr fontId="18" type="noConversion"/>
  </si>
  <si>
    <t>Suriname</t>
  </si>
  <si>
    <t>Taiwan</t>
  </si>
  <si>
    <t>Qatar</t>
  </si>
  <si>
    <t>Turks and Caicos Islands</t>
  </si>
  <si>
    <t>SOY OIL HYDRGNTD</t>
    <phoneticPr fontId="18" type="noConversion"/>
  </si>
  <si>
    <t>Hong Kong</t>
  </si>
  <si>
    <t>Nicaragua</t>
  </si>
  <si>
    <t>Barbados</t>
  </si>
  <si>
    <t>Costa Rica</t>
  </si>
  <si>
    <t>El Salvador</t>
  </si>
  <si>
    <t>Guyana</t>
  </si>
  <si>
    <t>Korea, South</t>
  </si>
  <si>
    <t>Marshall Islands</t>
  </si>
  <si>
    <t>Bahrain</t>
  </si>
  <si>
    <t>Chile</t>
  </si>
  <si>
    <t>Haiti</t>
  </si>
  <si>
    <t>Oman</t>
  </si>
  <si>
    <t>Malaysia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</si>
</sst>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3">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49" fontId="0" fillId="0" borderId="17" xfId="0" applyNumberFormat="1" applyBorder="1">
      <alignment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xf numFmtId="176" fontId="0" fillId="0" borderId="0"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46"/>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5" t="s">
        <v>0</v>
      </c>
      <c r="F1" s="16"/>
      <c r="G1" s="17"/>
      <c r="H1" s="18" t="s">
        <v>1</v>
      </c>
      <c r="I1" s="19"/>
      <c r="J1" s="20"/>
      <c r="K1" s="18" t="s">
        <v>2</v>
      </c>
      <c r="L1" s="19"/>
      <c r="M1" s="20"/>
      <c r="N1" s="18" t="s">
        <v>3</v>
      </c>
      <c r="O1" s="19"/>
      <c r="P1" s="20"/>
      <c r="Q1" s="18" t="s">
        <v>4</v>
      </c>
      <c r="R1" s="19"/>
      <c r="S1" s="20"/>
      <c r="T1" s="18" t="s">
        <v>5</v>
      </c>
      <c r="U1" s="19"/>
      <c r="V1" s="20"/>
      <c r="W1" s="18" t="s">
        <v>6</v>
      </c>
      <c r="X1" s="19"/>
      <c r="Y1" s="20"/>
      <c r="Z1" s="18" t="s">
        <v>7</v>
      </c>
      <c r="AA1" s="19"/>
      <c r="AB1" s="20"/>
      <c r="AC1" s="18" t="s">
        <v>8</v>
      </c>
      <c r="AD1" s="19"/>
      <c r="AE1" s="20"/>
      <c r="AF1" s="18" t="s">
        <v>9</v>
      </c>
      <c r="AG1" s="19"/>
      <c r="AH1" s="20"/>
      <c r="AI1" s="18" t="s">
        <v>10</v>
      </c>
      <c r="AJ1" s="19"/>
      <c r="AK1" s="20"/>
      <c r="AL1" s="18" t="s">
        <v>11</v>
      </c>
      <c r="AM1" s="19"/>
      <c r="AN1" s="20"/>
      <c r="AO1" s="18" t="s">
        <v>12</v>
      </c>
      <c r="AP1" s="19"/>
      <c r="AQ1" s="20"/>
    </row>
    <row r="2" spans="1:67" x14ac:dyDescent="0.3">
      <c r="A2" s="2" t="s">
        <v>34</v>
      </c>
      <c r="B2" s="2" t="s">
        <v>48</v>
      </c>
      <c r="C2" s="2" t="s">
        <v>13</v>
      </c>
      <c r="D2" s="2" t="s">
        <v>35</v>
      </c>
      <c r="E2" s="4" t="s">
        <v>14</v>
      </c>
      <c r="F2" s="2" t="s">
        <v>35</v>
      </c>
      <c r="G2" s="5" t="s">
        <v>15</v>
      </c>
      <c r="H2" s="2" t="s">
        <v>14</v>
      </c>
      <c r="I2" s="2" t="s">
        <v>35</v>
      </c>
      <c r="J2" s="5" t="s">
        <v>15</v>
      </c>
      <c r="K2" s="2" t="s">
        <v>14</v>
      </c>
      <c r="L2" s="2" t="s">
        <v>35</v>
      </c>
      <c r="M2" s="5" t="s">
        <v>15</v>
      </c>
      <c r="N2" s="2" t="s">
        <v>14</v>
      </c>
      <c r="O2" s="2" t="s">
        <v>35</v>
      </c>
      <c r="P2" s="5" t="s">
        <v>15</v>
      </c>
      <c r="Q2" s="2" t="s">
        <v>14</v>
      </c>
      <c r="R2" s="2" t="s">
        <v>35</v>
      </c>
      <c r="S2" s="5" t="s">
        <v>15</v>
      </c>
      <c r="T2" s="2" t="s">
        <v>14</v>
      </c>
      <c r="U2" s="2" t="s">
        <v>35</v>
      </c>
      <c r="V2" s="5" t="s">
        <v>15</v>
      </c>
      <c r="W2" s="2" t="s">
        <v>14</v>
      </c>
      <c r="X2" s="2" t="s">
        <v>35</v>
      </c>
      <c r="Y2" s="5" t="s">
        <v>15</v>
      </c>
      <c r="Z2" s="2" t="s">
        <v>14</v>
      </c>
      <c r="AA2" s="2" t="s">
        <v>35</v>
      </c>
      <c r="AB2" s="5" t="s">
        <v>15</v>
      </c>
      <c r="AC2" s="2" t="s">
        <v>14</v>
      </c>
      <c r="AD2" s="2" t="s">
        <v>35</v>
      </c>
      <c r="AE2" s="5" t="s">
        <v>15</v>
      </c>
      <c r="AF2" s="2" t="s">
        <v>14</v>
      </c>
      <c r="AG2" s="2" t="s">
        <v>35</v>
      </c>
      <c r="AH2" s="5" t="s">
        <v>15</v>
      </c>
      <c r="AI2" s="2" t="s">
        <v>14</v>
      </c>
      <c r="AJ2" s="2" t="s">
        <v>35</v>
      </c>
      <c r="AK2" s="5" t="s">
        <v>15</v>
      </c>
      <c r="AL2" s="2" t="s">
        <v>14</v>
      </c>
      <c r="AM2" s="2" t="s">
        <v>35</v>
      </c>
      <c r="AN2" s="5" t="s">
        <v>15</v>
      </c>
      <c r="AO2" s="2" t="s">
        <v>14</v>
      </c>
      <c r="AP2" s="2" t="s">
        <v>37</v>
      </c>
      <c r="AQ2" s="5" t="s">
        <v>15</v>
      </c>
    </row>
    <row r="3" spans="1:67" ht="15" customHeight="1" x14ac:dyDescent="0.3">
      <c r="A3" s="7" t="s">
        <v>16</v>
      </c>
      <c r="B3" s="21" t="s">
        <v>53</v>
      </c>
      <c r="C3" s="21" t="s">
        <v>17</v>
      </c>
      <c r="D3" s="21" t="s">
        <v>36</v>
      </c>
      <c r="E3" s="10">
        <f>F3/G3</f>
        <v>1257.2145496985022</v>
      </c>
      <c r="F3" s="10">
        <f>SUM(F4:F41)</f>
        <v>646334</v>
      </c>
      <c r="G3" s="11">
        <f t="shared" ref="G3" si="0">SUM(G4:G41)</f>
        <v>514.1</v>
      </c>
      <c r="H3" s="10">
        <f>I3/J3</f>
        <v>1438.199630314233</v>
      </c>
      <c r="I3" s="10">
        <f t="shared" ref="I3:J3" si="1">SUM(I4:I41)</f>
        <v>389033</v>
      </c>
      <c r="J3" s="11">
        <f t="shared" si="1"/>
        <v>270.5</v>
      </c>
      <c r="K3" s="10">
        <f>L3/M3</f>
        <v>1334.3753253513794</v>
      </c>
      <c r="L3" s="10">
        <f t="shared" ref="L3" si="2">SUM(L4:L41)</f>
        <v>512667</v>
      </c>
      <c r="M3" s="11">
        <f t="shared" ref="M3" si="3">SUM(M4:M41)</f>
        <v>384.20000000000005</v>
      </c>
      <c r="N3" s="10">
        <f>O3/P3</f>
        <v>1318.0463852904304</v>
      </c>
      <c r="O3" s="10">
        <f t="shared" ref="O3" si="4">SUM(O4:O41)</f>
        <v>630817</v>
      </c>
      <c r="P3" s="11">
        <f t="shared" ref="P3" si="5">SUM(P4:P41)</f>
        <v>478.6</v>
      </c>
      <c r="Q3" s="10">
        <f>R3/S3</f>
        <v>1518.5969387755099</v>
      </c>
      <c r="R3" s="10">
        <f t="shared" ref="R3" si="6">SUM(R4:R41)</f>
        <v>297645</v>
      </c>
      <c r="S3" s="11">
        <f t="shared" ref="S3" si="7">SUM(S4:S41)</f>
        <v>196.00000000000003</v>
      </c>
      <c r="T3" s="10">
        <f>U3/V3</f>
        <v>1307.3201856148494</v>
      </c>
      <c r="U3" s="10">
        <f t="shared" ref="U3" si="8">SUM(U4:U41)</f>
        <v>450764</v>
      </c>
      <c r="V3" s="11">
        <f t="shared" ref="V3" si="9">SUM(V4:V41)</f>
        <v>344.79999999999995</v>
      </c>
      <c r="W3" s="10">
        <f>X3/Y3</f>
        <v>1267.518926359257</v>
      </c>
      <c r="X3" s="10">
        <f t="shared" ref="X3" si="10">SUM(X4:X41)</f>
        <v>368341</v>
      </c>
      <c r="Y3" s="11">
        <f t="shared" ref="Y3" si="11">SUM(Y4:Y41)</f>
        <v>290.59999999999997</v>
      </c>
      <c r="Z3" s="10">
        <f>AA3/AB3</f>
        <v>1390.8685235100331</v>
      </c>
      <c r="AA3" s="10">
        <f t="shared" ref="AA3" si="12">SUM(AA4:AA41)</f>
        <v>464411</v>
      </c>
      <c r="AB3" s="11">
        <f t="shared" ref="AB3" si="13">SUM(AB4:AB41)</f>
        <v>333.9</v>
      </c>
      <c r="AC3" s="10">
        <f>AD3/AE3</f>
        <v>1200.4742156509196</v>
      </c>
      <c r="AD3" s="10">
        <f t="shared" ref="AD3" si="14">SUM(AD4:AD41)</f>
        <v>665783</v>
      </c>
      <c r="AE3" s="11">
        <f t="shared" ref="AE3" si="15">SUM(AE4:AE41)</f>
        <v>554.6</v>
      </c>
      <c r="AF3" s="10">
        <f>AG3/AH3</f>
        <v>1397.7503974562794</v>
      </c>
      <c r="AG3" s="10">
        <f t="shared" ref="AG3" si="16">SUM(AG4:AG41)</f>
        <v>703348</v>
      </c>
      <c r="AH3" s="11">
        <f t="shared" ref="AH3" si="17">SUM(AH4:AH41)</f>
        <v>503.2000000000001</v>
      </c>
      <c r="AI3" s="10">
        <f>AJ3/AK3</f>
        <v>1326.6463237430978</v>
      </c>
      <c r="AJ3" s="10">
        <f t="shared" ref="AJ3" si="18">SUM(AJ4:AJ41)</f>
        <v>456499</v>
      </c>
      <c r="AK3" s="11">
        <f t="shared" ref="AK3" si="19">SUM(AK4:AK41)</f>
        <v>344.1</v>
      </c>
      <c r="AL3" s="10">
        <f>AM3/AN3</f>
        <v>1525.9668777398929</v>
      </c>
      <c r="AM3" s="10">
        <f t="shared" ref="AM3" si="20">SUM(AM4:AM41)</f>
        <v>313281</v>
      </c>
      <c r="AN3" s="11">
        <f t="shared" ref="AN3" si="21">SUM(AN4:AN41)</f>
        <v>205.29999999999998</v>
      </c>
      <c r="AO3" s="10">
        <f>AP3/AQ3</f>
        <v>1334.6281590081226</v>
      </c>
      <c r="AP3" s="10">
        <f t="shared" ref="AP3" si="22">SUM(AP4:AP41)</f>
        <v>5898923</v>
      </c>
      <c r="AQ3" s="11">
        <f t="shared" ref="AQ3" si="23">SUM(AQ4:AQ41)</f>
        <v>4419.8999999999996</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8" t="s">
        <v>21</v>
      </c>
      <c r="B4" s="13"/>
      <c r="C4" s="13"/>
      <c r="D4" s="13"/>
      <c r="E4" s="3">
        <f t="shared" ref="E4:E11" si="24">F4/G4</f>
        <v>2401.8380062305296</v>
      </c>
      <c r="F4" s="3">
        <v>77099</v>
      </c>
      <c r="G4" s="6">
        <v>32.1</v>
      </c>
      <c r="H4" s="3">
        <f t="shared" ref="H4:H11" si="25">I4/J4</f>
        <v>1802.9742388758782</v>
      </c>
      <c r="I4" s="3">
        <v>76987</v>
      </c>
      <c r="J4" s="6">
        <v>42.7</v>
      </c>
      <c r="K4" s="3">
        <f t="shared" ref="K4:K11" si="26">L4/M4</f>
        <v>1567.8217821782177</v>
      </c>
      <c r="L4" s="3">
        <v>110845</v>
      </c>
      <c r="M4" s="6">
        <v>70.7</v>
      </c>
      <c r="N4" s="3">
        <f t="shared" ref="N4:N11" si="27">O4/P4</f>
        <v>1586.0643015521064</v>
      </c>
      <c r="O4" s="3">
        <v>143063</v>
      </c>
      <c r="P4" s="6">
        <v>90.2</v>
      </c>
      <c r="Q4" s="3">
        <f t="shared" ref="Q4:Q11" si="28">R4/S4</f>
        <v>3195.7608695652175</v>
      </c>
      <c r="R4" s="3">
        <v>58802</v>
      </c>
      <c r="S4" s="6">
        <v>18.399999999999999</v>
      </c>
      <c r="T4" s="3">
        <f t="shared" ref="T4:T11" si="29">U4/V4</f>
        <v>1950.9130434782608</v>
      </c>
      <c r="U4" s="3">
        <v>44871</v>
      </c>
      <c r="V4" s="6">
        <v>23</v>
      </c>
      <c r="W4" s="3">
        <f t="shared" ref="W4:W11" si="30">X4/Y4</f>
        <v>1558.5576923076922</v>
      </c>
      <c r="X4" s="3">
        <v>32418</v>
      </c>
      <c r="Y4" s="6">
        <v>20.8</v>
      </c>
      <c r="Z4" s="3">
        <f t="shared" ref="Z4:Z11" si="31">AA4/AB4</f>
        <v>2118.181818181818</v>
      </c>
      <c r="AA4" s="3">
        <v>107180</v>
      </c>
      <c r="AB4" s="6">
        <v>50.6</v>
      </c>
      <c r="AC4" s="3">
        <f t="shared" ref="AC4:AC11" si="32">AD4/AE4</f>
        <v>1549.9706744868035</v>
      </c>
      <c r="AD4" s="3">
        <v>52854</v>
      </c>
      <c r="AE4" s="6">
        <v>34.1</v>
      </c>
      <c r="AF4" s="3">
        <f t="shared" ref="AF4:AF11" si="33">AG4/AH4</f>
        <v>2281.6204986149583</v>
      </c>
      <c r="AG4" s="3">
        <v>164733</v>
      </c>
      <c r="AH4" s="6">
        <v>72.2</v>
      </c>
      <c r="AI4" s="3">
        <f t="shared" ref="AI4:AI11" si="34">AJ4/AK4</f>
        <v>1797.421052631579</v>
      </c>
      <c r="AJ4" s="3">
        <v>34151</v>
      </c>
      <c r="AK4" s="6">
        <v>19</v>
      </c>
      <c r="AL4" s="3">
        <f t="shared" ref="AL4:AL11" si="35">AM4/AN4</f>
        <v>2102.5340136054424</v>
      </c>
      <c r="AM4" s="3">
        <v>123629</v>
      </c>
      <c r="AN4" s="6">
        <v>58.8</v>
      </c>
      <c r="AO4" s="3">
        <f t="shared" ref="AO4:AO41" si="36">AP4/AQ4</f>
        <v>1927.5854299662035</v>
      </c>
      <c r="AP4" s="3">
        <f t="shared" ref="AP4" si="37">SUM(F4,I4,L4,O4,R4,U4,X4,AA4,AD4,AG4,AJ4,AM4)</f>
        <v>1026632</v>
      </c>
      <c r="AQ4" s="6">
        <f t="shared" ref="AQ4" si="38">SUM(G4,J4,M4,P4,S4,V4,Y4,AB4,AE4,AH4,AK4,AN4)</f>
        <v>532.6</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28</v>
      </c>
      <c r="B5" s="13"/>
      <c r="C5" s="13"/>
      <c r="D5" s="13"/>
      <c r="E5" s="3" t="e">
        <f t="shared" si="24"/>
        <v>#DIV/0!</v>
      </c>
      <c r="F5" s="3">
        <v>0</v>
      </c>
      <c r="G5" s="6">
        <v>0</v>
      </c>
      <c r="H5" s="3" t="e">
        <f t="shared" si="25"/>
        <v>#DIV/0!</v>
      </c>
      <c r="I5" s="3">
        <v>0</v>
      </c>
      <c r="J5" s="6">
        <v>0</v>
      </c>
      <c r="K5" s="3">
        <f t="shared" si="26"/>
        <v>1168.9473684210525</v>
      </c>
      <c r="L5" s="3">
        <v>13326</v>
      </c>
      <c r="M5" s="6">
        <v>11.4</v>
      </c>
      <c r="N5" s="3">
        <f t="shared" si="27"/>
        <v>1202.4418604651164</v>
      </c>
      <c r="O5" s="3">
        <v>10341</v>
      </c>
      <c r="P5" s="6">
        <v>8.6</v>
      </c>
      <c r="Q5" s="3">
        <f t="shared" si="28"/>
        <v>1230</v>
      </c>
      <c r="R5" s="3">
        <v>7011</v>
      </c>
      <c r="S5" s="6">
        <v>5.7</v>
      </c>
      <c r="T5" s="3">
        <f t="shared" si="29"/>
        <v>1231.4840182648402</v>
      </c>
      <c r="U5" s="3">
        <v>107878</v>
      </c>
      <c r="V5" s="6">
        <v>87.6</v>
      </c>
      <c r="W5" s="3">
        <f t="shared" si="30"/>
        <v>1260.3341902313625</v>
      </c>
      <c r="X5" s="3">
        <v>49027</v>
      </c>
      <c r="Y5" s="6">
        <v>38.9</v>
      </c>
      <c r="Z5" s="3">
        <f t="shared" si="31"/>
        <v>1253.1761006289307</v>
      </c>
      <c r="AA5" s="3">
        <v>39851</v>
      </c>
      <c r="AB5" s="6">
        <v>31.8</v>
      </c>
      <c r="AC5" s="3">
        <f t="shared" si="32"/>
        <v>1190.8253588516748</v>
      </c>
      <c r="AD5" s="3">
        <v>99553</v>
      </c>
      <c r="AE5" s="6">
        <v>83.6</v>
      </c>
      <c r="AF5" s="3">
        <f t="shared" si="33"/>
        <v>1272.1382289416847</v>
      </c>
      <c r="AG5" s="3">
        <v>117800</v>
      </c>
      <c r="AH5" s="6">
        <v>92.6</v>
      </c>
      <c r="AI5" s="3">
        <f t="shared" si="34"/>
        <v>1334.9378881987577</v>
      </c>
      <c r="AJ5" s="3">
        <v>85970</v>
      </c>
      <c r="AK5" s="6">
        <v>64.400000000000006</v>
      </c>
      <c r="AL5" s="3">
        <f t="shared" si="35"/>
        <v>1327.702407002188</v>
      </c>
      <c r="AM5" s="3">
        <v>60676</v>
      </c>
      <c r="AN5" s="6">
        <v>45.7</v>
      </c>
      <c r="AO5" s="3">
        <f t="shared" si="36"/>
        <v>1257.565383797576</v>
      </c>
      <c r="AP5" s="3">
        <f t="shared" ref="AP5:AP41" si="39">SUM(F5,I5,L5,O5,R5,U5,X5,AA5,AD5,AG5,AJ5,AM5)</f>
        <v>591433</v>
      </c>
      <c r="AQ5" s="6">
        <f t="shared" ref="AQ5:AQ41" si="40">SUM(G5,J5,M5,P5,S5,V5,Y5,AB5,AE5,AH5,AK5,AN5)</f>
        <v>470.3</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7" t="s">
        <v>22</v>
      </c>
      <c r="B6" s="13"/>
      <c r="C6" s="13"/>
      <c r="D6" s="13"/>
      <c r="E6" s="3" t="e">
        <f t="shared" si="24"/>
        <v>#DIV/0!</v>
      </c>
      <c r="F6" s="3">
        <v>0</v>
      </c>
      <c r="G6" s="6">
        <v>0</v>
      </c>
      <c r="H6" s="3">
        <f t="shared" si="25"/>
        <v>1212.5654450261779</v>
      </c>
      <c r="I6" s="3">
        <v>23160</v>
      </c>
      <c r="J6" s="6">
        <v>19.100000000000001</v>
      </c>
      <c r="K6" s="3">
        <f t="shared" si="26"/>
        <v>1183.6134453781513</v>
      </c>
      <c r="L6" s="3">
        <v>70425</v>
      </c>
      <c r="M6" s="6">
        <v>59.5</v>
      </c>
      <c r="N6" s="3">
        <f t="shared" si="27"/>
        <v>1226.7717086834732</v>
      </c>
      <c r="O6" s="3">
        <v>175183</v>
      </c>
      <c r="P6" s="6">
        <v>142.80000000000001</v>
      </c>
      <c r="Q6" s="3">
        <f t="shared" si="28"/>
        <v>1204.5804195804196</v>
      </c>
      <c r="R6" s="3">
        <v>68902</v>
      </c>
      <c r="S6" s="6">
        <v>57.2</v>
      </c>
      <c r="T6" s="3">
        <f t="shared" si="29"/>
        <v>1247.7310924369747</v>
      </c>
      <c r="U6" s="3">
        <v>74240</v>
      </c>
      <c r="V6" s="6">
        <v>59.5</v>
      </c>
      <c r="W6" s="3">
        <f t="shared" si="30"/>
        <v>1208.0672268907563</v>
      </c>
      <c r="X6" s="3">
        <v>71880</v>
      </c>
      <c r="Y6" s="6">
        <v>59.5</v>
      </c>
      <c r="Z6" s="3">
        <f t="shared" si="31"/>
        <v>1187.4015748031495</v>
      </c>
      <c r="AA6" s="3">
        <v>45240</v>
      </c>
      <c r="AB6" s="6">
        <v>38.1</v>
      </c>
      <c r="AC6" s="3">
        <f t="shared" si="32"/>
        <v>1129.8452468680914</v>
      </c>
      <c r="AD6" s="3">
        <v>153320</v>
      </c>
      <c r="AE6" s="6">
        <v>135.69999999999999</v>
      </c>
      <c r="AF6" s="3">
        <f t="shared" si="33"/>
        <v>1213.9949109414758</v>
      </c>
      <c r="AG6" s="3">
        <v>95420</v>
      </c>
      <c r="AH6" s="6">
        <v>78.599999999999994</v>
      </c>
      <c r="AI6" s="3">
        <f t="shared" si="34"/>
        <v>1168.8888888888889</v>
      </c>
      <c r="AJ6" s="3">
        <v>47340</v>
      </c>
      <c r="AK6" s="6">
        <v>40.5</v>
      </c>
      <c r="AL6" s="3">
        <f t="shared" si="35"/>
        <v>1207.8740157480315</v>
      </c>
      <c r="AM6" s="3">
        <v>46020</v>
      </c>
      <c r="AN6" s="6">
        <v>38.1</v>
      </c>
      <c r="AO6" s="3">
        <f t="shared" si="36"/>
        <v>1195.6217403239086</v>
      </c>
      <c r="AP6" s="3">
        <f t="shared" si="39"/>
        <v>871130</v>
      </c>
      <c r="AQ6" s="6">
        <f t="shared" si="40"/>
        <v>728.60000000000014</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7" t="s">
        <v>39</v>
      </c>
      <c r="B7" s="13"/>
      <c r="C7" s="13"/>
      <c r="D7" s="13"/>
      <c r="E7" s="3" t="e">
        <f t="shared" si="24"/>
        <v>#DIV/0!</v>
      </c>
      <c r="F7" s="3">
        <v>0</v>
      </c>
      <c r="G7" s="6">
        <v>0</v>
      </c>
      <c r="H7" s="3" t="e">
        <f t="shared" si="25"/>
        <v>#DIV/0!</v>
      </c>
      <c r="I7" s="3">
        <v>0</v>
      </c>
      <c r="J7" s="6">
        <v>0</v>
      </c>
      <c r="K7" s="3" t="e">
        <f t="shared" si="26"/>
        <v>#DIV/0!</v>
      </c>
      <c r="L7" s="3">
        <v>0</v>
      </c>
      <c r="M7" s="6">
        <v>0</v>
      </c>
      <c r="N7" s="3" t="e">
        <f t="shared" si="27"/>
        <v>#DIV/0!</v>
      </c>
      <c r="O7" s="3">
        <v>0</v>
      </c>
      <c r="P7" s="6">
        <v>0</v>
      </c>
      <c r="Q7" s="3">
        <f t="shared" si="28"/>
        <v>1382.4884792626729</v>
      </c>
      <c r="R7" s="3">
        <v>30000</v>
      </c>
      <c r="S7" s="6">
        <v>21.7</v>
      </c>
      <c r="T7" s="3">
        <f t="shared" si="29"/>
        <v>1228.3762057877814</v>
      </c>
      <c r="U7" s="3">
        <v>76405</v>
      </c>
      <c r="V7" s="6">
        <v>62.2</v>
      </c>
      <c r="W7" s="3">
        <f t="shared" si="30"/>
        <v>1032.2716049382716</v>
      </c>
      <c r="X7" s="3">
        <v>41807</v>
      </c>
      <c r="Y7" s="6">
        <v>40.5</v>
      </c>
      <c r="Z7" s="3">
        <f t="shared" si="31"/>
        <v>1214.9532710280375</v>
      </c>
      <c r="AA7" s="3">
        <v>26000</v>
      </c>
      <c r="AB7" s="6">
        <v>21.4</v>
      </c>
      <c r="AC7" s="3">
        <f t="shared" si="32"/>
        <v>1141.8488745980708</v>
      </c>
      <c r="AD7" s="3">
        <v>71023</v>
      </c>
      <c r="AE7" s="6">
        <v>62.2</v>
      </c>
      <c r="AF7" s="3" t="e">
        <f t="shared" si="33"/>
        <v>#DIV/0!</v>
      </c>
      <c r="AG7" s="3">
        <v>0</v>
      </c>
      <c r="AH7" s="6">
        <v>0</v>
      </c>
      <c r="AI7" s="3">
        <f t="shared" si="34"/>
        <v>1214.9532710280375</v>
      </c>
      <c r="AJ7" s="3">
        <v>26000</v>
      </c>
      <c r="AK7" s="6">
        <v>21.4</v>
      </c>
      <c r="AL7" s="3">
        <f t="shared" si="35"/>
        <v>1214.9532710280375</v>
      </c>
      <c r="AM7" s="3">
        <v>26000</v>
      </c>
      <c r="AN7" s="6">
        <v>21.4</v>
      </c>
      <c r="AO7" s="3">
        <f t="shared" si="36"/>
        <v>1185.1475279106858</v>
      </c>
      <c r="AP7" s="3">
        <f t="shared" si="39"/>
        <v>297235</v>
      </c>
      <c r="AQ7" s="6">
        <f t="shared" si="40"/>
        <v>250.8</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7" t="s">
        <v>41</v>
      </c>
      <c r="B8" s="13"/>
      <c r="C8" s="13"/>
      <c r="D8" s="13"/>
      <c r="E8" s="3">
        <f t="shared" si="24"/>
        <v>1178.5340314136124</v>
      </c>
      <c r="F8" s="3">
        <v>22510</v>
      </c>
      <c r="G8" s="6">
        <v>19.100000000000001</v>
      </c>
      <c r="H8" s="3" t="e">
        <f t="shared" si="25"/>
        <v>#DIV/0!</v>
      </c>
      <c r="I8" s="3">
        <v>0</v>
      </c>
      <c r="J8" s="6">
        <v>0</v>
      </c>
      <c r="K8" s="3" t="e">
        <f t="shared" si="26"/>
        <v>#DIV/0!</v>
      </c>
      <c r="L8" s="3">
        <v>0</v>
      </c>
      <c r="M8" s="6">
        <v>0</v>
      </c>
      <c r="N8" s="3">
        <f t="shared" si="27"/>
        <v>1168.5863874345548</v>
      </c>
      <c r="O8" s="3">
        <v>22320</v>
      </c>
      <c r="P8" s="6">
        <v>19.100000000000001</v>
      </c>
      <c r="Q8" s="3" t="e">
        <f t="shared" si="28"/>
        <v>#DIV/0!</v>
      </c>
      <c r="R8" s="3">
        <v>0</v>
      </c>
      <c r="S8" s="6">
        <v>0</v>
      </c>
      <c r="T8" s="3">
        <f t="shared" si="29"/>
        <v>1266.4092664092664</v>
      </c>
      <c r="U8" s="3">
        <v>32800</v>
      </c>
      <c r="V8" s="6">
        <v>25.9</v>
      </c>
      <c r="W8" s="3" t="e">
        <f t="shared" si="30"/>
        <v>#DIV/0!</v>
      </c>
      <c r="X8" s="3">
        <v>0</v>
      </c>
      <c r="Y8" s="6">
        <v>0</v>
      </c>
      <c r="Z8" s="3" t="e">
        <f t="shared" si="31"/>
        <v>#DIV/0!</v>
      </c>
      <c r="AA8" s="3">
        <v>0</v>
      </c>
      <c r="AB8" s="6">
        <v>0</v>
      </c>
      <c r="AC8" s="3">
        <f t="shared" si="32"/>
        <v>865.92964824120611</v>
      </c>
      <c r="AD8" s="3">
        <v>17232</v>
      </c>
      <c r="AE8" s="6">
        <v>19.899999999999999</v>
      </c>
      <c r="AF8" s="3" t="e">
        <f t="shared" si="33"/>
        <v>#DIV/0!</v>
      </c>
      <c r="AG8" s="3">
        <v>0</v>
      </c>
      <c r="AH8" s="6">
        <v>0</v>
      </c>
      <c r="AI8" s="3">
        <f t="shared" si="34"/>
        <v>1449.2753623188405</v>
      </c>
      <c r="AJ8" s="3">
        <v>10000</v>
      </c>
      <c r="AK8" s="6">
        <v>6.9</v>
      </c>
      <c r="AL8" s="3">
        <f t="shared" si="35"/>
        <v>1343.9790575916229</v>
      </c>
      <c r="AM8" s="3">
        <v>25670</v>
      </c>
      <c r="AN8" s="6">
        <v>19.100000000000001</v>
      </c>
      <c r="AO8" s="3">
        <f t="shared" si="36"/>
        <v>1186.6545454545455</v>
      </c>
      <c r="AP8" s="3">
        <f t="shared" si="39"/>
        <v>130532</v>
      </c>
      <c r="AQ8" s="6">
        <f t="shared" si="40"/>
        <v>110</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7" t="s">
        <v>27</v>
      </c>
      <c r="B9" s="13"/>
      <c r="C9" s="13"/>
      <c r="D9" s="13"/>
      <c r="E9" s="3">
        <f t="shared" si="24"/>
        <v>1155.6140350877192</v>
      </c>
      <c r="F9" s="3">
        <v>6587</v>
      </c>
      <c r="G9" s="6">
        <v>5.7</v>
      </c>
      <c r="H9" s="3" t="e">
        <f t="shared" si="25"/>
        <v>#DIV/0!</v>
      </c>
      <c r="I9" s="3">
        <v>0</v>
      </c>
      <c r="J9" s="6">
        <v>0</v>
      </c>
      <c r="K9" s="3">
        <f t="shared" si="26"/>
        <v>1026.3157894736842</v>
      </c>
      <c r="L9" s="3">
        <v>29250</v>
      </c>
      <c r="M9" s="6">
        <v>28.5</v>
      </c>
      <c r="N9" s="3">
        <f t="shared" si="27"/>
        <v>1459.9664429530201</v>
      </c>
      <c r="O9" s="3">
        <v>43507</v>
      </c>
      <c r="P9" s="6">
        <v>29.8</v>
      </c>
      <c r="Q9" s="3">
        <f t="shared" si="28"/>
        <v>1086.6465256797583</v>
      </c>
      <c r="R9" s="3">
        <v>35968</v>
      </c>
      <c r="S9" s="6">
        <v>33.1</v>
      </c>
      <c r="T9" s="3">
        <f t="shared" si="29"/>
        <v>1151.608695652174</v>
      </c>
      <c r="U9" s="3">
        <v>26487</v>
      </c>
      <c r="V9" s="6">
        <v>23</v>
      </c>
      <c r="W9" s="3">
        <f t="shared" si="30"/>
        <v>1147.5</v>
      </c>
      <c r="X9" s="3">
        <v>9639</v>
      </c>
      <c r="Y9" s="6">
        <v>8.4</v>
      </c>
      <c r="Z9" s="3">
        <f t="shared" si="31"/>
        <v>1198.7719298245613</v>
      </c>
      <c r="AA9" s="3">
        <v>27332</v>
      </c>
      <c r="AB9" s="6">
        <v>22.8</v>
      </c>
      <c r="AC9" s="3">
        <f t="shared" si="32"/>
        <v>1207.0588235294117</v>
      </c>
      <c r="AD9" s="3">
        <v>32832</v>
      </c>
      <c r="AE9" s="6">
        <v>27.2</v>
      </c>
      <c r="AF9" s="3">
        <f t="shared" si="33"/>
        <v>1160.3663003663003</v>
      </c>
      <c r="AG9" s="3">
        <v>31678</v>
      </c>
      <c r="AH9" s="6">
        <v>27.3</v>
      </c>
      <c r="AI9" s="3">
        <f t="shared" si="34"/>
        <v>1335.8438287153651</v>
      </c>
      <c r="AJ9" s="3">
        <v>53033</v>
      </c>
      <c r="AK9" s="6">
        <v>39.700000000000003</v>
      </c>
      <c r="AL9" s="3">
        <f t="shared" si="35"/>
        <v>1213.6305732484077</v>
      </c>
      <c r="AM9" s="3">
        <v>19054</v>
      </c>
      <c r="AN9" s="6">
        <v>15.7</v>
      </c>
      <c r="AO9" s="3">
        <f t="shared" si="36"/>
        <v>1207.3774885145483</v>
      </c>
      <c r="AP9" s="3">
        <f t="shared" si="39"/>
        <v>315367</v>
      </c>
      <c r="AQ9" s="6">
        <f t="shared" si="40"/>
        <v>261.2</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7" t="s">
        <v>38</v>
      </c>
      <c r="B10" s="13"/>
      <c r="C10" s="13"/>
      <c r="D10" s="13"/>
      <c r="E10" s="3">
        <f t="shared" si="24"/>
        <v>1774.2105263157896</v>
      </c>
      <c r="F10" s="3">
        <v>3371</v>
      </c>
      <c r="G10" s="6">
        <v>1.9</v>
      </c>
      <c r="H10" s="3">
        <f t="shared" si="25"/>
        <v>1863.0379746835442</v>
      </c>
      <c r="I10" s="3">
        <v>14718</v>
      </c>
      <c r="J10" s="6">
        <v>7.9</v>
      </c>
      <c r="K10" s="3" t="e">
        <f t="shared" si="26"/>
        <v>#DIV/0!</v>
      </c>
      <c r="L10" s="3">
        <v>0</v>
      </c>
      <c r="M10" s="6">
        <v>0</v>
      </c>
      <c r="N10" s="3">
        <f t="shared" si="27"/>
        <v>1737.0192307692307</v>
      </c>
      <c r="O10" s="3">
        <v>18065</v>
      </c>
      <c r="P10" s="6">
        <v>10.4</v>
      </c>
      <c r="Q10" s="3">
        <f t="shared" si="28"/>
        <v>2046.1111111111111</v>
      </c>
      <c r="R10" s="3">
        <v>7366</v>
      </c>
      <c r="S10" s="6">
        <v>3.6</v>
      </c>
      <c r="T10" s="3">
        <f t="shared" si="29"/>
        <v>1252.5</v>
      </c>
      <c r="U10" s="3">
        <v>11523</v>
      </c>
      <c r="V10" s="6">
        <v>9.1999999999999993</v>
      </c>
      <c r="W10" s="3">
        <f t="shared" si="30"/>
        <v>1211.851851851852</v>
      </c>
      <c r="X10" s="3">
        <v>22904</v>
      </c>
      <c r="Y10" s="6">
        <v>18.899999999999999</v>
      </c>
      <c r="Z10" s="3">
        <f t="shared" si="31"/>
        <v>1366.2674650698602</v>
      </c>
      <c r="AA10" s="3">
        <v>68450</v>
      </c>
      <c r="AB10" s="6">
        <v>50.1</v>
      </c>
      <c r="AC10" s="3">
        <f t="shared" si="32"/>
        <v>1249.74335472044</v>
      </c>
      <c r="AD10" s="3">
        <v>136347</v>
      </c>
      <c r="AE10" s="6">
        <v>109.1</v>
      </c>
      <c r="AF10" s="3">
        <f t="shared" si="33"/>
        <v>2079.1150442477874</v>
      </c>
      <c r="AG10" s="3">
        <v>23494</v>
      </c>
      <c r="AH10" s="6">
        <v>11.3</v>
      </c>
      <c r="AI10" s="3">
        <f t="shared" si="34"/>
        <v>2056.3333333333335</v>
      </c>
      <c r="AJ10" s="3">
        <v>6169</v>
      </c>
      <c r="AK10" s="6">
        <v>3</v>
      </c>
      <c r="AL10" s="3">
        <f t="shared" si="35"/>
        <v>2095.9375</v>
      </c>
      <c r="AM10" s="3">
        <v>6707</v>
      </c>
      <c r="AN10" s="6">
        <v>3.2</v>
      </c>
      <c r="AO10" s="3">
        <f t="shared" si="36"/>
        <v>1395.9492563429571</v>
      </c>
      <c r="AP10" s="3">
        <f t="shared" si="39"/>
        <v>319114</v>
      </c>
      <c r="AQ10" s="6">
        <f t="shared" si="40"/>
        <v>228.6</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7" t="s">
        <v>56</v>
      </c>
      <c r="B11" s="13"/>
      <c r="C11" s="13"/>
      <c r="D11" s="13"/>
      <c r="E11" s="3" t="e">
        <f t="shared" si="24"/>
        <v>#DIV/0!</v>
      </c>
      <c r="F11" s="3">
        <v>0</v>
      </c>
      <c r="G11" s="6">
        <v>0</v>
      </c>
      <c r="H11" s="3">
        <f t="shared" si="25"/>
        <v>1121.0526315789475</v>
      </c>
      <c r="I11" s="3">
        <v>4260</v>
      </c>
      <c r="J11" s="6">
        <v>3.8</v>
      </c>
      <c r="K11" s="3" t="e">
        <f t="shared" si="26"/>
        <v>#DIV/0!</v>
      </c>
      <c r="L11" s="3">
        <v>0</v>
      </c>
      <c r="M11" s="6">
        <v>0</v>
      </c>
      <c r="N11" s="3" t="e">
        <f t="shared" si="27"/>
        <v>#DIV/0!</v>
      </c>
      <c r="O11" s="3">
        <v>0</v>
      </c>
      <c r="P11" s="6">
        <v>0</v>
      </c>
      <c r="Q11" s="3" t="e">
        <f t="shared" si="28"/>
        <v>#DIV/0!</v>
      </c>
      <c r="R11" s="3">
        <v>0</v>
      </c>
      <c r="S11" s="6">
        <v>0</v>
      </c>
      <c r="T11" s="3" t="e">
        <f t="shared" si="29"/>
        <v>#DIV/0!</v>
      </c>
      <c r="U11" s="3">
        <v>0</v>
      </c>
      <c r="V11" s="6">
        <v>0</v>
      </c>
      <c r="W11" s="3" t="e">
        <f t="shared" si="30"/>
        <v>#DIV/0!</v>
      </c>
      <c r="X11" s="3">
        <v>0</v>
      </c>
      <c r="Y11" s="6">
        <v>0</v>
      </c>
      <c r="Z11" s="3" t="e">
        <f t="shared" si="31"/>
        <v>#DIV/0!</v>
      </c>
      <c r="AA11" s="3">
        <v>0</v>
      </c>
      <c r="AB11" s="6">
        <v>0</v>
      </c>
      <c r="AC11" s="3" t="e">
        <f t="shared" si="32"/>
        <v>#DIV/0!</v>
      </c>
      <c r="AD11" s="3">
        <v>0</v>
      </c>
      <c r="AE11" s="6">
        <v>0</v>
      </c>
      <c r="AF11" s="3" t="e">
        <f t="shared" si="33"/>
        <v>#DIV/0!</v>
      </c>
      <c r="AG11" s="3">
        <v>0</v>
      </c>
      <c r="AH11" s="6">
        <v>0</v>
      </c>
      <c r="AI11" s="3" t="e">
        <f t="shared" si="34"/>
        <v>#DIV/0!</v>
      </c>
      <c r="AJ11" s="3">
        <v>0</v>
      </c>
      <c r="AK11" s="6">
        <v>0</v>
      </c>
      <c r="AL11" s="3">
        <f t="shared" si="35"/>
        <v>1674.2424242424242</v>
      </c>
      <c r="AM11" s="3">
        <v>5525</v>
      </c>
      <c r="AN11" s="6">
        <v>3.3</v>
      </c>
      <c r="AO11" s="3">
        <f t="shared" si="36"/>
        <v>1378.1690140845071</v>
      </c>
      <c r="AP11" s="3">
        <f t="shared" si="39"/>
        <v>9785</v>
      </c>
      <c r="AQ11" s="6">
        <f t="shared" si="40"/>
        <v>7.1</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7" t="s">
        <v>62</v>
      </c>
      <c r="B12" s="13"/>
      <c r="C12" s="13"/>
      <c r="D12" s="13"/>
      <c r="E12" s="3" t="e">
        <f>F12/G12</f>
        <v>#DIV/0!</v>
      </c>
      <c r="F12" s="3">
        <v>0</v>
      </c>
      <c r="G12" s="6">
        <v>0</v>
      </c>
      <c r="H12" s="3" t="e">
        <f>I12/J12</f>
        <v>#DIV/0!</v>
      </c>
      <c r="I12" s="3">
        <v>0</v>
      </c>
      <c r="J12" s="6">
        <v>0</v>
      </c>
      <c r="K12" s="3" t="e">
        <f>L12/M12</f>
        <v>#DIV/0!</v>
      </c>
      <c r="L12" s="3">
        <v>0</v>
      </c>
      <c r="M12" s="6">
        <v>0</v>
      </c>
      <c r="N12" s="3" t="e">
        <f>O12/P12</f>
        <v>#DIV/0!</v>
      </c>
      <c r="O12" s="3">
        <v>0</v>
      </c>
      <c r="P12" s="6">
        <v>0</v>
      </c>
      <c r="Q12" s="3" t="e">
        <f>R12/S12</f>
        <v>#DIV/0!</v>
      </c>
      <c r="R12" s="3">
        <v>0</v>
      </c>
      <c r="S12" s="6">
        <v>0</v>
      </c>
      <c r="T12" s="3">
        <f>U12/V12</f>
        <v>1368.421052631579</v>
      </c>
      <c r="U12" s="3">
        <v>26000</v>
      </c>
      <c r="V12" s="6">
        <v>19</v>
      </c>
      <c r="W12" s="3" t="e">
        <f>X12/Y12</f>
        <v>#DIV/0!</v>
      </c>
      <c r="X12" s="3">
        <v>0</v>
      </c>
      <c r="Y12" s="6">
        <v>0</v>
      </c>
      <c r="Z12" s="3" t="e">
        <f>AA12/AB12</f>
        <v>#DIV/0!</v>
      </c>
      <c r="AA12" s="3">
        <v>0</v>
      </c>
      <c r="AB12" s="6">
        <v>0</v>
      </c>
      <c r="AC12" s="3" t="e">
        <f>AD12/AE12</f>
        <v>#DIV/0!</v>
      </c>
      <c r="AD12" s="3">
        <v>0</v>
      </c>
      <c r="AE12" s="6">
        <v>0</v>
      </c>
      <c r="AF12" s="3">
        <f>AG12/AH12</f>
        <v>1263.1578947368421</v>
      </c>
      <c r="AG12" s="3">
        <v>24000</v>
      </c>
      <c r="AH12" s="6">
        <v>19</v>
      </c>
      <c r="AI12" s="3" t="e">
        <f>AJ12/AK12</f>
        <v>#DIV/0!</v>
      </c>
      <c r="AJ12" s="3">
        <v>0</v>
      </c>
      <c r="AK12" s="6">
        <v>0</v>
      </c>
      <c r="AL12" s="3" t="e">
        <f>AM12/AN12</f>
        <v>#DIV/0!</v>
      </c>
      <c r="AM12" s="3">
        <v>0</v>
      </c>
      <c r="AN12" s="6">
        <v>0</v>
      </c>
      <c r="AO12" s="3">
        <f t="shared" si="36"/>
        <v>1315.7894736842106</v>
      </c>
      <c r="AP12" s="3">
        <f t="shared" si="39"/>
        <v>50000</v>
      </c>
      <c r="AQ12" s="6">
        <f t="shared" si="40"/>
        <v>38</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7" t="s">
        <v>43</v>
      </c>
      <c r="B13" s="13"/>
      <c r="C13" s="13"/>
      <c r="D13" s="13"/>
      <c r="E13" s="3" t="e">
        <f t="shared" ref="E13:E41" si="41">F13/G13</f>
        <v>#DIV/0!</v>
      </c>
      <c r="F13" s="3">
        <v>0</v>
      </c>
      <c r="G13" s="6">
        <v>0</v>
      </c>
      <c r="H13" s="3" t="e">
        <f t="shared" ref="H13:H41" si="42">I13/J13</f>
        <v>#DIV/0!</v>
      </c>
      <c r="I13" s="3">
        <v>0</v>
      </c>
      <c r="J13" s="6">
        <v>0</v>
      </c>
      <c r="K13" s="3">
        <f t="shared" ref="K13:K41" si="43">L13/M13</f>
        <v>978.94736842105272</v>
      </c>
      <c r="L13" s="3">
        <v>3720</v>
      </c>
      <c r="M13" s="6">
        <v>3.8</v>
      </c>
      <c r="N13" s="3" t="e">
        <f t="shared" ref="N13:N41" si="44">O13/P13</f>
        <v>#DIV/0!</v>
      </c>
      <c r="O13" s="3">
        <v>0</v>
      </c>
      <c r="P13" s="6">
        <v>0</v>
      </c>
      <c r="Q13" s="3" t="e">
        <f t="shared" ref="Q13:Q41" si="45">R13/S13</f>
        <v>#DIV/0!</v>
      </c>
      <c r="R13" s="3">
        <v>0</v>
      </c>
      <c r="S13" s="6">
        <v>0</v>
      </c>
      <c r="T13" s="3" t="e">
        <f t="shared" ref="T13:T41" si="46">U13/V13</f>
        <v>#DIV/0!</v>
      </c>
      <c r="U13" s="3">
        <v>0</v>
      </c>
      <c r="V13" s="6">
        <v>0</v>
      </c>
      <c r="W13" s="3" t="e">
        <f t="shared" ref="W13:W41" si="47">X13/Y13</f>
        <v>#DIV/0!</v>
      </c>
      <c r="X13" s="3">
        <v>0</v>
      </c>
      <c r="Y13" s="6">
        <v>0</v>
      </c>
      <c r="Z13" s="3" t="e">
        <f t="shared" ref="Z13:Z41" si="48">AA13/AB13</f>
        <v>#DIV/0!</v>
      </c>
      <c r="AA13" s="3">
        <v>0</v>
      </c>
      <c r="AB13" s="6">
        <v>0</v>
      </c>
      <c r="AC13" s="3" t="e">
        <f t="shared" ref="AC13:AC41" si="49">AD13/AE13</f>
        <v>#DIV/0!</v>
      </c>
      <c r="AD13" s="3">
        <v>0</v>
      </c>
      <c r="AE13" s="6">
        <v>0</v>
      </c>
      <c r="AF13" s="3" t="e">
        <f t="shared" ref="AF13:AF41" si="50">AG13/AH13</f>
        <v>#DIV/0!</v>
      </c>
      <c r="AG13" s="3">
        <v>0</v>
      </c>
      <c r="AH13" s="6">
        <v>0</v>
      </c>
      <c r="AI13" s="3" t="e">
        <f t="shared" ref="AI13:AI41" si="51">AJ13/AK13</f>
        <v>#DIV/0!</v>
      </c>
      <c r="AJ13" s="3">
        <v>0</v>
      </c>
      <c r="AK13" s="6">
        <v>0</v>
      </c>
      <c r="AL13" s="3" t="e">
        <f t="shared" ref="AL13:AL41" si="52">AM13/AN13</f>
        <v>#DIV/0!</v>
      </c>
      <c r="AM13" s="3">
        <v>0</v>
      </c>
      <c r="AN13" s="6">
        <v>0</v>
      </c>
      <c r="AO13" s="3">
        <f t="shared" si="36"/>
        <v>978.94736842105272</v>
      </c>
      <c r="AP13" s="3">
        <f t="shared" si="39"/>
        <v>3720</v>
      </c>
      <c r="AQ13" s="6">
        <f t="shared" si="40"/>
        <v>3.8</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7" t="s">
        <v>23</v>
      </c>
      <c r="B14" s="13"/>
      <c r="C14" s="13"/>
      <c r="D14" s="13"/>
      <c r="E14" s="3" t="e">
        <f t="shared" si="41"/>
        <v>#DIV/0!</v>
      </c>
      <c r="F14" s="3">
        <v>0</v>
      </c>
      <c r="G14" s="6">
        <v>0</v>
      </c>
      <c r="H14" s="3" t="e">
        <f t="shared" si="42"/>
        <v>#DIV/0!</v>
      </c>
      <c r="I14" s="3">
        <v>0</v>
      </c>
      <c r="J14" s="6">
        <v>0</v>
      </c>
      <c r="K14" s="3">
        <f t="shared" si="43"/>
        <v>920.22471910112358</v>
      </c>
      <c r="L14" s="3">
        <v>8190</v>
      </c>
      <c r="M14" s="6">
        <v>8.9</v>
      </c>
      <c r="N14" s="3">
        <f t="shared" si="44"/>
        <v>1556.6187050359713</v>
      </c>
      <c r="O14" s="3">
        <v>21637</v>
      </c>
      <c r="P14" s="6">
        <v>13.9</v>
      </c>
      <c r="Q14" s="3">
        <f t="shared" si="45"/>
        <v>924.16107382550331</v>
      </c>
      <c r="R14" s="3">
        <v>13770</v>
      </c>
      <c r="S14" s="6">
        <v>14.9</v>
      </c>
      <c r="T14" s="3" t="e">
        <f t="shared" si="46"/>
        <v>#DIV/0!</v>
      </c>
      <c r="U14" s="3">
        <v>0</v>
      </c>
      <c r="V14" s="6">
        <v>0</v>
      </c>
      <c r="W14" s="3" t="e">
        <f t="shared" si="47"/>
        <v>#DIV/0!</v>
      </c>
      <c r="X14" s="3">
        <v>0</v>
      </c>
      <c r="Y14" s="6">
        <v>0</v>
      </c>
      <c r="Z14" s="3" t="e">
        <f t="shared" si="48"/>
        <v>#DIV/0!</v>
      </c>
      <c r="AA14" s="3">
        <v>0</v>
      </c>
      <c r="AB14" s="6">
        <v>0</v>
      </c>
      <c r="AC14" s="3" t="e">
        <f t="shared" si="49"/>
        <v>#DIV/0!</v>
      </c>
      <c r="AD14" s="3">
        <v>0</v>
      </c>
      <c r="AE14" s="6">
        <v>0</v>
      </c>
      <c r="AF14" s="3">
        <f t="shared" si="50"/>
        <v>956.90298507462683</v>
      </c>
      <c r="AG14" s="3">
        <v>25645</v>
      </c>
      <c r="AH14" s="6">
        <v>26.8</v>
      </c>
      <c r="AI14" s="3" t="e">
        <f t="shared" si="51"/>
        <v>#DIV/0!</v>
      </c>
      <c r="AJ14" s="3">
        <v>0</v>
      </c>
      <c r="AK14" s="6">
        <v>0</v>
      </c>
      <c r="AL14" s="3" t="e">
        <f t="shared" si="52"/>
        <v>#DIV/0!</v>
      </c>
      <c r="AM14" s="3">
        <v>0</v>
      </c>
      <c r="AN14" s="6">
        <v>0</v>
      </c>
      <c r="AO14" s="3">
        <f t="shared" si="36"/>
        <v>1073.5193798449613</v>
      </c>
      <c r="AP14" s="3">
        <f t="shared" si="39"/>
        <v>69242</v>
      </c>
      <c r="AQ14" s="6">
        <f t="shared" si="40"/>
        <v>64.5</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7" t="s">
        <v>24</v>
      </c>
      <c r="B15" s="13"/>
      <c r="C15" s="13"/>
      <c r="D15" s="13"/>
      <c r="E15" s="3">
        <f t="shared" si="41"/>
        <v>1568.9655172413793</v>
      </c>
      <c r="F15" s="3">
        <v>9100</v>
      </c>
      <c r="G15" s="6">
        <v>5.8</v>
      </c>
      <c r="H15" s="3" t="e">
        <f t="shared" si="42"/>
        <v>#DIV/0!</v>
      </c>
      <c r="I15" s="3">
        <v>0</v>
      </c>
      <c r="J15" s="6">
        <v>0</v>
      </c>
      <c r="K15" s="3" t="e">
        <f t="shared" si="43"/>
        <v>#DIV/0!</v>
      </c>
      <c r="L15" s="3">
        <v>0</v>
      </c>
      <c r="M15" s="6">
        <v>0</v>
      </c>
      <c r="N15" s="3">
        <f t="shared" si="44"/>
        <v>3148.7179487179487</v>
      </c>
      <c r="O15" s="3">
        <v>12280</v>
      </c>
      <c r="P15" s="6">
        <v>3.9</v>
      </c>
      <c r="Q15" s="3">
        <f t="shared" si="45"/>
        <v>1495.3125</v>
      </c>
      <c r="R15" s="3">
        <v>19140</v>
      </c>
      <c r="S15" s="6">
        <v>12.8</v>
      </c>
      <c r="T15" s="3" t="e">
        <f t="shared" si="46"/>
        <v>#DIV/0!</v>
      </c>
      <c r="U15" s="3">
        <v>0</v>
      </c>
      <c r="V15" s="6">
        <v>0</v>
      </c>
      <c r="W15" s="3" t="e">
        <f t="shared" si="47"/>
        <v>#DIV/0!</v>
      </c>
      <c r="X15" s="3">
        <v>0</v>
      </c>
      <c r="Y15" s="6">
        <v>0</v>
      </c>
      <c r="Z15" s="3">
        <f t="shared" si="48"/>
        <v>1138.3177570093458</v>
      </c>
      <c r="AA15" s="3">
        <v>12180</v>
      </c>
      <c r="AB15" s="6">
        <v>10.7</v>
      </c>
      <c r="AC15" s="3" t="e">
        <f t="shared" si="49"/>
        <v>#DIV/0!</v>
      </c>
      <c r="AD15" s="3">
        <v>0</v>
      </c>
      <c r="AE15" s="6">
        <v>0</v>
      </c>
      <c r="AF15" s="3">
        <f t="shared" si="50"/>
        <v>1124.9404761904761</v>
      </c>
      <c r="AG15" s="3">
        <v>18899</v>
      </c>
      <c r="AH15" s="6">
        <v>16.8</v>
      </c>
      <c r="AI15" s="3" t="e">
        <f t="shared" si="51"/>
        <v>#DIV/0!</v>
      </c>
      <c r="AJ15" s="3">
        <v>0</v>
      </c>
      <c r="AK15" s="6">
        <v>0</v>
      </c>
      <c r="AL15" s="3" t="e">
        <f t="shared" si="52"/>
        <v>#DIV/0!</v>
      </c>
      <c r="AM15" s="3">
        <v>0</v>
      </c>
      <c r="AN15" s="6">
        <v>0</v>
      </c>
      <c r="AO15" s="3">
        <f t="shared" si="36"/>
        <v>1431.98</v>
      </c>
      <c r="AP15" s="3">
        <f t="shared" si="39"/>
        <v>71599</v>
      </c>
      <c r="AQ15" s="6">
        <f t="shared" si="40"/>
        <v>50</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7" t="s">
        <v>63</v>
      </c>
      <c r="B16" s="13"/>
      <c r="C16" s="13"/>
      <c r="D16" s="13"/>
      <c r="E16" s="3" t="e">
        <f t="shared" si="41"/>
        <v>#DIV/0!</v>
      </c>
      <c r="F16" s="3">
        <v>0</v>
      </c>
      <c r="G16" s="6">
        <v>0</v>
      </c>
      <c r="H16" s="3" t="e">
        <f t="shared" si="42"/>
        <v>#DIV/0!</v>
      </c>
      <c r="I16" s="3">
        <v>0</v>
      </c>
      <c r="J16" s="6">
        <v>0</v>
      </c>
      <c r="K16" s="3">
        <f t="shared" si="43"/>
        <v>2847.8333333333335</v>
      </c>
      <c r="L16" s="3">
        <v>17087</v>
      </c>
      <c r="M16" s="6">
        <v>6</v>
      </c>
      <c r="N16" s="3" t="e">
        <f t="shared" si="44"/>
        <v>#DIV/0!</v>
      </c>
      <c r="O16" s="3">
        <v>0</v>
      </c>
      <c r="P16" s="6">
        <v>0</v>
      </c>
      <c r="Q16" s="3" t="e">
        <f t="shared" si="45"/>
        <v>#DIV/0!</v>
      </c>
      <c r="R16" s="3">
        <v>0</v>
      </c>
      <c r="S16" s="6">
        <v>0</v>
      </c>
      <c r="T16" s="3" t="e">
        <f t="shared" si="46"/>
        <v>#DIV/0!</v>
      </c>
      <c r="U16" s="3">
        <v>0</v>
      </c>
      <c r="V16" s="6">
        <v>0</v>
      </c>
      <c r="W16" s="3" t="e">
        <f t="shared" si="47"/>
        <v>#DIV/0!</v>
      </c>
      <c r="X16" s="3">
        <v>0</v>
      </c>
      <c r="Y16" s="6">
        <v>0</v>
      </c>
      <c r="Z16" s="3" t="e">
        <f t="shared" si="48"/>
        <v>#DIV/0!</v>
      </c>
      <c r="AA16" s="3">
        <v>0</v>
      </c>
      <c r="AB16" s="6">
        <v>0</v>
      </c>
      <c r="AC16" s="3" t="e">
        <f t="shared" si="49"/>
        <v>#DIV/0!</v>
      </c>
      <c r="AD16" s="3">
        <v>0</v>
      </c>
      <c r="AE16" s="6">
        <v>0</v>
      </c>
      <c r="AF16" s="3" t="e">
        <f t="shared" si="50"/>
        <v>#DIV/0!</v>
      </c>
      <c r="AG16" s="3">
        <v>0</v>
      </c>
      <c r="AH16" s="6">
        <v>0</v>
      </c>
      <c r="AI16" s="3" t="e">
        <f t="shared" si="51"/>
        <v>#DIV/0!</v>
      </c>
      <c r="AJ16" s="3">
        <v>0</v>
      </c>
      <c r="AK16" s="6">
        <v>0</v>
      </c>
      <c r="AL16" s="3" t="e">
        <f t="shared" si="52"/>
        <v>#DIV/0!</v>
      </c>
      <c r="AM16" s="3">
        <v>0</v>
      </c>
      <c r="AN16" s="6">
        <v>0</v>
      </c>
      <c r="AO16" s="3">
        <f t="shared" si="36"/>
        <v>2847.8333333333335</v>
      </c>
      <c r="AP16" s="3">
        <f t="shared" si="39"/>
        <v>17087</v>
      </c>
      <c r="AQ16" s="6">
        <f t="shared" si="40"/>
        <v>6</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7" t="s">
        <v>42</v>
      </c>
      <c r="B17" s="13"/>
      <c r="C17" s="13"/>
      <c r="D17" s="13"/>
      <c r="E17" s="3" t="e">
        <f t="shared" si="41"/>
        <v>#DIV/0!</v>
      </c>
      <c r="F17" s="3">
        <v>0</v>
      </c>
      <c r="G17" s="6">
        <v>0</v>
      </c>
      <c r="H17" s="3" t="e">
        <f t="shared" si="42"/>
        <v>#DIV/0!</v>
      </c>
      <c r="I17" s="3">
        <v>0</v>
      </c>
      <c r="J17" s="6">
        <v>0</v>
      </c>
      <c r="K17" s="3">
        <f t="shared" si="43"/>
        <v>1155</v>
      </c>
      <c r="L17" s="3">
        <v>3003</v>
      </c>
      <c r="M17" s="6">
        <v>2.6</v>
      </c>
      <c r="N17" s="3" t="e">
        <f t="shared" si="44"/>
        <v>#DIV/0!</v>
      </c>
      <c r="O17" s="3">
        <v>0</v>
      </c>
      <c r="P17" s="6">
        <v>0</v>
      </c>
      <c r="Q17" s="3" t="e">
        <f t="shared" si="45"/>
        <v>#DIV/0!</v>
      </c>
      <c r="R17" s="3">
        <v>0</v>
      </c>
      <c r="S17" s="6">
        <v>0</v>
      </c>
      <c r="T17" s="3" t="e">
        <f t="shared" si="46"/>
        <v>#DIV/0!</v>
      </c>
      <c r="U17" s="3">
        <v>0</v>
      </c>
      <c r="V17" s="6">
        <v>0</v>
      </c>
      <c r="W17" s="3">
        <f t="shared" si="47"/>
        <v>1470.952380952381</v>
      </c>
      <c r="X17" s="3">
        <v>3089</v>
      </c>
      <c r="Y17" s="6">
        <v>2.1</v>
      </c>
      <c r="Z17" s="3">
        <f t="shared" si="48"/>
        <v>1166.5384615384614</v>
      </c>
      <c r="AA17" s="3">
        <v>3033</v>
      </c>
      <c r="AB17" s="6">
        <v>2.6</v>
      </c>
      <c r="AC17" s="3" t="e">
        <f t="shared" si="49"/>
        <v>#DIV/0!</v>
      </c>
      <c r="AD17" s="3">
        <v>0</v>
      </c>
      <c r="AE17" s="6">
        <v>0</v>
      </c>
      <c r="AF17" s="3" t="e">
        <f t="shared" si="50"/>
        <v>#DIV/0!</v>
      </c>
      <c r="AG17" s="3">
        <v>0</v>
      </c>
      <c r="AH17" s="6">
        <v>0</v>
      </c>
      <c r="AI17" s="3" t="e">
        <f t="shared" si="51"/>
        <v>#DIV/0!</v>
      </c>
      <c r="AJ17" s="3">
        <v>0</v>
      </c>
      <c r="AK17" s="6">
        <v>0</v>
      </c>
      <c r="AL17" s="3" t="e">
        <f t="shared" si="52"/>
        <v>#DIV/0!</v>
      </c>
      <c r="AM17" s="3">
        <v>0</v>
      </c>
      <c r="AN17" s="6">
        <v>0</v>
      </c>
      <c r="AO17" s="3">
        <f t="shared" si="36"/>
        <v>1249.9999999999998</v>
      </c>
      <c r="AP17" s="3">
        <f t="shared" si="39"/>
        <v>9125</v>
      </c>
      <c r="AQ17" s="6">
        <f t="shared" si="40"/>
        <v>7.3000000000000007</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7" t="s">
        <v>18</v>
      </c>
      <c r="B18" s="13"/>
      <c r="C18" s="13"/>
      <c r="D18" s="13"/>
      <c r="E18" s="3" t="e">
        <f t="shared" si="41"/>
        <v>#DIV/0!</v>
      </c>
      <c r="F18" s="3">
        <v>0</v>
      </c>
      <c r="G18" s="6">
        <v>0</v>
      </c>
      <c r="H18" s="3" t="e">
        <f t="shared" si="42"/>
        <v>#DIV/0!</v>
      </c>
      <c r="I18" s="3">
        <v>0</v>
      </c>
      <c r="J18" s="6">
        <v>0</v>
      </c>
      <c r="K18" s="3">
        <f t="shared" si="43"/>
        <v>1891.2195121951222</v>
      </c>
      <c r="L18" s="3">
        <v>7754</v>
      </c>
      <c r="M18" s="6">
        <v>4.0999999999999996</v>
      </c>
      <c r="N18" s="3" t="e">
        <f t="shared" si="44"/>
        <v>#DIV/0!</v>
      </c>
      <c r="O18" s="3">
        <v>0</v>
      </c>
      <c r="P18" s="6">
        <v>0</v>
      </c>
      <c r="Q18" s="3" t="e">
        <f t="shared" si="45"/>
        <v>#DIV/0!</v>
      </c>
      <c r="R18" s="3">
        <v>0</v>
      </c>
      <c r="S18" s="6">
        <v>0</v>
      </c>
      <c r="T18" s="3" t="e">
        <f t="shared" si="46"/>
        <v>#DIV/0!</v>
      </c>
      <c r="U18" s="3">
        <v>0</v>
      </c>
      <c r="V18" s="6">
        <v>0</v>
      </c>
      <c r="W18" s="3" t="e">
        <f t="shared" si="47"/>
        <v>#DIV/0!</v>
      </c>
      <c r="X18" s="3">
        <v>0</v>
      </c>
      <c r="Y18" s="6">
        <v>0</v>
      </c>
      <c r="Z18" s="3" t="e">
        <f t="shared" si="48"/>
        <v>#DIV/0!</v>
      </c>
      <c r="AA18" s="3">
        <v>0</v>
      </c>
      <c r="AB18" s="6">
        <v>0</v>
      </c>
      <c r="AC18" s="3">
        <f t="shared" si="49"/>
        <v>1667.3333333333333</v>
      </c>
      <c r="AD18" s="3">
        <v>2501</v>
      </c>
      <c r="AE18" s="6">
        <v>1.5</v>
      </c>
      <c r="AF18" s="3" t="e">
        <f t="shared" si="50"/>
        <v>#DIV/0!</v>
      </c>
      <c r="AG18" s="3">
        <v>0</v>
      </c>
      <c r="AH18" s="6">
        <v>0</v>
      </c>
      <c r="AI18" s="3">
        <f t="shared" si="51"/>
        <v>1559.0909090909092</v>
      </c>
      <c r="AJ18" s="3">
        <v>10290</v>
      </c>
      <c r="AK18" s="6">
        <v>6.6</v>
      </c>
      <c r="AL18" s="3" t="e">
        <f t="shared" si="52"/>
        <v>#DIV/0!</v>
      </c>
      <c r="AM18" s="3">
        <v>0</v>
      </c>
      <c r="AN18" s="6">
        <v>0</v>
      </c>
      <c r="AO18" s="3">
        <f t="shared" si="36"/>
        <v>1684.016393442623</v>
      </c>
      <c r="AP18" s="3">
        <f t="shared" si="39"/>
        <v>20545</v>
      </c>
      <c r="AQ18" s="6">
        <f t="shared" si="40"/>
        <v>12.2</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7" t="s">
        <v>57</v>
      </c>
      <c r="B19" s="13"/>
      <c r="C19" s="13"/>
      <c r="D19" s="13"/>
      <c r="E19" s="3" t="e">
        <f t="shared" si="41"/>
        <v>#DIV/0!</v>
      </c>
      <c r="F19" s="3">
        <v>0</v>
      </c>
      <c r="G19" s="6">
        <v>0</v>
      </c>
      <c r="H19" s="3">
        <f t="shared" si="42"/>
        <v>1612.6315789473686</v>
      </c>
      <c r="I19" s="3">
        <v>3064</v>
      </c>
      <c r="J19" s="6">
        <v>1.9</v>
      </c>
      <c r="K19" s="3" t="e">
        <f t="shared" si="43"/>
        <v>#DIV/0!</v>
      </c>
      <c r="L19" s="3">
        <v>0</v>
      </c>
      <c r="M19" s="6">
        <v>0</v>
      </c>
      <c r="N19" s="3" t="e">
        <f t="shared" si="44"/>
        <v>#DIV/0!</v>
      </c>
      <c r="O19" s="3">
        <v>0</v>
      </c>
      <c r="P19" s="6">
        <v>0</v>
      </c>
      <c r="Q19" s="3" t="e">
        <f t="shared" si="45"/>
        <v>#DIV/0!</v>
      </c>
      <c r="R19" s="3">
        <v>0</v>
      </c>
      <c r="S19" s="6">
        <v>0</v>
      </c>
      <c r="T19" s="3" t="e">
        <f t="shared" si="46"/>
        <v>#DIV/0!</v>
      </c>
      <c r="U19" s="3">
        <v>0</v>
      </c>
      <c r="V19" s="6">
        <v>0</v>
      </c>
      <c r="W19" s="3" t="e">
        <f t="shared" si="47"/>
        <v>#DIV/0!</v>
      </c>
      <c r="X19" s="3">
        <v>0</v>
      </c>
      <c r="Y19" s="6">
        <v>0</v>
      </c>
      <c r="Z19" s="3" t="e">
        <f t="shared" si="48"/>
        <v>#DIV/0!</v>
      </c>
      <c r="AA19" s="3">
        <v>0</v>
      </c>
      <c r="AB19" s="6">
        <v>0</v>
      </c>
      <c r="AC19" s="3" t="e">
        <f t="shared" si="49"/>
        <v>#DIV/0!</v>
      </c>
      <c r="AD19" s="3">
        <v>0</v>
      </c>
      <c r="AE19" s="6">
        <v>0</v>
      </c>
      <c r="AF19" s="3" t="e">
        <f t="shared" si="50"/>
        <v>#DIV/0!</v>
      </c>
      <c r="AG19" s="3">
        <v>0</v>
      </c>
      <c r="AH19" s="6">
        <v>0</v>
      </c>
      <c r="AI19" s="3" t="e">
        <f t="shared" si="51"/>
        <v>#DIV/0!</v>
      </c>
      <c r="AJ19" s="3">
        <v>0</v>
      </c>
      <c r="AK19" s="6">
        <v>0</v>
      </c>
      <c r="AL19" s="3" t="e">
        <f t="shared" si="52"/>
        <v>#DIV/0!</v>
      </c>
      <c r="AM19" s="3">
        <v>0</v>
      </c>
      <c r="AN19" s="6">
        <v>0</v>
      </c>
      <c r="AO19" s="3">
        <f t="shared" si="36"/>
        <v>1612.6315789473686</v>
      </c>
      <c r="AP19" s="3">
        <f t="shared" si="39"/>
        <v>3064</v>
      </c>
      <c r="AQ19" s="6">
        <f t="shared" si="40"/>
        <v>1.9</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7" t="s">
        <v>19</v>
      </c>
      <c r="B20" s="13"/>
      <c r="C20" s="13"/>
      <c r="D20" s="13"/>
      <c r="E20" s="3">
        <f t="shared" si="41"/>
        <v>1520</v>
      </c>
      <c r="F20" s="3">
        <v>2584</v>
      </c>
      <c r="G20" s="6">
        <v>1.7</v>
      </c>
      <c r="H20" s="3" t="e">
        <f t="shared" si="42"/>
        <v>#DIV/0!</v>
      </c>
      <c r="I20" s="3">
        <v>0</v>
      </c>
      <c r="J20" s="6">
        <v>0</v>
      </c>
      <c r="K20" s="3" t="e">
        <f t="shared" si="43"/>
        <v>#DIV/0!</v>
      </c>
      <c r="L20" s="3">
        <v>0</v>
      </c>
      <c r="M20" s="6">
        <v>0</v>
      </c>
      <c r="N20" s="3">
        <f t="shared" si="44"/>
        <v>1634.8387096774193</v>
      </c>
      <c r="O20" s="3">
        <v>5068</v>
      </c>
      <c r="P20" s="6">
        <v>3.1</v>
      </c>
      <c r="Q20" s="3" t="e">
        <f t="shared" si="45"/>
        <v>#DIV/0!</v>
      </c>
      <c r="R20" s="3">
        <v>0</v>
      </c>
      <c r="S20" s="6">
        <v>0</v>
      </c>
      <c r="T20" s="3" t="e">
        <f t="shared" si="46"/>
        <v>#DIV/0!</v>
      </c>
      <c r="U20" s="3">
        <v>0</v>
      </c>
      <c r="V20" s="6">
        <v>0</v>
      </c>
      <c r="W20" s="3">
        <f t="shared" si="47"/>
        <v>1543.421052631579</v>
      </c>
      <c r="X20" s="3">
        <v>5865</v>
      </c>
      <c r="Y20" s="6">
        <v>3.8</v>
      </c>
      <c r="Z20" s="3">
        <f t="shared" si="48"/>
        <v>1302.2033898305083</v>
      </c>
      <c r="AA20" s="3">
        <v>7683</v>
      </c>
      <c r="AB20" s="6">
        <v>5.9</v>
      </c>
      <c r="AC20" s="3" t="e">
        <f t="shared" si="49"/>
        <v>#DIV/0!</v>
      </c>
      <c r="AD20" s="3">
        <v>0</v>
      </c>
      <c r="AE20" s="6">
        <v>0</v>
      </c>
      <c r="AF20" s="3">
        <f t="shared" si="50"/>
        <v>1306.3157894736842</v>
      </c>
      <c r="AG20" s="3">
        <v>4964</v>
      </c>
      <c r="AH20" s="6">
        <v>3.8</v>
      </c>
      <c r="AI20" s="3" t="e">
        <f t="shared" si="51"/>
        <v>#DIV/0!</v>
      </c>
      <c r="AJ20" s="3">
        <v>0</v>
      </c>
      <c r="AK20" s="6">
        <v>0</v>
      </c>
      <c r="AL20" s="3" t="e">
        <f t="shared" si="52"/>
        <v>#DIV/0!</v>
      </c>
      <c r="AM20" s="3">
        <v>0</v>
      </c>
      <c r="AN20" s="6">
        <v>0</v>
      </c>
      <c r="AO20" s="3">
        <f t="shared" si="36"/>
        <v>1429.7267759562842</v>
      </c>
      <c r="AP20" s="3">
        <f t="shared" si="39"/>
        <v>26164</v>
      </c>
      <c r="AQ20" s="6">
        <f t="shared" si="40"/>
        <v>18.3</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7" t="s">
        <v>58</v>
      </c>
      <c r="B21" s="13"/>
      <c r="C21" s="13"/>
      <c r="D21" s="13"/>
      <c r="E21" s="3" t="e">
        <f t="shared" si="41"/>
        <v>#DIV/0!</v>
      </c>
      <c r="F21" s="3">
        <v>0</v>
      </c>
      <c r="G21" s="6">
        <v>0</v>
      </c>
      <c r="H21" s="3" t="e">
        <f t="shared" si="42"/>
        <v>#DIV/0!</v>
      </c>
      <c r="I21" s="3">
        <v>0</v>
      </c>
      <c r="J21" s="6">
        <v>0</v>
      </c>
      <c r="K21" s="3" t="e">
        <f t="shared" si="43"/>
        <v>#DIV/0!</v>
      </c>
      <c r="L21" s="3">
        <v>0</v>
      </c>
      <c r="M21" s="6">
        <v>0</v>
      </c>
      <c r="N21" s="3" t="e">
        <f t="shared" si="44"/>
        <v>#DIV/0!</v>
      </c>
      <c r="O21" s="3">
        <v>0</v>
      </c>
      <c r="P21" s="6">
        <v>0</v>
      </c>
      <c r="Q21" s="3" t="e">
        <f t="shared" si="45"/>
        <v>#DIV/0!</v>
      </c>
      <c r="R21" s="3">
        <v>0</v>
      </c>
      <c r="S21" s="6">
        <v>0</v>
      </c>
      <c r="T21" s="3" t="e">
        <f t="shared" si="46"/>
        <v>#DIV/0!</v>
      </c>
      <c r="U21" s="3">
        <v>0</v>
      </c>
      <c r="V21" s="6">
        <v>0</v>
      </c>
      <c r="W21" s="3" t="e">
        <f t="shared" si="47"/>
        <v>#DIV/0!</v>
      </c>
      <c r="X21" s="3">
        <v>0</v>
      </c>
      <c r="Y21" s="6">
        <v>0</v>
      </c>
      <c r="Z21" s="3">
        <f t="shared" si="48"/>
        <v>1612.9032258064515</v>
      </c>
      <c r="AA21" s="3">
        <v>5000</v>
      </c>
      <c r="AB21" s="6">
        <v>3.1</v>
      </c>
      <c r="AC21" s="3" t="e">
        <f t="shared" si="49"/>
        <v>#DIV/0!</v>
      </c>
      <c r="AD21" s="3">
        <v>0</v>
      </c>
      <c r="AE21" s="6">
        <v>0</v>
      </c>
      <c r="AF21" s="3" t="e">
        <f t="shared" si="50"/>
        <v>#DIV/0!</v>
      </c>
      <c r="AG21" s="3">
        <v>0</v>
      </c>
      <c r="AH21" s="6">
        <v>0</v>
      </c>
      <c r="AI21" s="3" t="e">
        <f t="shared" si="51"/>
        <v>#DIV/0!</v>
      </c>
      <c r="AJ21" s="3">
        <v>0</v>
      </c>
      <c r="AK21" s="6">
        <v>0</v>
      </c>
      <c r="AL21" s="3" t="e">
        <f t="shared" si="52"/>
        <v>#DIV/0!</v>
      </c>
      <c r="AM21" s="3">
        <v>0</v>
      </c>
      <c r="AN21" s="6">
        <v>0</v>
      </c>
      <c r="AO21" s="3">
        <f t="shared" si="36"/>
        <v>1612.9032258064515</v>
      </c>
      <c r="AP21" s="3">
        <f t="shared" si="39"/>
        <v>5000</v>
      </c>
      <c r="AQ21" s="6">
        <f t="shared" si="40"/>
        <v>3.1</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7" t="s">
        <v>25</v>
      </c>
      <c r="B22" s="13"/>
      <c r="C22" s="13"/>
      <c r="D22" s="13"/>
      <c r="E22" s="3">
        <f t="shared" si="41"/>
        <v>1267.1743119266055</v>
      </c>
      <c r="F22" s="3">
        <v>69061</v>
      </c>
      <c r="G22" s="6">
        <v>54.5</v>
      </c>
      <c r="H22" s="3" t="e">
        <f t="shared" si="42"/>
        <v>#DIV/0!</v>
      </c>
      <c r="I22" s="3">
        <v>0</v>
      </c>
      <c r="J22" s="6">
        <v>0</v>
      </c>
      <c r="K22" s="3" t="e">
        <f t="shared" si="43"/>
        <v>#DIV/0!</v>
      </c>
      <c r="L22" s="3">
        <v>0</v>
      </c>
      <c r="M22" s="6">
        <v>0</v>
      </c>
      <c r="N22" s="3" t="e">
        <f t="shared" si="44"/>
        <v>#DIV/0!</v>
      </c>
      <c r="O22" s="3">
        <v>0</v>
      </c>
      <c r="P22" s="6">
        <v>0</v>
      </c>
      <c r="Q22" s="3" t="e">
        <f t="shared" si="45"/>
        <v>#DIV/0!</v>
      </c>
      <c r="R22" s="3">
        <v>0</v>
      </c>
      <c r="S22" s="6">
        <v>0</v>
      </c>
      <c r="T22" s="3">
        <f t="shared" si="46"/>
        <v>1155.5172413793105</v>
      </c>
      <c r="U22" s="3">
        <v>3351</v>
      </c>
      <c r="V22" s="6">
        <v>2.9</v>
      </c>
      <c r="W22" s="3">
        <f t="shared" si="47"/>
        <v>1167.3684210526317</v>
      </c>
      <c r="X22" s="3">
        <v>4436</v>
      </c>
      <c r="Y22" s="6">
        <v>3.8</v>
      </c>
      <c r="Z22" s="3" t="e">
        <f t="shared" si="48"/>
        <v>#DIV/0!</v>
      </c>
      <c r="AA22" s="3">
        <v>0</v>
      </c>
      <c r="AB22" s="6">
        <v>0</v>
      </c>
      <c r="AC22" s="3">
        <f t="shared" si="49"/>
        <v>1222.0689655172414</v>
      </c>
      <c r="AD22" s="3">
        <v>3544</v>
      </c>
      <c r="AE22" s="6">
        <v>2.9</v>
      </c>
      <c r="AF22" s="3">
        <f t="shared" si="50"/>
        <v>1456.9230769230771</v>
      </c>
      <c r="AG22" s="3">
        <v>58714</v>
      </c>
      <c r="AH22" s="6">
        <v>40.299999999999997</v>
      </c>
      <c r="AI22" s="3">
        <f t="shared" si="51"/>
        <v>1270.6896551724137</v>
      </c>
      <c r="AJ22" s="3">
        <v>3685</v>
      </c>
      <c r="AK22" s="6">
        <v>2.9</v>
      </c>
      <c r="AL22" s="3" t="e">
        <f t="shared" si="52"/>
        <v>#DIV/0!</v>
      </c>
      <c r="AM22" s="3">
        <v>0</v>
      </c>
      <c r="AN22" s="6">
        <v>0</v>
      </c>
      <c r="AO22" s="3">
        <f t="shared" si="36"/>
        <v>1330.7642124883505</v>
      </c>
      <c r="AP22" s="3">
        <f t="shared" si="39"/>
        <v>142791</v>
      </c>
      <c r="AQ22" s="6">
        <f t="shared" si="40"/>
        <v>107.3</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7" t="s">
        <v>59</v>
      </c>
      <c r="B23" s="13"/>
      <c r="C23" s="13"/>
      <c r="D23" s="13"/>
      <c r="E23" s="3">
        <f t="shared" si="41"/>
        <v>925.31914893617011</v>
      </c>
      <c r="F23" s="3">
        <v>47839</v>
      </c>
      <c r="G23" s="6">
        <v>51.7</v>
      </c>
      <c r="H23" s="3" t="e">
        <f t="shared" si="42"/>
        <v>#DIV/0!</v>
      </c>
      <c r="I23" s="3">
        <v>0</v>
      </c>
      <c r="J23" s="6">
        <v>0</v>
      </c>
      <c r="K23" s="3">
        <f t="shared" si="43"/>
        <v>925.31914893617011</v>
      </c>
      <c r="L23" s="3">
        <v>47839</v>
      </c>
      <c r="M23" s="6">
        <v>51.7</v>
      </c>
      <c r="N23" s="3" t="e">
        <f t="shared" si="44"/>
        <v>#DIV/0!</v>
      </c>
      <c r="O23" s="3">
        <v>0</v>
      </c>
      <c r="P23" s="6">
        <v>0</v>
      </c>
      <c r="Q23" s="3" t="e">
        <f t="shared" si="45"/>
        <v>#DIV/0!</v>
      </c>
      <c r="R23" s="3">
        <v>0</v>
      </c>
      <c r="S23" s="6">
        <v>0</v>
      </c>
      <c r="T23" s="3" t="e">
        <f t="shared" si="46"/>
        <v>#DIV/0!</v>
      </c>
      <c r="U23" s="3">
        <v>0</v>
      </c>
      <c r="V23" s="6">
        <v>0</v>
      </c>
      <c r="W23" s="3" t="e">
        <f t="shared" si="47"/>
        <v>#DIV/0!</v>
      </c>
      <c r="X23" s="3">
        <v>0</v>
      </c>
      <c r="Y23" s="6">
        <v>0</v>
      </c>
      <c r="Z23" s="3" t="e">
        <f t="shared" si="48"/>
        <v>#DIV/0!</v>
      </c>
      <c r="AA23" s="3">
        <v>0</v>
      </c>
      <c r="AB23" s="6">
        <v>0</v>
      </c>
      <c r="AC23" s="3" t="e">
        <f t="shared" si="49"/>
        <v>#DIV/0!</v>
      </c>
      <c r="AD23" s="3">
        <v>0</v>
      </c>
      <c r="AE23" s="6">
        <v>0</v>
      </c>
      <c r="AF23" s="3" t="e">
        <f t="shared" si="50"/>
        <v>#DIV/0!</v>
      </c>
      <c r="AG23" s="3">
        <v>0</v>
      </c>
      <c r="AH23" s="6">
        <v>0</v>
      </c>
      <c r="AI23" s="3">
        <f t="shared" si="51"/>
        <v>1163.75</v>
      </c>
      <c r="AJ23" s="3">
        <v>13965</v>
      </c>
      <c r="AK23" s="6">
        <v>12</v>
      </c>
      <c r="AL23" s="3" t="e">
        <f t="shared" si="52"/>
        <v>#DIV/0!</v>
      </c>
      <c r="AM23" s="3">
        <v>0</v>
      </c>
      <c r="AN23" s="6">
        <v>0</v>
      </c>
      <c r="AO23" s="3">
        <f t="shared" si="36"/>
        <v>950.11265164644715</v>
      </c>
      <c r="AP23" s="3">
        <f t="shared" si="39"/>
        <v>109643</v>
      </c>
      <c r="AQ23" s="6">
        <f t="shared" si="40"/>
        <v>115.4</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7" t="s">
        <v>64</v>
      </c>
      <c r="B24" s="13"/>
      <c r="C24" s="13"/>
      <c r="D24" s="13"/>
      <c r="E24" s="3" t="e">
        <f t="shared" si="41"/>
        <v>#DIV/0!</v>
      </c>
      <c r="F24" s="3">
        <v>0</v>
      </c>
      <c r="G24" s="6">
        <v>0</v>
      </c>
      <c r="H24" s="3" t="e">
        <f t="shared" si="42"/>
        <v>#DIV/0!</v>
      </c>
      <c r="I24" s="3">
        <v>0</v>
      </c>
      <c r="J24" s="6">
        <v>0</v>
      </c>
      <c r="K24" s="3" t="e">
        <f t="shared" si="43"/>
        <v>#DIV/0!</v>
      </c>
      <c r="L24" s="3">
        <v>0</v>
      </c>
      <c r="M24" s="6">
        <v>0</v>
      </c>
      <c r="N24" s="3" t="e">
        <f t="shared" si="44"/>
        <v>#DIV/0!</v>
      </c>
      <c r="O24" s="3">
        <v>0</v>
      </c>
      <c r="P24" s="6">
        <v>0</v>
      </c>
      <c r="Q24" s="3" t="e">
        <f t="shared" si="45"/>
        <v>#DIV/0!</v>
      </c>
      <c r="R24" s="3">
        <v>0</v>
      </c>
      <c r="S24" s="6">
        <v>0</v>
      </c>
      <c r="T24" s="3" t="e">
        <f t="shared" si="46"/>
        <v>#DIV/0!</v>
      </c>
      <c r="U24" s="3">
        <v>0</v>
      </c>
      <c r="V24" s="6">
        <v>0</v>
      </c>
      <c r="W24" s="3" t="e">
        <f t="shared" si="47"/>
        <v>#DIV/0!</v>
      </c>
      <c r="X24" s="3">
        <v>0</v>
      </c>
      <c r="Y24" s="6">
        <v>0</v>
      </c>
      <c r="Z24" s="3" t="e">
        <f t="shared" si="48"/>
        <v>#DIV/0!</v>
      </c>
      <c r="AA24" s="3">
        <v>0</v>
      </c>
      <c r="AB24" s="6">
        <v>0</v>
      </c>
      <c r="AC24" s="3" t="e">
        <f t="shared" si="49"/>
        <v>#DIV/0!</v>
      </c>
      <c r="AD24" s="3">
        <v>0</v>
      </c>
      <c r="AE24" s="6">
        <v>0</v>
      </c>
      <c r="AF24" s="3" t="e">
        <f t="shared" si="50"/>
        <v>#DIV/0!</v>
      </c>
      <c r="AG24" s="3">
        <v>0</v>
      </c>
      <c r="AH24" s="6">
        <v>0</v>
      </c>
      <c r="AI24" s="3">
        <f t="shared" si="51"/>
        <v>1232.9257641921399</v>
      </c>
      <c r="AJ24" s="3">
        <v>28234</v>
      </c>
      <c r="AK24" s="6">
        <v>22.9</v>
      </c>
      <c r="AL24" s="3" t="e">
        <f t="shared" si="52"/>
        <v>#DIV/0!</v>
      </c>
      <c r="AM24" s="3">
        <v>0</v>
      </c>
      <c r="AN24" s="6">
        <v>0</v>
      </c>
      <c r="AO24" s="3">
        <f t="shared" si="36"/>
        <v>1232.9257641921399</v>
      </c>
      <c r="AP24" s="3">
        <f t="shared" si="39"/>
        <v>28234</v>
      </c>
      <c r="AQ24" s="6">
        <f t="shared" si="40"/>
        <v>22.9</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7" t="s">
        <v>54</v>
      </c>
      <c r="B25" s="13"/>
      <c r="C25" s="13"/>
      <c r="D25" s="13"/>
      <c r="E25" s="3">
        <f t="shared" si="41"/>
        <v>1915.9349593495933</v>
      </c>
      <c r="F25" s="3">
        <v>23566</v>
      </c>
      <c r="G25" s="6">
        <v>12.3</v>
      </c>
      <c r="H25" s="3" t="e">
        <f t="shared" si="42"/>
        <v>#DIV/0!</v>
      </c>
      <c r="I25" s="3">
        <v>0</v>
      </c>
      <c r="J25" s="6">
        <v>0</v>
      </c>
      <c r="K25" s="3">
        <f t="shared" si="43"/>
        <v>2123.0630630630631</v>
      </c>
      <c r="L25" s="3">
        <v>23566</v>
      </c>
      <c r="M25" s="6">
        <v>11.1</v>
      </c>
      <c r="N25" s="3" t="e">
        <f t="shared" si="44"/>
        <v>#DIV/0!</v>
      </c>
      <c r="O25" s="3">
        <v>0</v>
      </c>
      <c r="P25" s="6">
        <v>0</v>
      </c>
      <c r="Q25" s="3">
        <f t="shared" si="45"/>
        <v>1915.9349593495933</v>
      </c>
      <c r="R25" s="3">
        <v>23566</v>
      </c>
      <c r="S25" s="6">
        <v>12.3</v>
      </c>
      <c r="T25" s="3">
        <f t="shared" si="46"/>
        <v>1910.7207207207207</v>
      </c>
      <c r="U25" s="3">
        <v>21209</v>
      </c>
      <c r="V25" s="6">
        <v>11.1</v>
      </c>
      <c r="W25" s="3">
        <f t="shared" si="47"/>
        <v>1910.7207207207207</v>
      </c>
      <c r="X25" s="3">
        <v>21209</v>
      </c>
      <c r="Y25" s="6">
        <v>11.1</v>
      </c>
      <c r="Z25" s="3" t="e">
        <f t="shared" si="48"/>
        <v>#DIV/0!</v>
      </c>
      <c r="AA25" s="3">
        <v>0</v>
      </c>
      <c r="AB25" s="6">
        <v>0</v>
      </c>
      <c r="AC25" s="3">
        <f t="shared" si="49"/>
        <v>1910.7207207207207</v>
      </c>
      <c r="AD25" s="3">
        <v>21209</v>
      </c>
      <c r="AE25" s="6">
        <v>11.1</v>
      </c>
      <c r="AF25" s="3" t="e">
        <f t="shared" si="50"/>
        <v>#DIV/0!</v>
      </c>
      <c r="AG25" s="3">
        <v>0</v>
      </c>
      <c r="AH25" s="6">
        <v>0</v>
      </c>
      <c r="AI25" s="3">
        <f t="shared" si="51"/>
        <v>1910.7207207207207</v>
      </c>
      <c r="AJ25" s="3">
        <v>21209</v>
      </c>
      <c r="AK25" s="6">
        <v>11.1</v>
      </c>
      <c r="AL25" s="3" t="e">
        <f t="shared" si="52"/>
        <v>#DIV/0!</v>
      </c>
      <c r="AM25" s="3">
        <v>0</v>
      </c>
      <c r="AN25" s="6">
        <v>0</v>
      </c>
      <c r="AO25" s="3">
        <f t="shared" si="36"/>
        <v>1941.7478152309614</v>
      </c>
      <c r="AP25" s="3">
        <f t="shared" si="39"/>
        <v>155534</v>
      </c>
      <c r="AQ25" s="6">
        <f t="shared" si="40"/>
        <v>80.099999999999994</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7" t="s">
        <v>26</v>
      </c>
      <c r="B26" s="13"/>
      <c r="C26" s="13"/>
      <c r="D26" s="13"/>
      <c r="E26" s="3">
        <f t="shared" si="41"/>
        <v>1426.1516853932583</v>
      </c>
      <c r="F26" s="3">
        <v>50771</v>
      </c>
      <c r="G26" s="6">
        <v>35.6</v>
      </c>
      <c r="H26" s="3" t="e">
        <f t="shared" si="42"/>
        <v>#DIV/0!</v>
      </c>
      <c r="I26" s="3">
        <v>0</v>
      </c>
      <c r="J26" s="6">
        <v>0</v>
      </c>
      <c r="K26" s="3" t="e">
        <f t="shared" si="43"/>
        <v>#DIV/0!</v>
      </c>
      <c r="L26" s="3">
        <v>0</v>
      </c>
      <c r="M26" s="6">
        <v>0</v>
      </c>
      <c r="N26" s="3" t="e">
        <f t="shared" si="44"/>
        <v>#DIV/0!</v>
      </c>
      <c r="O26" s="3">
        <v>0</v>
      </c>
      <c r="P26" s="6">
        <v>0</v>
      </c>
      <c r="Q26" s="3" t="e">
        <f t="shared" si="45"/>
        <v>#DIV/0!</v>
      </c>
      <c r="R26" s="3">
        <v>0</v>
      </c>
      <c r="S26" s="6">
        <v>0</v>
      </c>
      <c r="T26" s="3" t="e">
        <f t="shared" si="46"/>
        <v>#DIV/0!</v>
      </c>
      <c r="U26" s="3">
        <v>0</v>
      </c>
      <c r="V26" s="6">
        <v>0</v>
      </c>
      <c r="W26" s="3" t="e">
        <f t="shared" si="47"/>
        <v>#DIV/0!</v>
      </c>
      <c r="X26" s="3">
        <v>0</v>
      </c>
      <c r="Y26" s="6">
        <v>0</v>
      </c>
      <c r="Z26" s="3" t="e">
        <f t="shared" si="48"/>
        <v>#DIV/0!</v>
      </c>
      <c r="AA26" s="3">
        <v>0</v>
      </c>
      <c r="AB26" s="6">
        <v>0</v>
      </c>
      <c r="AC26" s="3" t="e">
        <f t="shared" si="49"/>
        <v>#DIV/0!</v>
      </c>
      <c r="AD26" s="3">
        <v>0</v>
      </c>
      <c r="AE26" s="6">
        <v>0</v>
      </c>
      <c r="AF26" s="3" t="e">
        <f t="shared" si="50"/>
        <v>#DIV/0!</v>
      </c>
      <c r="AG26" s="3">
        <v>0</v>
      </c>
      <c r="AH26" s="6">
        <v>0</v>
      </c>
      <c r="AI26" s="3" t="e">
        <f t="shared" si="51"/>
        <v>#DIV/0!</v>
      </c>
      <c r="AJ26" s="3">
        <v>0</v>
      </c>
      <c r="AK26" s="6">
        <v>0</v>
      </c>
      <c r="AL26" s="3" t="e">
        <f t="shared" si="52"/>
        <v>#DIV/0!</v>
      </c>
      <c r="AM26" s="3">
        <v>0</v>
      </c>
      <c r="AN26" s="6">
        <v>0</v>
      </c>
      <c r="AO26" s="3">
        <f t="shared" si="36"/>
        <v>1426.1516853932583</v>
      </c>
      <c r="AP26" s="3">
        <f t="shared" si="39"/>
        <v>50771</v>
      </c>
      <c r="AQ26" s="6">
        <f t="shared" si="40"/>
        <v>35.6</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7" t="s">
        <v>20</v>
      </c>
      <c r="B27" s="13"/>
      <c r="C27" s="13"/>
      <c r="D27" s="13"/>
      <c r="E27" s="3" t="e">
        <f t="shared" si="41"/>
        <v>#DIV/0!</v>
      </c>
      <c r="F27" s="3">
        <v>0</v>
      </c>
      <c r="G27" s="6">
        <v>0</v>
      </c>
      <c r="H27" s="3" t="e">
        <f t="shared" si="42"/>
        <v>#DIV/0!</v>
      </c>
      <c r="I27" s="3">
        <v>0</v>
      </c>
      <c r="J27" s="6">
        <v>0</v>
      </c>
      <c r="K27" s="3" t="e">
        <f t="shared" si="43"/>
        <v>#DIV/0!</v>
      </c>
      <c r="L27" s="3">
        <v>0</v>
      </c>
      <c r="M27" s="6">
        <v>0</v>
      </c>
      <c r="N27" s="3" t="e">
        <f t="shared" si="44"/>
        <v>#DIV/0!</v>
      </c>
      <c r="O27" s="3">
        <v>0</v>
      </c>
      <c r="P27" s="6">
        <v>0</v>
      </c>
      <c r="Q27" s="3" t="e">
        <f t="shared" si="45"/>
        <v>#DIV/0!</v>
      </c>
      <c r="R27" s="3">
        <v>0</v>
      </c>
      <c r="S27" s="6">
        <v>0</v>
      </c>
      <c r="T27" s="3" t="e">
        <f t="shared" si="46"/>
        <v>#DIV/0!</v>
      </c>
      <c r="U27" s="3">
        <v>0</v>
      </c>
      <c r="V27" s="6">
        <v>0</v>
      </c>
      <c r="W27" s="3">
        <f t="shared" si="47"/>
        <v>3585.7142857142858</v>
      </c>
      <c r="X27" s="3">
        <v>2510</v>
      </c>
      <c r="Y27" s="6">
        <v>0.7</v>
      </c>
      <c r="Z27" s="3" t="e">
        <f t="shared" si="48"/>
        <v>#DIV/0!</v>
      </c>
      <c r="AA27" s="3">
        <v>0</v>
      </c>
      <c r="AB27" s="6">
        <v>0</v>
      </c>
      <c r="AC27" s="3" t="e">
        <f t="shared" si="49"/>
        <v>#DIV/0!</v>
      </c>
      <c r="AD27" s="3">
        <v>0</v>
      </c>
      <c r="AE27" s="6">
        <v>0</v>
      </c>
      <c r="AF27" s="3" t="e">
        <f t="shared" si="50"/>
        <v>#DIV/0!</v>
      </c>
      <c r="AG27" s="3">
        <v>0</v>
      </c>
      <c r="AH27" s="6">
        <v>0</v>
      </c>
      <c r="AI27" s="3" t="e">
        <f t="shared" si="51"/>
        <v>#DIV/0!</v>
      </c>
      <c r="AJ27" s="3">
        <v>0</v>
      </c>
      <c r="AK27" s="6">
        <v>0</v>
      </c>
      <c r="AL27" s="3" t="e">
        <f t="shared" si="52"/>
        <v>#DIV/0!</v>
      </c>
      <c r="AM27" s="3">
        <v>0</v>
      </c>
      <c r="AN27" s="6">
        <v>0</v>
      </c>
      <c r="AO27" s="3">
        <f t="shared" si="36"/>
        <v>3585.7142857142858</v>
      </c>
      <c r="AP27" s="3">
        <f t="shared" si="39"/>
        <v>2510</v>
      </c>
      <c r="AQ27" s="6">
        <f t="shared" si="40"/>
        <v>0.7</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7" t="s">
        <v>60</v>
      </c>
      <c r="B28" s="13"/>
      <c r="C28" s="13"/>
      <c r="D28" s="13"/>
      <c r="E28" s="3" t="e">
        <f t="shared" si="41"/>
        <v>#DIV/0!</v>
      </c>
      <c r="F28" s="3">
        <v>0</v>
      </c>
      <c r="G28" s="6">
        <v>0</v>
      </c>
      <c r="H28" s="3" t="e">
        <f t="shared" si="42"/>
        <v>#DIV/0!</v>
      </c>
      <c r="I28" s="3">
        <v>0</v>
      </c>
      <c r="J28" s="6">
        <v>0</v>
      </c>
      <c r="K28" s="3">
        <f t="shared" si="43"/>
        <v>1566.2068965517242</v>
      </c>
      <c r="L28" s="3">
        <v>27252</v>
      </c>
      <c r="M28" s="6">
        <v>17.399999999999999</v>
      </c>
      <c r="N28" s="3" t="e">
        <f t="shared" si="44"/>
        <v>#DIV/0!</v>
      </c>
      <c r="O28" s="3">
        <v>0</v>
      </c>
      <c r="P28" s="6">
        <v>0</v>
      </c>
      <c r="Q28" s="3" t="e">
        <f t="shared" si="45"/>
        <v>#DIV/0!</v>
      </c>
      <c r="R28" s="3">
        <v>0</v>
      </c>
      <c r="S28" s="6">
        <v>0</v>
      </c>
      <c r="T28" s="3" t="e">
        <f t="shared" si="46"/>
        <v>#DIV/0!</v>
      </c>
      <c r="U28" s="3">
        <v>0</v>
      </c>
      <c r="V28" s="6">
        <v>0</v>
      </c>
      <c r="W28" s="3">
        <f t="shared" si="47"/>
        <v>1118.8118811881188</v>
      </c>
      <c r="X28" s="3">
        <v>22600</v>
      </c>
      <c r="Y28" s="6">
        <v>20.2</v>
      </c>
      <c r="Z28" s="3">
        <f t="shared" si="48"/>
        <v>1285.9508408796896</v>
      </c>
      <c r="AA28" s="3">
        <v>99404</v>
      </c>
      <c r="AB28" s="6">
        <v>77.3</v>
      </c>
      <c r="AC28" s="3">
        <f t="shared" si="49"/>
        <v>1121.1461794019933</v>
      </c>
      <c r="AD28" s="3">
        <v>67493</v>
      </c>
      <c r="AE28" s="6">
        <v>60.2</v>
      </c>
      <c r="AF28" s="3">
        <f t="shared" si="50"/>
        <v>1100</v>
      </c>
      <c r="AG28" s="3">
        <v>66000</v>
      </c>
      <c r="AH28" s="6">
        <v>60</v>
      </c>
      <c r="AI28" s="3">
        <f t="shared" si="51"/>
        <v>1117.7944862155389</v>
      </c>
      <c r="AJ28" s="3">
        <v>44600</v>
      </c>
      <c r="AK28" s="6">
        <v>39.9</v>
      </c>
      <c r="AL28" s="3" t="e">
        <f t="shared" si="52"/>
        <v>#DIV/0!</v>
      </c>
      <c r="AM28" s="3">
        <v>0</v>
      </c>
      <c r="AN28" s="6">
        <v>0</v>
      </c>
      <c r="AO28" s="3">
        <f t="shared" si="36"/>
        <v>1190.3599999999999</v>
      </c>
      <c r="AP28" s="3">
        <f t="shared" si="39"/>
        <v>327349</v>
      </c>
      <c r="AQ28" s="6">
        <f t="shared" si="40"/>
        <v>275</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7" t="s">
        <v>40</v>
      </c>
      <c r="B29" s="13"/>
      <c r="C29" s="13"/>
      <c r="D29" s="13"/>
      <c r="E29" s="3">
        <f t="shared" si="41"/>
        <v>1275.5338078291813</v>
      </c>
      <c r="F29" s="3">
        <v>71685</v>
      </c>
      <c r="G29" s="6">
        <v>56.2</v>
      </c>
      <c r="H29" s="3">
        <f t="shared" si="42"/>
        <v>1199.2307692307693</v>
      </c>
      <c r="I29" s="3">
        <v>68596</v>
      </c>
      <c r="J29" s="6">
        <v>57.2</v>
      </c>
      <c r="K29" s="3">
        <f t="shared" si="43"/>
        <v>1274.540682414698</v>
      </c>
      <c r="L29" s="3">
        <v>48560</v>
      </c>
      <c r="M29" s="6">
        <v>38.1</v>
      </c>
      <c r="N29" s="3">
        <f t="shared" si="44"/>
        <v>1153.6757425742574</v>
      </c>
      <c r="O29" s="3">
        <v>93217</v>
      </c>
      <c r="P29" s="6">
        <v>80.8</v>
      </c>
      <c r="Q29" s="3" t="e">
        <f t="shared" si="45"/>
        <v>#DIV/0!</v>
      </c>
      <c r="R29" s="3">
        <v>0</v>
      </c>
      <c r="S29" s="6">
        <v>0</v>
      </c>
      <c r="T29" s="3" t="e">
        <f t="shared" si="46"/>
        <v>#DIV/0!</v>
      </c>
      <c r="U29" s="3">
        <v>0</v>
      </c>
      <c r="V29" s="6">
        <v>0</v>
      </c>
      <c r="W29" s="3">
        <f t="shared" si="47"/>
        <v>1272.2513089005236</v>
      </c>
      <c r="X29" s="3">
        <v>24300</v>
      </c>
      <c r="Y29" s="6">
        <v>19.100000000000001</v>
      </c>
      <c r="Z29" s="3">
        <f t="shared" si="48"/>
        <v>1064.5744680851064</v>
      </c>
      <c r="AA29" s="3">
        <v>20014</v>
      </c>
      <c r="AB29" s="6">
        <v>18.8</v>
      </c>
      <c r="AC29" s="3" t="e">
        <f t="shared" si="49"/>
        <v>#DIV/0!</v>
      </c>
      <c r="AD29" s="3">
        <v>0</v>
      </c>
      <c r="AE29" s="6">
        <v>0</v>
      </c>
      <c r="AF29" s="3">
        <f t="shared" si="50"/>
        <v>1265.9685863874345</v>
      </c>
      <c r="AG29" s="3">
        <v>24180</v>
      </c>
      <c r="AH29" s="6">
        <v>19.100000000000001</v>
      </c>
      <c r="AI29" s="3">
        <f t="shared" si="51"/>
        <v>1261.0404624277455</v>
      </c>
      <c r="AJ29" s="3">
        <v>21816</v>
      </c>
      <c r="AK29" s="6">
        <v>17.3</v>
      </c>
      <c r="AL29" s="3" t="e">
        <f t="shared" si="52"/>
        <v>#DIV/0!</v>
      </c>
      <c r="AM29" s="3">
        <v>0</v>
      </c>
      <c r="AN29" s="6">
        <v>0</v>
      </c>
      <c r="AO29" s="3">
        <f t="shared" si="36"/>
        <v>1214.5075016307892</v>
      </c>
      <c r="AP29" s="3">
        <f t="shared" si="39"/>
        <v>372368</v>
      </c>
      <c r="AQ29" s="6">
        <f t="shared" si="40"/>
        <v>306.60000000000002</v>
      </c>
      <c r="AR29" s="3"/>
      <c r="AS29" s="3"/>
      <c r="AT29" s="3"/>
      <c r="AU29" s="3"/>
      <c r="AV29" s="3"/>
      <c r="AW29" s="3"/>
      <c r="AX29" s="3"/>
      <c r="AY29" s="3"/>
      <c r="AZ29" s="3"/>
      <c r="BA29" s="3"/>
      <c r="BB29" s="3"/>
      <c r="BC29" s="3"/>
      <c r="BD29" s="3"/>
      <c r="BE29" s="3"/>
      <c r="BF29" s="3"/>
      <c r="BG29" s="3"/>
      <c r="BH29" s="3"/>
      <c r="BI29" s="3"/>
      <c r="BJ29" s="3"/>
      <c r="BK29" s="3"/>
      <c r="BL29" s="3"/>
      <c r="BM29" s="3"/>
      <c r="BN29" s="3"/>
      <c r="BO29" s="3"/>
    </row>
    <row r="30" spans="1:67" x14ac:dyDescent="0.3">
      <c r="A30" s="7" t="s">
        <v>65</v>
      </c>
      <c r="B30" s="13"/>
      <c r="C30" s="13"/>
      <c r="D30" s="13"/>
      <c r="E30" s="3" t="e">
        <f t="shared" si="41"/>
        <v>#DIV/0!</v>
      </c>
      <c r="F30" s="3">
        <v>0</v>
      </c>
      <c r="G30" s="6">
        <v>0</v>
      </c>
      <c r="H30" s="3" t="e">
        <f t="shared" si="42"/>
        <v>#DIV/0!</v>
      </c>
      <c r="I30" s="3">
        <v>0</v>
      </c>
      <c r="J30" s="6">
        <v>0</v>
      </c>
      <c r="K30" s="3" t="e">
        <f t="shared" si="43"/>
        <v>#DIV/0!</v>
      </c>
      <c r="L30" s="3">
        <v>0</v>
      </c>
      <c r="M30" s="6">
        <v>0</v>
      </c>
      <c r="N30" s="3">
        <f t="shared" si="44"/>
        <v>1014.6596858638743</v>
      </c>
      <c r="O30" s="3">
        <v>19380</v>
      </c>
      <c r="P30" s="6">
        <v>19.100000000000001</v>
      </c>
      <c r="Q30" s="3" t="e">
        <f t="shared" si="45"/>
        <v>#DIV/0!</v>
      </c>
      <c r="R30" s="3">
        <v>0</v>
      </c>
      <c r="S30" s="6">
        <v>0</v>
      </c>
      <c r="T30" s="3" t="e">
        <f t="shared" si="46"/>
        <v>#DIV/0!</v>
      </c>
      <c r="U30" s="3">
        <v>0</v>
      </c>
      <c r="V30" s="6">
        <v>0</v>
      </c>
      <c r="W30" s="3">
        <f t="shared" si="47"/>
        <v>1287.958115183246</v>
      </c>
      <c r="X30" s="3">
        <v>24600</v>
      </c>
      <c r="Y30" s="6">
        <v>19.100000000000001</v>
      </c>
      <c r="Z30" s="3" t="e">
        <f t="shared" si="48"/>
        <v>#DIV/0!</v>
      </c>
      <c r="AA30" s="3">
        <v>0</v>
      </c>
      <c r="AB30" s="6">
        <v>0</v>
      </c>
      <c r="AC30" s="3" t="e">
        <f t="shared" si="49"/>
        <v>#DIV/0!</v>
      </c>
      <c r="AD30" s="3">
        <v>0</v>
      </c>
      <c r="AE30" s="6">
        <v>0</v>
      </c>
      <c r="AF30" s="3" t="e">
        <f t="shared" si="50"/>
        <v>#DIV/0!</v>
      </c>
      <c r="AG30" s="3">
        <v>0</v>
      </c>
      <c r="AH30" s="6">
        <v>0</v>
      </c>
      <c r="AI30" s="3" t="e">
        <f t="shared" si="51"/>
        <v>#DIV/0!</v>
      </c>
      <c r="AJ30" s="3">
        <v>0</v>
      </c>
      <c r="AK30" s="6">
        <v>0</v>
      </c>
      <c r="AL30" s="3" t="e">
        <f t="shared" si="52"/>
        <v>#DIV/0!</v>
      </c>
      <c r="AM30" s="3">
        <v>0</v>
      </c>
      <c r="AN30" s="6">
        <v>0</v>
      </c>
      <c r="AO30" s="3">
        <f t="shared" si="36"/>
        <v>1151.3089005235602</v>
      </c>
      <c r="AP30" s="3">
        <f t="shared" si="39"/>
        <v>43980</v>
      </c>
      <c r="AQ30" s="6">
        <f t="shared" si="40"/>
        <v>38.200000000000003</v>
      </c>
      <c r="AR30" s="3"/>
      <c r="AS30" s="3"/>
      <c r="AT30" s="3"/>
      <c r="AU30" s="3"/>
      <c r="AV30" s="3"/>
      <c r="AW30" s="3"/>
      <c r="AX30" s="3"/>
      <c r="AY30" s="3"/>
      <c r="AZ30" s="3"/>
      <c r="BA30" s="3"/>
      <c r="BB30" s="3"/>
      <c r="BC30" s="3"/>
      <c r="BD30" s="3"/>
      <c r="BE30" s="3"/>
      <c r="BF30" s="3"/>
      <c r="BG30" s="3"/>
      <c r="BH30" s="3"/>
      <c r="BI30" s="3"/>
      <c r="BJ30" s="3"/>
      <c r="BK30" s="3"/>
      <c r="BL30" s="3"/>
      <c r="BM30" s="3"/>
      <c r="BN30" s="3"/>
      <c r="BO30" s="3"/>
    </row>
    <row r="31" spans="1:67" x14ac:dyDescent="0.3">
      <c r="A31" s="7" t="s">
        <v>66</v>
      </c>
      <c r="B31" s="13"/>
      <c r="C31" s="13"/>
      <c r="D31" s="13"/>
      <c r="E31" s="3" t="e">
        <f t="shared" si="41"/>
        <v>#DIV/0!</v>
      </c>
      <c r="F31" s="3">
        <v>0</v>
      </c>
      <c r="G31" s="6">
        <v>0</v>
      </c>
      <c r="H31" s="3" t="e">
        <f t="shared" si="42"/>
        <v>#DIV/0!</v>
      </c>
      <c r="I31" s="3">
        <v>0</v>
      </c>
      <c r="J31" s="6">
        <v>0</v>
      </c>
      <c r="K31" s="3" t="e">
        <f t="shared" si="43"/>
        <v>#DIV/0!</v>
      </c>
      <c r="L31" s="3">
        <v>0</v>
      </c>
      <c r="M31" s="6">
        <v>0</v>
      </c>
      <c r="N31" s="3" t="e">
        <f t="shared" si="44"/>
        <v>#DIV/0!</v>
      </c>
      <c r="O31" s="3">
        <v>0</v>
      </c>
      <c r="P31" s="6">
        <v>0</v>
      </c>
      <c r="Q31" s="3" t="e">
        <f t="shared" si="45"/>
        <v>#DIV/0!</v>
      </c>
      <c r="R31" s="3">
        <v>0</v>
      </c>
      <c r="S31" s="6">
        <v>0</v>
      </c>
      <c r="T31" s="3" t="e">
        <f t="shared" si="46"/>
        <v>#DIV/0!</v>
      </c>
      <c r="U31" s="3">
        <v>0</v>
      </c>
      <c r="V31" s="6">
        <v>0</v>
      </c>
      <c r="W31" s="3" t="e">
        <f t="shared" si="47"/>
        <v>#DIV/0!</v>
      </c>
      <c r="X31" s="3">
        <v>0</v>
      </c>
      <c r="Y31" s="6">
        <v>0</v>
      </c>
      <c r="Z31" s="3" t="e">
        <f t="shared" si="48"/>
        <v>#DIV/0!</v>
      </c>
      <c r="AA31" s="3">
        <v>0</v>
      </c>
      <c r="AB31" s="6">
        <v>0</v>
      </c>
      <c r="AC31" s="3" t="e">
        <f t="shared" si="49"/>
        <v>#DIV/0!</v>
      </c>
      <c r="AD31" s="3">
        <v>0</v>
      </c>
      <c r="AE31" s="6">
        <v>0</v>
      </c>
      <c r="AF31" s="3">
        <f t="shared" si="50"/>
        <v>2342.4242424242425</v>
      </c>
      <c r="AG31" s="3">
        <v>7730</v>
      </c>
      <c r="AH31" s="6">
        <v>3.3</v>
      </c>
      <c r="AI31" s="3" t="e">
        <f t="shared" si="51"/>
        <v>#DIV/0!</v>
      </c>
      <c r="AJ31" s="3">
        <v>0</v>
      </c>
      <c r="AK31" s="6">
        <v>0</v>
      </c>
      <c r="AL31" s="3" t="e">
        <f t="shared" si="52"/>
        <v>#DIV/0!</v>
      </c>
      <c r="AM31" s="3">
        <v>0</v>
      </c>
      <c r="AN31" s="6">
        <v>0</v>
      </c>
      <c r="AO31" s="3">
        <f t="shared" si="36"/>
        <v>2342.4242424242425</v>
      </c>
      <c r="AP31" s="3">
        <f t="shared" si="39"/>
        <v>7730</v>
      </c>
      <c r="AQ31" s="6">
        <f t="shared" si="40"/>
        <v>3.3</v>
      </c>
      <c r="AR31" s="3"/>
      <c r="AS31" s="3"/>
      <c r="AT31" s="3"/>
      <c r="AU31" s="3"/>
      <c r="AV31" s="3"/>
      <c r="AW31" s="3"/>
      <c r="AX31" s="3"/>
      <c r="AY31" s="3"/>
      <c r="AZ31" s="3"/>
      <c r="BA31" s="3"/>
      <c r="BB31" s="3"/>
      <c r="BC31" s="3"/>
      <c r="BD31" s="3"/>
      <c r="BE31" s="3"/>
      <c r="BF31" s="3"/>
      <c r="BG31" s="3"/>
      <c r="BH31" s="3"/>
      <c r="BI31" s="3"/>
      <c r="BJ31" s="3"/>
      <c r="BK31" s="3"/>
      <c r="BL31" s="3"/>
      <c r="BM31" s="3"/>
      <c r="BN31" s="3"/>
      <c r="BO31" s="3"/>
    </row>
    <row r="32" spans="1:67" x14ac:dyDescent="0.3">
      <c r="A32" s="7" t="s">
        <v>49</v>
      </c>
      <c r="B32" s="13"/>
      <c r="C32" s="13"/>
      <c r="D32" s="13"/>
      <c r="E32" s="3">
        <f t="shared" si="41"/>
        <v>1082.7353859883981</v>
      </c>
      <c r="F32" s="3">
        <v>242641</v>
      </c>
      <c r="G32" s="6">
        <v>224.1</v>
      </c>
      <c r="H32" s="3">
        <f t="shared" si="42"/>
        <v>1437.6214648295866</v>
      </c>
      <c r="I32" s="3">
        <v>198248</v>
      </c>
      <c r="J32" s="6">
        <v>137.9</v>
      </c>
      <c r="K32" s="3">
        <f t="shared" si="43"/>
        <v>1438.66473149492</v>
      </c>
      <c r="L32" s="3">
        <v>99124</v>
      </c>
      <c r="M32" s="6">
        <v>68.900000000000006</v>
      </c>
      <c r="N32" s="3" t="e">
        <f t="shared" si="44"/>
        <v>#DIV/0!</v>
      </c>
      <c r="O32" s="3">
        <v>0</v>
      </c>
      <c r="P32" s="6">
        <v>0</v>
      </c>
      <c r="Q32" s="3" t="e">
        <f t="shared" si="45"/>
        <v>#DIV/0!</v>
      </c>
      <c r="R32" s="3">
        <v>0</v>
      </c>
      <c r="S32" s="6">
        <v>0</v>
      </c>
      <c r="T32" s="3" t="e">
        <f t="shared" si="46"/>
        <v>#DIV/0!</v>
      </c>
      <c r="U32" s="3">
        <v>0</v>
      </c>
      <c r="V32" s="6">
        <v>0</v>
      </c>
      <c r="W32" s="3" t="e">
        <f t="shared" si="47"/>
        <v>#DIV/0!</v>
      </c>
      <c r="X32" s="3">
        <v>0</v>
      </c>
      <c r="Y32" s="6">
        <v>0</v>
      </c>
      <c r="Z32" s="3" t="e">
        <f t="shared" si="48"/>
        <v>#DIV/0!</v>
      </c>
      <c r="AA32" s="3">
        <v>0</v>
      </c>
      <c r="AB32" s="6">
        <v>0</v>
      </c>
      <c r="AC32" s="3" t="e">
        <f t="shared" si="49"/>
        <v>#DIV/0!</v>
      </c>
      <c r="AD32" s="3">
        <v>0</v>
      </c>
      <c r="AE32" s="6">
        <v>0</v>
      </c>
      <c r="AF32" s="3" t="e">
        <f t="shared" si="50"/>
        <v>#DIV/0!</v>
      </c>
      <c r="AG32" s="3">
        <v>0</v>
      </c>
      <c r="AH32" s="6">
        <v>0</v>
      </c>
      <c r="AI32" s="3" t="e">
        <f t="shared" si="51"/>
        <v>#DIV/0!</v>
      </c>
      <c r="AJ32" s="3">
        <v>0</v>
      </c>
      <c r="AK32" s="6">
        <v>0</v>
      </c>
      <c r="AL32" s="3" t="e">
        <f t="shared" si="52"/>
        <v>#DIV/0!</v>
      </c>
      <c r="AM32" s="3">
        <v>0</v>
      </c>
      <c r="AN32" s="6">
        <v>0</v>
      </c>
      <c r="AO32" s="3">
        <f t="shared" si="36"/>
        <v>1253.2211650034812</v>
      </c>
      <c r="AP32" s="3">
        <f t="shared" si="39"/>
        <v>540013</v>
      </c>
      <c r="AQ32" s="6">
        <f t="shared" si="40"/>
        <v>430.9</v>
      </c>
      <c r="AR32" s="3"/>
      <c r="AS32" s="3"/>
      <c r="AT32" s="3"/>
      <c r="AU32" s="3"/>
      <c r="AV32" s="3"/>
      <c r="AW32" s="3"/>
      <c r="AX32" s="3"/>
      <c r="AY32" s="3"/>
      <c r="AZ32" s="3"/>
      <c r="BA32" s="3"/>
      <c r="BB32" s="3"/>
      <c r="BC32" s="3"/>
      <c r="BD32" s="3"/>
      <c r="BE32" s="3"/>
      <c r="BF32" s="3"/>
      <c r="BG32" s="3"/>
      <c r="BH32" s="3"/>
      <c r="BI32" s="3"/>
      <c r="BJ32" s="3"/>
      <c r="BK32" s="3"/>
      <c r="BL32" s="3"/>
      <c r="BM32" s="3"/>
      <c r="BN32" s="3"/>
      <c r="BO32" s="3"/>
    </row>
    <row r="33" spans="1:67" x14ac:dyDescent="0.3">
      <c r="A33" s="7" t="s">
        <v>55</v>
      </c>
      <c r="B33" s="13"/>
      <c r="C33" s="13"/>
      <c r="D33" s="13"/>
      <c r="E33" s="3" t="e">
        <f t="shared" si="41"/>
        <v>#DIV/0!</v>
      </c>
      <c r="F33" s="3">
        <v>0</v>
      </c>
      <c r="G33" s="6">
        <v>0</v>
      </c>
      <c r="H33" s="3" t="e">
        <f t="shared" si="42"/>
        <v>#DIV/0!</v>
      </c>
      <c r="I33" s="3">
        <v>0</v>
      </c>
      <c r="J33" s="6">
        <v>0</v>
      </c>
      <c r="K33" s="3" t="e">
        <f t="shared" si="43"/>
        <v>#DIV/0!</v>
      </c>
      <c r="L33" s="3">
        <v>0</v>
      </c>
      <c r="M33" s="6">
        <v>0</v>
      </c>
      <c r="N33" s="3" t="e">
        <f t="shared" si="44"/>
        <v>#DIV/0!</v>
      </c>
      <c r="O33" s="3">
        <v>0</v>
      </c>
      <c r="P33" s="6">
        <v>0</v>
      </c>
      <c r="Q33" s="3" t="e">
        <f t="shared" si="45"/>
        <v>#DIV/0!</v>
      </c>
      <c r="R33" s="3">
        <v>0</v>
      </c>
      <c r="S33" s="6">
        <v>0</v>
      </c>
      <c r="T33" s="3" t="e">
        <f t="shared" si="46"/>
        <v>#DIV/0!</v>
      </c>
      <c r="U33" s="3">
        <v>0</v>
      </c>
      <c r="V33" s="6">
        <v>0</v>
      </c>
      <c r="W33" s="3" t="e">
        <f t="shared" si="47"/>
        <v>#DIV/0!</v>
      </c>
      <c r="X33" s="3">
        <v>0</v>
      </c>
      <c r="Y33" s="6">
        <v>0</v>
      </c>
      <c r="Z33" s="3" t="e">
        <f t="shared" si="48"/>
        <v>#DIV/0!</v>
      </c>
      <c r="AA33" s="3">
        <v>0</v>
      </c>
      <c r="AB33" s="6">
        <v>0</v>
      </c>
      <c r="AC33" s="3" t="e">
        <f t="shared" si="49"/>
        <v>#DIV/0!</v>
      </c>
      <c r="AD33" s="3">
        <v>0</v>
      </c>
      <c r="AE33" s="6">
        <v>0</v>
      </c>
      <c r="AF33" s="3">
        <f t="shared" si="50"/>
        <v>1806.875</v>
      </c>
      <c r="AG33" s="3">
        <v>2891</v>
      </c>
      <c r="AH33" s="6">
        <v>1.6</v>
      </c>
      <c r="AI33" s="3">
        <f t="shared" si="51"/>
        <v>1635.217391304348</v>
      </c>
      <c r="AJ33" s="3">
        <v>3761</v>
      </c>
      <c r="AK33" s="6">
        <v>2.2999999999999998</v>
      </c>
      <c r="AL33" s="3" t="e">
        <f t="shared" si="52"/>
        <v>#DIV/0!</v>
      </c>
      <c r="AM33" s="3">
        <v>0</v>
      </c>
      <c r="AN33" s="6">
        <v>0</v>
      </c>
      <c r="AO33" s="3">
        <f t="shared" si="36"/>
        <v>1705.6410256410256</v>
      </c>
      <c r="AP33" s="3">
        <f t="shared" si="39"/>
        <v>6652</v>
      </c>
      <c r="AQ33" s="6">
        <f t="shared" si="40"/>
        <v>3.9</v>
      </c>
      <c r="AR33" s="3"/>
      <c r="AS33" s="3"/>
      <c r="AT33" s="3"/>
      <c r="AU33" s="3"/>
      <c r="AV33" s="3"/>
      <c r="AW33" s="3"/>
      <c r="AX33" s="3"/>
      <c r="AY33" s="3"/>
      <c r="AZ33" s="3"/>
      <c r="BA33" s="3"/>
      <c r="BB33" s="3"/>
      <c r="BC33" s="3"/>
      <c r="BD33" s="3"/>
      <c r="BE33" s="3"/>
      <c r="BF33" s="3"/>
      <c r="BG33" s="3"/>
      <c r="BH33" s="3"/>
      <c r="BI33" s="3"/>
      <c r="BJ33" s="3"/>
      <c r="BK33" s="3"/>
      <c r="BL33" s="3"/>
      <c r="BM33" s="3"/>
      <c r="BN33" s="3"/>
      <c r="BO33" s="3"/>
    </row>
    <row r="34" spans="1:67" x14ac:dyDescent="0.3">
      <c r="A34" s="7" t="s">
        <v>44</v>
      </c>
      <c r="B34" s="13"/>
      <c r="C34" s="13"/>
      <c r="D34" s="13"/>
      <c r="E34" s="3">
        <f t="shared" si="41"/>
        <v>1456.7164179104477</v>
      </c>
      <c r="F34" s="3">
        <v>19520</v>
      </c>
      <c r="G34" s="6">
        <v>13.4</v>
      </c>
      <c r="H34" s="3" t="e">
        <f t="shared" si="42"/>
        <v>#DIV/0!</v>
      </c>
      <c r="I34" s="3">
        <v>0</v>
      </c>
      <c r="J34" s="6">
        <v>0</v>
      </c>
      <c r="K34" s="3" t="e">
        <f t="shared" si="43"/>
        <v>#DIV/0!</v>
      </c>
      <c r="L34" s="3">
        <v>0</v>
      </c>
      <c r="M34" s="6">
        <v>0</v>
      </c>
      <c r="N34" s="3" t="e">
        <f t="shared" si="44"/>
        <v>#DIV/0!</v>
      </c>
      <c r="O34" s="3">
        <v>0</v>
      </c>
      <c r="P34" s="6">
        <v>0</v>
      </c>
      <c r="Q34" s="3" t="e">
        <f t="shared" si="45"/>
        <v>#DIV/0!</v>
      </c>
      <c r="R34" s="3">
        <v>0</v>
      </c>
      <c r="S34" s="6">
        <v>0</v>
      </c>
      <c r="T34" s="3" t="e">
        <f t="shared" si="46"/>
        <v>#DIV/0!</v>
      </c>
      <c r="U34" s="3">
        <v>0</v>
      </c>
      <c r="V34" s="6">
        <v>0</v>
      </c>
      <c r="W34" s="3" t="e">
        <f t="shared" si="47"/>
        <v>#DIV/0!</v>
      </c>
      <c r="X34" s="3">
        <v>0</v>
      </c>
      <c r="Y34" s="6">
        <v>0</v>
      </c>
      <c r="Z34" s="3" t="e">
        <f t="shared" si="48"/>
        <v>#DIV/0!</v>
      </c>
      <c r="AA34" s="3">
        <v>0</v>
      </c>
      <c r="AB34" s="6">
        <v>0</v>
      </c>
      <c r="AC34" s="3" t="e">
        <f t="shared" si="49"/>
        <v>#DIV/0!</v>
      </c>
      <c r="AD34" s="3">
        <v>0</v>
      </c>
      <c r="AE34" s="6">
        <v>0</v>
      </c>
      <c r="AF34" s="3" t="e">
        <f t="shared" si="50"/>
        <v>#DIV/0!</v>
      </c>
      <c r="AG34" s="3">
        <v>0</v>
      </c>
      <c r="AH34" s="6">
        <v>0</v>
      </c>
      <c r="AI34" s="3" t="e">
        <f t="shared" si="51"/>
        <v>#DIV/0!</v>
      </c>
      <c r="AJ34" s="3">
        <v>0</v>
      </c>
      <c r="AK34" s="6">
        <v>0</v>
      </c>
      <c r="AL34" s="3" t="e">
        <f t="shared" si="52"/>
        <v>#DIV/0!</v>
      </c>
      <c r="AM34" s="3">
        <v>0</v>
      </c>
      <c r="AN34" s="6">
        <v>0</v>
      </c>
      <c r="AO34" s="3">
        <f t="shared" si="36"/>
        <v>1456.7164179104477</v>
      </c>
      <c r="AP34" s="3">
        <f t="shared" si="39"/>
        <v>19520</v>
      </c>
      <c r="AQ34" s="6">
        <f t="shared" si="40"/>
        <v>13.4</v>
      </c>
      <c r="AR34" s="3"/>
      <c r="AS34" s="3"/>
      <c r="AT34" s="3"/>
      <c r="AU34" s="3"/>
      <c r="AV34" s="3"/>
      <c r="AW34" s="3"/>
      <c r="AX34" s="3"/>
      <c r="AY34" s="3"/>
      <c r="AZ34" s="3"/>
      <c r="BA34" s="3"/>
      <c r="BB34" s="3"/>
      <c r="BC34" s="3"/>
      <c r="BD34" s="3"/>
      <c r="BE34" s="3"/>
      <c r="BF34" s="3"/>
      <c r="BG34" s="3"/>
      <c r="BH34" s="3"/>
      <c r="BI34" s="3"/>
      <c r="BJ34" s="3"/>
      <c r="BK34" s="3"/>
      <c r="BL34" s="3"/>
      <c r="BM34" s="3"/>
      <c r="BN34" s="3"/>
      <c r="BO34" s="3"/>
    </row>
    <row r="35" spans="1:67" x14ac:dyDescent="0.3">
      <c r="A35" s="7" t="s">
        <v>51</v>
      </c>
      <c r="B35" s="13"/>
      <c r="C35" s="13"/>
      <c r="D35" s="13"/>
      <c r="E35" s="22" t="e">
        <f t="shared" si="41"/>
        <v>#DIV/0!</v>
      </c>
      <c r="F35" s="22">
        <v>0</v>
      </c>
      <c r="G35" s="6">
        <v>0</v>
      </c>
      <c r="H35" s="22" t="e">
        <f t="shared" si="42"/>
        <v>#DIV/0!</v>
      </c>
      <c r="I35" s="22">
        <v>0</v>
      </c>
      <c r="J35" s="6">
        <v>0</v>
      </c>
      <c r="K35" s="22" t="e">
        <f t="shared" si="43"/>
        <v>#DIV/0!</v>
      </c>
      <c r="L35" s="22">
        <v>0</v>
      </c>
      <c r="M35" s="6">
        <v>0</v>
      </c>
      <c r="N35" s="22">
        <f t="shared" si="44"/>
        <v>1001.1682242990655</v>
      </c>
      <c r="O35" s="22">
        <v>21425</v>
      </c>
      <c r="P35" s="6">
        <v>21.4</v>
      </c>
      <c r="Q35" s="22" t="e">
        <f t="shared" si="45"/>
        <v>#DIV/0!</v>
      </c>
      <c r="R35" s="22">
        <v>0</v>
      </c>
      <c r="S35" s="6">
        <v>0</v>
      </c>
      <c r="T35" s="22">
        <f t="shared" si="46"/>
        <v>1214.9532710280375</v>
      </c>
      <c r="U35" s="22">
        <v>26000</v>
      </c>
      <c r="V35" s="6">
        <v>21.4</v>
      </c>
      <c r="W35" s="22" t="e">
        <f t="shared" si="47"/>
        <v>#DIV/0!</v>
      </c>
      <c r="X35" s="22">
        <v>0</v>
      </c>
      <c r="Y35" s="6">
        <v>0</v>
      </c>
      <c r="Z35" s="22">
        <f t="shared" si="48"/>
        <v>4348.5714285714284</v>
      </c>
      <c r="AA35" s="22">
        <v>3044</v>
      </c>
      <c r="AB35" s="6">
        <v>0.7</v>
      </c>
      <c r="AC35" s="22" t="e">
        <f t="shared" si="49"/>
        <v>#DIV/0!</v>
      </c>
      <c r="AD35" s="22">
        <v>0</v>
      </c>
      <c r="AE35" s="6">
        <v>0</v>
      </c>
      <c r="AF35" s="22">
        <f t="shared" si="50"/>
        <v>1214.9532710280375</v>
      </c>
      <c r="AG35" s="22">
        <v>26000</v>
      </c>
      <c r="AH35" s="6">
        <v>21.4</v>
      </c>
      <c r="AI35" s="22">
        <f t="shared" si="51"/>
        <v>1214.9532710280375</v>
      </c>
      <c r="AJ35" s="22">
        <v>26000</v>
      </c>
      <c r="AK35" s="6">
        <v>21.4</v>
      </c>
      <c r="AL35" s="22" t="e">
        <f t="shared" si="52"/>
        <v>#DIV/0!</v>
      </c>
      <c r="AM35" s="22">
        <v>0</v>
      </c>
      <c r="AN35" s="6">
        <v>0</v>
      </c>
      <c r="AO35" s="22">
        <f t="shared" si="36"/>
        <v>1187.3580533024333</v>
      </c>
      <c r="AP35" s="22">
        <f t="shared" si="39"/>
        <v>102469</v>
      </c>
      <c r="AQ35" s="6">
        <f t="shared" si="40"/>
        <v>86.300000000000011</v>
      </c>
      <c r="AR35" s="3"/>
      <c r="AS35" s="3"/>
      <c r="AT35" s="3"/>
      <c r="AU35" s="3"/>
      <c r="AV35" s="3"/>
      <c r="AW35" s="3"/>
      <c r="AX35" s="3"/>
      <c r="AY35" s="3"/>
      <c r="AZ35" s="3"/>
      <c r="BA35" s="3"/>
      <c r="BB35" s="3"/>
      <c r="BC35" s="3"/>
      <c r="BD35" s="3"/>
      <c r="BE35" s="3"/>
      <c r="BF35" s="3"/>
      <c r="BG35" s="3"/>
      <c r="BH35" s="3"/>
      <c r="BI35" s="3"/>
      <c r="BJ35" s="3"/>
      <c r="BK35" s="3"/>
      <c r="BL35" s="3"/>
      <c r="BM35" s="3"/>
      <c r="BN35" s="3"/>
      <c r="BO35" s="3"/>
    </row>
    <row r="36" spans="1:67" x14ac:dyDescent="0.3">
      <c r="A36" s="7" t="s">
        <v>61</v>
      </c>
      <c r="B36" s="13"/>
      <c r="C36" s="13"/>
      <c r="D36" s="13"/>
      <c r="E36" s="3" t="e">
        <f t="shared" si="41"/>
        <v>#DIV/0!</v>
      </c>
      <c r="F36" s="3">
        <v>0</v>
      </c>
      <c r="G36" s="6">
        <v>0</v>
      </c>
      <c r="H36" s="3" t="e">
        <f t="shared" si="42"/>
        <v>#DIV/0!</v>
      </c>
      <c r="I36" s="3">
        <v>0</v>
      </c>
      <c r="J36" s="6">
        <v>0</v>
      </c>
      <c r="K36" s="3">
        <f t="shared" si="43"/>
        <v>1817.3333333333333</v>
      </c>
      <c r="L36" s="3">
        <v>2726</v>
      </c>
      <c r="M36" s="6">
        <v>1.5</v>
      </c>
      <c r="N36" s="3" t="e">
        <f t="shared" si="44"/>
        <v>#DIV/0!</v>
      </c>
      <c r="O36" s="3">
        <v>0</v>
      </c>
      <c r="P36" s="6">
        <v>0</v>
      </c>
      <c r="Q36" s="3" t="e">
        <f t="shared" si="45"/>
        <v>#DIV/0!</v>
      </c>
      <c r="R36" s="3">
        <v>0</v>
      </c>
      <c r="S36" s="6">
        <v>0</v>
      </c>
      <c r="T36" s="3" t="e">
        <f t="shared" si="46"/>
        <v>#DIV/0!</v>
      </c>
      <c r="U36" s="3">
        <v>0</v>
      </c>
      <c r="V36" s="6">
        <v>0</v>
      </c>
      <c r="W36" s="3">
        <f t="shared" si="47"/>
        <v>2030.5</v>
      </c>
      <c r="X36" s="3">
        <v>4061</v>
      </c>
      <c r="Y36" s="6">
        <v>2</v>
      </c>
      <c r="Z36" s="3" t="e">
        <f t="shared" si="48"/>
        <v>#DIV/0!</v>
      </c>
      <c r="AA36" s="3">
        <v>0</v>
      </c>
      <c r="AB36" s="6">
        <v>0</v>
      </c>
      <c r="AC36" s="3" t="e">
        <f t="shared" si="49"/>
        <v>#DIV/0!</v>
      </c>
      <c r="AD36" s="3">
        <v>0</v>
      </c>
      <c r="AE36" s="6">
        <v>0</v>
      </c>
      <c r="AF36" s="3" t="e">
        <f t="shared" si="50"/>
        <v>#DIV/0!</v>
      </c>
      <c r="AG36" s="3">
        <v>0</v>
      </c>
      <c r="AH36" s="6">
        <v>0</v>
      </c>
      <c r="AI36" s="3">
        <f t="shared" si="51"/>
        <v>1985</v>
      </c>
      <c r="AJ36" s="3">
        <v>3970</v>
      </c>
      <c r="AK36" s="6">
        <v>2</v>
      </c>
      <c r="AL36" s="3" t="e">
        <f t="shared" si="52"/>
        <v>#DIV/0!</v>
      </c>
      <c r="AM36" s="3">
        <v>0</v>
      </c>
      <c r="AN36" s="6">
        <v>0</v>
      </c>
      <c r="AO36" s="3">
        <f t="shared" si="36"/>
        <v>1955.8181818181818</v>
      </c>
      <c r="AP36" s="3">
        <f t="shared" si="39"/>
        <v>10757</v>
      </c>
      <c r="AQ36" s="6">
        <f t="shared" si="40"/>
        <v>5.5</v>
      </c>
      <c r="AR36" s="22"/>
      <c r="AS36" s="22"/>
      <c r="AT36" s="22"/>
      <c r="AU36" s="22"/>
      <c r="AV36" s="22"/>
      <c r="AW36" s="22"/>
      <c r="AX36" s="22"/>
      <c r="AY36" s="22"/>
      <c r="AZ36" s="22"/>
      <c r="BA36" s="22"/>
      <c r="BB36" s="22"/>
      <c r="BC36" s="22"/>
      <c r="BD36" s="22"/>
      <c r="BE36" s="22"/>
      <c r="BF36" s="22"/>
      <c r="BG36" s="22"/>
      <c r="BH36" s="22"/>
      <c r="BI36" s="3"/>
      <c r="BJ36" s="3"/>
      <c r="BK36" s="3"/>
      <c r="BL36" s="3"/>
      <c r="BM36" s="3"/>
      <c r="BN36" s="3"/>
      <c r="BO36" s="3"/>
    </row>
    <row r="37" spans="1:67" x14ac:dyDescent="0.3">
      <c r="A37" s="7" t="s">
        <v>52</v>
      </c>
      <c r="B37" s="13"/>
      <c r="C37" s="13"/>
      <c r="D37" s="13"/>
      <c r="E37" s="3" t="e">
        <f t="shared" si="41"/>
        <v>#DIV/0!</v>
      </c>
      <c r="F37" s="3">
        <v>0</v>
      </c>
      <c r="G37" s="6">
        <v>0</v>
      </c>
      <c r="H37" s="3" t="e">
        <f t="shared" si="42"/>
        <v>#DIV/0!</v>
      </c>
      <c r="I37" s="3">
        <v>0</v>
      </c>
      <c r="J37" s="6">
        <v>0</v>
      </c>
      <c r="K37" s="3" t="e">
        <f t="shared" si="43"/>
        <v>#DIV/0!</v>
      </c>
      <c r="L37" s="3">
        <v>0</v>
      </c>
      <c r="M37" s="6">
        <v>0</v>
      </c>
      <c r="N37" s="3" t="e">
        <f t="shared" si="44"/>
        <v>#DIV/0!</v>
      </c>
      <c r="O37" s="3">
        <v>0</v>
      </c>
      <c r="P37" s="6">
        <v>0</v>
      </c>
      <c r="Q37" s="3" t="e">
        <f t="shared" si="45"/>
        <v>#DIV/0!</v>
      </c>
      <c r="R37" s="3">
        <v>0</v>
      </c>
      <c r="S37" s="6">
        <v>0</v>
      </c>
      <c r="T37" s="3" t="e">
        <f t="shared" si="46"/>
        <v>#DIV/0!</v>
      </c>
      <c r="U37" s="3">
        <v>0</v>
      </c>
      <c r="V37" s="6">
        <v>0</v>
      </c>
      <c r="W37" s="3">
        <f t="shared" si="47"/>
        <v>1077</v>
      </c>
      <c r="X37" s="3">
        <v>3231</v>
      </c>
      <c r="Y37" s="6">
        <v>3</v>
      </c>
      <c r="Z37" s="3" t="e">
        <f t="shared" si="48"/>
        <v>#DIV/0!</v>
      </c>
      <c r="AA37" s="3">
        <v>0</v>
      </c>
      <c r="AB37" s="6">
        <v>0</v>
      </c>
      <c r="AC37" s="3" t="e">
        <f t="shared" si="49"/>
        <v>#DIV/0!</v>
      </c>
      <c r="AD37" s="3">
        <v>0</v>
      </c>
      <c r="AE37" s="6">
        <v>0</v>
      </c>
      <c r="AF37" s="3" t="e">
        <f t="shared" si="50"/>
        <v>#DIV/0!</v>
      </c>
      <c r="AG37" s="3">
        <v>0</v>
      </c>
      <c r="AH37" s="6">
        <v>0</v>
      </c>
      <c r="AI37" s="3" t="e">
        <f t="shared" si="51"/>
        <v>#DIV/0!</v>
      </c>
      <c r="AJ37" s="3">
        <v>0</v>
      </c>
      <c r="AK37" s="6">
        <v>0</v>
      </c>
      <c r="AL37" s="3" t="e">
        <f t="shared" si="52"/>
        <v>#DIV/0!</v>
      </c>
      <c r="AM37" s="3">
        <v>0</v>
      </c>
      <c r="AN37" s="6">
        <v>0</v>
      </c>
      <c r="AO37" s="3">
        <f t="shared" si="36"/>
        <v>1077</v>
      </c>
      <c r="AP37" s="3">
        <f t="shared" si="39"/>
        <v>3231</v>
      </c>
      <c r="AQ37" s="6">
        <f t="shared" si="40"/>
        <v>3</v>
      </c>
      <c r="AR37" s="22"/>
      <c r="AS37" s="22"/>
      <c r="AT37" s="22"/>
      <c r="AU37" s="22"/>
      <c r="AV37" s="22"/>
      <c r="AW37" s="22"/>
      <c r="AX37" s="22"/>
      <c r="AY37" s="22"/>
      <c r="AZ37" s="22"/>
      <c r="BA37" s="22"/>
      <c r="BB37" s="22"/>
      <c r="BC37" s="22"/>
      <c r="BD37" s="22"/>
      <c r="BE37" s="22"/>
      <c r="BF37" s="22"/>
      <c r="BG37" s="22"/>
      <c r="BH37" s="22"/>
      <c r="BI37" s="3"/>
      <c r="BJ37" s="3"/>
      <c r="BK37" s="3"/>
      <c r="BL37" s="3"/>
      <c r="BM37" s="3"/>
      <c r="BN37" s="3"/>
      <c r="BO37" s="3"/>
    </row>
    <row r="38" spans="1:67" x14ac:dyDescent="0.3">
      <c r="A38" s="7" t="s">
        <v>50</v>
      </c>
      <c r="B38" s="13"/>
      <c r="C38" s="13"/>
      <c r="D38" s="13"/>
      <c r="E38" s="3" t="e">
        <f t="shared" si="41"/>
        <v>#DIV/0!</v>
      </c>
      <c r="F38" s="3">
        <v>0</v>
      </c>
      <c r="G38" s="6">
        <v>0</v>
      </c>
      <c r="H38" s="3" t="e">
        <f t="shared" si="42"/>
        <v>#DIV/0!</v>
      </c>
      <c r="I38" s="3">
        <v>0</v>
      </c>
      <c r="J38" s="6">
        <v>0</v>
      </c>
      <c r="K38" s="3" t="e">
        <f t="shared" si="43"/>
        <v>#DIV/0!</v>
      </c>
      <c r="L38" s="3">
        <v>0</v>
      </c>
      <c r="M38" s="6">
        <v>0</v>
      </c>
      <c r="N38" s="3" t="e">
        <f t="shared" si="44"/>
        <v>#DIV/0!</v>
      </c>
      <c r="O38" s="3">
        <v>0</v>
      </c>
      <c r="P38" s="6">
        <v>0</v>
      </c>
      <c r="Q38" s="3" t="e">
        <f t="shared" si="45"/>
        <v>#DIV/0!</v>
      </c>
      <c r="R38" s="3">
        <v>0</v>
      </c>
      <c r="S38" s="6">
        <v>0</v>
      </c>
      <c r="T38" s="3" t="e">
        <f t="shared" si="46"/>
        <v>#DIV/0!</v>
      </c>
      <c r="U38" s="3">
        <v>0</v>
      </c>
      <c r="V38" s="6">
        <v>0</v>
      </c>
      <c r="W38" s="3" t="e">
        <f t="shared" si="47"/>
        <v>#DIV/0!</v>
      </c>
      <c r="X38" s="3">
        <v>0</v>
      </c>
      <c r="Y38" s="6">
        <v>0</v>
      </c>
      <c r="Z38" s="3" t="e">
        <f t="shared" si="48"/>
        <v>#DIV/0!</v>
      </c>
      <c r="AA38" s="3">
        <v>0</v>
      </c>
      <c r="AB38" s="6">
        <v>0</v>
      </c>
      <c r="AC38" s="3" t="e">
        <f t="shared" si="49"/>
        <v>#DIV/0!</v>
      </c>
      <c r="AD38" s="3">
        <v>0</v>
      </c>
      <c r="AE38" s="6">
        <v>0</v>
      </c>
      <c r="AF38" s="3" t="e">
        <f t="shared" si="50"/>
        <v>#DIV/0!</v>
      </c>
      <c r="AG38" s="3">
        <v>0</v>
      </c>
      <c r="AH38" s="6">
        <v>0</v>
      </c>
      <c r="AI38" s="3">
        <f t="shared" si="51"/>
        <v>2385</v>
      </c>
      <c r="AJ38" s="3">
        <v>4770</v>
      </c>
      <c r="AK38" s="6">
        <v>2</v>
      </c>
      <c r="AL38" s="3" t="e">
        <f t="shared" si="52"/>
        <v>#DIV/0!</v>
      </c>
      <c r="AM38" s="3">
        <v>0</v>
      </c>
      <c r="AN38" s="6">
        <v>0</v>
      </c>
      <c r="AO38" s="3">
        <f t="shared" si="36"/>
        <v>2385</v>
      </c>
      <c r="AP38" s="3">
        <f t="shared" si="39"/>
        <v>4770</v>
      </c>
      <c r="AQ38" s="6">
        <f t="shared" si="40"/>
        <v>2</v>
      </c>
      <c r="AR38" s="3"/>
      <c r="AS38" s="3"/>
      <c r="AT38" s="3"/>
      <c r="AU38" s="3"/>
      <c r="AV38" s="3"/>
      <c r="AW38" s="3"/>
      <c r="AX38" s="3"/>
      <c r="AY38" s="3"/>
      <c r="AZ38" s="3"/>
      <c r="BA38" s="3"/>
      <c r="BB38" s="3"/>
      <c r="BC38" s="3"/>
      <c r="BD38" s="3"/>
      <c r="BE38" s="3"/>
      <c r="BF38" s="3"/>
      <c r="BG38" s="3"/>
      <c r="BH38" s="3"/>
      <c r="BI38" s="3"/>
      <c r="BJ38" s="3"/>
      <c r="BK38" s="3"/>
      <c r="BL38" s="3"/>
      <c r="BM38" s="3"/>
      <c r="BN38" s="3"/>
      <c r="BO38" s="3"/>
    </row>
    <row r="39" spans="1:67" x14ac:dyDescent="0.3">
      <c r="A39" s="7" t="s">
        <v>45</v>
      </c>
      <c r="B39" s="13"/>
      <c r="C39" s="13"/>
      <c r="D39" s="13"/>
      <c r="E39" s="3" t="e">
        <f t="shared" si="41"/>
        <v>#DIV/0!</v>
      </c>
      <c r="F39" s="3">
        <v>0</v>
      </c>
      <c r="G39" s="6">
        <v>0</v>
      </c>
      <c r="H39" s="3" t="e">
        <f t="shared" si="42"/>
        <v>#DIV/0!</v>
      </c>
      <c r="I39" s="3">
        <v>0</v>
      </c>
      <c r="J39" s="6">
        <v>0</v>
      </c>
      <c r="K39" s="3" t="e">
        <f t="shared" si="43"/>
        <v>#DIV/0!</v>
      </c>
      <c r="L39" s="3">
        <v>0</v>
      </c>
      <c r="M39" s="6">
        <v>0</v>
      </c>
      <c r="N39" s="3" t="e">
        <f t="shared" si="44"/>
        <v>#DIV/0!</v>
      </c>
      <c r="O39" s="3">
        <v>0</v>
      </c>
      <c r="P39" s="6">
        <v>0</v>
      </c>
      <c r="Q39" s="3">
        <f t="shared" si="45"/>
        <v>2031.9018404907974</v>
      </c>
      <c r="R39" s="3">
        <v>33120</v>
      </c>
      <c r="S39" s="6">
        <v>16.3</v>
      </c>
      <c r="T39" s="3" t="e">
        <f t="shared" si="46"/>
        <v>#DIV/0!</v>
      </c>
      <c r="U39" s="3">
        <v>0</v>
      </c>
      <c r="V39" s="6">
        <v>0</v>
      </c>
      <c r="W39" s="3" t="e">
        <f t="shared" si="47"/>
        <v>#DIV/0!</v>
      </c>
      <c r="X39" s="3">
        <v>0</v>
      </c>
      <c r="Y39" s="6">
        <v>0</v>
      </c>
      <c r="Z39" s="3" t="e">
        <f t="shared" si="48"/>
        <v>#DIV/0!</v>
      </c>
      <c r="AA39" s="3">
        <v>0</v>
      </c>
      <c r="AB39" s="6">
        <v>0</v>
      </c>
      <c r="AC39" s="3" t="e">
        <f t="shared" si="49"/>
        <v>#DIV/0!</v>
      </c>
      <c r="AD39" s="3">
        <v>0</v>
      </c>
      <c r="AE39" s="6">
        <v>0</v>
      </c>
      <c r="AF39" s="3" t="e">
        <f t="shared" si="50"/>
        <v>#DIV/0!</v>
      </c>
      <c r="AG39" s="3">
        <v>0</v>
      </c>
      <c r="AH39" s="6">
        <v>0</v>
      </c>
      <c r="AI39" s="3" t="e">
        <f t="shared" si="51"/>
        <v>#DIV/0!</v>
      </c>
      <c r="AJ39" s="3">
        <v>0</v>
      </c>
      <c r="AK39" s="6">
        <v>0</v>
      </c>
      <c r="AL39" s="3" t="e">
        <f t="shared" si="52"/>
        <v>#DIV/0!</v>
      </c>
      <c r="AM39" s="3">
        <v>0</v>
      </c>
      <c r="AN39" s="6">
        <v>0</v>
      </c>
      <c r="AO39" s="3">
        <f t="shared" si="36"/>
        <v>2031.9018404907974</v>
      </c>
      <c r="AP39" s="3">
        <f t="shared" si="39"/>
        <v>33120</v>
      </c>
      <c r="AQ39" s="6">
        <f t="shared" si="40"/>
        <v>16.3</v>
      </c>
      <c r="AR39" s="3"/>
      <c r="AS39" s="3"/>
      <c r="AT39" s="3"/>
      <c r="AU39" s="3"/>
      <c r="AV39" s="3"/>
      <c r="AW39" s="3"/>
      <c r="AX39" s="3"/>
      <c r="AY39" s="3"/>
      <c r="AZ39" s="3"/>
      <c r="BA39" s="3"/>
      <c r="BB39" s="3"/>
      <c r="BC39" s="3"/>
      <c r="BD39" s="3"/>
      <c r="BE39" s="3"/>
      <c r="BF39" s="3"/>
      <c r="BG39" s="3"/>
      <c r="BH39" s="3"/>
      <c r="BI39" s="3"/>
      <c r="BJ39" s="3"/>
      <c r="BK39" s="3"/>
      <c r="BL39" s="3"/>
      <c r="BM39" s="3"/>
      <c r="BN39" s="3"/>
      <c r="BO39" s="3"/>
    </row>
    <row r="40" spans="1:67" x14ac:dyDescent="0.3">
      <c r="A40" s="7" t="s">
        <v>29</v>
      </c>
      <c r="B40" s="13"/>
      <c r="C40" s="13"/>
      <c r="D40" s="13"/>
      <c r="E40" s="3" t="e">
        <f t="shared" si="41"/>
        <v>#DIV/0!</v>
      </c>
      <c r="F40" s="3">
        <v>0</v>
      </c>
      <c r="G40" s="6">
        <v>0</v>
      </c>
      <c r="H40" s="3" t="e">
        <f t="shared" si="42"/>
        <v>#DIV/0!</v>
      </c>
      <c r="I40" s="3">
        <v>0</v>
      </c>
      <c r="J40" s="6">
        <v>0</v>
      </c>
      <c r="K40" s="3" t="e">
        <f t="shared" si="43"/>
        <v>#DIV/0!</v>
      </c>
      <c r="L40" s="3">
        <v>0</v>
      </c>
      <c r="M40" s="6">
        <v>0</v>
      </c>
      <c r="N40" s="3" t="e">
        <f t="shared" si="44"/>
        <v>#DIV/0!</v>
      </c>
      <c r="O40" s="3">
        <v>0</v>
      </c>
      <c r="P40" s="6">
        <v>0</v>
      </c>
      <c r="Q40" s="3" t="e">
        <f t="shared" si="45"/>
        <v>#DIV/0!</v>
      </c>
      <c r="R40" s="3">
        <v>0</v>
      </c>
      <c r="S40" s="6">
        <v>0</v>
      </c>
      <c r="T40" s="3" t="e">
        <f t="shared" si="46"/>
        <v>#DIV/0!</v>
      </c>
      <c r="U40" s="3">
        <v>0</v>
      </c>
      <c r="V40" s="6">
        <v>0</v>
      </c>
      <c r="W40" s="3" t="e">
        <f t="shared" si="47"/>
        <v>#DIV/0!</v>
      </c>
      <c r="X40" s="3">
        <v>0</v>
      </c>
      <c r="Y40" s="6">
        <v>0</v>
      </c>
      <c r="Z40" s="3" t="e">
        <f t="shared" si="48"/>
        <v>#DIV/0!</v>
      </c>
      <c r="AA40" s="3">
        <v>0</v>
      </c>
      <c r="AB40" s="6">
        <v>0</v>
      </c>
      <c r="AC40" s="3">
        <f t="shared" si="49"/>
        <v>1109.1549295774648</v>
      </c>
      <c r="AD40" s="3">
        <v>7875</v>
      </c>
      <c r="AE40" s="6">
        <v>7.1</v>
      </c>
      <c r="AF40" s="3">
        <f t="shared" si="50"/>
        <v>1230.7692307692307</v>
      </c>
      <c r="AG40" s="3">
        <v>11200</v>
      </c>
      <c r="AH40" s="6">
        <v>9.1</v>
      </c>
      <c r="AI40" s="3" t="e">
        <f t="shared" si="51"/>
        <v>#DIV/0!</v>
      </c>
      <c r="AJ40" s="3">
        <v>0</v>
      </c>
      <c r="AK40" s="6">
        <v>0</v>
      </c>
      <c r="AL40" s="3" t="e">
        <f t="shared" si="52"/>
        <v>#DIV/0!</v>
      </c>
      <c r="AM40" s="3">
        <v>0</v>
      </c>
      <c r="AN40" s="6">
        <v>0</v>
      </c>
      <c r="AO40" s="3">
        <f t="shared" si="36"/>
        <v>1177.4691358024693</v>
      </c>
      <c r="AP40" s="3">
        <f t="shared" si="39"/>
        <v>19075</v>
      </c>
      <c r="AQ40" s="6">
        <f t="shared" si="40"/>
        <v>16.2</v>
      </c>
      <c r="AR40" s="3"/>
      <c r="AS40" s="3"/>
      <c r="AT40" s="3"/>
      <c r="AU40" s="3"/>
      <c r="AV40" s="3"/>
      <c r="AW40" s="3"/>
      <c r="AX40" s="3"/>
      <c r="AY40" s="3"/>
      <c r="AZ40" s="3"/>
      <c r="BA40" s="3"/>
      <c r="BB40" s="3"/>
      <c r="BC40" s="3"/>
      <c r="BD40" s="3"/>
      <c r="BE40" s="3"/>
      <c r="BF40" s="3"/>
      <c r="BG40" s="3"/>
      <c r="BH40" s="3"/>
      <c r="BI40" s="3"/>
      <c r="BJ40" s="3"/>
      <c r="BK40" s="3"/>
      <c r="BL40" s="3"/>
      <c r="BM40" s="3"/>
      <c r="BN40" s="3"/>
      <c r="BO40" s="3"/>
    </row>
    <row r="41" spans="1:67" x14ac:dyDescent="0.3">
      <c r="A41" s="12" t="s">
        <v>30</v>
      </c>
      <c r="B41" s="14"/>
      <c r="C41" s="14"/>
      <c r="D41" s="14"/>
      <c r="E41" s="9" t="e">
        <f t="shared" si="41"/>
        <v>#DIV/0!</v>
      </c>
      <c r="F41" s="10">
        <v>0</v>
      </c>
      <c r="G41" s="11">
        <v>0</v>
      </c>
      <c r="H41" s="10" t="e">
        <f t="shared" si="42"/>
        <v>#DIV/0!</v>
      </c>
      <c r="I41" s="10">
        <v>0</v>
      </c>
      <c r="J41" s="11">
        <v>0</v>
      </c>
      <c r="K41" s="10" t="e">
        <f t="shared" si="43"/>
        <v>#DIV/0!</v>
      </c>
      <c r="L41" s="10">
        <v>0</v>
      </c>
      <c r="M41" s="11">
        <v>0</v>
      </c>
      <c r="N41" s="10">
        <f t="shared" si="44"/>
        <v>1276.9295774647887</v>
      </c>
      <c r="O41" s="10">
        <v>45331</v>
      </c>
      <c r="P41" s="11">
        <v>35.5</v>
      </c>
      <c r="Q41" s="10" t="e">
        <f t="shared" si="45"/>
        <v>#DIV/0!</v>
      </c>
      <c r="R41" s="10">
        <v>0</v>
      </c>
      <c r="S41" s="11">
        <v>0</v>
      </c>
      <c r="T41" s="10" t="e">
        <f t="shared" si="46"/>
        <v>#DIV/0!</v>
      </c>
      <c r="U41" s="10">
        <v>0</v>
      </c>
      <c r="V41" s="11">
        <v>0</v>
      </c>
      <c r="W41" s="10">
        <f t="shared" si="47"/>
        <v>1324.3315508021392</v>
      </c>
      <c r="X41" s="10">
        <v>24765</v>
      </c>
      <c r="Y41" s="11">
        <v>18.7</v>
      </c>
      <c r="Z41" s="10" t="e">
        <f t="shared" si="48"/>
        <v>#DIV/0!</v>
      </c>
      <c r="AA41" s="10">
        <v>0</v>
      </c>
      <c r="AB41" s="11">
        <v>0</v>
      </c>
      <c r="AC41" s="10" t="e">
        <f t="shared" si="49"/>
        <v>#DIV/0!</v>
      </c>
      <c r="AD41" s="10">
        <v>0</v>
      </c>
      <c r="AE41" s="11">
        <v>0</v>
      </c>
      <c r="AF41" s="10" t="e">
        <f t="shared" si="50"/>
        <v>#DIV/0!</v>
      </c>
      <c r="AG41" s="10">
        <v>0</v>
      </c>
      <c r="AH41" s="11">
        <v>0</v>
      </c>
      <c r="AI41" s="10">
        <f t="shared" si="51"/>
        <v>1310.9090909090908</v>
      </c>
      <c r="AJ41" s="10">
        <v>11536</v>
      </c>
      <c r="AK41" s="11">
        <v>8.8000000000000007</v>
      </c>
      <c r="AL41" s="10" t="e">
        <f t="shared" si="52"/>
        <v>#DIV/0!</v>
      </c>
      <c r="AM41" s="10">
        <v>0</v>
      </c>
      <c r="AN41" s="11">
        <v>0</v>
      </c>
      <c r="AO41" s="10">
        <f t="shared" si="36"/>
        <v>1295.7460317460318</v>
      </c>
      <c r="AP41" s="10">
        <f t="shared" si="39"/>
        <v>81632</v>
      </c>
      <c r="AQ41" s="11">
        <f t="shared" si="40"/>
        <v>63</v>
      </c>
      <c r="AR41" s="3"/>
      <c r="AS41" s="3"/>
      <c r="AT41" s="3"/>
      <c r="AU41" s="3"/>
      <c r="AV41" s="3"/>
      <c r="AW41" s="3"/>
      <c r="AX41" s="3"/>
      <c r="AY41" s="3"/>
      <c r="AZ41" s="3"/>
      <c r="BA41" s="3"/>
      <c r="BB41" s="3"/>
      <c r="BC41" s="3"/>
      <c r="BD41" s="3"/>
      <c r="BE41" s="3"/>
      <c r="BF41" s="3"/>
      <c r="BG41" s="3"/>
      <c r="BH41" s="3"/>
      <c r="BI41" s="3"/>
      <c r="BJ41" s="3"/>
      <c r="BK41" s="3"/>
      <c r="BL41" s="3"/>
      <c r="BM41" s="3"/>
      <c r="BN41" s="3"/>
      <c r="BO41" s="3"/>
    </row>
    <row r="42" spans="1:67" x14ac:dyDescent="0.3">
      <c r="A42" s="1" t="s">
        <v>31</v>
      </c>
      <c r="B42" s="1"/>
    </row>
    <row r="43" spans="1:67" x14ac:dyDescent="0.3">
      <c r="A43" s="1" t="s">
        <v>46</v>
      </c>
      <c r="B43" s="1"/>
    </row>
    <row r="44" spans="1:67" x14ac:dyDescent="0.3">
      <c r="A44" s="1" t="s">
        <v>32</v>
      </c>
      <c r="B44" s="1"/>
    </row>
    <row r="45" spans="1:67" x14ac:dyDescent="0.3">
      <c r="A45" s="1" t="s">
        <v>33</v>
      </c>
      <c r="B45" s="1"/>
    </row>
    <row r="46" spans="1:67" x14ac:dyDescent="0.3">
      <c r="A46" s="1" t="s">
        <v>47</v>
      </c>
      <c r="B46" s="1"/>
    </row>
  </sheetData>
  <mergeCells count="16">
    <mergeCell ref="N1:P1"/>
    <mergeCell ref="Q1:S1"/>
    <mergeCell ref="T1:V1"/>
    <mergeCell ref="AL1:AN1"/>
    <mergeCell ref="AO1:AQ1"/>
    <mergeCell ref="W1:Y1"/>
    <mergeCell ref="Z1:AB1"/>
    <mergeCell ref="AC1:AE1"/>
    <mergeCell ref="AF1:AH1"/>
    <mergeCell ref="AI1:AK1"/>
    <mergeCell ref="E1:G1"/>
    <mergeCell ref="H1:J1"/>
    <mergeCell ref="K1:M1"/>
    <mergeCell ref="B3:B41"/>
    <mergeCell ref="C3:C41"/>
    <mergeCell ref="D3:D4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2016년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2026-08-07T07:47:56Z</dcterms:modified>
</cp:coreProperties>
</file>