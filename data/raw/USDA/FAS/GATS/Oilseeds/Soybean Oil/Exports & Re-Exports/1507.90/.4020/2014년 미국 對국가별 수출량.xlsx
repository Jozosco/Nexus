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4년" sheetId="1" r:id="rId1"/>
  </sheets>
  <calcPr calcId="162913"/>
</workbook>
</file>

<file path=xl/calcChain.xml><?xml version="1.0" encoding="utf-8"?>
<calcChain xmlns="http://schemas.openxmlformats.org/spreadsheetml/2006/main">
  <c r="AQ22" i="1" l="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2" i="1"/>
  <c r="AL21" i="1"/>
  <c r="AL20" i="1"/>
  <c r="AL19" i="1"/>
  <c r="AL18" i="1"/>
  <c r="AL17" i="1"/>
  <c r="AL16" i="1"/>
  <c r="AL15" i="1"/>
  <c r="AL14" i="1"/>
  <c r="AL13" i="1"/>
  <c r="AL12" i="1"/>
  <c r="AL11" i="1"/>
  <c r="AL10" i="1"/>
  <c r="AL9" i="1"/>
  <c r="AL8" i="1"/>
  <c r="AL7" i="1"/>
  <c r="AL6" i="1"/>
  <c r="AL5" i="1"/>
  <c r="AL4" i="1"/>
  <c r="AI22" i="1"/>
  <c r="AI21" i="1"/>
  <c r="AI20" i="1"/>
  <c r="AI19" i="1"/>
  <c r="AI18" i="1"/>
  <c r="AI17" i="1"/>
  <c r="AI16" i="1"/>
  <c r="AI15" i="1"/>
  <c r="AI14" i="1"/>
  <c r="AI13" i="1"/>
  <c r="AI12" i="1"/>
  <c r="AI11" i="1"/>
  <c r="AI10" i="1"/>
  <c r="AI9" i="1"/>
  <c r="AI8" i="1"/>
  <c r="AI7" i="1"/>
  <c r="AI6" i="1"/>
  <c r="AI5" i="1"/>
  <c r="AI4" i="1"/>
  <c r="AF22" i="1"/>
  <c r="AF21" i="1"/>
  <c r="AF20" i="1"/>
  <c r="AF19" i="1"/>
  <c r="AF18" i="1"/>
  <c r="AF17" i="1"/>
  <c r="AF16" i="1"/>
  <c r="AF15" i="1"/>
  <c r="AF14" i="1"/>
  <c r="AF13" i="1"/>
  <c r="AF12" i="1"/>
  <c r="AF11" i="1"/>
  <c r="AF10" i="1"/>
  <c r="AF9" i="1"/>
  <c r="AF8" i="1"/>
  <c r="AF7" i="1"/>
  <c r="AF6" i="1"/>
  <c r="AF5" i="1"/>
  <c r="AF4" i="1"/>
  <c r="AC22" i="1"/>
  <c r="AC21" i="1"/>
  <c r="AC20" i="1"/>
  <c r="AC19" i="1"/>
  <c r="AC18" i="1"/>
  <c r="AC17" i="1"/>
  <c r="AC16" i="1"/>
  <c r="AC15" i="1"/>
  <c r="AC14" i="1"/>
  <c r="AC13" i="1"/>
  <c r="AC12" i="1"/>
  <c r="AC11" i="1"/>
  <c r="AC10" i="1"/>
  <c r="AC9" i="1"/>
  <c r="AC8" i="1"/>
  <c r="AC7" i="1"/>
  <c r="AC6" i="1"/>
  <c r="AC5" i="1"/>
  <c r="AC4" i="1"/>
  <c r="Z22" i="1"/>
  <c r="Z21" i="1"/>
  <c r="Z20" i="1"/>
  <c r="Z19" i="1"/>
  <c r="Z18" i="1"/>
  <c r="Z17" i="1"/>
  <c r="Z16" i="1"/>
  <c r="Z15" i="1"/>
  <c r="Z14" i="1"/>
  <c r="Z13" i="1"/>
  <c r="Z12" i="1"/>
  <c r="Z11" i="1"/>
  <c r="Z10" i="1"/>
  <c r="Z9" i="1"/>
  <c r="Z8" i="1"/>
  <c r="Z7" i="1"/>
  <c r="Z6" i="1"/>
  <c r="Z5" i="1"/>
  <c r="Z4" i="1"/>
  <c r="W22" i="1"/>
  <c r="W21" i="1"/>
  <c r="W20" i="1"/>
  <c r="W19" i="1"/>
  <c r="W18" i="1"/>
  <c r="W17" i="1"/>
  <c r="W16" i="1"/>
  <c r="W15" i="1"/>
  <c r="W14" i="1"/>
  <c r="W13" i="1"/>
  <c r="W12" i="1"/>
  <c r="W11" i="1"/>
  <c r="W10" i="1"/>
  <c r="W9" i="1"/>
  <c r="W8" i="1"/>
  <c r="W7" i="1"/>
  <c r="W6" i="1"/>
  <c r="W5" i="1"/>
  <c r="W4" i="1"/>
  <c r="T22" i="1"/>
  <c r="T21" i="1"/>
  <c r="T20" i="1"/>
  <c r="T19" i="1"/>
  <c r="T18" i="1"/>
  <c r="T17" i="1"/>
  <c r="T16" i="1"/>
  <c r="T15" i="1"/>
  <c r="T14" i="1"/>
  <c r="T13" i="1"/>
  <c r="T12" i="1"/>
  <c r="T11" i="1"/>
  <c r="T10" i="1"/>
  <c r="T9" i="1"/>
  <c r="T8" i="1"/>
  <c r="T7" i="1"/>
  <c r="T6" i="1"/>
  <c r="T5" i="1"/>
  <c r="T4" i="1"/>
  <c r="Q22" i="1"/>
  <c r="Q21" i="1"/>
  <c r="Q20" i="1"/>
  <c r="Q19" i="1"/>
  <c r="Q18" i="1"/>
  <c r="Q17" i="1"/>
  <c r="Q16" i="1"/>
  <c r="Q15" i="1"/>
  <c r="Q14" i="1"/>
  <c r="Q13" i="1"/>
  <c r="Q12" i="1"/>
  <c r="Q11" i="1"/>
  <c r="Q10" i="1"/>
  <c r="Q9" i="1"/>
  <c r="Q8" i="1"/>
  <c r="Q7" i="1"/>
  <c r="Q6" i="1"/>
  <c r="Q5" i="1"/>
  <c r="Q4" i="1"/>
  <c r="N22" i="1"/>
  <c r="N21" i="1"/>
  <c r="N20" i="1"/>
  <c r="N19" i="1"/>
  <c r="N18" i="1"/>
  <c r="N17" i="1"/>
  <c r="N16" i="1"/>
  <c r="N15" i="1"/>
  <c r="N14" i="1"/>
  <c r="N13" i="1"/>
  <c r="N12" i="1"/>
  <c r="N11" i="1"/>
  <c r="N10" i="1"/>
  <c r="N9" i="1"/>
  <c r="N8" i="1"/>
  <c r="N7" i="1"/>
  <c r="N6" i="1"/>
  <c r="N5" i="1"/>
  <c r="N4" i="1"/>
  <c r="K22" i="1"/>
  <c r="K21" i="1"/>
  <c r="K20" i="1"/>
  <c r="K19" i="1"/>
  <c r="K18" i="1"/>
  <c r="K17" i="1"/>
  <c r="K16" i="1"/>
  <c r="K15" i="1"/>
  <c r="K14" i="1"/>
  <c r="K13" i="1"/>
  <c r="K12" i="1"/>
  <c r="K11" i="1"/>
  <c r="K10" i="1"/>
  <c r="K9" i="1"/>
  <c r="K8" i="1"/>
  <c r="K7" i="1"/>
  <c r="K6" i="1"/>
  <c r="K5" i="1"/>
  <c r="K4" i="1"/>
  <c r="H22" i="1"/>
  <c r="H21" i="1"/>
  <c r="H20" i="1"/>
  <c r="H19" i="1"/>
  <c r="H18" i="1"/>
  <c r="H17" i="1"/>
  <c r="H16" i="1"/>
  <c r="H15" i="1"/>
  <c r="H14" i="1"/>
  <c r="H13" i="1"/>
  <c r="H12" i="1"/>
  <c r="H11" i="1"/>
  <c r="H10" i="1"/>
  <c r="H9" i="1"/>
  <c r="H8" i="1"/>
  <c r="H7" i="1"/>
  <c r="H6" i="1"/>
  <c r="H5" i="1"/>
  <c r="H4"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3" i="1" l="1"/>
  <c r="AO4" i="1"/>
  <c r="AO12" i="1"/>
</calcChain>
</file>

<file path=xl/sharedStrings.xml><?xml version="1.0" encoding="utf-8"?>
<sst xmlns="http://schemas.openxmlformats.org/spreadsheetml/2006/main" count="84" uniqueCount="48">
  <si>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</si>
  <si>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</si>
  <si>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</si>
  <si>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</si>
  <si>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</si>
  <si>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</si>
  <si>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</si>
  <si>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</si>
  <si>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</si>
  <si>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</si>
  <si>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</si>
  <si>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</si>
  <si>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</si>
  <si>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</si>
  <si>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</si>
  <si>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</si>
  <si>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</si>
  <si>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</si>
  <si>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</si>
  <si>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Mexico</t>
  </si>
  <si>
    <t>United Arab Emirates</t>
  </si>
  <si>
    <t>El Salvador</t>
  </si>
  <si>
    <t>Guatemala</t>
  </si>
  <si>
    <t>Honduras</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</si>
  <si>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</si>
  <si>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</si>
  <si>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</si>
  <si>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</si>
  <si>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</si>
  <si>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</si>
  <si>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</si>
  <si>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</si>
  <si>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</si>
  <si>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</si>
  <si>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</si>
  <si>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Lebanon</t>
  </si>
  <si>
    <t>1. Data Source: U.S. Census Bureau Trade Data</t>
  </si>
  <si>
    <t>4. Product Group : Harmonized</t>
  </si>
  <si>
    <t>Product</t>
    <phoneticPr fontId="18" type="noConversion"/>
  </si>
  <si>
    <t>SOY OIL ONC-RFND</t>
    <phoneticPr fontId="18" type="noConversion"/>
  </si>
  <si>
    <t>Germany</t>
  </si>
  <si>
    <t>Bahrain</t>
  </si>
  <si>
    <t>Barbados</t>
  </si>
  <si>
    <t>Australia(*)</t>
  </si>
  <si>
    <t>Brazil</t>
  </si>
  <si>
    <t>Indonesia</t>
  </si>
  <si>
    <t>Panama</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</si>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</sst>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29</v>
      </c>
      <c r="B2" s="2" t="s">
        <v>38</v>
      </c>
      <c r="C2" s="2" t="s">
        <v>13</v>
      </c>
      <c r="D2" s="2" t="s">
        <v>30</v>
      </c>
      <c r="E2" s="4" t="s">
        <v>14</v>
      </c>
      <c r="F2" s="2" t="s">
        <v>30</v>
      </c>
      <c r="G2" s="5" t="s">
        <v>15</v>
      </c>
      <c r="H2" s="2" t="s">
        <v>14</v>
      </c>
      <c r="I2" s="2" t="s">
        <v>30</v>
      </c>
      <c r="J2" s="5" t="s">
        <v>15</v>
      </c>
      <c r="K2" s="2" t="s">
        <v>14</v>
      </c>
      <c r="L2" s="2" t="s">
        <v>30</v>
      </c>
      <c r="M2" s="5" t="s">
        <v>15</v>
      </c>
      <c r="N2" s="2" t="s">
        <v>14</v>
      </c>
      <c r="O2" s="2" t="s">
        <v>30</v>
      </c>
      <c r="P2" s="5" t="s">
        <v>15</v>
      </c>
      <c r="Q2" s="2" t="s">
        <v>14</v>
      </c>
      <c r="R2" s="2" t="s">
        <v>30</v>
      </c>
      <c r="S2" s="5" t="s">
        <v>15</v>
      </c>
      <c r="T2" s="2" t="s">
        <v>14</v>
      </c>
      <c r="U2" s="2" t="s">
        <v>30</v>
      </c>
      <c r="V2" s="5" t="s">
        <v>15</v>
      </c>
      <c r="W2" s="2" t="s">
        <v>14</v>
      </c>
      <c r="X2" s="2" t="s">
        <v>30</v>
      </c>
      <c r="Y2" s="5" t="s">
        <v>15</v>
      </c>
      <c r="Z2" s="2" t="s">
        <v>14</v>
      </c>
      <c r="AA2" s="2" t="s">
        <v>30</v>
      </c>
      <c r="AB2" s="5" t="s">
        <v>15</v>
      </c>
      <c r="AC2" s="2" t="s">
        <v>14</v>
      </c>
      <c r="AD2" s="2" t="s">
        <v>30</v>
      </c>
      <c r="AE2" s="5" t="s">
        <v>15</v>
      </c>
      <c r="AF2" s="2" t="s">
        <v>14</v>
      </c>
      <c r="AG2" s="2" t="s">
        <v>30</v>
      </c>
      <c r="AH2" s="5" t="s">
        <v>15</v>
      </c>
      <c r="AI2" s="2" t="s">
        <v>14</v>
      </c>
      <c r="AJ2" s="2" t="s">
        <v>30</v>
      </c>
      <c r="AK2" s="5" t="s">
        <v>15</v>
      </c>
      <c r="AL2" s="2" t="s">
        <v>14</v>
      </c>
      <c r="AM2" s="2" t="s">
        <v>30</v>
      </c>
      <c r="AN2" s="5" t="s">
        <v>15</v>
      </c>
      <c r="AO2" s="2" t="s">
        <v>14</v>
      </c>
      <c r="AP2" s="2" t="s">
        <v>32</v>
      </c>
      <c r="AQ2" s="5" t="s">
        <v>15</v>
      </c>
    </row>
    <row r="3" spans="1:67" ht="15" customHeight="1" x14ac:dyDescent="0.3">
      <c r="A3" s="9" t="s">
        <v>16</v>
      </c>
      <c r="B3" s="13" t="s">
        <v>39</v>
      </c>
      <c r="C3" s="13" t="s">
        <v>17</v>
      </c>
      <c r="D3" s="13" t="s">
        <v>31</v>
      </c>
      <c r="E3" s="7">
        <f>F3/G3</f>
        <v>793.44928751047769</v>
      </c>
      <c r="F3" s="7">
        <f>SUM(F4:F22)</f>
        <v>189317</v>
      </c>
      <c r="G3" s="8">
        <f>SUM(G4:G22)</f>
        <v>238.60000000000002</v>
      </c>
      <c r="H3" s="7">
        <f>I3/J3</f>
        <v>826.58501952431652</v>
      </c>
      <c r="I3" s="7">
        <f>SUM(I4:I22)</f>
        <v>232849</v>
      </c>
      <c r="J3" s="8">
        <f>SUM(J4:J22)</f>
        <v>281.70000000000005</v>
      </c>
      <c r="K3" s="7">
        <f>L3/M3</f>
        <v>881.6195569136745</v>
      </c>
      <c r="L3" s="7">
        <f>SUM(L4:L22)</f>
        <v>115404</v>
      </c>
      <c r="M3" s="8">
        <f>SUM(M4:M22)</f>
        <v>130.9</v>
      </c>
      <c r="N3" s="7">
        <f>O3/P3</f>
        <v>838.68904680225432</v>
      </c>
      <c r="O3" s="7">
        <f>SUM(O4:O22)</f>
        <v>342269</v>
      </c>
      <c r="P3" s="8">
        <f>SUM(P4:P22)</f>
        <v>408.1</v>
      </c>
      <c r="Q3" s="7">
        <f>R3/S3</f>
        <v>890.55976430976432</v>
      </c>
      <c r="R3" s="7">
        <f>SUM(R4:R22)</f>
        <v>211597</v>
      </c>
      <c r="S3" s="8">
        <f>SUM(S4:S22)</f>
        <v>237.6</v>
      </c>
      <c r="T3" s="7">
        <f>U3/V3</f>
        <v>950.11250540891399</v>
      </c>
      <c r="U3" s="7">
        <f>SUM(U4:U22)</f>
        <v>219571</v>
      </c>
      <c r="V3" s="8">
        <f>SUM(V4:V22)</f>
        <v>231.09999999999997</v>
      </c>
      <c r="W3" s="7">
        <f>X3/Y3</f>
        <v>879.21703296703299</v>
      </c>
      <c r="X3" s="7">
        <f>SUM(X4:X22)</f>
        <v>192021</v>
      </c>
      <c r="Y3" s="8">
        <f>SUM(Y4:Y22)</f>
        <v>218.4</v>
      </c>
      <c r="Z3" s="7">
        <f>AA3/AB3</f>
        <v>806.48179652943179</v>
      </c>
      <c r="AA3" s="7">
        <f>SUM(AA4:AA22)</f>
        <v>237025</v>
      </c>
      <c r="AB3" s="8">
        <f>SUM(AB4:AB22)</f>
        <v>293.89999999999998</v>
      </c>
      <c r="AC3" s="7">
        <f>AD3/AE3</f>
        <v>946.47700701480892</v>
      </c>
      <c r="AD3" s="7">
        <f>SUM(AD4:AD22)</f>
        <v>121433</v>
      </c>
      <c r="AE3" s="8">
        <f>SUM(AE4:AE22)</f>
        <v>128.30000000000001</v>
      </c>
      <c r="AF3" s="7">
        <f>AG3/AH3</f>
        <v>834.94877049180332</v>
      </c>
      <c r="AG3" s="7">
        <f>SUM(AG4:AG22)</f>
        <v>162982</v>
      </c>
      <c r="AH3" s="8">
        <f>SUM(AH4:AH22)</f>
        <v>195.2</v>
      </c>
      <c r="AI3" s="7">
        <f>AJ3/AK3</f>
        <v>1041.0077896786756</v>
      </c>
      <c r="AJ3" s="7">
        <f>SUM(AJ4:AJ22)</f>
        <v>213823</v>
      </c>
      <c r="AK3" s="8">
        <f>SUM(AK4:AK22)</f>
        <v>205.40000000000003</v>
      </c>
      <c r="AL3" s="7">
        <f>AM3/AN3</f>
        <v>831.76937156802944</v>
      </c>
      <c r="AM3" s="7">
        <f>SUM(AM4:AM22)</f>
        <v>272654</v>
      </c>
      <c r="AN3" s="8">
        <f>SUM(AN4:AN22)</f>
        <v>327.79999999999995</v>
      </c>
      <c r="AO3" s="7">
        <f>AP3/AQ3</f>
        <v>866.73973075595461</v>
      </c>
      <c r="AP3" s="7">
        <f>SUM(AP4:AP22)</f>
        <v>2510945</v>
      </c>
      <c r="AQ3" s="8">
        <f>SUM(AQ4:AQ22)</f>
        <v>2896.9999999999995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20</v>
      </c>
      <c r="B4" s="14"/>
      <c r="C4" s="14"/>
      <c r="D4" s="14"/>
      <c r="E4" s="3" t="e">
        <f t="shared" ref="E4:E11" si="0">F4/G4</f>
        <v>#DIV/0!</v>
      </c>
      <c r="F4" s="3">
        <v>0</v>
      </c>
      <c r="G4" s="6">
        <v>0</v>
      </c>
      <c r="H4" s="3">
        <f t="shared" ref="H4:H11" si="1">I4/J4</f>
        <v>800.24600246002467</v>
      </c>
      <c r="I4" s="3">
        <v>65060</v>
      </c>
      <c r="J4" s="6">
        <v>81.3</v>
      </c>
      <c r="K4" s="3" t="e">
        <f t="shared" ref="K4:K11" si="2">L4/M4</f>
        <v>#DIV/0!</v>
      </c>
      <c r="L4" s="3">
        <v>0</v>
      </c>
      <c r="M4" s="6">
        <v>0</v>
      </c>
      <c r="N4" s="3">
        <f t="shared" ref="N4:N11" si="3">O4/P4</f>
        <v>1033.5112059765208</v>
      </c>
      <c r="O4" s="3">
        <v>96840</v>
      </c>
      <c r="P4" s="6">
        <v>93.7</v>
      </c>
      <c r="Q4" s="3">
        <f t="shared" ref="Q4:Q11" si="4">R4/S4</f>
        <v>796.42857142857144</v>
      </c>
      <c r="R4" s="3">
        <v>98120</v>
      </c>
      <c r="S4" s="6">
        <v>123.2</v>
      </c>
      <c r="T4" s="3">
        <f t="shared" ref="T4:T11" si="5">U4/V4</f>
        <v>1164.3564356435645</v>
      </c>
      <c r="U4" s="3">
        <v>23520</v>
      </c>
      <c r="V4" s="6">
        <v>20.2</v>
      </c>
      <c r="W4" s="3">
        <f t="shared" ref="W4:W11" si="6">X4/Y4</f>
        <v>1134.6534653465346</v>
      </c>
      <c r="X4" s="3">
        <v>22920</v>
      </c>
      <c r="Y4" s="6">
        <v>20.2</v>
      </c>
      <c r="Z4" s="3" t="e">
        <f t="shared" ref="Z4:Z11" si="7">AA4/AB4</f>
        <v>#DIV/0!</v>
      </c>
      <c r="AA4" s="3">
        <v>0</v>
      </c>
      <c r="AB4" s="6">
        <v>0</v>
      </c>
      <c r="AC4" s="3" t="e">
        <f t="shared" ref="AC4:AC11" si="8">AD4/AE4</f>
        <v>#DIV/0!</v>
      </c>
      <c r="AD4" s="3">
        <v>0</v>
      </c>
      <c r="AE4" s="6">
        <v>0</v>
      </c>
      <c r="AF4" s="3">
        <f t="shared" ref="AF4:AF11" si="9">AG4/AH4</f>
        <v>771.40238313473878</v>
      </c>
      <c r="AG4" s="3">
        <v>84160</v>
      </c>
      <c r="AH4" s="6">
        <v>109.1</v>
      </c>
      <c r="AI4" s="3">
        <f t="shared" ref="AI4:AI11" si="10">AJ4/AK4</f>
        <v>864.88027366020526</v>
      </c>
      <c r="AJ4" s="3">
        <v>75850</v>
      </c>
      <c r="AK4" s="6">
        <v>87.7</v>
      </c>
      <c r="AL4" s="3">
        <f t="shared" ref="AL4:AL11" si="11">AM4/AN4</f>
        <v>914.83216237314605</v>
      </c>
      <c r="AM4" s="3">
        <v>117190</v>
      </c>
      <c r="AN4" s="6">
        <v>128.1</v>
      </c>
      <c r="AO4" s="3">
        <f t="shared" ref="AO4:AO22" si="12">AP4/AQ4</f>
        <v>879.66842501883946</v>
      </c>
      <c r="AP4" s="3">
        <f t="shared" ref="AP4:AQ4" si="13">SUM(F4,I4,L4,O4,R4,U4,X4,AA4,AD4,AG4,AJ4,AM4)</f>
        <v>583660</v>
      </c>
      <c r="AQ4" s="6">
        <f t="shared" si="13"/>
        <v>663.5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35</v>
      </c>
      <c r="B5" s="14"/>
      <c r="C5" s="14"/>
      <c r="D5" s="14"/>
      <c r="E5" s="3">
        <f t="shared" si="0"/>
        <v>718.40451248992747</v>
      </c>
      <c r="F5" s="3">
        <v>89154</v>
      </c>
      <c r="G5" s="6">
        <v>124.1</v>
      </c>
      <c r="H5" s="3">
        <f t="shared" si="1"/>
        <v>823.85006353240146</v>
      </c>
      <c r="I5" s="3">
        <v>64837</v>
      </c>
      <c r="J5" s="6">
        <v>78.7</v>
      </c>
      <c r="K5" s="3">
        <f t="shared" si="2"/>
        <v>717.82608695652175</v>
      </c>
      <c r="L5" s="3">
        <v>44577</v>
      </c>
      <c r="M5" s="6">
        <v>62.1</v>
      </c>
      <c r="N5" s="3">
        <f t="shared" si="3"/>
        <v>717.82608695652175</v>
      </c>
      <c r="O5" s="3">
        <v>44577</v>
      </c>
      <c r="P5" s="6">
        <v>62.1</v>
      </c>
      <c r="Q5" s="3">
        <f t="shared" si="4"/>
        <v>1220.4819277108434</v>
      </c>
      <c r="R5" s="3">
        <v>20260</v>
      </c>
      <c r="S5" s="6">
        <v>16.600000000000001</v>
      </c>
      <c r="T5" s="3">
        <f t="shared" si="5"/>
        <v>717.82608695652175</v>
      </c>
      <c r="U5" s="3">
        <v>44577</v>
      </c>
      <c r="V5" s="6">
        <v>62.1</v>
      </c>
      <c r="W5" s="3">
        <f t="shared" si="6"/>
        <v>717.82608695652175</v>
      </c>
      <c r="X5" s="3">
        <v>44577</v>
      </c>
      <c r="Y5" s="6">
        <v>62.1</v>
      </c>
      <c r="Z5" s="3">
        <f t="shared" si="7"/>
        <v>718.40451248992747</v>
      </c>
      <c r="AA5" s="3">
        <v>89154</v>
      </c>
      <c r="AB5" s="6">
        <v>124.1</v>
      </c>
      <c r="AC5" s="3" t="e">
        <f t="shared" si="8"/>
        <v>#DIV/0!</v>
      </c>
      <c r="AD5" s="3">
        <v>0</v>
      </c>
      <c r="AE5" s="6">
        <v>0</v>
      </c>
      <c r="AF5" s="3" t="e">
        <f t="shared" si="9"/>
        <v>#DIV/0!</v>
      </c>
      <c r="AG5" s="3">
        <v>0</v>
      </c>
      <c r="AH5" s="6">
        <v>0</v>
      </c>
      <c r="AI5" s="3" t="e">
        <f t="shared" si="10"/>
        <v>#DIV/0!</v>
      </c>
      <c r="AJ5" s="3">
        <v>0</v>
      </c>
      <c r="AK5" s="6">
        <v>0</v>
      </c>
      <c r="AL5" s="3">
        <f t="shared" si="11"/>
        <v>718.40451248992747</v>
      </c>
      <c r="AM5" s="3">
        <v>89154</v>
      </c>
      <c r="AN5" s="6">
        <v>124.1</v>
      </c>
      <c r="AO5" s="3">
        <f t="shared" si="12"/>
        <v>741.43435754189932</v>
      </c>
      <c r="AP5" s="3">
        <f t="shared" ref="AP5:AP22" si="14">SUM(F5,I5,L5,O5,R5,U5,X5,AA5,AD5,AG5,AJ5,AM5)</f>
        <v>530867</v>
      </c>
      <c r="AQ5" s="6">
        <f t="shared" ref="AQ5:AQ22" si="15">SUM(G5,J5,M5,P5,S5,V5,Y5,AB5,AE5,AH5,AK5,AN5)</f>
        <v>716.00000000000011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22</v>
      </c>
      <c r="B6" s="14"/>
      <c r="C6" s="14"/>
      <c r="D6" s="14"/>
      <c r="E6" s="3">
        <f t="shared" si="0"/>
        <v>797.14285714285711</v>
      </c>
      <c r="F6" s="3">
        <v>45198</v>
      </c>
      <c r="G6" s="6">
        <v>56.7</v>
      </c>
      <c r="H6" s="3">
        <f t="shared" si="1"/>
        <v>826.5258215962441</v>
      </c>
      <c r="I6" s="3">
        <v>17605</v>
      </c>
      <c r="J6" s="6">
        <v>21.3</v>
      </c>
      <c r="K6" s="3">
        <f t="shared" si="2"/>
        <v>717.88104089219337</v>
      </c>
      <c r="L6" s="3">
        <v>19311</v>
      </c>
      <c r="M6" s="6">
        <v>26.9</v>
      </c>
      <c r="N6" s="3">
        <f t="shared" si="3"/>
        <v>719.02621722846447</v>
      </c>
      <c r="O6" s="3">
        <v>19198</v>
      </c>
      <c r="P6" s="6">
        <v>26.7</v>
      </c>
      <c r="Q6" s="3">
        <f t="shared" si="4"/>
        <v>718.53658536585363</v>
      </c>
      <c r="R6" s="3">
        <v>41244</v>
      </c>
      <c r="S6" s="6">
        <v>57.4</v>
      </c>
      <c r="T6" s="3">
        <f t="shared" si="5"/>
        <v>717.86231884057963</v>
      </c>
      <c r="U6" s="3">
        <v>19813</v>
      </c>
      <c r="V6" s="6">
        <v>27.6</v>
      </c>
      <c r="W6" s="3">
        <f t="shared" si="6"/>
        <v>1569.8214285714287</v>
      </c>
      <c r="X6" s="3">
        <v>8791</v>
      </c>
      <c r="Y6" s="6">
        <v>5.6</v>
      </c>
      <c r="Z6" s="3">
        <f t="shared" si="7"/>
        <v>717.63157894736844</v>
      </c>
      <c r="AA6" s="3">
        <v>29997</v>
      </c>
      <c r="AB6" s="6">
        <v>41.8</v>
      </c>
      <c r="AC6" s="3">
        <f t="shared" si="8"/>
        <v>719.41176470588232</v>
      </c>
      <c r="AD6" s="3">
        <v>11007</v>
      </c>
      <c r="AE6" s="6">
        <v>15.3</v>
      </c>
      <c r="AF6" s="3">
        <f t="shared" si="9"/>
        <v>777.57352941176475</v>
      </c>
      <c r="AG6" s="3">
        <v>21150</v>
      </c>
      <c r="AH6" s="6">
        <v>27.2</v>
      </c>
      <c r="AI6" s="3" t="e">
        <f t="shared" si="10"/>
        <v>#DIV/0!</v>
      </c>
      <c r="AJ6" s="3">
        <v>0</v>
      </c>
      <c r="AK6" s="6">
        <v>0</v>
      </c>
      <c r="AL6" s="3">
        <f t="shared" si="11"/>
        <v>718.16067653276957</v>
      </c>
      <c r="AM6" s="3">
        <v>33969</v>
      </c>
      <c r="AN6" s="6">
        <v>47.3</v>
      </c>
      <c r="AO6" s="3">
        <f t="shared" si="12"/>
        <v>755.46353872244208</v>
      </c>
      <c r="AP6" s="3">
        <f t="shared" si="14"/>
        <v>267283</v>
      </c>
      <c r="AQ6" s="6">
        <f t="shared" si="15"/>
        <v>353.8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41</v>
      </c>
      <c r="B7" s="14"/>
      <c r="C7" s="14"/>
      <c r="D7" s="14"/>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f t="shared" si="5"/>
        <v>1170.2970297029703</v>
      </c>
      <c r="U7" s="3">
        <v>23640</v>
      </c>
      <c r="V7" s="6">
        <v>20.2</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998.01980198019805</v>
      </c>
      <c r="AM7" s="3">
        <v>20160</v>
      </c>
      <c r="AN7" s="6">
        <v>20.2</v>
      </c>
      <c r="AO7" s="3">
        <f t="shared" si="12"/>
        <v>1084.1584158415842</v>
      </c>
      <c r="AP7" s="3">
        <f t="shared" si="14"/>
        <v>43800</v>
      </c>
      <c r="AQ7" s="6">
        <f t="shared" si="15"/>
        <v>40.4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19</v>
      </c>
      <c r="B8" s="14"/>
      <c r="C8" s="14"/>
      <c r="D8" s="14"/>
      <c r="E8" s="3">
        <f t="shared" si="0"/>
        <v>950.95155709342566</v>
      </c>
      <c r="F8" s="3">
        <v>54965</v>
      </c>
      <c r="G8" s="6">
        <v>57.8</v>
      </c>
      <c r="H8" s="3">
        <f t="shared" si="1"/>
        <v>902.29910714285722</v>
      </c>
      <c r="I8" s="3">
        <v>40423</v>
      </c>
      <c r="J8" s="6">
        <v>44.8</v>
      </c>
      <c r="K8" s="3">
        <f t="shared" si="2"/>
        <v>1261.4035087719299</v>
      </c>
      <c r="L8" s="3">
        <v>7190</v>
      </c>
      <c r="M8" s="6">
        <v>5.7</v>
      </c>
      <c r="N8" s="3">
        <f t="shared" si="3"/>
        <v>800.77160493827159</v>
      </c>
      <c r="O8" s="3">
        <v>103780</v>
      </c>
      <c r="P8" s="6">
        <v>129.6</v>
      </c>
      <c r="Q8" s="3">
        <f t="shared" si="4"/>
        <v>1234.7</v>
      </c>
      <c r="R8" s="3">
        <v>24694</v>
      </c>
      <c r="S8" s="6">
        <v>20</v>
      </c>
      <c r="T8" s="3">
        <f t="shared" si="5"/>
        <v>861.15879828326183</v>
      </c>
      <c r="U8" s="3">
        <v>40130</v>
      </c>
      <c r="V8" s="6">
        <v>46.6</v>
      </c>
      <c r="W8" s="3">
        <f t="shared" si="6"/>
        <v>866.09567901234573</v>
      </c>
      <c r="X8" s="3">
        <v>112246</v>
      </c>
      <c r="Y8" s="6">
        <v>129.6</v>
      </c>
      <c r="Z8" s="3">
        <f t="shared" si="7"/>
        <v>899.64454976303307</v>
      </c>
      <c r="AA8" s="3">
        <v>37965</v>
      </c>
      <c r="AB8" s="6">
        <v>42.2</v>
      </c>
      <c r="AC8" s="3">
        <f t="shared" si="8"/>
        <v>1287.8629032258063</v>
      </c>
      <c r="AD8" s="3">
        <v>31939</v>
      </c>
      <c r="AE8" s="6">
        <v>24.8</v>
      </c>
      <c r="AF8" s="3">
        <f t="shared" si="9"/>
        <v>789.22693266832914</v>
      </c>
      <c r="AG8" s="3">
        <v>31648</v>
      </c>
      <c r="AH8" s="6">
        <v>40.1</v>
      </c>
      <c r="AI8" s="3" t="e">
        <f t="shared" si="10"/>
        <v>#DIV/0!</v>
      </c>
      <c r="AJ8" s="3">
        <v>0</v>
      </c>
      <c r="AK8" s="6">
        <v>0</v>
      </c>
      <c r="AL8" s="3">
        <f t="shared" si="11"/>
        <v>1248.5964912280701</v>
      </c>
      <c r="AM8" s="3">
        <v>7117</v>
      </c>
      <c r="AN8" s="6">
        <v>5.7</v>
      </c>
      <c r="AO8" s="3">
        <f t="shared" si="12"/>
        <v>899.79338087401709</v>
      </c>
      <c r="AP8" s="3">
        <f t="shared" si="14"/>
        <v>492097</v>
      </c>
      <c r="AQ8" s="6">
        <f t="shared" si="15"/>
        <v>546.90000000000009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42</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f t="shared" si="11"/>
        <v>2110</v>
      </c>
      <c r="AM9" s="3">
        <v>5064</v>
      </c>
      <c r="AN9" s="6">
        <v>2.4</v>
      </c>
      <c r="AO9" s="3">
        <f t="shared" si="12"/>
        <v>2110</v>
      </c>
      <c r="AP9" s="3">
        <f t="shared" si="14"/>
        <v>5064</v>
      </c>
      <c r="AQ9" s="6">
        <f t="shared" si="15"/>
        <v>2.4</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43</v>
      </c>
      <c r="B10" s="14"/>
      <c r="C10" s="14"/>
      <c r="D10" s="14"/>
      <c r="E10" s="3" t="e">
        <f t="shared" si="0"/>
        <v>#DIV/0!</v>
      </c>
      <c r="F10" s="3">
        <v>0</v>
      </c>
      <c r="G10" s="6">
        <v>0</v>
      </c>
      <c r="H10" s="3" t="e">
        <f t="shared" si="1"/>
        <v>#DIV/0!</v>
      </c>
      <c r="I10" s="3">
        <v>0</v>
      </c>
      <c r="J10" s="6">
        <v>0</v>
      </c>
      <c r="K10" s="3" t="e">
        <f t="shared" si="2"/>
        <v>#DIV/0!</v>
      </c>
      <c r="L10" s="3">
        <v>0</v>
      </c>
      <c r="M10" s="6">
        <v>0</v>
      </c>
      <c r="N10" s="3">
        <f t="shared" si="3"/>
        <v>717.70197486535005</v>
      </c>
      <c r="O10" s="3">
        <v>39976</v>
      </c>
      <c r="P10" s="6">
        <v>55.7</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717.70197486535005</v>
      </c>
      <c r="AP10" s="3">
        <f t="shared" si="14"/>
        <v>39976</v>
      </c>
      <c r="AQ10" s="6">
        <f t="shared" si="15"/>
        <v>55.7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44</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f t="shared" si="4"/>
        <v>15345</v>
      </c>
      <c r="R11" s="3">
        <v>3069</v>
      </c>
      <c r="S11" s="6">
        <v>0.2</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15345</v>
      </c>
      <c r="AP11" s="3">
        <f t="shared" si="14"/>
        <v>3069</v>
      </c>
      <c r="AQ11" s="6">
        <f t="shared" si="15"/>
        <v>0.2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18</v>
      </c>
      <c r="B12" s="14"/>
      <c r="C12" s="14"/>
      <c r="D12" s="14"/>
      <c r="E12" s="3" t="e">
        <f>F12/G12</f>
        <v>#DIV/0!</v>
      </c>
      <c r="F12" s="3">
        <v>0</v>
      </c>
      <c r="G12" s="6">
        <v>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f>AD12/AE12</f>
        <v>718.54838709677415</v>
      </c>
      <c r="AD12" s="3">
        <v>44550</v>
      </c>
      <c r="AE12" s="6">
        <v>62</v>
      </c>
      <c r="AF12" s="3" t="e">
        <f>AG12/AH12</f>
        <v>#DIV/0!</v>
      </c>
      <c r="AG12" s="3">
        <v>0</v>
      </c>
      <c r="AH12" s="6">
        <v>0</v>
      </c>
      <c r="AI12" s="3">
        <f>AJ12/AK12</f>
        <v>2580</v>
      </c>
      <c r="AJ12" s="3">
        <v>3096</v>
      </c>
      <c r="AK12" s="6">
        <v>1.2</v>
      </c>
      <c r="AL12" s="3" t="e">
        <f>AM12/AN12</f>
        <v>#DIV/0!</v>
      </c>
      <c r="AM12" s="3">
        <v>0</v>
      </c>
      <c r="AN12" s="6">
        <v>0</v>
      </c>
      <c r="AO12" s="3">
        <f t="shared" si="12"/>
        <v>753.89240506329111</v>
      </c>
      <c r="AP12" s="3">
        <f t="shared" si="14"/>
        <v>47646</v>
      </c>
      <c r="AQ12" s="6">
        <f t="shared" si="15"/>
        <v>63.2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21</v>
      </c>
      <c r="B13" s="14"/>
      <c r="C13" s="14"/>
      <c r="D13" s="14"/>
      <c r="E13" s="3" t="e">
        <f t="shared" ref="E13:E22" si="16">F13/G13</f>
        <v>#DIV/0!</v>
      </c>
      <c r="F13" s="3">
        <v>0</v>
      </c>
      <c r="G13" s="6">
        <v>0</v>
      </c>
      <c r="H13" s="3">
        <f t="shared" ref="H13:H22" si="17">I13/J13</f>
        <v>2945.3333333333335</v>
      </c>
      <c r="I13" s="3">
        <v>4418</v>
      </c>
      <c r="J13" s="6">
        <v>1.5</v>
      </c>
      <c r="K13" s="3" t="e">
        <f t="shared" ref="K13:K22" si="18">L13/M13</f>
        <v>#DIV/0!</v>
      </c>
      <c r="L13" s="3">
        <v>0</v>
      </c>
      <c r="M13" s="6">
        <v>0</v>
      </c>
      <c r="N13" s="3" t="e">
        <f t="shared" ref="N13:N22" si="19">O13/P13</f>
        <v>#DIV/0!</v>
      </c>
      <c r="O13" s="3">
        <v>0</v>
      </c>
      <c r="P13" s="6">
        <v>0</v>
      </c>
      <c r="Q13" s="3" t="e">
        <f t="shared" ref="Q13:Q22" si="20">R13/S13</f>
        <v>#DIV/0!</v>
      </c>
      <c r="R13" s="3">
        <v>0</v>
      </c>
      <c r="S13" s="6">
        <v>0</v>
      </c>
      <c r="T13" s="3" t="e">
        <f t="shared" ref="T13:T22" si="21">U13/V13</f>
        <v>#DIV/0!</v>
      </c>
      <c r="U13" s="3">
        <v>0</v>
      </c>
      <c r="V13" s="6">
        <v>0</v>
      </c>
      <c r="W13" s="3" t="e">
        <f t="shared" ref="W13:W22" si="22">X13/Y13</f>
        <v>#DIV/0!</v>
      </c>
      <c r="X13" s="3">
        <v>0</v>
      </c>
      <c r="Y13" s="6">
        <v>0</v>
      </c>
      <c r="Z13" s="3" t="e">
        <f t="shared" ref="Z13:Z22" si="23">AA13/AB13</f>
        <v>#DIV/0!</v>
      </c>
      <c r="AA13" s="3">
        <v>0</v>
      </c>
      <c r="AB13" s="6">
        <v>0</v>
      </c>
      <c r="AC13" s="3" t="e">
        <f t="shared" ref="AC13:AC22" si="24">AD13/AE13</f>
        <v>#DIV/0!</v>
      </c>
      <c r="AD13" s="3">
        <v>0</v>
      </c>
      <c r="AE13" s="6">
        <v>0</v>
      </c>
      <c r="AF13" s="3" t="e">
        <f t="shared" ref="AF13:AF22" si="25">AG13/AH13</f>
        <v>#DIV/0!</v>
      </c>
      <c r="AG13" s="3">
        <v>0</v>
      </c>
      <c r="AH13" s="6">
        <v>0</v>
      </c>
      <c r="AI13" s="3" t="e">
        <f t="shared" ref="AI13:AI22" si="26">AJ13/AK13</f>
        <v>#DIV/0!</v>
      </c>
      <c r="AJ13" s="3">
        <v>0</v>
      </c>
      <c r="AK13" s="6">
        <v>0</v>
      </c>
      <c r="AL13" s="3" t="e">
        <f t="shared" ref="AL13:AL22" si="27">AM13/AN13</f>
        <v>#DIV/0!</v>
      </c>
      <c r="AM13" s="3">
        <v>0</v>
      </c>
      <c r="AN13" s="6">
        <v>0</v>
      </c>
      <c r="AO13" s="3">
        <f t="shared" si="12"/>
        <v>2945.3333333333335</v>
      </c>
      <c r="AP13" s="3">
        <f t="shared" si="14"/>
        <v>4418</v>
      </c>
      <c r="AQ13" s="6">
        <f t="shared" si="15"/>
        <v>1.5</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40</v>
      </c>
      <c r="B14" s="14"/>
      <c r="C14" s="14"/>
      <c r="D14" s="14"/>
      <c r="E14" s="3" t="e">
        <f t="shared" si="16"/>
        <v>#DIV/0!</v>
      </c>
      <c r="F14" s="3">
        <v>0</v>
      </c>
      <c r="G14" s="6">
        <v>0</v>
      </c>
      <c r="H14" s="3" t="e">
        <f t="shared" si="17"/>
        <v>#DIV/0!</v>
      </c>
      <c r="I14" s="3">
        <v>0</v>
      </c>
      <c r="J14" s="6">
        <v>0</v>
      </c>
      <c r="K14" s="3">
        <f t="shared" si="18"/>
        <v>1263.112244897959</v>
      </c>
      <c r="L14" s="3">
        <v>24757</v>
      </c>
      <c r="M14" s="6">
        <v>19.600000000000001</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1263.112244897959</v>
      </c>
      <c r="AP14" s="3">
        <f t="shared" si="14"/>
        <v>24757</v>
      </c>
      <c r="AQ14" s="6">
        <f t="shared" si="15"/>
        <v>19.600000000000001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23</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f t="shared" si="21"/>
        <v>1764.6666666666667</v>
      </c>
      <c r="U15" s="3">
        <v>2647</v>
      </c>
      <c r="V15" s="6">
        <v>1.5</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f t="shared" si="26"/>
        <v>1764</v>
      </c>
      <c r="AJ15" s="3">
        <v>2646</v>
      </c>
      <c r="AK15" s="6">
        <v>1.5</v>
      </c>
      <c r="AL15" s="3" t="e">
        <f t="shared" si="27"/>
        <v>#DIV/0!</v>
      </c>
      <c r="AM15" s="3">
        <v>0</v>
      </c>
      <c r="AN15" s="6">
        <v>0</v>
      </c>
      <c r="AO15" s="3">
        <f t="shared" si="12"/>
        <v>1764.3333333333333</v>
      </c>
      <c r="AP15" s="3">
        <f t="shared" si="14"/>
        <v>5293</v>
      </c>
      <c r="AQ15" s="6">
        <f t="shared" si="15"/>
        <v>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45</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f t="shared" si="22"/>
        <v>3874.4444444444443</v>
      </c>
      <c r="X16" s="3">
        <v>3487</v>
      </c>
      <c r="Y16" s="6">
        <v>0.9</v>
      </c>
      <c r="Z16" s="3" t="e">
        <f t="shared" si="23"/>
        <v>#DIV/0!</v>
      </c>
      <c r="AA16" s="3">
        <v>0</v>
      </c>
      <c r="AB16" s="6">
        <v>0</v>
      </c>
      <c r="AC16" s="3">
        <f t="shared" si="24"/>
        <v>2636.8965517241381</v>
      </c>
      <c r="AD16" s="3">
        <v>7647</v>
      </c>
      <c r="AE16" s="6">
        <v>2.9</v>
      </c>
      <c r="AF16" s="3" t="e">
        <f t="shared" si="25"/>
        <v>#DIV/0!</v>
      </c>
      <c r="AG16" s="3">
        <v>0</v>
      </c>
      <c r="AH16" s="6">
        <v>0</v>
      </c>
      <c r="AI16" s="3" t="e">
        <f t="shared" si="26"/>
        <v>#DIV/0!</v>
      </c>
      <c r="AJ16" s="3">
        <v>0</v>
      </c>
      <c r="AK16" s="6">
        <v>0</v>
      </c>
      <c r="AL16" s="3" t="e">
        <f t="shared" si="27"/>
        <v>#DIV/0!</v>
      </c>
      <c r="AM16" s="3">
        <v>0</v>
      </c>
      <c r="AN16" s="6">
        <v>0</v>
      </c>
      <c r="AO16" s="3">
        <f t="shared" si="12"/>
        <v>2930</v>
      </c>
      <c r="AP16" s="3">
        <f t="shared" si="14"/>
        <v>11134</v>
      </c>
      <c r="AQ16" s="6">
        <f t="shared" si="15"/>
        <v>3.8</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33</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f t="shared" si="23"/>
        <v>711.19047619047615</v>
      </c>
      <c r="AA17" s="3">
        <v>2987</v>
      </c>
      <c r="AB17" s="6">
        <v>4.2</v>
      </c>
      <c r="AC17" s="3" t="e">
        <f t="shared" si="24"/>
        <v>#DIV/0!</v>
      </c>
      <c r="AD17" s="3">
        <v>0</v>
      </c>
      <c r="AE17" s="6">
        <v>0</v>
      </c>
      <c r="AF17" s="3" t="e">
        <f t="shared" si="25"/>
        <v>#DIV/0!</v>
      </c>
      <c r="AG17" s="3">
        <v>0</v>
      </c>
      <c r="AH17" s="6">
        <v>0</v>
      </c>
      <c r="AI17" s="3">
        <f t="shared" si="26"/>
        <v>2133.75</v>
      </c>
      <c r="AJ17" s="3">
        <v>5121</v>
      </c>
      <c r="AK17" s="6">
        <v>2.4</v>
      </c>
      <c r="AL17" s="3" t="e">
        <f t="shared" si="27"/>
        <v>#DIV/0!</v>
      </c>
      <c r="AM17" s="3">
        <v>0</v>
      </c>
      <c r="AN17" s="6">
        <v>0</v>
      </c>
      <c r="AO17" s="3">
        <f t="shared" si="12"/>
        <v>1228.4848484848485</v>
      </c>
      <c r="AP17" s="3">
        <f t="shared" si="14"/>
        <v>8108</v>
      </c>
      <c r="AQ17" s="6">
        <f t="shared" si="15"/>
        <v>6.6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46</v>
      </c>
      <c r="B18" s="14"/>
      <c r="C18" s="14"/>
      <c r="D18" s="14"/>
      <c r="E18" s="3" t="e">
        <f t="shared" si="16"/>
        <v>#DIV/0!</v>
      </c>
      <c r="F18" s="3">
        <v>0</v>
      </c>
      <c r="G18" s="6">
        <v>0</v>
      </c>
      <c r="H18" s="3">
        <f t="shared" si="17"/>
        <v>748.72458410351203</v>
      </c>
      <c r="I18" s="3">
        <v>40506</v>
      </c>
      <c r="J18" s="6">
        <v>54.1</v>
      </c>
      <c r="K18" s="3">
        <f t="shared" si="18"/>
        <v>1178.8554216867469</v>
      </c>
      <c r="L18" s="3">
        <v>19569</v>
      </c>
      <c r="M18" s="6">
        <v>16.600000000000001</v>
      </c>
      <c r="N18" s="3" t="e">
        <f t="shared" si="19"/>
        <v>#DIV/0!</v>
      </c>
      <c r="O18" s="3">
        <v>0</v>
      </c>
      <c r="P18" s="6">
        <v>0</v>
      </c>
      <c r="Q18" s="3" t="e">
        <f t="shared" si="20"/>
        <v>#DIV/0!</v>
      </c>
      <c r="R18" s="3">
        <v>0</v>
      </c>
      <c r="S18" s="6">
        <v>0</v>
      </c>
      <c r="T18" s="3">
        <f t="shared" si="21"/>
        <v>1278.1651376146788</v>
      </c>
      <c r="U18" s="3">
        <v>41796</v>
      </c>
      <c r="V18" s="6">
        <v>32.700000000000003</v>
      </c>
      <c r="W18" s="3" t="e">
        <f t="shared" si="22"/>
        <v>#DIV/0!</v>
      </c>
      <c r="X18" s="3">
        <v>0</v>
      </c>
      <c r="Y18" s="6">
        <v>0</v>
      </c>
      <c r="Z18" s="3">
        <f t="shared" si="23"/>
        <v>1213.0270270270271</v>
      </c>
      <c r="AA18" s="3">
        <v>44882</v>
      </c>
      <c r="AB18" s="6">
        <v>37</v>
      </c>
      <c r="AC18" s="3" t="e">
        <f t="shared" si="24"/>
        <v>#DIV/0!</v>
      </c>
      <c r="AD18" s="3">
        <v>0</v>
      </c>
      <c r="AE18" s="6">
        <v>0</v>
      </c>
      <c r="AF18" s="3">
        <f t="shared" si="25"/>
        <v>1384.2553191489362</v>
      </c>
      <c r="AG18" s="3">
        <v>26024</v>
      </c>
      <c r="AH18" s="6">
        <v>18.8</v>
      </c>
      <c r="AI18" s="3" t="e">
        <f t="shared" si="26"/>
        <v>#DIV/0!</v>
      </c>
      <c r="AJ18" s="3">
        <v>0</v>
      </c>
      <c r="AK18" s="6">
        <v>0</v>
      </c>
      <c r="AL18" s="3" t="e">
        <f t="shared" si="27"/>
        <v>#DIV/0!</v>
      </c>
      <c r="AM18" s="3">
        <v>0</v>
      </c>
      <c r="AN18" s="6">
        <v>0</v>
      </c>
      <c r="AO18" s="3">
        <f t="shared" si="12"/>
        <v>1085.2826633165828</v>
      </c>
      <c r="AP18" s="3">
        <f t="shared" si="14"/>
        <v>172777</v>
      </c>
      <c r="AQ18" s="6">
        <f t="shared" si="15"/>
        <v>159.20000000000002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34</v>
      </c>
      <c r="B19" s="14"/>
      <c r="C19" s="14"/>
      <c r="D19" s="14"/>
      <c r="E19" s="3" t="e">
        <f t="shared" si="16"/>
        <v>#DIV/0!</v>
      </c>
      <c r="F19" s="3">
        <v>0</v>
      </c>
      <c r="G19" s="6">
        <v>0</v>
      </c>
      <c r="H19" s="3" t="e">
        <f t="shared" si="17"/>
        <v>#DIV/0!</v>
      </c>
      <c r="I19" s="3">
        <v>0</v>
      </c>
      <c r="J19" s="6">
        <v>0</v>
      </c>
      <c r="K19" s="3" t="e">
        <f t="shared" si="18"/>
        <v>#DIV/0!</v>
      </c>
      <c r="L19" s="3">
        <v>0</v>
      </c>
      <c r="M19" s="6">
        <v>0</v>
      </c>
      <c r="N19" s="3">
        <f t="shared" si="19"/>
        <v>1161.5346534653465</v>
      </c>
      <c r="O19" s="3">
        <v>23463</v>
      </c>
      <c r="P19" s="6">
        <v>20.2</v>
      </c>
      <c r="Q19" s="3">
        <f t="shared" si="20"/>
        <v>1198.5148514851485</v>
      </c>
      <c r="R19" s="3">
        <v>24210</v>
      </c>
      <c r="S19" s="6">
        <v>20.2</v>
      </c>
      <c r="T19" s="3">
        <f t="shared" si="21"/>
        <v>1160.7920792079208</v>
      </c>
      <c r="U19" s="3">
        <v>23448</v>
      </c>
      <c r="V19" s="6">
        <v>20.2</v>
      </c>
      <c r="W19" s="3" t="e">
        <f t="shared" si="22"/>
        <v>#DIV/0!</v>
      </c>
      <c r="X19" s="3">
        <v>0</v>
      </c>
      <c r="Y19" s="6">
        <v>0</v>
      </c>
      <c r="Z19" s="3" t="e">
        <f t="shared" si="23"/>
        <v>#DIV/0!</v>
      </c>
      <c r="AA19" s="3">
        <v>0</v>
      </c>
      <c r="AB19" s="6">
        <v>0</v>
      </c>
      <c r="AC19" s="3" t="e">
        <f t="shared" si="24"/>
        <v>#DIV/0!</v>
      </c>
      <c r="AD19" s="3">
        <v>0</v>
      </c>
      <c r="AE19" s="6">
        <v>0</v>
      </c>
      <c r="AF19" s="3" t="e">
        <f t="shared" si="25"/>
        <v>#DIV/0!</v>
      </c>
      <c r="AG19" s="3">
        <v>0</v>
      </c>
      <c r="AH19" s="6">
        <v>0</v>
      </c>
      <c r="AI19" s="3">
        <f t="shared" si="26"/>
        <v>998.01980198019805</v>
      </c>
      <c r="AJ19" s="3">
        <v>20160</v>
      </c>
      <c r="AK19" s="6">
        <v>20.2</v>
      </c>
      <c r="AL19" s="3" t="e">
        <f t="shared" si="27"/>
        <v>#DIV/0!</v>
      </c>
      <c r="AM19" s="3">
        <v>0</v>
      </c>
      <c r="AN19" s="6">
        <v>0</v>
      </c>
      <c r="AO19" s="3">
        <f t="shared" si="12"/>
        <v>1129.7153465346535</v>
      </c>
      <c r="AP19" s="3">
        <f t="shared" si="14"/>
        <v>91281</v>
      </c>
      <c r="AQ19" s="6">
        <f t="shared" si="15"/>
        <v>80.8</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24</v>
      </c>
      <c r="B20" s="14"/>
      <c r="C20" s="14"/>
      <c r="D20" s="14"/>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t="e">
        <f t="shared" si="21"/>
        <v>#DIV/0!</v>
      </c>
      <c r="U20" s="3">
        <v>0</v>
      </c>
      <c r="V20" s="6">
        <v>0</v>
      </c>
      <c r="W20" s="3" t="e">
        <f t="shared" si="22"/>
        <v>#DIV/0!</v>
      </c>
      <c r="X20" s="3">
        <v>0</v>
      </c>
      <c r="Y20" s="6">
        <v>0</v>
      </c>
      <c r="Z20" s="3" t="e">
        <f t="shared" si="23"/>
        <v>#DIV/0!</v>
      </c>
      <c r="AA20" s="3">
        <v>0</v>
      </c>
      <c r="AB20" s="6">
        <v>0</v>
      </c>
      <c r="AC20" s="3">
        <f t="shared" si="24"/>
        <v>1205.0761421319799</v>
      </c>
      <c r="AD20" s="3">
        <v>23740</v>
      </c>
      <c r="AE20" s="6">
        <v>19.7</v>
      </c>
      <c r="AF20" s="3" t="e">
        <f t="shared" si="25"/>
        <v>#DIV/0!</v>
      </c>
      <c r="AG20" s="3">
        <v>0</v>
      </c>
      <c r="AH20" s="6">
        <v>0</v>
      </c>
      <c r="AI20" s="3">
        <f t="shared" si="26"/>
        <v>1157.4675324675325</v>
      </c>
      <c r="AJ20" s="3">
        <v>106950</v>
      </c>
      <c r="AK20" s="6">
        <v>92.4</v>
      </c>
      <c r="AL20" s="3" t="e">
        <f t="shared" si="27"/>
        <v>#DIV/0!</v>
      </c>
      <c r="AM20" s="3">
        <v>0</v>
      </c>
      <c r="AN20" s="6">
        <v>0</v>
      </c>
      <c r="AO20" s="3">
        <f t="shared" si="12"/>
        <v>1165.8340767172167</v>
      </c>
      <c r="AP20" s="3">
        <f t="shared" si="14"/>
        <v>130690</v>
      </c>
      <c r="AQ20" s="6">
        <f t="shared" si="15"/>
        <v>112.10000000000001</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47</v>
      </c>
      <c r="B21" s="14"/>
      <c r="C21" s="14"/>
      <c r="D21" s="14"/>
      <c r="E21" s="3" t="e">
        <f t="shared" si="16"/>
        <v>#DIV/0!</v>
      </c>
      <c r="F21" s="3">
        <v>0</v>
      </c>
      <c r="G21" s="6">
        <v>0</v>
      </c>
      <c r="H21" s="3" t="e">
        <f t="shared" si="17"/>
        <v>#DIV/0!</v>
      </c>
      <c r="I21" s="3">
        <v>0</v>
      </c>
      <c r="J21" s="6">
        <v>0</v>
      </c>
      <c r="K21" s="3" t="e">
        <f t="shared" si="18"/>
        <v>#DIV/0!</v>
      </c>
      <c r="L21" s="3">
        <v>0</v>
      </c>
      <c r="M21" s="6">
        <v>0</v>
      </c>
      <c r="N21" s="3" t="e">
        <f t="shared" si="19"/>
        <v>#DIV/0!</v>
      </c>
      <c r="O21" s="3">
        <v>0</v>
      </c>
      <c r="P21" s="6">
        <v>0</v>
      </c>
      <c r="Q21" s="3" t="e">
        <f t="shared" si="20"/>
        <v>#DIV/0!</v>
      </c>
      <c r="R21" s="3">
        <v>0</v>
      </c>
      <c r="S21" s="6">
        <v>0</v>
      </c>
      <c r="T21" s="3" t="e">
        <f t="shared" si="21"/>
        <v>#DIV/0!</v>
      </c>
      <c r="U21" s="3">
        <v>0</v>
      </c>
      <c r="V21" s="6">
        <v>0</v>
      </c>
      <c r="W21" s="3" t="e">
        <f t="shared" si="22"/>
        <v>#DIV/0!</v>
      </c>
      <c r="X21" s="3">
        <v>0</v>
      </c>
      <c r="Y21" s="6">
        <v>0</v>
      </c>
      <c r="Z21" s="3">
        <f t="shared" si="23"/>
        <v>718.38565022421517</v>
      </c>
      <c r="AA21" s="3">
        <v>32040</v>
      </c>
      <c r="AB21" s="6">
        <v>44.6</v>
      </c>
      <c r="AC21" s="3" t="e">
        <f t="shared" si="24"/>
        <v>#DIV/0!</v>
      </c>
      <c r="AD21" s="3">
        <v>0</v>
      </c>
      <c r="AE21" s="6">
        <v>0</v>
      </c>
      <c r="AF21" s="3" t="e">
        <f t="shared" si="25"/>
        <v>#DIV/0!</v>
      </c>
      <c r="AG21" s="3">
        <v>0</v>
      </c>
      <c r="AH21" s="6">
        <v>0</v>
      </c>
      <c r="AI21" s="3" t="e">
        <f t="shared" si="26"/>
        <v>#DIV/0!</v>
      </c>
      <c r="AJ21" s="3">
        <v>0</v>
      </c>
      <c r="AK21" s="6">
        <v>0</v>
      </c>
      <c r="AL21" s="3" t="e">
        <f t="shared" si="27"/>
        <v>#DIV/0!</v>
      </c>
      <c r="AM21" s="3">
        <v>0</v>
      </c>
      <c r="AN21" s="6">
        <v>0</v>
      </c>
      <c r="AO21" s="3">
        <f t="shared" si="12"/>
        <v>718.38565022421517</v>
      </c>
      <c r="AP21" s="3">
        <f t="shared" si="14"/>
        <v>32040</v>
      </c>
      <c r="AQ21" s="6">
        <f t="shared" si="15"/>
        <v>44.6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1" t="s">
        <v>25</v>
      </c>
      <c r="B22" s="15"/>
      <c r="C22" s="15"/>
      <c r="D22" s="15"/>
      <c r="E22" s="12" t="e">
        <f t="shared" si="16"/>
        <v>#DIV/0!</v>
      </c>
      <c r="F22" s="7">
        <v>0</v>
      </c>
      <c r="G22" s="8">
        <v>0</v>
      </c>
      <c r="H22" s="7" t="e">
        <f t="shared" si="17"/>
        <v>#DIV/0!</v>
      </c>
      <c r="I22" s="7">
        <v>0</v>
      </c>
      <c r="J22" s="8">
        <v>0</v>
      </c>
      <c r="K22" s="7" t="e">
        <f t="shared" si="18"/>
        <v>#DIV/0!</v>
      </c>
      <c r="L22" s="7">
        <v>0</v>
      </c>
      <c r="M22" s="8">
        <v>0</v>
      </c>
      <c r="N22" s="7">
        <f t="shared" si="19"/>
        <v>718.15920398009951</v>
      </c>
      <c r="O22" s="7">
        <v>14435</v>
      </c>
      <c r="P22" s="8">
        <v>20.100000000000001</v>
      </c>
      <c r="Q22" s="7" t="e">
        <f t="shared" si="20"/>
        <v>#DIV/0!</v>
      </c>
      <c r="R22" s="7">
        <v>0</v>
      </c>
      <c r="S22" s="8">
        <v>0</v>
      </c>
      <c r="T22" s="7" t="e">
        <f t="shared" si="21"/>
        <v>#DIV/0!</v>
      </c>
      <c r="U22" s="7">
        <v>0</v>
      </c>
      <c r="V22" s="8">
        <v>0</v>
      </c>
      <c r="W22" s="7" t="e">
        <f t="shared" si="22"/>
        <v>#DIV/0!</v>
      </c>
      <c r="X22" s="7">
        <v>0</v>
      </c>
      <c r="Y22" s="8">
        <v>0</v>
      </c>
      <c r="Z22" s="7" t="e">
        <f t="shared" si="23"/>
        <v>#DIV/0!</v>
      </c>
      <c r="AA22" s="7">
        <v>0</v>
      </c>
      <c r="AB22" s="8">
        <v>0</v>
      </c>
      <c r="AC22" s="7">
        <f t="shared" si="24"/>
        <v>708.33333333333337</v>
      </c>
      <c r="AD22" s="7">
        <v>2550</v>
      </c>
      <c r="AE22" s="8">
        <v>3.6</v>
      </c>
      <c r="AF22" s="7" t="e">
        <f t="shared" si="25"/>
        <v>#DIV/0!</v>
      </c>
      <c r="AG22" s="7">
        <v>0</v>
      </c>
      <c r="AH22" s="8">
        <v>0</v>
      </c>
      <c r="AI22" s="7" t="e">
        <f t="shared" si="26"/>
        <v>#DIV/0!</v>
      </c>
      <c r="AJ22" s="7">
        <v>0</v>
      </c>
      <c r="AK22" s="8">
        <v>0</v>
      </c>
      <c r="AL22" s="7" t="e">
        <f t="shared" si="27"/>
        <v>#DIV/0!</v>
      </c>
      <c r="AM22" s="7">
        <v>0</v>
      </c>
      <c r="AN22" s="8">
        <v>0</v>
      </c>
      <c r="AO22" s="7">
        <f t="shared" si="12"/>
        <v>716.66666666666663</v>
      </c>
      <c r="AP22" s="7">
        <f t="shared" si="14"/>
        <v>16985</v>
      </c>
      <c r="AQ22" s="8">
        <f t="shared" si="15"/>
        <v>23.700000000000003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 t="s">
        <v>26</v>
      </c>
      <c r="B23" s="1"/>
    </row>
    <row r="24" spans="1:67" x14ac:dyDescent="0.3">
      <c r="A24" s="1" t="s">
        <v>36</v>
      </c>
      <c r="B24" s="1"/>
    </row>
    <row r="25" spans="1:67" x14ac:dyDescent="0.3">
      <c r="A25" s="1" t="s">
        <v>27</v>
      </c>
      <c r="B25" s="1"/>
    </row>
    <row r="26" spans="1:67" x14ac:dyDescent="0.3">
      <c r="A26" s="1" t="s">
        <v>28</v>
      </c>
      <c r="B26" s="1"/>
    </row>
    <row r="27" spans="1:67" x14ac:dyDescent="0.3">
      <c r="A27" s="1" t="s">
        <v>37</v>
      </c>
      <c r="B27" s="1"/>
    </row>
  </sheetData>
  <mergeCells count="16">
    <mergeCell ref="B3:B22"/>
    <mergeCell ref="C3:C22"/>
    <mergeCell ref="AO1:AQ1"/>
    <mergeCell ref="W1:Y1"/>
    <mergeCell ref="Z1:AB1"/>
    <mergeCell ref="AC1:AE1"/>
    <mergeCell ref="AF1:AH1"/>
    <mergeCell ref="AI1:AK1"/>
    <mergeCell ref="D3:D22"/>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2026-08-07T06:04:43Z</dcterms:modified>
</cp:coreProperties>
</file>