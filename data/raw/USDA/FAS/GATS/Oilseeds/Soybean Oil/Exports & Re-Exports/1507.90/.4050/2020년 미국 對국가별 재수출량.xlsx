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U:\데이터플랫폼팀\00 데이터플랫폼팀_공유\데이터플랫폼팀(23.03~)\08 데이터 분석\00 분석과제정의서\☆구매\수입원료\대두유\데이터\외부\경제, 무역\USDA(미국 농무부)\GATS(글로벌 농산물 무역 시스템)\Oilseeds\대두유\Exports\1507.90\정제된 대두유 및 그 분획물(.4050)\"/>
    </mc:Choice>
  </mc:AlternateContent>
  <bookViews>
    <workbookView xWindow="0" yWindow="0" windowWidth="25125" windowHeight="11640"/>
  </bookViews>
  <sheets>
    <sheet name="2020년" sheetId="1" r:id="rId1"/>
  </sheets>
  <calcPr calcId="162913"/>
</workbook>
</file>

<file path=xl/calcChain.xml><?xml version="1.0" encoding="utf-8"?>
<calcChain xmlns="http://schemas.openxmlformats.org/spreadsheetml/2006/main">
  <c r="E4" i="1" l="1"/>
  <c r="AQ4" i="1" l="1"/>
  <c r="AP4" i="1"/>
  <c r="AN3" i="1"/>
  <c r="AM3" i="1"/>
  <c r="AK3" i="1"/>
  <c r="AJ3" i="1"/>
  <c r="AH3" i="1"/>
  <c r="AG3" i="1"/>
  <c r="AE3" i="1"/>
  <c r="AD3" i="1"/>
  <c r="AB3" i="1"/>
  <c r="AA3" i="1"/>
  <c r="Y3" i="1"/>
  <c r="X3" i="1"/>
  <c r="V3" i="1"/>
  <c r="U3" i="1"/>
  <c r="S3" i="1"/>
  <c r="R3" i="1"/>
  <c r="P3" i="1"/>
  <c r="O3" i="1"/>
  <c r="M3" i="1"/>
  <c r="L3" i="1"/>
  <c r="J3" i="1"/>
  <c r="I3" i="1"/>
  <c r="G3" i="1"/>
  <c r="F3" i="1"/>
  <c r="AQ9" i="1" l="1"/>
  <c r="AP9" i="1"/>
  <c r="AQ8" i="1"/>
  <c r="AP8" i="1"/>
  <c r="AQ7" i="1"/>
  <c r="AP7" i="1"/>
  <c r="AQ6" i="1"/>
  <c r="AP6" i="1"/>
  <c r="AC3" i="1" l="1"/>
  <c r="Q3" i="1"/>
  <c r="AL3" i="1"/>
  <c r="AF3" i="1"/>
  <c r="W3" i="1"/>
  <c r="T3" i="1"/>
  <c r="N3" i="1"/>
  <c r="K3" i="1"/>
  <c r="H3" i="1"/>
  <c r="AP5" i="1"/>
  <c r="AP3" i="1" s="1"/>
  <c r="AL9" i="1"/>
  <c r="AL8" i="1"/>
  <c r="AL7" i="1"/>
  <c r="AL6" i="1"/>
  <c r="AL5" i="1"/>
  <c r="AL4" i="1"/>
  <c r="AI9" i="1"/>
  <c r="AI8" i="1"/>
  <c r="AI7" i="1"/>
  <c r="AI6" i="1"/>
  <c r="AI5" i="1"/>
  <c r="AI4" i="1"/>
  <c r="AF9" i="1"/>
  <c r="AF8" i="1"/>
  <c r="AF7" i="1"/>
  <c r="AF6" i="1"/>
  <c r="AF5" i="1"/>
  <c r="AF4" i="1"/>
  <c r="AC9" i="1"/>
  <c r="AC8" i="1"/>
  <c r="AC7" i="1"/>
  <c r="AC6" i="1"/>
  <c r="AC5" i="1"/>
  <c r="AC4" i="1"/>
  <c r="Z9" i="1"/>
  <c r="Z8" i="1"/>
  <c r="Z7" i="1"/>
  <c r="Z6" i="1"/>
  <c r="Z5" i="1"/>
  <c r="Z4" i="1"/>
  <c r="W9" i="1"/>
  <c r="W8" i="1"/>
  <c r="W7" i="1"/>
  <c r="W6" i="1"/>
  <c r="W5" i="1"/>
  <c r="W4" i="1"/>
  <c r="T9" i="1"/>
  <c r="T8" i="1"/>
  <c r="T7" i="1"/>
  <c r="T6" i="1"/>
  <c r="T5" i="1"/>
  <c r="T4" i="1"/>
  <c r="Q9" i="1"/>
  <c r="Q8" i="1"/>
  <c r="Q7" i="1"/>
  <c r="Q6" i="1"/>
  <c r="Q5" i="1"/>
  <c r="Q4" i="1"/>
  <c r="N9" i="1"/>
  <c r="N8" i="1"/>
  <c r="N7" i="1"/>
  <c r="N6" i="1"/>
  <c r="N5" i="1"/>
  <c r="N4" i="1"/>
  <c r="K9" i="1"/>
  <c r="K8" i="1"/>
  <c r="K7" i="1"/>
  <c r="K6" i="1"/>
  <c r="K5" i="1"/>
  <c r="K4" i="1"/>
  <c r="H9" i="1"/>
  <c r="H8" i="1"/>
  <c r="H7" i="1"/>
  <c r="H6" i="1"/>
  <c r="H5" i="1"/>
  <c r="H4" i="1"/>
  <c r="E9" i="1"/>
  <c r="E8" i="1"/>
  <c r="E7" i="1"/>
  <c r="E6" i="1"/>
  <c r="E5" i="1"/>
  <c r="AQ5" i="1"/>
  <c r="AI3" i="1" l="1"/>
  <c r="Z3" i="1"/>
  <c r="AO7" i="1"/>
  <c r="E3" i="1"/>
  <c r="AO5" i="1"/>
  <c r="AO6" i="1"/>
  <c r="AO8" i="1"/>
  <c r="AO9" i="1"/>
  <c r="AQ3" i="1"/>
  <c r="AO3" i="1" l="1"/>
  <c r="AO4" i="1"/>
</calcChain>
</file>

<file path=xl/sharedStrings.xml><?xml version="1.0" encoding="utf-8"?>
<sst xmlns="http://schemas.openxmlformats.org/spreadsheetml/2006/main" count="72" uniqueCount="36">
  <si>
    <t>January</t>
  </si>
  <si>
    <t>February</t>
  </si>
  <si>
    <t>March</t>
  </si>
  <si>
    <t>April</t>
  </si>
  <si>
    <t>May</t>
  </si>
  <si>
    <t>June</t>
  </si>
  <si>
    <t>July</t>
  </si>
  <si>
    <t>August</t>
  </si>
  <si>
    <t>September</t>
  </si>
  <si>
    <t>October</t>
  </si>
  <si>
    <t>November</t>
  </si>
  <si>
    <t>December</t>
  </si>
  <si>
    <t>Total</t>
  </si>
  <si>
    <t>Unit of Measure</t>
  </si>
  <si>
    <t>Unit Value</t>
  </si>
  <si>
    <t>Qty</t>
  </si>
  <si>
    <t>World Total</t>
  </si>
  <si>
    <t>MT</t>
  </si>
  <si>
    <t>Notes:</t>
  </si>
  <si>
    <t>Country</t>
    <phoneticPr fontId="18" type="noConversion"/>
  </si>
  <si>
    <t>Value</t>
    <phoneticPr fontId="18" type="noConversion"/>
  </si>
  <si>
    <t>USD</t>
    <phoneticPr fontId="18" type="noConversion"/>
  </si>
  <si>
    <t>Value</t>
    <phoneticPr fontId="18" type="noConversion"/>
  </si>
  <si>
    <t>1. Data Source: U.S. Census Bureau Trade Data</t>
  </si>
  <si>
    <t>Product</t>
    <phoneticPr fontId="18" type="noConversion"/>
  </si>
  <si>
    <t>SOY OIL FLY-RFND</t>
    <phoneticPr fontId="18" type="noConversion"/>
  </si>
  <si>
    <t>Canada</t>
    <phoneticPr fontId="18" type="noConversion"/>
  </si>
  <si>
    <t>2. FAS Totals include all Agricultural commodities and FAS selected NONAG commodity items.</t>
    <phoneticPr fontId="18" type="noConversion"/>
  </si>
  <si>
    <t>3. (*) denotes a country that is a summarization of its component countries.</t>
    <phoneticPr fontId="18" type="noConversion"/>
  </si>
  <si>
    <t>4. Users should use cautious interpretation on QUANTITY reports using mixed units of measure. QUANTITY line items will only include statistics on the units of measure that are equal to, or are able to be converted to, the assigned unit of measure of the grouped commodities.</t>
    <phoneticPr fontId="18" type="noConversion"/>
  </si>
  <si>
    <t>5. Product Group : FAS</t>
    <phoneticPr fontId="18" type="noConversion"/>
  </si>
  <si>
    <t>Guatemala</t>
    <phoneticPr fontId="18" type="noConversion"/>
  </si>
  <si>
    <t>Ecuador</t>
    <phoneticPr fontId="18" type="noConversion"/>
  </si>
  <si>
    <t>China</t>
    <phoneticPr fontId="18" type="noConversion"/>
  </si>
  <si>
    <t>India</t>
    <phoneticPr fontId="18" type="noConversion"/>
  </si>
  <si>
    <t>Leeward-Windward Islands(*)</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</si>
</sst>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0_);[Red]\(#,##0.0\)"/>
  </numFmts>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rgb="FFDDEBF7"/>
        <bgColor indexed="64"/>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21">
    <xf numFmtId="0" fontId="0" fillId="0" borderId="0" xfId="0">
      <alignment vertical="center"/>
    </xf>
    <xf numFmtId="49" fontId="0" fillId="0" borderId="0" xfId="0" applyNumberFormat="1">
      <alignment vertical="center"/>
    </xf>
    <xf numFmtId="49" fontId="0" fillId="0" borderId="0" xfId="0" applyNumberFormat="1" applyAlignment="1">
      <alignment horizontal="center" vertical="center"/>
    </xf>
    <xf numFmtId="176" fontId="0" fillId="0" borderId="0" xfId="0" applyNumberFormat="1" applyAlignment="1">
      <alignment horizontal="center" vertical="center"/>
    </xf>
    <xf numFmtId="49" fontId="0" fillId="0" borderId="16" xfId="0" applyNumberFormat="1" applyBorder="1" applyAlignment="1">
      <alignment horizontal="center" vertical="center"/>
    </xf>
    <xf numFmtId="49" fontId="0" fillId="0" borderId="17" xfId="0" applyNumberFormat="1" applyBorder="1" applyAlignment="1">
      <alignment horizontal="center" vertical="center"/>
    </xf>
    <xf numFmtId="176" fontId="0" fillId="0" borderId="18" xfId="0" applyNumberFormat="1" applyBorder="1" applyAlignment="1">
      <alignment horizontal="center" vertical="center"/>
    </xf>
    <xf numFmtId="49" fontId="0" fillId="0" borderId="18" xfId="0" applyNumberFormat="1" applyBorder="1">
      <alignment vertical="center"/>
    </xf>
    <xf numFmtId="176" fontId="0" fillId="0" borderId="19" xfId="0" applyNumberFormat="1" applyBorder="1" applyAlignment="1">
      <alignment horizontal="center" vertical="center"/>
    </xf>
    <xf numFmtId="176" fontId="0" fillId="0" borderId="20" xfId="0" applyNumberFormat="1" applyBorder="1" applyAlignment="1">
      <alignment horizontal="center" vertical="center"/>
    </xf>
    <xf numFmtId="176" fontId="0" fillId="0" borderId="21" xfId="0" applyNumberFormat="1" applyBorder="1" applyAlignment="1">
      <alignment horizontal="center" vertical="center"/>
    </xf>
    <xf numFmtId="49" fontId="0" fillId="0" borderId="21" xfId="0" applyNumberFormat="1" applyBorder="1">
      <alignment vertical="center"/>
    </xf>
    <xf numFmtId="49" fontId="0" fillId="0" borderId="14" xfId="0" applyNumberFormat="1" applyBorder="1" applyAlignment="1">
      <alignment horizontal="center" vertical="center"/>
    </xf>
    <xf numFmtId="49" fontId="0" fillId="0" borderId="15" xfId="0" applyNumberFormat="1" applyBorder="1" applyAlignment="1">
      <alignment horizontal="center" vertical="center"/>
    </xf>
    <xf numFmtId="49" fontId="0" fillId="34" borderId="10" xfId="0" applyNumberFormat="1" applyFill="1" applyBorder="1" applyAlignment="1">
      <alignment horizontal="center" vertical="center"/>
    </xf>
    <xf numFmtId="49" fontId="0" fillId="34" borderId="11" xfId="0" applyNumberFormat="1" applyFill="1" applyBorder="1" applyAlignment="1">
      <alignment horizontal="center" vertical="center"/>
    </xf>
    <xf numFmtId="49" fontId="0" fillId="34" borderId="12" xfId="0" applyNumberFormat="1" applyFill="1" applyBorder="1" applyAlignment="1">
      <alignment horizontal="center" vertical="center"/>
    </xf>
    <xf numFmtId="49" fontId="0" fillId="33" borderId="10" xfId="0" applyNumberFormat="1" applyFill="1" applyBorder="1" applyAlignment="1">
      <alignment horizontal="center" vertical="center"/>
    </xf>
    <xf numFmtId="49" fontId="0" fillId="33" borderId="11" xfId="0" applyNumberFormat="1" applyFill="1" applyBorder="1" applyAlignment="1">
      <alignment horizontal="center" vertical="center"/>
    </xf>
    <xf numFmtId="49" fontId="0" fillId="33" borderId="12" xfId="0" applyNumberFormat="1" applyFill="1" applyBorder="1" applyAlignment="1">
      <alignment horizontal="center" vertical="center"/>
    </xf>
    <xf numFmtId="49" fontId="0" fillId="0" borderId="13" xfId="0" applyNumberFormat="1" applyBorder="1" applyAlignment="1">
      <alignment horizontal="center"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colors>
    <mruColors>
      <color rgb="FFDD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15"/>
  <sheetViews>
    <sheetView showGridLines="0" tabSelected="1" workbookViewId="0">
      <pane ySplit="2" topLeftCell="A3" activePane="bottomLeft" state="frozen"/>
      <selection pane="bottomLeft" activeCell="A3" sqref="A3"/>
    </sheetView>
  </sheetViews>
  <sheetFormatPr defaultRowHeight="16.5" x14ac:dyDescent="0.3"/>
  <cols>
    <col min="3" max="3" width="16" bestFit="1" customWidth="1"/>
    <col min="4" max="4" width="16" customWidth="1"/>
    <col min="5" max="5" width="9.125" bestFit="1" customWidth="1"/>
    <col min="6" max="7" width="12.5" bestFit="1" customWidth="1"/>
    <col min="8" max="8" width="9.125" bestFit="1" customWidth="1"/>
    <col min="9" max="9" width="12.5" bestFit="1" customWidth="1"/>
    <col min="10" max="11" width="9.125" bestFit="1" customWidth="1"/>
    <col min="12" max="12" width="12.5" bestFit="1" customWidth="1"/>
    <col min="13" max="14" width="9.125" bestFit="1" customWidth="1"/>
    <col min="15" max="15" width="12.5" bestFit="1" customWidth="1"/>
    <col min="16" max="16" width="9.125" bestFit="1" customWidth="1"/>
    <col min="17" max="17" width="9.875" bestFit="1" customWidth="1"/>
    <col min="18" max="18" width="12.5" bestFit="1" customWidth="1"/>
    <col min="19" max="20" width="9.125" bestFit="1" customWidth="1"/>
    <col min="21" max="21" width="12.5" bestFit="1" customWidth="1"/>
    <col min="22" max="23" width="9.125" bestFit="1" customWidth="1"/>
    <col min="24" max="24" width="12.5" bestFit="1" customWidth="1"/>
    <col min="25" max="26" width="9.125" bestFit="1" customWidth="1"/>
    <col min="27" max="27" width="12.5" bestFit="1" customWidth="1"/>
    <col min="28" max="29" width="9.125" bestFit="1" customWidth="1"/>
    <col min="30" max="30" width="11.375" bestFit="1" customWidth="1"/>
    <col min="31" max="32" width="9.125" bestFit="1" customWidth="1"/>
    <col min="33" max="33" width="12.5" bestFit="1" customWidth="1"/>
    <col min="34" max="35" width="9.125" bestFit="1" customWidth="1"/>
    <col min="36" max="36" width="12.5" bestFit="1" customWidth="1"/>
    <col min="37" max="38" width="9.125" bestFit="1" customWidth="1"/>
    <col min="39" max="39" width="11.375" bestFit="1" customWidth="1"/>
    <col min="40" max="40" width="9.125" bestFit="1" customWidth="1"/>
    <col min="41" max="41" width="10.75" bestFit="1" customWidth="1"/>
    <col min="42" max="42" width="13.625" bestFit="1" customWidth="1"/>
    <col min="43" max="43" width="12.5" bestFit="1" customWidth="1"/>
  </cols>
  <sheetData>
    <row r="1" spans="1:67" x14ac:dyDescent="0.3">
      <c r="A1" s="1"/>
      <c r="B1" s="1"/>
      <c r="C1" s="1"/>
      <c r="D1" s="1"/>
      <c r="E1" s="14" t="s">
        <v>0</v>
      </c>
      <c r="F1" s="15"/>
      <c r="G1" s="16"/>
      <c r="H1" s="17" t="s">
        <v>1</v>
      </c>
      <c r="I1" s="18"/>
      <c r="J1" s="19"/>
      <c r="K1" s="17" t="s">
        <v>2</v>
      </c>
      <c r="L1" s="18"/>
      <c r="M1" s="19"/>
      <c r="N1" s="17" t="s">
        <v>3</v>
      </c>
      <c r="O1" s="18"/>
      <c r="P1" s="19"/>
      <c r="Q1" s="17" t="s">
        <v>4</v>
      </c>
      <c r="R1" s="18"/>
      <c r="S1" s="19"/>
      <c r="T1" s="17" t="s">
        <v>5</v>
      </c>
      <c r="U1" s="18"/>
      <c r="V1" s="19"/>
      <c r="W1" s="17" t="s">
        <v>6</v>
      </c>
      <c r="X1" s="18"/>
      <c r="Y1" s="19"/>
      <c r="Z1" s="17" t="s">
        <v>7</v>
      </c>
      <c r="AA1" s="18"/>
      <c r="AB1" s="19"/>
      <c r="AC1" s="17" t="s">
        <v>8</v>
      </c>
      <c r="AD1" s="18"/>
      <c r="AE1" s="19"/>
      <c r="AF1" s="17" t="s">
        <v>9</v>
      </c>
      <c r="AG1" s="18"/>
      <c r="AH1" s="19"/>
      <c r="AI1" s="17" t="s">
        <v>10</v>
      </c>
      <c r="AJ1" s="18"/>
      <c r="AK1" s="19"/>
      <c r="AL1" s="17" t="s">
        <v>11</v>
      </c>
      <c r="AM1" s="18"/>
      <c r="AN1" s="19"/>
      <c r="AO1" s="17" t="s">
        <v>12</v>
      </c>
      <c r="AP1" s="18"/>
      <c r="AQ1" s="19"/>
    </row>
    <row r="2" spans="1:67" x14ac:dyDescent="0.3">
      <c r="A2" s="2" t="s">
        <v>19</v>
      </c>
      <c r="B2" s="2" t="s">
        <v>24</v>
      </c>
      <c r="C2" s="2" t="s">
        <v>13</v>
      </c>
      <c r="D2" s="2" t="s">
        <v>20</v>
      </c>
      <c r="E2" s="4" t="s">
        <v>14</v>
      </c>
      <c r="F2" s="2" t="s">
        <v>20</v>
      </c>
      <c r="G2" s="5" t="s">
        <v>15</v>
      </c>
      <c r="H2" s="2" t="s">
        <v>14</v>
      </c>
      <c r="I2" s="2" t="s">
        <v>20</v>
      </c>
      <c r="J2" s="5" t="s">
        <v>15</v>
      </c>
      <c r="K2" s="2" t="s">
        <v>14</v>
      </c>
      <c r="L2" s="2" t="s">
        <v>20</v>
      </c>
      <c r="M2" s="5" t="s">
        <v>15</v>
      </c>
      <c r="N2" s="2" t="s">
        <v>14</v>
      </c>
      <c r="O2" s="2" t="s">
        <v>20</v>
      </c>
      <c r="P2" s="5" t="s">
        <v>15</v>
      </c>
      <c r="Q2" s="2" t="s">
        <v>14</v>
      </c>
      <c r="R2" s="2" t="s">
        <v>20</v>
      </c>
      <c r="S2" s="5" t="s">
        <v>15</v>
      </c>
      <c r="T2" s="2" t="s">
        <v>14</v>
      </c>
      <c r="U2" s="2" t="s">
        <v>20</v>
      </c>
      <c r="V2" s="5" t="s">
        <v>15</v>
      </c>
      <c r="W2" s="2" t="s">
        <v>14</v>
      </c>
      <c r="X2" s="2" t="s">
        <v>20</v>
      </c>
      <c r="Y2" s="5" t="s">
        <v>15</v>
      </c>
      <c r="Z2" s="2" t="s">
        <v>14</v>
      </c>
      <c r="AA2" s="2" t="s">
        <v>20</v>
      </c>
      <c r="AB2" s="5" t="s">
        <v>15</v>
      </c>
      <c r="AC2" s="2" t="s">
        <v>14</v>
      </c>
      <c r="AD2" s="2" t="s">
        <v>20</v>
      </c>
      <c r="AE2" s="5" t="s">
        <v>15</v>
      </c>
      <c r="AF2" s="2" t="s">
        <v>14</v>
      </c>
      <c r="AG2" s="2" t="s">
        <v>20</v>
      </c>
      <c r="AH2" s="5" t="s">
        <v>15</v>
      </c>
      <c r="AI2" s="2" t="s">
        <v>14</v>
      </c>
      <c r="AJ2" s="2" t="s">
        <v>20</v>
      </c>
      <c r="AK2" s="5" t="s">
        <v>15</v>
      </c>
      <c r="AL2" s="2" t="s">
        <v>14</v>
      </c>
      <c r="AM2" s="2" t="s">
        <v>20</v>
      </c>
      <c r="AN2" s="5" t="s">
        <v>15</v>
      </c>
      <c r="AO2" s="2" t="s">
        <v>14</v>
      </c>
      <c r="AP2" s="2" t="s">
        <v>22</v>
      </c>
      <c r="AQ2" s="5" t="s">
        <v>15</v>
      </c>
    </row>
    <row r="3" spans="1:67" ht="15" customHeight="1" x14ac:dyDescent="0.3">
      <c r="A3" s="11" t="s">
        <v>16</v>
      </c>
      <c r="B3" s="12" t="s">
        <v>25</v>
      </c>
      <c r="C3" s="20" t="s">
        <v>17</v>
      </c>
      <c r="D3" s="20" t="s">
        <v>21</v>
      </c>
      <c r="E3" s="8">
        <f>F3/G3</f>
        <v>1991.022727272727</v>
      </c>
      <c r="F3" s="9">
        <f>SUM(F4:F9)</f>
        <v>17521</v>
      </c>
      <c r="G3" s="10">
        <f>SUM(G4:G9)</f>
        <v>8.8000000000000007</v>
      </c>
      <c r="H3" s="9">
        <f>I3/J3</f>
        <v>2669.2727272727275</v>
      </c>
      <c r="I3" s="9">
        <f>SUM(I4:I9)</f>
        <v>29362</v>
      </c>
      <c r="J3" s="10">
        <f>SUM(J4:J9)</f>
        <v>11</v>
      </c>
      <c r="K3" s="9">
        <f>L3/M3</f>
        <v>3971.0526315789475</v>
      </c>
      <c r="L3" s="9">
        <f>SUM(L4:L9)</f>
        <v>15090</v>
      </c>
      <c r="M3" s="10">
        <f>SUM(M4:M9)</f>
        <v>3.8</v>
      </c>
      <c r="N3" s="9">
        <f>O3/P3</f>
        <v>2510.8612440191391</v>
      </c>
      <c r="O3" s="9">
        <f>SUM(O4:O9)</f>
        <v>52477</v>
      </c>
      <c r="P3" s="10">
        <f>SUM(P4:P9)</f>
        <v>20.9</v>
      </c>
      <c r="Q3" s="9">
        <f>R3/S3</f>
        <v>2840.6550218340612</v>
      </c>
      <c r="R3" s="9">
        <f>SUM(R4:R9)</f>
        <v>65051</v>
      </c>
      <c r="S3" s="10">
        <f>SUM(S4:S9)</f>
        <v>22.9</v>
      </c>
      <c r="T3" s="9">
        <f>U3/V3</f>
        <v>3531.7948717948716</v>
      </c>
      <c r="U3" s="9">
        <f>SUM(U4:U9)</f>
        <v>13774</v>
      </c>
      <c r="V3" s="10">
        <f>SUM(V4:V9)</f>
        <v>3.9000000000000004</v>
      </c>
      <c r="W3" s="9">
        <f>X3/Y3</f>
        <v>2564.9282296650717</v>
      </c>
      <c r="X3" s="9">
        <f>SUM(X4:X9)</f>
        <v>53607</v>
      </c>
      <c r="Y3" s="10">
        <f>SUM(Y4:Y9)</f>
        <v>20.9</v>
      </c>
      <c r="Z3" s="9">
        <f>AA3/AB3</f>
        <v>1165.3869499241273</v>
      </c>
      <c r="AA3" s="9">
        <f>SUM(AA4:AA9)</f>
        <v>76799</v>
      </c>
      <c r="AB3" s="10">
        <f>SUM(AB4:AB9)</f>
        <v>65.900000000000006</v>
      </c>
      <c r="AC3" s="9">
        <f>AD3/AE3</f>
        <v>1373.1627906976744</v>
      </c>
      <c r="AD3" s="9">
        <f>SUM(AD4:AD9)</f>
        <v>29523</v>
      </c>
      <c r="AE3" s="10">
        <f>SUM(AE4:AE9)</f>
        <v>21.5</v>
      </c>
      <c r="AF3" s="9">
        <f>AG3/AH3</f>
        <v>4514.8214285714284</v>
      </c>
      <c r="AG3" s="9">
        <f>SUM(AG4:AG9)</f>
        <v>25283</v>
      </c>
      <c r="AH3" s="10">
        <f>SUM(AH4:AH9)</f>
        <v>5.6</v>
      </c>
      <c r="AI3" s="9">
        <f>AJ3/AK3</f>
        <v>7269.9999999999991</v>
      </c>
      <c r="AJ3" s="9">
        <f>SUM(AJ4:AJ9)</f>
        <v>15994</v>
      </c>
      <c r="AK3" s="10">
        <f>SUM(AK4:AK9)</f>
        <v>2.2000000000000002</v>
      </c>
      <c r="AL3" s="9">
        <f>AM3/AN3</f>
        <v>2231.5328467153286</v>
      </c>
      <c r="AM3" s="9">
        <f>SUM(AM4:AM9)</f>
        <v>91716</v>
      </c>
      <c r="AN3" s="10">
        <f>SUM(AN4:AN9)</f>
        <v>41.099999999999994</v>
      </c>
      <c r="AO3" s="9">
        <f>AP3/AQ3</f>
        <v>2127.7768052516412</v>
      </c>
      <c r="AP3" s="9">
        <f>SUM(AP4:AP9)</f>
        <v>486197</v>
      </c>
      <c r="AQ3" s="10">
        <f>SUM(AQ4:AQ9)</f>
        <v>228.5</v>
      </c>
      <c r="AR3" s="3"/>
      <c r="AS3" s="3"/>
      <c r="AT3" s="3"/>
      <c r="AU3" s="3"/>
      <c r="AV3" s="3"/>
      <c r="AW3" s="3"/>
      <c r="AX3" s="3"/>
      <c r="AY3" s="3"/>
      <c r="AZ3" s="3"/>
      <c r="BA3" s="3"/>
      <c r="BB3" s="3"/>
      <c r="BC3" s="3"/>
      <c r="BD3" s="3"/>
      <c r="BE3" s="3"/>
      <c r="BF3" s="3"/>
      <c r="BG3" s="3"/>
      <c r="BH3" s="3"/>
      <c r="BI3" s="3"/>
      <c r="BJ3" s="3"/>
      <c r="BK3" s="3"/>
      <c r="BL3" s="3"/>
      <c r="BM3" s="3"/>
      <c r="BN3" s="3"/>
      <c r="BO3" s="3"/>
    </row>
    <row r="4" spans="1:67" ht="15" customHeight="1" x14ac:dyDescent="0.3">
      <c r="A4" s="7" t="s">
        <v>26</v>
      </c>
      <c r="B4" s="12"/>
      <c r="C4" s="12"/>
      <c r="D4" s="12"/>
      <c r="E4" s="3">
        <f t="shared" ref="E4:E9" si="0">F4/G4</f>
        <v>3395.238095238095</v>
      </c>
      <c r="F4" s="3">
        <v>7130</v>
      </c>
      <c r="G4" s="6">
        <v>2.1</v>
      </c>
      <c r="H4" s="3">
        <f t="shared" ref="H4:H9" si="1">I4/J4</f>
        <v>2669.2727272727275</v>
      </c>
      <c r="I4" s="3">
        <v>29362</v>
      </c>
      <c r="J4" s="6">
        <v>11</v>
      </c>
      <c r="K4" s="3">
        <f t="shared" ref="K4:K9" si="2">L4/M4</f>
        <v>3971.0526315789475</v>
      </c>
      <c r="L4" s="3">
        <v>15090</v>
      </c>
      <c r="M4" s="6">
        <v>3.8</v>
      </c>
      <c r="N4" s="3">
        <f t="shared" ref="N4:N9" si="3">O4/P4</f>
        <v>2510.8612440191391</v>
      </c>
      <c r="O4" s="3">
        <v>52477</v>
      </c>
      <c r="P4" s="6">
        <v>20.9</v>
      </c>
      <c r="Q4" s="3">
        <f t="shared" ref="Q4:Q9" si="4">R4/S4</f>
        <v>2840.6550218340612</v>
      </c>
      <c r="R4" s="3">
        <v>65051</v>
      </c>
      <c r="S4" s="6">
        <v>22.9</v>
      </c>
      <c r="T4" s="3">
        <f t="shared" ref="T4:T9" si="5">U4/V4</f>
        <v>5216.1111111111113</v>
      </c>
      <c r="U4" s="3">
        <v>9389</v>
      </c>
      <c r="V4" s="6">
        <v>1.8</v>
      </c>
      <c r="W4" s="3">
        <f t="shared" ref="W4:W9" si="6">X4/Y4</f>
        <v>2564.9282296650717</v>
      </c>
      <c r="X4" s="3">
        <v>53607</v>
      </c>
      <c r="Y4" s="6">
        <v>20.9</v>
      </c>
      <c r="Z4" s="3">
        <f t="shared" ref="Z4:Z9" si="7">AA4/AB4</f>
        <v>1165.3869499241273</v>
      </c>
      <c r="AA4" s="3">
        <v>76799</v>
      </c>
      <c r="AB4" s="6">
        <v>65.900000000000006</v>
      </c>
      <c r="AC4" s="3">
        <f t="shared" ref="AC4:AC9" si="8">AD4/AE4</f>
        <v>1373.1627906976744</v>
      </c>
      <c r="AD4" s="3">
        <v>29523</v>
      </c>
      <c r="AE4" s="6">
        <v>21.5</v>
      </c>
      <c r="AF4" s="3">
        <f t="shared" ref="AF4:AF9" si="9">AG4/AH4</f>
        <v>4514.8214285714284</v>
      </c>
      <c r="AG4" s="3">
        <v>25283</v>
      </c>
      <c r="AH4" s="6">
        <v>5.6</v>
      </c>
      <c r="AI4" s="3">
        <f t="shared" ref="AI4:AI9" si="10">AJ4/AK4</f>
        <v>4918.8888888888887</v>
      </c>
      <c r="AJ4" s="3">
        <v>8854</v>
      </c>
      <c r="AK4" s="6">
        <v>1.8</v>
      </c>
      <c r="AL4" s="3">
        <f t="shared" ref="AL4:AL9" si="11">AM4/AN4</f>
        <v>3040.9900990099013</v>
      </c>
      <c r="AM4" s="3">
        <v>61428</v>
      </c>
      <c r="AN4" s="6">
        <v>20.2</v>
      </c>
      <c r="AO4" s="3">
        <f t="shared" ref="AO4:AO9" si="12">AP4/AQ4</f>
        <v>2187.4647177419356</v>
      </c>
      <c r="AP4" s="3">
        <f t="shared" ref="AP4" si="13">SUM(F4,I4,L4,O4,R4,U4,X4,AA4,AD4,AG4,AJ4,AM4)</f>
        <v>433993</v>
      </c>
      <c r="AQ4" s="6">
        <f t="shared" ref="AQ4" si="14">SUM(G4,J4,M4,P4,S4,V4,Y4,AB4,AE4,AH4,AK4,AN4)</f>
        <v>198.4</v>
      </c>
      <c r="AR4" s="3"/>
      <c r="AS4" s="3"/>
      <c r="AT4" s="3"/>
      <c r="AU4" s="3"/>
      <c r="AV4" s="3"/>
      <c r="AW4" s="3"/>
      <c r="AX4" s="3"/>
      <c r="AY4" s="3"/>
      <c r="AZ4" s="3"/>
      <c r="BA4" s="3"/>
      <c r="BB4" s="3"/>
      <c r="BC4" s="3"/>
      <c r="BD4" s="3"/>
      <c r="BE4" s="3"/>
      <c r="BF4" s="3"/>
      <c r="BG4" s="3"/>
      <c r="BH4" s="3"/>
      <c r="BI4" s="3"/>
      <c r="BJ4" s="3"/>
      <c r="BK4" s="3"/>
      <c r="BL4" s="3"/>
      <c r="BM4" s="3"/>
      <c r="BN4" s="3"/>
      <c r="BO4" s="3"/>
    </row>
    <row r="5" spans="1:67" ht="15" customHeight="1" x14ac:dyDescent="0.3">
      <c r="A5" s="7" t="s">
        <v>31</v>
      </c>
      <c r="B5" s="12"/>
      <c r="C5" s="12"/>
      <c r="D5" s="12"/>
      <c r="E5" s="3" t="e">
        <f t="shared" si="0"/>
        <v>#DIV/0!</v>
      </c>
      <c r="F5" s="3">
        <v>0</v>
      </c>
      <c r="G5" s="6">
        <v>0</v>
      </c>
      <c r="H5" s="3" t="e">
        <f t="shared" si="1"/>
        <v>#DIV/0!</v>
      </c>
      <c r="I5" s="3">
        <v>0</v>
      </c>
      <c r="J5" s="6">
        <v>0</v>
      </c>
      <c r="K5" s="3" t="e">
        <f t="shared" si="2"/>
        <v>#DIV/0!</v>
      </c>
      <c r="L5" s="3">
        <v>0</v>
      </c>
      <c r="M5" s="6">
        <v>0</v>
      </c>
      <c r="N5" s="3" t="e">
        <f t="shared" si="3"/>
        <v>#DIV/0!</v>
      </c>
      <c r="O5" s="3">
        <v>0</v>
      </c>
      <c r="P5" s="6">
        <v>0</v>
      </c>
      <c r="Q5" s="3" t="e">
        <f t="shared" si="4"/>
        <v>#DIV/0!</v>
      </c>
      <c r="R5" s="3">
        <v>0</v>
      </c>
      <c r="S5" s="6">
        <v>0</v>
      </c>
      <c r="T5" s="3" t="e">
        <f t="shared" si="5"/>
        <v>#DIV/0!</v>
      </c>
      <c r="U5" s="3">
        <v>0</v>
      </c>
      <c r="V5" s="6">
        <v>0</v>
      </c>
      <c r="W5" s="3" t="e">
        <f t="shared" si="6"/>
        <v>#DIV/0!</v>
      </c>
      <c r="X5" s="3">
        <v>0</v>
      </c>
      <c r="Y5" s="6">
        <v>0</v>
      </c>
      <c r="Z5" s="3" t="e">
        <f t="shared" si="7"/>
        <v>#DIV/0!</v>
      </c>
      <c r="AA5" s="3">
        <v>0</v>
      </c>
      <c r="AB5" s="6">
        <v>0</v>
      </c>
      <c r="AC5" s="3" t="e">
        <f t="shared" si="8"/>
        <v>#DIV/0!</v>
      </c>
      <c r="AD5" s="3">
        <v>0</v>
      </c>
      <c r="AE5" s="6">
        <v>0</v>
      </c>
      <c r="AF5" s="3" t="e">
        <f t="shared" si="9"/>
        <v>#DIV/0!</v>
      </c>
      <c r="AG5" s="3">
        <v>0</v>
      </c>
      <c r="AH5" s="6">
        <v>0</v>
      </c>
      <c r="AI5" s="3" t="e">
        <f t="shared" si="10"/>
        <v>#DIV/0!</v>
      </c>
      <c r="AJ5" s="3">
        <v>0</v>
      </c>
      <c r="AK5" s="6">
        <v>0</v>
      </c>
      <c r="AL5" s="3">
        <f t="shared" si="11"/>
        <v>1346.2254901960785</v>
      </c>
      <c r="AM5" s="3">
        <v>27463</v>
      </c>
      <c r="AN5" s="6">
        <v>20.399999999999999</v>
      </c>
      <c r="AO5" s="3">
        <f t="shared" si="12"/>
        <v>1346.2254901960785</v>
      </c>
      <c r="AP5" s="3">
        <f t="shared" ref="AP5" si="15">SUM(F5,I5,L5,O5,R5,U5,X5,AA5,AD5,AG5,AJ5,AM5)</f>
        <v>27463</v>
      </c>
      <c r="AQ5" s="6">
        <f t="shared" ref="AQ5" si="16">SUM(G5,J5,M5,P5,S5,V5,Y5,AB5,AE5,AH5,AK5,AN5)</f>
        <v>20.399999999999999</v>
      </c>
      <c r="AR5" s="3"/>
      <c r="AS5" s="3"/>
      <c r="AT5" s="3"/>
      <c r="AU5" s="3"/>
      <c r="AV5" s="3"/>
      <c r="AW5" s="3"/>
      <c r="AX5" s="3"/>
      <c r="AY5" s="3"/>
      <c r="AZ5" s="3"/>
      <c r="BA5" s="3"/>
      <c r="BB5" s="3"/>
      <c r="BC5" s="3"/>
      <c r="BD5" s="3"/>
      <c r="BE5" s="3"/>
      <c r="BF5" s="3"/>
      <c r="BG5" s="3"/>
      <c r="BH5" s="3"/>
      <c r="BI5" s="3"/>
      <c r="BJ5" s="3"/>
      <c r="BK5" s="3"/>
      <c r="BL5" s="3"/>
      <c r="BM5" s="3"/>
      <c r="BN5" s="3"/>
      <c r="BO5" s="3"/>
    </row>
    <row r="6" spans="1:67" ht="15" customHeight="1" x14ac:dyDescent="0.3">
      <c r="A6" s="7" t="s">
        <v>32</v>
      </c>
      <c r="B6" s="12"/>
      <c r="C6" s="12"/>
      <c r="D6" s="12"/>
      <c r="E6" s="3" t="e">
        <f t="shared" si="0"/>
        <v>#DIV/0!</v>
      </c>
      <c r="F6" s="3">
        <v>0</v>
      </c>
      <c r="G6" s="6">
        <v>0</v>
      </c>
      <c r="H6" s="3" t="e">
        <f t="shared" si="1"/>
        <v>#DIV/0!</v>
      </c>
      <c r="I6" s="3">
        <v>0</v>
      </c>
      <c r="J6" s="6">
        <v>0</v>
      </c>
      <c r="K6" s="3" t="e">
        <f t="shared" si="2"/>
        <v>#DIV/0!</v>
      </c>
      <c r="L6" s="3">
        <v>0</v>
      </c>
      <c r="M6" s="6">
        <v>0</v>
      </c>
      <c r="N6" s="3" t="e">
        <f t="shared" si="3"/>
        <v>#DIV/0!</v>
      </c>
      <c r="O6" s="3">
        <v>0</v>
      </c>
      <c r="P6" s="6">
        <v>0</v>
      </c>
      <c r="Q6" s="3" t="e">
        <f t="shared" si="4"/>
        <v>#DIV/0!</v>
      </c>
      <c r="R6" s="3">
        <v>0</v>
      </c>
      <c r="S6" s="6">
        <v>0</v>
      </c>
      <c r="T6" s="3" t="e">
        <f t="shared" si="5"/>
        <v>#DIV/0!</v>
      </c>
      <c r="U6" s="3">
        <v>0</v>
      </c>
      <c r="V6" s="6">
        <v>0</v>
      </c>
      <c r="W6" s="3" t="e">
        <f t="shared" si="6"/>
        <v>#DIV/0!</v>
      </c>
      <c r="X6" s="3">
        <v>0</v>
      </c>
      <c r="Y6" s="6">
        <v>0</v>
      </c>
      <c r="Z6" s="3" t="e">
        <f t="shared" si="7"/>
        <v>#DIV/0!</v>
      </c>
      <c r="AA6" s="3">
        <v>0</v>
      </c>
      <c r="AB6" s="6">
        <v>0</v>
      </c>
      <c r="AC6" s="3" t="e">
        <f t="shared" si="8"/>
        <v>#DIV/0!</v>
      </c>
      <c r="AD6" s="3">
        <v>0</v>
      </c>
      <c r="AE6" s="6">
        <v>0</v>
      </c>
      <c r="AF6" s="3" t="e">
        <f t="shared" si="9"/>
        <v>#DIV/0!</v>
      </c>
      <c r="AG6" s="3">
        <v>0</v>
      </c>
      <c r="AH6" s="6">
        <v>0</v>
      </c>
      <c r="AI6" s="3" t="e">
        <f t="shared" si="10"/>
        <v>#DIV/0!</v>
      </c>
      <c r="AJ6" s="3">
        <v>0</v>
      </c>
      <c r="AK6" s="6">
        <v>0</v>
      </c>
      <c r="AL6" s="3">
        <f t="shared" si="11"/>
        <v>5650</v>
      </c>
      <c r="AM6" s="3">
        <v>2825</v>
      </c>
      <c r="AN6" s="6">
        <v>0.5</v>
      </c>
      <c r="AO6" s="3">
        <f t="shared" si="12"/>
        <v>5650</v>
      </c>
      <c r="AP6" s="3">
        <f t="shared" ref="AP6:AP9" si="17">SUM(F6,I6,L6,O6,R6,U6,X6,AA6,AD6,AG6,AJ6,AM6)</f>
        <v>2825</v>
      </c>
      <c r="AQ6" s="6">
        <f t="shared" ref="AQ6:AQ9" si="18">SUM(G6,J6,M6,P6,S6,V6,Y6,AB6,AE6,AH6,AK6,AN6)</f>
        <v>0.5</v>
      </c>
      <c r="AR6" s="3"/>
      <c r="AS6" s="3"/>
      <c r="AT6" s="3"/>
      <c r="AU6" s="3"/>
      <c r="AV6" s="3"/>
      <c r="AW6" s="3"/>
      <c r="AX6" s="3"/>
      <c r="AY6" s="3"/>
      <c r="AZ6" s="3"/>
      <c r="BA6" s="3"/>
      <c r="BB6" s="3"/>
      <c r="BC6" s="3"/>
      <c r="BD6" s="3"/>
      <c r="BE6" s="3"/>
      <c r="BF6" s="3"/>
      <c r="BG6" s="3"/>
      <c r="BH6" s="3"/>
      <c r="BI6" s="3"/>
      <c r="BJ6" s="3"/>
      <c r="BK6" s="3"/>
      <c r="BL6" s="3"/>
      <c r="BM6" s="3"/>
      <c r="BN6" s="3"/>
      <c r="BO6" s="3"/>
    </row>
    <row r="7" spans="1:67" ht="15" customHeight="1" x14ac:dyDescent="0.3">
      <c r="A7" s="7" t="s">
        <v>33</v>
      </c>
      <c r="B7" s="12"/>
      <c r="C7" s="12"/>
      <c r="D7" s="12"/>
      <c r="E7" s="3" t="e">
        <f t="shared" si="0"/>
        <v>#DIV/0!</v>
      </c>
      <c r="F7" s="3">
        <v>0</v>
      </c>
      <c r="G7" s="6">
        <v>0</v>
      </c>
      <c r="H7" s="3" t="e">
        <f t="shared" si="1"/>
        <v>#DIV/0!</v>
      </c>
      <c r="I7" s="3">
        <v>0</v>
      </c>
      <c r="J7" s="6">
        <v>0</v>
      </c>
      <c r="K7" s="3" t="e">
        <f t="shared" si="2"/>
        <v>#DIV/0!</v>
      </c>
      <c r="L7" s="3">
        <v>0</v>
      </c>
      <c r="M7" s="6">
        <v>0</v>
      </c>
      <c r="N7" s="3" t="e">
        <f t="shared" si="3"/>
        <v>#DIV/0!</v>
      </c>
      <c r="O7" s="3">
        <v>0</v>
      </c>
      <c r="P7" s="6">
        <v>0</v>
      </c>
      <c r="Q7" s="3" t="e">
        <f t="shared" si="4"/>
        <v>#DIV/0!</v>
      </c>
      <c r="R7" s="3">
        <v>0</v>
      </c>
      <c r="S7" s="6">
        <v>0</v>
      </c>
      <c r="T7" s="3">
        <f t="shared" si="5"/>
        <v>2088.0952380952381</v>
      </c>
      <c r="U7" s="3">
        <v>4385</v>
      </c>
      <c r="V7" s="6">
        <v>2.1</v>
      </c>
      <c r="W7" s="3" t="e">
        <f t="shared" si="6"/>
        <v>#DIV/0!</v>
      </c>
      <c r="X7" s="3">
        <v>0</v>
      </c>
      <c r="Y7" s="6">
        <v>0</v>
      </c>
      <c r="Z7" s="3" t="e">
        <f t="shared" si="7"/>
        <v>#DIV/0!</v>
      </c>
      <c r="AA7" s="3">
        <v>0</v>
      </c>
      <c r="AB7" s="6">
        <v>0</v>
      </c>
      <c r="AC7" s="3" t="e">
        <f t="shared" si="8"/>
        <v>#DIV/0!</v>
      </c>
      <c r="AD7" s="3">
        <v>0</v>
      </c>
      <c r="AE7" s="6">
        <v>0</v>
      </c>
      <c r="AF7" s="3" t="e">
        <f t="shared" si="9"/>
        <v>#DIV/0!</v>
      </c>
      <c r="AG7" s="3">
        <v>0</v>
      </c>
      <c r="AH7" s="6">
        <v>0</v>
      </c>
      <c r="AI7" s="3" t="e">
        <f t="shared" si="10"/>
        <v>#DIV/0!</v>
      </c>
      <c r="AJ7" s="3">
        <v>0</v>
      </c>
      <c r="AK7" s="6">
        <v>0</v>
      </c>
      <c r="AL7" s="3" t="e">
        <f t="shared" si="11"/>
        <v>#DIV/0!</v>
      </c>
      <c r="AM7" s="3">
        <v>0</v>
      </c>
      <c r="AN7" s="6">
        <v>0</v>
      </c>
      <c r="AO7" s="3">
        <f t="shared" si="12"/>
        <v>2088.0952380952381</v>
      </c>
      <c r="AP7" s="3">
        <f t="shared" si="17"/>
        <v>4385</v>
      </c>
      <c r="AQ7" s="6">
        <f t="shared" si="18"/>
        <v>2.1</v>
      </c>
      <c r="AR7" s="3"/>
      <c r="AS7" s="3"/>
      <c r="AT7" s="3"/>
      <c r="AU7" s="3"/>
      <c r="AV7" s="3"/>
      <c r="AW7" s="3"/>
      <c r="AX7" s="3"/>
      <c r="AY7" s="3"/>
      <c r="AZ7" s="3"/>
      <c r="BA7" s="3"/>
      <c r="BB7" s="3"/>
      <c r="BC7" s="3"/>
      <c r="BD7" s="3"/>
      <c r="BE7" s="3"/>
      <c r="BF7" s="3"/>
      <c r="BG7" s="3"/>
      <c r="BH7" s="3"/>
      <c r="BI7" s="3"/>
      <c r="BJ7" s="3"/>
      <c r="BK7" s="3"/>
      <c r="BL7" s="3"/>
      <c r="BM7" s="3"/>
      <c r="BN7" s="3"/>
      <c r="BO7" s="3"/>
    </row>
    <row r="8" spans="1:67" ht="15" customHeight="1" x14ac:dyDescent="0.3">
      <c r="A8" s="7" t="s">
        <v>34</v>
      </c>
      <c r="B8" s="12"/>
      <c r="C8" s="12"/>
      <c r="D8" s="12"/>
      <c r="E8" s="3">
        <f t="shared" si="0"/>
        <v>1550.8955223880596</v>
      </c>
      <c r="F8" s="3">
        <v>10391</v>
      </c>
      <c r="G8" s="6">
        <v>6.7</v>
      </c>
      <c r="H8" s="3" t="e">
        <f t="shared" si="1"/>
        <v>#DIV/0!</v>
      </c>
      <c r="I8" s="3">
        <v>0</v>
      </c>
      <c r="J8" s="6">
        <v>0</v>
      </c>
      <c r="K8" s="3" t="e">
        <f t="shared" si="2"/>
        <v>#DIV/0!</v>
      </c>
      <c r="L8" s="3">
        <v>0</v>
      </c>
      <c r="M8" s="6">
        <v>0</v>
      </c>
      <c r="N8" s="3" t="e">
        <f t="shared" si="3"/>
        <v>#DIV/0!</v>
      </c>
      <c r="O8" s="3">
        <v>0</v>
      </c>
      <c r="P8" s="6">
        <v>0</v>
      </c>
      <c r="Q8" s="3" t="e">
        <f t="shared" si="4"/>
        <v>#DIV/0!</v>
      </c>
      <c r="R8" s="3">
        <v>0</v>
      </c>
      <c r="S8" s="6">
        <v>0</v>
      </c>
      <c r="T8" s="3" t="e">
        <f t="shared" si="5"/>
        <v>#DIV/0!</v>
      </c>
      <c r="U8" s="3">
        <v>0</v>
      </c>
      <c r="V8" s="6">
        <v>0</v>
      </c>
      <c r="W8" s="3" t="e">
        <f t="shared" si="6"/>
        <v>#DIV/0!</v>
      </c>
      <c r="X8" s="3">
        <v>0</v>
      </c>
      <c r="Y8" s="6">
        <v>0</v>
      </c>
      <c r="Z8" s="3" t="e">
        <f t="shared" si="7"/>
        <v>#DIV/0!</v>
      </c>
      <c r="AA8" s="3">
        <v>0</v>
      </c>
      <c r="AB8" s="6">
        <v>0</v>
      </c>
      <c r="AC8" s="3" t="e">
        <f t="shared" si="8"/>
        <v>#DIV/0!</v>
      </c>
      <c r="AD8" s="3">
        <v>0</v>
      </c>
      <c r="AE8" s="6">
        <v>0</v>
      </c>
      <c r="AF8" s="3" t="e">
        <f t="shared" si="9"/>
        <v>#DIV/0!</v>
      </c>
      <c r="AG8" s="3">
        <v>0</v>
      </c>
      <c r="AH8" s="6">
        <v>0</v>
      </c>
      <c r="AI8" s="3" t="e">
        <f t="shared" si="10"/>
        <v>#DIV/0!</v>
      </c>
      <c r="AJ8" s="3">
        <v>0</v>
      </c>
      <c r="AK8" s="6">
        <v>0</v>
      </c>
      <c r="AL8" s="3" t="e">
        <f t="shared" si="11"/>
        <v>#DIV/0!</v>
      </c>
      <c r="AM8" s="3">
        <v>0</v>
      </c>
      <c r="AN8" s="6">
        <v>0</v>
      </c>
      <c r="AO8" s="3">
        <f t="shared" si="12"/>
        <v>1550.8955223880596</v>
      </c>
      <c r="AP8" s="3">
        <f t="shared" si="17"/>
        <v>10391</v>
      </c>
      <c r="AQ8" s="6">
        <f t="shared" si="18"/>
        <v>6.7</v>
      </c>
      <c r="AR8" s="3"/>
      <c r="AS8" s="3"/>
      <c r="AT8" s="3"/>
      <c r="AU8" s="3"/>
      <c r="AV8" s="3"/>
      <c r="AW8" s="3"/>
      <c r="AX8" s="3"/>
      <c r="AY8" s="3"/>
      <c r="AZ8" s="3"/>
      <c r="BA8" s="3"/>
      <c r="BB8" s="3"/>
      <c r="BC8" s="3"/>
      <c r="BD8" s="3"/>
      <c r="BE8" s="3"/>
      <c r="BF8" s="3"/>
      <c r="BG8" s="3"/>
      <c r="BH8" s="3"/>
      <c r="BI8" s="3"/>
      <c r="BJ8" s="3"/>
      <c r="BK8" s="3"/>
      <c r="BL8" s="3"/>
      <c r="BM8" s="3"/>
      <c r="BN8" s="3"/>
      <c r="BO8" s="3"/>
    </row>
    <row r="9" spans="1:67" ht="15" customHeight="1" x14ac:dyDescent="0.3">
      <c r="A9" s="11" t="s">
        <v>35</v>
      </c>
      <c r="B9" s="13"/>
      <c r="C9" s="13"/>
      <c r="D9" s="13"/>
      <c r="E9" s="8" t="e">
        <f t="shared" si="0"/>
        <v>#DIV/0!</v>
      </c>
      <c r="F9" s="9">
        <v>0</v>
      </c>
      <c r="G9" s="10">
        <v>0</v>
      </c>
      <c r="H9" s="9" t="e">
        <f t="shared" si="1"/>
        <v>#DIV/0!</v>
      </c>
      <c r="I9" s="9">
        <v>0</v>
      </c>
      <c r="J9" s="10">
        <v>0</v>
      </c>
      <c r="K9" s="9" t="e">
        <f t="shared" si="2"/>
        <v>#DIV/0!</v>
      </c>
      <c r="L9" s="9">
        <v>0</v>
      </c>
      <c r="M9" s="10">
        <v>0</v>
      </c>
      <c r="N9" s="9" t="e">
        <f t="shared" si="3"/>
        <v>#DIV/0!</v>
      </c>
      <c r="O9" s="9">
        <v>0</v>
      </c>
      <c r="P9" s="10">
        <v>0</v>
      </c>
      <c r="Q9" s="9" t="e">
        <f t="shared" si="4"/>
        <v>#DIV/0!</v>
      </c>
      <c r="R9" s="9">
        <v>0</v>
      </c>
      <c r="S9" s="10">
        <v>0</v>
      </c>
      <c r="T9" s="9" t="e">
        <f t="shared" si="5"/>
        <v>#DIV/0!</v>
      </c>
      <c r="U9" s="9">
        <v>0</v>
      </c>
      <c r="V9" s="10">
        <v>0</v>
      </c>
      <c r="W9" s="9" t="e">
        <f t="shared" si="6"/>
        <v>#DIV/0!</v>
      </c>
      <c r="X9" s="9">
        <v>0</v>
      </c>
      <c r="Y9" s="10">
        <v>0</v>
      </c>
      <c r="Z9" s="9" t="e">
        <f t="shared" si="7"/>
        <v>#DIV/0!</v>
      </c>
      <c r="AA9" s="9">
        <v>0</v>
      </c>
      <c r="AB9" s="10">
        <v>0</v>
      </c>
      <c r="AC9" s="9" t="e">
        <f t="shared" si="8"/>
        <v>#DIV/0!</v>
      </c>
      <c r="AD9" s="9">
        <v>0</v>
      </c>
      <c r="AE9" s="10">
        <v>0</v>
      </c>
      <c r="AF9" s="9" t="e">
        <f t="shared" si="9"/>
        <v>#DIV/0!</v>
      </c>
      <c r="AG9" s="9">
        <v>0</v>
      </c>
      <c r="AH9" s="10">
        <v>0</v>
      </c>
      <c r="AI9" s="9">
        <f t="shared" si="10"/>
        <v>17850</v>
      </c>
      <c r="AJ9" s="9">
        <v>7140</v>
      </c>
      <c r="AK9" s="10">
        <v>0.4</v>
      </c>
      <c r="AL9" s="9" t="e">
        <f t="shared" si="11"/>
        <v>#DIV/0!</v>
      </c>
      <c r="AM9" s="9">
        <v>0</v>
      </c>
      <c r="AN9" s="10">
        <v>0</v>
      </c>
      <c r="AO9" s="9">
        <f t="shared" si="12"/>
        <v>17850</v>
      </c>
      <c r="AP9" s="9">
        <f t="shared" si="17"/>
        <v>7140</v>
      </c>
      <c r="AQ9" s="10">
        <f t="shared" si="18"/>
        <v>0.4</v>
      </c>
      <c r="AR9" s="3"/>
      <c r="AS9" s="3"/>
      <c r="AT9" s="3"/>
      <c r="AU9" s="3"/>
      <c r="AV9" s="3"/>
      <c r="AW9" s="3"/>
      <c r="AX9" s="3"/>
      <c r="AY9" s="3"/>
      <c r="AZ9" s="3"/>
      <c r="BA9" s="3"/>
      <c r="BB9" s="3"/>
      <c r="BC9" s="3"/>
      <c r="BD9" s="3"/>
      <c r="BE9" s="3"/>
      <c r="BF9" s="3"/>
      <c r="BG9" s="3"/>
      <c r="BH9" s="3"/>
      <c r="BI9" s="3"/>
      <c r="BJ9" s="3"/>
      <c r="BK9" s="3"/>
      <c r="BL9" s="3"/>
      <c r="BM9" s="3"/>
      <c r="BN9" s="3"/>
      <c r="BO9" s="3"/>
    </row>
    <row r="10" spans="1:67" x14ac:dyDescent="0.3">
      <c r="A10" s="1" t="s">
        <v>18</v>
      </c>
      <c r="B10" s="1"/>
    </row>
    <row r="11" spans="1:67" x14ac:dyDescent="0.3">
      <c r="A11" s="1" t="s">
        <v>23</v>
      </c>
      <c r="B11" s="1"/>
    </row>
    <row r="12" spans="1:67" x14ac:dyDescent="0.3">
      <c r="A12" s="1" t="s">
        <v>27</v>
      </c>
      <c r="B12" s="1"/>
    </row>
    <row r="13" spans="1:67" x14ac:dyDescent="0.3">
      <c r="A13" s="1" t="s">
        <v>28</v>
      </c>
      <c r="B13" s="1"/>
    </row>
    <row r="14" spans="1:67" x14ac:dyDescent="0.3">
      <c r="A14" s="1" t="s">
        <v>29</v>
      </c>
      <c r="B14" s="1"/>
    </row>
    <row r="15" spans="1:67" x14ac:dyDescent="0.3">
      <c r="A15" s="1" t="s">
        <v>30</v>
      </c>
      <c r="B15" s="1"/>
    </row>
  </sheetData>
  <mergeCells count="16">
    <mergeCell ref="N1:P1"/>
    <mergeCell ref="Q1:S1"/>
    <mergeCell ref="T1:V1"/>
    <mergeCell ref="AL1:AN1"/>
    <mergeCell ref="AO1:AQ1"/>
    <mergeCell ref="W1:Y1"/>
    <mergeCell ref="Z1:AB1"/>
    <mergeCell ref="AC1:AE1"/>
    <mergeCell ref="AF1:AH1"/>
    <mergeCell ref="AI1:AK1"/>
    <mergeCell ref="B3:B9"/>
    <mergeCell ref="E1:G1"/>
    <mergeCell ref="H1:J1"/>
    <mergeCell ref="K1:M1"/>
    <mergeCell ref="C3:C9"/>
    <mergeCell ref="D3:D9"/>
  </mergeCells>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2020년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ds</dc:creator>
  <cp:lastModifiedBy>ds</cp:lastModifiedBy>
  <dcterms:created xsi:type="dcterms:W3CDTF">2026-06-15T09:24:56Z</dcterms:created>
  <dcterms:modified xsi:type="dcterms:W3CDTF">2026-08-10T01:44:16Z</dcterms:modified>
</cp:coreProperties>
</file>