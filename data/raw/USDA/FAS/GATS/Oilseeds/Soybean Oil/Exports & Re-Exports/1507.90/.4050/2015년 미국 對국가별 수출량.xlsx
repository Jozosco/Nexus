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07.90\정제된 대두유 및 그 분획물(.4050)\"/>
    </mc:Choice>
  </mc:AlternateContent>
  <bookViews>
    <workbookView xWindow="0" yWindow="0" windowWidth="25125" windowHeight="11640"/>
  </bookViews>
  <sheets>
    <sheet name="2015년" sheetId="1" r:id="rId1"/>
  </sheets>
  <calcPr calcId="162913"/>
</workbook>
</file>

<file path=xl/calcChain.xml><?xml version="1.0" encoding="utf-8"?>
<calcChain xmlns="http://schemas.openxmlformats.org/spreadsheetml/2006/main">
  <c r="AQ67" i="1" l="1"/>
  <c r="AQ66" i="1"/>
  <c r="AQ65" i="1"/>
  <c r="AQ64" i="1"/>
  <c r="AQ63" i="1"/>
  <c r="AQ62" i="1"/>
  <c r="AQ61" i="1"/>
  <c r="AQ60" i="1"/>
  <c r="AQ59" i="1"/>
  <c r="AQ58" i="1"/>
  <c r="AQ57" i="1"/>
  <c r="AQ56" i="1"/>
  <c r="AQ55" i="1"/>
  <c r="AQ54" i="1"/>
  <c r="AQ53" i="1"/>
  <c r="AQ52" i="1"/>
  <c r="AQ51" i="1"/>
  <c r="AQ50" i="1"/>
  <c r="AQ49" i="1"/>
  <c r="AQ48" i="1"/>
  <c r="AQ47" i="1"/>
  <c r="AQ46" i="1"/>
  <c r="AQ45" i="1"/>
  <c r="AQ44" i="1"/>
  <c r="AQ43" i="1"/>
  <c r="AQ42" i="1"/>
  <c r="AQ41" i="1"/>
  <c r="AQ40" i="1"/>
  <c r="AQ39" i="1"/>
  <c r="AQ38" i="1"/>
  <c r="AQ37" i="1"/>
  <c r="AQ36" i="1"/>
  <c r="AQ35" i="1"/>
  <c r="AQ34" i="1"/>
  <c r="AQ33" i="1"/>
  <c r="AQ32" i="1"/>
  <c r="AQ31" i="1"/>
  <c r="AQ30" i="1"/>
  <c r="AQ29" i="1"/>
  <c r="AQ28" i="1"/>
  <c r="AQ27" i="1"/>
  <c r="AQ26" i="1"/>
  <c r="AQ25" i="1"/>
  <c r="AQ24" i="1"/>
  <c r="AQ23" i="1"/>
  <c r="AQ22" i="1"/>
  <c r="AQ21" i="1"/>
  <c r="AQ20" i="1"/>
  <c r="AQ19" i="1"/>
  <c r="AQ18" i="1"/>
  <c r="AQ17" i="1"/>
  <c r="AQ16" i="1"/>
  <c r="AQ15" i="1"/>
  <c r="AQ14" i="1"/>
  <c r="AQ13" i="1"/>
  <c r="AQ12" i="1"/>
  <c r="AQ11" i="1"/>
  <c r="AQ10" i="1"/>
  <c r="AQ9" i="1"/>
  <c r="AQ8" i="1"/>
  <c r="AQ7" i="1"/>
  <c r="AQ6" i="1"/>
  <c r="AQ5" i="1"/>
  <c r="AQ4" i="1"/>
  <c r="AP67" i="1"/>
  <c r="AP66" i="1"/>
  <c r="AP65" i="1"/>
  <c r="AP64" i="1"/>
  <c r="AP63" i="1"/>
  <c r="AP62" i="1"/>
  <c r="AP61" i="1"/>
  <c r="AP60" i="1"/>
  <c r="AP59" i="1"/>
  <c r="AP58" i="1"/>
  <c r="AP57" i="1"/>
  <c r="AP56" i="1"/>
  <c r="AP55" i="1"/>
  <c r="AP54" i="1"/>
  <c r="AP53" i="1"/>
  <c r="AP52" i="1"/>
  <c r="AP51" i="1"/>
  <c r="AP50" i="1"/>
  <c r="AP49" i="1"/>
  <c r="AP48" i="1"/>
  <c r="AP47" i="1"/>
  <c r="AP46" i="1"/>
  <c r="AP45" i="1"/>
  <c r="AP44" i="1"/>
  <c r="AP43" i="1"/>
  <c r="AP42" i="1"/>
  <c r="AP41" i="1"/>
  <c r="AP40" i="1"/>
  <c r="AP39" i="1"/>
  <c r="AP38" i="1"/>
  <c r="AP37" i="1"/>
  <c r="AP36" i="1"/>
  <c r="AP35" i="1"/>
  <c r="AP34" i="1"/>
  <c r="AP33" i="1"/>
  <c r="AP32" i="1"/>
  <c r="AP31" i="1"/>
  <c r="AP30" i="1"/>
  <c r="AP29" i="1"/>
  <c r="AP28" i="1"/>
  <c r="AP27" i="1"/>
  <c r="AP26" i="1"/>
  <c r="AP25" i="1"/>
  <c r="AP24" i="1"/>
  <c r="AP23" i="1"/>
  <c r="AP22" i="1"/>
  <c r="AP21" i="1"/>
  <c r="AP20" i="1"/>
  <c r="AP19" i="1"/>
  <c r="AP18" i="1"/>
  <c r="AP17" i="1"/>
  <c r="AP16" i="1"/>
  <c r="AP15" i="1"/>
  <c r="AP14" i="1"/>
  <c r="AP13" i="1"/>
  <c r="AP12" i="1"/>
  <c r="AP11" i="1"/>
  <c r="AP10" i="1"/>
  <c r="AP9" i="1"/>
  <c r="AP8" i="1"/>
  <c r="AP7" i="1"/>
  <c r="AP6" i="1"/>
  <c r="AP5" i="1"/>
  <c r="AN3" i="1"/>
  <c r="AM3" i="1"/>
  <c r="AK3" i="1"/>
  <c r="AJ3" i="1"/>
  <c r="AH3" i="1"/>
  <c r="AG3" i="1"/>
  <c r="AE3" i="1"/>
  <c r="AD3" i="1"/>
  <c r="AB3" i="1"/>
  <c r="AA3" i="1"/>
  <c r="Y3" i="1"/>
  <c r="X3" i="1"/>
  <c r="V3" i="1"/>
  <c r="U3" i="1"/>
  <c r="S3" i="1"/>
  <c r="R3" i="1"/>
  <c r="P3" i="1"/>
  <c r="O3" i="1"/>
  <c r="M3" i="1"/>
  <c r="L3" i="1"/>
  <c r="J3" i="1"/>
  <c r="I3" i="1"/>
  <c r="G3" i="1"/>
  <c r="F3" i="1"/>
  <c r="K67" i="1"/>
  <c r="H67" i="1"/>
  <c r="E67" i="1"/>
  <c r="T67" i="1"/>
  <c r="Q67" i="1"/>
  <c r="N67" i="1"/>
  <c r="W67" i="1"/>
  <c r="Z67" i="1"/>
  <c r="AL67" i="1"/>
  <c r="AI67" i="1"/>
  <c r="AF67" i="1"/>
  <c r="AC67" i="1"/>
  <c r="AP4" i="1"/>
  <c r="AO67" i="1" l="1"/>
  <c r="AP3" i="1"/>
  <c r="AQ3" i="1"/>
  <c r="AL66" i="1"/>
  <c r="AL65" i="1"/>
  <c r="AL64" i="1"/>
  <c r="AL63" i="1"/>
  <c r="AL62" i="1"/>
  <c r="AL61" i="1"/>
  <c r="AL60" i="1"/>
  <c r="AL59" i="1"/>
  <c r="AL58" i="1"/>
  <c r="AL57" i="1"/>
  <c r="AL56" i="1"/>
  <c r="AL55" i="1"/>
  <c r="AL54" i="1"/>
  <c r="AL53" i="1"/>
  <c r="AL52" i="1"/>
  <c r="AL51" i="1"/>
  <c r="AL50" i="1"/>
  <c r="AL49" i="1"/>
  <c r="AL48" i="1"/>
  <c r="AL47" i="1"/>
  <c r="AL46" i="1"/>
  <c r="AL45" i="1"/>
  <c r="AI66" i="1"/>
  <c r="AI65" i="1"/>
  <c r="AI64" i="1"/>
  <c r="AI63" i="1"/>
  <c r="AI62" i="1"/>
  <c r="AI61" i="1"/>
  <c r="AI60" i="1"/>
  <c r="AI59" i="1"/>
  <c r="AI58" i="1"/>
  <c r="AI57" i="1"/>
  <c r="AI56" i="1"/>
  <c r="AI55" i="1"/>
  <c r="AI54" i="1"/>
  <c r="AI53" i="1"/>
  <c r="AI52" i="1"/>
  <c r="AI51" i="1"/>
  <c r="AI50" i="1"/>
  <c r="AI49" i="1"/>
  <c r="AI48" i="1"/>
  <c r="AI47" i="1"/>
  <c r="AI46" i="1"/>
  <c r="AI45" i="1"/>
  <c r="AF66" i="1"/>
  <c r="AF65" i="1"/>
  <c r="AF64" i="1"/>
  <c r="AF63" i="1"/>
  <c r="AF62" i="1"/>
  <c r="AF61" i="1"/>
  <c r="AF60" i="1"/>
  <c r="AF59" i="1"/>
  <c r="AF58" i="1"/>
  <c r="AF57" i="1"/>
  <c r="AF56" i="1"/>
  <c r="AF55" i="1"/>
  <c r="AF54" i="1"/>
  <c r="AF53" i="1"/>
  <c r="AF52" i="1"/>
  <c r="AF51" i="1"/>
  <c r="AF50" i="1"/>
  <c r="AF49" i="1"/>
  <c r="AF48" i="1"/>
  <c r="AF47" i="1"/>
  <c r="AF46" i="1"/>
  <c r="AF45" i="1"/>
  <c r="AC66" i="1"/>
  <c r="AC65" i="1"/>
  <c r="AC64" i="1"/>
  <c r="AC63" i="1"/>
  <c r="AC62" i="1"/>
  <c r="AC61" i="1"/>
  <c r="AC60" i="1"/>
  <c r="AC59" i="1"/>
  <c r="AC58" i="1"/>
  <c r="AC57" i="1"/>
  <c r="AC56" i="1"/>
  <c r="AC55" i="1"/>
  <c r="AC54" i="1"/>
  <c r="AC53" i="1"/>
  <c r="AC52" i="1"/>
  <c r="AC51" i="1"/>
  <c r="AC50" i="1"/>
  <c r="AC49" i="1"/>
  <c r="AC48" i="1"/>
  <c r="AC47" i="1"/>
  <c r="AC46" i="1"/>
  <c r="AC45" i="1"/>
  <c r="Z66" i="1"/>
  <c r="Z65" i="1"/>
  <c r="Z64" i="1"/>
  <c r="Z63" i="1"/>
  <c r="Z62" i="1"/>
  <c r="Z61" i="1"/>
  <c r="Z60" i="1"/>
  <c r="Z59" i="1"/>
  <c r="Z58" i="1"/>
  <c r="Z57" i="1"/>
  <c r="Z56" i="1"/>
  <c r="Z55" i="1"/>
  <c r="Z54" i="1"/>
  <c r="Z53" i="1"/>
  <c r="Z52" i="1"/>
  <c r="Z51" i="1"/>
  <c r="Z50" i="1"/>
  <c r="Z49" i="1"/>
  <c r="Z48" i="1"/>
  <c r="Z47" i="1"/>
  <c r="Z46" i="1"/>
  <c r="Z45" i="1"/>
  <c r="W66" i="1"/>
  <c r="W65" i="1"/>
  <c r="W64" i="1"/>
  <c r="W63" i="1"/>
  <c r="W62" i="1"/>
  <c r="W61" i="1"/>
  <c r="W60" i="1"/>
  <c r="W59" i="1"/>
  <c r="W58" i="1"/>
  <c r="W57" i="1"/>
  <c r="W56" i="1"/>
  <c r="W55" i="1"/>
  <c r="W54" i="1"/>
  <c r="W53" i="1"/>
  <c r="W52" i="1"/>
  <c r="W51" i="1"/>
  <c r="W50" i="1"/>
  <c r="W49" i="1"/>
  <c r="W48" i="1"/>
  <c r="W47" i="1"/>
  <c r="W46" i="1"/>
  <c r="W45" i="1"/>
  <c r="T66" i="1"/>
  <c r="T65" i="1"/>
  <c r="T64" i="1"/>
  <c r="T63" i="1"/>
  <c r="T62" i="1"/>
  <c r="T61" i="1"/>
  <c r="T60" i="1"/>
  <c r="T59" i="1"/>
  <c r="T58" i="1"/>
  <c r="T57" i="1"/>
  <c r="T56" i="1"/>
  <c r="T55" i="1"/>
  <c r="T54" i="1"/>
  <c r="T53" i="1"/>
  <c r="T52" i="1"/>
  <c r="T51" i="1"/>
  <c r="T50" i="1"/>
  <c r="T49" i="1"/>
  <c r="T48" i="1"/>
  <c r="T47" i="1"/>
  <c r="T46" i="1"/>
  <c r="T45" i="1"/>
  <c r="Q66" i="1"/>
  <c r="Q65" i="1"/>
  <c r="Q64" i="1"/>
  <c r="Q63" i="1"/>
  <c r="Q62" i="1"/>
  <c r="Q61" i="1"/>
  <c r="Q60" i="1"/>
  <c r="Q59" i="1"/>
  <c r="Q58" i="1"/>
  <c r="Q57" i="1"/>
  <c r="Q56" i="1"/>
  <c r="Q55" i="1"/>
  <c r="Q54" i="1"/>
  <c r="Q53" i="1"/>
  <c r="Q52" i="1"/>
  <c r="Q51" i="1"/>
  <c r="Q50" i="1"/>
  <c r="Q49" i="1"/>
  <c r="Q48" i="1"/>
  <c r="Q47" i="1"/>
  <c r="Q46" i="1"/>
  <c r="Q45" i="1"/>
  <c r="N66" i="1"/>
  <c r="N65" i="1"/>
  <c r="N64" i="1"/>
  <c r="N63" i="1"/>
  <c r="N62" i="1"/>
  <c r="N61" i="1"/>
  <c r="N60" i="1"/>
  <c r="N59" i="1"/>
  <c r="N58" i="1"/>
  <c r="N57" i="1"/>
  <c r="N56" i="1"/>
  <c r="N55" i="1"/>
  <c r="N54" i="1"/>
  <c r="N53" i="1"/>
  <c r="N52" i="1"/>
  <c r="N51" i="1"/>
  <c r="N50" i="1"/>
  <c r="N49" i="1"/>
  <c r="N48" i="1"/>
  <c r="N47" i="1"/>
  <c r="N46" i="1"/>
  <c r="N45" i="1"/>
  <c r="K66" i="1"/>
  <c r="K65" i="1"/>
  <c r="K64" i="1"/>
  <c r="K63" i="1"/>
  <c r="K62" i="1"/>
  <c r="K61" i="1"/>
  <c r="K60" i="1"/>
  <c r="K59" i="1"/>
  <c r="K58" i="1"/>
  <c r="K57" i="1"/>
  <c r="K56" i="1"/>
  <c r="K55" i="1"/>
  <c r="K54" i="1"/>
  <c r="K53" i="1"/>
  <c r="K52" i="1"/>
  <c r="K51" i="1"/>
  <c r="K50" i="1"/>
  <c r="K49" i="1"/>
  <c r="K48" i="1"/>
  <c r="K47" i="1"/>
  <c r="K46" i="1"/>
  <c r="K45" i="1"/>
  <c r="H66" i="1"/>
  <c r="H65" i="1"/>
  <c r="H64" i="1"/>
  <c r="H63" i="1"/>
  <c r="H62" i="1"/>
  <c r="H61" i="1"/>
  <c r="H60" i="1"/>
  <c r="H59" i="1"/>
  <c r="H58" i="1"/>
  <c r="H57" i="1"/>
  <c r="H56" i="1"/>
  <c r="H55" i="1"/>
  <c r="H54" i="1"/>
  <c r="H53" i="1"/>
  <c r="H52" i="1"/>
  <c r="H51" i="1"/>
  <c r="H50" i="1"/>
  <c r="H49" i="1"/>
  <c r="H48" i="1"/>
  <c r="H47" i="1"/>
  <c r="H46" i="1"/>
  <c r="H45" i="1"/>
  <c r="E66" i="1"/>
  <c r="E65" i="1"/>
  <c r="E64" i="1"/>
  <c r="E63" i="1"/>
  <c r="E62" i="1"/>
  <c r="E61" i="1"/>
  <c r="E60" i="1"/>
  <c r="E59" i="1"/>
  <c r="E58" i="1"/>
  <c r="E57" i="1"/>
  <c r="E56" i="1"/>
  <c r="E55" i="1"/>
  <c r="E54" i="1"/>
  <c r="E53" i="1"/>
  <c r="E52" i="1"/>
  <c r="E51" i="1"/>
  <c r="E50" i="1"/>
  <c r="E49" i="1"/>
  <c r="E48" i="1"/>
  <c r="E47" i="1"/>
  <c r="E46" i="1"/>
  <c r="E45" i="1"/>
  <c r="AO50" i="1" l="1"/>
  <c r="AO62" i="1"/>
  <c r="AO46" i="1"/>
  <c r="AO54" i="1"/>
  <c r="AO58" i="1"/>
  <c r="AO66" i="1"/>
  <c r="AO45" i="1"/>
  <c r="AO49" i="1"/>
  <c r="AO53" i="1"/>
  <c r="AO57" i="1"/>
  <c r="AO65" i="1"/>
  <c r="AO61" i="1"/>
  <c r="AO63" i="1"/>
  <c r="AO55" i="1"/>
  <c r="AO47" i="1"/>
  <c r="AO59" i="1"/>
  <c r="AO51" i="1"/>
  <c r="AO52" i="1"/>
  <c r="AO64" i="1"/>
  <c r="AO48" i="1"/>
  <c r="AO60" i="1"/>
  <c r="AO56" i="1"/>
  <c r="AC3" i="1"/>
  <c r="Q3" i="1"/>
  <c r="AL3" i="1"/>
  <c r="AF3" i="1"/>
  <c r="W3" i="1"/>
  <c r="T3" i="1"/>
  <c r="N3" i="1"/>
  <c r="K3" i="1"/>
  <c r="H3" i="1"/>
  <c r="N43" i="1"/>
  <c r="AL44" i="1"/>
  <c r="AL43" i="1"/>
  <c r="AL42" i="1"/>
  <c r="AL41" i="1"/>
  <c r="AL40" i="1"/>
  <c r="AL39" i="1"/>
  <c r="AL38" i="1"/>
  <c r="AL37" i="1"/>
  <c r="AL36" i="1"/>
  <c r="AL35" i="1"/>
  <c r="AL34" i="1"/>
  <c r="AL33" i="1"/>
  <c r="AL32" i="1"/>
  <c r="AL31" i="1"/>
  <c r="AL30" i="1"/>
  <c r="AL29" i="1"/>
  <c r="AL28" i="1"/>
  <c r="AL27" i="1"/>
  <c r="AL26" i="1"/>
  <c r="AL25" i="1"/>
  <c r="AL24" i="1"/>
  <c r="AL23" i="1"/>
  <c r="AL22" i="1"/>
  <c r="AL21" i="1"/>
  <c r="AL20" i="1"/>
  <c r="AL19" i="1"/>
  <c r="AL18" i="1"/>
  <c r="AL17" i="1"/>
  <c r="AL16" i="1"/>
  <c r="AL15" i="1"/>
  <c r="AL14" i="1"/>
  <c r="AL13" i="1"/>
  <c r="AL12" i="1"/>
  <c r="AL11" i="1"/>
  <c r="AL10" i="1"/>
  <c r="AL9" i="1"/>
  <c r="AL8" i="1"/>
  <c r="AL7" i="1"/>
  <c r="AL6" i="1"/>
  <c r="AL5" i="1"/>
  <c r="AL4" i="1"/>
  <c r="AI44" i="1"/>
  <c r="AI43" i="1"/>
  <c r="AI42" i="1"/>
  <c r="AI41" i="1"/>
  <c r="AI40" i="1"/>
  <c r="AI39" i="1"/>
  <c r="AI38" i="1"/>
  <c r="AI37" i="1"/>
  <c r="AI36" i="1"/>
  <c r="AI35" i="1"/>
  <c r="AI34" i="1"/>
  <c r="AI33" i="1"/>
  <c r="AI32" i="1"/>
  <c r="AI31" i="1"/>
  <c r="AI30" i="1"/>
  <c r="AI29" i="1"/>
  <c r="AI28" i="1"/>
  <c r="AI27" i="1"/>
  <c r="AI26" i="1"/>
  <c r="AI25" i="1"/>
  <c r="AI24" i="1"/>
  <c r="AI23" i="1"/>
  <c r="AI22" i="1"/>
  <c r="AI21" i="1"/>
  <c r="AI20" i="1"/>
  <c r="AI19" i="1"/>
  <c r="AI18" i="1"/>
  <c r="AI17" i="1"/>
  <c r="AI16" i="1"/>
  <c r="AI15" i="1"/>
  <c r="AI14" i="1"/>
  <c r="AI13" i="1"/>
  <c r="AI12" i="1"/>
  <c r="AI11" i="1"/>
  <c r="AI10" i="1"/>
  <c r="AI9" i="1"/>
  <c r="AI8" i="1"/>
  <c r="AI7" i="1"/>
  <c r="AI6" i="1"/>
  <c r="AI5" i="1"/>
  <c r="AI4"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F4" i="1"/>
  <c r="AC44" i="1"/>
  <c r="AC43" i="1"/>
  <c r="AC42" i="1"/>
  <c r="AC41" i="1"/>
  <c r="AC40" i="1"/>
  <c r="AC39" i="1"/>
  <c r="AC38" i="1"/>
  <c r="AC37" i="1"/>
  <c r="AC36" i="1"/>
  <c r="AC35" i="1"/>
  <c r="AC34" i="1"/>
  <c r="AC33" i="1"/>
  <c r="AC32" i="1"/>
  <c r="AC31"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AC4" i="1"/>
  <c r="Z44" i="1"/>
  <c r="Z43" i="1"/>
  <c r="Z42" i="1"/>
  <c r="Z41" i="1"/>
  <c r="Z40" i="1"/>
  <c r="Z39" i="1"/>
  <c r="Z38" i="1"/>
  <c r="Z37" i="1"/>
  <c r="Z36" i="1"/>
  <c r="Z35" i="1"/>
  <c r="Z34" i="1"/>
  <c r="Z33" i="1"/>
  <c r="Z32" i="1"/>
  <c r="Z31" i="1"/>
  <c r="Z30" i="1"/>
  <c r="Z29" i="1"/>
  <c r="Z28" i="1"/>
  <c r="Z27" i="1"/>
  <c r="Z26" i="1"/>
  <c r="Z25" i="1"/>
  <c r="Z24" i="1"/>
  <c r="Z23" i="1"/>
  <c r="Z22" i="1"/>
  <c r="Z21" i="1"/>
  <c r="Z20" i="1"/>
  <c r="Z19" i="1"/>
  <c r="Z18" i="1"/>
  <c r="Z17" i="1"/>
  <c r="Z16" i="1"/>
  <c r="Z15" i="1"/>
  <c r="Z14" i="1"/>
  <c r="Z13" i="1"/>
  <c r="Z12" i="1"/>
  <c r="Z11" i="1"/>
  <c r="Z10" i="1"/>
  <c r="Z9" i="1"/>
  <c r="Z8" i="1"/>
  <c r="Z7" i="1"/>
  <c r="Z6" i="1"/>
  <c r="Z5" i="1"/>
  <c r="Z4"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T44" i="1"/>
  <c r="T43" i="1"/>
  <c r="T42" i="1"/>
  <c r="T41" i="1"/>
  <c r="T40" i="1"/>
  <c r="T39" i="1"/>
  <c r="T38" i="1"/>
  <c r="T37" i="1"/>
  <c r="T36" i="1"/>
  <c r="T35"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N44"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1" i="1"/>
  <c r="E10" i="1"/>
  <c r="E9" i="1"/>
  <c r="E8" i="1"/>
  <c r="E7" i="1"/>
  <c r="E6" i="1"/>
  <c r="E5" i="1"/>
  <c r="E4" i="1"/>
  <c r="E12" i="1"/>
  <c r="AI3" i="1" l="1"/>
  <c r="Z3" i="1"/>
  <c r="AO7" i="1"/>
  <c r="AO15" i="1"/>
  <c r="E3" i="1"/>
  <c r="AO10" i="1"/>
  <c r="AO18" i="1"/>
  <c r="AO26" i="1"/>
  <c r="AO34" i="1"/>
  <c r="AO42" i="1"/>
  <c r="AO11" i="1"/>
  <c r="AO27" i="1"/>
  <c r="AO35" i="1"/>
  <c r="AO43" i="1"/>
  <c r="AO20" i="1"/>
  <c r="AO28" i="1"/>
  <c r="AO36" i="1"/>
  <c r="AO44" i="1"/>
  <c r="AO5" i="1"/>
  <c r="AO13" i="1"/>
  <c r="AO21" i="1"/>
  <c r="AO29" i="1"/>
  <c r="AO37" i="1"/>
  <c r="AO6" i="1"/>
  <c r="AO14" i="1"/>
  <c r="AO22" i="1"/>
  <c r="AO30" i="1"/>
  <c r="AO38" i="1"/>
  <c r="AO31" i="1"/>
  <c r="AO39" i="1"/>
  <c r="AO8" i="1"/>
  <c r="AO16" i="1"/>
  <c r="AO24" i="1"/>
  <c r="AO32" i="1"/>
  <c r="AO40" i="1"/>
  <c r="AO9" i="1"/>
  <c r="AO17" i="1"/>
  <c r="AO25" i="1"/>
  <c r="AO33" i="1"/>
  <c r="AO41" i="1"/>
  <c r="AO19" i="1"/>
  <c r="AO23" i="1"/>
  <c r="AO3" i="1" l="1"/>
  <c r="AO4" i="1"/>
  <c r="AO12" i="1"/>
</calcChain>
</file>

<file path=xl/sharedStrings.xml><?xml version="1.0" encoding="utf-8"?>
<sst xmlns="http://schemas.openxmlformats.org/spreadsheetml/2006/main" count="129" uniqueCount="93">
  <si>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</si>
  <si>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</si>
  <si>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</si>
  <si>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</si>
  <si>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</si>
  <si>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</si>
  <si>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</si>
  <si>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</si>
  <si>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</si>
  <si>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</si>
  <si>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</si>
  <si>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</si>
  <si>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</si>
  <si>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</si>
  <si>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</si>
  <si>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</si>
  <si>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</si>
  <si>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</si>
  <si>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Costa Rica</t>
  </si>
  <si>
    <t>Australia(*)</t>
  </si>
  <si>
    <t>Canada</t>
  </si>
  <si>
    <t>Colombia</t>
  </si>
  <si>
    <t>Dominican Republic</t>
  </si>
  <si>
    <t>Korea, South</t>
  </si>
  <si>
    <t>Jamaica</t>
  </si>
  <si>
    <t>Mexico</t>
  </si>
  <si>
    <t>United Arab Emirates</t>
  </si>
  <si>
    <t>Barbados</t>
  </si>
  <si>
    <t>Bahamas, The</t>
  </si>
  <si>
    <t>Belize</t>
  </si>
  <si>
    <t>China</t>
  </si>
  <si>
    <t>El Salvador</t>
  </si>
  <si>
    <t>Guatemala</t>
  </si>
  <si>
    <t>Honduras</t>
  </si>
  <si>
    <t>Italy(*)</t>
  </si>
  <si>
    <t>Japan</t>
  </si>
  <si>
    <t>Netherlands</t>
  </si>
  <si>
    <t>Nicaragua</t>
  </si>
  <si>
    <t>Panama</t>
  </si>
  <si>
    <t>Trinidad and Tobago</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</si>
  <si>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</si>
  <si>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</si>
  <si>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</si>
  <si>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</si>
  <si>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</si>
  <si>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</si>
  <si>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</si>
  <si>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</si>
  <si>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Germany</t>
  </si>
  <si>
    <t>Guyana</t>
  </si>
  <si>
    <t>Hong Kong</t>
  </si>
  <si>
    <t>Jordan</t>
  </si>
  <si>
    <t>Netherlands Antilles(*)</t>
  </si>
  <si>
    <t>Singapore</t>
  </si>
  <si>
    <t>Saudi Arabia</t>
  </si>
  <si>
    <t>Kuwait</t>
  </si>
  <si>
    <t>Chile</t>
  </si>
  <si>
    <t>Lebanon</t>
  </si>
  <si>
    <t>Qatar</t>
  </si>
  <si>
    <t>India</t>
  </si>
  <si>
    <t>Cayman Islands</t>
  </si>
  <si>
    <t>Bermuda</t>
  </si>
  <si>
    <t>Brazil</t>
  </si>
  <si>
    <t>Brunei</t>
  </si>
  <si>
    <t>Equatorial Guinea</t>
  </si>
  <si>
    <t>Iceland</t>
  </si>
  <si>
    <t>Indonesia</t>
  </si>
  <si>
    <t>Iraq</t>
  </si>
  <si>
    <t>Norway(*)</t>
  </si>
  <si>
    <t>New Zealand(*)</t>
  </si>
  <si>
    <t>Peru</t>
  </si>
  <si>
    <t>Philippines</t>
  </si>
  <si>
    <t>Russia</t>
  </si>
  <si>
    <t>Turks and Caicos Islands</t>
  </si>
  <si>
    <t>United Kingdom</t>
  </si>
  <si>
    <t>1. Data Source: U.S. Census Bureau Trade Data</t>
  </si>
  <si>
    <t>4. Product Group : Harmonized</t>
  </si>
  <si>
    <t>Product</t>
    <phoneticPr fontId="18" type="noConversion"/>
  </si>
  <si>
    <t>Spain</t>
  </si>
  <si>
    <t>Argentina</t>
  </si>
  <si>
    <t>Haiti</t>
  </si>
  <si>
    <t>Malaysia</t>
  </si>
  <si>
    <t>Suriname</t>
  </si>
  <si>
    <t>Taiwan</t>
  </si>
  <si>
    <t>SOY OIL FLY-RFND</t>
    <phoneticPr fontId="18" type="noConversion"/>
  </si>
  <si>
    <t>Greece</t>
  </si>
  <si>
    <t>Uganda</t>
  </si>
  <si>
    <t>Uruguay</t>
  </si>
  <si>
    <t>Niger</t>
  </si>
  <si>
    <t>Algeria</t>
  </si>
  <si>
    <t>Cote d'Ivoire</t>
  </si>
  <si>
    <t>Malawi</t>
  </si>
  <si>
    <t>Paraguay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</si>
</sst>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Red]\(#,##0.0\)"/>
    <numFmt numFmtId="177" formatCode="#,##0.0_ "/>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31">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7" fontId="0" fillId="0" borderId="0" xfId="0" applyNumberFormat="1" applyAlignment="1">
      <alignment horizontal="center" vertical="center"/>
    </xf>
    <xf numFmtId="177" fontId="0" fillId="0" borderId="18" xfId="0" applyNumberFormat="1" applyBorder="1" applyAlignment="1">
      <alignment horizontal="center" vertical="center"/>
    </xf>
    <xf numFmtId="176" fontId="0" fillId="0" borderId="0" xfId="0" applyNumberFormat="1" applyBorder="1" applyAlignment="1">
      <alignment horizontal="center" vertical="center"/>
    </xf>
    <xf numFmtId="177" fontId="0" fillId="0" borderId="0" xfId="0" applyNumberFormat="1" applyBorder="1" applyAlignment="1">
      <alignment horizontal="center" vertical="center"/>
    </xf>
    <xf numFmtId="176" fontId="0" fillId="0" borderId="22" xfId="0" applyNumberFormat="1" applyBorder="1" applyAlignment="1">
      <alignment horizontal="center" vertical="center"/>
    </xf>
    <xf numFmtId="177" fontId="0" fillId="0" borderId="20" xfId="0" applyNumberFormat="1" applyBorder="1" applyAlignment="1">
      <alignment horizontal="center" vertical="center"/>
    </xf>
    <xf numFmtId="177" fontId="0" fillId="0" borderId="21" xfId="0" applyNumberFormat="1" applyBorder="1" applyAlignment="1">
      <alignment horizontal="center" vertical="center"/>
    </xf>
    <xf numFmtId="177" fontId="0" fillId="0" borderId="19" xfId="0" applyNumberFormat="1" applyBorder="1" applyAlignment="1">
      <alignment horizontal="center" vertical="center"/>
    </xf>
    <xf numFmtId="177" fontId="0" fillId="0" borderId="22" xfId="0" applyNumberFormat="1" applyBorder="1" applyAlignment="1">
      <alignment horizontal="center" vertical="center"/>
    </xf>
    <xf numFmtId="0" fontId="0" fillId="0" borderId="21" xfId="0" applyBorder="1">
      <alignment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0" fontId="0" fillId="0" borderId="0" xfId="0" applyBorder="1">
      <alignment vertical="center"/>
    </xf>
    <xf numFmtId="49" fontId="0" fillId="0" borderId="0" xfId="0" applyNumberFormat="1" applyBorder="1">
      <alignment vertical="center"/>
    </xf>
    <xf numFmtId="49" fontId="0" fillId="0" borderId="23" xfId="0" applyNumberFormat="1" applyBorder="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72"/>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22" t="s">
        <v>0</v>
      </c>
      <c r="F1" s="23"/>
      <c r="G1" s="24"/>
      <c r="H1" s="25" t="s">
        <v>1</v>
      </c>
      <c r="I1" s="26"/>
      <c r="J1" s="27"/>
      <c r="K1" s="25" t="s">
        <v>2</v>
      </c>
      <c r="L1" s="26"/>
      <c r="M1" s="27"/>
      <c r="N1" s="25" t="s">
        <v>3</v>
      </c>
      <c r="O1" s="26"/>
      <c r="P1" s="27"/>
      <c r="Q1" s="25" t="s">
        <v>4</v>
      </c>
      <c r="R1" s="26"/>
      <c r="S1" s="27"/>
      <c r="T1" s="25" t="s">
        <v>5</v>
      </c>
      <c r="U1" s="26"/>
      <c r="V1" s="27"/>
      <c r="W1" s="25" t="s">
        <v>6</v>
      </c>
      <c r="X1" s="26"/>
      <c r="Y1" s="27"/>
      <c r="Z1" s="25" t="s">
        <v>7</v>
      </c>
      <c r="AA1" s="26"/>
      <c r="AB1" s="27"/>
      <c r="AC1" s="25" t="s">
        <v>8</v>
      </c>
      <c r="AD1" s="26"/>
      <c r="AE1" s="27"/>
      <c r="AF1" s="25" t="s">
        <v>9</v>
      </c>
      <c r="AG1" s="26"/>
      <c r="AH1" s="27"/>
      <c r="AI1" s="25" t="s">
        <v>10</v>
      </c>
      <c r="AJ1" s="26"/>
      <c r="AK1" s="27"/>
      <c r="AL1" s="25" t="s">
        <v>11</v>
      </c>
      <c r="AM1" s="26"/>
      <c r="AN1" s="27"/>
      <c r="AO1" s="25" t="s">
        <v>12</v>
      </c>
      <c r="AP1" s="26"/>
      <c r="AQ1" s="27"/>
    </row>
    <row r="2" spans="1:67" x14ac:dyDescent="0.3">
      <c r="A2" s="2" t="s">
        <v>44</v>
      </c>
      <c r="B2" s="2" t="s">
        <v>77</v>
      </c>
      <c r="C2" s="2" t="s">
        <v>13</v>
      </c>
      <c r="D2" s="2" t="s">
        <v>45</v>
      </c>
      <c r="E2" s="4" t="s">
        <v>14</v>
      </c>
      <c r="F2" s="2" t="s">
        <v>45</v>
      </c>
      <c r="G2" s="5" t="s">
        <v>15</v>
      </c>
      <c r="H2" s="2" t="s">
        <v>14</v>
      </c>
      <c r="I2" s="2" t="s">
        <v>45</v>
      </c>
      <c r="J2" s="5" t="s">
        <v>15</v>
      </c>
      <c r="K2" s="2" t="s">
        <v>14</v>
      </c>
      <c r="L2" s="2" t="s">
        <v>45</v>
      </c>
      <c r="M2" s="5" t="s">
        <v>15</v>
      </c>
      <c r="N2" s="2" t="s">
        <v>14</v>
      </c>
      <c r="O2" s="2" t="s">
        <v>45</v>
      </c>
      <c r="P2" s="5" t="s">
        <v>15</v>
      </c>
      <c r="Q2" s="2" t="s">
        <v>14</v>
      </c>
      <c r="R2" s="2" t="s">
        <v>45</v>
      </c>
      <c r="S2" s="5" t="s">
        <v>15</v>
      </c>
      <c r="T2" s="2" t="s">
        <v>14</v>
      </c>
      <c r="U2" s="2" t="s">
        <v>45</v>
      </c>
      <c r="V2" s="5" t="s">
        <v>15</v>
      </c>
      <c r="W2" s="2" t="s">
        <v>14</v>
      </c>
      <c r="X2" s="2" t="s">
        <v>45</v>
      </c>
      <c r="Y2" s="5" t="s">
        <v>15</v>
      </c>
      <c r="Z2" s="2" t="s">
        <v>14</v>
      </c>
      <c r="AA2" s="2" t="s">
        <v>45</v>
      </c>
      <c r="AB2" s="5" t="s">
        <v>15</v>
      </c>
      <c r="AC2" s="2" t="s">
        <v>14</v>
      </c>
      <c r="AD2" s="2" t="s">
        <v>45</v>
      </c>
      <c r="AE2" s="5" t="s">
        <v>15</v>
      </c>
      <c r="AF2" s="2" t="s">
        <v>14</v>
      </c>
      <c r="AG2" s="2" t="s">
        <v>45</v>
      </c>
      <c r="AH2" s="5" t="s">
        <v>15</v>
      </c>
      <c r="AI2" s="2" t="s">
        <v>14</v>
      </c>
      <c r="AJ2" s="2" t="s">
        <v>45</v>
      </c>
      <c r="AK2" s="5" t="s">
        <v>15</v>
      </c>
      <c r="AL2" s="2" t="s">
        <v>14</v>
      </c>
      <c r="AM2" s="2" t="s">
        <v>45</v>
      </c>
      <c r="AN2" s="5" t="s">
        <v>15</v>
      </c>
      <c r="AO2" s="2" t="s">
        <v>14</v>
      </c>
      <c r="AP2" s="2" t="s">
        <v>47</v>
      </c>
      <c r="AQ2" s="5" t="s">
        <v>15</v>
      </c>
    </row>
    <row r="3" spans="1:67" ht="15" customHeight="1" x14ac:dyDescent="0.3">
      <c r="A3" s="29" t="s">
        <v>16</v>
      </c>
      <c r="B3" s="19" t="s">
        <v>84</v>
      </c>
      <c r="C3" s="19" t="s">
        <v>17</v>
      </c>
      <c r="D3" s="19" t="s">
        <v>46</v>
      </c>
      <c r="E3" s="17">
        <f>F3/G3</f>
        <v>956.09457899462427</v>
      </c>
      <c r="F3" s="17">
        <f>SUM(F4:F67)</f>
        <v>16398743</v>
      </c>
      <c r="G3" s="18">
        <f>SUM(G4:G67)</f>
        <v>17151.800000000003</v>
      </c>
      <c r="H3" s="17">
        <f>I3/J3</f>
        <v>929.16061954016845</v>
      </c>
      <c r="I3" s="17">
        <f>SUM(I4:I67)</f>
        <v>17337208</v>
      </c>
      <c r="J3" s="18">
        <f>SUM(J4:J67)</f>
        <v>18658.999999999996</v>
      </c>
      <c r="K3" s="17">
        <f>L3/M3</f>
        <v>926.57834694530095</v>
      </c>
      <c r="L3" s="17">
        <f>SUM(L4:L67)</f>
        <v>17097131</v>
      </c>
      <c r="M3" s="18">
        <f>SUM(M4:M67)</f>
        <v>18451.900000000001</v>
      </c>
      <c r="N3" s="17">
        <f>O3/P3</f>
        <v>950.21329673240382</v>
      </c>
      <c r="O3" s="17">
        <f>SUM(O4:O67)</f>
        <v>19730704</v>
      </c>
      <c r="P3" s="18">
        <f>SUM(P4:P67)</f>
        <v>20764.5</v>
      </c>
      <c r="Q3" s="17">
        <f>R3/S3</f>
        <v>969.01311967732397</v>
      </c>
      <c r="R3" s="17">
        <f>SUM(R4:R67)</f>
        <v>17681970</v>
      </c>
      <c r="S3" s="18">
        <f>SUM(S4:S67)</f>
        <v>18247.399999999998</v>
      </c>
      <c r="T3" s="17">
        <f>U3/V3</f>
        <v>943.94319146165708</v>
      </c>
      <c r="U3" s="17">
        <f>SUM(U4:U67)</f>
        <v>21022842</v>
      </c>
      <c r="V3" s="18">
        <f>SUM(V4:V67)</f>
        <v>22271.299999999996</v>
      </c>
      <c r="W3" s="17">
        <f>X3/Y3</f>
        <v>1027.4448302142434</v>
      </c>
      <c r="X3" s="17">
        <f>SUM(X4:X67)</f>
        <v>12133096</v>
      </c>
      <c r="Y3" s="18">
        <f>SUM(Y4:Y67)</f>
        <v>11809</v>
      </c>
      <c r="Z3" s="17">
        <f>AA3/AB3</f>
        <v>1000.8633427120831</v>
      </c>
      <c r="AA3" s="17">
        <f>SUM(AA4:AA67)</f>
        <v>12734785</v>
      </c>
      <c r="AB3" s="18">
        <f>SUM(AB4:AB67)</f>
        <v>12723.799999999997</v>
      </c>
      <c r="AC3" s="17">
        <f>AD3/AE3</f>
        <v>1030.4316115966606</v>
      </c>
      <c r="AD3" s="17">
        <f>SUM(AD4:AD67)</f>
        <v>15315202</v>
      </c>
      <c r="AE3" s="18">
        <f>SUM(AE4:AE67)</f>
        <v>14862.899999999994</v>
      </c>
      <c r="AF3" s="17">
        <f>AG3/AH3</f>
        <v>1100.9821920763129</v>
      </c>
      <c r="AG3" s="17">
        <f>SUM(AG4:AG67)</f>
        <v>13780884</v>
      </c>
      <c r="AH3" s="18">
        <f>SUM(AH4:AH67)</f>
        <v>12516.9</v>
      </c>
      <c r="AI3" s="17">
        <f>AJ3/AK3</f>
        <v>1329.6966024864239</v>
      </c>
      <c r="AJ3" s="17">
        <f>SUM(AJ4:AJ67)</f>
        <v>11850788</v>
      </c>
      <c r="AK3" s="18">
        <f>SUM(AK4:AK67)</f>
        <v>8912.399999999996</v>
      </c>
      <c r="AL3" s="17">
        <f>AM3/AN3</f>
        <v>1206.6424802493714</v>
      </c>
      <c r="AM3" s="17">
        <f>SUM(AM4:AM67)</f>
        <v>20787192</v>
      </c>
      <c r="AN3" s="18">
        <f>SUM(AN4:AN67)</f>
        <v>17227.300000000003</v>
      </c>
      <c r="AO3" s="17">
        <f>AP3/AQ3</f>
        <v>1011.7374283438587</v>
      </c>
      <c r="AP3" s="17">
        <f>SUM(AP4:AP67)</f>
        <v>195870545</v>
      </c>
      <c r="AQ3" s="18">
        <f>SUM(AQ4:AQ67)</f>
        <v>193598.19999999998</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30" t="s">
        <v>25</v>
      </c>
      <c r="B4" s="20"/>
      <c r="C4" s="20"/>
      <c r="D4" s="20"/>
      <c r="E4" s="3">
        <f t="shared" ref="E4:E11" si="0">F4/G4</f>
        <v>877.24334560005718</v>
      </c>
      <c r="F4" s="3">
        <v>12276582</v>
      </c>
      <c r="G4" s="6">
        <v>13994.5</v>
      </c>
      <c r="H4" s="3">
        <f t="shared" ref="H4:H11" si="1">I4/J4</f>
        <v>867.40906439819628</v>
      </c>
      <c r="I4" s="3">
        <v>12195251</v>
      </c>
      <c r="J4" s="6">
        <v>14059.4</v>
      </c>
      <c r="K4" s="3">
        <f t="shared" ref="K4:K11" si="2">L4/M4</f>
        <v>864.54351998120035</v>
      </c>
      <c r="L4" s="3">
        <v>6622144</v>
      </c>
      <c r="M4" s="6">
        <v>7659.7</v>
      </c>
      <c r="N4" s="3">
        <f t="shared" ref="N4:N11" si="3">O4/P4</f>
        <v>892.04970560292406</v>
      </c>
      <c r="O4" s="3">
        <v>14741389</v>
      </c>
      <c r="P4" s="6">
        <v>16525.3</v>
      </c>
      <c r="Q4" s="3">
        <f t="shared" ref="Q4:Q11" si="4">R4/S4</f>
        <v>908.39651378692872</v>
      </c>
      <c r="R4" s="3">
        <v>13747582</v>
      </c>
      <c r="S4" s="6">
        <v>15133.9</v>
      </c>
      <c r="T4" s="3">
        <f t="shared" ref="T4:T11" si="5">U4/V4</f>
        <v>880.3245408484587</v>
      </c>
      <c r="U4" s="3">
        <v>15515632</v>
      </c>
      <c r="V4" s="6">
        <v>17624.900000000001</v>
      </c>
      <c r="W4" s="3">
        <f t="shared" ref="W4:W11" si="6">X4/Y4</f>
        <v>923.84781269254472</v>
      </c>
      <c r="X4" s="3">
        <v>5997620</v>
      </c>
      <c r="Y4" s="6">
        <v>6492</v>
      </c>
      <c r="Z4" s="3">
        <f t="shared" ref="Z4:Z11" si="7">AA4/AB4</f>
        <v>900.64215196894065</v>
      </c>
      <c r="AA4" s="3">
        <v>8119289</v>
      </c>
      <c r="AB4" s="6">
        <v>9015</v>
      </c>
      <c r="AC4" s="3">
        <f t="shared" ref="AC4:AC11" si="8">AD4/AE4</f>
        <v>999.68279582286368</v>
      </c>
      <c r="AD4" s="3">
        <v>8673048</v>
      </c>
      <c r="AE4" s="6">
        <v>8675.7999999999993</v>
      </c>
      <c r="AF4" s="3">
        <f t="shared" ref="AF4:AF11" si="9">AG4/AH4</f>
        <v>1048.9101538535565</v>
      </c>
      <c r="AG4" s="3">
        <v>8719695</v>
      </c>
      <c r="AH4" s="6">
        <v>8313.1</v>
      </c>
      <c r="AI4" s="3">
        <f t="shared" ref="AI4:AI11" si="10">AJ4/AK4</f>
        <v>1372.8613052538403</v>
      </c>
      <c r="AJ4" s="3">
        <v>7444615</v>
      </c>
      <c r="AK4" s="6">
        <v>5422.7</v>
      </c>
      <c r="AL4" s="3">
        <f t="shared" ref="AL4:AL11" si="11">AM4/AN4</f>
        <v>1270.2573929668347</v>
      </c>
      <c r="AM4" s="3">
        <v>14351241</v>
      </c>
      <c r="AN4" s="6">
        <v>11297.9</v>
      </c>
      <c r="AO4" s="3">
        <f t="shared" ref="AO4:AO67" si="12">AP4/AQ4</f>
        <v>956.71015436518655</v>
      </c>
      <c r="AP4" s="3">
        <f t="shared" ref="AP4:AQ67" si="13">SUM(F4,I4,L4,O4,R4,U4,X4,AA4,AD4,AG4,AJ4,AM4)</f>
        <v>128404088</v>
      </c>
      <c r="AQ4" s="6">
        <f t="shared" si="13"/>
        <v>134214.19999999998</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29" t="s">
        <v>20</v>
      </c>
      <c r="B5" s="20"/>
      <c r="C5" s="20"/>
      <c r="D5" s="20"/>
      <c r="E5" s="3">
        <f t="shared" si="0"/>
        <v>1152.8857180088612</v>
      </c>
      <c r="F5" s="3">
        <v>1769449</v>
      </c>
      <c r="G5" s="6">
        <v>1534.8</v>
      </c>
      <c r="H5" s="3">
        <f t="shared" si="1"/>
        <v>976.25904761904758</v>
      </c>
      <c r="I5" s="3">
        <v>1793876</v>
      </c>
      <c r="J5" s="6">
        <v>1837.5</v>
      </c>
      <c r="K5" s="3">
        <f t="shared" si="2"/>
        <v>870.25218934233874</v>
      </c>
      <c r="L5" s="3">
        <v>7602088</v>
      </c>
      <c r="M5" s="6">
        <v>8735.5</v>
      </c>
      <c r="N5" s="3">
        <f t="shared" si="3"/>
        <v>959.57393014327181</v>
      </c>
      <c r="O5" s="3">
        <v>2049458</v>
      </c>
      <c r="P5" s="6">
        <v>2135.8000000000002</v>
      </c>
      <c r="Q5" s="3">
        <f t="shared" si="4"/>
        <v>1106.8891545042779</v>
      </c>
      <c r="R5" s="3">
        <v>1759511</v>
      </c>
      <c r="S5" s="6">
        <v>1589.6</v>
      </c>
      <c r="T5" s="3">
        <f t="shared" si="5"/>
        <v>1038.4591646939466</v>
      </c>
      <c r="U5" s="3">
        <v>2456579</v>
      </c>
      <c r="V5" s="6">
        <v>2365.6</v>
      </c>
      <c r="W5" s="3">
        <f t="shared" si="6"/>
        <v>1148.7606255272208</v>
      </c>
      <c r="X5" s="3">
        <v>1770355</v>
      </c>
      <c r="Y5" s="6">
        <v>1541.1</v>
      </c>
      <c r="Z5" s="3">
        <f t="shared" si="7"/>
        <v>1210.7878985035784</v>
      </c>
      <c r="AA5" s="3">
        <v>1860981</v>
      </c>
      <c r="AB5" s="6">
        <v>1537</v>
      </c>
      <c r="AC5" s="3">
        <f t="shared" si="8"/>
        <v>1120.5189723903736</v>
      </c>
      <c r="AD5" s="3">
        <v>1517855</v>
      </c>
      <c r="AE5" s="6">
        <v>1354.6</v>
      </c>
      <c r="AF5" s="3">
        <f t="shared" si="9"/>
        <v>1137.6348688680528</v>
      </c>
      <c r="AG5" s="3">
        <v>1674371</v>
      </c>
      <c r="AH5" s="6">
        <v>1471.8</v>
      </c>
      <c r="AI5" s="3">
        <f t="shared" si="10"/>
        <v>1190.4861801551006</v>
      </c>
      <c r="AJ5" s="3">
        <v>1197391</v>
      </c>
      <c r="AK5" s="6">
        <v>1005.8</v>
      </c>
      <c r="AL5" s="3">
        <f t="shared" si="11"/>
        <v>1302.8969332298136</v>
      </c>
      <c r="AM5" s="3">
        <v>1342505</v>
      </c>
      <c r="AN5" s="6">
        <v>1030.4000000000001</v>
      </c>
      <c r="AO5" s="3">
        <f t="shared" si="12"/>
        <v>1025.0547638631192</v>
      </c>
      <c r="AP5" s="3">
        <f t="shared" si="13"/>
        <v>26794419</v>
      </c>
      <c r="AQ5" s="6">
        <f t="shared" si="13"/>
        <v>26139.499999999996</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29" t="s">
        <v>31</v>
      </c>
      <c r="B6" s="20"/>
      <c r="C6" s="20"/>
      <c r="D6" s="20"/>
      <c r="E6" s="3">
        <f t="shared" si="0"/>
        <v>2635.6</v>
      </c>
      <c r="F6" s="3">
        <v>32945</v>
      </c>
      <c r="G6" s="6">
        <v>12.5</v>
      </c>
      <c r="H6" s="3">
        <f t="shared" si="1"/>
        <v>2481.7241379310349</v>
      </c>
      <c r="I6" s="3">
        <v>43182</v>
      </c>
      <c r="J6" s="6">
        <v>17.399999999999999</v>
      </c>
      <c r="K6" s="3">
        <f t="shared" si="2"/>
        <v>2416.3934426229512</v>
      </c>
      <c r="L6" s="3">
        <v>14740</v>
      </c>
      <c r="M6" s="6">
        <v>6.1</v>
      </c>
      <c r="N6" s="3">
        <f t="shared" si="3"/>
        <v>2316.954022988506</v>
      </c>
      <c r="O6" s="3">
        <v>40315</v>
      </c>
      <c r="P6" s="6">
        <v>17.399999999999999</v>
      </c>
      <c r="Q6" s="3">
        <f t="shared" si="4"/>
        <v>3109.6774193548385</v>
      </c>
      <c r="R6" s="3">
        <v>19280</v>
      </c>
      <c r="S6" s="6">
        <v>6.2</v>
      </c>
      <c r="T6" s="3">
        <f t="shared" si="5"/>
        <v>2291</v>
      </c>
      <c r="U6" s="3">
        <v>27492</v>
      </c>
      <c r="V6" s="6">
        <v>12</v>
      </c>
      <c r="W6" s="3">
        <f t="shared" si="6"/>
        <v>878.1864195096299</v>
      </c>
      <c r="X6" s="3">
        <v>1335985</v>
      </c>
      <c r="Y6" s="6">
        <v>1521.3</v>
      </c>
      <c r="Z6" s="3">
        <f t="shared" si="7"/>
        <v>2353.8554216867469</v>
      </c>
      <c r="AA6" s="3">
        <v>19537</v>
      </c>
      <c r="AB6" s="6">
        <v>8.3000000000000007</v>
      </c>
      <c r="AC6" s="3">
        <f t="shared" si="8"/>
        <v>856.39068380316701</v>
      </c>
      <c r="AD6" s="3">
        <v>1206055</v>
      </c>
      <c r="AE6" s="6">
        <v>1408.3</v>
      </c>
      <c r="AF6" s="3">
        <f t="shared" si="9"/>
        <v>2303.968253968254</v>
      </c>
      <c r="AG6" s="3">
        <v>29030</v>
      </c>
      <c r="AH6" s="6">
        <v>12.6</v>
      </c>
      <c r="AI6" s="3">
        <f t="shared" si="10"/>
        <v>1968.5714285714287</v>
      </c>
      <c r="AJ6" s="3">
        <v>22048</v>
      </c>
      <c r="AK6" s="6">
        <v>11.2</v>
      </c>
      <c r="AL6" s="3">
        <f t="shared" si="11"/>
        <v>869.82709792815626</v>
      </c>
      <c r="AM6" s="3">
        <v>1167134</v>
      </c>
      <c r="AN6" s="6">
        <v>1341.8</v>
      </c>
      <c r="AO6" s="3">
        <f t="shared" si="12"/>
        <v>904.60629471326376</v>
      </c>
      <c r="AP6" s="3">
        <f t="shared" si="13"/>
        <v>3957743</v>
      </c>
      <c r="AQ6" s="6">
        <f t="shared" si="13"/>
        <v>4375.0999999999995</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29" t="s">
        <v>21</v>
      </c>
      <c r="B7" s="20"/>
      <c r="C7" s="20"/>
      <c r="D7" s="20"/>
      <c r="E7" s="3">
        <f t="shared" si="0"/>
        <v>2000.2325581395348</v>
      </c>
      <c r="F7" s="3">
        <v>51606</v>
      </c>
      <c r="G7" s="6">
        <v>25.8</v>
      </c>
      <c r="H7" s="3">
        <f t="shared" si="1"/>
        <v>1980</v>
      </c>
      <c r="I7" s="3">
        <v>5940</v>
      </c>
      <c r="J7" s="6">
        <v>3</v>
      </c>
      <c r="K7" s="3">
        <f t="shared" si="2"/>
        <v>2236.2261904761904</v>
      </c>
      <c r="L7" s="3">
        <v>187843</v>
      </c>
      <c r="M7" s="6">
        <v>84</v>
      </c>
      <c r="N7" s="3" t="e">
        <f t="shared" si="3"/>
        <v>#DIV/0!</v>
      </c>
      <c r="O7" s="3">
        <v>0</v>
      </c>
      <c r="P7" s="6">
        <v>0</v>
      </c>
      <c r="Q7" s="3">
        <f t="shared" si="4"/>
        <v>2179.8165137614678</v>
      </c>
      <c r="R7" s="3">
        <v>47520</v>
      </c>
      <c r="S7" s="6">
        <v>21.8</v>
      </c>
      <c r="T7" s="3" t="e">
        <f t="shared" si="5"/>
        <v>#DIV/0!</v>
      </c>
      <c r="U7" s="3">
        <v>0</v>
      </c>
      <c r="V7" s="6">
        <v>0</v>
      </c>
      <c r="W7" s="3">
        <f t="shared" si="6"/>
        <v>2181.0681114551085</v>
      </c>
      <c r="X7" s="3">
        <v>140897</v>
      </c>
      <c r="Y7" s="6">
        <v>64.599999999999994</v>
      </c>
      <c r="Z7" s="3" t="e">
        <f t="shared" si="7"/>
        <v>#DIV/0!</v>
      </c>
      <c r="AA7" s="3">
        <v>0</v>
      </c>
      <c r="AB7" s="6">
        <v>0</v>
      </c>
      <c r="AC7" s="3" t="e">
        <f t="shared" si="8"/>
        <v>#DIV/0!</v>
      </c>
      <c r="AD7" s="3">
        <v>0</v>
      </c>
      <c r="AE7" s="6">
        <v>0</v>
      </c>
      <c r="AF7" s="3" t="e">
        <f t="shared" si="9"/>
        <v>#DIV/0!</v>
      </c>
      <c r="AG7" s="3">
        <v>0</v>
      </c>
      <c r="AH7" s="6">
        <v>0</v>
      </c>
      <c r="AI7" s="3">
        <f t="shared" si="10"/>
        <v>1674.1766109785203</v>
      </c>
      <c r="AJ7" s="3">
        <v>70148</v>
      </c>
      <c r="AK7" s="6">
        <v>41.9</v>
      </c>
      <c r="AL7" s="3">
        <f t="shared" si="11"/>
        <v>836.38808139534888</v>
      </c>
      <c r="AM7" s="3">
        <v>1150870</v>
      </c>
      <c r="AN7" s="6">
        <v>1376</v>
      </c>
      <c r="AO7" s="3">
        <f t="shared" si="12"/>
        <v>1023.3281800754437</v>
      </c>
      <c r="AP7" s="3">
        <f t="shared" si="13"/>
        <v>1654824</v>
      </c>
      <c r="AQ7" s="6">
        <f t="shared" si="13"/>
        <v>1617.1</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29" t="s">
        <v>39</v>
      </c>
      <c r="B8" s="20"/>
      <c r="C8" s="20"/>
      <c r="D8" s="20"/>
      <c r="E8" s="3">
        <f t="shared" si="0"/>
        <v>1065.0972024656235</v>
      </c>
      <c r="F8" s="3">
        <v>224629</v>
      </c>
      <c r="G8" s="6">
        <v>210.9</v>
      </c>
      <c r="H8" s="3">
        <f t="shared" si="1"/>
        <v>1077.6607470912431</v>
      </c>
      <c r="I8" s="3">
        <v>351964</v>
      </c>
      <c r="J8" s="6">
        <v>326.60000000000002</v>
      </c>
      <c r="K8" s="3">
        <f t="shared" si="2"/>
        <v>1098.1741635275869</v>
      </c>
      <c r="L8" s="3">
        <v>495606</v>
      </c>
      <c r="M8" s="6">
        <v>451.3</v>
      </c>
      <c r="N8" s="3">
        <f t="shared" si="3"/>
        <v>1105.4783644303295</v>
      </c>
      <c r="O8" s="3">
        <v>556940</v>
      </c>
      <c r="P8" s="6">
        <v>503.8</v>
      </c>
      <c r="Q8" s="3">
        <f t="shared" si="4"/>
        <v>1118.2899543378996</v>
      </c>
      <c r="R8" s="3">
        <v>489811</v>
      </c>
      <c r="S8" s="6">
        <v>438</v>
      </c>
      <c r="T8" s="3">
        <f t="shared" si="5"/>
        <v>1133.4524019004048</v>
      </c>
      <c r="U8" s="3">
        <v>644141</v>
      </c>
      <c r="V8" s="6">
        <v>568.29999999999995</v>
      </c>
      <c r="W8" s="3">
        <f t="shared" si="6"/>
        <v>1227.4907445495683</v>
      </c>
      <c r="X8" s="3">
        <v>895209</v>
      </c>
      <c r="Y8" s="6">
        <v>729.3</v>
      </c>
      <c r="Z8" s="3">
        <f t="shared" si="7"/>
        <v>1182.6532944014218</v>
      </c>
      <c r="AA8" s="3">
        <v>931576</v>
      </c>
      <c r="AB8" s="6">
        <v>787.7</v>
      </c>
      <c r="AC8" s="3">
        <f t="shared" si="8"/>
        <v>1086.6458526706608</v>
      </c>
      <c r="AD8" s="3">
        <v>1287784</v>
      </c>
      <c r="AE8" s="6">
        <v>1185.0999999999999</v>
      </c>
      <c r="AF8" s="3">
        <f t="shared" si="9"/>
        <v>1078.7164612037709</v>
      </c>
      <c r="AG8" s="3">
        <v>1190040</v>
      </c>
      <c r="AH8" s="6">
        <v>1103.2</v>
      </c>
      <c r="AI8" s="3">
        <f t="shared" si="10"/>
        <v>1053.9251368545642</v>
      </c>
      <c r="AJ8" s="3">
        <v>712348</v>
      </c>
      <c r="AK8" s="6">
        <v>675.9</v>
      </c>
      <c r="AL8" s="3">
        <f t="shared" si="11"/>
        <v>1117.2589939261798</v>
      </c>
      <c r="AM8" s="3">
        <v>717392</v>
      </c>
      <c r="AN8" s="6">
        <v>642.1</v>
      </c>
      <c r="AO8" s="3">
        <f t="shared" si="12"/>
        <v>1114.8277400225656</v>
      </c>
      <c r="AP8" s="3">
        <f t="shared" si="13"/>
        <v>8497440</v>
      </c>
      <c r="AQ8" s="6">
        <f t="shared" si="13"/>
        <v>7622.2</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29" t="s">
        <v>28</v>
      </c>
      <c r="B9" s="20"/>
      <c r="C9" s="20"/>
      <c r="D9" s="20"/>
      <c r="E9" s="3">
        <f t="shared" si="0"/>
        <v>1658.0366692131397</v>
      </c>
      <c r="F9" s="3">
        <v>217037</v>
      </c>
      <c r="G9" s="6">
        <v>130.9</v>
      </c>
      <c r="H9" s="3">
        <f t="shared" si="1"/>
        <v>1367.5876851130163</v>
      </c>
      <c r="I9" s="3">
        <v>350923</v>
      </c>
      <c r="J9" s="6">
        <v>256.60000000000002</v>
      </c>
      <c r="K9" s="3">
        <f t="shared" si="2"/>
        <v>1555.093220338983</v>
      </c>
      <c r="L9" s="3">
        <v>183501</v>
      </c>
      <c r="M9" s="6">
        <v>118</v>
      </c>
      <c r="N9" s="3">
        <f t="shared" si="3"/>
        <v>1616.5066876475216</v>
      </c>
      <c r="O9" s="3">
        <v>205458</v>
      </c>
      <c r="P9" s="6">
        <v>127.1</v>
      </c>
      <c r="Q9" s="3">
        <f t="shared" si="4"/>
        <v>1461.858076563959</v>
      </c>
      <c r="R9" s="3">
        <v>156565</v>
      </c>
      <c r="S9" s="6">
        <v>107.1</v>
      </c>
      <c r="T9" s="3">
        <f t="shared" si="5"/>
        <v>1420.9219554030876</v>
      </c>
      <c r="U9" s="3">
        <v>331359</v>
      </c>
      <c r="V9" s="6">
        <v>233.2</v>
      </c>
      <c r="W9" s="3">
        <f t="shared" si="6"/>
        <v>1418.6752326096589</v>
      </c>
      <c r="X9" s="3">
        <v>320195</v>
      </c>
      <c r="Y9" s="6">
        <v>225.7</v>
      </c>
      <c r="Z9" s="3">
        <f t="shared" si="7"/>
        <v>1356.8646080760095</v>
      </c>
      <c r="AA9" s="3">
        <v>171372</v>
      </c>
      <c r="AB9" s="6">
        <v>126.3</v>
      </c>
      <c r="AC9" s="3">
        <f t="shared" si="8"/>
        <v>1553.8809671419713</v>
      </c>
      <c r="AD9" s="3">
        <v>250641</v>
      </c>
      <c r="AE9" s="6">
        <v>161.30000000000001</v>
      </c>
      <c r="AF9" s="3">
        <f t="shared" si="9"/>
        <v>1473.0586766541824</v>
      </c>
      <c r="AG9" s="3">
        <v>235984</v>
      </c>
      <c r="AH9" s="6">
        <v>160.19999999999999</v>
      </c>
      <c r="AI9" s="3">
        <f t="shared" si="10"/>
        <v>1484.1501340482573</v>
      </c>
      <c r="AJ9" s="3">
        <v>276794</v>
      </c>
      <c r="AK9" s="6">
        <v>186.5</v>
      </c>
      <c r="AL9" s="3">
        <f t="shared" si="11"/>
        <v>1277.1092875792613</v>
      </c>
      <c r="AM9" s="3">
        <v>342393</v>
      </c>
      <c r="AN9" s="6">
        <v>268.10000000000002</v>
      </c>
      <c r="AO9" s="3">
        <f t="shared" si="12"/>
        <v>1447.9876249405045</v>
      </c>
      <c r="AP9" s="3">
        <f t="shared" si="13"/>
        <v>3042222</v>
      </c>
      <c r="AQ9" s="6">
        <f t="shared" si="13"/>
        <v>2101</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29" t="s">
        <v>38</v>
      </c>
      <c r="B10" s="20"/>
      <c r="C10" s="20"/>
      <c r="D10" s="20"/>
      <c r="E10" s="3">
        <f t="shared" si="0"/>
        <v>1303.7242647058824</v>
      </c>
      <c r="F10" s="3">
        <v>354613</v>
      </c>
      <c r="G10" s="6">
        <v>272</v>
      </c>
      <c r="H10" s="3">
        <f t="shared" si="1"/>
        <v>1191.6323731138546</v>
      </c>
      <c r="I10" s="3">
        <v>173740</v>
      </c>
      <c r="J10" s="6">
        <v>145.80000000000001</v>
      </c>
      <c r="K10" s="3">
        <f t="shared" si="2"/>
        <v>1212.4510638297872</v>
      </c>
      <c r="L10" s="3">
        <v>142463</v>
      </c>
      <c r="M10" s="6">
        <v>117.5</v>
      </c>
      <c r="N10" s="3">
        <f t="shared" si="3"/>
        <v>1189.6026807084729</v>
      </c>
      <c r="O10" s="3">
        <v>248508</v>
      </c>
      <c r="P10" s="6">
        <v>208.9</v>
      </c>
      <c r="Q10" s="3">
        <f t="shared" si="4"/>
        <v>1580.1794687724334</v>
      </c>
      <c r="R10" s="3">
        <v>220119</v>
      </c>
      <c r="S10" s="6">
        <v>139.30000000000001</v>
      </c>
      <c r="T10" s="3">
        <f t="shared" si="5"/>
        <v>1287.4031453778289</v>
      </c>
      <c r="U10" s="3">
        <v>335626</v>
      </c>
      <c r="V10" s="6">
        <v>260.7</v>
      </c>
      <c r="W10" s="3">
        <f t="shared" si="6"/>
        <v>1252.6551418439717</v>
      </c>
      <c r="X10" s="3">
        <v>282599</v>
      </c>
      <c r="Y10" s="6">
        <v>225.6</v>
      </c>
      <c r="Z10" s="3">
        <f t="shared" si="7"/>
        <v>1123.442900711623</v>
      </c>
      <c r="AA10" s="3">
        <v>331528</v>
      </c>
      <c r="AB10" s="6">
        <v>295.10000000000002</v>
      </c>
      <c r="AC10" s="3">
        <f t="shared" si="8"/>
        <v>925.58733401430027</v>
      </c>
      <c r="AD10" s="3">
        <v>906150</v>
      </c>
      <c r="AE10" s="6">
        <v>979</v>
      </c>
      <c r="AF10" s="3">
        <f t="shared" si="9"/>
        <v>1160.5938310752379</v>
      </c>
      <c r="AG10" s="3">
        <v>402610</v>
      </c>
      <c r="AH10" s="6">
        <v>346.9</v>
      </c>
      <c r="AI10" s="3">
        <f t="shared" si="10"/>
        <v>1115.9430082256169</v>
      </c>
      <c r="AJ10" s="3">
        <v>379867</v>
      </c>
      <c r="AK10" s="6">
        <v>340.4</v>
      </c>
      <c r="AL10" s="3">
        <f t="shared" si="11"/>
        <v>1122.9741863075196</v>
      </c>
      <c r="AM10" s="3">
        <v>300171</v>
      </c>
      <c r="AN10" s="6">
        <v>267.3</v>
      </c>
      <c r="AO10" s="3">
        <f t="shared" si="12"/>
        <v>1133.2482979019035</v>
      </c>
      <c r="AP10" s="3">
        <f t="shared" si="13"/>
        <v>4077994</v>
      </c>
      <c r="AQ10" s="6">
        <f t="shared" si="13"/>
        <v>3598.5000000000005</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29" t="s">
        <v>26</v>
      </c>
      <c r="B11" s="20"/>
      <c r="C11" s="20"/>
      <c r="D11" s="20"/>
      <c r="E11" s="3">
        <f t="shared" si="0"/>
        <v>1320.9273979862216</v>
      </c>
      <c r="F11" s="3">
        <v>249259</v>
      </c>
      <c r="G11" s="6">
        <v>188.7</v>
      </c>
      <c r="H11" s="3">
        <f t="shared" si="1"/>
        <v>1230.8977900552486</v>
      </c>
      <c r="I11" s="3">
        <v>178234</v>
      </c>
      <c r="J11" s="6">
        <v>144.80000000000001</v>
      </c>
      <c r="K11" s="3">
        <f t="shared" si="2"/>
        <v>1254.5555555555557</v>
      </c>
      <c r="L11" s="3">
        <v>304857</v>
      </c>
      <c r="M11" s="6">
        <v>243</v>
      </c>
      <c r="N11" s="3">
        <f t="shared" si="3"/>
        <v>1228.9548272807795</v>
      </c>
      <c r="O11" s="3">
        <v>416247</v>
      </c>
      <c r="P11" s="6">
        <v>338.7</v>
      </c>
      <c r="Q11" s="3">
        <f t="shared" si="4"/>
        <v>1273.6515912897821</v>
      </c>
      <c r="R11" s="3">
        <v>304148</v>
      </c>
      <c r="S11" s="6">
        <v>238.8</v>
      </c>
      <c r="T11" s="3">
        <f t="shared" si="5"/>
        <v>1225.8670322138451</v>
      </c>
      <c r="U11" s="3">
        <v>178854</v>
      </c>
      <c r="V11" s="6">
        <v>145.9</v>
      </c>
      <c r="W11" s="3">
        <f t="shared" si="6"/>
        <v>1228.9138349514562</v>
      </c>
      <c r="X11" s="3">
        <v>202525</v>
      </c>
      <c r="Y11" s="6">
        <v>164.8</v>
      </c>
      <c r="Z11" s="3">
        <f t="shared" si="7"/>
        <v>1232.2944849115506</v>
      </c>
      <c r="AA11" s="3">
        <v>236847</v>
      </c>
      <c r="AB11" s="6">
        <v>192.2</v>
      </c>
      <c r="AC11" s="3">
        <f t="shared" si="8"/>
        <v>1239.1257597007948</v>
      </c>
      <c r="AD11" s="3">
        <v>265049</v>
      </c>
      <c r="AE11" s="6">
        <v>213.9</v>
      </c>
      <c r="AF11" s="3">
        <f t="shared" si="9"/>
        <v>1204.6163166397416</v>
      </c>
      <c r="AG11" s="3">
        <v>298263</v>
      </c>
      <c r="AH11" s="6">
        <v>247.6</v>
      </c>
      <c r="AI11" s="3">
        <f t="shared" si="10"/>
        <v>1217.6239758516601</v>
      </c>
      <c r="AJ11" s="3">
        <v>282367</v>
      </c>
      <c r="AK11" s="6">
        <v>231.9</v>
      </c>
      <c r="AL11" s="3">
        <f t="shared" si="11"/>
        <v>1214.0041152263375</v>
      </c>
      <c r="AM11" s="3">
        <v>295003</v>
      </c>
      <c r="AN11" s="6">
        <v>243</v>
      </c>
      <c r="AO11" s="3">
        <f t="shared" si="12"/>
        <v>1238.4425249681872</v>
      </c>
      <c r="AP11" s="3">
        <f t="shared" si="13"/>
        <v>3211653</v>
      </c>
      <c r="AQ11" s="6">
        <f t="shared" si="13"/>
        <v>2593.3000000000002</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29" t="s">
        <v>57</v>
      </c>
      <c r="B12" s="20"/>
      <c r="C12" s="20"/>
      <c r="D12" s="20"/>
      <c r="E12" s="3">
        <f>F12/G12</f>
        <v>1337.4368686868686</v>
      </c>
      <c r="F12" s="3">
        <v>105925</v>
      </c>
      <c r="G12" s="6">
        <v>79.2</v>
      </c>
      <c r="H12" s="3">
        <f>I12/J12</f>
        <v>1089.9885452462772</v>
      </c>
      <c r="I12" s="3">
        <v>95156</v>
      </c>
      <c r="J12" s="6">
        <v>87.3</v>
      </c>
      <c r="K12" s="3">
        <f>L12/M12</f>
        <v>1081.25</v>
      </c>
      <c r="L12" s="3">
        <v>68335</v>
      </c>
      <c r="M12" s="6">
        <v>63.2</v>
      </c>
      <c r="N12" s="3">
        <f>O12/P12</f>
        <v>1112.6870137642131</v>
      </c>
      <c r="O12" s="3">
        <v>185930</v>
      </c>
      <c r="P12" s="6">
        <v>167.1</v>
      </c>
      <c r="Q12" s="3">
        <f>R12/S12</f>
        <v>1125.1175917215428</v>
      </c>
      <c r="R12" s="3">
        <v>119600</v>
      </c>
      <c r="S12" s="6">
        <v>106.3</v>
      </c>
      <c r="T12" s="3">
        <f>U12/V12</f>
        <v>1015.4257907542578</v>
      </c>
      <c r="U12" s="3">
        <v>41734</v>
      </c>
      <c r="V12" s="6">
        <v>41.1</v>
      </c>
      <c r="W12" s="3">
        <f>X12/Y12</f>
        <v>1276.5608465608466</v>
      </c>
      <c r="X12" s="3">
        <v>48254</v>
      </c>
      <c r="Y12" s="6">
        <v>37.799999999999997</v>
      </c>
      <c r="Z12" s="3">
        <f>AA12/AB12</f>
        <v>1105.3416666666667</v>
      </c>
      <c r="AA12" s="3">
        <v>132641</v>
      </c>
      <c r="AB12" s="6">
        <v>120</v>
      </c>
      <c r="AC12" s="3">
        <f>AD12/AE12</f>
        <v>1077.3518742442564</v>
      </c>
      <c r="AD12" s="3">
        <v>178194</v>
      </c>
      <c r="AE12" s="6">
        <v>165.4</v>
      </c>
      <c r="AF12" s="3">
        <f>AG12/AH12</f>
        <v>1002.1473443746431</v>
      </c>
      <c r="AG12" s="3">
        <v>175476</v>
      </c>
      <c r="AH12" s="6">
        <v>175.1</v>
      </c>
      <c r="AI12" s="3">
        <f>AJ12/AK12</f>
        <v>1191.1183496199783</v>
      </c>
      <c r="AJ12" s="3">
        <v>109702</v>
      </c>
      <c r="AK12" s="6">
        <v>92.1</v>
      </c>
      <c r="AL12" s="3">
        <f>AM12/AN12</f>
        <v>1013.2714904143477</v>
      </c>
      <c r="AM12" s="3">
        <v>163846</v>
      </c>
      <c r="AN12" s="6">
        <v>161.69999999999999</v>
      </c>
      <c r="AO12" s="3">
        <f t="shared" si="12"/>
        <v>1099.1228882203195</v>
      </c>
      <c r="AP12" s="3">
        <f t="shared" si="13"/>
        <v>1424793</v>
      </c>
      <c r="AQ12" s="6">
        <f t="shared" si="13"/>
        <v>1296.2999999999997</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29" t="s">
        <v>35</v>
      </c>
      <c r="B13" s="20"/>
      <c r="C13" s="20"/>
      <c r="D13" s="20"/>
      <c r="E13" s="3">
        <f t="shared" ref="E13:E67" si="14">F13/G13</f>
        <v>2319.4547707558859</v>
      </c>
      <c r="F13" s="3">
        <v>187180</v>
      </c>
      <c r="G13" s="6">
        <v>80.7</v>
      </c>
      <c r="H13" s="3">
        <f t="shared" ref="H13:H67" si="15">I13/J13</f>
        <v>2088.5502471169684</v>
      </c>
      <c r="I13" s="3">
        <v>126775</v>
      </c>
      <c r="J13" s="6">
        <v>60.7</v>
      </c>
      <c r="K13" s="3">
        <f t="shared" ref="K13:K67" si="16">L13/M13</f>
        <v>2206.3064516129034</v>
      </c>
      <c r="L13" s="3">
        <v>136791</v>
      </c>
      <c r="M13" s="6">
        <v>62</v>
      </c>
      <c r="N13" s="3">
        <f t="shared" ref="N13:N67" si="17">O13/P13</f>
        <v>1666.4364640883978</v>
      </c>
      <c r="O13" s="3">
        <v>120650</v>
      </c>
      <c r="P13" s="6">
        <v>72.400000000000006</v>
      </c>
      <c r="Q13" s="3">
        <f t="shared" ref="Q13:Q67" si="18">R13/S13</f>
        <v>1530</v>
      </c>
      <c r="R13" s="3">
        <v>110925</v>
      </c>
      <c r="S13" s="6">
        <v>72.5</v>
      </c>
      <c r="T13" s="3">
        <f t="shared" ref="T13:T67" si="19">U13/V13</f>
        <v>1523.1719876416066</v>
      </c>
      <c r="U13" s="3">
        <v>147900</v>
      </c>
      <c r="V13" s="6">
        <v>97.1</v>
      </c>
      <c r="W13" s="3">
        <f t="shared" ref="W13:W67" si="20">X13/Y13</f>
        <v>1591.0709318497914</v>
      </c>
      <c r="X13" s="3">
        <v>114398</v>
      </c>
      <c r="Y13" s="6">
        <v>71.900000000000006</v>
      </c>
      <c r="Z13" s="3">
        <f t="shared" ref="Z13:Z67" si="21">AA13/AB13</f>
        <v>1682.140430351076</v>
      </c>
      <c r="AA13" s="3">
        <v>148533</v>
      </c>
      <c r="AB13" s="6">
        <v>88.3</v>
      </c>
      <c r="AC13" s="3">
        <f t="shared" ref="AC13:AC67" si="22">AD13/AE13</f>
        <v>1560.4945054945056</v>
      </c>
      <c r="AD13" s="3">
        <v>113604</v>
      </c>
      <c r="AE13" s="6">
        <v>72.8</v>
      </c>
      <c r="AF13" s="3">
        <f t="shared" ref="AF13:AF67" si="23">AG13/AH13</f>
        <v>1829.3719806763286</v>
      </c>
      <c r="AG13" s="3">
        <v>37868</v>
      </c>
      <c r="AH13" s="6">
        <v>20.7</v>
      </c>
      <c r="AI13" s="3">
        <f t="shared" ref="AI13:AI67" si="24">AJ13/AK13</f>
        <v>1673.3462033462033</v>
      </c>
      <c r="AJ13" s="3">
        <v>130019</v>
      </c>
      <c r="AK13" s="6">
        <v>77.7</v>
      </c>
      <c r="AL13" s="3">
        <f t="shared" ref="AL13:AL67" si="25">AM13/AN13</f>
        <v>1574.5530145530145</v>
      </c>
      <c r="AM13" s="3">
        <v>151472</v>
      </c>
      <c r="AN13" s="6">
        <v>96.2</v>
      </c>
      <c r="AO13" s="3">
        <f t="shared" si="12"/>
        <v>1748.1271477663231</v>
      </c>
      <c r="AP13" s="3">
        <f t="shared" si="13"/>
        <v>1526115</v>
      </c>
      <c r="AQ13" s="6">
        <f t="shared" si="13"/>
        <v>873</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29" t="s">
        <v>19</v>
      </c>
      <c r="B14" s="20"/>
      <c r="C14" s="20"/>
      <c r="D14" s="20"/>
      <c r="E14" s="3" t="e">
        <f t="shared" si="14"/>
        <v>#DIV/0!</v>
      </c>
      <c r="F14" s="3">
        <v>0</v>
      </c>
      <c r="G14" s="6">
        <v>0</v>
      </c>
      <c r="H14" s="3">
        <f t="shared" si="15"/>
        <v>1912.1907841552143</v>
      </c>
      <c r="I14" s="3">
        <v>236538</v>
      </c>
      <c r="J14" s="6">
        <v>123.7</v>
      </c>
      <c r="K14" s="3" t="e">
        <f t="shared" si="16"/>
        <v>#DIV/0!</v>
      </c>
      <c r="L14" s="3">
        <v>0</v>
      </c>
      <c r="M14" s="6">
        <v>0</v>
      </c>
      <c r="N14" s="3" t="e">
        <f t="shared" si="17"/>
        <v>#DIV/0!</v>
      </c>
      <c r="O14" s="3">
        <v>0</v>
      </c>
      <c r="P14" s="6">
        <v>0</v>
      </c>
      <c r="Q14" s="3" t="e">
        <f t="shared" si="18"/>
        <v>#DIV/0!</v>
      </c>
      <c r="R14" s="3">
        <v>0</v>
      </c>
      <c r="S14" s="6">
        <v>0</v>
      </c>
      <c r="T14" s="3" t="e">
        <f t="shared" si="19"/>
        <v>#DIV/0!</v>
      </c>
      <c r="U14" s="3">
        <v>0</v>
      </c>
      <c r="V14" s="6">
        <v>0</v>
      </c>
      <c r="W14" s="3">
        <f t="shared" si="20"/>
        <v>2181.09375</v>
      </c>
      <c r="X14" s="3">
        <v>139590</v>
      </c>
      <c r="Y14" s="6">
        <v>64</v>
      </c>
      <c r="Z14" s="3" t="e">
        <f t="shared" si="21"/>
        <v>#DIV/0!</v>
      </c>
      <c r="AA14" s="3">
        <v>0</v>
      </c>
      <c r="AB14" s="6">
        <v>0</v>
      </c>
      <c r="AC14" s="3" t="e">
        <f t="shared" si="22"/>
        <v>#DIV/0!</v>
      </c>
      <c r="AD14" s="3">
        <v>0</v>
      </c>
      <c r="AE14" s="6">
        <v>0</v>
      </c>
      <c r="AF14" s="3">
        <f t="shared" si="23"/>
        <v>2183.2888146911519</v>
      </c>
      <c r="AG14" s="3">
        <v>130779</v>
      </c>
      <c r="AH14" s="6">
        <v>59.9</v>
      </c>
      <c r="AI14" s="3">
        <f t="shared" si="24"/>
        <v>2011.1093247588424</v>
      </c>
      <c r="AJ14" s="3">
        <v>250182</v>
      </c>
      <c r="AK14" s="6">
        <v>124.4</v>
      </c>
      <c r="AL14" s="3">
        <f t="shared" si="25"/>
        <v>1676.3120567375888</v>
      </c>
      <c r="AM14" s="3">
        <v>141816</v>
      </c>
      <c r="AN14" s="6">
        <v>84.6</v>
      </c>
      <c r="AO14" s="3">
        <f t="shared" si="12"/>
        <v>1968.6925098554532</v>
      </c>
      <c r="AP14" s="3">
        <f t="shared" si="13"/>
        <v>898905</v>
      </c>
      <c r="AQ14" s="6">
        <f t="shared" si="13"/>
        <v>456.6</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29" t="s">
        <v>54</v>
      </c>
      <c r="B15" s="20"/>
      <c r="C15" s="20"/>
      <c r="D15" s="20"/>
      <c r="E15" s="3">
        <f t="shared" si="14"/>
        <v>1333.9917127071822</v>
      </c>
      <c r="F15" s="3">
        <v>96581</v>
      </c>
      <c r="G15" s="6">
        <v>72.400000000000006</v>
      </c>
      <c r="H15" s="3">
        <f t="shared" si="15"/>
        <v>1256.0911602209944</v>
      </c>
      <c r="I15" s="3">
        <v>90941</v>
      </c>
      <c r="J15" s="6">
        <v>72.400000000000006</v>
      </c>
      <c r="K15" s="3">
        <f t="shared" si="16"/>
        <v>1275.2924919391985</v>
      </c>
      <c r="L15" s="3">
        <v>276866</v>
      </c>
      <c r="M15" s="6">
        <v>217.1</v>
      </c>
      <c r="N15" s="3">
        <f t="shared" si="17"/>
        <v>1272.8601036269431</v>
      </c>
      <c r="O15" s="3">
        <v>245662</v>
      </c>
      <c r="P15" s="6">
        <v>193</v>
      </c>
      <c r="Q15" s="3">
        <f t="shared" si="18"/>
        <v>1283.3839779005523</v>
      </c>
      <c r="R15" s="3">
        <v>92917</v>
      </c>
      <c r="S15" s="6">
        <v>72.400000000000006</v>
      </c>
      <c r="T15" s="3">
        <f t="shared" si="19"/>
        <v>1251.2746113989638</v>
      </c>
      <c r="U15" s="3">
        <v>120748</v>
      </c>
      <c r="V15" s="6">
        <v>96.5</v>
      </c>
      <c r="W15" s="3">
        <f t="shared" si="20"/>
        <v>1260.5699481865286</v>
      </c>
      <c r="X15" s="3">
        <v>121645</v>
      </c>
      <c r="Y15" s="6">
        <v>96.5</v>
      </c>
      <c r="Z15" s="3">
        <f t="shared" si="21"/>
        <v>1281.6022099447514</v>
      </c>
      <c r="AA15" s="3">
        <v>185576</v>
      </c>
      <c r="AB15" s="6">
        <v>144.80000000000001</v>
      </c>
      <c r="AC15" s="3">
        <f t="shared" si="22"/>
        <v>1280.8082901554403</v>
      </c>
      <c r="AD15" s="3">
        <v>247196</v>
      </c>
      <c r="AE15" s="6">
        <v>193</v>
      </c>
      <c r="AF15" s="3">
        <f t="shared" si="23"/>
        <v>1295.7734806629833</v>
      </c>
      <c r="AG15" s="3">
        <v>93814</v>
      </c>
      <c r="AH15" s="6">
        <v>72.400000000000006</v>
      </c>
      <c r="AI15" s="3">
        <f t="shared" si="24"/>
        <v>1373.8297872340424</v>
      </c>
      <c r="AJ15" s="3">
        <v>193710</v>
      </c>
      <c r="AK15" s="6">
        <v>141</v>
      </c>
      <c r="AL15" s="3">
        <f t="shared" si="25"/>
        <v>1312.4369747899159</v>
      </c>
      <c r="AM15" s="3">
        <v>124944</v>
      </c>
      <c r="AN15" s="6">
        <v>95.2</v>
      </c>
      <c r="AO15" s="3">
        <f t="shared" si="12"/>
        <v>1289.0161587236653</v>
      </c>
      <c r="AP15" s="3">
        <f t="shared" si="13"/>
        <v>1890600</v>
      </c>
      <c r="AQ15" s="6">
        <f t="shared" si="13"/>
        <v>1466.7</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29" t="s">
        <v>50</v>
      </c>
      <c r="B16" s="20"/>
      <c r="C16" s="20"/>
      <c r="D16" s="20"/>
      <c r="E16" s="3">
        <f t="shared" si="14"/>
        <v>1219.6798143851508</v>
      </c>
      <c r="F16" s="3">
        <v>262841</v>
      </c>
      <c r="G16" s="6">
        <v>215.5</v>
      </c>
      <c r="H16" s="3">
        <f t="shared" si="15"/>
        <v>1279.6477495107631</v>
      </c>
      <c r="I16" s="3">
        <v>65390</v>
      </c>
      <c r="J16" s="6">
        <v>51.1</v>
      </c>
      <c r="K16" s="3">
        <f t="shared" si="16"/>
        <v>1580.8118081180812</v>
      </c>
      <c r="L16" s="3">
        <v>128520</v>
      </c>
      <c r="M16" s="6">
        <v>81.3</v>
      </c>
      <c r="N16" s="3">
        <f t="shared" si="17"/>
        <v>1562.0984455958549</v>
      </c>
      <c r="O16" s="3">
        <v>60297</v>
      </c>
      <c r="P16" s="6">
        <v>38.6</v>
      </c>
      <c r="Q16" s="3">
        <f t="shared" si="18"/>
        <v>2023.4421364985162</v>
      </c>
      <c r="R16" s="3">
        <v>136380</v>
      </c>
      <c r="S16" s="6">
        <v>67.400000000000006</v>
      </c>
      <c r="T16" s="3">
        <f t="shared" si="19"/>
        <v>1965.4819976771198</v>
      </c>
      <c r="U16" s="3">
        <v>169228</v>
      </c>
      <c r="V16" s="6">
        <v>86.1</v>
      </c>
      <c r="W16" s="3">
        <f t="shared" si="20"/>
        <v>1569.6615384615384</v>
      </c>
      <c r="X16" s="3">
        <v>51014</v>
      </c>
      <c r="Y16" s="6">
        <v>32.5</v>
      </c>
      <c r="Z16" s="3">
        <f t="shared" si="21"/>
        <v>1532.0765832106038</v>
      </c>
      <c r="AA16" s="3">
        <v>104028</v>
      </c>
      <c r="AB16" s="6">
        <v>67.900000000000006</v>
      </c>
      <c r="AC16" s="3">
        <f t="shared" si="22"/>
        <v>1488.3630952380952</v>
      </c>
      <c r="AD16" s="3">
        <v>50009</v>
      </c>
      <c r="AE16" s="6">
        <v>33.6</v>
      </c>
      <c r="AF16" s="3">
        <f t="shared" si="23"/>
        <v>2040.5921052631579</v>
      </c>
      <c r="AG16" s="3">
        <v>93051</v>
      </c>
      <c r="AH16" s="6">
        <v>45.6</v>
      </c>
      <c r="AI16" s="3">
        <f t="shared" si="24"/>
        <v>1762.4495677233429</v>
      </c>
      <c r="AJ16" s="3">
        <v>122314</v>
      </c>
      <c r="AK16" s="6">
        <v>69.400000000000006</v>
      </c>
      <c r="AL16" s="3">
        <f t="shared" si="25"/>
        <v>1547.1775417298936</v>
      </c>
      <c r="AM16" s="3">
        <v>101959</v>
      </c>
      <c r="AN16" s="6">
        <v>65.900000000000006</v>
      </c>
      <c r="AO16" s="3">
        <f t="shared" si="12"/>
        <v>1573.3196865130424</v>
      </c>
      <c r="AP16" s="3">
        <f t="shared" si="13"/>
        <v>1345031</v>
      </c>
      <c r="AQ16" s="6">
        <f t="shared" si="13"/>
        <v>854.90000000000009</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29" t="s">
        <v>29</v>
      </c>
      <c r="B17" s="20"/>
      <c r="C17" s="20"/>
      <c r="D17" s="20"/>
      <c r="E17" s="3">
        <f t="shared" si="14"/>
        <v>3993.8775510204077</v>
      </c>
      <c r="F17" s="3">
        <v>19570</v>
      </c>
      <c r="G17" s="6">
        <v>4.9000000000000004</v>
      </c>
      <c r="H17" s="3">
        <f t="shared" si="15"/>
        <v>1901.7171717171718</v>
      </c>
      <c r="I17" s="3">
        <v>112962</v>
      </c>
      <c r="J17" s="6">
        <v>59.4</v>
      </c>
      <c r="K17" s="3">
        <f t="shared" si="16"/>
        <v>1760.8931804465903</v>
      </c>
      <c r="L17" s="3">
        <v>291780</v>
      </c>
      <c r="M17" s="6">
        <v>165.7</v>
      </c>
      <c r="N17" s="3">
        <f t="shared" si="17"/>
        <v>3326.3698630136987</v>
      </c>
      <c r="O17" s="3">
        <v>145695</v>
      </c>
      <c r="P17" s="6">
        <v>43.8</v>
      </c>
      <c r="Q17" s="3">
        <f t="shared" si="18"/>
        <v>2109.6739130434785</v>
      </c>
      <c r="R17" s="3">
        <v>77636</v>
      </c>
      <c r="S17" s="6">
        <v>36.799999999999997</v>
      </c>
      <c r="T17" s="3">
        <f t="shared" si="19"/>
        <v>2746.1788617886177</v>
      </c>
      <c r="U17" s="3">
        <v>168890</v>
      </c>
      <c r="V17" s="6">
        <v>61.5</v>
      </c>
      <c r="W17" s="3" t="e">
        <f t="shared" si="20"/>
        <v>#DIV/0!</v>
      </c>
      <c r="X17" s="3">
        <v>0</v>
      </c>
      <c r="Y17" s="6">
        <v>0</v>
      </c>
      <c r="Z17" s="3">
        <f t="shared" si="21"/>
        <v>3172.1951219512198</v>
      </c>
      <c r="AA17" s="3">
        <v>13006</v>
      </c>
      <c r="AB17" s="6">
        <v>4.0999999999999996</v>
      </c>
      <c r="AC17" s="3">
        <f t="shared" si="22"/>
        <v>2997.2222222222222</v>
      </c>
      <c r="AD17" s="3">
        <v>21580</v>
      </c>
      <c r="AE17" s="6">
        <v>7.2</v>
      </c>
      <c r="AF17" s="3">
        <f t="shared" si="23"/>
        <v>2389.4252873563219</v>
      </c>
      <c r="AG17" s="3">
        <v>145516</v>
      </c>
      <c r="AH17" s="6">
        <v>60.9</v>
      </c>
      <c r="AI17" s="3">
        <f t="shared" si="24"/>
        <v>3690.1333333333332</v>
      </c>
      <c r="AJ17" s="3">
        <v>27676</v>
      </c>
      <c r="AK17" s="6">
        <v>7.5</v>
      </c>
      <c r="AL17" s="3">
        <f t="shared" si="25"/>
        <v>3682.0675105485234</v>
      </c>
      <c r="AM17" s="3">
        <v>87265</v>
      </c>
      <c r="AN17" s="6">
        <v>23.7</v>
      </c>
      <c r="AO17" s="3">
        <f t="shared" si="12"/>
        <v>2337.6992639327023</v>
      </c>
      <c r="AP17" s="3">
        <f t="shared" si="13"/>
        <v>1111576</v>
      </c>
      <c r="AQ17" s="6">
        <f t="shared" si="13"/>
        <v>475.5</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29" t="s">
        <v>23</v>
      </c>
      <c r="B18" s="20"/>
      <c r="C18" s="20"/>
      <c r="D18" s="20"/>
      <c r="E18" s="3">
        <f t="shared" si="14"/>
        <v>1629.7595473833096</v>
      </c>
      <c r="F18" s="3">
        <v>115224</v>
      </c>
      <c r="G18" s="6">
        <v>70.7</v>
      </c>
      <c r="H18" s="3">
        <f t="shared" si="15"/>
        <v>1614.4444444444443</v>
      </c>
      <c r="I18" s="3">
        <v>56667</v>
      </c>
      <c r="J18" s="6">
        <v>35.1</v>
      </c>
      <c r="K18" s="3">
        <f t="shared" si="16"/>
        <v>970.15075376884431</v>
      </c>
      <c r="L18" s="3">
        <v>19306</v>
      </c>
      <c r="M18" s="6">
        <v>19.899999999999999</v>
      </c>
      <c r="N18" s="3">
        <f t="shared" si="17"/>
        <v>1612.9844961240308</v>
      </c>
      <c r="O18" s="3">
        <v>124845</v>
      </c>
      <c r="P18" s="6">
        <v>77.400000000000006</v>
      </c>
      <c r="Q18" s="3" t="e">
        <f t="shared" si="18"/>
        <v>#DIV/0!</v>
      </c>
      <c r="R18" s="3">
        <v>0</v>
      </c>
      <c r="S18" s="6">
        <v>0</v>
      </c>
      <c r="T18" s="3" t="e">
        <f t="shared" si="19"/>
        <v>#DIV/0!</v>
      </c>
      <c r="U18" s="3">
        <v>0</v>
      </c>
      <c r="V18" s="6">
        <v>0</v>
      </c>
      <c r="W18" s="3">
        <f t="shared" si="20"/>
        <v>1402.0100502512564</v>
      </c>
      <c r="X18" s="3">
        <v>27900</v>
      </c>
      <c r="Y18" s="6">
        <v>19.899999999999999</v>
      </c>
      <c r="Z18" s="3">
        <f t="shared" si="21"/>
        <v>1398.4962406015038</v>
      </c>
      <c r="AA18" s="3">
        <v>55800</v>
      </c>
      <c r="AB18" s="6">
        <v>39.9</v>
      </c>
      <c r="AC18" s="3">
        <f t="shared" si="22"/>
        <v>1549.1769547325102</v>
      </c>
      <c r="AD18" s="3">
        <v>37645</v>
      </c>
      <c r="AE18" s="6">
        <v>24.3</v>
      </c>
      <c r="AF18" s="3">
        <f t="shared" si="23"/>
        <v>1363.6363636363635</v>
      </c>
      <c r="AG18" s="3">
        <v>27000</v>
      </c>
      <c r="AH18" s="6">
        <v>19.8</v>
      </c>
      <c r="AI18" s="3">
        <f t="shared" si="24"/>
        <v>1443.8502673796793</v>
      </c>
      <c r="AJ18" s="3">
        <v>54000</v>
      </c>
      <c r="AK18" s="6">
        <v>37.4</v>
      </c>
      <c r="AL18" s="3">
        <f t="shared" si="25"/>
        <v>1130</v>
      </c>
      <c r="AM18" s="3">
        <v>45200</v>
      </c>
      <c r="AN18" s="6">
        <v>40</v>
      </c>
      <c r="AO18" s="3">
        <f t="shared" si="12"/>
        <v>1466.1472424557751</v>
      </c>
      <c r="AP18" s="3">
        <f t="shared" si="13"/>
        <v>563587</v>
      </c>
      <c r="AQ18" s="6">
        <f t="shared" si="13"/>
        <v>384.40000000000003</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29" t="s">
        <v>22</v>
      </c>
      <c r="B19" s="20"/>
      <c r="C19" s="20"/>
      <c r="D19" s="20"/>
      <c r="E19" s="3">
        <f t="shared" si="14"/>
        <v>1931.9333333333334</v>
      </c>
      <c r="F19" s="3">
        <v>28979</v>
      </c>
      <c r="G19" s="6">
        <v>15</v>
      </c>
      <c r="H19" s="3">
        <f t="shared" si="15"/>
        <v>1563.2587064676616</v>
      </c>
      <c r="I19" s="3">
        <v>62843</v>
      </c>
      <c r="J19" s="6">
        <v>40.200000000000003</v>
      </c>
      <c r="K19" s="3">
        <f t="shared" si="16"/>
        <v>1928.8834951456308</v>
      </c>
      <c r="L19" s="3">
        <v>39735</v>
      </c>
      <c r="M19" s="6">
        <v>20.6</v>
      </c>
      <c r="N19" s="3">
        <f t="shared" si="17"/>
        <v>1928.6826347305389</v>
      </c>
      <c r="O19" s="3">
        <v>32209</v>
      </c>
      <c r="P19" s="6">
        <v>16.7</v>
      </c>
      <c r="Q19" s="3">
        <f t="shared" si="18"/>
        <v>2215.6363636363635</v>
      </c>
      <c r="R19" s="3">
        <v>12186</v>
      </c>
      <c r="S19" s="6">
        <v>5.5</v>
      </c>
      <c r="T19" s="3">
        <f t="shared" si="19"/>
        <v>2011.40625</v>
      </c>
      <c r="U19" s="3">
        <v>25746</v>
      </c>
      <c r="V19" s="6">
        <v>12.8</v>
      </c>
      <c r="W19" s="3">
        <f t="shared" si="20"/>
        <v>1815.5882352941176</v>
      </c>
      <c r="X19" s="3">
        <v>30865</v>
      </c>
      <c r="Y19" s="6">
        <v>17</v>
      </c>
      <c r="Z19" s="3">
        <f t="shared" si="21"/>
        <v>1454.328358208955</v>
      </c>
      <c r="AA19" s="3">
        <v>29232</v>
      </c>
      <c r="AB19" s="6">
        <v>20.100000000000001</v>
      </c>
      <c r="AC19" s="3">
        <f t="shared" si="22"/>
        <v>1869.3283582089553</v>
      </c>
      <c r="AD19" s="3">
        <v>25049</v>
      </c>
      <c r="AE19" s="6">
        <v>13.4</v>
      </c>
      <c r="AF19" s="3">
        <f t="shared" si="23"/>
        <v>2531.6</v>
      </c>
      <c r="AG19" s="3">
        <v>6329</v>
      </c>
      <c r="AH19" s="6">
        <v>2.5</v>
      </c>
      <c r="AI19" s="3">
        <f t="shared" si="24"/>
        <v>1786.3636363636363</v>
      </c>
      <c r="AJ19" s="3">
        <v>15720</v>
      </c>
      <c r="AK19" s="6">
        <v>8.8000000000000007</v>
      </c>
      <c r="AL19" s="3">
        <f t="shared" si="25"/>
        <v>1334</v>
      </c>
      <c r="AM19" s="3">
        <v>41354</v>
      </c>
      <c r="AN19" s="6">
        <v>31</v>
      </c>
      <c r="AO19" s="3">
        <f t="shared" si="12"/>
        <v>1720.2701375245579</v>
      </c>
      <c r="AP19" s="3">
        <f t="shared" si="13"/>
        <v>350247</v>
      </c>
      <c r="AQ19" s="6">
        <f t="shared" si="13"/>
        <v>203.60000000000002</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29" t="s">
        <v>81</v>
      </c>
      <c r="B20" s="20"/>
      <c r="C20" s="20"/>
      <c r="D20" s="20"/>
      <c r="E20" s="3" t="e">
        <f t="shared" si="14"/>
        <v>#DIV/0!</v>
      </c>
      <c r="F20" s="3">
        <v>0</v>
      </c>
      <c r="G20" s="6">
        <v>0</v>
      </c>
      <c r="H20" s="3">
        <f t="shared" si="15"/>
        <v>2285.7142857142858</v>
      </c>
      <c r="I20" s="3">
        <v>6400</v>
      </c>
      <c r="J20" s="6">
        <v>2.8</v>
      </c>
      <c r="K20" s="3" t="e">
        <f t="shared" si="16"/>
        <v>#DIV/0!</v>
      </c>
      <c r="L20" s="3">
        <v>0</v>
      </c>
      <c r="M20" s="6">
        <v>0</v>
      </c>
      <c r="N20" s="3" t="e">
        <f t="shared" si="17"/>
        <v>#DIV/0!</v>
      </c>
      <c r="O20" s="3">
        <v>0</v>
      </c>
      <c r="P20" s="6">
        <v>0</v>
      </c>
      <c r="Q20" s="3" t="e">
        <f t="shared" si="18"/>
        <v>#DIV/0!</v>
      </c>
      <c r="R20" s="3">
        <v>0</v>
      </c>
      <c r="S20" s="6">
        <v>0</v>
      </c>
      <c r="T20" s="3" t="e">
        <f t="shared" si="19"/>
        <v>#DIV/0!</v>
      </c>
      <c r="U20" s="3">
        <v>0</v>
      </c>
      <c r="V20" s="6">
        <v>0</v>
      </c>
      <c r="W20" s="3" t="e">
        <f t="shared" si="20"/>
        <v>#DIV/0!</v>
      </c>
      <c r="X20" s="3">
        <v>0</v>
      </c>
      <c r="Y20" s="6">
        <v>0</v>
      </c>
      <c r="Z20" s="3" t="e">
        <f t="shared" si="21"/>
        <v>#DIV/0!</v>
      </c>
      <c r="AA20" s="3">
        <v>0</v>
      </c>
      <c r="AB20" s="6">
        <v>0</v>
      </c>
      <c r="AC20" s="3" t="e">
        <f t="shared" si="22"/>
        <v>#DIV/0!</v>
      </c>
      <c r="AD20" s="3">
        <v>0</v>
      </c>
      <c r="AE20" s="6">
        <v>0</v>
      </c>
      <c r="AF20" s="3" t="e">
        <f t="shared" si="23"/>
        <v>#DIV/0!</v>
      </c>
      <c r="AG20" s="3">
        <v>0</v>
      </c>
      <c r="AH20" s="6">
        <v>0</v>
      </c>
      <c r="AI20" s="3" t="e">
        <f t="shared" si="24"/>
        <v>#DIV/0!</v>
      </c>
      <c r="AJ20" s="3">
        <v>0</v>
      </c>
      <c r="AK20" s="6">
        <v>0</v>
      </c>
      <c r="AL20" s="3">
        <f t="shared" si="25"/>
        <v>2183.3513513513512</v>
      </c>
      <c r="AM20" s="3">
        <v>40392</v>
      </c>
      <c r="AN20" s="6">
        <v>18.5</v>
      </c>
      <c r="AO20" s="3">
        <f t="shared" si="12"/>
        <v>2196.807511737089</v>
      </c>
      <c r="AP20" s="3">
        <f t="shared" si="13"/>
        <v>46792</v>
      </c>
      <c r="AQ20" s="6">
        <f t="shared" si="13"/>
        <v>21.3</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29" t="s">
        <v>56</v>
      </c>
      <c r="B21" s="20"/>
      <c r="C21" s="20"/>
      <c r="D21" s="20"/>
      <c r="E21" s="3">
        <f t="shared" si="14"/>
        <v>1330.7883817427385</v>
      </c>
      <c r="F21" s="3">
        <v>32072</v>
      </c>
      <c r="G21" s="6">
        <v>24.1</v>
      </c>
      <c r="H21" s="3" t="e">
        <f t="shared" si="15"/>
        <v>#DIV/0!</v>
      </c>
      <c r="I21" s="3">
        <v>0</v>
      </c>
      <c r="J21" s="6">
        <v>0</v>
      </c>
      <c r="K21" s="3" t="e">
        <f t="shared" si="16"/>
        <v>#DIV/0!</v>
      </c>
      <c r="L21" s="3">
        <v>0</v>
      </c>
      <c r="M21" s="6">
        <v>0</v>
      </c>
      <c r="N21" s="3" t="e">
        <f t="shared" si="17"/>
        <v>#DIV/0!</v>
      </c>
      <c r="O21" s="3">
        <v>0</v>
      </c>
      <c r="P21" s="6">
        <v>0</v>
      </c>
      <c r="Q21" s="3">
        <f t="shared" si="18"/>
        <v>1310.6224066390041</v>
      </c>
      <c r="R21" s="3">
        <v>31586</v>
      </c>
      <c r="S21" s="6">
        <v>24.1</v>
      </c>
      <c r="T21" s="3" t="e">
        <f t="shared" si="19"/>
        <v>#DIV/0!</v>
      </c>
      <c r="U21" s="3">
        <v>0</v>
      </c>
      <c r="V21" s="6">
        <v>0</v>
      </c>
      <c r="W21" s="3" t="e">
        <f t="shared" si="20"/>
        <v>#DIV/0!</v>
      </c>
      <c r="X21" s="3">
        <v>0</v>
      </c>
      <c r="Y21" s="6">
        <v>0</v>
      </c>
      <c r="Z21" s="3">
        <f t="shared" si="21"/>
        <v>1255.7261410788381</v>
      </c>
      <c r="AA21" s="3">
        <v>30263</v>
      </c>
      <c r="AB21" s="6">
        <v>24.1</v>
      </c>
      <c r="AC21" s="3">
        <f t="shared" si="22"/>
        <v>1137.9710144927537</v>
      </c>
      <c r="AD21" s="3">
        <v>54964</v>
      </c>
      <c r="AE21" s="6">
        <v>48.3</v>
      </c>
      <c r="AF21" s="3" t="e">
        <f t="shared" si="23"/>
        <v>#DIV/0!</v>
      </c>
      <c r="AG21" s="3">
        <v>0</v>
      </c>
      <c r="AH21" s="6">
        <v>0</v>
      </c>
      <c r="AI21" s="3">
        <f t="shared" si="24"/>
        <v>1140.3319502074687</v>
      </c>
      <c r="AJ21" s="3">
        <v>27482</v>
      </c>
      <c r="AK21" s="6">
        <v>24.1</v>
      </c>
      <c r="AL21" s="3">
        <f t="shared" si="25"/>
        <v>1294.9049429657794</v>
      </c>
      <c r="AM21" s="3">
        <v>34056</v>
      </c>
      <c r="AN21" s="6">
        <v>26.3</v>
      </c>
      <c r="AO21" s="3">
        <f t="shared" si="12"/>
        <v>1230.5438596491226</v>
      </c>
      <c r="AP21" s="3">
        <f t="shared" si="13"/>
        <v>210423</v>
      </c>
      <c r="AQ21" s="6">
        <f t="shared" si="13"/>
        <v>171.00000000000003</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29" t="s">
        <v>32</v>
      </c>
      <c r="B22" s="20"/>
      <c r="C22" s="20"/>
      <c r="D22" s="20"/>
      <c r="E22" s="3">
        <f t="shared" si="14"/>
        <v>2566.5822784810125</v>
      </c>
      <c r="F22" s="3">
        <v>20276</v>
      </c>
      <c r="G22" s="6">
        <v>7.9</v>
      </c>
      <c r="H22" s="3">
        <f t="shared" si="15"/>
        <v>937.88020153013622</v>
      </c>
      <c r="I22" s="3">
        <v>1005220</v>
      </c>
      <c r="J22" s="6">
        <v>1071.8</v>
      </c>
      <c r="K22" s="3">
        <f t="shared" si="16"/>
        <v>1187.3185941043084</v>
      </c>
      <c r="L22" s="3">
        <v>209443</v>
      </c>
      <c r="M22" s="6">
        <v>176.4</v>
      </c>
      <c r="N22" s="3">
        <f t="shared" si="17"/>
        <v>2129.7222222222222</v>
      </c>
      <c r="O22" s="3">
        <v>15334</v>
      </c>
      <c r="P22" s="6">
        <v>7.2</v>
      </c>
      <c r="Q22" s="3">
        <f t="shared" si="18"/>
        <v>1685.5357142857144</v>
      </c>
      <c r="R22" s="3">
        <v>9439</v>
      </c>
      <c r="S22" s="6">
        <v>5.6</v>
      </c>
      <c r="T22" s="3">
        <f t="shared" si="19"/>
        <v>1151.3116656993616</v>
      </c>
      <c r="U22" s="3">
        <v>198371</v>
      </c>
      <c r="V22" s="6">
        <v>172.3</v>
      </c>
      <c r="W22" s="3">
        <f t="shared" si="20"/>
        <v>1502.0833333333333</v>
      </c>
      <c r="X22" s="3">
        <v>10815</v>
      </c>
      <c r="Y22" s="6">
        <v>7.2</v>
      </c>
      <c r="Z22" s="3">
        <f t="shared" si="21"/>
        <v>1369.375</v>
      </c>
      <c r="AA22" s="3">
        <v>17528</v>
      </c>
      <c r="AB22" s="6">
        <v>12.8</v>
      </c>
      <c r="AC22" s="3">
        <f t="shared" si="22"/>
        <v>1240.2173913043478</v>
      </c>
      <c r="AD22" s="3">
        <v>28525</v>
      </c>
      <c r="AE22" s="6">
        <v>23</v>
      </c>
      <c r="AF22" s="3">
        <f t="shared" si="23"/>
        <v>1208.6824324324323</v>
      </c>
      <c r="AG22" s="3">
        <v>35777</v>
      </c>
      <c r="AH22" s="6">
        <v>29.6</v>
      </c>
      <c r="AI22" s="3">
        <f t="shared" si="24"/>
        <v>1161.9954648526077</v>
      </c>
      <c r="AJ22" s="3">
        <v>51244</v>
      </c>
      <c r="AK22" s="6">
        <v>44.1</v>
      </c>
      <c r="AL22" s="3">
        <f t="shared" si="25"/>
        <v>1244.6478873239437</v>
      </c>
      <c r="AM22" s="3">
        <v>26511</v>
      </c>
      <c r="AN22" s="6">
        <v>21.3</v>
      </c>
      <c r="AO22" s="3">
        <f t="shared" si="12"/>
        <v>1031.2075734549139</v>
      </c>
      <c r="AP22" s="3">
        <f t="shared" si="13"/>
        <v>1628483</v>
      </c>
      <c r="AQ22" s="6">
        <f t="shared" si="13"/>
        <v>1579.1999999999998</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29" t="s">
        <v>40</v>
      </c>
      <c r="B23" s="20"/>
      <c r="C23" s="20"/>
      <c r="D23" s="20"/>
      <c r="E23" s="3">
        <f t="shared" si="14"/>
        <v>1343.4868421052631</v>
      </c>
      <c r="F23" s="3">
        <v>20421</v>
      </c>
      <c r="G23" s="6">
        <v>15.2</v>
      </c>
      <c r="H23" s="3">
        <f t="shared" si="15"/>
        <v>2105.5</v>
      </c>
      <c r="I23" s="3">
        <v>25266</v>
      </c>
      <c r="J23" s="6">
        <v>12</v>
      </c>
      <c r="K23" s="3">
        <f t="shared" si="16"/>
        <v>1970.9859154929579</v>
      </c>
      <c r="L23" s="3">
        <v>13994</v>
      </c>
      <c r="M23" s="6">
        <v>7.1</v>
      </c>
      <c r="N23" s="3">
        <f t="shared" si="17"/>
        <v>2169.6470588235293</v>
      </c>
      <c r="O23" s="3">
        <v>18442</v>
      </c>
      <c r="P23" s="6">
        <v>8.5</v>
      </c>
      <c r="Q23" s="3">
        <f t="shared" si="18"/>
        <v>1998.6363636363637</v>
      </c>
      <c r="R23" s="3">
        <v>13191</v>
      </c>
      <c r="S23" s="6">
        <v>6.6</v>
      </c>
      <c r="T23" s="3">
        <f t="shared" si="19"/>
        <v>1940.5194805194806</v>
      </c>
      <c r="U23" s="3">
        <v>14942</v>
      </c>
      <c r="V23" s="6">
        <v>7.7</v>
      </c>
      <c r="W23" s="3">
        <f t="shared" si="20"/>
        <v>2308.3333333333335</v>
      </c>
      <c r="X23" s="3">
        <v>2770</v>
      </c>
      <c r="Y23" s="6">
        <v>1.2</v>
      </c>
      <c r="Z23" s="3">
        <f t="shared" si="21"/>
        <v>1479.7285067873302</v>
      </c>
      <c r="AA23" s="3">
        <v>32702</v>
      </c>
      <c r="AB23" s="6">
        <v>22.1</v>
      </c>
      <c r="AC23" s="3">
        <f t="shared" si="22"/>
        <v>2142.5581395348836</v>
      </c>
      <c r="AD23" s="3">
        <v>9213</v>
      </c>
      <c r="AE23" s="6">
        <v>4.3</v>
      </c>
      <c r="AF23" s="3">
        <f t="shared" si="23"/>
        <v>2483.125</v>
      </c>
      <c r="AG23" s="3">
        <v>11919</v>
      </c>
      <c r="AH23" s="6">
        <v>4.8</v>
      </c>
      <c r="AI23" s="3">
        <f t="shared" si="24"/>
        <v>2493.863636363636</v>
      </c>
      <c r="AJ23" s="3">
        <v>10973</v>
      </c>
      <c r="AK23" s="6">
        <v>4.4000000000000004</v>
      </c>
      <c r="AL23" s="3">
        <f t="shared" si="25"/>
        <v>1218.3177570093458</v>
      </c>
      <c r="AM23" s="3">
        <v>26072</v>
      </c>
      <c r="AN23" s="6">
        <v>21.4</v>
      </c>
      <c r="AO23" s="3">
        <f t="shared" si="12"/>
        <v>1733.7814397224629</v>
      </c>
      <c r="AP23" s="3">
        <f t="shared" si="13"/>
        <v>199905</v>
      </c>
      <c r="AQ23" s="6">
        <f t="shared" si="13"/>
        <v>115.30000000000001</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29" t="s">
        <v>60</v>
      </c>
      <c r="B24" s="20"/>
      <c r="C24" s="20"/>
      <c r="D24" s="20"/>
      <c r="E24" s="3">
        <f t="shared" si="14"/>
        <v>1397.6886792452831</v>
      </c>
      <c r="F24" s="3">
        <v>29631</v>
      </c>
      <c r="G24" s="6">
        <v>21.2</v>
      </c>
      <c r="H24" s="3">
        <f t="shared" si="15"/>
        <v>1380.6046511627908</v>
      </c>
      <c r="I24" s="3">
        <v>29683</v>
      </c>
      <c r="J24" s="6">
        <v>21.5</v>
      </c>
      <c r="K24" s="3" t="e">
        <f t="shared" si="16"/>
        <v>#DIV/0!</v>
      </c>
      <c r="L24" s="3">
        <v>0</v>
      </c>
      <c r="M24" s="6">
        <v>0</v>
      </c>
      <c r="N24" s="3">
        <f t="shared" si="17"/>
        <v>1354.9528301886794</v>
      </c>
      <c r="O24" s="3">
        <v>28725</v>
      </c>
      <c r="P24" s="6">
        <v>21.2</v>
      </c>
      <c r="Q24" s="3">
        <f t="shared" si="18"/>
        <v>2574.2857142857147</v>
      </c>
      <c r="R24" s="3">
        <v>3604</v>
      </c>
      <c r="S24" s="6">
        <v>1.4</v>
      </c>
      <c r="T24" s="3">
        <f t="shared" si="19"/>
        <v>1400.7391304347825</v>
      </c>
      <c r="U24" s="3">
        <v>32217</v>
      </c>
      <c r="V24" s="6">
        <v>23</v>
      </c>
      <c r="W24" s="3">
        <f t="shared" si="20"/>
        <v>1408.2488479262672</v>
      </c>
      <c r="X24" s="3">
        <v>30559</v>
      </c>
      <c r="Y24" s="6">
        <v>21.7</v>
      </c>
      <c r="Z24" s="3" t="e">
        <f t="shared" si="21"/>
        <v>#DIV/0!</v>
      </c>
      <c r="AA24" s="3">
        <v>0</v>
      </c>
      <c r="AB24" s="6">
        <v>0</v>
      </c>
      <c r="AC24" s="3">
        <f t="shared" si="22"/>
        <v>1335.7276995305165</v>
      </c>
      <c r="AD24" s="3">
        <v>28451</v>
      </c>
      <c r="AE24" s="6">
        <v>21.3</v>
      </c>
      <c r="AF24" s="3" t="e">
        <f t="shared" si="23"/>
        <v>#DIV/0!</v>
      </c>
      <c r="AG24" s="3">
        <v>0</v>
      </c>
      <c r="AH24" s="6">
        <v>0</v>
      </c>
      <c r="AI24" s="3">
        <f t="shared" si="24"/>
        <v>1208.95</v>
      </c>
      <c r="AJ24" s="3">
        <v>24179</v>
      </c>
      <c r="AK24" s="6">
        <v>20</v>
      </c>
      <c r="AL24" s="3">
        <f t="shared" si="25"/>
        <v>1283.95</v>
      </c>
      <c r="AM24" s="3">
        <v>25679</v>
      </c>
      <c r="AN24" s="6">
        <v>20</v>
      </c>
      <c r="AO24" s="3">
        <f t="shared" si="12"/>
        <v>1358.5989492119088</v>
      </c>
      <c r="AP24" s="3">
        <f t="shared" si="13"/>
        <v>232728</v>
      </c>
      <c r="AQ24" s="6">
        <f t="shared" si="13"/>
        <v>171.3</v>
      </c>
      <c r="AR24" s="3"/>
      <c r="AS24" s="3"/>
      <c r="AT24" s="3"/>
      <c r="AU24" s="3"/>
      <c r="AV24" s="3"/>
      <c r="AW24" s="3"/>
      <c r="AX24" s="3"/>
      <c r="AY24" s="3"/>
      <c r="AZ24" s="3"/>
      <c r="BA24" s="3"/>
      <c r="BB24" s="3"/>
      <c r="BC24" s="3"/>
      <c r="BD24" s="3"/>
      <c r="BE24" s="3"/>
      <c r="BF24" s="3"/>
      <c r="BG24" s="3"/>
      <c r="BH24" s="3"/>
      <c r="BI24" s="3"/>
      <c r="BJ24" s="3"/>
      <c r="BK24" s="3"/>
      <c r="BL24" s="3"/>
      <c r="BM24" s="3"/>
      <c r="BN24" s="3"/>
      <c r="BO24" s="3"/>
    </row>
    <row r="25" spans="1:67" x14ac:dyDescent="0.3">
      <c r="A25" s="29" t="s">
        <v>52</v>
      </c>
      <c r="B25" s="20"/>
      <c r="C25" s="20"/>
      <c r="D25" s="20"/>
      <c r="E25" s="3">
        <f t="shared" si="14"/>
        <v>2180.6870229007636</v>
      </c>
      <c r="F25" s="3">
        <v>28567</v>
      </c>
      <c r="G25" s="6">
        <v>13.1</v>
      </c>
      <c r="H25" s="3">
        <f t="shared" si="15"/>
        <v>1921.1255411255411</v>
      </c>
      <c r="I25" s="3">
        <v>44378</v>
      </c>
      <c r="J25" s="6">
        <v>23.1</v>
      </c>
      <c r="K25" s="3">
        <f t="shared" si="16"/>
        <v>2196.694915254237</v>
      </c>
      <c r="L25" s="3">
        <v>25921</v>
      </c>
      <c r="M25" s="6">
        <v>11.8</v>
      </c>
      <c r="N25" s="3">
        <f t="shared" si="17"/>
        <v>2216.3013698630139</v>
      </c>
      <c r="O25" s="3">
        <v>16179</v>
      </c>
      <c r="P25" s="6">
        <v>7.3</v>
      </c>
      <c r="Q25" s="3">
        <f t="shared" si="18"/>
        <v>2050.3370786516853</v>
      </c>
      <c r="R25" s="3">
        <v>18248</v>
      </c>
      <c r="S25" s="6">
        <v>8.9</v>
      </c>
      <c r="T25" s="3">
        <f t="shared" si="19"/>
        <v>1970.2083333333333</v>
      </c>
      <c r="U25" s="3">
        <v>56742</v>
      </c>
      <c r="V25" s="6">
        <v>28.8</v>
      </c>
      <c r="W25" s="3">
        <f t="shared" si="20"/>
        <v>2432.6851851851852</v>
      </c>
      <c r="X25" s="3">
        <v>26273</v>
      </c>
      <c r="Y25" s="6">
        <v>10.8</v>
      </c>
      <c r="Z25" s="3">
        <f t="shared" si="21"/>
        <v>1876.88</v>
      </c>
      <c r="AA25" s="3">
        <v>23461</v>
      </c>
      <c r="AB25" s="6">
        <v>12.5</v>
      </c>
      <c r="AC25" s="3">
        <f t="shared" si="22"/>
        <v>1682.2891566265059</v>
      </c>
      <c r="AD25" s="3">
        <v>69815</v>
      </c>
      <c r="AE25" s="6">
        <v>41.5</v>
      </c>
      <c r="AF25" s="3">
        <f t="shared" si="23"/>
        <v>2320.1999999999998</v>
      </c>
      <c r="AG25" s="3">
        <v>23202</v>
      </c>
      <c r="AH25" s="6">
        <v>10</v>
      </c>
      <c r="AI25" s="3">
        <f t="shared" si="24"/>
        <v>1799.3918918918919</v>
      </c>
      <c r="AJ25" s="3">
        <v>26631</v>
      </c>
      <c r="AK25" s="6">
        <v>14.8</v>
      </c>
      <c r="AL25" s="3">
        <f t="shared" si="25"/>
        <v>2092.2033898305085</v>
      </c>
      <c r="AM25" s="3">
        <v>24688</v>
      </c>
      <c r="AN25" s="6">
        <v>11.8</v>
      </c>
      <c r="AO25" s="3">
        <f t="shared" si="12"/>
        <v>1975.8487654320984</v>
      </c>
      <c r="AP25" s="3">
        <f t="shared" si="13"/>
        <v>384105</v>
      </c>
      <c r="AQ25" s="6">
        <f t="shared" si="13"/>
        <v>194.40000000000003</v>
      </c>
      <c r="AR25" s="3"/>
      <c r="AS25" s="3"/>
      <c r="AT25" s="3"/>
      <c r="AU25" s="3"/>
      <c r="AV25" s="3"/>
      <c r="AW25" s="3"/>
      <c r="AX25" s="3"/>
      <c r="AY25" s="3"/>
      <c r="AZ25" s="3"/>
      <c r="BA25" s="3"/>
      <c r="BB25" s="3"/>
      <c r="BC25" s="3"/>
      <c r="BD25" s="3"/>
      <c r="BE25" s="3"/>
      <c r="BF25" s="3"/>
      <c r="BG25" s="3"/>
      <c r="BH25" s="3"/>
      <c r="BI25" s="3"/>
      <c r="BJ25" s="3"/>
      <c r="BK25" s="3"/>
      <c r="BL25" s="3"/>
      <c r="BM25" s="3"/>
      <c r="BN25" s="3"/>
      <c r="BO25" s="3"/>
    </row>
    <row r="26" spans="1:67" x14ac:dyDescent="0.3">
      <c r="A26" s="29" t="s">
        <v>71</v>
      </c>
      <c r="B26" s="20"/>
      <c r="C26" s="20"/>
      <c r="D26" s="20"/>
      <c r="E26" s="3">
        <f t="shared" si="14"/>
        <v>2210.625</v>
      </c>
      <c r="F26" s="3">
        <v>3537</v>
      </c>
      <c r="G26" s="6">
        <v>1.6</v>
      </c>
      <c r="H26" s="3">
        <f t="shared" si="15"/>
        <v>2208.4313725490197</v>
      </c>
      <c r="I26" s="3">
        <v>22526</v>
      </c>
      <c r="J26" s="6">
        <v>10.199999999999999</v>
      </c>
      <c r="K26" s="3">
        <f t="shared" si="16"/>
        <v>2004.0449438202247</v>
      </c>
      <c r="L26" s="3">
        <v>17836</v>
      </c>
      <c r="M26" s="6">
        <v>8.9</v>
      </c>
      <c r="N26" s="3">
        <f t="shared" si="17"/>
        <v>2081.031746031746</v>
      </c>
      <c r="O26" s="3">
        <v>26221</v>
      </c>
      <c r="P26" s="6">
        <v>12.6</v>
      </c>
      <c r="Q26" s="3">
        <f t="shared" si="18"/>
        <v>2326.4</v>
      </c>
      <c r="R26" s="3">
        <v>5816</v>
      </c>
      <c r="S26" s="6">
        <v>2.5</v>
      </c>
      <c r="T26" s="3">
        <f t="shared" si="19"/>
        <v>1991.6393442622953</v>
      </c>
      <c r="U26" s="3">
        <v>24298</v>
      </c>
      <c r="V26" s="6">
        <v>12.2</v>
      </c>
      <c r="W26" s="3">
        <f t="shared" si="20"/>
        <v>2122</v>
      </c>
      <c r="X26" s="3">
        <v>9549</v>
      </c>
      <c r="Y26" s="6">
        <v>4.5</v>
      </c>
      <c r="Z26" s="3">
        <f t="shared" si="21"/>
        <v>2153.1666666666665</v>
      </c>
      <c r="AA26" s="3">
        <v>25838</v>
      </c>
      <c r="AB26" s="6">
        <v>12</v>
      </c>
      <c r="AC26" s="3" t="e">
        <f t="shared" si="22"/>
        <v>#DIV/0!</v>
      </c>
      <c r="AD26" s="3">
        <v>0</v>
      </c>
      <c r="AE26" s="6">
        <v>0</v>
      </c>
      <c r="AF26" s="3">
        <f t="shared" si="23"/>
        <v>2171.1224489795918</v>
      </c>
      <c r="AG26" s="3">
        <v>21277</v>
      </c>
      <c r="AH26" s="6">
        <v>9.8000000000000007</v>
      </c>
      <c r="AI26" s="3" t="e">
        <f t="shared" si="24"/>
        <v>#DIV/0!</v>
      </c>
      <c r="AJ26" s="3">
        <v>0</v>
      </c>
      <c r="AK26" s="6">
        <v>0</v>
      </c>
      <c r="AL26" s="3">
        <f t="shared" si="25"/>
        <v>2161.8390804597702</v>
      </c>
      <c r="AM26" s="3">
        <v>18808</v>
      </c>
      <c r="AN26" s="6">
        <v>8.6999999999999993</v>
      </c>
      <c r="AO26" s="3">
        <f t="shared" si="12"/>
        <v>2116.9397590361446</v>
      </c>
      <c r="AP26" s="3">
        <f t="shared" si="13"/>
        <v>175706</v>
      </c>
      <c r="AQ26" s="6">
        <f t="shared" si="13"/>
        <v>83</v>
      </c>
      <c r="AR26" s="3"/>
      <c r="AS26" s="3"/>
      <c r="AT26" s="3"/>
      <c r="AU26" s="3"/>
      <c r="AV26" s="3"/>
      <c r="AW26" s="3"/>
      <c r="AX26" s="3"/>
      <c r="AY26" s="3"/>
      <c r="AZ26" s="3"/>
      <c r="BA26" s="3"/>
      <c r="BB26" s="3"/>
      <c r="BC26" s="3"/>
      <c r="BD26" s="3"/>
      <c r="BE26" s="3"/>
      <c r="BF26" s="3"/>
      <c r="BG26" s="3"/>
      <c r="BH26" s="3"/>
      <c r="BI26" s="3"/>
      <c r="BJ26" s="3"/>
      <c r="BK26" s="3"/>
      <c r="BL26" s="3"/>
      <c r="BM26" s="3"/>
      <c r="BN26" s="3"/>
      <c r="BO26" s="3"/>
    </row>
    <row r="27" spans="1:67" x14ac:dyDescent="0.3">
      <c r="A27" s="29" t="s">
        <v>33</v>
      </c>
      <c r="B27" s="20"/>
      <c r="C27" s="20"/>
      <c r="D27" s="20"/>
      <c r="E27" s="3">
        <f t="shared" si="14"/>
        <v>2111.6129032258063</v>
      </c>
      <c r="F27" s="3">
        <v>6546</v>
      </c>
      <c r="G27" s="6">
        <v>3.1</v>
      </c>
      <c r="H27" s="3">
        <f t="shared" si="15"/>
        <v>1215.25</v>
      </c>
      <c r="I27" s="3">
        <v>24305</v>
      </c>
      <c r="J27" s="6">
        <v>20</v>
      </c>
      <c r="K27" s="3" t="e">
        <f t="shared" si="16"/>
        <v>#DIV/0!</v>
      </c>
      <c r="L27" s="3">
        <v>0</v>
      </c>
      <c r="M27" s="6">
        <v>0</v>
      </c>
      <c r="N27" s="3">
        <f t="shared" si="17"/>
        <v>2267.037037037037</v>
      </c>
      <c r="O27" s="3">
        <v>6121</v>
      </c>
      <c r="P27" s="6">
        <v>2.7</v>
      </c>
      <c r="Q27" s="3">
        <f t="shared" si="18"/>
        <v>1365.972850678733</v>
      </c>
      <c r="R27" s="3">
        <v>30188</v>
      </c>
      <c r="S27" s="6">
        <v>22.1</v>
      </c>
      <c r="T27" s="3">
        <f t="shared" si="19"/>
        <v>1719.3854748603353</v>
      </c>
      <c r="U27" s="3">
        <v>30777</v>
      </c>
      <c r="V27" s="6">
        <v>17.899999999999999</v>
      </c>
      <c r="W27" s="3">
        <f t="shared" si="20"/>
        <v>1755.7731958762888</v>
      </c>
      <c r="X27" s="3">
        <v>17031</v>
      </c>
      <c r="Y27" s="6">
        <v>9.6999999999999993</v>
      </c>
      <c r="Z27" s="3">
        <f t="shared" si="21"/>
        <v>1318.7368421052631</v>
      </c>
      <c r="AA27" s="3">
        <v>25056</v>
      </c>
      <c r="AB27" s="6">
        <v>19</v>
      </c>
      <c r="AC27" s="3" t="e">
        <f t="shared" si="22"/>
        <v>#DIV/0!</v>
      </c>
      <c r="AD27" s="3">
        <v>0</v>
      </c>
      <c r="AE27" s="6">
        <v>0</v>
      </c>
      <c r="AF27" s="3">
        <f t="shared" si="23"/>
        <v>1935.0980392156864</v>
      </c>
      <c r="AG27" s="3">
        <v>9869</v>
      </c>
      <c r="AH27" s="6">
        <v>5.0999999999999996</v>
      </c>
      <c r="AI27" s="3">
        <f t="shared" si="24"/>
        <v>2197.9411764705883</v>
      </c>
      <c r="AJ27" s="3">
        <v>7473</v>
      </c>
      <c r="AK27" s="6">
        <v>3.4</v>
      </c>
      <c r="AL27" s="3">
        <f t="shared" si="25"/>
        <v>2465.5</v>
      </c>
      <c r="AM27" s="3">
        <v>9862</v>
      </c>
      <c r="AN27" s="6">
        <v>4</v>
      </c>
      <c r="AO27" s="3">
        <f t="shared" si="12"/>
        <v>1562.878504672897</v>
      </c>
      <c r="AP27" s="3">
        <f t="shared" si="13"/>
        <v>167228</v>
      </c>
      <c r="AQ27" s="6">
        <f t="shared" si="13"/>
        <v>107.00000000000001</v>
      </c>
      <c r="AR27" s="3"/>
      <c r="AS27" s="3"/>
      <c r="AT27" s="3"/>
      <c r="AU27" s="3"/>
      <c r="AV27" s="3"/>
      <c r="AW27" s="3"/>
      <c r="AX27" s="3"/>
      <c r="AY27" s="3"/>
      <c r="AZ27" s="3"/>
      <c r="BA27" s="3"/>
      <c r="BB27" s="3"/>
      <c r="BC27" s="3"/>
      <c r="BD27" s="3"/>
      <c r="BE27" s="3"/>
      <c r="BF27" s="3"/>
      <c r="BG27" s="3"/>
      <c r="BH27" s="3"/>
      <c r="BI27" s="3"/>
      <c r="BJ27" s="3"/>
      <c r="BK27" s="3"/>
      <c r="BL27" s="3"/>
      <c r="BM27" s="3"/>
      <c r="BN27" s="3"/>
      <c r="BO27" s="3"/>
    </row>
    <row r="28" spans="1:67" x14ac:dyDescent="0.3">
      <c r="A28" s="29" t="s">
        <v>78</v>
      </c>
      <c r="B28" s="20"/>
      <c r="C28" s="20"/>
      <c r="D28" s="20"/>
      <c r="E28" s="3" t="e">
        <f t="shared" si="14"/>
        <v>#DIV/0!</v>
      </c>
      <c r="F28" s="3">
        <v>0</v>
      </c>
      <c r="G28" s="6">
        <v>0</v>
      </c>
      <c r="H28" s="3" t="e">
        <f t="shared" si="15"/>
        <v>#DIV/0!</v>
      </c>
      <c r="I28" s="3">
        <v>0</v>
      </c>
      <c r="J28" s="6">
        <v>0</v>
      </c>
      <c r="K28" s="3" t="e">
        <f t="shared" si="16"/>
        <v>#DIV/0!</v>
      </c>
      <c r="L28" s="3">
        <v>0</v>
      </c>
      <c r="M28" s="6">
        <v>0</v>
      </c>
      <c r="N28" s="3" t="e">
        <f t="shared" si="17"/>
        <v>#DIV/0!</v>
      </c>
      <c r="O28" s="3">
        <v>0</v>
      </c>
      <c r="P28" s="6">
        <v>0</v>
      </c>
      <c r="Q28" s="3" t="e">
        <f t="shared" si="18"/>
        <v>#DIV/0!</v>
      </c>
      <c r="R28" s="3">
        <v>0</v>
      </c>
      <c r="S28" s="6">
        <v>0</v>
      </c>
      <c r="T28" s="3" t="e">
        <f t="shared" si="19"/>
        <v>#DIV/0!</v>
      </c>
      <c r="U28" s="3">
        <v>0</v>
      </c>
      <c r="V28" s="6">
        <v>0</v>
      </c>
      <c r="W28" s="3" t="e">
        <f t="shared" si="20"/>
        <v>#DIV/0!</v>
      </c>
      <c r="X28" s="3">
        <v>0</v>
      </c>
      <c r="Y28" s="6">
        <v>0</v>
      </c>
      <c r="Z28" s="3" t="e">
        <f t="shared" si="21"/>
        <v>#DIV/0!</v>
      </c>
      <c r="AA28" s="3">
        <v>0</v>
      </c>
      <c r="AB28" s="6">
        <v>0</v>
      </c>
      <c r="AC28" s="3" t="e">
        <f t="shared" si="22"/>
        <v>#DIV/0!</v>
      </c>
      <c r="AD28" s="3">
        <v>0</v>
      </c>
      <c r="AE28" s="6">
        <v>0</v>
      </c>
      <c r="AF28" s="3">
        <f t="shared" si="23"/>
        <v>1036.5999999999999</v>
      </c>
      <c r="AG28" s="3">
        <v>5183</v>
      </c>
      <c r="AH28" s="6">
        <v>5</v>
      </c>
      <c r="AI28" s="3" t="e">
        <f t="shared" si="24"/>
        <v>#DIV/0!</v>
      </c>
      <c r="AJ28" s="3">
        <v>0</v>
      </c>
      <c r="AK28" s="6">
        <v>0</v>
      </c>
      <c r="AL28" s="3">
        <f t="shared" si="25"/>
        <v>1487.704918032787</v>
      </c>
      <c r="AM28" s="3">
        <v>9075</v>
      </c>
      <c r="AN28" s="6">
        <v>6.1</v>
      </c>
      <c r="AO28" s="3">
        <f t="shared" si="12"/>
        <v>1284.5045045045044</v>
      </c>
      <c r="AP28" s="3">
        <f t="shared" si="13"/>
        <v>14258</v>
      </c>
      <c r="AQ28" s="6">
        <f t="shared" si="13"/>
        <v>11.1</v>
      </c>
      <c r="AR28" s="3"/>
      <c r="AS28" s="3"/>
      <c r="AT28" s="3"/>
      <c r="AU28" s="3"/>
      <c r="AV28" s="3"/>
      <c r="AW28" s="3"/>
      <c r="AX28" s="3"/>
      <c r="AY28" s="3"/>
      <c r="AZ28" s="3"/>
      <c r="BA28" s="3"/>
      <c r="BB28" s="3"/>
      <c r="BC28" s="3"/>
      <c r="BD28" s="3"/>
      <c r="BE28" s="3"/>
      <c r="BF28" s="3"/>
      <c r="BG28" s="3"/>
      <c r="BH28" s="3"/>
      <c r="BI28" s="3"/>
      <c r="BJ28" s="3"/>
      <c r="BK28" s="3"/>
      <c r="BL28" s="3"/>
      <c r="BM28" s="3"/>
      <c r="BN28" s="3"/>
      <c r="BO28" s="3"/>
    </row>
    <row r="29" spans="1:67" x14ac:dyDescent="0.3">
      <c r="A29" s="29" t="s">
        <v>18</v>
      </c>
      <c r="B29" s="20"/>
      <c r="C29" s="20"/>
      <c r="D29" s="20"/>
      <c r="E29" s="3">
        <f t="shared" si="14"/>
        <v>4199.5555555555557</v>
      </c>
      <c r="F29" s="3">
        <v>18898</v>
      </c>
      <c r="G29" s="6">
        <v>4.5</v>
      </c>
      <c r="H29" s="3" t="e">
        <f t="shared" si="15"/>
        <v>#DIV/0!</v>
      </c>
      <c r="I29" s="3">
        <v>0</v>
      </c>
      <c r="J29" s="6">
        <v>0</v>
      </c>
      <c r="K29" s="3" t="e">
        <f t="shared" si="16"/>
        <v>#DIV/0!</v>
      </c>
      <c r="L29" s="3">
        <v>0</v>
      </c>
      <c r="M29" s="6">
        <v>0</v>
      </c>
      <c r="N29" s="3">
        <f t="shared" si="17"/>
        <v>2282.3076923076924</v>
      </c>
      <c r="O29" s="3">
        <v>2967</v>
      </c>
      <c r="P29" s="6">
        <v>1.3</v>
      </c>
      <c r="Q29" s="3" t="e">
        <f t="shared" si="18"/>
        <v>#DIV/0!</v>
      </c>
      <c r="R29" s="3">
        <v>0</v>
      </c>
      <c r="S29" s="6">
        <v>0</v>
      </c>
      <c r="T29" s="3">
        <f t="shared" si="19"/>
        <v>3302.3529411764707</v>
      </c>
      <c r="U29" s="3">
        <v>11228</v>
      </c>
      <c r="V29" s="6">
        <v>3.4</v>
      </c>
      <c r="W29" s="3" t="e">
        <f t="shared" si="20"/>
        <v>#DIV/0!</v>
      </c>
      <c r="X29" s="3">
        <v>0</v>
      </c>
      <c r="Y29" s="6">
        <v>0</v>
      </c>
      <c r="Z29" s="3" t="e">
        <f t="shared" si="21"/>
        <v>#DIV/0!</v>
      </c>
      <c r="AA29" s="3">
        <v>0</v>
      </c>
      <c r="AB29" s="6">
        <v>0</v>
      </c>
      <c r="AC29" s="3">
        <f t="shared" si="22"/>
        <v>2803.5</v>
      </c>
      <c r="AD29" s="3">
        <v>5607</v>
      </c>
      <c r="AE29" s="6">
        <v>2</v>
      </c>
      <c r="AF29" s="3">
        <f t="shared" si="23"/>
        <v>1846.6101694915253</v>
      </c>
      <c r="AG29" s="3">
        <v>21790</v>
      </c>
      <c r="AH29" s="6">
        <v>11.8</v>
      </c>
      <c r="AI29" s="3">
        <f t="shared" si="24"/>
        <v>2852.0833333333335</v>
      </c>
      <c r="AJ29" s="3">
        <v>6845</v>
      </c>
      <c r="AK29" s="6">
        <v>2.4</v>
      </c>
      <c r="AL29" s="3">
        <f t="shared" si="25"/>
        <v>2793</v>
      </c>
      <c r="AM29" s="3">
        <v>8379</v>
      </c>
      <c r="AN29" s="6">
        <v>3</v>
      </c>
      <c r="AO29" s="3">
        <f t="shared" si="12"/>
        <v>2665.9859154929577</v>
      </c>
      <c r="AP29" s="3">
        <f t="shared" si="13"/>
        <v>75714</v>
      </c>
      <c r="AQ29" s="6">
        <f t="shared" si="13"/>
        <v>28.4</v>
      </c>
      <c r="AR29" s="3"/>
      <c r="AS29" s="3"/>
      <c r="AT29" s="3"/>
      <c r="AU29" s="3"/>
      <c r="AV29" s="3"/>
      <c r="AW29" s="3"/>
      <c r="AX29" s="3"/>
      <c r="AY29" s="3"/>
      <c r="AZ29" s="3"/>
      <c r="BA29" s="3"/>
      <c r="BB29" s="3"/>
      <c r="BC29" s="3"/>
      <c r="BD29" s="3"/>
      <c r="BE29" s="3"/>
      <c r="BF29" s="3"/>
      <c r="BG29" s="3"/>
      <c r="BH29" s="3"/>
      <c r="BI29" s="3"/>
      <c r="BJ29" s="3"/>
      <c r="BK29" s="3"/>
      <c r="BL29" s="3"/>
      <c r="BM29" s="3"/>
      <c r="BN29" s="3"/>
      <c r="BO29" s="3"/>
    </row>
    <row r="30" spans="1:67" x14ac:dyDescent="0.3">
      <c r="A30" s="29" t="s">
        <v>65</v>
      </c>
      <c r="B30" s="20"/>
      <c r="C30" s="20"/>
      <c r="D30" s="20"/>
      <c r="E30" s="3">
        <f t="shared" si="14"/>
        <v>2177.7064220183483</v>
      </c>
      <c r="F30" s="3">
        <v>23737</v>
      </c>
      <c r="G30" s="6">
        <v>10.9</v>
      </c>
      <c r="H30" s="3">
        <f t="shared" si="15"/>
        <v>2100.1492537313434</v>
      </c>
      <c r="I30" s="3">
        <v>14071</v>
      </c>
      <c r="J30" s="6">
        <v>6.7</v>
      </c>
      <c r="K30" s="3">
        <f t="shared" si="16"/>
        <v>2386.9354838709678</v>
      </c>
      <c r="L30" s="3">
        <v>14799</v>
      </c>
      <c r="M30" s="6">
        <v>6.2</v>
      </c>
      <c r="N30" s="3" t="e">
        <f t="shared" si="17"/>
        <v>#DIV/0!</v>
      </c>
      <c r="O30" s="3">
        <v>0</v>
      </c>
      <c r="P30" s="6">
        <v>0</v>
      </c>
      <c r="Q30" s="3" t="e">
        <f t="shared" si="18"/>
        <v>#DIV/0!</v>
      </c>
      <c r="R30" s="3">
        <v>0</v>
      </c>
      <c r="S30" s="6">
        <v>0</v>
      </c>
      <c r="T30" s="3" t="e">
        <f t="shared" si="19"/>
        <v>#DIV/0!</v>
      </c>
      <c r="U30" s="3">
        <v>0</v>
      </c>
      <c r="V30" s="6">
        <v>0</v>
      </c>
      <c r="W30" s="3">
        <f t="shared" si="20"/>
        <v>2210.7407407407409</v>
      </c>
      <c r="X30" s="3">
        <v>29845</v>
      </c>
      <c r="Y30" s="6">
        <v>13.5</v>
      </c>
      <c r="Z30" s="3">
        <f t="shared" si="21"/>
        <v>2203.4375</v>
      </c>
      <c r="AA30" s="3">
        <v>7051</v>
      </c>
      <c r="AB30" s="6">
        <v>3.2</v>
      </c>
      <c r="AC30" s="3" t="e">
        <f t="shared" si="22"/>
        <v>#DIV/0!</v>
      </c>
      <c r="AD30" s="3">
        <v>0</v>
      </c>
      <c r="AE30" s="6">
        <v>0</v>
      </c>
      <c r="AF30" s="3">
        <f t="shared" si="23"/>
        <v>2210.7407407407404</v>
      </c>
      <c r="AG30" s="3">
        <v>11938</v>
      </c>
      <c r="AH30" s="6">
        <v>5.4</v>
      </c>
      <c r="AI30" s="3">
        <f t="shared" si="24"/>
        <v>2166.5822784810125</v>
      </c>
      <c r="AJ30" s="3">
        <v>17116</v>
      </c>
      <c r="AK30" s="6">
        <v>7.9</v>
      </c>
      <c r="AL30" s="3">
        <f t="shared" si="25"/>
        <v>2198.3783783783783</v>
      </c>
      <c r="AM30" s="3">
        <v>8134</v>
      </c>
      <c r="AN30" s="6">
        <v>3.7</v>
      </c>
      <c r="AO30" s="3">
        <f t="shared" si="12"/>
        <v>2203.3217391304347</v>
      </c>
      <c r="AP30" s="3">
        <f t="shared" si="13"/>
        <v>126691</v>
      </c>
      <c r="AQ30" s="6">
        <f t="shared" si="13"/>
        <v>57.5</v>
      </c>
      <c r="AR30" s="3"/>
      <c r="AS30" s="3"/>
      <c r="AT30" s="3"/>
      <c r="AU30" s="3"/>
      <c r="AV30" s="3"/>
      <c r="AW30" s="3"/>
      <c r="AX30" s="3"/>
      <c r="AY30" s="3"/>
      <c r="AZ30" s="3"/>
      <c r="BA30" s="3"/>
      <c r="BB30" s="3"/>
      <c r="BC30" s="3"/>
      <c r="BD30" s="3"/>
      <c r="BE30" s="3"/>
      <c r="BF30" s="3"/>
      <c r="BG30" s="3"/>
      <c r="BH30" s="3"/>
      <c r="BI30" s="3"/>
      <c r="BJ30" s="3"/>
      <c r="BK30" s="3"/>
      <c r="BL30" s="3"/>
      <c r="BM30" s="3"/>
      <c r="BN30" s="3"/>
      <c r="BO30" s="3"/>
    </row>
    <row r="31" spans="1:67" x14ac:dyDescent="0.3">
      <c r="A31" s="29" t="s">
        <v>61</v>
      </c>
      <c r="B31" s="20"/>
      <c r="C31" s="20"/>
      <c r="D31" s="20"/>
      <c r="E31" s="3">
        <f t="shared" si="14"/>
        <v>1545</v>
      </c>
      <c r="F31" s="3">
        <v>5253</v>
      </c>
      <c r="G31" s="6">
        <v>3.4</v>
      </c>
      <c r="H31" s="3">
        <f t="shared" si="15"/>
        <v>1818.59375</v>
      </c>
      <c r="I31" s="3">
        <v>11639</v>
      </c>
      <c r="J31" s="6">
        <v>6.4</v>
      </c>
      <c r="K31" s="3">
        <f t="shared" si="16"/>
        <v>2529.5</v>
      </c>
      <c r="L31" s="3">
        <v>10118</v>
      </c>
      <c r="M31" s="6">
        <v>4</v>
      </c>
      <c r="N31" s="3" t="e">
        <f t="shared" si="17"/>
        <v>#DIV/0!</v>
      </c>
      <c r="O31" s="3">
        <v>0</v>
      </c>
      <c r="P31" s="6">
        <v>0</v>
      </c>
      <c r="Q31" s="3">
        <f t="shared" si="18"/>
        <v>2971.4285714285716</v>
      </c>
      <c r="R31" s="3">
        <v>10400</v>
      </c>
      <c r="S31" s="6">
        <v>3.5</v>
      </c>
      <c r="T31" s="3">
        <f t="shared" si="19"/>
        <v>2602.2535211267609</v>
      </c>
      <c r="U31" s="3">
        <v>18476</v>
      </c>
      <c r="V31" s="6">
        <v>7.1</v>
      </c>
      <c r="W31" s="3" t="e">
        <f t="shared" si="20"/>
        <v>#DIV/0!</v>
      </c>
      <c r="X31" s="3">
        <v>0</v>
      </c>
      <c r="Y31" s="6">
        <v>0</v>
      </c>
      <c r="Z31" s="3">
        <f t="shared" si="21"/>
        <v>3050.7142857142858</v>
      </c>
      <c r="AA31" s="3">
        <v>4271</v>
      </c>
      <c r="AB31" s="6">
        <v>1.4</v>
      </c>
      <c r="AC31" s="3" t="e">
        <f t="shared" si="22"/>
        <v>#DIV/0!</v>
      </c>
      <c r="AD31" s="3">
        <v>0</v>
      </c>
      <c r="AE31" s="6">
        <v>0</v>
      </c>
      <c r="AF31" s="3" t="e">
        <f t="shared" si="23"/>
        <v>#DIV/0!</v>
      </c>
      <c r="AG31" s="3">
        <v>0</v>
      </c>
      <c r="AH31" s="6">
        <v>0</v>
      </c>
      <c r="AI31" s="3">
        <f t="shared" si="24"/>
        <v>2542</v>
      </c>
      <c r="AJ31" s="3">
        <v>3813</v>
      </c>
      <c r="AK31" s="6">
        <v>1.5</v>
      </c>
      <c r="AL31" s="3">
        <f t="shared" si="25"/>
        <v>2993.6842105263158</v>
      </c>
      <c r="AM31" s="3">
        <v>5688</v>
      </c>
      <c r="AN31" s="6">
        <v>1.9</v>
      </c>
      <c r="AO31" s="3">
        <f t="shared" si="12"/>
        <v>2385.5479452054797</v>
      </c>
      <c r="AP31" s="3">
        <f t="shared" si="13"/>
        <v>69658</v>
      </c>
      <c r="AQ31" s="6">
        <f t="shared" si="13"/>
        <v>29.199999999999996</v>
      </c>
      <c r="AR31" s="3"/>
      <c r="AS31" s="3"/>
      <c r="AT31" s="3"/>
      <c r="AU31" s="3"/>
      <c r="AV31" s="3"/>
      <c r="AW31" s="3"/>
      <c r="AX31" s="3"/>
      <c r="AY31" s="3"/>
      <c r="AZ31" s="3"/>
      <c r="BA31" s="3"/>
      <c r="BB31" s="3"/>
      <c r="BC31" s="3"/>
      <c r="BD31" s="3"/>
      <c r="BE31" s="3"/>
      <c r="BF31" s="3"/>
      <c r="BG31" s="3"/>
      <c r="BH31" s="3"/>
      <c r="BI31" s="3"/>
      <c r="BJ31" s="3"/>
      <c r="BK31" s="3"/>
      <c r="BL31" s="3"/>
      <c r="BM31" s="3"/>
      <c r="BN31" s="3"/>
      <c r="BO31" s="3"/>
    </row>
    <row r="32" spans="1:67" x14ac:dyDescent="0.3">
      <c r="A32" s="29" t="s">
        <v>64</v>
      </c>
      <c r="B32" s="20"/>
      <c r="C32" s="20"/>
      <c r="D32" s="20"/>
      <c r="E32" s="3" t="e">
        <f t="shared" si="14"/>
        <v>#DIV/0!</v>
      </c>
      <c r="F32" s="3">
        <v>0</v>
      </c>
      <c r="G32" s="6">
        <v>0</v>
      </c>
      <c r="H32" s="3" t="e">
        <f t="shared" si="15"/>
        <v>#DIV/0!</v>
      </c>
      <c r="I32" s="3">
        <v>0</v>
      </c>
      <c r="J32" s="6">
        <v>0</v>
      </c>
      <c r="K32" s="3">
        <f t="shared" si="16"/>
        <v>1963.6363636363637</v>
      </c>
      <c r="L32" s="3">
        <v>6480</v>
      </c>
      <c r="M32" s="6">
        <v>3.3</v>
      </c>
      <c r="N32" s="3" t="e">
        <f t="shared" si="17"/>
        <v>#DIV/0!</v>
      </c>
      <c r="O32" s="3">
        <v>0</v>
      </c>
      <c r="P32" s="6">
        <v>0</v>
      </c>
      <c r="Q32" s="3">
        <f t="shared" si="18"/>
        <v>2004.375</v>
      </c>
      <c r="R32" s="3">
        <v>6414</v>
      </c>
      <c r="S32" s="6">
        <v>3.2</v>
      </c>
      <c r="T32" s="3" t="e">
        <f t="shared" si="19"/>
        <v>#DIV/0!</v>
      </c>
      <c r="U32" s="3">
        <v>0</v>
      </c>
      <c r="V32" s="6">
        <v>0</v>
      </c>
      <c r="W32" s="3">
        <f t="shared" si="20"/>
        <v>2050</v>
      </c>
      <c r="X32" s="3">
        <v>3895</v>
      </c>
      <c r="Y32" s="6">
        <v>1.9</v>
      </c>
      <c r="Z32" s="3" t="e">
        <f t="shared" si="21"/>
        <v>#DIV/0!</v>
      </c>
      <c r="AA32" s="3">
        <v>0</v>
      </c>
      <c r="AB32" s="6">
        <v>0</v>
      </c>
      <c r="AC32" s="3" t="e">
        <f t="shared" si="22"/>
        <v>#DIV/0!</v>
      </c>
      <c r="AD32" s="3">
        <v>0</v>
      </c>
      <c r="AE32" s="6">
        <v>0</v>
      </c>
      <c r="AF32" s="3">
        <f t="shared" si="23"/>
        <v>2059.3333333333335</v>
      </c>
      <c r="AG32" s="3">
        <v>3089</v>
      </c>
      <c r="AH32" s="6">
        <v>1.5</v>
      </c>
      <c r="AI32" s="3">
        <f t="shared" si="24"/>
        <v>1310.4000000000001</v>
      </c>
      <c r="AJ32" s="3">
        <v>6552</v>
      </c>
      <c r="AK32" s="6">
        <v>5</v>
      </c>
      <c r="AL32" s="3">
        <f t="shared" si="25"/>
        <v>1988</v>
      </c>
      <c r="AM32" s="3">
        <v>4970</v>
      </c>
      <c r="AN32" s="6">
        <v>2.5</v>
      </c>
      <c r="AO32" s="3">
        <f t="shared" si="12"/>
        <v>1804.5977011494253</v>
      </c>
      <c r="AP32" s="3">
        <f t="shared" si="13"/>
        <v>31400</v>
      </c>
      <c r="AQ32" s="6">
        <f t="shared" si="13"/>
        <v>17.399999999999999</v>
      </c>
      <c r="AR32" s="3"/>
      <c r="AS32" s="3"/>
      <c r="AT32" s="3"/>
      <c r="AU32" s="3"/>
      <c r="AV32" s="3"/>
      <c r="AW32" s="3"/>
      <c r="AX32" s="3"/>
      <c r="AY32" s="3"/>
      <c r="AZ32" s="3"/>
      <c r="BA32" s="3"/>
      <c r="BB32" s="3"/>
      <c r="BC32" s="3"/>
      <c r="BD32" s="3"/>
      <c r="BE32" s="3"/>
      <c r="BF32" s="3"/>
      <c r="BG32" s="3"/>
      <c r="BH32" s="3"/>
      <c r="BI32" s="3"/>
      <c r="BJ32" s="3"/>
      <c r="BK32" s="3"/>
      <c r="BL32" s="3"/>
      <c r="BM32" s="3"/>
      <c r="BN32" s="3"/>
      <c r="BO32" s="3"/>
    </row>
    <row r="33" spans="1:67" x14ac:dyDescent="0.3">
      <c r="A33" s="29" t="s">
        <v>49</v>
      </c>
      <c r="B33" s="20"/>
      <c r="C33" s="20"/>
      <c r="D33" s="20"/>
      <c r="E33" s="3">
        <f t="shared" si="14"/>
        <v>1563.2786885245901</v>
      </c>
      <c r="F33" s="3">
        <v>28608</v>
      </c>
      <c r="G33" s="6">
        <v>18.3</v>
      </c>
      <c r="H33" s="3">
        <f t="shared" si="15"/>
        <v>1443.8095238095239</v>
      </c>
      <c r="I33" s="3">
        <v>9096</v>
      </c>
      <c r="J33" s="6">
        <v>6.3</v>
      </c>
      <c r="K33" s="3">
        <f t="shared" si="16"/>
        <v>1501.1538461538462</v>
      </c>
      <c r="L33" s="3">
        <v>35127</v>
      </c>
      <c r="M33" s="6">
        <v>23.4</v>
      </c>
      <c r="N33" s="3">
        <f t="shared" si="17"/>
        <v>1462.3636363636363</v>
      </c>
      <c r="O33" s="3">
        <v>24129</v>
      </c>
      <c r="P33" s="6">
        <v>16.5</v>
      </c>
      <c r="Q33" s="3">
        <f t="shared" si="18"/>
        <v>1816.1111111111111</v>
      </c>
      <c r="R33" s="3">
        <v>13076</v>
      </c>
      <c r="S33" s="6">
        <v>7.2</v>
      </c>
      <c r="T33" s="3">
        <f t="shared" si="19"/>
        <v>1534.2</v>
      </c>
      <c r="U33" s="3">
        <v>15342</v>
      </c>
      <c r="V33" s="6">
        <v>10</v>
      </c>
      <c r="W33" s="3">
        <f t="shared" si="20"/>
        <v>1590.9195402298851</v>
      </c>
      <c r="X33" s="3">
        <v>13841</v>
      </c>
      <c r="Y33" s="6">
        <v>8.6999999999999993</v>
      </c>
      <c r="Z33" s="3">
        <f t="shared" si="21"/>
        <v>1491.0958904109589</v>
      </c>
      <c r="AA33" s="3">
        <v>10885</v>
      </c>
      <c r="AB33" s="6">
        <v>7.3</v>
      </c>
      <c r="AC33" s="3">
        <f t="shared" si="22"/>
        <v>1542.5806451612902</v>
      </c>
      <c r="AD33" s="3">
        <v>9564</v>
      </c>
      <c r="AE33" s="6">
        <v>6.2</v>
      </c>
      <c r="AF33" s="3">
        <f t="shared" si="23"/>
        <v>1292.4137931034484</v>
      </c>
      <c r="AG33" s="3">
        <v>3748</v>
      </c>
      <c r="AH33" s="6">
        <v>2.9</v>
      </c>
      <c r="AI33" s="3">
        <f t="shared" si="24"/>
        <v>1428.918918918919</v>
      </c>
      <c r="AJ33" s="3">
        <v>10574</v>
      </c>
      <c r="AK33" s="6">
        <v>7.4</v>
      </c>
      <c r="AL33" s="3">
        <f t="shared" si="25"/>
        <v>1676.6666666666667</v>
      </c>
      <c r="AM33" s="3">
        <v>4024</v>
      </c>
      <c r="AN33" s="6">
        <v>2.4</v>
      </c>
      <c r="AO33" s="3">
        <f t="shared" si="12"/>
        <v>1526.706689536878</v>
      </c>
      <c r="AP33" s="3">
        <f t="shared" si="13"/>
        <v>178014</v>
      </c>
      <c r="AQ33" s="6">
        <f t="shared" si="13"/>
        <v>116.60000000000002</v>
      </c>
      <c r="AR33" s="3"/>
      <c r="AS33" s="3"/>
      <c r="AT33" s="3"/>
      <c r="AU33" s="3"/>
      <c r="AV33" s="3"/>
      <c r="AW33" s="3"/>
      <c r="AX33" s="3"/>
      <c r="AY33" s="3"/>
      <c r="AZ33" s="3"/>
      <c r="BA33" s="3"/>
      <c r="BB33" s="3"/>
      <c r="BC33" s="3"/>
      <c r="BD33" s="3"/>
      <c r="BE33" s="3"/>
      <c r="BF33" s="3"/>
      <c r="BG33" s="3"/>
      <c r="BH33" s="3"/>
      <c r="BI33" s="3"/>
      <c r="BJ33" s="3"/>
      <c r="BK33" s="3"/>
      <c r="BL33" s="3"/>
      <c r="BM33" s="3"/>
      <c r="BN33" s="3"/>
      <c r="BO33" s="3"/>
    </row>
    <row r="34" spans="1:67" x14ac:dyDescent="0.3">
      <c r="A34" s="29" t="s">
        <v>87</v>
      </c>
      <c r="B34" s="20"/>
      <c r="C34" s="20"/>
      <c r="D34" s="20"/>
      <c r="E34" s="3" t="e">
        <f t="shared" si="14"/>
        <v>#DIV/0!</v>
      </c>
      <c r="F34" s="3">
        <v>0</v>
      </c>
      <c r="G34" s="6">
        <v>0</v>
      </c>
      <c r="H34" s="3" t="e">
        <f t="shared" si="15"/>
        <v>#DIV/0!</v>
      </c>
      <c r="I34" s="3">
        <v>0</v>
      </c>
      <c r="J34" s="6">
        <v>0</v>
      </c>
      <c r="K34" s="3" t="e">
        <f t="shared" si="16"/>
        <v>#DIV/0!</v>
      </c>
      <c r="L34" s="3">
        <v>0</v>
      </c>
      <c r="M34" s="6">
        <v>0</v>
      </c>
      <c r="N34" s="3" t="e">
        <f t="shared" si="17"/>
        <v>#DIV/0!</v>
      </c>
      <c r="O34" s="3">
        <v>0</v>
      </c>
      <c r="P34" s="6">
        <v>0</v>
      </c>
      <c r="Q34" s="3" t="e">
        <f t="shared" si="18"/>
        <v>#DIV/0!</v>
      </c>
      <c r="R34" s="3">
        <v>0</v>
      </c>
      <c r="S34" s="6">
        <v>0</v>
      </c>
      <c r="T34" s="3" t="e">
        <f t="shared" si="19"/>
        <v>#DIV/0!</v>
      </c>
      <c r="U34" s="3">
        <v>0</v>
      </c>
      <c r="V34" s="6">
        <v>0</v>
      </c>
      <c r="W34" s="3" t="e">
        <f t="shared" si="20"/>
        <v>#DIV/0!</v>
      </c>
      <c r="X34" s="3">
        <v>0</v>
      </c>
      <c r="Y34" s="6">
        <v>0</v>
      </c>
      <c r="Z34" s="3" t="e">
        <f t="shared" si="21"/>
        <v>#DIV/0!</v>
      </c>
      <c r="AA34" s="3">
        <v>0</v>
      </c>
      <c r="AB34" s="6">
        <v>0</v>
      </c>
      <c r="AC34" s="3" t="e">
        <f t="shared" si="22"/>
        <v>#DIV/0!</v>
      </c>
      <c r="AD34" s="3">
        <v>0</v>
      </c>
      <c r="AE34" s="6">
        <v>0</v>
      </c>
      <c r="AF34" s="3">
        <f t="shared" si="23"/>
        <v>1413.75</v>
      </c>
      <c r="AG34" s="3">
        <v>3393</v>
      </c>
      <c r="AH34" s="6">
        <v>2.4</v>
      </c>
      <c r="AI34" s="3" t="e">
        <f t="shared" si="24"/>
        <v>#DIV/0!</v>
      </c>
      <c r="AJ34" s="3">
        <v>0</v>
      </c>
      <c r="AK34" s="6">
        <v>0</v>
      </c>
      <c r="AL34" s="3">
        <f t="shared" si="25"/>
        <v>1799.9999999999998</v>
      </c>
      <c r="AM34" s="3">
        <v>3960</v>
      </c>
      <c r="AN34" s="6">
        <v>2.2000000000000002</v>
      </c>
      <c r="AO34" s="3">
        <f t="shared" si="12"/>
        <v>1598.4782608695652</v>
      </c>
      <c r="AP34" s="3">
        <f t="shared" si="13"/>
        <v>7353</v>
      </c>
      <c r="AQ34" s="6">
        <f t="shared" si="13"/>
        <v>4.5999999999999996</v>
      </c>
      <c r="AR34" s="3"/>
      <c r="AS34" s="3"/>
      <c r="AT34" s="3"/>
      <c r="AU34" s="3"/>
      <c r="AV34" s="3"/>
      <c r="AW34" s="3"/>
      <c r="AX34" s="3"/>
      <c r="AY34" s="3"/>
      <c r="AZ34" s="3"/>
      <c r="BA34" s="3"/>
      <c r="BB34" s="3"/>
      <c r="BC34" s="3"/>
      <c r="BD34" s="3"/>
      <c r="BE34" s="3"/>
      <c r="BF34" s="3"/>
      <c r="BG34" s="3"/>
      <c r="BH34" s="3"/>
      <c r="BI34" s="3"/>
      <c r="BJ34" s="3"/>
      <c r="BK34" s="3"/>
      <c r="BL34" s="3"/>
      <c r="BM34" s="3"/>
      <c r="BN34" s="3"/>
      <c r="BO34" s="3"/>
    </row>
    <row r="35" spans="1:67" x14ac:dyDescent="0.3">
      <c r="A35" s="29" t="s">
        <v>34</v>
      </c>
      <c r="B35" s="20"/>
      <c r="C35" s="20"/>
      <c r="D35" s="20"/>
      <c r="E35" s="3" t="e">
        <f t="shared" si="14"/>
        <v>#DIV/0!</v>
      </c>
      <c r="F35" s="3">
        <v>0</v>
      </c>
      <c r="G35" s="6">
        <v>0</v>
      </c>
      <c r="H35" s="3" t="e">
        <f t="shared" si="15"/>
        <v>#DIV/0!</v>
      </c>
      <c r="I35" s="3">
        <v>0</v>
      </c>
      <c r="J35" s="6">
        <v>0</v>
      </c>
      <c r="K35" s="3" t="e">
        <f t="shared" si="16"/>
        <v>#DIV/0!</v>
      </c>
      <c r="L35" s="3">
        <v>0</v>
      </c>
      <c r="M35" s="6">
        <v>0</v>
      </c>
      <c r="N35" s="3" t="e">
        <f t="shared" si="17"/>
        <v>#DIV/0!</v>
      </c>
      <c r="O35" s="3">
        <v>0</v>
      </c>
      <c r="P35" s="6">
        <v>0</v>
      </c>
      <c r="Q35" s="3" t="e">
        <f t="shared" si="18"/>
        <v>#DIV/0!</v>
      </c>
      <c r="R35" s="3">
        <v>0</v>
      </c>
      <c r="S35" s="6">
        <v>0</v>
      </c>
      <c r="T35" s="3" t="e">
        <f t="shared" si="19"/>
        <v>#DIV/0!</v>
      </c>
      <c r="U35" s="3">
        <v>0</v>
      </c>
      <c r="V35" s="6">
        <v>0</v>
      </c>
      <c r="W35" s="3" t="e">
        <f t="shared" si="20"/>
        <v>#DIV/0!</v>
      </c>
      <c r="X35" s="3">
        <v>0</v>
      </c>
      <c r="Y35" s="6">
        <v>0</v>
      </c>
      <c r="Z35" s="3" t="e">
        <f t="shared" si="21"/>
        <v>#DIV/0!</v>
      </c>
      <c r="AA35" s="3">
        <v>0</v>
      </c>
      <c r="AB35" s="6">
        <v>0</v>
      </c>
      <c r="AC35" s="3" t="e">
        <f t="shared" si="22"/>
        <v>#DIV/0!</v>
      </c>
      <c r="AD35" s="3">
        <v>0</v>
      </c>
      <c r="AE35" s="6">
        <v>0</v>
      </c>
      <c r="AF35" s="3" t="e">
        <f t="shared" si="23"/>
        <v>#DIV/0!</v>
      </c>
      <c r="AG35" s="3">
        <v>0</v>
      </c>
      <c r="AH35" s="6">
        <v>0</v>
      </c>
      <c r="AI35" s="3" t="e">
        <f t="shared" si="24"/>
        <v>#DIV/0!</v>
      </c>
      <c r="AJ35" s="3">
        <v>0</v>
      </c>
      <c r="AK35" s="6">
        <v>0</v>
      </c>
      <c r="AL35" s="3">
        <f t="shared" si="25"/>
        <v>1210</v>
      </c>
      <c r="AM35" s="3">
        <v>3630</v>
      </c>
      <c r="AN35" s="6">
        <v>3</v>
      </c>
      <c r="AO35" s="3">
        <f t="shared" si="12"/>
        <v>1210</v>
      </c>
      <c r="AP35" s="3">
        <f t="shared" si="13"/>
        <v>3630</v>
      </c>
      <c r="AQ35" s="6">
        <f t="shared" si="13"/>
        <v>3</v>
      </c>
      <c r="AR35" s="3"/>
      <c r="AS35" s="3"/>
      <c r="AT35" s="3"/>
      <c r="AU35" s="3"/>
      <c r="AV35" s="3"/>
      <c r="AW35" s="3"/>
      <c r="AX35" s="3"/>
      <c r="AY35" s="3"/>
      <c r="AZ35" s="3"/>
      <c r="BA35" s="3"/>
      <c r="BB35" s="3"/>
      <c r="BC35" s="3"/>
      <c r="BD35" s="3"/>
      <c r="BE35" s="3"/>
      <c r="BF35" s="3"/>
      <c r="BG35" s="3"/>
      <c r="BH35" s="3"/>
      <c r="BI35" s="3"/>
      <c r="BJ35" s="3"/>
      <c r="BK35" s="3"/>
      <c r="BL35" s="3"/>
      <c r="BM35" s="3"/>
      <c r="BN35" s="3"/>
      <c r="BO35" s="3"/>
    </row>
    <row r="36" spans="1:67" x14ac:dyDescent="0.3">
      <c r="A36" s="29" t="s">
        <v>58</v>
      </c>
      <c r="B36" s="20"/>
      <c r="C36" s="20"/>
      <c r="D36" s="20"/>
      <c r="E36" s="3" t="e">
        <f t="shared" si="14"/>
        <v>#DIV/0!</v>
      </c>
      <c r="F36" s="3">
        <v>0</v>
      </c>
      <c r="G36" s="6">
        <v>0</v>
      </c>
      <c r="H36" s="3" t="e">
        <f t="shared" si="15"/>
        <v>#DIV/0!</v>
      </c>
      <c r="I36" s="3">
        <v>0</v>
      </c>
      <c r="J36" s="6">
        <v>0</v>
      </c>
      <c r="K36" s="3" t="e">
        <f t="shared" si="16"/>
        <v>#DIV/0!</v>
      </c>
      <c r="L36" s="3">
        <v>0</v>
      </c>
      <c r="M36" s="6">
        <v>0</v>
      </c>
      <c r="N36" s="3" t="e">
        <f t="shared" si="17"/>
        <v>#DIV/0!</v>
      </c>
      <c r="O36" s="3">
        <v>0</v>
      </c>
      <c r="P36" s="6">
        <v>0</v>
      </c>
      <c r="Q36" s="3" t="e">
        <f t="shared" si="18"/>
        <v>#DIV/0!</v>
      </c>
      <c r="R36" s="3">
        <v>0</v>
      </c>
      <c r="S36" s="6">
        <v>0</v>
      </c>
      <c r="T36" s="3" t="e">
        <f t="shared" si="19"/>
        <v>#DIV/0!</v>
      </c>
      <c r="U36" s="3">
        <v>0</v>
      </c>
      <c r="V36" s="6">
        <v>0</v>
      </c>
      <c r="W36" s="3">
        <f t="shared" si="20"/>
        <v>1434.4</v>
      </c>
      <c r="X36" s="3">
        <v>3586</v>
      </c>
      <c r="Y36" s="6">
        <v>2.5</v>
      </c>
      <c r="Z36" s="3" t="e">
        <f t="shared" si="21"/>
        <v>#DIV/0!</v>
      </c>
      <c r="AA36" s="3">
        <v>0</v>
      </c>
      <c r="AB36" s="6">
        <v>0</v>
      </c>
      <c r="AC36" s="3" t="e">
        <f t="shared" si="22"/>
        <v>#DIV/0!</v>
      </c>
      <c r="AD36" s="3">
        <v>0</v>
      </c>
      <c r="AE36" s="6">
        <v>0</v>
      </c>
      <c r="AF36" s="3">
        <f t="shared" si="23"/>
        <v>1244.8</v>
      </c>
      <c r="AG36" s="3">
        <v>3112</v>
      </c>
      <c r="AH36" s="6">
        <v>2.5</v>
      </c>
      <c r="AI36" s="3">
        <f t="shared" si="24"/>
        <v>1164.8962655601658</v>
      </c>
      <c r="AJ36" s="3">
        <v>28074</v>
      </c>
      <c r="AK36" s="6">
        <v>24.1</v>
      </c>
      <c r="AL36" s="3">
        <f t="shared" si="25"/>
        <v>1292</v>
      </c>
      <c r="AM36" s="3">
        <v>3230</v>
      </c>
      <c r="AN36" s="6">
        <v>2.5</v>
      </c>
      <c r="AO36" s="3">
        <f t="shared" si="12"/>
        <v>1202.5949367088608</v>
      </c>
      <c r="AP36" s="3">
        <f t="shared" si="13"/>
        <v>38002</v>
      </c>
      <c r="AQ36" s="6">
        <f t="shared" si="13"/>
        <v>31.6</v>
      </c>
      <c r="AR36" s="3"/>
      <c r="AS36" s="3"/>
      <c r="AT36" s="3"/>
      <c r="AU36" s="3"/>
      <c r="AV36" s="3"/>
      <c r="AW36" s="3"/>
      <c r="AX36" s="3"/>
      <c r="AY36" s="3"/>
      <c r="AZ36" s="3"/>
      <c r="BA36" s="3"/>
      <c r="BB36" s="3"/>
      <c r="BC36" s="3"/>
      <c r="BD36" s="3"/>
      <c r="BE36" s="3"/>
      <c r="BF36" s="3"/>
      <c r="BG36" s="3"/>
      <c r="BH36" s="3"/>
      <c r="BI36" s="3"/>
      <c r="BJ36" s="3"/>
      <c r="BK36" s="3"/>
      <c r="BL36" s="3"/>
      <c r="BM36" s="3"/>
      <c r="BN36" s="3"/>
      <c r="BO36" s="3"/>
    </row>
    <row r="37" spans="1:67" x14ac:dyDescent="0.3">
      <c r="A37" s="29" t="s">
        <v>37</v>
      </c>
      <c r="B37" s="20"/>
      <c r="C37" s="20"/>
      <c r="D37" s="20"/>
      <c r="E37" s="3" t="e">
        <f t="shared" si="14"/>
        <v>#DIV/0!</v>
      </c>
      <c r="F37" s="3">
        <v>0</v>
      </c>
      <c r="G37" s="6">
        <v>0</v>
      </c>
      <c r="H37" s="3">
        <f t="shared" si="15"/>
        <v>1145.3643216080402</v>
      </c>
      <c r="I37" s="3">
        <v>91171</v>
      </c>
      <c r="J37" s="6">
        <v>79.599999999999994</v>
      </c>
      <c r="K37" s="3">
        <f t="shared" si="16"/>
        <v>1756.875</v>
      </c>
      <c r="L37" s="3">
        <v>2811</v>
      </c>
      <c r="M37" s="6">
        <v>1.6</v>
      </c>
      <c r="N37" s="3">
        <f t="shared" si="17"/>
        <v>1745.6521739130437</v>
      </c>
      <c r="O37" s="3">
        <v>4015</v>
      </c>
      <c r="P37" s="6">
        <v>2.2999999999999998</v>
      </c>
      <c r="Q37" s="3">
        <f t="shared" si="18"/>
        <v>1775.2631578947369</v>
      </c>
      <c r="R37" s="3">
        <v>3373</v>
      </c>
      <c r="S37" s="6">
        <v>1.9</v>
      </c>
      <c r="T37" s="3" t="e">
        <f t="shared" si="19"/>
        <v>#DIV/0!</v>
      </c>
      <c r="U37" s="3">
        <v>0</v>
      </c>
      <c r="V37" s="6">
        <v>0</v>
      </c>
      <c r="W37" s="3" t="e">
        <f t="shared" si="20"/>
        <v>#DIV/0!</v>
      </c>
      <c r="X37" s="3">
        <v>0</v>
      </c>
      <c r="Y37" s="6">
        <v>0</v>
      </c>
      <c r="Z37" s="3" t="e">
        <f t="shared" si="21"/>
        <v>#DIV/0!</v>
      </c>
      <c r="AA37" s="3">
        <v>0</v>
      </c>
      <c r="AB37" s="6">
        <v>0</v>
      </c>
      <c r="AC37" s="3" t="e">
        <f t="shared" si="22"/>
        <v>#DIV/0!</v>
      </c>
      <c r="AD37" s="3">
        <v>0</v>
      </c>
      <c r="AE37" s="6">
        <v>0</v>
      </c>
      <c r="AF37" s="3">
        <f t="shared" si="23"/>
        <v>1074.0999999999999</v>
      </c>
      <c r="AG37" s="3">
        <v>64446</v>
      </c>
      <c r="AH37" s="6">
        <v>60</v>
      </c>
      <c r="AI37" s="3" t="e">
        <f t="shared" si="24"/>
        <v>#DIV/0!</v>
      </c>
      <c r="AJ37" s="3">
        <v>0</v>
      </c>
      <c r="AK37" s="6">
        <v>0</v>
      </c>
      <c r="AL37" s="3">
        <f t="shared" si="25"/>
        <v>2618.181818181818</v>
      </c>
      <c r="AM37" s="3">
        <v>2880</v>
      </c>
      <c r="AN37" s="6">
        <v>1.1000000000000001</v>
      </c>
      <c r="AO37" s="3">
        <f t="shared" si="12"/>
        <v>1151.5085324232084</v>
      </c>
      <c r="AP37" s="3">
        <f t="shared" si="13"/>
        <v>168696</v>
      </c>
      <c r="AQ37" s="6">
        <f t="shared" si="13"/>
        <v>146.49999999999997</v>
      </c>
      <c r="AR37" s="3"/>
      <c r="AS37" s="3"/>
      <c r="AT37" s="3"/>
      <c r="AU37" s="3"/>
      <c r="AV37" s="3"/>
      <c r="AW37" s="3"/>
      <c r="AX37" s="3"/>
      <c r="AY37" s="3"/>
      <c r="AZ37" s="3"/>
      <c r="BA37" s="3"/>
      <c r="BB37" s="3"/>
      <c r="BC37" s="3"/>
      <c r="BD37" s="3"/>
      <c r="BE37" s="3"/>
      <c r="BF37" s="3"/>
      <c r="BG37" s="3"/>
      <c r="BH37" s="3"/>
      <c r="BI37" s="3"/>
      <c r="BJ37" s="3"/>
      <c r="BK37" s="3"/>
      <c r="BL37" s="3"/>
      <c r="BM37" s="3"/>
      <c r="BN37" s="3"/>
      <c r="BO37" s="3"/>
    </row>
    <row r="38" spans="1:67" x14ac:dyDescent="0.3">
      <c r="A38" s="29" t="s">
        <v>36</v>
      </c>
      <c r="B38" s="20"/>
      <c r="C38" s="20"/>
      <c r="D38" s="20"/>
      <c r="E38" s="3" t="e">
        <f t="shared" si="14"/>
        <v>#DIV/0!</v>
      </c>
      <c r="F38" s="3">
        <v>0</v>
      </c>
      <c r="G38" s="6">
        <v>0</v>
      </c>
      <c r="H38" s="3" t="e">
        <f t="shared" si="15"/>
        <v>#DIV/0!</v>
      </c>
      <c r="I38" s="3">
        <v>0</v>
      </c>
      <c r="J38" s="6">
        <v>0</v>
      </c>
      <c r="K38" s="3" t="e">
        <f t="shared" si="16"/>
        <v>#DIV/0!</v>
      </c>
      <c r="L38" s="3">
        <v>0</v>
      </c>
      <c r="M38" s="6">
        <v>0</v>
      </c>
      <c r="N38" s="3" t="e">
        <f t="shared" si="17"/>
        <v>#DIV/0!</v>
      </c>
      <c r="O38" s="3">
        <v>0</v>
      </c>
      <c r="P38" s="6">
        <v>0</v>
      </c>
      <c r="Q38" s="3" t="e">
        <f t="shared" si="18"/>
        <v>#DIV/0!</v>
      </c>
      <c r="R38" s="3">
        <v>0</v>
      </c>
      <c r="S38" s="6">
        <v>0</v>
      </c>
      <c r="T38" s="3" t="e">
        <f t="shared" si="19"/>
        <v>#DIV/0!</v>
      </c>
      <c r="U38" s="3">
        <v>0</v>
      </c>
      <c r="V38" s="6">
        <v>0</v>
      </c>
      <c r="W38" s="3" t="e">
        <f t="shared" si="20"/>
        <v>#DIV/0!</v>
      </c>
      <c r="X38" s="3">
        <v>0</v>
      </c>
      <c r="Y38" s="6">
        <v>0</v>
      </c>
      <c r="Z38" s="3" t="e">
        <f t="shared" si="21"/>
        <v>#DIV/0!</v>
      </c>
      <c r="AA38" s="3">
        <v>0</v>
      </c>
      <c r="AB38" s="6">
        <v>0</v>
      </c>
      <c r="AC38" s="3" t="e">
        <f t="shared" si="22"/>
        <v>#DIV/0!</v>
      </c>
      <c r="AD38" s="3">
        <v>0</v>
      </c>
      <c r="AE38" s="6">
        <v>0</v>
      </c>
      <c r="AF38" s="3" t="e">
        <f t="shared" si="23"/>
        <v>#DIV/0!</v>
      </c>
      <c r="AG38" s="3">
        <v>0</v>
      </c>
      <c r="AH38" s="6">
        <v>0</v>
      </c>
      <c r="AI38" s="3" t="e">
        <f t="shared" si="24"/>
        <v>#DIV/0!</v>
      </c>
      <c r="AJ38" s="3">
        <v>0</v>
      </c>
      <c r="AK38" s="6">
        <v>0</v>
      </c>
      <c r="AL38" s="3">
        <f t="shared" si="25"/>
        <v>1294.5</v>
      </c>
      <c r="AM38" s="3">
        <v>2589</v>
      </c>
      <c r="AN38" s="6">
        <v>2</v>
      </c>
      <c r="AO38" s="3">
        <f t="shared" si="12"/>
        <v>1294.5</v>
      </c>
      <c r="AP38" s="3">
        <f t="shared" si="13"/>
        <v>2589</v>
      </c>
      <c r="AQ38" s="6">
        <f t="shared" si="13"/>
        <v>2</v>
      </c>
      <c r="AR38" s="3"/>
      <c r="AS38" s="3"/>
      <c r="AT38" s="3"/>
      <c r="AU38" s="3"/>
      <c r="AV38" s="3"/>
      <c r="AW38" s="3"/>
      <c r="AX38" s="3"/>
      <c r="AY38" s="3"/>
      <c r="AZ38" s="3"/>
      <c r="BA38" s="3"/>
      <c r="BB38" s="3"/>
      <c r="BC38" s="3"/>
      <c r="BD38" s="3"/>
      <c r="BE38" s="3"/>
      <c r="BF38" s="3"/>
      <c r="BG38" s="3"/>
      <c r="BH38" s="3"/>
      <c r="BI38" s="3"/>
      <c r="BJ38" s="3"/>
      <c r="BK38" s="3"/>
      <c r="BL38" s="3"/>
      <c r="BM38" s="3"/>
      <c r="BN38" s="3"/>
      <c r="BO38" s="3"/>
    </row>
    <row r="39" spans="1:67" x14ac:dyDescent="0.3">
      <c r="A39" s="29" t="s">
        <v>89</v>
      </c>
      <c r="B39" s="20"/>
      <c r="C39" s="20"/>
      <c r="D39" s="20"/>
      <c r="E39" s="3" t="e">
        <f t="shared" si="14"/>
        <v>#DIV/0!</v>
      </c>
      <c r="F39" s="3">
        <v>0</v>
      </c>
      <c r="G39" s="6">
        <v>0</v>
      </c>
      <c r="H39" s="3" t="e">
        <f t="shared" si="15"/>
        <v>#DIV/0!</v>
      </c>
      <c r="I39" s="3">
        <v>0</v>
      </c>
      <c r="J39" s="6">
        <v>0</v>
      </c>
      <c r="K39" s="3" t="e">
        <f t="shared" si="16"/>
        <v>#DIV/0!</v>
      </c>
      <c r="L39" s="3">
        <v>0</v>
      </c>
      <c r="M39" s="6">
        <v>0</v>
      </c>
      <c r="N39" s="3" t="e">
        <f t="shared" si="17"/>
        <v>#DIV/0!</v>
      </c>
      <c r="O39" s="3">
        <v>0</v>
      </c>
      <c r="P39" s="6">
        <v>0</v>
      </c>
      <c r="Q39" s="3" t="e">
        <f t="shared" si="18"/>
        <v>#DIV/0!</v>
      </c>
      <c r="R39" s="3">
        <v>0</v>
      </c>
      <c r="S39" s="6">
        <v>0</v>
      </c>
      <c r="T39" s="3" t="e">
        <f t="shared" si="19"/>
        <v>#DIV/0!</v>
      </c>
      <c r="U39" s="3">
        <v>0</v>
      </c>
      <c r="V39" s="6">
        <v>0</v>
      </c>
      <c r="W39" s="3">
        <f t="shared" si="20"/>
        <v>3238.8888888888887</v>
      </c>
      <c r="X39" s="3">
        <v>2915</v>
      </c>
      <c r="Y39" s="6">
        <v>0.9</v>
      </c>
      <c r="Z39" s="3" t="e">
        <f t="shared" si="21"/>
        <v>#DIV/0!</v>
      </c>
      <c r="AA39" s="3">
        <v>0</v>
      </c>
      <c r="AB39" s="6">
        <v>0</v>
      </c>
      <c r="AC39" s="3" t="e">
        <f t="shared" si="22"/>
        <v>#DIV/0!</v>
      </c>
      <c r="AD39" s="3">
        <v>0</v>
      </c>
      <c r="AE39" s="6">
        <v>0</v>
      </c>
      <c r="AF39" s="3" t="e">
        <f t="shared" si="23"/>
        <v>#DIV/0!</v>
      </c>
      <c r="AG39" s="3">
        <v>0</v>
      </c>
      <c r="AH39" s="6">
        <v>0</v>
      </c>
      <c r="AI39" s="3" t="e">
        <f t="shared" si="24"/>
        <v>#DIV/0!</v>
      </c>
      <c r="AJ39" s="3">
        <v>0</v>
      </c>
      <c r="AK39" s="6">
        <v>0</v>
      </c>
      <c r="AL39" s="3" t="e">
        <f t="shared" si="25"/>
        <v>#DIV/0!</v>
      </c>
      <c r="AM39" s="3">
        <v>0</v>
      </c>
      <c r="AN39" s="6">
        <v>0</v>
      </c>
      <c r="AO39" s="3">
        <f t="shared" si="12"/>
        <v>3238.8888888888887</v>
      </c>
      <c r="AP39" s="3">
        <f t="shared" si="13"/>
        <v>2915</v>
      </c>
      <c r="AQ39" s="6">
        <f t="shared" si="13"/>
        <v>0.9</v>
      </c>
      <c r="AR39" s="3"/>
      <c r="AS39" s="3"/>
      <c r="AT39" s="3"/>
      <c r="AU39" s="3"/>
      <c r="AV39" s="3"/>
      <c r="AW39" s="3"/>
      <c r="AX39" s="3"/>
      <c r="AY39" s="3"/>
      <c r="AZ39" s="3"/>
      <c r="BA39" s="3"/>
      <c r="BB39" s="3"/>
      <c r="BC39" s="3"/>
      <c r="BD39" s="3"/>
      <c r="BE39" s="3"/>
      <c r="BF39" s="3"/>
      <c r="BG39" s="3"/>
      <c r="BH39" s="3"/>
      <c r="BI39" s="3"/>
      <c r="BJ39" s="3"/>
      <c r="BK39" s="3"/>
      <c r="BL39" s="3"/>
      <c r="BM39" s="3"/>
      <c r="BN39" s="3"/>
      <c r="BO39" s="3"/>
    </row>
    <row r="40" spans="1:67" x14ac:dyDescent="0.3">
      <c r="A40" s="29" t="s">
        <v>79</v>
      </c>
      <c r="B40" s="20"/>
      <c r="C40" s="20"/>
      <c r="D40" s="20"/>
      <c r="E40" s="3" t="e">
        <f t="shared" si="14"/>
        <v>#DIV/0!</v>
      </c>
      <c r="F40" s="3">
        <v>0</v>
      </c>
      <c r="G40" s="6">
        <v>0</v>
      </c>
      <c r="H40" s="3" t="e">
        <f t="shared" si="15"/>
        <v>#DIV/0!</v>
      </c>
      <c r="I40" s="3">
        <v>0</v>
      </c>
      <c r="J40" s="6">
        <v>0</v>
      </c>
      <c r="K40" s="3" t="e">
        <f t="shared" si="16"/>
        <v>#DIV/0!</v>
      </c>
      <c r="L40" s="3">
        <v>0</v>
      </c>
      <c r="M40" s="6">
        <v>0</v>
      </c>
      <c r="N40" s="3">
        <f t="shared" si="17"/>
        <v>206646.66666666669</v>
      </c>
      <c r="O40" s="3">
        <v>61994</v>
      </c>
      <c r="P40" s="6">
        <v>0.3</v>
      </c>
      <c r="Q40" s="3" t="e">
        <f t="shared" si="18"/>
        <v>#DIV/0!</v>
      </c>
      <c r="R40" s="3">
        <v>0</v>
      </c>
      <c r="S40" s="6">
        <v>0</v>
      </c>
      <c r="T40" s="3" t="e">
        <f t="shared" si="19"/>
        <v>#DIV/0!</v>
      </c>
      <c r="U40" s="3">
        <v>0</v>
      </c>
      <c r="V40" s="6">
        <v>0</v>
      </c>
      <c r="W40" s="3" t="e">
        <f t="shared" si="20"/>
        <v>#DIV/0!</v>
      </c>
      <c r="X40" s="3">
        <v>0</v>
      </c>
      <c r="Y40" s="6">
        <v>0</v>
      </c>
      <c r="Z40" s="3" t="e">
        <f t="shared" si="21"/>
        <v>#DIV/0!</v>
      </c>
      <c r="AA40" s="3">
        <v>0</v>
      </c>
      <c r="AB40" s="6">
        <v>0</v>
      </c>
      <c r="AC40" s="3" t="e">
        <f t="shared" si="22"/>
        <v>#DIV/0!</v>
      </c>
      <c r="AD40" s="3">
        <v>0</v>
      </c>
      <c r="AE40" s="6">
        <v>0</v>
      </c>
      <c r="AF40" s="3" t="e">
        <f t="shared" si="23"/>
        <v>#DIV/0!</v>
      </c>
      <c r="AG40" s="3">
        <v>0</v>
      </c>
      <c r="AH40" s="6">
        <v>0</v>
      </c>
      <c r="AI40" s="3" t="e">
        <f t="shared" si="24"/>
        <v>#DIV/0!</v>
      </c>
      <c r="AJ40" s="3">
        <v>0</v>
      </c>
      <c r="AK40" s="6">
        <v>0</v>
      </c>
      <c r="AL40" s="3" t="e">
        <f t="shared" si="25"/>
        <v>#DIV/0!</v>
      </c>
      <c r="AM40" s="3">
        <v>0</v>
      </c>
      <c r="AN40" s="6">
        <v>0</v>
      </c>
      <c r="AO40" s="3">
        <f t="shared" si="12"/>
        <v>206646.66666666669</v>
      </c>
      <c r="AP40" s="3">
        <f t="shared" si="13"/>
        <v>61994</v>
      </c>
      <c r="AQ40" s="6">
        <f t="shared" si="13"/>
        <v>0.3</v>
      </c>
      <c r="AR40" s="3"/>
      <c r="AS40" s="3"/>
      <c r="AT40" s="3"/>
      <c r="AU40" s="3"/>
      <c r="AV40" s="3"/>
      <c r="AW40" s="3"/>
      <c r="AX40" s="3"/>
      <c r="AY40" s="3"/>
      <c r="AZ40" s="3"/>
      <c r="BA40" s="3"/>
      <c r="BB40" s="3"/>
      <c r="BC40" s="3"/>
      <c r="BD40" s="3"/>
      <c r="BE40" s="3"/>
      <c r="BF40" s="3"/>
      <c r="BG40" s="3"/>
      <c r="BH40" s="3"/>
      <c r="BI40" s="3"/>
      <c r="BJ40" s="3"/>
      <c r="BK40" s="3"/>
      <c r="BL40" s="3"/>
      <c r="BM40" s="3"/>
      <c r="BN40" s="3"/>
      <c r="BO40" s="3"/>
    </row>
    <row r="41" spans="1:67" x14ac:dyDescent="0.3">
      <c r="A41" s="29" t="s">
        <v>27</v>
      </c>
      <c r="B41" s="20"/>
      <c r="C41" s="20"/>
      <c r="D41" s="20"/>
      <c r="E41" s="3" t="e">
        <f t="shared" si="14"/>
        <v>#DIV/0!</v>
      </c>
      <c r="F41" s="3">
        <v>0</v>
      </c>
      <c r="G41" s="6">
        <v>0</v>
      </c>
      <c r="H41" s="3" t="e">
        <f t="shared" si="15"/>
        <v>#DIV/0!</v>
      </c>
      <c r="I41" s="3">
        <v>0</v>
      </c>
      <c r="J41" s="6">
        <v>0</v>
      </c>
      <c r="K41" s="3">
        <f t="shared" si="16"/>
        <v>1511.2121212121212</v>
      </c>
      <c r="L41" s="3">
        <v>4987</v>
      </c>
      <c r="M41" s="6">
        <v>3.3</v>
      </c>
      <c r="N41" s="3" t="e">
        <f t="shared" si="17"/>
        <v>#DIV/0!</v>
      </c>
      <c r="O41" s="3">
        <v>0</v>
      </c>
      <c r="P41" s="6">
        <v>0</v>
      </c>
      <c r="Q41" s="3" t="e">
        <f t="shared" si="18"/>
        <v>#DIV/0!</v>
      </c>
      <c r="R41" s="3">
        <v>0</v>
      </c>
      <c r="S41" s="6">
        <v>0</v>
      </c>
      <c r="T41" s="3" t="e">
        <f t="shared" si="19"/>
        <v>#DIV/0!</v>
      </c>
      <c r="U41" s="3">
        <v>0</v>
      </c>
      <c r="V41" s="6">
        <v>0</v>
      </c>
      <c r="W41" s="3" t="e">
        <f t="shared" si="20"/>
        <v>#DIV/0!</v>
      </c>
      <c r="X41" s="3">
        <v>0</v>
      </c>
      <c r="Y41" s="6">
        <v>0</v>
      </c>
      <c r="Z41" s="3">
        <f t="shared" si="21"/>
        <v>1050.1244813278008</v>
      </c>
      <c r="AA41" s="3">
        <v>25308</v>
      </c>
      <c r="AB41" s="6">
        <v>24.1</v>
      </c>
      <c r="AC41" s="3" t="e">
        <f t="shared" si="22"/>
        <v>#DIV/0!</v>
      </c>
      <c r="AD41" s="3">
        <v>0</v>
      </c>
      <c r="AE41" s="6">
        <v>0</v>
      </c>
      <c r="AF41" s="3">
        <f t="shared" si="23"/>
        <v>800.72463768115938</v>
      </c>
      <c r="AG41" s="3">
        <v>5525</v>
      </c>
      <c r="AH41" s="6">
        <v>6.9</v>
      </c>
      <c r="AI41" s="3" t="e">
        <f t="shared" si="24"/>
        <v>#DIV/0!</v>
      </c>
      <c r="AJ41" s="3">
        <v>0</v>
      </c>
      <c r="AK41" s="6">
        <v>0</v>
      </c>
      <c r="AL41" s="3" t="e">
        <f t="shared" si="25"/>
        <v>#DIV/0!</v>
      </c>
      <c r="AM41" s="3">
        <v>0</v>
      </c>
      <c r="AN41" s="6">
        <v>0</v>
      </c>
      <c r="AO41" s="3">
        <f t="shared" si="12"/>
        <v>1044.3148688046647</v>
      </c>
      <c r="AP41" s="3">
        <f t="shared" si="13"/>
        <v>35820</v>
      </c>
      <c r="AQ41" s="6">
        <f t="shared" si="13"/>
        <v>34.300000000000004</v>
      </c>
      <c r="AR41" s="3"/>
      <c r="AS41" s="3"/>
      <c r="AT41" s="3"/>
      <c r="AU41" s="3"/>
      <c r="AV41" s="3"/>
      <c r="AW41" s="3"/>
      <c r="AX41" s="3"/>
      <c r="AY41" s="3"/>
      <c r="AZ41" s="3"/>
      <c r="BA41" s="3"/>
      <c r="BB41" s="3"/>
      <c r="BC41" s="3"/>
      <c r="BD41" s="3"/>
      <c r="BE41" s="3"/>
      <c r="BF41" s="3"/>
      <c r="BG41" s="3"/>
      <c r="BH41" s="3"/>
      <c r="BI41" s="3"/>
      <c r="BJ41" s="3"/>
      <c r="BK41" s="3"/>
      <c r="BL41" s="3"/>
      <c r="BM41" s="3"/>
      <c r="BN41" s="3"/>
      <c r="BO41" s="3"/>
    </row>
    <row r="42" spans="1:67" x14ac:dyDescent="0.3">
      <c r="A42" s="29" t="s">
        <v>62</v>
      </c>
      <c r="B42" s="20"/>
      <c r="C42" s="20"/>
      <c r="D42" s="20"/>
      <c r="E42" s="3" t="e">
        <f t="shared" si="14"/>
        <v>#DIV/0!</v>
      </c>
      <c r="F42" s="3">
        <v>0</v>
      </c>
      <c r="G42" s="6">
        <v>0</v>
      </c>
      <c r="H42" s="3" t="e">
        <f t="shared" si="15"/>
        <v>#DIV/0!</v>
      </c>
      <c r="I42" s="3">
        <v>0</v>
      </c>
      <c r="J42" s="6">
        <v>0</v>
      </c>
      <c r="K42" s="3" t="e">
        <f t="shared" si="16"/>
        <v>#DIV/0!</v>
      </c>
      <c r="L42" s="3">
        <v>0</v>
      </c>
      <c r="M42" s="6">
        <v>0</v>
      </c>
      <c r="N42" s="3" t="e">
        <f t="shared" si="17"/>
        <v>#DIV/0!</v>
      </c>
      <c r="O42" s="3">
        <v>0</v>
      </c>
      <c r="P42" s="6">
        <v>0</v>
      </c>
      <c r="Q42" s="3" t="e">
        <f t="shared" si="18"/>
        <v>#DIV/0!</v>
      </c>
      <c r="R42" s="3">
        <v>0</v>
      </c>
      <c r="S42" s="6">
        <v>0</v>
      </c>
      <c r="T42" s="3" t="e">
        <f t="shared" si="19"/>
        <v>#DIV/0!</v>
      </c>
      <c r="U42" s="3">
        <v>0</v>
      </c>
      <c r="V42" s="6">
        <v>0</v>
      </c>
      <c r="W42" s="3" t="e">
        <f t="shared" si="20"/>
        <v>#DIV/0!</v>
      </c>
      <c r="X42" s="3">
        <v>0</v>
      </c>
      <c r="Y42" s="6">
        <v>0</v>
      </c>
      <c r="Z42" s="3" t="e">
        <f t="shared" si="21"/>
        <v>#DIV/0!</v>
      </c>
      <c r="AA42" s="3">
        <v>0</v>
      </c>
      <c r="AB42" s="6">
        <v>0</v>
      </c>
      <c r="AC42" s="3">
        <f t="shared" si="22"/>
        <v>1461.8947368421052</v>
      </c>
      <c r="AD42" s="3">
        <v>27776</v>
      </c>
      <c r="AE42" s="6">
        <v>19</v>
      </c>
      <c r="AF42" s="3" t="e">
        <f t="shared" si="23"/>
        <v>#DIV/0!</v>
      </c>
      <c r="AG42" s="3">
        <v>0</v>
      </c>
      <c r="AH42" s="6">
        <v>0</v>
      </c>
      <c r="AI42" s="3" t="e">
        <f t="shared" si="24"/>
        <v>#DIV/0!</v>
      </c>
      <c r="AJ42" s="3">
        <v>0</v>
      </c>
      <c r="AK42" s="6">
        <v>0</v>
      </c>
      <c r="AL42" s="3" t="e">
        <f t="shared" si="25"/>
        <v>#DIV/0!</v>
      </c>
      <c r="AM42" s="3">
        <v>0</v>
      </c>
      <c r="AN42" s="6">
        <v>0</v>
      </c>
      <c r="AO42" s="3">
        <f t="shared" si="12"/>
        <v>1461.8947368421052</v>
      </c>
      <c r="AP42" s="3">
        <f t="shared" si="13"/>
        <v>27776</v>
      </c>
      <c r="AQ42" s="6">
        <f t="shared" si="13"/>
        <v>19</v>
      </c>
      <c r="AR42" s="3"/>
      <c r="AS42" s="3"/>
      <c r="AT42" s="3"/>
      <c r="AU42" s="3"/>
      <c r="AV42" s="3"/>
      <c r="AW42" s="3"/>
      <c r="AX42" s="3"/>
      <c r="AY42" s="3"/>
      <c r="AZ42" s="3"/>
      <c r="BA42" s="3"/>
      <c r="BB42" s="3"/>
      <c r="BC42" s="3"/>
      <c r="BD42" s="3"/>
      <c r="BE42" s="3"/>
      <c r="BF42" s="3"/>
      <c r="BG42" s="3"/>
      <c r="BH42" s="3"/>
      <c r="BI42" s="3"/>
      <c r="BJ42" s="3"/>
      <c r="BK42" s="3"/>
      <c r="BL42" s="3"/>
      <c r="BM42" s="3"/>
      <c r="BN42" s="3"/>
      <c r="BO42" s="3"/>
    </row>
    <row r="43" spans="1:67" x14ac:dyDescent="0.3">
      <c r="A43" s="29" t="s">
        <v>63</v>
      </c>
      <c r="B43" s="20"/>
      <c r="C43" s="20"/>
      <c r="D43" s="20"/>
      <c r="E43" s="3" t="e">
        <f t="shared" si="14"/>
        <v>#DIV/0!</v>
      </c>
      <c r="F43" s="3">
        <v>0</v>
      </c>
      <c r="G43" s="6">
        <v>0</v>
      </c>
      <c r="H43" s="3" t="e">
        <f t="shared" si="15"/>
        <v>#DIV/0!</v>
      </c>
      <c r="I43" s="3">
        <v>0</v>
      </c>
      <c r="J43" s="6">
        <v>0</v>
      </c>
      <c r="K43" s="3" t="e">
        <f t="shared" si="16"/>
        <v>#DIV/0!</v>
      </c>
      <c r="L43" s="3">
        <v>0</v>
      </c>
      <c r="M43" s="6">
        <v>0</v>
      </c>
      <c r="N43" s="3">
        <f t="shared" si="17"/>
        <v>2348.4375</v>
      </c>
      <c r="O43" s="3">
        <v>7515</v>
      </c>
      <c r="P43" s="6">
        <v>3.2</v>
      </c>
      <c r="Q43" s="3" t="e">
        <f t="shared" si="18"/>
        <v>#DIV/0!</v>
      </c>
      <c r="R43" s="3">
        <v>0</v>
      </c>
      <c r="S43" s="6">
        <v>0</v>
      </c>
      <c r="T43" s="3" t="e">
        <f t="shared" si="19"/>
        <v>#DIV/0!</v>
      </c>
      <c r="U43" s="3">
        <v>0</v>
      </c>
      <c r="V43" s="6">
        <v>0</v>
      </c>
      <c r="W43" s="3" t="e">
        <f t="shared" si="20"/>
        <v>#DIV/0!</v>
      </c>
      <c r="X43" s="3">
        <v>0</v>
      </c>
      <c r="Y43" s="6">
        <v>0</v>
      </c>
      <c r="Z43" s="3" t="e">
        <f t="shared" si="21"/>
        <v>#DIV/0!</v>
      </c>
      <c r="AA43" s="3">
        <v>0</v>
      </c>
      <c r="AB43" s="6">
        <v>0</v>
      </c>
      <c r="AC43" s="3">
        <f t="shared" si="22"/>
        <v>2234.4680851063831</v>
      </c>
      <c r="AD43" s="3">
        <v>10502</v>
      </c>
      <c r="AE43" s="6">
        <v>4.7</v>
      </c>
      <c r="AF43" s="3" t="e">
        <f t="shared" si="23"/>
        <v>#DIV/0!</v>
      </c>
      <c r="AG43" s="3">
        <v>0</v>
      </c>
      <c r="AH43" s="6">
        <v>0</v>
      </c>
      <c r="AI43" s="3" t="e">
        <f t="shared" si="24"/>
        <v>#DIV/0!</v>
      </c>
      <c r="AJ43" s="3">
        <v>0</v>
      </c>
      <c r="AK43" s="6">
        <v>0</v>
      </c>
      <c r="AL43" s="3" t="e">
        <f t="shared" si="25"/>
        <v>#DIV/0!</v>
      </c>
      <c r="AM43" s="3">
        <v>0</v>
      </c>
      <c r="AN43" s="6">
        <v>0</v>
      </c>
      <c r="AO43" s="3">
        <f t="shared" si="12"/>
        <v>2280.6329113924048</v>
      </c>
      <c r="AP43" s="3">
        <f t="shared" si="13"/>
        <v>18017</v>
      </c>
      <c r="AQ43" s="6">
        <f t="shared" si="13"/>
        <v>7.9</v>
      </c>
      <c r="AR43" s="3"/>
      <c r="AS43" s="3"/>
      <c r="AT43" s="3"/>
      <c r="AU43" s="3"/>
      <c r="AV43" s="3"/>
      <c r="AW43" s="3"/>
      <c r="AX43" s="3"/>
      <c r="AY43" s="3"/>
      <c r="AZ43" s="3"/>
      <c r="BA43" s="3"/>
      <c r="BB43" s="3"/>
      <c r="BC43" s="3"/>
      <c r="BD43" s="3"/>
      <c r="BE43" s="3"/>
      <c r="BF43" s="3"/>
      <c r="BG43" s="3"/>
      <c r="BH43" s="3"/>
      <c r="BI43" s="3"/>
      <c r="BJ43" s="3"/>
      <c r="BK43" s="3"/>
      <c r="BL43" s="3"/>
      <c r="BM43" s="3"/>
      <c r="BN43" s="3"/>
      <c r="BO43" s="3"/>
    </row>
    <row r="44" spans="1:67" x14ac:dyDescent="0.3">
      <c r="A44" s="29" t="s">
        <v>30</v>
      </c>
      <c r="B44" s="20"/>
      <c r="C44" s="20"/>
      <c r="D44" s="20"/>
      <c r="E44" s="9" t="e">
        <f t="shared" si="14"/>
        <v>#DIV/0!</v>
      </c>
      <c r="F44" s="9">
        <v>0</v>
      </c>
      <c r="G44" s="6">
        <v>0</v>
      </c>
      <c r="H44" s="11">
        <f t="shared" si="15"/>
        <v>2164.710144927536</v>
      </c>
      <c r="I44" s="9">
        <v>29873</v>
      </c>
      <c r="J44" s="6">
        <v>13.8</v>
      </c>
      <c r="K44" s="9" t="e">
        <f t="shared" si="16"/>
        <v>#DIV/0!</v>
      </c>
      <c r="L44" s="9">
        <v>0</v>
      </c>
      <c r="M44" s="6">
        <v>0</v>
      </c>
      <c r="N44" s="9">
        <f t="shared" si="17"/>
        <v>2177.826086956522</v>
      </c>
      <c r="O44" s="9">
        <v>10018</v>
      </c>
      <c r="P44" s="6">
        <v>4.5999999999999996</v>
      </c>
      <c r="Q44" s="11" t="e">
        <f t="shared" si="18"/>
        <v>#DIV/0!</v>
      </c>
      <c r="R44" s="9">
        <v>0</v>
      </c>
      <c r="S44" s="6">
        <v>0</v>
      </c>
      <c r="T44" s="11">
        <f t="shared" si="19"/>
        <v>2138.0645161290322</v>
      </c>
      <c r="U44" s="9">
        <v>6628</v>
      </c>
      <c r="V44" s="6">
        <v>3.1</v>
      </c>
      <c r="W44" s="9">
        <f t="shared" si="20"/>
        <v>2134.8387096774195</v>
      </c>
      <c r="X44" s="9">
        <v>13236</v>
      </c>
      <c r="Y44" s="6">
        <v>6.2</v>
      </c>
      <c r="Z44" s="9" t="e">
        <f t="shared" si="21"/>
        <v>#DIV/0!</v>
      </c>
      <c r="AA44" s="9">
        <v>0</v>
      </c>
      <c r="AB44" s="6">
        <v>0</v>
      </c>
      <c r="AC44" s="9">
        <f t="shared" si="22"/>
        <v>2102.2891566265057</v>
      </c>
      <c r="AD44" s="9">
        <v>17449</v>
      </c>
      <c r="AE44" s="6">
        <v>8.3000000000000007</v>
      </c>
      <c r="AF44" s="9">
        <f t="shared" si="23"/>
        <v>2161.8253968253971</v>
      </c>
      <c r="AG44" s="9">
        <v>27239</v>
      </c>
      <c r="AH44" s="6">
        <v>12.6</v>
      </c>
      <c r="AI44" s="9">
        <f t="shared" si="24"/>
        <v>10646.666666666668</v>
      </c>
      <c r="AJ44" s="9">
        <v>3194</v>
      </c>
      <c r="AK44" s="6">
        <v>0.3</v>
      </c>
      <c r="AL44" s="9" t="e">
        <f t="shared" si="25"/>
        <v>#DIV/0!</v>
      </c>
      <c r="AM44" s="9">
        <v>0</v>
      </c>
      <c r="AN44" s="6">
        <v>0</v>
      </c>
      <c r="AO44" s="9">
        <f t="shared" si="12"/>
        <v>2201.1656441717791</v>
      </c>
      <c r="AP44" s="9">
        <f t="shared" si="13"/>
        <v>107637</v>
      </c>
      <c r="AQ44" s="6">
        <f t="shared" si="13"/>
        <v>48.9</v>
      </c>
      <c r="AR44" s="3"/>
      <c r="AS44" s="3"/>
      <c r="AT44" s="3"/>
      <c r="AU44" s="3"/>
      <c r="AV44" s="3"/>
      <c r="AW44" s="3"/>
      <c r="AX44" s="3"/>
      <c r="AY44" s="3"/>
      <c r="AZ44" s="3"/>
      <c r="BA44" s="3"/>
      <c r="BB44" s="3"/>
      <c r="BC44" s="3"/>
      <c r="BD44" s="3"/>
      <c r="BE44" s="3"/>
      <c r="BF44" s="3"/>
      <c r="BG44" s="3"/>
      <c r="BH44" s="3"/>
      <c r="BI44" s="3"/>
      <c r="BJ44" s="3"/>
      <c r="BK44" s="3"/>
      <c r="BL44" s="3"/>
      <c r="BM44" s="3"/>
      <c r="BN44" s="3"/>
      <c r="BO44" s="3"/>
    </row>
    <row r="45" spans="1:67" x14ac:dyDescent="0.3">
      <c r="A45" s="29" t="s">
        <v>48</v>
      </c>
      <c r="B45" s="20"/>
      <c r="C45" s="20"/>
      <c r="D45" s="20"/>
      <c r="E45" s="10" t="e">
        <f t="shared" si="14"/>
        <v>#DIV/0!</v>
      </c>
      <c r="F45" s="10">
        <v>0</v>
      </c>
      <c r="G45" s="8">
        <v>0</v>
      </c>
      <c r="H45" s="7" t="e">
        <f t="shared" si="15"/>
        <v>#DIV/0!</v>
      </c>
      <c r="I45" s="10">
        <v>0</v>
      </c>
      <c r="J45" s="8">
        <v>0</v>
      </c>
      <c r="K45" s="15" t="e">
        <f t="shared" si="16"/>
        <v>#DIV/0!</v>
      </c>
      <c r="L45" s="7">
        <v>0</v>
      </c>
      <c r="M45" s="8">
        <v>0</v>
      </c>
      <c r="N45" s="15" t="e">
        <f t="shared" si="17"/>
        <v>#DIV/0!</v>
      </c>
      <c r="O45" s="7">
        <v>0</v>
      </c>
      <c r="P45" s="8">
        <v>0</v>
      </c>
      <c r="Q45" s="7">
        <f t="shared" si="18"/>
        <v>3750.0000000000005</v>
      </c>
      <c r="R45" s="10">
        <v>2625</v>
      </c>
      <c r="S45" s="8">
        <v>0.7</v>
      </c>
      <c r="T45" s="7" t="e">
        <f t="shared" si="19"/>
        <v>#DIV/0!</v>
      </c>
      <c r="U45" s="10">
        <v>0</v>
      </c>
      <c r="V45" s="8">
        <v>0</v>
      </c>
      <c r="W45" s="10" t="e">
        <f t="shared" si="20"/>
        <v>#DIV/0!</v>
      </c>
      <c r="X45" s="10">
        <v>0</v>
      </c>
      <c r="Y45" s="8">
        <v>0</v>
      </c>
      <c r="Z45" s="10" t="e">
        <f t="shared" si="21"/>
        <v>#DIV/0!</v>
      </c>
      <c r="AA45" s="10">
        <v>0</v>
      </c>
      <c r="AB45" s="8">
        <v>0</v>
      </c>
      <c r="AC45" s="10" t="e">
        <f t="shared" si="22"/>
        <v>#DIV/0!</v>
      </c>
      <c r="AD45" s="10">
        <v>0</v>
      </c>
      <c r="AE45" s="8">
        <v>0</v>
      </c>
      <c r="AF45" s="7" t="e">
        <f t="shared" si="23"/>
        <v>#DIV/0!</v>
      </c>
      <c r="AG45" s="10">
        <v>0</v>
      </c>
      <c r="AH45" s="8">
        <v>0</v>
      </c>
      <c r="AI45" s="10" t="e">
        <f t="shared" si="24"/>
        <v>#DIV/0!</v>
      </c>
      <c r="AJ45" s="10">
        <v>0</v>
      </c>
      <c r="AK45" s="8">
        <v>0</v>
      </c>
      <c r="AL45" s="10" t="e">
        <f t="shared" si="25"/>
        <v>#DIV/0!</v>
      </c>
      <c r="AM45" s="10">
        <v>0</v>
      </c>
      <c r="AN45" s="8">
        <v>0</v>
      </c>
      <c r="AO45" s="10">
        <f t="shared" si="12"/>
        <v>3750.0000000000005</v>
      </c>
      <c r="AP45" s="7">
        <f t="shared" si="13"/>
        <v>2625</v>
      </c>
      <c r="AQ45" s="8">
        <f t="shared" si="13"/>
        <v>0.7</v>
      </c>
    </row>
    <row r="46" spans="1:67" x14ac:dyDescent="0.3">
      <c r="A46" s="29" t="s">
        <v>85</v>
      </c>
      <c r="B46" s="20"/>
      <c r="C46" s="20"/>
      <c r="D46" s="20"/>
      <c r="E46" s="7" t="e">
        <f t="shared" si="14"/>
        <v>#DIV/0!</v>
      </c>
      <c r="F46" s="7">
        <v>0</v>
      </c>
      <c r="G46" s="8">
        <v>0</v>
      </c>
      <c r="H46" s="7" t="e">
        <f t="shared" si="15"/>
        <v>#DIV/0!</v>
      </c>
      <c r="I46" s="7">
        <v>0</v>
      </c>
      <c r="J46" s="8">
        <v>0</v>
      </c>
      <c r="K46" s="7" t="e">
        <f t="shared" si="16"/>
        <v>#DIV/0!</v>
      </c>
      <c r="L46" s="7">
        <v>0</v>
      </c>
      <c r="M46" s="8">
        <v>0</v>
      </c>
      <c r="N46" s="7" t="e">
        <f t="shared" si="17"/>
        <v>#DIV/0!</v>
      </c>
      <c r="O46" s="7">
        <v>0</v>
      </c>
      <c r="P46" s="8">
        <v>0</v>
      </c>
      <c r="Q46" s="7" t="e">
        <f t="shared" si="18"/>
        <v>#DIV/0!</v>
      </c>
      <c r="R46" s="7">
        <v>0</v>
      </c>
      <c r="S46" s="8">
        <v>0</v>
      </c>
      <c r="T46" s="7" t="e">
        <f t="shared" si="19"/>
        <v>#DIV/0!</v>
      </c>
      <c r="U46" s="7">
        <v>0</v>
      </c>
      <c r="V46" s="8">
        <v>0</v>
      </c>
      <c r="W46" s="7" t="e">
        <f t="shared" si="20"/>
        <v>#DIV/0!</v>
      </c>
      <c r="X46" s="7">
        <v>0</v>
      </c>
      <c r="Y46" s="8">
        <v>0</v>
      </c>
      <c r="Z46" s="7" t="e">
        <f t="shared" si="21"/>
        <v>#DIV/0!</v>
      </c>
      <c r="AA46" s="7">
        <v>0</v>
      </c>
      <c r="AB46" s="8">
        <v>0</v>
      </c>
      <c r="AC46" s="7" t="e">
        <f t="shared" si="22"/>
        <v>#DIV/0!</v>
      </c>
      <c r="AD46" s="7">
        <v>0</v>
      </c>
      <c r="AE46" s="8">
        <v>0</v>
      </c>
      <c r="AF46" s="7" t="e">
        <f t="shared" si="23"/>
        <v>#DIV/0!</v>
      </c>
      <c r="AG46" s="7">
        <v>0</v>
      </c>
      <c r="AH46" s="8">
        <v>0</v>
      </c>
      <c r="AI46" s="7">
        <f t="shared" si="24"/>
        <v>968</v>
      </c>
      <c r="AJ46" s="7">
        <v>19360</v>
      </c>
      <c r="AK46" s="8">
        <v>20</v>
      </c>
      <c r="AL46" s="7" t="e">
        <f t="shared" si="25"/>
        <v>#DIV/0!</v>
      </c>
      <c r="AM46" s="7">
        <v>0</v>
      </c>
      <c r="AN46" s="8">
        <v>0</v>
      </c>
      <c r="AO46" s="7">
        <f t="shared" si="12"/>
        <v>968</v>
      </c>
      <c r="AP46" s="7">
        <f t="shared" si="13"/>
        <v>19360</v>
      </c>
      <c r="AQ46" s="8">
        <f t="shared" si="13"/>
        <v>20</v>
      </c>
    </row>
    <row r="47" spans="1:67" x14ac:dyDescent="0.3">
      <c r="A47" s="29" t="s">
        <v>80</v>
      </c>
      <c r="B47" s="20"/>
      <c r="C47" s="20"/>
      <c r="D47" s="20"/>
      <c r="E47" s="7" t="e">
        <f t="shared" si="14"/>
        <v>#DIV/0!</v>
      </c>
      <c r="F47" s="7">
        <v>0</v>
      </c>
      <c r="G47" s="8">
        <v>0</v>
      </c>
      <c r="H47" s="7" t="e">
        <f t="shared" si="15"/>
        <v>#DIV/0!</v>
      </c>
      <c r="I47" s="7">
        <v>0</v>
      </c>
      <c r="J47" s="8">
        <v>0</v>
      </c>
      <c r="K47" s="7" t="e">
        <f t="shared" si="16"/>
        <v>#DIV/0!</v>
      </c>
      <c r="L47" s="7">
        <v>0</v>
      </c>
      <c r="M47" s="8">
        <v>0</v>
      </c>
      <c r="N47" s="7" t="e">
        <f t="shared" si="17"/>
        <v>#DIV/0!</v>
      </c>
      <c r="O47" s="7">
        <v>0</v>
      </c>
      <c r="P47" s="8">
        <v>0</v>
      </c>
      <c r="Q47" s="7" t="e">
        <f t="shared" si="18"/>
        <v>#DIV/0!</v>
      </c>
      <c r="R47" s="7">
        <v>0</v>
      </c>
      <c r="S47" s="8">
        <v>0</v>
      </c>
      <c r="T47" s="7" t="e">
        <f t="shared" si="19"/>
        <v>#DIV/0!</v>
      </c>
      <c r="U47" s="7">
        <v>0</v>
      </c>
      <c r="V47" s="8">
        <v>0</v>
      </c>
      <c r="W47" s="7">
        <f t="shared" si="20"/>
        <v>1109.3569230769231</v>
      </c>
      <c r="X47" s="7">
        <v>360541</v>
      </c>
      <c r="Y47" s="8">
        <v>325</v>
      </c>
      <c r="Z47" s="7" t="e">
        <f t="shared" si="21"/>
        <v>#DIV/0!</v>
      </c>
      <c r="AA47" s="7">
        <v>0</v>
      </c>
      <c r="AB47" s="8">
        <v>0</v>
      </c>
      <c r="AC47" s="7" t="e">
        <f t="shared" si="22"/>
        <v>#DIV/0!</v>
      </c>
      <c r="AD47" s="7">
        <v>0</v>
      </c>
      <c r="AE47" s="8">
        <v>0</v>
      </c>
      <c r="AF47" s="7" t="e">
        <f t="shared" si="23"/>
        <v>#DIV/0!</v>
      </c>
      <c r="AG47" s="7">
        <v>0</v>
      </c>
      <c r="AH47" s="8">
        <v>0</v>
      </c>
      <c r="AI47" s="7">
        <f t="shared" si="24"/>
        <v>1009.1</v>
      </c>
      <c r="AJ47" s="7">
        <v>151365</v>
      </c>
      <c r="AK47" s="8">
        <v>150</v>
      </c>
      <c r="AL47" s="7" t="e">
        <f t="shared" si="25"/>
        <v>#DIV/0!</v>
      </c>
      <c r="AM47" s="7">
        <v>0</v>
      </c>
      <c r="AN47" s="8">
        <v>0</v>
      </c>
      <c r="AO47" s="7">
        <f t="shared" si="12"/>
        <v>1077.6968421052632</v>
      </c>
      <c r="AP47" s="7">
        <f t="shared" si="13"/>
        <v>511906</v>
      </c>
      <c r="AQ47" s="8">
        <f t="shared" si="13"/>
        <v>475</v>
      </c>
    </row>
    <row r="48" spans="1:67" x14ac:dyDescent="0.3">
      <c r="A48" s="29" t="s">
        <v>66</v>
      </c>
      <c r="B48" s="20"/>
      <c r="C48" s="20"/>
      <c r="D48" s="20"/>
      <c r="E48" s="7" t="e">
        <f t="shared" si="14"/>
        <v>#DIV/0!</v>
      </c>
      <c r="F48" s="7">
        <v>0</v>
      </c>
      <c r="G48" s="8">
        <v>0</v>
      </c>
      <c r="H48" s="7">
        <f t="shared" si="15"/>
        <v>1700.5504587155963</v>
      </c>
      <c r="I48" s="7">
        <v>37072</v>
      </c>
      <c r="J48" s="8">
        <v>21.8</v>
      </c>
      <c r="K48" s="7">
        <f t="shared" si="16"/>
        <v>1421.7518248175184</v>
      </c>
      <c r="L48" s="7">
        <v>38956</v>
      </c>
      <c r="M48" s="8">
        <v>27.4</v>
      </c>
      <c r="N48" s="7">
        <f t="shared" si="17"/>
        <v>2016</v>
      </c>
      <c r="O48" s="7">
        <v>10080</v>
      </c>
      <c r="P48" s="8">
        <v>5</v>
      </c>
      <c r="Q48" s="7" t="e">
        <f t="shared" si="18"/>
        <v>#DIV/0!</v>
      </c>
      <c r="R48" s="7">
        <v>0</v>
      </c>
      <c r="S48" s="8">
        <v>0</v>
      </c>
      <c r="T48" s="7" t="e">
        <f t="shared" si="19"/>
        <v>#DIV/0!</v>
      </c>
      <c r="U48" s="7">
        <v>0</v>
      </c>
      <c r="V48" s="8">
        <v>0</v>
      </c>
      <c r="W48" s="7">
        <f t="shared" si="20"/>
        <v>1341.3687150837991</v>
      </c>
      <c r="X48" s="7">
        <v>48021</v>
      </c>
      <c r="Y48" s="8">
        <v>35.799999999999997</v>
      </c>
      <c r="Z48" s="7" t="e">
        <f t="shared" si="21"/>
        <v>#DIV/0!</v>
      </c>
      <c r="AA48" s="7">
        <v>0</v>
      </c>
      <c r="AB48" s="8">
        <v>0</v>
      </c>
      <c r="AC48" s="7">
        <f t="shared" si="22"/>
        <v>1293.1876138433515</v>
      </c>
      <c r="AD48" s="7">
        <v>70996</v>
      </c>
      <c r="AE48" s="8">
        <v>54.9</v>
      </c>
      <c r="AF48" s="7">
        <f t="shared" si="23"/>
        <v>1454.5562130177516</v>
      </c>
      <c r="AG48" s="7">
        <v>24582</v>
      </c>
      <c r="AH48" s="8">
        <v>16.899999999999999</v>
      </c>
      <c r="AI48" s="7">
        <f t="shared" si="24"/>
        <v>1641.9521912350597</v>
      </c>
      <c r="AJ48" s="7">
        <v>41213</v>
      </c>
      <c r="AK48" s="8">
        <v>25.1</v>
      </c>
      <c r="AL48" s="7" t="e">
        <f t="shared" si="25"/>
        <v>#DIV/0!</v>
      </c>
      <c r="AM48" s="7">
        <v>0</v>
      </c>
      <c r="AN48" s="8">
        <v>0</v>
      </c>
      <c r="AO48" s="7">
        <f t="shared" si="12"/>
        <v>1449.5452113429642</v>
      </c>
      <c r="AP48" s="7">
        <f t="shared" si="13"/>
        <v>270920</v>
      </c>
      <c r="AQ48" s="8">
        <f t="shared" si="13"/>
        <v>186.9</v>
      </c>
    </row>
    <row r="49" spans="1:43" x14ac:dyDescent="0.3">
      <c r="A49" s="29" t="s">
        <v>59</v>
      </c>
      <c r="B49" s="20"/>
      <c r="C49" s="20"/>
      <c r="D49" s="20"/>
      <c r="E49" s="7">
        <f t="shared" si="14"/>
        <v>2152.6829268292686</v>
      </c>
      <c r="F49" s="7">
        <v>8826</v>
      </c>
      <c r="G49" s="8">
        <v>4.0999999999999996</v>
      </c>
      <c r="H49" s="7" t="e">
        <f t="shared" si="15"/>
        <v>#DIV/0!</v>
      </c>
      <c r="I49" s="7">
        <v>0</v>
      </c>
      <c r="J49" s="8">
        <v>0</v>
      </c>
      <c r="K49" s="7">
        <f t="shared" si="16"/>
        <v>2077.8947368421054</v>
      </c>
      <c r="L49" s="7">
        <v>3948</v>
      </c>
      <c r="M49" s="8">
        <v>1.9</v>
      </c>
      <c r="N49" s="7" t="e">
        <f t="shared" si="17"/>
        <v>#DIV/0!</v>
      </c>
      <c r="O49" s="7">
        <v>0</v>
      </c>
      <c r="P49" s="8">
        <v>0</v>
      </c>
      <c r="Q49" s="7">
        <f t="shared" si="18"/>
        <v>2188.181818181818</v>
      </c>
      <c r="R49" s="7">
        <v>4814</v>
      </c>
      <c r="S49" s="8">
        <v>2.2000000000000002</v>
      </c>
      <c r="T49" s="7">
        <f t="shared" si="19"/>
        <v>2168.6486486486488</v>
      </c>
      <c r="U49" s="7">
        <v>8024</v>
      </c>
      <c r="V49" s="8">
        <v>3.7</v>
      </c>
      <c r="W49" s="7">
        <f t="shared" si="20"/>
        <v>3921.2</v>
      </c>
      <c r="X49" s="7">
        <v>9803</v>
      </c>
      <c r="Y49" s="8">
        <v>2.5</v>
      </c>
      <c r="Z49" s="7">
        <f t="shared" si="21"/>
        <v>2131.7919075144509</v>
      </c>
      <c r="AA49" s="7">
        <v>36880</v>
      </c>
      <c r="AB49" s="8">
        <v>17.3</v>
      </c>
      <c r="AC49" s="7" t="e">
        <f t="shared" si="22"/>
        <v>#DIV/0!</v>
      </c>
      <c r="AD49" s="7">
        <v>0</v>
      </c>
      <c r="AE49" s="8">
        <v>0</v>
      </c>
      <c r="AF49" s="7">
        <f t="shared" si="23"/>
        <v>2139.6666666666665</v>
      </c>
      <c r="AG49" s="7">
        <v>6419</v>
      </c>
      <c r="AH49" s="8">
        <v>3</v>
      </c>
      <c r="AI49" s="7" t="e">
        <f t="shared" si="24"/>
        <v>#DIV/0!</v>
      </c>
      <c r="AJ49" s="7">
        <v>0</v>
      </c>
      <c r="AK49" s="8">
        <v>0</v>
      </c>
      <c r="AL49" s="7" t="e">
        <f t="shared" si="25"/>
        <v>#DIV/0!</v>
      </c>
      <c r="AM49" s="7">
        <v>0</v>
      </c>
      <c r="AN49" s="8">
        <v>0</v>
      </c>
      <c r="AO49" s="7">
        <f t="shared" si="12"/>
        <v>2268.4149855907781</v>
      </c>
      <c r="AP49" s="7">
        <f t="shared" si="13"/>
        <v>78714</v>
      </c>
      <c r="AQ49" s="8">
        <f t="shared" si="13"/>
        <v>34.700000000000003</v>
      </c>
    </row>
    <row r="50" spans="1:43" x14ac:dyDescent="0.3">
      <c r="A50" s="29" t="s">
        <v>90</v>
      </c>
      <c r="B50" s="20"/>
      <c r="C50" s="20"/>
      <c r="D50" s="20"/>
      <c r="E50" s="7" t="e">
        <f t="shared" si="14"/>
        <v>#DIV/0!</v>
      </c>
      <c r="F50" s="7">
        <v>0</v>
      </c>
      <c r="G50" s="8">
        <v>0</v>
      </c>
      <c r="H50" s="7" t="e">
        <f t="shared" si="15"/>
        <v>#DIV/0!</v>
      </c>
      <c r="I50" s="7">
        <v>0</v>
      </c>
      <c r="J50" s="8">
        <v>0</v>
      </c>
      <c r="K50" s="7">
        <f t="shared" si="16"/>
        <v>3497.8571428571431</v>
      </c>
      <c r="L50" s="7">
        <v>4897</v>
      </c>
      <c r="M50" s="8">
        <v>1.4</v>
      </c>
      <c r="N50" s="7" t="e">
        <f t="shared" si="17"/>
        <v>#DIV/0!</v>
      </c>
      <c r="O50" s="7">
        <v>0</v>
      </c>
      <c r="P50" s="8">
        <v>0</v>
      </c>
      <c r="Q50" s="7" t="e">
        <f t="shared" si="18"/>
        <v>#DIV/0!</v>
      </c>
      <c r="R50" s="7">
        <v>0</v>
      </c>
      <c r="S50" s="8">
        <v>0</v>
      </c>
      <c r="T50" s="7" t="e">
        <f t="shared" si="19"/>
        <v>#DIV/0!</v>
      </c>
      <c r="U50" s="7">
        <v>0</v>
      </c>
      <c r="V50" s="8">
        <v>0</v>
      </c>
      <c r="W50" s="7" t="e">
        <f t="shared" si="20"/>
        <v>#DIV/0!</v>
      </c>
      <c r="X50" s="7">
        <v>0</v>
      </c>
      <c r="Y50" s="8">
        <v>0</v>
      </c>
      <c r="Z50" s="7" t="e">
        <f t="shared" si="21"/>
        <v>#DIV/0!</v>
      </c>
      <c r="AA50" s="7">
        <v>0</v>
      </c>
      <c r="AB50" s="8">
        <v>0</v>
      </c>
      <c r="AC50" s="7" t="e">
        <f t="shared" si="22"/>
        <v>#DIV/0!</v>
      </c>
      <c r="AD50" s="7">
        <v>0</v>
      </c>
      <c r="AE50" s="8">
        <v>0</v>
      </c>
      <c r="AF50" s="7" t="e">
        <f t="shared" si="23"/>
        <v>#DIV/0!</v>
      </c>
      <c r="AG50" s="7">
        <v>0</v>
      </c>
      <c r="AH50" s="8">
        <v>0</v>
      </c>
      <c r="AI50" s="7" t="e">
        <f t="shared" si="24"/>
        <v>#DIV/0!</v>
      </c>
      <c r="AJ50" s="7">
        <v>0</v>
      </c>
      <c r="AK50" s="8">
        <v>0</v>
      </c>
      <c r="AL50" s="7" t="e">
        <f t="shared" si="25"/>
        <v>#DIV/0!</v>
      </c>
      <c r="AM50" s="7">
        <v>0</v>
      </c>
      <c r="AN50" s="8">
        <v>0</v>
      </c>
      <c r="AO50" s="7">
        <f t="shared" si="12"/>
        <v>3497.8571428571431</v>
      </c>
      <c r="AP50" s="7">
        <f t="shared" si="13"/>
        <v>4897</v>
      </c>
      <c r="AQ50" s="8">
        <f t="shared" si="13"/>
        <v>1.4</v>
      </c>
    </row>
    <row r="51" spans="1:43" x14ac:dyDescent="0.3">
      <c r="A51" s="28" t="s">
        <v>67</v>
      </c>
      <c r="B51" s="20"/>
      <c r="C51" s="20"/>
      <c r="D51" s="20"/>
      <c r="E51" s="7" t="e">
        <f t="shared" si="14"/>
        <v>#DIV/0!</v>
      </c>
      <c r="F51" s="7">
        <v>0</v>
      </c>
      <c r="G51" s="8">
        <v>0</v>
      </c>
      <c r="H51" s="7">
        <f t="shared" si="15"/>
        <v>1077.3170731707316</v>
      </c>
      <c r="I51" s="7">
        <v>22085</v>
      </c>
      <c r="J51" s="8">
        <v>20.5</v>
      </c>
      <c r="K51" s="7" t="e">
        <f t="shared" si="16"/>
        <v>#DIV/0!</v>
      </c>
      <c r="L51" s="7">
        <v>0</v>
      </c>
      <c r="M51" s="8">
        <v>0</v>
      </c>
      <c r="N51" s="7" t="e">
        <f t="shared" si="17"/>
        <v>#DIV/0!</v>
      </c>
      <c r="O51" s="7">
        <v>0</v>
      </c>
      <c r="P51" s="8">
        <v>0</v>
      </c>
      <c r="Q51" s="7" t="e">
        <f t="shared" si="18"/>
        <v>#DIV/0!</v>
      </c>
      <c r="R51" s="7">
        <v>0</v>
      </c>
      <c r="S51" s="8">
        <v>0</v>
      </c>
      <c r="T51" s="7" t="e">
        <f t="shared" si="19"/>
        <v>#DIV/0!</v>
      </c>
      <c r="U51" s="7">
        <v>0</v>
      </c>
      <c r="V51" s="8">
        <v>0</v>
      </c>
      <c r="W51" s="7" t="e">
        <f t="shared" si="20"/>
        <v>#DIV/0!</v>
      </c>
      <c r="X51" s="7">
        <v>0</v>
      </c>
      <c r="Y51" s="8">
        <v>0</v>
      </c>
      <c r="Z51" s="7" t="e">
        <f t="shared" si="21"/>
        <v>#DIV/0!</v>
      </c>
      <c r="AA51" s="7">
        <v>0</v>
      </c>
      <c r="AB51" s="8">
        <v>0</v>
      </c>
      <c r="AC51" s="7" t="e">
        <f t="shared" si="22"/>
        <v>#DIV/0!</v>
      </c>
      <c r="AD51" s="7">
        <v>0</v>
      </c>
      <c r="AE51" s="8">
        <v>0</v>
      </c>
      <c r="AF51" s="7" t="e">
        <f t="shared" si="23"/>
        <v>#DIV/0!</v>
      </c>
      <c r="AG51" s="7">
        <v>0</v>
      </c>
      <c r="AH51" s="8">
        <v>0</v>
      </c>
      <c r="AI51" s="7" t="e">
        <f t="shared" si="24"/>
        <v>#DIV/0!</v>
      </c>
      <c r="AJ51" s="7">
        <v>0</v>
      </c>
      <c r="AK51" s="8">
        <v>0</v>
      </c>
      <c r="AL51" s="7" t="e">
        <f t="shared" si="25"/>
        <v>#DIV/0!</v>
      </c>
      <c r="AM51" s="7">
        <v>0</v>
      </c>
      <c r="AN51" s="8">
        <v>0</v>
      </c>
      <c r="AO51" s="7">
        <f t="shared" si="12"/>
        <v>1077.3170731707316</v>
      </c>
      <c r="AP51" s="7">
        <f t="shared" si="13"/>
        <v>22085</v>
      </c>
      <c r="AQ51" s="8">
        <f t="shared" si="13"/>
        <v>20.5</v>
      </c>
    </row>
    <row r="52" spans="1:43" x14ac:dyDescent="0.3">
      <c r="A52" s="28" t="s">
        <v>24</v>
      </c>
      <c r="B52" s="20"/>
      <c r="C52" s="20"/>
      <c r="D52" s="20"/>
      <c r="E52" s="7">
        <f t="shared" si="14"/>
        <v>2481.4285714285716</v>
      </c>
      <c r="F52" s="7">
        <v>3474</v>
      </c>
      <c r="G52" s="8">
        <v>1.4</v>
      </c>
      <c r="H52" s="7" t="e">
        <f t="shared" si="15"/>
        <v>#DIV/0!</v>
      </c>
      <c r="I52" s="7">
        <v>0</v>
      </c>
      <c r="J52" s="8">
        <v>0</v>
      </c>
      <c r="K52" s="7">
        <f t="shared" si="16"/>
        <v>2256.875</v>
      </c>
      <c r="L52" s="7">
        <v>3611</v>
      </c>
      <c r="M52" s="8">
        <v>1.6</v>
      </c>
      <c r="N52" s="7" t="e">
        <f t="shared" si="17"/>
        <v>#DIV/0!</v>
      </c>
      <c r="O52" s="7">
        <v>0</v>
      </c>
      <c r="P52" s="8">
        <v>0</v>
      </c>
      <c r="Q52" s="7">
        <f t="shared" si="18"/>
        <v>2308.181818181818</v>
      </c>
      <c r="R52" s="7">
        <v>2539</v>
      </c>
      <c r="S52" s="8">
        <v>1.1000000000000001</v>
      </c>
      <c r="T52" s="7" t="e">
        <f t="shared" si="19"/>
        <v>#DIV/0!</v>
      </c>
      <c r="U52" s="7">
        <v>0</v>
      </c>
      <c r="V52" s="8">
        <v>0</v>
      </c>
      <c r="W52" s="7">
        <f t="shared" si="20"/>
        <v>2220.4761904761904</v>
      </c>
      <c r="X52" s="7">
        <v>4663</v>
      </c>
      <c r="Y52" s="8">
        <v>2.1</v>
      </c>
      <c r="Z52" s="7" t="e">
        <f t="shared" si="21"/>
        <v>#DIV/0!</v>
      </c>
      <c r="AA52" s="7">
        <v>0</v>
      </c>
      <c r="AB52" s="8">
        <v>0</v>
      </c>
      <c r="AC52" s="7">
        <f t="shared" si="22"/>
        <v>2432.5</v>
      </c>
      <c r="AD52" s="7">
        <v>3892</v>
      </c>
      <c r="AE52" s="8">
        <v>1.6</v>
      </c>
      <c r="AF52" s="7">
        <f t="shared" si="23"/>
        <v>2124.166666666667</v>
      </c>
      <c r="AG52" s="7">
        <v>2549</v>
      </c>
      <c r="AH52" s="8">
        <v>1.2</v>
      </c>
      <c r="AI52" s="7" t="e">
        <f t="shared" si="24"/>
        <v>#DIV/0!</v>
      </c>
      <c r="AJ52" s="7">
        <v>0</v>
      </c>
      <c r="AK52" s="8">
        <v>0</v>
      </c>
      <c r="AL52" s="7" t="e">
        <f t="shared" si="25"/>
        <v>#DIV/0!</v>
      </c>
      <c r="AM52" s="7">
        <v>0</v>
      </c>
      <c r="AN52" s="8">
        <v>0</v>
      </c>
      <c r="AO52" s="7">
        <f t="shared" si="12"/>
        <v>2303.1111111111118</v>
      </c>
      <c r="AP52" s="7">
        <f t="shared" si="13"/>
        <v>20728</v>
      </c>
      <c r="AQ52" s="8">
        <f t="shared" si="13"/>
        <v>8.9999999999999982</v>
      </c>
    </row>
    <row r="53" spans="1:43" x14ac:dyDescent="0.3">
      <c r="A53" s="28" t="s">
        <v>51</v>
      </c>
      <c r="B53" s="20"/>
      <c r="C53" s="20"/>
      <c r="D53" s="20"/>
      <c r="E53" s="7">
        <f t="shared" si="14"/>
        <v>1331.4522058823529</v>
      </c>
      <c r="F53" s="7">
        <v>72431</v>
      </c>
      <c r="G53" s="8">
        <v>54.4</v>
      </c>
      <c r="H53" s="7" t="e">
        <f t="shared" si="15"/>
        <v>#DIV/0!</v>
      </c>
      <c r="I53" s="7">
        <v>0</v>
      </c>
      <c r="J53" s="8">
        <v>0</v>
      </c>
      <c r="K53" s="7">
        <f t="shared" si="16"/>
        <v>1296.7219917012446</v>
      </c>
      <c r="L53" s="7">
        <v>31251</v>
      </c>
      <c r="M53" s="8">
        <v>24.1</v>
      </c>
      <c r="N53" s="7">
        <f t="shared" si="17"/>
        <v>1355.8333333333333</v>
      </c>
      <c r="O53" s="7">
        <v>82977</v>
      </c>
      <c r="P53" s="8">
        <v>61.2</v>
      </c>
      <c r="Q53" s="7">
        <f t="shared" si="18"/>
        <v>1274.0248962655601</v>
      </c>
      <c r="R53" s="7">
        <v>30704</v>
      </c>
      <c r="S53" s="8">
        <v>24.1</v>
      </c>
      <c r="T53" s="7">
        <f t="shared" si="19"/>
        <v>1645.217391304348</v>
      </c>
      <c r="U53" s="7">
        <v>3784</v>
      </c>
      <c r="V53" s="8">
        <v>2.2999999999999998</v>
      </c>
      <c r="W53" s="7">
        <f t="shared" si="20"/>
        <v>1274.560669456067</v>
      </c>
      <c r="X53" s="7">
        <v>30462</v>
      </c>
      <c r="Y53" s="8">
        <v>23.9</v>
      </c>
      <c r="Z53" s="7">
        <f t="shared" si="21"/>
        <v>1274.0248962655601</v>
      </c>
      <c r="AA53" s="7">
        <v>30704</v>
      </c>
      <c r="AB53" s="8">
        <v>24.1</v>
      </c>
      <c r="AC53" s="7">
        <f t="shared" si="22"/>
        <v>1274.0248962655601</v>
      </c>
      <c r="AD53" s="7">
        <v>30704</v>
      </c>
      <c r="AE53" s="8">
        <v>24.1</v>
      </c>
      <c r="AF53" s="7">
        <f t="shared" si="23"/>
        <v>1274.0248962655601</v>
      </c>
      <c r="AG53" s="7">
        <v>30704</v>
      </c>
      <c r="AH53" s="8">
        <v>24.1</v>
      </c>
      <c r="AI53" s="7">
        <f t="shared" si="24"/>
        <v>1274.0248962655601</v>
      </c>
      <c r="AJ53" s="7">
        <v>30704</v>
      </c>
      <c r="AK53" s="8">
        <v>24.1</v>
      </c>
      <c r="AL53" s="7" t="e">
        <f t="shared" si="25"/>
        <v>#DIV/0!</v>
      </c>
      <c r="AM53" s="7">
        <v>0</v>
      </c>
      <c r="AN53" s="8">
        <v>0</v>
      </c>
      <c r="AO53" s="7">
        <f t="shared" si="12"/>
        <v>1307.3498603351954</v>
      </c>
      <c r="AP53" s="7">
        <f t="shared" si="13"/>
        <v>374425</v>
      </c>
      <c r="AQ53" s="8">
        <f t="shared" si="13"/>
        <v>286.40000000000003</v>
      </c>
    </row>
    <row r="54" spans="1:43" x14ac:dyDescent="0.3">
      <c r="A54" s="28" t="s">
        <v>55</v>
      </c>
      <c r="B54" s="20"/>
      <c r="C54" s="20"/>
      <c r="D54" s="20"/>
      <c r="E54" s="7">
        <f t="shared" si="14"/>
        <v>1553.0604982206405</v>
      </c>
      <c r="F54" s="7">
        <v>87282</v>
      </c>
      <c r="G54" s="8">
        <v>56.2</v>
      </c>
      <c r="H54" s="7">
        <f t="shared" si="15"/>
        <v>1118.1860465116279</v>
      </c>
      <c r="I54" s="7">
        <v>24041</v>
      </c>
      <c r="J54" s="8">
        <v>21.5</v>
      </c>
      <c r="K54" s="7">
        <f t="shared" si="16"/>
        <v>1283.3625730994152</v>
      </c>
      <c r="L54" s="7">
        <v>87782</v>
      </c>
      <c r="M54" s="8">
        <v>68.400000000000006</v>
      </c>
      <c r="N54" s="7">
        <f t="shared" si="17"/>
        <v>1273.5332845647404</v>
      </c>
      <c r="O54" s="7">
        <v>174092</v>
      </c>
      <c r="P54" s="8">
        <v>136.69999999999999</v>
      </c>
      <c r="Q54" s="7">
        <f t="shared" si="18"/>
        <v>1324.265010351967</v>
      </c>
      <c r="R54" s="7">
        <v>63962</v>
      </c>
      <c r="S54" s="8">
        <v>48.3</v>
      </c>
      <c r="T54" s="7">
        <f t="shared" si="19"/>
        <v>1255.7261410788381</v>
      </c>
      <c r="U54" s="7">
        <v>30263</v>
      </c>
      <c r="V54" s="8">
        <v>24.1</v>
      </c>
      <c r="W54" s="7">
        <f t="shared" si="20"/>
        <v>1104.950495049505</v>
      </c>
      <c r="X54" s="7">
        <v>22320</v>
      </c>
      <c r="Y54" s="8">
        <v>20.2</v>
      </c>
      <c r="Z54" s="7">
        <f t="shared" si="21"/>
        <v>1291.2554112554112</v>
      </c>
      <c r="AA54" s="7">
        <v>119312</v>
      </c>
      <c r="AB54" s="8">
        <v>92.4</v>
      </c>
      <c r="AC54" s="7">
        <f t="shared" si="22"/>
        <v>1325.6373056994819</v>
      </c>
      <c r="AD54" s="7">
        <v>127924</v>
      </c>
      <c r="AE54" s="8">
        <v>96.5</v>
      </c>
      <c r="AF54" s="7">
        <f t="shared" si="23"/>
        <v>1184.8072562358277</v>
      </c>
      <c r="AG54" s="7">
        <v>52250</v>
      </c>
      <c r="AH54" s="8">
        <v>44.1</v>
      </c>
      <c r="AI54" s="7" t="e">
        <f t="shared" si="24"/>
        <v>#DIV/0!</v>
      </c>
      <c r="AJ54" s="7">
        <v>0</v>
      </c>
      <c r="AK54" s="8">
        <v>0</v>
      </c>
      <c r="AL54" s="7" t="e">
        <f t="shared" si="25"/>
        <v>#DIV/0!</v>
      </c>
      <c r="AM54" s="7">
        <v>0</v>
      </c>
      <c r="AN54" s="8">
        <v>0</v>
      </c>
      <c r="AO54" s="7">
        <f t="shared" si="12"/>
        <v>1297.2189349112425</v>
      </c>
      <c r="AP54" s="7">
        <f t="shared" si="13"/>
        <v>789228</v>
      </c>
      <c r="AQ54" s="8">
        <f t="shared" si="13"/>
        <v>608.40000000000009</v>
      </c>
    </row>
    <row r="55" spans="1:43" x14ac:dyDescent="0.3">
      <c r="A55" s="28" t="s">
        <v>91</v>
      </c>
      <c r="B55" s="20"/>
      <c r="C55" s="20"/>
      <c r="D55" s="20"/>
      <c r="E55" s="7" t="e">
        <f t="shared" si="14"/>
        <v>#DIV/0!</v>
      </c>
      <c r="F55" s="7">
        <v>0</v>
      </c>
      <c r="G55" s="8">
        <v>0</v>
      </c>
      <c r="H55" s="7" t="e">
        <f t="shared" si="15"/>
        <v>#DIV/0!</v>
      </c>
      <c r="I55" s="7">
        <v>0</v>
      </c>
      <c r="J55" s="8">
        <v>0</v>
      </c>
      <c r="K55" s="7" t="e">
        <f t="shared" si="16"/>
        <v>#DIV/0!</v>
      </c>
      <c r="L55" s="7">
        <v>0</v>
      </c>
      <c r="M55" s="8">
        <v>0</v>
      </c>
      <c r="N55" s="7" t="e">
        <f t="shared" si="17"/>
        <v>#DIV/0!</v>
      </c>
      <c r="O55" s="7">
        <v>0</v>
      </c>
      <c r="P55" s="8">
        <v>0</v>
      </c>
      <c r="Q55" s="7" t="e">
        <f t="shared" si="18"/>
        <v>#DIV/0!</v>
      </c>
      <c r="R55" s="7">
        <v>0</v>
      </c>
      <c r="S55" s="8">
        <v>0</v>
      </c>
      <c r="T55" s="7">
        <f t="shared" si="19"/>
        <v>1165.2028571428571</v>
      </c>
      <c r="U55" s="7">
        <v>407821</v>
      </c>
      <c r="V55" s="8">
        <v>350</v>
      </c>
      <c r="W55" s="7" t="e">
        <f t="shared" si="20"/>
        <v>#DIV/0!</v>
      </c>
      <c r="X55" s="7">
        <v>0</v>
      </c>
      <c r="Y55" s="8">
        <v>0</v>
      </c>
      <c r="Z55" s="7" t="e">
        <f t="shared" si="21"/>
        <v>#DIV/0!</v>
      </c>
      <c r="AA55" s="7">
        <v>0</v>
      </c>
      <c r="AB55" s="8">
        <v>0</v>
      </c>
      <c r="AC55" s="7" t="e">
        <f t="shared" si="22"/>
        <v>#DIV/0!</v>
      </c>
      <c r="AD55" s="7">
        <v>0</v>
      </c>
      <c r="AE55" s="8">
        <v>0</v>
      </c>
      <c r="AF55" s="7" t="e">
        <f t="shared" si="23"/>
        <v>#DIV/0!</v>
      </c>
      <c r="AG55" s="7">
        <v>0</v>
      </c>
      <c r="AH55" s="8">
        <v>0</v>
      </c>
      <c r="AI55" s="7" t="e">
        <f t="shared" si="24"/>
        <v>#DIV/0!</v>
      </c>
      <c r="AJ55" s="7">
        <v>0</v>
      </c>
      <c r="AK55" s="8">
        <v>0</v>
      </c>
      <c r="AL55" s="7" t="e">
        <f t="shared" si="25"/>
        <v>#DIV/0!</v>
      </c>
      <c r="AM55" s="7">
        <v>0</v>
      </c>
      <c r="AN55" s="8">
        <v>0</v>
      </c>
      <c r="AO55" s="7">
        <f t="shared" si="12"/>
        <v>1165.2028571428571</v>
      </c>
      <c r="AP55" s="7">
        <f t="shared" si="13"/>
        <v>407821</v>
      </c>
      <c r="AQ55" s="8">
        <f t="shared" si="13"/>
        <v>350</v>
      </c>
    </row>
    <row r="56" spans="1:43" x14ac:dyDescent="0.3">
      <c r="A56" s="28" t="s">
        <v>88</v>
      </c>
      <c r="B56" s="20"/>
      <c r="C56" s="20"/>
      <c r="D56" s="20"/>
      <c r="E56" s="7" t="e">
        <f t="shared" si="14"/>
        <v>#DIV/0!</v>
      </c>
      <c r="F56" s="7">
        <v>0</v>
      </c>
      <c r="G56" s="8">
        <v>0</v>
      </c>
      <c r="H56" s="7" t="e">
        <f t="shared" si="15"/>
        <v>#DIV/0!</v>
      </c>
      <c r="I56" s="7">
        <v>0</v>
      </c>
      <c r="J56" s="8">
        <v>0</v>
      </c>
      <c r="K56" s="7" t="e">
        <f t="shared" si="16"/>
        <v>#DIV/0!</v>
      </c>
      <c r="L56" s="7">
        <v>0</v>
      </c>
      <c r="M56" s="8">
        <v>0</v>
      </c>
      <c r="N56" s="7" t="e">
        <f t="shared" si="17"/>
        <v>#DIV/0!</v>
      </c>
      <c r="O56" s="7">
        <v>0</v>
      </c>
      <c r="P56" s="8">
        <v>0</v>
      </c>
      <c r="Q56" s="7">
        <f t="shared" si="18"/>
        <v>1214.55</v>
      </c>
      <c r="R56" s="7">
        <v>48582</v>
      </c>
      <c r="S56" s="8">
        <v>40</v>
      </c>
      <c r="T56" s="7" t="e">
        <f t="shared" si="19"/>
        <v>#DIV/0!</v>
      </c>
      <c r="U56" s="7">
        <v>0</v>
      </c>
      <c r="V56" s="8">
        <v>0</v>
      </c>
      <c r="W56" s="7" t="e">
        <f t="shared" si="20"/>
        <v>#DIV/0!</v>
      </c>
      <c r="X56" s="7">
        <v>0</v>
      </c>
      <c r="Y56" s="8">
        <v>0</v>
      </c>
      <c r="Z56" s="7" t="e">
        <f t="shared" si="21"/>
        <v>#DIV/0!</v>
      </c>
      <c r="AA56" s="7">
        <v>0</v>
      </c>
      <c r="AB56" s="8">
        <v>0</v>
      </c>
      <c r="AC56" s="7" t="e">
        <f t="shared" si="22"/>
        <v>#DIV/0!</v>
      </c>
      <c r="AD56" s="7">
        <v>0</v>
      </c>
      <c r="AE56" s="8">
        <v>0</v>
      </c>
      <c r="AF56" s="7" t="e">
        <f t="shared" si="23"/>
        <v>#DIV/0!</v>
      </c>
      <c r="AG56" s="7">
        <v>0</v>
      </c>
      <c r="AH56" s="8">
        <v>0</v>
      </c>
      <c r="AI56" s="7" t="e">
        <f t="shared" si="24"/>
        <v>#DIV/0!</v>
      </c>
      <c r="AJ56" s="7">
        <v>0</v>
      </c>
      <c r="AK56" s="8">
        <v>0</v>
      </c>
      <c r="AL56" s="7" t="e">
        <f t="shared" si="25"/>
        <v>#DIV/0!</v>
      </c>
      <c r="AM56" s="7">
        <v>0</v>
      </c>
      <c r="AN56" s="8">
        <v>0</v>
      </c>
      <c r="AO56" s="7">
        <f t="shared" si="12"/>
        <v>1214.55</v>
      </c>
      <c r="AP56" s="7">
        <f t="shared" si="13"/>
        <v>48582</v>
      </c>
      <c r="AQ56" s="8">
        <f t="shared" si="13"/>
        <v>40</v>
      </c>
    </row>
    <row r="57" spans="1:43" x14ac:dyDescent="0.3">
      <c r="A57" s="28" t="s">
        <v>68</v>
      </c>
      <c r="B57" s="20"/>
      <c r="C57" s="20"/>
      <c r="D57" s="20"/>
      <c r="E57" s="7" t="e">
        <f t="shared" si="14"/>
        <v>#DIV/0!</v>
      </c>
      <c r="F57" s="7">
        <v>0</v>
      </c>
      <c r="G57" s="8">
        <v>0</v>
      </c>
      <c r="H57" s="7" t="e">
        <f t="shared" si="15"/>
        <v>#DIV/0!</v>
      </c>
      <c r="I57" s="7">
        <v>0</v>
      </c>
      <c r="J57" s="8">
        <v>0</v>
      </c>
      <c r="K57" s="7" t="e">
        <f t="shared" si="16"/>
        <v>#DIV/0!</v>
      </c>
      <c r="L57" s="7">
        <v>0</v>
      </c>
      <c r="M57" s="8">
        <v>0</v>
      </c>
      <c r="N57" s="7" t="e">
        <f t="shared" si="17"/>
        <v>#DIV/0!</v>
      </c>
      <c r="O57" s="7">
        <v>0</v>
      </c>
      <c r="P57" s="8">
        <v>0</v>
      </c>
      <c r="Q57" s="7" t="e">
        <f t="shared" si="18"/>
        <v>#DIV/0!</v>
      </c>
      <c r="R57" s="7">
        <v>0</v>
      </c>
      <c r="S57" s="8">
        <v>0</v>
      </c>
      <c r="T57" s="7" t="e">
        <f t="shared" si="19"/>
        <v>#DIV/0!</v>
      </c>
      <c r="U57" s="7">
        <v>0</v>
      </c>
      <c r="V57" s="8">
        <v>0</v>
      </c>
      <c r="W57" s="7" t="e">
        <f t="shared" si="20"/>
        <v>#DIV/0!</v>
      </c>
      <c r="X57" s="7">
        <v>0</v>
      </c>
      <c r="Y57" s="8">
        <v>0</v>
      </c>
      <c r="Z57" s="7" t="e">
        <f t="shared" si="21"/>
        <v>#DIV/0!</v>
      </c>
      <c r="AA57" s="7">
        <v>0</v>
      </c>
      <c r="AB57" s="8">
        <v>0</v>
      </c>
      <c r="AC57" s="7">
        <f t="shared" si="22"/>
        <v>2110.8333333333335</v>
      </c>
      <c r="AD57" s="7">
        <v>5066</v>
      </c>
      <c r="AE57" s="8">
        <v>2.4</v>
      </c>
      <c r="AF57" s="7" t="e">
        <f t="shared" si="23"/>
        <v>#DIV/0!</v>
      </c>
      <c r="AG57" s="7">
        <v>0</v>
      </c>
      <c r="AH57" s="8">
        <v>0</v>
      </c>
      <c r="AI57" s="7">
        <f t="shared" si="24"/>
        <v>1848.8888888888889</v>
      </c>
      <c r="AJ57" s="7">
        <v>3328</v>
      </c>
      <c r="AK57" s="8">
        <v>1.8</v>
      </c>
      <c r="AL57" s="7" t="e">
        <f t="shared" si="25"/>
        <v>#DIV/0!</v>
      </c>
      <c r="AM57" s="7">
        <v>0</v>
      </c>
      <c r="AN57" s="8">
        <v>0</v>
      </c>
      <c r="AO57" s="7">
        <f t="shared" si="12"/>
        <v>1998.5714285714284</v>
      </c>
      <c r="AP57" s="7">
        <f t="shared" si="13"/>
        <v>8394</v>
      </c>
      <c r="AQ57" s="8">
        <f t="shared" si="13"/>
        <v>4.2</v>
      </c>
    </row>
    <row r="58" spans="1:43" x14ac:dyDescent="0.3">
      <c r="A58" s="28" t="s">
        <v>82</v>
      </c>
      <c r="B58" s="20"/>
      <c r="C58" s="20"/>
      <c r="D58" s="20"/>
      <c r="E58" s="7" t="e">
        <f t="shared" si="14"/>
        <v>#DIV/0!</v>
      </c>
      <c r="F58" s="7">
        <v>0</v>
      </c>
      <c r="G58" s="8">
        <v>0</v>
      </c>
      <c r="H58" s="7" t="e">
        <f t="shared" si="15"/>
        <v>#DIV/0!</v>
      </c>
      <c r="I58" s="7">
        <v>0</v>
      </c>
      <c r="J58" s="8">
        <v>0</v>
      </c>
      <c r="K58" s="7">
        <f t="shared" si="16"/>
        <v>2059.1715976331361</v>
      </c>
      <c r="L58" s="7">
        <v>34800</v>
      </c>
      <c r="M58" s="8">
        <v>16.899999999999999</v>
      </c>
      <c r="N58" s="7" t="e">
        <f t="shared" si="17"/>
        <v>#DIV/0!</v>
      </c>
      <c r="O58" s="7">
        <v>0</v>
      </c>
      <c r="P58" s="8">
        <v>0</v>
      </c>
      <c r="Q58" s="7">
        <f t="shared" si="18"/>
        <v>2200</v>
      </c>
      <c r="R58" s="7">
        <v>7480</v>
      </c>
      <c r="S58" s="8">
        <v>3.4</v>
      </c>
      <c r="T58" s="7" t="e">
        <f t="shared" si="19"/>
        <v>#DIV/0!</v>
      </c>
      <c r="U58" s="7">
        <v>0</v>
      </c>
      <c r="V58" s="8">
        <v>0</v>
      </c>
      <c r="W58" s="7" t="e">
        <f t="shared" si="20"/>
        <v>#DIV/0!</v>
      </c>
      <c r="X58" s="7">
        <v>0</v>
      </c>
      <c r="Y58" s="8">
        <v>0</v>
      </c>
      <c r="Z58" s="7" t="e">
        <f t="shared" si="21"/>
        <v>#DIV/0!</v>
      </c>
      <c r="AA58" s="7">
        <v>0</v>
      </c>
      <c r="AB58" s="8">
        <v>0</v>
      </c>
      <c r="AC58" s="7" t="e">
        <f t="shared" si="22"/>
        <v>#DIV/0!</v>
      </c>
      <c r="AD58" s="7">
        <v>0</v>
      </c>
      <c r="AE58" s="8">
        <v>0</v>
      </c>
      <c r="AF58" s="7" t="e">
        <f t="shared" si="23"/>
        <v>#DIV/0!</v>
      </c>
      <c r="AG58" s="7">
        <v>0</v>
      </c>
      <c r="AH58" s="8">
        <v>0</v>
      </c>
      <c r="AI58" s="7" t="e">
        <f t="shared" si="24"/>
        <v>#DIV/0!</v>
      </c>
      <c r="AJ58" s="7">
        <v>0</v>
      </c>
      <c r="AK58" s="8">
        <v>0</v>
      </c>
      <c r="AL58" s="7" t="e">
        <f t="shared" si="25"/>
        <v>#DIV/0!</v>
      </c>
      <c r="AM58" s="7">
        <v>0</v>
      </c>
      <c r="AN58" s="8">
        <v>0</v>
      </c>
      <c r="AO58" s="7">
        <f t="shared" si="12"/>
        <v>2082.7586206896553</v>
      </c>
      <c r="AP58" s="7">
        <f t="shared" si="13"/>
        <v>42280</v>
      </c>
      <c r="AQ58" s="8">
        <f t="shared" si="13"/>
        <v>20.299999999999997</v>
      </c>
    </row>
    <row r="59" spans="1:43" x14ac:dyDescent="0.3">
      <c r="A59" s="28" t="s">
        <v>69</v>
      </c>
      <c r="B59" s="20"/>
      <c r="C59" s="20"/>
      <c r="D59" s="20"/>
      <c r="E59" s="7" t="e">
        <f t="shared" si="14"/>
        <v>#DIV/0!</v>
      </c>
      <c r="F59" s="7">
        <v>0</v>
      </c>
      <c r="G59" s="8">
        <v>0</v>
      </c>
      <c r="H59" s="7" t="e">
        <f t="shared" si="15"/>
        <v>#DIV/0!</v>
      </c>
      <c r="I59" s="7">
        <v>0</v>
      </c>
      <c r="J59" s="8">
        <v>0</v>
      </c>
      <c r="K59" s="7" t="e">
        <f t="shared" si="16"/>
        <v>#DIV/0!</v>
      </c>
      <c r="L59" s="7">
        <v>0</v>
      </c>
      <c r="M59" s="8">
        <v>0</v>
      </c>
      <c r="N59" s="7" t="e">
        <f t="shared" si="17"/>
        <v>#DIV/0!</v>
      </c>
      <c r="O59" s="7">
        <v>0</v>
      </c>
      <c r="P59" s="8">
        <v>0</v>
      </c>
      <c r="Q59" s="7" t="e">
        <f t="shared" si="18"/>
        <v>#DIV/0!</v>
      </c>
      <c r="R59" s="7">
        <v>0</v>
      </c>
      <c r="S59" s="8">
        <v>0</v>
      </c>
      <c r="T59" s="7" t="e">
        <f t="shared" si="19"/>
        <v>#DIV/0!</v>
      </c>
      <c r="U59" s="7">
        <v>0</v>
      </c>
      <c r="V59" s="8">
        <v>0</v>
      </c>
      <c r="W59" s="7" t="e">
        <f t="shared" si="20"/>
        <v>#DIV/0!</v>
      </c>
      <c r="X59" s="7">
        <v>0</v>
      </c>
      <c r="Y59" s="8">
        <v>0</v>
      </c>
      <c r="Z59" s="7" t="e">
        <f t="shared" si="21"/>
        <v>#DIV/0!</v>
      </c>
      <c r="AA59" s="7">
        <v>0</v>
      </c>
      <c r="AB59" s="8">
        <v>0</v>
      </c>
      <c r="AC59" s="7" t="e">
        <f t="shared" si="22"/>
        <v>#DIV/0!</v>
      </c>
      <c r="AD59" s="7">
        <v>0</v>
      </c>
      <c r="AE59" s="8">
        <v>0</v>
      </c>
      <c r="AF59" s="7" t="e">
        <f t="shared" si="23"/>
        <v>#DIV/0!</v>
      </c>
      <c r="AG59" s="7">
        <v>0</v>
      </c>
      <c r="AH59" s="8">
        <v>0</v>
      </c>
      <c r="AI59" s="7">
        <f t="shared" si="24"/>
        <v>2137.0588235294117</v>
      </c>
      <c r="AJ59" s="7">
        <v>3633</v>
      </c>
      <c r="AK59" s="8">
        <v>1.7</v>
      </c>
      <c r="AL59" s="7" t="e">
        <f t="shared" si="25"/>
        <v>#DIV/0!</v>
      </c>
      <c r="AM59" s="7">
        <v>0</v>
      </c>
      <c r="AN59" s="8">
        <v>0</v>
      </c>
      <c r="AO59" s="7">
        <f t="shared" si="12"/>
        <v>2137.0588235294117</v>
      </c>
      <c r="AP59" s="7">
        <f t="shared" si="13"/>
        <v>3633</v>
      </c>
      <c r="AQ59" s="8">
        <f t="shared" si="13"/>
        <v>1.7</v>
      </c>
    </row>
    <row r="60" spans="1:43" x14ac:dyDescent="0.3">
      <c r="A60" s="28" t="s">
        <v>92</v>
      </c>
      <c r="B60" s="20"/>
      <c r="C60" s="20"/>
      <c r="D60" s="20"/>
      <c r="E60" s="7">
        <f t="shared" si="14"/>
        <v>8060</v>
      </c>
      <c r="F60" s="7">
        <v>4836</v>
      </c>
      <c r="G60" s="8">
        <v>0.6</v>
      </c>
      <c r="H60" s="7" t="e">
        <f t="shared" si="15"/>
        <v>#DIV/0!</v>
      </c>
      <c r="I60" s="7">
        <v>0</v>
      </c>
      <c r="J60" s="8">
        <v>0</v>
      </c>
      <c r="K60" s="7" t="e">
        <f t="shared" si="16"/>
        <v>#DIV/0!</v>
      </c>
      <c r="L60" s="7">
        <v>0</v>
      </c>
      <c r="M60" s="8">
        <v>0</v>
      </c>
      <c r="N60" s="7" t="e">
        <f t="shared" si="17"/>
        <v>#DIV/0!</v>
      </c>
      <c r="O60" s="7">
        <v>0</v>
      </c>
      <c r="P60" s="8">
        <v>0</v>
      </c>
      <c r="Q60" s="7" t="e">
        <f t="shared" si="18"/>
        <v>#DIV/0!</v>
      </c>
      <c r="R60" s="7">
        <v>0</v>
      </c>
      <c r="S60" s="8">
        <v>0</v>
      </c>
      <c r="T60" s="7" t="e">
        <f t="shared" si="19"/>
        <v>#DIV/0!</v>
      </c>
      <c r="U60" s="7">
        <v>0</v>
      </c>
      <c r="V60" s="8">
        <v>0</v>
      </c>
      <c r="W60" s="7" t="e">
        <f t="shared" si="20"/>
        <v>#DIV/0!</v>
      </c>
      <c r="X60" s="7">
        <v>0</v>
      </c>
      <c r="Y60" s="8">
        <v>0</v>
      </c>
      <c r="Z60" s="7" t="e">
        <f t="shared" si="21"/>
        <v>#DIV/0!</v>
      </c>
      <c r="AA60" s="7">
        <v>0</v>
      </c>
      <c r="AB60" s="8">
        <v>0</v>
      </c>
      <c r="AC60" s="7" t="e">
        <f t="shared" si="22"/>
        <v>#DIV/0!</v>
      </c>
      <c r="AD60" s="7">
        <v>0</v>
      </c>
      <c r="AE60" s="8">
        <v>0</v>
      </c>
      <c r="AF60" s="7" t="e">
        <f t="shared" si="23"/>
        <v>#DIV/0!</v>
      </c>
      <c r="AG60" s="7">
        <v>0</v>
      </c>
      <c r="AH60" s="8">
        <v>0</v>
      </c>
      <c r="AI60" s="7" t="e">
        <f t="shared" si="24"/>
        <v>#DIV/0!</v>
      </c>
      <c r="AJ60" s="7">
        <v>0</v>
      </c>
      <c r="AK60" s="8">
        <v>0</v>
      </c>
      <c r="AL60" s="7" t="e">
        <f t="shared" si="25"/>
        <v>#DIV/0!</v>
      </c>
      <c r="AM60" s="7">
        <v>0</v>
      </c>
      <c r="AN60" s="8">
        <v>0</v>
      </c>
      <c r="AO60" s="7">
        <f t="shared" si="12"/>
        <v>8060</v>
      </c>
      <c r="AP60" s="7">
        <f t="shared" si="13"/>
        <v>4836</v>
      </c>
      <c r="AQ60" s="8">
        <f t="shared" si="13"/>
        <v>0.6</v>
      </c>
    </row>
    <row r="61" spans="1:43" x14ac:dyDescent="0.3">
      <c r="A61" s="28" t="s">
        <v>70</v>
      </c>
      <c r="B61" s="20"/>
      <c r="C61" s="20"/>
      <c r="D61" s="20"/>
      <c r="E61" s="7" t="e">
        <f t="shared" si="14"/>
        <v>#DIV/0!</v>
      </c>
      <c r="F61" s="7">
        <v>0</v>
      </c>
      <c r="G61" s="8">
        <v>0</v>
      </c>
      <c r="H61" s="7" t="e">
        <f t="shared" si="15"/>
        <v>#DIV/0!</v>
      </c>
      <c r="I61" s="7">
        <v>0</v>
      </c>
      <c r="J61" s="8">
        <v>0</v>
      </c>
      <c r="K61" s="7" t="e">
        <f t="shared" si="16"/>
        <v>#DIV/0!</v>
      </c>
      <c r="L61" s="7">
        <v>0</v>
      </c>
      <c r="M61" s="8">
        <v>0</v>
      </c>
      <c r="N61" s="7" t="e">
        <f t="shared" si="17"/>
        <v>#DIV/0!</v>
      </c>
      <c r="O61" s="7">
        <v>0</v>
      </c>
      <c r="P61" s="8">
        <v>0</v>
      </c>
      <c r="Q61" s="7" t="e">
        <f t="shared" si="18"/>
        <v>#DIV/0!</v>
      </c>
      <c r="R61" s="7">
        <v>0</v>
      </c>
      <c r="S61" s="8">
        <v>0</v>
      </c>
      <c r="T61" s="7" t="e">
        <f t="shared" si="19"/>
        <v>#DIV/0!</v>
      </c>
      <c r="U61" s="7">
        <v>0</v>
      </c>
      <c r="V61" s="8">
        <v>0</v>
      </c>
      <c r="W61" s="7" t="e">
        <f t="shared" si="20"/>
        <v>#DIV/0!</v>
      </c>
      <c r="X61" s="7">
        <v>0</v>
      </c>
      <c r="Y61" s="8">
        <v>0</v>
      </c>
      <c r="Z61" s="7" t="e">
        <f t="shared" si="21"/>
        <v>#DIV/0!</v>
      </c>
      <c r="AA61" s="7">
        <v>0</v>
      </c>
      <c r="AB61" s="8">
        <v>0</v>
      </c>
      <c r="AC61" s="7" t="e">
        <f t="shared" si="22"/>
        <v>#DIV/0!</v>
      </c>
      <c r="AD61" s="7">
        <v>0</v>
      </c>
      <c r="AE61" s="8">
        <v>0</v>
      </c>
      <c r="AF61" s="7" t="e">
        <f t="shared" si="23"/>
        <v>#DIV/0!</v>
      </c>
      <c r="AG61" s="7">
        <v>0</v>
      </c>
      <c r="AH61" s="8">
        <v>0</v>
      </c>
      <c r="AI61" s="7">
        <f t="shared" si="24"/>
        <v>3095</v>
      </c>
      <c r="AJ61" s="7">
        <v>3714</v>
      </c>
      <c r="AK61" s="8">
        <v>1.2</v>
      </c>
      <c r="AL61" s="7" t="e">
        <f t="shared" si="25"/>
        <v>#DIV/0!</v>
      </c>
      <c r="AM61" s="7">
        <v>0</v>
      </c>
      <c r="AN61" s="8">
        <v>0</v>
      </c>
      <c r="AO61" s="7">
        <f t="shared" si="12"/>
        <v>3095</v>
      </c>
      <c r="AP61" s="7">
        <f t="shared" si="13"/>
        <v>3714</v>
      </c>
      <c r="AQ61" s="8">
        <f t="shared" si="13"/>
        <v>1.2</v>
      </c>
    </row>
    <row r="62" spans="1:43" x14ac:dyDescent="0.3">
      <c r="A62" s="28" t="s">
        <v>72</v>
      </c>
      <c r="B62" s="20"/>
      <c r="C62" s="20"/>
      <c r="D62" s="20"/>
      <c r="E62" s="7" t="e">
        <f t="shared" si="14"/>
        <v>#DIV/0!</v>
      </c>
      <c r="F62" s="7">
        <v>0</v>
      </c>
      <c r="G62" s="8">
        <v>0</v>
      </c>
      <c r="H62" s="7" t="e">
        <f t="shared" si="15"/>
        <v>#DIV/0!</v>
      </c>
      <c r="I62" s="7">
        <v>0</v>
      </c>
      <c r="J62" s="8">
        <v>0</v>
      </c>
      <c r="K62" s="7" t="e">
        <f t="shared" si="16"/>
        <v>#DIV/0!</v>
      </c>
      <c r="L62" s="7">
        <v>0</v>
      </c>
      <c r="M62" s="8">
        <v>0</v>
      </c>
      <c r="N62" s="7" t="e">
        <f t="shared" si="17"/>
        <v>#DIV/0!</v>
      </c>
      <c r="O62" s="7">
        <v>0</v>
      </c>
      <c r="P62" s="8">
        <v>0</v>
      </c>
      <c r="Q62" s="7" t="e">
        <f t="shared" si="18"/>
        <v>#DIV/0!</v>
      </c>
      <c r="R62" s="7">
        <v>0</v>
      </c>
      <c r="S62" s="8">
        <v>0</v>
      </c>
      <c r="T62" s="7" t="e">
        <f t="shared" si="19"/>
        <v>#DIV/0!</v>
      </c>
      <c r="U62" s="7">
        <v>0</v>
      </c>
      <c r="V62" s="8">
        <v>0</v>
      </c>
      <c r="W62" s="7" t="e">
        <f t="shared" si="20"/>
        <v>#DIV/0!</v>
      </c>
      <c r="X62" s="7">
        <v>0</v>
      </c>
      <c r="Y62" s="8">
        <v>0</v>
      </c>
      <c r="Z62" s="7" t="e">
        <f t="shared" si="21"/>
        <v>#DIV/0!</v>
      </c>
      <c r="AA62" s="7">
        <v>0</v>
      </c>
      <c r="AB62" s="8">
        <v>0</v>
      </c>
      <c r="AC62" s="7">
        <f t="shared" si="22"/>
        <v>3672.5</v>
      </c>
      <c r="AD62" s="7">
        <v>2938</v>
      </c>
      <c r="AE62" s="8">
        <v>0.8</v>
      </c>
      <c r="AF62" s="7" t="e">
        <f t="shared" si="23"/>
        <v>#DIV/0!</v>
      </c>
      <c r="AG62" s="7">
        <v>0</v>
      </c>
      <c r="AH62" s="8">
        <v>0</v>
      </c>
      <c r="AI62" s="7" t="e">
        <f t="shared" si="24"/>
        <v>#DIV/0!</v>
      </c>
      <c r="AJ62" s="7">
        <v>0</v>
      </c>
      <c r="AK62" s="8">
        <v>0</v>
      </c>
      <c r="AL62" s="7" t="e">
        <f t="shared" si="25"/>
        <v>#DIV/0!</v>
      </c>
      <c r="AM62" s="7">
        <v>0</v>
      </c>
      <c r="AN62" s="8">
        <v>0</v>
      </c>
      <c r="AO62" s="7">
        <f t="shared" si="12"/>
        <v>3672.5</v>
      </c>
      <c r="AP62" s="7">
        <f t="shared" si="13"/>
        <v>2938</v>
      </c>
      <c r="AQ62" s="8">
        <f t="shared" si="13"/>
        <v>0.8</v>
      </c>
    </row>
    <row r="63" spans="1:43" x14ac:dyDescent="0.3">
      <c r="A63" s="28" t="s">
        <v>53</v>
      </c>
      <c r="B63" s="20"/>
      <c r="C63" s="20"/>
      <c r="D63" s="20"/>
      <c r="E63" s="7" t="e">
        <f t="shared" si="14"/>
        <v>#DIV/0!</v>
      </c>
      <c r="F63" s="7">
        <v>0</v>
      </c>
      <c r="G63" s="8">
        <v>0</v>
      </c>
      <c r="H63" s="7" t="e">
        <f t="shared" si="15"/>
        <v>#DIV/0!</v>
      </c>
      <c r="I63" s="7">
        <v>0</v>
      </c>
      <c r="J63" s="8">
        <v>0</v>
      </c>
      <c r="K63" s="7" t="e">
        <f t="shared" si="16"/>
        <v>#DIV/0!</v>
      </c>
      <c r="L63" s="7">
        <v>0</v>
      </c>
      <c r="M63" s="8">
        <v>0</v>
      </c>
      <c r="N63" s="7">
        <f t="shared" si="17"/>
        <v>2016</v>
      </c>
      <c r="O63" s="7">
        <v>10080</v>
      </c>
      <c r="P63" s="8">
        <v>5</v>
      </c>
      <c r="Q63" s="7" t="e">
        <f t="shared" si="18"/>
        <v>#DIV/0!</v>
      </c>
      <c r="R63" s="7">
        <v>0</v>
      </c>
      <c r="S63" s="8">
        <v>0</v>
      </c>
      <c r="T63" s="7" t="e">
        <f t="shared" si="19"/>
        <v>#DIV/0!</v>
      </c>
      <c r="U63" s="7">
        <v>0</v>
      </c>
      <c r="V63" s="8">
        <v>0</v>
      </c>
      <c r="W63" s="7" t="e">
        <f t="shared" si="20"/>
        <v>#DIV/0!</v>
      </c>
      <c r="X63" s="7">
        <v>0</v>
      </c>
      <c r="Y63" s="8">
        <v>0</v>
      </c>
      <c r="Z63" s="7" t="e">
        <f t="shared" si="21"/>
        <v>#DIV/0!</v>
      </c>
      <c r="AA63" s="7">
        <v>0</v>
      </c>
      <c r="AB63" s="8">
        <v>0</v>
      </c>
      <c r="AC63" s="7" t="e">
        <f t="shared" si="22"/>
        <v>#DIV/0!</v>
      </c>
      <c r="AD63" s="7">
        <v>0</v>
      </c>
      <c r="AE63" s="8">
        <v>0</v>
      </c>
      <c r="AF63" s="7" t="e">
        <f t="shared" si="23"/>
        <v>#DIV/0!</v>
      </c>
      <c r="AG63" s="7">
        <v>0</v>
      </c>
      <c r="AH63" s="8">
        <v>0</v>
      </c>
      <c r="AI63" s="7" t="e">
        <f t="shared" si="24"/>
        <v>#DIV/0!</v>
      </c>
      <c r="AJ63" s="7">
        <v>0</v>
      </c>
      <c r="AK63" s="8">
        <v>0</v>
      </c>
      <c r="AL63" s="7" t="e">
        <f t="shared" si="25"/>
        <v>#DIV/0!</v>
      </c>
      <c r="AM63" s="7">
        <v>0</v>
      </c>
      <c r="AN63" s="8">
        <v>0</v>
      </c>
      <c r="AO63" s="7">
        <f t="shared" si="12"/>
        <v>2016</v>
      </c>
      <c r="AP63" s="7">
        <f t="shared" si="13"/>
        <v>10080</v>
      </c>
      <c r="AQ63" s="8">
        <f t="shared" si="13"/>
        <v>5</v>
      </c>
    </row>
    <row r="64" spans="1:43" x14ac:dyDescent="0.3">
      <c r="A64" s="28" t="s">
        <v>73</v>
      </c>
      <c r="B64" s="20"/>
      <c r="C64" s="20"/>
      <c r="D64" s="20"/>
      <c r="E64" s="7" t="e">
        <f t="shared" si="14"/>
        <v>#DIV/0!</v>
      </c>
      <c r="F64" s="7">
        <v>0</v>
      </c>
      <c r="G64" s="8">
        <v>0</v>
      </c>
      <c r="H64" s="7" t="e">
        <f t="shared" si="15"/>
        <v>#DIV/0!</v>
      </c>
      <c r="I64" s="7">
        <v>0</v>
      </c>
      <c r="J64" s="8">
        <v>0</v>
      </c>
      <c r="K64" s="7">
        <f t="shared" si="16"/>
        <v>1278</v>
      </c>
      <c r="L64" s="7">
        <v>3834</v>
      </c>
      <c r="M64" s="8">
        <v>3</v>
      </c>
      <c r="N64" s="7" t="e">
        <f t="shared" si="17"/>
        <v>#DIV/0!</v>
      </c>
      <c r="O64" s="7">
        <v>0</v>
      </c>
      <c r="P64" s="8">
        <v>0</v>
      </c>
      <c r="Q64" s="7" t="e">
        <f t="shared" si="18"/>
        <v>#DIV/0!</v>
      </c>
      <c r="R64" s="7">
        <v>0</v>
      </c>
      <c r="S64" s="8">
        <v>0</v>
      </c>
      <c r="T64" s="7" t="e">
        <f t="shared" si="19"/>
        <v>#DIV/0!</v>
      </c>
      <c r="U64" s="7">
        <v>0</v>
      </c>
      <c r="V64" s="8">
        <v>0</v>
      </c>
      <c r="W64" s="7">
        <f t="shared" si="20"/>
        <v>1162.5</v>
      </c>
      <c r="X64" s="7">
        <v>5580</v>
      </c>
      <c r="Y64" s="8">
        <v>4.8</v>
      </c>
      <c r="Z64" s="7">
        <f t="shared" si="21"/>
        <v>1162.5</v>
      </c>
      <c r="AA64" s="7">
        <v>5580</v>
      </c>
      <c r="AB64" s="8">
        <v>4.8</v>
      </c>
      <c r="AC64" s="7" t="e">
        <f t="shared" si="22"/>
        <v>#DIV/0!</v>
      </c>
      <c r="AD64" s="7">
        <v>0</v>
      </c>
      <c r="AE64" s="8">
        <v>0</v>
      </c>
      <c r="AF64" s="7">
        <f t="shared" si="23"/>
        <v>984</v>
      </c>
      <c r="AG64" s="7">
        <v>4920</v>
      </c>
      <c r="AH64" s="8">
        <v>5</v>
      </c>
      <c r="AI64" s="7" t="e">
        <f t="shared" si="24"/>
        <v>#DIV/0!</v>
      </c>
      <c r="AJ64" s="7">
        <v>0</v>
      </c>
      <c r="AK64" s="8">
        <v>0</v>
      </c>
      <c r="AL64" s="7" t="e">
        <f t="shared" si="25"/>
        <v>#DIV/0!</v>
      </c>
      <c r="AM64" s="7">
        <v>0</v>
      </c>
      <c r="AN64" s="8">
        <v>0</v>
      </c>
      <c r="AO64" s="7">
        <f t="shared" si="12"/>
        <v>1131.4772727272727</v>
      </c>
      <c r="AP64" s="7">
        <f t="shared" si="13"/>
        <v>19914</v>
      </c>
      <c r="AQ64" s="8">
        <f t="shared" si="13"/>
        <v>17.600000000000001</v>
      </c>
    </row>
    <row r="65" spans="1:43" x14ac:dyDescent="0.3">
      <c r="A65" s="28" t="s">
        <v>83</v>
      </c>
      <c r="B65" s="20"/>
      <c r="C65" s="20"/>
      <c r="D65" s="20"/>
      <c r="E65" s="7">
        <f t="shared" si="14"/>
        <v>3614.545454545455</v>
      </c>
      <c r="F65" s="7">
        <v>11928</v>
      </c>
      <c r="G65" s="8">
        <v>3.3</v>
      </c>
      <c r="H65" s="7" t="e">
        <f t="shared" si="15"/>
        <v>#DIV/0!</v>
      </c>
      <c r="I65" s="7">
        <v>0</v>
      </c>
      <c r="J65" s="8">
        <v>0</v>
      </c>
      <c r="K65" s="7" t="e">
        <f t="shared" si="16"/>
        <v>#DIV/0!</v>
      </c>
      <c r="L65" s="7">
        <v>0</v>
      </c>
      <c r="M65" s="8">
        <v>0</v>
      </c>
      <c r="N65" s="7" t="e">
        <f t="shared" si="17"/>
        <v>#DIV/0!</v>
      </c>
      <c r="O65" s="7">
        <v>0</v>
      </c>
      <c r="P65" s="8">
        <v>0</v>
      </c>
      <c r="Q65" s="7" t="e">
        <f t="shared" si="18"/>
        <v>#DIV/0!</v>
      </c>
      <c r="R65" s="7">
        <v>0</v>
      </c>
      <c r="S65" s="8">
        <v>0</v>
      </c>
      <c r="T65" s="7" t="e">
        <f t="shared" si="19"/>
        <v>#DIV/0!</v>
      </c>
      <c r="U65" s="7">
        <v>0</v>
      </c>
      <c r="V65" s="8">
        <v>0</v>
      </c>
      <c r="W65" s="7">
        <f t="shared" si="20"/>
        <v>4389.4736842105267</v>
      </c>
      <c r="X65" s="7">
        <v>8340</v>
      </c>
      <c r="Y65" s="8">
        <v>1.9</v>
      </c>
      <c r="Z65" s="7" t="e">
        <f t="shared" si="21"/>
        <v>#DIV/0!</v>
      </c>
      <c r="AA65" s="7">
        <v>0</v>
      </c>
      <c r="AB65" s="8">
        <v>0</v>
      </c>
      <c r="AC65" s="7" t="e">
        <f t="shared" si="22"/>
        <v>#DIV/0!</v>
      </c>
      <c r="AD65" s="7">
        <v>0</v>
      </c>
      <c r="AE65" s="8">
        <v>0</v>
      </c>
      <c r="AF65" s="7" t="e">
        <f t="shared" si="23"/>
        <v>#DIV/0!</v>
      </c>
      <c r="AG65" s="7">
        <v>0</v>
      </c>
      <c r="AH65" s="8">
        <v>0</v>
      </c>
      <c r="AI65" s="7">
        <f t="shared" si="24"/>
        <v>1548.9908256880733</v>
      </c>
      <c r="AJ65" s="7">
        <v>84420</v>
      </c>
      <c r="AK65" s="8">
        <v>54.5</v>
      </c>
      <c r="AL65" s="7" t="e">
        <f t="shared" si="25"/>
        <v>#DIV/0!</v>
      </c>
      <c r="AM65" s="7">
        <v>0</v>
      </c>
      <c r="AN65" s="8">
        <v>0</v>
      </c>
      <c r="AO65" s="7">
        <f t="shared" si="12"/>
        <v>1753.5678391959798</v>
      </c>
      <c r="AP65" s="7">
        <f t="shared" si="13"/>
        <v>104688</v>
      </c>
      <c r="AQ65" s="8">
        <f t="shared" si="13"/>
        <v>59.7</v>
      </c>
    </row>
    <row r="66" spans="1:43" x14ac:dyDescent="0.3">
      <c r="A66" s="28" t="s">
        <v>86</v>
      </c>
      <c r="B66" s="20"/>
      <c r="C66" s="20"/>
      <c r="D66" s="20"/>
      <c r="E66" s="10" t="e">
        <f t="shared" si="14"/>
        <v>#DIV/0!</v>
      </c>
      <c r="F66" s="10">
        <v>0</v>
      </c>
      <c r="G66" s="8">
        <v>0</v>
      </c>
      <c r="H66" s="10" t="e">
        <f t="shared" si="15"/>
        <v>#DIV/0!</v>
      </c>
      <c r="I66" s="10">
        <v>0</v>
      </c>
      <c r="J66" s="8">
        <v>0</v>
      </c>
      <c r="K66" s="10" t="e">
        <f t="shared" si="16"/>
        <v>#DIV/0!</v>
      </c>
      <c r="L66" s="10">
        <v>0</v>
      </c>
      <c r="M66" s="8">
        <v>0</v>
      </c>
      <c r="N66" s="10" t="e">
        <f t="shared" si="17"/>
        <v>#DIV/0!</v>
      </c>
      <c r="O66" s="10">
        <v>0</v>
      </c>
      <c r="P66" s="8">
        <v>0</v>
      </c>
      <c r="Q66" s="10" t="e">
        <f t="shared" si="18"/>
        <v>#DIV/0!</v>
      </c>
      <c r="R66" s="10">
        <v>0</v>
      </c>
      <c r="S66" s="8">
        <v>0</v>
      </c>
      <c r="T66" s="10" t="e">
        <f t="shared" si="19"/>
        <v>#DIV/0!</v>
      </c>
      <c r="U66" s="10">
        <v>0</v>
      </c>
      <c r="V66" s="8">
        <v>0</v>
      </c>
      <c r="W66" s="10" t="e">
        <f t="shared" si="20"/>
        <v>#DIV/0!</v>
      </c>
      <c r="X66" s="10">
        <v>0</v>
      </c>
      <c r="Y66" s="8">
        <v>0</v>
      </c>
      <c r="Z66" s="10" t="e">
        <f t="shared" si="21"/>
        <v>#DIV/0!</v>
      </c>
      <c r="AA66" s="10">
        <v>0</v>
      </c>
      <c r="AB66" s="8">
        <v>0</v>
      </c>
      <c r="AC66" s="10" t="e">
        <f t="shared" si="22"/>
        <v>#DIV/0!</v>
      </c>
      <c r="AD66" s="10">
        <v>0</v>
      </c>
      <c r="AE66" s="8">
        <v>0</v>
      </c>
      <c r="AF66" s="10">
        <f t="shared" si="23"/>
        <v>1058.05</v>
      </c>
      <c r="AG66" s="10">
        <v>148127</v>
      </c>
      <c r="AH66" s="8">
        <v>140</v>
      </c>
      <c r="AI66" s="10" t="e">
        <f t="shared" si="24"/>
        <v>#DIV/0!</v>
      </c>
      <c r="AJ66" s="10">
        <v>0</v>
      </c>
      <c r="AK66" s="8">
        <v>0</v>
      </c>
      <c r="AL66" s="10" t="e">
        <f t="shared" si="25"/>
        <v>#DIV/0!</v>
      </c>
      <c r="AM66" s="10">
        <v>0</v>
      </c>
      <c r="AN66" s="8">
        <v>0</v>
      </c>
      <c r="AO66" s="10">
        <f t="shared" si="12"/>
        <v>1058.05</v>
      </c>
      <c r="AP66" s="10">
        <f t="shared" si="13"/>
        <v>148127</v>
      </c>
      <c r="AQ66" s="8">
        <f t="shared" si="13"/>
        <v>140</v>
      </c>
    </row>
    <row r="67" spans="1:43" x14ac:dyDescent="0.3">
      <c r="A67" s="16" t="s">
        <v>74</v>
      </c>
      <c r="B67" s="21"/>
      <c r="C67" s="21"/>
      <c r="D67" s="21"/>
      <c r="E67" s="14" t="e">
        <f t="shared" si="14"/>
        <v>#DIV/0!</v>
      </c>
      <c r="F67" s="12">
        <v>0</v>
      </c>
      <c r="G67" s="13">
        <v>0</v>
      </c>
      <c r="H67" s="12" t="e">
        <f t="shared" si="15"/>
        <v>#DIV/0!</v>
      </c>
      <c r="I67" s="12">
        <v>0</v>
      </c>
      <c r="J67" s="13">
        <v>0</v>
      </c>
      <c r="K67" s="12">
        <f t="shared" si="16"/>
        <v>1960.7975460122698</v>
      </c>
      <c r="L67" s="12">
        <v>31961</v>
      </c>
      <c r="M67" s="13">
        <v>16.3</v>
      </c>
      <c r="N67" s="12">
        <f t="shared" si="17"/>
        <v>20073.103448275862</v>
      </c>
      <c r="O67" s="12">
        <v>58212</v>
      </c>
      <c r="P67" s="13">
        <v>2.9</v>
      </c>
      <c r="Q67" s="12">
        <f t="shared" si="18"/>
        <v>16349.8</v>
      </c>
      <c r="R67" s="12">
        <v>81749</v>
      </c>
      <c r="S67" s="13">
        <v>5</v>
      </c>
      <c r="T67" s="12" t="e">
        <f t="shared" si="19"/>
        <v>#DIV/0!</v>
      </c>
      <c r="U67" s="12">
        <v>0</v>
      </c>
      <c r="V67" s="13">
        <v>0</v>
      </c>
      <c r="W67" s="12" t="e">
        <f t="shared" si="20"/>
        <v>#DIV/0!</v>
      </c>
      <c r="X67" s="12">
        <v>0</v>
      </c>
      <c r="Y67" s="13">
        <v>0</v>
      </c>
      <c r="Z67" s="12" t="e">
        <f t="shared" si="21"/>
        <v>#DIV/0!</v>
      </c>
      <c r="AA67" s="12">
        <v>0</v>
      </c>
      <c r="AB67" s="13">
        <v>0</v>
      </c>
      <c r="AC67" s="12">
        <f t="shared" si="22"/>
        <v>1960.5521472392638</v>
      </c>
      <c r="AD67" s="12">
        <v>31957</v>
      </c>
      <c r="AE67" s="13">
        <v>16.3</v>
      </c>
      <c r="AF67" s="12" t="e">
        <f t="shared" si="23"/>
        <v>#DIV/0!</v>
      </c>
      <c r="AG67" s="12">
        <v>0</v>
      </c>
      <c r="AH67" s="13">
        <v>0</v>
      </c>
      <c r="AI67" s="12" t="e">
        <f t="shared" si="24"/>
        <v>#DIV/0!</v>
      </c>
      <c r="AJ67" s="12">
        <v>0</v>
      </c>
      <c r="AK67" s="13">
        <v>0</v>
      </c>
      <c r="AL67" s="12" t="e">
        <f t="shared" si="25"/>
        <v>#DIV/0!</v>
      </c>
      <c r="AM67" s="12">
        <v>0</v>
      </c>
      <c r="AN67" s="13">
        <v>0</v>
      </c>
      <c r="AO67" s="12">
        <f t="shared" si="12"/>
        <v>5034.049382716049</v>
      </c>
      <c r="AP67" s="12">
        <f t="shared" si="13"/>
        <v>203879</v>
      </c>
      <c r="AQ67" s="13">
        <f t="shared" si="13"/>
        <v>40.5</v>
      </c>
    </row>
    <row r="68" spans="1:43" x14ac:dyDescent="0.3">
      <c r="A68" s="1" t="s">
        <v>41</v>
      </c>
      <c r="B68" s="1"/>
    </row>
    <row r="69" spans="1:43" x14ac:dyDescent="0.3">
      <c r="A69" s="1" t="s">
        <v>75</v>
      </c>
      <c r="B69" s="1"/>
    </row>
    <row r="70" spans="1:43" x14ac:dyDescent="0.3">
      <c r="A70" s="1" t="s">
        <v>42</v>
      </c>
      <c r="B70" s="1"/>
    </row>
    <row r="71" spans="1:43" x14ac:dyDescent="0.3">
      <c r="A71" s="1" t="s">
        <v>43</v>
      </c>
      <c r="B71" s="1"/>
    </row>
    <row r="72" spans="1:43" x14ac:dyDescent="0.3">
      <c r="A72" s="1" t="s">
        <v>76</v>
      </c>
      <c r="B72" s="1"/>
    </row>
  </sheetData>
  <mergeCells count="16">
    <mergeCell ref="N1:P1"/>
    <mergeCell ref="Q1:S1"/>
    <mergeCell ref="T1:V1"/>
    <mergeCell ref="AL1:AN1"/>
    <mergeCell ref="AO1:AQ1"/>
    <mergeCell ref="W1:Y1"/>
    <mergeCell ref="Z1:AB1"/>
    <mergeCell ref="AC1:AE1"/>
    <mergeCell ref="AF1:AH1"/>
    <mergeCell ref="AI1:AK1"/>
    <mergeCell ref="E1:G1"/>
    <mergeCell ref="H1:J1"/>
    <mergeCell ref="K1:M1"/>
    <mergeCell ref="B3:B67"/>
    <mergeCell ref="C3:C67"/>
    <mergeCell ref="D3:D67"/>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2015년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2026-08-07T05:02:44Z</dcterms:modified>
</cp:coreProperties>
</file>