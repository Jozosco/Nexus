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U:\데이터플랫폼팀\00 데이터플랫폼팀_공유\데이터플랫폼팀(23.03~)\08 데이터 분석\00 분석과제정의서\☆구매\수입원료\대두유\데이터\외부\경제, 무역\USDA(미국 농무부)\GATS(글로벌 농산물 무역 시스템)\Oilseeds\대두유\1507.90\표백 또는 탈취 과정을 거치지 않은 대두유(.4020)\"/>
    </mc:Choice>
  </mc:AlternateContent>
  <bookViews>
    <workbookView xWindow="0" yWindow="0" windowWidth="25125" windowHeight="11640"/>
  </bookViews>
  <sheets>
    <sheet name="2012년" sheetId="1" r:id="rId1"/>
  </sheets>
  <calcPr calcId="162913"/>
</workbook>
</file>

<file path=xl/calcChain.xml><?xml version="1.0" encoding="utf-8"?>
<calcChain xmlns="http://schemas.openxmlformats.org/spreadsheetml/2006/main">
  <c r="AQ23" i="1" l="1"/>
  <c r="AP23" i="1"/>
  <c r="AQ22" i="1"/>
  <c r="AP22" i="1"/>
  <c r="AQ21" i="1"/>
  <c r="AP21" i="1"/>
  <c r="AQ20" i="1"/>
  <c r="AP20" i="1"/>
  <c r="AQ19" i="1"/>
  <c r="AP19" i="1"/>
  <c r="AQ18" i="1"/>
  <c r="AP18" i="1"/>
  <c r="AQ17" i="1"/>
  <c r="AP17" i="1"/>
  <c r="AQ16" i="1"/>
  <c r="AP16" i="1"/>
  <c r="AQ15" i="1"/>
  <c r="AP15" i="1"/>
  <c r="AQ14" i="1"/>
  <c r="AP14" i="1"/>
  <c r="AQ13" i="1"/>
  <c r="AP13" i="1"/>
  <c r="AQ12" i="1"/>
  <c r="AP12" i="1"/>
  <c r="AQ11" i="1"/>
  <c r="AP11" i="1"/>
  <c r="AQ10" i="1"/>
  <c r="AP10" i="1"/>
  <c r="AQ9" i="1"/>
  <c r="AP9" i="1"/>
  <c r="AQ8" i="1"/>
  <c r="AP8" i="1"/>
  <c r="AQ7" i="1"/>
  <c r="AP7" i="1"/>
  <c r="AQ6" i="1"/>
  <c r="AP6" i="1"/>
  <c r="AQ5" i="1"/>
  <c r="AP5" i="1"/>
  <c r="AN3" i="1"/>
  <c r="AM3" i="1"/>
  <c r="AK3" i="1"/>
  <c r="AJ3" i="1"/>
  <c r="AH3" i="1"/>
  <c r="AG3" i="1"/>
  <c r="AB3" i="1"/>
  <c r="AA3" i="1"/>
  <c r="AE3" i="1"/>
  <c r="AD3" i="1"/>
  <c r="Y3" i="1"/>
  <c r="X3" i="1"/>
  <c r="V3" i="1"/>
  <c r="U3" i="1"/>
  <c r="S3" i="1"/>
  <c r="R3" i="1"/>
  <c r="P3" i="1"/>
  <c r="O3" i="1"/>
  <c r="M3" i="1"/>
  <c r="L3" i="1"/>
  <c r="J3" i="1"/>
  <c r="I3" i="1"/>
  <c r="G3" i="1"/>
  <c r="F3" i="1"/>
  <c r="AQ4" i="1"/>
  <c r="AP4" i="1"/>
  <c r="AP3" i="1" l="1"/>
  <c r="AQ3" i="1"/>
  <c r="AC3" i="1" l="1"/>
  <c r="Q3" i="1"/>
  <c r="AL3" i="1"/>
  <c r="AF3" i="1"/>
  <c r="W3" i="1"/>
  <c r="T3" i="1"/>
  <c r="N3" i="1"/>
  <c r="K3" i="1"/>
  <c r="H3" i="1"/>
  <c r="AL23" i="1"/>
  <c r="AL22" i="1"/>
  <c r="AL21" i="1"/>
  <c r="AL20" i="1"/>
  <c r="AL19" i="1"/>
  <c r="AL18" i="1"/>
  <c r="AL17" i="1"/>
  <c r="AL16" i="1"/>
  <c r="AL15" i="1"/>
  <c r="AL14" i="1"/>
  <c r="AL13" i="1"/>
  <c r="AL12" i="1"/>
  <c r="AL11" i="1"/>
  <c r="AL10" i="1"/>
  <c r="AL9" i="1"/>
  <c r="AL8" i="1"/>
  <c r="AL7" i="1"/>
  <c r="AL6" i="1"/>
  <c r="AL5" i="1"/>
  <c r="AL4" i="1"/>
  <c r="AI23" i="1"/>
  <c r="AI22" i="1"/>
  <c r="AI21" i="1"/>
  <c r="AI20" i="1"/>
  <c r="AI19" i="1"/>
  <c r="AI18" i="1"/>
  <c r="AI17" i="1"/>
  <c r="AI16" i="1"/>
  <c r="AI15" i="1"/>
  <c r="AI14" i="1"/>
  <c r="AI13" i="1"/>
  <c r="AI12" i="1"/>
  <c r="AI11" i="1"/>
  <c r="AI10" i="1"/>
  <c r="AI9" i="1"/>
  <c r="AI8" i="1"/>
  <c r="AI7" i="1"/>
  <c r="AI6" i="1"/>
  <c r="AI5" i="1"/>
  <c r="AI4" i="1"/>
  <c r="AF23" i="1"/>
  <c r="AF22" i="1"/>
  <c r="AF21" i="1"/>
  <c r="AF20" i="1"/>
  <c r="AF19" i="1"/>
  <c r="AF18" i="1"/>
  <c r="AF17" i="1"/>
  <c r="AF16" i="1"/>
  <c r="AF15" i="1"/>
  <c r="AF14" i="1"/>
  <c r="AF13" i="1"/>
  <c r="AF12" i="1"/>
  <c r="AF11" i="1"/>
  <c r="AF10" i="1"/>
  <c r="AF9" i="1"/>
  <c r="AF8" i="1"/>
  <c r="AF7" i="1"/>
  <c r="AF6" i="1"/>
  <c r="AF5" i="1"/>
  <c r="AF4" i="1"/>
  <c r="AC23" i="1"/>
  <c r="AC22" i="1"/>
  <c r="AC21" i="1"/>
  <c r="AC20" i="1"/>
  <c r="AC19" i="1"/>
  <c r="AC18" i="1"/>
  <c r="AC17" i="1"/>
  <c r="AC16" i="1"/>
  <c r="AC15" i="1"/>
  <c r="AC14" i="1"/>
  <c r="AC13" i="1"/>
  <c r="AC12" i="1"/>
  <c r="AC11" i="1"/>
  <c r="AC10" i="1"/>
  <c r="AC9" i="1"/>
  <c r="AC8" i="1"/>
  <c r="AC7" i="1"/>
  <c r="AC6" i="1"/>
  <c r="AC5" i="1"/>
  <c r="AC4" i="1"/>
  <c r="Z23" i="1"/>
  <c r="Z22" i="1"/>
  <c r="Z21" i="1"/>
  <c r="Z20" i="1"/>
  <c r="Z19" i="1"/>
  <c r="Z18" i="1"/>
  <c r="Z17" i="1"/>
  <c r="Z16" i="1"/>
  <c r="Z15" i="1"/>
  <c r="Z14" i="1"/>
  <c r="Z13" i="1"/>
  <c r="Z12" i="1"/>
  <c r="Z11" i="1"/>
  <c r="Z10" i="1"/>
  <c r="Z9" i="1"/>
  <c r="Z8" i="1"/>
  <c r="Z7" i="1"/>
  <c r="Z6" i="1"/>
  <c r="Z5" i="1"/>
  <c r="Z4" i="1"/>
  <c r="W23" i="1"/>
  <c r="W22" i="1"/>
  <c r="W21" i="1"/>
  <c r="W20" i="1"/>
  <c r="W19" i="1"/>
  <c r="W18" i="1"/>
  <c r="W17" i="1"/>
  <c r="W16" i="1"/>
  <c r="W15" i="1"/>
  <c r="W14" i="1"/>
  <c r="W13" i="1"/>
  <c r="W12" i="1"/>
  <c r="W11" i="1"/>
  <c r="W10" i="1"/>
  <c r="W9" i="1"/>
  <c r="W8" i="1"/>
  <c r="W7" i="1"/>
  <c r="W6" i="1"/>
  <c r="W5" i="1"/>
  <c r="W4" i="1"/>
  <c r="T23" i="1"/>
  <c r="T22" i="1"/>
  <c r="T21" i="1"/>
  <c r="T20" i="1"/>
  <c r="T19" i="1"/>
  <c r="T18" i="1"/>
  <c r="T17" i="1"/>
  <c r="T16" i="1"/>
  <c r="T15" i="1"/>
  <c r="T14" i="1"/>
  <c r="T13" i="1"/>
  <c r="T12" i="1"/>
  <c r="T11" i="1"/>
  <c r="T10" i="1"/>
  <c r="T9" i="1"/>
  <c r="T8" i="1"/>
  <c r="T7" i="1"/>
  <c r="T6" i="1"/>
  <c r="T5" i="1"/>
  <c r="T4" i="1"/>
  <c r="Q23" i="1"/>
  <c r="Q22" i="1"/>
  <c r="Q21" i="1"/>
  <c r="Q20" i="1"/>
  <c r="Q19" i="1"/>
  <c r="Q18" i="1"/>
  <c r="Q17" i="1"/>
  <c r="Q16" i="1"/>
  <c r="Q15" i="1"/>
  <c r="Q14" i="1"/>
  <c r="Q13" i="1"/>
  <c r="Q12" i="1"/>
  <c r="Q11" i="1"/>
  <c r="Q10" i="1"/>
  <c r="Q9" i="1"/>
  <c r="Q8" i="1"/>
  <c r="Q7" i="1"/>
  <c r="Q6" i="1"/>
  <c r="Q5" i="1"/>
  <c r="Q4" i="1"/>
  <c r="N23" i="1"/>
  <c r="N22" i="1"/>
  <c r="N21" i="1"/>
  <c r="N20" i="1"/>
  <c r="N19" i="1"/>
  <c r="N18" i="1"/>
  <c r="N17" i="1"/>
  <c r="N16" i="1"/>
  <c r="N15" i="1"/>
  <c r="N14" i="1"/>
  <c r="N13" i="1"/>
  <c r="N12" i="1"/>
  <c r="N11" i="1"/>
  <c r="N10" i="1"/>
  <c r="N9" i="1"/>
  <c r="N8" i="1"/>
  <c r="N7" i="1"/>
  <c r="N6" i="1"/>
  <c r="N5" i="1"/>
  <c r="N4" i="1"/>
  <c r="K23" i="1"/>
  <c r="K22" i="1"/>
  <c r="K21" i="1"/>
  <c r="K20" i="1"/>
  <c r="K19" i="1"/>
  <c r="K18" i="1"/>
  <c r="K17" i="1"/>
  <c r="K16" i="1"/>
  <c r="K15" i="1"/>
  <c r="K14" i="1"/>
  <c r="K13" i="1"/>
  <c r="K12" i="1"/>
  <c r="K11" i="1"/>
  <c r="K10" i="1"/>
  <c r="K9" i="1"/>
  <c r="K8" i="1"/>
  <c r="K7" i="1"/>
  <c r="K6" i="1"/>
  <c r="K5" i="1"/>
  <c r="K4" i="1"/>
  <c r="H23" i="1"/>
  <c r="H22" i="1"/>
  <c r="H21" i="1"/>
  <c r="H20" i="1"/>
  <c r="H19" i="1"/>
  <c r="H18" i="1"/>
  <c r="H17" i="1"/>
  <c r="H16" i="1"/>
  <c r="H15" i="1"/>
  <c r="H14" i="1"/>
  <c r="H13" i="1"/>
  <c r="H12" i="1"/>
  <c r="H11" i="1"/>
  <c r="H10" i="1"/>
  <c r="H9" i="1"/>
  <c r="H8" i="1"/>
  <c r="H7" i="1"/>
  <c r="H6" i="1"/>
  <c r="H5" i="1"/>
  <c r="H4" i="1"/>
  <c r="E23" i="1"/>
  <c r="E22" i="1"/>
  <c r="E21" i="1"/>
  <c r="E20" i="1"/>
  <c r="E19" i="1"/>
  <c r="E18" i="1"/>
  <c r="E17" i="1"/>
  <c r="E16" i="1"/>
  <c r="E15" i="1"/>
  <c r="E14" i="1"/>
  <c r="E13" i="1"/>
  <c r="E11" i="1"/>
  <c r="E10" i="1"/>
  <c r="E9" i="1"/>
  <c r="E8" i="1"/>
  <c r="E7" i="1"/>
  <c r="E6" i="1"/>
  <c r="E5" i="1"/>
  <c r="E4" i="1"/>
  <c r="E12" i="1"/>
  <c r="AI3" i="1" l="1"/>
  <c r="Z3" i="1"/>
  <c r="AO7" i="1"/>
  <c r="AO15" i="1"/>
  <c r="E3" i="1"/>
  <c r="AO10" i="1"/>
  <c r="AO18" i="1"/>
  <c r="AO11" i="1"/>
  <c r="AO20" i="1"/>
  <c r="AO5" i="1"/>
  <c r="AO13" i="1"/>
  <c r="AO21" i="1"/>
  <c r="AO6" i="1"/>
  <c r="AO14" i="1"/>
  <c r="AO22" i="1"/>
  <c r="AO8" i="1"/>
  <c r="AO16" i="1"/>
  <c r="AO9" i="1"/>
  <c r="AO17" i="1"/>
  <c r="AO19" i="1"/>
  <c r="AO23" i="1"/>
  <c r="AO3" i="1" l="1"/>
  <c r="AO4" i="1"/>
  <c r="AO12" i="1"/>
</calcChain>
</file>

<file path=xl/sharedStrings.xml><?xml version="1.0" encoding="utf-8"?>
<sst xmlns="http://schemas.openxmlformats.org/spreadsheetml/2006/main" count="85" uniqueCount="49">
  <si>
    <t>January</t>
  </si>
  <si>
    <t>February</t>
  </si>
  <si>
    <t>March</t>
  </si>
  <si>
    <t>April</t>
  </si>
  <si>
    <t>May</t>
  </si>
  <si>
    <t>June</t>
  </si>
  <si>
    <t>July</t>
  </si>
  <si>
    <t>August</t>
  </si>
  <si>
    <t>September</t>
  </si>
  <si>
    <t>October</t>
  </si>
  <si>
    <t>November</t>
  </si>
  <si>
    <t>December</t>
  </si>
  <si>
    <t>Total</t>
  </si>
  <si>
    <t>Unit of Measure</t>
  </si>
  <si>
    <t>Unit Value</t>
  </si>
  <si>
    <t>Qty</t>
  </si>
  <si>
    <t>World Total</t>
  </si>
  <si>
    <t>MT</t>
  </si>
  <si>
    <t>Costa Rica</t>
  </si>
  <si>
    <t>Colombia</t>
  </si>
  <si>
    <t>Korea, South</t>
  </si>
  <si>
    <t>Mexico</t>
  </si>
  <si>
    <t>Bahamas, The</t>
  </si>
  <si>
    <t>Belize</t>
  </si>
  <si>
    <t>China</t>
  </si>
  <si>
    <t>El Salvador</t>
  </si>
  <si>
    <t>Guatemala</t>
  </si>
  <si>
    <t>Honduras</t>
  </si>
  <si>
    <t>Panama</t>
  </si>
  <si>
    <t>Leeward-Windward Islands(*)</t>
  </si>
  <si>
    <t>Notes:</t>
  </si>
  <si>
    <t>2. (*) denotes a country that is a summarization of its component countries.</t>
  </si>
  <si>
    <t>3. Users should use cautious interpretation on QUANTITY reports using mixed units of measure. QUANTITY line items will only include statistics on the units of measure that are equal to, or are able to be converted to, the assigned unit of measure of the grouped commodities.</t>
  </si>
  <si>
    <t>Country</t>
    <phoneticPr fontId="18" type="noConversion"/>
  </si>
  <si>
    <t>Value</t>
    <phoneticPr fontId="18" type="noConversion"/>
  </si>
  <si>
    <t>USD</t>
    <phoneticPr fontId="18" type="noConversion"/>
  </si>
  <si>
    <t>Value</t>
    <phoneticPr fontId="18" type="noConversion"/>
  </si>
  <si>
    <t>Hong Kong</t>
  </si>
  <si>
    <t>Lebanon</t>
  </si>
  <si>
    <t>Brazil</t>
  </si>
  <si>
    <t>Russia</t>
  </si>
  <si>
    <t>1. Data Source: U.S. Census Bureau Trade Data</t>
  </si>
  <si>
    <t>4. Product Group : Harmonized</t>
  </si>
  <si>
    <t>Product</t>
    <phoneticPr fontId="18" type="noConversion"/>
  </si>
  <si>
    <t>Suriname</t>
  </si>
  <si>
    <t>Taiwan</t>
  </si>
  <si>
    <t>Thailand</t>
  </si>
  <si>
    <t>SOY OIL ONC-RFND</t>
    <phoneticPr fontId="18" type="noConversion"/>
  </si>
  <si>
    <t>Guinea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</si>
</sst>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0_);[Red]\(#,##0.0\)"/>
  </numFmts>
  <fonts count="19" x14ac:knownFonts="1">
    <font>
      <sz val="11"/>
      <color theme="1"/>
      <name val="맑은 고딕"/>
      <family val="2"/>
      <charset val="129"/>
      <scheme val="minor"/>
    </font>
    <font>
      <sz val="11"/>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9C6500"/>
      <name val="맑은 고딕"/>
      <family val="2"/>
      <charset val="129"/>
      <scheme val="minor"/>
    </font>
    <font>
      <sz val="11"/>
      <color rgb="FF3F3F76"/>
      <name val="맑은 고딕"/>
      <family val="2"/>
      <charset val="129"/>
      <scheme val="minor"/>
    </font>
    <font>
      <b/>
      <sz val="11"/>
      <color rgb="FF3F3F3F"/>
      <name val="맑은 고딕"/>
      <family val="2"/>
      <charset val="129"/>
      <scheme val="minor"/>
    </font>
    <font>
      <b/>
      <sz val="11"/>
      <color rgb="FFFA7D00"/>
      <name val="맑은 고딕"/>
      <family val="2"/>
      <charset val="129"/>
      <scheme val="minor"/>
    </font>
    <font>
      <sz val="11"/>
      <color rgb="FFFA7D00"/>
      <name val="맑은 고딕"/>
      <family val="2"/>
      <charset val="129"/>
      <scheme val="minor"/>
    </font>
    <font>
      <b/>
      <sz val="11"/>
      <color theme="0"/>
      <name val="맑은 고딕"/>
      <family val="2"/>
      <charset val="129"/>
      <scheme val="minor"/>
    </font>
    <font>
      <sz val="11"/>
      <color rgb="FFFF0000"/>
      <name val="맑은 고딕"/>
      <family val="2"/>
      <charset val="129"/>
      <scheme val="minor"/>
    </font>
    <font>
      <i/>
      <sz val="11"/>
      <color rgb="FF7F7F7F"/>
      <name val="맑은 고딕"/>
      <family val="2"/>
      <charset val="129"/>
      <scheme val="minor"/>
    </font>
    <font>
      <b/>
      <sz val="11"/>
      <color theme="1"/>
      <name val="맑은 고딕"/>
      <family val="2"/>
      <charset val="129"/>
      <scheme val="minor"/>
    </font>
    <font>
      <sz val="11"/>
      <color theme="0"/>
      <name val="맑은 고딕"/>
      <family val="2"/>
      <charset val="129"/>
      <scheme val="minor"/>
    </font>
    <font>
      <sz val="8"/>
      <name val="맑은 고딕"/>
      <family val="2"/>
      <charset val="129"/>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indexed="64"/>
      </patternFill>
    </fill>
    <fill>
      <patternFill patternType="solid">
        <fgColor rgb="FFDDEBF7"/>
        <bgColor indexed="64"/>
      </patternFill>
    </fill>
  </fills>
  <borders count="2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7"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7"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7"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7"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7"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7" fillId="32" borderId="0" applyNumberFormat="0" applyBorder="0" applyAlignment="0" applyProtection="0">
      <alignment vertical="center"/>
    </xf>
  </cellStyleXfs>
  <cellXfs count="22">
    <xf numFmtId="0" fontId="0" fillId="0" borderId="0" xfId="0">
      <alignment vertical="center"/>
    </xf>
    <xf numFmtId="49" fontId="0" fillId="0" borderId="0" xfId="0" applyNumberFormat="1">
      <alignment vertical="center"/>
    </xf>
    <xf numFmtId="49" fontId="0" fillId="0" borderId="0" xfId="0" applyNumberFormat="1" applyAlignment="1">
      <alignment horizontal="center" vertical="center"/>
    </xf>
    <xf numFmtId="176" fontId="0" fillId="0" borderId="0" xfId="0" applyNumberFormat="1" applyAlignment="1">
      <alignment horizontal="center" vertical="center"/>
    </xf>
    <xf numFmtId="49" fontId="0" fillId="0" borderId="16" xfId="0" applyNumberFormat="1" applyBorder="1" applyAlignment="1">
      <alignment horizontal="center" vertical="center"/>
    </xf>
    <xf numFmtId="49" fontId="0" fillId="0" borderId="17" xfId="0" applyNumberFormat="1" applyBorder="1" applyAlignment="1">
      <alignment horizontal="center" vertical="center"/>
    </xf>
    <xf numFmtId="176" fontId="0" fillId="0" borderId="18" xfId="0" applyNumberFormat="1" applyBorder="1" applyAlignment="1">
      <alignment horizontal="center" vertical="center"/>
    </xf>
    <xf numFmtId="176" fontId="0" fillId="0" borderId="20" xfId="0" applyNumberFormat="1" applyBorder="1" applyAlignment="1">
      <alignment horizontal="center" vertical="center"/>
    </xf>
    <xf numFmtId="176" fontId="0" fillId="0" borderId="21" xfId="0" applyNumberFormat="1" applyBorder="1" applyAlignment="1">
      <alignment horizontal="center" vertical="center"/>
    </xf>
    <xf numFmtId="49" fontId="0" fillId="0" borderId="0" xfId="0" applyNumberFormat="1" applyBorder="1">
      <alignment vertical="center"/>
    </xf>
    <xf numFmtId="49" fontId="0" fillId="0" borderId="22" xfId="0" applyNumberFormat="1" applyBorder="1">
      <alignment vertical="center"/>
    </xf>
    <xf numFmtId="49" fontId="0" fillId="0" borderId="13" xfId="0" applyNumberFormat="1" applyBorder="1" applyAlignment="1">
      <alignment horizontal="center" vertical="center"/>
    </xf>
    <xf numFmtId="49" fontId="0" fillId="0" borderId="14" xfId="0" applyNumberFormat="1" applyBorder="1" applyAlignment="1">
      <alignment horizontal="center" vertical="center"/>
    </xf>
    <xf numFmtId="49" fontId="0" fillId="0" borderId="15" xfId="0" applyNumberFormat="1" applyBorder="1" applyAlignment="1">
      <alignment horizontal="center" vertical="center"/>
    </xf>
    <xf numFmtId="49" fontId="0" fillId="33" borderId="10" xfId="0" applyNumberFormat="1" applyFill="1" applyBorder="1" applyAlignment="1">
      <alignment horizontal="center" vertical="center"/>
    </xf>
    <xf numFmtId="49" fontId="0" fillId="33" borderId="11" xfId="0" applyNumberFormat="1" applyFill="1" applyBorder="1" applyAlignment="1">
      <alignment horizontal="center" vertical="center"/>
    </xf>
    <xf numFmtId="49" fontId="0" fillId="33" borderId="12" xfId="0" applyNumberFormat="1" applyFill="1" applyBorder="1" applyAlignment="1">
      <alignment horizontal="center" vertical="center"/>
    </xf>
    <xf numFmtId="49" fontId="0" fillId="34" borderId="10" xfId="0" applyNumberFormat="1" applyFill="1" applyBorder="1" applyAlignment="1">
      <alignment horizontal="center" vertical="center"/>
    </xf>
    <xf numFmtId="49" fontId="0" fillId="34" borderId="11" xfId="0" applyNumberFormat="1" applyFill="1" applyBorder="1" applyAlignment="1">
      <alignment horizontal="center" vertical="center"/>
    </xf>
    <xf numFmtId="49" fontId="0" fillId="34" borderId="12" xfId="0" applyNumberFormat="1" applyFill="1" applyBorder="1" applyAlignment="1">
      <alignment horizontal="center" vertical="center"/>
    </xf>
    <xf numFmtId="49" fontId="0" fillId="0" borderId="21" xfId="0" applyNumberFormat="1" applyBorder="1">
      <alignment vertical="center"/>
    </xf>
    <xf numFmtId="176" fontId="0" fillId="0" borderId="19" xfId="0" applyNumberFormat="1" applyBorder="1" applyAlignment="1">
      <alignment horizontal="center" vertical="center"/>
    </xf>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colors>
    <mruColors>
      <color rgb="FFDDEBF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28"/>
  <sheetViews>
    <sheetView showGridLines="0" tabSelected="1" workbookViewId="0">
      <pane ySplit="2" topLeftCell="A3" activePane="bottomLeft" state="frozen"/>
      <selection pane="bottomLeft" activeCell="A3" sqref="A3"/>
    </sheetView>
  </sheetViews>
  <sheetFormatPr defaultRowHeight="16.5" x14ac:dyDescent="0.3"/>
  <cols>
    <col min="3" max="3" width="16" bestFit="1" customWidth="1"/>
    <col min="4" max="4" width="16" customWidth="1"/>
    <col min="5" max="5" width="9.125" bestFit="1" customWidth="1"/>
    <col min="6" max="7" width="12.5" bestFit="1" customWidth="1"/>
    <col min="8" max="8" width="9.125" bestFit="1" customWidth="1"/>
    <col min="9" max="9" width="12.5" bestFit="1" customWidth="1"/>
    <col min="10" max="11" width="9.125" bestFit="1" customWidth="1"/>
    <col min="12" max="12" width="12.5" bestFit="1" customWidth="1"/>
    <col min="13" max="14" width="9.125" bestFit="1" customWidth="1"/>
    <col min="15" max="15" width="12.5" bestFit="1" customWidth="1"/>
    <col min="16" max="16" width="9.125" bestFit="1" customWidth="1"/>
    <col min="17" max="17" width="9.875" bestFit="1" customWidth="1"/>
    <col min="18" max="18" width="12.5" bestFit="1" customWidth="1"/>
    <col min="19" max="20" width="9.125" bestFit="1" customWidth="1"/>
    <col min="21" max="21" width="12.5" bestFit="1" customWidth="1"/>
    <col min="22" max="23" width="9.125" bestFit="1" customWidth="1"/>
    <col min="24" max="24" width="12.5" bestFit="1" customWidth="1"/>
    <col min="25" max="26" width="9.125" bestFit="1" customWidth="1"/>
    <col min="27" max="27" width="12.5" bestFit="1" customWidth="1"/>
    <col min="28" max="29" width="9.125" bestFit="1" customWidth="1"/>
    <col min="30" max="30" width="11.375" bestFit="1" customWidth="1"/>
    <col min="31" max="32" width="9.125" bestFit="1" customWidth="1"/>
    <col min="33" max="33" width="12.5" bestFit="1" customWidth="1"/>
    <col min="34" max="35" width="9.125" bestFit="1" customWidth="1"/>
    <col min="36" max="36" width="12.5" bestFit="1" customWidth="1"/>
    <col min="37" max="38" width="9.125" bestFit="1" customWidth="1"/>
    <col min="39" max="39" width="11.375" bestFit="1" customWidth="1"/>
    <col min="40" max="40" width="9.125" bestFit="1" customWidth="1"/>
    <col min="41" max="41" width="10.75" bestFit="1" customWidth="1"/>
    <col min="42" max="42" width="13.625" bestFit="1" customWidth="1"/>
    <col min="43" max="43" width="12.5" bestFit="1" customWidth="1"/>
  </cols>
  <sheetData>
    <row r="1" spans="1:67" x14ac:dyDescent="0.3">
      <c r="A1" s="1"/>
      <c r="B1" s="1"/>
      <c r="C1" s="1"/>
      <c r="D1" s="1"/>
      <c r="E1" s="17" t="s">
        <v>0</v>
      </c>
      <c r="F1" s="18"/>
      <c r="G1" s="19"/>
      <c r="H1" s="14" t="s">
        <v>1</v>
      </c>
      <c r="I1" s="15"/>
      <c r="J1" s="16"/>
      <c r="K1" s="14" t="s">
        <v>2</v>
      </c>
      <c r="L1" s="15"/>
      <c r="M1" s="16"/>
      <c r="N1" s="14" t="s">
        <v>3</v>
      </c>
      <c r="O1" s="15"/>
      <c r="P1" s="16"/>
      <c r="Q1" s="14" t="s">
        <v>4</v>
      </c>
      <c r="R1" s="15"/>
      <c r="S1" s="16"/>
      <c r="T1" s="14" t="s">
        <v>5</v>
      </c>
      <c r="U1" s="15"/>
      <c r="V1" s="16"/>
      <c r="W1" s="14" t="s">
        <v>6</v>
      </c>
      <c r="X1" s="15"/>
      <c r="Y1" s="16"/>
      <c r="Z1" s="14" t="s">
        <v>7</v>
      </c>
      <c r="AA1" s="15"/>
      <c r="AB1" s="16"/>
      <c r="AC1" s="14" t="s">
        <v>8</v>
      </c>
      <c r="AD1" s="15"/>
      <c r="AE1" s="16"/>
      <c r="AF1" s="14" t="s">
        <v>9</v>
      </c>
      <c r="AG1" s="15"/>
      <c r="AH1" s="16"/>
      <c r="AI1" s="14" t="s">
        <v>10</v>
      </c>
      <c r="AJ1" s="15"/>
      <c r="AK1" s="16"/>
      <c r="AL1" s="14" t="s">
        <v>11</v>
      </c>
      <c r="AM1" s="15"/>
      <c r="AN1" s="16"/>
      <c r="AO1" s="14" t="s">
        <v>12</v>
      </c>
      <c r="AP1" s="15"/>
      <c r="AQ1" s="16"/>
    </row>
    <row r="2" spans="1:67" x14ac:dyDescent="0.3">
      <c r="A2" s="2" t="s">
        <v>33</v>
      </c>
      <c r="B2" s="2" t="s">
        <v>43</v>
      </c>
      <c r="C2" s="2" t="s">
        <v>13</v>
      </c>
      <c r="D2" s="2" t="s">
        <v>34</v>
      </c>
      <c r="E2" s="4" t="s">
        <v>14</v>
      </c>
      <c r="F2" s="2" t="s">
        <v>34</v>
      </c>
      <c r="G2" s="5" t="s">
        <v>15</v>
      </c>
      <c r="H2" s="2" t="s">
        <v>14</v>
      </c>
      <c r="I2" s="2" t="s">
        <v>34</v>
      </c>
      <c r="J2" s="5" t="s">
        <v>15</v>
      </c>
      <c r="K2" s="2" t="s">
        <v>14</v>
      </c>
      <c r="L2" s="2" t="s">
        <v>34</v>
      </c>
      <c r="M2" s="5" t="s">
        <v>15</v>
      </c>
      <c r="N2" s="2" t="s">
        <v>14</v>
      </c>
      <c r="O2" s="2" t="s">
        <v>34</v>
      </c>
      <c r="P2" s="5" t="s">
        <v>15</v>
      </c>
      <c r="Q2" s="2" t="s">
        <v>14</v>
      </c>
      <c r="R2" s="2" t="s">
        <v>34</v>
      </c>
      <c r="S2" s="5" t="s">
        <v>15</v>
      </c>
      <c r="T2" s="2" t="s">
        <v>14</v>
      </c>
      <c r="U2" s="2" t="s">
        <v>34</v>
      </c>
      <c r="V2" s="5" t="s">
        <v>15</v>
      </c>
      <c r="W2" s="2" t="s">
        <v>14</v>
      </c>
      <c r="X2" s="2" t="s">
        <v>34</v>
      </c>
      <c r="Y2" s="5" t="s">
        <v>15</v>
      </c>
      <c r="Z2" s="2" t="s">
        <v>14</v>
      </c>
      <c r="AA2" s="2" t="s">
        <v>34</v>
      </c>
      <c r="AB2" s="5" t="s">
        <v>15</v>
      </c>
      <c r="AC2" s="2" t="s">
        <v>14</v>
      </c>
      <c r="AD2" s="2" t="s">
        <v>34</v>
      </c>
      <c r="AE2" s="5" t="s">
        <v>15</v>
      </c>
      <c r="AF2" s="2" t="s">
        <v>14</v>
      </c>
      <c r="AG2" s="2" t="s">
        <v>34</v>
      </c>
      <c r="AH2" s="5" t="s">
        <v>15</v>
      </c>
      <c r="AI2" s="2" t="s">
        <v>14</v>
      </c>
      <c r="AJ2" s="2" t="s">
        <v>34</v>
      </c>
      <c r="AK2" s="5" t="s">
        <v>15</v>
      </c>
      <c r="AL2" s="2" t="s">
        <v>14</v>
      </c>
      <c r="AM2" s="2" t="s">
        <v>34</v>
      </c>
      <c r="AN2" s="5" t="s">
        <v>15</v>
      </c>
      <c r="AO2" s="2" t="s">
        <v>14</v>
      </c>
      <c r="AP2" s="2" t="s">
        <v>36</v>
      </c>
      <c r="AQ2" s="5" t="s">
        <v>15</v>
      </c>
    </row>
    <row r="3" spans="1:67" ht="15" customHeight="1" x14ac:dyDescent="0.3">
      <c r="A3" s="9" t="s">
        <v>16</v>
      </c>
      <c r="B3" s="11" t="s">
        <v>47</v>
      </c>
      <c r="C3" s="11" t="s">
        <v>17</v>
      </c>
      <c r="D3" s="11" t="s">
        <v>35</v>
      </c>
      <c r="E3" s="7">
        <f>F3/G3</f>
        <v>934.13793103448268</v>
      </c>
      <c r="F3" s="7">
        <f>SUM(F4:F23)</f>
        <v>92106</v>
      </c>
      <c r="G3" s="8">
        <f>SUM(G4:G23)</f>
        <v>98.600000000000009</v>
      </c>
      <c r="H3" s="7">
        <f>I3/J3</f>
        <v>785.70572569906778</v>
      </c>
      <c r="I3" s="7">
        <f>SUM(I4:I23)</f>
        <v>118013</v>
      </c>
      <c r="J3" s="8">
        <f>SUM(J4:J23)</f>
        <v>150.20000000000002</v>
      </c>
      <c r="K3" s="7">
        <f>L3/M3</f>
        <v>722.63884836105444</v>
      </c>
      <c r="L3" s="7">
        <f>SUM(L4:L23)</f>
        <v>742945</v>
      </c>
      <c r="M3" s="8">
        <f>SUM(M4:M23)</f>
        <v>1028.0999999999999</v>
      </c>
      <c r="N3" s="7">
        <f>O3/P3</f>
        <v>816.03559870550157</v>
      </c>
      <c r="O3" s="7">
        <f>SUM(O4:O23)</f>
        <v>50431</v>
      </c>
      <c r="P3" s="8">
        <f>SUM(P4:P23)</f>
        <v>61.800000000000004</v>
      </c>
      <c r="Q3" s="7">
        <f>R3/S3</f>
        <v>826.40966628308399</v>
      </c>
      <c r="R3" s="7">
        <f>SUM(R4:R23)</f>
        <v>143630</v>
      </c>
      <c r="S3" s="8">
        <f>SUM(S4:S23)</f>
        <v>173.8</v>
      </c>
      <c r="T3" s="7">
        <f>U3/V3</f>
        <v>746.81686046511629</v>
      </c>
      <c r="U3" s="7">
        <f>SUM(U4:U23)</f>
        <v>359667</v>
      </c>
      <c r="V3" s="8">
        <f>SUM(V4:V23)</f>
        <v>481.59999999999997</v>
      </c>
      <c r="W3" s="7">
        <f>X3/Y3</f>
        <v>753.26537546721033</v>
      </c>
      <c r="X3" s="7">
        <f>SUM(X4:X23)</f>
        <v>221686</v>
      </c>
      <c r="Y3" s="8">
        <f>SUM(Y4:Y23)</f>
        <v>294.3</v>
      </c>
      <c r="Z3" s="7">
        <f>AA3/AB3</f>
        <v>789.34581836839402</v>
      </c>
      <c r="AA3" s="7">
        <f>SUM(AA4:AA23)</f>
        <v>307687</v>
      </c>
      <c r="AB3" s="8">
        <f>SUM(AB4:AB23)</f>
        <v>389.8</v>
      </c>
      <c r="AC3" s="7">
        <f>AD3/AE3</f>
        <v>1427.3092369477911</v>
      </c>
      <c r="AD3" s="7">
        <f>SUM(AD4:AD23)</f>
        <v>35540</v>
      </c>
      <c r="AE3" s="8">
        <f>SUM(AE4:AE23)</f>
        <v>24.900000000000002</v>
      </c>
      <c r="AF3" s="7">
        <f>AG3/AH3</f>
        <v>1043.739837398374</v>
      </c>
      <c r="AG3" s="7">
        <f>SUM(AG4:AG23)</f>
        <v>115542</v>
      </c>
      <c r="AH3" s="8">
        <f>SUM(AH4:AH23)</f>
        <v>110.69999999999999</v>
      </c>
      <c r="AI3" s="7">
        <f>AJ3/AK3</f>
        <v>835.17241379310337</v>
      </c>
      <c r="AJ3" s="7">
        <f>SUM(AJ4:AJ23)</f>
        <v>67816</v>
      </c>
      <c r="AK3" s="8">
        <f>SUM(AK4:AK23)</f>
        <v>81.2</v>
      </c>
      <c r="AL3" s="7">
        <f>AM3/AN3</f>
        <v>765.65356004250793</v>
      </c>
      <c r="AM3" s="7">
        <f>SUM(AM4:AM23)</f>
        <v>72048</v>
      </c>
      <c r="AN3" s="8">
        <f>SUM(AN4:AN23)</f>
        <v>94.100000000000009</v>
      </c>
      <c r="AO3" s="7">
        <f>AP3/AQ3</f>
        <v>778.53233414740191</v>
      </c>
      <c r="AP3" s="7">
        <f>SUM(AP4:AP23)</f>
        <v>2327111</v>
      </c>
      <c r="AQ3" s="8">
        <f>SUM(AQ4:AQ23)</f>
        <v>2989.1000000000013</v>
      </c>
      <c r="AR3" s="3"/>
      <c r="AS3" s="3"/>
      <c r="AT3" s="3"/>
      <c r="AU3" s="3"/>
      <c r="AV3" s="3"/>
      <c r="AW3" s="3"/>
      <c r="AX3" s="3"/>
      <c r="AY3" s="3"/>
      <c r="AZ3" s="3"/>
      <c r="BA3" s="3"/>
      <c r="BB3" s="3"/>
      <c r="BC3" s="3"/>
      <c r="BD3" s="3"/>
      <c r="BE3" s="3"/>
      <c r="BF3" s="3"/>
      <c r="BG3" s="3"/>
      <c r="BH3" s="3"/>
      <c r="BI3" s="3"/>
      <c r="BJ3" s="3"/>
      <c r="BK3" s="3"/>
      <c r="BL3" s="3"/>
      <c r="BM3" s="3"/>
      <c r="BN3" s="3"/>
      <c r="BO3" s="3"/>
    </row>
    <row r="4" spans="1:67" ht="15" customHeight="1" x14ac:dyDescent="0.3">
      <c r="A4" s="10" t="s">
        <v>21</v>
      </c>
      <c r="B4" s="12"/>
      <c r="C4" s="12"/>
      <c r="D4" s="12"/>
      <c r="E4" s="3">
        <f t="shared" ref="E4:E11" si="0">F4/G4</f>
        <v>811.05442176870747</v>
      </c>
      <c r="F4" s="3">
        <v>71535</v>
      </c>
      <c r="G4" s="6">
        <v>88.2</v>
      </c>
      <c r="H4" s="3">
        <f t="shared" ref="H4:H11" si="1">I4/J4</f>
        <v>717.64556962025313</v>
      </c>
      <c r="I4" s="3">
        <v>28347</v>
      </c>
      <c r="J4" s="6">
        <v>39.5</v>
      </c>
      <c r="K4" s="3">
        <f t="shared" ref="K4:K11" si="2">L4/M4</f>
        <v>719.80633069554358</v>
      </c>
      <c r="L4" s="3">
        <v>691302</v>
      </c>
      <c r="M4" s="6">
        <v>960.4</v>
      </c>
      <c r="N4" s="3">
        <f t="shared" ref="N4:N11" si="3">O4/P4</f>
        <v>1543.7777777777778</v>
      </c>
      <c r="O4" s="3">
        <v>6947</v>
      </c>
      <c r="P4" s="6">
        <v>4.5</v>
      </c>
      <c r="Q4" s="3">
        <f t="shared" ref="Q4:Q11" si="4">R4/S4</f>
        <v>1531.7482517482517</v>
      </c>
      <c r="R4" s="3">
        <v>21904</v>
      </c>
      <c r="S4" s="6">
        <v>14.3</v>
      </c>
      <c r="T4" s="3">
        <f t="shared" ref="T4:T11" si="5">U4/V4</f>
        <v>842.64150943396226</v>
      </c>
      <c r="U4" s="3">
        <v>35728</v>
      </c>
      <c r="V4" s="6">
        <v>42.4</v>
      </c>
      <c r="W4" s="3">
        <f t="shared" ref="W4:W11" si="6">X4/Y4</f>
        <v>737.54819277108436</v>
      </c>
      <c r="X4" s="3">
        <v>122433</v>
      </c>
      <c r="Y4" s="6">
        <v>166</v>
      </c>
      <c r="Z4" s="3">
        <f t="shared" ref="Z4:Z11" si="7">AA4/AB4</f>
        <v>755.36038441003734</v>
      </c>
      <c r="AA4" s="3">
        <v>141479</v>
      </c>
      <c r="AB4" s="6">
        <v>187.3</v>
      </c>
      <c r="AC4" s="3">
        <f t="shared" ref="AC4:AC11" si="8">AD4/AE4</f>
        <v>965.04854368932035</v>
      </c>
      <c r="AD4" s="3">
        <v>19880</v>
      </c>
      <c r="AE4" s="6">
        <v>20.6</v>
      </c>
      <c r="AF4" s="3">
        <f t="shared" ref="AF4:AF11" si="9">AG4/AH4</f>
        <v>1016.1803278688525</v>
      </c>
      <c r="AG4" s="3">
        <v>61987</v>
      </c>
      <c r="AH4" s="6">
        <v>61</v>
      </c>
      <c r="AI4" s="3">
        <f t="shared" ref="AI4:AI11" si="10">AJ4/AK4</f>
        <v>735.34914361001313</v>
      </c>
      <c r="AJ4" s="3">
        <v>55813</v>
      </c>
      <c r="AK4" s="6">
        <v>75.900000000000006</v>
      </c>
      <c r="AL4" s="3">
        <f t="shared" ref="AL4:AL11" si="11">AM4/AN4</f>
        <v>781.28342245989313</v>
      </c>
      <c r="AM4" s="3">
        <v>29220</v>
      </c>
      <c r="AN4" s="6">
        <v>37.4</v>
      </c>
      <c r="AO4" s="3">
        <f t="shared" ref="AO4:AO23" si="12">AP4/AQ4</f>
        <v>757.92341678939613</v>
      </c>
      <c r="AP4" s="3">
        <f t="shared" ref="AP4:AQ4" si="13">SUM(F4,I4,L4,O4,R4,U4,X4,AA4,AD4,AG4,AJ4,AM4)</f>
        <v>1286575</v>
      </c>
      <c r="AQ4" s="6">
        <f t="shared" si="13"/>
        <v>1697.5</v>
      </c>
      <c r="AR4" s="3"/>
      <c r="AS4" s="3"/>
      <c r="AT4" s="3"/>
      <c r="AU4" s="3"/>
      <c r="AV4" s="3"/>
      <c r="AW4" s="3"/>
      <c r="AX4" s="3"/>
      <c r="AY4" s="3"/>
      <c r="AZ4" s="3"/>
      <c r="BA4" s="3"/>
      <c r="BB4" s="3"/>
      <c r="BC4" s="3"/>
      <c r="BD4" s="3"/>
      <c r="BE4" s="3"/>
      <c r="BF4" s="3"/>
      <c r="BG4" s="3"/>
      <c r="BH4" s="3"/>
      <c r="BI4" s="3"/>
      <c r="BJ4" s="3"/>
      <c r="BK4" s="3"/>
      <c r="BL4" s="3"/>
      <c r="BM4" s="3"/>
      <c r="BN4" s="3"/>
      <c r="BO4" s="3"/>
    </row>
    <row r="5" spans="1:67" ht="15" customHeight="1" x14ac:dyDescent="0.3">
      <c r="A5" s="9" t="s">
        <v>28</v>
      </c>
      <c r="B5" s="12"/>
      <c r="C5" s="12"/>
      <c r="D5" s="12"/>
      <c r="E5" s="3" t="e">
        <f t="shared" si="0"/>
        <v>#DIV/0!</v>
      </c>
      <c r="F5" s="3">
        <v>0</v>
      </c>
      <c r="G5" s="6">
        <v>0</v>
      </c>
      <c r="H5" s="3" t="e">
        <f t="shared" si="1"/>
        <v>#DIV/0!</v>
      </c>
      <c r="I5" s="3">
        <v>0</v>
      </c>
      <c r="J5" s="6">
        <v>0</v>
      </c>
      <c r="K5" s="3" t="e">
        <f t="shared" si="2"/>
        <v>#DIV/0!</v>
      </c>
      <c r="L5" s="3">
        <v>0</v>
      </c>
      <c r="M5" s="6">
        <v>0</v>
      </c>
      <c r="N5" s="3" t="e">
        <f t="shared" si="3"/>
        <v>#DIV/0!</v>
      </c>
      <c r="O5" s="3">
        <v>0</v>
      </c>
      <c r="P5" s="6">
        <v>0</v>
      </c>
      <c r="Q5" s="3" t="e">
        <f t="shared" si="4"/>
        <v>#DIV/0!</v>
      </c>
      <c r="R5" s="3">
        <v>0</v>
      </c>
      <c r="S5" s="6">
        <v>0</v>
      </c>
      <c r="T5" s="3" t="e">
        <f t="shared" si="5"/>
        <v>#DIV/0!</v>
      </c>
      <c r="U5" s="3">
        <v>0</v>
      </c>
      <c r="V5" s="6">
        <v>0</v>
      </c>
      <c r="W5" s="3">
        <f t="shared" si="6"/>
        <v>718.25581395348843</v>
      </c>
      <c r="X5" s="3">
        <v>24708</v>
      </c>
      <c r="Y5" s="6">
        <v>34.4</v>
      </c>
      <c r="Z5" s="3" t="e">
        <f t="shared" si="7"/>
        <v>#DIV/0!</v>
      </c>
      <c r="AA5" s="3">
        <v>0</v>
      </c>
      <c r="AB5" s="6">
        <v>0</v>
      </c>
      <c r="AC5" s="3" t="e">
        <f t="shared" si="8"/>
        <v>#DIV/0!</v>
      </c>
      <c r="AD5" s="3">
        <v>0</v>
      </c>
      <c r="AE5" s="6">
        <v>0</v>
      </c>
      <c r="AF5" s="3" t="e">
        <f t="shared" si="9"/>
        <v>#DIV/0!</v>
      </c>
      <c r="AG5" s="3">
        <v>0</v>
      </c>
      <c r="AH5" s="6">
        <v>0</v>
      </c>
      <c r="AI5" s="3" t="e">
        <f t="shared" si="10"/>
        <v>#DIV/0!</v>
      </c>
      <c r="AJ5" s="3">
        <v>0</v>
      </c>
      <c r="AK5" s="6">
        <v>0</v>
      </c>
      <c r="AL5" s="3">
        <f t="shared" si="11"/>
        <v>717.42331288343553</v>
      </c>
      <c r="AM5" s="3">
        <v>23388</v>
      </c>
      <c r="AN5" s="6">
        <v>32.6</v>
      </c>
      <c r="AO5" s="3">
        <f t="shared" si="12"/>
        <v>717.85074626865674</v>
      </c>
      <c r="AP5" s="3">
        <f t="shared" ref="AP5:AP23" si="14">SUM(F5,I5,L5,O5,R5,U5,X5,AA5,AD5,AG5,AJ5,AM5)</f>
        <v>48096</v>
      </c>
      <c r="AQ5" s="6">
        <f t="shared" ref="AQ5:AQ23" si="15">SUM(G5,J5,M5,P5,S5,V5,Y5,AB5,AE5,AH5,AK5,AN5)</f>
        <v>67</v>
      </c>
      <c r="AR5" s="3"/>
      <c r="AS5" s="3"/>
      <c r="AT5" s="3"/>
      <c r="AU5" s="3"/>
      <c r="AV5" s="3"/>
      <c r="AW5" s="3"/>
      <c r="AX5" s="3"/>
      <c r="AY5" s="3"/>
      <c r="AZ5" s="3"/>
      <c r="BA5" s="3"/>
      <c r="BB5" s="3"/>
      <c r="BC5" s="3"/>
      <c r="BD5" s="3"/>
      <c r="BE5" s="3"/>
      <c r="BF5" s="3"/>
      <c r="BG5" s="3"/>
      <c r="BH5" s="3"/>
      <c r="BI5" s="3"/>
      <c r="BJ5" s="3"/>
      <c r="BK5" s="3"/>
      <c r="BL5" s="3"/>
      <c r="BM5" s="3"/>
      <c r="BN5" s="3"/>
      <c r="BO5" s="3"/>
    </row>
    <row r="6" spans="1:67" ht="15" customHeight="1" x14ac:dyDescent="0.3">
      <c r="A6" s="9" t="s">
        <v>26</v>
      </c>
      <c r="B6" s="12"/>
      <c r="C6" s="12"/>
      <c r="D6" s="12"/>
      <c r="E6" s="3">
        <f t="shared" si="0"/>
        <v>1868.1632653061224</v>
      </c>
      <c r="F6" s="3">
        <v>9154</v>
      </c>
      <c r="G6" s="6">
        <v>4.9000000000000004</v>
      </c>
      <c r="H6" s="3">
        <f t="shared" si="1"/>
        <v>775.56818181818176</v>
      </c>
      <c r="I6" s="3">
        <v>27300</v>
      </c>
      <c r="J6" s="6">
        <v>35.200000000000003</v>
      </c>
      <c r="K6" s="3">
        <f t="shared" si="2"/>
        <v>717.88961038961043</v>
      </c>
      <c r="L6" s="3">
        <v>22111</v>
      </c>
      <c r="M6" s="6">
        <v>30.8</v>
      </c>
      <c r="N6" s="3">
        <f t="shared" si="3"/>
        <v>718.87700534759358</v>
      </c>
      <c r="O6" s="3">
        <v>13443</v>
      </c>
      <c r="P6" s="6">
        <v>18.7</v>
      </c>
      <c r="Q6" s="3">
        <f t="shared" si="4"/>
        <v>883.28671328671328</v>
      </c>
      <c r="R6" s="3">
        <v>25262</v>
      </c>
      <c r="S6" s="6">
        <v>28.6</v>
      </c>
      <c r="T6" s="3" t="e">
        <f t="shared" si="5"/>
        <v>#DIV/0!</v>
      </c>
      <c r="U6" s="3">
        <v>0</v>
      </c>
      <c r="V6" s="6">
        <v>0</v>
      </c>
      <c r="W6" s="3">
        <f t="shared" si="6"/>
        <v>718.27205882352939</v>
      </c>
      <c r="X6" s="3">
        <v>19537</v>
      </c>
      <c r="Y6" s="6">
        <v>27.2</v>
      </c>
      <c r="Z6" s="3">
        <f t="shared" si="7"/>
        <v>718.54419410745231</v>
      </c>
      <c r="AA6" s="3">
        <v>41460</v>
      </c>
      <c r="AB6" s="6">
        <v>57.7</v>
      </c>
      <c r="AC6" s="3" t="e">
        <f t="shared" si="8"/>
        <v>#DIV/0!</v>
      </c>
      <c r="AD6" s="3">
        <v>0</v>
      </c>
      <c r="AE6" s="6">
        <v>0</v>
      </c>
      <c r="AF6" s="3">
        <f t="shared" si="9"/>
        <v>717.04918032786884</v>
      </c>
      <c r="AG6" s="3">
        <v>17496</v>
      </c>
      <c r="AH6" s="6">
        <v>24.4</v>
      </c>
      <c r="AI6" s="3">
        <f t="shared" si="10"/>
        <v>1778.0487804878051</v>
      </c>
      <c r="AJ6" s="3">
        <v>7290</v>
      </c>
      <c r="AK6" s="6">
        <v>4.0999999999999996</v>
      </c>
      <c r="AL6" s="3">
        <f t="shared" si="11"/>
        <v>825.27638190954781</v>
      </c>
      <c r="AM6" s="3">
        <v>16423</v>
      </c>
      <c r="AN6" s="6">
        <v>19.899999999999999</v>
      </c>
      <c r="AO6" s="3">
        <f t="shared" si="12"/>
        <v>793.14512922465201</v>
      </c>
      <c r="AP6" s="3">
        <f t="shared" si="14"/>
        <v>199476</v>
      </c>
      <c r="AQ6" s="6">
        <f t="shared" si="15"/>
        <v>251.50000000000003</v>
      </c>
      <c r="AR6" s="3"/>
      <c r="AS6" s="3"/>
      <c r="AT6" s="3"/>
      <c r="AU6" s="3"/>
      <c r="AV6" s="3"/>
      <c r="AW6" s="3"/>
      <c r="AX6" s="3"/>
      <c r="AY6" s="3"/>
      <c r="AZ6" s="3"/>
      <c r="BA6" s="3"/>
      <c r="BB6" s="3"/>
      <c r="BC6" s="3"/>
      <c r="BD6" s="3"/>
      <c r="BE6" s="3"/>
      <c r="BF6" s="3"/>
      <c r="BG6" s="3"/>
      <c r="BH6" s="3"/>
      <c r="BI6" s="3"/>
      <c r="BJ6" s="3"/>
      <c r="BK6" s="3"/>
      <c r="BL6" s="3"/>
      <c r="BM6" s="3"/>
      <c r="BN6" s="3"/>
      <c r="BO6" s="3"/>
    </row>
    <row r="7" spans="1:67" ht="15" customHeight="1" x14ac:dyDescent="0.3">
      <c r="A7" s="9" t="s">
        <v>39</v>
      </c>
      <c r="B7" s="12"/>
      <c r="C7" s="12"/>
      <c r="D7" s="12"/>
      <c r="E7" s="3" t="e">
        <f t="shared" si="0"/>
        <v>#DIV/0!</v>
      </c>
      <c r="F7" s="3">
        <v>0</v>
      </c>
      <c r="G7" s="6">
        <v>0</v>
      </c>
      <c r="H7" s="3" t="e">
        <f t="shared" si="1"/>
        <v>#DIV/0!</v>
      </c>
      <c r="I7" s="3">
        <v>0</v>
      </c>
      <c r="J7" s="6">
        <v>0</v>
      </c>
      <c r="K7" s="3" t="e">
        <f t="shared" si="2"/>
        <v>#DIV/0!</v>
      </c>
      <c r="L7" s="3">
        <v>0</v>
      </c>
      <c r="M7" s="6">
        <v>0</v>
      </c>
      <c r="N7" s="3" t="e">
        <f t="shared" si="3"/>
        <v>#DIV/0!</v>
      </c>
      <c r="O7" s="3">
        <v>0</v>
      </c>
      <c r="P7" s="6">
        <v>0</v>
      </c>
      <c r="Q7" s="3" t="e">
        <f t="shared" si="4"/>
        <v>#DIV/0!</v>
      </c>
      <c r="R7" s="3">
        <v>0</v>
      </c>
      <c r="S7" s="6">
        <v>0</v>
      </c>
      <c r="T7" s="3" t="e">
        <f t="shared" si="5"/>
        <v>#DIV/0!</v>
      </c>
      <c r="U7" s="3">
        <v>0</v>
      </c>
      <c r="V7" s="6">
        <v>0</v>
      </c>
      <c r="W7" s="3" t="e">
        <f t="shared" si="6"/>
        <v>#DIV/0!</v>
      </c>
      <c r="X7" s="3">
        <v>0</v>
      </c>
      <c r="Y7" s="6">
        <v>0</v>
      </c>
      <c r="Z7" s="3" t="e">
        <f t="shared" si="7"/>
        <v>#DIV/0!</v>
      </c>
      <c r="AA7" s="3">
        <v>0</v>
      </c>
      <c r="AB7" s="6">
        <v>0</v>
      </c>
      <c r="AC7" s="3" t="e">
        <f t="shared" si="8"/>
        <v>#DIV/0!</v>
      </c>
      <c r="AD7" s="3">
        <v>0</v>
      </c>
      <c r="AE7" s="6">
        <v>0</v>
      </c>
      <c r="AF7" s="3" t="e">
        <f t="shared" si="9"/>
        <v>#DIV/0!</v>
      </c>
      <c r="AG7" s="3">
        <v>0</v>
      </c>
      <c r="AH7" s="6">
        <v>0</v>
      </c>
      <c r="AI7" s="3" t="e">
        <f t="shared" si="10"/>
        <v>#DIV/0!</v>
      </c>
      <c r="AJ7" s="3">
        <v>0</v>
      </c>
      <c r="AK7" s="6">
        <v>0</v>
      </c>
      <c r="AL7" s="3">
        <f t="shared" si="11"/>
        <v>718.33333333333326</v>
      </c>
      <c r="AM7" s="3">
        <v>3017</v>
      </c>
      <c r="AN7" s="6">
        <v>4.2</v>
      </c>
      <c r="AO7" s="3">
        <f t="shared" si="12"/>
        <v>718.33333333333326</v>
      </c>
      <c r="AP7" s="3">
        <f t="shared" si="14"/>
        <v>3017</v>
      </c>
      <c r="AQ7" s="6">
        <f t="shared" si="15"/>
        <v>4.2</v>
      </c>
      <c r="AR7" s="3"/>
      <c r="AS7" s="3"/>
      <c r="AT7" s="3"/>
      <c r="AU7" s="3"/>
      <c r="AV7" s="3"/>
      <c r="AW7" s="3"/>
      <c r="AX7" s="3"/>
      <c r="AY7" s="3"/>
      <c r="AZ7" s="3"/>
      <c r="BA7" s="3"/>
      <c r="BB7" s="3"/>
      <c r="BC7" s="3"/>
      <c r="BD7" s="3"/>
      <c r="BE7" s="3"/>
      <c r="BF7" s="3"/>
      <c r="BG7" s="3"/>
      <c r="BH7" s="3"/>
      <c r="BI7" s="3"/>
      <c r="BJ7" s="3"/>
      <c r="BK7" s="3"/>
      <c r="BL7" s="3"/>
      <c r="BM7" s="3"/>
      <c r="BN7" s="3"/>
      <c r="BO7" s="3"/>
    </row>
    <row r="8" spans="1:67" ht="15" customHeight="1" x14ac:dyDescent="0.3">
      <c r="A8" s="9" t="s">
        <v>22</v>
      </c>
      <c r="B8" s="12"/>
      <c r="C8" s="12"/>
      <c r="D8" s="12"/>
      <c r="E8" s="3" t="e">
        <f t="shared" si="0"/>
        <v>#DIV/0!</v>
      </c>
      <c r="F8" s="3">
        <v>0</v>
      </c>
      <c r="G8" s="6">
        <v>0</v>
      </c>
      <c r="H8" s="3" t="e">
        <f t="shared" si="1"/>
        <v>#DIV/0!</v>
      </c>
      <c r="I8" s="3">
        <v>0</v>
      </c>
      <c r="J8" s="6">
        <v>0</v>
      </c>
      <c r="K8" s="3" t="e">
        <f t="shared" si="2"/>
        <v>#DIV/0!</v>
      </c>
      <c r="L8" s="3">
        <v>0</v>
      </c>
      <c r="M8" s="6">
        <v>0</v>
      </c>
      <c r="N8" s="3" t="e">
        <f t="shared" si="3"/>
        <v>#DIV/0!</v>
      </c>
      <c r="O8" s="3">
        <v>0</v>
      </c>
      <c r="P8" s="6">
        <v>0</v>
      </c>
      <c r="Q8" s="3" t="e">
        <f t="shared" si="4"/>
        <v>#DIV/0!</v>
      </c>
      <c r="R8" s="3">
        <v>0</v>
      </c>
      <c r="S8" s="6">
        <v>0</v>
      </c>
      <c r="T8" s="3" t="e">
        <f t="shared" si="5"/>
        <v>#DIV/0!</v>
      </c>
      <c r="U8" s="3">
        <v>0</v>
      </c>
      <c r="V8" s="6">
        <v>0</v>
      </c>
      <c r="W8" s="3" t="e">
        <f t="shared" si="6"/>
        <v>#DIV/0!</v>
      </c>
      <c r="X8" s="3">
        <v>0</v>
      </c>
      <c r="Y8" s="6">
        <v>0</v>
      </c>
      <c r="Z8" s="3" t="e">
        <f t="shared" si="7"/>
        <v>#DIV/0!</v>
      </c>
      <c r="AA8" s="3">
        <v>0</v>
      </c>
      <c r="AB8" s="6">
        <v>0</v>
      </c>
      <c r="AC8" s="3" t="e">
        <f t="shared" si="8"/>
        <v>#DIV/0!</v>
      </c>
      <c r="AD8" s="3">
        <v>0</v>
      </c>
      <c r="AE8" s="6">
        <v>0</v>
      </c>
      <c r="AF8" s="3">
        <f t="shared" si="9"/>
        <v>2093.3333333333335</v>
      </c>
      <c r="AG8" s="3">
        <v>3768</v>
      </c>
      <c r="AH8" s="6">
        <v>1.8</v>
      </c>
      <c r="AI8" s="3" t="e">
        <f t="shared" si="10"/>
        <v>#DIV/0!</v>
      </c>
      <c r="AJ8" s="3">
        <v>0</v>
      </c>
      <c r="AK8" s="6">
        <v>0</v>
      </c>
      <c r="AL8" s="3" t="e">
        <f t="shared" si="11"/>
        <v>#DIV/0!</v>
      </c>
      <c r="AM8" s="3">
        <v>0</v>
      </c>
      <c r="AN8" s="6">
        <v>0</v>
      </c>
      <c r="AO8" s="3">
        <f t="shared" si="12"/>
        <v>2093.3333333333335</v>
      </c>
      <c r="AP8" s="3">
        <f t="shared" si="14"/>
        <v>3768</v>
      </c>
      <c r="AQ8" s="6">
        <f t="shared" si="15"/>
        <v>1.8</v>
      </c>
      <c r="AR8" s="3"/>
      <c r="AS8" s="3"/>
      <c r="AT8" s="3"/>
      <c r="AU8" s="3"/>
      <c r="AV8" s="3"/>
      <c r="AW8" s="3"/>
      <c r="AX8" s="3"/>
      <c r="AY8" s="3"/>
      <c r="AZ8" s="3"/>
      <c r="BA8" s="3"/>
      <c r="BB8" s="3"/>
      <c r="BC8" s="3"/>
      <c r="BD8" s="3"/>
      <c r="BE8" s="3"/>
      <c r="BF8" s="3"/>
      <c r="BG8" s="3"/>
      <c r="BH8" s="3"/>
      <c r="BI8" s="3"/>
      <c r="BJ8" s="3"/>
      <c r="BK8" s="3"/>
      <c r="BL8" s="3"/>
      <c r="BM8" s="3"/>
      <c r="BN8" s="3"/>
      <c r="BO8" s="3"/>
    </row>
    <row r="9" spans="1:67" ht="15" customHeight="1" x14ac:dyDescent="0.3">
      <c r="A9" s="9" t="s">
        <v>23</v>
      </c>
      <c r="B9" s="12"/>
      <c r="C9" s="12"/>
      <c r="D9" s="12"/>
      <c r="E9" s="3" t="e">
        <f t="shared" si="0"/>
        <v>#DIV/0!</v>
      </c>
      <c r="F9" s="3">
        <v>0</v>
      </c>
      <c r="G9" s="6">
        <v>0</v>
      </c>
      <c r="H9" s="3" t="e">
        <f t="shared" si="1"/>
        <v>#DIV/0!</v>
      </c>
      <c r="I9" s="3">
        <v>0</v>
      </c>
      <c r="J9" s="6">
        <v>0</v>
      </c>
      <c r="K9" s="3">
        <f t="shared" si="2"/>
        <v>3781</v>
      </c>
      <c r="L9" s="3">
        <v>3781</v>
      </c>
      <c r="M9" s="6">
        <v>1</v>
      </c>
      <c r="N9" s="3" t="e">
        <f t="shared" si="3"/>
        <v>#DIV/0!</v>
      </c>
      <c r="O9" s="3">
        <v>0</v>
      </c>
      <c r="P9" s="6">
        <v>0</v>
      </c>
      <c r="Q9" s="3" t="e">
        <f t="shared" si="4"/>
        <v>#DIV/0!</v>
      </c>
      <c r="R9" s="3">
        <v>0</v>
      </c>
      <c r="S9" s="6">
        <v>0</v>
      </c>
      <c r="T9" s="3" t="e">
        <f t="shared" si="5"/>
        <v>#DIV/0!</v>
      </c>
      <c r="U9" s="3">
        <v>0</v>
      </c>
      <c r="V9" s="6">
        <v>0</v>
      </c>
      <c r="W9" s="3" t="e">
        <f t="shared" si="6"/>
        <v>#DIV/0!</v>
      </c>
      <c r="X9" s="3">
        <v>0</v>
      </c>
      <c r="Y9" s="6">
        <v>0</v>
      </c>
      <c r="Z9" s="3" t="e">
        <f t="shared" si="7"/>
        <v>#DIV/0!</v>
      </c>
      <c r="AA9" s="3">
        <v>0</v>
      </c>
      <c r="AB9" s="6">
        <v>0</v>
      </c>
      <c r="AC9" s="3" t="e">
        <f t="shared" si="8"/>
        <v>#DIV/0!</v>
      </c>
      <c r="AD9" s="3">
        <v>0</v>
      </c>
      <c r="AE9" s="6">
        <v>0</v>
      </c>
      <c r="AF9" s="3" t="e">
        <f t="shared" si="9"/>
        <v>#DIV/0!</v>
      </c>
      <c r="AG9" s="3">
        <v>0</v>
      </c>
      <c r="AH9" s="6">
        <v>0</v>
      </c>
      <c r="AI9" s="3" t="e">
        <f t="shared" si="10"/>
        <v>#DIV/0!</v>
      </c>
      <c r="AJ9" s="3">
        <v>0</v>
      </c>
      <c r="AK9" s="6">
        <v>0</v>
      </c>
      <c r="AL9" s="3" t="e">
        <f t="shared" si="11"/>
        <v>#DIV/0!</v>
      </c>
      <c r="AM9" s="3">
        <v>0</v>
      </c>
      <c r="AN9" s="6">
        <v>0</v>
      </c>
      <c r="AO9" s="3">
        <f t="shared" si="12"/>
        <v>3781</v>
      </c>
      <c r="AP9" s="3">
        <f t="shared" si="14"/>
        <v>3781</v>
      </c>
      <c r="AQ9" s="6">
        <f t="shared" si="15"/>
        <v>1</v>
      </c>
      <c r="AR9" s="3"/>
      <c r="AS9" s="3"/>
      <c r="AT9" s="3"/>
      <c r="AU9" s="3"/>
      <c r="AV9" s="3"/>
      <c r="AW9" s="3"/>
      <c r="AX9" s="3"/>
      <c r="AY9" s="3"/>
      <c r="AZ9" s="3"/>
      <c r="BA9" s="3"/>
      <c r="BB9" s="3"/>
      <c r="BC9" s="3"/>
      <c r="BD9" s="3"/>
      <c r="BE9" s="3"/>
      <c r="BF9" s="3"/>
      <c r="BG9" s="3"/>
      <c r="BH9" s="3"/>
      <c r="BI9" s="3"/>
      <c r="BJ9" s="3"/>
      <c r="BK9" s="3"/>
      <c r="BL9" s="3"/>
      <c r="BM9" s="3"/>
      <c r="BN9" s="3"/>
      <c r="BO9" s="3"/>
    </row>
    <row r="10" spans="1:67" ht="15" customHeight="1" x14ac:dyDescent="0.3">
      <c r="A10" s="9" t="s">
        <v>24</v>
      </c>
      <c r="B10" s="12"/>
      <c r="C10" s="12"/>
      <c r="D10" s="12"/>
      <c r="E10" s="3" t="e">
        <f t="shared" si="0"/>
        <v>#DIV/0!</v>
      </c>
      <c r="F10" s="3">
        <v>0</v>
      </c>
      <c r="G10" s="6">
        <v>0</v>
      </c>
      <c r="H10" s="3" t="e">
        <f t="shared" si="1"/>
        <v>#DIV/0!</v>
      </c>
      <c r="I10" s="3">
        <v>0</v>
      </c>
      <c r="J10" s="6">
        <v>0</v>
      </c>
      <c r="K10" s="3" t="e">
        <f t="shared" si="2"/>
        <v>#DIV/0!</v>
      </c>
      <c r="L10" s="3">
        <v>0</v>
      </c>
      <c r="M10" s="6">
        <v>0</v>
      </c>
      <c r="N10" s="3" t="e">
        <f t="shared" si="3"/>
        <v>#DIV/0!</v>
      </c>
      <c r="O10" s="3">
        <v>0</v>
      </c>
      <c r="P10" s="6">
        <v>0</v>
      </c>
      <c r="Q10" s="3" t="e">
        <f t="shared" si="4"/>
        <v>#DIV/0!</v>
      </c>
      <c r="R10" s="3">
        <v>0</v>
      </c>
      <c r="S10" s="6">
        <v>0</v>
      </c>
      <c r="T10" s="3" t="e">
        <f t="shared" si="5"/>
        <v>#DIV/0!</v>
      </c>
      <c r="U10" s="3">
        <v>0</v>
      </c>
      <c r="V10" s="6">
        <v>0</v>
      </c>
      <c r="W10" s="3">
        <f t="shared" si="6"/>
        <v>4263.3333333333339</v>
      </c>
      <c r="X10" s="3">
        <v>5116</v>
      </c>
      <c r="Y10" s="6">
        <v>1.2</v>
      </c>
      <c r="Z10" s="3" t="e">
        <f t="shared" si="7"/>
        <v>#DIV/0!</v>
      </c>
      <c r="AA10" s="3">
        <v>0</v>
      </c>
      <c r="AB10" s="6">
        <v>0</v>
      </c>
      <c r="AC10" s="3">
        <f t="shared" si="8"/>
        <v>4650.9090909090901</v>
      </c>
      <c r="AD10" s="3">
        <v>5116</v>
      </c>
      <c r="AE10" s="6">
        <v>1.1000000000000001</v>
      </c>
      <c r="AF10" s="3" t="e">
        <f t="shared" si="9"/>
        <v>#DIV/0!</v>
      </c>
      <c r="AG10" s="3">
        <v>0</v>
      </c>
      <c r="AH10" s="6">
        <v>0</v>
      </c>
      <c r="AI10" s="3">
        <f t="shared" si="10"/>
        <v>3927.5</v>
      </c>
      <c r="AJ10" s="3">
        <v>4713</v>
      </c>
      <c r="AK10" s="6">
        <v>1.2</v>
      </c>
      <c r="AL10" s="3" t="e">
        <f t="shared" si="11"/>
        <v>#DIV/0!</v>
      </c>
      <c r="AM10" s="3">
        <v>0</v>
      </c>
      <c r="AN10" s="6">
        <v>0</v>
      </c>
      <c r="AO10" s="3">
        <f t="shared" si="12"/>
        <v>4270</v>
      </c>
      <c r="AP10" s="3">
        <f t="shared" si="14"/>
        <v>14945</v>
      </c>
      <c r="AQ10" s="6">
        <f t="shared" si="15"/>
        <v>3.5</v>
      </c>
      <c r="AR10" s="3"/>
      <c r="AS10" s="3"/>
      <c r="AT10" s="3"/>
      <c r="AU10" s="3"/>
      <c r="AV10" s="3"/>
      <c r="AW10" s="3"/>
      <c r="AX10" s="3"/>
      <c r="AY10" s="3"/>
      <c r="AZ10" s="3"/>
      <c r="BA10" s="3"/>
      <c r="BB10" s="3"/>
      <c r="BC10" s="3"/>
      <c r="BD10" s="3"/>
      <c r="BE10" s="3"/>
      <c r="BF10" s="3"/>
      <c r="BG10" s="3"/>
      <c r="BH10" s="3"/>
      <c r="BI10" s="3"/>
      <c r="BJ10" s="3"/>
      <c r="BK10" s="3"/>
      <c r="BL10" s="3"/>
      <c r="BM10" s="3"/>
      <c r="BN10" s="3"/>
      <c r="BO10" s="3"/>
    </row>
    <row r="11" spans="1:67" ht="15" customHeight="1" x14ac:dyDescent="0.3">
      <c r="A11" s="9" t="s">
        <v>19</v>
      </c>
      <c r="B11" s="12"/>
      <c r="C11" s="12"/>
      <c r="D11" s="12"/>
      <c r="E11" s="3" t="e">
        <f t="shared" si="0"/>
        <v>#DIV/0!</v>
      </c>
      <c r="F11" s="3">
        <v>0</v>
      </c>
      <c r="G11" s="6">
        <v>0</v>
      </c>
      <c r="H11" s="3" t="e">
        <f t="shared" si="1"/>
        <v>#DIV/0!</v>
      </c>
      <c r="I11" s="3">
        <v>0</v>
      </c>
      <c r="J11" s="6">
        <v>0</v>
      </c>
      <c r="K11" s="3" t="e">
        <f t="shared" si="2"/>
        <v>#DIV/0!</v>
      </c>
      <c r="L11" s="3">
        <v>0</v>
      </c>
      <c r="M11" s="6">
        <v>0</v>
      </c>
      <c r="N11" s="3">
        <f t="shared" si="3"/>
        <v>718.19371727748683</v>
      </c>
      <c r="O11" s="3">
        <v>27435</v>
      </c>
      <c r="P11" s="6">
        <v>38.200000000000003</v>
      </c>
      <c r="Q11" s="3" t="e">
        <f t="shared" si="4"/>
        <v>#DIV/0!</v>
      </c>
      <c r="R11" s="3">
        <v>0</v>
      </c>
      <c r="S11" s="6">
        <v>0</v>
      </c>
      <c r="T11" s="3">
        <f t="shared" si="5"/>
        <v>718.20451843043998</v>
      </c>
      <c r="U11" s="3">
        <v>181203</v>
      </c>
      <c r="V11" s="6">
        <v>252.3</v>
      </c>
      <c r="W11" s="3" t="e">
        <f t="shared" si="6"/>
        <v>#DIV/0!</v>
      </c>
      <c r="X11" s="3">
        <v>0</v>
      </c>
      <c r="Y11" s="6">
        <v>0</v>
      </c>
      <c r="Z11" s="3" t="e">
        <f t="shared" si="7"/>
        <v>#DIV/0!</v>
      </c>
      <c r="AA11" s="3">
        <v>0</v>
      </c>
      <c r="AB11" s="6">
        <v>0</v>
      </c>
      <c r="AC11" s="3">
        <f t="shared" si="8"/>
        <v>2724.2857142857147</v>
      </c>
      <c r="AD11" s="3">
        <v>7628</v>
      </c>
      <c r="AE11" s="6">
        <v>2.8</v>
      </c>
      <c r="AF11" s="3" t="e">
        <f t="shared" si="9"/>
        <v>#DIV/0!</v>
      </c>
      <c r="AG11" s="3">
        <v>0</v>
      </c>
      <c r="AH11" s="6">
        <v>0</v>
      </c>
      <c r="AI11" s="3" t="e">
        <f t="shared" si="10"/>
        <v>#DIV/0!</v>
      </c>
      <c r="AJ11" s="3">
        <v>0</v>
      </c>
      <c r="AK11" s="6">
        <v>0</v>
      </c>
      <c r="AL11" s="3" t="e">
        <f t="shared" si="11"/>
        <v>#DIV/0!</v>
      </c>
      <c r="AM11" s="3">
        <v>0</v>
      </c>
      <c r="AN11" s="6">
        <v>0</v>
      </c>
      <c r="AO11" s="3">
        <f t="shared" si="12"/>
        <v>737.35424480054553</v>
      </c>
      <c r="AP11" s="3">
        <f t="shared" si="14"/>
        <v>216266</v>
      </c>
      <c r="AQ11" s="6">
        <f t="shared" si="15"/>
        <v>293.3</v>
      </c>
      <c r="AR11" s="3"/>
      <c r="AS11" s="3"/>
      <c r="AT11" s="3"/>
      <c r="AU11" s="3"/>
      <c r="AV11" s="3"/>
      <c r="AW11" s="3"/>
      <c r="AX11" s="3"/>
      <c r="AY11" s="3"/>
      <c r="AZ11" s="3"/>
      <c r="BA11" s="3"/>
      <c r="BB11" s="3"/>
      <c r="BC11" s="3"/>
      <c r="BD11" s="3"/>
      <c r="BE11" s="3"/>
      <c r="BF11" s="3"/>
      <c r="BG11" s="3"/>
      <c r="BH11" s="3"/>
      <c r="BI11" s="3"/>
      <c r="BJ11" s="3"/>
      <c r="BK11" s="3"/>
      <c r="BL11" s="3"/>
      <c r="BM11" s="3"/>
      <c r="BN11" s="3"/>
      <c r="BO11" s="3"/>
    </row>
    <row r="12" spans="1:67" ht="15" customHeight="1" x14ac:dyDescent="0.3">
      <c r="A12" s="9" t="s">
        <v>18</v>
      </c>
      <c r="B12" s="12"/>
      <c r="C12" s="12"/>
      <c r="D12" s="12"/>
      <c r="E12" s="3" t="e">
        <f>F12/G12</f>
        <v>#DIV/0!</v>
      </c>
      <c r="F12" s="3">
        <v>0</v>
      </c>
      <c r="G12" s="6">
        <v>0</v>
      </c>
      <c r="H12" s="3">
        <f>I12/J12</f>
        <v>717.21893491124263</v>
      </c>
      <c r="I12" s="3">
        <v>24242</v>
      </c>
      <c r="J12" s="6">
        <v>33.799999999999997</v>
      </c>
      <c r="K12" s="3">
        <f>L12/M12</f>
        <v>717.2980501392758</v>
      </c>
      <c r="L12" s="3">
        <v>25751</v>
      </c>
      <c r="M12" s="6">
        <v>35.9</v>
      </c>
      <c r="N12" s="3" t="e">
        <f>O12/P12</f>
        <v>#DIV/0!</v>
      </c>
      <c r="O12" s="3">
        <v>0</v>
      </c>
      <c r="P12" s="6">
        <v>0</v>
      </c>
      <c r="Q12" s="3">
        <f>R12/S12</f>
        <v>717.2980501392758</v>
      </c>
      <c r="R12" s="3">
        <v>25751</v>
      </c>
      <c r="S12" s="6">
        <v>35.9</v>
      </c>
      <c r="T12" s="3">
        <f>U12/V12</f>
        <v>1169.1534391534392</v>
      </c>
      <c r="U12" s="3">
        <v>22097</v>
      </c>
      <c r="V12" s="6">
        <v>18.899999999999999</v>
      </c>
      <c r="W12" s="3" t="e">
        <f>X12/Y12</f>
        <v>#DIV/0!</v>
      </c>
      <c r="X12" s="3">
        <v>0</v>
      </c>
      <c r="Y12" s="6">
        <v>0</v>
      </c>
      <c r="Z12" s="3">
        <f>AA12/AB12</f>
        <v>1101.6402116402116</v>
      </c>
      <c r="AA12" s="3">
        <v>20821</v>
      </c>
      <c r="AB12" s="6">
        <v>18.899999999999999</v>
      </c>
      <c r="AC12" s="3" t="e">
        <f>AD12/AE12</f>
        <v>#DIV/0!</v>
      </c>
      <c r="AD12" s="3">
        <v>0</v>
      </c>
      <c r="AE12" s="6">
        <v>0</v>
      </c>
      <c r="AF12" s="3">
        <f>AG12/AH12</f>
        <v>1235.9788359788361</v>
      </c>
      <c r="AG12" s="3">
        <v>23360</v>
      </c>
      <c r="AH12" s="6">
        <v>18.899999999999999</v>
      </c>
      <c r="AI12" s="3" t="e">
        <f>AJ12/AK12</f>
        <v>#DIV/0!</v>
      </c>
      <c r="AJ12" s="3">
        <v>0</v>
      </c>
      <c r="AK12" s="6">
        <v>0</v>
      </c>
      <c r="AL12" s="3" t="e">
        <f>AM12/AN12</f>
        <v>#DIV/0!</v>
      </c>
      <c r="AM12" s="3">
        <v>0</v>
      </c>
      <c r="AN12" s="6">
        <v>0</v>
      </c>
      <c r="AO12" s="3">
        <f t="shared" si="12"/>
        <v>875.05853357979049</v>
      </c>
      <c r="AP12" s="3">
        <f t="shared" si="14"/>
        <v>142022</v>
      </c>
      <c r="AQ12" s="6">
        <f t="shared" si="15"/>
        <v>162.30000000000001</v>
      </c>
      <c r="AR12" s="3"/>
      <c r="AS12" s="3"/>
      <c r="AT12" s="3"/>
      <c r="AU12" s="3"/>
      <c r="AV12" s="3"/>
      <c r="AW12" s="3"/>
      <c r="AX12" s="3"/>
      <c r="AY12" s="3"/>
      <c r="AZ12" s="3"/>
      <c r="BA12" s="3"/>
      <c r="BB12" s="3"/>
      <c r="BC12" s="3"/>
      <c r="BD12" s="3"/>
      <c r="BE12" s="3"/>
      <c r="BF12" s="3"/>
      <c r="BG12" s="3"/>
      <c r="BH12" s="3"/>
      <c r="BI12" s="3"/>
      <c r="BJ12" s="3"/>
      <c r="BK12" s="3"/>
      <c r="BL12" s="3"/>
      <c r="BM12" s="3"/>
      <c r="BN12" s="3"/>
      <c r="BO12" s="3"/>
    </row>
    <row r="13" spans="1:67" ht="15" customHeight="1" x14ac:dyDescent="0.3">
      <c r="A13" s="9" t="s">
        <v>25</v>
      </c>
      <c r="B13" s="12"/>
      <c r="C13" s="12"/>
      <c r="D13" s="12"/>
      <c r="E13" s="3">
        <f t="shared" ref="E13:E23" si="16">F13/G13</f>
        <v>2657</v>
      </c>
      <c r="F13" s="3">
        <v>2657</v>
      </c>
      <c r="G13" s="6">
        <v>1</v>
      </c>
      <c r="H13" s="3" t="e">
        <f t="shared" ref="H13:H23" si="17">I13/J13</f>
        <v>#DIV/0!</v>
      </c>
      <c r="I13" s="3">
        <v>0</v>
      </c>
      <c r="J13" s="6">
        <v>0</v>
      </c>
      <c r="K13" s="3" t="e">
        <f t="shared" ref="K13:K23" si="18">L13/M13</f>
        <v>#DIV/0!</v>
      </c>
      <c r="L13" s="3">
        <v>0</v>
      </c>
      <c r="M13" s="6">
        <v>0</v>
      </c>
      <c r="N13" s="3" t="e">
        <f t="shared" ref="N13:N23" si="19">O13/P13</f>
        <v>#DIV/0!</v>
      </c>
      <c r="O13" s="3">
        <v>0</v>
      </c>
      <c r="P13" s="6">
        <v>0</v>
      </c>
      <c r="Q13" s="3" t="e">
        <f t="shared" ref="Q13:Q23" si="20">R13/S13</f>
        <v>#DIV/0!</v>
      </c>
      <c r="R13" s="3">
        <v>0</v>
      </c>
      <c r="S13" s="6">
        <v>0</v>
      </c>
      <c r="T13" s="3" t="e">
        <f t="shared" ref="T13:T23" si="21">U13/V13</f>
        <v>#DIV/0!</v>
      </c>
      <c r="U13" s="3">
        <v>0</v>
      </c>
      <c r="V13" s="6">
        <v>0</v>
      </c>
      <c r="W13" s="3" t="e">
        <f t="shared" ref="W13:W23" si="22">X13/Y13</f>
        <v>#DIV/0!</v>
      </c>
      <c r="X13" s="3">
        <v>0</v>
      </c>
      <c r="Y13" s="6">
        <v>0</v>
      </c>
      <c r="Z13" s="3">
        <f t="shared" ref="Z13:Z23" si="23">AA13/AB13</f>
        <v>2782.608695652174</v>
      </c>
      <c r="AA13" s="3">
        <v>6400</v>
      </c>
      <c r="AB13" s="6">
        <v>2.2999999999999998</v>
      </c>
      <c r="AC13" s="3" t="e">
        <f t="shared" ref="AC13:AC23" si="24">AD13/AE13</f>
        <v>#DIV/0!</v>
      </c>
      <c r="AD13" s="3">
        <v>0</v>
      </c>
      <c r="AE13" s="6">
        <v>0</v>
      </c>
      <c r="AF13" s="3" t="e">
        <f t="shared" ref="AF13:AF23" si="25">AG13/AH13</f>
        <v>#DIV/0!</v>
      </c>
      <c r="AG13" s="3">
        <v>0</v>
      </c>
      <c r="AH13" s="6">
        <v>0</v>
      </c>
      <c r="AI13" s="3" t="e">
        <f t="shared" ref="AI13:AI23" si="26">AJ13/AK13</f>
        <v>#DIV/0!</v>
      </c>
      <c r="AJ13" s="3">
        <v>0</v>
      </c>
      <c r="AK13" s="6">
        <v>0</v>
      </c>
      <c r="AL13" s="3" t="e">
        <f t="shared" ref="AL13:AL23" si="27">AM13/AN13</f>
        <v>#DIV/0!</v>
      </c>
      <c r="AM13" s="3">
        <v>0</v>
      </c>
      <c r="AN13" s="6">
        <v>0</v>
      </c>
      <c r="AO13" s="3">
        <f t="shared" si="12"/>
        <v>2744.5454545454545</v>
      </c>
      <c r="AP13" s="3">
        <f t="shared" si="14"/>
        <v>9057</v>
      </c>
      <c r="AQ13" s="6">
        <f t="shared" si="15"/>
        <v>3.3</v>
      </c>
      <c r="AR13" s="3"/>
      <c r="AS13" s="3"/>
      <c r="AT13" s="3"/>
      <c r="AU13" s="3"/>
      <c r="AV13" s="3"/>
      <c r="AW13" s="3"/>
      <c r="AX13" s="3"/>
      <c r="AY13" s="3"/>
      <c r="AZ13" s="3"/>
      <c r="BA13" s="3"/>
      <c r="BB13" s="3"/>
      <c r="BC13" s="3"/>
      <c r="BD13" s="3"/>
      <c r="BE13" s="3"/>
      <c r="BF13" s="3"/>
      <c r="BG13" s="3"/>
      <c r="BH13" s="3"/>
      <c r="BI13" s="3"/>
      <c r="BJ13" s="3"/>
      <c r="BK13" s="3"/>
      <c r="BL13" s="3"/>
      <c r="BM13" s="3"/>
      <c r="BN13" s="3"/>
      <c r="BO13" s="3"/>
    </row>
    <row r="14" spans="1:67" ht="15" customHeight="1" x14ac:dyDescent="0.3">
      <c r="A14" s="9" t="s">
        <v>48</v>
      </c>
      <c r="B14" s="12"/>
      <c r="C14" s="12"/>
      <c r="D14" s="12"/>
      <c r="E14" s="3" t="e">
        <f t="shared" si="16"/>
        <v>#DIV/0!</v>
      </c>
      <c r="F14" s="3">
        <v>0</v>
      </c>
      <c r="G14" s="6">
        <v>0</v>
      </c>
      <c r="H14" s="3" t="e">
        <f t="shared" si="17"/>
        <v>#DIV/0!</v>
      </c>
      <c r="I14" s="3">
        <v>0</v>
      </c>
      <c r="J14" s="6">
        <v>0</v>
      </c>
      <c r="K14" s="3" t="e">
        <f t="shared" si="18"/>
        <v>#DIV/0!</v>
      </c>
      <c r="L14" s="3">
        <v>0</v>
      </c>
      <c r="M14" s="6">
        <v>0</v>
      </c>
      <c r="N14" s="3" t="e">
        <f t="shared" si="19"/>
        <v>#DIV/0!</v>
      </c>
      <c r="O14" s="3">
        <v>0</v>
      </c>
      <c r="P14" s="6">
        <v>0</v>
      </c>
      <c r="Q14" s="3" t="e">
        <f t="shared" si="20"/>
        <v>#DIV/0!</v>
      </c>
      <c r="R14" s="3">
        <v>0</v>
      </c>
      <c r="S14" s="6">
        <v>0</v>
      </c>
      <c r="T14" s="3" t="e">
        <f t="shared" si="21"/>
        <v>#DIV/0!</v>
      </c>
      <c r="U14" s="3">
        <v>0</v>
      </c>
      <c r="V14" s="6">
        <v>0</v>
      </c>
      <c r="W14" s="3" t="e">
        <f t="shared" si="22"/>
        <v>#DIV/0!</v>
      </c>
      <c r="X14" s="3">
        <v>0</v>
      </c>
      <c r="Y14" s="6">
        <v>0</v>
      </c>
      <c r="Z14" s="3">
        <f t="shared" si="23"/>
        <v>2777.7777777777778</v>
      </c>
      <c r="AA14" s="3">
        <v>5000</v>
      </c>
      <c r="AB14" s="6">
        <v>1.8</v>
      </c>
      <c r="AC14" s="3" t="e">
        <f t="shared" si="24"/>
        <v>#DIV/0!</v>
      </c>
      <c r="AD14" s="3">
        <v>0</v>
      </c>
      <c r="AE14" s="6">
        <v>0</v>
      </c>
      <c r="AF14" s="3" t="e">
        <f t="shared" si="25"/>
        <v>#DIV/0!</v>
      </c>
      <c r="AG14" s="3">
        <v>0</v>
      </c>
      <c r="AH14" s="6">
        <v>0</v>
      </c>
      <c r="AI14" s="3" t="e">
        <f t="shared" si="26"/>
        <v>#DIV/0!</v>
      </c>
      <c r="AJ14" s="3">
        <v>0</v>
      </c>
      <c r="AK14" s="6">
        <v>0</v>
      </c>
      <c r="AL14" s="3" t="e">
        <f t="shared" si="27"/>
        <v>#DIV/0!</v>
      </c>
      <c r="AM14" s="3">
        <v>0</v>
      </c>
      <c r="AN14" s="6">
        <v>0</v>
      </c>
      <c r="AO14" s="3">
        <f t="shared" si="12"/>
        <v>2777.7777777777778</v>
      </c>
      <c r="AP14" s="3">
        <f t="shared" si="14"/>
        <v>5000</v>
      </c>
      <c r="AQ14" s="6">
        <f t="shared" si="15"/>
        <v>1.8</v>
      </c>
      <c r="AR14" s="3"/>
      <c r="AS14" s="3"/>
      <c r="AT14" s="3"/>
      <c r="AU14" s="3"/>
      <c r="AV14" s="3"/>
      <c r="AW14" s="3"/>
      <c r="AX14" s="3"/>
      <c r="AY14" s="3"/>
      <c r="AZ14" s="3"/>
      <c r="BA14" s="3"/>
      <c r="BB14" s="3"/>
      <c r="BC14" s="3"/>
      <c r="BD14" s="3"/>
      <c r="BE14" s="3"/>
      <c r="BF14" s="3"/>
      <c r="BG14" s="3"/>
      <c r="BH14" s="3"/>
      <c r="BI14" s="3"/>
      <c r="BJ14" s="3"/>
      <c r="BK14" s="3"/>
      <c r="BL14" s="3"/>
      <c r="BM14" s="3"/>
      <c r="BN14" s="3"/>
      <c r="BO14" s="3"/>
    </row>
    <row r="15" spans="1:67" ht="15" customHeight="1" x14ac:dyDescent="0.3">
      <c r="A15" s="9" t="s">
        <v>37</v>
      </c>
      <c r="B15" s="12"/>
      <c r="C15" s="12"/>
      <c r="D15" s="12"/>
      <c r="E15" s="3" t="e">
        <f t="shared" si="16"/>
        <v>#DIV/0!</v>
      </c>
      <c r="F15" s="3">
        <v>0</v>
      </c>
      <c r="G15" s="6">
        <v>0</v>
      </c>
      <c r="H15" s="3" t="e">
        <f t="shared" si="17"/>
        <v>#DIV/0!</v>
      </c>
      <c r="I15" s="3">
        <v>0</v>
      </c>
      <c r="J15" s="6">
        <v>0</v>
      </c>
      <c r="K15" s="3" t="e">
        <f t="shared" si="18"/>
        <v>#DIV/0!</v>
      </c>
      <c r="L15" s="3">
        <v>0</v>
      </c>
      <c r="M15" s="6">
        <v>0</v>
      </c>
      <c r="N15" s="3">
        <f t="shared" si="19"/>
        <v>6515</v>
      </c>
      <c r="O15" s="3">
        <v>2606</v>
      </c>
      <c r="P15" s="6">
        <v>0.4</v>
      </c>
      <c r="Q15" s="3" t="e">
        <f t="shared" si="20"/>
        <v>#DIV/0!</v>
      </c>
      <c r="R15" s="3">
        <v>0</v>
      </c>
      <c r="S15" s="6">
        <v>0</v>
      </c>
      <c r="T15" s="3" t="e">
        <f t="shared" si="21"/>
        <v>#DIV/0!</v>
      </c>
      <c r="U15" s="3">
        <v>0</v>
      </c>
      <c r="V15" s="6">
        <v>0</v>
      </c>
      <c r="W15" s="3" t="e">
        <f t="shared" si="22"/>
        <v>#DIV/0!</v>
      </c>
      <c r="X15" s="3">
        <v>0</v>
      </c>
      <c r="Y15" s="6">
        <v>0</v>
      </c>
      <c r="Z15" s="3" t="e">
        <f t="shared" si="23"/>
        <v>#DIV/0!</v>
      </c>
      <c r="AA15" s="3">
        <v>0</v>
      </c>
      <c r="AB15" s="6">
        <v>0</v>
      </c>
      <c r="AC15" s="3">
        <f t="shared" si="24"/>
        <v>7290</v>
      </c>
      <c r="AD15" s="3">
        <v>2916</v>
      </c>
      <c r="AE15" s="6">
        <v>0.4</v>
      </c>
      <c r="AF15" s="3" t="e">
        <f t="shared" si="25"/>
        <v>#DIV/0!</v>
      </c>
      <c r="AG15" s="3">
        <v>0</v>
      </c>
      <c r="AH15" s="6">
        <v>0</v>
      </c>
      <c r="AI15" s="3" t="e">
        <f t="shared" si="26"/>
        <v>#DIV/0!</v>
      </c>
      <c r="AJ15" s="3">
        <v>0</v>
      </c>
      <c r="AK15" s="6">
        <v>0</v>
      </c>
      <c r="AL15" s="3" t="e">
        <f t="shared" si="27"/>
        <v>#DIV/0!</v>
      </c>
      <c r="AM15" s="3">
        <v>0</v>
      </c>
      <c r="AN15" s="6">
        <v>0</v>
      </c>
      <c r="AO15" s="3">
        <f t="shared" si="12"/>
        <v>6902.5</v>
      </c>
      <c r="AP15" s="3">
        <f t="shared" si="14"/>
        <v>5522</v>
      </c>
      <c r="AQ15" s="6">
        <f t="shared" si="15"/>
        <v>0.8</v>
      </c>
      <c r="AR15" s="3"/>
      <c r="AS15" s="3"/>
      <c r="AT15" s="3"/>
      <c r="AU15" s="3"/>
      <c r="AV15" s="3"/>
      <c r="AW15" s="3"/>
      <c r="AX15" s="3"/>
      <c r="AY15" s="3"/>
      <c r="AZ15" s="3"/>
      <c r="BA15" s="3"/>
      <c r="BB15" s="3"/>
      <c r="BC15" s="3"/>
      <c r="BD15" s="3"/>
      <c r="BE15" s="3"/>
      <c r="BF15" s="3"/>
      <c r="BG15" s="3"/>
      <c r="BH15" s="3"/>
      <c r="BI15" s="3"/>
      <c r="BJ15" s="3"/>
      <c r="BK15" s="3"/>
      <c r="BL15" s="3"/>
      <c r="BM15" s="3"/>
      <c r="BN15" s="3"/>
      <c r="BO15" s="3"/>
    </row>
    <row r="16" spans="1:67" ht="15" customHeight="1" x14ac:dyDescent="0.3">
      <c r="A16" s="9" t="s">
        <v>27</v>
      </c>
      <c r="B16" s="12"/>
      <c r="C16" s="12"/>
      <c r="D16" s="12"/>
      <c r="E16" s="3">
        <f t="shared" si="16"/>
        <v>1946.6666666666667</v>
      </c>
      <c r="F16" s="3">
        <v>8760</v>
      </c>
      <c r="G16" s="6">
        <v>4.5</v>
      </c>
      <c r="H16" s="3">
        <f t="shared" si="17"/>
        <v>2261.6216216216217</v>
      </c>
      <c r="I16" s="3">
        <v>8368</v>
      </c>
      <c r="J16" s="6">
        <v>3.7</v>
      </c>
      <c r="K16" s="3" t="e">
        <f t="shared" si="18"/>
        <v>#DIV/0!</v>
      </c>
      <c r="L16" s="3">
        <v>0</v>
      </c>
      <c r="M16" s="6">
        <v>0</v>
      </c>
      <c r="N16" s="3" t="e">
        <f t="shared" si="19"/>
        <v>#DIV/0!</v>
      </c>
      <c r="O16" s="3">
        <v>0</v>
      </c>
      <c r="P16" s="6">
        <v>0</v>
      </c>
      <c r="Q16" s="3" t="e">
        <f t="shared" si="20"/>
        <v>#DIV/0!</v>
      </c>
      <c r="R16" s="3">
        <v>0</v>
      </c>
      <c r="S16" s="6">
        <v>0</v>
      </c>
      <c r="T16" s="3" t="e">
        <f t="shared" si="21"/>
        <v>#DIV/0!</v>
      </c>
      <c r="U16" s="3">
        <v>0</v>
      </c>
      <c r="V16" s="6">
        <v>0</v>
      </c>
      <c r="W16" s="3" t="e">
        <f t="shared" si="22"/>
        <v>#DIV/0!</v>
      </c>
      <c r="X16" s="3">
        <v>0</v>
      </c>
      <c r="Y16" s="6">
        <v>0</v>
      </c>
      <c r="Z16" s="3" t="e">
        <f t="shared" si="23"/>
        <v>#DIV/0!</v>
      </c>
      <c r="AA16" s="3">
        <v>0</v>
      </c>
      <c r="AB16" s="6">
        <v>0</v>
      </c>
      <c r="AC16" s="3" t="e">
        <f t="shared" si="24"/>
        <v>#DIV/0!</v>
      </c>
      <c r="AD16" s="3">
        <v>0</v>
      </c>
      <c r="AE16" s="6">
        <v>0</v>
      </c>
      <c r="AF16" s="3" t="e">
        <f t="shared" si="25"/>
        <v>#DIV/0!</v>
      </c>
      <c r="AG16" s="3">
        <v>0</v>
      </c>
      <c r="AH16" s="6">
        <v>0</v>
      </c>
      <c r="AI16" s="3" t="e">
        <f t="shared" si="26"/>
        <v>#DIV/0!</v>
      </c>
      <c r="AJ16" s="3">
        <v>0</v>
      </c>
      <c r="AK16" s="6">
        <v>0</v>
      </c>
      <c r="AL16" s="3" t="e">
        <f t="shared" si="27"/>
        <v>#DIV/0!</v>
      </c>
      <c r="AM16" s="3">
        <v>0</v>
      </c>
      <c r="AN16" s="6">
        <v>0</v>
      </c>
      <c r="AO16" s="3">
        <f t="shared" si="12"/>
        <v>2088.7804878048782</v>
      </c>
      <c r="AP16" s="3">
        <f t="shared" si="14"/>
        <v>17128</v>
      </c>
      <c r="AQ16" s="6">
        <f t="shared" si="15"/>
        <v>8.1999999999999993</v>
      </c>
      <c r="AR16" s="3"/>
      <c r="AS16" s="3"/>
      <c r="AT16" s="3"/>
      <c r="AU16" s="3"/>
      <c r="AV16" s="3"/>
      <c r="AW16" s="3"/>
      <c r="AX16" s="3"/>
      <c r="AY16" s="3"/>
      <c r="AZ16" s="3"/>
      <c r="BA16" s="3"/>
      <c r="BB16" s="3"/>
      <c r="BC16" s="3"/>
      <c r="BD16" s="3"/>
      <c r="BE16" s="3"/>
      <c r="BF16" s="3"/>
      <c r="BG16" s="3"/>
      <c r="BH16" s="3"/>
      <c r="BI16" s="3"/>
      <c r="BJ16" s="3"/>
      <c r="BK16" s="3"/>
      <c r="BL16" s="3"/>
      <c r="BM16" s="3"/>
      <c r="BN16" s="3"/>
      <c r="BO16" s="3"/>
    </row>
    <row r="17" spans="1:67" ht="15" customHeight="1" x14ac:dyDescent="0.3">
      <c r="A17" s="9" t="s">
        <v>20</v>
      </c>
      <c r="B17" s="12"/>
      <c r="C17" s="12"/>
      <c r="D17" s="12"/>
      <c r="E17" s="3" t="e">
        <f t="shared" si="16"/>
        <v>#DIV/0!</v>
      </c>
      <c r="F17" s="3">
        <v>0</v>
      </c>
      <c r="G17" s="6">
        <v>0</v>
      </c>
      <c r="H17" s="3" t="e">
        <f t="shared" si="17"/>
        <v>#DIV/0!</v>
      </c>
      <c r="I17" s="3">
        <v>0</v>
      </c>
      <c r="J17" s="6">
        <v>0</v>
      </c>
      <c r="K17" s="3" t="e">
        <f t="shared" si="18"/>
        <v>#DIV/0!</v>
      </c>
      <c r="L17" s="3">
        <v>0</v>
      </c>
      <c r="M17" s="6">
        <v>0</v>
      </c>
      <c r="N17" s="3" t="e">
        <f t="shared" si="19"/>
        <v>#DIV/0!</v>
      </c>
      <c r="O17" s="3">
        <v>0</v>
      </c>
      <c r="P17" s="6">
        <v>0</v>
      </c>
      <c r="Q17" s="3" t="e">
        <f t="shared" si="20"/>
        <v>#DIV/0!</v>
      </c>
      <c r="R17" s="3">
        <v>0</v>
      </c>
      <c r="S17" s="6">
        <v>0</v>
      </c>
      <c r="T17" s="3" t="e">
        <f t="shared" si="21"/>
        <v>#DIV/0!</v>
      </c>
      <c r="U17" s="3">
        <v>0</v>
      </c>
      <c r="V17" s="6">
        <v>0</v>
      </c>
      <c r="W17" s="3" t="e">
        <f t="shared" si="22"/>
        <v>#DIV/0!</v>
      </c>
      <c r="X17" s="3">
        <v>0</v>
      </c>
      <c r="Y17" s="6">
        <v>0</v>
      </c>
      <c r="Z17" s="3">
        <f t="shared" si="23"/>
        <v>718.39694656488552</v>
      </c>
      <c r="AA17" s="3">
        <v>37644</v>
      </c>
      <c r="AB17" s="6">
        <v>52.4</v>
      </c>
      <c r="AC17" s="3" t="e">
        <f t="shared" si="24"/>
        <v>#DIV/0!</v>
      </c>
      <c r="AD17" s="3">
        <v>0</v>
      </c>
      <c r="AE17" s="6">
        <v>0</v>
      </c>
      <c r="AF17" s="3" t="e">
        <f t="shared" si="25"/>
        <v>#DIV/0!</v>
      </c>
      <c r="AG17" s="3">
        <v>0</v>
      </c>
      <c r="AH17" s="6">
        <v>0</v>
      </c>
      <c r="AI17" s="3" t="e">
        <f t="shared" si="26"/>
        <v>#DIV/0!</v>
      </c>
      <c r="AJ17" s="3">
        <v>0</v>
      </c>
      <c r="AK17" s="6">
        <v>0</v>
      </c>
      <c r="AL17" s="3" t="e">
        <f t="shared" si="27"/>
        <v>#DIV/0!</v>
      </c>
      <c r="AM17" s="3">
        <v>0</v>
      </c>
      <c r="AN17" s="6">
        <v>0</v>
      </c>
      <c r="AO17" s="3">
        <f t="shared" si="12"/>
        <v>718.39694656488552</v>
      </c>
      <c r="AP17" s="3">
        <f t="shared" si="14"/>
        <v>37644</v>
      </c>
      <c r="AQ17" s="6">
        <f t="shared" si="15"/>
        <v>52.4</v>
      </c>
      <c r="AR17" s="3"/>
      <c r="AS17" s="3"/>
      <c r="AT17" s="3"/>
      <c r="AU17" s="3"/>
      <c r="AV17" s="3"/>
      <c r="AW17" s="3"/>
      <c r="AX17" s="3"/>
      <c r="AY17" s="3"/>
      <c r="AZ17" s="3"/>
      <c r="BA17" s="3"/>
      <c r="BB17" s="3"/>
      <c r="BC17" s="3"/>
      <c r="BD17" s="3"/>
      <c r="BE17" s="3"/>
      <c r="BF17" s="3"/>
      <c r="BG17" s="3"/>
      <c r="BH17" s="3"/>
      <c r="BI17" s="3"/>
      <c r="BJ17" s="3"/>
      <c r="BK17" s="3"/>
      <c r="BL17" s="3"/>
      <c r="BM17" s="3"/>
      <c r="BN17" s="3"/>
      <c r="BO17" s="3"/>
    </row>
    <row r="18" spans="1:67" ht="15" customHeight="1" x14ac:dyDescent="0.3">
      <c r="A18" s="9" t="s">
        <v>38</v>
      </c>
      <c r="B18" s="12"/>
      <c r="C18" s="12"/>
      <c r="D18" s="12"/>
      <c r="E18" s="3" t="e">
        <f t="shared" si="16"/>
        <v>#DIV/0!</v>
      </c>
      <c r="F18" s="3">
        <v>0</v>
      </c>
      <c r="G18" s="6">
        <v>0</v>
      </c>
      <c r="H18" s="3" t="e">
        <f t="shared" si="17"/>
        <v>#DIV/0!</v>
      </c>
      <c r="I18" s="3">
        <v>0</v>
      </c>
      <c r="J18" s="6">
        <v>0</v>
      </c>
      <c r="K18" s="3" t="e">
        <f t="shared" si="18"/>
        <v>#DIV/0!</v>
      </c>
      <c r="L18" s="3">
        <v>0</v>
      </c>
      <c r="M18" s="6">
        <v>0</v>
      </c>
      <c r="N18" s="3" t="e">
        <f t="shared" si="19"/>
        <v>#DIV/0!</v>
      </c>
      <c r="O18" s="3">
        <v>0</v>
      </c>
      <c r="P18" s="6">
        <v>0</v>
      </c>
      <c r="Q18" s="3">
        <f t="shared" si="20"/>
        <v>750.97783572359845</v>
      </c>
      <c r="R18" s="3">
        <v>57600</v>
      </c>
      <c r="S18" s="6">
        <v>76.7</v>
      </c>
      <c r="T18" s="3">
        <f t="shared" si="21"/>
        <v>718.08928571428567</v>
      </c>
      <c r="U18" s="3">
        <v>120639</v>
      </c>
      <c r="V18" s="6">
        <v>168</v>
      </c>
      <c r="W18" s="3">
        <f t="shared" si="22"/>
        <v>718.40803709428121</v>
      </c>
      <c r="X18" s="3">
        <v>46481</v>
      </c>
      <c r="Y18" s="6">
        <v>64.7</v>
      </c>
      <c r="Z18" s="3">
        <f t="shared" si="23"/>
        <v>718.83419689119171</v>
      </c>
      <c r="AA18" s="3">
        <v>27747</v>
      </c>
      <c r="AB18" s="6">
        <v>38.6</v>
      </c>
      <c r="AC18" s="3" t="e">
        <f t="shared" si="24"/>
        <v>#DIV/0!</v>
      </c>
      <c r="AD18" s="3">
        <v>0</v>
      </c>
      <c r="AE18" s="6">
        <v>0</v>
      </c>
      <c r="AF18" s="3">
        <f t="shared" si="25"/>
        <v>1452.6315789473686</v>
      </c>
      <c r="AG18" s="3">
        <v>5520</v>
      </c>
      <c r="AH18" s="6">
        <v>3.8</v>
      </c>
      <c r="AI18" s="3" t="e">
        <f t="shared" si="26"/>
        <v>#DIV/0!</v>
      </c>
      <c r="AJ18" s="3">
        <v>0</v>
      </c>
      <c r="AK18" s="6">
        <v>0</v>
      </c>
      <c r="AL18" s="3" t="e">
        <f t="shared" si="27"/>
        <v>#DIV/0!</v>
      </c>
      <c r="AM18" s="3">
        <v>0</v>
      </c>
      <c r="AN18" s="6">
        <v>0</v>
      </c>
      <c r="AO18" s="3">
        <f t="shared" si="12"/>
        <v>733.33428084138711</v>
      </c>
      <c r="AP18" s="3">
        <f t="shared" si="14"/>
        <v>257987</v>
      </c>
      <c r="AQ18" s="6">
        <f t="shared" si="15"/>
        <v>351.8</v>
      </c>
      <c r="AR18" s="3"/>
      <c r="AS18" s="3"/>
      <c r="AT18" s="3"/>
      <c r="AU18" s="3"/>
      <c r="AV18" s="3"/>
      <c r="AW18" s="3"/>
      <c r="AX18" s="3"/>
      <c r="AY18" s="3"/>
      <c r="AZ18" s="3"/>
      <c r="BA18" s="3"/>
      <c r="BB18" s="3"/>
      <c r="BC18" s="3"/>
      <c r="BD18" s="3"/>
      <c r="BE18" s="3"/>
      <c r="BF18" s="3"/>
      <c r="BG18" s="3"/>
      <c r="BH18" s="3"/>
      <c r="BI18" s="3"/>
      <c r="BJ18" s="3"/>
      <c r="BK18" s="3"/>
      <c r="BL18" s="3"/>
      <c r="BM18" s="3"/>
      <c r="BN18" s="3"/>
      <c r="BO18" s="3"/>
    </row>
    <row r="19" spans="1:67" ht="15" customHeight="1" x14ac:dyDescent="0.3">
      <c r="A19" s="9" t="s">
        <v>44</v>
      </c>
      <c r="B19" s="12"/>
      <c r="C19" s="12"/>
      <c r="D19" s="12"/>
      <c r="E19" s="3" t="e">
        <f t="shared" si="16"/>
        <v>#DIV/0!</v>
      </c>
      <c r="F19" s="3">
        <v>0</v>
      </c>
      <c r="G19" s="6">
        <v>0</v>
      </c>
      <c r="H19" s="3">
        <f t="shared" si="17"/>
        <v>1574.8275862068965</v>
      </c>
      <c r="I19" s="3">
        <v>4567</v>
      </c>
      <c r="J19" s="6">
        <v>2.9</v>
      </c>
      <c r="K19" s="3" t="e">
        <f t="shared" si="18"/>
        <v>#DIV/0!</v>
      </c>
      <c r="L19" s="3">
        <v>0</v>
      </c>
      <c r="M19" s="6">
        <v>0</v>
      </c>
      <c r="N19" s="3" t="e">
        <f t="shared" si="19"/>
        <v>#DIV/0!</v>
      </c>
      <c r="O19" s="3">
        <v>0</v>
      </c>
      <c r="P19" s="6">
        <v>0</v>
      </c>
      <c r="Q19" s="3" t="e">
        <f t="shared" si="20"/>
        <v>#DIV/0!</v>
      </c>
      <c r="R19" s="3">
        <v>0</v>
      </c>
      <c r="S19" s="6">
        <v>0</v>
      </c>
      <c r="T19" s="3" t="e">
        <f t="shared" si="21"/>
        <v>#DIV/0!</v>
      </c>
      <c r="U19" s="3">
        <v>0</v>
      </c>
      <c r="V19" s="6">
        <v>0</v>
      </c>
      <c r="W19" s="3" t="e">
        <f t="shared" si="22"/>
        <v>#DIV/0!</v>
      </c>
      <c r="X19" s="3">
        <v>0</v>
      </c>
      <c r="Y19" s="6">
        <v>0</v>
      </c>
      <c r="Z19" s="3" t="e">
        <f t="shared" si="23"/>
        <v>#DIV/0!</v>
      </c>
      <c r="AA19" s="3">
        <v>0</v>
      </c>
      <c r="AB19" s="6">
        <v>0</v>
      </c>
      <c r="AC19" s="3" t="e">
        <f t="shared" si="24"/>
        <v>#DIV/0!</v>
      </c>
      <c r="AD19" s="3">
        <v>0</v>
      </c>
      <c r="AE19" s="6">
        <v>0</v>
      </c>
      <c r="AF19" s="3" t="e">
        <f t="shared" si="25"/>
        <v>#DIV/0!</v>
      </c>
      <c r="AG19" s="3">
        <v>0</v>
      </c>
      <c r="AH19" s="6">
        <v>0</v>
      </c>
      <c r="AI19" s="3" t="e">
        <f t="shared" si="26"/>
        <v>#DIV/0!</v>
      </c>
      <c r="AJ19" s="3">
        <v>0</v>
      </c>
      <c r="AK19" s="6">
        <v>0</v>
      </c>
      <c r="AL19" s="3" t="e">
        <f t="shared" si="27"/>
        <v>#DIV/0!</v>
      </c>
      <c r="AM19" s="3">
        <v>0</v>
      </c>
      <c r="AN19" s="6">
        <v>0</v>
      </c>
      <c r="AO19" s="3">
        <f t="shared" si="12"/>
        <v>1574.8275862068965</v>
      </c>
      <c r="AP19" s="3">
        <f t="shared" si="14"/>
        <v>4567</v>
      </c>
      <c r="AQ19" s="6">
        <f t="shared" si="15"/>
        <v>2.9</v>
      </c>
      <c r="AR19" s="3"/>
      <c r="AS19" s="3"/>
      <c r="AT19" s="3"/>
      <c r="AU19" s="3"/>
      <c r="AV19" s="3"/>
      <c r="AW19" s="3"/>
      <c r="AX19" s="3"/>
      <c r="AY19" s="3"/>
      <c r="AZ19" s="3"/>
      <c r="BA19" s="3"/>
      <c r="BB19" s="3"/>
      <c r="BC19" s="3"/>
      <c r="BD19" s="3"/>
      <c r="BE19" s="3"/>
      <c r="BF19" s="3"/>
      <c r="BG19" s="3"/>
      <c r="BH19" s="3"/>
      <c r="BI19" s="3"/>
      <c r="BJ19" s="3"/>
      <c r="BK19" s="3"/>
      <c r="BL19" s="3"/>
      <c r="BM19" s="3"/>
      <c r="BN19" s="3"/>
      <c r="BO19" s="3"/>
    </row>
    <row r="20" spans="1:67" x14ac:dyDescent="0.3">
      <c r="A20" s="9" t="s">
        <v>40</v>
      </c>
      <c r="B20" s="12"/>
      <c r="C20" s="12"/>
      <c r="D20" s="12"/>
      <c r="E20" s="3" t="e">
        <f t="shared" si="16"/>
        <v>#DIV/0!</v>
      </c>
      <c r="F20" s="3">
        <v>0</v>
      </c>
      <c r="G20" s="6">
        <v>0</v>
      </c>
      <c r="H20" s="3" t="e">
        <f t="shared" si="17"/>
        <v>#DIV/0!</v>
      </c>
      <c r="I20" s="3">
        <v>0</v>
      </c>
      <c r="J20" s="6">
        <v>0</v>
      </c>
      <c r="K20" s="3" t="e">
        <f t="shared" si="18"/>
        <v>#DIV/0!</v>
      </c>
      <c r="L20" s="3">
        <v>0</v>
      </c>
      <c r="M20" s="6">
        <v>0</v>
      </c>
      <c r="N20" s="3" t="e">
        <f t="shared" si="19"/>
        <v>#DIV/0!</v>
      </c>
      <c r="O20" s="3">
        <v>0</v>
      </c>
      <c r="P20" s="6">
        <v>0</v>
      </c>
      <c r="Q20" s="3" t="e">
        <f t="shared" si="20"/>
        <v>#DIV/0!</v>
      </c>
      <c r="R20" s="3">
        <v>0</v>
      </c>
      <c r="S20" s="6">
        <v>0</v>
      </c>
      <c r="T20" s="3" t="e">
        <f t="shared" si="21"/>
        <v>#DIV/0!</v>
      </c>
      <c r="U20" s="3">
        <v>0</v>
      </c>
      <c r="V20" s="6">
        <v>0</v>
      </c>
      <c r="W20" s="3" t="e">
        <f t="shared" si="22"/>
        <v>#DIV/0!</v>
      </c>
      <c r="X20" s="3">
        <v>0</v>
      </c>
      <c r="Y20" s="6">
        <v>0</v>
      </c>
      <c r="Z20" s="3">
        <f t="shared" si="23"/>
        <v>714.28571428571422</v>
      </c>
      <c r="AA20" s="3">
        <v>6000</v>
      </c>
      <c r="AB20" s="6">
        <v>8.4</v>
      </c>
      <c r="AC20" s="3" t="e">
        <f t="shared" si="24"/>
        <v>#DIV/0!</v>
      </c>
      <c r="AD20" s="3">
        <v>0</v>
      </c>
      <c r="AE20" s="6">
        <v>0</v>
      </c>
      <c r="AF20" s="3" t="e">
        <f t="shared" si="25"/>
        <v>#DIV/0!</v>
      </c>
      <c r="AG20" s="3">
        <v>0</v>
      </c>
      <c r="AH20" s="6">
        <v>0</v>
      </c>
      <c r="AI20" s="3" t="e">
        <f t="shared" si="26"/>
        <v>#DIV/0!</v>
      </c>
      <c r="AJ20" s="3">
        <v>0</v>
      </c>
      <c r="AK20" s="6">
        <v>0</v>
      </c>
      <c r="AL20" s="3" t="e">
        <f t="shared" si="27"/>
        <v>#DIV/0!</v>
      </c>
      <c r="AM20" s="3">
        <v>0</v>
      </c>
      <c r="AN20" s="6">
        <v>0</v>
      </c>
      <c r="AO20" s="3">
        <f t="shared" si="12"/>
        <v>714.28571428571422</v>
      </c>
      <c r="AP20" s="3">
        <f t="shared" si="14"/>
        <v>6000</v>
      </c>
      <c r="AQ20" s="6">
        <f t="shared" si="15"/>
        <v>8.4</v>
      </c>
      <c r="AR20" s="3"/>
      <c r="AS20" s="3"/>
      <c r="AT20" s="3"/>
      <c r="AU20" s="3"/>
      <c r="AV20" s="3"/>
      <c r="AW20" s="3"/>
      <c r="AX20" s="3"/>
      <c r="AY20" s="3"/>
      <c r="AZ20" s="3"/>
      <c r="BA20" s="3"/>
      <c r="BB20" s="3"/>
      <c r="BC20" s="3"/>
      <c r="BD20" s="3"/>
      <c r="BE20" s="3"/>
      <c r="BF20" s="3"/>
      <c r="BG20" s="3"/>
      <c r="BH20" s="3"/>
      <c r="BI20" s="3"/>
      <c r="BJ20" s="3"/>
      <c r="BK20" s="3"/>
      <c r="BL20" s="3"/>
      <c r="BM20" s="3"/>
      <c r="BN20" s="3"/>
      <c r="BO20" s="3"/>
    </row>
    <row r="21" spans="1:67" x14ac:dyDescent="0.3">
      <c r="A21" s="9" t="s">
        <v>46</v>
      </c>
      <c r="B21" s="12"/>
      <c r="C21" s="12"/>
      <c r="D21" s="12"/>
      <c r="E21" s="3" t="e">
        <f t="shared" si="16"/>
        <v>#DIV/0!</v>
      </c>
      <c r="F21" s="3">
        <v>0</v>
      </c>
      <c r="G21" s="6">
        <v>0</v>
      </c>
      <c r="H21" s="3" t="e">
        <f t="shared" si="17"/>
        <v>#DIV/0!</v>
      </c>
      <c r="I21" s="3">
        <v>0</v>
      </c>
      <c r="J21" s="6">
        <v>0</v>
      </c>
      <c r="K21" s="3" t="e">
        <f t="shared" si="18"/>
        <v>#DIV/0!</v>
      </c>
      <c r="L21" s="3">
        <v>0</v>
      </c>
      <c r="M21" s="6">
        <v>0</v>
      </c>
      <c r="N21" s="3" t="e">
        <f t="shared" si="19"/>
        <v>#DIV/0!</v>
      </c>
      <c r="O21" s="3">
        <v>0</v>
      </c>
      <c r="P21" s="6">
        <v>0</v>
      </c>
      <c r="Q21" s="3" t="e">
        <f t="shared" si="20"/>
        <v>#DIV/0!</v>
      </c>
      <c r="R21" s="3">
        <v>0</v>
      </c>
      <c r="S21" s="6">
        <v>0</v>
      </c>
      <c r="T21" s="3" t="e">
        <f t="shared" si="21"/>
        <v>#DIV/0!</v>
      </c>
      <c r="U21" s="3">
        <v>0</v>
      </c>
      <c r="V21" s="6">
        <v>0</v>
      </c>
      <c r="W21" s="3">
        <f t="shared" si="22"/>
        <v>4263.75</v>
      </c>
      <c r="X21" s="3">
        <v>3411</v>
      </c>
      <c r="Y21" s="6">
        <v>0.8</v>
      </c>
      <c r="Z21" s="3">
        <f t="shared" si="23"/>
        <v>4590.7692307692305</v>
      </c>
      <c r="AA21" s="3">
        <v>5968</v>
      </c>
      <c r="AB21" s="6">
        <v>1.3</v>
      </c>
      <c r="AC21" s="3" t="e">
        <f t="shared" si="24"/>
        <v>#DIV/0!</v>
      </c>
      <c r="AD21" s="3">
        <v>0</v>
      </c>
      <c r="AE21" s="6">
        <v>0</v>
      </c>
      <c r="AF21" s="3">
        <f t="shared" si="25"/>
        <v>4263.75</v>
      </c>
      <c r="AG21" s="3">
        <v>3411</v>
      </c>
      <c r="AH21" s="6">
        <v>0.8</v>
      </c>
      <c r="AI21" s="3" t="e">
        <f t="shared" si="26"/>
        <v>#DIV/0!</v>
      </c>
      <c r="AJ21" s="3">
        <v>0</v>
      </c>
      <c r="AK21" s="6">
        <v>0</v>
      </c>
      <c r="AL21" s="3" t="e">
        <f t="shared" si="27"/>
        <v>#DIV/0!</v>
      </c>
      <c r="AM21" s="3">
        <v>0</v>
      </c>
      <c r="AN21" s="6">
        <v>0</v>
      </c>
      <c r="AO21" s="3">
        <f t="shared" si="12"/>
        <v>4410.3448275862065</v>
      </c>
      <c r="AP21" s="3">
        <f t="shared" si="14"/>
        <v>12790</v>
      </c>
      <c r="AQ21" s="6">
        <f t="shared" si="15"/>
        <v>2.9000000000000004</v>
      </c>
      <c r="AR21" s="3"/>
      <c r="AS21" s="3"/>
      <c r="AT21" s="3"/>
      <c r="AU21" s="3"/>
      <c r="AV21" s="3"/>
      <c r="AW21" s="3"/>
      <c r="AX21" s="3"/>
      <c r="AY21" s="3"/>
      <c r="AZ21" s="3"/>
      <c r="BA21" s="3"/>
      <c r="BB21" s="3"/>
      <c r="BC21" s="3"/>
      <c r="BD21" s="3"/>
      <c r="BE21" s="3"/>
      <c r="BF21" s="3"/>
      <c r="BG21" s="3"/>
      <c r="BH21" s="3"/>
      <c r="BI21" s="3"/>
      <c r="BJ21" s="3"/>
      <c r="BK21" s="3"/>
      <c r="BL21" s="3"/>
      <c r="BM21" s="3"/>
      <c r="BN21" s="3"/>
      <c r="BO21" s="3"/>
    </row>
    <row r="22" spans="1:67" x14ac:dyDescent="0.3">
      <c r="A22" s="9" t="s">
        <v>45</v>
      </c>
      <c r="B22" s="12"/>
      <c r="C22" s="12"/>
      <c r="D22" s="12"/>
      <c r="E22" s="3" t="e">
        <f t="shared" si="16"/>
        <v>#DIV/0!</v>
      </c>
      <c r="F22" s="3">
        <v>0</v>
      </c>
      <c r="G22" s="6">
        <v>0</v>
      </c>
      <c r="H22" s="3" t="e">
        <f t="shared" si="17"/>
        <v>#DIV/0!</v>
      </c>
      <c r="I22" s="3">
        <v>0</v>
      </c>
      <c r="J22" s="6">
        <v>0</v>
      </c>
      <c r="K22" s="3" t="e">
        <f t="shared" si="18"/>
        <v>#DIV/0!</v>
      </c>
      <c r="L22" s="3">
        <v>0</v>
      </c>
      <c r="M22" s="6">
        <v>0</v>
      </c>
      <c r="N22" s="3" t="e">
        <f t="shared" si="19"/>
        <v>#DIV/0!</v>
      </c>
      <c r="O22" s="3">
        <v>0</v>
      </c>
      <c r="P22" s="6">
        <v>0</v>
      </c>
      <c r="Q22" s="3" t="e">
        <f t="shared" si="20"/>
        <v>#DIV/0!</v>
      </c>
      <c r="R22" s="3">
        <v>0</v>
      </c>
      <c r="S22" s="6">
        <v>0</v>
      </c>
      <c r="T22" s="3" t="e">
        <f t="shared" si="21"/>
        <v>#DIV/0!</v>
      </c>
      <c r="U22" s="3">
        <v>0</v>
      </c>
      <c r="V22" s="6">
        <v>0</v>
      </c>
      <c r="W22" s="3" t="e">
        <f t="shared" si="22"/>
        <v>#DIV/0!</v>
      </c>
      <c r="X22" s="3">
        <v>0</v>
      </c>
      <c r="Y22" s="6">
        <v>0</v>
      </c>
      <c r="Z22" s="3">
        <f t="shared" si="23"/>
        <v>718.86255924170609</v>
      </c>
      <c r="AA22" s="3">
        <v>15168</v>
      </c>
      <c r="AB22" s="6">
        <v>21.1</v>
      </c>
      <c r="AC22" s="3" t="e">
        <f t="shared" si="24"/>
        <v>#DIV/0!</v>
      </c>
      <c r="AD22" s="3">
        <v>0</v>
      </c>
      <c r="AE22" s="6">
        <v>0</v>
      </c>
      <c r="AF22" s="3" t="e">
        <f t="shared" si="25"/>
        <v>#DIV/0!</v>
      </c>
      <c r="AG22" s="3">
        <v>0</v>
      </c>
      <c r="AH22" s="6">
        <v>0</v>
      </c>
      <c r="AI22" s="3" t="e">
        <f t="shared" si="26"/>
        <v>#DIV/0!</v>
      </c>
      <c r="AJ22" s="3">
        <v>0</v>
      </c>
      <c r="AK22" s="6">
        <v>0</v>
      </c>
      <c r="AL22" s="3" t="e">
        <f t="shared" si="27"/>
        <v>#DIV/0!</v>
      </c>
      <c r="AM22" s="3">
        <v>0</v>
      </c>
      <c r="AN22" s="6">
        <v>0</v>
      </c>
      <c r="AO22" s="3">
        <f t="shared" si="12"/>
        <v>718.86255924170609</v>
      </c>
      <c r="AP22" s="3">
        <f t="shared" si="14"/>
        <v>15168</v>
      </c>
      <c r="AQ22" s="6">
        <f t="shared" si="15"/>
        <v>21.1</v>
      </c>
      <c r="AR22" s="3"/>
      <c r="AS22" s="3"/>
      <c r="AT22" s="3"/>
      <c r="AU22" s="3"/>
      <c r="AV22" s="3"/>
      <c r="AW22" s="3"/>
      <c r="AX22" s="3"/>
      <c r="AY22" s="3"/>
      <c r="AZ22" s="3"/>
      <c r="BA22" s="3"/>
      <c r="BB22" s="3"/>
      <c r="BC22" s="3"/>
      <c r="BD22" s="3"/>
      <c r="BE22" s="3"/>
      <c r="BF22" s="3"/>
      <c r="BG22" s="3"/>
      <c r="BH22" s="3"/>
      <c r="BI22" s="3"/>
      <c r="BJ22" s="3"/>
      <c r="BK22" s="3"/>
      <c r="BL22" s="3"/>
      <c r="BM22" s="3"/>
      <c r="BN22" s="3"/>
      <c r="BO22" s="3"/>
    </row>
    <row r="23" spans="1:67" x14ac:dyDescent="0.3">
      <c r="A23" s="20" t="s">
        <v>29</v>
      </c>
      <c r="B23" s="13"/>
      <c r="C23" s="13"/>
      <c r="D23" s="13"/>
      <c r="E23" s="21" t="e">
        <f t="shared" si="16"/>
        <v>#DIV/0!</v>
      </c>
      <c r="F23" s="7">
        <v>0</v>
      </c>
      <c r="G23" s="8">
        <v>0</v>
      </c>
      <c r="H23" s="7">
        <f t="shared" si="17"/>
        <v>717.6353276353276</v>
      </c>
      <c r="I23" s="7">
        <v>25189</v>
      </c>
      <c r="J23" s="8">
        <v>35.1</v>
      </c>
      <c r="K23" s="7" t="e">
        <f t="shared" si="18"/>
        <v>#DIV/0!</v>
      </c>
      <c r="L23" s="7">
        <v>0</v>
      </c>
      <c r="M23" s="8">
        <v>0</v>
      </c>
      <c r="N23" s="7" t="e">
        <f t="shared" si="19"/>
        <v>#DIV/0!</v>
      </c>
      <c r="O23" s="7">
        <v>0</v>
      </c>
      <c r="P23" s="8">
        <v>0</v>
      </c>
      <c r="Q23" s="7">
        <f t="shared" si="20"/>
        <v>716.55737704918033</v>
      </c>
      <c r="R23" s="7">
        <v>13113</v>
      </c>
      <c r="S23" s="8">
        <v>18.3</v>
      </c>
      <c r="T23" s="7" t="e">
        <f t="shared" si="21"/>
        <v>#DIV/0!</v>
      </c>
      <c r="U23" s="7">
        <v>0</v>
      </c>
      <c r="V23" s="8">
        <v>0</v>
      </c>
      <c r="W23" s="7" t="e">
        <f t="shared" si="22"/>
        <v>#DIV/0!</v>
      </c>
      <c r="X23" s="7">
        <v>0</v>
      </c>
      <c r="Y23" s="8">
        <v>0</v>
      </c>
      <c r="Z23" s="7" t="e">
        <f t="shared" si="23"/>
        <v>#DIV/0!</v>
      </c>
      <c r="AA23" s="7">
        <v>0</v>
      </c>
      <c r="AB23" s="8">
        <v>0</v>
      </c>
      <c r="AC23" s="7" t="e">
        <f t="shared" si="24"/>
        <v>#DIV/0!</v>
      </c>
      <c r="AD23" s="7">
        <v>0</v>
      </c>
      <c r="AE23" s="8">
        <v>0</v>
      </c>
      <c r="AF23" s="7" t="e">
        <f t="shared" si="25"/>
        <v>#DIV/0!</v>
      </c>
      <c r="AG23" s="7">
        <v>0</v>
      </c>
      <c r="AH23" s="8">
        <v>0</v>
      </c>
      <c r="AI23" s="7" t="e">
        <f t="shared" si="26"/>
        <v>#DIV/0!</v>
      </c>
      <c r="AJ23" s="7">
        <v>0</v>
      </c>
      <c r="AK23" s="8">
        <v>0</v>
      </c>
      <c r="AL23" s="7" t="e">
        <f t="shared" si="27"/>
        <v>#DIV/0!</v>
      </c>
      <c r="AM23" s="7">
        <v>0</v>
      </c>
      <c r="AN23" s="8">
        <v>0</v>
      </c>
      <c r="AO23" s="7">
        <f t="shared" si="12"/>
        <v>717.26591760299618</v>
      </c>
      <c r="AP23" s="7">
        <f t="shared" si="14"/>
        <v>38302</v>
      </c>
      <c r="AQ23" s="8">
        <f t="shared" si="15"/>
        <v>53.400000000000006</v>
      </c>
      <c r="AR23" s="3"/>
      <c r="AS23" s="3"/>
      <c r="AT23" s="3"/>
      <c r="AU23" s="3"/>
      <c r="AV23" s="3"/>
      <c r="AW23" s="3"/>
      <c r="AX23" s="3"/>
      <c r="AY23" s="3"/>
      <c r="AZ23" s="3"/>
      <c r="BA23" s="3"/>
      <c r="BB23" s="3"/>
      <c r="BC23" s="3"/>
      <c r="BD23" s="3"/>
      <c r="BE23" s="3"/>
      <c r="BF23" s="3"/>
      <c r="BG23" s="3"/>
      <c r="BH23" s="3"/>
      <c r="BI23" s="3"/>
      <c r="BJ23" s="3"/>
      <c r="BK23" s="3"/>
      <c r="BL23" s="3"/>
      <c r="BM23" s="3"/>
      <c r="BN23" s="3"/>
      <c r="BO23" s="3"/>
    </row>
    <row r="24" spans="1:67" x14ac:dyDescent="0.3">
      <c r="A24" s="1" t="s">
        <v>30</v>
      </c>
      <c r="B24" s="1"/>
    </row>
    <row r="25" spans="1:67" x14ac:dyDescent="0.3">
      <c r="A25" s="1" t="s">
        <v>41</v>
      </c>
      <c r="B25" s="1"/>
    </row>
    <row r="26" spans="1:67" x14ac:dyDescent="0.3">
      <c r="A26" s="1" t="s">
        <v>31</v>
      </c>
      <c r="B26" s="1"/>
    </row>
    <row r="27" spans="1:67" x14ac:dyDescent="0.3">
      <c r="A27" s="1" t="s">
        <v>32</v>
      </c>
      <c r="B27" s="1"/>
    </row>
    <row r="28" spans="1:67" x14ac:dyDescent="0.3">
      <c r="A28" s="1" t="s">
        <v>42</v>
      </c>
      <c r="B28" s="1"/>
    </row>
  </sheetData>
  <mergeCells count="16">
    <mergeCell ref="B3:B23"/>
    <mergeCell ref="C3:C23"/>
    <mergeCell ref="AO1:AQ1"/>
    <mergeCell ref="W1:Y1"/>
    <mergeCell ref="Z1:AB1"/>
    <mergeCell ref="AC1:AE1"/>
    <mergeCell ref="AF1:AH1"/>
    <mergeCell ref="AI1:AK1"/>
    <mergeCell ref="D3:D23"/>
    <mergeCell ref="N1:P1"/>
    <mergeCell ref="Q1:S1"/>
    <mergeCell ref="T1:V1"/>
    <mergeCell ref="AL1:AN1"/>
    <mergeCell ref="E1:G1"/>
    <mergeCell ref="H1:J1"/>
    <mergeCell ref="K1:M1"/>
  </mergeCells>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2012년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ds</dc:creator>
  <cp:lastModifiedBy>ds</cp:lastModifiedBy>
  <dcterms:created xsi:type="dcterms:W3CDTF">2026-06-15T09:24:56Z</dcterms:created>
  <dcterms:modified xsi:type="dcterms:W3CDTF">2026-08-07T05:58:54Z</dcterms:modified>
</cp:coreProperties>
</file>