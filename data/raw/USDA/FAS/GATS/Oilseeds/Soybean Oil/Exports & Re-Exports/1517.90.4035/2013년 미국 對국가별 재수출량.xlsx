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13년" sheetId="1" r:id="rId1"/>
  </sheets>
  <calcPr calcId="162913"/>
</workbook>
</file>

<file path=xl/calcChain.xml><?xml version="1.0" encoding="utf-8"?>
<calcChain xmlns="http://schemas.openxmlformats.org/spreadsheetml/2006/main">
  <c r="AQ4" i="1" l="1"/>
  <c r="AP4" i="1"/>
  <c r="AN3" i="1"/>
  <c r="AM3" i="1"/>
  <c r="AK3" i="1"/>
  <c r="AJ3" i="1"/>
  <c r="AH3" i="1"/>
  <c r="AG3" i="1"/>
  <c r="AE3" i="1"/>
  <c r="AD3" i="1"/>
  <c r="AB3" i="1"/>
  <c r="AA3" i="1"/>
  <c r="Y3" i="1"/>
  <c r="X3" i="1"/>
  <c r="V3" i="1"/>
  <c r="U3" i="1"/>
  <c r="S3" i="1"/>
  <c r="R3" i="1"/>
  <c r="P3" i="1"/>
  <c r="O3" i="1"/>
  <c r="M3" i="1"/>
  <c r="L3" i="1"/>
  <c r="J3" i="1"/>
  <c r="I3" i="1"/>
  <c r="G3" i="1"/>
  <c r="F3" i="1"/>
  <c r="AQ9" i="1" l="1"/>
  <c r="AP9" i="1"/>
  <c r="AQ8" i="1"/>
  <c r="AP8" i="1"/>
  <c r="AQ7" i="1"/>
  <c r="AP7" i="1"/>
  <c r="AQ6" i="1"/>
  <c r="AP6" i="1"/>
  <c r="AQ5" i="1"/>
  <c r="AP5" i="1"/>
  <c r="AC3" i="1" l="1"/>
  <c r="Q3" i="1"/>
  <c r="AL3" i="1"/>
  <c r="AF3" i="1"/>
  <c r="W3" i="1"/>
  <c r="T3" i="1"/>
  <c r="N3" i="1"/>
  <c r="K3" i="1"/>
  <c r="H3" i="1"/>
  <c r="AP3" i="1"/>
  <c r="AL9" i="1"/>
  <c r="AL8" i="1"/>
  <c r="AL7" i="1"/>
  <c r="AL6" i="1"/>
  <c r="AL5" i="1"/>
  <c r="AL4" i="1"/>
  <c r="AI9" i="1"/>
  <c r="AI8" i="1"/>
  <c r="AI7" i="1"/>
  <c r="AI6" i="1"/>
  <c r="AI5" i="1"/>
  <c r="AI4" i="1"/>
  <c r="AF9" i="1"/>
  <c r="AF8" i="1"/>
  <c r="AF7" i="1"/>
  <c r="AF6" i="1"/>
  <c r="AF5" i="1"/>
  <c r="AF4" i="1"/>
  <c r="AC9" i="1"/>
  <c r="AC8" i="1"/>
  <c r="AC7" i="1"/>
  <c r="AC6" i="1"/>
  <c r="AC5" i="1"/>
  <c r="AC4" i="1"/>
  <c r="Z9" i="1"/>
  <c r="Z8" i="1"/>
  <c r="Z7" i="1"/>
  <c r="Z6" i="1"/>
  <c r="Z5" i="1"/>
  <c r="Z4" i="1"/>
  <c r="W9" i="1"/>
  <c r="W8" i="1"/>
  <c r="W7" i="1"/>
  <c r="W6" i="1"/>
  <c r="W5" i="1"/>
  <c r="W4" i="1"/>
  <c r="T9" i="1"/>
  <c r="T8" i="1"/>
  <c r="T7" i="1"/>
  <c r="T6" i="1"/>
  <c r="T5" i="1"/>
  <c r="T4" i="1"/>
  <c r="Q9" i="1"/>
  <c r="Q8" i="1"/>
  <c r="Q7" i="1"/>
  <c r="Q6" i="1"/>
  <c r="Q5" i="1"/>
  <c r="Q4" i="1"/>
  <c r="N9" i="1"/>
  <c r="N8" i="1"/>
  <c r="N7" i="1"/>
  <c r="N6" i="1"/>
  <c r="N5" i="1"/>
  <c r="N4" i="1"/>
  <c r="K9" i="1"/>
  <c r="K8" i="1"/>
  <c r="K7" i="1"/>
  <c r="K6" i="1"/>
  <c r="K5" i="1"/>
  <c r="K4" i="1"/>
  <c r="H9" i="1"/>
  <c r="H8" i="1"/>
  <c r="H7" i="1"/>
  <c r="H6" i="1"/>
  <c r="H5" i="1"/>
  <c r="H4" i="1"/>
  <c r="E9" i="1"/>
  <c r="E8" i="1"/>
  <c r="E7" i="1"/>
  <c r="E6" i="1"/>
  <c r="E5" i="1"/>
  <c r="E4" i="1"/>
  <c r="AI3" i="1" l="1"/>
  <c r="Z3" i="1"/>
  <c r="AO6" i="1"/>
  <c r="E3" i="1"/>
  <c r="AO9" i="1"/>
  <c r="AO5" i="1"/>
  <c r="AO7" i="1"/>
  <c r="AO8" i="1"/>
  <c r="AQ3" i="1"/>
  <c r="AO3" i="1" l="1"/>
  <c r="AO4" i="1"/>
</calcChain>
</file>

<file path=xl/sharedStrings.xml><?xml version="1.0" encoding="utf-8"?>
<sst xmlns="http://schemas.openxmlformats.org/spreadsheetml/2006/main" count="72" uniqueCount="36">
  <si>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</si>
  <si>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</si>
  <si>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</si>
  <si>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</si>
  <si>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</si>
  <si>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</si>
  <si>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</si>
  <si>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</si>
  <si>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</si>
  <si>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</si>
  <si>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</si>
  <si>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</si>
  <si>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</si>
  <si>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</si>
  <si>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</si>
  <si>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</si>
  <si>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</si>
  <si>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</si>
  <si>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</si>
  <si>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</si>
  <si>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</si>
  <si>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</si>
  <si>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</si>
  <si>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</si>
  <si>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</si>
  <si>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Product</t>
    <phoneticPr fontId="18" type="noConversion"/>
  </si>
  <si>
    <t>SOY OIL HYDRGNTD</t>
    <phoneticPr fontId="18" type="noConversion"/>
  </si>
  <si>
    <t>Mexico</t>
    <phoneticPr fontId="18" type="noConversion"/>
  </si>
  <si>
    <t>El Salvador</t>
    <phoneticPr fontId="18" type="noConversion"/>
  </si>
  <si>
    <t>Panama</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</si>
  <si>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</si>
  <si>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</si>
  <si>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</si>
  <si>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2. FAS Totals include all Agricultural commodities and FAS selected NONAG commodity items.</t>
    <phoneticPr fontId="18" type="noConversion"/>
  </si>
  <si>
    <t>Colombia</t>
    <phoneticPr fontId="18" type="noConversion"/>
  </si>
  <si>
    <t>Nicaragua</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</si>
</sst>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5"/>
  <sheetViews>
    <sheetView showGridLines="0" tabSelected="1" zoomScaleNormal="100"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8" t="s">
        <v>1</v>
      </c>
      <c r="I1" s="19"/>
      <c r="J1" s="20"/>
      <c r="K1" s="18" t="s">
        <v>2</v>
      </c>
      <c r="L1" s="19"/>
      <c r="M1" s="20"/>
      <c r="N1" s="18" t="s">
        <v>3</v>
      </c>
      <c r="O1" s="19"/>
      <c r="P1" s="20"/>
      <c r="Q1" s="18" t="s">
        <v>4</v>
      </c>
      <c r="R1" s="19"/>
      <c r="S1" s="20"/>
      <c r="T1" s="18" t="s">
        <v>5</v>
      </c>
      <c r="U1" s="19"/>
      <c r="V1" s="20"/>
      <c r="W1" s="18" t="s">
        <v>6</v>
      </c>
      <c r="X1" s="19"/>
      <c r="Y1" s="20"/>
      <c r="Z1" s="18" t="s">
        <v>7</v>
      </c>
      <c r="AA1" s="19"/>
      <c r="AB1" s="20"/>
      <c r="AC1" s="18" t="s">
        <v>8</v>
      </c>
      <c r="AD1" s="19"/>
      <c r="AE1" s="20"/>
      <c r="AF1" s="18" t="s">
        <v>9</v>
      </c>
      <c r="AG1" s="19"/>
      <c r="AH1" s="20"/>
      <c r="AI1" s="18" t="s">
        <v>10</v>
      </c>
      <c r="AJ1" s="19"/>
      <c r="AK1" s="20"/>
      <c r="AL1" s="18" t="s">
        <v>11</v>
      </c>
      <c r="AM1" s="19"/>
      <c r="AN1" s="20"/>
      <c r="AO1" s="18" t="s">
        <v>12</v>
      </c>
      <c r="AP1" s="19"/>
      <c r="AQ1" s="20"/>
    </row>
    <row r="2" spans="1:67" x14ac:dyDescent="0.3">
      <c r="A2" s="2" t="s">
        <v>19</v>
      </c>
      <c r="B2" s="2" t="s">
        <v>25</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7" t="s">
        <v>16</v>
      </c>
      <c r="B3" s="13" t="s">
        <v>26</v>
      </c>
      <c r="C3" s="21" t="s">
        <v>17</v>
      </c>
      <c r="D3" s="21" t="s">
        <v>21</v>
      </c>
      <c r="E3" s="9">
        <f>F3/G3</f>
        <v>1965.5555555555554</v>
      </c>
      <c r="F3" s="10">
        <f>SUM(F4:F9)</f>
        <v>7076</v>
      </c>
      <c r="G3" s="11">
        <f>SUM(G4:G9)</f>
        <v>3.6</v>
      </c>
      <c r="H3" s="10">
        <f>I3/J3</f>
        <v>1884.4444444444443</v>
      </c>
      <c r="I3" s="10">
        <f>SUM(I4:I9)</f>
        <v>5088</v>
      </c>
      <c r="J3" s="11">
        <f>SUM(J4:J9)</f>
        <v>2.7</v>
      </c>
      <c r="K3" s="10">
        <f>L3/M3</f>
        <v>1868.8888888888889</v>
      </c>
      <c r="L3" s="10">
        <f>SUM(L4:L9)</f>
        <v>3364</v>
      </c>
      <c r="M3" s="11">
        <f>SUM(M4:M9)</f>
        <v>1.8</v>
      </c>
      <c r="N3" s="10" t="e">
        <f>O3/P3</f>
        <v>#DIV/0!</v>
      </c>
      <c r="O3" s="10">
        <f>SUM(O4:O9)</f>
        <v>0</v>
      </c>
      <c r="P3" s="11">
        <f>SUM(P4:P9)</f>
        <v>0</v>
      </c>
      <c r="Q3" s="10">
        <f>R3/S3</f>
        <v>1866.1111111111111</v>
      </c>
      <c r="R3" s="10">
        <f>SUM(R4:R9)</f>
        <v>6718</v>
      </c>
      <c r="S3" s="11">
        <f>SUM(S4:S9)</f>
        <v>3.6</v>
      </c>
      <c r="T3" s="10">
        <f>U3/V3</f>
        <v>1785.185185185185</v>
      </c>
      <c r="U3" s="10">
        <f>SUM(U4:U9)</f>
        <v>4820</v>
      </c>
      <c r="V3" s="11">
        <f>SUM(V4:V9)</f>
        <v>2.7</v>
      </c>
      <c r="W3" s="10" t="e">
        <f>X3/Y3</f>
        <v>#DIV/0!</v>
      </c>
      <c r="X3" s="10">
        <f>SUM(X4:X9)</f>
        <v>0</v>
      </c>
      <c r="Y3" s="11">
        <f>SUM(Y4:Y9)</f>
        <v>0</v>
      </c>
      <c r="Z3" s="10" t="e">
        <f>AA3/AB3</f>
        <v>#DIV/0!</v>
      </c>
      <c r="AA3" s="10">
        <f>SUM(AA4:AA9)</f>
        <v>0</v>
      </c>
      <c r="AB3" s="11">
        <f>SUM(AB4:AB9)</f>
        <v>0</v>
      </c>
      <c r="AC3" s="10">
        <f>AD3/AE3</f>
        <v>1709.0666666666666</v>
      </c>
      <c r="AD3" s="10">
        <f>SUM(AD4:AD9)</f>
        <v>25636</v>
      </c>
      <c r="AE3" s="11">
        <f>SUM(AE4:AE9)</f>
        <v>15</v>
      </c>
      <c r="AF3" s="10" t="e">
        <f>AG3/AH3</f>
        <v>#DIV/0!</v>
      </c>
      <c r="AG3" s="10">
        <f>SUM(AG4:AG9)</f>
        <v>0</v>
      </c>
      <c r="AH3" s="11">
        <f>SUM(AH4:AH9)</f>
        <v>0</v>
      </c>
      <c r="AI3" s="10" t="e">
        <f>AJ3/AK3</f>
        <v>#DIV/0!</v>
      </c>
      <c r="AJ3" s="10">
        <f>SUM(AJ4:AJ9)</f>
        <v>0</v>
      </c>
      <c r="AK3" s="11">
        <f>SUM(AK4:AK9)</f>
        <v>0</v>
      </c>
      <c r="AL3" s="10">
        <f>AM3/AN3</f>
        <v>1695.0857142857142</v>
      </c>
      <c r="AM3" s="10">
        <f>SUM(AM4:AM9)</f>
        <v>29664</v>
      </c>
      <c r="AN3" s="11">
        <f>SUM(AN4:AN9)</f>
        <v>17.5</v>
      </c>
      <c r="AO3" s="10">
        <f>AP3/AQ3</f>
        <v>1756.2046908315565</v>
      </c>
      <c r="AP3" s="10">
        <f>SUM(AP4:AP9)</f>
        <v>82366</v>
      </c>
      <c r="AQ3" s="11">
        <f>SUM(AQ4:AQ9)</f>
        <v>46.9</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27</v>
      </c>
      <c r="B4" s="13"/>
      <c r="C4" s="13"/>
      <c r="D4" s="13"/>
      <c r="E4" s="3" t="e">
        <f t="shared" ref="E4:E9" si="0">F4/G4</f>
        <v>#DIV/0!</v>
      </c>
      <c r="F4" s="3">
        <v>0</v>
      </c>
      <c r="G4" s="6">
        <v>0</v>
      </c>
      <c r="H4" s="3" t="e">
        <f t="shared" ref="H4:H9" si="1">I4/J4</f>
        <v>#DIV/0!</v>
      </c>
      <c r="I4" s="3">
        <v>0</v>
      </c>
      <c r="J4" s="6">
        <v>0</v>
      </c>
      <c r="K4" s="3" t="e">
        <f t="shared" ref="K4:K9" si="2">L4/M4</f>
        <v>#DIV/0!</v>
      </c>
      <c r="L4" s="3">
        <v>0</v>
      </c>
      <c r="M4" s="6">
        <v>0</v>
      </c>
      <c r="N4" s="3" t="e">
        <f t="shared" ref="N4:N9" si="3">O4/P4</f>
        <v>#DIV/0!</v>
      </c>
      <c r="O4" s="3">
        <v>0</v>
      </c>
      <c r="P4" s="6">
        <v>0</v>
      </c>
      <c r="Q4" s="3" t="e">
        <f t="shared" ref="Q4:Q9" si="4">R4/S4</f>
        <v>#DIV/0!</v>
      </c>
      <c r="R4" s="3">
        <v>0</v>
      </c>
      <c r="S4" s="6">
        <v>0</v>
      </c>
      <c r="T4" s="3" t="e">
        <f t="shared" ref="T4:T9" si="5">U4/V4</f>
        <v>#DIV/0!</v>
      </c>
      <c r="U4" s="3">
        <v>0</v>
      </c>
      <c r="V4" s="6">
        <v>0</v>
      </c>
      <c r="W4" s="3" t="e">
        <f t="shared" ref="W4:W9" si="6">X4/Y4</f>
        <v>#DIV/0!</v>
      </c>
      <c r="X4" s="3">
        <v>0</v>
      </c>
      <c r="Y4" s="6">
        <v>0</v>
      </c>
      <c r="Z4" s="3" t="e">
        <f t="shared" ref="Z4:Z9" si="7">AA4/AB4</f>
        <v>#DIV/0!</v>
      </c>
      <c r="AA4" s="3">
        <v>0</v>
      </c>
      <c r="AB4" s="6">
        <v>0</v>
      </c>
      <c r="AC4" s="3">
        <f t="shared" ref="AC4:AC9" si="8">AD4/AE4</f>
        <v>1709.0666666666666</v>
      </c>
      <c r="AD4" s="3">
        <v>25636</v>
      </c>
      <c r="AE4" s="6">
        <v>15</v>
      </c>
      <c r="AF4" s="3" t="e">
        <f t="shared" ref="AF4:AF9" si="9">AG4/AH4</f>
        <v>#DIV/0!</v>
      </c>
      <c r="AG4" s="3">
        <v>0</v>
      </c>
      <c r="AH4" s="6">
        <v>0</v>
      </c>
      <c r="AI4" s="3" t="e">
        <f t="shared" ref="AI4:AI9" si="10">AJ4/AK4</f>
        <v>#DIV/0!</v>
      </c>
      <c r="AJ4" s="3">
        <v>0</v>
      </c>
      <c r="AK4" s="6">
        <v>0</v>
      </c>
      <c r="AL4" s="3">
        <f t="shared" ref="AL4:AL9" si="11">AM4/AN4</f>
        <v>1708.5135135135135</v>
      </c>
      <c r="AM4" s="3">
        <v>25286</v>
      </c>
      <c r="AN4" s="6">
        <v>14.8</v>
      </c>
      <c r="AO4" s="3">
        <f t="shared" ref="AO4:AO9" si="12">AP4/AQ4</f>
        <v>1708.7919463087248</v>
      </c>
      <c r="AP4" s="3">
        <f t="shared" ref="AP4" si="13">SUM(F4,I4,L4,O4,R4,U4,X4,AA4,AD4,AG4,AJ4,AM4)</f>
        <v>50922</v>
      </c>
      <c r="AQ4" s="6">
        <f t="shared" ref="AQ4" si="14">SUM(G4,J4,M4,P4,S4,V4,Y4,AB4,AE4,AH4,AK4,AN4)</f>
        <v>29.8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35</v>
      </c>
      <c r="B5" s="13"/>
      <c r="C5" s="13"/>
      <c r="D5" s="13"/>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f t="shared" si="11"/>
        <v>1621.4814814814813</v>
      </c>
      <c r="AM5" s="3">
        <v>4378</v>
      </c>
      <c r="AN5" s="6">
        <v>2.7</v>
      </c>
      <c r="AO5" s="3">
        <f t="shared" si="12"/>
        <v>1621.4814814814813</v>
      </c>
      <c r="AP5" s="3">
        <f t="shared" ref="AP5:AP9" si="15">SUM(F5,I5,L5,O5,R5,U5,X5,AA5,AD5,AG5,AJ5,AM5)</f>
        <v>4378</v>
      </c>
      <c r="AQ5" s="6">
        <f t="shared" ref="AQ5:AQ9" si="16">SUM(G5,J5,M5,P5,S5,V5,Y5,AB5,AE5,AH5,AK5,AN5)</f>
        <v>2.7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34</v>
      </c>
      <c r="B6" s="13"/>
      <c r="C6" s="13"/>
      <c r="D6" s="13"/>
      <c r="E6" s="3" t="e">
        <f t="shared" si="0"/>
        <v>#DIV/0!</v>
      </c>
      <c r="F6" s="3">
        <v>0</v>
      </c>
      <c r="G6" s="6">
        <v>0</v>
      </c>
      <c r="H6" s="3">
        <f t="shared" si="1"/>
        <v>1884.4444444444443</v>
      </c>
      <c r="I6" s="3">
        <v>5088</v>
      </c>
      <c r="J6" s="6">
        <v>2.7</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1884.4444444444443</v>
      </c>
      <c r="AP6" s="3">
        <f t="shared" si="15"/>
        <v>5088</v>
      </c>
      <c r="AQ6" s="6">
        <f t="shared" si="16"/>
        <v>2.7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28</v>
      </c>
      <c r="B7" s="13"/>
      <c r="C7" s="13"/>
      <c r="D7" s="13"/>
      <c r="E7" s="3" t="e">
        <f t="shared" si="0"/>
        <v>#DIV/0!</v>
      </c>
      <c r="F7" s="3">
        <v>0</v>
      </c>
      <c r="G7" s="6">
        <v>0</v>
      </c>
      <c r="H7" s="3" t="e">
        <f t="shared" si="1"/>
        <v>#DIV/0!</v>
      </c>
      <c r="I7" s="3">
        <v>0</v>
      </c>
      <c r="J7" s="6">
        <v>0</v>
      </c>
      <c r="K7" s="3">
        <f t="shared" si="2"/>
        <v>1868.8888888888889</v>
      </c>
      <c r="L7" s="3">
        <v>3364</v>
      </c>
      <c r="M7" s="6">
        <v>1.8</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t="e">
        <f t="shared" si="11"/>
        <v>#DIV/0!</v>
      </c>
      <c r="AM7" s="3">
        <v>0</v>
      </c>
      <c r="AN7" s="6">
        <v>0</v>
      </c>
      <c r="AO7" s="3">
        <f t="shared" si="12"/>
        <v>1868.8888888888889</v>
      </c>
      <c r="AP7" s="3">
        <f t="shared" si="15"/>
        <v>3364</v>
      </c>
      <c r="AQ7" s="6">
        <f t="shared" si="16"/>
        <v>1.8</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23</v>
      </c>
      <c r="B8" s="13"/>
      <c r="C8" s="13"/>
      <c r="D8" s="13"/>
      <c r="E8" s="3" t="e">
        <f t="shared" si="0"/>
        <v>#DIV/0!</v>
      </c>
      <c r="F8" s="3">
        <v>0</v>
      </c>
      <c r="G8" s="6">
        <v>0</v>
      </c>
      <c r="H8" s="3" t="e">
        <f t="shared" si="1"/>
        <v>#DIV/0!</v>
      </c>
      <c r="I8" s="3">
        <v>0</v>
      </c>
      <c r="J8" s="6">
        <v>0</v>
      </c>
      <c r="K8" s="3" t="e">
        <f t="shared" si="2"/>
        <v>#DIV/0!</v>
      </c>
      <c r="L8" s="3">
        <v>0</v>
      </c>
      <c r="M8" s="6">
        <v>0</v>
      </c>
      <c r="N8" s="3" t="e">
        <f t="shared" si="3"/>
        <v>#DIV/0!</v>
      </c>
      <c r="O8" s="3">
        <v>0</v>
      </c>
      <c r="P8" s="6">
        <v>0</v>
      </c>
      <c r="Q8" s="3">
        <f t="shared" si="4"/>
        <v>1866.1111111111111</v>
      </c>
      <c r="R8" s="3">
        <v>3359</v>
      </c>
      <c r="S8" s="6">
        <v>1.8</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t="e">
        <f t="shared" si="11"/>
        <v>#DIV/0!</v>
      </c>
      <c r="AM8" s="3">
        <v>0</v>
      </c>
      <c r="AN8" s="6">
        <v>0</v>
      </c>
      <c r="AO8" s="3">
        <f t="shared" si="12"/>
        <v>1866.1111111111111</v>
      </c>
      <c r="AP8" s="3">
        <f t="shared" si="15"/>
        <v>3359</v>
      </c>
      <c r="AQ8" s="6">
        <f t="shared" si="16"/>
        <v>1.8</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12" t="s">
        <v>29</v>
      </c>
      <c r="B9" s="14"/>
      <c r="C9" s="14"/>
      <c r="D9" s="14"/>
      <c r="E9" s="9">
        <f t="shared" si="0"/>
        <v>1965.5555555555554</v>
      </c>
      <c r="F9" s="10">
        <v>7076</v>
      </c>
      <c r="G9" s="11">
        <v>3.6</v>
      </c>
      <c r="H9" s="10" t="e">
        <f t="shared" si="1"/>
        <v>#DIV/0!</v>
      </c>
      <c r="I9" s="10">
        <v>0</v>
      </c>
      <c r="J9" s="11">
        <v>0</v>
      </c>
      <c r="K9" s="10" t="e">
        <f t="shared" si="2"/>
        <v>#DIV/0!</v>
      </c>
      <c r="L9" s="10">
        <v>0</v>
      </c>
      <c r="M9" s="11">
        <v>0</v>
      </c>
      <c r="N9" s="10" t="e">
        <f t="shared" si="3"/>
        <v>#DIV/0!</v>
      </c>
      <c r="O9" s="10">
        <v>0</v>
      </c>
      <c r="P9" s="11">
        <v>0</v>
      </c>
      <c r="Q9" s="10">
        <f t="shared" si="4"/>
        <v>1866.1111111111111</v>
      </c>
      <c r="R9" s="10">
        <v>3359</v>
      </c>
      <c r="S9" s="11">
        <v>1.8</v>
      </c>
      <c r="T9" s="10">
        <f t="shared" si="5"/>
        <v>1785.185185185185</v>
      </c>
      <c r="U9" s="10">
        <v>4820</v>
      </c>
      <c r="V9" s="11">
        <v>2.7</v>
      </c>
      <c r="W9" s="10" t="e">
        <f t="shared" si="6"/>
        <v>#DIV/0!</v>
      </c>
      <c r="X9" s="10">
        <v>0</v>
      </c>
      <c r="Y9" s="11">
        <v>0</v>
      </c>
      <c r="Z9" s="10" t="e">
        <f t="shared" si="7"/>
        <v>#DIV/0!</v>
      </c>
      <c r="AA9" s="10">
        <v>0</v>
      </c>
      <c r="AB9" s="11">
        <v>0</v>
      </c>
      <c r="AC9" s="10" t="e">
        <f t="shared" si="8"/>
        <v>#DIV/0!</v>
      </c>
      <c r="AD9" s="10">
        <v>0</v>
      </c>
      <c r="AE9" s="11">
        <v>0</v>
      </c>
      <c r="AF9" s="10" t="e">
        <f t="shared" si="9"/>
        <v>#DIV/0!</v>
      </c>
      <c r="AG9" s="10">
        <v>0</v>
      </c>
      <c r="AH9" s="11">
        <v>0</v>
      </c>
      <c r="AI9" s="10" t="e">
        <f t="shared" si="10"/>
        <v>#DIV/0!</v>
      </c>
      <c r="AJ9" s="10">
        <v>0</v>
      </c>
      <c r="AK9" s="11">
        <v>0</v>
      </c>
      <c r="AL9" s="10" t="e">
        <f t="shared" si="11"/>
        <v>#DIV/0!</v>
      </c>
      <c r="AM9" s="10">
        <v>0</v>
      </c>
      <c r="AN9" s="11">
        <v>0</v>
      </c>
      <c r="AO9" s="10">
        <f t="shared" si="12"/>
        <v>1883.333333333333</v>
      </c>
      <c r="AP9" s="10">
        <f t="shared" si="15"/>
        <v>15255</v>
      </c>
      <c r="AQ9" s="11">
        <f t="shared" si="16"/>
        <v>8.1000000000000014</v>
      </c>
      <c r="AR9" s="3"/>
      <c r="AS9" s="3"/>
      <c r="AT9" s="3"/>
      <c r="AU9" s="3"/>
      <c r="AV9" s="3"/>
      <c r="AW9" s="3"/>
      <c r="AX9" s="3"/>
      <c r="AY9" s="3"/>
      <c r="AZ9" s="3"/>
      <c r="BA9" s="3"/>
      <c r="BB9" s="3"/>
      <c r="BC9" s="3"/>
      <c r="BD9" s="3"/>
      <c r="BE9" s="3"/>
      <c r="BF9" s="3"/>
      <c r="BG9" s="3"/>
      <c r="BH9" s="3"/>
      <c r="BI9" s="3"/>
      <c r="BJ9" s="3"/>
      <c r="BK9" s="3"/>
      <c r="BL9" s="3"/>
      <c r="BM9" s="3"/>
      <c r="BN9" s="3"/>
      <c r="BO9" s="3"/>
    </row>
    <row r="10" spans="1:67" x14ac:dyDescent="0.3">
      <c r="A10" s="1" t="s">
        <v>18</v>
      </c>
      <c r="B10" s="1"/>
    </row>
    <row r="11" spans="1:67" x14ac:dyDescent="0.3">
      <c r="A11" s="1" t="s">
        <v>24</v>
      </c>
      <c r="B11" s="1"/>
    </row>
    <row r="12" spans="1:67" x14ac:dyDescent="0.3">
      <c r="A12" s="1" t="s">
        <v>33</v>
      </c>
      <c r="B12" s="1"/>
    </row>
    <row r="13" spans="1:67" x14ac:dyDescent="0.3">
      <c r="A13" s="1" t="s">
        <v>30</v>
      </c>
      <c r="B13" s="1"/>
    </row>
    <row r="14" spans="1:67" x14ac:dyDescent="0.3">
      <c r="A14" s="1" t="s">
        <v>31</v>
      </c>
      <c r="B14" s="1"/>
    </row>
    <row r="15" spans="1:67" x14ac:dyDescent="0.3">
      <c r="A15" s="1" t="s">
        <v>32</v>
      </c>
      <c r="B15" s="1"/>
    </row>
  </sheetData>
  <mergeCells count="16">
    <mergeCell ref="N1:P1"/>
    <mergeCell ref="Q1:S1"/>
    <mergeCell ref="T1:V1"/>
    <mergeCell ref="AL1:AN1"/>
    <mergeCell ref="AO1:AQ1"/>
    <mergeCell ref="W1:Y1"/>
    <mergeCell ref="Z1:AB1"/>
    <mergeCell ref="AC1:AE1"/>
    <mergeCell ref="AF1:AH1"/>
    <mergeCell ref="AI1:AK1"/>
    <mergeCell ref="B3:B9"/>
    <mergeCell ref="E1:G1"/>
    <mergeCell ref="H1:J1"/>
    <mergeCell ref="K1:M1"/>
    <mergeCell ref="C3:C9"/>
    <mergeCell ref="D3:D9"/>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2026-08-10T08:47:35Z</dcterms:modified>
</cp:coreProperties>
</file>