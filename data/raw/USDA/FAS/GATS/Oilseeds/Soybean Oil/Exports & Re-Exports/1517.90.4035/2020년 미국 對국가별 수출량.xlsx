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Q28" i="1" l="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28" i="1"/>
  <c r="AL27" i="1"/>
  <c r="AL26" i="1"/>
  <c r="AL25" i="1"/>
  <c r="AL24" i="1"/>
  <c r="AL23" i="1"/>
  <c r="AL22" i="1"/>
  <c r="AL21" i="1"/>
  <c r="AL20" i="1"/>
  <c r="AL19" i="1"/>
  <c r="AL18" i="1"/>
  <c r="AL17" i="1"/>
  <c r="AL16" i="1"/>
  <c r="AL15" i="1"/>
  <c r="AL14" i="1"/>
  <c r="AL13" i="1"/>
  <c r="AL12" i="1"/>
  <c r="AL11" i="1"/>
  <c r="AL10" i="1"/>
  <c r="AL9" i="1"/>
  <c r="AL8" i="1"/>
  <c r="AL7" i="1"/>
  <c r="AL6" i="1"/>
  <c r="AL5" i="1"/>
  <c r="AL4" i="1"/>
  <c r="AI28" i="1"/>
  <c r="AI27" i="1"/>
  <c r="AI26" i="1"/>
  <c r="AI25" i="1"/>
  <c r="AI24" i="1"/>
  <c r="AI23" i="1"/>
  <c r="AI22" i="1"/>
  <c r="AI21" i="1"/>
  <c r="AI20" i="1"/>
  <c r="AI19" i="1"/>
  <c r="AI18" i="1"/>
  <c r="AI17" i="1"/>
  <c r="AI16" i="1"/>
  <c r="AI15" i="1"/>
  <c r="AI14" i="1"/>
  <c r="AI13" i="1"/>
  <c r="AI12" i="1"/>
  <c r="AI11" i="1"/>
  <c r="AI10" i="1"/>
  <c r="AI9" i="1"/>
  <c r="AI8" i="1"/>
  <c r="AI7" i="1"/>
  <c r="AI6" i="1"/>
  <c r="AI5" i="1"/>
  <c r="AI4" i="1"/>
  <c r="AF28" i="1"/>
  <c r="AF27" i="1"/>
  <c r="AF26" i="1"/>
  <c r="AF25" i="1"/>
  <c r="AF24" i="1"/>
  <c r="AF23" i="1"/>
  <c r="AF22" i="1"/>
  <c r="AF21" i="1"/>
  <c r="AF20" i="1"/>
  <c r="AF19" i="1"/>
  <c r="AF18" i="1"/>
  <c r="AF17" i="1"/>
  <c r="AF16" i="1"/>
  <c r="AF15" i="1"/>
  <c r="AF14" i="1"/>
  <c r="AF13" i="1"/>
  <c r="AF12" i="1"/>
  <c r="AF11" i="1"/>
  <c r="AF10" i="1"/>
  <c r="AF9" i="1"/>
  <c r="AF8" i="1"/>
  <c r="AF7" i="1"/>
  <c r="AF6" i="1"/>
  <c r="AF5" i="1"/>
  <c r="AF4" i="1"/>
  <c r="AC28" i="1"/>
  <c r="AC27" i="1"/>
  <c r="AC26" i="1"/>
  <c r="AC25" i="1"/>
  <c r="AC24" i="1"/>
  <c r="AC23" i="1"/>
  <c r="AC22" i="1"/>
  <c r="AC21" i="1"/>
  <c r="AC20" i="1"/>
  <c r="AC19" i="1"/>
  <c r="AC18" i="1"/>
  <c r="AC17" i="1"/>
  <c r="AC16" i="1"/>
  <c r="AC15" i="1"/>
  <c r="AC14" i="1"/>
  <c r="AC13" i="1"/>
  <c r="AC12" i="1"/>
  <c r="AC11" i="1"/>
  <c r="AC10" i="1"/>
  <c r="AC9" i="1"/>
  <c r="AC8" i="1"/>
  <c r="AC7" i="1"/>
  <c r="AC6" i="1"/>
  <c r="AC5" i="1"/>
  <c r="AC4" i="1"/>
  <c r="Z28" i="1"/>
  <c r="Z27" i="1"/>
  <c r="Z26" i="1"/>
  <c r="Z25" i="1"/>
  <c r="Z24" i="1"/>
  <c r="Z23" i="1"/>
  <c r="Z22" i="1"/>
  <c r="Z21" i="1"/>
  <c r="Z20" i="1"/>
  <c r="Z19" i="1"/>
  <c r="Z18" i="1"/>
  <c r="Z17" i="1"/>
  <c r="Z16" i="1"/>
  <c r="Z15" i="1"/>
  <c r="Z14" i="1"/>
  <c r="Z13" i="1"/>
  <c r="Z12" i="1"/>
  <c r="Z11" i="1"/>
  <c r="Z10" i="1"/>
  <c r="Z9" i="1"/>
  <c r="Z8" i="1"/>
  <c r="Z7" i="1"/>
  <c r="Z6" i="1"/>
  <c r="Z5" i="1"/>
  <c r="Z4" i="1"/>
  <c r="W28" i="1"/>
  <c r="W27" i="1"/>
  <c r="W26" i="1"/>
  <c r="W25" i="1"/>
  <c r="W24" i="1"/>
  <c r="W23" i="1"/>
  <c r="W22" i="1"/>
  <c r="W21" i="1"/>
  <c r="W20" i="1"/>
  <c r="W19" i="1"/>
  <c r="W18" i="1"/>
  <c r="W17" i="1"/>
  <c r="W16" i="1"/>
  <c r="W15" i="1"/>
  <c r="W14" i="1"/>
  <c r="W13" i="1"/>
  <c r="W12" i="1"/>
  <c r="W11" i="1"/>
  <c r="W10" i="1"/>
  <c r="W9" i="1"/>
  <c r="W8" i="1"/>
  <c r="W7" i="1"/>
  <c r="W6" i="1"/>
  <c r="W5" i="1"/>
  <c r="W4" i="1"/>
  <c r="T28" i="1"/>
  <c r="T27" i="1"/>
  <c r="T26" i="1"/>
  <c r="T25" i="1"/>
  <c r="T24" i="1"/>
  <c r="T23" i="1"/>
  <c r="T22" i="1"/>
  <c r="T21" i="1"/>
  <c r="T20" i="1"/>
  <c r="T19" i="1"/>
  <c r="T18" i="1"/>
  <c r="T17" i="1"/>
  <c r="T16" i="1"/>
  <c r="T15" i="1"/>
  <c r="T14" i="1"/>
  <c r="T13" i="1"/>
  <c r="T12" i="1"/>
  <c r="T11" i="1"/>
  <c r="T10" i="1"/>
  <c r="T9" i="1"/>
  <c r="T8" i="1"/>
  <c r="T7" i="1"/>
  <c r="T6" i="1"/>
  <c r="T5" i="1"/>
  <c r="T4" i="1"/>
  <c r="Q28" i="1"/>
  <c r="Q27" i="1"/>
  <c r="Q26" i="1"/>
  <c r="Q25" i="1"/>
  <c r="Q24" i="1"/>
  <c r="Q23" i="1"/>
  <c r="Q22" i="1"/>
  <c r="Q21" i="1"/>
  <c r="Q20" i="1"/>
  <c r="Q19" i="1"/>
  <c r="Q18" i="1"/>
  <c r="Q17" i="1"/>
  <c r="Q16" i="1"/>
  <c r="Q15" i="1"/>
  <c r="Q14" i="1"/>
  <c r="Q13" i="1"/>
  <c r="Q12" i="1"/>
  <c r="Q11" i="1"/>
  <c r="Q10" i="1"/>
  <c r="Q9" i="1"/>
  <c r="Q8" i="1"/>
  <c r="Q7" i="1"/>
  <c r="Q6" i="1"/>
  <c r="Q5" i="1"/>
  <c r="Q4" i="1"/>
  <c r="N28" i="1"/>
  <c r="N27" i="1"/>
  <c r="N26" i="1"/>
  <c r="N25" i="1"/>
  <c r="N24" i="1"/>
  <c r="N23" i="1"/>
  <c r="N22" i="1"/>
  <c r="N21" i="1"/>
  <c r="N20" i="1"/>
  <c r="N19" i="1"/>
  <c r="N18" i="1"/>
  <c r="N17" i="1"/>
  <c r="N16" i="1"/>
  <c r="N15" i="1"/>
  <c r="N14" i="1"/>
  <c r="N13" i="1"/>
  <c r="N12" i="1"/>
  <c r="N11" i="1"/>
  <c r="N10" i="1"/>
  <c r="N9" i="1"/>
  <c r="N8" i="1"/>
  <c r="N7" i="1"/>
  <c r="N6" i="1"/>
  <c r="N5" i="1"/>
  <c r="N4" i="1"/>
  <c r="K28" i="1"/>
  <c r="K27" i="1"/>
  <c r="K26" i="1"/>
  <c r="K25" i="1"/>
  <c r="K24" i="1"/>
  <c r="K23" i="1"/>
  <c r="K22" i="1"/>
  <c r="K21" i="1"/>
  <c r="K20" i="1"/>
  <c r="K19" i="1"/>
  <c r="K18" i="1"/>
  <c r="K17" i="1"/>
  <c r="K16" i="1"/>
  <c r="K15" i="1"/>
  <c r="K14" i="1"/>
  <c r="K13" i="1"/>
  <c r="K12" i="1"/>
  <c r="K11" i="1"/>
  <c r="K10" i="1"/>
  <c r="K9" i="1"/>
  <c r="K8" i="1"/>
  <c r="K7" i="1"/>
  <c r="K6" i="1"/>
  <c r="K5" i="1"/>
  <c r="K4" i="1"/>
  <c r="H28" i="1"/>
  <c r="H27" i="1"/>
  <c r="H26" i="1"/>
  <c r="H25" i="1"/>
  <c r="H24" i="1"/>
  <c r="H23" i="1"/>
  <c r="H22" i="1"/>
  <c r="H21" i="1"/>
  <c r="H20" i="1"/>
  <c r="H19" i="1"/>
  <c r="H18" i="1"/>
  <c r="H17" i="1"/>
  <c r="H16" i="1"/>
  <c r="H15" i="1"/>
  <c r="H14" i="1"/>
  <c r="H13" i="1"/>
  <c r="H12" i="1"/>
  <c r="H11" i="1"/>
  <c r="H10" i="1"/>
  <c r="H9" i="1"/>
  <c r="H8" i="1"/>
  <c r="H7" i="1"/>
  <c r="H6" i="1"/>
  <c r="H5" i="1"/>
  <c r="H4"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6" i="1"/>
  <c r="AO14" i="1"/>
  <c r="AO22" i="1"/>
  <c r="AO8" i="1"/>
  <c r="AO16" i="1"/>
  <c r="AO24" i="1"/>
  <c r="AO9" i="1"/>
  <c r="AO17" i="1"/>
  <c r="AO25" i="1"/>
  <c r="AO19" i="1"/>
  <c r="AO23" i="1"/>
  <c r="AO3" i="1" l="1"/>
  <c r="AO4" i="1"/>
  <c r="AO12" i="1"/>
</calcChain>
</file>

<file path=xl/sharedStrings.xml><?xml version="1.0" encoding="utf-8"?>
<sst xmlns="http://schemas.openxmlformats.org/spreadsheetml/2006/main" count="90" uniqueCount="54">
  <si>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</si>
  <si>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</si>
  <si>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</si>
  <si>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</si>
  <si>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</si>
  <si>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</si>
  <si>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</si>
  <si>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</si>
  <si>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</si>
  <si>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</si>
  <si>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</si>
  <si>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</si>
  <si>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</si>
  <si>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</si>
  <si>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</si>
  <si>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</si>
  <si>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</si>
  <si>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</si>
  <si>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Jamaica</t>
  </si>
  <si>
    <t>Mexico</t>
  </si>
  <si>
    <t>Bahamas, The</t>
  </si>
  <si>
    <t>Belize</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</si>
  <si>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</si>
  <si>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</si>
  <si>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</si>
  <si>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</si>
  <si>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</si>
  <si>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</si>
  <si>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</si>
  <si>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</si>
  <si>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</si>
  <si>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</si>
  <si>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</si>
  <si>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</si>
  <si>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</si>
  <si>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</si>
  <si>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</si>
  <si>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</si>
  <si>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</si>
  <si>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New Zealand(*)</t>
  </si>
  <si>
    <t>1. Data Source: U.S. Census Bureau Trade Data</t>
  </si>
  <si>
    <t>4. Product Group : Harmonized</t>
  </si>
  <si>
    <t>Product</t>
    <phoneticPr fontId="18" type="noConversion"/>
  </si>
  <si>
    <t>Qatar</t>
  </si>
  <si>
    <t>SOY OIL HYDRGNTD</t>
    <phoneticPr fontId="18" type="noConversion"/>
  </si>
  <si>
    <t>Jordan</t>
  </si>
  <si>
    <t>El Salvador</t>
  </si>
  <si>
    <t>Guyana</t>
  </si>
  <si>
    <t>Haiti</t>
  </si>
  <si>
    <t>Bermuda</t>
  </si>
  <si>
    <t>Argentina</t>
  </si>
  <si>
    <t>Chile</t>
  </si>
  <si>
    <t>Colombia</t>
  </si>
  <si>
    <t>Poland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</si>
</sst>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30</v>
      </c>
      <c r="B2" s="2" t="s">
        <v>42</v>
      </c>
      <c r="C2" s="2" t="s">
        <v>13</v>
      </c>
      <c r="D2" s="2" t="s">
        <v>31</v>
      </c>
      <c r="E2" s="4" t="s">
        <v>14</v>
      </c>
      <c r="F2" s="2" t="s">
        <v>31</v>
      </c>
      <c r="G2" s="5" t="s">
        <v>15</v>
      </c>
      <c r="H2" s="2" t="s">
        <v>14</v>
      </c>
      <c r="I2" s="2" t="s">
        <v>31</v>
      </c>
      <c r="J2" s="5" t="s">
        <v>15</v>
      </c>
      <c r="K2" s="2" t="s">
        <v>14</v>
      </c>
      <c r="L2" s="2" t="s">
        <v>31</v>
      </c>
      <c r="M2" s="5" t="s">
        <v>15</v>
      </c>
      <c r="N2" s="2" t="s">
        <v>14</v>
      </c>
      <c r="O2" s="2" t="s">
        <v>31</v>
      </c>
      <c r="P2" s="5" t="s">
        <v>15</v>
      </c>
      <c r="Q2" s="2" t="s">
        <v>14</v>
      </c>
      <c r="R2" s="2" t="s">
        <v>31</v>
      </c>
      <c r="S2" s="5" t="s">
        <v>15</v>
      </c>
      <c r="T2" s="2" t="s">
        <v>14</v>
      </c>
      <c r="U2" s="2" t="s">
        <v>31</v>
      </c>
      <c r="V2" s="5" t="s">
        <v>15</v>
      </c>
      <c r="W2" s="2" t="s">
        <v>14</v>
      </c>
      <c r="X2" s="2" t="s">
        <v>31</v>
      </c>
      <c r="Y2" s="5" t="s">
        <v>15</v>
      </c>
      <c r="Z2" s="2" t="s">
        <v>14</v>
      </c>
      <c r="AA2" s="2" t="s">
        <v>31</v>
      </c>
      <c r="AB2" s="5" t="s">
        <v>15</v>
      </c>
      <c r="AC2" s="2" t="s">
        <v>14</v>
      </c>
      <c r="AD2" s="2" t="s">
        <v>31</v>
      </c>
      <c r="AE2" s="5" t="s">
        <v>15</v>
      </c>
      <c r="AF2" s="2" t="s">
        <v>14</v>
      </c>
      <c r="AG2" s="2" t="s">
        <v>31</v>
      </c>
      <c r="AH2" s="5" t="s">
        <v>15</v>
      </c>
      <c r="AI2" s="2" t="s">
        <v>14</v>
      </c>
      <c r="AJ2" s="2" t="s">
        <v>31</v>
      </c>
      <c r="AK2" s="5" t="s">
        <v>15</v>
      </c>
      <c r="AL2" s="2" t="s">
        <v>14</v>
      </c>
      <c r="AM2" s="2" t="s">
        <v>31</v>
      </c>
      <c r="AN2" s="5" t="s">
        <v>15</v>
      </c>
      <c r="AO2" s="2" t="s">
        <v>14</v>
      </c>
      <c r="AP2" s="2" t="s">
        <v>33</v>
      </c>
      <c r="AQ2" s="5" t="s">
        <v>15</v>
      </c>
    </row>
    <row r="3" spans="1:67" ht="15" customHeight="1" x14ac:dyDescent="0.3">
      <c r="A3" s="7" t="s">
        <v>16</v>
      </c>
      <c r="B3" s="19" t="s">
        <v>44</v>
      </c>
      <c r="C3" s="19" t="s">
        <v>17</v>
      </c>
      <c r="D3" s="19" t="s">
        <v>32</v>
      </c>
      <c r="E3" s="10">
        <f>F3/G3</f>
        <v>1276.0592160133444</v>
      </c>
      <c r="F3" s="10">
        <f>SUM(F4:F28)</f>
        <v>305999</v>
      </c>
      <c r="G3" s="11">
        <f>SUM(G4:G28)</f>
        <v>239.79999999999998</v>
      </c>
      <c r="H3" s="10">
        <f>I3/J3</f>
        <v>1194.7035175879396</v>
      </c>
      <c r="I3" s="10">
        <f>SUM(I4:I28)</f>
        <v>356619</v>
      </c>
      <c r="J3" s="11">
        <f>SUM(J4:J28)</f>
        <v>298.5</v>
      </c>
      <c r="K3" s="10">
        <f>L3/M3</f>
        <v>1251.1701895837873</v>
      </c>
      <c r="L3" s="10">
        <f>SUM(L4:L28)</f>
        <v>574162</v>
      </c>
      <c r="M3" s="11">
        <f>SUM(M4:M28)</f>
        <v>458.9</v>
      </c>
      <c r="N3" s="10">
        <f>O3/P3</f>
        <v>1274.217060472567</v>
      </c>
      <c r="O3" s="10">
        <f>SUM(O4:O28)</f>
        <v>318172</v>
      </c>
      <c r="P3" s="11">
        <f>SUM(P4:P28)</f>
        <v>249.7</v>
      </c>
      <c r="Q3" s="10">
        <f>R3/S3</f>
        <v>1202.5142314990512</v>
      </c>
      <c r="R3" s="10">
        <f>SUM(R4:R28)</f>
        <v>380235</v>
      </c>
      <c r="S3" s="11">
        <f>SUM(S4:S28)</f>
        <v>316.2</v>
      </c>
      <c r="T3" s="10">
        <f>U3/V3</f>
        <v>1228.0402269210936</v>
      </c>
      <c r="U3" s="10">
        <f>SUM(U4:U28)</f>
        <v>476234</v>
      </c>
      <c r="V3" s="11">
        <f>SUM(V4:V28)</f>
        <v>387.79999999999995</v>
      </c>
      <c r="W3" s="10">
        <f>X3/Y3</f>
        <v>1375.6625357483317</v>
      </c>
      <c r="X3" s="10">
        <f>SUM(X4:X28)</f>
        <v>288614</v>
      </c>
      <c r="Y3" s="11">
        <f>SUM(Y4:Y28)</f>
        <v>209.8</v>
      </c>
      <c r="Z3" s="10">
        <f>AA3/AB3</f>
        <v>1228.140085186938</v>
      </c>
      <c r="AA3" s="10">
        <f>SUM(AA4:AA28)</f>
        <v>259506</v>
      </c>
      <c r="AB3" s="11">
        <f>SUM(AB4:AB28)</f>
        <v>211.29999999999998</v>
      </c>
      <c r="AC3" s="10">
        <f>AD3/AE3</f>
        <v>1216.228306037644</v>
      </c>
      <c r="AD3" s="10">
        <f>SUM(AD4:AD28)</f>
        <v>497559</v>
      </c>
      <c r="AE3" s="11">
        <f>SUM(AE4:AE28)</f>
        <v>409.09999999999985</v>
      </c>
      <c r="AF3" s="10">
        <f>AG3/AH3</f>
        <v>1315.6978394574994</v>
      </c>
      <c r="AG3" s="10">
        <f>SUM(AG4:AG28)</f>
        <v>834284</v>
      </c>
      <c r="AH3" s="11">
        <f>SUM(AH4:AH28)</f>
        <v>634.09999999999968</v>
      </c>
      <c r="AI3" s="10">
        <f>AJ3/AK3</f>
        <v>1419.5369486347145</v>
      </c>
      <c r="AJ3" s="10">
        <f>SUM(AJ4:AJ28)</f>
        <v>1486823</v>
      </c>
      <c r="AK3" s="11">
        <f>SUM(AK4:AK28)</f>
        <v>1047.4000000000001</v>
      </c>
      <c r="AL3" s="10">
        <f>AM3/AN3</f>
        <v>1318.9826521611294</v>
      </c>
      <c r="AM3" s="10">
        <f>SUM(AM4:AM28)</f>
        <v>448586</v>
      </c>
      <c r="AN3" s="11">
        <f>SUM(AN4:AN28)</f>
        <v>340.09999999999991</v>
      </c>
      <c r="AO3" s="10">
        <f>AP3/AQ3</f>
        <v>1296.5192495887729</v>
      </c>
      <c r="AP3" s="10">
        <f>SUM(AP4:AP28)</f>
        <v>6226793</v>
      </c>
      <c r="AQ3" s="11">
        <f>SUM(AQ4:AQ28)</f>
        <v>4802.7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22</v>
      </c>
      <c r="B4" s="20"/>
      <c r="C4" s="20"/>
      <c r="D4" s="20"/>
      <c r="E4" s="3">
        <f t="shared" ref="E4:E11" si="0">F4/G4</f>
        <v>1114.4791666666667</v>
      </c>
      <c r="F4" s="3">
        <v>64194</v>
      </c>
      <c r="G4" s="6">
        <v>57.6</v>
      </c>
      <c r="H4" s="3">
        <f t="shared" ref="H4:H11" si="1">I4/J4</f>
        <v>1086.3470319634705</v>
      </c>
      <c r="I4" s="3">
        <v>47582</v>
      </c>
      <c r="J4" s="6">
        <v>43.8</v>
      </c>
      <c r="K4" s="3">
        <f t="shared" ref="K4:K11" si="2">L4/M4</f>
        <v>1096.074672048436</v>
      </c>
      <c r="L4" s="3">
        <v>108621</v>
      </c>
      <c r="M4" s="6">
        <v>99.1</v>
      </c>
      <c r="N4" s="3">
        <f t="shared" ref="N4:N11" si="3">O4/P4</f>
        <v>1386.9289617486338</v>
      </c>
      <c r="O4" s="3">
        <v>126904</v>
      </c>
      <c r="P4" s="6">
        <v>91.5</v>
      </c>
      <c r="Q4" s="3">
        <f t="shared" ref="Q4:Q11" si="4">R4/S4</f>
        <v>1157.9247152055473</v>
      </c>
      <c r="R4" s="3">
        <v>233785</v>
      </c>
      <c r="S4" s="6">
        <v>201.9</v>
      </c>
      <c r="T4" s="3">
        <f t="shared" ref="T4:T11" si="5">U4/V4</f>
        <v>939.43204073638856</v>
      </c>
      <c r="U4" s="3">
        <v>239837</v>
      </c>
      <c r="V4" s="6">
        <v>255.3</v>
      </c>
      <c r="W4" s="3">
        <f t="shared" ref="W4:W11" si="6">X4/Y4</f>
        <v>1151.5068493150686</v>
      </c>
      <c r="X4" s="3">
        <v>25218</v>
      </c>
      <c r="Y4" s="6">
        <v>21.9</v>
      </c>
      <c r="Z4" s="3">
        <f t="shared" ref="Z4:Z11" si="7">AA4/AB4</f>
        <v>1100.5090137857901</v>
      </c>
      <c r="AA4" s="3">
        <v>103778</v>
      </c>
      <c r="AB4" s="6">
        <v>94.3</v>
      </c>
      <c r="AC4" s="3">
        <f t="shared" ref="AC4:AC11" si="8">AD4/AE4</f>
        <v>1256.7405857740587</v>
      </c>
      <c r="AD4" s="3">
        <v>300361</v>
      </c>
      <c r="AE4" s="6">
        <v>239</v>
      </c>
      <c r="AF4" s="3">
        <f t="shared" ref="AF4:AF11" si="9">AG4/AH4</f>
        <v>1324.4928478543563</v>
      </c>
      <c r="AG4" s="3">
        <v>611121</v>
      </c>
      <c r="AH4" s="6">
        <v>461.4</v>
      </c>
      <c r="AI4" s="3">
        <f t="shared" ref="AI4:AI11" si="10">AJ4/AK4</f>
        <v>1429.9571596872656</v>
      </c>
      <c r="AJ4" s="3">
        <v>1335151</v>
      </c>
      <c r="AK4" s="6">
        <v>933.7</v>
      </c>
      <c r="AL4" s="3">
        <f t="shared" ref="AL4:AL11" si="11">AM4/AN4</f>
        <v>1204.5521992580816</v>
      </c>
      <c r="AM4" s="3">
        <v>227299</v>
      </c>
      <c r="AN4" s="6">
        <v>188.7</v>
      </c>
      <c r="AO4" s="3">
        <f t="shared" ref="AO4:AO28" si="12">AP4/AQ4</f>
        <v>1273.6593259430103</v>
      </c>
      <c r="AP4" s="3">
        <f t="shared" ref="AP4" si="13">SUM(F4,I4,L4,O4,R4,U4,X4,AA4,AD4,AG4,AJ4,AM4)</f>
        <v>3423851</v>
      </c>
      <c r="AQ4" s="6">
        <f t="shared" ref="AQ4" si="14">SUM(G4,J4,M4,P4,S4,V4,Y4,AB4,AE4,AH4,AK4,AN4)</f>
        <v>2688.2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25</v>
      </c>
      <c r="B5" s="20"/>
      <c r="C5" s="20"/>
      <c r="D5" s="20"/>
      <c r="E5" s="3" t="e">
        <f t="shared" si="0"/>
        <v>#DIV/0!</v>
      </c>
      <c r="F5" s="3">
        <v>0</v>
      </c>
      <c r="G5" s="6">
        <v>0</v>
      </c>
      <c r="H5" s="3">
        <f t="shared" si="1"/>
        <v>1215.8139534883721</v>
      </c>
      <c r="I5" s="3">
        <v>20912</v>
      </c>
      <c r="J5" s="6">
        <v>17.2</v>
      </c>
      <c r="K5" s="3">
        <f t="shared" si="2"/>
        <v>1182.5581395348838</v>
      </c>
      <c r="L5" s="3">
        <v>10170</v>
      </c>
      <c r="M5" s="6">
        <v>8.6</v>
      </c>
      <c r="N5" s="3">
        <f t="shared" si="3"/>
        <v>1109.952380952381</v>
      </c>
      <c r="O5" s="3">
        <v>23309</v>
      </c>
      <c r="P5" s="6">
        <v>21</v>
      </c>
      <c r="Q5" s="3">
        <f t="shared" si="4"/>
        <v>1099.2607003891051</v>
      </c>
      <c r="R5" s="3">
        <v>28251</v>
      </c>
      <c r="S5" s="6">
        <v>25.7</v>
      </c>
      <c r="T5" s="3">
        <f t="shared" si="5"/>
        <v>1147.719298245614</v>
      </c>
      <c r="U5" s="3">
        <v>6542</v>
      </c>
      <c r="V5" s="6">
        <v>5.7</v>
      </c>
      <c r="W5" s="3">
        <f t="shared" si="6"/>
        <v>1161.1111111111111</v>
      </c>
      <c r="X5" s="3">
        <v>19855</v>
      </c>
      <c r="Y5" s="6">
        <v>17.100000000000001</v>
      </c>
      <c r="Z5" s="3">
        <f t="shared" si="7"/>
        <v>1225.1578947368421</v>
      </c>
      <c r="AA5" s="3">
        <v>11639</v>
      </c>
      <c r="AB5" s="6">
        <v>9.5</v>
      </c>
      <c r="AC5" s="3">
        <f t="shared" si="8"/>
        <v>1260.9473684210527</v>
      </c>
      <c r="AD5" s="3">
        <v>11979</v>
      </c>
      <c r="AE5" s="6">
        <v>9.5</v>
      </c>
      <c r="AF5" s="3">
        <f t="shared" si="9"/>
        <v>1303.1877729257642</v>
      </c>
      <c r="AG5" s="3">
        <v>29843</v>
      </c>
      <c r="AH5" s="6">
        <v>22.9</v>
      </c>
      <c r="AI5" s="3" t="e">
        <f t="shared" si="10"/>
        <v>#DIV/0!</v>
      </c>
      <c r="AJ5" s="3">
        <v>0</v>
      </c>
      <c r="AK5" s="6">
        <v>0</v>
      </c>
      <c r="AL5" s="3">
        <f t="shared" si="11"/>
        <v>1288.2932166301969</v>
      </c>
      <c r="AM5" s="3">
        <v>58875</v>
      </c>
      <c r="AN5" s="6">
        <v>45.7</v>
      </c>
      <c r="AO5" s="3">
        <f t="shared" si="12"/>
        <v>1210.3608529250955</v>
      </c>
      <c r="AP5" s="3">
        <f t="shared" ref="AP5:AP28" si="15">SUM(F5,I5,L5,O5,R5,U5,X5,AA5,AD5,AG5,AJ5,AM5)</f>
        <v>221375</v>
      </c>
      <c r="AQ5" s="6">
        <f t="shared" ref="AQ5:AQ28" si="16">SUM(G5,J5,M5,P5,S5,V5,Y5,AB5,AE5,AH5,AK5,AN5)</f>
        <v>182.90000000000003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43</v>
      </c>
      <c r="B6" s="20"/>
      <c r="C6" s="20"/>
      <c r="D6" s="20"/>
      <c r="E6" s="3" t="e">
        <f t="shared" si="0"/>
        <v>#DIV/0!</v>
      </c>
      <c r="F6" s="3">
        <v>0</v>
      </c>
      <c r="G6" s="6">
        <v>0</v>
      </c>
      <c r="H6" s="3" t="e">
        <f t="shared" si="1"/>
        <v>#DIV/0!</v>
      </c>
      <c r="I6" s="3">
        <v>0</v>
      </c>
      <c r="J6" s="6">
        <v>0</v>
      </c>
      <c r="K6" s="3">
        <f t="shared" si="2"/>
        <v>1028.9224137931035</v>
      </c>
      <c r="L6" s="3">
        <v>23871</v>
      </c>
      <c r="M6" s="6">
        <v>23.2</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1530.6225680933853</v>
      </c>
      <c r="AM6" s="3">
        <v>39337</v>
      </c>
      <c r="AN6" s="6">
        <v>25.7</v>
      </c>
      <c r="AO6" s="3">
        <f t="shared" si="12"/>
        <v>1292.597137014315</v>
      </c>
      <c r="AP6" s="3">
        <f t="shared" si="15"/>
        <v>63208</v>
      </c>
      <c r="AQ6" s="6">
        <f t="shared" si="16"/>
        <v>48.9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19</v>
      </c>
      <c r="B7" s="20"/>
      <c r="C7" s="20"/>
      <c r="D7" s="20"/>
      <c r="E7" s="3">
        <f t="shared" si="0"/>
        <v>1098.1654294803818</v>
      </c>
      <c r="F7" s="3">
        <v>103557</v>
      </c>
      <c r="G7" s="6">
        <v>94.3</v>
      </c>
      <c r="H7" s="3">
        <f t="shared" si="1"/>
        <v>1152.9240506329113</v>
      </c>
      <c r="I7" s="3">
        <v>91081</v>
      </c>
      <c r="J7" s="6">
        <v>79</v>
      </c>
      <c r="K7" s="3">
        <f t="shared" si="2"/>
        <v>1182.0568720379147</v>
      </c>
      <c r="L7" s="3">
        <v>124707</v>
      </c>
      <c r="M7" s="6">
        <v>105.5</v>
      </c>
      <c r="N7" s="3">
        <f t="shared" si="3"/>
        <v>1090.3942652329749</v>
      </c>
      <c r="O7" s="3">
        <v>60844</v>
      </c>
      <c r="P7" s="6">
        <v>55.8</v>
      </c>
      <c r="Q7" s="3">
        <f t="shared" si="4"/>
        <v>1386.9142857142858</v>
      </c>
      <c r="R7" s="3">
        <v>48542</v>
      </c>
      <c r="S7" s="6">
        <v>35</v>
      </c>
      <c r="T7" s="3">
        <f t="shared" si="5"/>
        <v>1346.0411899313501</v>
      </c>
      <c r="U7" s="3">
        <v>117644</v>
      </c>
      <c r="V7" s="6">
        <v>87.4</v>
      </c>
      <c r="W7" s="3">
        <f t="shared" si="6"/>
        <v>1181.6023391812867</v>
      </c>
      <c r="X7" s="3">
        <v>101027</v>
      </c>
      <c r="Y7" s="6">
        <v>85.5</v>
      </c>
      <c r="Z7" s="3">
        <f t="shared" si="7"/>
        <v>1637.1599045346063</v>
      </c>
      <c r="AA7" s="3">
        <v>68597</v>
      </c>
      <c r="AB7" s="6">
        <v>41.9</v>
      </c>
      <c r="AC7" s="3">
        <f t="shared" si="8"/>
        <v>1252.4342105263158</v>
      </c>
      <c r="AD7" s="3">
        <v>38074</v>
      </c>
      <c r="AE7" s="6">
        <v>30.4</v>
      </c>
      <c r="AF7" s="3">
        <f t="shared" si="9"/>
        <v>1332.7083333333333</v>
      </c>
      <c r="AG7" s="3">
        <v>115146</v>
      </c>
      <c r="AH7" s="6">
        <v>86.4</v>
      </c>
      <c r="AI7" s="3">
        <f t="shared" si="10"/>
        <v>1254.0561224489795</v>
      </c>
      <c r="AJ7" s="3">
        <v>49159</v>
      </c>
      <c r="AK7" s="6">
        <v>39.200000000000003</v>
      </c>
      <c r="AL7" s="3">
        <f t="shared" si="11"/>
        <v>1505.4672897196263</v>
      </c>
      <c r="AM7" s="3">
        <v>32217</v>
      </c>
      <c r="AN7" s="6">
        <v>21.4</v>
      </c>
      <c r="AO7" s="3">
        <f t="shared" si="12"/>
        <v>1247.8275137831452</v>
      </c>
      <c r="AP7" s="3">
        <f t="shared" si="15"/>
        <v>950595</v>
      </c>
      <c r="AQ7" s="6">
        <f t="shared" si="16"/>
        <v>761.8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26</v>
      </c>
      <c r="B8" s="20"/>
      <c r="C8" s="20"/>
      <c r="D8" s="20"/>
      <c r="E8" s="3" t="e">
        <f t="shared" si="0"/>
        <v>#DIV/0!</v>
      </c>
      <c r="F8" s="3">
        <v>0</v>
      </c>
      <c r="G8" s="6">
        <v>0</v>
      </c>
      <c r="H8" s="3">
        <f t="shared" si="1"/>
        <v>5916.666666666667</v>
      </c>
      <c r="I8" s="3">
        <v>5325</v>
      </c>
      <c r="J8" s="6">
        <v>0.9</v>
      </c>
      <c r="K8" s="3">
        <f t="shared" si="2"/>
        <v>1806.0975609756097</v>
      </c>
      <c r="L8" s="3">
        <v>22215</v>
      </c>
      <c r="M8" s="6">
        <v>12.3</v>
      </c>
      <c r="N8" s="3">
        <f t="shared" si="3"/>
        <v>1353.9647577092512</v>
      </c>
      <c r="O8" s="3">
        <v>30735</v>
      </c>
      <c r="P8" s="6">
        <v>22.7</v>
      </c>
      <c r="Q8" s="3">
        <f t="shared" si="4"/>
        <v>1184.3103448275863</v>
      </c>
      <c r="R8" s="3">
        <v>6869</v>
      </c>
      <c r="S8" s="6">
        <v>5.8</v>
      </c>
      <c r="T8" s="3">
        <f t="shared" si="5"/>
        <v>1076.5550239234451</v>
      </c>
      <c r="U8" s="3">
        <v>22500</v>
      </c>
      <c r="V8" s="6">
        <v>20.9</v>
      </c>
      <c r="W8" s="3">
        <f t="shared" si="6"/>
        <v>1149.3243243243244</v>
      </c>
      <c r="X8" s="3">
        <v>8505</v>
      </c>
      <c r="Y8" s="6">
        <v>7.4</v>
      </c>
      <c r="Z8" s="3">
        <f t="shared" si="7"/>
        <v>1157.9292929292928</v>
      </c>
      <c r="AA8" s="3">
        <v>22927</v>
      </c>
      <c r="AB8" s="6">
        <v>19.8</v>
      </c>
      <c r="AC8" s="3">
        <f t="shared" si="8"/>
        <v>2100</v>
      </c>
      <c r="AD8" s="3">
        <v>11340</v>
      </c>
      <c r="AE8" s="6">
        <v>5.4</v>
      </c>
      <c r="AF8" s="3">
        <f t="shared" si="9"/>
        <v>1206.0964912280701</v>
      </c>
      <c r="AG8" s="3">
        <v>27499</v>
      </c>
      <c r="AH8" s="6">
        <v>22.8</v>
      </c>
      <c r="AI8" s="3">
        <f t="shared" si="10"/>
        <v>1150</v>
      </c>
      <c r="AJ8" s="3">
        <v>2760</v>
      </c>
      <c r="AK8" s="6">
        <v>2.4</v>
      </c>
      <c r="AL8" s="3">
        <f t="shared" si="11"/>
        <v>1428.8461538461538</v>
      </c>
      <c r="AM8" s="3">
        <v>29720</v>
      </c>
      <c r="AN8" s="6">
        <v>20.8</v>
      </c>
      <c r="AO8" s="3">
        <f t="shared" si="12"/>
        <v>1348.4065155807364</v>
      </c>
      <c r="AP8" s="3">
        <f t="shared" si="15"/>
        <v>190395</v>
      </c>
      <c r="AQ8" s="6">
        <f t="shared" si="16"/>
        <v>141.20000000000002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39</v>
      </c>
      <c r="B9" s="20"/>
      <c r="C9" s="20"/>
      <c r="D9" s="20"/>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f t="shared" si="8"/>
        <v>2482.2549019607845</v>
      </c>
      <c r="AD9" s="3">
        <v>25319</v>
      </c>
      <c r="AE9" s="6">
        <v>10.199999999999999</v>
      </c>
      <c r="AF9" s="3" t="e">
        <f t="shared" si="9"/>
        <v>#DIV/0!</v>
      </c>
      <c r="AG9" s="3">
        <v>0</v>
      </c>
      <c r="AH9" s="6">
        <v>0</v>
      </c>
      <c r="AI9" s="3" t="e">
        <f t="shared" si="10"/>
        <v>#DIV/0!</v>
      </c>
      <c r="AJ9" s="3">
        <v>0</v>
      </c>
      <c r="AK9" s="6">
        <v>0</v>
      </c>
      <c r="AL9" s="3">
        <f t="shared" si="11"/>
        <v>2293.5779816513759</v>
      </c>
      <c r="AM9" s="3">
        <v>25000</v>
      </c>
      <c r="AN9" s="6">
        <v>10.9</v>
      </c>
      <c r="AO9" s="3">
        <f t="shared" si="12"/>
        <v>2384.7867298578199</v>
      </c>
      <c r="AP9" s="3">
        <f t="shared" si="15"/>
        <v>50319</v>
      </c>
      <c r="AQ9" s="6">
        <f t="shared" si="16"/>
        <v>21.1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24</v>
      </c>
      <c r="B10" s="20"/>
      <c r="C10" s="20"/>
      <c r="D10" s="20"/>
      <c r="E10" s="3">
        <f t="shared" si="0"/>
        <v>1246.7164179104477</v>
      </c>
      <c r="F10" s="3">
        <v>8353</v>
      </c>
      <c r="G10" s="6">
        <v>6.7</v>
      </c>
      <c r="H10" s="3">
        <f t="shared" si="1"/>
        <v>1273.4482758620691</v>
      </c>
      <c r="I10" s="3">
        <v>3693</v>
      </c>
      <c r="J10" s="6">
        <v>2.9</v>
      </c>
      <c r="K10" s="3" t="e">
        <f t="shared" si="2"/>
        <v>#DIV/0!</v>
      </c>
      <c r="L10" s="3">
        <v>0</v>
      </c>
      <c r="M10" s="6">
        <v>0</v>
      </c>
      <c r="N10" s="3">
        <f t="shared" si="3"/>
        <v>1108.0701754385964</v>
      </c>
      <c r="O10" s="3">
        <v>6316</v>
      </c>
      <c r="P10" s="6">
        <v>5.7</v>
      </c>
      <c r="Q10" s="3" t="e">
        <f t="shared" si="4"/>
        <v>#DIV/0!</v>
      </c>
      <c r="R10" s="3">
        <v>0</v>
      </c>
      <c r="S10" s="6">
        <v>0</v>
      </c>
      <c r="T10" s="3">
        <f t="shared" si="5"/>
        <v>1131.8421052631579</v>
      </c>
      <c r="U10" s="3">
        <v>4301</v>
      </c>
      <c r="V10" s="6">
        <v>3.8</v>
      </c>
      <c r="W10" s="3">
        <f t="shared" si="6"/>
        <v>1164.7368421052631</v>
      </c>
      <c r="X10" s="3">
        <v>4426</v>
      </c>
      <c r="Y10" s="6">
        <v>3.8</v>
      </c>
      <c r="Z10" s="3">
        <f t="shared" si="7"/>
        <v>1210.7017543859649</v>
      </c>
      <c r="AA10" s="3">
        <v>6901</v>
      </c>
      <c r="AB10" s="6">
        <v>5.7</v>
      </c>
      <c r="AC10" s="3">
        <f t="shared" si="8"/>
        <v>1252.7586206896551</v>
      </c>
      <c r="AD10" s="3">
        <v>3633</v>
      </c>
      <c r="AE10" s="6">
        <v>2.9</v>
      </c>
      <c r="AF10" s="3">
        <f t="shared" si="9"/>
        <v>1303.9473684210527</v>
      </c>
      <c r="AG10" s="3">
        <v>4955</v>
      </c>
      <c r="AH10" s="6">
        <v>3.8</v>
      </c>
      <c r="AI10" s="3">
        <f t="shared" si="10"/>
        <v>1299.4736842105262</v>
      </c>
      <c r="AJ10" s="3">
        <v>7407</v>
      </c>
      <c r="AK10" s="6">
        <v>5.7</v>
      </c>
      <c r="AL10" s="3">
        <f t="shared" si="11"/>
        <v>1380.3086419753088</v>
      </c>
      <c r="AM10" s="3">
        <v>22361</v>
      </c>
      <c r="AN10" s="6">
        <v>16.2</v>
      </c>
      <c r="AO10" s="3">
        <f t="shared" si="12"/>
        <v>1264.7902097902097</v>
      </c>
      <c r="AP10" s="3">
        <f t="shared" si="15"/>
        <v>72346</v>
      </c>
      <c r="AQ10" s="6">
        <f t="shared" si="16"/>
        <v>57.2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34</v>
      </c>
      <c r="B11" s="20"/>
      <c r="C11" s="20"/>
      <c r="D11" s="20"/>
      <c r="E11" s="3">
        <f t="shared" si="0"/>
        <v>1244.2857142857142</v>
      </c>
      <c r="F11" s="3">
        <v>9581</v>
      </c>
      <c r="G11" s="6">
        <v>7.7</v>
      </c>
      <c r="H11" s="3">
        <f t="shared" si="1"/>
        <v>1320.9183673469386</v>
      </c>
      <c r="I11" s="3">
        <v>12945</v>
      </c>
      <c r="J11" s="6">
        <v>9.8000000000000007</v>
      </c>
      <c r="K11" s="3" t="e">
        <f t="shared" si="2"/>
        <v>#DIV/0!</v>
      </c>
      <c r="L11" s="3">
        <v>0</v>
      </c>
      <c r="M11" s="6">
        <v>0</v>
      </c>
      <c r="N11" s="3">
        <f t="shared" si="3"/>
        <v>1118.7719298245613</v>
      </c>
      <c r="O11" s="3">
        <v>6377</v>
      </c>
      <c r="P11" s="6">
        <v>5.7</v>
      </c>
      <c r="Q11" s="3" t="e">
        <f t="shared" si="4"/>
        <v>#DIV/0!</v>
      </c>
      <c r="R11" s="3">
        <v>0</v>
      </c>
      <c r="S11" s="6">
        <v>0</v>
      </c>
      <c r="T11" s="3" t="e">
        <f t="shared" si="5"/>
        <v>#DIV/0!</v>
      </c>
      <c r="U11" s="3">
        <v>0</v>
      </c>
      <c r="V11" s="6">
        <v>0</v>
      </c>
      <c r="W11" s="3" t="e">
        <f t="shared" si="6"/>
        <v>#DIV/0!</v>
      </c>
      <c r="X11" s="3">
        <v>0</v>
      </c>
      <c r="Y11" s="6">
        <v>0</v>
      </c>
      <c r="Z11" s="3">
        <f t="shared" si="7"/>
        <v>1189.6551724137933</v>
      </c>
      <c r="AA11" s="3">
        <v>3450</v>
      </c>
      <c r="AB11" s="6">
        <v>2.9</v>
      </c>
      <c r="AC11" s="3">
        <f t="shared" si="8"/>
        <v>1292.6315789473683</v>
      </c>
      <c r="AD11" s="3">
        <v>7368</v>
      </c>
      <c r="AE11" s="6">
        <v>5.7</v>
      </c>
      <c r="AF11" s="3" t="e">
        <f t="shared" si="9"/>
        <v>#DIV/0!</v>
      </c>
      <c r="AG11" s="3">
        <v>0</v>
      </c>
      <c r="AH11" s="6">
        <v>0</v>
      </c>
      <c r="AI11" s="3">
        <f t="shared" si="10"/>
        <v>1285.1724137931035</v>
      </c>
      <c r="AJ11" s="3">
        <v>3727</v>
      </c>
      <c r="AK11" s="6">
        <v>2.9</v>
      </c>
      <c r="AL11" s="3">
        <f t="shared" si="11"/>
        <v>1392.0895522388059</v>
      </c>
      <c r="AM11" s="3">
        <v>9327</v>
      </c>
      <c r="AN11" s="6">
        <v>6.7</v>
      </c>
      <c r="AO11" s="3">
        <f t="shared" si="12"/>
        <v>1274.7584541062802</v>
      </c>
      <c r="AP11" s="3">
        <f t="shared" si="15"/>
        <v>52775</v>
      </c>
      <c r="AQ11" s="6">
        <f t="shared" si="16"/>
        <v>41.4</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20</v>
      </c>
      <c r="B12" s="20"/>
      <c r="C12" s="20"/>
      <c r="D12" s="20"/>
      <c r="E12" s="3">
        <f>F12/G12</f>
        <v>1144.6774193548388</v>
      </c>
      <c r="F12" s="3">
        <v>14194</v>
      </c>
      <c r="G12" s="6">
        <v>12.4</v>
      </c>
      <c r="H12" s="3" t="e">
        <f>I12/J12</f>
        <v>#DIV/0!</v>
      </c>
      <c r="I12" s="3">
        <v>0</v>
      </c>
      <c r="J12" s="6">
        <v>0</v>
      </c>
      <c r="K12" s="3" t="e">
        <f>L12/M12</f>
        <v>#DIV/0!</v>
      </c>
      <c r="L12" s="3">
        <v>0</v>
      </c>
      <c r="M12" s="6">
        <v>0</v>
      </c>
      <c r="N12" s="3" t="e">
        <f>O12/P12</f>
        <v>#DIV/0!</v>
      </c>
      <c r="O12" s="3">
        <v>0</v>
      </c>
      <c r="P12" s="6">
        <v>0</v>
      </c>
      <c r="Q12" s="3">
        <f>R12/S12</f>
        <v>1426.25</v>
      </c>
      <c r="R12" s="3">
        <v>18256</v>
      </c>
      <c r="S12" s="6">
        <v>12.8</v>
      </c>
      <c r="T12" s="3" t="e">
        <f>U12/V12</f>
        <v>#DIV/0!</v>
      </c>
      <c r="U12" s="3">
        <v>0</v>
      </c>
      <c r="V12" s="6">
        <v>0</v>
      </c>
      <c r="W12" s="3">
        <f>X12/Y12</f>
        <v>5065.217391304348</v>
      </c>
      <c r="X12" s="3">
        <v>11650</v>
      </c>
      <c r="Y12" s="6">
        <v>2.2999999999999998</v>
      </c>
      <c r="Z12" s="3">
        <f>AA12/AB12</f>
        <v>1103.2231404958677</v>
      </c>
      <c r="AA12" s="3">
        <v>13349</v>
      </c>
      <c r="AB12" s="6">
        <v>12.1</v>
      </c>
      <c r="AC12" s="3" t="e">
        <f>AD12/AE12</f>
        <v>#DIV/0!</v>
      </c>
      <c r="AD12" s="3">
        <v>0</v>
      </c>
      <c r="AE12" s="6">
        <v>0</v>
      </c>
      <c r="AF12" s="3">
        <f>AG12/AH12</f>
        <v>1043.75</v>
      </c>
      <c r="AG12" s="3">
        <v>2505</v>
      </c>
      <c r="AH12" s="6">
        <v>2.4</v>
      </c>
      <c r="AI12" s="3" t="e">
        <f>AJ12/AK12</f>
        <v>#DIV/0!</v>
      </c>
      <c r="AJ12" s="3">
        <v>0</v>
      </c>
      <c r="AK12" s="6">
        <v>0</v>
      </c>
      <c r="AL12" s="3">
        <f>AM12/AN12</f>
        <v>1112.5</v>
      </c>
      <c r="AM12" s="3">
        <v>4450</v>
      </c>
      <c r="AN12" s="6">
        <v>4</v>
      </c>
      <c r="AO12" s="3">
        <f t="shared" si="12"/>
        <v>1400.0869565217392</v>
      </c>
      <c r="AP12" s="3">
        <f t="shared" si="15"/>
        <v>64404</v>
      </c>
      <c r="AQ12" s="6">
        <f t="shared" si="16"/>
        <v>46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50</v>
      </c>
      <c r="B13" s="20"/>
      <c r="C13" s="20"/>
      <c r="D13" s="20"/>
      <c r="E13" s="3">
        <f t="shared" ref="E13:E28" si="17">F13/G13</f>
        <v>5903.333333333333</v>
      </c>
      <c r="F13" s="3">
        <v>5313</v>
      </c>
      <c r="G13" s="6">
        <v>0.9</v>
      </c>
      <c r="H13" s="3" t="e">
        <f t="shared" ref="H13:H28" si="18">I13/J13</f>
        <v>#DIV/0!</v>
      </c>
      <c r="I13" s="3">
        <v>0</v>
      </c>
      <c r="J13" s="6">
        <v>0</v>
      </c>
      <c r="K13" s="3">
        <f t="shared" ref="K13:K28" si="19">L13/M13</f>
        <v>5785.7142857142853</v>
      </c>
      <c r="L13" s="3">
        <v>48600</v>
      </c>
      <c r="M13" s="6">
        <v>8.4</v>
      </c>
      <c r="N13" s="3" t="e">
        <f t="shared" ref="N13:N28" si="20">O13/P13</f>
        <v>#DIV/0!</v>
      </c>
      <c r="O13" s="3">
        <v>0</v>
      </c>
      <c r="P13" s="6">
        <v>0</v>
      </c>
      <c r="Q13" s="3" t="e">
        <f t="shared" ref="Q13:Q28" si="21">R13/S13</f>
        <v>#DIV/0!</v>
      </c>
      <c r="R13" s="3">
        <v>0</v>
      </c>
      <c r="S13" s="6">
        <v>0</v>
      </c>
      <c r="T13" s="3">
        <f t="shared" ref="T13:T28" si="22">U13/V13</f>
        <v>5810.2040816326535</v>
      </c>
      <c r="U13" s="3">
        <v>85410</v>
      </c>
      <c r="V13" s="6">
        <v>14.7</v>
      </c>
      <c r="W13" s="3">
        <f t="shared" ref="W13:W28" si="23">X13/Y13</f>
        <v>5810.8695652173919</v>
      </c>
      <c r="X13" s="3">
        <v>53460</v>
      </c>
      <c r="Y13" s="6">
        <v>9.1999999999999993</v>
      </c>
      <c r="Z13" s="3" t="e">
        <f t="shared" ref="Z13:Z28" si="24">AA13/AB13</f>
        <v>#DIV/0!</v>
      </c>
      <c r="AA13" s="3">
        <v>0</v>
      </c>
      <c r="AB13" s="6">
        <v>0</v>
      </c>
      <c r="AC13" s="3" t="e">
        <f t="shared" ref="AC13:AC28" si="25">AD13/AE13</f>
        <v>#DIV/0!</v>
      </c>
      <c r="AD13" s="3">
        <v>0</v>
      </c>
      <c r="AE13" s="6">
        <v>0</v>
      </c>
      <c r="AF13" s="3" t="e">
        <f t="shared" ref="AF13:AF28" si="26">AG13/AH13</f>
        <v>#DIV/0!</v>
      </c>
      <c r="AG13" s="3">
        <v>0</v>
      </c>
      <c r="AH13" s="6">
        <v>0</v>
      </c>
      <c r="AI13" s="3" t="e">
        <f t="shared" ref="AI13:AI28" si="27">AJ13/AK13</f>
        <v>#DIV/0!</v>
      </c>
      <c r="AJ13" s="3">
        <v>0</v>
      </c>
      <c r="AK13" s="6">
        <v>0</v>
      </c>
      <c r="AL13" s="3" t="e">
        <f t="shared" ref="AL13:AL28" si="28">AM13/AN13</f>
        <v>#DIV/0!</v>
      </c>
      <c r="AM13" s="3">
        <v>0</v>
      </c>
      <c r="AN13" s="6">
        <v>0</v>
      </c>
      <c r="AO13" s="3">
        <f t="shared" si="12"/>
        <v>5806.7168674698787</v>
      </c>
      <c r="AP13" s="3">
        <f t="shared" si="15"/>
        <v>192783</v>
      </c>
      <c r="AQ13" s="6">
        <f t="shared" si="16"/>
        <v>33.200000000000003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49</v>
      </c>
      <c r="B14" s="20"/>
      <c r="C14" s="20"/>
      <c r="D14" s="20"/>
      <c r="E14" s="3" t="e">
        <f t="shared" si="17"/>
        <v>#DIV/0!</v>
      </c>
      <c r="F14" s="3">
        <v>0</v>
      </c>
      <c r="G14" s="6">
        <v>0</v>
      </c>
      <c r="H14" s="3" t="e">
        <f t="shared" si="18"/>
        <v>#DIV/0!</v>
      </c>
      <c r="I14" s="3">
        <v>0</v>
      </c>
      <c r="J14" s="6">
        <v>0</v>
      </c>
      <c r="K14" s="3" t="e">
        <f t="shared" si="19"/>
        <v>#DIV/0!</v>
      </c>
      <c r="L14" s="3">
        <v>0</v>
      </c>
      <c r="M14" s="6">
        <v>0</v>
      </c>
      <c r="N14" s="3" t="e">
        <f t="shared" si="20"/>
        <v>#DIV/0!</v>
      </c>
      <c r="O14" s="3">
        <v>0</v>
      </c>
      <c r="P14" s="6">
        <v>0</v>
      </c>
      <c r="Q14" s="3">
        <f t="shared" si="21"/>
        <v>1802.2222222222222</v>
      </c>
      <c r="R14" s="3">
        <v>9732</v>
      </c>
      <c r="S14" s="6">
        <v>5.4</v>
      </c>
      <c r="T14" s="3" t="e">
        <f t="shared" si="22"/>
        <v>#DIV/0!</v>
      </c>
      <c r="U14" s="3">
        <v>0</v>
      </c>
      <c r="V14" s="6">
        <v>0</v>
      </c>
      <c r="W14" s="3" t="e">
        <f t="shared" si="23"/>
        <v>#DIV/0!</v>
      </c>
      <c r="X14" s="3">
        <v>0</v>
      </c>
      <c r="Y14" s="6">
        <v>0</v>
      </c>
      <c r="Z14" s="3" t="e">
        <f t="shared" si="24"/>
        <v>#DIV/0!</v>
      </c>
      <c r="AA14" s="3">
        <v>0</v>
      </c>
      <c r="AB14" s="6">
        <v>0</v>
      </c>
      <c r="AC14" s="3" t="e">
        <f t="shared" si="25"/>
        <v>#DIV/0!</v>
      </c>
      <c r="AD14" s="3">
        <v>0</v>
      </c>
      <c r="AE14" s="6">
        <v>0</v>
      </c>
      <c r="AF14" s="3">
        <f t="shared" si="26"/>
        <v>1520.0000000000002</v>
      </c>
      <c r="AG14" s="3">
        <v>3496</v>
      </c>
      <c r="AH14" s="6">
        <v>2.2999999999999998</v>
      </c>
      <c r="AI14" s="3" t="e">
        <f t="shared" si="27"/>
        <v>#DIV/0!</v>
      </c>
      <c r="AJ14" s="3">
        <v>0</v>
      </c>
      <c r="AK14" s="6">
        <v>0</v>
      </c>
      <c r="AL14" s="3" t="e">
        <f t="shared" si="28"/>
        <v>#DIV/0!</v>
      </c>
      <c r="AM14" s="3">
        <v>0</v>
      </c>
      <c r="AN14" s="6">
        <v>0</v>
      </c>
      <c r="AO14" s="3">
        <f t="shared" si="12"/>
        <v>1717.922077922078</v>
      </c>
      <c r="AP14" s="3">
        <f t="shared" si="15"/>
        <v>13228</v>
      </c>
      <c r="AQ14" s="6">
        <f t="shared" si="16"/>
        <v>7.7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21</v>
      </c>
      <c r="B15" s="20"/>
      <c r="C15" s="20"/>
      <c r="D15" s="20"/>
      <c r="E15" s="3" t="e">
        <f t="shared" si="17"/>
        <v>#DIV/0!</v>
      </c>
      <c r="F15" s="3">
        <v>0</v>
      </c>
      <c r="G15" s="6">
        <v>0</v>
      </c>
      <c r="H15" s="3">
        <f t="shared" si="18"/>
        <v>2521.739130434783</v>
      </c>
      <c r="I15" s="3">
        <v>5800</v>
      </c>
      <c r="J15" s="6">
        <v>2.2999999999999998</v>
      </c>
      <c r="K15" s="3">
        <f t="shared" si="19"/>
        <v>1094.5054945054947</v>
      </c>
      <c r="L15" s="3">
        <v>9960</v>
      </c>
      <c r="M15" s="6">
        <v>9.1</v>
      </c>
      <c r="N15" s="3" t="e">
        <f t="shared" si="20"/>
        <v>#DIV/0!</v>
      </c>
      <c r="O15" s="3">
        <v>0</v>
      </c>
      <c r="P15" s="6">
        <v>0</v>
      </c>
      <c r="Q15" s="3" t="e">
        <f t="shared" si="21"/>
        <v>#DIV/0!</v>
      </c>
      <c r="R15" s="3">
        <v>0</v>
      </c>
      <c r="S15" s="6">
        <v>0</v>
      </c>
      <c r="T15" s="3" t="e">
        <f t="shared" si="22"/>
        <v>#DIV/0!</v>
      </c>
      <c r="U15" s="3">
        <v>0</v>
      </c>
      <c r="V15" s="6">
        <v>0</v>
      </c>
      <c r="W15" s="3" t="e">
        <f t="shared" si="23"/>
        <v>#DIV/0!</v>
      </c>
      <c r="X15" s="3">
        <v>0</v>
      </c>
      <c r="Y15" s="6">
        <v>0</v>
      </c>
      <c r="Z15" s="3" t="e">
        <f t="shared" si="24"/>
        <v>#DIV/0!</v>
      </c>
      <c r="AA15" s="3">
        <v>0</v>
      </c>
      <c r="AB15" s="6">
        <v>0</v>
      </c>
      <c r="AC15" s="3" t="e">
        <f t="shared" si="25"/>
        <v>#DIV/0!</v>
      </c>
      <c r="AD15" s="3">
        <v>0</v>
      </c>
      <c r="AE15" s="6">
        <v>0</v>
      </c>
      <c r="AF15" s="3" t="e">
        <f t="shared" si="26"/>
        <v>#DIV/0!</v>
      </c>
      <c r="AG15" s="3">
        <v>0</v>
      </c>
      <c r="AH15" s="6">
        <v>0</v>
      </c>
      <c r="AI15" s="3" t="e">
        <f t="shared" si="27"/>
        <v>#DIV/0!</v>
      </c>
      <c r="AJ15" s="3">
        <v>0</v>
      </c>
      <c r="AK15" s="6">
        <v>0</v>
      </c>
      <c r="AL15" s="3" t="e">
        <f t="shared" si="28"/>
        <v>#DIV/0!</v>
      </c>
      <c r="AM15" s="3">
        <v>0</v>
      </c>
      <c r="AN15" s="6">
        <v>0</v>
      </c>
      <c r="AO15" s="3">
        <f t="shared" si="12"/>
        <v>1382.4561403508774</v>
      </c>
      <c r="AP15" s="3">
        <f t="shared" si="15"/>
        <v>15760</v>
      </c>
      <c r="AQ15" s="6">
        <f t="shared" si="16"/>
        <v>11.399999999999999</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51</v>
      </c>
      <c r="B16" s="20"/>
      <c r="C16" s="20"/>
      <c r="D16" s="20"/>
      <c r="E16" s="3" t="e">
        <f t="shared" si="17"/>
        <v>#DIV/0!</v>
      </c>
      <c r="F16" s="3">
        <v>0</v>
      </c>
      <c r="G16" s="6">
        <v>0</v>
      </c>
      <c r="H16" s="3" t="e">
        <f t="shared" si="18"/>
        <v>#DIV/0!</v>
      </c>
      <c r="I16" s="3">
        <v>0</v>
      </c>
      <c r="J16" s="6">
        <v>0</v>
      </c>
      <c r="K16" s="3">
        <f t="shared" si="19"/>
        <v>1257</v>
      </c>
      <c r="L16" s="3">
        <v>3771</v>
      </c>
      <c r="M16" s="6">
        <v>3</v>
      </c>
      <c r="N16" s="3" t="e">
        <f t="shared" si="20"/>
        <v>#DIV/0!</v>
      </c>
      <c r="O16" s="3">
        <v>0</v>
      </c>
      <c r="P16" s="6">
        <v>0</v>
      </c>
      <c r="Q16" s="3" t="e">
        <f t="shared" si="21"/>
        <v>#DIV/0!</v>
      </c>
      <c r="R16" s="3">
        <v>0</v>
      </c>
      <c r="S16" s="6">
        <v>0</v>
      </c>
      <c r="T16" s="3" t="e">
        <f t="shared" si="22"/>
        <v>#DIV/0!</v>
      </c>
      <c r="U16" s="3">
        <v>0</v>
      </c>
      <c r="V16" s="6">
        <v>0</v>
      </c>
      <c r="W16" s="3" t="e">
        <f t="shared" si="23"/>
        <v>#DIV/0!</v>
      </c>
      <c r="X16" s="3">
        <v>0</v>
      </c>
      <c r="Y16" s="6">
        <v>0</v>
      </c>
      <c r="Z16" s="3" t="e">
        <f t="shared" si="24"/>
        <v>#DIV/0!</v>
      </c>
      <c r="AA16" s="3">
        <v>0</v>
      </c>
      <c r="AB16" s="6">
        <v>0</v>
      </c>
      <c r="AC16" s="3" t="e">
        <f t="shared" si="25"/>
        <v>#DIV/0!</v>
      </c>
      <c r="AD16" s="3">
        <v>0</v>
      </c>
      <c r="AE16" s="6">
        <v>0</v>
      </c>
      <c r="AF16" s="3" t="e">
        <f t="shared" si="26"/>
        <v>#DIV/0!</v>
      </c>
      <c r="AG16" s="3">
        <v>0</v>
      </c>
      <c r="AH16" s="6">
        <v>0</v>
      </c>
      <c r="AI16" s="3" t="e">
        <f t="shared" si="27"/>
        <v>#DIV/0!</v>
      </c>
      <c r="AJ16" s="3">
        <v>0</v>
      </c>
      <c r="AK16" s="6">
        <v>0</v>
      </c>
      <c r="AL16" s="3" t="e">
        <f t="shared" si="28"/>
        <v>#DIV/0!</v>
      </c>
      <c r="AM16" s="3">
        <v>0</v>
      </c>
      <c r="AN16" s="6">
        <v>0</v>
      </c>
      <c r="AO16" s="3">
        <f t="shared" si="12"/>
        <v>1257</v>
      </c>
      <c r="AP16" s="3">
        <f t="shared" si="15"/>
        <v>3771</v>
      </c>
      <c r="AQ16" s="6">
        <f t="shared" si="16"/>
        <v>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38</v>
      </c>
      <c r="B17" s="20"/>
      <c r="C17" s="20"/>
      <c r="D17" s="20"/>
      <c r="E17" s="3">
        <f t="shared" si="17"/>
        <v>1240.6896551724137</v>
      </c>
      <c r="F17" s="3">
        <v>3598</v>
      </c>
      <c r="G17" s="6">
        <v>2.9</v>
      </c>
      <c r="H17" s="3">
        <f t="shared" si="18"/>
        <v>1248.1818181818182</v>
      </c>
      <c r="I17" s="3">
        <v>12357</v>
      </c>
      <c r="J17" s="6">
        <v>9.9</v>
      </c>
      <c r="K17" s="3">
        <f t="shared" si="19"/>
        <v>1239</v>
      </c>
      <c r="L17" s="3">
        <v>4956</v>
      </c>
      <c r="M17" s="6">
        <v>4</v>
      </c>
      <c r="N17" s="3" t="e">
        <f t="shared" si="20"/>
        <v>#DIV/0!</v>
      </c>
      <c r="O17" s="3">
        <v>0</v>
      </c>
      <c r="P17" s="6">
        <v>0</v>
      </c>
      <c r="Q17" s="3" t="e">
        <f t="shared" si="21"/>
        <v>#DIV/0!</v>
      </c>
      <c r="R17" s="3">
        <v>0</v>
      </c>
      <c r="S17" s="6">
        <v>0</v>
      </c>
      <c r="T17" s="3" t="e">
        <f t="shared" si="22"/>
        <v>#DIV/0!</v>
      </c>
      <c r="U17" s="3">
        <v>0</v>
      </c>
      <c r="V17" s="6">
        <v>0</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t="e">
        <f t="shared" si="27"/>
        <v>#DIV/0!</v>
      </c>
      <c r="AJ17" s="3">
        <v>0</v>
      </c>
      <c r="AK17" s="6">
        <v>0</v>
      </c>
      <c r="AL17" s="3" t="e">
        <f t="shared" si="28"/>
        <v>#DIV/0!</v>
      </c>
      <c r="AM17" s="3">
        <v>0</v>
      </c>
      <c r="AN17" s="6">
        <v>0</v>
      </c>
      <c r="AO17" s="3">
        <f t="shared" si="12"/>
        <v>1244.702380952381</v>
      </c>
      <c r="AP17" s="3">
        <f t="shared" si="15"/>
        <v>20911</v>
      </c>
      <c r="AQ17" s="6">
        <f t="shared" si="16"/>
        <v>16.8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52</v>
      </c>
      <c r="B18" s="20"/>
      <c r="C18" s="20"/>
      <c r="D18" s="20"/>
      <c r="E18" s="3" t="e">
        <f t="shared" si="17"/>
        <v>#DIV/0!</v>
      </c>
      <c r="F18" s="3">
        <v>0</v>
      </c>
      <c r="G18" s="6">
        <v>0</v>
      </c>
      <c r="H18" s="3" t="e">
        <f t="shared" si="18"/>
        <v>#DIV/0!</v>
      </c>
      <c r="I18" s="3">
        <v>0</v>
      </c>
      <c r="J18" s="6">
        <v>0</v>
      </c>
      <c r="K18" s="3" t="e">
        <f t="shared" si="19"/>
        <v>#DIV/0!</v>
      </c>
      <c r="L18" s="3">
        <v>0</v>
      </c>
      <c r="M18" s="6">
        <v>0</v>
      </c>
      <c r="N18" s="3" t="e">
        <f t="shared" si="20"/>
        <v>#DIV/0!</v>
      </c>
      <c r="O18" s="3">
        <v>0</v>
      </c>
      <c r="P18" s="6">
        <v>0</v>
      </c>
      <c r="Q18" s="3">
        <f t="shared" si="21"/>
        <v>1280.4878048780488</v>
      </c>
      <c r="R18" s="3">
        <v>10500</v>
      </c>
      <c r="S18" s="6">
        <v>8.1999999999999993</v>
      </c>
      <c r="T18" s="3" t="e">
        <f t="shared" si="22"/>
        <v>#DIV/0!</v>
      </c>
      <c r="U18" s="3">
        <v>0</v>
      </c>
      <c r="V18" s="6">
        <v>0</v>
      </c>
      <c r="W18" s="3" t="e">
        <f t="shared" si="23"/>
        <v>#DIV/0!</v>
      </c>
      <c r="X18" s="3">
        <v>0</v>
      </c>
      <c r="Y18" s="6">
        <v>0</v>
      </c>
      <c r="Z18" s="3">
        <f t="shared" si="24"/>
        <v>1144.6153846153845</v>
      </c>
      <c r="AA18" s="3">
        <v>22320</v>
      </c>
      <c r="AB18" s="6">
        <v>19.5</v>
      </c>
      <c r="AC18" s="3" t="e">
        <f t="shared" si="25"/>
        <v>#DIV/0!</v>
      </c>
      <c r="AD18" s="3">
        <v>0</v>
      </c>
      <c r="AE18" s="6">
        <v>0</v>
      </c>
      <c r="AF18" s="3" t="e">
        <f t="shared" si="26"/>
        <v>#DIV/0!</v>
      </c>
      <c r="AG18" s="3">
        <v>0</v>
      </c>
      <c r="AH18" s="6">
        <v>0</v>
      </c>
      <c r="AI18" s="3" t="e">
        <f t="shared" si="27"/>
        <v>#DIV/0!</v>
      </c>
      <c r="AJ18" s="3">
        <v>0</v>
      </c>
      <c r="AK18" s="6">
        <v>0</v>
      </c>
      <c r="AL18" s="3" t="e">
        <f t="shared" si="28"/>
        <v>#DIV/0!</v>
      </c>
      <c r="AM18" s="3">
        <v>0</v>
      </c>
      <c r="AN18" s="6">
        <v>0</v>
      </c>
      <c r="AO18" s="3">
        <f t="shared" si="12"/>
        <v>1184.8375451263539</v>
      </c>
      <c r="AP18" s="3">
        <f t="shared" si="15"/>
        <v>32820</v>
      </c>
      <c r="AQ18" s="6">
        <f t="shared" si="16"/>
        <v>27.7</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46</v>
      </c>
      <c r="B19" s="20"/>
      <c r="C19" s="20"/>
      <c r="D19" s="20"/>
      <c r="E19" s="3" t="e">
        <f t="shared" si="17"/>
        <v>#DIV/0!</v>
      </c>
      <c r="F19" s="3">
        <v>0</v>
      </c>
      <c r="G19" s="6">
        <v>0</v>
      </c>
      <c r="H19" s="3" t="e">
        <f t="shared" si="18"/>
        <v>#DIV/0!</v>
      </c>
      <c r="I19" s="3">
        <v>0</v>
      </c>
      <c r="J19" s="6">
        <v>0</v>
      </c>
      <c r="K19" s="3">
        <f t="shared" si="19"/>
        <v>2032.7906976744187</v>
      </c>
      <c r="L19" s="3">
        <v>26223</v>
      </c>
      <c r="M19" s="6">
        <v>12.9</v>
      </c>
      <c r="N19" s="3" t="e">
        <f t="shared" si="20"/>
        <v>#DIV/0!</v>
      </c>
      <c r="O19" s="3">
        <v>0</v>
      </c>
      <c r="P19" s="6">
        <v>0</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t="e">
        <f t="shared" si="27"/>
        <v>#DIV/0!</v>
      </c>
      <c r="AJ19" s="3">
        <v>0</v>
      </c>
      <c r="AK19" s="6">
        <v>0</v>
      </c>
      <c r="AL19" s="3" t="e">
        <f t="shared" si="28"/>
        <v>#DIV/0!</v>
      </c>
      <c r="AM19" s="3">
        <v>0</v>
      </c>
      <c r="AN19" s="6">
        <v>0</v>
      </c>
      <c r="AO19" s="3">
        <f t="shared" si="12"/>
        <v>2032.7906976744187</v>
      </c>
      <c r="AP19" s="3">
        <f t="shared" si="15"/>
        <v>26223</v>
      </c>
      <c r="AQ19" s="6">
        <f t="shared" si="16"/>
        <v>12.9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47</v>
      </c>
      <c r="B20" s="20"/>
      <c r="C20" s="20"/>
      <c r="D20" s="20"/>
      <c r="E20" s="3">
        <f t="shared" si="17"/>
        <v>1560.8562691131497</v>
      </c>
      <c r="F20" s="3">
        <v>51040</v>
      </c>
      <c r="G20" s="6">
        <v>32.700000000000003</v>
      </c>
      <c r="H20" s="3" t="e">
        <f t="shared" si="18"/>
        <v>#DIV/0!</v>
      </c>
      <c r="I20" s="3">
        <v>0</v>
      </c>
      <c r="J20" s="6">
        <v>0</v>
      </c>
      <c r="K20" s="3">
        <f t="shared" si="19"/>
        <v>1061.7801047120417</v>
      </c>
      <c r="L20" s="3">
        <v>20280</v>
      </c>
      <c r="M20" s="6">
        <v>19.100000000000001</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1376.8339768339767</v>
      </c>
      <c r="AP20" s="3">
        <f t="shared" si="15"/>
        <v>71320</v>
      </c>
      <c r="AQ20" s="6">
        <f t="shared" si="16"/>
        <v>51.800000000000004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48</v>
      </c>
      <c r="B21" s="20"/>
      <c r="C21" s="20"/>
      <c r="D21" s="20"/>
      <c r="E21" s="3" t="e">
        <f t="shared" si="17"/>
        <v>#DIV/0!</v>
      </c>
      <c r="F21" s="3">
        <v>0</v>
      </c>
      <c r="G21" s="6">
        <v>0</v>
      </c>
      <c r="H21" s="3" t="e">
        <f t="shared" si="18"/>
        <v>#DIV/0!</v>
      </c>
      <c r="I21" s="3">
        <v>0</v>
      </c>
      <c r="J21" s="6">
        <v>0</v>
      </c>
      <c r="K21" s="3" t="e">
        <f t="shared" si="19"/>
        <v>#DIV/0!</v>
      </c>
      <c r="L21" s="3">
        <v>0</v>
      </c>
      <c r="M21" s="6">
        <v>0</v>
      </c>
      <c r="N21" s="3" t="e">
        <f t="shared" si="20"/>
        <v>#DIV/0!</v>
      </c>
      <c r="O21" s="3">
        <v>0</v>
      </c>
      <c r="P21" s="6">
        <v>0</v>
      </c>
      <c r="Q21" s="3" t="e">
        <f t="shared" si="21"/>
        <v>#DIV/0!</v>
      </c>
      <c r="R21" s="3">
        <v>0</v>
      </c>
      <c r="S21" s="6">
        <v>0</v>
      </c>
      <c r="T21" s="3" t="e">
        <f t="shared" si="22"/>
        <v>#DIV/0!</v>
      </c>
      <c r="U21" s="3">
        <v>0</v>
      </c>
      <c r="V21" s="6">
        <v>0</v>
      </c>
      <c r="W21" s="3" t="e">
        <f t="shared" si="23"/>
        <v>#DIV/0!</v>
      </c>
      <c r="X21" s="3">
        <v>0</v>
      </c>
      <c r="Y21" s="6">
        <v>0</v>
      </c>
      <c r="Z21" s="3" t="e">
        <f t="shared" si="24"/>
        <v>#DIV/0!</v>
      </c>
      <c r="AA21" s="3">
        <v>0</v>
      </c>
      <c r="AB21" s="6">
        <v>0</v>
      </c>
      <c r="AC21" s="3" t="e">
        <f t="shared" si="25"/>
        <v>#DIV/0!</v>
      </c>
      <c r="AD21" s="3">
        <v>0</v>
      </c>
      <c r="AE21" s="6">
        <v>0</v>
      </c>
      <c r="AF21" s="3">
        <f t="shared" si="26"/>
        <v>1146.875</v>
      </c>
      <c r="AG21" s="3">
        <v>5505</v>
      </c>
      <c r="AH21" s="6">
        <v>4.8</v>
      </c>
      <c r="AI21" s="3" t="e">
        <f t="shared" si="27"/>
        <v>#DIV/0!</v>
      </c>
      <c r="AJ21" s="3">
        <v>0</v>
      </c>
      <c r="AK21" s="6">
        <v>0</v>
      </c>
      <c r="AL21" s="3" t="e">
        <f t="shared" si="28"/>
        <v>#DIV/0!</v>
      </c>
      <c r="AM21" s="3">
        <v>0</v>
      </c>
      <c r="AN21" s="6">
        <v>0</v>
      </c>
      <c r="AO21" s="3">
        <f t="shared" si="12"/>
        <v>1146.875</v>
      </c>
      <c r="AP21" s="3">
        <f t="shared" si="15"/>
        <v>5505</v>
      </c>
      <c r="AQ21" s="6">
        <f t="shared" si="16"/>
        <v>4.8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23</v>
      </c>
      <c r="B22" s="20"/>
      <c r="C22" s="20"/>
      <c r="D22" s="20"/>
      <c r="E22" s="3" t="e">
        <f t="shared" si="17"/>
        <v>#DIV/0!</v>
      </c>
      <c r="F22" s="3">
        <v>0</v>
      </c>
      <c r="G22" s="6">
        <v>0</v>
      </c>
      <c r="H22" s="3" t="e">
        <f t="shared" si="18"/>
        <v>#DIV/0!</v>
      </c>
      <c r="I22" s="3">
        <v>0</v>
      </c>
      <c r="J22" s="6">
        <v>0</v>
      </c>
      <c r="K22" s="3">
        <f t="shared" si="19"/>
        <v>1054.2857142857142</v>
      </c>
      <c r="L22" s="3">
        <v>10332</v>
      </c>
      <c r="M22" s="6">
        <v>9.8000000000000007</v>
      </c>
      <c r="N22" s="3" t="e">
        <f t="shared" si="20"/>
        <v>#DIV/0!</v>
      </c>
      <c r="O22" s="3">
        <v>0</v>
      </c>
      <c r="P22" s="6">
        <v>0</v>
      </c>
      <c r="Q22" s="3" t="e">
        <f t="shared" si="21"/>
        <v>#DIV/0!</v>
      </c>
      <c r="R22" s="3">
        <v>0</v>
      </c>
      <c r="S22" s="6">
        <v>0</v>
      </c>
      <c r="T22" s="3" t="e">
        <f t="shared" si="22"/>
        <v>#DIV/0!</v>
      </c>
      <c r="U22" s="3">
        <v>0</v>
      </c>
      <c r="V22" s="6">
        <v>0</v>
      </c>
      <c r="W22" s="3">
        <f t="shared" si="23"/>
        <v>1161.6666666666665</v>
      </c>
      <c r="X22" s="3">
        <v>6273</v>
      </c>
      <c r="Y22" s="6">
        <v>5.4</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1092.4342105263156</v>
      </c>
      <c r="AP22" s="3">
        <f t="shared" si="15"/>
        <v>16605</v>
      </c>
      <c r="AQ22" s="6">
        <f t="shared" si="16"/>
        <v>15.200000000000001</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18</v>
      </c>
      <c r="B23" s="20"/>
      <c r="C23" s="20"/>
      <c r="D23" s="20"/>
      <c r="E23" s="3">
        <f t="shared" si="17"/>
        <v>1162.3611111111111</v>
      </c>
      <c r="F23" s="3">
        <v>8369</v>
      </c>
      <c r="G23" s="6">
        <v>7.2</v>
      </c>
      <c r="H23" s="3" t="e">
        <f t="shared" si="18"/>
        <v>#DIV/0!</v>
      </c>
      <c r="I23" s="3">
        <v>0</v>
      </c>
      <c r="J23" s="6">
        <v>0</v>
      </c>
      <c r="K23" s="3" t="e">
        <f t="shared" si="19"/>
        <v>#DIV/0!</v>
      </c>
      <c r="L23" s="3">
        <v>0</v>
      </c>
      <c r="M23" s="6">
        <v>0</v>
      </c>
      <c r="N23" s="3">
        <f t="shared" si="20"/>
        <v>1240.4819277108434</v>
      </c>
      <c r="O23" s="3">
        <v>10296</v>
      </c>
      <c r="P23" s="6">
        <v>8.3000000000000007</v>
      </c>
      <c r="Q23" s="3" t="e">
        <f t="shared" si="21"/>
        <v>#DIV/0!</v>
      </c>
      <c r="R23" s="3">
        <v>0</v>
      </c>
      <c r="S23" s="6">
        <v>0</v>
      </c>
      <c r="T23" s="3" t="e">
        <f t="shared" si="22"/>
        <v>#DIV/0!</v>
      </c>
      <c r="U23" s="3">
        <v>0</v>
      </c>
      <c r="V23" s="6">
        <v>0</v>
      </c>
      <c r="W23" s="3" t="e">
        <f t="shared" si="23"/>
        <v>#DIV/0!</v>
      </c>
      <c r="X23" s="3">
        <v>0</v>
      </c>
      <c r="Y23" s="6">
        <v>0</v>
      </c>
      <c r="Z23" s="3">
        <f t="shared" si="24"/>
        <v>1168.75</v>
      </c>
      <c r="AA23" s="3">
        <v>6545</v>
      </c>
      <c r="AB23" s="6">
        <v>5.6</v>
      </c>
      <c r="AC23" s="3">
        <f t="shared" si="25"/>
        <v>1201.0169491525423</v>
      </c>
      <c r="AD23" s="3">
        <v>7086</v>
      </c>
      <c r="AE23" s="6">
        <v>5.9</v>
      </c>
      <c r="AF23" s="3">
        <f t="shared" si="26"/>
        <v>1247.6712328767123</v>
      </c>
      <c r="AG23" s="3">
        <v>9108</v>
      </c>
      <c r="AH23" s="6">
        <v>7.3</v>
      </c>
      <c r="AI23" s="3">
        <f t="shared" si="27"/>
        <v>1246.6666666666665</v>
      </c>
      <c r="AJ23" s="3">
        <v>6732</v>
      </c>
      <c r="AK23" s="6">
        <v>5.4</v>
      </c>
      <c r="AL23" s="3" t="e">
        <f t="shared" si="28"/>
        <v>#DIV/0!</v>
      </c>
      <c r="AM23" s="3">
        <v>0</v>
      </c>
      <c r="AN23" s="6">
        <v>0</v>
      </c>
      <c r="AO23" s="3">
        <f t="shared" si="12"/>
        <v>1212.4937027707811</v>
      </c>
      <c r="AP23" s="3">
        <f t="shared" si="15"/>
        <v>48136</v>
      </c>
      <c r="AQ23" s="6">
        <f t="shared" si="16"/>
        <v>39.699999999999996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45</v>
      </c>
      <c r="B24" s="20"/>
      <c r="C24" s="20"/>
      <c r="D24" s="20"/>
      <c r="E24" s="3" t="e">
        <f t="shared" si="17"/>
        <v>#DIV/0!</v>
      </c>
      <c r="F24" s="3">
        <v>0</v>
      </c>
      <c r="G24" s="6">
        <v>0</v>
      </c>
      <c r="H24" s="3" t="e">
        <f t="shared" si="18"/>
        <v>#DIV/0!</v>
      </c>
      <c r="I24" s="3">
        <v>0</v>
      </c>
      <c r="J24" s="6">
        <v>0</v>
      </c>
      <c r="K24" s="3">
        <f t="shared" si="19"/>
        <v>1120.6896551724137</v>
      </c>
      <c r="L24" s="3">
        <v>26000</v>
      </c>
      <c r="M24" s="6">
        <v>23.2</v>
      </c>
      <c r="N24" s="3" t="e">
        <f t="shared" si="20"/>
        <v>#DIV/0!</v>
      </c>
      <c r="O24" s="3">
        <v>0</v>
      </c>
      <c r="P24" s="6">
        <v>0</v>
      </c>
      <c r="Q24" s="3" t="e">
        <f t="shared" si="21"/>
        <v>#DIV/0!</v>
      </c>
      <c r="R24" s="3">
        <v>0</v>
      </c>
      <c r="S24" s="6">
        <v>0</v>
      </c>
      <c r="T24" s="3" t="e">
        <f t="shared" si="22"/>
        <v>#DIV/0!</v>
      </c>
      <c r="U24" s="3">
        <v>0</v>
      </c>
      <c r="V24" s="6">
        <v>0</v>
      </c>
      <c r="W24" s="3">
        <f t="shared" si="23"/>
        <v>1017.4825174825174</v>
      </c>
      <c r="X24" s="3">
        <v>58200</v>
      </c>
      <c r="Y24" s="6">
        <v>57.2</v>
      </c>
      <c r="Z24" s="3" t="e">
        <f t="shared" si="24"/>
        <v>#DIV/0!</v>
      </c>
      <c r="AA24" s="3">
        <v>0</v>
      </c>
      <c r="AB24" s="6">
        <v>0</v>
      </c>
      <c r="AC24" s="3">
        <f t="shared" si="25"/>
        <v>881.11888111888106</v>
      </c>
      <c r="AD24" s="3">
        <v>50400</v>
      </c>
      <c r="AE24" s="6">
        <v>57.2</v>
      </c>
      <c r="AF24" s="3" t="e">
        <f t="shared" si="26"/>
        <v>#DIV/0!</v>
      </c>
      <c r="AG24" s="3">
        <v>0</v>
      </c>
      <c r="AH24" s="6">
        <v>0</v>
      </c>
      <c r="AI24" s="3" t="e">
        <f t="shared" si="27"/>
        <v>#DIV/0!</v>
      </c>
      <c r="AJ24" s="3">
        <v>0</v>
      </c>
      <c r="AK24" s="6">
        <v>0</v>
      </c>
      <c r="AL24" s="3" t="e">
        <f t="shared" si="28"/>
        <v>#DIV/0!</v>
      </c>
      <c r="AM24" s="3">
        <v>0</v>
      </c>
      <c r="AN24" s="6">
        <v>0</v>
      </c>
      <c r="AO24" s="3">
        <f t="shared" si="12"/>
        <v>978.19767441860449</v>
      </c>
      <c r="AP24" s="3">
        <f t="shared" si="15"/>
        <v>134600</v>
      </c>
      <c r="AQ24" s="6">
        <f t="shared" si="16"/>
        <v>137.60000000000002</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36</v>
      </c>
      <c r="B25" s="20"/>
      <c r="C25" s="20"/>
      <c r="D25" s="20"/>
      <c r="E25" s="3" t="e">
        <f t="shared" si="17"/>
        <v>#DIV/0!</v>
      </c>
      <c r="F25" s="3">
        <v>0</v>
      </c>
      <c r="G25" s="6">
        <v>0</v>
      </c>
      <c r="H25" s="3">
        <f t="shared" si="18"/>
        <v>1378.1746031746031</v>
      </c>
      <c r="I25" s="3">
        <v>34730</v>
      </c>
      <c r="J25" s="6">
        <v>25.2</v>
      </c>
      <c r="K25" s="3">
        <f t="shared" si="19"/>
        <v>1124.70703125</v>
      </c>
      <c r="L25" s="3">
        <v>57585</v>
      </c>
      <c r="M25" s="6">
        <v>51.2</v>
      </c>
      <c r="N25" s="3">
        <f t="shared" si="20"/>
        <v>1369</v>
      </c>
      <c r="O25" s="3">
        <v>53391</v>
      </c>
      <c r="P25" s="6">
        <v>39</v>
      </c>
      <c r="Q25" s="3">
        <f t="shared" si="21"/>
        <v>1135.5140186915889</v>
      </c>
      <c r="R25" s="3">
        <v>24300</v>
      </c>
      <c r="S25" s="6">
        <v>21.4</v>
      </c>
      <c r="T25" s="3" t="e">
        <f t="shared" si="22"/>
        <v>#DIV/0!</v>
      </c>
      <c r="U25" s="3">
        <v>0</v>
      </c>
      <c r="V25" s="6">
        <v>0</v>
      </c>
      <c r="W25" s="3" t="e">
        <f t="shared" si="23"/>
        <v>#DIV/0!</v>
      </c>
      <c r="X25" s="3">
        <v>0</v>
      </c>
      <c r="Y25" s="6">
        <v>0</v>
      </c>
      <c r="Z25" s="3" t="e">
        <f t="shared" si="24"/>
        <v>#DIV/0!</v>
      </c>
      <c r="AA25" s="3">
        <v>0</v>
      </c>
      <c r="AB25" s="6">
        <v>0</v>
      </c>
      <c r="AC25" s="3">
        <f t="shared" si="25"/>
        <v>978.99766899766905</v>
      </c>
      <c r="AD25" s="3">
        <v>41999</v>
      </c>
      <c r="AE25" s="6">
        <v>42.9</v>
      </c>
      <c r="AF25" s="3">
        <f t="shared" si="26"/>
        <v>1255.3</v>
      </c>
      <c r="AG25" s="3">
        <v>25106</v>
      </c>
      <c r="AH25" s="6">
        <v>20</v>
      </c>
      <c r="AI25" s="3">
        <f t="shared" si="27"/>
        <v>1626.8996960486322</v>
      </c>
      <c r="AJ25" s="3">
        <v>53525</v>
      </c>
      <c r="AK25" s="6">
        <v>32.9</v>
      </c>
      <c r="AL25" s="3" t="e">
        <f t="shared" si="28"/>
        <v>#DIV/0!</v>
      </c>
      <c r="AM25" s="3">
        <v>0</v>
      </c>
      <c r="AN25" s="6">
        <v>0</v>
      </c>
      <c r="AO25" s="3">
        <f t="shared" si="12"/>
        <v>1249.5098882201203</v>
      </c>
      <c r="AP25" s="3">
        <f t="shared" si="15"/>
        <v>290636</v>
      </c>
      <c r="AQ25" s="6">
        <f t="shared" si="16"/>
        <v>232.60000000000002</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37</v>
      </c>
      <c r="B26" s="20"/>
      <c r="C26" s="20"/>
      <c r="D26" s="20"/>
      <c r="E26" s="3" t="e">
        <f t="shared" si="17"/>
        <v>#DIV/0!</v>
      </c>
      <c r="F26" s="3">
        <v>0</v>
      </c>
      <c r="G26" s="6">
        <v>0</v>
      </c>
      <c r="H26" s="3" t="e">
        <f t="shared" si="18"/>
        <v>#DIV/0!</v>
      </c>
      <c r="I26" s="3">
        <v>0</v>
      </c>
      <c r="J26" s="6">
        <v>0</v>
      </c>
      <c r="K26" s="3" t="e">
        <f t="shared" si="19"/>
        <v>#DIV/0!</v>
      </c>
      <c r="L26" s="3">
        <v>0</v>
      </c>
      <c r="M26" s="6">
        <v>0</v>
      </c>
      <c r="N26" s="3" t="e">
        <f t="shared" si="20"/>
        <v>#DIV/0!</v>
      </c>
      <c r="O26" s="3">
        <v>0</v>
      </c>
      <c r="P26" s="6">
        <v>0</v>
      </c>
      <c r="Q26" s="3" t="e">
        <f t="shared" si="21"/>
        <v>#DIV/0!</v>
      </c>
      <c r="R26" s="3">
        <v>0</v>
      </c>
      <c r="S26" s="6">
        <v>0</v>
      </c>
      <c r="T26" s="3" t="e">
        <f t="shared" si="22"/>
        <v>#DIV/0!</v>
      </c>
      <c r="U26" s="3">
        <v>0</v>
      </c>
      <c r="V26" s="6">
        <v>0</v>
      </c>
      <c r="W26" s="3" t="e">
        <f t="shared" si="23"/>
        <v>#DIV/0!</v>
      </c>
      <c r="X26" s="3">
        <v>0</v>
      </c>
      <c r="Y26" s="6">
        <v>0</v>
      </c>
      <c r="Z26" s="3" t="e">
        <f t="shared" si="24"/>
        <v>#DIV/0!</v>
      </c>
      <c r="AA26" s="3">
        <v>0</v>
      </c>
      <c r="AB26" s="6">
        <v>0</v>
      </c>
      <c r="AC26" s="3" t="e">
        <f t="shared" si="25"/>
        <v>#DIV/0!</v>
      </c>
      <c r="AD26" s="3">
        <v>0</v>
      </c>
      <c r="AE26" s="6">
        <v>0</v>
      </c>
      <c r="AF26" s="3" t="e">
        <f t="shared" si="26"/>
        <v>#DIV/0!</v>
      </c>
      <c r="AG26" s="3">
        <v>0</v>
      </c>
      <c r="AH26" s="6">
        <v>0</v>
      </c>
      <c r="AI26" s="3">
        <f t="shared" si="27"/>
        <v>1125.4761904761906</v>
      </c>
      <c r="AJ26" s="3">
        <v>28362</v>
      </c>
      <c r="AK26" s="6">
        <v>25.2</v>
      </c>
      <c r="AL26" s="3" t="e">
        <f t="shared" si="28"/>
        <v>#DIV/0!</v>
      </c>
      <c r="AM26" s="3">
        <v>0</v>
      </c>
      <c r="AN26" s="6">
        <v>0</v>
      </c>
      <c r="AO26" s="3">
        <f t="shared" si="12"/>
        <v>1125.4761904761906</v>
      </c>
      <c r="AP26" s="3">
        <f t="shared" si="15"/>
        <v>28362</v>
      </c>
      <c r="AQ26" s="6">
        <f t="shared" si="16"/>
        <v>25.2</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53</v>
      </c>
      <c r="B27" s="20"/>
      <c r="C27" s="20"/>
      <c r="D27" s="20"/>
      <c r="E27" s="3">
        <f t="shared" si="17"/>
        <v>2172.4137931034484</v>
      </c>
      <c r="F27" s="3">
        <v>37800</v>
      </c>
      <c r="G27" s="6">
        <v>17.399999999999999</v>
      </c>
      <c r="H27" s="3" t="e">
        <f t="shared" si="18"/>
        <v>#DIV/0!</v>
      </c>
      <c r="I27" s="3">
        <v>0</v>
      </c>
      <c r="J27" s="6">
        <v>0</v>
      </c>
      <c r="K27" s="3" t="e">
        <f t="shared" si="19"/>
        <v>#DIV/0!</v>
      </c>
      <c r="L27" s="3">
        <v>0</v>
      </c>
      <c r="M27" s="6">
        <v>0</v>
      </c>
      <c r="N27" s="3" t="e">
        <f t="shared" si="20"/>
        <v>#DIV/0!</v>
      </c>
      <c r="O27" s="3">
        <v>0</v>
      </c>
      <c r="P27" s="6">
        <v>0</v>
      </c>
      <c r="Q27" s="3" t="e">
        <f t="shared" si="21"/>
        <v>#DIV/0!</v>
      </c>
      <c r="R27" s="3">
        <v>0</v>
      </c>
      <c r="S27" s="6">
        <v>0</v>
      </c>
      <c r="T27" s="3" t="e">
        <f t="shared" si="22"/>
        <v>#DIV/0!</v>
      </c>
      <c r="U27" s="3">
        <v>0</v>
      </c>
      <c r="V27" s="6">
        <v>0</v>
      </c>
      <c r="W27" s="3" t="e">
        <f t="shared" si="23"/>
        <v>#DIV/0!</v>
      </c>
      <c r="X27" s="3">
        <v>0</v>
      </c>
      <c r="Y27" s="6">
        <v>0</v>
      </c>
      <c r="Z27" s="3" t="e">
        <f t="shared" si="24"/>
        <v>#DIV/0!</v>
      </c>
      <c r="AA27" s="3">
        <v>0</v>
      </c>
      <c r="AB27" s="6">
        <v>0</v>
      </c>
      <c r="AC27" s="3" t="e">
        <f t="shared" si="25"/>
        <v>#DIV/0!</v>
      </c>
      <c r="AD27" s="3">
        <v>0</v>
      </c>
      <c r="AE27" s="6">
        <v>0</v>
      </c>
      <c r="AF27" s="3" t="e">
        <f t="shared" si="26"/>
        <v>#DIV/0!</v>
      </c>
      <c r="AG27" s="3">
        <v>0</v>
      </c>
      <c r="AH27" s="6">
        <v>0</v>
      </c>
      <c r="AI27" s="3" t="e">
        <f t="shared" si="27"/>
        <v>#DIV/0!</v>
      </c>
      <c r="AJ27" s="3">
        <v>0</v>
      </c>
      <c r="AK27" s="6">
        <v>0</v>
      </c>
      <c r="AL27" s="3" t="e">
        <f t="shared" si="28"/>
        <v>#DIV/0!</v>
      </c>
      <c r="AM27" s="3">
        <v>0</v>
      </c>
      <c r="AN27" s="6">
        <v>0</v>
      </c>
      <c r="AO27" s="3">
        <f t="shared" si="12"/>
        <v>2172.4137931034484</v>
      </c>
      <c r="AP27" s="3">
        <f t="shared" si="15"/>
        <v>37800</v>
      </c>
      <c r="AQ27" s="6">
        <f t="shared" si="16"/>
        <v>17.399999999999999</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2" t="s">
        <v>35</v>
      </c>
      <c r="B28" s="21"/>
      <c r="C28" s="21"/>
      <c r="D28" s="21"/>
      <c r="E28" s="9" t="e">
        <f t="shared" si="17"/>
        <v>#DIV/0!</v>
      </c>
      <c r="F28" s="10">
        <v>0</v>
      </c>
      <c r="G28" s="11">
        <v>0</v>
      </c>
      <c r="H28" s="10">
        <f t="shared" si="18"/>
        <v>1136.6883720930232</v>
      </c>
      <c r="I28" s="10">
        <v>122194</v>
      </c>
      <c r="J28" s="11">
        <v>107.5</v>
      </c>
      <c r="K28" s="10">
        <f t="shared" si="19"/>
        <v>1106.0575539568345</v>
      </c>
      <c r="L28" s="10">
        <v>76871</v>
      </c>
      <c r="M28" s="11">
        <v>69.5</v>
      </c>
      <c r="N28" s="10" t="e">
        <f t="shared" si="20"/>
        <v>#DIV/0!</v>
      </c>
      <c r="O28" s="10">
        <v>0</v>
      </c>
      <c r="P28" s="11">
        <v>0</v>
      </c>
      <c r="Q28" s="10" t="e">
        <f t="shared" si="21"/>
        <v>#DIV/0!</v>
      </c>
      <c r="R28" s="10">
        <v>0</v>
      </c>
      <c r="S28" s="11">
        <v>0</v>
      </c>
      <c r="T28" s="10" t="e">
        <f t="shared" si="22"/>
        <v>#DIV/0!</v>
      </c>
      <c r="U28" s="10">
        <v>0</v>
      </c>
      <c r="V28" s="11">
        <v>0</v>
      </c>
      <c r="W28" s="10" t="e">
        <f t="shared" si="23"/>
        <v>#DIV/0!</v>
      </c>
      <c r="X28" s="10">
        <v>0</v>
      </c>
      <c r="Y28" s="11">
        <v>0</v>
      </c>
      <c r="Z28" s="10" t="e">
        <f t="shared" si="24"/>
        <v>#DIV/0!</v>
      </c>
      <c r="AA28" s="10">
        <v>0</v>
      </c>
      <c r="AB28" s="11">
        <v>0</v>
      </c>
      <c r="AC28" s="10" t="e">
        <f t="shared" si="25"/>
        <v>#DIV/0!</v>
      </c>
      <c r="AD28" s="10">
        <v>0</v>
      </c>
      <c r="AE28" s="11">
        <v>0</v>
      </c>
      <c r="AF28" s="10" t="e">
        <f t="shared" si="26"/>
        <v>#DIV/0!</v>
      </c>
      <c r="AG28" s="10">
        <v>0</v>
      </c>
      <c r="AH28" s="11">
        <v>0</v>
      </c>
      <c r="AI28" s="10" t="e">
        <f t="shared" si="27"/>
        <v>#DIV/0!</v>
      </c>
      <c r="AJ28" s="10">
        <v>0</v>
      </c>
      <c r="AK28" s="11">
        <v>0</v>
      </c>
      <c r="AL28" s="10" t="e">
        <f t="shared" si="28"/>
        <v>#DIV/0!</v>
      </c>
      <c r="AM28" s="10">
        <v>0</v>
      </c>
      <c r="AN28" s="11">
        <v>0</v>
      </c>
      <c r="AO28" s="10">
        <f t="shared" si="12"/>
        <v>1124.6610169491526</v>
      </c>
      <c r="AP28" s="10">
        <f t="shared" si="15"/>
        <v>199065</v>
      </c>
      <c r="AQ28" s="11">
        <f t="shared" si="16"/>
        <v>177</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 t="s">
        <v>27</v>
      </c>
      <c r="B29" s="1"/>
    </row>
    <row r="30" spans="1:67" x14ac:dyDescent="0.3">
      <c r="A30" s="1" t="s">
        <v>40</v>
      </c>
      <c r="B30" s="1"/>
    </row>
    <row r="31" spans="1:67" x14ac:dyDescent="0.3">
      <c r="A31" s="1" t="s">
        <v>28</v>
      </c>
      <c r="B31" s="1"/>
    </row>
    <row r="32" spans="1:67" x14ac:dyDescent="0.3">
      <c r="A32" s="1" t="s">
        <v>29</v>
      </c>
      <c r="B32" s="1"/>
    </row>
    <row r="33" spans="1:2" x14ac:dyDescent="0.3">
      <c r="A33" s="1" t="s">
        <v>41</v>
      </c>
      <c r="B33" s="1"/>
    </row>
  </sheetData>
  <mergeCells count="16">
    <mergeCell ref="E1:G1"/>
    <mergeCell ref="H1:J1"/>
    <mergeCell ref="K1:M1"/>
    <mergeCell ref="B3:B28"/>
    <mergeCell ref="C3:C28"/>
    <mergeCell ref="D3:D28"/>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2026-08-07T09:33:10Z</dcterms:modified>
</cp:coreProperties>
</file>