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E5" i="1" l="1"/>
  <c r="H5" i="1"/>
  <c r="K5" i="1"/>
  <c r="Q5" i="1"/>
  <c r="N5" i="1"/>
  <c r="T5" i="1"/>
  <c r="W5" i="1"/>
  <c r="Z5" i="1"/>
  <c r="AC5" i="1"/>
  <c r="AF5" i="1"/>
  <c r="AI5" i="1"/>
  <c r="AL5" i="1"/>
  <c r="AQ5" i="1"/>
  <c r="AP5" i="1"/>
  <c r="AO5" i="1" l="1"/>
  <c r="AQ4" i="1"/>
  <c r="AP4" i="1"/>
  <c r="AN3" i="1"/>
  <c r="AM3" i="1"/>
  <c r="AK3" i="1"/>
  <c r="AJ3" i="1"/>
  <c r="AH3" i="1"/>
  <c r="AG3" i="1"/>
  <c r="AE3" i="1"/>
  <c r="AD3" i="1"/>
  <c r="AB3" i="1"/>
  <c r="AA3" i="1"/>
  <c r="Y3" i="1"/>
  <c r="X3" i="1"/>
  <c r="V3" i="1"/>
  <c r="U3" i="1"/>
  <c r="S3" i="1"/>
  <c r="R3" i="1"/>
  <c r="P3" i="1"/>
  <c r="O3" i="1"/>
  <c r="M3" i="1"/>
  <c r="L3" i="1"/>
  <c r="J3" i="1"/>
  <c r="I3" i="1"/>
  <c r="G3" i="1"/>
  <c r="F3" i="1"/>
  <c r="AQ6" i="1" l="1"/>
  <c r="AP6" i="1"/>
  <c r="AC3" i="1" l="1"/>
  <c r="Q3" i="1"/>
  <c r="AL3" i="1"/>
  <c r="AF3" i="1"/>
  <c r="W3" i="1"/>
  <c r="T3" i="1"/>
  <c r="N3" i="1"/>
  <c r="K3" i="1"/>
  <c r="H3" i="1"/>
  <c r="AP3" i="1"/>
  <c r="AL6" i="1"/>
  <c r="AL4" i="1"/>
  <c r="AI6" i="1"/>
  <c r="AI4" i="1"/>
  <c r="AF6" i="1"/>
  <c r="AF4" i="1"/>
  <c r="AC6" i="1"/>
  <c r="AC4" i="1"/>
  <c r="Z6" i="1"/>
  <c r="Z4" i="1"/>
  <c r="W6" i="1"/>
  <c r="W4" i="1"/>
  <c r="T6" i="1"/>
  <c r="T4" i="1"/>
  <c r="Q6" i="1"/>
  <c r="Q4" i="1"/>
  <c r="N6" i="1"/>
  <c r="N4" i="1"/>
  <c r="K6" i="1"/>
  <c r="K4" i="1"/>
  <c r="H6" i="1"/>
  <c r="H4" i="1"/>
  <c r="E6" i="1"/>
  <c r="E4" i="1"/>
  <c r="AI3" i="1" l="1"/>
  <c r="Z3" i="1"/>
  <c r="E3" i="1"/>
  <c r="AO6"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<sst xmlns="http://schemas.openxmlformats.org/spreadsheetml/2006/main" count="69" uniqueCount="33">
  <si>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</si>
  <si>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</si>
  <si>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</si>
  <si>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</si>
  <si>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</si>
  <si>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</si>
  <si>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</si>
  <si>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</si>
  <si>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</si>
  <si>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</si>
  <si>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</si>
  <si>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</si>
  <si>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</si>
  <si>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</si>
  <si>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</si>
  <si>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</si>
  <si>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</si>
  <si>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</si>
  <si>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Guatemala</t>
  </si>
  <si>
    <t>Notes:</t>
  </si>
  <si>
    <t>Country</t>
    <phoneticPr fontId="18" type="noConversion"/>
  </si>
  <si>
    <t>Value</t>
    <phoneticPr fontId="18" type="noConversion"/>
  </si>
  <si>
    <t>USD</t>
    <phoneticPr fontId="18" type="noConversion"/>
  </si>
  <si>
    <t>Value</t>
    <phoneticPr fontId="18" type="noConversion"/>
  </si>
  <si>
    <t>Netherlands Antilles(*)</t>
  </si>
  <si>
    <t>1. Data Source: U.S. Census Bureau Trade Data</t>
  </si>
  <si>
    <t>Product</t>
    <phoneticPr fontId="18" type="noConversion"/>
  </si>
  <si>
    <t>SOY OIL HYDRGNTD</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</si>
  <si>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</si>
  <si>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</si>
  <si>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</si>
  <si>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</si>
  <si>
    <t>Nicaragua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</si>
</sst>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20</v>
      </c>
      <c r="B2" s="2" t="s">
        <v>26</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7" t="s">
        <v>16</v>
      </c>
      <c r="B3" s="13" t="s">
        <v>27</v>
      </c>
      <c r="C3" s="21" t="s">
        <v>17</v>
      </c>
      <c r="D3" s="21" t="s">
        <v>22</v>
      </c>
      <c r="E3" s="9">
        <f>F3/G3</f>
        <v>1245.0344827586207</v>
      </c>
      <c r="F3" s="10">
        <f>SUM(F4:F6)</f>
        <v>18053</v>
      </c>
      <c r="G3" s="11">
        <f>SUM(G4:G6)</f>
        <v>14.5</v>
      </c>
      <c r="H3" s="10" t="e">
        <f>I3/J3</f>
        <v>#DIV/0!</v>
      </c>
      <c r="I3" s="10">
        <f>SUM(I4:I6)</f>
        <v>0</v>
      </c>
      <c r="J3" s="11">
        <f>SUM(J4:J6)</f>
        <v>0</v>
      </c>
      <c r="K3" s="10">
        <f>L3/M3</f>
        <v>2612.7906976744189</v>
      </c>
      <c r="L3" s="10">
        <f>SUM(L4:L6)</f>
        <v>11235</v>
      </c>
      <c r="M3" s="11">
        <f>SUM(M4:M6)</f>
        <v>4.3</v>
      </c>
      <c r="N3" s="10">
        <f>O3/P3</f>
        <v>1261.986301369863</v>
      </c>
      <c r="O3" s="10">
        <f>SUM(O4:O6)</f>
        <v>18425</v>
      </c>
      <c r="P3" s="11">
        <f>SUM(P4:P6)</f>
        <v>14.6</v>
      </c>
      <c r="Q3" s="10">
        <f>R3/S3</f>
        <v>1302.5925925925926</v>
      </c>
      <c r="R3" s="10">
        <f>SUM(R4:R6)</f>
        <v>3517</v>
      </c>
      <c r="S3" s="11">
        <f>SUM(S4:S6)</f>
        <v>2.7</v>
      </c>
      <c r="T3" s="10" t="e">
        <f>U3/V3</f>
        <v>#DIV/0!</v>
      </c>
      <c r="U3" s="10">
        <f>SUM(U4:U6)</f>
        <v>0</v>
      </c>
      <c r="V3" s="11">
        <f>SUM(V4:V6)</f>
        <v>0</v>
      </c>
      <c r="W3" s="10" t="e">
        <f>X3/Y3</f>
        <v>#DIV/0!</v>
      </c>
      <c r="X3" s="10">
        <f>SUM(X4:X6)</f>
        <v>0</v>
      </c>
      <c r="Y3" s="11">
        <f>SUM(Y4:Y6)</f>
        <v>0</v>
      </c>
      <c r="Z3" s="10">
        <f>AA3/AB3</f>
        <v>1263.913043478261</v>
      </c>
      <c r="AA3" s="10">
        <f>SUM(AA4:AA6)</f>
        <v>5814</v>
      </c>
      <c r="AB3" s="11">
        <f>SUM(AB4:AB6)</f>
        <v>4.5999999999999996</v>
      </c>
      <c r="AC3" s="10">
        <f>AD3/AE3</f>
        <v>1274.4000000000001</v>
      </c>
      <c r="AD3" s="10">
        <f>SUM(AD4:AD6)</f>
        <v>12744</v>
      </c>
      <c r="AE3" s="11">
        <f>SUM(AE4:AE6)</f>
        <v>10</v>
      </c>
      <c r="AF3" s="10">
        <f>AG3/AH3</f>
        <v>1288.6585365853659</v>
      </c>
      <c r="AG3" s="10">
        <f>SUM(AG4:AG6)</f>
        <v>10567</v>
      </c>
      <c r="AH3" s="11">
        <f>SUM(AH4:AH6)</f>
        <v>8.1999999999999993</v>
      </c>
      <c r="AI3" s="10" t="e">
        <f>AJ3/AK3</f>
        <v>#DIV/0!</v>
      </c>
      <c r="AJ3" s="10">
        <f>SUM(AJ4:AJ6)</f>
        <v>0</v>
      </c>
      <c r="AK3" s="11">
        <f>SUM(AK4:AK6)</f>
        <v>0</v>
      </c>
      <c r="AL3" s="10" t="e">
        <f>AM3/AN3</f>
        <v>#DIV/0!</v>
      </c>
      <c r="AM3" s="10">
        <f>SUM(AM4:AM6)</f>
        <v>0</v>
      </c>
      <c r="AN3" s="11">
        <f>SUM(AN4:AN6)</f>
        <v>0</v>
      </c>
      <c r="AO3" s="10">
        <f>AP3/AQ3</f>
        <v>1364.2614601018677</v>
      </c>
      <c r="AP3" s="10">
        <f>SUM(AP4:AP6)</f>
        <v>80355</v>
      </c>
      <c r="AQ3" s="11">
        <f>SUM(AQ4:AQ6)</f>
        <v>58.899999999999991</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18</v>
      </c>
      <c r="B4" s="13"/>
      <c r="C4" s="13"/>
      <c r="D4" s="13"/>
      <c r="E4" s="3">
        <f t="shared" ref="E4:E6" si="0">F4/G4</f>
        <v>1253.6111111111111</v>
      </c>
      <c r="F4" s="3">
        <v>4513</v>
      </c>
      <c r="G4" s="6">
        <v>3.6</v>
      </c>
      <c r="H4" s="3" t="e">
        <f t="shared" ref="H4:H6" si="1">I4/J4</f>
        <v>#DIV/0!</v>
      </c>
      <c r="I4" s="3">
        <v>0</v>
      </c>
      <c r="J4" s="6">
        <v>0</v>
      </c>
      <c r="K4" s="3" t="e">
        <f t="shared" ref="K4:K6" si="2">L4/M4</f>
        <v>#DIV/0!</v>
      </c>
      <c r="L4" s="3">
        <v>0</v>
      </c>
      <c r="M4" s="6">
        <v>0</v>
      </c>
      <c r="N4" s="3" t="e">
        <f t="shared" ref="N4:N6" si="3">O4/P4</f>
        <v>#DIV/0!</v>
      </c>
      <c r="O4" s="3">
        <v>0</v>
      </c>
      <c r="P4" s="6">
        <v>0</v>
      </c>
      <c r="Q4" s="3">
        <f t="shared" ref="Q4:Q6" si="4">R4/S4</f>
        <v>1302.5925925925926</v>
      </c>
      <c r="R4" s="3">
        <v>3517</v>
      </c>
      <c r="S4" s="6">
        <v>2.7</v>
      </c>
      <c r="T4" s="3" t="e">
        <f t="shared" ref="T4:T6" si="5">U4/V4</f>
        <v>#DIV/0!</v>
      </c>
      <c r="U4" s="3">
        <v>0</v>
      </c>
      <c r="V4" s="6">
        <v>0</v>
      </c>
      <c r="W4" s="3" t="e">
        <f t="shared" ref="W4:W6" si="6">X4/Y4</f>
        <v>#DIV/0!</v>
      </c>
      <c r="X4" s="3">
        <v>0</v>
      </c>
      <c r="Y4" s="6">
        <v>0</v>
      </c>
      <c r="Z4" s="3" t="e">
        <f t="shared" ref="Z4:Z6" si="7">AA4/AB4</f>
        <v>#DIV/0!</v>
      </c>
      <c r="AA4" s="3">
        <v>0</v>
      </c>
      <c r="AB4" s="6">
        <v>0</v>
      </c>
      <c r="AC4" s="3">
        <f t="shared" ref="AC4:AC6" si="8">AD4/AE4</f>
        <v>1295.185185185185</v>
      </c>
      <c r="AD4" s="3">
        <v>3497</v>
      </c>
      <c r="AE4" s="6">
        <v>2.7</v>
      </c>
      <c r="AF4" s="3" t="e">
        <f t="shared" ref="AF4:AF6" si="9">AG4/AH4</f>
        <v>#DIV/0!</v>
      </c>
      <c r="AG4" s="3">
        <v>0</v>
      </c>
      <c r="AH4" s="6">
        <v>0</v>
      </c>
      <c r="AI4" s="3" t="e">
        <f t="shared" ref="AI4:AI6" si="10">AJ4/AK4</f>
        <v>#DIV/0!</v>
      </c>
      <c r="AJ4" s="3">
        <v>0</v>
      </c>
      <c r="AK4" s="6">
        <v>0</v>
      </c>
      <c r="AL4" s="3" t="e">
        <f t="shared" ref="AL4:AL6" si="11">AM4/AN4</f>
        <v>#DIV/0!</v>
      </c>
      <c r="AM4" s="3">
        <v>0</v>
      </c>
      <c r="AN4" s="6">
        <v>0</v>
      </c>
      <c r="AO4" s="3">
        <f t="shared" ref="AO4:AO6" si="12">AP4/AQ4</f>
        <v>1280.7777777777778</v>
      </c>
      <c r="AP4" s="3">
        <f t="shared" ref="AP4" si="13">SUM(F4,I4,L4,O4,R4,U4,X4,AA4,AD4,AG4,AJ4,AM4)</f>
        <v>11527</v>
      </c>
      <c r="AQ4" s="6">
        <f t="shared" ref="AQ4" si="14">SUM(G4,J4,M4,P4,S4,V4,Y4,AB4,AE4,AH4,AK4,AN4)</f>
        <v>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24</v>
      </c>
      <c r="B5" s="13"/>
      <c r="C5" s="13"/>
      <c r="D5" s="13"/>
      <c r="E5" s="3">
        <f t="shared" si="0"/>
        <v>1242.2018348623853</v>
      </c>
      <c r="F5" s="3">
        <v>13540</v>
      </c>
      <c r="G5" s="6">
        <v>10.9</v>
      </c>
      <c r="H5" s="3" t="e">
        <f t="shared" si="1"/>
        <v>#DIV/0!</v>
      </c>
      <c r="I5" s="3">
        <v>0</v>
      </c>
      <c r="J5" s="6">
        <v>0</v>
      </c>
      <c r="K5" s="3">
        <f t="shared" si="2"/>
        <v>9397.1428571428569</v>
      </c>
      <c r="L5" s="3">
        <v>6578</v>
      </c>
      <c r="M5" s="6">
        <v>0.7</v>
      </c>
      <c r="N5" s="3">
        <f t="shared" si="3"/>
        <v>1261.986301369863</v>
      </c>
      <c r="O5" s="3">
        <v>18425</v>
      </c>
      <c r="P5" s="6">
        <v>14.6</v>
      </c>
      <c r="Q5" s="3" t="e">
        <f t="shared" si="4"/>
        <v>#DIV/0!</v>
      </c>
      <c r="R5" s="3">
        <v>0</v>
      </c>
      <c r="S5" s="6">
        <v>0</v>
      </c>
      <c r="T5" s="3" t="e">
        <f t="shared" si="5"/>
        <v>#DIV/0!</v>
      </c>
      <c r="U5" s="3">
        <v>0</v>
      </c>
      <c r="V5" s="6">
        <v>0</v>
      </c>
      <c r="W5" s="3" t="e">
        <f t="shared" si="6"/>
        <v>#DIV/0!</v>
      </c>
      <c r="X5" s="3">
        <v>0</v>
      </c>
      <c r="Y5" s="6">
        <v>0</v>
      </c>
      <c r="Z5" s="3">
        <f t="shared" si="7"/>
        <v>1263.913043478261</v>
      </c>
      <c r="AA5" s="3">
        <v>5814</v>
      </c>
      <c r="AB5" s="6">
        <v>4.5999999999999996</v>
      </c>
      <c r="AC5" s="3">
        <f t="shared" si="8"/>
        <v>1266.7123287671234</v>
      </c>
      <c r="AD5" s="3">
        <v>9247</v>
      </c>
      <c r="AE5" s="6">
        <v>7.3</v>
      </c>
      <c r="AF5" s="3">
        <f t="shared" si="9"/>
        <v>1284.1818181818182</v>
      </c>
      <c r="AG5" s="3">
        <v>7063</v>
      </c>
      <c r="AH5" s="6">
        <v>5.5</v>
      </c>
      <c r="AI5" s="3" t="e">
        <f t="shared" si="10"/>
        <v>#DIV/0!</v>
      </c>
      <c r="AJ5" s="3">
        <v>0</v>
      </c>
      <c r="AK5" s="6">
        <v>0</v>
      </c>
      <c r="AL5" s="3" t="e">
        <f t="shared" si="11"/>
        <v>#DIV/0!</v>
      </c>
      <c r="AM5" s="3">
        <v>0</v>
      </c>
      <c r="AN5" s="6">
        <v>0</v>
      </c>
      <c r="AO5" s="3">
        <f t="shared" ref="AO5" si="15">AP5/AQ5</f>
        <v>1391.4449541284405</v>
      </c>
      <c r="AP5" s="3">
        <f t="shared" ref="AP5" si="16">SUM(F5,I5,L5,O5,R5,U5,X5,AA5,AD5,AG5,AJ5,AM5)</f>
        <v>60667</v>
      </c>
      <c r="AQ5" s="6">
        <f t="shared" ref="AQ5" si="17">SUM(G5,J5,M5,P5,S5,V5,Y5,AB5,AE5,AH5,AK5,AN5)</f>
        <v>43.599999999999994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2" t="s">
        <v>32</v>
      </c>
      <c r="B6" s="14"/>
      <c r="C6" s="14"/>
      <c r="D6" s="14"/>
      <c r="E6" s="9" t="e">
        <f t="shared" si="0"/>
        <v>#DIV/0!</v>
      </c>
      <c r="F6" s="10">
        <v>0</v>
      </c>
      <c r="G6" s="11">
        <v>0</v>
      </c>
      <c r="H6" s="10" t="e">
        <f t="shared" si="1"/>
        <v>#DIV/0!</v>
      </c>
      <c r="I6" s="10">
        <v>0</v>
      </c>
      <c r="J6" s="11">
        <v>0</v>
      </c>
      <c r="K6" s="10">
        <f t="shared" si="2"/>
        <v>1293.6111111111111</v>
      </c>
      <c r="L6" s="10">
        <v>4657</v>
      </c>
      <c r="M6" s="11">
        <v>3.6</v>
      </c>
      <c r="N6" s="10" t="e">
        <f t="shared" si="3"/>
        <v>#DIV/0!</v>
      </c>
      <c r="O6" s="10">
        <v>0</v>
      </c>
      <c r="P6" s="11">
        <v>0</v>
      </c>
      <c r="Q6" s="10" t="e">
        <f t="shared" si="4"/>
        <v>#DIV/0!</v>
      </c>
      <c r="R6" s="10">
        <v>0</v>
      </c>
      <c r="S6" s="11">
        <v>0</v>
      </c>
      <c r="T6" s="10" t="e">
        <f t="shared" si="5"/>
        <v>#DIV/0!</v>
      </c>
      <c r="U6" s="10">
        <v>0</v>
      </c>
      <c r="V6" s="11">
        <v>0</v>
      </c>
      <c r="W6" s="10" t="e">
        <f t="shared" si="6"/>
        <v>#DIV/0!</v>
      </c>
      <c r="X6" s="10">
        <v>0</v>
      </c>
      <c r="Y6" s="11">
        <v>0</v>
      </c>
      <c r="Z6" s="10" t="e">
        <f t="shared" si="7"/>
        <v>#DIV/0!</v>
      </c>
      <c r="AA6" s="10">
        <v>0</v>
      </c>
      <c r="AB6" s="11">
        <v>0</v>
      </c>
      <c r="AC6" s="10" t="e">
        <f t="shared" si="8"/>
        <v>#DIV/0!</v>
      </c>
      <c r="AD6" s="10">
        <v>0</v>
      </c>
      <c r="AE6" s="11">
        <v>0</v>
      </c>
      <c r="AF6" s="10">
        <f t="shared" si="9"/>
        <v>1297.7777777777776</v>
      </c>
      <c r="AG6" s="10">
        <v>3504</v>
      </c>
      <c r="AH6" s="11">
        <v>2.7</v>
      </c>
      <c r="AI6" s="10" t="e">
        <f t="shared" si="10"/>
        <v>#DIV/0!</v>
      </c>
      <c r="AJ6" s="10">
        <v>0</v>
      </c>
      <c r="AK6" s="11">
        <v>0</v>
      </c>
      <c r="AL6" s="10" t="e">
        <f t="shared" si="11"/>
        <v>#DIV/0!</v>
      </c>
      <c r="AM6" s="10">
        <v>0</v>
      </c>
      <c r="AN6" s="11">
        <v>0</v>
      </c>
      <c r="AO6" s="10">
        <f t="shared" si="12"/>
        <v>1295.3968253968253</v>
      </c>
      <c r="AP6" s="10">
        <f t="shared" ref="AP6" si="18">SUM(F6,I6,L6,O6,R6,U6,X6,AA6,AD6,AG6,AJ6,AM6)</f>
        <v>8161</v>
      </c>
      <c r="AQ6" s="11">
        <f t="shared" ref="AQ6" si="19">SUM(G6,J6,M6,P6,S6,V6,Y6,AB6,AE6,AH6,AK6,AN6)</f>
        <v>6.3000000000000007</v>
      </c>
      <c r="AR6" s="3"/>
      <c r="AS6" s="3"/>
      <c r="AT6" s="3"/>
      <c r="AU6" s="3"/>
      <c r="AV6" s="3"/>
      <c r="AW6" s="3"/>
      <c r="AX6" s="3"/>
      <c r="AY6" s="3"/>
      <c r="AZ6" s="3"/>
      <c r="BA6" s="3"/>
      <c r="BB6" s="3"/>
      <c r="BC6" s="3"/>
      <c r="BD6" s="3"/>
      <c r="BE6" s="3"/>
      <c r="BF6" s="3"/>
      <c r="BG6" s="3"/>
      <c r="BH6" s="3"/>
      <c r="BI6" s="3"/>
      <c r="BJ6" s="3"/>
      <c r="BK6" s="3"/>
      <c r="BL6" s="3"/>
      <c r="BM6" s="3"/>
      <c r="BN6" s="3"/>
      <c r="BO6" s="3"/>
    </row>
    <row r="7" spans="1:67" x14ac:dyDescent="0.3">
      <c r="A7" s="1" t="s">
        <v>19</v>
      </c>
      <c r="B7" s="1"/>
    </row>
    <row r="8" spans="1:67" x14ac:dyDescent="0.3">
      <c r="A8" s="1" t="s">
        <v>25</v>
      </c>
      <c r="B8" s="1"/>
    </row>
    <row r="9" spans="1:67" x14ac:dyDescent="0.3">
      <c r="A9" s="1" t="s">
        <v>31</v>
      </c>
      <c r="B9" s="1"/>
    </row>
    <row r="10" spans="1:67" x14ac:dyDescent="0.3">
      <c r="A10" s="1" t="s">
        <v>28</v>
      </c>
      <c r="B10" s="1"/>
    </row>
    <row r="11" spans="1:67" x14ac:dyDescent="0.3">
      <c r="A11" s="1" t="s">
        <v>29</v>
      </c>
      <c r="B11" s="1"/>
    </row>
    <row r="12" spans="1:67" x14ac:dyDescent="0.3">
      <c r="A12" s="1" t="s">
        <v>30</v>
      </c>
      <c r="B12" s="1"/>
    </row>
  </sheetData>
  <mergeCells count="16">
    <mergeCell ref="N1:P1"/>
    <mergeCell ref="Q1:S1"/>
    <mergeCell ref="T1:V1"/>
    <mergeCell ref="AL1:AN1"/>
    <mergeCell ref="AO1:AQ1"/>
    <mergeCell ref="W1:Y1"/>
    <mergeCell ref="Z1:AB1"/>
    <mergeCell ref="AC1:AE1"/>
    <mergeCell ref="AF1:AH1"/>
    <mergeCell ref="AI1:AK1"/>
    <mergeCell ref="B3:B6"/>
    <mergeCell ref="E1:G1"/>
    <mergeCell ref="H1:J1"/>
    <mergeCell ref="K1:M1"/>
    <mergeCell ref="C3:C6"/>
    <mergeCell ref="D3:D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2026-08-10T09:02:29Z</dcterms:modified>
</cp:coreProperties>
</file>