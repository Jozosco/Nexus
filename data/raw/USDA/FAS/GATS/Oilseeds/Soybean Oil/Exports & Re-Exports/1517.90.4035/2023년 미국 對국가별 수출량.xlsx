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Q28" i="1" l="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28" i="1"/>
  <c r="AL27" i="1"/>
  <c r="AL26" i="1"/>
  <c r="AL25" i="1"/>
  <c r="AL24" i="1"/>
  <c r="AL23" i="1"/>
  <c r="AL22" i="1"/>
  <c r="AL21" i="1"/>
  <c r="AL20" i="1"/>
  <c r="AL19" i="1"/>
  <c r="AL18" i="1"/>
  <c r="AL17" i="1"/>
  <c r="AL16" i="1"/>
  <c r="AL15" i="1"/>
  <c r="AL14" i="1"/>
  <c r="AL13" i="1"/>
  <c r="AL12" i="1"/>
  <c r="AL11" i="1"/>
  <c r="AL10" i="1"/>
  <c r="AL9" i="1"/>
  <c r="AL8" i="1"/>
  <c r="AL7" i="1"/>
  <c r="AL6" i="1"/>
  <c r="AL5" i="1"/>
  <c r="AL4" i="1"/>
  <c r="AI28" i="1"/>
  <c r="AI27" i="1"/>
  <c r="AI26" i="1"/>
  <c r="AI25" i="1"/>
  <c r="AI24" i="1"/>
  <c r="AI23" i="1"/>
  <c r="AI22" i="1"/>
  <c r="AI21" i="1"/>
  <c r="AI20" i="1"/>
  <c r="AI19" i="1"/>
  <c r="AI18" i="1"/>
  <c r="AI17" i="1"/>
  <c r="AI16" i="1"/>
  <c r="AI15" i="1"/>
  <c r="AI14" i="1"/>
  <c r="AI13" i="1"/>
  <c r="AI12" i="1"/>
  <c r="AI11" i="1"/>
  <c r="AI10" i="1"/>
  <c r="AI9" i="1"/>
  <c r="AI8" i="1"/>
  <c r="AI7" i="1"/>
  <c r="AI6" i="1"/>
  <c r="AI5" i="1"/>
  <c r="AI4" i="1"/>
  <c r="AF28" i="1"/>
  <c r="AF27" i="1"/>
  <c r="AF26" i="1"/>
  <c r="AF25" i="1"/>
  <c r="AF24" i="1"/>
  <c r="AF23" i="1"/>
  <c r="AF22" i="1"/>
  <c r="AF21" i="1"/>
  <c r="AF20" i="1"/>
  <c r="AF19" i="1"/>
  <c r="AF18" i="1"/>
  <c r="AF17" i="1"/>
  <c r="AF16" i="1"/>
  <c r="AF15" i="1"/>
  <c r="AF14" i="1"/>
  <c r="AF13" i="1"/>
  <c r="AF12" i="1"/>
  <c r="AF11" i="1"/>
  <c r="AF10" i="1"/>
  <c r="AF9" i="1"/>
  <c r="AF8" i="1"/>
  <c r="AF7" i="1"/>
  <c r="AF6" i="1"/>
  <c r="AF5" i="1"/>
  <c r="AF4" i="1"/>
  <c r="AC28" i="1"/>
  <c r="AC27" i="1"/>
  <c r="AC26" i="1"/>
  <c r="AC25" i="1"/>
  <c r="AC24" i="1"/>
  <c r="AC23" i="1"/>
  <c r="AC22" i="1"/>
  <c r="AC21" i="1"/>
  <c r="AC20" i="1"/>
  <c r="AC19" i="1"/>
  <c r="AC18" i="1"/>
  <c r="AC17" i="1"/>
  <c r="AC16" i="1"/>
  <c r="AC15" i="1"/>
  <c r="AC14" i="1"/>
  <c r="AC13" i="1"/>
  <c r="AC12" i="1"/>
  <c r="AC11" i="1"/>
  <c r="AC10" i="1"/>
  <c r="AC9" i="1"/>
  <c r="AC8" i="1"/>
  <c r="AC7" i="1"/>
  <c r="AC6" i="1"/>
  <c r="AC5" i="1"/>
  <c r="AC4" i="1"/>
  <c r="Z28" i="1"/>
  <c r="Z27" i="1"/>
  <c r="Z26" i="1"/>
  <c r="Z25" i="1"/>
  <c r="Z24" i="1"/>
  <c r="Z23" i="1"/>
  <c r="Z22" i="1"/>
  <c r="Z21" i="1"/>
  <c r="Z20" i="1"/>
  <c r="Z19" i="1"/>
  <c r="Z18" i="1"/>
  <c r="Z17" i="1"/>
  <c r="Z16" i="1"/>
  <c r="Z15" i="1"/>
  <c r="Z14" i="1"/>
  <c r="Z13" i="1"/>
  <c r="Z12" i="1"/>
  <c r="Z11" i="1"/>
  <c r="Z10" i="1"/>
  <c r="Z9" i="1"/>
  <c r="Z8" i="1"/>
  <c r="Z7" i="1"/>
  <c r="Z6" i="1"/>
  <c r="Z5" i="1"/>
  <c r="Z4" i="1"/>
  <c r="W28" i="1"/>
  <c r="W27" i="1"/>
  <c r="W26" i="1"/>
  <c r="W25" i="1"/>
  <c r="W24" i="1"/>
  <c r="W23" i="1"/>
  <c r="W22" i="1"/>
  <c r="W21" i="1"/>
  <c r="W20" i="1"/>
  <c r="W19" i="1"/>
  <c r="W18" i="1"/>
  <c r="W17" i="1"/>
  <c r="W16" i="1"/>
  <c r="W15" i="1"/>
  <c r="W14" i="1"/>
  <c r="W13" i="1"/>
  <c r="W12" i="1"/>
  <c r="W11" i="1"/>
  <c r="W10" i="1"/>
  <c r="W9" i="1"/>
  <c r="W8" i="1"/>
  <c r="W7" i="1"/>
  <c r="W6" i="1"/>
  <c r="W5" i="1"/>
  <c r="W4" i="1"/>
  <c r="T28" i="1"/>
  <c r="T27" i="1"/>
  <c r="T26" i="1"/>
  <c r="T25" i="1"/>
  <c r="T24" i="1"/>
  <c r="T23" i="1"/>
  <c r="T22" i="1"/>
  <c r="T21" i="1"/>
  <c r="T20" i="1"/>
  <c r="T19" i="1"/>
  <c r="T18" i="1"/>
  <c r="T17" i="1"/>
  <c r="T16" i="1"/>
  <c r="T15" i="1"/>
  <c r="T14" i="1"/>
  <c r="T13" i="1"/>
  <c r="T12" i="1"/>
  <c r="T11" i="1"/>
  <c r="T10" i="1"/>
  <c r="T9" i="1"/>
  <c r="T8" i="1"/>
  <c r="T7" i="1"/>
  <c r="T6" i="1"/>
  <c r="T5" i="1"/>
  <c r="T4" i="1"/>
  <c r="Q28" i="1"/>
  <c r="Q27" i="1"/>
  <c r="Q26" i="1"/>
  <c r="Q25" i="1"/>
  <c r="Q24" i="1"/>
  <c r="Q23" i="1"/>
  <c r="Q22" i="1"/>
  <c r="Q21" i="1"/>
  <c r="Q20" i="1"/>
  <c r="Q19" i="1"/>
  <c r="Q18" i="1"/>
  <c r="Q17" i="1"/>
  <c r="Q16" i="1"/>
  <c r="Q15" i="1"/>
  <c r="Q14" i="1"/>
  <c r="Q13" i="1"/>
  <c r="Q12" i="1"/>
  <c r="Q11" i="1"/>
  <c r="Q10" i="1"/>
  <c r="Q9" i="1"/>
  <c r="Q8" i="1"/>
  <c r="Q7" i="1"/>
  <c r="Q6" i="1"/>
  <c r="Q5" i="1"/>
  <c r="Q4" i="1"/>
  <c r="N28" i="1"/>
  <c r="N27" i="1"/>
  <c r="N26" i="1"/>
  <c r="N25" i="1"/>
  <c r="N24" i="1"/>
  <c r="N23" i="1"/>
  <c r="N22" i="1"/>
  <c r="N21" i="1"/>
  <c r="N20" i="1"/>
  <c r="N19" i="1"/>
  <c r="N18" i="1"/>
  <c r="N17" i="1"/>
  <c r="N16" i="1"/>
  <c r="N15" i="1"/>
  <c r="N14" i="1"/>
  <c r="N13" i="1"/>
  <c r="N12" i="1"/>
  <c r="N11" i="1"/>
  <c r="N10" i="1"/>
  <c r="N9" i="1"/>
  <c r="N8" i="1"/>
  <c r="N7" i="1"/>
  <c r="N6" i="1"/>
  <c r="N5" i="1"/>
  <c r="N4" i="1"/>
  <c r="K28" i="1"/>
  <c r="K27" i="1"/>
  <c r="K26" i="1"/>
  <c r="K25" i="1"/>
  <c r="K24" i="1"/>
  <c r="K23" i="1"/>
  <c r="K22" i="1"/>
  <c r="K21" i="1"/>
  <c r="K20" i="1"/>
  <c r="K19" i="1"/>
  <c r="K18" i="1"/>
  <c r="K17" i="1"/>
  <c r="K16" i="1"/>
  <c r="K15" i="1"/>
  <c r="K14" i="1"/>
  <c r="K13" i="1"/>
  <c r="K12" i="1"/>
  <c r="K11" i="1"/>
  <c r="K10" i="1"/>
  <c r="K9" i="1"/>
  <c r="K8" i="1"/>
  <c r="K7" i="1"/>
  <c r="K6" i="1"/>
  <c r="K5" i="1"/>
  <c r="K4" i="1"/>
  <c r="H28" i="1"/>
  <c r="H27" i="1"/>
  <c r="H26" i="1"/>
  <c r="H25" i="1"/>
  <c r="H24" i="1"/>
  <c r="H23" i="1"/>
  <c r="H22" i="1"/>
  <c r="H21" i="1"/>
  <c r="H20" i="1"/>
  <c r="H19" i="1"/>
  <c r="H18" i="1"/>
  <c r="H17" i="1"/>
  <c r="H16" i="1"/>
  <c r="H15" i="1"/>
  <c r="H14" i="1"/>
  <c r="H13" i="1"/>
  <c r="H12" i="1"/>
  <c r="H11" i="1"/>
  <c r="H10" i="1"/>
  <c r="H9" i="1"/>
  <c r="H8" i="1"/>
  <c r="H7" i="1"/>
  <c r="H6" i="1"/>
  <c r="H5" i="1"/>
  <c r="H4"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7" i="1"/>
  <c r="AO20" i="1"/>
  <c r="AO28" i="1"/>
  <c r="AO5" i="1"/>
  <c r="AO13" i="1"/>
  <c r="AO21" i="1"/>
  <c r="AO6" i="1"/>
  <c r="AO14" i="1"/>
  <c r="AO22" i="1"/>
  <c r="AO8" i="1"/>
  <c r="AO16" i="1"/>
  <c r="AO24" i="1"/>
  <c r="AO9" i="1"/>
  <c r="AO17" i="1"/>
  <c r="AO25" i="1"/>
  <c r="AO19" i="1"/>
  <c r="AO23" i="1"/>
  <c r="AO3" i="1" l="1"/>
  <c r="AO4" i="1"/>
  <c r="AO12" i="1"/>
</calcChain>
</file>

<file path=xl/sharedStrings.xml><?xml version="1.0" encoding="utf-8"?>
<sst xmlns="http://schemas.openxmlformats.org/spreadsheetml/2006/main" count="90" uniqueCount="54">
  <si>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</si>
  <si>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</si>
  <si>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</si>
  <si>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</si>
  <si>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</si>
  <si>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</si>
  <si>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</si>
  <si>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</si>
  <si>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</si>
  <si>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</si>
  <si>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</si>
  <si>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</si>
  <si>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</si>
  <si>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</si>
  <si>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</si>
  <si>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</si>
  <si>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</si>
  <si>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</si>
  <si>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</si>
  <si>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Jamaica</t>
  </si>
  <si>
    <t>Mexico</t>
  </si>
  <si>
    <t>Bahamas, The</t>
  </si>
  <si>
    <t>Belize</t>
  </si>
  <si>
    <t>Guatemala</t>
  </si>
  <si>
    <t>Honduras</t>
  </si>
  <si>
    <t>Panama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</si>
  <si>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</si>
  <si>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</si>
  <si>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</si>
  <si>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</si>
  <si>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</si>
  <si>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</si>
  <si>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</si>
  <si>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</si>
  <si>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</si>
  <si>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</si>
  <si>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Lebanon</t>
  </si>
  <si>
    <t>Cayman Islands</t>
  </si>
  <si>
    <t>Bermuda</t>
  </si>
  <si>
    <t>1. Data Source: U.S. Census Bureau Trade Data</t>
  </si>
  <si>
    <t>4. Product Group : Harmonized</t>
  </si>
  <si>
    <t>Product</t>
    <phoneticPr fontId="18" type="noConversion"/>
  </si>
  <si>
    <t>Qatar</t>
  </si>
  <si>
    <t>Turks and Caicos Islands</t>
  </si>
  <si>
    <t>SOY OIL HYDRGNTD</t>
    <phoneticPr fontId="18" type="noConversion"/>
  </si>
  <si>
    <t>Barbados</t>
  </si>
  <si>
    <t>Costa Rica</t>
  </si>
  <si>
    <t>Korea, South</t>
  </si>
  <si>
    <t>Bahrain</t>
  </si>
  <si>
    <t>Haiti</t>
  </si>
  <si>
    <t>Jordan</t>
  </si>
  <si>
    <t>Netherlands</t>
  </si>
  <si>
    <t>Australia(*)</t>
  </si>
  <si>
    <t>Ghana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</si>
</sst>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3"/>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30</v>
      </c>
      <c r="B2" s="2" t="s">
        <v>41</v>
      </c>
      <c r="C2" s="2" t="s">
        <v>13</v>
      </c>
      <c r="D2" s="2" t="s">
        <v>31</v>
      </c>
      <c r="E2" s="4" t="s">
        <v>14</v>
      </c>
      <c r="F2" s="2" t="s">
        <v>31</v>
      </c>
      <c r="G2" s="5" t="s">
        <v>15</v>
      </c>
      <c r="H2" s="2" t="s">
        <v>14</v>
      </c>
      <c r="I2" s="2" t="s">
        <v>31</v>
      </c>
      <c r="J2" s="5" t="s">
        <v>15</v>
      </c>
      <c r="K2" s="2" t="s">
        <v>14</v>
      </c>
      <c r="L2" s="2" t="s">
        <v>31</v>
      </c>
      <c r="M2" s="5" t="s">
        <v>15</v>
      </c>
      <c r="N2" s="2" t="s">
        <v>14</v>
      </c>
      <c r="O2" s="2" t="s">
        <v>31</v>
      </c>
      <c r="P2" s="5" t="s">
        <v>15</v>
      </c>
      <c r="Q2" s="2" t="s">
        <v>14</v>
      </c>
      <c r="R2" s="2" t="s">
        <v>31</v>
      </c>
      <c r="S2" s="5" t="s">
        <v>15</v>
      </c>
      <c r="T2" s="2" t="s">
        <v>14</v>
      </c>
      <c r="U2" s="2" t="s">
        <v>31</v>
      </c>
      <c r="V2" s="5" t="s">
        <v>15</v>
      </c>
      <c r="W2" s="2" t="s">
        <v>14</v>
      </c>
      <c r="X2" s="2" t="s">
        <v>31</v>
      </c>
      <c r="Y2" s="5" t="s">
        <v>15</v>
      </c>
      <c r="Z2" s="2" t="s">
        <v>14</v>
      </c>
      <c r="AA2" s="2" t="s">
        <v>31</v>
      </c>
      <c r="AB2" s="5" t="s">
        <v>15</v>
      </c>
      <c r="AC2" s="2" t="s">
        <v>14</v>
      </c>
      <c r="AD2" s="2" t="s">
        <v>31</v>
      </c>
      <c r="AE2" s="5" t="s">
        <v>15</v>
      </c>
      <c r="AF2" s="2" t="s">
        <v>14</v>
      </c>
      <c r="AG2" s="2" t="s">
        <v>31</v>
      </c>
      <c r="AH2" s="5" t="s">
        <v>15</v>
      </c>
      <c r="AI2" s="2" t="s">
        <v>14</v>
      </c>
      <c r="AJ2" s="2" t="s">
        <v>31</v>
      </c>
      <c r="AK2" s="5" t="s">
        <v>15</v>
      </c>
      <c r="AL2" s="2" t="s">
        <v>14</v>
      </c>
      <c r="AM2" s="2" t="s">
        <v>31</v>
      </c>
      <c r="AN2" s="5" t="s">
        <v>15</v>
      </c>
      <c r="AO2" s="2" t="s">
        <v>14</v>
      </c>
      <c r="AP2" s="2" t="s">
        <v>33</v>
      </c>
      <c r="AQ2" s="5" t="s">
        <v>15</v>
      </c>
    </row>
    <row r="3" spans="1:67" ht="15" customHeight="1" x14ac:dyDescent="0.3">
      <c r="A3" s="7" t="s">
        <v>16</v>
      </c>
      <c r="B3" s="19" t="s">
        <v>44</v>
      </c>
      <c r="C3" s="19" t="s">
        <v>17</v>
      </c>
      <c r="D3" s="19" t="s">
        <v>32</v>
      </c>
      <c r="E3" s="10">
        <f>F3/G3</f>
        <v>2497.5296580600134</v>
      </c>
      <c r="F3" s="10">
        <f>SUM(F4:F28)</f>
        <v>715792</v>
      </c>
      <c r="G3" s="11">
        <f>SUM(G4:G28)</f>
        <v>286.60000000000008</v>
      </c>
      <c r="H3" s="10">
        <f>I3/J3</f>
        <v>2050.7776560788607</v>
      </c>
      <c r="I3" s="10">
        <f>SUM(I4:I28)</f>
        <v>374472</v>
      </c>
      <c r="J3" s="11">
        <f>SUM(J4:J28)</f>
        <v>182.60000000000002</v>
      </c>
      <c r="K3" s="10">
        <f>L3/M3</f>
        <v>2518.4104852203009</v>
      </c>
      <c r="L3" s="10">
        <f>SUM(L4:L28)</f>
        <v>451551</v>
      </c>
      <c r="M3" s="11">
        <f>SUM(M4:M28)</f>
        <v>179.3</v>
      </c>
      <c r="N3" s="10">
        <f>O3/P3</f>
        <v>2342.8907922912204</v>
      </c>
      <c r="O3" s="10">
        <f>SUM(O4:O28)</f>
        <v>437652</v>
      </c>
      <c r="P3" s="11">
        <f>SUM(P4:P28)</f>
        <v>186.8</v>
      </c>
      <c r="Q3" s="10">
        <f>R3/S3</f>
        <v>2357.6798029556649</v>
      </c>
      <c r="R3" s="10">
        <f>SUM(R4:R28)</f>
        <v>478609</v>
      </c>
      <c r="S3" s="11">
        <f>SUM(S4:S28)</f>
        <v>203</v>
      </c>
      <c r="T3" s="10">
        <f>U3/V3</f>
        <v>2474.0709329221281</v>
      </c>
      <c r="U3" s="10">
        <f>SUM(U4:U28)</f>
        <v>641774</v>
      </c>
      <c r="V3" s="11">
        <f>SUM(V4:V28)</f>
        <v>259.39999999999998</v>
      </c>
      <c r="W3" s="10">
        <f>X3/Y3</f>
        <v>2042.807453416149</v>
      </c>
      <c r="X3" s="10">
        <f>SUM(X4:X28)</f>
        <v>328892</v>
      </c>
      <c r="Y3" s="11">
        <f>SUM(Y4:Y28)</f>
        <v>161</v>
      </c>
      <c r="Z3" s="10">
        <f>AA3/AB3</f>
        <v>2237.9905660377358</v>
      </c>
      <c r="AA3" s="10">
        <f>SUM(AA4:AA28)</f>
        <v>237227</v>
      </c>
      <c r="AB3" s="11">
        <f>SUM(AB4:AB28)</f>
        <v>106</v>
      </c>
      <c r="AC3" s="10">
        <f>AD3/AE3</f>
        <v>2396.7714766984841</v>
      </c>
      <c r="AD3" s="10">
        <f>SUM(AD4:AD28)</f>
        <v>426865</v>
      </c>
      <c r="AE3" s="11">
        <f>SUM(AE4:AE28)</f>
        <v>178.1</v>
      </c>
      <c r="AF3" s="10">
        <f>AG3/AH3</f>
        <v>2391.7373853211006</v>
      </c>
      <c r="AG3" s="10">
        <f>SUM(AG4:AG28)</f>
        <v>417119</v>
      </c>
      <c r="AH3" s="11">
        <f>SUM(AH4:AH28)</f>
        <v>174.4</v>
      </c>
      <c r="AI3" s="10">
        <f>AJ3/AK3</f>
        <v>2265.3664535169701</v>
      </c>
      <c r="AJ3" s="10">
        <f>SUM(AJ4:AJ28)</f>
        <v>460549</v>
      </c>
      <c r="AK3" s="11">
        <f>SUM(AK4:AK28)</f>
        <v>203.3</v>
      </c>
      <c r="AL3" s="10">
        <f>AM3/AN3</f>
        <v>2388.4706462752833</v>
      </c>
      <c r="AM3" s="10">
        <f>SUM(AM4:AM28)</f>
        <v>484143</v>
      </c>
      <c r="AN3" s="11">
        <f>SUM(AN4:AN28)</f>
        <v>202.70000000000005</v>
      </c>
      <c r="AO3" s="10">
        <f>AP3/AQ3</f>
        <v>2347.9016012396692</v>
      </c>
      <c r="AP3" s="10">
        <f>SUM(AP4:AP28)</f>
        <v>5454645</v>
      </c>
      <c r="AQ3" s="11">
        <f>SUM(AQ4:AQ28)</f>
        <v>2323.2000000000003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23</v>
      </c>
      <c r="B4" s="20"/>
      <c r="C4" s="20"/>
      <c r="D4" s="20"/>
      <c r="E4" s="3">
        <f t="shared" ref="E4:E11" si="0">F4/G4</f>
        <v>2187.0629370629372</v>
      </c>
      <c r="F4" s="3">
        <v>125100</v>
      </c>
      <c r="G4" s="6">
        <v>57.2</v>
      </c>
      <c r="H4" s="3">
        <f t="shared" ref="H4:H11" si="1">I4/J4</f>
        <v>2188.9763779527557</v>
      </c>
      <c r="I4" s="3">
        <v>83400</v>
      </c>
      <c r="J4" s="6">
        <v>38.1</v>
      </c>
      <c r="K4" s="3">
        <f t="shared" ref="K4:K11" si="2">L4/M4</f>
        <v>2228.3464566929133</v>
      </c>
      <c r="L4" s="3">
        <v>169800</v>
      </c>
      <c r="M4" s="6">
        <v>76.2</v>
      </c>
      <c r="N4" s="3">
        <f t="shared" ref="N4:N11" si="3">O4/P4</f>
        <v>2340.3141361256544</v>
      </c>
      <c r="O4" s="3">
        <v>44700</v>
      </c>
      <c r="P4" s="6">
        <v>19.100000000000001</v>
      </c>
      <c r="Q4" s="3">
        <f t="shared" ref="Q4:Q11" si="4">R4/S4</f>
        <v>2344.4055944055945</v>
      </c>
      <c r="R4" s="3">
        <v>134100</v>
      </c>
      <c r="S4" s="6">
        <v>57.2</v>
      </c>
      <c r="T4" s="3">
        <f t="shared" ref="T4:T11" si="5">U4/V4</f>
        <v>2302.4475524475524</v>
      </c>
      <c r="U4" s="3">
        <v>131700</v>
      </c>
      <c r="V4" s="6">
        <v>57.2</v>
      </c>
      <c r="W4" s="3">
        <f t="shared" ref="W4:W11" si="6">X4/Y4</f>
        <v>2220.4724409448818</v>
      </c>
      <c r="X4" s="3">
        <v>84600</v>
      </c>
      <c r="Y4" s="6">
        <v>38.1</v>
      </c>
      <c r="Z4" s="3">
        <f t="shared" ref="Z4:Z11" si="7">AA4/AB4</f>
        <v>2220.4724409448818</v>
      </c>
      <c r="AA4" s="3">
        <v>84600</v>
      </c>
      <c r="AB4" s="6">
        <v>38.1</v>
      </c>
      <c r="AC4" s="3">
        <f t="shared" ref="AC4:AC11" si="8">AD4/AE4</f>
        <v>2220.4724409448818</v>
      </c>
      <c r="AD4" s="3">
        <v>84600</v>
      </c>
      <c r="AE4" s="6">
        <v>38.1</v>
      </c>
      <c r="AF4" s="3">
        <f t="shared" ref="AF4:AF11" si="9">AG4/AH4</f>
        <v>2214.6596858638741</v>
      </c>
      <c r="AG4" s="3">
        <v>42300</v>
      </c>
      <c r="AH4" s="6">
        <v>19.100000000000001</v>
      </c>
      <c r="AI4" s="3">
        <f t="shared" ref="AI4:AI11" si="10">AJ4/AK4</f>
        <v>2218.5314685314684</v>
      </c>
      <c r="AJ4" s="3">
        <v>126900</v>
      </c>
      <c r="AK4" s="6">
        <v>57.2</v>
      </c>
      <c r="AL4" s="3">
        <f t="shared" ref="AL4:AL11" si="11">AM4/AN4</f>
        <v>2423.3595800524931</v>
      </c>
      <c r="AM4" s="3">
        <v>184660</v>
      </c>
      <c r="AN4" s="6">
        <v>76.2</v>
      </c>
      <c r="AO4" s="3">
        <f t="shared" ref="AO4:AO28" si="12">AP4/AQ4</f>
        <v>2267.3312346974462</v>
      </c>
      <c r="AP4" s="3">
        <f t="shared" ref="AP4" si="13">SUM(F4,I4,L4,O4,R4,U4,X4,AA4,AD4,AG4,AJ4,AM4)</f>
        <v>1296460</v>
      </c>
      <c r="AQ4" s="6">
        <f t="shared" ref="AQ4" si="14">SUM(G4,J4,M4,P4,S4,V4,Y4,AB4,AE4,AH4,AK4,AN4)</f>
        <v>571.80000000000007</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22</v>
      </c>
      <c r="B5" s="20"/>
      <c r="C5" s="20"/>
      <c r="D5" s="20"/>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f t="shared" si="8"/>
        <v>2773.913043478261</v>
      </c>
      <c r="AD5" s="3">
        <v>63800</v>
      </c>
      <c r="AE5" s="6">
        <v>23</v>
      </c>
      <c r="AF5" s="3">
        <f t="shared" si="9"/>
        <v>2217.8947368421054</v>
      </c>
      <c r="AG5" s="3">
        <v>84280</v>
      </c>
      <c r="AH5" s="6">
        <v>38</v>
      </c>
      <c r="AI5" s="3" t="e">
        <f t="shared" si="10"/>
        <v>#DIV/0!</v>
      </c>
      <c r="AJ5" s="3">
        <v>0</v>
      </c>
      <c r="AK5" s="6">
        <v>0</v>
      </c>
      <c r="AL5" s="3">
        <f t="shared" si="11"/>
        <v>3401.6877637130801</v>
      </c>
      <c r="AM5" s="3">
        <v>80620</v>
      </c>
      <c r="AN5" s="6">
        <v>23.7</v>
      </c>
      <c r="AO5" s="3">
        <f t="shared" si="12"/>
        <v>2700.1180637544271</v>
      </c>
      <c r="AP5" s="3">
        <f t="shared" ref="AP5:AP28" si="15">SUM(F5,I5,L5,O5,R5,U5,X5,AA5,AD5,AG5,AJ5,AM5)</f>
        <v>228700</v>
      </c>
      <c r="AQ5" s="6">
        <f t="shared" ref="AQ5:AQ28" si="16">SUM(G5,J5,M5,P5,S5,V5,Y5,AB5,AE5,AH5,AK5,AN5)</f>
        <v>84.7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26</v>
      </c>
      <c r="B6" s="20"/>
      <c r="C6" s="20"/>
      <c r="D6" s="20"/>
      <c r="E6" s="3" t="e">
        <f t="shared" si="0"/>
        <v>#DIV/0!</v>
      </c>
      <c r="F6" s="3">
        <v>0</v>
      </c>
      <c r="G6" s="6">
        <v>0</v>
      </c>
      <c r="H6" s="3">
        <f t="shared" si="1"/>
        <v>2644.6153846153848</v>
      </c>
      <c r="I6" s="3">
        <v>10314</v>
      </c>
      <c r="J6" s="6">
        <v>3.9</v>
      </c>
      <c r="K6" s="3">
        <f t="shared" si="2"/>
        <v>2545.7142857142858</v>
      </c>
      <c r="L6" s="3">
        <v>17820</v>
      </c>
      <c r="M6" s="6">
        <v>7</v>
      </c>
      <c r="N6" s="3">
        <f t="shared" si="3"/>
        <v>2592.8571428571427</v>
      </c>
      <c r="O6" s="3">
        <v>9075</v>
      </c>
      <c r="P6" s="6">
        <v>3.5</v>
      </c>
      <c r="Q6" s="3">
        <f t="shared" si="4"/>
        <v>2671.875</v>
      </c>
      <c r="R6" s="3">
        <v>4275</v>
      </c>
      <c r="S6" s="6">
        <v>1.6</v>
      </c>
      <c r="T6" s="3">
        <f t="shared" si="5"/>
        <v>2302.3529411764707</v>
      </c>
      <c r="U6" s="3">
        <v>23484</v>
      </c>
      <c r="V6" s="6">
        <v>10.199999999999999</v>
      </c>
      <c r="W6" s="3">
        <f t="shared" si="6"/>
        <v>2566.666666666667</v>
      </c>
      <c r="X6" s="3">
        <v>20790</v>
      </c>
      <c r="Y6" s="6">
        <v>8.1</v>
      </c>
      <c r="Z6" s="3">
        <f t="shared" si="7"/>
        <v>2422</v>
      </c>
      <c r="AA6" s="3">
        <v>3633</v>
      </c>
      <c r="AB6" s="6">
        <v>1.5</v>
      </c>
      <c r="AC6" s="3">
        <f t="shared" si="8"/>
        <v>2415</v>
      </c>
      <c r="AD6" s="3">
        <v>7245</v>
      </c>
      <c r="AE6" s="6">
        <v>3</v>
      </c>
      <c r="AF6" s="3">
        <f t="shared" si="9"/>
        <v>2440.1408450704225</v>
      </c>
      <c r="AG6" s="3">
        <v>17325</v>
      </c>
      <c r="AH6" s="6">
        <v>7.1</v>
      </c>
      <c r="AI6" s="3">
        <f t="shared" si="10"/>
        <v>3062.6373626373629</v>
      </c>
      <c r="AJ6" s="3">
        <v>27870</v>
      </c>
      <c r="AK6" s="6">
        <v>9.1</v>
      </c>
      <c r="AL6" s="3">
        <f t="shared" si="11"/>
        <v>2042.0083682008369</v>
      </c>
      <c r="AM6" s="3">
        <v>48804</v>
      </c>
      <c r="AN6" s="6">
        <v>23.9</v>
      </c>
      <c r="AO6" s="3">
        <f t="shared" si="12"/>
        <v>2416.1596958174905</v>
      </c>
      <c r="AP6" s="3">
        <f t="shared" si="15"/>
        <v>190635</v>
      </c>
      <c r="AQ6" s="6">
        <f t="shared" si="16"/>
        <v>78.900000000000006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35</v>
      </c>
      <c r="B7" s="20"/>
      <c r="C7" s="20"/>
      <c r="D7" s="20"/>
      <c r="E7" s="3">
        <f t="shared" si="0"/>
        <v>2047.0416666666667</v>
      </c>
      <c r="F7" s="3">
        <v>49129</v>
      </c>
      <c r="G7" s="6">
        <v>24</v>
      </c>
      <c r="H7" s="3" t="e">
        <f t="shared" si="1"/>
        <v>#DIV/0!</v>
      </c>
      <c r="I7" s="3">
        <v>0</v>
      </c>
      <c r="J7" s="6">
        <v>0</v>
      </c>
      <c r="K7" s="3" t="e">
        <f t="shared" si="2"/>
        <v>#DIV/0!</v>
      </c>
      <c r="L7" s="3">
        <v>0</v>
      </c>
      <c r="M7" s="6">
        <v>0</v>
      </c>
      <c r="N7" s="3">
        <f t="shared" si="3"/>
        <v>2204.8639455782313</v>
      </c>
      <c r="O7" s="3">
        <v>129646</v>
      </c>
      <c r="P7" s="6">
        <v>58.8</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f t="shared" si="10"/>
        <v>2216.7588932806325</v>
      </c>
      <c r="AJ7" s="3">
        <v>56084</v>
      </c>
      <c r="AK7" s="6">
        <v>25.3</v>
      </c>
      <c r="AL7" s="3">
        <f t="shared" si="11"/>
        <v>1982.8925619834711</v>
      </c>
      <c r="AM7" s="3">
        <v>47986</v>
      </c>
      <c r="AN7" s="6">
        <v>24.2</v>
      </c>
      <c r="AO7" s="3">
        <f t="shared" si="12"/>
        <v>2137.9062736205597</v>
      </c>
      <c r="AP7" s="3">
        <f t="shared" si="15"/>
        <v>282845</v>
      </c>
      <c r="AQ7" s="6">
        <f t="shared" si="16"/>
        <v>132.29999999999998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21</v>
      </c>
      <c r="B8" s="20"/>
      <c r="C8" s="20"/>
      <c r="D8" s="20"/>
      <c r="E8" s="3">
        <f t="shared" si="0"/>
        <v>4184.5901639344265</v>
      </c>
      <c r="F8" s="3">
        <v>25526</v>
      </c>
      <c r="G8" s="6">
        <v>6.1</v>
      </c>
      <c r="H8" s="3">
        <f t="shared" si="1"/>
        <v>2381.0344827586205</v>
      </c>
      <c r="I8" s="3">
        <v>34525</v>
      </c>
      <c r="J8" s="6">
        <v>14.5</v>
      </c>
      <c r="K8" s="3">
        <f t="shared" si="2"/>
        <v>2889.090909090909</v>
      </c>
      <c r="L8" s="3">
        <v>25424</v>
      </c>
      <c r="M8" s="6">
        <v>8.8000000000000007</v>
      </c>
      <c r="N8" s="3">
        <f t="shared" si="3"/>
        <v>2229.586776859504</v>
      </c>
      <c r="O8" s="3">
        <v>26978</v>
      </c>
      <c r="P8" s="6">
        <v>12.1</v>
      </c>
      <c r="Q8" s="3">
        <f t="shared" si="4"/>
        <v>1974.3801652892562</v>
      </c>
      <c r="R8" s="3">
        <v>23890</v>
      </c>
      <c r="S8" s="6">
        <v>12.1</v>
      </c>
      <c r="T8" s="3">
        <f t="shared" si="5"/>
        <v>2343.8596491228068</v>
      </c>
      <c r="U8" s="3">
        <v>26720</v>
      </c>
      <c r="V8" s="6">
        <v>11.4</v>
      </c>
      <c r="W8" s="3" t="e">
        <f t="shared" si="6"/>
        <v>#DIV/0!</v>
      </c>
      <c r="X8" s="3">
        <v>0</v>
      </c>
      <c r="Y8" s="6">
        <v>0</v>
      </c>
      <c r="Z8" s="3" t="e">
        <f t="shared" si="7"/>
        <v>#DIV/0!</v>
      </c>
      <c r="AA8" s="3">
        <v>0</v>
      </c>
      <c r="AB8" s="6">
        <v>0</v>
      </c>
      <c r="AC8" s="3">
        <f t="shared" si="8"/>
        <v>2973.3490566037735</v>
      </c>
      <c r="AD8" s="3">
        <v>63035</v>
      </c>
      <c r="AE8" s="6">
        <v>21.2</v>
      </c>
      <c r="AF8" s="3" t="e">
        <f t="shared" si="9"/>
        <v>#DIV/0!</v>
      </c>
      <c r="AG8" s="3">
        <v>0</v>
      </c>
      <c r="AH8" s="6">
        <v>0</v>
      </c>
      <c r="AI8" s="3" t="e">
        <f t="shared" si="10"/>
        <v>#DIV/0!</v>
      </c>
      <c r="AJ8" s="3">
        <v>0</v>
      </c>
      <c r="AK8" s="6">
        <v>0</v>
      </c>
      <c r="AL8" s="3">
        <f t="shared" si="11"/>
        <v>1514.6694214876034</v>
      </c>
      <c r="AM8" s="3">
        <v>36655</v>
      </c>
      <c r="AN8" s="6">
        <v>24.2</v>
      </c>
      <c r="AO8" s="3">
        <f t="shared" si="12"/>
        <v>2380.0090579710145</v>
      </c>
      <c r="AP8" s="3">
        <f t="shared" si="15"/>
        <v>262753</v>
      </c>
      <c r="AQ8" s="6">
        <f t="shared" si="16"/>
        <v>110.4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19</v>
      </c>
      <c r="B9" s="20"/>
      <c r="C9" s="20"/>
      <c r="D9" s="20"/>
      <c r="E9" s="3">
        <f t="shared" si="0"/>
        <v>2450</v>
      </c>
      <c r="F9" s="3">
        <v>7840</v>
      </c>
      <c r="G9" s="6">
        <v>3.2</v>
      </c>
      <c r="H9" s="3">
        <f t="shared" si="1"/>
        <v>2433.1034482758623</v>
      </c>
      <c r="I9" s="3">
        <v>7056</v>
      </c>
      <c r="J9" s="6">
        <v>2.9</v>
      </c>
      <c r="K9" s="3">
        <f t="shared" si="2"/>
        <v>2370.6185567010311</v>
      </c>
      <c r="L9" s="3">
        <v>22995</v>
      </c>
      <c r="M9" s="6">
        <v>9.6999999999999993</v>
      </c>
      <c r="N9" s="3">
        <f t="shared" si="3"/>
        <v>2296.875</v>
      </c>
      <c r="O9" s="3">
        <v>3675</v>
      </c>
      <c r="P9" s="6">
        <v>1.6</v>
      </c>
      <c r="Q9" s="3">
        <f t="shared" si="4"/>
        <v>2265.4545454545455</v>
      </c>
      <c r="R9" s="3">
        <v>9968</v>
      </c>
      <c r="S9" s="6">
        <v>4.4000000000000004</v>
      </c>
      <c r="T9" s="3">
        <f t="shared" si="5"/>
        <v>2330.7272727272725</v>
      </c>
      <c r="U9" s="3">
        <v>12819</v>
      </c>
      <c r="V9" s="6">
        <v>5.5</v>
      </c>
      <c r="W9" s="3">
        <f t="shared" si="6"/>
        <v>2315.625</v>
      </c>
      <c r="X9" s="3">
        <v>7410</v>
      </c>
      <c r="Y9" s="6">
        <v>3.2</v>
      </c>
      <c r="Z9" s="3">
        <f t="shared" si="7"/>
        <v>2200</v>
      </c>
      <c r="AA9" s="3">
        <v>2860</v>
      </c>
      <c r="AB9" s="6">
        <v>1.3</v>
      </c>
      <c r="AC9" s="3">
        <f t="shared" si="8"/>
        <v>2257.8947368421054</v>
      </c>
      <c r="AD9" s="3">
        <v>17160</v>
      </c>
      <c r="AE9" s="6">
        <v>7.6</v>
      </c>
      <c r="AF9" s="3">
        <f t="shared" si="9"/>
        <v>2234.375</v>
      </c>
      <c r="AG9" s="3">
        <v>10725</v>
      </c>
      <c r="AH9" s="6">
        <v>4.8</v>
      </c>
      <c r="AI9" s="3">
        <f t="shared" si="10"/>
        <v>2259.4029850746269</v>
      </c>
      <c r="AJ9" s="3">
        <v>15138</v>
      </c>
      <c r="AK9" s="6">
        <v>6.7</v>
      </c>
      <c r="AL9" s="3">
        <f t="shared" si="11"/>
        <v>2279.7222222222222</v>
      </c>
      <c r="AM9" s="3">
        <v>24621</v>
      </c>
      <c r="AN9" s="6">
        <v>10.8</v>
      </c>
      <c r="AO9" s="3">
        <f t="shared" si="12"/>
        <v>2305.7860615883305</v>
      </c>
      <c r="AP9" s="3">
        <f t="shared" si="15"/>
        <v>142267</v>
      </c>
      <c r="AQ9" s="6">
        <f t="shared" si="16"/>
        <v>61.7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20</v>
      </c>
      <c r="B10" s="20"/>
      <c r="C10" s="20"/>
      <c r="D10" s="20"/>
      <c r="E10" s="3">
        <f t="shared" si="0"/>
        <v>3083.0703259005149</v>
      </c>
      <c r="F10" s="3">
        <v>179743</v>
      </c>
      <c r="G10" s="6">
        <v>58.3</v>
      </c>
      <c r="H10" s="3">
        <f t="shared" si="1"/>
        <v>2388.9383561643835</v>
      </c>
      <c r="I10" s="3">
        <v>69757</v>
      </c>
      <c r="J10" s="6">
        <v>29.2</v>
      </c>
      <c r="K10" s="3">
        <f t="shared" si="2"/>
        <v>2889.9290780141846</v>
      </c>
      <c r="L10" s="3">
        <v>40748</v>
      </c>
      <c r="M10" s="6">
        <v>14.1</v>
      </c>
      <c r="N10" s="3">
        <f t="shared" si="3"/>
        <v>2672.4557522123891</v>
      </c>
      <c r="O10" s="3">
        <v>120795</v>
      </c>
      <c r="P10" s="6">
        <v>45.2</v>
      </c>
      <c r="Q10" s="3">
        <f t="shared" si="4"/>
        <v>2982.5603864734298</v>
      </c>
      <c r="R10" s="3">
        <v>61739</v>
      </c>
      <c r="S10" s="6">
        <v>20.7</v>
      </c>
      <c r="T10" s="3">
        <f t="shared" si="5"/>
        <v>2313.3521657250471</v>
      </c>
      <c r="U10" s="3">
        <v>122839</v>
      </c>
      <c r="V10" s="6">
        <v>53.1</v>
      </c>
      <c r="W10" s="3">
        <f t="shared" si="6"/>
        <v>2392.0803782505914</v>
      </c>
      <c r="X10" s="3">
        <v>101185</v>
      </c>
      <c r="Y10" s="6">
        <v>42.3</v>
      </c>
      <c r="Z10" s="3">
        <f t="shared" si="7"/>
        <v>2394</v>
      </c>
      <c r="AA10" s="3">
        <v>89775</v>
      </c>
      <c r="AB10" s="6">
        <v>37.5</v>
      </c>
      <c r="AC10" s="3">
        <f t="shared" si="8"/>
        <v>2361.3990825688074</v>
      </c>
      <c r="AD10" s="3">
        <v>102957</v>
      </c>
      <c r="AE10" s="6">
        <v>43.6</v>
      </c>
      <c r="AF10" s="3">
        <f t="shared" si="9"/>
        <v>2692.9321663019691</v>
      </c>
      <c r="AG10" s="3">
        <v>123067</v>
      </c>
      <c r="AH10" s="6">
        <v>45.7</v>
      </c>
      <c r="AI10" s="3">
        <f t="shared" si="10"/>
        <v>2352.25</v>
      </c>
      <c r="AJ10" s="3">
        <v>178771</v>
      </c>
      <c r="AK10" s="6">
        <v>76</v>
      </c>
      <c r="AL10" s="3">
        <f t="shared" si="11"/>
        <v>3171.6176470588234</v>
      </c>
      <c r="AM10" s="3">
        <v>21567</v>
      </c>
      <c r="AN10" s="6">
        <v>6.8</v>
      </c>
      <c r="AO10" s="3">
        <f t="shared" si="12"/>
        <v>2567.0751322751321</v>
      </c>
      <c r="AP10" s="3">
        <f t="shared" si="15"/>
        <v>1212943</v>
      </c>
      <c r="AQ10" s="6">
        <f t="shared" si="16"/>
        <v>472.5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51</v>
      </c>
      <c r="B11" s="20"/>
      <c r="C11" s="20"/>
      <c r="D11" s="20"/>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4440.909090909091</v>
      </c>
      <c r="AM11" s="3">
        <v>14655</v>
      </c>
      <c r="AN11" s="6">
        <v>3.3</v>
      </c>
      <c r="AO11" s="3">
        <f t="shared" si="12"/>
        <v>4440.909090909091</v>
      </c>
      <c r="AP11" s="3">
        <f t="shared" si="15"/>
        <v>14655</v>
      </c>
      <c r="AQ11" s="6">
        <f t="shared" si="16"/>
        <v>3.3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43</v>
      </c>
      <c r="B12" s="20"/>
      <c r="C12" s="20"/>
      <c r="D12" s="20"/>
      <c r="E12" s="3" t="e">
        <f>F12/G12</f>
        <v>#DIV/0!</v>
      </c>
      <c r="F12" s="3">
        <v>0</v>
      </c>
      <c r="G12" s="6">
        <v>0</v>
      </c>
      <c r="H12" s="3" t="e">
        <f>I12/J12</f>
        <v>#DIV/0!</v>
      </c>
      <c r="I12" s="3">
        <v>0</v>
      </c>
      <c r="J12" s="6">
        <v>0</v>
      </c>
      <c r="K12" s="3" t="e">
        <f>L12/M12</f>
        <v>#DIV/0!</v>
      </c>
      <c r="L12" s="3">
        <v>0</v>
      </c>
      <c r="M12" s="6">
        <v>0</v>
      </c>
      <c r="N12" s="3">
        <f>O12/P12</f>
        <v>2565</v>
      </c>
      <c r="O12" s="3">
        <v>2565</v>
      </c>
      <c r="P12" s="6">
        <v>1</v>
      </c>
      <c r="Q12" s="3">
        <f>R12/S12</f>
        <v>2565</v>
      </c>
      <c r="R12" s="3">
        <v>2565</v>
      </c>
      <c r="S12" s="6">
        <v>1</v>
      </c>
      <c r="T12" s="3" t="e">
        <f>U12/V12</f>
        <v>#DIV/0!</v>
      </c>
      <c r="U12" s="3">
        <v>0</v>
      </c>
      <c r="V12" s="6">
        <v>0</v>
      </c>
      <c r="W12" s="3">
        <f>X12/Y12</f>
        <v>2353.8461538461538</v>
      </c>
      <c r="X12" s="3">
        <v>3060</v>
      </c>
      <c r="Y12" s="6">
        <v>1.3</v>
      </c>
      <c r="Z12" s="3">
        <f>AA12/AB12</f>
        <v>2970</v>
      </c>
      <c r="AA12" s="3">
        <v>2970</v>
      </c>
      <c r="AB12" s="6">
        <v>1</v>
      </c>
      <c r="AC12" s="3">
        <f>AD12/AE12</f>
        <v>2970</v>
      </c>
      <c r="AD12" s="3">
        <v>2673</v>
      </c>
      <c r="AE12" s="6">
        <v>0.9</v>
      </c>
      <c r="AF12" s="3">
        <f>AG12/AH12</f>
        <v>2353.8461538461538</v>
      </c>
      <c r="AG12" s="3">
        <v>3060</v>
      </c>
      <c r="AH12" s="6">
        <v>1.3</v>
      </c>
      <c r="AI12" s="3">
        <f>AJ12/AK12</f>
        <v>2970</v>
      </c>
      <c r="AJ12" s="3">
        <v>2970</v>
      </c>
      <c r="AK12" s="6">
        <v>1</v>
      </c>
      <c r="AL12" s="3">
        <f>AM12/AN12</f>
        <v>2779.6774193548385</v>
      </c>
      <c r="AM12" s="3">
        <v>8617</v>
      </c>
      <c r="AN12" s="6">
        <v>3.1</v>
      </c>
      <c r="AO12" s="3">
        <f t="shared" si="12"/>
        <v>2686.7924528301887</v>
      </c>
      <c r="AP12" s="3">
        <f t="shared" si="15"/>
        <v>28480</v>
      </c>
      <c r="AQ12" s="6">
        <f t="shared" si="16"/>
        <v>10.6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34</v>
      </c>
      <c r="B13" s="20"/>
      <c r="C13" s="20"/>
      <c r="D13" s="20"/>
      <c r="E13" s="3">
        <f t="shared" ref="E13:E28" si="17">F13/G13</f>
        <v>2601.1363636363635</v>
      </c>
      <c r="F13" s="3">
        <v>22890</v>
      </c>
      <c r="G13" s="6">
        <v>8.8000000000000007</v>
      </c>
      <c r="H13" s="3">
        <f t="shared" ref="H13:H28" si="18">I13/J13</f>
        <v>2602.0408163265306</v>
      </c>
      <c r="I13" s="3">
        <v>12750</v>
      </c>
      <c r="J13" s="6">
        <v>4.9000000000000004</v>
      </c>
      <c r="K13" s="3">
        <f t="shared" ref="K13:K28" si="19">L13/M13</f>
        <v>2719.293286219081</v>
      </c>
      <c r="L13" s="3">
        <v>76956</v>
      </c>
      <c r="M13" s="6">
        <v>28.3</v>
      </c>
      <c r="N13" s="3">
        <f t="shared" ref="N13:N28" si="20">O13/P13</f>
        <v>2430.7692307692309</v>
      </c>
      <c r="O13" s="3">
        <v>9480</v>
      </c>
      <c r="P13" s="6">
        <v>3.9</v>
      </c>
      <c r="Q13" s="3">
        <f t="shared" ref="Q13:Q28" si="21">R13/S13</f>
        <v>2370</v>
      </c>
      <c r="R13" s="3">
        <v>7110</v>
      </c>
      <c r="S13" s="6">
        <v>3</v>
      </c>
      <c r="T13" s="3">
        <f t="shared" ref="T13:T28" si="22">U13/V13</f>
        <v>2373.7804878048782</v>
      </c>
      <c r="U13" s="3">
        <v>19465</v>
      </c>
      <c r="V13" s="6">
        <v>8.1999999999999993</v>
      </c>
      <c r="W13" s="3">
        <f t="shared" ref="W13:W28" si="23">X13/Y13</f>
        <v>2389.655172413793</v>
      </c>
      <c r="X13" s="3">
        <v>6930</v>
      </c>
      <c r="Y13" s="6">
        <v>2.9</v>
      </c>
      <c r="Z13" s="3">
        <f t="shared" ref="Z13:Z28" si="24">AA13/AB13</f>
        <v>2419.2708333333335</v>
      </c>
      <c r="AA13" s="3">
        <v>23225</v>
      </c>
      <c r="AB13" s="6">
        <v>9.6</v>
      </c>
      <c r="AC13" s="3">
        <f t="shared" ref="AC13:AC28" si="25">AD13/AE13</f>
        <v>2390.625</v>
      </c>
      <c r="AD13" s="3">
        <v>3825</v>
      </c>
      <c r="AE13" s="6">
        <v>1.6</v>
      </c>
      <c r="AF13" s="3">
        <f t="shared" ref="AF13:AF28" si="26">AG13/AH13</f>
        <v>2386.9565217391305</v>
      </c>
      <c r="AG13" s="3">
        <v>27450</v>
      </c>
      <c r="AH13" s="6">
        <v>11.5</v>
      </c>
      <c r="AI13" s="3">
        <f t="shared" ref="AI13:AI28" si="27">AJ13/AK13</f>
        <v>2398.6486486486488</v>
      </c>
      <c r="AJ13" s="3">
        <v>8875</v>
      </c>
      <c r="AK13" s="6">
        <v>3.7</v>
      </c>
      <c r="AL13" s="3">
        <f t="shared" ref="AL13:AL28" si="28">AM13/AN13</f>
        <v>2190.909090909091</v>
      </c>
      <c r="AM13" s="3">
        <v>7230</v>
      </c>
      <c r="AN13" s="6">
        <v>3.3</v>
      </c>
      <c r="AO13" s="3">
        <f t="shared" si="12"/>
        <v>2521.5830546265333</v>
      </c>
      <c r="AP13" s="3">
        <f t="shared" si="15"/>
        <v>226186</v>
      </c>
      <c r="AQ13" s="6">
        <f t="shared" si="16"/>
        <v>89.699999999999989</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24</v>
      </c>
      <c r="B14" s="20"/>
      <c r="C14" s="20"/>
      <c r="D14" s="20"/>
      <c r="E14" s="3" t="e">
        <f t="shared" si="17"/>
        <v>#DIV/0!</v>
      </c>
      <c r="F14" s="3">
        <v>0</v>
      </c>
      <c r="G14" s="6">
        <v>0</v>
      </c>
      <c r="H14" s="3" t="e">
        <f t="shared" si="18"/>
        <v>#DIV/0!</v>
      </c>
      <c r="I14" s="3">
        <v>0</v>
      </c>
      <c r="J14" s="6">
        <v>0</v>
      </c>
      <c r="K14" s="3" t="e">
        <f t="shared" si="19"/>
        <v>#DIV/0!</v>
      </c>
      <c r="L14" s="3">
        <v>0</v>
      </c>
      <c r="M14" s="6">
        <v>0</v>
      </c>
      <c r="N14" s="3" t="e">
        <f t="shared" si="20"/>
        <v>#DIV/0!</v>
      </c>
      <c r="O14" s="3">
        <v>0</v>
      </c>
      <c r="P14" s="6">
        <v>0</v>
      </c>
      <c r="Q14" s="3" t="e">
        <f t="shared" si="21"/>
        <v>#DIV/0!</v>
      </c>
      <c r="R14" s="3">
        <v>0</v>
      </c>
      <c r="S14" s="6">
        <v>0</v>
      </c>
      <c r="T14" s="3" t="e">
        <f t="shared" si="22"/>
        <v>#DIV/0!</v>
      </c>
      <c r="U14" s="3">
        <v>0</v>
      </c>
      <c r="V14" s="6">
        <v>0</v>
      </c>
      <c r="W14" s="3" t="e">
        <f t="shared" si="23"/>
        <v>#DIV/0!</v>
      </c>
      <c r="X14" s="3">
        <v>0</v>
      </c>
      <c r="Y14" s="6">
        <v>0</v>
      </c>
      <c r="Z14" s="3">
        <f t="shared" si="24"/>
        <v>2198.2978723404253</v>
      </c>
      <c r="AA14" s="3">
        <v>10332</v>
      </c>
      <c r="AB14" s="6">
        <v>4.7</v>
      </c>
      <c r="AC14" s="3" t="e">
        <f t="shared" si="25"/>
        <v>#DIV/0!</v>
      </c>
      <c r="AD14" s="3">
        <v>0</v>
      </c>
      <c r="AE14" s="6">
        <v>0</v>
      </c>
      <c r="AF14" s="3" t="e">
        <f t="shared" si="26"/>
        <v>#DIV/0!</v>
      </c>
      <c r="AG14" s="3">
        <v>0</v>
      </c>
      <c r="AH14" s="6">
        <v>0</v>
      </c>
      <c r="AI14" s="3">
        <f t="shared" si="27"/>
        <v>2394</v>
      </c>
      <c r="AJ14" s="3">
        <v>8379</v>
      </c>
      <c r="AK14" s="6">
        <v>3.5</v>
      </c>
      <c r="AL14" s="3">
        <f t="shared" si="28"/>
        <v>2188.75</v>
      </c>
      <c r="AM14" s="3">
        <v>5253</v>
      </c>
      <c r="AN14" s="6">
        <v>2.4</v>
      </c>
      <c r="AO14" s="3">
        <f t="shared" si="12"/>
        <v>2260.7547169811323</v>
      </c>
      <c r="AP14" s="3">
        <f t="shared" si="15"/>
        <v>23964</v>
      </c>
      <c r="AQ14" s="6">
        <f t="shared" si="16"/>
        <v>10.6</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45</v>
      </c>
      <c r="B15" s="20"/>
      <c r="C15" s="20"/>
      <c r="D15" s="20"/>
      <c r="E15" s="3" t="e">
        <f t="shared" si="17"/>
        <v>#DIV/0!</v>
      </c>
      <c r="F15" s="3">
        <v>0</v>
      </c>
      <c r="G15" s="6">
        <v>0</v>
      </c>
      <c r="H15" s="3" t="e">
        <f t="shared" si="18"/>
        <v>#DIV/0!</v>
      </c>
      <c r="I15" s="3">
        <v>0</v>
      </c>
      <c r="J15" s="6">
        <v>0</v>
      </c>
      <c r="K15" s="3" t="e">
        <f t="shared" si="19"/>
        <v>#DIV/0!</v>
      </c>
      <c r="L15" s="3">
        <v>0</v>
      </c>
      <c r="M15" s="6">
        <v>0</v>
      </c>
      <c r="N15" s="3">
        <f t="shared" si="20"/>
        <v>2931.7241379310344</v>
      </c>
      <c r="O15" s="3">
        <v>8502</v>
      </c>
      <c r="P15" s="6">
        <v>2.9</v>
      </c>
      <c r="Q15" s="3">
        <f t="shared" si="21"/>
        <v>2780</v>
      </c>
      <c r="R15" s="3">
        <v>4170</v>
      </c>
      <c r="S15" s="6">
        <v>1.5</v>
      </c>
      <c r="T15" s="3" t="e">
        <f t="shared" si="22"/>
        <v>#DIV/0!</v>
      </c>
      <c r="U15" s="3">
        <v>0</v>
      </c>
      <c r="V15" s="6">
        <v>0</v>
      </c>
      <c r="W15" s="3" t="e">
        <f t="shared" si="23"/>
        <v>#DIV/0!</v>
      </c>
      <c r="X15" s="3">
        <v>0</v>
      </c>
      <c r="Y15" s="6">
        <v>0</v>
      </c>
      <c r="Z15" s="3">
        <f t="shared" si="24"/>
        <v>3159.090909090909</v>
      </c>
      <c r="AA15" s="3">
        <v>3475</v>
      </c>
      <c r="AB15" s="6">
        <v>1.1000000000000001</v>
      </c>
      <c r="AC15" s="3">
        <f t="shared" si="25"/>
        <v>3706.6666666666665</v>
      </c>
      <c r="AD15" s="3">
        <v>5560</v>
      </c>
      <c r="AE15" s="6">
        <v>1.5</v>
      </c>
      <c r="AF15" s="3">
        <f t="shared" si="26"/>
        <v>2929.655172413793</v>
      </c>
      <c r="AG15" s="3">
        <v>16992</v>
      </c>
      <c r="AH15" s="6">
        <v>5.8</v>
      </c>
      <c r="AI15" s="3">
        <f t="shared" si="27"/>
        <v>1620.8510638297871</v>
      </c>
      <c r="AJ15" s="3">
        <v>15236</v>
      </c>
      <c r="AK15" s="6">
        <v>9.4</v>
      </c>
      <c r="AL15" s="3">
        <f t="shared" si="28"/>
        <v>4343.75</v>
      </c>
      <c r="AM15" s="3">
        <v>3475</v>
      </c>
      <c r="AN15" s="6">
        <v>0.8</v>
      </c>
      <c r="AO15" s="3">
        <f t="shared" si="12"/>
        <v>2496.0869565217386</v>
      </c>
      <c r="AP15" s="3">
        <f t="shared" si="15"/>
        <v>57410</v>
      </c>
      <c r="AQ15" s="6">
        <f t="shared" si="16"/>
        <v>23.000000000000004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52</v>
      </c>
      <c r="B16" s="20"/>
      <c r="C16" s="20"/>
      <c r="D16" s="20"/>
      <c r="E16" s="3" t="e">
        <f t="shared" si="17"/>
        <v>#DIV/0!</v>
      </c>
      <c r="F16" s="3">
        <v>0</v>
      </c>
      <c r="G16" s="6">
        <v>0</v>
      </c>
      <c r="H16" s="3">
        <f t="shared" si="18"/>
        <v>1457.9439252336449</v>
      </c>
      <c r="I16" s="3">
        <v>31200</v>
      </c>
      <c r="J16" s="6">
        <v>21.4</v>
      </c>
      <c r="K16" s="3" t="e">
        <f t="shared" si="19"/>
        <v>#DIV/0!</v>
      </c>
      <c r="L16" s="3">
        <v>0</v>
      </c>
      <c r="M16" s="6">
        <v>0</v>
      </c>
      <c r="N16" s="3" t="e">
        <f t="shared" si="20"/>
        <v>#DIV/0!</v>
      </c>
      <c r="O16" s="3">
        <v>0</v>
      </c>
      <c r="P16" s="6">
        <v>0</v>
      </c>
      <c r="Q16" s="3" t="e">
        <f t="shared" si="21"/>
        <v>#DIV/0!</v>
      </c>
      <c r="R16" s="3">
        <v>0</v>
      </c>
      <c r="S16" s="6">
        <v>0</v>
      </c>
      <c r="T16" s="3">
        <f t="shared" si="22"/>
        <v>3838.294930875576</v>
      </c>
      <c r="U16" s="3">
        <v>83291</v>
      </c>
      <c r="V16" s="6">
        <v>21.7</v>
      </c>
      <c r="W16" s="3" t="e">
        <f t="shared" si="23"/>
        <v>#DIV/0!</v>
      </c>
      <c r="X16" s="3">
        <v>0</v>
      </c>
      <c r="Y16" s="6">
        <v>0</v>
      </c>
      <c r="Z16" s="3" t="e">
        <f t="shared" si="24"/>
        <v>#DIV/0!</v>
      </c>
      <c r="AA16" s="3">
        <v>0</v>
      </c>
      <c r="AB16" s="6">
        <v>0</v>
      </c>
      <c r="AC16" s="3" t="e">
        <f t="shared" si="25"/>
        <v>#DIV/0!</v>
      </c>
      <c r="AD16" s="3">
        <v>0</v>
      </c>
      <c r="AE16" s="6">
        <v>0</v>
      </c>
      <c r="AF16" s="3" t="e">
        <f t="shared" si="26"/>
        <v>#DIV/0!</v>
      </c>
      <c r="AG16" s="3">
        <v>0</v>
      </c>
      <c r="AH16" s="6">
        <v>0</v>
      </c>
      <c r="AI16" s="3" t="e">
        <f t="shared" si="27"/>
        <v>#DIV/0!</v>
      </c>
      <c r="AJ16" s="3">
        <v>0</v>
      </c>
      <c r="AK16" s="6">
        <v>0</v>
      </c>
      <c r="AL16" s="3" t="e">
        <f t="shared" si="28"/>
        <v>#DIV/0!</v>
      </c>
      <c r="AM16" s="3">
        <v>0</v>
      </c>
      <c r="AN16" s="6">
        <v>0</v>
      </c>
      <c r="AO16" s="3">
        <f t="shared" si="12"/>
        <v>2656.4037122969839</v>
      </c>
      <c r="AP16" s="3">
        <f t="shared" si="15"/>
        <v>114491</v>
      </c>
      <c r="AQ16" s="6">
        <f t="shared" si="16"/>
        <v>43.099999999999994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48</v>
      </c>
      <c r="B17" s="20"/>
      <c r="C17" s="20"/>
      <c r="D17" s="20"/>
      <c r="E17" s="3" t="e">
        <f t="shared" si="17"/>
        <v>#DIV/0!</v>
      </c>
      <c r="F17" s="3">
        <v>0</v>
      </c>
      <c r="G17" s="6">
        <v>0</v>
      </c>
      <c r="H17" s="3" t="e">
        <f t="shared" si="18"/>
        <v>#DIV/0!</v>
      </c>
      <c r="I17" s="3">
        <v>0</v>
      </c>
      <c r="J17" s="6">
        <v>0</v>
      </c>
      <c r="K17" s="3" t="e">
        <f t="shared" si="19"/>
        <v>#DIV/0!</v>
      </c>
      <c r="L17" s="3">
        <v>0</v>
      </c>
      <c r="M17" s="6">
        <v>0</v>
      </c>
      <c r="N17" s="3" t="e">
        <f t="shared" si="20"/>
        <v>#DIV/0!</v>
      </c>
      <c r="O17" s="3">
        <v>0</v>
      </c>
      <c r="P17" s="6">
        <v>0</v>
      </c>
      <c r="Q17" s="3">
        <f t="shared" si="21"/>
        <v>2708</v>
      </c>
      <c r="R17" s="3">
        <v>5416</v>
      </c>
      <c r="S17" s="6">
        <v>2</v>
      </c>
      <c r="T17" s="3" t="e">
        <f t="shared" si="22"/>
        <v>#DIV/0!</v>
      </c>
      <c r="U17" s="3">
        <v>0</v>
      </c>
      <c r="V17" s="6">
        <v>0</v>
      </c>
      <c r="W17" s="3" t="e">
        <f t="shared" si="23"/>
        <v>#DIV/0!</v>
      </c>
      <c r="X17" s="3">
        <v>0</v>
      </c>
      <c r="Y17" s="6">
        <v>0</v>
      </c>
      <c r="Z17" s="3" t="e">
        <f t="shared" si="24"/>
        <v>#DIV/0!</v>
      </c>
      <c r="AA17" s="3">
        <v>0</v>
      </c>
      <c r="AB17" s="6">
        <v>0</v>
      </c>
      <c r="AC17" s="3" t="e">
        <f t="shared" si="25"/>
        <v>#DIV/0!</v>
      </c>
      <c r="AD17" s="3">
        <v>0</v>
      </c>
      <c r="AE17" s="6">
        <v>0</v>
      </c>
      <c r="AF17" s="3" t="e">
        <f t="shared" si="26"/>
        <v>#DIV/0!</v>
      </c>
      <c r="AG17" s="3">
        <v>0</v>
      </c>
      <c r="AH17" s="6">
        <v>0</v>
      </c>
      <c r="AI17" s="3" t="e">
        <f t="shared" si="27"/>
        <v>#DIV/0!</v>
      </c>
      <c r="AJ17" s="3">
        <v>0</v>
      </c>
      <c r="AK17" s="6">
        <v>0</v>
      </c>
      <c r="AL17" s="3" t="e">
        <f t="shared" si="28"/>
        <v>#DIV/0!</v>
      </c>
      <c r="AM17" s="3">
        <v>0</v>
      </c>
      <c r="AN17" s="6">
        <v>0</v>
      </c>
      <c r="AO17" s="3">
        <f t="shared" si="12"/>
        <v>2708</v>
      </c>
      <c r="AP17" s="3">
        <f t="shared" si="15"/>
        <v>5416</v>
      </c>
      <c r="AQ17" s="6">
        <f t="shared" si="16"/>
        <v>2</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38</v>
      </c>
      <c r="B18" s="20"/>
      <c r="C18" s="20"/>
      <c r="D18" s="20"/>
      <c r="E18" s="3">
        <f t="shared" si="17"/>
        <v>2115.7894736842104</v>
      </c>
      <c r="F18" s="3">
        <v>4020</v>
      </c>
      <c r="G18" s="6">
        <v>1.9</v>
      </c>
      <c r="H18" s="3" t="e">
        <f t="shared" si="18"/>
        <v>#DIV/0!</v>
      </c>
      <c r="I18" s="3">
        <v>0</v>
      </c>
      <c r="J18" s="6">
        <v>0</v>
      </c>
      <c r="K18" s="3" t="e">
        <f t="shared" si="19"/>
        <v>#DIV/0!</v>
      </c>
      <c r="L18" s="3">
        <v>0</v>
      </c>
      <c r="M18" s="6">
        <v>0</v>
      </c>
      <c r="N18" s="3">
        <f t="shared" si="20"/>
        <v>2936.8421052631579</v>
      </c>
      <c r="O18" s="3">
        <v>5580</v>
      </c>
      <c r="P18" s="6">
        <v>1.9</v>
      </c>
      <c r="Q18" s="3" t="e">
        <f t="shared" si="21"/>
        <v>#DIV/0!</v>
      </c>
      <c r="R18" s="3">
        <v>0</v>
      </c>
      <c r="S18" s="6">
        <v>0</v>
      </c>
      <c r="T18" s="3" t="e">
        <f t="shared" si="22"/>
        <v>#DIV/0!</v>
      </c>
      <c r="U18" s="3">
        <v>0</v>
      </c>
      <c r="V18" s="6">
        <v>0</v>
      </c>
      <c r="W18" s="3" t="e">
        <f t="shared" si="23"/>
        <v>#DIV/0!</v>
      </c>
      <c r="X18" s="3">
        <v>0</v>
      </c>
      <c r="Y18" s="6">
        <v>0</v>
      </c>
      <c r="Z18" s="3" t="e">
        <f t="shared" si="24"/>
        <v>#DIV/0!</v>
      </c>
      <c r="AA18" s="3">
        <v>0</v>
      </c>
      <c r="AB18" s="6">
        <v>0</v>
      </c>
      <c r="AC18" s="3" t="e">
        <f t="shared" si="25"/>
        <v>#DIV/0!</v>
      </c>
      <c r="AD18" s="3">
        <v>0</v>
      </c>
      <c r="AE18" s="6">
        <v>0</v>
      </c>
      <c r="AF18" s="3" t="e">
        <f t="shared" si="26"/>
        <v>#DIV/0!</v>
      </c>
      <c r="AG18" s="3">
        <v>0</v>
      </c>
      <c r="AH18" s="6">
        <v>0</v>
      </c>
      <c r="AI18" s="3" t="e">
        <f t="shared" si="27"/>
        <v>#DIV/0!</v>
      </c>
      <c r="AJ18" s="3">
        <v>0</v>
      </c>
      <c r="AK18" s="6">
        <v>0</v>
      </c>
      <c r="AL18" s="3" t="e">
        <f t="shared" si="28"/>
        <v>#DIV/0!</v>
      </c>
      <c r="AM18" s="3">
        <v>0</v>
      </c>
      <c r="AN18" s="6">
        <v>0</v>
      </c>
      <c r="AO18" s="3">
        <f t="shared" si="12"/>
        <v>2526.3157894736842</v>
      </c>
      <c r="AP18" s="3">
        <f t="shared" si="15"/>
        <v>9600</v>
      </c>
      <c r="AQ18" s="6">
        <f t="shared" si="16"/>
        <v>3.8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37</v>
      </c>
      <c r="B19" s="20"/>
      <c r="C19" s="20"/>
      <c r="D19" s="20"/>
      <c r="E19" s="3" t="e">
        <f t="shared" si="17"/>
        <v>#DIV/0!</v>
      </c>
      <c r="F19" s="3">
        <v>0</v>
      </c>
      <c r="G19" s="6">
        <v>0</v>
      </c>
      <c r="H19" s="3">
        <f t="shared" si="18"/>
        <v>2403.75</v>
      </c>
      <c r="I19" s="3">
        <v>5769</v>
      </c>
      <c r="J19" s="6">
        <v>2.4</v>
      </c>
      <c r="K19" s="3" t="e">
        <f t="shared" si="19"/>
        <v>#DIV/0!</v>
      </c>
      <c r="L19" s="3">
        <v>0</v>
      </c>
      <c r="M19" s="6">
        <v>0</v>
      </c>
      <c r="N19" s="3" t="e">
        <f t="shared" si="20"/>
        <v>#DIV/0!</v>
      </c>
      <c r="O19" s="3">
        <v>0</v>
      </c>
      <c r="P19" s="6">
        <v>0</v>
      </c>
      <c r="Q19" s="3" t="e">
        <f t="shared" si="21"/>
        <v>#DIV/0!</v>
      </c>
      <c r="R19" s="3">
        <v>0</v>
      </c>
      <c r="S19" s="6">
        <v>0</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t="e">
        <f t="shared" si="26"/>
        <v>#DIV/0!</v>
      </c>
      <c r="AG19" s="3">
        <v>0</v>
      </c>
      <c r="AH19" s="6">
        <v>0</v>
      </c>
      <c r="AI19" s="3" t="e">
        <f t="shared" si="27"/>
        <v>#DIV/0!</v>
      </c>
      <c r="AJ19" s="3">
        <v>0</v>
      </c>
      <c r="AK19" s="6">
        <v>0</v>
      </c>
      <c r="AL19" s="3" t="e">
        <f t="shared" si="28"/>
        <v>#DIV/0!</v>
      </c>
      <c r="AM19" s="3">
        <v>0</v>
      </c>
      <c r="AN19" s="6">
        <v>0</v>
      </c>
      <c r="AO19" s="3">
        <f t="shared" si="12"/>
        <v>2403.75</v>
      </c>
      <c r="AP19" s="3">
        <f t="shared" si="15"/>
        <v>5769</v>
      </c>
      <c r="AQ19" s="6">
        <f t="shared" si="16"/>
        <v>2.4</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46</v>
      </c>
      <c r="B20" s="20"/>
      <c r="C20" s="20"/>
      <c r="D20" s="20"/>
      <c r="E20" s="3" t="e">
        <f t="shared" si="17"/>
        <v>#DIV/0!</v>
      </c>
      <c r="F20" s="3">
        <v>0</v>
      </c>
      <c r="G20" s="6">
        <v>0</v>
      </c>
      <c r="H20" s="3" t="e">
        <f t="shared" si="18"/>
        <v>#DIV/0!</v>
      </c>
      <c r="I20" s="3">
        <v>0</v>
      </c>
      <c r="J20" s="6">
        <v>0</v>
      </c>
      <c r="K20" s="3" t="e">
        <f t="shared" si="19"/>
        <v>#DIV/0!</v>
      </c>
      <c r="L20" s="3">
        <v>0</v>
      </c>
      <c r="M20" s="6">
        <v>0</v>
      </c>
      <c r="N20" s="3" t="e">
        <f t="shared" si="20"/>
        <v>#DIV/0!</v>
      </c>
      <c r="O20" s="3">
        <v>0</v>
      </c>
      <c r="P20" s="6">
        <v>0</v>
      </c>
      <c r="Q20" s="3" t="e">
        <f t="shared" si="21"/>
        <v>#DIV/0!</v>
      </c>
      <c r="R20" s="3">
        <v>0</v>
      </c>
      <c r="S20" s="6">
        <v>0</v>
      </c>
      <c r="T20" s="3">
        <f t="shared" si="22"/>
        <v>3928.163265306122</v>
      </c>
      <c r="U20" s="3">
        <v>19248</v>
      </c>
      <c r="V20" s="6">
        <v>4.9000000000000004</v>
      </c>
      <c r="W20" s="3" t="e">
        <f t="shared" si="23"/>
        <v>#DIV/0!</v>
      </c>
      <c r="X20" s="3">
        <v>0</v>
      </c>
      <c r="Y20" s="6">
        <v>0</v>
      </c>
      <c r="Z20" s="3" t="e">
        <f t="shared" si="24"/>
        <v>#DIV/0!</v>
      </c>
      <c r="AA20" s="3">
        <v>0</v>
      </c>
      <c r="AB20" s="6">
        <v>0</v>
      </c>
      <c r="AC20" s="3" t="e">
        <f t="shared" si="25"/>
        <v>#DIV/0!</v>
      </c>
      <c r="AD20" s="3">
        <v>0</v>
      </c>
      <c r="AE20" s="6">
        <v>0</v>
      </c>
      <c r="AF20" s="3" t="e">
        <f t="shared" si="26"/>
        <v>#DIV/0!</v>
      </c>
      <c r="AG20" s="3">
        <v>0</v>
      </c>
      <c r="AH20" s="6">
        <v>0</v>
      </c>
      <c r="AI20" s="3" t="e">
        <f t="shared" si="27"/>
        <v>#DIV/0!</v>
      </c>
      <c r="AJ20" s="3">
        <v>0</v>
      </c>
      <c r="AK20" s="6">
        <v>0</v>
      </c>
      <c r="AL20" s="3" t="e">
        <f t="shared" si="28"/>
        <v>#DIV/0!</v>
      </c>
      <c r="AM20" s="3">
        <v>0</v>
      </c>
      <c r="AN20" s="6">
        <v>0</v>
      </c>
      <c r="AO20" s="3">
        <f t="shared" si="12"/>
        <v>3928.163265306122</v>
      </c>
      <c r="AP20" s="3">
        <f t="shared" si="15"/>
        <v>19248</v>
      </c>
      <c r="AQ20" s="6">
        <f t="shared" si="16"/>
        <v>4.9000000000000004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18</v>
      </c>
      <c r="B21" s="20"/>
      <c r="C21" s="20"/>
      <c r="D21" s="20"/>
      <c r="E21" s="3">
        <f t="shared" si="17"/>
        <v>6638.8888888888887</v>
      </c>
      <c r="F21" s="3">
        <v>5975</v>
      </c>
      <c r="G21" s="6">
        <v>0.9</v>
      </c>
      <c r="H21" s="3">
        <f t="shared" si="18"/>
        <v>1457.6712328767123</v>
      </c>
      <c r="I21" s="3">
        <v>10641</v>
      </c>
      <c r="J21" s="6">
        <v>7.3</v>
      </c>
      <c r="K21" s="3">
        <f t="shared" si="19"/>
        <v>2666.0869565217395</v>
      </c>
      <c r="L21" s="3">
        <v>49056</v>
      </c>
      <c r="M21" s="6">
        <v>18.399999999999999</v>
      </c>
      <c r="N21" s="3" t="e">
        <f t="shared" si="20"/>
        <v>#DIV/0!</v>
      </c>
      <c r="O21" s="3">
        <v>0</v>
      </c>
      <c r="P21" s="6">
        <v>0</v>
      </c>
      <c r="Q21" s="3">
        <f t="shared" si="21"/>
        <v>2612.5</v>
      </c>
      <c r="R21" s="3">
        <v>16720</v>
      </c>
      <c r="S21" s="6">
        <v>6.4</v>
      </c>
      <c r="T21" s="3">
        <f t="shared" si="22"/>
        <v>2339.3103448275865</v>
      </c>
      <c r="U21" s="3">
        <v>108544</v>
      </c>
      <c r="V21" s="6">
        <v>46.4</v>
      </c>
      <c r="W21" s="3" t="e">
        <f t="shared" si="23"/>
        <v>#DIV/0!</v>
      </c>
      <c r="X21" s="3">
        <v>0</v>
      </c>
      <c r="Y21" s="6">
        <v>0</v>
      </c>
      <c r="Z21" s="3" t="e">
        <f t="shared" si="24"/>
        <v>#DIV/0!</v>
      </c>
      <c r="AA21" s="3">
        <v>0</v>
      </c>
      <c r="AB21" s="6">
        <v>0</v>
      </c>
      <c r="AC21" s="3" t="e">
        <f t="shared" si="25"/>
        <v>#DIV/0!</v>
      </c>
      <c r="AD21" s="3">
        <v>0</v>
      </c>
      <c r="AE21" s="6">
        <v>0</v>
      </c>
      <c r="AF21" s="3" t="e">
        <f t="shared" si="26"/>
        <v>#DIV/0!</v>
      </c>
      <c r="AG21" s="3">
        <v>0</v>
      </c>
      <c r="AH21" s="6">
        <v>0</v>
      </c>
      <c r="AI21" s="3" t="e">
        <f t="shared" si="27"/>
        <v>#DIV/0!</v>
      </c>
      <c r="AJ21" s="3">
        <v>0</v>
      </c>
      <c r="AK21" s="6">
        <v>0</v>
      </c>
      <c r="AL21" s="3" t="e">
        <f t="shared" si="28"/>
        <v>#DIV/0!</v>
      </c>
      <c r="AM21" s="3">
        <v>0</v>
      </c>
      <c r="AN21" s="6">
        <v>0</v>
      </c>
      <c r="AO21" s="3">
        <f t="shared" si="12"/>
        <v>2404.7355163727957</v>
      </c>
      <c r="AP21" s="3">
        <f t="shared" si="15"/>
        <v>190936</v>
      </c>
      <c r="AQ21" s="6">
        <f t="shared" si="16"/>
        <v>79.400000000000006</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53</v>
      </c>
      <c r="B22" s="20"/>
      <c r="C22" s="20"/>
      <c r="D22" s="20"/>
      <c r="E22" s="3" t="e">
        <f t="shared" si="17"/>
        <v>#DIV/0!</v>
      </c>
      <c r="F22" s="3">
        <v>0</v>
      </c>
      <c r="G22" s="6">
        <v>0</v>
      </c>
      <c r="H22" s="3" t="e">
        <f t="shared" si="18"/>
        <v>#DIV/0!</v>
      </c>
      <c r="I22" s="3">
        <v>0</v>
      </c>
      <c r="J22" s="6">
        <v>0</v>
      </c>
      <c r="K22" s="3" t="e">
        <f t="shared" si="19"/>
        <v>#DIV/0!</v>
      </c>
      <c r="L22" s="3">
        <v>0</v>
      </c>
      <c r="M22" s="6">
        <v>0</v>
      </c>
      <c r="N22" s="3" t="e">
        <f t="shared" si="20"/>
        <v>#DIV/0!</v>
      </c>
      <c r="O22" s="3">
        <v>0</v>
      </c>
      <c r="P22" s="6">
        <v>0</v>
      </c>
      <c r="Q22" s="3" t="e">
        <f t="shared" si="21"/>
        <v>#DIV/0!</v>
      </c>
      <c r="R22" s="3">
        <v>0</v>
      </c>
      <c r="S22" s="6">
        <v>0</v>
      </c>
      <c r="T22" s="3" t="e">
        <f t="shared" si="22"/>
        <v>#DIV/0!</v>
      </c>
      <c r="U22" s="3">
        <v>0</v>
      </c>
      <c r="V22" s="6">
        <v>0</v>
      </c>
      <c r="W22" s="3">
        <f t="shared" si="23"/>
        <v>1290.5031446540879</v>
      </c>
      <c r="X22" s="3">
        <v>20519</v>
      </c>
      <c r="Y22" s="6">
        <v>15.9</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1290.5031446540879</v>
      </c>
      <c r="AP22" s="3">
        <f t="shared" si="15"/>
        <v>20519</v>
      </c>
      <c r="AQ22" s="6">
        <f t="shared" si="16"/>
        <v>15.9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49</v>
      </c>
      <c r="B23" s="20"/>
      <c r="C23" s="20"/>
      <c r="D23" s="20"/>
      <c r="E23" s="3">
        <f t="shared" si="17"/>
        <v>2613.0769230769229</v>
      </c>
      <c r="F23" s="3">
        <v>3397</v>
      </c>
      <c r="G23" s="6">
        <v>1.3</v>
      </c>
      <c r="H23" s="3">
        <f t="shared" si="18"/>
        <v>2557.8947368421054</v>
      </c>
      <c r="I23" s="3">
        <v>4860</v>
      </c>
      <c r="J23" s="6">
        <v>1.9</v>
      </c>
      <c r="K23" s="3" t="e">
        <f t="shared" si="19"/>
        <v>#DIV/0!</v>
      </c>
      <c r="L23" s="3">
        <v>0</v>
      </c>
      <c r="M23" s="6">
        <v>0</v>
      </c>
      <c r="N23" s="3" t="e">
        <f t="shared" si="20"/>
        <v>#DIV/0!</v>
      </c>
      <c r="O23" s="3">
        <v>0</v>
      </c>
      <c r="P23" s="6">
        <v>0</v>
      </c>
      <c r="Q23" s="3">
        <f t="shared" si="21"/>
        <v>2273.6842105263158</v>
      </c>
      <c r="R23" s="3">
        <v>4320</v>
      </c>
      <c r="S23" s="6">
        <v>1.9</v>
      </c>
      <c r="T23" s="3">
        <f t="shared" si="22"/>
        <v>2273.6842105263158</v>
      </c>
      <c r="U23" s="3">
        <v>4320</v>
      </c>
      <c r="V23" s="6">
        <v>1.9</v>
      </c>
      <c r="W23" s="3" t="e">
        <f t="shared" si="23"/>
        <v>#DIV/0!</v>
      </c>
      <c r="X23" s="3">
        <v>0</v>
      </c>
      <c r="Y23" s="6">
        <v>0</v>
      </c>
      <c r="Z23" s="3" t="e">
        <f t="shared" si="24"/>
        <v>#DIV/0!</v>
      </c>
      <c r="AA23" s="3">
        <v>0</v>
      </c>
      <c r="AB23" s="6">
        <v>0</v>
      </c>
      <c r="AC23" s="3">
        <f t="shared" si="25"/>
        <v>3216.6666666666665</v>
      </c>
      <c r="AD23" s="3">
        <v>5790</v>
      </c>
      <c r="AE23" s="6">
        <v>1.8</v>
      </c>
      <c r="AF23" s="3" t="e">
        <f t="shared" si="26"/>
        <v>#DIV/0!</v>
      </c>
      <c r="AG23" s="3">
        <v>0</v>
      </c>
      <c r="AH23" s="6">
        <v>0</v>
      </c>
      <c r="AI23" s="3" t="e">
        <f t="shared" si="27"/>
        <v>#DIV/0!</v>
      </c>
      <c r="AJ23" s="3">
        <v>0</v>
      </c>
      <c r="AK23" s="6">
        <v>0</v>
      </c>
      <c r="AL23" s="3" t="e">
        <f t="shared" si="28"/>
        <v>#DIV/0!</v>
      </c>
      <c r="AM23" s="3">
        <v>0</v>
      </c>
      <c r="AN23" s="6">
        <v>0</v>
      </c>
      <c r="AO23" s="3">
        <f t="shared" si="12"/>
        <v>2578.0681818181815</v>
      </c>
      <c r="AP23" s="3">
        <f t="shared" si="15"/>
        <v>22687</v>
      </c>
      <c r="AQ23" s="6">
        <f t="shared" si="16"/>
        <v>8.8000000000000007</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50</v>
      </c>
      <c r="B24" s="20"/>
      <c r="C24" s="20"/>
      <c r="D24" s="20"/>
      <c r="E24" s="3">
        <f t="shared" si="17"/>
        <v>2253.0817610062895</v>
      </c>
      <c r="F24" s="3">
        <v>179120</v>
      </c>
      <c r="G24" s="6">
        <v>79.5</v>
      </c>
      <c r="H24" s="3">
        <f t="shared" si="18"/>
        <v>2078.7401574803148</v>
      </c>
      <c r="I24" s="3">
        <v>79200</v>
      </c>
      <c r="J24" s="6">
        <v>38.1</v>
      </c>
      <c r="K24" s="3" t="e">
        <f t="shared" si="19"/>
        <v>#DIV/0!</v>
      </c>
      <c r="L24" s="3">
        <v>0</v>
      </c>
      <c r="M24" s="6">
        <v>0</v>
      </c>
      <c r="N24" s="3" t="e">
        <f t="shared" si="20"/>
        <v>#DIV/0!</v>
      </c>
      <c r="O24" s="3">
        <v>0</v>
      </c>
      <c r="P24" s="6">
        <v>0</v>
      </c>
      <c r="Q24" s="3">
        <f t="shared" si="21"/>
        <v>2006.25</v>
      </c>
      <c r="R24" s="3">
        <v>46545</v>
      </c>
      <c r="S24" s="6">
        <v>23.2</v>
      </c>
      <c r="T24" s="3" t="e">
        <f t="shared" si="22"/>
        <v>#DIV/0!</v>
      </c>
      <c r="U24" s="3">
        <v>0</v>
      </c>
      <c r="V24" s="6">
        <v>0</v>
      </c>
      <c r="W24" s="3" t="e">
        <f t="shared" si="23"/>
        <v>#DIV/0!</v>
      </c>
      <c r="X24" s="3">
        <v>0</v>
      </c>
      <c r="Y24" s="6">
        <v>0</v>
      </c>
      <c r="Z24" s="3" t="e">
        <f t="shared" si="24"/>
        <v>#DIV/0!</v>
      </c>
      <c r="AA24" s="3">
        <v>0</v>
      </c>
      <c r="AB24" s="6">
        <v>0</v>
      </c>
      <c r="AC24" s="3" t="e">
        <f t="shared" si="25"/>
        <v>#DIV/0!</v>
      </c>
      <c r="AD24" s="3">
        <v>0</v>
      </c>
      <c r="AE24" s="6">
        <v>0</v>
      </c>
      <c r="AF24" s="3" t="e">
        <f t="shared" si="26"/>
        <v>#DIV/0!</v>
      </c>
      <c r="AG24" s="3">
        <v>0</v>
      </c>
      <c r="AH24" s="6">
        <v>0</v>
      </c>
      <c r="AI24" s="3" t="e">
        <f t="shared" si="27"/>
        <v>#DIV/0!</v>
      </c>
      <c r="AJ24" s="3">
        <v>0</v>
      </c>
      <c r="AK24" s="6">
        <v>0</v>
      </c>
      <c r="AL24" s="3" t="e">
        <f t="shared" si="28"/>
        <v>#DIV/0!</v>
      </c>
      <c r="AM24" s="3">
        <v>0</v>
      </c>
      <c r="AN24" s="6">
        <v>0</v>
      </c>
      <c r="AO24" s="3">
        <f t="shared" si="12"/>
        <v>2165.2343750000005</v>
      </c>
      <c r="AP24" s="3">
        <f t="shared" si="15"/>
        <v>304865</v>
      </c>
      <c r="AQ24" s="6">
        <f t="shared" si="16"/>
        <v>140.79999999999998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47</v>
      </c>
      <c r="B25" s="20"/>
      <c r="C25" s="20"/>
      <c r="D25" s="20"/>
      <c r="E25" s="3">
        <f t="shared" si="17"/>
        <v>1459.7590361445782</v>
      </c>
      <c r="F25" s="3">
        <v>12116</v>
      </c>
      <c r="G25" s="6">
        <v>8.3000000000000007</v>
      </c>
      <c r="H25" s="3" t="e">
        <f t="shared" si="18"/>
        <v>#DIV/0!</v>
      </c>
      <c r="I25" s="3">
        <v>0</v>
      </c>
      <c r="J25" s="6">
        <v>0</v>
      </c>
      <c r="K25" s="3" t="e">
        <f t="shared" si="19"/>
        <v>#DIV/0!</v>
      </c>
      <c r="L25" s="3">
        <v>0</v>
      </c>
      <c r="M25" s="6">
        <v>0</v>
      </c>
      <c r="N25" s="3">
        <f t="shared" si="20"/>
        <v>1998.0985915492959</v>
      </c>
      <c r="O25" s="3">
        <v>28373</v>
      </c>
      <c r="P25" s="6">
        <v>14.2</v>
      </c>
      <c r="Q25" s="3" t="e">
        <f t="shared" si="21"/>
        <v>#DIV/0!</v>
      </c>
      <c r="R25" s="3">
        <v>0</v>
      </c>
      <c r="S25" s="6">
        <v>0</v>
      </c>
      <c r="T25" s="3" t="e">
        <f t="shared" si="22"/>
        <v>#DIV/0!</v>
      </c>
      <c r="U25" s="3">
        <v>0</v>
      </c>
      <c r="V25" s="6">
        <v>0</v>
      </c>
      <c r="W25" s="3" t="e">
        <f t="shared" si="23"/>
        <v>#DIV/0!</v>
      </c>
      <c r="X25" s="3">
        <v>0</v>
      </c>
      <c r="Y25" s="6">
        <v>0</v>
      </c>
      <c r="Z25" s="3">
        <f t="shared" si="24"/>
        <v>1460.4464285714287</v>
      </c>
      <c r="AA25" s="3">
        <v>16357</v>
      </c>
      <c r="AB25" s="6">
        <v>11.2</v>
      </c>
      <c r="AC25" s="3">
        <f t="shared" si="25"/>
        <v>1451.014492753623</v>
      </c>
      <c r="AD25" s="3">
        <v>10012</v>
      </c>
      <c r="AE25" s="6">
        <v>6.9</v>
      </c>
      <c r="AF25" s="3" t="e">
        <f t="shared" si="26"/>
        <v>#DIV/0!</v>
      </c>
      <c r="AG25" s="3">
        <v>0</v>
      </c>
      <c r="AH25" s="6">
        <v>0</v>
      </c>
      <c r="AI25" s="3">
        <f t="shared" si="27"/>
        <v>1449.2105263157896</v>
      </c>
      <c r="AJ25" s="3">
        <v>11014</v>
      </c>
      <c r="AK25" s="6">
        <v>7.6</v>
      </c>
      <c r="AL25" s="3" t="e">
        <f t="shared" si="28"/>
        <v>#DIV/0!</v>
      </c>
      <c r="AM25" s="3">
        <v>0</v>
      </c>
      <c r="AN25" s="6">
        <v>0</v>
      </c>
      <c r="AO25" s="3">
        <f t="shared" si="12"/>
        <v>1615.6016597510372</v>
      </c>
      <c r="AP25" s="3">
        <f t="shared" si="15"/>
        <v>77872</v>
      </c>
      <c r="AQ25" s="6">
        <f t="shared" si="16"/>
        <v>48.2</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36</v>
      </c>
      <c r="B26" s="20"/>
      <c r="C26" s="20"/>
      <c r="D26" s="20"/>
      <c r="E26" s="3">
        <f t="shared" si="17"/>
        <v>2524.0837696335075</v>
      </c>
      <c r="F26" s="3">
        <v>48210</v>
      </c>
      <c r="G26" s="6">
        <v>19.100000000000001</v>
      </c>
      <c r="H26" s="3">
        <f t="shared" si="18"/>
        <v>1388.8888888888889</v>
      </c>
      <c r="I26" s="3">
        <v>25000</v>
      </c>
      <c r="J26" s="6">
        <v>18</v>
      </c>
      <c r="K26" s="3" t="e">
        <f t="shared" si="19"/>
        <v>#DIV/0!</v>
      </c>
      <c r="L26" s="3">
        <v>0</v>
      </c>
      <c r="M26" s="6">
        <v>0</v>
      </c>
      <c r="N26" s="3" t="e">
        <f t="shared" si="20"/>
        <v>#DIV/0!</v>
      </c>
      <c r="O26" s="3">
        <v>0</v>
      </c>
      <c r="P26" s="6">
        <v>0</v>
      </c>
      <c r="Q26" s="3">
        <f t="shared" si="21"/>
        <v>2378.7931034482758</v>
      </c>
      <c r="R26" s="3">
        <v>55188</v>
      </c>
      <c r="S26" s="6">
        <v>23.2</v>
      </c>
      <c r="T26" s="3">
        <f t="shared" si="22"/>
        <v>2904.6315789473683</v>
      </c>
      <c r="U26" s="3">
        <v>55188</v>
      </c>
      <c r="V26" s="6">
        <v>19</v>
      </c>
      <c r="W26" s="3" t="e">
        <f t="shared" si="23"/>
        <v>#DIV/0!</v>
      </c>
      <c r="X26" s="3">
        <v>0</v>
      </c>
      <c r="Y26" s="6">
        <v>0</v>
      </c>
      <c r="Z26" s="3" t="e">
        <f t="shared" si="24"/>
        <v>#DIV/0!</v>
      </c>
      <c r="AA26" s="3">
        <v>0</v>
      </c>
      <c r="AB26" s="6">
        <v>0</v>
      </c>
      <c r="AC26" s="3">
        <f t="shared" si="25"/>
        <v>2019.4827586206898</v>
      </c>
      <c r="AD26" s="3">
        <v>46852</v>
      </c>
      <c r="AE26" s="6">
        <v>23.2</v>
      </c>
      <c r="AF26" s="3">
        <f t="shared" si="26"/>
        <v>2236.4963503649633</v>
      </c>
      <c r="AG26" s="3">
        <v>91920</v>
      </c>
      <c r="AH26" s="6">
        <v>41.1</v>
      </c>
      <c r="AI26" s="3" t="e">
        <f t="shared" si="27"/>
        <v>#DIV/0!</v>
      </c>
      <c r="AJ26" s="3">
        <v>0</v>
      </c>
      <c r="AK26" s="6">
        <v>0</v>
      </c>
      <c r="AL26" s="3" t="e">
        <f t="shared" si="28"/>
        <v>#DIV/0!</v>
      </c>
      <c r="AM26" s="3">
        <v>0</v>
      </c>
      <c r="AN26" s="6">
        <v>0</v>
      </c>
      <c r="AO26" s="3">
        <f t="shared" si="12"/>
        <v>2244.8328690807803</v>
      </c>
      <c r="AP26" s="3">
        <f t="shared" si="15"/>
        <v>322358</v>
      </c>
      <c r="AQ26" s="6">
        <f t="shared" si="16"/>
        <v>143.6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25</v>
      </c>
      <c r="B27" s="20"/>
      <c r="C27" s="20"/>
      <c r="D27" s="20"/>
      <c r="E27" s="3">
        <f t="shared" si="17"/>
        <v>2929.2222222222222</v>
      </c>
      <c r="F27" s="3">
        <v>52726</v>
      </c>
      <c r="G27" s="6">
        <v>18</v>
      </c>
      <c r="H27" s="3" t="e">
        <f t="shared" si="18"/>
        <v>#DIV/0!</v>
      </c>
      <c r="I27" s="3">
        <v>0</v>
      </c>
      <c r="J27" s="6">
        <v>0</v>
      </c>
      <c r="K27" s="3">
        <f t="shared" si="19"/>
        <v>2901.9047619047619</v>
      </c>
      <c r="L27" s="3">
        <v>48752</v>
      </c>
      <c r="M27" s="6">
        <v>16.8</v>
      </c>
      <c r="N27" s="3">
        <f t="shared" si="20"/>
        <v>2136.4159292035397</v>
      </c>
      <c r="O27" s="3">
        <v>48283</v>
      </c>
      <c r="P27" s="6">
        <v>22.6</v>
      </c>
      <c r="Q27" s="3">
        <f t="shared" si="21"/>
        <v>2255.1196172248806</v>
      </c>
      <c r="R27" s="3">
        <v>94264</v>
      </c>
      <c r="S27" s="6">
        <v>41.8</v>
      </c>
      <c r="T27" s="3">
        <f t="shared" si="22"/>
        <v>1716.3819095477388</v>
      </c>
      <c r="U27" s="3">
        <v>34156</v>
      </c>
      <c r="V27" s="6">
        <v>19.899999999999999</v>
      </c>
      <c r="W27" s="3">
        <f t="shared" si="23"/>
        <v>1715.4065040650405</v>
      </c>
      <c r="X27" s="3">
        <v>84398</v>
      </c>
      <c r="Y27" s="6">
        <v>49.2</v>
      </c>
      <c r="Z27" s="3" t="e">
        <f t="shared" si="24"/>
        <v>#DIV/0!</v>
      </c>
      <c r="AA27" s="3">
        <v>0</v>
      </c>
      <c r="AB27" s="6">
        <v>0</v>
      </c>
      <c r="AC27" s="3">
        <f t="shared" si="25"/>
        <v>2343.1578947368421</v>
      </c>
      <c r="AD27" s="3">
        <v>13356</v>
      </c>
      <c r="AE27" s="6">
        <v>5.7</v>
      </c>
      <c r="AF27" s="3" t="e">
        <f t="shared" si="26"/>
        <v>#DIV/0!</v>
      </c>
      <c r="AG27" s="3">
        <v>0</v>
      </c>
      <c r="AH27" s="6">
        <v>0</v>
      </c>
      <c r="AI27" s="3">
        <f t="shared" si="27"/>
        <v>2450.5263157894738</v>
      </c>
      <c r="AJ27" s="3">
        <v>9312</v>
      </c>
      <c r="AK27" s="6">
        <v>3.8</v>
      </c>
      <c r="AL27" s="3" t="e">
        <f t="shared" si="28"/>
        <v>#DIV/0!</v>
      </c>
      <c r="AM27" s="3">
        <v>0</v>
      </c>
      <c r="AN27" s="6">
        <v>0</v>
      </c>
      <c r="AO27" s="3">
        <f t="shared" si="12"/>
        <v>2166.7435320584927</v>
      </c>
      <c r="AP27" s="3">
        <f t="shared" si="15"/>
        <v>385247</v>
      </c>
      <c r="AQ27" s="6">
        <f t="shared" si="16"/>
        <v>177.8</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12" t="s">
        <v>42</v>
      </c>
      <c r="B28" s="21"/>
      <c r="C28" s="21"/>
      <c r="D28" s="21"/>
      <c r="E28" s="9" t="e">
        <f t="shared" si="17"/>
        <v>#DIV/0!</v>
      </c>
      <c r="F28" s="10">
        <v>0</v>
      </c>
      <c r="G28" s="11">
        <v>0</v>
      </c>
      <c r="H28" s="10" t="e">
        <f t="shared" si="18"/>
        <v>#DIV/0!</v>
      </c>
      <c r="I28" s="10">
        <v>0</v>
      </c>
      <c r="J28" s="11">
        <v>0</v>
      </c>
      <c r="K28" s="10" t="e">
        <f t="shared" si="19"/>
        <v>#DIV/0!</v>
      </c>
      <c r="L28" s="10">
        <v>0</v>
      </c>
      <c r="M28" s="11">
        <v>0</v>
      </c>
      <c r="N28" s="10" t="e">
        <f t="shared" si="20"/>
        <v>#DIV/0!</v>
      </c>
      <c r="O28" s="10">
        <v>0</v>
      </c>
      <c r="P28" s="11">
        <v>0</v>
      </c>
      <c r="Q28" s="10">
        <f t="shared" si="21"/>
        <v>2779.6666666666665</v>
      </c>
      <c r="R28" s="10">
        <v>8339</v>
      </c>
      <c r="S28" s="11">
        <v>3</v>
      </c>
      <c r="T28" s="10" t="e">
        <f t="shared" si="22"/>
        <v>#DIV/0!</v>
      </c>
      <c r="U28" s="10">
        <v>0</v>
      </c>
      <c r="V28" s="11">
        <v>0</v>
      </c>
      <c r="W28" s="10" t="e">
        <f t="shared" si="23"/>
        <v>#DIV/0!</v>
      </c>
      <c r="X28" s="10">
        <v>0</v>
      </c>
      <c r="Y28" s="11">
        <v>0</v>
      </c>
      <c r="Z28" s="10" t="e">
        <f t="shared" si="24"/>
        <v>#DIV/0!</v>
      </c>
      <c r="AA28" s="10">
        <v>0</v>
      </c>
      <c r="AB28" s="11">
        <v>0</v>
      </c>
      <c r="AC28" s="10" t="e">
        <f t="shared" si="25"/>
        <v>#DIV/0!</v>
      </c>
      <c r="AD28" s="10">
        <v>0</v>
      </c>
      <c r="AE28" s="11">
        <v>0</v>
      </c>
      <c r="AF28" s="10" t="e">
        <f t="shared" si="26"/>
        <v>#DIV/0!</v>
      </c>
      <c r="AG28" s="10">
        <v>0</v>
      </c>
      <c r="AH28" s="11">
        <v>0</v>
      </c>
      <c r="AI28" s="10" t="e">
        <f t="shared" si="27"/>
        <v>#DIV/0!</v>
      </c>
      <c r="AJ28" s="10">
        <v>0</v>
      </c>
      <c r="AK28" s="11">
        <v>0</v>
      </c>
      <c r="AL28" s="10" t="e">
        <f t="shared" si="28"/>
        <v>#DIV/0!</v>
      </c>
      <c r="AM28" s="10">
        <v>0</v>
      </c>
      <c r="AN28" s="11">
        <v>0</v>
      </c>
      <c r="AO28" s="10">
        <f t="shared" si="12"/>
        <v>2779.6666666666665</v>
      </c>
      <c r="AP28" s="10">
        <f t="shared" si="15"/>
        <v>8339</v>
      </c>
      <c r="AQ28" s="11">
        <f t="shared" si="16"/>
        <v>3</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1" t="s">
        <v>27</v>
      </c>
      <c r="B29" s="1"/>
    </row>
    <row r="30" spans="1:67" x14ac:dyDescent="0.3">
      <c r="A30" s="1" t="s">
        <v>39</v>
      </c>
      <c r="B30" s="1"/>
    </row>
    <row r="31" spans="1:67" x14ac:dyDescent="0.3">
      <c r="A31" s="1" t="s">
        <v>28</v>
      </c>
      <c r="B31" s="1"/>
    </row>
    <row r="32" spans="1:67" x14ac:dyDescent="0.3">
      <c r="A32" s="1" t="s">
        <v>29</v>
      </c>
      <c r="B32" s="1"/>
    </row>
    <row r="33" spans="1:2" x14ac:dyDescent="0.3">
      <c r="A33" s="1" t="s">
        <v>40</v>
      </c>
      <c r="B33" s="1"/>
    </row>
  </sheetData>
  <mergeCells count="16">
    <mergeCell ref="E1:G1"/>
    <mergeCell ref="H1:J1"/>
    <mergeCell ref="K1:M1"/>
    <mergeCell ref="B3:B28"/>
    <mergeCell ref="C3:C28"/>
    <mergeCell ref="D3:D28"/>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2026-08-07T09:53:37Z</dcterms:modified>
</cp:coreProperties>
</file>