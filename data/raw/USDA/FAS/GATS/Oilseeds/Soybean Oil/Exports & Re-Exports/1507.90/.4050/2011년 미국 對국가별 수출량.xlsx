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11년" sheetId="1" r:id="rId1"/>
  </sheets>
  <calcPr calcId="162913"/>
</workbook>
</file>

<file path=xl/calcChain.xml><?xml version="1.0" encoding="utf-8"?>
<calcChain xmlns="http://schemas.openxmlformats.org/spreadsheetml/2006/main">
  <c r="AQ68" i="1" l="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Q14" i="1"/>
  <c r="AQ13" i="1"/>
  <c r="AQ12" i="1"/>
  <c r="AQ11" i="1"/>
  <c r="AQ10" i="1"/>
  <c r="AQ9" i="1"/>
  <c r="AQ8" i="1"/>
  <c r="AQ7" i="1"/>
  <c r="AQ6" i="1"/>
  <c r="AQ5" i="1"/>
  <c r="AQ4" i="1"/>
  <c r="AP68" i="1"/>
  <c r="AP67" i="1"/>
  <c r="AP66" i="1"/>
  <c r="AP65" i="1"/>
  <c r="AP64" i="1"/>
  <c r="AP63" i="1"/>
  <c r="AP62" i="1"/>
  <c r="AP61" i="1"/>
  <c r="AP60" i="1"/>
  <c r="AP59" i="1"/>
  <c r="AP58" i="1"/>
  <c r="AP57" i="1"/>
  <c r="AP56" i="1"/>
  <c r="AP55" i="1"/>
  <c r="AP54" i="1"/>
  <c r="AP53" i="1"/>
  <c r="AP52" i="1"/>
  <c r="AP51" i="1"/>
  <c r="AP50" i="1"/>
  <c r="AP49" i="1"/>
  <c r="AP48" i="1"/>
  <c r="AP47" i="1"/>
  <c r="AP46" i="1"/>
  <c r="AP45"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P16" i="1"/>
  <c r="AP15" i="1"/>
  <c r="AP14" i="1"/>
  <c r="AP13" i="1"/>
  <c r="AP12" i="1"/>
  <c r="AP11" i="1"/>
  <c r="AP10" i="1"/>
  <c r="AP9" i="1"/>
  <c r="AP8" i="1"/>
  <c r="AP7" i="1"/>
  <c r="AP6" i="1"/>
  <c r="AP5" i="1"/>
  <c r="AN3" i="1"/>
  <c r="AM3" i="1"/>
  <c r="AK3" i="1"/>
  <c r="AJ3" i="1"/>
  <c r="AH3" i="1"/>
  <c r="AG3" i="1"/>
  <c r="AE3" i="1"/>
  <c r="AD3" i="1"/>
  <c r="AB3" i="1"/>
  <c r="AA3" i="1"/>
  <c r="Y3" i="1"/>
  <c r="X3" i="1"/>
  <c r="V3" i="1"/>
  <c r="U3" i="1"/>
  <c r="S3" i="1"/>
  <c r="R3" i="1"/>
  <c r="P3" i="1"/>
  <c r="O3" i="1"/>
  <c r="M3" i="1"/>
  <c r="L3" i="1"/>
  <c r="J3" i="1"/>
  <c r="I3" i="1"/>
  <c r="G3" i="1"/>
  <c r="F3" i="1"/>
  <c r="AO68" i="1"/>
  <c r="AO67" i="1"/>
  <c r="AL68" i="1"/>
  <c r="AL67" i="1"/>
  <c r="AI68" i="1"/>
  <c r="AI67" i="1"/>
  <c r="AF68" i="1"/>
  <c r="AF67" i="1"/>
  <c r="AC68" i="1"/>
  <c r="AC67" i="1"/>
  <c r="Z68" i="1"/>
  <c r="Z67" i="1"/>
  <c r="W68" i="1"/>
  <c r="W67" i="1"/>
  <c r="T68" i="1"/>
  <c r="T67" i="1"/>
  <c r="Q68" i="1"/>
  <c r="Q67" i="1"/>
  <c r="N68" i="1"/>
  <c r="N67" i="1"/>
  <c r="K68" i="1"/>
  <c r="K67" i="1"/>
  <c r="H68" i="1"/>
  <c r="H67" i="1"/>
  <c r="E68" i="1"/>
  <c r="E67" i="1"/>
  <c r="AP4" i="1"/>
  <c r="AL66" i="1" l="1"/>
  <c r="AL65" i="1"/>
  <c r="AL64" i="1"/>
  <c r="AL63" i="1"/>
  <c r="AL62" i="1"/>
  <c r="AL61" i="1"/>
  <c r="AL60" i="1"/>
  <c r="AL59" i="1"/>
  <c r="AL58" i="1"/>
  <c r="AL57" i="1"/>
  <c r="AL56" i="1"/>
  <c r="AL55" i="1"/>
  <c r="AL54" i="1"/>
  <c r="AL53" i="1"/>
  <c r="AL52" i="1"/>
  <c r="AL51" i="1"/>
  <c r="AL50" i="1"/>
  <c r="AL49" i="1"/>
  <c r="AL48" i="1"/>
  <c r="AL47" i="1"/>
  <c r="AL46" i="1"/>
  <c r="AL45" i="1"/>
  <c r="AI66" i="1"/>
  <c r="AI65" i="1"/>
  <c r="AI64" i="1"/>
  <c r="AI63" i="1"/>
  <c r="AI62" i="1"/>
  <c r="AI61" i="1"/>
  <c r="AI60" i="1"/>
  <c r="AI59" i="1"/>
  <c r="AI58" i="1"/>
  <c r="AI57" i="1"/>
  <c r="AI56" i="1"/>
  <c r="AI55" i="1"/>
  <c r="AI54" i="1"/>
  <c r="AI53" i="1"/>
  <c r="AI52" i="1"/>
  <c r="AI51" i="1"/>
  <c r="AI50" i="1"/>
  <c r="AI49" i="1"/>
  <c r="AI48" i="1"/>
  <c r="AI47" i="1"/>
  <c r="AI46" i="1"/>
  <c r="AI45" i="1"/>
  <c r="AF66" i="1"/>
  <c r="AF65" i="1"/>
  <c r="AF64" i="1"/>
  <c r="AF63" i="1"/>
  <c r="AF62" i="1"/>
  <c r="AF61" i="1"/>
  <c r="AF60" i="1"/>
  <c r="AF59" i="1"/>
  <c r="AF58" i="1"/>
  <c r="AF57" i="1"/>
  <c r="AF56" i="1"/>
  <c r="AF55" i="1"/>
  <c r="AF54" i="1"/>
  <c r="AF53" i="1"/>
  <c r="AF52" i="1"/>
  <c r="AF51" i="1"/>
  <c r="AF50" i="1"/>
  <c r="AF49" i="1"/>
  <c r="AF48" i="1"/>
  <c r="AF47" i="1"/>
  <c r="AF46" i="1"/>
  <c r="AF45" i="1"/>
  <c r="AC66" i="1"/>
  <c r="AC65" i="1"/>
  <c r="AC64" i="1"/>
  <c r="AC63" i="1"/>
  <c r="AC62" i="1"/>
  <c r="AC61" i="1"/>
  <c r="AC60" i="1"/>
  <c r="AC59" i="1"/>
  <c r="AC58" i="1"/>
  <c r="AC57" i="1"/>
  <c r="AC56" i="1"/>
  <c r="AC55" i="1"/>
  <c r="AC54" i="1"/>
  <c r="AC53" i="1"/>
  <c r="AC52" i="1"/>
  <c r="AC51" i="1"/>
  <c r="AC50" i="1"/>
  <c r="AC49" i="1"/>
  <c r="AC48" i="1"/>
  <c r="AC47" i="1"/>
  <c r="AC46" i="1"/>
  <c r="AC45" i="1"/>
  <c r="Z66" i="1"/>
  <c r="Z65" i="1"/>
  <c r="Z64" i="1"/>
  <c r="Z63" i="1"/>
  <c r="Z62" i="1"/>
  <c r="Z61" i="1"/>
  <c r="Z60" i="1"/>
  <c r="Z59" i="1"/>
  <c r="Z58" i="1"/>
  <c r="Z57" i="1"/>
  <c r="Z56" i="1"/>
  <c r="Z55" i="1"/>
  <c r="Z54" i="1"/>
  <c r="Z53" i="1"/>
  <c r="Z52" i="1"/>
  <c r="Z51" i="1"/>
  <c r="Z50" i="1"/>
  <c r="Z49" i="1"/>
  <c r="Z48" i="1"/>
  <c r="Z47" i="1"/>
  <c r="Z46" i="1"/>
  <c r="Z45" i="1"/>
  <c r="W66" i="1"/>
  <c r="W65" i="1"/>
  <c r="W64" i="1"/>
  <c r="W63" i="1"/>
  <c r="W62" i="1"/>
  <c r="W61" i="1"/>
  <c r="W60" i="1"/>
  <c r="W59" i="1"/>
  <c r="W58" i="1"/>
  <c r="W57" i="1"/>
  <c r="W56" i="1"/>
  <c r="W55" i="1"/>
  <c r="W54" i="1"/>
  <c r="W53" i="1"/>
  <c r="W52" i="1"/>
  <c r="W51" i="1"/>
  <c r="W50" i="1"/>
  <c r="W49" i="1"/>
  <c r="W48" i="1"/>
  <c r="W47" i="1"/>
  <c r="W46" i="1"/>
  <c r="W45" i="1"/>
  <c r="T66" i="1"/>
  <c r="T65" i="1"/>
  <c r="T64" i="1"/>
  <c r="T63" i="1"/>
  <c r="T62" i="1"/>
  <c r="T61" i="1"/>
  <c r="T60" i="1"/>
  <c r="T59" i="1"/>
  <c r="T58" i="1"/>
  <c r="T57" i="1"/>
  <c r="T56" i="1"/>
  <c r="T55" i="1"/>
  <c r="T54" i="1"/>
  <c r="T53" i="1"/>
  <c r="T52" i="1"/>
  <c r="T51" i="1"/>
  <c r="T50" i="1"/>
  <c r="T49" i="1"/>
  <c r="T48" i="1"/>
  <c r="T47" i="1"/>
  <c r="T46" i="1"/>
  <c r="T45" i="1"/>
  <c r="Q66" i="1"/>
  <c r="Q65" i="1"/>
  <c r="Q64" i="1"/>
  <c r="Q63" i="1"/>
  <c r="Q62" i="1"/>
  <c r="Q61" i="1"/>
  <c r="Q60" i="1"/>
  <c r="Q59" i="1"/>
  <c r="Q58" i="1"/>
  <c r="Q57" i="1"/>
  <c r="Q56" i="1"/>
  <c r="Q55" i="1"/>
  <c r="Q54" i="1"/>
  <c r="Q53" i="1"/>
  <c r="Q52" i="1"/>
  <c r="Q51" i="1"/>
  <c r="Q50" i="1"/>
  <c r="Q49" i="1"/>
  <c r="Q48" i="1"/>
  <c r="Q47" i="1"/>
  <c r="Q46" i="1"/>
  <c r="Q45" i="1"/>
  <c r="N66" i="1"/>
  <c r="N65" i="1"/>
  <c r="N64" i="1"/>
  <c r="N63" i="1"/>
  <c r="N62" i="1"/>
  <c r="N61" i="1"/>
  <c r="N60" i="1"/>
  <c r="N59" i="1"/>
  <c r="N58" i="1"/>
  <c r="N57" i="1"/>
  <c r="N56" i="1"/>
  <c r="N55" i="1"/>
  <c r="N54" i="1"/>
  <c r="N53" i="1"/>
  <c r="N52" i="1"/>
  <c r="N51" i="1"/>
  <c r="N50" i="1"/>
  <c r="N49" i="1"/>
  <c r="N48" i="1"/>
  <c r="N47" i="1"/>
  <c r="N46" i="1"/>
  <c r="N45" i="1"/>
  <c r="K66" i="1"/>
  <c r="K65" i="1"/>
  <c r="K64" i="1"/>
  <c r="K63" i="1"/>
  <c r="K62" i="1"/>
  <c r="K61" i="1"/>
  <c r="K60" i="1"/>
  <c r="K59" i="1"/>
  <c r="K58" i="1"/>
  <c r="K57" i="1"/>
  <c r="K56" i="1"/>
  <c r="K55" i="1"/>
  <c r="K54" i="1"/>
  <c r="K53" i="1"/>
  <c r="K52" i="1"/>
  <c r="K51" i="1"/>
  <c r="K50" i="1"/>
  <c r="K49" i="1"/>
  <c r="K48" i="1"/>
  <c r="K47" i="1"/>
  <c r="K46" i="1"/>
  <c r="K45" i="1"/>
  <c r="H66" i="1"/>
  <c r="H65" i="1"/>
  <c r="H64" i="1"/>
  <c r="H63" i="1"/>
  <c r="H62" i="1"/>
  <c r="H61" i="1"/>
  <c r="H60" i="1"/>
  <c r="H59" i="1"/>
  <c r="H58" i="1"/>
  <c r="H57" i="1"/>
  <c r="H56" i="1"/>
  <c r="H55" i="1"/>
  <c r="H54" i="1"/>
  <c r="H53" i="1"/>
  <c r="H52" i="1"/>
  <c r="H51" i="1"/>
  <c r="H50" i="1"/>
  <c r="H49" i="1"/>
  <c r="H48" i="1"/>
  <c r="H47" i="1"/>
  <c r="H46" i="1"/>
  <c r="H45" i="1"/>
  <c r="E66" i="1"/>
  <c r="E65" i="1"/>
  <c r="E64" i="1"/>
  <c r="E63" i="1"/>
  <c r="E62" i="1"/>
  <c r="E61" i="1"/>
  <c r="E60" i="1"/>
  <c r="E59" i="1"/>
  <c r="E58" i="1"/>
  <c r="E57" i="1"/>
  <c r="E56" i="1"/>
  <c r="E55" i="1"/>
  <c r="E54" i="1"/>
  <c r="E53" i="1"/>
  <c r="E52" i="1"/>
  <c r="E51" i="1"/>
  <c r="E50" i="1"/>
  <c r="E49" i="1"/>
  <c r="E48" i="1"/>
  <c r="E47" i="1"/>
  <c r="E46" i="1"/>
  <c r="E45" i="1"/>
  <c r="AO50" i="1" l="1"/>
  <c r="AO62" i="1"/>
  <c r="AO46" i="1"/>
  <c r="AO54" i="1"/>
  <c r="AO58" i="1"/>
  <c r="AO66" i="1"/>
  <c r="AO45" i="1"/>
  <c r="AO49" i="1"/>
  <c r="AO53" i="1"/>
  <c r="AO57" i="1"/>
  <c r="AO65" i="1"/>
  <c r="AO61" i="1"/>
  <c r="AO63" i="1"/>
  <c r="AO55" i="1"/>
  <c r="AO47" i="1"/>
  <c r="AO59" i="1"/>
  <c r="AO51" i="1"/>
  <c r="AO52" i="1"/>
  <c r="AO64" i="1"/>
  <c r="AO48" i="1"/>
  <c r="AO60" i="1"/>
  <c r="AO56" i="1"/>
  <c r="AC3" i="1"/>
  <c r="Q3" i="1"/>
  <c r="AL3" i="1"/>
  <c r="AF3" i="1"/>
  <c r="W3" i="1"/>
  <c r="T3" i="1"/>
  <c r="N3" i="1"/>
  <c r="K3" i="1"/>
  <c r="H3" i="1"/>
  <c r="N43" i="1"/>
  <c r="AP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3"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<sst xmlns="http://schemas.openxmlformats.org/spreadsheetml/2006/main" count="130" uniqueCount="94">
  <si>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</si>
  <si>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</si>
  <si>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</si>
  <si>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</si>
  <si>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</si>
  <si>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</si>
  <si>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</si>
  <si>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</si>
  <si>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</si>
  <si>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</si>
  <si>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</si>
  <si>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</si>
  <si>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</si>
  <si>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</si>
  <si>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</si>
  <si>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</si>
  <si>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</si>
  <si>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</si>
  <si>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</si>
  <si>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</si>
  <si>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</si>
  <si>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</si>
  <si>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</si>
  <si>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</si>
  <si>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</si>
  <si>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</si>
  <si>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</si>
  <si>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Bahamas, The</t>
  </si>
  <si>
    <t>Belize</t>
  </si>
  <si>
    <t>China</t>
  </si>
  <si>
    <t>Ecuador</t>
  </si>
  <si>
    <t>El Salvador</t>
  </si>
  <si>
    <t>Guatemala</t>
  </si>
  <si>
    <t>Honduras</t>
  </si>
  <si>
    <t>Italy(*)</t>
  </si>
  <si>
    <t>Japan</t>
  </si>
  <si>
    <t>Netherlands</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</si>
  <si>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</si>
  <si>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</si>
  <si>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</si>
  <si>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</si>
  <si>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</si>
  <si>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</si>
  <si>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</si>
  <si>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</si>
  <si>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</si>
  <si>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</si>
  <si>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</si>
  <si>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</si>
  <si>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</si>
  <si>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</si>
  <si>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</si>
  <si>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</si>
  <si>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Singapore</t>
  </si>
  <si>
    <t>Saudi Arabia</t>
  </si>
  <si>
    <t>Kuwait</t>
  </si>
  <si>
    <t>Chile</t>
  </si>
  <si>
    <t>Lebanon</t>
  </si>
  <si>
    <t>Congo (Kinshasa)</t>
  </si>
  <si>
    <t>Qatar</t>
  </si>
  <si>
    <t>India</t>
  </si>
  <si>
    <t>Cayman Islands</t>
  </si>
  <si>
    <t>Bermuda</t>
  </si>
  <si>
    <t>Belgium-Luxembourg(*)</t>
  </si>
  <si>
    <t>Bangladesh</t>
  </si>
  <si>
    <t>Brazil</t>
  </si>
  <si>
    <t>Brunei</t>
  </si>
  <si>
    <t>Denmark</t>
  </si>
  <si>
    <t>Equatorial Guinea</t>
  </si>
  <si>
    <t>Iceland</t>
  </si>
  <si>
    <t>Indonesia</t>
  </si>
  <si>
    <t>New Zealand(*)</t>
  </si>
  <si>
    <t>Peru</t>
  </si>
  <si>
    <t>Philippines</t>
  </si>
  <si>
    <t>Turks and Caicos Islands</t>
  </si>
  <si>
    <t>United Kingdom</t>
  </si>
  <si>
    <t>Turkey</t>
  </si>
  <si>
    <t>1. Data Source: U.S. Census Bureau Trade Data</t>
  </si>
  <si>
    <t>4. Product Group : Harmonized</t>
  </si>
  <si>
    <t>Product</t>
    <phoneticPr fontId="18" type="noConversion"/>
  </si>
  <si>
    <t>Afghanistan</t>
  </si>
  <si>
    <t>Israel(*)</t>
  </si>
  <si>
    <t>Liberia</t>
  </si>
  <si>
    <t>Spain</t>
  </si>
  <si>
    <t>Haiti</t>
  </si>
  <si>
    <t>Malaysia</t>
  </si>
  <si>
    <t>Suriname</t>
  </si>
  <si>
    <t>Taiwan</t>
  </si>
  <si>
    <t>SOY OIL FLY-RFND</t>
    <phoneticPr fontId="18" type="noConversion"/>
  </si>
  <si>
    <t>Bolivia</t>
  </si>
  <si>
    <t>Kazakhstan</t>
  </si>
  <si>
    <t>South Africa</t>
  </si>
  <si>
    <t>Thailand</t>
  </si>
  <si>
    <t>French West Indies(*)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</si>
</sst>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18" xfId="0" applyBorder="1">
      <alignment vertical="center"/>
    </xf>
    <xf numFmtId="0" fontId="0" fillId="0" borderId="21" xfId="0" applyBorder="1">
      <alignment vertical="center"/>
    </xf>
    <xf numFmtId="49" fontId="0" fillId="0" borderId="17" xfId="0" applyNumberFormat="1"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3"/>
  <sheetViews>
    <sheetView showGridLines="0" tabSelected="1" workbookViewId="0">
      <pane ySplit="2" topLeftCell="A3" activePane="bottomLeft" state="frozen"/>
      <selection pane="bottomLeft"/>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5" t="s">
        <v>0</v>
      </c>
      <c r="F1" s="26"/>
      <c r="G1" s="27"/>
      <c r="H1" s="28" t="s">
        <v>1</v>
      </c>
      <c r="I1" s="29"/>
      <c r="J1" s="30"/>
      <c r="K1" s="28" t="s">
        <v>2</v>
      </c>
      <c r="L1" s="29"/>
      <c r="M1" s="30"/>
      <c r="N1" s="28" t="s">
        <v>3</v>
      </c>
      <c r="O1" s="29"/>
      <c r="P1" s="30"/>
      <c r="Q1" s="28" t="s">
        <v>4</v>
      </c>
      <c r="R1" s="29"/>
      <c r="S1" s="30"/>
      <c r="T1" s="28" t="s">
        <v>5</v>
      </c>
      <c r="U1" s="29"/>
      <c r="V1" s="30"/>
      <c r="W1" s="28" t="s">
        <v>6</v>
      </c>
      <c r="X1" s="29"/>
      <c r="Y1" s="30"/>
      <c r="Z1" s="28" t="s">
        <v>7</v>
      </c>
      <c r="AA1" s="29"/>
      <c r="AB1" s="30"/>
      <c r="AC1" s="28" t="s">
        <v>8</v>
      </c>
      <c r="AD1" s="29"/>
      <c r="AE1" s="30"/>
      <c r="AF1" s="28" t="s">
        <v>9</v>
      </c>
      <c r="AG1" s="29"/>
      <c r="AH1" s="30"/>
      <c r="AI1" s="28" t="s">
        <v>10</v>
      </c>
      <c r="AJ1" s="29"/>
      <c r="AK1" s="30"/>
      <c r="AL1" s="28" t="s">
        <v>11</v>
      </c>
      <c r="AM1" s="29"/>
      <c r="AN1" s="30"/>
      <c r="AO1" s="28" t="s">
        <v>12</v>
      </c>
      <c r="AP1" s="29"/>
      <c r="AQ1" s="30"/>
    </row>
    <row r="2" spans="1:67" x14ac:dyDescent="0.3">
      <c r="A2" s="2" t="s">
        <v>44</v>
      </c>
      <c r="B2" s="2" t="s">
        <v>79</v>
      </c>
      <c r="C2" s="2" t="s">
        <v>13</v>
      </c>
      <c r="D2" s="2" t="s">
        <v>45</v>
      </c>
      <c r="E2" s="4" t="s">
        <v>14</v>
      </c>
      <c r="F2" s="2" t="s">
        <v>45</v>
      </c>
      <c r="G2" s="5" t="s">
        <v>15</v>
      </c>
      <c r="H2" s="2" t="s">
        <v>14</v>
      </c>
      <c r="I2" s="2" t="s">
        <v>45</v>
      </c>
      <c r="J2" s="5" t="s">
        <v>15</v>
      </c>
      <c r="K2" s="2" t="s">
        <v>14</v>
      </c>
      <c r="L2" s="2" t="s">
        <v>45</v>
      </c>
      <c r="M2" s="5" t="s">
        <v>15</v>
      </c>
      <c r="N2" s="2" t="s">
        <v>14</v>
      </c>
      <c r="O2" s="2" t="s">
        <v>45</v>
      </c>
      <c r="P2" s="5" t="s">
        <v>15</v>
      </c>
      <c r="Q2" s="2" t="s">
        <v>14</v>
      </c>
      <c r="R2" s="2" t="s">
        <v>45</v>
      </c>
      <c r="S2" s="5" t="s">
        <v>15</v>
      </c>
      <c r="T2" s="2" t="s">
        <v>14</v>
      </c>
      <c r="U2" s="2" t="s">
        <v>45</v>
      </c>
      <c r="V2" s="5" t="s">
        <v>15</v>
      </c>
      <c r="W2" s="2" t="s">
        <v>14</v>
      </c>
      <c r="X2" s="2" t="s">
        <v>45</v>
      </c>
      <c r="Y2" s="5" t="s">
        <v>15</v>
      </c>
      <c r="Z2" s="2" t="s">
        <v>14</v>
      </c>
      <c r="AA2" s="2" t="s">
        <v>45</v>
      </c>
      <c r="AB2" s="5" t="s">
        <v>15</v>
      </c>
      <c r="AC2" s="2" t="s">
        <v>14</v>
      </c>
      <c r="AD2" s="2" t="s">
        <v>45</v>
      </c>
      <c r="AE2" s="5" t="s">
        <v>15</v>
      </c>
      <c r="AF2" s="2" t="s">
        <v>14</v>
      </c>
      <c r="AG2" s="2" t="s">
        <v>45</v>
      </c>
      <c r="AH2" s="5" t="s">
        <v>15</v>
      </c>
      <c r="AI2" s="2" t="s">
        <v>14</v>
      </c>
      <c r="AJ2" s="2" t="s">
        <v>45</v>
      </c>
      <c r="AK2" s="5" t="s">
        <v>15</v>
      </c>
      <c r="AL2" s="2" t="s">
        <v>14</v>
      </c>
      <c r="AM2" s="2" t="s">
        <v>45</v>
      </c>
      <c r="AN2" s="5" t="s">
        <v>15</v>
      </c>
      <c r="AO2" s="2" t="s">
        <v>14</v>
      </c>
      <c r="AP2" s="2" t="s">
        <v>47</v>
      </c>
      <c r="AQ2" s="5" t="s">
        <v>15</v>
      </c>
    </row>
    <row r="3" spans="1:67" ht="15" customHeight="1" x14ac:dyDescent="0.3">
      <c r="A3" s="7" t="s">
        <v>16</v>
      </c>
      <c r="B3" s="23" t="s">
        <v>88</v>
      </c>
      <c r="C3" s="22" t="s">
        <v>17</v>
      </c>
      <c r="D3" s="22" t="s">
        <v>46</v>
      </c>
      <c r="E3" s="20">
        <f>F3/G3</f>
        <v>1340.08889281027</v>
      </c>
      <c r="F3" s="20">
        <f>SUM(F4:F68)</f>
        <v>12150720</v>
      </c>
      <c r="G3" s="21">
        <f t="shared" ref="G3" si="0">SUM(G4:G68)</f>
        <v>9067.1</v>
      </c>
      <c r="H3" s="20">
        <f>I3/J3</f>
        <v>1391.2399512255672</v>
      </c>
      <c r="I3" s="20">
        <f>SUM(I4:I68)</f>
        <v>19054005</v>
      </c>
      <c r="J3" s="21">
        <f t="shared" ref="J3" si="1">SUM(J4:J68)</f>
        <v>13695.699999999999</v>
      </c>
      <c r="K3" s="20">
        <f>L3/M3</f>
        <v>1456.6238552050504</v>
      </c>
      <c r="L3" s="20">
        <f>SUM(L4:L68)</f>
        <v>14743801</v>
      </c>
      <c r="M3" s="21">
        <f t="shared" ref="M3" si="2">SUM(M4:M68)</f>
        <v>10121.9</v>
      </c>
      <c r="N3" s="20">
        <f>O3/P3</f>
        <v>1587.7194383522456</v>
      </c>
      <c r="O3" s="20">
        <f>SUM(O4:O68)</f>
        <v>13320331</v>
      </c>
      <c r="P3" s="21">
        <f t="shared" ref="P3" si="3">SUM(P4:P68)</f>
        <v>8389.6</v>
      </c>
      <c r="Q3" s="20">
        <f>R3/S3</f>
        <v>1562.8573461257015</v>
      </c>
      <c r="R3" s="20">
        <f>SUM(R4:R68)</f>
        <v>15377266</v>
      </c>
      <c r="S3" s="21">
        <f t="shared" ref="S3" si="4">SUM(S4:S68)</f>
        <v>9839.1999999999989</v>
      </c>
      <c r="T3" s="20">
        <f>U3/V3</f>
        <v>1512.3396826161293</v>
      </c>
      <c r="U3" s="20">
        <f>SUM(U4:U68)</f>
        <v>12560586</v>
      </c>
      <c r="V3" s="21">
        <f t="shared" ref="V3" si="5">SUM(V4:V68)</f>
        <v>8305.4</v>
      </c>
      <c r="W3" s="20">
        <f>X3/Y3</f>
        <v>1592.6391859567414</v>
      </c>
      <c r="X3" s="20">
        <f>SUM(X4:X68)</f>
        <v>12583920</v>
      </c>
      <c r="Y3" s="21">
        <f t="shared" ref="Y3" si="6">SUM(Y4:Y68)</f>
        <v>7901.3</v>
      </c>
      <c r="Z3" s="20">
        <f>AA3/AB3</f>
        <v>1533.010622236601</v>
      </c>
      <c r="AA3" s="20">
        <f>SUM(AA4:AA68)</f>
        <v>11372486</v>
      </c>
      <c r="AB3" s="21">
        <f t="shared" ref="AB3" si="7">SUM(AB4:AB68)</f>
        <v>7418.4</v>
      </c>
      <c r="AC3" s="20">
        <f>AD3/AE3</f>
        <v>1553.7149817295983</v>
      </c>
      <c r="AD3" s="20">
        <f>SUM(AD4:AD68)</f>
        <v>10459920</v>
      </c>
      <c r="AE3" s="21">
        <f t="shared" ref="AE3" si="8">SUM(AE4:AE68)</f>
        <v>6732.1999999999989</v>
      </c>
      <c r="AF3" s="20">
        <f>AG3/AH3</f>
        <v>1535.9478173780913</v>
      </c>
      <c r="AG3" s="20">
        <f>SUM(AG4:AG68)</f>
        <v>8894981</v>
      </c>
      <c r="AH3" s="21">
        <f t="shared" ref="AH3" si="9">SUM(AH4:AH68)</f>
        <v>5791.1999999999989</v>
      </c>
      <c r="AI3" s="20">
        <f>AJ3/AK3</f>
        <v>1496.5670284642206</v>
      </c>
      <c r="AJ3" s="20">
        <f>SUM(AJ4:AJ68)</f>
        <v>13002324</v>
      </c>
      <c r="AK3" s="21">
        <f t="shared" ref="AK3" si="10">SUM(AK4:AK68)</f>
        <v>8688.100000000004</v>
      </c>
      <c r="AL3" s="20">
        <f>AM3/AN3</f>
        <v>1577.1718762098958</v>
      </c>
      <c r="AM3" s="20">
        <f>SUM(AM4:AM68)</f>
        <v>12220874</v>
      </c>
      <c r="AN3" s="21">
        <f t="shared" ref="AN3" si="11">SUM(AN4:AN68)</f>
        <v>7748.6</v>
      </c>
      <c r="AO3" s="20">
        <f>AP3/AQ3</f>
        <v>1501.8627427344798</v>
      </c>
      <c r="AP3" s="20">
        <f>SUM(AP4:AP68)</f>
        <v>155741214</v>
      </c>
      <c r="AQ3" s="21">
        <f t="shared" ref="AQ3" si="12">SUM(AQ4:AQ68)</f>
        <v>103698.7</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9" t="s">
        <v>25</v>
      </c>
      <c r="B4" s="23"/>
      <c r="C4" s="23"/>
      <c r="D4" s="23"/>
      <c r="E4" s="3">
        <f t="shared" ref="E4:E11" si="13">F4/G4</f>
        <v>1253.9669857541267</v>
      </c>
      <c r="F4" s="3">
        <v>6654552</v>
      </c>
      <c r="G4" s="6">
        <v>5306.8</v>
      </c>
      <c r="H4" s="3">
        <f t="shared" ref="H4:H11" si="14">I4/J4</f>
        <v>1332.9656437965134</v>
      </c>
      <c r="I4" s="3">
        <v>7845036</v>
      </c>
      <c r="J4" s="6">
        <v>5885.4</v>
      </c>
      <c r="K4" s="3">
        <f t="shared" ref="K4:K11" si="15">L4/M4</f>
        <v>1342.2244816130142</v>
      </c>
      <c r="L4" s="3">
        <v>4686511</v>
      </c>
      <c r="M4" s="6">
        <v>3491.6</v>
      </c>
      <c r="N4" s="3">
        <f t="shared" ref="N4:N11" si="16">O4/P4</f>
        <v>1321.6232787559088</v>
      </c>
      <c r="O4" s="3">
        <v>3858347</v>
      </c>
      <c r="P4" s="6">
        <v>2919.4</v>
      </c>
      <c r="Q4" s="3">
        <f t="shared" ref="Q4:Q11" si="17">R4/S4</f>
        <v>1482.528953285881</v>
      </c>
      <c r="R4" s="3">
        <v>8768714</v>
      </c>
      <c r="S4" s="6">
        <v>5914.7</v>
      </c>
      <c r="T4" s="3">
        <f t="shared" ref="T4:T11" si="18">U4/V4</f>
        <v>1357.0376492647786</v>
      </c>
      <c r="U4" s="3">
        <v>5500345</v>
      </c>
      <c r="V4" s="6">
        <v>4053.2</v>
      </c>
      <c r="W4" s="3">
        <f t="shared" ref="W4:W11" si="19">X4/Y4</f>
        <v>1512.1094884930039</v>
      </c>
      <c r="X4" s="3">
        <v>3955376</v>
      </c>
      <c r="Y4" s="6">
        <v>2615.8000000000002</v>
      </c>
      <c r="Z4" s="3">
        <f t="shared" ref="Z4:Z11" si="20">AA4/AB4</f>
        <v>1424.7473621000256</v>
      </c>
      <c r="AA4" s="3">
        <v>1660828</v>
      </c>
      <c r="AB4" s="6">
        <v>1165.7</v>
      </c>
      <c r="AC4" s="3">
        <f t="shared" ref="AC4:AC11" si="21">AD4/AE4</f>
        <v>1455.2091183119821</v>
      </c>
      <c r="AD4" s="3">
        <v>1544850</v>
      </c>
      <c r="AE4" s="6">
        <v>1061.5999999999999</v>
      </c>
      <c r="AF4" s="3">
        <f t="shared" ref="AF4:AF11" si="22">AG4/AH4</f>
        <v>1440.3513186096357</v>
      </c>
      <c r="AG4" s="3">
        <v>1545641</v>
      </c>
      <c r="AH4" s="6">
        <v>1073.0999999999999</v>
      </c>
      <c r="AI4" s="3">
        <f t="shared" ref="AI4:AI11" si="23">AJ4/AK4</f>
        <v>1385.7771378825421</v>
      </c>
      <c r="AJ4" s="3">
        <v>6208143</v>
      </c>
      <c r="AK4" s="6">
        <v>4479.8999999999996</v>
      </c>
      <c r="AL4" s="3">
        <f t="shared" ref="AL4:AL11" si="24">AM4/AN4</f>
        <v>1426.4308664161629</v>
      </c>
      <c r="AM4" s="3">
        <v>5238710</v>
      </c>
      <c r="AN4" s="6">
        <v>3672.6</v>
      </c>
      <c r="AO4" s="3">
        <f t="shared" ref="AO4:AO67" si="25">AP4/AQ4</f>
        <v>1380.0991599383281</v>
      </c>
      <c r="AP4" s="3">
        <f t="shared" ref="AP4:AQ67" si="26">SUM(F4,I4,L4,O4,R4,U4,X4,AA4,AD4,AG4,AJ4,AM4)</f>
        <v>57467053</v>
      </c>
      <c r="AQ4" s="6">
        <f t="shared" si="26"/>
        <v>41639.800000000003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20</v>
      </c>
      <c r="B5" s="23"/>
      <c r="C5" s="23"/>
      <c r="D5" s="23"/>
      <c r="E5" s="3">
        <f t="shared" si="13"/>
        <v>1365.7687887841876</v>
      </c>
      <c r="F5" s="3">
        <v>2376984</v>
      </c>
      <c r="G5" s="6">
        <v>1740.4</v>
      </c>
      <c r="H5" s="3">
        <f t="shared" si="14"/>
        <v>1501.8960887332166</v>
      </c>
      <c r="I5" s="3">
        <v>2572748</v>
      </c>
      <c r="J5" s="6">
        <v>1713</v>
      </c>
      <c r="K5" s="3">
        <f t="shared" si="15"/>
        <v>1461.9056439942112</v>
      </c>
      <c r="L5" s="3">
        <v>2525442</v>
      </c>
      <c r="M5" s="6">
        <v>1727.5</v>
      </c>
      <c r="N5" s="3">
        <f t="shared" si="16"/>
        <v>1512.1448240254713</v>
      </c>
      <c r="O5" s="3">
        <v>3514527</v>
      </c>
      <c r="P5" s="6">
        <v>2324.1999999999998</v>
      </c>
      <c r="Q5" s="3">
        <f t="shared" si="17"/>
        <v>1543.7174845164363</v>
      </c>
      <c r="R5" s="3">
        <v>3240263</v>
      </c>
      <c r="S5" s="6">
        <v>2099</v>
      </c>
      <c r="T5" s="3">
        <f t="shared" si="18"/>
        <v>1451.9063689518503</v>
      </c>
      <c r="U5" s="3">
        <v>3699893</v>
      </c>
      <c r="V5" s="6">
        <v>2548.3000000000002</v>
      </c>
      <c r="W5" s="3">
        <f t="shared" si="19"/>
        <v>1461.7075769534333</v>
      </c>
      <c r="X5" s="3">
        <v>3703967</v>
      </c>
      <c r="Y5" s="6">
        <v>2534</v>
      </c>
      <c r="Z5" s="3">
        <f t="shared" si="20"/>
        <v>1404.6563529105169</v>
      </c>
      <c r="AA5" s="3">
        <v>5928914</v>
      </c>
      <c r="AB5" s="6">
        <v>4220.8999999999996</v>
      </c>
      <c r="AC5" s="3">
        <f t="shared" si="21"/>
        <v>1407.7660422479075</v>
      </c>
      <c r="AD5" s="3">
        <v>4944919</v>
      </c>
      <c r="AE5" s="6">
        <v>3512.6</v>
      </c>
      <c r="AF5" s="3">
        <f t="shared" si="22"/>
        <v>1429.0415335463258</v>
      </c>
      <c r="AG5" s="3">
        <v>3623049</v>
      </c>
      <c r="AH5" s="6">
        <v>2535.3000000000002</v>
      </c>
      <c r="AI5" s="3">
        <f t="shared" si="23"/>
        <v>1474.6196251378171</v>
      </c>
      <c r="AJ5" s="3">
        <v>3744944</v>
      </c>
      <c r="AK5" s="6">
        <v>2539.6</v>
      </c>
      <c r="AL5" s="3">
        <f t="shared" si="24"/>
        <v>1576.4646502133976</v>
      </c>
      <c r="AM5" s="3">
        <v>4247784</v>
      </c>
      <c r="AN5" s="6">
        <v>2694.5</v>
      </c>
      <c r="AO5" s="3">
        <f t="shared" si="25"/>
        <v>1461.5586979492739</v>
      </c>
      <c r="AP5" s="3">
        <f t="shared" si="26"/>
        <v>44123434</v>
      </c>
      <c r="AQ5" s="6">
        <f t="shared" si="26"/>
        <v>30189.299999999992</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32</v>
      </c>
      <c r="B6" s="23"/>
      <c r="C6" s="23"/>
      <c r="D6" s="23"/>
      <c r="E6" s="3">
        <f t="shared" si="13"/>
        <v>1278.8966666666668</v>
      </c>
      <c r="F6" s="3">
        <v>383669</v>
      </c>
      <c r="G6" s="6">
        <v>300</v>
      </c>
      <c r="H6" s="3">
        <f t="shared" si="14"/>
        <v>1839.090909090909</v>
      </c>
      <c r="I6" s="3">
        <v>8092</v>
      </c>
      <c r="J6" s="6">
        <v>4.4000000000000004</v>
      </c>
      <c r="K6" s="3">
        <f t="shared" si="15"/>
        <v>2422.7777777777778</v>
      </c>
      <c r="L6" s="3">
        <v>4361</v>
      </c>
      <c r="M6" s="6">
        <v>1.8</v>
      </c>
      <c r="N6" s="3">
        <f t="shared" si="16"/>
        <v>2070.0367068694286</v>
      </c>
      <c r="O6" s="3">
        <v>394756</v>
      </c>
      <c r="P6" s="6">
        <v>190.7</v>
      </c>
      <c r="Q6" s="3">
        <f t="shared" si="17"/>
        <v>2621.25</v>
      </c>
      <c r="R6" s="3">
        <v>10485</v>
      </c>
      <c r="S6" s="6">
        <v>4</v>
      </c>
      <c r="T6" s="3">
        <f t="shared" si="18"/>
        <v>2167.3529411764707</v>
      </c>
      <c r="U6" s="3">
        <v>7369</v>
      </c>
      <c r="V6" s="6">
        <v>3.4</v>
      </c>
      <c r="W6" s="3">
        <f t="shared" si="19"/>
        <v>2097.7622377622379</v>
      </c>
      <c r="X6" s="3">
        <v>29998</v>
      </c>
      <c r="Y6" s="6">
        <v>14.3</v>
      </c>
      <c r="Z6" s="3">
        <f t="shared" si="20"/>
        <v>1616.4666666666667</v>
      </c>
      <c r="AA6" s="3">
        <v>145482</v>
      </c>
      <c r="AB6" s="6">
        <v>90</v>
      </c>
      <c r="AC6" s="3">
        <f t="shared" si="21"/>
        <v>1575.3390410958905</v>
      </c>
      <c r="AD6" s="3">
        <v>459999</v>
      </c>
      <c r="AE6" s="6">
        <v>292</v>
      </c>
      <c r="AF6" s="3">
        <f t="shared" si="22"/>
        <v>1374.4143835616439</v>
      </c>
      <c r="AG6" s="3">
        <v>802658</v>
      </c>
      <c r="AH6" s="6">
        <v>584</v>
      </c>
      <c r="AI6" s="3">
        <f t="shared" si="23"/>
        <v>2241.306818181818</v>
      </c>
      <c r="AJ6" s="3">
        <v>39447</v>
      </c>
      <c r="AK6" s="6">
        <v>17.600000000000001</v>
      </c>
      <c r="AL6" s="3">
        <f t="shared" si="24"/>
        <v>1665.8891288696905</v>
      </c>
      <c r="AM6" s="3">
        <v>462784</v>
      </c>
      <c r="AN6" s="6">
        <v>277.8</v>
      </c>
      <c r="AO6" s="3">
        <f t="shared" si="25"/>
        <v>1544.4382022471912</v>
      </c>
      <c r="AP6" s="3">
        <f t="shared" si="26"/>
        <v>2749100</v>
      </c>
      <c r="AQ6" s="6">
        <f t="shared" si="26"/>
        <v>1779.9999999999998</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37</v>
      </c>
      <c r="B7" s="23"/>
      <c r="C7" s="23"/>
      <c r="D7" s="23"/>
      <c r="E7" s="3">
        <f t="shared" si="13"/>
        <v>1560.1319509896325</v>
      </c>
      <c r="F7" s="3">
        <v>165530</v>
      </c>
      <c r="G7" s="6">
        <v>106.1</v>
      </c>
      <c r="H7" s="3">
        <f t="shared" si="14"/>
        <v>1807.7657098525988</v>
      </c>
      <c r="I7" s="3">
        <v>233021</v>
      </c>
      <c r="J7" s="6">
        <v>128.9</v>
      </c>
      <c r="K7" s="3">
        <f t="shared" si="15"/>
        <v>1671.3819368879215</v>
      </c>
      <c r="L7" s="3">
        <v>153600</v>
      </c>
      <c r="M7" s="6">
        <v>91.9</v>
      </c>
      <c r="N7" s="3">
        <f t="shared" si="16"/>
        <v>1662.5553754727175</v>
      </c>
      <c r="O7" s="3">
        <v>307739</v>
      </c>
      <c r="P7" s="6">
        <v>185.1</v>
      </c>
      <c r="Q7" s="3">
        <f t="shared" si="17"/>
        <v>1700.0451212633952</v>
      </c>
      <c r="R7" s="3">
        <v>301418</v>
      </c>
      <c r="S7" s="6">
        <v>177.3</v>
      </c>
      <c r="T7" s="3">
        <f t="shared" si="18"/>
        <v>1747.9166666666667</v>
      </c>
      <c r="U7" s="3">
        <v>62925</v>
      </c>
      <c r="V7" s="6">
        <v>36</v>
      </c>
      <c r="W7" s="3">
        <f t="shared" si="19"/>
        <v>1759.3152954168968</v>
      </c>
      <c r="X7" s="3">
        <v>318612</v>
      </c>
      <c r="Y7" s="6">
        <v>181.1</v>
      </c>
      <c r="Z7" s="3">
        <f t="shared" si="20"/>
        <v>1675.3218532185322</v>
      </c>
      <c r="AA7" s="3">
        <v>408611</v>
      </c>
      <c r="AB7" s="6">
        <v>243.9</v>
      </c>
      <c r="AC7" s="3">
        <f t="shared" si="21"/>
        <v>1851.0551558752995</v>
      </c>
      <c r="AD7" s="3">
        <v>154378</v>
      </c>
      <c r="AE7" s="6">
        <v>83.4</v>
      </c>
      <c r="AF7" s="3">
        <f t="shared" si="22"/>
        <v>1690.3440860215053</v>
      </c>
      <c r="AG7" s="3">
        <v>235803</v>
      </c>
      <c r="AH7" s="6">
        <v>139.5</v>
      </c>
      <c r="AI7" s="3">
        <f t="shared" si="23"/>
        <v>1640.0645994832041</v>
      </c>
      <c r="AJ7" s="3">
        <v>253882</v>
      </c>
      <c r="AK7" s="6">
        <v>154.80000000000001</v>
      </c>
      <c r="AL7" s="3">
        <f t="shared" si="24"/>
        <v>1695.4824771963513</v>
      </c>
      <c r="AM7" s="3">
        <v>353169</v>
      </c>
      <c r="AN7" s="6">
        <v>208.3</v>
      </c>
      <c r="AO7" s="3">
        <f t="shared" si="25"/>
        <v>1698.2595173645109</v>
      </c>
      <c r="AP7" s="3">
        <f t="shared" si="26"/>
        <v>2948688</v>
      </c>
      <c r="AQ7" s="6">
        <f t="shared" si="26"/>
        <v>1736.3</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35</v>
      </c>
      <c r="B8" s="23"/>
      <c r="C8" s="23"/>
      <c r="D8" s="23"/>
      <c r="E8" s="3">
        <f t="shared" si="13"/>
        <v>3394.0168067226891</v>
      </c>
      <c r="F8" s="3">
        <v>201944</v>
      </c>
      <c r="G8" s="6">
        <v>59.5</v>
      </c>
      <c r="H8" s="3">
        <f t="shared" si="14"/>
        <v>3100.729166666667</v>
      </c>
      <c r="I8" s="3">
        <v>59534</v>
      </c>
      <c r="J8" s="6">
        <v>19.2</v>
      </c>
      <c r="K8" s="3">
        <f t="shared" si="15"/>
        <v>3364.6632996632998</v>
      </c>
      <c r="L8" s="3">
        <v>199861</v>
      </c>
      <c r="M8" s="6">
        <v>59.4</v>
      </c>
      <c r="N8" s="3">
        <f t="shared" si="16"/>
        <v>3791.9966442953018</v>
      </c>
      <c r="O8" s="3">
        <v>226003</v>
      </c>
      <c r="P8" s="6">
        <v>59.6</v>
      </c>
      <c r="Q8" s="3">
        <f t="shared" si="17"/>
        <v>3586.0204081632655</v>
      </c>
      <c r="R8" s="3">
        <v>210858</v>
      </c>
      <c r="S8" s="6">
        <v>58.8</v>
      </c>
      <c r="T8" s="3">
        <f t="shared" si="18"/>
        <v>3741.666666666667</v>
      </c>
      <c r="U8" s="3">
        <v>143680</v>
      </c>
      <c r="V8" s="6">
        <v>38.4</v>
      </c>
      <c r="W8" s="3">
        <f t="shared" si="19"/>
        <v>3530.6408094435078</v>
      </c>
      <c r="X8" s="3">
        <v>209367</v>
      </c>
      <c r="Y8" s="6">
        <v>59.3</v>
      </c>
      <c r="Z8" s="3">
        <f t="shared" si="20"/>
        <v>4037.1570247933882</v>
      </c>
      <c r="AA8" s="3">
        <v>244248</v>
      </c>
      <c r="AB8" s="6">
        <v>60.5</v>
      </c>
      <c r="AC8" s="3">
        <f t="shared" si="21"/>
        <v>3699.0491803278687</v>
      </c>
      <c r="AD8" s="3">
        <v>225642</v>
      </c>
      <c r="AE8" s="6">
        <v>61</v>
      </c>
      <c r="AF8" s="3">
        <f t="shared" si="22"/>
        <v>3500.0749999999998</v>
      </c>
      <c r="AG8" s="3">
        <v>140003</v>
      </c>
      <c r="AH8" s="6">
        <v>40</v>
      </c>
      <c r="AI8" s="3">
        <f t="shared" si="23"/>
        <v>1729.3827689669952</v>
      </c>
      <c r="AJ8" s="3">
        <v>403465</v>
      </c>
      <c r="AK8" s="6">
        <v>233.3</v>
      </c>
      <c r="AL8" s="3">
        <f t="shared" si="24"/>
        <v>1824.7095959595958</v>
      </c>
      <c r="AM8" s="3">
        <v>289034</v>
      </c>
      <c r="AN8" s="6">
        <v>158.4</v>
      </c>
      <c r="AO8" s="3">
        <f t="shared" si="25"/>
        <v>2814.2373815296451</v>
      </c>
      <c r="AP8" s="3">
        <f t="shared" si="26"/>
        <v>2553639</v>
      </c>
      <c r="AQ8" s="6">
        <f t="shared" si="26"/>
        <v>907.4</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53</v>
      </c>
      <c r="B9" s="23"/>
      <c r="C9" s="23"/>
      <c r="D9" s="23"/>
      <c r="E9" s="3" t="e">
        <f t="shared" si="13"/>
        <v>#DIV/0!</v>
      </c>
      <c r="F9" s="3">
        <v>0</v>
      </c>
      <c r="G9" s="6">
        <v>0</v>
      </c>
      <c r="H9" s="3" t="e">
        <f t="shared" si="14"/>
        <v>#DIV/0!</v>
      </c>
      <c r="I9" s="3">
        <v>0</v>
      </c>
      <c r="J9" s="6">
        <v>0</v>
      </c>
      <c r="K9" s="3" t="e">
        <f t="shared" si="15"/>
        <v>#DIV/0!</v>
      </c>
      <c r="L9" s="3">
        <v>0</v>
      </c>
      <c r="M9" s="6">
        <v>0</v>
      </c>
      <c r="N9" s="3">
        <f t="shared" si="16"/>
        <v>2877.9069767441861</v>
      </c>
      <c r="O9" s="3">
        <v>49500</v>
      </c>
      <c r="P9" s="6">
        <v>17.2</v>
      </c>
      <c r="Q9" s="3">
        <f t="shared" si="17"/>
        <v>2690.217391304348</v>
      </c>
      <c r="R9" s="3">
        <v>99000</v>
      </c>
      <c r="S9" s="6">
        <v>36.799999999999997</v>
      </c>
      <c r="T9" s="3" t="e">
        <f t="shared" si="18"/>
        <v>#DIV/0!</v>
      </c>
      <c r="U9" s="3">
        <v>0</v>
      </c>
      <c r="V9" s="6">
        <v>0</v>
      </c>
      <c r="W9" s="3">
        <f t="shared" si="19"/>
        <v>2877.9069767441861</v>
      </c>
      <c r="X9" s="3">
        <v>49500</v>
      </c>
      <c r="Y9" s="6">
        <v>17.2</v>
      </c>
      <c r="Z9" s="3">
        <f t="shared" si="20"/>
        <v>2690.217391304348</v>
      </c>
      <c r="AA9" s="3">
        <v>49500</v>
      </c>
      <c r="AB9" s="6">
        <v>18.399999999999999</v>
      </c>
      <c r="AC9" s="3" t="e">
        <f t="shared" si="21"/>
        <v>#DIV/0!</v>
      </c>
      <c r="AD9" s="3">
        <v>0</v>
      </c>
      <c r="AE9" s="6">
        <v>0</v>
      </c>
      <c r="AF9" s="3">
        <f t="shared" si="22"/>
        <v>2824.7282608695655</v>
      </c>
      <c r="AG9" s="3">
        <v>51975</v>
      </c>
      <c r="AH9" s="6">
        <v>18.399999999999999</v>
      </c>
      <c r="AI9" s="3">
        <f t="shared" si="23"/>
        <v>1913.0434782608697</v>
      </c>
      <c r="AJ9" s="3">
        <v>70400</v>
      </c>
      <c r="AK9" s="6">
        <v>36.799999999999997</v>
      </c>
      <c r="AL9" s="3">
        <f t="shared" si="24"/>
        <v>3036.3735070575462</v>
      </c>
      <c r="AM9" s="3">
        <v>279650</v>
      </c>
      <c r="AN9" s="6">
        <v>92.1</v>
      </c>
      <c r="AO9" s="3">
        <f t="shared" si="25"/>
        <v>2741.7686787674124</v>
      </c>
      <c r="AP9" s="3">
        <f t="shared" si="26"/>
        <v>649525</v>
      </c>
      <c r="AQ9" s="6">
        <f t="shared" si="26"/>
        <v>236.9</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73</v>
      </c>
      <c r="B10" s="23"/>
      <c r="C10" s="23"/>
      <c r="D10" s="23"/>
      <c r="E10" s="3">
        <f t="shared" si="13"/>
        <v>1201.0958904109589</v>
      </c>
      <c r="F10" s="3">
        <v>17536</v>
      </c>
      <c r="G10" s="6">
        <v>14.6</v>
      </c>
      <c r="H10" s="3">
        <f t="shared" si="14"/>
        <v>1566.9</v>
      </c>
      <c r="I10" s="3">
        <v>31338</v>
      </c>
      <c r="J10" s="6">
        <v>20</v>
      </c>
      <c r="K10" s="3">
        <f t="shared" si="15"/>
        <v>2069.7435897435898</v>
      </c>
      <c r="L10" s="3">
        <v>8072</v>
      </c>
      <c r="M10" s="6">
        <v>3.9</v>
      </c>
      <c r="N10" s="3">
        <f t="shared" si="16"/>
        <v>2436.9230769230771</v>
      </c>
      <c r="O10" s="3">
        <v>47520</v>
      </c>
      <c r="P10" s="6">
        <v>19.5</v>
      </c>
      <c r="Q10" s="3">
        <f t="shared" si="17"/>
        <v>2567.5155279503106</v>
      </c>
      <c r="R10" s="3">
        <v>124011</v>
      </c>
      <c r="S10" s="6">
        <v>48.3</v>
      </c>
      <c r="T10" s="3">
        <f t="shared" si="18"/>
        <v>2603.8356164383563</v>
      </c>
      <c r="U10" s="3">
        <v>95040</v>
      </c>
      <c r="V10" s="6">
        <v>36.5</v>
      </c>
      <c r="W10" s="3">
        <f t="shared" si="19"/>
        <v>2372.475884244373</v>
      </c>
      <c r="X10" s="3">
        <v>147568</v>
      </c>
      <c r="Y10" s="6">
        <v>62.2</v>
      </c>
      <c r="Z10" s="3">
        <f t="shared" si="20"/>
        <v>2567.8923766816142</v>
      </c>
      <c r="AA10" s="3">
        <v>114528</v>
      </c>
      <c r="AB10" s="6">
        <v>44.6</v>
      </c>
      <c r="AC10" s="3">
        <f t="shared" si="21"/>
        <v>2559.2872117400416</v>
      </c>
      <c r="AD10" s="3">
        <v>122078</v>
      </c>
      <c r="AE10" s="6">
        <v>47.7</v>
      </c>
      <c r="AF10" s="3">
        <f t="shared" si="22"/>
        <v>2574.4230769230771</v>
      </c>
      <c r="AG10" s="3">
        <v>160644</v>
      </c>
      <c r="AH10" s="6">
        <v>62.4</v>
      </c>
      <c r="AI10" s="3">
        <f t="shared" si="23"/>
        <v>2734.027397260274</v>
      </c>
      <c r="AJ10" s="3">
        <v>99792</v>
      </c>
      <c r="AK10" s="6">
        <v>36.5</v>
      </c>
      <c r="AL10" s="3">
        <f t="shared" si="24"/>
        <v>2715.5104712041884</v>
      </c>
      <c r="AM10" s="3">
        <v>207465</v>
      </c>
      <c r="AN10" s="6">
        <v>76.400000000000006</v>
      </c>
      <c r="AO10" s="3">
        <f t="shared" si="25"/>
        <v>2487.4989420228521</v>
      </c>
      <c r="AP10" s="3">
        <f t="shared" si="26"/>
        <v>1175592</v>
      </c>
      <c r="AQ10" s="6">
        <f t="shared" si="26"/>
        <v>472.6</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27</v>
      </c>
      <c r="B11" s="23"/>
      <c r="C11" s="23"/>
      <c r="D11" s="23"/>
      <c r="E11" s="3">
        <f t="shared" si="13"/>
        <v>1983.9546351084812</v>
      </c>
      <c r="F11" s="3">
        <v>201173</v>
      </c>
      <c r="G11" s="6">
        <v>101.4</v>
      </c>
      <c r="H11" s="3">
        <f t="shared" si="14"/>
        <v>1698.0656303972366</v>
      </c>
      <c r="I11" s="3">
        <v>98318</v>
      </c>
      <c r="J11" s="6">
        <v>57.9</v>
      </c>
      <c r="K11" s="3">
        <f t="shared" si="15"/>
        <v>1656.2356979405033</v>
      </c>
      <c r="L11" s="3">
        <v>289510</v>
      </c>
      <c r="M11" s="6">
        <v>174.8</v>
      </c>
      <c r="N11" s="3">
        <f t="shared" si="16"/>
        <v>1589.406276505513</v>
      </c>
      <c r="O11" s="3">
        <v>374782</v>
      </c>
      <c r="P11" s="6">
        <v>235.8</v>
      </c>
      <c r="Q11" s="3">
        <f t="shared" si="17"/>
        <v>1953.6349206349207</v>
      </c>
      <c r="R11" s="3">
        <v>246158</v>
      </c>
      <c r="S11" s="6">
        <v>126</v>
      </c>
      <c r="T11" s="3">
        <f t="shared" si="18"/>
        <v>1786.533613445378</v>
      </c>
      <c r="U11" s="3">
        <v>85039</v>
      </c>
      <c r="V11" s="6">
        <v>47.6</v>
      </c>
      <c r="W11" s="3">
        <f t="shared" si="19"/>
        <v>1970.9878310665713</v>
      </c>
      <c r="X11" s="3">
        <v>275347</v>
      </c>
      <c r="Y11" s="6">
        <v>139.69999999999999</v>
      </c>
      <c r="Z11" s="3">
        <f t="shared" si="20"/>
        <v>2010.378947368421</v>
      </c>
      <c r="AA11" s="3">
        <v>286479</v>
      </c>
      <c r="AB11" s="6">
        <v>142.5</v>
      </c>
      <c r="AC11" s="3">
        <f t="shared" si="21"/>
        <v>1807.091222030981</v>
      </c>
      <c r="AD11" s="3">
        <v>314976</v>
      </c>
      <c r="AE11" s="6">
        <v>174.3</v>
      </c>
      <c r="AF11" s="3">
        <f t="shared" si="22"/>
        <v>2267.2101449275365</v>
      </c>
      <c r="AG11" s="3">
        <v>187725</v>
      </c>
      <c r="AH11" s="6">
        <v>82.8</v>
      </c>
      <c r="AI11" s="3">
        <f t="shared" si="23"/>
        <v>1884.2310635042084</v>
      </c>
      <c r="AJ11" s="3">
        <v>246269</v>
      </c>
      <c r="AK11" s="6">
        <v>130.69999999999999</v>
      </c>
      <c r="AL11" s="3">
        <f t="shared" si="24"/>
        <v>2297.6312718786462</v>
      </c>
      <c r="AM11" s="3">
        <v>196907</v>
      </c>
      <c r="AN11" s="6">
        <v>85.7</v>
      </c>
      <c r="AO11" s="3">
        <f t="shared" si="25"/>
        <v>1869.4523745997865</v>
      </c>
      <c r="AP11" s="3">
        <f t="shared" si="26"/>
        <v>2802683</v>
      </c>
      <c r="AQ11" s="6">
        <f t="shared" si="26"/>
        <v>1499.2</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38</v>
      </c>
      <c r="B12" s="23"/>
      <c r="C12" s="23"/>
      <c r="D12" s="23"/>
      <c r="E12" s="3">
        <f>F12/G12</f>
        <v>1514.7449161612558</v>
      </c>
      <c r="F12" s="3">
        <v>424583</v>
      </c>
      <c r="G12" s="6">
        <v>280.3</v>
      </c>
      <c r="H12" s="3">
        <f>I12/J12</f>
        <v>1618.0526918671248</v>
      </c>
      <c r="I12" s="3">
        <v>565024</v>
      </c>
      <c r="J12" s="6">
        <v>349.2</v>
      </c>
      <c r="K12" s="3">
        <f>L12/M12</f>
        <v>1617.2530375066033</v>
      </c>
      <c r="L12" s="3">
        <v>612292</v>
      </c>
      <c r="M12" s="6">
        <v>378.6</v>
      </c>
      <c r="N12" s="3">
        <f>O12/P12</f>
        <v>1773.3403306218838</v>
      </c>
      <c r="O12" s="3">
        <v>675820</v>
      </c>
      <c r="P12" s="6">
        <v>381.1</v>
      </c>
      <c r="Q12" s="3">
        <f>R12/S12</f>
        <v>1559.7636152954808</v>
      </c>
      <c r="R12" s="3">
        <v>673038</v>
      </c>
      <c r="S12" s="6">
        <v>431.5</v>
      </c>
      <c r="T12" s="3">
        <f>U12/V12</f>
        <v>1668.9101861993429</v>
      </c>
      <c r="U12" s="3">
        <v>609486</v>
      </c>
      <c r="V12" s="6">
        <v>365.2</v>
      </c>
      <c r="W12" s="3">
        <f>X12/Y12</f>
        <v>1641.8844005156855</v>
      </c>
      <c r="X12" s="3">
        <v>764133</v>
      </c>
      <c r="Y12" s="6">
        <v>465.4</v>
      </c>
      <c r="Z12" s="3">
        <f>AA12/AB12</f>
        <v>1618.4291845493563</v>
      </c>
      <c r="AA12" s="3">
        <v>754188</v>
      </c>
      <c r="AB12" s="6">
        <v>466</v>
      </c>
      <c r="AC12" s="3">
        <f>AD12/AE12</f>
        <v>1663.2376237623762</v>
      </c>
      <c r="AD12" s="3">
        <v>671948</v>
      </c>
      <c r="AE12" s="6">
        <v>404</v>
      </c>
      <c r="AF12" s="3">
        <f>AG12/AH12</f>
        <v>1642.2107736804048</v>
      </c>
      <c r="AG12" s="3">
        <v>908471</v>
      </c>
      <c r="AH12" s="6">
        <v>553.20000000000005</v>
      </c>
      <c r="AI12" s="3">
        <f>AJ12/AK12</f>
        <v>1623.812180381218</v>
      </c>
      <c r="AJ12" s="3">
        <v>349282</v>
      </c>
      <c r="AK12" s="6">
        <v>215.1</v>
      </c>
      <c r="AL12" s="3">
        <f>AM12/AN12</f>
        <v>1550.1505174035749</v>
      </c>
      <c r="AM12" s="3">
        <v>164781</v>
      </c>
      <c r="AN12" s="6">
        <v>106.3</v>
      </c>
      <c r="AO12" s="3">
        <f t="shared" si="25"/>
        <v>1631.7582292590821</v>
      </c>
      <c r="AP12" s="3">
        <f t="shared" si="26"/>
        <v>7173046</v>
      </c>
      <c r="AQ12" s="6">
        <f t="shared" si="26"/>
        <v>4395.9000000000005</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19</v>
      </c>
      <c r="B13" s="23"/>
      <c r="C13" s="23"/>
      <c r="D13" s="23"/>
      <c r="E13" s="3" t="e">
        <f t="shared" ref="E13:E68" si="27">F13/G13</f>
        <v>#DIV/0!</v>
      </c>
      <c r="F13" s="3">
        <v>0</v>
      </c>
      <c r="G13" s="6">
        <v>0</v>
      </c>
      <c r="H13" s="3">
        <f t="shared" ref="H13:H68" si="28">I13/J13</f>
        <v>2478.2113821138209</v>
      </c>
      <c r="I13" s="3">
        <v>30482</v>
      </c>
      <c r="J13" s="6">
        <v>12.3</v>
      </c>
      <c r="K13" s="3">
        <f t="shared" ref="K13:K68" si="29">L13/M13</f>
        <v>2189.4545454545455</v>
      </c>
      <c r="L13" s="3">
        <v>12042</v>
      </c>
      <c r="M13" s="6">
        <v>5.5</v>
      </c>
      <c r="N13" s="3">
        <f t="shared" ref="N13:N68" si="30">O13/P13</f>
        <v>2491.1936936936936</v>
      </c>
      <c r="O13" s="3">
        <v>110609</v>
      </c>
      <c r="P13" s="6">
        <v>44.4</v>
      </c>
      <c r="Q13" s="3">
        <f t="shared" ref="Q13:Q68" si="31">R13/S13</f>
        <v>2224.2822384428223</v>
      </c>
      <c r="R13" s="3">
        <v>91418</v>
      </c>
      <c r="S13" s="6">
        <v>41.1</v>
      </c>
      <c r="T13" s="3">
        <f t="shared" ref="T13:T68" si="32">U13/V13</f>
        <v>2666.234096692112</v>
      </c>
      <c r="U13" s="3">
        <v>104783</v>
      </c>
      <c r="V13" s="6">
        <v>39.299999999999997</v>
      </c>
      <c r="W13" s="3" t="e">
        <f t="shared" ref="W13:W68" si="33">X13/Y13</f>
        <v>#DIV/0!</v>
      </c>
      <c r="X13" s="3">
        <v>0</v>
      </c>
      <c r="Y13" s="6">
        <v>0</v>
      </c>
      <c r="Z13" s="3">
        <f t="shared" ref="Z13:Z68" si="34">AA13/AB13</f>
        <v>2656.0975609756097</v>
      </c>
      <c r="AA13" s="3">
        <v>32670</v>
      </c>
      <c r="AB13" s="6">
        <v>12.3</v>
      </c>
      <c r="AC13" s="3" t="e">
        <f t="shared" ref="AC13:AC68" si="35">AD13/AE13</f>
        <v>#DIV/0!</v>
      </c>
      <c r="AD13" s="3">
        <v>0</v>
      </c>
      <c r="AE13" s="6">
        <v>0</v>
      </c>
      <c r="AF13" s="3">
        <f t="shared" ref="AF13:AF68" si="36">AG13/AH13</f>
        <v>2463.6896046852125</v>
      </c>
      <c r="AG13" s="3">
        <v>168270</v>
      </c>
      <c r="AH13" s="6">
        <v>68.3</v>
      </c>
      <c r="AI13" s="3">
        <f t="shared" ref="AI13:AI68" si="37">AJ13/AK13</f>
        <v>2443.2359081419627</v>
      </c>
      <c r="AJ13" s="3">
        <v>117031</v>
      </c>
      <c r="AK13" s="6">
        <v>47.9</v>
      </c>
      <c r="AL13" s="3">
        <f t="shared" ref="AL13:AL68" si="38">AM13/AN13</f>
        <v>2580.1098901098899</v>
      </c>
      <c r="AM13" s="3">
        <v>164353</v>
      </c>
      <c r="AN13" s="6">
        <v>63.7</v>
      </c>
      <c r="AO13" s="3">
        <f t="shared" si="25"/>
        <v>2484.0442054958185</v>
      </c>
      <c r="AP13" s="3">
        <f t="shared" si="26"/>
        <v>831658</v>
      </c>
      <c r="AQ13" s="6">
        <f t="shared" si="26"/>
        <v>334.8</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63</v>
      </c>
      <c r="B14" s="23"/>
      <c r="C14" s="23"/>
      <c r="D14" s="23"/>
      <c r="E14" s="3" t="e">
        <f t="shared" si="27"/>
        <v>#DIV/0!</v>
      </c>
      <c r="F14" s="3">
        <v>0</v>
      </c>
      <c r="G14" s="6">
        <v>0</v>
      </c>
      <c r="H14" s="3" t="e">
        <f t="shared" si="28"/>
        <v>#DIV/0!</v>
      </c>
      <c r="I14" s="3">
        <v>0</v>
      </c>
      <c r="J14" s="6">
        <v>0</v>
      </c>
      <c r="K14" s="3" t="e">
        <f t="shared" si="29"/>
        <v>#DIV/0!</v>
      </c>
      <c r="L14" s="3">
        <v>0</v>
      </c>
      <c r="M14" s="6">
        <v>0</v>
      </c>
      <c r="N14" s="3">
        <f t="shared" si="30"/>
        <v>2527.6595744680849</v>
      </c>
      <c r="O14" s="3">
        <v>237600</v>
      </c>
      <c r="P14" s="6">
        <v>94</v>
      </c>
      <c r="Q14" s="3" t="e">
        <f t="shared" si="31"/>
        <v>#DIV/0!</v>
      </c>
      <c r="R14" s="3">
        <v>0</v>
      </c>
      <c r="S14" s="6">
        <v>0</v>
      </c>
      <c r="T14" s="3">
        <f t="shared" si="32"/>
        <v>2403.6418816388468</v>
      </c>
      <c r="U14" s="3">
        <v>475200</v>
      </c>
      <c r="V14" s="6">
        <v>197.7</v>
      </c>
      <c r="W14" s="3" t="e">
        <f t="shared" si="33"/>
        <v>#DIV/0!</v>
      </c>
      <c r="X14" s="3">
        <v>0</v>
      </c>
      <c r="Y14" s="6">
        <v>0</v>
      </c>
      <c r="Z14" s="3" t="e">
        <f t="shared" si="34"/>
        <v>#DIV/0!</v>
      </c>
      <c r="AA14" s="3">
        <v>0</v>
      </c>
      <c r="AB14" s="6">
        <v>0</v>
      </c>
      <c r="AC14" s="3">
        <f t="shared" si="35"/>
        <v>7225</v>
      </c>
      <c r="AD14" s="3">
        <v>2890</v>
      </c>
      <c r="AE14" s="6">
        <v>0.4</v>
      </c>
      <c r="AF14" s="3" t="e">
        <f t="shared" si="36"/>
        <v>#DIV/0!</v>
      </c>
      <c r="AG14" s="3">
        <v>0</v>
      </c>
      <c r="AH14" s="6">
        <v>0</v>
      </c>
      <c r="AI14" s="3" t="e">
        <f t="shared" si="37"/>
        <v>#DIV/0!</v>
      </c>
      <c r="AJ14" s="3">
        <v>0</v>
      </c>
      <c r="AK14" s="6">
        <v>0</v>
      </c>
      <c r="AL14" s="3">
        <f t="shared" si="38"/>
        <v>2620.3880597014927</v>
      </c>
      <c r="AM14" s="3">
        <v>87783</v>
      </c>
      <c r="AN14" s="6">
        <v>33.5</v>
      </c>
      <c r="AO14" s="3">
        <f t="shared" si="25"/>
        <v>2467.6689189189192</v>
      </c>
      <c r="AP14" s="3">
        <f t="shared" si="26"/>
        <v>803473</v>
      </c>
      <c r="AQ14" s="6">
        <f t="shared" si="26"/>
        <v>325.59999999999997</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58</v>
      </c>
      <c r="B15" s="23"/>
      <c r="C15" s="23"/>
      <c r="D15" s="23"/>
      <c r="E15" s="3" t="e">
        <f t="shared" si="27"/>
        <v>#DIV/0!</v>
      </c>
      <c r="F15" s="3">
        <v>0</v>
      </c>
      <c r="G15" s="6">
        <v>0</v>
      </c>
      <c r="H15" s="3" t="e">
        <f t="shared" si="28"/>
        <v>#DIV/0!</v>
      </c>
      <c r="I15" s="3">
        <v>0</v>
      </c>
      <c r="J15" s="6">
        <v>0</v>
      </c>
      <c r="K15" s="3" t="e">
        <f t="shared" si="29"/>
        <v>#DIV/0!</v>
      </c>
      <c r="L15" s="3">
        <v>0</v>
      </c>
      <c r="M15" s="6">
        <v>0</v>
      </c>
      <c r="N15" s="3" t="e">
        <f t="shared" si="30"/>
        <v>#DIV/0!</v>
      </c>
      <c r="O15" s="3">
        <v>0</v>
      </c>
      <c r="P15" s="6">
        <v>0</v>
      </c>
      <c r="Q15" s="3" t="e">
        <f t="shared" si="31"/>
        <v>#DIV/0!</v>
      </c>
      <c r="R15" s="3">
        <v>0</v>
      </c>
      <c r="S15" s="6">
        <v>0</v>
      </c>
      <c r="T15" s="3" t="e">
        <f t="shared" si="32"/>
        <v>#DIV/0!</v>
      </c>
      <c r="U15" s="3">
        <v>0</v>
      </c>
      <c r="V15" s="6">
        <v>0</v>
      </c>
      <c r="W15" s="3" t="e">
        <f t="shared" si="33"/>
        <v>#DIV/0!</v>
      </c>
      <c r="X15" s="3">
        <v>0</v>
      </c>
      <c r="Y15" s="6">
        <v>0</v>
      </c>
      <c r="Z15" s="3" t="e">
        <f t="shared" si="34"/>
        <v>#DIV/0!</v>
      </c>
      <c r="AA15" s="3">
        <v>0</v>
      </c>
      <c r="AB15" s="6">
        <v>0</v>
      </c>
      <c r="AC15" s="3" t="e">
        <f t="shared" si="35"/>
        <v>#DIV/0!</v>
      </c>
      <c r="AD15" s="3">
        <v>0</v>
      </c>
      <c r="AE15" s="6">
        <v>0</v>
      </c>
      <c r="AF15" s="3" t="e">
        <f t="shared" si="36"/>
        <v>#DIV/0!</v>
      </c>
      <c r="AG15" s="3">
        <v>0</v>
      </c>
      <c r="AH15" s="6">
        <v>0</v>
      </c>
      <c r="AI15" s="3" t="e">
        <f t="shared" si="37"/>
        <v>#DIV/0!</v>
      </c>
      <c r="AJ15" s="3">
        <v>0</v>
      </c>
      <c r="AK15" s="6">
        <v>0</v>
      </c>
      <c r="AL15" s="3">
        <f t="shared" si="38"/>
        <v>1569.2831541218638</v>
      </c>
      <c r="AM15" s="3">
        <v>87566</v>
      </c>
      <c r="AN15" s="6">
        <v>55.8</v>
      </c>
      <c r="AO15" s="3">
        <f t="shared" si="25"/>
        <v>1569.2831541218638</v>
      </c>
      <c r="AP15" s="3">
        <f t="shared" si="26"/>
        <v>87566</v>
      </c>
      <c r="AQ15" s="6">
        <f t="shared" si="26"/>
        <v>55.8</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70</v>
      </c>
      <c r="B16" s="23"/>
      <c r="C16" s="23"/>
      <c r="D16" s="23"/>
      <c r="E16" s="3">
        <f t="shared" si="27"/>
        <v>1824.4047619047619</v>
      </c>
      <c r="F16" s="3">
        <v>30650</v>
      </c>
      <c r="G16" s="6">
        <v>16.8</v>
      </c>
      <c r="H16" s="3">
        <f t="shared" si="28"/>
        <v>2257.1999999999998</v>
      </c>
      <c r="I16" s="3">
        <v>5643</v>
      </c>
      <c r="J16" s="6">
        <v>2.5</v>
      </c>
      <c r="K16" s="3">
        <f t="shared" si="29"/>
        <v>1675.5615696887685</v>
      </c>
      <c r="L16" s="3">
        <v>123824</v>
      </c>
      <c r="M16" s="6">
        <v>73.900000000000006</v>
      </c>
      <c r="N16" s="3">
        <f t="shared" si="30"/>
        <v>1812.1932114882509</v>
      </c>
      <c r="O16" s="3">
        <v>69407</v>
      </c>
      <c r="P16" s="6">
        <v>38.299999999999997</v>
      </c>
      <c r="Q16" s="3">
        <f t="shared" si="31"/>
        <v>2592.6666666666665</v>
      </c>
      <c r="R16" s="3">
        <v>3889</v>
      </c>
      <c r="S16" s="6">
        <v>1.5</v>
      </c>
      <c r="T16" s="3">
        <f t="shared" si="32"/>
        <v>2116.281407035176</v>
      </c>
      <c r="U16" s="3">
        <v>42114</v>
      </c>
      <c r="V16" s="6">
        <v>19.899999999999999</v>
      </c>
      <c r="W16" s="3">
        <f t="shared" si="33"/>
        <v>1828.463687150838</v>
      </c>
      <c r="X16" s="3">
        <v>65459</v>
      </c>
      <c r="Y16" s="6">
        <v>35.799999999999997</v>
      </c>
      <c r="Z16" s="3">
        <f t="shared" si="34"/>
        <v>2062.3728813559319</v>
      </c>
      <c r="AA16" s="3">
        <v>48672</v>
      </c>
      <c r="AB16" s="6">
        <v>23.6</v>
      </c>
      <c r="AC16" s="3">
        <f t="shared" si="35"/>
        <v>1840.6639004149376</v>
      </c>
      <c r="AD16" s="3">
        <v>44360</v>
      </c>
      <c r="AE16" s="6">
        <v>24.1</v>
      </c>
      <c r="AF16" s="3">
        <f t="shared" si="36"/>
        <v>1802.6785714285713</v>
      </c>
      <c r="AG16" s="3">
        <v>30285</v>
      </c>
      <c r="AH16" s="6">
        <v>16.8</v>
      </c>
      <c r="AI16" s="3">
        <f t="shared" si="37"/>
        <v>2106.8811881188121</v>
      </c>
      <c r="AJ16" s="3">
        <v>42559</v>
      </c>
      <c r="AK16" s="6">
        <v>20.2</v>
      </c>
      <c r="AL16" s="3">
        <f t="shared" si="38"/>
        <v>1933.400900900901</v>
      </c>
      <c r="AM16" s="3">
        <v>85843</v>
      </c>
      <c r="AN16" s="6">
        <v>44.4</v>
      </c>
      <c r="AO16" s="3">
        <f t="shared" si="25"/>
        <v>1865.0251730648208</v>
      </c>
      <c r="AP16" s="3">
        <f t="shared" si="26"/>
        <v>592705</v>
      </c>
      <c r="AQ16" s="6">
        <f t="shared" si="26"/>
        <v>317.79999999999995</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61</v>
      </c>
      <c r="B17" s="23"/>
      <c r="C17" s="23"/>
      <c r="D17" s="23"/>
      <c r="E17" s="3">
        <f t="shared" si="27"/>
        <v>1673.25</v>
      </c>
      <c r="F17" s="3">
        <v>6693</v>
      </c>
      <c r="G17" s="6">
        <v>4</v>
      </c>
      <c r="H17" s="3" t="e">
        <f t="shared" si="28"/>
        <v>#DIV/0!</v>
      </c>
      <c r="I17" s="3">
        <v>0</v>
      </c>
      <c r="J17" s="6">
        <v>0</v>
      </c>
      <c r="K17" s="3">
        <f t="shared" si="29"/>
        <v>1625.9751037344397</v>
      </c>
      <c r="L17" s="3">
        <v>39186</v>
      </c>
      <c r="M17" s="6">
        <v>24.1</v>
      </c>
      <c r="N17" s="3">
        <f t="shared" si="30"/>
        <v>2158.2352941176473</v>
      </c>
      <c r="O17" s="3">
        <v>7338</v>
      </c>
      <c r="P17" s="6">
        <v>3.4</v>
      </c>
      <c r="Q17" s="3">
        <f t="shared" si="31"/>
        <v>2472.608695652174</v>
      </c>
      <c r="R17" s="3">
        <v>5687</v>
      </c>
      <c r="S17" s="6">
        <v>2.2999999999999998</v>
      </c>
      <c r="T17" s="3">
        <f t="shared" si="32"/>
        <v>1805.2205882352941</v>
      </c>
      <c r="U17" s="3">
        <v>49102</v>
      </c>
      <c r="V17" s="6">
        <v>27.2</v>
      </c>
      <c r="W17" s="3">
        <f t="shared" si="33"/>
        <v>2326.0714285714289</v>
      </c>
      <c r="X17" s="3">
        <v>6513</v>
      </c>
      <c r="Y17" s="6">
        <v>2.8</v>
      </c>
      <c r="Z17" s="3">
        <f t="shared" si="34"/>
        <v>2162.3529411764707</v>
      </c>
      <c r="AA17" s="3">
        <v>3676</v>
      </c>
      <c r="AB17" s="6">
        <v>1.7</v>
      </c>
      <c r="AC17" s="3">
        <f t="shared" si="35"/>
        <v>1805.4710144927535</v>
      </c>
      <c r="AD17" s="3">
        <v>49831</v>
      </c>
      <c r="AE17" s="6">
        <v>27.6</v>
      </c>
      <c r="AF17" s="3">
        <f t="shared" si="36"/>
        <v>2330</v>
      </c>
      <c r="AG17" s="3">
        <v>8388</v>
      </c>
      <c r="AH17" s="6">
        <v>3.6</v>
      </c>
      <c r="AI17" s="3">
        <f t="shared" si="37"/>
        <v>1979.4</v>
      </c>
      <c r="AJ17" s="3">
        <v>19794</v>
      </c>
      <c r="AK17" s="6">
        <v>10</v>
      </c>
      <c r="AL17" s="3">
        <f t="shared" si="38"/>
        <v>1702.3030303030303</v>
      </c>
      <c r="AM17" s="3">
        <v>56176</v>
      </c>
      <c r="AN17" s="6">
        <v>33</v>
      </c>
      <c r="AO17" s="3">
        <f t="shared" si="25"/>
        <v>1806.6141732283465</v>
      </c>
      <c r="AP17" s="3">
        <f t="shared" si="26"/>
        <v>252384</v>
      </c>
      <c r="AQ17" s="6">
        <f t="shared" si="26"/>
        <v>139.69999999999999</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50</v>
      </c>
      <c r="B18" s="23"/>
      <c r="C18" s="23"/>
      <c r="D18" s="23"/>
      <c r="E18" s="3">
        <f t="shared" si="27"/>
        <v>1705.7591623036649</v>
      </c>
      <c r="F18" s="3">
        <v>32580</v>
      </c>
      <c r="G18" s="6">
        <v>19.100000000000001</v>
      </c>
      <c r="H18" s="3">
        <f t="shared" si="28"/>
        <v>1316.5067693375834</v>
      </c>
      <c r="I18" s="3">
        <v>4171615</v>
      </c>
      <c r="J18" s="6">
        <v>3168.7</v>
      </c>
      <c r="K18" s="3">
        <f t="shared" si="29"/>
        <v>1735.8477508650519</v>
      </c>
      <c r="L18" s="3">
        <v>50166</v>
      </c>
      <c r="M18" s="6">
        <v>28.9</v>
      </c>
      <c r="N18" s="3">
        <f t="shared" si="30"/>
        <v>1774.9738219895287</v>
      </c>
      <c r="O18" s="3">
        <v>33902</v>
      </c>
      <c r="P18" s="6">
        <v>19.100000000000001</v>
      </c>
      <c r="Q18" s="3">
        <f t="shared" si="31"/>
        <v>1772.4886877828053</v>
      </c>
      <c r="R18" s="3">
        <v>39172</v>
      </c>
      <c r="S18" s="6">
        <v>22.1</v>
      </c>
      <c r="T18" s="3">
        <f t="shared" si="32"/>
        <v>1919.9029126213591</v>
      </c>
      <c r="U18" s="3">
        <v>19775</v>
      </c>
      <c r="V18" s="6">
        <v>10.3</v>
      </c>
      <c r="W18" s="3">
        <f t="shared" si="33"/>
        <v>1826.9579288025891</v>
      </c>
      <c r="X18" s="3">
        <v>56453</v>
      </c>
      <c r="Y18" s="6">
        <v>30.9</v>
      </c>
      <c r="Z18" s="3">
        <f t="shared" si="34"/>
        <v>1757.8271028037384</v>
      </c>
      <c r="AA18" s="3">
        <v>75235</v>
      </c>
      <c r="AB18" s="6">
        <v>42.8</v>
      </c>
      <c r="AC18" s="3">
        <f t="shared" si="35"/>
        <v>2088.8349514563106</v>
      </c>
      <c r="AD18" s="3">
        <v>21515</v>
      </c>
      <c r="AE18" s="6">
        <v>10.3</v>
      </c>
      <c r="AF18" s="3">
        <f t="shared" si="36"/>
        <v>1919.4470046082949</v>
      </c>
      <c r="AG18" s="3">
        <v>41652</v>
      </c>
      <c r="AH18" s="6">
        <v>21.7</v>
      </c>
      <c r="AI18" s="3">
        <f t="shared" si="37"/>
        <v>1480.3030303030303</v>
      </c>
      <c r="AJ18" s="3">
        <v>14655</v>
      </c>
      <c r="AK18" s="6">
        <v>9.9</v>
      </c>
      <c r="AL18" s="3">
        <f t="shared" si="38"/>
        <v>1726.7586206896551</v>
      </c>
      <c r="AM18" s="3">
        <v>50076</v>
      </c>
      <c r="AN18" s="6">
        <v>29</v>
      </c>
      <c r="AO18" s="3">
        <f t="shared" si="25"/>
        <v>1349.8581809657758</v>
      </c>
      <c r="AP18" s="3">
        <f t="shared" si="26"/>
        <v>4606796</v>
      </c>
      <c r="AQ18" s="6">
        <f t="shared" si="26"/>
        <v>3412.8</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26</v>
      </c>
      <c r="B19" s="23"/>
      <c r="C19" s="23"/>
      <c r="D19" s="23"/>
      <c r="E19" s="3">
        <f t="shared" si="27"/>
        <v>1770.6332842415316</v>
      </c>
      <c r="F19" s="3">
        <v>120226</v>
      </c>
      <c r="G19" s="6">
        <v>67.900000000000006</v>
      </c>
      <c r="H19" s="3">
        <f t="shared" si="28"/>
        <v>1766.3755458515284</v>
      </c>
      <c r="I19" s="3">
        <v>40450</v>
      </c>
      <c r="J19" s="6">
        <v>22.9</v>
      </c>
      <c r="K19" s="3">
        <f t="shared" si="29"/>
        <v>1930.1457725947523</v>
      </c>
      <c r="L19" s="3">
        <v>132408</v>
      </c>
      <c r="M19" s="6">
        <v>68.599999999999994</v>
      </c>
      <c r="N19" s="3">
        <f t="shared" si="30"/>
        <v>1775.8862144420129</v>
      </c>
      <c r="O19" s="3">
        <v>81158</v>
      </c>
      <c r="P19" s="6">
        <v>45.7</v>
      </c>
      <c r="Q19" s="3">
        <f t="shared" si="31"/>
        <v>1659.9070847851337</v>
      </c>
      <c r="R19" s="3">
        <v>142918</v>
      </c>
      <c r="S19" s="6">
        <v>86.1</v>
      </c>
      <c r="T19" s="3">
        <f t="shared" si="32"/>
        <v>1726.0136674259682</v>
      </c>
      <c r="U19" s="3">
        <v>227316</v>
      </c>
      <c r="V19" s="6">
        <v>131.69999999999999</v>
      </c>
      <c r="W19" s="3">
        <f t="shared" si="33"/>
        <v>1861.7647058823529</v>
      </c>
      <c r="X19" s="3">
        <v>88620</v>
      </c>
      <c r="Y19" s="6">
        <v>47.6</v>
      </c>
      <c r="Z19" s="3">
        <f t="shared" si="34"/>
        <v>2152.5470085470088</v>
      </c>
      <c r="AA19" s="3">
        <v>125924</v>
      </c>
      <c r="AB19" s="6">
        <v>58.5</v>
      </c>
      <c r="AC19" s="3">
        <f t="shared" si="35"/>
        <v>1667.2558139534883</v>
      </c>
      <c r="AD19" s="3">
        <v>71692</v>
      </c>
      <c r="AE19" s="6">
        <v>43</v>
      </c>
      <c r="AF19" s="3">
        <f t="shared" si="36"/>
        <v>1813.6443148688047</v>
      </c>
      <c r="AG19" s="3">
        <v>124416</v>
      </c>
      <c r="AH19" s="6">
        <v>68.599999999999994</v>
      </c>
      <c r="AI19" s="3">
        <f t="shared" si="37"/>
        <v>2426.687116564417</v>
      </c>
      <c r="AJ19" s="3">
        <v>39555</v>
      </c>
      <c r="AK19" s="6">
        <v>16.3</v>
      </c>
      <c r="AL19" s="3">
        <f t="shared" si="38"/>
        <v>1732.6732673267327</v>
      </c>
      <c r="AM19" s="3">
        <v>35000</v>
      </c>
      <c r="AN19" s="6">
        <v>20.2</v>
      </c>
      <c r="AO19" s="3">
        <f t="shared" si="25"/>
        <v>1816.1024959385616</v>
      </c>
      <c r="AP19" s="3">
        <f t="shared" si="26"/>
        <v>1229683</v>
      </c>
      <c r="AQ19" s="6">
        <f t="shared" si="26"/>
        <v>677.1</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52</v>
      </c>
      <c r="B20" s="23"/>
      <c r="C20" s="23"/>
      <c r="D20" s="23"/>
      <c r="E20" s="3">
        <f t="shared" si="27"/>
        <v>1809.4007989347538</v>
      </c>
      <c r="F20" s="3">
        <v>135886</v>
      </c>
      <c r="G20" s="6">
        <v>75.099999999999994</v>
      </c>
      <c r="H20" s="3">
        <f t="shared" si="28"/>
        <v>1428.581081081081</v>
      </c>
      <c r="I20" s="3">
        <v>42286</v>
      </c>
      <c r="J20" s="6">
        <v>29.6</v>
      </c>
      <c r="K20" s="3">
        <f t="shared" si="29"/>
        <v>2048.443113772455</v>
      </c>
      <c r="L20" s="3">
        <v>34209</v>
      </c>
      <c r="M20" s="6">
        <v>16.7</v>
      </c>
      <c r="N20" s="3">
        <f t="shared" si="30"/>
        <v>1951.9612590799034</v>
      </c>
      <c r="O20" s="3">
        <v>80616</v>
      </c>
      <c r="P20" s="6">
        <v>41.3</v>
      </c>
      <c r="Q20" s="3">
        <f t="shared" si="31"/>
        <v>1847.6060606060605</v>
      </c>
      <c r="R20" s="3">
        <v>60971</v>
      </c>
      <c r="S20" s="6">
        <v>33</v>
      </c>
      <c r="T20" s="3">
        <f t="shared" si="32"/>
        <v>2033.2735426008967</v>
      </c>
      <c r="U20" s="3">
        <v>45342</v>
      </c>
      <c r="V20" s="6">
        <v>22.3</v>
      </c>
      <c r="W20" s="3">
        <f t="shared" si="33"/>
        <v>2204.3767313019389</v>
      </c>
      <c r="X20" s="3">
        <v>79578</v>
      </c>
      <c r="Y20" s="6">
        <v>36.1</v>
      </c>
      <c r="Z20" s="3">
        <f t="shared" si="34"/>
        <v>1723.8383838383838</v>
      </c>
      <c r="AA20" s="3">
        <v>51198</v>
      </c>
      <c r="AB20" s="6">
        <v>29.7</v>
      </c>
      <c r="AC20" s="3">
        <f t="shared" si="35"/>
        <v>2113.0385487528342</v>
      </c>
      <c r="AD20" s="3">
        <v>93185</v>
      </c>
      <c r="AE20" s="6">
        <v>44.1</v>
      </c>
      <c r="AF20" s="3">
        <f t="shared" si="36"/>
        <v>2309.7111111111112</v>
      </c>
      <c r="AG20" s="3">
        <v>103937</v>
      </c>
      <c r="AH20" s="6">
        <v>45</v>
      </c>
      <c r="AI20" s="3">
        <f t="shared" si="37"/>
        <v>1765.3205128205129</v>
      </c>
      <c r="AJ20" s="3">
        <v>55078</v>
      </c>
      <c r="AK20" s="6">
        <v>31.2</v>
      </c>
      <c r="AL20" s="3">
        <f t="shared" si="38"/>
        <v>2265</v>
      </c>
      <c r="AM20" s="3">
        <v>34428</v>
      </c>
      <c r="AN20" s="6">
        <v>15.2</v>
      </c>
      <c r="AO20" s="3">
        <f t="shared" si="25"/>
        <v>1947.8034819937991</v>
      </c>
      <c r="AP20" s="3">
        <f t="shared" si="26"/>
        <v>816714</v>
      </c>
      <c r="AQ20" s="6">
        <f t="shared" si="26"/>
        <v>419.3</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55</v>
      </c>
      <c r="B21" s="23"/>
      <c r="C21" s="23"/>
      <c r="D21" s="23"/>
      <c r="E21" s="3">
        <f t="shared" si="27"/>
        <v>1549.9212598425197</v>
      </c>
      <c r="F21" s="3">
        <v>19684</v>
      </c>
      <c r="G21" s="6">
        <v>12.7</v>
      </c>
      <c r="H21" s="3">
        <f t="shared" si="28"/>
        <v>1735.3221957040573</v>
      </c>
      <c r="I21" s="3">
        <v>72710</v>
      </c>
      <c r="J21" s="6">
        <v>41.9</v>
      </c>
      <c r="K21" s="3">
        <f t="shared" si="29"/>
        <v>1280.8160504959424</v>
      </c>
      <c r="L21" s="3">
        <v>1988595</v>
      </c>
      <c r="M21" s="6">
        <v>1552.6</v>
      </c>
      <c r="N21" s="3">
        <f t="shared" si="30"/>
        <v>1808.3497536945813</v>
      </c>
      <c r="O21" s="3">
        <v>73419</v>
      </c>
      <c r="P21" s="6">
        <v>40.6</v>
      </c>
      <c r="Q21" s="3" t="e">
        <f t="shared" si="31"/>
        <v>#DIV/0!</v>
      </c>
      <c r="R21" s="3">
        <v>0</v>
      </c>
      <c r="S21" s="6">
        <v>0</v>
      </c>
      <c r="T21" s="3">
        <f t="shared" si="32"/>
        <v>1757.7648766328009</v>
      </c>
      <c r="U21" s="3">
        <v>121110</v>
      </c>
      <c r="V21" s="6">
        <v>68.900000000000006</v>
      </c>
      <c r="W21" s="3" t="e">
        <f t="shared" si="33"/>
        <v>#DIV/0!</v>
      </c>
      <c r="X21" s="3">
        <v>0</v>
      </c>
      <c r="Y21" s="6">
        <v>0</v>
      </c>
      <c r="Z21" s="3">
        <f t="shared" si="34"/>
        <v>1552.7950310559004</v>
      </c>
      <c r="AA21" s="3">
        <v>25000</v>
      </c>
      <c r="AB21" s="6">
        <v>16.100000000000001</v>
      </c>
      <c r="AC21" s="3">
        <f t="shared" si="35"/>
        <v>1636.4186046511627</v>
      </c>
      <c r="AD21" s="3">
        <v>70366</v>
      </c>
      <c r="AE21" s="6">
        <v>43</v>
      </c>
      <c r="AF21" s="3">
        <f t="shared" si="36"/>
        <v>1838.6899563318777</v>
      </c>
      <c r="AG21" s="3">
        <v>42106</v>
      </c>
      <c r="AH21" s="6">
        <v>22.9</v>
      </c>
      <c r="AI21" s="3">
        <f t="shared" si="37"/>
        <v>1794.0930232558139</v>
      </c>
      <c r="AJ21" s="3">
        <v>77146</v>
      </c>
      <c r="AK21" s="6">
        <v>43</v>
      </c>
      <c r="AL21" s="3">
        <f t="shared" si="38"/>
        <v>1419.8019801980199</v>
      </c>
      <c r="AM21" s="3">
        <v>28680</v>
      </c>
      <c r="AN21" s="6">
        <v>20.2</v>
      </c>
      <c r="AO21" s="3">
        <f t="shared" si="25"/>
        <v>1352.8202373919116</v>
      </c>
      <c r="AP21" s="3">
        <f t="shared" si="26"/>
        <v>2518816</v>
      </c>
      <c r="AQ21" s="6">
        <f t="shared" si="26"/>
        <v>1861.8999999999999</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49</v>
      </c>
      <c r="B22" s="23"/>
      <c r="C22" s="23"/>
      <c r="D22" s="23"/>
      <c r="E22" s="3">
        <f t="shared" si="27"/>
        <v>1678.3582089552237</v>
      </c>
      <c r="F22" s="3">
        <v>11245</v>
      </c>
      <c r="G22" s="6">
        <v>6.7</v>
      </c>
      <c r="H22" s="3" t="e">
        <f t="shared" si="28"/>
        <v>#DIV/0!</v>
      </c>
      <c r="I22" s="3">
        <v>0</v>
      </c>
      <c r="J22" s="6">
        <v>0</v>
      </c>
      <c r="K22" s="3" t="e">
        <f t="shared" si="29"/>
        <v>#DIV/0!</v>
      </c>
      <c r="L22" s="3">
        <v>0</v>
      </c>
      <c r="M22" s="6">
        <v>0</v>
      </c>
      <c r="N22" s="3">
        <f t="shared" si="30"/>
        <v>1625.2941176470588</v>
      </c>
      <c r="O22" s="3">
        <v>2763</v>
      </c>
      <c r="P22" s="6">
        <v>1.7</v>
      </c>
      <c r="Q22" s="3">
        <f t="shared" si="31"/>
        <v>1933.8372093023256</v>
      </c>
      <c r="R22" s="3">
        <v>16631</v>
      </c>
      <c r="S22" s="6">
        <v>8.6</v>
      </c>
      <c r="T22" s="3">
        <f t="shared" si="32"/>
        <v>1989.7278911564626</v>
      </c>
      <c r="U22" s="3">
        <v>29249</v>
      </c>
      <c r="V22" s="6">
        <v>14.7</v>
      </c>
      <c r="W22" s="3">
        <f t="shared" si="33"/>
        <v>2093.030303030303</v>
      </c>
      <c r="X22" s="3">
        <v>6907</v>
      </c>
      <c r="Y22" s="6">
        <v>3.3</v>
      </c>
      <c r="Z22" s="3" t="e">
        <f t="shared" si="34"/>
        <v>#DIV/0!</v>
      </c>
      <c r="AA22" s="3">
        <v>0</v>
      </c>
      <c r="AB22" s="6">
        <v>0</v>
      </c>
      <c r="AC22" s="3">
        <f t="shared" si="35"/>
        <v>2041.0294117647059</v>
      </c>
      <c r="AD22" s="3">
        <v>13879</v>
      </c>
      <c r="AE22" s="6">
        <v>6.8</v>
      </c>
      <c r="AF22" s="3">
        <f t="shared" si="36"/>
        <v>2034.9999999999998</v>
      </c>
      <c r="AG22" s="3">
        <v>21978</v>
      </c>
      <c r="AH22" s="6">
        <v>10.8</v>
      </c>
      <c r="AI22" s="3">
        <f t="shared" si="37"/>
        <v>1621.8055555555554</v>
      </c>
      <c r="AJ22" s="3">
        <v>35031</v>
      </c>
      <c r="AK22" s="6">
        <v>21.6</v>
      </c>
      <c r="AL22" s="3">
        <f t="shared" si="38"/>
        <v>2590.2272727272725</v>
      </c>
      <c r="AM22" s="3">
        <v>22794</v>
      </c>
      <c r="AN22" s="6">
        <v>8.8000000000000007</v>
      </c>
      <c r="AO22" s="3">
        <f t="shared" si="25"/>
        <v>1933.4578313253016</v>
      </c>
      <c r="AP22" s="3">
        <f t="shared" si="26"/>
        <v>160477</v>
      </c>
      <c r="AQ22" s="6">
        <f t="shared" si="26"/>
        <v>82.999999999999986</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22</v>
      </c>
      <c r="B23" s="23"/>
      <c r="C23" s="23"/>
      <c r="D23" s="23"/>
      <c r="E23" s="3">
        <f t="shared" si="27"/>
        <v>1384.397590361446</v>
      </c>
      <c r="F23" s="3">
        <v>68943</v>
      </c>
      <c r="G23" s="6">
        <v>49.8</v>
      </c>
      <c r="H23" s="3">
        <f t="shared" si="28"/>
        <v>1443.9568345323742</v>
      </c>
      <c r="I23" s="3">
        <v>20071</v>
      </c>
      <c r="J23" s="6">
        <v>13.9</v>
      </c>
      <c r="K23" s="3">
        <f t="shared" si="29"/>
        <v>1708.8085106382978</v>
      </c>
      <c r="L23" s="3">
        <v>40157</v>
      </c>
      <c r="M23" s="6">
        <v>23.5</v>
      </c>
      <c r="N23" s="3">
        <f t="shared" si="30"/>
        <v>1615</v>
      </c>
      <c r="O23" s="3">
        <v>17442</v>
      </c>
      <c r="P23" s="6">
        <v>10.8</v>
      </c>
      <c r="Q23" s="3">
        <f t="shared" si="31"/>
        <v>1584.7430830039525</v>
      </c>
      <c r="R23" s="3">
        <v>40094</v>
      </c>
      <c r="S23" s="6">
        <v>25.3</v>
      </c>
      <c r="T23" s="3">
        <f t="shared" si="32"/>
        <v>1602.5581395348836</v>
      </c>
      <c r="U23" s="3">
        <v>41346</v>
      </c>
      <c r="V23" s="6">
        <v>25.8</v>
      </c>
      <c r="W23" s="3">
        <f t="shared" si="33"/>
        <v>1676.317280453258</v>
      </c>
      <c r="X23" s="3">
        <v>59174</v>
      </c>
      <c r="Y23" s="6">
        <v>35.299999999999997</v>
      </c>
      <c r="Z23" s="3">
        <f t="shared" si="34"/>
        <v>1787.2535211267607</v>
      </c>
      <c r="AA23" s="3">
        <v>25379</v>
      </c>
      <c r="AB23" s="6">
        <v>14.2</v>
      </c>
      <c r="AC23" s="3">
        <f t="shared" si="35"/>
        <v>1895.6626506024095</v>
      </c>
      <c r="AD23" s="3">
        <v>15734</v>
      </c>
      <c r="AE23" s="6">
        <v>8.3000000000000007</v>
      </c>
      <c r="AF23" s="3">
        <f t="shared" si="36"/>
        <v>1844.7272727272727</v>
      </c>
      <c r="AG23" s="3">
        <v>30438</v>
      </c>
      <c r="AH23" s="6">
        <v>16.5</v>
      </c>
      <c r="AI23" s="3">
        <f t="shared" si="37"/>
        <v>2397.9935275080907</v>
      </c>
      <c r="AJ23" s="3">
        <v>74098</v>
      </c>
      <c r="AK23" s="6">
        <v>30.9</v>
      </c>
      <c r="AL23" s="3">
        <f t="shared" si="38"/>
        <v>2190.8823529411766</v>
      </c>
      <c r="AM23" s="3">
        <v>22347</v>
      </c>
      <c r="AN23" s="6">
        <v>10.199999999999999</v>
      </c>
      <c r="AO23" s="3">
        <f t="shared" si="25"/>
        <v>1721.069943289225</v>
      </c>
      <c r="AP23" s="3">
        <f t="shared" si="26"/>
        <v>455223</v>
      </c>
      <c r="AQ23" s="6">
        <f t="shared" si="26"/>
        <v>264.5</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69</v>
      </c>
      <c r="B24" s="23"/>
      <c r="C24" s="23"/>
      <c r="D24" s="23"/>
      <c r="E24" s="3">
        <f t="shared" si="27"/>
        <v>1480</v>
      </c>
      <c r="F24" s="3">
        <v>12580</v>
      </c>
      <c r="G24" s="6">
        <v>8.5</v>
      </c>
      <c r="H24" s="3" t="e">
        <f t="shared" si="28"/>
        <v>#DIV/0!</v>
      </c>
      <c r="I24" s="3">
        <v>0</v>
      </c>
      <c r="J24" s="6">
        <v>0</v>
      </c>
      <c r="K24" s="3" t="e">
        <f t="shared" si="29"/>
        <v>#DIV/0!</v>
      </c>
      <c r="L24" s="3">
        <v>0</v>
      </c>
      <c r="M24" s="6">
        <v>0</v>
      </c>
      <c r="N24" s="3">
        <f t="shared" si="30"/>
        <v>2335.9459459459458</v>
      </c>
      <c r="O24" s="3">
        <v>8643</v>
      </c>
      <c r="P24" s="6">
        <v>3.7</v>
      </c>
      <c r="Q24" s="3">
        <f t="shared" si="31"/>
        <v>1877.6923076923076</v>
      </c>
      <c r="R24" s="3">
        <v>9764</v>
      </c>
      <c r="S24" s="6">
        <v>5.2</v>
      </c>
      <c r="T24" s="3">
        <f t="shared" si="32"/>
        <v>1859.5238095238094</v>
      </c>
      <c r="U24" s="3">
        <v>3905</v>
      </c>
      <c r="V24" s="6">
        <v>2.1</v>
      </c>
      <c r="W24" s="3" t="e">
        <f t="shared" si="33"/>
        <v>#DIV/0!</v>
      </c>
      <c r="X24" s="3">
        <v>0</v>
      </c>
      <c r="Y24" s="6">
        <v>0</v>
      </c>
      <c r="Z24" s="3">
        <f t="shared" si="34"/>
        <v>1871.5178571428573</v>
      </c>
      <c r="AA24" s="3">
        <v>20961</v>
      </c>
      <c r="AB24" s="6">
        <v>11.2</v>
      </c>
      <c r="AC24" s="3">
        <f t="shared" si="35"/>
        <v>1999.3037974683543</v>
      </c>
      <c r="AD24" s="3">
        <v>31589</v>
      </c>
      <c r="AE24" s="6">
        <v>15.8</v>
      </c>
      <c r="AF24" s="3">
        <f t="shared" si="36"/>
        <v>2090.9090909090905</v>
      </c>
      <c r="AG24" s="3">
        <v>9200</v>
      </c>
      <c r="AH24" s="6">
        <v>4.4000000000000004</v>
      </c>
      <c r="AI24" s="3">
        <f t="shared" si="37"/>
        <v>2100.1492537313434</v>
      </c>
      <c r="AJ24" s="3">
        <v>14071</v>
      </c>
      <c r="AK24" s="6">
        <v>6.7</v>
      </c>
      <c r="AL24" s="3">
        <f t="shared" si="38"/>
        <v>2308.9041095890411</v>
      </c>
      <c r="AM24" s="3">
        <v>16855</v>
      </c>
      <c r="AN24" s="6">
        <v>7.3</v>
      </c>
      <c r="AO24" s="3">
        <f t="shared" si="25"/>
        <v>1965.6086286594759</v>
      </c>
      <c r="AP24" s="3">
        <f t="shared" si="26"/>
        <v>127568</v>
      </c>
      <c r="AQ24" s="6">
        <f t="shared" si="26"/>
        <v>64.900000000000006</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72</v>
      </c>
      <c r="B25" s="23"/>
      <c r="C25" s="23"/>
      <c r="D25" s="23"/>
      <c r="E25" s="3" t="e">
        <f t="shared" si="27"/>
        <v>#DIV/0!</v>
      </c>
      <c r="F25" s="3">
        <v>0</v>
      </c>
      <c r="G25" s="6">
        <v>0</v>
      </c>
      <c r="H25" s="3" t="e">
        <f t="shared" si="28"/>
        <v>#DIV/0!</v>
      </c>
      <c r="I25" s="3">
        <v>0</v>
      </c>
      <c r="J25" s="6">
        <v>0</v>
      </c>
      <c r="K25" s="3" t="e">
        <f t="shared" si="29"/>
        <v>#DIV/0!</v>
      </c>
      <c r="L25" s="3">
        <v>0</v>
      </c>
      <c r="M25" s="6">
        <v>0</v>
      </c>
      <c r="N25" s="3" t="e">
        <f t="shared" si="30"/>
        <v>#DIV/0!</v>
      </c>
      <c r="O25" s="3">
        <v>0</v>
      </c>
      <c r="P25" s="6">
        <v>0</v>
      </c>
      <c r="Q25" s="3" t="e">
        <f t="shared" si="31"/>
        <v>#DIV/0!</v>
      </c>
      <c r="R25" s="3">
        <v>0</v>
      </c>
      <c r="S25" s="6">
        <v>0</v>
      </c>
      <c r="T25" s="3" t="e">
        <f t="shared" si="32"/>
        <v>#DIV/0!</v>
      </c>
      <c r="U25" s="3">
        <v>0</v>
      </c>
      <c r="V25" s="6">
        <v>0</v>
      </c>
      <c r="W25" s="3" t="e">
        <f t="shared" si="33"/>
        <v>#DIV/0!</v>
      </c>
      <c r="X25" s="3">
        <v>0</v>
      </c>
      <c r="Y25" s="6">
        <v>0</v>
      </c>
      <c r="Z25" s="3" t="e">
        <f t="shared" si="34"/>
        <v>#DIV/0!</v>
      </c>
      <c r="AA25" s="3">
        <v>0</v>
      </c>
      <c r="AB25" s="6">
        <v>0</v>
      </c>
      <c r="AC25" s="3" t="e">
        <f t="shared" si="35"/>
        <v>#DIV/0!</v>
      </c>
      <c r="AD25" s="3">
        <v>0</v>
      </c>
      <c r="AE25" s="6">
        <v>0</v>
      </c>
      <c r="AF25" s="3" t="e">
        <f t="shared" si="36"/>
        <v>#DIV/0!</v>
      </c>
      <c r="AG25" s="3">
        <v>0</v>
      </c>
      <c r="AH25" s="6">
        <v>0</v>
      </c>
      <c r="AI25" s="3" t="e">
        <f t="shared" si="37"/>
        <v>#DIV/0!</v>
      </c>
      <c r="AJ25" s="3">
        <v>0</v>
      </c>
      <c r="AK25" s="6">
        <v>0</v>
      </c>
      <c r="AL25" s="3">
        <f t="shared" si="38"/>
        <v>3980</v>
      </c>
      <c r="AM25" s="3">
        <v>14328</v>
      </c>
      <c r="AN25" s="6">
        <v>3.6</v>
      </c>
      <c r="AO25" s="3">
        <f t="shared" si="25"/>
        <v>3980</v>
      </c>
      <c r="AP25" s="3">
        <f t="shared" si="26"/>
        <v>14328</v>
      </c>
      <c r="AQ25" s="6">
        <f t="shared" si="26"/>
        <v>3.6</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33</v>
      </c>
      <c r="B26" s="23"/>
      <c r="C26" s="23"/>
      <c r="D26" s="23"/>
      <c r="E26" s="3">
        <f t="shared" si="27"/>
        <v>2295.4545454545455</v>
      </c>
      <c r="F26" s="3">
        <v>2525</v>
      </c>
      <c r="G26" s="6">
        <v>1.1000000000000001</v>
      </c>
      <c r="H26" s="3" t="e">
        <f t="shared" si="28"/>
        <v>#DIV/0!</v>
      </c>
      <c r="I26" s="3">
        <v>0</v>
      </c>
      <c r="J26" s="6">
        <v>0</v>
      </c>
      <c r="K26" s="3">
        <f t="shared" si="29"/>
        <v>2576</v>
      </c>
      <c r="L26" s="3">
        <v>2576</v>
      </c>
      <c r="M26" s="6">
        <v>1</v>
      </c>
      <c r="N26" s="3" t="e">
        <f t="shared" si="30"/>
        <v>#DIV/0!</v>
      </c>
      <c r="O26" s="3">
        <v>0</v>
      </c>
      <c r="P26" s="6">
        <v>0</v>
      </c>
      <c r="Q26" s="3" t="e">
        <f t="shared" si="31"/>
        <v>#DIV/0!</v>
      </c>
      <c r="R26" s="3">
        <v>0</v>
      </c>
      <c r="S26" s="6">
        <v>0</v>
      </c>
      <c r="T26" s="3">
        <f t="shared" si="32"/>
        <v>2452.5</v>
      </c>
      <c r="U26" s="3">
        <v>2943</v>
      </c>
      <c r="V26" s="6">
        <v>1.2</v>
      </c>
      <c r="W26" s="3" t="e">
        <f t="shared" si="33"/>
        <v>#DIV/0!</v>
      </c>
      <c r="X26" s="3">
        <v>0</v>
      </c>
      <c r="Y26" s="6">
        <v>0</v>
      </c>
      <c r="Z26" s="3" t="e">
        <f t="shared" si="34"/>
        <v>#DIV/0!</v>
      </c>
      <c r="AA26" s="3">
        <v>0</v>
      </c>
      <c r="AB26" s="6">
        <v>0</v>
      </c>
      <c r="AC26" s="3">
        <f t="shared" si="35"/>
        <v>2070</v>
      </c>
      <c r="AD26" s="3">
        <v>3519</v>
      </c>
      <c r="AE26" s="6">
        <v>1.7</v>
      </c>
      <c r="AF26" s="3">
        <f t="shared" si="36"/>
        <v>2507.0588235294117</v>
      </c>
      <c r="AG26" s="3">
        <v>4262</v>
      </c>
      <c r="AH26" s="6">
        <v>1.7</v>
      </c>
      <c r="AI26" s="3" t="e">
        <f t="shared" si="37"/>
        <v>#DIV/0!</v>
      </c>
      <c r="AJ26" s="3">
        <v>0</v>
      </c>
      <c r="AK26" s="6">
        <v>0</v>
      </c>
      <c r="AL26" s="3">
        <f t="shared" si="38"/>
        <v>1908.6301369863015</v>
      </c>
      <c r="AM26" s="3">
        <v>13933</v>
      </c>
      <c r="AN26" s="6">
        <v>7.3</v>
      </c>
      <c r="AO26" s="3">
        <f t="shared" si="25"/>
        <v>2125.5714285714284</v>
      </c>
      <c r="AP26" s="3">
        <f t="shared" si="26"/>
        <v>29758</v>
      </c>
      <c r="AQ26" s="6">
        <f t="shared" si="26"/>
        <v>14</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31</v>
      </c>
      <c r="B27" s="23"/>
      <c r="C27" s="23"/>
      <c r="D27" s="23"/>
      <c r="E27" s="3">
        <f t="shared" si="27"/>
        <v>2340.6493506493507</v>
      </c>
      <c r="F27" s="3">
        <v>18023</v>
      </c>
      <c r="G27" s="6">
        <v>7.7</v>
      </c>
      <c r="H27" s="3" t="e">
        <f t="shared" si="28"/>
        <v>#DIV/0!</v>
      </c>
      <c r="I27" s="3">
        <v>0</v>
      </c>
      <c r="J27" s="6">
        <v>0</v>
      </c>
      <c r="K27" s="3">
        <f t="shared" si="29"/>
        <v>2677.7777777777778</v>
      </c>
      <c r="L27" s="3">
        <v>21690</v>
      </c>
      <c r="M27" s="6">
        <v>8.1</v>
      </c>
      <c r="N27" s="3">
        <f t="shared" si="30"/>
        <v>2675.5357142857147</v>
      </c>
      <c r="O27" s="3">
        <v>14983</v>
      </c>
      <c r="P27" s="6">
        <v>5.6</v>
      </c>
      <c r="Q27" s="3">
        <f t="shared" si="31"/>
        <v>2713.9655172413795</v>
      </c>
      <c r="R27" s="3">
        <v>15741</v>
      </c>
      <c r="S27" s="6">
        <v>5.8</v>
      </c>
      <c r="T27" s="3">
        <f t="shared" si="32"/>
        <v>2749.4680851063827</v>
      </c>
      <c r="U27" s="3">
        <v>25845</v>
      </c>
      <c r="V27" s="6">
        <v>9.4</v>
      </c>
      <c r="W27" s="3">
        <f t="shared" si="33"/>
        <v>2570</v>
      </c>
      <c r="X27" s="3">
        <v>31868</v>
      </c>
      <c r="Y27" s="6">
        <v>12.4</v>
      </c>
      <c r="Z27" s="3" t="e">
        <f t="shared" si="34"/>
        <v>#DIV/0!</v>
      </c>
      <c r="AA27" s="3">
        <v>0</v>
      </c>
      <c r="AB27" s="6">
        <v>0</v>
      </c>
      <c r="AC27" s="3">
        <f t="shared" si="35"/>
        <v>2455.8139534883721</v>
      </c>
      <c r="AD27" s="3">
        <v>42240</v>
      </c>
      <c r="AE27" s="6">
        <v>17.2</v>
      </c>
      <c r="AF27" s="3">
        <f t="shared" si="36"/>
        <v>2964.9074074074074</v>
      </c>
      <c r="AG27" s="3">
        <v>32021</v>
      </c>
      <c r="AH27" s="6">
        <v>10.8</v>
      </c>
      <c r="AI27" s="3">
        <f t="shared" si="37"/>
        <v>2869.782608695652</v>
      </c>
      <c r="AJ27" s="3">
        <v>39603</v>
      </c>
      <c r="AK27" s="6">
        <v>13.8</v>
      </c>
      <c r="AL27" s="3">
        <f t="shared" si="38"/>
        <v>2543.4</v>
      </c>
      <c r="AM27" s="3">
        <v>12717</v>
      </c>
      <c r="AN27" s="6">
        <v>5</v>
      </c>
      <c r="AO27" s="3">
        <f t="shared" si="25"/>
        <v>2658.9874739039665</v>
      </c>
      <c r="AP27" s="3">
        <f t="shared" si="26"/>
        <v>254731</v>
      </c>
      <c r="AQ27" s="6">
        <f t="shared" si="26"/>
        <v>95.8</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40</v>
      </c>
      <c r="B28" s="23"/>
      <c r="C28" s="23"/>
      <c r="D28" s="23"/>
      <c r="E28" s="3">
        <f t="shared" si="27"/>
        <v>2061.4285714285716</v>
      </c>
      <c r="F28" s="3">
        <v>4329</v>
      </c>
      <c r="G28" s="6">
        <v>2.1</v>
      </c>
      <c r="H28" s="3">
        <f t="shared" si="28"/>
        <v>1648.885135135135</v>
      </c>
      <c r="I28" s="3">
        <v>48807</v>
      </c>
      <c r="J28" s="6">
        <v>29.6</v>
      </c>
      <c r="K28" s="3">
        <f t="shared" si="29"/>
        <v>1969.5454545454547</v>
      </c>
      <c r="L28" s="3">
        <v>12999</v>
      </c>
      <c r="M28" s="6">
        <v>6.6</v>
      </c>
      <c r="N28" s="3">
        <f t="shared" si="30"/>
        <v>2174.1666666666665</v>
      </c>
      <c r="O28" s="3">
        <v>7827</v>
      </c>
      <c r="P28" s="6">
        <v>3.6</v>
      </c>
      <c r="Q28" s="3">
        <f t="shared" si="31"/>
        <v>1911.4285714285716</v>
      </c>
      <c r="R28" s="3">
        <v>17394</v>
      </c>
      <c r="S28" s="6">
        <v>9.1</v>
      </c>
      <c r="T28" s="3">
        <f t="shared" si="32"/>
        <v>1950.8955223880596</v>
      </c>
      <c r="U28" s="3">
        <v>13071</v>
      </c>
      <c r="V28" s="6">
        <v>6.7</v>
      </c>
      <c r="W28" s="3">
        <f t="shared" si="33"/>
        <v>1905.8947368421052</v>
      </c>
      <c r="X28" s="3">
        <v>18106</v>
      </c>
      <c r="Y28" s="6">
        <v>9.5</v>
      </c>
      <c r="Z28" s="3">
        <f t="shared" si="34"/>
        <v>1915.2380952380952</v>
      </c>
      <c r="AA28" s="3">
        <v>4022</v>
      </c>
      <c r="AB28" s="6">
        <v>2.1</v>
      </c>
      <c r="AC28" s="3">
        <f t="shared" si="35"/>
        <v>2101.6853932584268</v>
      </c>
      <c r="AD28" s="3">
        <v>18705</v>
      </c>
      <c r="AE28" s="6">
        <v>8.9</v>
      </c>
      <c r="AF28" s="3">
        <f t="shared" si="36"/>
        <v>1738.5142857142857</v>
      </c>
      <c r="AG28" s="3">
        <v>30424</v>
      </c>
      <c r="AH28" s="6">
        <v>17.5</v>
      </c>
      <c r="AI28" s="3">
        <f t="shared" si="37"/>
        <v>1655.6249999999998</v>
      </c>
      <c r="AJ28" s="3">
        <v>29139</v>
      </c>
      <c r="AK28" s="6">
        <v>17.600000000000001</v>
      </c>
      <c r="AL28" s="3">
        <f t="shared" si="38"/>
        <v>1348.953488372093</v>
      </c>
      <c r="AM28" s="3">
        <v>11601</v>
      </c>
      <c r="AN28" s="6">
        <v>8.6</v>
      </c>
      <c r="AO28" s="3">
        <f t="shared" si="25"/>
        <v>1775.422477440525</v>
      </c>
      <c r="AP28" s="3">
        <f t="shared" si="26"/>
        <v>216424</v>
      </c>
      <c r="AQ28" s="6">
        <f t="shared" si="26"/>
        <v>121.9</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60</v>
      </c>
      <c r="B29" s="23"/>
      <c r="C29" s="23"/>
      <c r="D29" s="23"/>
      <c r="E29" s="3" t="e">
        <f t="shared" si="27"/>
        <v>#DIV/0!</v>
      </c>
      <c r="F29" s="3">
        <v>0</v>
      </c>
      <c r="G29" s="6">
        <v>0</v>
      </c>
      <c r="H29" s="3" t="e">
        <f t="shared" si="28"/>
        <v>#DIV/0!</v>
      </c>
      <c r="I29" s="3">
        <v>0</v>
      </c>
      <c r="J29" s="6">
        <v>0</v>
      </c>
      <c r="K29" s="3" t="e">
        <f t="shared" si="29"/>
        <v>#DIV/0!</v>
      </c>
      <c r="L29" s="3">
        <v>0</v>
      </c>
      <c r="M29" s="6">
        <v>0</v>
      </c>
      <c r="N29" s="3" t="e">
        <f t="shared" si="30"/>
        <v>#DIV/0!</v>
      </c>
      <c r="O29" s="3">
        <v>0</v>
      </c>
      <c r="P29" s="6">
        <v>0</v>
      </c>
      <c r="Q29" s="3" t="e">
        <f t="shared" si="31"/>
        <v>#DIV/0!</v>
      </c>
      <c r="R29" s="3">
        <v>0</v>
      </c>
      <c r="S29" s="6">
        <v>0</v>
      </c>
      <c r="T29" s="3">
        <f t="shared" si="32"/>
        <v>3229.6875</v>
      </c>
      <c r="U29" s="3">
        <v>20670</v>
      </c>
      <c r="V29" s="6">
        <v>6.4</v>
      </c>
      <c r="W29" s="3" t="e">
        <f t="shared" si="33"/>
        <v>#DIV/0!</v>
      </c>
      <c r="X29" s="3">
        <v>0</v>
      </c>
      <c r="Y29" s="6">
        <v>0</v>
      </c>
      <c r="Z29" s="3">
        <f t="shared" si="34"/>
        <v>2677.8688524590166</v>
      </c>
      <c r="AA29" s="3">
        <v>16335</v>
      </c>
      <c r="AB29" s="6">
        <v>6.1</v>
      </c>
      <c r="AC29" s="3" t="e">
        <f t="shared" si="35"/>
        <v>#DIV/0!</v>
      </c>
      <c r="AD29" s="3">
        <v>0</v>
      </c>
      <c r="AE29" s="6">
        <v>0</v>
      </c>
      <c r="AF29" s="3" t="e">
        <f t="shared" si="36"/>
        <v>#DIV/0!</v>
      </c>
      <c r="AG29" s="3">
        <v>0</v>
      </c>
      <c r="AH29" s="6">
        <v>0</v>
      </c>
      <c r="AI29" s="3">
        <f t="shared" si="37"/>
        <v>2050.2272727272725</v>
      </c>
      <c r="AJ29" s="3">
        <v>9021</v>
      </c>
      <c r="AK29" s="6">
        <v>4.4000000000000004</v>
      </c>
      <c r="AL29" s="3">
        <f t="shared" si="38"/>
        <v>6499.2307692307686</v>
      </c>
      <c r="AM29" s="3">
        <v>8449</v>
      </c>
      <c r="AN29" s="6">
        <v>1.3</v>
      </c>
      <c r="AO29" s="3">
        <f t="shared" si="25"/>
        <v>2993.131868131868</v>
      </c>
      <c r="AP29" s="3">
        <f t="shared" si="26"/>
        <v>54475</v>
      </c>
      <c r="AQ29" s="6">
        <f t="shared" si="26"/>
        <v>18.2</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51</v>
      </c>
      <c r="B30" s="23"/>
      <c r="C30" s="23"/>
      <c r="D30" s="23"/>
      <c r="E30" s="3">
        <f t="shared" si="27"/>
        <v>1799.6943231441048</v>
      </c>
      <c r="F30" s="3">
        <v>41213</v>
      </c>
      <c r="G30" s="6">
        <v>22.9</v>
      </c>
      <c r="H30" s="3" t="e">
        <f t="shared" si="28"/>
        <v>#DIV/0!</v>
      </c>
      <c r="I30" s="3">
        <v>0</v>
      </c>
      <c r="J30" s="6">
        <v>0</v>
      </c>
      <c r="K30" s="3">
        <f t="shared" si="29"/>
        <v>1978.2532751091703</v>
      </c>
      <c r="L30" s="3">
        <v>45302</v>
      </c>
      <c r="M30" s="6">
        <v>22.9</v>
      </c>
      <c r="N30" s="3">
        <f t="shared" si="30"/>
        <v>1906.5938864628822</v>
      </c>
      <c r="O30" s="3">
        <v>43661</v>
      </c>
      <c r="P30" s="6">
        <v>22.9</v>
      </c>
      <c r="Q30" s="3">
        <f t="shared" si="31"/>
        <v>1871.3537117903932</v>
      </c>
      <c r="R30" s="3">
        <v>42854</v>
      </c>
      <c r="S30" s="6">
        <v>22.9</v>
      </c>
      <c r="T30" s="3" t="e">
        <f t="shared" si="32"/>
        <v>#DIV/0!</v>
      </c>
      <c r="U30" s="3">
        <v>0</v>
      </c>
      <c r="V30" s="6">
        <v>0</v>
      </c>
      <c r="W30" s="3" t="e">
        <f t="shared" si="33"/>
        <v>#DIV/0!</v>
      </c>
      <c r="X30" s="3">
        <v>0</v>
      </c>
      <c r="Y30" s="6">
        <v>0</v>
      </c>
      <c r="Z30" s="3">
        <f t="shared" si="34"/>
        <v>1877.64192139738</v>
      </c>
      <c r="AA30" s="3">
        <v>42998</v>
      </c>
      <c r="AB30" s="6">
        <v>22.9</v>
      </c>
      <c r="AC30" s="3" t="e">
        <f t="shared" si="35"/>
        <v>#DIV/0!</v>
      </c>
      <c r="AD30" s="3">
        <v>0</v>
      </c>
      <c r="AE30" s="6">
        <v>0</v>
      </c>
      <c r="AF30" s="3" t="e">
        <f t="shared" si="36"/>
        <v>#DIV/0!</v>
      </c>
      <c r="AG30" s="3">
        <v>0</v>
      </c>
      <c r="AH30" s="6">
        <v>0</v>
      </c>
      <c r="AI30" s="3" t="e">
        <f t="shared" si="37"/>
        <v>#DIV/0!</v>
      </c>
      <c r="AJ30" s="3">
        <v>0</v>
      </c>
      <c r="AK30" s="6">
        <v>0</v>
      </c>
      <c r="AL30" s="3">
        <f t="shared" si="38"/>
        <v>18102.5</v>
      </c>
      <c r="AM30" s="3">
        <v>7241</v>
      </c>
      <c r="AN30" s="6">
        <v>0.4</v>
      </c>
      <c r="AO30" s="3">
        <f t="shared" si="25"/>
        <v>1943.1592689295039</v>
      </c>
      <c r="AP30" s="3">
        <f t="shared" si="26"/>
        <v>223269</v>
      </c>
      <c r="AQ30" s="6">
        <f t="shared" si="26"/>
        <v>114.9</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7" t="s">
        <v>86</v>
      </c>
      <c r="B31" s="23"/>
      <c r="C31" s="23"/>
      <c r="D31" s="23"/>
      <c r="E31" s="3">
        <f t="shared" si="27"/>
        <v>1489.6551724137933</v>
      </c>
      <c r="F31" s="3">
        <v>4320</v>
      </c>
      <c r="G31" s="6">
        <v>2.9</v>
      </c>
      <c r="H31" s="3">
        <f t="shared" si="28"/>
        <v>1515.7894736842104</v>
      </c>
      <c r="I31" s="3">
        <v>54720</v>
      </c>
      <c r="J31" s="6">
        <v>36.1</v>
      </c>
      <c r="K31" s="3">
        <f t="shared" si="29"/>
        <v>1551.9125683060108</v>
      </c>
      <c r="L31" s="3">
        <v>28400</v>
      </c>
      <c r="M31" s="6">
        <v>18.3</v>
      </c>
      <c r="N31" s="3">
        <f t="shared" si="30"/>
        <v>1540</v>
      </c>
      <c r="O31" s="3">
        <v>4466</v>
      </c>
      <c r="P31" s="6">
        <v>2.9</v>
      </c>
      <c r="Q31" s="3" t="e">
        <f t="shared" si="31"/>
        <v>#DIV/0!</v>
      </c>
      <c r="R31" s="3">
        <v>0</v>
      </c>
      <c r="S31" s="6">
        <v>0</v>
      </c>
      <c r="T31" s="3" t="e">
        <f t="shared" si="32"/>
        <v>#DIV/0!</v>
      </c>
      <c r="U31" s="3">
        <v>0</v>
      </c>
      <c r="V31" s="6">
        <v>0</v>
      </c>
      <c r="W31" s="3">
        <f t="shared" si="33"/>
        <v>1550.5263157894738</v>
      </c>
      <c r="X31" s="3">
        <v>2946</v>
      </c>
      <c r="Y31" s="6">
        <v>1.9</v>
      </c>
      <c r="Z31" s="3">
        <f t="shared" si="34"/>
        <v>1783.1325301204818</v>
      </c>
      <c r="AA31" s="3">
        <v>29600</v>
      </c>
      <c r="AB31" s="6">
        <v>16.600000000000001</v>
      </c>
      <c r="AC31" s="3" t="e">
        <f t="shared" si="35"/>
        <v>#DIV/0!</v>
      </c>
      <c r="AD31" s="3">
        <v>0</v>
      </c>
      <c r="AE31" s="6">
        <v>0</v>
      </c>
      <c r="AF31" s="3">
        <f t="shared" si="36"/>
        <v>1681.9277108433735</v>
      </c>
      <c r="AG31" s="3">
        <v>27920</v>
      </c>
      <c r="AH31" s="6">
        <v>16.600000000000001</v>
      </c>
      <c r="AI31" s="3">
        <f t="shared" si="37"/>
        <v>1536.2068965517242</v>
      </c>
      <c r="AJ31" s="3">
        <v>4455</v>
      </c>
      <c r="AK31" s="6">
        <v>2.9</v>
      </c>
      <c r="AL31" s="3">
        <f t="shared" si="38"/>
        <v>1500</v>
      </c>
      <c r="AM31" s="3">
        <v>5700</v>
      </c>
      <c r="AN31" s="6">
        <v>3.8</v>
      </c>
      <c r="AO31" s="3">
        <f t="shared" si="25"/>
        <v>1593.401960784314</v>
      </c>
      <c r="AP31" s="3">
        <f t="shared" si="26"/>
        <v>162527</v>
      </c>
      <c r="AQ31" s="6">
        <f t="shared" si="26"/>
        <v>101.99999999999999</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7" t="s">
        <v>36</v>
      </c>
      <c r="B32" s="23"/>
      <c r="C32" s="23"/>
      <c r="D32" s="23"/>
      <c r="E32" s="3" t="e">
        <f t="shared" si="27"/>
        <v>#DIV/0!</v>
      </c>
      <c r="F32" s="3">
        <v>0</v>
      </c>
      <c r="G32" s="6">
        <v>0</v>
      </c>
      <c r="H32" s="3" t="e">
        <f t="shared" si="28"/>
        <v>#DIV/0!</v>
      </c>
      <c r="I32" s="3">
        <v>0</v>
      </c>
      <c r="J32" s="6">
        <v>0</v>
      </c>
      <c r="K32" s="3" t="e">
        <f t="shared" si="29"/>
        <v>#DIV/0!</v>
      </c>
      <c r="L32" s="3">
        <v>0</v>
      </c>
      <c r="M32" s="6">
        <v>0</v>
      </c>
      <c r="N32" s="3" t="e">
        <f t="shared" si="30"/>
        <v>#DIV/0!</v>
      </c>
      <c r="O32" s="3">
        <v>0</v>
      </c>
      <c r="P32" s="6">
        <v>0</v>
      </c>
      <c r="Q32" s="3" t="e">
        <f t="shared" si="31"/>
        <v>#DIV/0!</v>
      </c>
      <c r="R32" s="3">
        <v>0</v>
      </c>
      <c r="S32" s="6">
        <v>0</v>
      </c>
      <c r="T32" s="3">
        <f t="shared" si="32"/>
        <v>1684.772727272727</v>
      </c>
      <c r="U32" s="3">
        <v>7413</v>
      </c>
      <c r="V32" s="6">
        <v>4.4000000000000004</v>
      </c>
      <c r="W32" s="3" t="e">
        <f t="shared" si="33"/>
        <v>#DIV/0!</v>
      </c>
      <c r="X32" s="3">
        <v>0</v>
      </c>
      <c r="Y32" s="6">
        <v>0</v>
      </c>
      <c r="Z32" s="3" t="e">
        <f t="shared" si="34"/>
        <v>#DIV/0!</v>
      </c>
      <c r="AA32" s="3">
        <v>0</v>
      </c>
      <c r="AB32" s="6">
        <v>0</v>
      </c>
      <c r="AC32" s="3">
        <f t="shared" si="35"/>
        <v>2266.4976958525344</v>
      </c>
      <c r="AD32" s="3">
        <v>49183</v>
      </c>
      <c r="AE32" s="6">
        <v>21.7</v>
      </c>
      <c r="AF32" s="3">
        <f t="shared" si="36"/>
        <v>2378</v>
      </c>
      <c r="AG32" s="3">
        <v>21402</v>
      </c>
      <c r="AH32" s="6">
        <v>9</v>
      </c>
      <c r="AI32" s="3">
        <f t="shared" si="37"/>
        <v>2337.7477477477478</v>
      </c>
      <c r="AJ32" s="3">
        <v>25949</v>
      </c>
      <c r="AK32" s="6">
        <v>11.1</v>
      </c>
      <c r="AL32" s="3">
        <f t="shared" si="38"/>
        <v>2298.4210526315792</v>
      </c>
      <c r="AM32" s="3">
        <v>4367</v>
      </c>
      <c r="AN32" s="6">
        <v>1.9</v>
      </c>
      <c r="AO32" s="3">
        <f t="shared" si="25"/>
        <v>2251.8503118503118</v>
      </c>
      <c r="AP32" s="3">
        <f t="shared" si="26"/>
        <v>108314</v>
      </c>
      <c r="AQ32" s="6">
        <f t="shared" si="26"/>
        <v>48.1</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7" t="s">
        <v>18</v>
      </c>
      <c r="B33" s="23"/>
      <c r="C33" s="23"/>
      <c r="D33" s="23"/>
      <c r="E33" s="3">
        <f t="shared" si="27"/>
        <v>1587.2222222222222</v>
      </c>
      <c r="F33" s="3">
        <v>2857</v>
      </c>
      <c r="G33" s="6">
        <v>1.8</v>
      </c>
      <c r="H33" s="3">
        <f t="shared" si="28"/>
        <v>1863.3333333333333</v>
      </c>
      <c r="I33" s="3">
        <v>3354</v>
      </c>
      <c r="J33" s="6">
        <v>1.8</v>
      </c>
      <c r="K33" s="3" t="e">
        <f t="shared" si="29"/>
        <v>#DIV/0!</v>
      </c>
      <c r="L33" s="3">
        <v>0</v>
      </c>
      <c r="M33" s="6">
        <v>0</v>
      </c>
      <c r="N33" s="3" t="e">
        <f t="shared" si="30"/>
        <v>#DIV/0!</v>
      </c>
      <c r="O33" s="3">
        <v>0</v>
      </c>
      <c r="P33" s="6">
        <v>0</v>
      </c>
      <c r="Q33" s="3" t="e">
        <f t="shared" si="31"/>
        <v>#DIV/0!</v>
      </c>
      <c r="R33" s="3">
        <v>0</v>
      </c>
      <c r="S33" s="6">
        <v>0</v>
      </c>
      <c r="T33" s="3">
        <f t="shared" si="32"/>
        <v>2038.4615384615383</v>
      </c>
      <c r="U33" s="3">
        <v>2650</v>
      </c>
      <c r="V33" s="6">
        <v>1.3</v>
      </c>
      <c r="W33" s="3">
        <f t="shared" si="33"/>
        <v>5130</v>
      </c>
      <c r="X33" s="3">
        <v>3591</v>
      </c>
      <c r="Y33" s="6">
        <v>0.7</v>
      </c>
      <c r="Z33" s="3" t="e">
        <f t="shared" si="34"/>
        <v>#DIV/0!</v>
      </c>
      <c r="AA33" s="3">
        <v>0</v>
      </c>
      <c r="AB33" s="6">
        <v>0</v>
      </c>
      <c r="AC33" s="3">
        <f t="shared" si="35"/>
        <v>3334.2857142857147</v>
      </c>
      <c r="AD33" s="3">
        <v>4668</v>
      </c>
      <c r="AE33" s="6">
        <v>1.4</v>
      </c>
      <c r="AF33" s="3" t="e">
        <f t="shared" si="36"/>
        <v>#DIV/0!</v>
      </c>
      <c r="AG33" s="3">
        <v>0</v>
      </c>
      <c r="AH33" s="6">
        <v>0</v>
      </c>
      <c r="AI33" s="3">
        <f t="shared" si="37"/>
        <v>2612.0689655172414</v>
      </c>
      <c r="AJ33" s="3">
        <v>15150</v>
      </c>
      <c r="AK33" s="6">
        <v>5.8</v>
      </c>
      <c r="AL33" s="3">
        <f t="shared" si="38"/>
        <v>5538.5714285714294</v>
      </c>
      <c r="AM33" s="3">
        <v>3877</v>
      </c>
      <c r="AN33" s="6">
        <v>0.7</v>
      </c>
      <c r="AO33" s="3">
        <f t="shared" si="25"/>
        <v>2677.5555555555557</v>
      </c>
      <c r="AP33" s="3">
        <f t="shared" si="26"/>
        <v>36147</v>
      </c>
      <c r="AQ33" s="6">
        <f t="shared" si="26"/>
        <v>13.5</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7" t="s">
        <v>85</v>
      </c>
      <c r="B34" s="23"/>
      <c r="C34" s="23"/>
      <c r="D34" s="23"/>
      <c r="E34" s="3" t="e">
        <f t="shared" si="27"/>
        <v>#DIV/0!</v>
      </c>
      <c r="F34" s="3">
        <v>0</v>
      </c>
      <c r="G34" s="6">
        <v>0</v>
      </c>
      <c r="H34" s="3" t="e">
        <f t="shared" si="28"/>
        <v>#DIV/0!</v>
      </c>
      <c r="I34" s="3">
        <v>0</v>
      </c>
      <c r="J34" s="6">
        <v>0</v>
      </c>
      <c r="K34" s="3" t="e">
        <f t="shared" si="29"/>
        <v>#DIV/0!</v>
      </c>
      <c r="L34" s="3">
        <v>0</v>
      </c>
      <c r="M34" s="6">
        <v>0</v>
      </c>
      <c r="N34" s="3" t="e">
        <f t="shared" si="30"/>
        <v>#DIV/0!</v>
      </c>
      <c r="O34" s="3">
        <v>0</v>
      </c>
      <c r="P34" s="6">
        <v>0</v>
      </c>
      <c r="Q34" s="3">
        <f t="shared" si="31"/>
        <v>2086.6666666666665</v>
      </c>
      <c r="R34" s="3">
        <v>3130</v>
      </c>
      <c r="S34" s="6">
        <v>1.5</v>
      </c>
      <c r="T34" s="3" t="e">
        <f t="shared" si="32"/>
        <v>#DIV/0!</v>
      </c>
      <c r="U34" s="3">
        <v>0</v>
      </c>
      <c r="V34" s="6">
        <v>0</v>
      </c>
      <c r="W34" s="3" t="e">
        <f t="shared" si="33"/>
        <v>#DIV/0!</v>
      </c>
      <c r="X34" s="3">
        <v>0</v>
      </c>
      <c r="Y34" s="6">
        <v>0</v>
      </c>
      <c r="Z34" s="3" t="e">
        <f t="shared" si="34"/>
        <v>#DIV/0!</v>
      </c>
      <c r="AA34" s="3">
        <v>0</v>
      </c>
      <c r="AB34" s="6">
        <v>0</v>
      </c>
      <c r="AC34" s="3" t="e">
        <f t="shared" si="35"/>
        <v>#DIV/0!</v>
      </c>
      <c r="AD34" s="3">
        <v>0</v>
      </c>
      <c r="AE34" s="6">
        <v>0</v>
      </c>
      <c r="AF34" s="3" t="e">
        <f t="shared" si="36"/>
        <v>#DIV/0!</v>
      </c>
      <c r="AG34" s="3">
        <v>0</v>
      </c>
      <c r="AH34" s="6">
        <v>0</v>
      </c>
      <c r="AI34" s="3" t="e">
        <f t="shared" si="37"/>
        <v>#DIV/0!</v>
      </c>
      <c r="AJ34" s="3">
        <v>0</v>
      </c>
      <c r="AK34" s="6">
        <v>0</v>
      </c>
      <c r="AL34" s="3">
        <f t="shared" si="38"/>
        <v>2318</v>
      </c>
      <c r="AM34" s="3">
        <v>3477</v>
      </c>
      <c r="AN34" s="6">
        <v>1.5</v>
      </c>
      <c r="AO34" s="3">
        <f t="shared" si="25"/>
        <v>2202.3333333333335</v>
      </c>
      <c r="AP34" s="3">
        <f t="shared" si="26"/>
        <v>6607</v>
      </c>
      <c r="AQ34" s="6">
        <f t="shared" si="26"/>
        <v>3</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7" t="s">
        <v>62</v>
      </c>
      <c r="B35" s="23"/>
      <c r="C35" s="23"/>
      <c r="D35" s="23"/>
      <c r="E35" s="3" t="e">
        <f t="shared" si="27"/>
        <v>#DIV/0!</v>
      </c>
      <c r="F35" s="3">
        <v>0</v>
      </c>
      <c r="G35" s="6">
        <v>0</v>
      </c>
      <c r="H35" s="3">
        <f t="shared" si="28"/>
        <v>5830.666666666667</v>
      </c>
      <c r="I35" s="3">
        <v>8746</v>
      </c>
      <c r="J35" s="6">
        <v>1.5</v>
      </c>
      <c r="K35" s="3">
        <f t="shared" si="29"/>
        <v>2101.9607843137255</v>
      </c>
      <c r="L35" s="3">
        <v>32160</v>
      </c>
      <c r="M35" s="6">
        <v>15.3</v>
      </c>
      <c r="N35" s="3">
        <f t="shared" si="30"/>
        <v>2153.0769230769229</v>
      </c>
      <c r="O35" s="3">
        <v>2799</v>
      </c>
      <c r="P35" s="6">
        <v>1.3</v>
      </c>
      <c r="Q35" s="3">
        <f t="shared" si="31"/>
        <v>1597.2222222222222</v>
      </c>
      <c r="R35" s="3">
        <v>5750</v>
      </c>
      <c r="S35" s="6">
        <v>3.6</v>
      </c>
      <c r="T35" s="3">
        <f t="shared" si="32"/>
        <v>2208.0487804878053</v>
      </c>
      <c r="U35" s="3">
        <v>9053</v>
      </c>
      <c r="V35" s="6">
        <v>4.0999999999999996</v>
      </c>
      <c r="W35" s="3">
        <f t="shared" si="33"/>
        <v>2261.739130434783</v>
      </c>
      <c r="X35" s="3">
        <v>5202</v>
      </c>
      <c r="Y35" s="6">
        <v>2.2999999999999998</v>
      </c>
      <c r="Z35" s="3" t="e">
        <f t="shared" si="34"/>
        <v>#DIV/0!</v>
      </c>
      <c r="AA35" s="3">
        <v>0</v>
      </c>
      <c r="AB35" s="6">
        <v>0</v>
      </c>
      <c r="AC35" s="3" t="e">
        <f t="shared" si="35"/>
        <v>#DIV/0!</v>
      </c>
      <c r="AD35" s="3">
        <v>0</v>
      </c>
      <c r="AE35" s="6">
        <v>0</v>
      </c>
      <c r="AF35" s="3">
        <f t="shared" si="36"/>
        <v>2288.5106382978724</v>
      </c>
      <c r="AG35" s="3">
        <v>10756</v>
      </c>
      <c r="AH35" s="6">
        <v>4.7</v>
      </c>
      <c r="AI35" s="3">
        <f t="shared" si="37"/>
        <v>2407.272727272727</v>
      </c>
      <c r="AJ35" s="3">
        <v>10592</v>
      </c>
      <c r="AK35" s="6">
        <v>4.4000000000000004</v>
      </c>
      <c r="AL35" s="3">
        <f t="shared" si="38"/>
        <v>2726.363636363636</v>
      </c>
      <c r="AM35" s="3">
        <v>2999</v>
      </c>
      <c r="AN35" s="6">
        <v>1.1000000000000001</v>
      </c>
      <c r="AO35" s="3">
        <f t="shared" si="25"/>
        <v>2299.138381201044</v>
      </c>
      <c r="AP35" s="3">
        <f t="shared" si="26"/>
        <v>88057</v>
      </c>
      <c r="AQ35" s="6">
        <f t="shared" si="26"/>
        <v>38.300000000000004</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7" t="s">
        <v>80</v>
      </c>
      <c r="B36" s="23"/>
      <c r="C36" s="23"/>
      <c r="D36" s="23"/>
      <c r="E36" s="3">
        <f t="shared" si="27"/>
        <v>1292.876</v>
      </c>
      <c r="F36" s="3">
        <v>646438</v>
      </c>
      <c r="G36" s="6">
        <v>500</v>
      </c>
      <c r="H36" s="3" t="e">
        <f t="shared" si="28"/>
        <v>#DIV/0!</v>
      </c>
      <c r="I36" s="3">
        <v>0</v>
      </c>
      <c r="J36" s="6">
        <v>0</v>
      </c>
      <c r="K36" s="3">
        <f t="shared" si="29"/>
        <v>1590.8474025974026</v>
      </c>
      <c r="L36" s="3">
        <v>2449905</v>
      </c>
      <c r="M36" s="6">
        <v>1540</v>
      </c>
      <c r="N36" s="3">
        <f t="shared" si="30"/>
        <v>1813.2177828604104</v>
      </c>
      <c r="O36" s="3">
        <v>2536873</v>
      </c>
      <c r="P36" s="6">
        <v>1399.1</v>
      </c>
      <c r="Q36" s="3" t="e">
        <f t="shared" si="31"/>
        <v>#DIV/0!</v>
      </c>
      <c r="R36" s="3">
        <v>0</v>
      </c>
      <c r="S36" s="6">
        <v>0</v>
      </c>
      <c r="T36" s="3" t="e">
        <f t="shared" si="32"/>
        <v>#DIV/0!</v>
      </c>
      <c r="U36" s="3">
        <v>0</v>
      </c>
      <c r="V36" s="6">
        <v>0</v>
      </c>
      <c r="W36" s="3" t="e">
        <f t="shared" si="33"/>
        <v>#DIV/0!</v>
      </c>
      <c r="X36" s="3">
        <v>0</v>
      </c>
      <c r="Y36" s="6">
        <v>0</v>
      </c>
      <c r="Z36" s="3" t="e">
        <f t="shared" si="34"/>
        <v>#DIV/0!</v>
      </c>
      <c r="AA36" s="3">
        <v>0</v>
      </c>
      <c r="AB36" s="6">
        <v>0</v>
      </c>
      <c r="AC36" s="3" t="e">
        <f t="shared" si="35"/>
        <v>#DIV/0!</v>
      </c>
      <c r="AD36" s="3">
        <v>0</v>
      </c>
      <c r="AE36" s="6">
        <v>0</v>
      </c>
      <c r="AF36" s="3" t="e">
        <f t="shared" si="36"/>
        <v>#DIV/0!</v>
      </c>
      <c r="AG36" s="3">
        <v>0</v>
      </c>
      <c r="AH36" s="6">
        <v>0</v>
      </c>
      <c r="AI36" s="3" t="e">
        <f t="shared" si="37"/>
        <v>#DIV/0!</v>
      </c>
      <c r="AJ36" s="3">
        <v>0</v>
      </c>
      <c r="AK36" s="6">
        <v>0</v>
      </c>
      <c r="AL36" s="3" t="e">
        <f t="shared" si="38"/>
        <v>#DIV/0!</v>
      </c>
      <c r="AM36" s="3">
        <v>0</v>
      </c>
      <c r="AN36" s="6">
        <v>0</v>
      </c>
      <c r="AO36" s="3">
        <f t="shared" si="25"/>
        <v>1637.9913349422814</v>
      </c>
      <c r="AP36" s="3">
        <f t="shared" si="26"/>
        <v>5633216</v>
      </c>
      <c r="AQ36" s="6">
        <f t="shared" si="26"/>
        <v>3439.1</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7" t="s">
        <v>48</v>
      </c>
      <c r="B37" s="23"/>
      <c r="C37" s="23"/>
      <c r="D37" s="23"/>
      <c r="E37" s="3" t="e">
        <f t="shared" si="27"/>
        <v>#DIV/0!</v>
      </c>
      <c r="F37" s="3">
        <v>0</v>
      </c>
      <c r="G37" s="6">
        <v>0</v>
      </c>
      <c r="H37" s="3" t="e">
        <f t="shared" si="28"/>
        <v>#DIV/0!</v>
      </c>
      <c r="I37" s="3">
        <v>0</v>
      </c>
      <c r="J37" s="6">
        <v>0</v>
      </c>
      <c r="K37" s="3">
        <f t="shared" si="29"/>
        <v>1641.6</v>
      </c>
      <c r="L37" s="3">
        <v>4104</v>
      </c>
      <c r="M37" s="6">
        <v>2.5</v>
      </c>
      <c r="N37" s="3" t="e">
        <f t="shared" si="30"/>
        <v>#DIV/0!</v>
      </c>
      <c r="O37" s="3">
        <v>0</v>
      </c>
      <c r="P37" s="6">
        <v>0</v>
      </c>
      <c r="Q37" s="3" t="e">
        <f t="shared" si="31"/>
        <v>#DIV/0!</v>
      </c>
      <c r="R37" s="3">
        <v>0</v>
      </c>
      <c r="S37" s="6">
        <v>0</v>
      </c>
      <c r="T37" s="3" t="e">
        <f t="shared" si="32"/>
        <v>#DIV/0!</v>
      </c>
      <c r="U37" s="3">
        <v>0</v>
      </c>
      <c r="V37" s="6">
        <v>0</v>
      </c>
      <c r="W37" s="3">
        <f t="shared" si="33"/>
        <v>1901.875</v>
      </c>
      <c r="X37" s="3">
        <v>3043</v>
      </c>
      <c r="Y37" s="6">
        <v>1.6</v>
      </c>
      <c r="Z37" s="3" t="e">
        <f t="shared" si="34"/>
        <v>#DIV/0!</v>
      </c>
      <c r="AA37" s="3">
        <v>0</v>
      </c>
      <c r="AB37" s="6">
        <v>0</v>
      </c>
      <c r="AC37" s="3" t="e">
        <f t="shared" si="35"/>
        <v>#DIV/0!</v>
      </c>
      <c r="AD37" s="3">
        <v>0</v>
      </c>
      <c r="AE37" s="6">
        <v>0</v>
      </c>
      <c r="AF37" s="3">
        <f t="shared" si="36"/>
        <v>1920</v>
      </c>
      <c r="AG37" s="3">
        <v>3072</v>
      </c>
      <c r="AH37" s="6">
        <v>1.6</v>
      </c>
      <c r="AI37" s="3" t="e">
        <f t="shared" si="37"/>
        <v>#DIV/0!</v>
      </c>
      <c r="AJ37" s="3">
        <v>0</v>
      </c>
      <c r="AK37" s="6">
        <v>0</v>
      </c>
      <c r="AL37" s="3" t="e">
        <f t="shared" si="38"/>
        <v>#DIV/0!</v>
      </c>
      <c r="AM37" s="3">
        <v>0</v>
      </c>
      <c r="AN37" s="6">
        <v>0</v>
      </c>
      <c r="AO37" s="3">
        <f t="shared" si="25"/>
        <v>1792.80701754386</v>
      </c>
      <c r="AP37" s="3">
        <f t="shared" si="26"/>
        <v>10219</v>
      </c>
      <c r="AQ37" s="6">
        <f t="shared" si="26"/>
        <v>5.6999999999999993</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7" t="s">
        <v>64</v>
      </c>
      <c r="B38" s="23"/>
      <c r="C38" s="23"/>
      <c r="D38" s="23"/>
      <c r="E38" s="3" t="e">
        <f t="shared" si="27"/>
        <v>#DIV/0!</v>
      </c>
      <c r="F38" s="3">
        <v>0</v>
      </c>
      <c r="G38" s="6">
        <v>0</v>
      </c>
      <c r="H38" s="3" t="e">
        <f t="shared" si="28"/>
        <v>#DIV/0!</v>
      </c>
      <c r="I38" s="3">
        <v>0</v>
      </c>
      <c r="J38" s="6">
        <v>0</v>
      </c>
      <c r="K38" s="3">
        <f t="shared" si="29"/>
        <v>1591.0424657534247</v>
      </c>
      <c r="L38" s="3">
        <v>1161461</v>
      </c>
      <c r="M38" s="6">
        <v>730</v>
      </c>
      <c r="N38" s="3" t="e">
        <f t="shared" si="30"/>
        <v>#DIV/0!</v>
      </c>
      <c r="O38" s="3">
        <v>0</v>
      </c>
      <c r="P38" s="6">
        <v>0</v>
      </c>
      <c r="Q38" s="3">
        <f t="shared" si="31"/>
        <v>1586.6447368421052</v>
      </c>
      <c r="R38" s="3">
        <v>602925</v>
      </c>
      <c r="S38" s="6">
        <v>380</v>
      </c>
      <c r="T38" s="3" t="e">
        <f t="shared" si="32"/>
        <v>#DIV/0!</v>
      </c>
      <c r="U38" s="3">
        <v>0</v>
      </c>
      <c r="V38" s="6">
        <v>0</v>
      </c>
      <c r="W38" s="3">
        <f t="shared" si="33"/>
        <v>1602.4256</v>
      </c>
      <c r="X38" s="3">
        <v>2003032</v>
      </c>
      <c r="Y38" s="6">
        <v>1250</v>
      </c>
      <c r="Z38" s="3" t="e">
        <f t="shared" si="34"/>
        <v>#DIV/0!</v>
      </c>
      <c r="AA38" s="3">
        <v>0</v>
      </c>
      <c r="AB38" s="6">
        <v>0</v>
      </c>
      <c r="AC38" s="3">
        <f t="shared" si="35"/>
        <v>1983.1780708985987</v>
      </c>
      <c r="AD38" s="3">
        <v>481119</v>
      </c>
      <c r="AE38" s="6">
        <v>242.6</v>
      </c>
      <c r="AF38" s="3">
        <f t="shared" si="36"/>
        <v>2060</v>
      </c>
      <c r="AG38" s="3">
        <v>16274</v>
      </c>
      <c r="AH38" s="6">
        <v>7.9</v>
      </c>
      <c r="AI38" s="3">
        <f t="shared" si="37"/>
        <v>1778.5315343583309</v>
      </c>
      <c r="AJ38" s="3">
        <v>566818</v>
      </c>
      <c r="AK38" s="6">
        <v>318.7</v>
      </c>
      <c r="AL38" s="3" t="e">
        <f t="shared" si="38"/>
        <v>#DIV/0!</v>
      </c>
      <c r="AM38" s="3">
        <v>0</v>
      </c>
      <c r="AN38" s="6">
        <v>0</v>
      </c>
      <c r="AO38" s="3">
        <f t="shared" si="25"/>
        <v>1649.4705038918478</v>
      </c>
      <c r="AP38" s="3">
        <f t="shared" si="26"/>
        <v>4831629</v>
      </c>
      <c r="AQ38" s="6">
        <f t="shared" si="26"/>
        <v>2929.2</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7" t="s">
        <v>28</v>
      </c>
      <c r="B39" s="23"/>
      <c r="C39" s="23"/>
      <c r="D39" s="23"/>
      <c r="E39" s="3" t="e">
        <f t="shared" si="27"/>
        <v>#DIV/0!</v>
      </c>
      <c r="F39" s="3">
        <v>0</v>
      </c>
      <c r="G39" s="6">
        <v>0</v>
      </c>
      <c r="H39" s="3" t="e">
        <f t="shared" si="28"/>
        <v>#DIV/0!</v>
      </c>
      <c r="I39" s="3">
        <v>0</v>
      </c>
      <c r="J39" s="6">
        <v>0</v>
      </c>
      <c r="K39" s="3">
        <f t="shared" si="29"/>
        <v>1585.4022988505749</v>
      </c>
      <c r="L39" s="3">
        <v>55172</v>
      </c>
      <c r="M39" s="6">
        <v>34.799999999999997</v>
      </c>
      <c r="N39" s="3">
        <f t="shared" si="30"/>
        <v>3578.913043478261</v>
      </c>
      <c r="O39" s="3">
        <v>32926</v>
      </c>
      <c r="P39" s="6">
        <v>9.1999999999999993</v>
      </c>
      <c r="Q39" s="3">
        <f t="shared" si="31"/>
        <v>2413.5483870967741</v>
      </c>
      <c r="R39" s="3">
        <v>37410</v>
      </c>
      <c r="S39" s="6">
        <v>15.5</v>
      </c>
      <c r="T39" s="3">
        <f t="shared" si="32"/>
        <v>1637.5</v>
      </c>
      <c r="U39" s="3">
        <v>52400</v>
      </c>
      <c r="V39" s="6">
        <v>32</v>
      </c>
      <c r="W39" s="3" t="e">
        <f t="shared" si="33"/>
        <v>#DIV/0!</v>
      </c>
      <c r="X39" s="3">
        <v>0</v>
      </c>
      <c r="Y39" s="6">
        <v>0</v>
      </c>
      <c r="Z39" s="3">
        <f t="shared" si="34"/>
        <v>1684.2564102564102</v>
      </c>
      <c r="AA39" s="3">
        <v>32843</v>
      </c>
      <c r="AB39" s="6">
        <v>19.5</v>
      </c>
      <c r="AC39" s="3">
        <f t="shared" si="35"/>
        <v>1671.875</v>
      </c>
      <c r="AD39" s="3">
        <v>2675</v>
      </c>
      <c r="AE39" s="6">
        <v>1.6</v>
      </c>
      <c r="AF39" s="3">
        <f t="shared" si="36"/>
        <v>1603.0038022813687</v>
      </c>
      <c r="AG39" s="3">
        <v>42159</v>
      </c>
      <c r="AH39" s="6">
        <v>26.3</v>
      </c>
      <c r="AI39" s="3">
        <f t="shared" si="37"/>
        <v>2075.625</v>
      </c>
      <c r="AJ39" s="3">
        <v>6642</v>
      </c>
      <c r="AK39" s="6">
        <v>3.2</v>
      </c>
      <c r="AL39" s="3" t="e">
        <f t="shared" si="38"/>
        <v>#DIV/0!</v>
      </c>
      <c r="AM39" s="3">
        <v>0</v>
      </c>
      <c r="AN39" s="6">
        <v>0</v>
      </c>
      <c r="AO39" s="3">
        <f t="shared" si="25"/>
        <v>1845.3694581280788</v>
      </c>
      <c r="AP39" s="3">
        <f t="shared" si="26"/>
        <v>262227</v>
      </c>
      <c r="AQ39" s="6">
        <f t="shared" si="26"/>
        <v>142.1</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7" t="s">
        <v>89</v>
      </c>
      <c r="B40" s="23"/>
      <c r="C40" s="23"/>
      <c r="D40" s="23"/>
      <c r="E40" s="3" t="e">
        <f t="shared" si="27"/>
        <v>#DIV/0!</v>
      </c>
      <c r="F40" s="3">
        <v>0</v>
      </c>
      <c r="G40" s="6">
        <v>0</v>
      </c>
      <c r="H40" s="3" t="e">
        <f t="shared" si="28"/>
        <v>#DIV/0!</v>
      </c>
      <c r="I40" s="3">
        <v>0</v>
      </c>
      <c r="J40" s="6">
        <v>0</v>
      </c>
      <c r="K40" s="3" t="e">
        <f t="shared" si="29"/>
        <v>#DIV/0!</v>
      </c>
      <c r="L40" s="3">
        <v>0</v>
      </c>
      <c r="M40" s="6">
        <v>0</v>
      </c>
      <c r="N40" s="3" t="e">
        <f t="shared" si="30"/>
        <v>#DIV/0!</v>
      </c>
      <c r="O40" s="3">
        <v>0</v>
      </c>
      <c r="P40" s="6">
        <v>0</v>
      </c>
      <c r="Q40" s="3" t="e">
        <f t="shared" si="31"/>
        <v>#DIV/0!</v>
      </c>
      <c r="R40" s="3">
        <v>0</v>
      </c>
      <c r="S40" s="6">
        <v>0</v>
      </c>
      <c r="T40" s="3" t="e">
        <f t="shared" si="32"/>
        <v>#DIV/0!</v>
      </c>
      <c r="U40" s="3">
        <v>0</v>
      </c>
      <c r="V40" s="6">
        <v>0</v>
      </c>
      <c r="W40" s="3" t="e">
        <f t="shared" si="33"/>
        <v>#DIV/0!</v>
      </c>
      <c r="X40" s="3">
        <v>0</v>
      </c>
      <c r="Y40" s="6">
        <v>0</v>
      </c>
      <c r="Z40" s="3" t="e">
        <f t="shared" si="34"/>
        <v>#DIV/0!</v>
      </c>
      <c r="AA40" s="3">
        <v>0</v>
      </c>
      <c r="AB40" s="6">
        <v>0</v>
      </c>
      <c r="AC40" s="3" t="e">
        <f t="shared" si="35"/>
        <v>#DIV/0!</v>
      </c>
      <c r="AD40" s="3">
        <v>0</v>
      </c>
      <c r="AE40" s="6">
        <v>0</v>
      </c>
      <c r="AF40" s="3">
        <f t="shared" si="36"/>
        <v>1118.6386946386947</v>
      </c>
      <c r="AG40" s="3">
        <v>239948</v>
      </c>
      <c r="AH40" s="6">
        <v>214.5</v>
      </c>
      <c r="AI40" s="3" t="e">
        <f t="shared" si="37"/>
        <v>#DIV/0!</v>
      </c>
      <c r="AJ40" s="3">
        <v>0</v>
      </c>
      <c r="AK40" s="6">
        <v>0</v>
      </c>
      <c r="AL40" s="3" t="e">
        <f t="shared" si="38"/>
        <v>#DIV/0!</v>
      </c>
      <c r="AM40" s="3">
        <v>0</v>
      </c>
      <c r="AN40" s="6">
        <v>0</v>
      </c>
      <c r="AO40" s="3">
        <f t="shared" si="25"/>
        <v>1118.6386946386947</v>
      </c>
      <c r="AP40" s="3">
        <f t="shared" si="26"/>
        <v>239948</v>
      </c>
      <c r="AQ40" s="6">
        <f t="shared" si="26"/>
        <v>214.5</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7" t="s">
        <v>65</v>
      </c>
      <c r="B41" s="23"/>
      <c r="C41" s="23"/>
      <c r="D41" s="23"/>
      <c r="E41" s="3" t="e">
        <f t="shared" si="27"/>
        <v>#DIV/0!</v>
      </c>
      <c r="F41" s="3">
        <v>0</v>
      </c>
      <c r="G41" s="6">
        <v>0</v>
      </c>
      <c r="H41" s="3" t="e">
        <f t="shared" si="28"/>
        <v>#DIV/0!</v>
      </c>
      <c r="I41" s="3">
        <v>0</v>
      </c>
      <c r="J41" s="6">
        <v>0</v>
      </c>
      <c r="K41" s="3" t="e">
        <f t="shared" si="29"/>
        <v>#DIV/0!</v>
      </c>
      <c r="L41" s="3">
        <v>0</v>
      </c>
      <c r="M41" s="6">
        <v>0</v>
      </c>
      <c r="N41" s="3" t="e">
        <f t="shared" si="30"/>
        <v>#DIV/0!</v>
      </c>
      <c r="O41" s="3">
        <v>0</v>
      </c>
      <c r="P41" s="6">
        <v>0</v>
      </c>
      <c r="Q41" s="3" t="e">
        <f t="shared" si="31"/>
        <v>#DIV/0!</v>
      </c>
      <c r="R41" s="3">
        <v>0</v>
      </c>
      <c r="S41" s="6">
        <v>0</v>
      </c>
      <c r="T41" s="3" t="e">
        <f t="shared" si="32"/>
        <v>#DIV/0!</v>
      </c>
      <c r="U41" s="3">
        <v>0</v>
      </c>
      <c r="V41" s="6">
        <v>0</v>
      </c>
      <c r="W41" s="3" t="e">
        <f t="shared" si="33"/>
        <v>#DIV/0!</v>
      </c>
      <c r="X41" s="3">
        <v>0</v>
      </c>
      <c r="Y41" s="6">
        <v>0</v>
      </c>
      <c r="Z41" s="3" t="e">
        <f t="shared" si="34"/>
        <v>#DIV/0!</v>
      </c>
      <c r="AA41" s="3">
        <v>0</v>
      </c>
      <c r="AB41" s="6">
        <v>0</v>
      </c>
      <c r="AC41" s="3">
        <f t="shared" si="35"/>
        <v>7410</v>
      </c>
      <c r="AD41" s="3">
        <v>2964</v>
      </c>
      <c r="AE41" s="6">
        <v>0.4</v>
      </c>
      <c r="AF41" s="3" t="e">
        <f t="shared" si="36"/>
        <v>#DIV/0!</v>
      </c>
      <c r="AG41" s="3">
        <v>0</v>
      </c>
      <c r="AH41" s="6">
        <v>0</v>
      </c>
      <c r="AI41" s="3" t="e">
        <f t="shared" si="37"/>
        <v>#DIV/0!</v>
      </c>
      <c r="AJ41" s="3">
        <v>0</v>
      </c>
      <c r="AK41" s="6">
        <v>0</v>
      </c>
      <c r="AL41" s="3" t="e">
        <f t="shared" si="38"/>
        <v>#DIV/0!</v>
      </c>
      <c r="AM41" s="3">
        <v>0</v>
      </c>
      <c r="AN41" s="6">
        <v>0</v>
      </c>
      <c r="AO41" s="3">
        <f t="shared" si="25"/>
        <v>7410</v>
      </c>
      <c r="AP41" s="3">
        <f t="shared" si="26"/>
        <v>2964</v>
      </c>
      <c r="AQ41" s="6">
        <f t="shared" si="26"/>
        <v>0.4</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7" t="s">
        <v>66</v>
      </c>
      <c r="B42" s="23"/>
      <c r="C42" s="23"/>
      <c r="D42" s="23"/>
      <c r="E42" s="3" t="e">
        <f t="shared" si="27"/>
        <v>#DIV/0!</v>
      </c>
      <c r="F42" s="3">
        <v>0</v>
      </c>
      <c r="G42" s="6">
        <v>0</v>
      </c>
      <c r="H42" s="3" t="e">
        <f t="shared" si="28"/>
        <v>#DIV/0!</v>
      </c>
      <c r="I42" s="3">
        <v>0</v>
      </c>
      <c r="J42" s="6">
        <v>0</v>
      </c>
      <c r="K42" s="3" t="e">
        <f t="shared" si="29"/>
        <v>#DIV/0!</v>
      </c>
      <c r="L42" s="3">
        <v>0</v>
      </c>
      <c r="M42" s="6">
        <v>0</v>
      </c>
      <c r="N42" s="3" t="e">
        <f t="shared" si="30"/>
        <v>#DIV/0!</v>
      </c>
      <c r="O42" s="3">
        <v>0</v>
      </c>
      <c r="P42" s="6">
        <v>0</v>
      </c>
      <c r="Q42" s="3">
        <f t="shared" si="31"/>
        <v>2183.75</v>
      </c>
      <c r="R42" s="3">
        <v>5241</v>
      </c>
      <c r="S42" s="6">
        <v>2.4</v>
      </c>
      <c r="T42" s="3">
        <f t="shared" si="32"/>
        <v>2083.333333333333</v>
      </c>
      <c r="U42" s="3">
        <v>5625</v>
      </c>
      <c r="V42" s="6">
        <v>2.7</v>
      </c>
      <c r="W42" s="3" t="e">
        <f t="shared" si="33"/>
        <v>#DIV/0!</v>
      </c>
      <c r="X42" s="3">
        <v>0</v>
      </c>
      <c r="Y42" s="6">
        <v>0</v>
      </c>
      <c r="Z42" s="3" t="e">
        <f t="shared" si="34"/>
        <v>#DIV/0!</v>
      </c>
      <c r="AA42" s="3">
        <v>0</v>
      </c>
      <c r="AB42" s="6">
        <v>0</v>
      </c>
      <c r="AC42" s="3">
        <f t="shared" si="35"/>
        <v>2093.3333333333335</v>
      </c>
      <c r="AD42" s="3">
        <v>2512</v>
      </c>
      <c r="AE42" s="6">
        <v>1.2</v>
      </c>
      <c r="AF42" s="3">
        <f t="shared" si="36"/>
        <v>2380</v>
      </c>
      <c r="AG42" s="3">
        <v>4046</v>
      </c>
      <c r="AH42" s="6">
        <v>1.7</v>
      </c>
      <c r="AI42" s="3" t="e">
        <f t="shared" si="37"/>
        <v>#DIV/0!</v>
      </c>
      <c r="AJ42" s="3">
        <v>0</v>
      </c>
      <c r="AK42" s="6">
        <v>0</v>
      </c>
      <c r="AL42" s="3" t="e">
        <f t="shared" si="38"/>
        <v>#DIV/0!</v>
      </c>
      <c r="AM42" s="3">
        <v>0</v>
      </c>
      <c r="AN42" s="6">
        <v>0</v>
      </c>
      <c r="AO42" s="3">
        <f t="shared" si="25"/>
        <v>2178</v>
      </c>
      <c r="AP42" s="3">
        <f t="shared" si="26"/>
        <v>17424</v>
      </c>
      <c r="AQ42" s="6">
        <f t="shared" si="26"/>
        <v>8</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7" t="s">
        <v>29</v>
      </c>
      <c r="B43" s="23"/>
      <c r="C43" s="23"/>
      <c r="D43" s="23"/>
      <c r="E43" s="3">
        <f t="shared" si="27"/>
        <v>1623.6459114778693</v>
      </c>
      <c r="F43" s="3">
        <v>216432</v>
      </c>
      <c r="G43" s="6">
        <v>133.30000000000001</v>
      </c>
      <c r="H43" s="3">
        <f t="shared" si="28"/>
        <v>1675.7191780821918</v>
      </c>
      <c r="I43" s="3">
        <v>48931</v>
      </c>
      <c r="J43" s="6">
        <v>29.2</v>
      </c>
      <c r="K43" s="3" t="e">
        <f t="shared" si="29"/>
        <v>#DIV/0!</v>
      </c>
      <c r="L43" s="3">
        <v>0</v>
      </c>
      <c r="M43" s="6">
        <v>0</v>
      </c>
      <c r="N43" s="3">
        <f t="shared" si="30"/>
        <v>2338.0297397769518</v>
      </c>
      <c r="O43" s="3">
        <v>125786</v>
      </c>
      <c r="P43" s="6">
        <v>53.8</v>
      </c>
      <c r="Q43" s="3">
        <f t="shared" si="31"/>
        <v>1796.832740213523</v>
      </c>
      <c r="R43" s="3">
        <v>50491</v>
      </c>
      <c r="S43" s="6">
        <v>28.1</v>
      </c>
      <c r="T43" s="3">
        <f t="shared" si="32"/>
        <v>1884.1726618705036</v>
      </c>
      <c r="U43" s="3">
        <v>130950</v>
      </c>
      <c r="V43" s="6">
        <v>69.5</v>
      </c>
      <c r="W43" s="3">
        <f t="shared" si="33"/>
        <v>1759.2508710801394</v>
      </c>
      <c r="X43" s="3">
        <v>100981</v>
      </c>
      <c r="Y43" s="6">
        <v>57.4</v>
      </c>
      <c r="Z43" s="3" t="e">
        <f t="shared" si="34"/>
        <v>#DIV/0!</v>
      </c>
      <c r="AA43" s="3">
        <v>0</v>
      </c>
      <c r="AB43" s="6">
        <v>0</v>
      </c>
      <c r="AC43" s="3">
        <f t="shared" si="35"/>
        <v>2159.3023255813951</v>
      </c>
      <c r="AD43" s="3">
        <v>64995</v>
      </c>
      <c r="AE43" s="6">
        <v>30.1</v>
      </c>
      <c r="AF43" s="3">
        <f t="shared" si="36"/>
        <v>2034.7029702970299</v>
      </c>
      <c r="AG43" s="3">
        <v>82202</v>
      </c>
      <c r="AH43" s="6">
        <v>40.4</v>
      </c>
      <c r="AI43" s="3" t="e">
        <f t="shared" si="37"/>
        <v>#DIV/0!</v>
      </c>
      <c r="AJ43" s="3">
        <v>0</v>
      </c>
      <c r="AK43" s="6">
        <v>0</v>
      </c>
      <c r="AL43" s="3" t="e">
        <f t="shared" si="38"/>
        <v>#DIV/0!</v>
      </c>
      <c r="AM43" s="3">
        <v>0</v>
      </c>
      <c r="AN43" s="6">
        <v>0</v>
      </c>
      <c r="AO43" s="3">
        <f t="shared" si="25"/>
        <v>1857.7818017202355</v>
      </c>
      <c r="AP43" s="3">
        <f t="shared" si="26"/>
        <v>820768</v>
      </c>
      <c r="AQ43" s="6">
        <f t="shared" si="26"/>
        <v>441.79999999999995</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7" t="s">
        <v>56</v>
      </c>
      <c r="B44" s="23"/>
      <c r="C44" s="23"/>
      <c r="D44" s="23"/>
      <c r="E44" s="10" t="e">
        <f t="shared" si="27"/>
        <v>#DIV/0!</v>
      </c>
      <c r="F44" s="10">
        <v>0</v>
      </c>
      <c r="G44" s="6">
        <v>0</v>
      </c>
      <c r="H44" s="12">
        <f t="shared" si="28"/>
        <v>2452.7522935779816</v>
      </c>
      <c r="I44" s="10">
        <v>26735</v>
      </c>
      <c r="J44" s="6">
        <v>10.9</v>
      </c>
      <c r="K44" s="10">
        <f t="shared" si="29"/>
        <v>1094.1176470588236</v>
      </c>
      <c r="L44" s="10">
        <v>3720</v>
      </c>
      <c r="M44" s="6">
        <v>3.4</v>
      </c>
      <c r="N44" s="10" t="e">
        <f t="shared" si="30"/>
        <v>#DIV/0!</v>
      </c>
      <c r="O44" s="10">
        <v>0</v>
      </c>
      <c r="P44" s="6">
        <v>0</v>
      </c>
      <c r="Q44" s="12" t="e">
        <f t="shared" si="31"/>
        <v>#DIV/0!</v>
      </c>
      <c r="R44" s="10">
        <v>0</v>
      </c>
      <c r="S44" s="6">
        <v>0</v>
      </c>
      <c r="T44" s="12" t="e">
        <f t="shared" si="32"/>
        <v>#DIV/0!</v>
      </c>
      <c r="U44" s="10">
        <v>0</v>
      </c>
      <c r="V44" s="6">
        <v>0</v>
      </c>
      <c r="W44" s="10" t="e">
        <f t="shared" si="33"/>
        <v>#DIV/0!</v>
      </c>
      <c r="X44" s="10">
        <v>0</v>
      </c>
      <c r="Y44" s="6">
        <v>0</v>
      </c>
      <c r="Z44" s="10" t="e">
        <f t="shared" si="34"/>
        <v>#DIV/0!</v>
      </c>
      <c r="AA44" s="10">
        <v>0</v>
      </c>
      <c r="AB44" s="6">
        <v>0</v>
      </c>
      <c r="AC44" s="10" t="e">
        <f t="shared" si="35"/>
        <v>#DIV/0!</v>
      </c>
      <c r="AD44" s="10">
        <v>0</v>
      </c>
      <c r="AE44" s="6">
        <v>0</v>
      </c>
      <c r="AF44" s="10" t="e">
        <f t="shared" si="36"/>
        <v>#DIV/0!</v>
      </c>
      <c r="AG44" s="10">
        <v>0</v>
      </c>
      <c r="AH44" s="6">
        <v>0</v>
      </c>
      <c r="AI44" s="10">
        <f t="shared" si="37"/>
        <v>1756.8604651162791</v>
      </c>
      <c r="AJ44" s="10">
        <v>15109</v>
      </c>
      <c r="AK44" s="6">
        <v>8.6</v>
      </c>
      <c r="AL44" s="10" t="e">
        <f t="shared" si="38"/>
        <v>#DIV/0!</v>
      </c>
      <c r="AM44" s="10">
        <v>0</v>
      </c>
      <c r="AN44" s="6">
        <v>0</v>
      </c>
      <c r="AO44" s="10">
        <f t="shared" si="25"/>
        <v>1989.6943231441048</v>
      </c>
      <c r="AP44" s="10">
        <f t="shared" si="26"/>
        <v>45564</v>
      </c>
      <c r="AQ44" s="6">
        <f t="shared" si="26"/>
        <v>22.9</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7" t="s">
        <v>21</v>
      </c>
      <c r="B45" s="23"/>
      <c r="C45" s="23"/>
      <c r="D45" s="23"/>
      <c r="E45" s="11">
        <f t="shared" si="27"/>
        <v>1500.5370569280344</v>
      </c>
      <c r="F45" s="11">
        <v>279400</v>
      </c>
      <c r="G45" s="9">
        <v>186.2</v>
      </c>
      <c r="H45" s="8">
        <f t="shared" si="28"/>
        <v>1424.988725490196</v>
      </c>
      <c r="I45" s="11">
        <v>2906977</v>
      </c>
      <c r="J45" s="9">
        <v>2040</v>
      </c>
      <c r="K45" s="16" t="e">
        <f t="shared" si="29"/>
        <v>#DIV/0!</v>
      </c>
      <c r="L45" s="8">
        <v>0</v>
      </c>
      <c r="M45" s="9">
        <v>0</v>
      </c>
      <c r="N45" s="16">
        <f t="shared" si="30"/>
        <v>1616.993987975952</v>
      </c>
      <c r="O45" s="8">
        <v>161376</v>
      </c>
      <c r="P45" s="9">
        <v>99.8</v>
      </c>
      <c r="Q45" s="8">
        <f t="shared" si="31"/>
        <v>1595.393996247655</v>
      </c>
      <c r="R45" s="11">
        <v>170069</v>
      </c>
      <c r="S45" s="9">
        <v>106.6</v>
      </c>
      <c r="T45" s="8">
        <f t="shared" si="32"/>
        <v>1575.4864091559368</v>
      </c>
      <c r="U45" s="11">
        <v>220253</v>
      </c>
      <c r="V45" s="9">
        <v>139.80000000000001</v>
      </c>
      <c r="W45" s="11">
        <f t="shared" si="33"/>
        <v>1688.8117489986648</v>
      </c>
      <c r="X45" s="11">
        <v>126492</v>
      </c>
      <c r="Y45" s="9">
        <v>74.900000000000006</v>
      </c>
      <c r="Z45" s="11">
        <f t="shared" si="34"/>
        <v>1631.5237724084177</v>
      </c>
      <c r="AA45" s="11">
        <v>418649</v>
      </c>
      <c r="AB45" s="9">
        <v>256.60000000000002</v>
      </c>
      <c r="AC45" s="11">
        <f t="shared" si="35"/>
        <v>1551.2820512820513</v>
      </c>
      <c r="AD45" s="11">
        <v>36300</v>
      </c>
      <c r="AE45" s="9">
        <v>23.4</v>
      </c>
      <c r="AF45" s="8">
        <f t="shared" si="36"/>
        <v>2263.636363636364</v>
      </c>
      <c r="AG45" s="11">
        <v>29880</v>
      </c>
      <c r="AH45" s="9">
        <v>13.2</v>
      </c>
      <c r="AI45" s="11">
        <f t="shared" si="37"/>
        <v>2341.070663811563</v>
      </c>
      <c r="AJ45" s="11">
        <v>109328</v>
      </c>
      <c r="AK45" s="9">
        <v>46.7</v>
      </c>
      <c r="AL45" s="11" t="e">
        <f t="shared" si="38"/>
        <v>#DIV/0!</v>
      </c>
      <c r="AM45" s="11">
        <v>0</v>
      </c>
      <c r="AN45" s="9">
        <v>0</v>
      </c>
      <c r="AO45" s="11">
        <f t="shared" si="25"/>
        <v>1492.6098018211035</v>
      </c>
      <c r="AP45" s="8">
        <f t="shared" si="26"/>
        <v>4458724</v>
      </c>
      <c r="AQ45" s="9">
        <f t="shared" si="26"/>
        <v>2987.2</v>
      </c>
    </row>
    <row r="46" spans="1:67" x14ac:dyDescent="0.3">
      <c r="A46" s="7" t="s">
        <v>67</v>
      </c>
      <c r="B46" s="23"/>
      <c r="C46" s="23"/>
      <c r="D46" s="23"/>
      <c r="E46" s="8">
        <f t="shared" si="27"/>
        <v>1652.1052631578948</v>
      </c>
      <c r="F46" s="8">
        <v>3139</v>
      </c>
      <c r="G46" s="9">
        <v>1.9</v>
      </c>
      <c r="H46" s="8">
        <f t="shared" si="28"/>
        <v>4093.913043478261</v>
      </c>
      <c r="I46" s="8">
        <v>9416</v>
      </c>
      <c r="J46" s="9">
        <v>2.2999999999999998</v>
      </c>
      <c r="K46" s="8" t="e">
        <f t="shared" si="29"/>
        <v>#DIV/0!</v>
      </c>
      <c r="L46" s="8">
        <v>0</v>
      </c>
      <c r="M46" s="9">
        <v>0</v>
      </c>
      <c r="N46" s="8" t="e">
        <f t="shared" si="30"/>
        <v>#DIV/0!</v>
      </c>
      <c r="O46" s="8">
        <v>0</v>
      </c>
      <c r="P46" s="9">
        <v>0</v>
      </c>
      <c r="Q46" s="8" t="e">
        <f t="shared" si="31"/>
        <v>#DIV/0!</v>
      </c>
      <c r="R46" s="8">
        <v>0</v>
      </c>
      <c r="S46" s="9">
        <v>0</v>
      </c>
      <c r="T46" s="8" t="e">
        <f t="shared" si="32"/>
        <v>#DIV/0!</v>
      </c>
      <c r="U46" s="8">
        <v>0</v>
      </c>
      <c r="V46" s="9">
        <v>0</v>
      </c>
      <c r="W46" s="8" t="e">
        <f t="shared" si="33"/>
        <v>#DIV/0!</v>
      </c>
      <c r="X46" s="8">
        <v>0</v>
      </c>
      <c r="Y46" s="9">
        <v>0</v>
      </c>
      <c r="Z46" s="8" t="e">
        <f t="shared" si="34"/>
        <v>#DIV/0!</v>
      </c>
      <c r="AA46" s="8">
        <v>0</v>
      </c>
      <c r="AB46" s="9">
        <v>0</v>
      </c>
      <c r="AC46" s="8" t="e">
        <f t="shared" si="35"/>
        <v>#DIV/0!</v>
      </c>
      <c r="AD46" s="8">
        <v>0</v>
      </c>
      <c r="AE46" s="9">
        <v>0</v>
      </c>
      <c r="AF46" s="8" t="e">
        <f t="shared" si="36"/>
        <v>#DIV/0!</v>
      </c>
      <c r="AG46" s="8">
        <v>0</v>
      </c>
      <c r="AH46" s="9">
        <v>0</v>
      </c>
      <c r="AI46" s="8" t="e">
        <f t="shared" si="37"/>
        <v>#DIV/0!</v>
      </c>
      <c r="AJ46" s="8">
        <v>0</v>
      </c>
      <c r="AK46" s="9">
        <v>0</v>
      </c>
      <c r="AL46" s="8" t="e">
        <f t="shared" si="38"/>
        <v>#DIV/0!</v>
      </c>
      <c r="AM46" s="8">
        <v>0</v>
      </c>
      <c r="AN46" s="9">
        <v>0</v>
      </c>
      <c r="AO46" s="8">
        <f t="shared" si="25"/>
        <v>2989.2857142857147</v>
      </c>
      <c r="AP46" s="8">
        <f t="shared" si="26"/>
        <v>12555</v>
      </c>
      <c r="AQ46" s="9">
        <f t="shared" si="26"/>
        <v>4.1999999999999993</v>
      </c>
    </row>
    <row r="47" spans="1:67" x14ac:dyDescent="0.3">
      <c r="A47" s="7" t="s">
        <v>30</v>
      </c>
      <c r="B47" s="23"/>
      <c r="C47" s="23"/>
      <c r="D47" s="23"/>
      <c r="E47" s="8">
        <f t="shared" si="27"/>
        <v>1735.2631578947369</v>
      </c>
      <c r="F47" s="8">
        <v>3297</v>
      </c>
      <c r="G47" s="9">
        <v>1.9</v>
      </c>
      <c r="H47" s="8" t="e">
        <f t="shared" si="28"/>
        <v>#DIV/0!</v>
      </c>
      <c r="I47" s="8">
        <v>0</v>
      </c>
      <c r="J47" s="9">
        <v>0</v>
      </c>
      <c r="K47" s="8" t="e">
        <f t="shared" si="29"/>
        <v>#DIV/0!</v>
      </c>
      <c r="L47" s="8">
        <v>0</v>
      </c>
      <c r="M47" s="9">
        <v>0</v>
      </c>
      <c r="N47" s="8">
        <f t="shared" si="30"/>
        <v>2530</v>
      </c>
      <c r="O47" s="8">
        <v>4301</v>
      </c>
      <c r="P47" s="9">
        <v>1.7</v>
      </c>
      <c r="Q47" s="8" t="e">
        <f t="shared" si="31"/>
        <v>#DIV/0!</v>
      </c>
      <c r="R47" s="8">
        <v>0</v>
      </c>
      <c r="S47" s="9">
        <v>0</v>
      </c>
      <c r="T47" s="8">
        <f t="shared" si="32"/>
        <v>1725.2631578947369</v>
      </c>
      <c r="U47" s="8">
        <v>3278</v>
      </c>
      <c r="V47" s="9">
        <v>1.9</v>
      </c>
      <c r="W47" s="8" t="e">
        <f t="shared" si="33"/>
        <v>#DIV/0!</v>
      </c>
      <c r="X47" s="8">
        <v>0</v>
      </c>
      <c r="Y47" s="9">
        <v>0</v>
      </c>
      <c r="Z47" s="8" t="e">
        <f t="shared" si="34"/>
        <v>#DIV/0!</v>
      </c>
      <c r="AA47" s="8">
        <v>0</v>
      </c>
      <c r="AB47" s="9">
        <v>0</v>
      </c>
      <c r="AC47" s="8" t="e">
        <f t="shared" si="35"/>
        <v>#DIV/0!</v>
      </c>
      <c r="AD47" s="8">
        <v>0</v>
      </c>
      <c r="AE47" s="9">
        <v>0</v>
      </c>
      <c r="AF47" s="8" t="e">
        <f t="shared" si="36"/>
        <v>#DIV/0!</v>
      </c>
      <c r="AG47" s="8">
        <v>0</v>
      </c>
      <c r="AH47" s="9">
        <v>0</v>
      </c>
      <c r="AI47" s="8">
        <f t="shared" si="37"/>
        <v>2302.5</v>
      </c>
      <c r="AJ47" s="8">
        <v>4605</v>
      </c>
      <c r="AK47" s="9">
        <v>2</v>
      </c>
      <c r="AL47" s="8" t="e">
        <f t="shared" si="38"/>
        <v>#DIV/0!</v>
      </c>
      <c r="AM47" s="8">
        <v>0</v>
      </c>
      <c r="AN47" s="9">
        <v>0</v>
      </c>
      <c r="AO47" s="8">
        <f t="shared" si="25"/>
        <v>2064.1333333333332</v>
      </c>
      <c r="AP47" s="8">
        <f t="shared" si="26"/>
        <v>15481</v>
      </c>
      <c r="AQ47" s="9">
        <f t="shared" si="26"/>
        <v>7.5</v>
      </c>
    </row>
    <row r="48" spans="1:67" x14ac:dyDescent="0.3">
      <c r="A48" s="7" t="s">
        <v>68</v>
      </c>
      <c r="B48" s="23"/>
      <c r="C48" s="23"/>
      <c r="D48" s="23"/>
      <c r="E48" s="8" t="e">
        <f t="shared" si="27"/>
        <v>#DIV/0!</v>
      </c>
      <c r="F48" s="8">
        <v>0</v>
      </c>
      <c r="G48" s="9">
        <v>0</v>
      </c>
      <c r="H48" s="8" t="e">
        <f t="shared" si="28"/>
        <v>#DIV/0!</v>
      </c>
      <c r="I48" s="8">
        <v>0</v>
      </c>
      <c r="J48" s="9">
        <v>0</v>
      </c>
      <c r="K48" s="8" t="e">
        <f t="shared" si="29"/>
        <v>#DIV/0!</v>
      </c>
      <c r="L48" s="8">
        <v>0</v>
      </c>
      <c r="M48" s="9">
        <v>0</v>
      </c>
      <c r="N48" s="8" t="e">
        <f t="shared" si="30"/>
        <v>#DIV/0!</v>
      </c>
      <c r="O48" s="8">
        <v>0</v>
      </c>
      <c r="P48" s="9">
        <v>0</v>
      </c>
      <c r="Q48" s="8">
        <f t="shared" si="31"/>
        <v>2066.1538461538462</v>
      </c>
      <c r="R48" s="8">
        <v>2686</v>
      </c>
      <c r="S48" s="9">
        <v>1.3</v>
      </c>
      <c r="T48" s="8" t="e">
        <f t="shared" si="32"/>
        <v>#DIV/0!</v>
      </c>
      <c r="U48" s="8">
        <v>0</v>
      </c>
      <c r="V48" s="9">
        <v>0</v>
      </c>
      <c r="W48" s="8" t="e">
        <f t="shared" si="33"/>
        <v>#DIV/0!</v>
      </c>
      <c r="X48" s="8">
        <v>0</v>
      </c>
      <c r="Y48" s="9">
        <v>0</v>
      </c>
      <c r="Z48" s="8" t="e">
        <f t="shared" si="34"/>
        <v>#DIV/0!</v>
      </c>
      <c r="AA48" s="8">
        <v>0</v>
      </c>
      <c r="AB48" s="9">
        <v>0</v>
      </c>
      <c r="AC48" s="8" t="e">
        <f t="shared" si="35"/>
        <v>#DIV/0!</v>
      </c>
      <c r="AD48" s="8">
        <v>0</v>
      </c>
      <c r="AE48" s="9">
        <v>0</v>
      </c>
      <c r="AF48" s="8" t="e">
        <f t="shared" si="36"/>
        <v>#DIV/0!</v>
      </c>
      <c r="AG48" s="8">
        <v>0</v>
      </c>
      <c r="AH48" s="9">
        <v>0</v>
      </c>
      <c r="AI48" s="8" t="e">
        <f t="shared" si="37"/>
        <v>#DIV/0!</v>
      </c>
      <c r="AJ48" s="8">
        <v>0</v>
      </c>
      <c r="AK48" s="9">
        <v>0</v>
      </c>
      <c r="AL48" s="8" t="e">
        <f t="shared" si="38"/>
        <v>#DIV/0!</v>
      </c>
      <c r="AM48" s="8">
        <v>0</v>
      </c>
      <c r="AN48" s="9">
        <v>0</v>
      </c>
      <c r="AO48" s="8">
        <f t="shared" si="25"/>
        <v>2066.1538461538462</v>
      </c>
      <c r="AP48" s="8">
        <f t="shared" si="26"/>
        <v>2686</v>
      </c>
      <c r="AQ48" s="9">
        <f t="shared" si="26"/>
        <v>1.3</v>
      </c>
    </row>
    <row r="49" spans="1:43" x14ac:dyDescent="0.3">
      <c r="A49" s="7" t="s">
        <v>84</v>
      </c>
      <c r="B49" s="23"/>
      <c r="C49" s="23"/>
      <c r="D49" s="23"/>
      <c r="E49" s="8" t="e">
        <f t="shared" si="27"/>
        <v>#DIV/0!</v>
      </c>
      <c r="F49" s="8">
        <v>0</v>
      </c>
      <c r="G49" s="9">
        <v>0</v>
      </c>
      <c r="H49" s="8" t="e">
        <f t="shared" si="28"/>
        <v>#DIV/0!</v>
      </c>
      <c r="I49" s="8">
        <v>0</v>
      </c>
      <c r="J49" s="9">
        <v>0</v>
      </c>
      <c r="K49" s="8" t="e">
        <f t="shared" si="29"/>
        <v>#DIV/0!</v>
      </c>
      <c r="L49" s="8">
        <v>0</v>
      </c>
      <c r="M49" s="9">
        <v>0</v>
      </c>
      <c r="N49" s="8" t="e">
        <f t="shared" si="30"/>
        <v>#DIV/0!</v>
      </c>
      <c r="O49" s="8">
        <v>0</v>
      </c>
      <c r="P49" s="9">
        <v>0</v>
      </c>
      <c r="Q49" s="8" t="e">
        <f t="shared" si="31"/>
        <v>#DIV/0!</v>
      </c>
      <c r="R49" s="8">
        <v>0</v>
      </c>
      <c r="S49" s="9">
        <v>0</v>
      </c>
      <c r="T49" s="8" t="e">
        <f t="shared" si="32"/>
        <v>#DIV/0!</v>
      </c>
      <c r="U49" s="8">
        <v>0</v>
      </c>
      <c r="V49" s="9">
        <v>0</v>
      </c>
      <c r="W49" s="8" t="e">
        <f t="shared" si="33"/>
        <v>#DIV/0!</v>
      </c>
      <c r="X49" s="8">
        <v>0</v>
      </c>
      <c r="Y49" s="9">
        <v>0</v>
      </c>
      <c r="Z49" s="8" t="e">
        <f t="shared" si="34"/>
        <v>#DIV/0!</v>
      </c>
      <c r="AA49" s="8">
        <v>0</v>
      </c>
      <c r="AB49" s="9">
        <v>0</v>
      </c>
      <c r="AC49" s="8">
        <f t="shared" si="35"/>
        <v>1473.4932821497121</v>
      </c>
      <c r="AD49" s="8">
        <v>230307</v>
      </c>
      <c r="AE49" s="9">
        <v>156.30000000000001</v>
      </c>
      <c r="AF49" s="8" t="e">
        <f t="shared" si="36"/>
        <v>#DIV/0!</v>
      </c>
      <c r="AG49" s="8">
        <v>0</v>
      </c>
      <c r="AH49" s="9">
        <v>0</v>
      </c>
      <c r="AI49" s="8" t="e">
        <f t="shared" si="37"/>
        <v>#DIV/0!</v>
      </c>
      <c r="AJ49" s="8">
        <v>0</v>
      </c>
      <c r="AK49" s="9">
        <v>0</v>
      </c>
      <c r="AL49" s="8" t="e">
        <f t="shared" si="38"/>
        <v>#DIV/0!</v>
      </c>
      <c r="AM49" s="8">
        <v>0</v>
      </c>
      <c r="AN49" s="9">
        <v>0</v>
      </c>
      <c r="AO49" s="8">
        <f t="shared" si="25"/>
        <v>1473.4932821497121</v>
      </c>
      <c r="AP49" s="8">
        <f t="shared" si="26"/>
        <v>230307</v>
      </c>
      <c r="AQ49" s="9">
        <f t="shared" si="26"/>
        <v>156.30000000000001</v>
      </c>
    </row>
    <row r="50" spans="1:43" x14ac:dyDescent="0.3">
      <c r="A50" s="7" t="s">
        <v>81</v>
      </c>
      <c r="B50" s="23"/>
      <c r="C50" s="23"/>
      <c r="D50" s="23"/>
      <c r="E50" s="8" t="e">
        <f t="shared" si="27"/>
        <v>#DIV/0!</v>
      </c>
      <c r="F50" s="8">
        <v>0</v>
      </c>
      <c r="G50" s="9">
        <v>0</v>
      </c>
      <c r="H50" s="8" t="e">
        <f t="shared" si="28"/>
        <v>#DIV/0!</v>
      </c>
      <c r="I50" s="8">
        <v>0</v>
      </c>
      <c r="J50" s="9">
        <v>0</v>
      </c>
      <c r="K50" s="8">
        <f t="shared" si="29"/>
        <v>2409.7297297297296</v>
      </c>
      <c r="L50" s="8">
        <v>8916</v>
      </c>
      <c r="M50" s="9">
        <v>3.7</v>
      </c>
      <c r="N50" s="8" t="e">
        <f t="shared" si="30"/>
        <v>#DIV/0!</v>
      </c>
      <c r="O50" s="8">
        <v>0</v>
      </c>
      <c r="P50" s="9">
        <v>0</v>
      </c>
      <c r="Q50" s="8">
        <f t="shared" si="31"/>
        <v>2648.9189189189187</v>
      </c>
      <c r="R50" s="8">
        <v>9801</v>
      </c>
      <c r="S50" s="9">
        <v>3.7</v>
      </c>
      <c r="T50" s="8" t="e">
        <f t="shared" si="32"/>
        <v>#DIV/0!</v>
      </c>
      <c r="U50" s="8">
        <v>0</v>
      </c>
      <c r="V50" s="9">
        <v>0</v>
      </c>
      <c r="W50" s="8">
        <f t="shared" si="33"/>
        <v>2409.7297297297296</v>
      </c>
      <c r="X50" s="8">
        <v>17832</v>
      </c>
      <c r="Y50" s="9">
        <v>7.4</v>
      </c>
      <c r="Z50" s="8" t="e">
        <f t="shared" si="34"/>
        <v>#DIV/0!</v>
      </c>
      <c r="AA50" s="8">
        <v>0</v>
      </c>
      <c r="AB50" s="9">
        <v>0</v>
      </c>
      <c r="AC50" s="8">
        <f t="shared" si="35"/>
        <v>2584.3478260869565</v>
      </c>
      <c r="AD50" s="8">
        <v>17832</v>
      </c>
      <c r="AE50" s="9">
        <v>6.9</v>
      </c>
      <c r="AF50" s="8" t="e">
        <f t="shared" si="36"/>
        <v>#DIV/0!</v>
      </c>
      <c r="AG50" s="8">
        <v>0</v>
      </c>
      <c r="AH50" s="9">
        <v>0</v>
      </c>
      <c r="AI50" s="8" t="e">
        <f t="shared" si="37"/>
        <v>#DIV/0!</v>
      </c>
      <c r="AJ50" s="8">
        <v>0</v>
      </c>
      <c r="AK50" s="9">
        <v>0</v>
      </c>
      <c r="AL50" s="8" t="e">
        <f t="shared" si="38"/>
        <v>#DIV/0!</v>
      </c>
      <c r="AM50" s="8">
        <v>0</v>
      </c>
      <c r="AN50" s="9">
        <v>0</v>
      </c>
      <c r="AO50" s="8">
        <f t="shared" si="25"/>
        <v>2506.0368663594468</v>
      </c>
      <c r="AP50" s="8">
        <f t="shared" si="26"/>
        <v>54381</v>
      </c>
      <c r="AQ50" s="9">
        <f t="shared" si="26"/>
        <v>21.700000000000003</v>
      </c>
    </row>
    <row r="51" spans="1:43" x14ac:dyDescent="0.3">
      <c r="A51" s="17" t="s">
        <v>34</v>
      </c>
      <c r="B51" s="23"/>
      <c r="C51" s="23"/>
      <c r="D51" s="23"/>
      <c r="E51" s="8">
        <f t="shared" si="27"/>
        <v>1566.8181818181818</v>
      </c>
      <c r="F51" s="8">
        <v>3447</v>
      </c>
      <c r="G51" s="9">
        <v>2.2000000000000002</v>
      </c>
      <c r="H51" s="8">
        <f t="shared" si="28"/>
        <v>3229.655172413793</v>
      </c>
      <c r="I51" s="8">
        <v>9366</v>
      </c>
      <c r="J51" s="9">
        <v>2.9</v>
      </c>
      <c r="K51" s="8">
        <f t="shared" si="29"/>
        <v>1240.9090909090908</v>
      </c>
      <c r="L51" s="8">
        <v>2730</v>
      </c>
      <c r="M51" s="9">
        <v>2.2000000000000002</v>
      </c>
      <c r="N51" s="8" t="e">
        <f t="shared" si="30"/>
        <v>#DIV/0!</v>
      </c>
      <c r="O51" s="8">
        <v>0</v>
      </c>
      <c r="P51" s="9">
        <v>0</v>
      </c>
      <c r="Q51" s="8" t="e">
        <f t="shared" si="31"/>
        <v>#DIV/0!</v>
      </c>
      <c r="R51" s="8">
        <v>0</v>
      </c>
      <c r="S51" s="9">
        <v>0</v>
      </c>
      <c r="T51" s="8">
        <f t="shared" si="32"/>
        <v>2200</v>
      </c>
      <c r="U51" s="8">
        <v>5940</v>
      </c>
      <c r="V51" s="9">
        <v>2.7</v>
      </c>
      <c r="W51" s="8">
        <f t="shared" si="33"/>
        <v>12473.333333333334</v>
      </c>
      <c r="X51" s="8">
        <v>7484</v>
      </c>
      <c r="Y51" s="9">
        <v>0.6</v>
      </c>
      <c r="Z51" s="8" t="e">
        <f t="shared" si="34"/>
        <v>#DIV/0!</v>
      </c>
      <c r="AA51" s="8">
        <v>0</v>
      </c>
      <c r="AB51" s="9">
        <v>0</v>
      </c>
      <c r="AC51" s="8">
        <f t="shared" si="35"/>
        <v>2200</v>
      </c>
      <c r="AD51" s="8">
        <v>5940</v>
      </c>
      <c r="AE51" s="9">
        <v>2.7</v>
      </c>
      <c r="AF51" s="8" t="e">
        <f t="shared" si="36"/>
        <v>#DIV/0!</v>
      </c>
      <c r="AG51" s="8">
        <v>0</v>
      </c>
      <c r="AH51" s="9">
        <v>0</v>
      </c>
      <c r="AI51" s="8" t="e">
        <f t="shared" si="37"/>
        <v>#DIV/0!</v>
      </c>
      <c r="AJ51" s="8">
        <v>0</v>
      </c>
      <c r="AK51" s="9">
        <v>0</v>
      </c>
      <c r="AL51" s="8" t="e">
        <f t="shared" si="38"/>
        <v>#DIV/0!</v>
      </c>
      <c r="AM51" s="8">
        <v>0</v>
      </c>
      <c r="AN51" s="9">
        <v>0</v>
      </c>
      <c r="AO51" s="8">
        <f t="shared" si="25"/>
        <v>2624.5864661654132</v>
      </c>
      <c r="AP51" s="8">
        <f t="shared" si="26"/>
        <v>34907</v>
      </c>
      <c r="AQ51" s="9">
        <f t="shared" si="26"/>
        <v>13.3</v>
      </c>
    </row>
    <row r="52" spans="1:43" x14ac:dyDescent="0.3">
      <c r="A52" s="17" t="s">
        <v>24</v>
      </c>
      <c r="B52" s="23"/>
      <c r="C52" s="23"/>
      <c r="D52" s="23"/>
      <c r="E52" s="8" t="e">
        <f t="shared" si="27"/>
        <v>#DIV/0!</v>
      </c>
      <c r="F52" s="8">
        <v>0</v>
      </c>
      <c r="G52" s="9">
        <v>0</v>
      </c>
      <c r="H52" s="8" t="e">
        <f t="shared" si="28"/>
        <v>#DIV/0!</v>
      </c>
      <c r="I52" s="8">
        <v>0</v>
      </c>
      <c r="J52" s="9">
        <v>0</v>
      </c>
      <c r="K52" s="8">
        <f t="shared" si="29"/>
        <v>2797.7777777777778</v>
      </c>
      <c r="L52" s="8">
        <v>2518</v>
      </c>
      <c r="M52" s="9">
        <v>0.9</v>
      </c>
      <c r="N52" s="8">
        <f t="shared" si="30"/>
        <v>2127.5</v>
      </c>
      <c r="O52" s="8">
        <v>2553</v>
      </c>
      <c r="P52" s="9">
        <v>1.2</v>
      </c>
      <c r="Q52" s="8" t="e">
        <f t="shared" si="31"/>
        <v>#DIV/0!</v>
      </c>
      <c r="R52" s="8">
        <v>0</v>
      </c>
      <c r="S52" s="9">
        <v>0</v>
      </c>
      <c r="T52" s="8" t="e">
        <f t="shared" si="32"/>
        <v>#DIV/0!</v>
      </c>
      <c r="U52" s="8">
        <v>0</v>
      </c>
      <c r="V52" s="9">
        <v>0</v>
      </c>
      <c r="W52" s="8" t="e">
        <f t="shared" si="33"/>
        <v>#DIV/0!</v>
      </c>
      <c r="X52" s="8">
        <v>0</v>
      </c>
      <c r="Y52" s="9">
        <v>0</v>
      </c>
      <c r="Z52" s="8">
        <f t="shared" si="34"/>
        <v>1751.227301189731</v>
      </c>
      <c r="AA52" s="8">
        <v>279671</v>
      </c>
      <c r="AB52" s="9">
        <v>159.69999999999999</v>
      </c>
      <c r="AC52" s="8" t="e">
        <f t="shared" si="35"/>
        <v>#DIV/0!</v>
      </c>
      <c r="AD52" s="8">
        <v>0</v>
      </c>
      <c r="AE52" s="9">
        <v>0</v>
      </c>
      <c r="AF52" s="8" t="e">
        <f t="shared" si="36"/>
        <v>#DIV/0!</v>
      </c>
      <c r="AG52" s="8">
        <v>0</v>
      </c>
      <c r="AH52" s="9">
        <v>0</v>
      </c>
      <c r="AI52" s="8" t="e">
        <f t="shared" si="37"/>
        <v>#DIV/0!</v>
      </c>
      <c r="AJ52" s="8">
        <v>0</v>
      </c>
      <c r="AK52" s="9">
        <v>0</v>
      </c>
      <c r="AL52" s="8" t="e">
        <f t="shared" si="38"/>
        <v>#DIV/0!</v>
      </c>
      <c r="AM52" s="8">
        <v>0</v>
      </c>
      <c r="AN52" s="9">
        <v>0</v>
      </c>
      <c r="AO52" s="8">
        <f t="shared" si="25"/>
        <v>1759.839307787392</v>
      </c>
      <c r="AP52" s="8">
        <f t="shared" si="26"/>
        <v>284742</v>
      </c>
      <c r="AQ52" s="9">
        <f t="shared" si="26"/>
        <v>161.79999999999998</v>
      </c>
    </row>
    <row r="53" spans="1:43" x14ac:dyDescent="0.3">
      <c r="A53" s="17" t="s">
        <v>23</v>
      </c>
      <c r="B53" s="23"/>
      <c r="C53" s="23"/>
      <c r="D53" s="23"/>
      <c r="E53" s="8" t="e">
        <f t="shared" si="27"/>
        <v>#DIV/0!</v>
      </c>
      <c r="F53" s="8">
        <v>0</v>
      </c>
      <c r="G53" s="9">
        <v>0</v>
      </c>
      <c r="H53" s="8">
        <f t="shared" si="28"/>
        <v>1818.421052631579</v>
      </c>
      <c r="I53" s="8">
        <v>34550</v>
      </c>
      <c r="J53" s="9">
        <v>19</v>
      </c>
      <c r="K53" s="8" t="e">
        <f t="shared" si="29"/>
        <v>#DIV/0!</v>
      </c>
      <c r="L53" s="8">
        <v>0</v>
      </c>
      <c r="M53" s="9">
        <v>0</v>
      </c>
      <c r="N53" s="8" t="e">
        <f t="shared" si="30"/>
        <v>#DIV/0!</v>
      </c>
      <c r="O53" s="8">
        <v>0</v>
      </c>
      <c r="P53" s="9">
        <v>0</v>
      </c>
      <c r="Q53" s="8" t="e">
        <f t="shared" si="31"/>
        <v>#DIV/0!</v>
      </c>
      <c r="R53" s="8">
        <v>0</v>
      </c>
      <c r="S53" s="9">
        <v>0</v>
      </c>
      <c r="T53" s="8" t="e">
        <f t="shared" si="32"/>
        <v>#DIV/0!</v>
      </c>
      <c r="U53" s="8">
        <v>0</v>
      </c>
      <c r="V53" s="9">
        <v>0</v>
      </c>
      <c r="W53" s="8" t="e">
        <f t="shared" si="33"/>
        <v>#DIV/0!</v>
      </c>
      <c r="X53" s="8">
        <v>0</v>
      </c>
      <c r="Y53" s="9">
        <v>0</v>
      </c>
      <c r="Z53" s="8">
        <f t="shared" si="34"/>
        <v>1907.5757575757575</v>
      </c>
      <c r="AA53" s="8">
        <v>37770</v>
      </c>
      <c r="AB53" s="9">
        <v>19.8</v>
      </c>
      <c r="AC53" s="8" t="e">
        <f t="shared" si="35"/>
        <v>#DIV/0!</v>
      </c>
      <c r="AD53" s="8">
        <v>0</v>
      </c>
      <c r="AE53" s="9">
        <v>0</v>
      </c>
      <c r="AF53" s="8" t="e">
        <f t="shared" si="36"/>
        <v>#DIV/0!</v>
      </c>
      <c r="AG53" s="8">
        <v>0</v>
      </c>
      <c r="AH53" s="9">
        <v>0</v>
      </c>
      <c r="AI53" s="8">
        <f t="shared" si="37"/>
        <v>2199.099099099099</v>
      </c>
      <c r="AJ53" s="8">
        <v>48820</v>
      </c>
      <c r="AK53" s="9">
        <v>22.2</v>
      </c>
      <c r="AL53" s="8" t="e">
        <f t="shared" si="38"/>
        <v>#DIV/0!</v>
      </c>
      <c r="AM53" s="8">
        <v>0</v>
      </c>
      <c r="AN53" s="9">
        <v>0</v>
      </c>
      <c r="AO53" s="8">
        <f t="shared" si="25"/>
        <v>1985.9016393442623</v>
      </c>
      <c r="AP53" s="8">
        <f t="shared" si="26"/>
        <v>121140</v>
      </c>
      <c r="AQ53" s="9">
        <f t="shared" si="26"/>
        <v>61</v>
      </c>
    </row>
    <row r="54" spans="1:43" x14ac:dyDescent="0.3">
      <c r="A54" s="17" t="s">
        <v>90</v>
      </c>
      <c r="B54" s="23"/>
      <c r="C54" s="23"/>
      <c r="D54" s="23"/>
      <c r="E54" s="8" t="e">
        <f t="shared" si="27"/>
        <v>#DIV/0!</v>
      </c>
      <c r="F54" s="8">
        <v>0</v>
      </c>
      <c r="G54" s="9">
        <v>0</v>
      </c>
      <c r="H54" s="8" t="e">
        <f t="shared" si="28"/>
        <v>#DIV/0!</v>
      </c>
      <c r="I54" s="8">
        <v>0</v>
      </c>
      <c r="J54" s="9">
        <v>0</v>
      </c>
      <c r="K54" s="8" t="e">
        <f t="shared" si="29"/>
        <v>#DIV/0!</v>
      </c>
      <c r="L54" s="8">
        <v>0</v>
      </c>
      <c r="M54" s="9">
        <v>0</v>
      </c>
      <c r="N54" s="8" t="e">
        <f t="shared" si="30"/>
        <v>#DIV/0!</v>
      </c>
      <c r="O54" s="8">
        <v>0</v>
      </c>
      <c r="P54" s="9">
        <v>0</v>
      </c>
      <c r="Q54" s="8" t="e">
        <f t="shared" si="31"/>
        <v>#DIV/0!</v>
      </c>
      <c r="R54" s="8">
        <v>0</v>
      </c>
      <c r="S54" s="9">
        <v>0</v>
      </c>
      <c r="T54" s="8">
        <f t="shared" si="32"/>
        <v>4984.6153846153848</v>
      </c>
      <c r="U54" s="8">
        <v>6480</v>
      </c>
      <c r="V54" s="9">
        <v>1.3</v>
      </c>
      <c r="W54" s="8" t="e">
        <f t="shared" si="33"/>
        <v>#DIV/0!</v>
      </c>
      <c r="X54" s="8">
        <v>0</v>
      </c>
      <c r="Y54" s="9">
        <v>0</v>
      </c>
      <c r="Z54" s="8" t="e">
        <f t="shared" si="34"/>
        <v>#DIV/0!</v>
      </c>
      <c r="AA54" s="8">
        <v>0</v>
      </c>
      <c r="AB54" s="9">
        <v>0</v>
      </c>
      <c r="AC54" s="8" t="e">
        <f t="shared" si="35"/>
        <v>#DIV/0!</v>
      </c>
      <c r="AD54" s="8">
        <v>0</v>
      </c>
      <c r="AE54" s="9">
        <v>0</v>
      </c>
      <c r="AF54" s="8" t="e">
        <f t="shared" si="36"/>
        <v>#DIV/0!</v>
      </c>
      <c r="AG54" s="8">
        <v>0</v>
      </c>
      <c r="AH54" s="9">
        <v>0</v>
      </c>
      <c r="AI54" s="8" t="e">
        <f t="shared" si="37"/>
        <v>#DIV/0!</v>
      </c>
      <c r="AJ54" s="8">
        <v>0</v>
      </c>
      <c r="AK54" s="9">
        <v>0</v>
      </c>
      <c r="AL54" s="8" t="e">
        <f t="shared" si="38"/>
        <v>#DIV/0!</v>
      </c>
      <c r="AM54" s="8">
        <v>0</v>
      </c>
      <c r="AN54" s="9">
        <v>0</v>
      </c>
      <c r="AO54" s="8">
        <f t="shared" si="25"/>
        <v>4984.6153846153848</v>
      </c>
      <c r="AP54" s="8">
        <f t="shared" si="26"/>
        <v>6480</v>
      </c>
      <c r="AQ54" s="9">
        <f t="shared" si="26"/>
        <v>1.3</v>
      </c>
    </row>
    <row r="55" spans="1:43" x14ac:dyDescent="0.3">
      <c r="A55" s="17" t="s">
        <v>57</v>
      </c>
      <c r="B55" s="23"/>
      <c r="C55" s="23"/>
      <c r="D55" s="23"/>
      <c r="E55" s="8" t="e">
        <f t="shared" si="27"/>
        <v>#DIV/0!</v>
      </c>
      <c r="F55" s="8">
        <v>0</v>
      </c>
      <c r="G55" s="9">
        <v>0</v>
      </c>
      <c r="H55" s="8">
        <f t="shared" si="28"/>
        <v>1764.8484848484848</v>
      </c>
      <c r="I55" s="8">
        <v>29120</v>
      </c>
      <c r="J55" s="9">
        <v>16.5</v>
      </c>
      <c r="K55" s="8">
        <f t="shared" si="29"/>
        <v>1338.4269662921347</v>
      </c>
      <c r="L55" s="8">
        <v>11912</v>
      </c>
      <c r="M55" s="9">
        <v>8.9</v>
      </c>
      <c r="N55" s="8">
        <f t="shared" si="30"/>
        <v>1433.1157270029673</v>
      </c>
      <c r="O55" s="8">
        <v>96592</v>
      </c>
      <c r="P55" s="9">
        <v>67.400000000000006</v>
      </c>
      <c r="Q55" s="8">
        <f t="shared" si="31"/>
        <v>1660.1677852348994</v>
      </c>
      <c r="R55" s="8">
        <v>49473</v>
      </c>
      <c r="S55" s="9">
        <v>29.8</v>
      </c>
      <c r="T55" s="8">
        <f t="shared" si="32"/>
        <v>1356.3815789473686</v>
      </c>
      <c r="U55" s="8">
        <v>20617</v>
      </c>
      <c r="V55" s="9">
        <v>15.2</v>
      </c>
      <c r="W55" s="8">
        <f t="shared" si="33"/>
        <v>1631.3930348258707</v>
      </c>
      <c r="X55" s="8">
        <v>98373</v>
      </c>
      <c r="Y55" s="9">
        <v>60.3</v>
      </c>
      <c r="Z55" s="8">
        <f t="shared" si="34"/>
        <v>1864</v>
      </c>
      <c r="AA55" s="8">
        <v>37280</v>
      </c>
      <c r="AB55" s="9">
        <v>20</v>
      </c>
      <c r="AC55" s="8" t="e">
        <f t="shared" si="35"/>
        <v>#DIV/0!</v>
      </c>
      <c r="AD55" s="8">
        <v>0</v>
      </c>
      <c r="AE55" s="9">
        <v>0</v>
      </c>
      <c r="AF55" s="8">
        <f t="shared" si="36"/>
        <v>1708.1632653061224</v>
      </c>
      <c r="AG55" s="8">
        <v>33480</v>
      </c>
      <c r="AH55" s="9">
        <v>19.600000000000001</v>
      </c>
      <c r="AI55" s="8">
        <f t="shared" si="37"/>
        <v>1135.5153707052441</v>
      </c>
      <c r="AJ55" s="8">
        <v>62794</v>
      </c>
      <c r="AK55" s="9">
        <v>55.3</v>
      </c>
      <c r="AL55" s="8" t="e">
        <f t="shared" si="38"/>
        <v>#DIV/0!</v>
      </c>
      <c r="AM55" s="8">
        <v>0</v>
      </c>
      <c r="AN55" s="9">
        <v>0</v>
      </c>
      <c r="AO55" s="8">
        <f t="shared" si="25"/>
        <v>1500.4812286689419</v>
      </c>
      <c r="AP55" s="8">
        <f t="shared" si="26"/>
        <v>439641</v>
      </c>
      <c r="AQ55" s="9">
        <f t="shared" si="26"/>
        <v>293</v>
      </c>
    </row>
    <row r="56" spans="1:43" x14ac:dyDescent="0.3">
      <c r="A56" s="17" t="s">
        <v>82</v>
      </c>
      <c r="B56" s="23"/>
      <c r="C56" s="23"/>
      <c r="D56" s="23"/>
      <c r="E56" s="8" t="e">
        <f t="shared" si="27"/>
        <v>#DIV/0!</v>
      </c>
      <c r="F56" s="8">
        <v>0</v>
      </c>
      <c r="G56" s="9">
        <v>0</v>
      </c>
      <c r="H56" s="8" t="e">
        <f t="shared" si="28"/>
        <v>#DIV/0!</v>
      </c>
      <c r="I56" s="8">
        <v>0</v>
      </c>
      <c r="J56" s="9">
        <v>0</v>
      </c>
      <c r="K56" s="8" t="e">
        <f t="shared" si="29"/>
        <v>#DIV/0!</v>
      </c>
      <c r="L56" s="8">
        <v>0</v>
      </c>
      <c r="M56" s="9">
        <v>0</v>
      </c>
      <c r="N56" s="8" t="e">
        <f t="shared" si="30"/>
        <v>#DIV/0!</v>
      </c>
      <c r="O56" s="8">
        <v>0</v>
      </c>
      <c r="P56" s="9">
        <v>0</v>
      </c>
      <c r="Q56" s="8" t="e">
        <f t="shared" si="31"/>
        <v>#DIV/0!</v>
      </c>
      <c r="R56" s="8">
        <v>0</v>
      </c>
      <c r="S56" s="9">
        <v>0</v>
      </c>
      <c r="T56" s="8">
        <f t="shared" si="32"/>
        <v>2061.5576923076924</v>
      </c>
      <c r="U56" s="8">
        <v>536005</v>
      </c>
      <c r="V56" s="9">
        <v>260</v>
      </c>
      <c r="W56" s="8" t="e">
        <f t="shared" si="33"/>
        <v>#DIV/0!</v>
      </c>
      <c r="X56" s="8">
        <v>0</v>
      </c>
      <c r="Y56" s="9">
        <v>0</v>
      </c>
      <c r="Z56" s="8">
        <f t="shared" si="34"/>
        <v>1742.6574803149606</v>
      </c>
      <c r="AA56" s="8">
        <v>265581</v>
      </c>
      <c r="AB56" s="9">
        <v>152.4</v>
      </c>
      <c r="AC56" s="8">
        <f t="shared" si="35"/>
        <v>1742.5115074798618</v>
      </c>
      <c r="AD56" s="8">
        <v>605697</v>
      </c>
      <c r="AE56" s="9">
        <v>347.6</v>
      </c>
      <c r="AF56" s="8" t="e">
        <f t="shared" si="36"/>
        <v>#DIV/0!</v>
      </c>
      <c r="AG56" s="8">
        <v>0</v>
      </c>
      <c r="AH56" s="9">
        <v>0</v>
      </c>
      <c r="AI56" s="8" t="e">
        <f t="shared" si="37"/>
        <v>#DIV/0!</v>
      </c>
      <c r="AJ56" s="8">
        <v>0</v>
      </c>
      <c r="AK56" s="9">
        <v>0</v>
      </c>
      <c r="AL56" s="8" t="e">
        <f t="shared" si="38"/>
        <v>#DIV/0!</v>
      </c>
      <c r="AM56" s="8">
        <v>0</v>
      </c>
      <c r="AN56" s="9">
        <v>0</v>
      </c>
      <c r="AO56" s="8">
        <f t="shared" si="25"/>
        <v>1851.6881578947368</v>
      </c>
      <c r="AP56" s="8">
        <f t="shared" si="26"/>
        <v>1407283</v>
      </c>
      <c r="AQ56" s="9">
        <f t="shared" si="26"/>
        <v>760</v>
      </c>
    </row>
    <row r="57" spans="1:43" x14ac:dyDescent="0.3">
      <c r="A57" s="17" t="s">
        <v>71</v>
      </c>
      <c r="B57" s="23"/>
      <c r="C57" s="23"/>
      <c r="D57" s="23"/>
      <c r="E57" s="8" t="e">
        <f t="shared" si="27"/>
        <v>#DIV/0!</v>
      </c>
      <c r="F57" s="8">
        <v>0</v>
      </c>
      <c r="G57" s="9">
        <v>0</v>
      </c>
      <c r="H57" s="8" t="e">
        <f t="shared" si="28"/>
        <v>#DIV/0!</v>
      </c>
      <c r="I57" s="8">
        <v>0</v>
      </c>
      <c r="J57" s="9">
        <v>0</v>
      </c>
      <c r="K57" s="8" t="e">
        <f t="shared" si="29"/>
        <v>#DIV/0!</v>
      </c>
      <c r="L57" s="8">
        <v>0</v>
      </c>
      <c r="M57" s="9">
        <v>0</v>
      </c>
      <c r="N57" s="8" t="e">
        <f t="shared" si="30"/>
        <v>#DIV/0!</v>
      </c>
      <c r="O57" s="8">
        <v>0</v>
      </c>
      <c r="P57" s="9">
        <v>0</v>
      </c>
      <c r="Q57" s="8" t="e">
        <f t="shared" si="31"/>
        <v>#DIV/0!</v>
      </c>
      <c r="R57" s="8">
        <v>0</v>
      </c>
      <c r="S57" s="9">
        <v>0</v>
      </c>
      <c r="T57" s="8" t="e">
        <f t="shared" si="32"/>
        <v>#DIV/0!</v>
      </c>
      <c r="U57" s="8">
        <v>0</v>
      </c>
      <c r="V57" s="9">
        <v>0</v>
      </c>
      <c r="W57" s="8">
        <f t="shared" si="33"/>
        <v>2961.2121212121215</v>
      </c>
      <c r="X57" s="8">
        <v>9772</v>
      </c>
      <c r="Y57" s="9">
        <v>3.3</v>
      </c>
      <c r="Z57" s="8" t="e">
        <f t="shared" si="34"/>
        <v>#DIV/0!</v>
      </c>
      <c r="AA57" s="8">
        <v>0</v>
      </c>
      <c r="AB57" s="9">
        <v>0</v>
      </c>
      <c r="AC57" s="8">
        <f t="shared" si="35"/>
        <v>2688.8888888888887</v>
      </c>
      <c r="AD57" s="8">
        <v>14520</v>
      </c>
      <c r="AE57" s="9">
        <v>5.4</v>
      </c>
      <c r="AF57" s="8" t="e">
        <f t="shared" si="36"/>
        <v>#DIV/0!</v>
      </c>
      <c r="AG57" s="8">
        <v>0</v>
      </c>
      <c r="AH57" s="9">
        <v>0</v>
      </c>
      <c r="AI57" s="8" t="e">
        <f t="shared" si="37"/>
        <v>#DIV/0!</v>
      </c>
      <c r="AJ57" s="8">
        <v>0</v>
      </c>
      <c r="AK57" s="9">
        <v>0</v>
      </c>
      <c r="AL57" s="8" t="e">
        <f t="shared" si="38"/>
        <v>#DIV/0!</v>
      </c>
      <c r="AM57" s="8">
        <v>0</v>
      </c>
      <c r="AN57" s="9">
        <v>0</v>
      </c>
      <c r="AO57" s="8">
        <f t="shared" si="25"/>
        <v>2792.1839080459772</v>
      </c>
      <c r="AP57" s="8">
        <f t="shared" si="26"/>
        <v>24292</v>
      </c>
      <c r="AQ57" s="9">
        <f t="shared" si="26"/>
        <v>8.6999999999999993</v>
      </c>
    </row>
    <row r="58" spans="1:43" x14ac:dyDescent="0.3">
      <c r="A58" s="17" t="s">
        <v>59</v>
      </c>
      <c r="B58" s="23"/>
      <c r="C58" s="23"/>
      <c r="D58" s="23"/>
      <c r="E58" s="8" t="e">
        <f t="shared" si="27"/>
        <v>#DIV/0!</v>
      </c>
      <c r="F58" s="8">
        <v>0</v>
      </c>
      <c r="G58" s="9">
        <v>0</v>
      </c>
      <c r="H58" s="8" t="e">
        <f t="shared" si="28"/>
        <v>#DIV/0!</v>
      </c>
      <c r="I58" s="8">
        <v>0</v>
      </c>
      <c r="J58" s="9">
        <v>0</v>
      </c>
      <c r="K58" s="8" t="e">
        <f t="shared" si="29"/>
        <v>#DIV/0!</v>
      </c>
      <c r="L58" s="8">
        <v>0</v>
      </c>
      <c r="M58" s="9">
        <v>0</v>
      </c>
      <c r="N58" s="8" t="e">
        <f t="shared" si="30"/>
        <v>#DIV/0!</v>
      </c>
      <c r="O58" s="8">
        <v>0</v>
      </c>
      <c r="P58" s="9">
        <v>0</v>
      </c>
      <c r="Q58" s="8" t="e">
        <f t="shared" si="31"/>
        <v>#DIV/0!</v>
      </c>
      <c r="R58" s="8">
        <v>0</v>
      </c>
      <c r="S58" s="9">
        <v>0</v>
      </c>
      <c r="T58" s="8" t="e">
        <f t="shared" si="32"/>
        <v>#DIV/0!</v>
      </c>
      <c r="U58" s="8">
        <v>0</v>
      </c>
      <c r="V58" s="9">
        <v>0</v>
      </c>
      <c r="W58" s="8">
        <f t="shared" si="33"/>
        <v>1762.1052631578948</v>
      </c>
      <c r="X58" s="8">
        <v>3348</v>
      </c>
      <c r="Y58" s="9">
        <v>1.9</v>
      </c>
      <c r="Z58" s="8" t="e">
        <f t="shared" si="34"/>
        <v>#DIV/0!</v>
      </c>
      <c r="AA58" s="8">
        <v>0</v>
      </c>
      <c r="AB58" s="9">
        <v>0</v>
      </c>
      <c r="AC58" s="8" t="e">
        <f t="shared" si="35"/>
        <v>#DIV/0!</v>
      </c>
      <c r="AD58" s="8">
        <v>0</v>
      </c>
      <c r="AE58" s="9">
        <v>0</v>
      </c>
      <c r="AF58" s="8" t="e">
        <f t="shared" si="36"/>
        <v>#DIV/0!</v>
      </c>
      <c r="AG58" s="8">
        <v>0</v>
      </c>
      <c r="AH58" s="9">
        <v>0</v>
      </c>
      <c r="AI58" s="8" t="e">
        <f t="shared" si="37"/>
        <v>#DIV/0!</v>
      </c>
      <c r="AJ58" s="8">
        <v>0</v>
      </c>
      <c r="AK58" s="9">
        <v>0</v>
      </c>
      <c r="AL58" s="8" t="e">
        <f t="shared" si="38"/>
        <v>#DIV/0!</v>
      </c>
      <c r="AM58" s="8">
        <v>0</v>
      </c>
      <c r="AN58" s="9">
        <v>0</v>
      </c>
      <c r="AO58" s="8">
        <f t="shared" si="25"/>
        <v>1762.1052631578948</v>
      </c>
      <c r="AP58" s="8">
        <f t="shared" si="26"/>
        <v>3348</v>
      </c>
      <c r="AQ58" s="9">
        <f t="shared" si="26"/>
        <v>1.9</v>
      </c>
    </row>
    <row r="59" spans="1:43" x14ac:dyDescent="0.3">
      <c r="A59" s="17" t="s">
        <v>54</v>
      </c>
      <c r="B59" s="23"/>
      <c r="C59" s="23"/>
      <c r="D59" s="23"/>
      <c r="E59" s="8">
        <f t="shared" si="27"/>
        <v>1727.1597633136096</v>
      </c>
      <c r="F59" s="8">
        <v>29189</v>
      </c>
      <c r="G59" s="9">
        <v>16.899999999999999</v>
      </c>
      <c r="H59" s="8">
        <f t="shared" si="28"/>
        <v>1721.5862068965516</v>
      </c>
      <c r="I59" s="8">
        <v>24963</v>
      </c>
      <c r="J59" s="9">
        <v>14.5</v>
      </c>
      <c r="K59" s="8" t="e">
        <f t="shared" si="29"/>
        <v>#DIV/0!</v>
      </c>
      <c r="L59" s="8">
        <v>0</v>
      </c>
      <c r="M59" s="9">
        <v>0</v>
      </c>
      <c r="N59" s="8">
        <f t="shared" si="30"/>
        <v>1686.4814814814813</v>
      </c>
      <c r="O59" s="8">
        <v>9107</v>
      </c>
      <c r="P59" s="9">
        <v>5.4</v>
      </c>
      <c r="Q59" s="8" t="e">
        <f t="shared" si="31"/>
        <v>#DIV/0!</v>
      </c>
      <c r="R59" s="8">
        <v>0</v>
      </c>
      <c r="S59" s="9">
        <v>0</v>
      </c>
      <c r="T59" s="8">
        <f t="shared" si="32"/>
        <v>1667.3684210526317</v>
      </c>
      <c r="U59" s="8">
        <v>25344</v>
      </c>
      <c r="V59" s="9">
        <v>15.2</v>
      </c>
      <c r="W59" s="8" t="e">
        <f t="shared" si="33"/>
        <v>#DIV/0!</v>
      </c>
      <c r="X59" s="8">
        <v>0</v>
      </c>
      <c r="Y59" s="9">
        <v>0</v>
      </c>
      <c r="Z59" s="8">
        <f t="shared" si="34"/>
        <v>1660.3773584905659</v>
      </c>
      <c r="AA59" s="8">
        <v>26400</v>
      </c>
      <c r="AB59" s="9">
        <v>15.9</v>
      </c>
      <c r="AC59" s="8" t="e">
        <f t="shared" si="35"/>
        <v>#DIV/0!</v>
      </c>
      <c r="AD59" s="8">
        <v>0</v>
      </c>
      <c r="AE59" s="9">
        <v>0</v>
      </c>
      <c r="AF59" s="8">
        <f t="shared" si="36"/>
        <v>1610.0628930817609</v>
      </c>
      <c r="AG59" s="8">
        <v>25600</v>
      </c>
      <c r="AH59" s="9">
        <v>15.9</v>
      </c>
      <c r="AI59" s="8">
        <f t="shared" si="37"/>
        <v>874.29256594724211</v>
      </c>
      <c r="AJ59" s="8">
        <v>36458</v>
      </c>
      <c r="AK59" s="9">
        <v>41.7</v>
      </c>
      <c r="AL59" s="8" t="e">
        <f t="shared" si="38"/>
        <v>#DIV/0!</v>
      </c>
      <c r="AM59" s="8">
        <v>0</v>
      </c>
      <c r="AN59" s="9">
        <v>0</v>
      </c>
      <c r="AO59" s="8">
        <f t="shared" si="25"/>
        <v>1410.844621513944</v>
      </c>
      <c r="AP59" s="8">
        <f t="shared" si="26"/>
        <v>177061</v>
      </c>
      <c r="AQ59" s="9">
        <f t="shared" si="26"/>
        <v>125.50000000000001</v>
      </c>
    </row>
    <row r="60" spans="1:43" x14ac:dyDescent="0.3">
      <c r="A60" s="17" t="s">
        <v>91</v>
      </c>
      <c r="B60" s="23"/>
      <c r="C60" s="23"/>
      <c r="D60" s="23"/>
      <c r="E60" s="8" t="e">
        <f t="shared" si="27"/>
        <v>#DIV/0!</v>
      </c>
      <c r="F60" s="8">
        <v>0</v>
      </c>
      <c r="G60" s="9">
        <v>0</v>
      </c>
      <c r="H60" s="8" t="e">
        <f t="shared" si="28"/>
        <v>#DIV/0!</v>
      </c>
      <c r="I60" s="8">
        <v>0</v>
      </c>
      <c r="J60" s="9">
        <v>0</v>
      </c>
      <c r="K60" s="8" t="e">
        <f t="shared" si="29"/>
        <v>#DIV/0!</v>
      </c>
      <c r="L60" s="8">
        <v>0</v>
      </c>
      <c r="M60" s="9">
        <v>0</v>
      </c>
      <c r="N60" s="8" t="e">
        <f t="shared" si="30"/>
        <v>#DIV/0!</v>
      </c>
      <c r="O60" s="8">
        <v>0</v>
      </c>
      <c r="P60" s="9">
        <v>0</v>
      </c>
      <c r="Q60" s="8" t="e">
        <f t="shared" si="31"/>
        <v>#DIV/0!</v>
      </c>
      <c r="R60" s="8">
        <v>0</v>
      </c>
      <c r="S60" s="9">
        <v>0</v>
      </c>
      <c r="T60" s="8">
        <f t="shared" si="32"/>
        <v>2491.4285714285716</v>
      </c>
      <c r="U60" s="8">
        <v>8720</v>
      </c>
      <c r="V60" s="9">
        <v>3.5</v>
      </c>
      <c r="W60" s="8">
        <f t="shared" si="33"/>
        <v>2500.6222222222223</v>
      </c>
      <c r="X60" s="8">
        <v>112528</v>
      </c>
      <c r="Y60" s="9">
        <v>45</v>
      </c>
      <c r="Z60" s="8">
        <f t="shared" si="34"/>
        <v>2961.0884353741494</v>
      </c>
      <c r="AA60" s="8">
        <v>130584</v>
      </c>
      <c r="AB60" s="9">
        <v>44.1</v>
      </c>
      <c r="AC60" s="8" t="e">
        <f t="shared" si="35"/>
        <v>#DIV/0!</v>
      </c>
      <c r="AD60" s="8">
        <v>0</v>
      </c>
      <c r="AE60" s="9">
        <v>0</v>
      </c>
      <c r="AF60" s="8" t="e">
        <f t="shared" si="36"/>
        <v>#DIV/0!</v>
      </c>
      <c r="AG60" s="8">
        <v>0</v>
      </c>
      <c r="AH60" s="9">
        <v>0</v>
      </c>
      <c r="AI60" s="8" t="e">
        <f t="shared" si="37"/>
        <v>#DIV/0!</v>
      </c>
      <c r="AJ60" s="8">
        <v>0</v>
      </c>
      <c r="AK60" s="9">
        <v>0</v>
      </c>
      <c r="AL60" s="8" t="e">
        <f t="shared" si="38"/>
        <v>#DIV/0!</v>
      </c>
      <c r="AM60" s="8">
        <v>0</v>
      </c>
      <c r="AN60" s="9">
        <v>0</v>
      </c>
      <c r="AO60" s="8">
        <f t="shared" si="25"/>
        <v>2719.5680345572355</v>
      </c>
      <c r="AP60" s="8">
        <f t="shared" si="26"/>
        <v>251832</v>
      </c>
      <c r="AQ60" s="9">
        <f t="shared" si="26"/>
        <v>92.6</v>
      </c>
    </row>
    <row r="61" spans="1:43" x14ac:dyDescent="0.3">
      <c r="A61" s="17" t="s">
        <v>83</v>
      </c>
      <c r="B61" s="23"/>
      <c r="C61" s="23"/>
      <c r="D61" s="23"/>
      <c r="E61" s="8">
        <f t="shared" si="27"/>
        <v>1592.9411764705883</v>
      </c>
      <c r="F61" s="8">
        <v>2708</v>
      </c>
      <c r="G61" s="9">
        <v>1.7</v>
      </c>
      <c r="H61" s="8" t="e">
        <f t="shared" si="28"/>
        <v>#DIV/0!</v>
      </c>
      <c r="I61" s="8">
        <v>0</v>
      </c>
      <c r="J61" s="9">
        <v>0</v>
      </c>
      <c r="K61" s="8" t="e">
        <f t="shared" si="29"/>
        <v>#DIV/0!</v>
      </c>
      <c r="L61" s="8">
        <v>0</v>
      </c>
      <c r="M61" s="9">
        <v>0</v>
      </c>
      <c r="N61" s="8" t="e">
        <f t="shared" si="30"/>
        <v>#DIV/0!</v>
      </c>
      <c r="O61" s="8">
        <v>0</v>
      </c>
      <c r="P61" s="9">
        <v>0</v>
      </c>
      <c r="Q61" s="8">
        <f t="shared" si="31"/>
        <v>2590.1162790697672</v>
      </c>
      <c r="R61" s="8">
        <v>133650</v>
      </c>
      <c r="S61" s="9">
        <v>51.6</v>
      </c>
      <c r="T61" s="8" t="e">
        <f t="shared" si="32"/>
        <v>#DIV/0!</v>
      </c>
      <c r="U61" s="8">
        <v>0</v>
      </c>
      <c r="V61" s="9">
        <v>0</v>
      </c>
      <c r="W61" s="8">
        <f t="shared" si="33"/>
        <v>2439.7590361445782</v>
      </c>
      <c r="X61" s="8">
        <v>222750</v>
      </c>
      <c r="Y61" s="9">
        <v>91.3</v>
      </c>
      <c r="Z61" s="8" t="e">
        <f t="shared" si="34"/>
        <v>#DIV/0!</v>
      </c>
      <c r="AA61" s="8">
        <v>0</v>
      </c>
      <c r="AB61" s="9">
        <v>0</v>
      </c>
      <c r="AC61" s="8" t="e">
        <f t="shared" si="35"/>
        <v>#DIV/0!</v>
      </c>
      <c r="AD61" s="8">
        <v>0</v>
      </c>
      <c r="AE61" s="9">
        <v>0</v>
      </c>
      <c r="AF61" s="8" t="e">
        <f t="shared" si="36"/>
        <v>#DIV/0!</v>
      </c>
      <c r="AG61" s="8">
        <v>0</v>
      </c>
      <c r="AH61" s="9">
        <v>0</v>
      </c>
      <c r="AI61" s="8" t="e">
        <f t="shared" si="37"/>
        <v>#DIV/0!</v>
      </c>
      <c r="AJ61" s="8">
        <v>0</v>
      </c>
      <c r="AK61" s="9">
        <v>0</v>
      </c>
      <c r="AL61" s="8" t="e">
        <f t="shared" si="38"/>
        <v>#DIV/0!</v>
      </c>
      <c r="AM61" s="8">
        <v>0</v>
      </c>
      <c r="AN61" s="9">
        <v>0</v>
      </c>
      <c r="AO61" s="8">
        <f t="shared" si="25"/>
        <v>2483.4578146611343</v>
      </c>
      <c r="AP61" s="8">
        <f t="shared" si="26"/>
        <v>359108</v>
      </c>
      <c r="AQ61" s="9">
        <f t="shared" si="26"/>
        <v>144.6</v>
      </c>
    </row>
    <row r="62" spans="1:43" x14ac:dyDescent="0.3">
      <c r="A62" s="17" t="s">
        <v>92</v>
      </c>
      <c r="B62" s="23"/>
      <c r="C62" s="23"/>
      <c r="D62" s="23"/>
      <c r="E62" s="8" t="e">
        <f t="shared" si="27"/>
        <v>#DIV/0!</v>
      </c>
      <c r="F62" s="8">
        <v>0</v>
      </c>
      <c r="G62" s="9">
        <v>0</v>
      </c>
      <c r="H62" s="8" t="e">
        <f t="shared" si="28"/>
        <v>#DIV/0!</v>
      </c>
      <c r="I62" s="8">
        <v>0</v>
      </c>
      <c r="J62" s="9">
        <v>0</v>
      </c>
      <c r="K62" s="8" t="e">
        <f t="shared" si="29"/>
        <v>#DIV/0!</v>
      </c>
      <c r="L62" s="8">
        <v>0</v>
      </c>
      <c r="M62" s="9">
        <v>0</v>
      </c>
      <c r="N62" s="8" t="e">
        <f t="shared" si="30"/>
        <v>#DIV/0!</v>
      </c>
      <c r="O62" s="8">
        <v>0</v>
      </c>
      <c r="P62" s="9">
        <v>0</v>
      </c>
      <c r="Q62" s="8">
        <f t="shared" si="31"/>
        <v>3099.130434782609</v>
      </c>
      <c r="R62" s="8">
        <v>14256</v>
      </c>
      <c r="S62" s="9">
        <v>4.5999999999999996</v>
      </c>
      <c r="T62" s="8" t="e">
        <f t="shared" si="32"/>
        <v>#DIV/0!</v>
      </c>
      <c r="U62" s="8">
        <v>0</v>
      </c>
      <c r="V62" s="9">
        <v>0</v>
      </c>
      <c r="W62" s="8" t="e">
        <f t="shared" si="33"/>
        <v>#DIV/0!</v>
      </c>
      <c r="X62" s="8">
        <v>0</v>
      </c>
      <c r="Y62" s="9">
        <v>0</v>
      </c>
      <c r="Z62" s="8" t="e">
        <f t="shared" si="34"/>
        <v>#DIV/0!</v>
      </c>
      <c r="AA62" s="8">
        <v>0</v>
      </c>
      <c r="AB62" s="9">
        <v>0</v>
      </c>
      <c r="AC62" s="8" t="e">
        <f t="shared" si="35"/>
        <v>#DIV/0!</v>
      </c>
      <c r="AD62" s="8">
        <v>0</v>
      </c>
      <c r="AE62" s="9">
        <v>0</v>
      </c>
      <c r="AF62" s="8" t="e">
        <f t="shared" si="36"/>
        <v>#DIV/0!</v>
      </c>
      <c r="AG62" s="8">
        <v>0</v>
      </c>
      <c r="AH62" s="9">
        <v>0</v>
      </c>
      <c r="AI62" s="8" t="e">
        <f t="shared" si="37"/>
        <v>#DIV/0!</v>
      </c>
      <c r="AJ62" s="8">
        <v>0</v>
      </c>
      <c r="AK62" s="9">
        <v>0</v>
      </c>
      <c r="AL62" s="8" t="e">
        <f t="shared" si="38"/>
        <v>#DIV/0!</v>
      </c>
      <c r="AM62" s="8">
        <v>0</v>
      </c>
      <c r="AN62" s="9">
        <v>0</v>
      </c>
      <c r="AO62" s="8">
        <f t="shared" si="25"/>
        <v>3099.130434782609</v>
      </c>
      <c r="AP62" s="8">
        <f t="shared" si="26"/>
        <v>14256</v>
      </c>
      <c r="AQ62" s="9">
        <f t="shared" si="26"/>
        <v>4.5999999999999996</v>
      </c>
    </row>
    <row r="63" spans="1:43" x14ac:dyDescent="0.3">
      <c r="A63" s="17" t="s">
        <v>74</v>
      </c>
      <c r="B63" s="23"/>
      <c r="C63" s="23"/>
      <c r="D63" s="23"/>
      <c r="E63" s="8" t="e">
        <f t="shared" si="27"/>
        <v>#DIV/0!</v>
      </c>
      <c r="F63" s="8">
        <v>0</v>
      </c>
      <c r="G63" s="9">
        <v>0</v>
      </c>
      <c r="H63" s="8" t="e">
        <f t="shared" si="28"/>
        <v>#DIV/0!</v>
      </c>
      <c r="I63" s="8">
        <v>0</v>
      </c>
      <c r="J63" s="9">
        <v>0</v>
      </c>
      <c r="K63" s="8" t="e">
        <f t="shared" si="29"/>
        <v>#DIV/0!</v>
      </c>
      <c r="L63" s="8">
        <v>0</v>
      </c>
      <c r="M63" s="9">
        <v>0</v>
      </c>
      <c r="N63" s="8">
        <f t="shared" si="30"/>
        <v>1863.1578947368421</v>
      </c>
      <c r="O63" s="8">
        <v>3540</v>
      </c>
      <c r="P63" s="9">
        <v>1.9</v>
      </c>
      <c r="Q63" s="8" t="e">
        <f t="shared" si="31"/>
        <v>#DIV/0!</v>
      </c>
      <c r="R63" s="8">
        <v>0</v>
      </c>
      <c r="S63" s="9">
        <v>0</v>
      </c>
      <c r="T63" s="8" t="e">
        <f t="shared" si="32"/>
        <v>#DIV/0!</v>
      </c>
      <c r="U63" s="8">
        <v>0</v>
      </c>
      <c r="V63" s="9">
        <v>0</v>
      </c>
      <c r="W63" s="8" t="e">
        <f t="shared" si="33"/>
        <v>#DIV/0!</v>
      </c>
      <c r="X63" s="8">
        <v>0</v>
      </c>
      <c r="Y63" s="9">
        <v>0</v>
      </c>
      <c r="Z63" s="8" t="e">
        <f t="shared" si="34"/>
        <v>#DIV/0!</v>
      </c>
      <c r="AA63" s="8">
        <v>0</v>
      </c>
      <c r="AB63" s="9">
        <v>0</v>
      </c>
      <c r="AC63" s="8" t="e">
        <f t="shared" si="35"/>
        <v>#DIV/0!</v>
      </c>
      <c r="AD63" s="8">
        <v>0</v>
      </c>
      <c r="AE63" s="9">
        <v>0</v>
      </c>
      <c r="AF63" s="8" t="e">
        <f t="shared" si="36"/>
        <v>#DIV/0!</v>
      </c>
      <c r="AG63" s="8">
        <v>0</v>
      </c>
      <c r="AH63" s="9">
        <v>0</v>
      </c>
      <c r="AI63" s="8" t="e">
        <f t="shared" si="37"/>
        <v>#DIV/0!</v>
      </c>
      <c r="AJ63" s="8">
        <v>0</v>
      </c>
      <c r="AK63" s="9">
        <v>0</v>
      </c>
      <c r="AL63" s="8" t="e">
        <f t="shared" si="38"/>
        <v>#DIV/0!</v>
      </c>
      <c r="AM63" s="8">
        <v>0</v>
      </c>
      <c r="AN63" s="9">
        <v>0</v>
      </c>
      <c r="AO63" s="8">
        <f t="shared" si="25"/>
        <v>1863.1578947368421</v>
      </c>
      <c r="AP63" s="8">
        <f t="shared" si="26"/>
        <v>3540</v>
      </c>
      <c r="AQ63" s="9">
        <f t="shared" si="26"/>
        <v>1.9</v>
      </c>
    </row>
    <row r="64" spans="1:43" x14ac:dyDescent="0.3">
      <c r="A64" s="17" t="s">
        <v>76</v>
      </c>
      <c r="B64" s="23"/>
      <c r="C64" s="23"/>
      <c r="D64" s="23"/>
      <c r="E64" s="8">
        <f t="shared" si="27"/>
        <v>1955.7432432432431</v>
      </c>
      <c r="F64" s="8">
        <v>28945</v>
      </c>
      <c r="G64" s="9">
        <v>14.8</v>
      </c>
      <c r="H64" s="8">
        <f t="shared" si="28"/>
        <v>2272</v>
      </c>
      <c r="I64" s="8">
        <v>7952</v>
      </c>
      <c r="J64" s="9">
        <v>3.5</v>
      </c>
      <c r="K64" s="8" t="e">
        <f t="shared" si="29"/>
        <v>#DIV/0!</v>
      </c>
      <c r="L64" s="8">
        <v>0</v>
      </c>
      <c r="M64" s="9">
        <v>0</v>
      </c>
      <c r="N64" s="8">
        <f t="shared" si="30"/>
        <v>2311.3669064748201</v>
      </c>
      <c r="O64" s="8">
        <v>32128</v>
      </c>
      <c r="P64" s="9">
        <v>13.9</v>
      </c>
      <c r="Q64" s="8">
        <f t="shared" si="31"/>
        <v>2389.0769230769229</v>
      </c>
      <c r="R64" s="8">
        <v>62116</v>
      </c>
      <c r="S64" s="9">
        <v>26</v>
      </c>
      <c r="T64" s="8">
        <f t="shared" si="32"/>
        <v>2314.2857142857142</v>
      </c>
      <c r="U64" s="8">
        <v>53460</v>
      </c>
      <c r="V64" s="9">
        <v>23.1</v>
      </c>
      <c r="W64" s="8" t="e">
        <f t="shared" si="33"/>
        <v>#DIV/0!</v>
      </c>
      <c r="X64" s="8">
        <v>0</v>
      </c>
      <c r="Y64" s="9">
        <v>0</v>
      </c>
      <c r="Z64" s="8">
        <f t="shared" si="34"/>
        <v>2461.9565217391305</v>
      </c>
      <c r="AA64" s="8">
        <v>45300</v>
      </c>
      <c r="AB64" s="9">
        <v>18.399999999999999</v>
      </c>
      <c r="AC64" s="8" t="e">
        <f t="shared" si="35"/>
        <v>#DIV/0!</v>
      </c>
      <c r="AD64" s="8">
        <v>0</v>
      </c>
      <c r="AE64" s="9">
        <v>0</v>
      </c>
      <c r="AF64" s="8" t="e">
        <f t="shared" si="36"/>
        <v>#DIV/0!</v>
      </c>
      <c r="AG64" s="8">
        <v>0</v>
      </c>
      <c r="AH64" s="9">
        <v>0</v>
      </c>
      <c r="AI64" s="8" t="e">
        <f t="shared" si="37"/>
        <v>#DIV/0!</v>
      </c>
      <c r="AJ64" s="8">
        <v>0</v>
      </c>
      <c r="AK64" s="9">
        <v>0</v>
      </c>
      <c r="AL64" s="8" t="e">
        <f t="shared" si="38"/>
        <v>#DIV/0!</v>
      </c>
      <c r="AM64" s="8">
        <v>0</v>
      </c>
      <c r="AN64" s="9">
        <v>0</v>
      </c>
      <c r="AO64" s="8">
        <f t="shared" si="25"/>
        <v>2305.9277833500496</v>
      </c>
      <c r="AP64" s="8">
        <f t="shared" si="26"/>
        <v>229901</v>
      </c>
      <c r="AQ64" s="9">
        <f t="shared" si="26"/>
        <v>99.700000000000017</v>
      </c>
    </row>
    <row r="65" spans="1:43" x14ac:dyDescent="0.3">
      <c r="A65" s="17" t="s">
        <v>87</v>
      </c>
      <c r="B65" s="23"/>
      <c r="C65" s="23"/>
      <c r="D65" s="23"/>
      <c r="E65" s="8" t="e">
        <f t="shared" si="27"/>
        <v>#DIV/0!</v>
      </c>
      <c r="F65" s="8">
        <v>0</v>
      </c>
      <c r="G65" s="9">
        <v>0</v>
      </c>
      <c r="H65" s="8" t="e">
        <f t="shared" si="28"/>
        <v>#DIV/0!</v>
      </c>
      <c r="I65" s="8">
        <v>0</v>
      </c>
      <c r="J65" s="9">
        <v>0</v>
      </c>
      <c r="K65" s="8" t="e">
        <f t="shared" si="29"/>
        <v>#DIV/0!</v>
      </c>
      <c r="L65" s="8">
        <v>0</v>
      </c>
      <c r="M65" s="9">
        <v>0</v>
      </c>
      <c r="N65" s="8">
        <f t="shared" si="30"/>
        <v>2860.9876543209875</v>
      </c>
      <c r="O65" s="8">
        <v>69522</v>
      </c>
      <c r="P65" s="9">
        <v>24.3</v>
      </c>
      <c r="Q65" s="8">
        <f t="shared" si="31"/>
        <v>2844.090909090909</v>
      </c>
      <c r="R65" s="8">
        <v>31285</v>
      </c>
      <c r="S65" s="9">
        <v>11</v>
      </c>
      <c r="T65" s="8">
        <f t="shared" si="32"/>
        <v>2849.2622950819673</v>
      </c>
      <c r="U65" s="8">
        <v>34761</v>
      </c>
      <c r="V65" s="9">
        <v>12.2</v>
      </c>
      <c r="W65" s="8" t="e">
        <f t="shared" si="33"/>
        <v>#DIV/0!</v>
      </c>
      <c r="X65" s="8">
        <v>0</v>
      </c>
      <c r="Y65" s="9">
        <v>0</v>
      </c>
      <c r="Z65" s="8" t="e">
        <f t="shared" si="34"/>
        <v>#DIV/0!</v>
      </c>
      <c r="AA65" s="8">
        <v>0</v>
      </c>
      <c r="AB65" s="9">
        <v>0</v>
      </c>
      <c r="AC65" s="8">
        <f t="shared" si="35"/>
        <v>11076.666666666668</v>
      </c>
      <c r="AD65" s="8">
        <v>13292</v>
      </c>
      <c r="AE65" s="9">
        <v>1.2</v>
      </c>
      <c r="AF65" s="8">
        <f t="shared" si="36"/>
        <v>2463.6065573770493</v>
      </c>
      <c r="AG65" s="8">
        <v>30056</v>
      </c>
      <c r="AH65" s="9">
        <v>12.2</v>
      </c>
      <c r="AI65" s="8">
        <f t="shared" si="37"/>
        <v>2459.969879518072</v>
      </c>
      <c r="AJ65" s="8">
        <v>81671</v>
      </c>
      <c r="AK65" s="9">
        <v>33.200000000000003</v>
      </c>
      <c r="AL65" s="8" t="e">
        <f t="shared" si="38"/>
        <v>#DIV/0!</v>
      </c>
      <c r="AM65" s="8">
        <v>0</v>
      </c>
      <c r="AN65" s="9">
        <v>0</v>
      </c>
      <c r="AO65" s="8">
        <f t="shared" si="25"/>
        <v>2769.2561105207224</v>
      </c>
      <c r="AP65" s="8">
        <f t="shared" si="26"/>
        <v>260587</v>
      </c>
      <c r="AQ65" s="9">
        <f t="shared" si="26"/>
        <v>94.100000000000009</v>
      </c>
    </row>
    <row r="66" spans="1:43" x14ac:dyDescent="0.3">
      <c r="A66" s="17" t="s">
        <v>75</v>
      </c>
      <c r="B66" s="23"/>
      <c r="C66" s="23"/>
      <c r="D66" s="23"/>
      <c r="E66" s="11" t="e">
        <f t="shared" si="27"/>
        <v>#DIV/0!</v>
      </c>
      <c r="F66" s="11">
        <v>0</v>
      </c>
      <c r="G66" s="9">
        <v>0</v>
      </c>
      <c r="H66" s="11">
        <f t="shared" si="28"/>
        <v>2430.9392265193369</v>
      </c>
      <c r="I66" s="11">
        <v>44000</v>
      </c>
      <c r="J66" s="9">
        <v>18.100000000000001</v>
      </c>
      <c r="K66" s="11" t="e">
        <f t="shared" si="29"/>
        <v>#DIV/0!</v>
      </c>
      <c r="L66" s="11">
        <v>0</v>
      </c>
      <c r="M66" s="9">
        <v>0</v>
      </c>
      <c r="N66" s="11" t="e">
        <f t="shared" si="30"/>
        <v>#DIV/0!</v>
      </c>
      <c r="O66" s="11">
        <v>0</v>
      </c>
      <c r="P66" s="9">
        <v>0</v>
      </c>
      <c r="Q66" s="11">
        <f t="shared" si="31"/>
        <v>2730.8510638297871</v>
      </c>
      <c r="R66" s="11">
        <v>38505</v>
      </c>
      <c r="S66" s="9">
        <v>14.1</v>
      </c>
      <c r="T66" s="11" t="e">
        <f t="shared" si="32"/>
        <v>#DIV/0!</v>
      </c>
      <c r="U66" s="11">
        <v>0</v>
      </c>
      <c r="V66" s="9">
        <v>0</v>
      </c>
      <c r="W66" s="11" t="e">
        <f t="shared" si="33"/>
        <v>#DIV/0!</v>
      </c>
      <c r="X66" s="11">
        <v>0</v>
      </c>
      <c r="Y66" s="9">
        <v>0</v>
      </c>
      <c r="Z66" s="11">
        <f t="shared" si="34"/>
        <v>2329.4117647058824</v>
      </c>
      <c r="AA66" s="11">
        <v>3960</v>
      </c>
      <c r="AB66" s="9">
        <v>1.7</v>
      </c>
      <c r="AC66" s="11">
        <f t="shared" si="35"/>
        <v>5063.6842105263158</v>
      </c>
      <c r="AD66" s="11">
        <v>9621</v>
      </c>
      <c r="AE66" s="9">
        <v>1.9</v>
      </c>
      <c r="AF66" s="11">
        <f t="shared" si="36"/>
        <v>2411.6504854368932</v>
      </c>
      <c r="AG66" s="11">
        <v>24840</v>
      </c>
      <c r="AH66" s="9">
        <v>10.3</v>
      </c>
      <c r="AI66" s="11">
        <f t="shared" si="37"/>
        <v>2411.6504854368932</v>
      </c>
      <c r="AJ66" s="11">
        <v>24840</v>
      </c>
      <c r="AK66" s="9">
        <v>10.3</v>
      </c>
      <c r="AL66" s="11" t="e">
        <f t="shared" si="38"/>
        <v>#DIV/0!</v>
      </c>
      <c r="AM66" s="11">
        <v>0</v>
      </c>
      <c r="AN66" s="9">
        <v>0</v>
      </c>
      <c r="AO66" s="11">
        <f t="shared" si="25"/>
        <v>2584.5035460992904</v>
      </c>
      <c r="AP66" s="11">
        <f t="shared" si="26"/>
        <v>145766</v>
      </c>
      <c r="AQ66" s="9">
        <f t="shared" si="26"/>
        <v>56.400000000000006</v>
      </c>
    </row>
    <row r="67" spans="1:43" x14ac:dyDescent="0.3">
      <c r="A67" s="17" t="s">
        <v>39</v>
      </c>
      <c r="B67" s="23"/>
      <c r="C67" s="23"/>
      <c r="D67" s="23"/>
      <c r="E67" s="11" t="e">
        <f t="shared" si="27"/>
        <v>#DIV/0!</v>
      </c>
      <c r="F67" s="8">
        <v>0</v>
      </c>
      <c r="G67" s="9">
        <v>0</v>
      </c>
      <c r="H67" s="11" t="e">
        <f t="shared" si="28"/>
        <v>#DIV/0!</v>
      </c>
      <c r="I67" s="8">
        <v>0</v>
      </c>
      <c r="J67" s="9">
        <v>0</v>
      </c>
      <c r="K67" s="11" t="e">
        <f t="shared" si="29"/>
        <v>#DIV/0!</v>
      </c>
      <c r="L67" s="8">
        <v>0</v>
      </c>
      <c r="M67" s="9">
        <v>0</v>
      </c>
      <c r="N67" s="11" t="e">
        <f t="shared" si="30"/>
        <v>#DIV/0!</v>
      </c>
      <c r="O67" s="8">
        <v>0</v>
      </c>
      <c r="P67" s="9">
        <v>0</v>
      </c>
      <c r="Q67" s="11" t="e">
        <f t="shared" si="31"/>
        <v>#DIV/0!</v>
      </c>
      <c r="R67" s="8">
        <v>0</v>
      </c>
      <c r="S67" s="9">
        <v>0</v>
      </c>
      <c r="T67" s="11">
        <f t="shared" si="32"/>
        <v>2811.3953488372094</v>
      </c>
      <c r="U67" s="8">
        <v>12089</v>
      </c>
      <c r="V67" s="9">
        <v>4.3</v>
      </c>
      <c r="W67" s="11" t="e">
        <f t="shared" si="33"/>
        <v>#DIV/0!</v>
      </c>
      <c r="X67" s="8">
        <v>0</v>
      </c>
      <c r="Y67" s="9">
        <v>0</v>
      </c>
      <c r="Z67" s="11" t="e">
        <f t="shared" si="34"/>
        <v>#DIV/0!</v>
      </c>
      <c r="AA67" s="8">
        <v>0</v>
      </c>
      <c r="AB67" s="9">
        <v>0</v>
      </c>
      <c r="AC67" s="11" t="e">
        <f t="shared" si="35"/>
        <v>#DIV/0!</v>
      </c>
      <c r="AD67" s="8">
        <v>0</v>
      </c>
      <c r="AE67" s="9">
        <v>0</v>
      </c>
      <c r="AF67" s="11" t="e">
        <f t="shared" si="36"/>
        <v>#DIV/0!</v>
      </c>
      <c r="AG67" s="8">
        <v>0</v>
      </c>
      <c r="AH67" s="9">
        <v>0</v>
      </c>
      <c r="AI67" s="11" t="e">
        <f t="shared" si="37"/>
        <v>#DIV/0!</v>
      </c>
      <c r="AJ67" s="8">
        <v>0</v>
      </c>
      <c r="AK67" s="9">
        <v>0</v>
      </c>
      <c r="AL67" s="11" t="e">
        <f t="shared" si="38"/>
        <v>#DIV/0!</v>
      </c>
      <c r="AM67" s="8">
        <v>0</v>
      </c>
      <c r="AN67" s="9">
        <v>0</v>
      </c>
      <c r="AO67" s="11">
        <f t="shared" si="25"/>
        <v>2811.3953488372094</v>
      </c>
      <c r="AP67" s="8">
        <f t="shared" si="26"/>
        <v>12089</v>
      </c>
      <c r="AQ67" s="9">
        <f t="shared" si="26"/>
        <v>4.3</v>
      </c>
    </row>
    <row r="68" spans="1:43" x14ac:dyDescent="0.3">
      <c r="A68" s="18" t="s">
        <v>93</v>
      </c>
      <c r="B68" s="24"/>
      <c r="C68" s="24"/>
      <c r="D68" s="24"/>
      <c r="E68" s="15" t="e">
        <f t="shared" si="27"/>
        <v>#DIV/0!</v>
      </c>
      <c r="F68" s="13">
        <v>0</v>
      </c>
      <c r="G68" s="14">
        <v>0</v>
      </c>
      <c r="H68" s="15" t="e">
        <f t="shared" si="28"/>
        <v>#DIV/0!</v>
      </c>
      <c r="I68" s="13">
        <v>0</v>
      </c>
      <c r="J68" s="14">
        <v>0</v>
      </c>
      <c r="K68" s="15" t="e">
        <f t="shared" si="29"/>
        <v>#DIV/0!</v>
      </c>
      <c r="L68" s="13">
        <v>0</v>
      </c>
      <c r="M68" s="14">
        <v>0</v>
      </c>
      <c r="N68" s="15" t="e">
        <f t="shared" si="30"/>
        <v>#DIV/0!</v>
      </c>
      <c r="O68" s="13">
        <v>0</v>
      </c>
      <c r="P68" s="14">
        <v>0</v>
      </c>
      <c r="Q68" s="15" t="e">
        <f t="shared" si="31"/>
        <v>#DIV/0!</v>
      </c>
      <c r="R68" s="13">
        <v>0</v>
      </c>
      <c r="S68" s="14">
        <v>0</v>
      </c>
      <c r="T68" s="15" t="e">
        <f t="shared" si="32"/>
        <v>#DIV/0!</v>
      </c>
      <c r="U68" s="13">
        <v>0</v>
      </c>
      <c r="V68" s="14">
        <v>0</v>
      </c>
      <c r="W68" s="15" t="e">
        <f t="shared" si="33"/>
        <v>#DIV/0!</v>
      </c>
      <c r="X68" s="13">
        <v>0</v>
      </c>
      <c r="Y68" s="14">
        <v>0</v>
      </c>
      <c r="Z68" s="15" t="e">
        <f t="shared" si="34"/>
        <v>#DIV/0!</v>
      </c>
      <c r="AA68" s="13">
        <v>0</v>
      </c>
      <c r="AB68" s="14">
        <v>0</v>
      </c>
      <c r="AC68" s="15" t="e">
        <f t="shared" si="35"/>
        <v>#DIV/0!</v>
      </c>
      <c r="AD68" s="13">
        <v>0</v>
      </c>
      <c r="AE68" s="14">
        <v>0</v>
      </c>
      <c r="AF68" s="15" t="e">
        <f t="shared" si="36"/>
        <v>#DIV/0!</v>
      </c>
      <c r="AG68" s="13">
        <v>0</v>
      </c>
      <c r="AH68" s="14">
        <v>0</v>
      </c>
      <c r="AI68" s="15">
        <f t="shared" si="37"/>
        <v>1592.3809523809523</v>
      </c>
      <c r="AJ68" s="13">
        <v>6688</v>
      </c>
      <c r="AK68" s="14">
        <v>4.2</v>
      </c>
      <c r="AL68" s="15" t="e">
        <f t="shared" si="38"/>
        <v>#DIV/0!</v>
      </c>
      <c r="AM68" s="13">
        <v>0</v>
      </c>
      <c r="AN68" s="14">
        <v>0</v>
      </c>
      <c r="AO68" s="15">
        <f t="shared" ref="AO68" si="39">AP68/AQ68</f>
        <v>1592.3809523809523</v>
      </c>
      <c r="AP68" s="13">
        <f t="shared" ref="AP68:AQ68" si="40">SUM(F68,I68,L68,O68,R68,U68,X68,AA68,AD68,AG68,AJ68,AM68)</f>
        <v>6688</v>
      </c>
      <c r="AQ68" s="14">
        <f t="shared" si="40"/>
        <v>4.2</v>
      </c>
    </row>
    <row r="69" spans="1:43" x14ac:dyDescent="0.3">
      <c r="A69" s="1" t="s">
        <v>41</v>
      </c>
      <c r="B69" s="1"/>
    </row>
    <row r="70" spans="1:43" x14ac:dyDescent="0.3">
      <c r="A70" s="1" t="s">
        <v>77</v>
      </c>
      <c r="B70" s="1"/>
    </row>
    <row r="71" spans="1:43" x14ac:dyDescent="0.3">
      <c r="A71" s="1" t="s">
        <v>42</v>
      </c>
      <c r="B71" s="1"/>
    </row>
    <row r="72" spans="1:43" x14ac:dyDescent="0.3">
      <c r="A72" s="1" t="s">
        <v>43</v>
      </c>
      <c r="B72" s="1"/>
    </row>
    <row r="73" spans="1:43" x14ac:dyDescent="0.3">
      <c r="A73" s="1" t="s">
        <v>78</v>
      </c>
      <c r="B73" s="1"/>
    </row>
  </sheetData>
  <mergeCells count="16">
    <mergeCell ref="N1:P1"/>
    <mergeCell ref="Q1:S1"/>
    <mergeCell ref="T1:V1"/>
    <mergeCell ref="AL1:AN1"/>
    <mergeCell ref="AO1:AQ1"/>
    <mergeCell ref="W1:Y1"/>
    <mergeCell ref="Z1:AB1"/>
    <mergeCell ref="AC1:AE1"/>
    <mergeCell ref="AF1:AH1"/>
    <mergeCell ref="AI1:AK1"/>
    <mergeCell ref="E1:G1"/>
    <mergeCell ref="H1:J1"/>
    <mergeCell ref="K1:M1"/>
    <mergeCell ref="B3:B68"/>
    <mergeCell ref="C3:C68"/>
    <mergeCell ref="D3:D68"/>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2026-08-07T04:43:44Z</dcterms:modified>
</cp:coreProperties>
</file>