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17.90.4035\"/>
    </mc:Choice>
  </mc:AlternateContent>
  <bookViews>
    <workbookView xWindow="0" yWindow="0" windowWidth="25125" windowHeight="11640"/>
  </bookViews>
  <sheets>
    <sheet name="2022년" sheetId="1" r:id="rId1"/>
  </sheets>
  <calcPr calcId="162913"/>
</workbook>
</file>

<file path=xl/calcChain.xml><?xml version="1.0" encoding="utf-8"?>
<calcChain xmlns="http://schemas.openxmlformats.org/spreadsheetml/2006/main">
  <c r="AQ3" i="1" l="1"/>
  <c r="AP3" i="1"/>
  <c r="AO4" i="1"/>
  <c r="AQ4" i="1"/>
  <c r="AP4" i="1"/>
  <c r="AL5" i="1"/>
  <c r="AI4" i="1"/>
  <c r="AF4" i="1"/>
  <c r="AC4" i="1"/>
  <c r="Z4" i="1"/>
  <c r="W4" i="1"/>
  <c r="T4" i="1"/>
  <c r="Q4" i="1"/>
  <c r="N4" i="1"/>
  <c r="K4" i="1"/>
  <c r="E4" i="1"/>
  <c r="H4" i="1"/>
  <c r="E5" i="1"/>
  <c r="H5" i="1"/>
  <c r="K5" i="1"/>
  <c r="N5" i="1"/>
  <c r="Q5" i="1"/>
  <c r="T5" i="1"/>
  <c r="W5" i="1"/>
  <c r="Z5" i="1"/>
  <c r="AC5" i="1"/>
  <c r="AF5" i="1"/>
  <c r="AI5" i="1"/>
  <c r="AP5" i="1"/>
  <c r="AQ5" i="1"/>
  <c r="AO5" i="1" l="1"/>
  <c r="AN3" i="1"/>
  <c r="AM3" i="1"/>
  <c r="AK3" i="1"/>
  <c r="AJ3" i="1"/>
  <c r="AH3" i="1"/>
  <c r="AG3" i="1"/>
  <c r="AE3" i="1"/>
  <c r="AD3" i="1"/>
  <c r="AB3" i="1"/>
  <c r="AA3" i="1"/>
  <c r="Y3" i="1"/>
  <c r="X3" i="1"/>
  <c r="V3" i="1"/>
  <c r="U3" i="1"/>
  <c r="S3" i="1"/>
  <c r="R3" i="1"/>
  <c r="P3" i="1"/>
  <c r="O3" i="1"/>
  <c r="M3" i="1"/>
  <c r="L3" i="1"/>
  <c r="J3" i="1"/>
  <c r="I3" i="1"/>
  <c r="G3" i="1"/>
  <c r="F3" i="1"/>
  <c r="AC3" i="1" l="1"/>
  <c r="Q3" i="1"/>
  <c r="AL3" i="1"/>
  <c r="AF3" i="1"/>
  <c r="W3" i="1"/>
  <c r="T3" i="1"/>
  <c r="N3" i="1"/>
  <c r="K3" i="1"/>
  <c r="H3" i="1"/>
  <c r="AI3" i="1" l="1"/>
  <c r="Z3" i="1"/>
  <c r="E3" i="1"/>
  <c r="AO3" i="1" l="1"/>
</calcChain>
</file>

<file path=xl/sharedStrings.xml><?xml version="1.0" encoding="utf-8"?>
<sst xmlns="http://schemas.openxmlformats.org/spreadsheetml/2006/main" count="67" uniqueCount="31">
  <si>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</si>
  <si>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</si>
  <si>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</si>
  <si>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</si>
  <si>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</si>
  <si>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</si>
  <si>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</si>
  <si>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</si>
  <si>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</si>
  <si>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</si>
  <si>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</si>
  <si>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</si>
  <si>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</si>
  <si>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</si>
  <si>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</si>
  <si>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</si>
  <si>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</si>
  <si>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</si>
  <si>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</si>
  <si>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</si>
  <si>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</si>
  <si>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</si>
  <si>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</si>
  <si>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</si>
  <si>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</si>
  <si>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HYDRGNTD</t>
    <phoneticPr fontId="18" type="noConversion"/>
  </si>
  <si>
    <t>4. Product Group : FAS</t>
    <phoneticPr fontId="18" type="noConversion"/>
  </si>
  <si>
    <t>2. FAS Totals include all Agricultural commodities and FAS selected NONAG commodity items.</t>
    <phoneticPr fontId="18" type="noConversion"/>
  </si>
  <si>
    <t>Mexico</t>
    <phoneticPr fontId="18" type="noConversion"/>
  </si>
  <si>
    <t>3.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</si>
  <si>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South Korea</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</si>
</sst>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5">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xf numFmtId="176" fontId="0" fillId="0" borderId="16" xfId="0" applyNumberFormat="1" applyBorder="1" applyAlignment="1">
      <alignment horizontal="center" vertical="center"/>
    </xf>
    <xf numFmtId="176" fontId="0" fillId="0" borderId="22" xfId="0" applyNumberFormat="1" applyBorder="1" applyAlignment="1">
      <alignment horizontal="center" vertical="center"/>
    </xf>
    <xf numFmtId="176" fontId="0" fillId="0" borderId="17" xfId="0" applyNumberFormat="1" applyBorder="1" applyAlignment="1">
      <alignment horizontal="center" vertical="center"/>
    </xf>
    <xf numFmtId="176" fontId="0" fillId="0" borderId="0"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0"/>
  <sheetViews>
    <sheetView showGridLines="0" tabSelected="1" zoomScaleNormal="100" workbookViewId="0">
      <pane ySplit="2" topLeftCell="A3" activePane="bottomLeft" state="frozen"/>
      <selection pane="bottomLeft" activeCell="A2" sqref="A2"/>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4" t="s">
        <v>0</v>
      </c>
      <c r="F1" s="15"/>
      <c r="G1" s="16"/>
      <c r="H1" s="17" t="s">
        <v>1</v>
      </c>
      <c r="I1" s="18"/>
      <c r="J1" s="19"/>
      <c r="K1" s="17" t="s">
        <v>2</v>
      </c>
      <c r="L1" s="18"/>
      <c r="M1" s="19"/>
      <c r="N1" s="17" t="s">
        <v>3</v>
      </c>
      <c r="O1" s="18"/>
      <c r="P1" s="19"/>
      <c r="Q1" s="17" t="s">
        <v>4</v>
      </c>
      <c r="R1" s="18"/>
      <c r="S1" s="19"/>
      <c r="T1" s="17" t="s">
        <v>5</v>
      </c>
      <c r="U1" s="18"/>
      <c r="V1" s="19"/>
      <c r="W1" s="17" t="s">
        <v>6</v>
      </c>
      <c r="X1" s="18"/>
      <c r="Y1" s="19"/>
      <c r="Z1" s="17" t="s">
        <v>7</v>
      </c>
      <c r="AA1" s="18"/>
      <c r="AB1" s="19"/>
      <c r="AC1" s="17" t="s">
        <v>8</v>
      </c>
      <c r="AD1" s="18"/>
      <c r="AE1" s="19"/>
      <c r="AF1" s="17" t="s">
        <v>9</v>
      </c>
      <c r="AG1" s="18"/>
      <c r="AH1" s="19"/>
      <c r="AI1" s="17" t="s">
        <v>10</v>
      </c>
      <c r="AJ1" s="18"/>
      <c r="AK1" s="19"/>
      <c r="AL1" s="17" t="s">
        <v>11</v>
      </c>
      <c r="AM1" s="18"/>
      <c r="AN1" s="19"/>
      <c r="AO1" s="17" t="s">
        <v>12</v>
      </c>
      <c r="AP1" s="18"/>
      <c r="AQ1" s="19"/>
    </row>
    <row r="2" spans="1:67" x14ac:dyDescent="0.3">
      <c r="A2" s="2" t="s">
        <v>19</v>
      </c>
      <c r="B2" s="2" t="s">
        <v>24</v>
      </c>
      <c r="C2" s="2" t="s">
        <v>13</v>
      </c>
      <c r="D2" s="2" t="s">
        <v>20</v>
      </c>
      <c r="E2" s="4" t="s">
        <v>14</v>
      </c>
      <c r="F2" s="2" t="s">
        <v>20</v>
      </c>
      <c r="G2" s="5" t="s">
        <v>15</v>
      </c>
      <c r="H2" s="2" t="s">
        <v>14</v>
      </c>
      <c r="I2" s="2" t="s">
        <v>20</v>
      </c>
      <c r="J2" s="5" t="s">
        <v>15</v>
      </c>
      <c r="K2" s="2" t="s">
        <v>14</v>
      </c>
      <c r="L2" s="2" t="s">
        <v>20</v>
      </c>
      <c r="M2" s="5" t="s">
        <v>15</v>
      </c>
      <c r="N2" s="2" t="s">
        <v>14</v>
      </c>
      <c r="O2" s="2" t="s">
        <v>20</v>
      </c>
      <c r="P2" s="5" t="s">
        <v>15</v>
      </c>
      <c r="Q2" s="2" t="s">
        <v>14</v>
      </c>
      <c r="R2" s="2" t="s">
        <v>20</v>
      </c>
      <c r="S2" s="5" t="s">
        <v>15</v>
      </c>
      <c r="T2" s="2" t="s">
        <v>14</v>
      </c>
      <c r="U2" s="2" t="s">
        <v>20</v>
      </c>
      <c r="V2" s="5" t="s">
        <v>15</v>
      </c>
      <c r="W2" s="2" t="s">
        <v>14</v>
      </c>
      <c r="X2" s="2" t="s">
        <v>20</v>
      </c>
      <c r="Y2" s="5" t="s">
        <v>15</v>
      </c>
      <c r="Z2" s="2" t="s">
        <v>14</v>
      </c>
      <c r="AA2" s="2" t="s">
        <v>20</v>
      </c>
      <c r="AB2" s="5" t="s">
        <v>15</v>
      </c>
      <c r="AC2" s="2" t="s">
        <v>14</v>
      </c>
      <c r="AD2" s="2" t="s">
        <v>20</v>
      </c>
      <c r="AE2" s="5" t="s">
        <v>15</v>
      </c>
      <c r="AF2" s="2" t="s">
        <v>14</v>
      </c>
      <c r="AG2" s="2" t="s">
        <v>20</v>
      </c>
      <c r="AH2" s="5" t="s">
        <v>15</v>
      </c>
      <c r="AI2" s="2" t="s">
        <v>14</v>
      </c>
      <c r="AJ2" s="2" t="s">
        <v>20</v>
      </c>
      <c r="AK2" s="5" t="s">
        <v>15</v>
      </c>
      <c r="AL2" s="2" t="s">
        <v>14</v>
      </c>
      <c r="AM2" s="2" t="s">
        <v>20</v>
      </c>
      <c r="AN2" s="5" t="s">
        <v>15</v>
      </c>
      <c r="AO2" s="2" t="s">
        <v>14</v>
      </c>
      <c r="AP2" s="2" t="s">
        <v>22</v>
      </c>
      <c r="AQ2" s="5" t="s">
        <v>15</v>
      </c>
    </row>
    <row r="3" spans="1:67" ht="15" customHeight="1" x14ac:dyDescent="0.3">
      <c r="A3" s="11" t="s">
        <v>16</v>
      </c>
      <c r="B3" s="12" t="s">
        <v>25</v>
      </c>
      <c r="C3" s="20" t="s">
        <v>17</v>
      </c>
      <c r="D3" s="20" t="s">
        <v>21</v>
      </c>
      <c r="E3" s="8" t="e">
        <f>F3/G3</f>
        <v>#DIV/0!</v>
      </c>
      <c r="F3" s="9">
        <f>SUM(F5:F5)</f>
        <v>0</v>
      </c>
      <c r="G3" s="10">
        <f>SUM(G5:G5)</f>
        <v>0</v>
      </c>
      <c r="H3" s="9" t="e">
        <f>I3/J3</f>
        <v>#DIV/0!</v>
      </c>
      <c r="I3" s="9">
        <f>SUM(I5:I5)</f>
        <v>0</v>
      </c>
      <c r="J3" s="10">
        <f>SUM(J5:J5)</f>
        <v>0</v>
      </c>
      <c r="K3" s="9">
        <f>L3/M3</f>
        <v>2036.3848920863309</v>
      </c>
      <c r="L3" s="9">
        <f>SUM(L5:L5)</f>
        <v>113223</v>
      </c>
      <c r="M3" s="10">
        <f>SUM(M5:M5)</f>
        <v>55.6</v>
      </c>
      <c r="N3" s="9">
        <f>O3/P3</f>
        <v>1958.1818181818182</v>
      </c>
      <c r="O3" s="9">
        <f>SUM(O5:O5)</f>
        <v>142164</v>
      </c>
      <c r="P3" s="10">
        <f>SUM(P5:P5)</f>
        <v>72.599999999999994</v>
      </c>
      <c r="Q3" s="9">
        <f>R3/S3</f>
        <v>2032.8860294117649</v>
      </c>
      <c r="R3" s="9">
        <f>SUM(R5:R5)</f>
        <v>110589</v>
      </c>
      <c r="S3" s="10">
        <f>SUM(S5:S5)</f>
        <v>54.4</v>
      </c>
      <c r="T3" s="9">
        <f>U3/V3</f>
        <v>2031.9283746556475</v>
      </c>
      <c r="U3" s="9">
        <f>SUM(U5:U5)</f>
        <v>73759</v>
      </c>
      <c r="V3" s="10">
        <f>SUM(V5:V5)</f>
        <v>36.299999999999997</v>
      </c>
      <c r="W3" s="9" t="e">
        <f>X3/Y3</f>
        <v>#DIV/0!</v>
      </c>
      <c r="X3" s="9">
        <f>SUM(X5:X5)</f>
        <v>0</v>
      </c>
      <c r="Y3" s="10">
        <f>SUM(Y5:Y5)</f>
        <v>0</v>
      </c>
      <c r="Z3" s="9">
        <f>AA3/AB3</f>
        <v>1921.0110294117649</v>
      </c>
      <c r="AA3" s="9">
        <f>SUM(AA5:AA5)</f>
        <v>104503</v>
      </c>
      <c r="AB3" s="10">
        <f>SUM(AB5:AB5)</f>
        <v>54.4</v>
      </c>
      <c r="AC3" s="9">
        <f>AD3/AE3</f>
        <v>1899.3388429752067</v>
      </c>
      <c r="AD3" s="9">
        <f>SUM(AD5:AD5)</f>
        <v>68946</v>
      </c>
      <c r="AE3" s="10">
        <f>SUM(AE5:AE5)</f>
        <v>36.299999999999997</v>
      </c>
      <c r="AF3" s="9">
        <f>AG3/AH3</f>
        <v>1900.1928374655649</v>
      </c>
      <c r="AG3" s="9">
        <f>SUM(AG5:AG5)</f>
        <v>68977</v>
      </c>
      <c r="AH3" s="10">
        <f>SUM(AH5:AH5)</f>
        <v>36.299999999999997</v>
      </c>
      <c r="AI3" s="9" t="e">
        <f>AJ3/AK3</f>
        <v>#DIV/0!</v>
      </c>
      <c r="AJ3" s="9">
        <f>SUM(AJ5:AJ5)</f>
        <v>0</v>
      </c>
      <c r="AK3" s="10">
        <f>SUM(AK5:AK5)</f>
        <v>0</v>
      </c>
      <c r="AL3" s="9" t="e">
        <f>AM3/AN3</f>
        <v>#DIV/0!</v>
      </c>
      <c r="AM3" s="9">
        <f>SUM(AM5:AM5)</f>
        <v>0</v>
      </c>
      <c r="AN3" s="10">
        <f>SUM(AN5:AN5)</f>
        <v>0</v>
      </c>
      <c r="AO3" s="9">
        <f>AP3/AQ3</f>
        <v>1966.2220357941837</v>
      </c>
      <c r="AP3" s="9">
        <f>SUM(AP4:AP5)</f>
        <v>703121</v>
      </c>
      <c r="AQ3" s="10">
        <f t="shared" ref="AQ3" si="0">SUM(AQ4:AQ5)</f>
        <v>357.59999999999997</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7" t="s">
        <v>30</v>
      </c>
      <c r="B4" s="12"/>
      <c r="C4" s="12"/>
      <c r="D4" s="12"/>
      <c r="E4" s="21" t="e">
        <f t="shared" ref="E4" si="1">F4/G4</f>
        <v>#DIV/0!</v>
      </c>
      <c r="F4" s="22">
        <v>0</v>
      </c>
      <c r="G4" s="23">
        <v>0</v>
      </c>
      <c r="H4" s="22" t="e">
        <f t="shared" ref="H4:H5" si="2">I4/J4</f>
        <v>#DIV/0!</v>
      </c>
      <c r="I4" s="22">
        <v>0</v>
      </c>
      <c r="J4" s="23">
        <v>0</v>
      </c>
      <c r="K4" s="21" t="e">
        <f t="shared" ref="K4" si="3">L4/M4</f>
        <v>#DIV/0!</v>
      </c>
      <c r="L4" s="22">
        <v>0</v>
      </c>
      <c r="M4" s="23">
        <v>0</v>
      </c>
      <c r="N4" s="21" t="e">
        <f t="shared" ref="N4" si="4">O4/P4</f>
        <v>#DIV/0!</v>
      </c>
      <c r="O4" s="22">
        <v>0</v>
      </c>
      <c r="P4" s="23">
        <v>0</v>
      </c>
      <c r="Q4" s="21" t="e">
        <f t="shared" ref="Q4" si="5">R4/S4</f>
        <v>#DIV/0!</v>
      </c>
      <c r="R4" s="22">
        <v>0</v>
      </c>
      <c r="S4" s="23">
        <v>0</v>
      </c>
      <c r="T4" s="21" t="e">
        <f t="shared" ref="T4" si="6">U4/V4</f>
        <v>#DIV/0!</v>
      </c>
      <c r="U4" s="22">
        <v>0</v>
      </c>
      <c r="V4" s="23">
        <v>0</v>
      </c>
      <c r="W4" s="21" t="e">
        <f t="shared" ref="W4" si="7">X4/Y4</f>
        <v>#DIV/0!</v>
      </c>
      <c r="X4" s="22">
        <v>0</v>
      </c>
      <c r="Y4" s="23">
        <v>0</v>
      </c>
      <c r="Z4" s="21" t="e">
        <f t="shared" ref="Z4" si="8">AA4/AB4</f>
        <v>#DIV/0!</v>
      </c>
      <c r="AA4" s="22">
        <v>0</v>
      </c>
      <c r="AB4" s="23">
        <v>0</v>
      </c>
      <c r="AC4" s="21" t="e">
        <f t="shared" ref="AC4" si="9">AD4/AE4</f>
        <v>#DIV/0!</v>
      </c>
      <c r="AD4" s="22">
        <v>0</v>
      </c>
      <c r="AE4" s="23">
        <v>0</v>
      </c>
      <c r="AF4" s="21" t="e">
        <f t="shared" ref="AF4" si="10">AG4/AH4</f>
        <v>#DIV/0!</v>
      </c>
      <c r="AG4" s="22">
        <v>0</v>
      </c>
      <c r="AH4" s="23">
        <v>0</v>
      </c>
      <c r="AI4" s="21" t="e">
        <f t="shared" ref="AI4" si="11">AJ4/AK4</f>
        <v>#DIV/0!</v>
      </c>
      <c r="AJ4" s="22">
        <v>0</v>
      </c>
      <c r="AK4" s="23">
        <v>0</v>
      </c>
      <c r="AL4" s="24">
        <v>1791.4529914529915</v>
      </c>
      <c r="AM4" s="24">
        <v>20960</v>
      </c>
      <c r="AN4" s="6">
        <v>11.7</v>
      </c>
      <c r="AO4" s="24">
        <f t="shared" ref="AO4:AO5" si="12">AP4/AQ4</f>
        <v>1791.4529914529915</v>
      </c>
      <c r="AP4" s="24">
        <f t="shared" ref="AP4:AP5" si="13">SUM(F4,I4,L4,O4,R4,U4,X4,AA4,AD4,AG4,AJ4,AM4)</f>
        <v>20960</v>
      </c>
      <c r="AQ4" s="6">
        <f t="shared" ref="AQ4:AQ5" si="14">SUM(G4,J4,M4,P4,S4,V4,Y4,AB4,AE4,AH4,AK4,AN4)</f>
        <v>11.7</v>
      </c>
      <c r="AR4" s="24"/>
      <c r="AS4" s="24"/>
      <c r="AT4" s="24"/>
      <c r="AU4" s="24"/>
      <c r="AV4" s="24"/>
      <c r="AW4" s="3"/>
      <c r="AX4" s="3"/>
      <c r="AY4" s="3"/>
      <c r="AZ4" s="3"/>
      <c r="BA4" s="3"/>
      <c r="BB4" s="3"/>
      <c r="BC4" s="3"/>
      <c r="BD4" s="3"/>
      <c r="BE4" s="3"/>
      <c r="BF4" s="3"/>
      <c r="BG4" s="3"/>
      <c r="BH4" s="3"/>
      <c r="BI4" s="3"/>
      <c r="BJ4" s="3"/>
      <c r="BK4" s="3"/>
      <c r="BL4" s="3"/>
      <c r="BM4" s="3"/>
      <c r="BN4" s="3"/>
      <c r="BO4" s="3"/>
    </row>
    <row r="5" spans="1:67" ht="15" customHeight="1" x14ac:dyDescent="0.3">
      <c r="A5" s="11" t="s">
        <v>28</v>
      </c>
      <c r="B5" s="13"/>
      <c r="C5" s="13"/>
      <c r="D5" s="13"/>
      <c r="E5" s="8" t="e">
        <f t="shared" ref="E5" si="15">F5/G5</f>
        <v>#DIV/0!</v>
      </c>
      <c r="F5" s="9">
        <v>0</v>
      </c>
      <c r="G5" s="10">
        <v>0</v>
      </c>
      <c r="H5" s="9" t="e">
        <f t="shared" si="2"/>
        <v>#DIV/0!</v>
      </c>
      <c r="I5" s="9">
        <v>0</v>
      </c>
      <c r="J5" s="10">
        <v>0</v>
      </c>
      <c r="K5" s="9">
        <f t="shared" ref="K5" si="16">L5/M5</f>
        <v>2036.3848920863309</v>
      </c>
      <c r="L5" s="9">
        <v>113223</v>
      </c>
      <c r="M5" s="10">
        <v>55.6</v>
      </c>
      <c r="N5" s="9">
        <f t="shared" ref="N5" si="17">O5/P5</f>
        <v>1958.1818181818182</v>
      </c>
      <c r="O5" s="9">
        <v>142164</v>
      </c>
      <c r="P5" s="10">
        <v>72.599999999999994</v>
      </c>
      <c r="Q5" s="9">
        <f t="shared" ref="Q5" si="18">R5/S5</f>
        <v>2032.8860294117649</v>
      </c>
      <c r="R5" s="9">
        <v>110589</v>
      </c>
      <c r="S5" s="10">
        <v>54.4</v>
      </c>
      <c r="T5" s="9">
        <f t="shared" ref="T5" si="19">U5/V5</f>
        <v>2031.9283746556475</v>
      </c>
      <c r="U5" s="9">
        <v>73759</v>
      </c>
      <c r="V5" s="10">
        <v>36.299999999999997</v>
      </c>
      <c r="W5" s="9" t="e">
        <f t="shared" ref="W5" si="20">X5/Y5</f>
        <v>#DIV/0!</v>
      </c>
      <c r="X5" s="9">
        <v>0</v>
      </c>
      <c r="Y5" s="10">
        <v>0</v>
      </c>
      <c r="Z5" s="9">
        <f t="shared" ref="Z5" si="21">AA5/AB5</f>
        <v>1921.0110294117649</v>
      </c>
      <c r="AA5" s="9">
        <v>104503</v>
      </c>
      <c r="AB5" s="10">
        <v>54.4</v>
      </c>
      <c r="AC5" s="9">
        <f t="shared" ref="AC5" si="22">AD5/AE5</f>
        <v>1899.3388429752067</v>
      </c>
      <c r="AD5" s="9">
        <v>68946</v>
      </c>
      <c r="AE5" s="10">
        <v>36.299999999999997</v>
      </c>
      <c r="AF5" s="9">
        <f t="shared" ref="AF5" si="23">AG5/AH5</f>
        <v>1900.1928374655649</v>
      </c>
      <c r="AG5" s="9">
        <v>68977</v>
      </c>
      <c r="AH5" s="10">
        <v>36.299999999999997</v>
      </c>
      <c r="AI5" s="9" t="e">
        <f t="shared" ref="AI5" si="24">AJ5/AK5</f>
        <v>#DIV/0!</v>
      </c>
      <c r="AJ5" s="9">
        <v>0</v>
      </c>
      <c r="AK5" s="10">
        <v>0</v>
      </c>
      <c r="AL5" s="9" t="e">
        <f t="shared" ref="AL5" si="25">AM5/AN5</f>
        <v>#DIV/0!</v>
      </c>
      <c r="AM5" s="9">
        <v>0</v>
      </c>
      <c r="AN5" s="10">
        <v>0</v>
      </c>
      <c r="AO5" s="9">
        <f t="shared" si="12"/>
        <v>1972.1335646140503</v>
      </c>
      <c r="AP5" s="9">
        <f t="shared" si="13"/>
        <v>682161</v>
      </c>
      <c r="AQ5" s="10">
        <f t="shared" si="14"/>
        <v>345.9</v>
      </c>
      <c r="AR5" s="3"/>
      <c r="AS5" s="3"/>
      <c r="AT5" s="3"/>
      <c r="AU5" s="3"/>
      <c r="AV5" s="3"/>
      <c r="AW5" s="3"/>
      <c r="AX5" s="3"/>
      <c r="AY5" s="3"/>
      <c r="AZ5" s="3"/>
      <c r="BA5" s="3"/>
      <c r="BB5" s="3"/>
      <c r="BC5" s="3"/>
      <c r="BD5" s="3"/>
      <c r="BE5" s="3"/>
      <c r="BF5" s="3"/>
      <c r="BG5" s="3"/>
      <c r="BH5" s="3"/>
      <c r="BI5" s="3"/>
      <c r="BJ5" s="3"/>
      <c r="BK5" s="3"/>
      <c r="BL5" s="3"/>
      <c r="BM5" s="3"/>
      <c r="BN5" s="3"/>
      <c r="BO5" s="3"/>
    </row>
    <row r="6" spans="1:67" x14ac:dyDescent="0.3">
      <c r="A6" s="1" t="s">
        <v>18</v>
      </c>
      <c r="B6" s="1"/>
    </row>
    <row r="7" spans="1:67" x14ac:dyDescent="0.3">
      <c r="A7" s="1" t="s">
        <v>23</v>
      </c>
      <c r="B7" s="1"/>
    </row>
    <row r="8" spans="1:67" x14ac:dyDescent="0.3">
      <c r="A8" s="1" t="s">
        <v>27</v>
      </c>
      <c r="B8" s="1"/>
    </row>
    <row r="9" spans="1:67" x14ac:dyDescent="0.3">
      <c r="A9" s="1" t="s">
        <v>29</v>
      </c>
      <c r="B9" s="1"/>
    </row>
    <row r="10" spans="1:67" x14ac:dyDescent="0.3">
      <c r="A10" s="1" t="s">
        <v>26</v>
      </c>
      <c r="B10" s="1"/>
    </row>
  </sheetData>
  <mergeCells count="16">
    <mergeCell ref="N1:P1"/>
    <mergeCell ref="Q1:S1"/>
    <mergeCell ref="T1:V1"/>
    <mergeCell ref="AL1:AN1"/>
    <mergeCell ref="AO1:AQ1"/>
    <mergeCell ref="W1:Y1"/>
    <mergeCell ref="Z1:AB1"/>
    <mergeCell ref="AC1:AE1"/>
    <mergeCell ref="AF1:AH1"/>
    <mergeCell ref="AI1:AK1"/>
    <mergeCell ref="B3:B5"/>
    <mergeCell ref="E1:G1"/>
    <mergeCell ref="H1:J1"/>
    <mergeCell ref="K1:M1"/>
    <mergeCell ref="C3:C5"/>
    <mergeCell ref="D3:D5"/>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2022년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2026-08-11T00:14:06Z</dcterms:modified>
</cp:coreProperties>
</file>