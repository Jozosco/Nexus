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C3" i="1" l="1"/>
  <c r="Q3" i="1"/>
  <c r="AL3" i="1"/>
  <c r="AF3" i="1"/>
  <c r="W3" i="1"/>
  <c r="T3" i="1"/>
  <c r="N3" i="1"/>
  <c r="K3" i="1"/>
  <c r="H3" i="1"/>
  <c r="AP5" i="1"/>
  <c r="AP3" i="1" s="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Q5" i="1"/>
  <c r="AI3" i="1" l="1"/>
  <c r="Z3" i="1"/>
  <c r="E3" i="1"/>
  <c r="AO5" i="1"/>
  <c r="AO6" i="1"/>
  <c r="AO7"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<sst xmlns="http://schemas.openxmlformats.org/spreadsheetml/2006/main" count="69" uniqueCount="33">
  <si>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</si>
  <si>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</si>
  <si>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</si>
  <si>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</si>
  <si>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</si>
  <si>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</si>
  <si>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</si>
  <si>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</si>
  <si>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</si>
  <si>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</si>
  <si>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</si>
  <si>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</si>
  <si>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</si>
  <si>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</si>
  <si>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</si>
  <si>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</si>
  <si>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</si>
  <si>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</si>
  <si>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</si>
  <si>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</si>
  <si>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</si>
  <si>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</si>
  <si>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</si>
  <si>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</si>
  <si>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</si>
  <si>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</si>
  <si>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</si>
  <si>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</si>
  <si>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Japan</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</si>
  <si>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</si>
  <si>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</si>
  <si>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</si>
  <si>
    <t>Netherlands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</si>
</sst>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t="e">
        <f>F3/G3</f>
        <v>#DIV/0!</v>
      </c>
      <c r="F3" s="9">
        <f>SUM(F4:F7)</f>
        <v>0</v>
      </c>
      <c r="G3" s="10">
        <f>SUM(G4:G7)</f>
        <v>0</v>
      </c>
      <c r="H3" s="9">
        <f>I3/J3</f>
        <v>1744.5396419437338</v>
      </c>
      <c r="I3" s="9">
        <f>SUM(I4:I7)</f>
        <v>136423</v>
      </c>
      <c r="J3" s="10">
        <f>SUM(J4:J7)</f>
        <v>78.2</v>
      </c>
      <c r="K3" s="9">
        <f>L3/M3</f>
        <v>11586.666666666668</v>
      </c>
      <c r="L3" s="9">
        <f>SUM(L4:L7)</f>
        <v>6952</v>
      </c>
      <c r="M3" s="10">
        <f>SUM(M4:M7)</f>
        <v>0.6</v>
      </c>
      <c r="N3" s="9" t="e">
        <f>O3/P3</f>
        <v>#DIV/0!</v>
      </c>
      <c r="O3" s="9">
        <f>SUM(O4:O7)</f>
        <v>0</v>
      </c>
      <c r="P3" s="10">
        <f>SUM(P4:P7)</f>
        <v>0</v>
      </c>
      <c r="Q3" s="9">
        <f>R3/S3</f>
        <v>2001.1159062885329</v>
      </c>
      <c r="R3" s="9">
        <f>SUM(R4:R7)</f>
        <v>324581</v>
      </c>
      <c r="S3" s="10">
        <f>SUM(S4:S7)</f>
        <v>162.19999999999999</v>
      </c>
      <c r="T3" s="9">
        <f>U3/V3</f>
        <v>4311.0828025477713</v>
      </c>
      <c r="U3" s="9">
        <f>SUM(U4:U7)</f>
        <v>67684</v>
      </c>
      <c r="V3" s="10">
        <f>SUM(V4:V7)</f>
        <v>15.7</v>
      </c>
      <c r="W3" s="9">
        <f>X3/Y3</f>
        <v>1591.1809045226132</v>
      </c>
      <c r="X3" s="9">
        <f>SUM(X4:X7)</f>
        <v>126658</v>
      </c>
      <c r="Y3" s="10">
        <f>SUM(Y4:Y7)</f>
        <v>79.599999999999994</v>
      </c>
      <c r="Z3" s="9">
        <f>AA3/AB3</f>
        <v>1819.0927835051546</v>
      </c>
      <c r="AA3" s="9">
        <f>SUM(AA4:AA7)</f>
        <v>176452</v>
      </c>
      <c r="AB3" s="10">
        <f>SUM(AB4:AB7)</f>
        <v>97</v>
      </c>
      <c r="AC3" s="9" t="e">
        <f>AD3/AE3</f>
        <v>#DIV/0!</v>
      </c>
      <c r="AD3" s="9">
        <f>SUM(AD4:AD7)</f>
        <v>0</v>
      </c>
      <c r="AE3" s="10">
        <f>SUM(AE4:AE7)</f>
        <v>0</v>
      </c>
      <c r="AF3" s="9" t="e">
        <f>AG3/AH3</f>
        <v>#DIV/0!</v>
      </c>
      <c r="AG3" s="9">
        <f>SUM(AG4:AG7)</f>
        <v>0</v>
      </c>
      <c r="AH3" s="10">
        <f>SUM(AH4:AH7)</f>
        <v>0</v>
      </c>
      <c r="AI3" s="9">
        <f>AJ3/AK3</f>
        <v>2468.4210526315792</v>
      </c>
      <c r="AJ3" s="9">
        <f>SUM(AJ4:AJ7)</f>
        <v>4690</v>
      </c>
      <c r="AK3" s="10">
        <f>SUM(AK4:AK7)</f>
        <v>1.9</v>
      </c>
      <c r="AL3" s="9">
        <f>AM3/AN3</f>
        <v>1619.5425667090215</v>
      </c>
      <c r="AM3" s="9">
        <f>SUM(AM4:AM7)</f>
        <v>127458</v>
      </c>
      <c r="AN3" s="10">
        <f>SUM(AN4:AN7)</f>
        <v>78.7</v>
      </c>
      <c r="AO3" s="9">
        <f>AP3/AQ3</f>
        <v>1889.274177855614</v>
      </c>
      <c r="AP3" s="9">
        <f>SUM(AP4:AP7)</f>
        <v>970898</v>
      </c>
      <c r="AQ3" s="10">
        <f>SUM(AQ4:AQ7)</f>
        <v>513.9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t="e">
        <f t="shared" ref="E4:E7" si="0">F4/G4</f>
        <v>#DIV/0!</v>
      </c>
      <c r="F4" s="3">
        <v>0</v>
      </c>
      <c r="G4" s="6">
        <v>0</v>
      </c>
      <c r="H4" s="3">
        <f t="shared" ref="H4:H7" si="1">I4/J4</f>
        <v>1744.5396419437338</v>
      </c>
      <c r="I4" s="3">
        <v>136423</v>
      </c>
      <c r="J4" s="6">
        <v>78.2</v>
      </c>
      <c r="K4" s="3" t="e">
        <f t="shared" ref="K4:K7" si="2">L4/M4</f>
        <v>#DIV/0!</v>
      </c>
      <c r="L4" s="3">
        <v>0</v>
      </c>
      <c r="M4" s="6">
        <v>0</v>
      </c>
      <c r="N4" s="3" t="e">
        <f t="shared" ref="N4:N7" si="3">O4/P4</f>
        <v>#DIV/0!</v>
      </c>
      <c r="O4" s="3">
        <v>0</v>
      </c>
      <c r="P4" s="6">
        <v>0</v>
      </c>
      <c r="Q4" s="3">
        <f t="shared" ref="Q4:Q7" si="4">R4/S4</f>
        <v>2001.1159062885329</v>
      </c>
      <c r="R4" s="3">
        <v>324581</v>
      </c>
      <c r="S4" s="6">
        <v>162.19999999999999</v>
      </c>
      <c r="T4" s="3">
        <f t="shared" ref="T4:T7" si="5">U4/V4</f>
        <v>4311.0828025477713</v>
      </c>
      <c r="U4" s="3">
        <v>67684</v>
      </c>
      <c r="V4" s="6">
        <v>15.7</v>
      </c>
      <c r="W4" s="3">
        <f t="shared" ref="W4:W7" si="6">X4/Y4</f>
        <v>1591.1809045226132</v>
      </c>
      <c r="X4" s="3">
        <v>126658</v>
      </c>
      <c r="Y4" s="6">
        <v>79.599999999999994</v>
      </c>
      <c r="Z4" s="3">
        <f t="shared" ref="Z4:Z7" si="7">AA4/AB4</f>
        <v>1730.0254129606099</v>
      </c>
      <c r="AA4" s="3">
        <v>136153</v>
      </c>
      <c r="AB4" s="6">
        <v>78.7</v>
      </c>
      <c r="AC4" s="3" t="e">
        <f t="shared" ref="AC4:AC7" si="8">AD4/AE4</f>
        <v>#DIV/0!</v>
      </c>
      <c r="AD4" s="3">
        <v>0</v>
      </c>
      <c r="AE4" s="6">
        <v>0</v>
      </c>
      <c r="AF4" s="3" t="e">
        <f t="shared" ref="AF4:AF7" si="9">AG4/AH4</f>
        <v>#DIV/0!</v>
      </c>
      <c r="AG4" s="3">
        <v>0</v>
      </c>
      <c r="AH4" s="6">
        <v>0</v>
      </c>
      <c r="AI4" s="3" t="e">
        <f t="shared" ref="AI4:AI7" si="10">AJ4/AK4</f>
        <v>#DIV/0!</v>
      </c>
      <c r="AJ4" s="3">
        <v>0</v>
      </c>
      <c r="AK4" s="6">
        <v>0</v>
      </c>
      <c r="AL4" s="3">
        <f t="shared" ref="AL4:AL7" si="11">AM4/AN4</f>
        <v>1619.5425667090215</v>
      </c>
      <c r="AM4" s="3">
        <v>127458</v>
      </c>
      <c r="AN4" s="6">
        <v>78.7</v>
      </c>
      <c r="AO4" s="3">
        <f t="shared" ref="AO4:AO7" si="12">AP4/AQ4</f>
        <v>1863.6321233015619</v>
      </c>
      <c r="AP4" s="3">
        <f t="shared" ref="AP4" si="13">SUM(F4,I4,L4,O4,R4,U4,X4,AA4,AD4,AG4,AJ4,AM4)</f>
        <v>918957</v>
      </c>
      <c r="AQ4" s="6">
        <f t="shared" ref="AQ4" si="14">SUM(G4,J4,M4,P4,S4,V4,Y4,AB4,AE4,AH4,AK4,AN4)</f>
        <v>493.09999999999991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2202.1311475409834</v>
      </c>
      <c r="AA5" s="3">
        <v>40299</v>
      </c>
      <c r="AB5" s="6">
        <v>18.3</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2202.1311475409834</v>
      </c>
      <c r="AP5" s="3">
        <f t="shared" ref="AP5" si="15">SUM(F5,I5,L5,O5,R5,U5,X5,AA5,AD5,AG5,AJ5,AM5)</f>
        <v>40299</v>
      </c>
      <c r="AQ5" s="6">
        <f t="shared" ref="AQ5" si="16">SUM(G5,J5,M5,P5,S5,V5,Y5,AB5,AE5,AH5,AK5,AN5)</f>
        <v>18.3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29</v>
      </c>
      <c r="B6" s="12"/>
      <c r="C6" s="12"/>
      <c r="D6" s="12"/>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f t="shared" si="10"/>
        <v>2468.4210526315792</v>
      </c>
      <c r="AJ6" s="3">
        <v>4690</v>
      </c>
      <c r="AK6" s="6">
        <v>1.9</v>
      </c>
      <c r="AL6" s="3" t="e">
        <f t="shared" si="11"/>
        <v>#DIV/0!</v>
      </c>
      <c r="AM6" s="3">
        <v>0</v>
      </c>
      <c r="AN6" s="6">
        <v>0</v>
      </c>
      <c r="AO6" s="3">
        <f t="shared" si="12"/>
        <v>2468.4210526315792</v>
      </c>
      <c r="AP6" s="3">
        <f t="shared" ref="AP6:AP7" si="17">SUM(F6,I6,L6,O6,R6,U6,X6,AA6,AD6,AG6,AJ6,AM6)</f>
        <v>4690</v>
      </c>
      <c r="AQ6" s="6">
        <f t="shared" ref="AQ6:AQ7" si="18">SUM(G6,J6,M6,P6,S6,V6,Y6,AB6,AE6,AH6,AK6,AN6)</f>
        <v>1.9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32</v>
      </c>
      <c r="B7" s="13"/>
      <c r="C7" s="13"/>
      <c r="D7" s="13"/>
      <c r="E7" s="8" t="e">
        <f t="shared" si="0"/>
        <v>#DIV/0!</v>
      </c>
      <c r="F7" s="9">
        <v>0</v>
      </c>
      <c r="G7" s="10">
        <v>0</v>
      </c>
      <c r="H7" s="9" t="e">
        <f t="shared" si="1"/>
        <v>#DIV/0!</v>
      </c>
      <c r="I7" s="9">
        <v>0</v>
      </c>
      <c r="J7" s="10">
        <v>0</v>
      </c>
      <c r="K7" s="9">
        <f t="shared" si="2"/>
        <v>11586.666666666668</v>
      </c>
      <c r="L7" s="9">
        <v>6952</v>
      </c>
      <c r="M7" s="10">
        <v>0.6</v>
      </c>
      <c r="N7" s="9" t="e">
        <f t="shared" si="3"/>
        <v>#DIV/0!</v>
      </c>
      <c r="O7" s="9">
        <v>0</v>
      </c>
      <c r="P7" s="10">
        <v>0</v>
      </c>
      <c r="Q7" s="9" t="e">
        <f t="shared" si="4"/>
        <v>#DIV/0!</v>
      </c>
      <c r="R7" s="9">
        <v>0</v>
      </c>
      <c r="S7" s="10">
        <v>0</v>
      </c>
      <c r="T7" s="9" t="e">
        <f t="shared" si="5"/>
        <v>#DIV/0!</v>
      </c>
      <c r="U7" s="9">
        <v>0</v>
      </c>
      <c r="V7" s="10">
        <v>0</v>
      </c>
      <c r="W7" s="9" t="e">
        <f t="shared" si="6"/>
        <v>#DIV/0!</v>
      </c>
      <c r="X7" s="9">
        <v>0</v>
      </c>
      <c r="Y7" s="10">
        <v>0</v>
      </c>
      <c r="Z7" s="9" t="e">
        <f t="shared" si="7"/>
        <v>#DIV/0!</v>
      </c>
      <c r="AA7" s="9">
        <v>0</v>
      </c>
      <c r="AB7" s="10">
        <v>0</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11586.666666666668</v>
      </c>
      <c r="AP7" s="9">
        <f t="shared" si="17"/>
        <v>6952</v>
      </c>
      <c r="AQ7" s="10">
        <f t="shared" si="18"/>
        <v>0.6</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30</v>
      </c>
      <c r="B11" s="1"/>
    </row>
    <row r="12" spans="1:67" x14ac:dyDescent="0.3">
      <c r="A12" s="1" t="s">
        <v>31</v>
      </c>
      <c r="B12"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2026-08-10T02:10:41Z</dcterms:modified>
</cp:coreProperties>
</file>