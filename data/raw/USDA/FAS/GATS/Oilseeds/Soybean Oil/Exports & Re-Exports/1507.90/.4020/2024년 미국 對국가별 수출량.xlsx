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24년" sheetId="1" r:id="rId1"/>
  </sheets>
  <calcPr calcId="162913"/>
</workbook>
</file>

<file path=xl/calcChain.xml><?xml version="1.0" encoding="utf-8"?>
<calcChain xmlns="http://schemas.openxmlformats.org/spreadsheetml/2006/main">
  <c r="AQ21" i="1" l="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21" i="1"/>
  <c r="AL20" i="1"/>
  <c r="AL19" i="1"/>
  <c r="AL18" i="1"/>
  <c r="AL17" i="1"/>
  <c r="AL16" i="1"/>
  <c r="AL15" i="1"/>
  <c r="AL14" i="1"/>
  <c r="AL13" i="1"/>
  <c r="AL12" i="1"/>
  <c r="AL11" i="1"/>
  <c r="AL10" i="1"/>
  <c r="AL9" i="1"/>
  <c r="AL8" i="1"/>
  <c r="AL7" i="1"/>
  <c r="AL6" i="1"/>
  <c r="AL5" i="1"/>
  <c r="AL4" i="1"/>
  <c r="AI21" i="1"/>
  <c r="AI20" i="1"/>
  <c r="AI19" i="1"/>
  <c r="AI18" i="1"/>
  <c r="AI17" i="1"/>
  <c r="AI16" i="1"/>
  <c r="AI15" i="1"/>
  <c r="AI14" i="1"/>
  <c r="AI13" i="1"/>
  <c r="AI12" i="1"/>
  <c r="AI11" i="1"/>
  <c r="AI10" i="1"/>
  <c r="AI9" i="1"/>
  <c r="AI8" i="1"/>
  <c r="AI7" i="1"/>
  <c r="AI6" i="1"/>
  <c r="AI5" i="1"/>
  <c r="AI4" i="1"/>
  <c r="AF21" i="1"/>
  <c r="AF20" i="1"/>
  <c r="AF19" i="1"/>
  <c r="AF18" i="1"/>
  <c r="AF17" i="1"/>
  <c r="AF16" i="1"/>
  <c r="AF15" i="1"/>
  <c r="AF14" i="1"/>
  <c r="AF13" i="1"/>
  <c r="AF12" i="1"/>
  <c r="AF11" i="1"/>
  <c r="AF10" i="1"/>
  <c r="AF9" i="1"/>
  <c r="AF8" i="1"/>
  <c r="AF7" i="1"/>
  <c r="AF6" i="1"/>
  <c r="AF5" i="1"/>
  <c r="AF4" i="1"/>
  <c r="AC21" i="1"/>
  <c r="AC20" i="1"/>
  <c r="AC19" i="1"/>
  <c r="AC18" i="1"/>
  <c r="AC17" i="1"/>
  <c r="AC16" i="1"/>
  <c r="AC15" i="1"/>
  <c r="AC14" i="1"/>
  <c r="AC13" i="1"/>
  <c r="AC12" i="1"/>
  <c r="AC11" i="1"/>
  <c r="AC10" i="1"/>
  <c r="AC9" i="1"/>
  <c r="AC8" i="1"/>
  <c r="AC7" i="1"/>
  <c r="AC6" i="1"/>
  <c r="AC5" i="1"/>
  <c r="AC4" i="1"/>
  <c r="Z21" i="1"/>
  <c r="Z20" i="1"/>
  <c r="Z19" i="1"/>
  <c r="Z18" i="1"/>
  <c r="Z17" i="1"/>
  <c r="Z16" i="1"/>
  <c r="Z15" i="1"/>
  <c r="Z14" i="1"/>
  <c r="Z13" i="1"/>
  <c r="Z12" i="1"/>
  <c r="Z11" i="1"/>
  <c r="Z10" i="1"/>
  <c r="Z9" i="1"/>
  <c r="Z8" i="1"/>
  <c r="Z7" i="1"/>
  <c r="Z6" i="1"/>
  <c r="Z5" i="1"/>
  <c r="Z4" i="1"/>
  <c r="W21" i="1"/>
  <c r="W20" i="1"/>
  <c r="W19" i="1"/>
  <c r="W18" i="1"/>
  <c r="W17" i="1"/>
  <c r="W16" i="1"/>
  <c r="W15" i="1"/>
  <c r="W14" i="1"/>
  <c r="W13" i="1"/>
  <c r="W12" i="1"/>
  <c r="W11" i="1"/>
  <c r="W10" i="1"/>
  <c r="W9" i="1"/>
  <c r="W8" i="1"/>
  <c r="W7" i="1"/>
  <c r="W6" i="1"/>
  <c r="W5" i="1"/>
  <c r="W4" i="1"/>
  <c r="T21" i="1"/>
  <c r="T20" i="1"/>
  <c r="T19" i="1"/>
  <c r="T18" i="1"/>
  <c r="T17" i="1"/>
  <c r="T16" i="1"/>
  <c r="T15" i="1"/>
  <c r="T14" i="1"/>
  <c r="T13" i="1"/>
  <c r="T12" i="1"/>
  <c r="T11" i="1"/>
  <c r="T10" i="1"/>
  <c r="T9" i="1"/>
  <c r="T8" i="1"/>
  <c r="T7" i="1"/>
  <c r="T6" i="1"/>
  <c r="T5" i="1"/>
  <c r="T4" i="1"/>
  <c r="Q21" i="1"/>
  <c r="Q20" i="1"/>
  <c r="Q19" i="1"/>
  <c r="Q18" i="1"/>
  <c r="Q17" i="1"/>
  <c r="Q16" i="1"/>
  <c r="Q15" i="1"/>
  <c r="Q14" i="1"/>
  <c r="Q13" i="1"/>
  <c r="Q12" i="1"/>
  <c r="Q11" i="1"/>
  <c r="Q10" i="1"/>
  <c r="Q9" i="1"/>
  <c r="Q8" i="1"/>
  <c r="Q7" i="1"/>
  <c r="Q6" i="1"/>
  <c r="Q5" i="1"/>
  <c r="Q4" i="1"/>
  <c r="N21" i="1"/>
  <c r="N20" i="1"/>
  <c r="N19" i="1"/>
  <c r="N18" i="1"/>
  <c r="N17" i="1"/>
  <c r="N16" i="1"/>
  <c r="N15" i="1"/>
  <c r="N14" i="1"/>
  <c r="N13" i="1"/>
  <c r="N12" i="1"/>
  <c r="N11" i="1"/>
  <c r="N10" i="1"/>
  <c r="N9" i="1"/>
  <c r="N8" i="1"/>
  <c r="N7" i="1"/>
  <c r="N6" i="1"/>
  <c r="N5" i="1"/>
  <c r="N4" i="1"/>
  <c r="K21" i="1"/>
  <c r="K20" i="1"/>
  <c r="K19" i="1"/>
  <c r="K18" i="1"/>
  <c r="K17" i="1"/>
  <c r="K16" i="1"/>
  <c r="K15" i="1"/>
  <c r="K14" i="1"/>
  <c r="K13" i="1"/>
  <c r="K12" i="1"/>
  <c r="K11" i="1"/>
  <c r="K10" i="1"/>
  <c r="K9" i="1"/>
  <c r="K8" i="1"/>
  <c r="K7" i="1"/>
  <c r="K6" i="1"/>
  <c r="K5" i="1"/>
  <c r="K4" i="1"/>
  <c r="H21" i="1"/>
  <c r="H20" i="1"/>
  <c r="H19" i="1"/>
  <c r="H18" i="1"/>
  <c r="H17" i="1"/>
  <c r="H16" i="1"/>
  <c r="H15" i="1"/>
  <c r="H14" i="1"/>
  <c r="H13" i="1"/>
  <c r="H12" i="1"/>
  <c r="H11" i="1"/>
  <c r="H10" i="1"/>
  <c r="H9" i="1"/>
  <c r="H8" i="1"/>
  <c r="H7" i="1"/>
  <c r="H6" i="1"/>
  <c r="H5" i="1"/>
  <c r="H4" i="1"/>
  <c r="E21" i="1"/>
  <c r="E20" i="1"/>
  <c r="E19" i="1"/>
  <c r="E18" i="1"/>
  <c r="E17" i="1"/>
  <c r="E16" i="1"/>
  <c r="E15" i="1"/>
  <c r="E14" i="1"/>
  <c r="E13" i="1"/>
  <c r="E11" i="1"/>
  <c r="E10" i="1"/>
  <c r="E9" i="1"/>
  <c r="E8" i="1"/>
  <c r="E7" i="1"/>
  <c r="E6" i="1"/>
  <c r="E5" i="1"/>
  <c r="E4" i="1"/>
  <c r="E12" i="1"/>
  <c r="AI3" i="1" l="1"/>
  <c r="Z3" i="1"/>
  <c r="AO7" i="1"/>
  <c r="AO15" i="1"/>
  <c r="E3" i="1"/>
  <c r="AO10" i="1"/>
  <c r="AO18" i="1"/>
  <c r="AO11" i="1"/>
  <c r="AO20" i="1"/>
  <c r="AO5" i="1"/>
  <c r="AO13" i="1"/>
  <c r="AO21" i="1"/>
  <c r="AO6" i="1"/>
  <c r="AO14" i="1"/>
  <c r="AO8" i="1"/>
  <c r="AO16" i="1"/>
  <c r="AO9" i="1"/>
  <c r="AO17" i="1"/>
  <c r="AO19" i="1"/>
  <c r="AO3" i="1" l="1"/>
  <c r="AO4" i="1"/>
  <c r="AO12" i="1"/>
</calcChain>
</file>

<file path=xl/sharedStrings.xml><?xml version="1.0" encoding="utf-8"?>
<sst xmlns="http://schemas.openxmlformats.org/spreadsheetml/2006/main" count="83" uniqueCount="47">
  <si>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</si>
  <si>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</si>
  <si>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</si>
  <si>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</si>
  <si>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</si>
  <si>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</si>
  <si>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</si>
  <si>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</si>
  <si>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</si>
  <si>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</si>
  <si>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</si>
  <si>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</si>
  <si>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</si>
  <si>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</si>
  <si>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</si>
  <si>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</si>
  <si>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</si>
  <si>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</si>
  <si>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</si>
  <si>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</si>
  <si>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Dominican Republic</t>
  </si>
  <si>
    <t>Mexico</t>
  </si>
  <si>
    <t>Bahamas, The</t>
  </si>
  <si>
    <t>El Salvador</t>
  </si>
  <si>
    <t>Guatemala</t>
  </si>
  <si>
    <t>Honduras</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</si>
  <si>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</si>
  <si>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</si>
  <si>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</si>
  <si>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</si>
  <si>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</si>
  <si>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</si>
  <si>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</si>
  <si>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</si>
  <si>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</si>
  <si>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</si>
  <si>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</si>
  <si>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Kuwait</t>
  </si>
  <si>
    <t>1. Data Source: U.S. Census Bureau Trade Data</t>
  </si>
  <si>
    <t>4. Product Group : Harmonized</t>
  </si>
  <si>
    <t>Product</t>
    <phoneticPr fontId="18" type="noConversion"/>
  </si>
  <si>
    <t>SOY OIL ONC-RFND</t>
    <phoneticPr fontId="18" type="noConversion"/>
  </si>
  <si>
    <t>United Arab Emirates</t>
  </si>
  <si>
    <t>Jamaica</t>
  </si>
  <si>
    <t>Lebanon</t>
  </si>
  <si>
    <t>Belgium-Luxembourg(*)</t>
  </si>
  <si>
    <t>Guyana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</si>
</sst>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6"/>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32</v>
      </c>
      <c r="B2" s="2" t="s">
        <v>40</v>
      </c>
      <c r="C2" s="2" t="s">
        <v>13</v>
      </c>
      <c r="D2" s="2" t="s">
        <v>33</v>
      </c>
      <c r="E2" s="4" t="s">
        <v>14</v>
      </c>
      <c r="F2" s="2" t="s">
        <v>33</v>
      </c>
      <c r="G2" s="5" t="s">
        <v>15</v>
      </c>
      <c r="H2" s="2" t="s">
        <v>14</v>
      </c>
      <c r="I2" s="2" t="s">
        <v>33</v>
      </c>
      <c r="J2" s="5" t="s">
        <v>15</v>
      </c>
      <c r="K2" s="2" t="s">
        <v>14</v>
      </c>
      <c r="L2" s="2" t="s">
        <v>33</v>
      </c>
      <c r="M2" s="5" t="s">
        <v>15</v>
      </c>
      <c r="N2" s="2" t="s">
        <v>14</v>
      </c>
      <c r="O2" s="2" t="s">
        <v>33</v>
      </c>
      <c r="P2" s="5" t="s">
        <v>15</v>
      </c>
      <c r="Q2" s="2" t="s">
        <v>14</v>
      </c>
      <c r="R2" s="2" t="s">
        <v>33</v>
      </c>
      <c r="S2" s="5" t="s">
        <v>15</v>
      </c>
      <c r="T2" s="2" t="s">
        <v>14</v>
      </c>
      <c r="U2" s="2" t="s">
        <v>33</v>
      </c>
      <c r="V2" s="5" t="s">
        <v>15</v>
      </c>
      <c r="W2" s="2" t="s">
        <v>14</v>
      </c>
      <c r="X2" s="2" t="s">
        <v>33</v>
      </c>
      <c r="Y2" s="5" t="s">
        <v>15</v>
      </c>
      <c r="Z2" s="2" t="s">
        <v>14</v>
      </c>
      <c r="AA2" s="2" t="s">
        <v>33</v>
      </c>
      <c r="AB2" s="5" t="s">
        <v>15</v>
      </c>
      <c r="AC2" s="2" t="s">
        <v>14</v>
      </c>
      <c r="AD2" s="2" t="s">
        <v>33</v>
      </c>
      <c r="AE2" s="5" t="s">
        <v>15</v>
      </c>
      <c r="AF2" s="2" t="s">
        <v>14</v>
      </c>
      <c r="AG2" s="2" t="s">
        <v>33</v>
      </c>
      <c r="AH2" s="5" t="s">
        <v>15</v>
      </c>
      <c r="AI2" s="2" t="s">
        <v>14</v>
      </c>
      <c r="AJ2" s="2" t="s">
        <v>33</v>
      </c>
      <c r="AK2" s="5" t="s">
        <v>15</v>
      </c>
      <c r="AL2" s="2" t="s">
        <v>14</v>
      </c>
      <c r="AM2" s="2" t="s">
        <v>33</v>
      </c>
      <c r="AN2" s="5" t="s">
        <v>15</v>
      </c>
      <c r="AO2" s="2" t="s">
        <v>14</v>
      </c>
      <c r="AP2" s="2" t="s">
        <v>35</v>
      </c>
      <c r="AQ2" s="5" t="s">
        <v>15</v>
      </c>
    </row>
    <row r="3" spans="1:67" ht="15" customHeight="1" x14ac:dyDescent="0.3">
      <c r="A3" s="9" t="s">
        <v>16</v>
      </c>
      <c r="B3" s="13" t="s">
        <v>41</v>
      </c>
      <c r="C3" s="13" t="s">
        <v>17</v>
      </c>
      <c r="D3" s="13" t="s">
        <v>34</v>
      </c>
      <c r="E3" s="7">
        <f>F3/G3</f>
        <v>760.47751937984492</v>
      </c>
      <c r="F3" s="7">
        <f>SUM(F4:F21)</f>
        <v>245254</v>
      </c>
      <c r="G3" s="8">
        <f>SUM(G4:G21)</f>
        <v>322.5</v>
      </c>
      <c r="H3" s="7">
        <f>I3/J3</f>
        <v>1464.48</v>
      </c>
      <c r="I3" s="7">
        <f>SUM(I4:I21)</f>
        <v>54918</v>
      </c>
      <c r="J3" s="8">
        <f>SUM(J4:J21)</f>
        <v>37.5</v>
      </c>
      <c r="K3" s="7">
        <f>L3/M3</f>
        <v>998.33013435700582</v>
      </c>
      <c r="L3" s="7">
        <f>SUM(L4:L21)</f>
        <v>156039</v>
      </c>
      <c r="M3" s="8">
        <f>SUM(M4:M21)</f>
        <v>156.29999999999998</v>
      </c>
      <c r="N3" s="7">
        <f>O3/P3</f>
        <v>1378.2452431289641</v>
      </c>
      <c r="O3" s="7">
        <f>SUM(O4:O21)</f>
        <v>65191</v>
      </c>
      <c r="P3" s="8">
        <f>SUM(P4:P21)</f>
        <v>47.3</v>
      </c>
      <c r="Q3" s="7">
        <f>R3/S3</f>
        <v>1115.931623931624</v>
      </c>
      <c r="R3" s="7">
        <f>SUM(R4:R21)</f>
        <v>65282</v>
      </c>
      <c r="S3" s="8">
        <f>SUM(S4:S21)</f>
        <v>58.499999999999993</v>
      </c>
      <c r="T3" s="7">
        <f>U3/V3</f>
        <v>2447.604166666667</v>
      </c>
      <c r="U3" s="7">
        <f>SUM(U4:U21)</f>
        <v>23497</v>
      </c>
      <c r="V3" s="8">
        <f>SUM(V4:V21)</f>
        <v>9.6</v>
      </c>
      <c r="W3" s="7">
        <f>X3/Y3</f>
        <v>839.81081081081084</v>
      </c>
      <c r="X3" s="7">
        <f>SUM(X4:X21)</f>
        <v>62146</v>
      </c>
      <c r="Y3" s="8">
        <f>SUM(Y4:Y21)</f>
        <v>74</v>
      </c>
      <c r="Z3" s="7">
        <f>AA3/AB3</f>
        <v>1044.2620087336245</v>
      </c>
      <c r="AA3" s="7">
        <f>SUM(AA4:AA21)</f>
        <v>119568</v>
      </c>
      <c r="AB3" s="8">
        <f>SUM(AB4:AB21)</f>
        <v>114.5</v>
      </c>
      <c r="AC3" s="7">
        <f>AD3/AE3</f>
        <v>831.12983151635274</v>
      </c>
      <c r="AD3" s="7">
        <f>SUM(AD4:AD21)</f>
        <v>167722</v>
      </c>
      <c r="AE3" s="8">
        <f>SUM(AE4:AE21)</f>
        <v>201.8</v>
      </c>
      <c r="AF3" s="7">
        <f>AG3/AH3</f>
        <v>1073.4604105571848</v>
      </c>
      <c r="AG3" s="7">
        <f>SUM(AG4:AG21)</f>
        <v>73210</v>
      </c>
      <c r="AH3" s="8">
        <f>SUM(AH4:AH21)</f>
        <v>68.2</v>
      </c>
      <c r="AI3" s="7">
        <f>AJ3/AK3</f>
        <v>854.10199556541022</v>
      </c>
      <c r="AJ3" s="7">
        <f>SUM(AJ4:AJ21)</f>
        <v>77040</v>
      </c>
      <c r="AK3" s="8">
        <f>SUM(AK4:AK21)</f>
        <v>90.2</v>
      </c>
      <c r="AL3" s="7">
        <f>AM3/AN3</f>
        <v>1029.4094598376714</v>
      </c>
      <c r="AM3" s="7">
        <f>SUM(AM4:AM21)</f>
        <v>1103424</v>
      </c>
      <c r="AN3" s="8">
        <f>SUM(AN4:AN21)</f>
        <v>1071.9000000000001</v>
      </c>
      <c r="AO3" s="7">
        <f>AP3/AQ3</f>
        <v>982.68037117613073</v>
      </c>
      <c r="AP3" s="7">
        <f>SUM(AP4:AP21)</f>
        <v>2213291</v>
      </c>
      <c r="AQ3" s="8">
        <f>SUM(AQ4:AQ21)</f>
        <v>2252.3000000000006</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21</v>
      </c>
      <c r="B4" s="14"/>
      <c r="C4" s="14"/>
      <c r="D4" s="14"/>
      <c r="E4" s="3">
        <f t="shared" ref="E4:E11" si="0">F4/G4</f>
        <v>730.4232804232804</v>
      </c>
      <c r="F4" s="3">
        <v>165660</v>
      </c>
      <c r="G4" s="6">
        <v>226.8</v>
      </c>
      <c r="H4" s="3">
        <f t="shared" ref="H4:H11" si="1">I4/J4</f>
        <v>2361.9565217391305</v>
      </c>
      <c r="I4" s="3">
        <v>10865</v>
      </c>
      <c r="J4" s="6">
        <v>4.5999999999999996</v>
      </c>
      <c r="K4" s="3">
        <f t="shared" ref="K4:K11" si="2">L4/M4</f>
        <v>2375.3846153846152</v>
      </c>
      <c r="L4" s="3">
        <v>3088</v>
      </c>
      <c r="M4" s="6">
        <v>1.3</v>
      </c>
      <c r="N4" s="3">
        <f t="shared" ref="N4:N11" si="3">O4/P4</f>
        <v>892.45398773006127</v>
      </c>
      <c r="O4" s="3">
        <v>14547</v>
      </c>
      <c r="P4" s="6">
        <v>16.3</v>
      </c>
      <c r="Q4" s="3" t="e">
        <f t="shared" ref="Q4:Q11" si="4">R4/S4</f>
        <v>#DIV/0!</v>
      </c>
      <c r="R4" s="3">
        <v>0</v>
      </c>
      <c r="S4" s="6">
        <v>0</v>
      </c>
      <c r="T4" s="3" t="e">
        <f t="shared" ref="T4:T11" si="5">U4/V4</f>
        <v>#DIV/0!</v>
      </c>
      <c r="U4" s="3">
        <v>0</v>
      </c>
      <c r="V4" s="6">
        <v>0</v>
      </c>
      <c r="W4" s="3">
        <f t="shared" ref="W4:W11" si="6">X4/Y4</f>
        <v>717.3744292237443</v>
      </c>
      <c r="X4" s="3">
        <v>31421</v>
      </c>
      <c r="Y4" s="6">
        <v>43.8</v>
      </c>
      <c r="Z4" s="3">
        <f t="shared" ref="Z4:Z11" si="7">AA4/AB4</f>
        <v>718.46153846153845</v>
      </c>
      <c r="AA4" s="3">
        <v>18680</v>
      </c>
      <c r="AB4" s="6">
        <v>26</v>
      </c>
      <c r="AC4" s="3">
        <f t="shared" ref="AC4:AC11" si="8">AD4/AE4</f>
        <v>716.95205479452056</v>
      </c>
      <c r="AD4" s="3">
        <v>20935</v>
      </c>
      <c r="AE4" s="6">
        <v>29.2</v>
      </c>
      <c r="AF4" s="3">
        <f t="shared" ref="AF4:AF11" si="9">AG4/AH4</f>
        <v>717.69376181474479</v>
      </c>
      <c r="AG4" s="3">
        <v>37966</v>
      </c>
      <c r="AH4" s="6">
        <v>52.9</v>
      </c>
      <c r="AI4" s="3">
        <f t="shared" ref="AI4:AI11" si="10">AJ4/AK4</f>
        <v>1610.5263157894738</v>
      </c>
      <c r="AJ4" s="3">
        <v>3060</v>
      </c>
      <c r="AK4" s="6">
        <v>1.9</v>
      </c>
      <c r="AL4" s="3">
        <f t="shared" ref="AL4:AL11" si="11">AM4/AN4</f>
        <v>1044.501775848461</v>
      </c>
      <c r="AM4" s="3">
        <v>1058707</v>
      </c>
      <c r="AN4" s="6">
        <v>1013.6</v>
      </c>
      <c r="AO4" s="3">
        <f t="shared" ref="AO4:AO21" si="12">AP4/AQ4</f>
        <v>963.6606890708839</v>
      </c>
      <c r="AP4" s="3">
        <f t="shared" ref="AP4:AQ4" si="13">SUM(F4,I4,L4,O4,R4,U4,X4,AA4,AD4,AG4,AJ4,AM4)</f>
        <v>1364929</v>
      </c>
      <c r="AQ4" s="6">
        <f t="shared" si="13"/>
        <v>1416.4</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22</v>
      </c>
      <c r="B5" s="14"/>
      <c r="C5" s="14"/>
      <c r="D5" s="14"/>
      <c r="E5" s="3">
        <f t="shared" si="0"/>
        <v>717.74647887323943</v>
      </c>
      <c r="F5" s="3">
        <v>15288</v>
      </c>
      <c r="G5" s="6">
        <v>21.3</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f t="shared" si="11"/>
        <v>718.5283687943263</v>
      </c>
      <c r="AM5" s="3">
        <v>40525</v>
      </c>
      <c r="AN5" s="6">
        <v>56.4</v>
      </c>
      <c r="AO5" s="3">
        <f t="shared" si="12"/>
        <v>718.31402831402829</v>
      </c>
      <c r="AP5" s="3">
        <f t="shared" ref="AP5:AP21" si="14">SUM(F5,I5,L5,O5,R5,U5,X5,AA5,AD5,AG5,AJ5,AM5)</f>
        <v>55813</v>
      </c>
      <c r="AQ5" s="6">
        <f t="shared" ref="AQ5:AQ21" si="15">SUM(G5,J5,M5,P5,S5,V5,Y5,AB5,AE5,AH5,AK5,AN5)</f>
        <v>77.7</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26</v>
      </c>
      <c r="B6" s="14"/>
      <c r="C6" s="14"/>
      <c r="D6" s="14"/>
      <c r="E6" s="3" t="e">
        <f t="shared" si="0"/>
        <v>#DIV/0!</v>
      </c>
      <c r="F6" s="3">
        <v>0</v>
      </c>
      <c r="G6" s="6">
        <v>0</v>
      </c>
      <c r="H6" s="3" t="e">
        <f t="shared" si="1"/>
        <v>#DIV/0!</v>
      </c>
      <c r="I6" s="3">
        <v>0</v>
      </c>
      <c r="J6" s="6">
        <v>0</v>
      </c>
      <c r="K6" s="3">
        <f t="shared" si="2"/>
        <v>2615.4545454545455</v>
      </c>
      <c r="L6" s="3">
        <v>37401</v>
      </c>
      <c r="M6" s="6">
        <v>14.3</v>
      </c>
      <c r="N6" s="3">
        <f t="shared" si="3"/>
        <v>2468.5964912280701</v>
      </c>
      <c r="O6" s="3">
        <v>14071</v>
      </c>
      <c r="P6" s="6">
        <v>5.7</v>
      </c>
      <c r="Q6" s="3" t="e">
        <f t="shared" si="4"/>
        <v>#DIV/0!</v>
      </c>
      <c r="R6" s="3">
        <v>0</v>
      </c>
      <c r="S6" s="6">
        <v>0</v>
      </c>
      <c r="T6" s="3">
        <f t="shared" si="5"/>
        <v>2441.041666666667</v>
      </c>
      <c r="U6" s="3">
        <v>11717</v>
      </c>
      <c r="V6" s="6">
        <v>4.8</v>
      </c>
      <c r="W6" s="3">
        <f t="shared" si="6"/>
        <v>2304.2105263157896</v>
      </c>
      <c r="X6" s="3">
        <v>4378</v>
      </c>
      <c r="Y6" s="6">
        <v>1.9</v>
      </c>
      <c r="Z6" s="3">
        <f t="shared" si="7"/>
        <v>2246.3157894736842</v>
      </c>
      <c r="AA6" s="3">
        <v>8536</v>
      </c>
      <c r="AB6" s="6">
        <v>3.8</v>
      </c>
      <c r="AC6" s="3">
        <f t="shared" si="8"/>
        <v>2324.3859649122805</v>
      </c>
      <c r="AD6" s="3">
        <v>13249</v>
      </c>
      <c r="AE6" s="6">
        <v>5.7</v>
      </c>
      <c r="AF6" s="3">
        <f t="shared" si="9"/>
        <v>2307.2093023255816</v>
      </c>
      <c r="AG6" s="3">
        <v>19842</v>
      </c>
      <c r="AH6" s="6">
        <v>8.6</v>
      </c>
      <c r="AI6" s="3">
        <f t="shared" si="10"/>
        <v>2316.3157894736842</v>
      </c>
      <c r="AJ6" s="3">
        <v>4401</v>
      </c>
      <c r="AK6" s="6">
        <v>1.9</v>
      </c>
      <c r="AL6" s="3">
        <f t="shared" si="11"/>
        <v>2206.3157894736842</v>
      </c>
      <c r="AM6" s="3">
        <v>4192</v>
      </c>
      <c r="AN6" s="6">
        <v>1.9</v>
      </c>
      <c r="AO6" s="3">
        <f t="shared" si="12"/>
        <v>2423.6008230452676</v>
      </c>
      <c r="AP6" s="3">
        <f t="shared" si="14"/>
        <v>117787</v>
      </c>
      <c r="AQ6" s="6">
        <f t="shared" si="15"/>
        <v>48.6</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42</v>
      </c>
      <c r="B7" s="14"/>
      <c r="C7" s="14"/>
      <c r="D7" s="14"/>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f t="shared" si="10"/>
        <v>718.33887043189361</v>
      </c>
      <c r="AJ7" s="3">
        <v>43244</v>
      </c>
      <c r="AK7" s="6">
        <v>60.2</v>
      </c>
      <c r="AL7" s="3" t="e">
        <f t="shared" si="11"/>
        <v>#DIV/0!</v>
      </c>
      <c r="AM7" s="3">
        <v>0</v>
      </c>
      <c r="AN7" s="6">
        <v>0</v>
      </c>
      <c r="AO7" s="3">
        <f t="shared" si="12"/>
        <v>718.33887043189361</v>
      </c>
      <c r="AP7" s="3">
        <f t="shared" si="14"/>
        <v>43244</v>
      </c>
      <c r="AQ7" s="6">
        <f t="shared" si="15"/>
        <v>60.2</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19</v>
      </c>
      <c r="B8" s="14"/>
      <c r="C8" s="14"/>
      <c r="D8" s="14"/>
      <c r="E8" s="3" t="e">
        <f t="shared" si="0"/>
        <v>#DIV/0!</v>
      </c>
      <c r="F8" s="3">
        <v>0</v>
      </c>
      <c r="G8" s="6">
        <v>0</v>
      </c>
      <c r="H8" s="3" t="e">
        <f t="shared" si="1"/>
        <v>#DIV/0!</v>
      </c>
      <c r="I8" s="3">
        <v>0</v>
      </c>
      <c r="J8" s="6">
        <v>0</v>
      </c>
      <c r="K8" s="3" t="e">
        <f t="shared" si="2"/>
        <v>#DIV/0!</v>
      </c>
      <c r="L8" s="3">
        <v>0</v>
      </c>
      <c r="M8" s="6">
        <v>0</v>
      </c>
      <c r="N8" s="3" t="e">
        <f t="shared" si="3"/>
        <v>#DIV/0!</v>
      </c>
      <c r="O8" s="3">
        <v>0</v>
      </c>
      <c r="P8" s="6">
        <v>0</v>
      </c>
      <c r="Q8" s="3" t="e">
        <f t="shared" si="4"/>
        <v>#DIV/0!</v>
      </c>
      <c r="R8" s="3">
        <v>0</v>
      </c>
      <c r="S8" s="6">
        <v>0</v>
      </c>
      <c r="T8" s="3" t="e">
        <f t="shared" si="5"/>
        <v>#DIV/0!</v>
      </c>
      <c r="U8" s="3">
        <v>0</v>
      </c>
      <c r="V8" s="6">
        <v>0</v>
      </c>
      <c r="W8" s="3" t="e">
        <f t="shared" si="6"/>
        <v>#DIV/0!</v>
      </c>
      <c r="X8" s="3">
        <v>0</v>
      </c>
      <c r="Y8" s="6">
        <v>0</v>
      </c>
      <c r="Z8" s="3" t="e">
        <f t="shared" si="7"/>
        <v>#DIV/0!</v>
      </c>
      <c r="AA8" s="3">
        <v>0</v>
      </c>
      <c r="AB8" s="6">
        <v>0</v>
      </c>
      <c r="AC8" s="3">
        <f t="shared" si="8"/>
        <v>717.32673267326732</v>
      </c>
      <c r="AD8" s="3">
        <v>14490</v>
      </c>
      <c r="AE8" s="6">
        <v>20.2</v>
      </c>
      <c r="AF8" s="3" t="e">
        <f t="shared" si="9"/>
        <v>#DIV/0!</v>
      </c>
      <c r="AG8" s="3">
        <v>0</v>
      </c>
      <c r="AH8" s="6">
        <v>0</v>
      </c>
      <c r="AI8" s="3" t="e">
        <f t="shared" si="10"/>
        <v>#DIV/0!</v>
      </c>
      <c r="AJ8" s="3">
        <v>0</v>
      </c>
      <c r="AK8" s="6">
        <v>0</v>
      </c>
      <c r="AL8" s="3" t="e">
        <f t="shared" si="11"/>
        <v>#DIV/0!</v>
      </c>
      <c r="AM8" s="3">
        <v>0</v>
      </c>
      <c r="AN8" s="6">
        <v>0</v>
      </c>
      <c r="AO8" s="3">
        <f t="shared" si="12"/>
        <v>717.32673267326732</v>
      </c>
      <c r="AP8" s="3">
        <f t="shared" si="14"/>
        <v>14490</v>
      </c>
      <c r="AQ8" s="6">
        <f t="shared" si="15"/>
        <v>20.2</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45</v>
      </c>
      <c r="B9" s="14"/>
      <c r="C9" s="14"/>
      <c r="D9" s="14"/>
      <c r="E9" s="3" t="e">
        <f t="shared" si="0"/>
        <v>#DIV/0!</v>
      </c>
      <c r="F9" s="3">
        <v>0</v>
      </c>
      <c r="G9" s="6">
        <v>0</v>
      </c>
      <c r="H9" s="3" t="e">
        <f t="shared" si="1"/>
        <v>#DIV/0!</v>
      </c>
      <c r="I9" s="3">
        <v>0</v>
      </c>
      <c r="J9" s="6">
        <v>0</v>
      </c>
      <c r="K9" s="3" t="e">
        <f t="shared" si="2"/>
        <v>#DIV/0!</v>
      </c>
      <c r="L9" s="3">
        <v>0</v>
      </c>
      <c r="M9" s="6">
        <v>0</v>
      </c>
      <c r="N9" s="3">
        <f t="shared" si="3"/>
        <v>4691.538461538461</v>
      </c>
      <c r="O9" s="3">
        <v>6099</v>
      </c>
      <c r="P9" s="6">
        <v>1.3</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t="e">
        <f t="shared" si="10"/>
        <v>#DIV/0!</v>
      </c>
      <c r="AJ9" s="3">
        <v>0</v>
      </c>
      <c r="AK9" s="6">
        <v>0</v>
      </c>
      <c r="AL9" s="3" t="e">
        <f t="shared" si="11"/>
        <v>#DIV/0!</v>
      </c>
      <c r="AM9" s="3">
        <v>0</v>
      </c>
      <c r="AN9" s="6">
        <v>0</v>
      </c>
      <c r="AO9" s="3">
        <f t="shared" si="12"/>
        <v>4691.538461538461</v>
      </c>
      <c r="AP9" s="3">
        <f t="shared" si="14"/>
        <v>6099</v>
      </c>
      <c r="AQ9" s="6">
        <f t="shared" si="15"/>
        <v>1.3</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18</v>
      </c>
      <c r="B10" s="14"/>
      <c r="C10" s="14"/>
      <c r="D10" s="14"/>
      <c r="E10" s="3" t="e">
        <f t="shared" si="0"/>
        <v>#DIV/0!</v>
      </c>
      <c r="F10" s="3">
        <v>0</v>
      </c>
      <c r="G10" s="6">
        <v>0</v>
      </c>
      <c r="H10" s="3" t="e">
        <f t="shared" si="1"/>
        <v>#DIV/0!</v>
      </c>
      <c r="I10" s="3">
        <v>0</v>
      </c>
      <c r="J10" s="6">
        <v>0</v>
      </c>
      <c r="K10" s="3" t="e">
        <f t="shared" si="2"/>
        <v>#DIV/0!</v>
      </c>
      <c r="L10" s="3">
        <v>0</v>
      </c>
      <c r="M10" s="6">
        <v>0</v>
      </c>
      <c r="N10" s="3" t="e">
        <f t="shared" si="3"/>
        <v>#DIV/0!</v>
      </c>
      <c r="O10" s="3">
        <v>0</v>
      </c>
      <c r="P10" s="6">
        <v>0</v>
      </c>
      <c r="Q10" s="3">
        <f t="shared" si="4"/>
        <v>3453</v>
      </c>
      <c r="R10" s="3">
        <v>3453</v>
      </c>
      <c r="S10" s="6">
        <v>1</v>
      </c>
      <c r="T10" s="3" t="e">
        <f t="shared" si="5"/>
        <v>#DIV/0!</v>
      </c>
      <c r="U10" s="3">
        <v>0</v>
      </c>
      <c r="V10" s="6">
        <v>0</v>
      </c>
      <c r="W10" s="3" t="e">
        <f t="shared" si="6"/>
        <v>#DIV/0!</v>
      </c>
      <c r="X10" s="3">
        <v>0</v>
      </c>
      <c r="Y10" s="6">
        <v>0</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t="e">
        <f t="shared" si="11"/>
        <v>#DIV/0!</v>
      </c>
      <c r="AM10" s="3">
        <v>0</v>
      </c>
      <c r="AN10" s="6">
        <v>0</v>
      </c>
      <c r="AO10" s="3">
        <f t="shared" si="12"/>
        <v>3453</v>
      </c>
      <c r="AP10" s="3">
        <f t="shared" si="14"/>
        <v>3453</v>
      </c>
      <c r="AQ10" s="6">
        <f t="shared" si="15"/>
        <v>1</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20</v>
      </c>
      <c r="B11" s="14"/>
      <c r="C11" s="14"/>
      <c r="D11" s="14"/>
      <c r="E11" s="3">
        <f t="shared" si="0"/>
        <v>831.64835164835165</v>
      </c>
      <c r="F11" s="3">
        <v>52976</v>
      </c>
      <c r="G11" s="6">
        <v>63.7</v>
      </c>
      <c r="H11" s="3" t="e">
        <f t="shared" si="1"/>
        <v>#DIV/0!</v>
      </c>
      <c r="I11" s="3">
        <v>0</v>
      </c>
      <c r="J11" s="6">
        <v>0</v>
      </c>
      <c r="K11" s="3">
        <f t="shared" si="2"/>
        <v>718.02404207362883</v>
      </c>
      <c r="L11" s="3">
        <v>95569</v>
      </c>
      <c r="M11" s="6">
        <v>133.1</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t="e">
        <f t="shared" si="8"/>
        <v>#DIV/0!</v>
      </c>
      <c r="AD11" s="3">
        <v>0</v>
      </c>
      <c r="AE11" s="6">
        <v>0</v>
      </c>
      <c r="AF11" s="3" t="e">
        <f t="shared" si="9"/>
        <v>#DIV/0!</v>
      </c>
      <c r="AG11" s="3">
        <v>0</v>
      </c>
      <c r="AH11" s="6">
        <v>0</v>
      </c>
      <c r="AI11" s="3" t="e">
        <f t="shared" si="10"/>
        <v>#DIV/0!</v>
      </c>
      <c r="AJ11" s="3">
        <v>0</v>
      </c>
      <c r="AK11" s="6">
        <v>0</v>
      </c>
      <c r="AL11" s="3" t="e">
        <f t="shared" si="11"/>
        <v>#DIV/0!</v>
      </c>
      <c r="AM11" s="3">
        <v>0</v>
      </c>
      <c r="AN11" s="6">
        <v>0</v>
      </c>
      <c r="AO11" s="3">
        <f t="shared" si="12"/>
        <v>754.80182926829264</v>
      </c>
      <c r="AP11" s="3">
        <f t="shared" si="14"/>
        <v>148545</v>
      </c>
      <c r="AQ11" s="6">
        <f t="shared" si="15"/>
        <v>196.8</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23</v>
      </c>
      <c r="B12" s="14"/>
      <c r="C12" s="14"/>
      <c r="D12" s="14"/>
      <c r="E12" s="3" t="e">
        <f>F12/G12</f>
        <v>#DIV/0!</v>
      </c>
      <c r="F12" s="3">
        <v>0</v>
      </c>
      <c r="G12" s="6">
        <v>0</v>
      </c>
      <c r="H12" s="3" t="e">
        <f>I12/J12</f>
        <v>#DIV/0!</v>
      </c>
      <c r="I12" s="3">
        <v>0</v>
      </c>
      <c r="J12" s="6">
        <v>0</v>
      </c>
      <c r="K12" s="3" t="e">
        <f>L12/M12</f>
        <v>#DIV/0!</v>
      </c>
      <c r="L12" s="3">
        <v>0</v>
      </c>
      <c r="M12" s="6">
        <v>0</v>
      </c>
      <c r="N12" s="3" t="e">
        <f>O12/P12</f>
        <v>#DIV/0!</v>
      </c>
      <c r="O12" s="3">
        <v>0</v>
      </c>
      <c r="P12" s="6">
        <v>0</v>
      </c>
      <c r="Q12" s="3" t="e">
        <f>R12/S12</f>
        <v>#DIV/0!</v>
      </c>
      <c r="R12" s="3">
        <v>0</v>
      </c>
      <c r="S12" s="6">
        <v>0</v>
      </c>
      <c r="T12" s="3" t="e">
        <f>U12/V12</f>
        <v>#DIV/0!</v>
      </c>
      <c r="U12" s="3">
        <v>0</v>
      </c>
      <c r="V12" s="6">
        <v>0</v>
      </c>
      <c r="W12" s="3">
        <f>X12/Y12</f>
        <v>717.34693877551024</v>
      </c>
      <c r="X12" s="3">
        <v>17575</v>
      </c>
      <c r="Y12" s="6">
        <v>24.5</v>
      </c>
      <c r="Z12" s="3" t="e">
        <f>AA12/AB12</f>
        <v>#DIV/0!</v>
      </c>
      <c r="AA12" s="3">
        <v>0</v>
      </c>
      <c r="AB12" s="6">
        <v>0</v>
      </c>
      <c r="AC12" s="3">
        <f>AD12/AE12</f>
        <v>718.29815303430087</v>
      </c>
      <c r="AD12" s="3">
        <v>54447</v>
      </c>
      <c r="AE12" s="6">
        <v>75.8</v>
      </c>
      <c r="AF12" s="3" t="e">
        <f>AG12/AH12</f>
        <v>#DIV/0!</v>
      </c>
      <c r="AG12" s="3">
        <v>0</v>
      </c>
      <c r="AH12" s="6">
        <v>0</v>
      </c>
      <c r="AI12" s="3" t="e">
        <f>AJ12/AK12</f>
        <v>#DIV/0!</v>
      </c>
      <c r="AJ12" s="3">
        <v>0</v>
      </c>
      <c r="AK12" s="6">
        <v>0</v>
      </c>
      <c r="AL12" s="3" t="e">
        <f>AM12/AN12</f>
        <v>#DIV/0!</v>
      </c>
      <c r="AM12" s="3">
        <v>0</v>
      </c>
      <c r="AN12" s="6">
        <v>0</v>
      </c>
      <c r="AO12" s="3">
        <f t="shared" si="12"/>
        <v>718.06580259222335</v>
      </c>
      <c r="AP12" s="3">
        <f t="shared" si="14"/>
        <v>72022</v>
      </c>
      <c r="AQ12" s="6">
        <f t="shared" si="15"/>
        <v>100.3</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24</v>
      </c>
      <c r="B13" s="14"/>
      <c r="C13" s="14"/>
      <c r="D13" s="14"/>
      <c r="E13" s="3" t="e">
        <f t="shared" ref="E13:E21" si="16">F13/G13</f>
        <v>#DIV/0!</v>
      </c>
      <c r="F13" s="3">
        <v>0</v>
      </c>
      <c r="G13" s="6">
        <v>0</v>
      </c>
      <c r="H13" s="3" t="e">
        <f t="shared" ref="H13:H21" si="17">I13/J13</f>
        <v>#DIV/0!</v>
      </c>
      <c r="I13" s="3">
        <v>0</v>
      </c>
      <c r="J13" s="6">
        <v>0</v>
      </c>
      <c r="K13" s="3">
        <f t="shared" ref="K13:K21" si="18">L13/M13</f>
        <v>2629.4736842105262</v>
      </c>
      <c r="L13" s="3">
        <v>4996</v>
      </c>
      <c r="M13" s="6">
        <v>1.9</v>
      </c>
      <c r="N13" s="3">
        <f t="shared" ref="N13:N21" si="19">O13/P13</f>
        <v>2438.125</v>
      </c>
      <c r="O13" s="3">
        <v>11703</v>
      </c>
      <c r="P13" s="6">
        <v>4.8</v>
      </c>
      <c r="Q13" s="3">
        <f t="shared" ref="Q13:Q21" si="20">R13/S13</f>
        <v>717.47500000000002</v>
      </c>
      <c r="R13" s="3">
        <v>28699</v>
      </c>
      <c r="S13" s="6">
        <v>40</v>
      </c>
      <c r="T13" s="3" t="e">
        <f t="shared" ref="T13:T21" si="21">U13/V13</f>
        <v>#DIV/0!</v>
      </c>
      <c r="U13" s="3">
        <v>0</v>
      </c>
      <c r="V13" s="6">
        <v>0</v>
      </c>
      <c r="W13" s="3" t="e">
        <f t="shared" ref="W13:W21" si="22">X13/Y13</f>
        <v>#DIV/0!</v>
      </c>
      <c r="X13" s="3">
        <v>0</v>
      </c>
      <c r="Y13" s="6">
        <v>0</v>
      </c>
      <c r="Z13" s="3">
        <f t="shared" ref="Z13:Z21" si="23">AA13/AB13</f>
        <v>2244.4736842105262</v>
      </c>
      <c r="AA13" s="3">
        <v>8529</v>
      </c>
      <c r="AB13" s="6">
        <v>3.8</v>
      </c>
      <c r="AC13" s="3">
        <f t="shared" ref="AC13:AC21" si="24">AD13/AE13</f>
        <v>2327.8947368421054</v>
      </c>
      <c r="AD13" s="3">
        <v>4423</v>
      </c>
      <c r="AE13" s="6">
        <v>1.9</v>
      </c>
      <c r="AF13" s="3">
        <f t="shared" ref="AF13:AF21" si="25">AG13/AH13</f>
        <v>2310</v>
      </c>
      <c r="AG13" s="3">
        <v>4389</v>
      </c>
      <c r="AH13" s="6">
        <v>1.9</v>
      </c>
      <c r="AI13" s="3">
        <f t="shared" ref="AI13:AI21" si="26">AJ13/AK13</f>
        <v>2259.4736842105262</v>
      </c>
      <c r="AJ13" s="3">
        <v>4293</v>
      </c>
      <c r="AK13" s="6">
        <v>1.9</v>
      </c>
      <c r="AL13" s="3" t="e">
        <f t="shared" ref="AL13:AL21" si="27">AM13/AN13</f>
        <v>#DIV/0!</v>
      </c>
      <c r="AM13" s="3">
        <v>0</v>
      </c>
      <c r="AN13" s="6">
        <v>0</v>
      </c>
      <c r="AO13" s="3">
        <f t="shared" si="12"/>
        <v>1192.7402135231318</v>
      </c>
      <c r="AP13" s="3">
        <f t="shared" si="14"/>
        <v>67032</v>
      </c>
      <c r="AQ13" s="6">
        <f t="shared" si="15"/>
        <v>56.199999999999996</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46</v>
      </c>
      <c r="B14" s="14"/>
      <c r="C14" s="14"/>
      <c r="D14" s="14"/>
      <c r="E14" s="3" t="e">
        <f t="shared" si="16"/>
        <v>#DIV/0!</v>
      </c>
      <c r="F14" s="3">
        <v>0</v>
      </c>
      <c r="G14" s="6">
        <v>0</v>
      </c>
      <c r="H14" s="3" t="e">
        <f t="shared" si="17"/>
        <v>#DIV/0!</v>
      </c>
      <c r="I14" s="3">
        <v>0</v>
      </c>
      <c r="J14" s="6">
        <v>0</v>
      </c>
      <c r="K14" s="3" t="e">
        <f t="shared" si="18"/>
        <v>#DIV/0!</v>
      </c>
      <c r="L14" s="3">
        <v>0</v>
      </c>
      <c r="M14" s="6">
        <v>0</v>
      </c>
      <c r="N14" s="3" t="e">
        <f t="shared" si="19"/>
        <v>#DIV/0!</v>
      </c>
      <c r="O14" s="3">
        <v>0</v>
      </c>
      <c r="P14" s="6">
        <v>0</v>
      </c>
      <c r="Q14" s="3" t="e">
        <f t="shared" si="20"/>
        <v>#DIV/0!</v>
      </c>
      <c r="R14" s="3">
        <v>0</v>
      </c>
      <c r="S14" s="6">
        <v>0</v>
      </c>
      <c r="T14" s="3" t="e">
        <f t="shared" si="21"/>
        <v>#DIV/0!</v>
      </c>
      <c r="U14" s="3">
        <v>0</v>
      </c>
      <c r="V14" s="6">
        <v>0</v>
      </c>
      <c r="W14" s="3" t="e">
        <f t="shared" si="22"/>
        <v>#DIV/0!</v>
      </c>
      <c r="X14" s="3">
        <v>0</v>
      </c>
      <c r="Y14" s="6">
        <v>0</v>
      </c>
      <c r="Z14" s="3" t="e">
        <f t="shared" si="23"/>
        <v>#DIV/0!</v>
      </c>
      <c r="AA14" s="3">
        <v>0</v>
      </c>
      <c r="AB14" s="6">
        <v>0</v>
      </c>
      <c r="AC14" s="3">
        <f t="shared" si="24"/>
        <v>717.64705882352939</v>
      </c>
      <c r="AD14" s="3">
        <v>30500</v>
      </c>
      <c r="AE14" s="6">
        <v>42.5</v>
      </c>
      <c r="AF14" s="3" t="e">
        <f t="shared" si="25"/>
        <v>#DIV/0!</v>
      </c>
      <c r="AG14" s="3">
        <v>0</v>
      </c>
      <c r="AH14" s="6">
        <v>0</v>
      </c>
      <c r="AI14" s="3" t="e">
        <f t="shared" si="26"/>
        <v>#DIV/0!</v>
      </c>
      <c r="AJ14" s="3">
        <v>0</v>
      </c>
      <c r="AK14" s="6">
        <v>0</v>
      </c>
      <c r="AL14" s="3" t="e">
        <f t="shared" si="27"/>
        <v>#DIV/0!</v>
      </c>
      <c r="AM14" s="3">
        <v>0</v>
      </c>
      <c r="AN14" s="6">
        <v>0</v>
      </c>
      <c r="AO14" s="3">
        <f t="shared" si="12"/>
        <v>717.64705882352939</v>
      </c>
      <c r="AP14" s="3">
        <f t="shared" si="14"/>
        <v>30500</v>
      </c>
      <c r="AQ14" s="6">
        <f t="shared" si="15"/>
        <v>42.5</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25</v>
      </c>
      <c r="B15" s="14"/>
      <c r="C15" s="14"/>
      <c r="D15" s="14"/>
      <c r="E15" s="3" t="e">
        <f t="shared" si="16"/>
        <v>#DIV/0!</v>
      </c>
      <c r="F15" s="3">
        <v>0</v>
      </c>
      <c r="G15" s="6">
        <v>0</v>
      </c>
      <c r="H15" s="3" t="e">
        <f t="shared" si="17"/>
        <v>#DIV/0!</v>
      </c>
      <c r="I15" s="3">
        <v>0</v>
      </c>
      <c r="J15" s="6">
        <v>0</v>
      </c>
      <c r="K15" s="3" t="e">
        <f t="shared" si="18"/>
        <v>#DIV/0!</v>
      </c>
      <c r="L15" s="3">
        <v>0</v>
      </c>
      <c r="M15" s="6">
        <v>0</v>
      </c>
      <c r="N15" s="3" t="e">
        <f t="shared" si="19"/>
        <v>#DIV/0!</v>
      </c>
      <c r="O15" s="3">
        <v>0</v>
      </c>
      <c r="P15" s="6">
        <v>0</v>
      </c>
      <c r="Q15" s="3">
        <f t="shared" si="20"/>
        <v>2464.2105263157896</v>
      </c>
      <c r="R15" s="3">
        <v>4682</v>
      </c>
      <c r="S15" s="6">
        <v>1.9</v>
      </c>
      <c r="T15" s="3" t="e">
        <f t="shared" si="21"/>
        <v>#DIV/0!</v>
      </c>
      <c r="U15" s="3">
        <v>0</v>
      </c>
      <c r="V15" s="6">
        <v>0</v>
      </c>
      <c r="W15" s="3" t="e">
        <f t="shared" si="22"/>
        <v>#DIV/0!</v>
      </c>
      <c r="X15" s="3">
        <v>0</v>
      </c>
      <c r="Y15" s="6">
        <v>0</v>
      </c>
      <c r="Z15" s="3" t="e">
        <f t="shared" si="23"/>
        <v>#DIV/0!</v>
      </c>
      <c r="AA15" s="3">
        <v>0</v>
      </c>
      <c r="AB15" s="6">
        <v>0</v>
      </c>
      <c r="AC15" s="3" t="e">
        <f t="shared" si="24"/>
        <v>#DIV/0!</v>
      </c>
      <c r="AD15" s="3">
        <v>0</v>
      </c>
      <c r="AE15" s="6">
        <v>0</v>
      </c>
      <c r="AF15" s="3" t="e">
        <f t="shared" si="25"/>
        <v>#DIV/0!</v>
      </c>
      <c r="AG15" s="3">
        <v>0</v>
      </c>
      <c r="AH15" s="6">
        <v>0</v>
      </c>
      <c r="AI15" s="3" t="e">
        <f t="shared" si="26"/>
        <v>#DIV/0!</v>
      </c>
      <c r="AJ15" s="3">
        <v>0</v>
      </c>
      <c r="AK15" s="6">
        <v>0</v>
      </c>
      <c r="AL15" s="3" t="e">
        <f t="shared" si="27"/>
        <v>#DIV/0!</v>
      </c>
      <c r="AM15" s="3">
        <v>0</v>
      </c>
      <c r="AN15" s="6">
        <v>0</v>
      </c>
      <c r="AO15" s="3">
        <f t="shared" si="12"/>
        <v>2464.2105263157896</v>
      </c>
      <c r="AP15" s="3">
        <f t="shared" si="14"/>
        <v>4682</v>
      </c>
      <c r="AQ15" s="6">
        <f t="shared" si="15"/>
        <v>1.9</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43</v>
      </c>
      <c r="B16" s="14"/>
      <c r="C16" s="14"/>
      <c r="D16" s="14"/>
      <c r="E16" s="3" t="e">
        <f t="shared" si="16"/>
        <v>#DIV/0!</v>
      </c>
      <c r="F16" s="3">
        <v>0</v>
      </c>
      <c r="G16" s="6">
        <v>0</v>
      </c>
      <c r="H16" s="3" t="e">
        <f t="shared" si="17"/>
        <v>#DIV/0!</v>
      </c>
      <c r="I16" s="3">
        <v>0</v>
      </c>
      <c r="J16" s="6">
        <v>0</v>
      </c>
      <c r="K16" s="3" t="e">
        <f t="shared" si="18"/>
        <v>#DIV/0!</v>
      </c>
      <c r="L16" s="3">
        <v>0</v>
      </c>
      <c r="M16" s="6">
        <v>0</v>
      </c>
      <c r="N16" s="3" t="e">
        <f t="shared" si="19"/>
        <v>#DIV/0!</v>
      </c>
      <c r="O16" s="3">
        <v>0</v>
      </c>
      <c r="P16" s="6">
        <v>0</v>
      </c>
      <c r="Q16" s="3" t="e">
        <f t="shared" si="20"/>
        <v>#DIV/0!</v>
      </c>
      <c r="R16" s="3">
        <v>0</v>
      </c>
      <c r="S16" s="6">
        <v>0</v>
      </c>
      <c r="T16" s="3" t="e">
        <f t="shared" si="21"/>
        <v>#DIV/0!</v>
      </c>
      <c r="U16" s="3">
        <v>0</v>
      </c>
      <c r="V16" s="6">
        <v>0</v>
      </c>
      <c r="W16" s="3" t="e">
        <f t="shared" si="22"/>
        <v>#DIV/0!</v>
      </c>
      <c r="X16" s="3">
        <v>0</v>
      </c>
      <c r="Y16" s="6">
        <v>0</v>
      </c>
      <c r="Z16" s="3" t="e">
        <f t="shared" si="23"/>
        <v>#DIV/0!</v>
      </c>
      <c r="AA16" s="3">
        <v>0</v>
      </c>
      <c r="AB16" s="6">
        <v>0</v>
      </c>
      <c r="AC16" s="3">
        <f t="shared" si="24"/>
        <v>718.88888888888891</v>
      </c>
      <c r="AD16" s="3">
        <v>14234</v>
      </c>
      <c r="AE16" s="6">
        <v>19.8</v>
      </c>
      <c r="AF16" s="3" t="e">
        <f t="shared" si="25"/>
        <v>#DIV/0!</v>
      </c>
      <c r="AG16" s="3">
        <v>0</v>
      </c>
      <c r="AH16" s="6">
        <v>0</v>
      </c>
      <c r="AI16" s="3" t="e">
        <f t="shared" si="26"/>
        <v>#DIV/0!</v>
      </c>
      <c r="AJ16" s="3">
        <v>0</v>
      </c>
      <c r="AK16" s="6">
        <v>0</v>
      </c>
      <c r="AL16" s="3" t="e">
        <f t="shared" si="27"/>
        <v>#DIV/0!</v>
      </c>
      <c r="AM16" s="3">
        <v>0</v>
      </c>
      <c r="AN16" s="6">
        <v>0</v>
      </c>
      <c r="AO16" s="3">
        <f t="shared" si="12"/>
        <v>718.88888888888891</v>
      </c>
      <c r="AP16" s="3">
        <f t="shared" si="14"/>
        <v>14234</v>
      </c>
      <c r="AQ16" s="6">
        <f t="shared" si="15"/>
        <v>19.8</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37</v>
      </c>
      <c r="B17" s="14"/>
      <c r="C17" s="14"/>
      <c r="D17" s="14"/>
      <c r="E17" s="3" t="e">
        <f t="shared" si="16"/>
        <v>#DIV/0!</v>
      </c>
      <c r="F17" s="3">
        <v>0</v>
      </c>
      <c r="G17" s="6">
        <v>0</v>
      </c>
      <c r="H17" s="3" t="e">
        <f t="shared" si="17"/>
        <v>#DIV/0!</v>
      </c>
      <c r="I17" s="3">
        <v>0</v>
      </c>
      <c r="J17" s="6">
        <v>0</v>
      </c>
      <c r="K17" s="3" t="e">
        <f t="shared" si="18"/>
        <v>#DIV/0!</v>
      </c>
      <c r="L17" s="3">
        <v>0</v>
      </c>
      <c r="M17" s="6">
        <v>0</v>
      </c>
      <c r="N17" s="3" t="e">
        <f t="shared" si="19"/>
        <v>#DIV/0!</v>
      </c>
      <c r="O17" s="3">
        <v>0</v>
      </c>
      <c r="P17" s="6">
        <v>0</v>
      </c>
      <c r="Q17" s="3" t="e">
        <f t="shared" si="20"/>
        <v>#DIV/0!</v>
      </c>
      <c r="R17" s="3">
        <v>0</v>
      </c>
      <c r="S17" s="6">
        <v>0</v>
      </c>
      <c r="T17" s="3" t="e">
        <f t="shared" si="21"/>
        <v>#DIV/0!</v>
      </c>
      <c r="U17" s="3">
        <v>0</v>
      </c>
      <c r="V17" s="6">
        <v>0</v>
      </c>
      <c r="W17" s="3" t="e">
        <f t="shared" si="22"/>
        <v>#DIV/0!</v>
      </c>
      <c r="X17" s="3">
        <v>0</v>
      </c>
      <c r="Y17" s="6">
        <v>0</v>
      </c>
      <c r="Z17" s="3">
        <f t="shared" si="23"/>
        <v>718.30721003134795</v>
      </c>
      <c r="AA17" s="3">
        <v>45828</v>
      </c>
      <c r="AB17" s="6">
        <v>63.8</v>
      </c>
      <c r="AC17" s="3" t="e">
        <f t="shared" si="24"/>
        <v>#DIV/0!</v>
      </c>
      <c r="AD17" s="3">
        <v>0</v>
      </c>
      <c r="AE17" s="6">
        <v>0</v>
      </c>
      <c r="AF17" s="3" t="e">
        <f t="shared" si="25"/>
        <v>#DIV/0!</v>
      </c>
      <c r="AG17" s="3">
        <v>0</v>
      </c>
      <c r="AH17" s="6">
        <v>0</v>
      </c>
      <c r="AI17" s="3" t="e">
        <f t="shared" si="26"/>
        <v>#DIV/0!</v>
      </c>
      <c r="AJ17" s="3">
        <v>0</v>
      </c>
      <c r="AK17" s="6">
        <v>0</v>
      </c>
      <c r="AL17" s="3" t="e">
        <f t="shared" si="27"/>
        <v>#DIV/0!</v>
      </c>
      <c r="AM17" s="3">
        <v>0</v>
      </c>
      <c r="AN17" s="6">
        <v>0</v>
      </c>
      <c r="AO17" s="3">
        <f t="shared" si="12"/>
        <v>718.30721003134795</v>
      </c>
      <c r="AP17" s="3">
        <f t="shared" si="14"/>
        <v>45828</v>
      </c>
      <c r="AQ17" s="6">
        <f t="shared" si="15"/>
        <v>63.8</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44</v>
      </c>
      <c r="B18" s="14"/>
      <c r="C18" s="14"/>
      <c r="D18" s="14"/>
      <c r="E18" s="3" t="e">
        <f t="shared" si="16"/>
        <v>#DIV/0!</v>
      </c>
      <c r="F18" s="3">
        <v>0</v>
      </c>
      <c r="G18" s="6">
        <v>0</v>
      </c>
      <c r="H18" s="3">
        <f t="shared" si="17"/>
        <v>1260</v>
      </c>
      <c r="I18" s="3">
        <v>39060</v>
      </c>
      <c r="J18" s="6">
        <v>31</v>
      </c>
      <c r="K18" s="3" t="e">
        <f t="shared" si="18"/>
        <v>#DIV/0!</v>
      </c>
      <c r="L18" s="3">
        <v>0</v>
      </c>
      <c r="M18" s="6">
        <v>0</v>
      </c>
      <c r="N18" s="3" t="e">
        <f t="shared" si="19"/>
        <v>#DIV/0!</v>
      </c>
      <c r="O18" s="3">
        <v>0</v>
      </c>
      <c r="P18" s="6">
        <v>0</v>
      </c>
      <c r="Q18" s="3" t="e">
        <f t="shared" si="20"/>
        <v>#DIV/0!</v>
      </c>
      <c r="R18" s="3">
        <v>0</v>
      </c>
      <c r="S18" s="6">
        <v>0</v>
      </c>
      <c r="T18" s="3" t="e">
        <f t="shared" si="21"/>
        <v>#DIV/0!</v>
      </c>
      <c r="U18" s="3">
        <v>0</v>
      </c>
      <c r="V18" s="6">
        <v>0</v>
      </c>
      <c r="W18" s="3" t="e">
        <f t="shared" si="22"/>
        <v>#DIV/0!</v>
      </c>
      <c r="X18" s="3">
        <v>0</v>
      </c>
      <c r="Y18" s="6">
        <v>0</v>
      </c>
      <c r="Z18" s="3" t="e">
        <f t="shared" si="23"/>
        <v>#DIV/0!</v>
      </c>
      <c r="AA18" s="3">
        <v>0</v>
      </c>
      <c r="AB18" s="6">
        <v>0</v>
      </c>
      <c r="AC18" s="3" t="e">
        <f t="shared" si="24"/>
        <v>#DIV/0!</v>
      </c>
      <c r="AD18" s="3">
        <v>0</v>
      </c>
      <c r="AE18" s="6">
        <v>0</v>
      </c>
      <c r="AF18" s="3" t="e">
        <f t="shared" si="25"/>
        <v>#DIV/0!</v>
      </c>
      <c r="AG18" s="3">
        <v>0</v>
      </c>
      <c r="AH18" s="6">
        <v>0</v>
      </c>
      <c r="AI18" s="3" t="e">
        <f t="shared" si="26"/>
        <v>#DIV/0!</v>
      </c>
      <c r="AJ18" s="3">
        <v>0</v>
      </c>
      <c r="AK18" s="6">
        <v>0</v>
      </c>
      <c r="AL18" s="3" t="e">
        <f t="shared" si="27"/>
        <v>#DIV/0!</v>
      </c>
      <c r="AM18" s="3">
        <v>0</v>
      </c>
      <c r="AN18" s="6">
        <v>0</v>
      </c>
      <c r="AO18" s="3">
        <f t="shared" si="12"/>
        <v>1260</v>
      </c>
      <c r="AP18" s="3">
        <f t="shared" si="14"/>
        <v>39060</v>
      </c>
      <c r="AQ18" s="6">
        <f t="shared" si="15"/>
        <v>31</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36</v>
      </c>
      <c r="B19" s="14"/>
      <c r="C19" s="14"/>
      <c r="D19" s="14"/>
      <c r="E19" s="3">
        <f t="shared" si="16"/>
        <v>2626.8421052631579</v>
      </c>
      <c r="F19" s="3">
        <v>4991</v>
      </c>
      <c r="G19" s="6">
        <v>1.9</v>
      </c>
      <c r="H19" s="3">
        <f t="shared" si="17"/>
        <v>2627.8947368421054</v>
      </c>
      <c r="I19" s="3">
        <v>4993</v>
      </c>
      <c r="J19" s="6">
        <v>1.9</v>
      </c>
      <c r="K19" s="3">
        <f t="shared" si="18"/>
        <v>2628.9473684210525</v>
      </c>
      <c r="L19" s="3">
        <v>14985</v>
      </c>
      <c r="M19" s="6">
        <v>5.7</v>
      </c>
      <c r="N19" s="3">
        <f t="shared" si="19"/>
        <v>977.65625</v>
      </c>
      <c r="O19" s="3">
        <v>18771</v>
      </c>
      <c r="P19" s="6">
        <v>19.2</v>
      </c>
      <c r="Q19" s="3">
        <f t="shared" si="20"/>
        <v>2431.4583333333335</v>
      </c>
      <c r="R19" s="3">
        <v>11671</v>
      </c>
      <c r="S19" s="6">
        <v>4.8</v>
      </c>
      <c r="T19" s="3">
        <f t="shared" si="21"/>
        <v>2454.166666666667</v>
      </c>
      <c r="U19" s="3">
        <v>11780</v>
      </c>
      <c r="V19" s="6">
        <v>4.8</v>
      </c>
      <c r="W19" s="3">
        <f t="shared" si="22"/>
        <v>2312.6315789473683</v>
      </c>
      <c r="X19" s="3">
        <v>4394</v>
      </c>
      <c r="Y19" s="6">
        <v>1.9</v>
      </c>
      <c r="Z19" s="3">
        <f t="shared" si="23"/>
        <v>2219.3984962406012</v>
      </c>
      <c r="AA19" s="3">
        <v>29518</v>
      </c>
      <c r="AB19" s="6">
        <v>13.3</v>
      </c>
      <c r="AC19" s="3">
        <f t="shared" si="24"/>
        <v>2296.041666666667</v>
      </c>
      <c r="AD19" s="3">
        <v>11021</v>
      </c>
      <c r="AE19" s="6">
        <v>4.8</v>
      </c>
      <c r="AF19" s="3">
        <f t="shared" si="25"/>
        <v>2294.375</v>
      </c>
      <c r="AG19" s="3">
        <v>11013</v>
      </c>
      <c r="AH19" s="6">
        <v>4.8</v>
      </c>
      <c r="AI19" s="3">
        <f t="shared" si="26"/>
        <v>907.07818930041151</v>
      </c>
      <c r="AJ19" s="3">
        <v>22042</v>
      </c>
      <c r="AK19" s="6">
        <v>24.3</v>
      </c>
      <c r="AL19" s="3" t="e">
        <f t="shared" si="27"/>
        <v>#DIV/0!</v>
      </c>
      <c r="AM19" s="3">
        <v>0</v>
      </c>
      <c r="AN19" s="6">
        <v>0</v>
      </c>
      <c r="AO19" s="3">
        <f t="shared" si="12"/>
        <v>1661.0869565217392</v>
      </c>
      <c r="AP19" s="3">
        <f t="shared" si="14"/>
        <v>145179</v>
      </c>
      <c r="AQ19" s="6">
        <f t="shared" si="15"/>
        <v>87.399999999999991</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27</v>
      </c>
      <c r="B20" s="14"/>
      <c r="C20" s="14"/>
      <c r="D20" s="14"/>
      <c r="E20" s="3" t="e">
        <f t="shared" si="16"/>
        <v>#DIV/0!</v>
      </c>
      <c r="F20" s="3">
        <v>0</v>
      </c>
      <c r="G20" s="6">
        <v>0</v>
      </c>
      <c r="H20" s="3" t="e">
        <f t="shared" si="17"/>
        <v>#DIV/0!</v>
      </c>
      <c r="I20" s="3">
        <v>0</v>
      </c>
      <c r="J20" s="6">
        <v>0</v>
      </c>
      <c r="K20" s="3" t="e">
        <f t="shared" si="18"/>
        <v>#DIV/0!</v>
      </c>
      <c r="L20" s="3">
        <v>0</v>
      </c>
      <c r="M20" s="6">
        <v>0</v>
      </c>
      <c r="N20" s="3" t="e">
        <f t="shared" si="19"/>
        <v>#DIV/0!</v>
      </c>
      <c r="O20" s="3">
        <v>0</v>
      </c>
      <c r="P20" s="6">
        <v>0</v>
      </c>
      <c r="Q20" s="3">
        <f t="shared" si="20"/>
        <v>2456.8421052631579</v>
      </c>
      <c r="R20" s="3">
        <v>9336</v>
      </c>
      <c r="S20" s="6">
        <v>3.8</v>
      </c>
      <c r="T20" s="3" t="e">
        <f t="shared" si="21"/>
        <v>#DIV/0!</v>
      </c>
      <c r="U20" s="3">
        <v>0</v>
      </c>
      <c r="V20" s="6">
        <v>0</v>
      </c>
      <c r="W20" s="3">
        <f t="shared" si="22"/>
        <v>2304.2105263157896</v>
      </c>
      <c r="X20" s="3">
        <v>4378</v>
      </c>
      <c r="Y20" s="6">
        <v>1.9</v>
      </c>
      <c r="Z20" s="3">
        <f t="shared" si="23"/>
        <v>2230.7894736842104</v>
      </c>
      <c r="AA20" s="3">
        <v>8477</v>
      </c>
      <c r="AB20" s="6">
        <v>3.8</v>
      </c>
      <c r="AC20" s="3">
        <f t="shared" si="24"/>
        <v>2327.8947368421054</v>
      </c>
      <c r="AD20" s="3">
        <v>4423</v>
      </c>
      <c r="AE20" s="6">
        <v>1.9</v>
      </c>
      <c r="AF20" s="3" t="e">
        <f t="shared" si="25"/>
        <v>#DIV/0!</v>
      </c>
      <c r="AG20" s="3">
        <v>0</v>
      </c>
      <c r="AH20" s="6">
        <v>0</v>
      </c>
      <c r="AI20" s="3" t="e">
        <f t="shared" si="26"/>
        <v>#DIV/0!</v>
      </c>
      <c r="AJ20" s="3">
        <v>0</v>
      </c>
      <c r="AK20" s="6">
        <v>0</v>
      </c>
      <c r="AL20" s="3" t="e">
        <f t="shared" si="27"/>
        <v>#DIV/0!</v>
      </c>
      <c r="AM20" s="3">
        <v>0</v>
      </c>
      <c r="AN20" s="6">
        <v>0</v>
      </c>
      <c r="AO20" s="3">
        <f t="shared" si="12"/>
        <v>2334.5614035087719</v>
      </c>
      <c r="AP20" s="3">
        <f t="shared" si="14"/>
        <v>26614</v>
      </c>
      <c r="AQ20" s="6">
        <f t="shared" si="15"/>
        <v>11.4</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11" t="s">
        <v>28</v>
      </c>
      <c r="B21" s="15"/>
      <c r="C21" s="15"/>
      <c r="D21" s="15"/>
      <c r="E21" s="12">
        <f t="shared" si="16"/>
        <v>720.34090909090901</v>
      </c>
      <c r="F21" s="7">
        <v>6339</v>
      </c>
      <c r="G21" s="8">
        <v>8.8000000000000007</v>
      </c>
      <c r="H21" s="7" t="e">
        <f t="shared" si="17"/>
        <v>#DIV/0!</v>
      </c>
      <c r="I21" s="7">
        <v>0</v>
      </c>
      <c r="J21" s="8">
        <v>0</v>
      </c>
      <c r="K21" s="7" t="e">
        <f t="shared" si="18"/>
        <v>#DIV/0!</v>
      </c>
      <c r="L21" s="7">
        <v>0</v>
      </c>
      <c r="M21" s="8">
        <v>0</v>
      </c>
      <c r="N21" s="7" t="e">
        <f t="shared" si="19"/>
        <v>#DIV/0!</v>
      </c>
      <c r="O21" s="7">
        <v>0</v>
      </c>
      <c r="P21" s="8">
        <v>0</v>
      </c>
      <c r="Q21" s="7">
        <f t="shared" si="20"/>
        <v>1063</v>
      </c>
      <c r="R21" s="7">
        <v>7441</v>
      </c>
      <c r="S21" s="8">
        <v>7</v>
      </c>
      <c r="T21" s="7" t="e">
        <f t="shared" si="21"/>
        <v>#DIV/0!</v>
      </c>
      <c r="U21" s="7">
        <v>0</v>
      </c>
      <c r="V21" s="8">
        <v>0</v>
      </c>
      <c r="W21" s="7" t="e">
        <f t="shared" si="22"/>
        <v>#DIV/0!</v>
      </c>
      <c r="X21" s="7">
        <v>0</v>
      </c>
      <c r="Y21" s="8">
        <v>0</v>
      </c>
      <c r="Z21" s="7" t="e">
        <f t="shared" si="23"/>
        <v>#DIV/0!</v>
      </c>
      <c r="AA21" s="7">
        <v>0</v>
      </c>
      <c r="AB21" s="8">
        <v>0</v>
      </c>
      <c r="AC21" s="7" t="e">
        <f t="shared" si="24"/>
        <v>#DIV/0!</v>
      </c>
      <c r="AD21" s="7">
        <v>0</v>
      </c>
      <c r="AE21" s="8">
        <v>0</v>
      </c>
      <c r="AF21" s="7" t="e">
        <f t="shared" si="25"/>
        <v>#DIV/0!</v>
      </c>
      <c r="AG21" s="7">
        <v>0</v>
      </c>
      <c r="AH21" s="8">
        <v>0</v>
      </c>
      <c r="AI21" s="7" t="e">
        <f t="shared" si="26"/>
        <v>#DIV/0!</v>
      </c>
      <c r="AJ21" s="7">
        <v>0</v>
      </c>
      <c r="AK21" s="8">
        <v>0</v>
      </c>
      <c r="AL21" s="7" t="e">
        <f t="shared" si="27"/>
        <v>#DIV/0!</v>
      </c>
      <c r="AM21" s="7">
        <v>0</v>
      </c>
      <c r="AN21" s="8">
        <v>0</v>
      </c>
      <c r="AO21" s="7">
        <f t="shared" si="12"/>
        <v>872.15189873417717</v>
      </c>
      <c r="AP21" s="7">
        <f t="shared" si="14"/>
        <v>13780</v>
      </c>
      <c r="AQ21" s="8">
        <f t="shared" si="15"/>
        <v>15.8</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1" t="s">
        <v>29</v>
      </c>
      <c r="B22" s="1"/>
    </row>
    <row r="23" spans="1:67" x14ac:dyDescent="0.3">
      <c r="A23" s="1" t="s">
        <v>38</v>
      </c>
      <c r="B23" s="1"/>
    </row>
    <row r="24" spans="1:67" x14ac:dyDescent="0.3">
      <c r="A24" s="1" t="s">
        <v>30</v>
      </c>
      <c r="B24" s="1"/>
    </row>
    <row r="25" spans="1:67" x14ac:dyDescent="0.3">
      <c r="A25" s="1" t="s">
        <v>31</v>
      </c>
      <c r="B25" s="1"/>
    </row>
    <row r="26" spans="1:67" x14ac:dyDescent="0.3">
      <c r="A26" s="1" t="s">
        <v>39</v>
      </c>
      <c r="B26" s="1"/>
    </row>
  </sheetData>
  <mergeCells count="16">
    <mergeCell ref="B3:B21"/>
    <mergeCell ref="C3:C21"/>
    <mergeCell ref="AO1:AQ1"/>
    <mergeCell ref="W1:Y1"/>
    <mergeCell ref="Z1:AB1"/>
    <mergeCell ref="AC1:AE1"/>
    <mergeCell ref="AF1:AH1"/>
    <mergeCell ref="AI1:AK1"/>
    <mergeCell ref="D3:D21"/>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2024년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2026-08-07T07:16:42Z</dcterms:modified>
</cp:coreProperties>
</file>