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U:\데이터플랫폼팀\00 데이터플랫폼팀_공유\데이터플랫폼팀(23.03~)\08 데이터 분석\00 분석과제정의서\☆구매\수입원료\대두유\데이터\외부\경제, 무역\USDA(미국 농무부)\GATS(글로벌 농산물 무역 시스템)\Oilseeds\대두유\1517.90.4035\"/>
    </mc:Choice>
  </mc:AlternateContent>
  <bookViews>
    <workbookView xWindow="0" yWindow="0" windowWidth="25125" windowHeight="11640"/>
  </bookViews>
  <sheets>
    <sheet name="2011년" sheetId="1" r:id="rId1"/>
  </sheets>
  <calcPr calcId="162913"/>
</workbook>
</file>

<file path=xl/calcChain.xml><?xml version="1.0" encoding="utf-8"?>
<calcChain xmlns="http://schemas.openxmlformats.org/spreadsheetml/2006/main">
  <c r="AQ4" i="1" l="1"/>
  <c r="AP4" i="1"/>
  <c r="AN3" i="1"/>
  <c r="AM3" i="1"/>
  <c r="AK3" i="1"/>
  <c r="AJ3" i="1"/>
  <c r="AH3" i="1"/>
  <c r="AG3" i="1"/>
  <c r="AE3" i="1"/>
  <c r="AD3" i="1"/>
  <c r="AB3" i="1"/>
  <c r="AA3" i="1"/>
  <c r="Y3" i="1"/>
  <c r="X3" i="1"/>
  <c r="V3" i="1"/>
  <c r="U3" i="1"/>
  <c r="S3" i="1"/>
  <c r="R3" i="1"/>
  <c r="P3" i="1"/>
  <c r="O3" i="1"/>
  <c r="M3" i="1"/>
  <c r="L3" i="1"/>
  <c r="J3" i="1"/>
  <c r="I3" i="1"/>
  <c r="G3" i="1"/>
  <c r="F3" i="1"/>
  <c r="AQ34" i="1" l="1"/>
  <c r="AP34" i="1"/>
  <c r="AQ33" i="1"/>
  <c r="AP33" i="1"/>
  <c r="AQ32" i="1"/>
  <c r="AP32" i="1"/>
  <c r="AQ31" i="1"/>
  <c r="AP31" i="1"/>
  <c r="AQ30" i="1"/>
  <c r="AP30" i="1"/>
  <c r="AQ29" i="1"/>
  <c r="AP29" i="1"/>
  <c r="AQ28" i="1"/>
  <c r="AP28" i="1"/>
  <c r="AQ27" i="1"/>
  <c r="AP27" i="1"/>
  <c r="AQ26" i="1"/>
  <c r="AP26" i="1"/>
  <c r="AQ25" i="1"/>
  <c r="AP25" i="1"/>
  <c r="AQ24" i="1"/>
  <c r="AP24" i="1"/>
  <c r="AQ23" i="1"/>
  <c r="AP23" i="1"/>
  <c r="AQ22" i="1"/>
  <c r="AP22" i="1"/>
  <c r="AQ21" i="1"/>
  <c r="AP21" i="1"/>
  <c r="AQ20" i="1"/>
  <c r="AP20" i="1"/>
  <c r="AQ19" i="1"/>
  <c r="AP19" i="1"/>
  <c r="AQ18" i="1"/>
  <c r="AP18" i="1"/>
  <c r="AQ17" i="1"/>
  <c r="AP17" i="1"/>
  <c r="AQ16" i="1"/>
  <c r="AP16" i="1"/>
  <c r="AQ15" i="1"/>
  <c r="AP15" i="1"/>
  <c r="AQ14" i="1"/>
  <c r="AP14" i="1"/>
  <c r="AQ13" i="1"/>
  <c r="AP13" i="1"/>
  <c r="AQ12" i="1"/>
  <c r="AP12" i="1"/>
  <c r="AQ11" i="1"/>
  <c r="AP11" i="1"/>
  <c r="AQ10" i="1"/>
  <c r="AP10" i="1"/>
  <c r="AQ9" i="1"/>
  <c r="AP9" i="1"/>
  <c r="AQ8" i="1"/>
  <c r="AP8" i="1"/>
  <c r="AQ7" i="1"/>
  <c r="AP7" i="1"/>
  <c r="AQ6" i="1"/>
  <c r="AP6" i="1"/>
  <c r="AC3" i="1" l="1"/>
  <c r="Q3" i="1"/>
  <c r="AL3" i="1"/>
  <c r="AF3" i="1"/>
  <c r="W3" i="1"/>
  <c r="T3" i="1"/>
  <c r="N3" i="1"/>
  <c r="K3" i="1"/>
  <c r="H3" i="1"/>
  <c r="AP5" i="1"/>
  <c r="AP3" i="1" s="1"/>
  <c r="AL34" i="1"/>
  <c r="AL33" i="1"/>
  <c r="AL32" i="1"/>
  <c r="AL31" i="1"/>
  <c r="AL30" i="1"/>
  <c r="AL29" i="1"/>
  <c r="AL28" i="1"/>
  <c r="AL27" i="1"/>
  <c r="AL26" i="1"/>
  <c r="AL25" i="1"/>
  <c r="AL24" i="1"/>
  <c r="AL23" i="1"/>
  <c r="AL22" i="1"/>
  <c r="AL21" i="1"/>
  <c r="AL20" i="1"/>
  <c r="AL19" i="1"/>
  <c r="AL18" i="1"/>
  <c r="AL17" i="1"/>
  <c r="AL16" i="1"/>
  <c r="AL15" i="1"/>
  <c r="AL14" i="1"/>
  <c r="AL13" i="1"/>
  <c r="AL12" i="1"/>
  <c r="AL11" i="1"/>
  <c r="AL10" i="1"/>
  <c r="AL9" i="1"/>
  <c r="AL8" i="1"/>
  <c r="AL7" i="1"/>
  <c r="AL6" i="1"/>
  <c r="AL5" i="1"/>
  <c r="AL4" i="1"/>
  <c r="AI34" i="1"/>
  <c r="AI33" i="1"/>
  <c r="AI32" i="1"/>
  <c r="AI31" i="1"/>
  <c r="AI30" i="1"/>
  <c r="AI29" i="1"/>
  <c r="AI28" i="1"/>
  <c r="AI27" i="1"/>
  <c r="AI26" i="1"/>
  <c r="AI25" i="1"/>
  <c r="AI24" i="1"/>
  <c r="AI23" i="1"/>
  <c r="AI22" i="1"/>
  <c r="AI21" i="1"/>
  <c r="AI20" i="1"/>
  <c r="AI19" i="1"/>
  <c r="AI18" i="1"/>
  <c r="AI17" i="1"/>
  <c r="AI16" i="1"/>
  <c r="AI15" i="1"/>
  <c r="AI14" i="1"/>
  <c r="AI13" i="1"/>
  <c r="AI12" i="1"/>
  <c r="AI11" i="1"/>
  <c r="AI10" i="1"/>
  <c r="AI9" i="1"/>
  <c r="AI8" i="1"/>
  <c r="AI7" i="1"/>
  <c r="AI6" i="1"/>
  <c r="AI5" i="1"/>
  <c r="AI4" i="1"/>
  <c r="AF34" i="1"/>
  <c r="AF33" i="1"/>
  <c r="AF32" i="1"/>
  <c r="AF31" i="1"/>
  <c r="AF30" i="1"/>
  <c r="AF29" i="1"/>
  <c r="AF28" i="1"/>
  <c r="AF27" i="1"/>
  <c r="AF26" i="1"/>
  <c r="AF25" i="1"/>
  <c r="AF24" i="1"/>
  <c r="AF23" i="1"/>
  <c r="AF22" i="1"/>
  <c r="AF21" i="1"/>
  <c r="AF20" i="1"/>
  <c r="AF19" i="1"/>
  <c r="AF18" i="1"/>
  <c r="AF17" i="1"/>
  <c r="AF16" i="1"/>
  <c r="AF15" i="1"/>
  <c r="AF14" i="1"/>
  <c r="AF13" i="1"/>
  <c r="AF12" i="1"/>
  <c r="AF11" i="1"/>
  <c r="AF10" i="1"/>
  <c r="AF9" i="1"/>
  <c r="AF8" i="1"/>
  <c r="AF7" i="1"/>
  <c r="AF6" i="1"/>
  <c r="AF5" i="1"/>
  <c r="AF4" i="1"/>
  <c r="AC34" i="1"/>
  <c r="AC33" i="1"/>
  <c r="AC32" i="1"/>
  <c r="AC31" i="1"/>
  <c r="AC30" i="1"/>
  <c r="AC29" i="1"/>
  <c r="AC28" i="1"/>
  <c r="AC27" i="1"/>
  <c r="AC26" i="1"/>
  <c r="AC25" i="1"/>
  <c r="AC24" i="1"/>
  <c r="AC23" i="1"/>
  <c r="AC22" i="1"/>
  <c r="AC21" i="1"/>
  <c r="AC20" i="1"/>
  <c r="AC19" i="1"/>
  <c r="AC18" i="1"/>
  <c r="AC17" i="1"/>
  <c r="AC16" i="1"/>
  <c r="AC15" i="1"/>
  <c r="AC14" i="1"/>
  <c r="AC13" i="1"/>
  <c r="AC12" i="1"/>
  <c r="AC11" i="1"/>
  <c r="AC10" i="1"/>
  <c r="AC9" i="1"/>
  <c r="AC8" i="1"/>
  <c r="AC7" i="1"/>
  <c r="AC6" i="1"/>
  <c r="AC5" i="1"/>
  <c r="AC4" i="1"/>
  <c r="Z34" i="1"/>
  <c r="Z33" i="1"/>
  <c r="Z32" i="1"/>
  <c r="Z31" i="1"/>
  <c r="Z30" i="1"/>
  <c r="Z29" i="1"/>
  <c r="Z28" i="1"/>
  <c r="Z27" i="1"/>
  <c r="Z26" i="1"/>
  <c r="Z25" i="1"/>
  <c r="Z24" i="1"/>
  <c r="Z23" i="1"/>
  <c r="Z22" i="1"/>
  <c r="Z21" i="1"/>
  <c r="Z20" i="1"/>
  <c r="Z19" i="1"/>
  <c r="Z18" i="1"/>
  <c r="Z17" i="1"/>
  <c r="Z16" i="1"/>
  <c r="Z15" i="1"/>
  <c r="Z14" i="1"/>
  <c r="Z13" i="1"/>
  <c r="Z12" i="1"/>
  <c r="Z11" i="1"/>
  <c r="Z10" i="1"/>
  <c r="Z9" i="1"/>
  <c r="Z8" i="1"/>
  <c r="Z7" i="1"/>
  <c r="Z6" i="1"/>
  <c r="Z5" i="1"/>
  <c r="Z4" i="1"/>
  <c r="W34" i="1"/>
  <c r="W33" i="1"/>
  <c r="W32" i="1"/>
  <c r="W31" i="1"/>
  <c r="W30" i="1"/>
  <c r="W29" i="1"/>
  <c r="W28" i="1"/>
  <c r="W27" i="1"/>
  <c r="W26" i="1"/>
  <c r="W25" i="1"/>
  <c r="W24" i="1"/>
  <c r="W23" i="1"/>
  <c r="W22" i="1"/>
  <c r="W21" i="1"/>
  <c r="W20" i="1"/>
  <c r="W19" i="1"/>
  <c r="W18" i="1"/>
  <c r="W17" i="1"/>
  <c r="W16" i="1"/>
  <c r="W15" i="1"/>
  <c r="W14" i="1"/>
  <c r="W13" i="1"/>
  <c r="W12" i="1"/>
  <c r="W11" i="1"/>
  <c r="W10" i="1"/>
  <c r="W9" i="1"/>
  <c r="W8" i="1"/>
  <c r="W7" i="1"/>
  <c r="W6" i="1"/>
  <c r="W5" i="1"/>
  <c r="W4" i="1"/>
  <c r="T34" i="1"/>
  <c r="T33" i="1"/>
  <c r="T32" i="1"/>
  <c r="T31" i="1"/>
  <c r="T30" i="1"/>
  <c r="T29" i="1"/>
  <c r="T28" i="1"/>
  <c r="T27" i="1"/>
  <c r="T26" i="1"/>
  <c r="T25" i="1"/>
  <c r="T24" i="1"/>
  <c r="T23" i="1"/>
  <c r="T22" i="1"/>
  <c r="T21" i="1"/>
  <c r="T20" i="1"/>
  <c r="T19" i="1"/>
  <c r="T18" i="1"/>
  <c r="T17" i="1"/>
  <c r="T16" i="1"/>
  <c r="T15" i="1"/>
  <c r="T14" i="1"/>
  <c r="T13" i="1"/>
  <c r="T12" i="1"/>
  <c r="T11" i="1"/>
  <c r="T10" i="1"/>
  <c r="T9" i="1"/>
  <c r="T8" i="1"/>
  <c r="T7" i="1"/>
  <c r="T6" i="1"/>
  <c r="T5" i="1"/>
  <c r="T4" i="1"/>
  <c r="Q34" i="1"/>
  <c r="Q33" i="1"/>
  <c r="Q32" i="1"/>
  <c r="Q31" i="1"/>
  <c r="Q30" i="1"/>
  <c r="Q29" i="1"/>
  <c r="Q28" i="1"/>
  <c r="Q27" i="1"/>
  <c r="Q26" i="1"/>
  <c r="Q25" i="1"/>
  <c r="Q24" i="1"/>
  <c r="Q23" i="1"/>
  <c r="Q22" i="1"/>
  <c r="Q21" i="1"/>
  <c r="Q20" i="1"/>
  <c r="Q19" i="1"/>
  <c r="Q18" i="1"/>
  <c r="Q17" i="1"/>
  <c r="Q16" i="1"/>
  <c r="Q15" i="1"/>
  <c r="Q14" i="1"/>
  <c r="Q13" i="1"/>
  <c r="Q12" i="1"/>
  <c r="Q11" i="1"/>
  <c r="Q10" i="1"/>
  <c r="Q9" i="1"/>
  <c r="Q8" i="1"/>
  <c r="Q7" i="1"/>
  <c r="Q6" i="1"/>
  <c r="Q5" i="1"/>
  <c r="Q4" i="1"/>
  <c r="N34" i="1"/>
  <c r="N33" i="1"/>
  <c r="N32" i="1"/>
  <c r="N31" i="1"/>
  <c r="N30" i="1"/>
  <c r="N29" i="1"/>
  <c r="N28" i="1"/>
  <c r="N27" i="1"/>
  <c r="N26" i="1"/>
  <c r="N25" i="1"/>
  <c r="N24" i="1"/>
  <c r="N23" i="1"/>
  <c r="N22" i="1"/>
  <c r="N21" i="1"/>
  <c r="N20" i="1"/>
  <c r="N19" i="1"/>
  <c r="N18" i="1"/>
  <c r="N17" i="1"/>
  <c r="N16" i="1"/>
  <c r="N15" i="1"/>
  <c r="N14" i="1"/>
  <c r="N13" i="1"/>
  <c r="N12" i="1"/>
  <c r="N11" i="1"/>
  <c r="N10" i="1"/>
  <c r="N9" i="1"/>
  <c r="N8" i="1"/>
  <c r="N7" i="1"/>
  <c r="N6" i="1"/>
  <c r="N5" i="1"/>
  <c r="N4" i="1"/>
  <c r="K34" i="1"/>
  <c r="K33" i="1"/>
  <c r="K32" i="1"/>
  <c r="K31" i="1"/>
  <c r="K30" i="1"/>
  <c r="K29" i="1"/>
  <c r="K28" i="1"/>
  <c r="K27" i="1"/>
  <c r="K26" i="1"/>
  <c r="K25" i="1"/>
  <c r="K24" i="1"/>
  <c r="K23" i="1"/>
  <c r="K22" i="1"/>
  <c r="K21" i="1"/>
  <c r="K20" i="1"/>
  <c r="K19" i="1"/>
  <c r="K18" i="1"/>
  <c r="K17" i="1"/>
  <c r="K16" i="1"/>
  <c r="K15" i="1"/>
  <c r="K14" i="1"/>
  <c r="K13" i="1"/>
  <c r="K12" i="1"/>
  <c r="K11" i="1"/>
  <c r="K10" i="1"/>
  <c r="K9" i="1"/>
  <c r="K8" i="1"/>
  <c r="K7" i="1"/>
  <c r="K6" i="1"/>
  <c r="K5" i="1"/>
  <c r="K4" i="1"/>
  <c r="H34" i="1"/>
  <c r="H33" i="1"/>
  <c r="H32" i="1"/>
  <c r="H31" i="1"/>
  <c r="H30" i="1"/>
  <c r="H29" i="1"/>
  <c r="H28" i="1"/>
  <c r="H27" i="1"/>
  <c r="H26" i="1"/>
  <c r="H25" i="1"/>
  <c r="H24" i="1"/>
  <c r="H23" i="1"/>
  <c r="H22" i="1"/>
  <c r="H21" i="1"/>
  <c r="H20" i="1"/>
  <c r="H19" i="1"/>
  <c r="H18" i="1"/>
  <c r="H17" i="1"/>
  <c r="H16" i="1"/>
  <c r="H15" i="1"/>
  <c r="H14" i="1"/>
  <c r="H13" i="1"/>
  <c r="H12" i="1"/>
  <c r="H11" i="1"/>
  <c r="H10" i="1"/>
  <c r="H9" i="1"/>
  <c r="H8" i="1"/>
  <c r="H7" i="1"/>
  <c r="H6" i="1"/>
  <c r="H5" i="1"/>
  <c r="H4" i="1"/>
  <c r="E34" i="1"/>
  <c r="E33" i="1"/>
  <c r="E32" i="1"/>
  <c r="E31" i="1"/>
  <c r="E30" i="1"/>
  <c r="E29" i="1"/>
  <c r="E28" i="1"/>
  <c r="E27" i="1"/>
  <c r="E26" i="1"/>
  <c r="E25" i="1"/>
  <c r="E24" i="1"/>
  <c r="E23" i="1"/>
  <c r="E22" i="1"/>
  <c r="E21" i="1"/>
  <c r="E20" i="1"/>
  <c r="E19" i="1"/>
  <c r="E18" i="1"/>
  <c r="E17" i="1"/>
  <c r="E16" i="1"/>
  <c r="E15" i="1"/>
  <c r="E14" i="1"/>
  <c r="E13" i="1"/>
  <c r="E11" i="1"/>
  <c r="E10" i="1"/>
  <c r="E9" i="1"/>
  <c r="E8" i="1"/>
  <c r="E7" i="1"/>
  <c r="E6" i="1"/>
  <c r="E5" i="1"/>
  <c r="E4" i="1"/>
  <c r="E12" i="1"/>
  <c r="AQ5" i="1"/>
  <c r="AI3" i="1" l="1"/>
  <c r="Z3" i="1"/>
  <c r="AO7" i="1"/>
  <c r="AO15" i="1"/>
  <c r="E3" i="1"/>
  <c r="AO10" i="1"/>
  <c r="AO18" i="1"/>
  <c r="AO26" i="1"/>
  <c r="AO34" i="1"/>
  <c r="AO11" i="1"/>
  <c r="AO27" i="1"/>
  <c r="AO20" i="1"/>
  <c r="AO28" i="1"/>
  <c r="AO5" i="1"/>
  <c r="AO13" i="1"/>
  <c r="AO21" i="1"/>
  <c r="AO29" i="1"/>
  <c r="AO6" i="1"/>
  <c r="AO14" i="1"/>
  <c r="AO22" i="1"/>
  <c r="AO30" i="1"/>
  <c r="AO31" i="1"/>
  <c r="AO8" i="1"/>
  <c r="AO16" i="1"/>
  <c r="AO24" i="1"/>
  <c r="AO32" i="1"/>
  <c r="AO9" i="1"/>
  <c r="AO17" i="1"/>
  <c r="AO25" i="1"/>
  <c r="AO33" i="1"/>
  <c r="AO19" i="1"/>
  <c r="AO23" i="1"/>
  <c r="AQ3" i="1"/>
  <c r="AO3" i="1" l="1"/>
  <c r="AO4" i="1"/>
  <c r="AO12" i="1"/>
</calcChain>
</file>

<file path=xl/sharedStrings.xml><?xml version="1.0" encoding="utf-8"?>
<sst xmlns="http://schemas.openxmlformats.org/spreadsheetml/2006/main" count="96" uniqueCount="60">
  <si>
    <t>January</t>
  </si>
  <si>
    <t>February</t>
  </si>
  <si>
    <t>March</t>
  </si>
  <si>
    <t>April</t>
  </si>
  <si>
    <t>May</t>
  </si>
  <si>
    <t>June</t>
  </si>
  <si>
    <t>July</t>
  </si>
  <si>
    <t>August</t>
  </si>
  <si>
    <t>September</t>
  </si>
  <si>
    <t>October</t>
  </si>
  <si>
    <t>November</t>
  </si>
  <si>
    <t>December</t>
  </si>
  <si>
    <t>Total</t>
  </si>
  <si>
    <t>Unit of Measure</t>
  </si>
  <si>
    <t>Unit Value</t>
  </si>
  <si>
    <t>Qty</t>
  </si>
  <si>
    <t>World Total</t>
  </si>
  <si>
    <t>MT</t>
  </si>
  <si>
    <t>Costa Rica</t>
  </si>
  <si>
    <t>Australia(*)</t>
  </si>
  <si>
    <t>Colombia</t>
  </si>
  <si>
    <t>Korea, South</t>
  </si>
  <si>
    <t>Jamaica</t>
  </si>
  <si>
    <t>Mexico</t>
  </si>
  <si>
    <t>United Arab Emirates</t>
  </si>
  <si>
    <t>Bahamas, The</t>
  </si>
  <si>
    <t>Belize</t>
  </si>
  <si>
    <t>China</t>
  </si>
  <si>
    <t>El Salvador</t>
  </si>
  <si>
    <t>Honduras</t>
  </si>
  <si>
    <t>Italy(*)</t>
  </si>
  <si>
    <t>Panama</t>
  </si>
  <si>
    <t>Trinidad and Tobago</t>
  </si>
  <si>
    <t>Leeward-Windward Islands(*)</t>
  </si>
  <si>
    <t>Notes:</t>
  </si>
  <si>
    <t>2. (*) denotes a country that is a summarization of its component countries.</t>
  </si>
  <si>
    <t>3. Users should use cautious interpretation on QUANTITY reports using mixed units of measure. QUANTITY line items will only include statistics on the units of measure that are equal to, or are able to be converted to, the assigned unit of measure of the grouped commodities.</t>
  </si>
  <si>
    <t>Country</t>
    <phoneticPr fontId="18" type="noConversion"/>
  </si>
  <si>
    <t>Value</t>
    <phoneticPr fontId="18" type="noConversion"/>
  </si>
  <si>
    <t>USD</t>
    <phoneticPr fontId="18" type="noConversion"/>
  </si>
  <si>
    <t>Value</t>
    <phoneticPr fontId="18" type="noConversion"/>
  </si>
  <si>
    <t>Guyana</t>
  </si>
  <si>
    <t>Netherlands Antilles(*)</t>
  </si>
  <si>
    <t>Saudi Arabia</t>
  </si>
  <si>
    <t>Kuwait</t>
  </si>
  <si>
    <t>Lebanon</t>
  </si>
  <si>
    <t>Bermuda</t>
  </si>
  <si>
    <t>Denmark</t>
  </si>
  <si>
    <t>1. Data Source: U.S. Census Bureau Trade Data</t>
  </si>
  <si>
    <t>4. Product Group : Harmonized</t>
  </si>
  <si>
    <t>Product</t>
    <phoneticPr fontId="18" type="noConversion"/>
  </si>
  <si>
    <t>Spain</t>
  </si>
  <si>
    <t>Suriname</t>
  </si>
  <si>
    <t>Netherlands</t>
  </si>
  <si>
    <t>Qatar</t>
  </si>
  <si>
    <t>Turks and Caicos Islands</t>
  </si>
  <si>
    <t>SOY OIL HYDRGNTD</t>
    <phoneticPr fontId="18" type="noConversion"/>
  </si>
  <si>
    <t>Bahrain</t>
  </si>
  <si>
    <t>Poland</t>
  </si>
  <si>
    <t>Thailand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</si>
</sst>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0_);[Red]\(#,##0.0\)"/>
  </numFmts>
  <fonts count="19" x14ac:knownFonts="1">
    <font>
      <sz val="11"/>
      <color theme="1"/>
      <name val="맑은 고딕"/>
      <family val="2"/>
      <charset val="129"/>
      <scheme val="minor"/>
    </font>
    <font>
      <sz val="11"/>
      <color theme="1"/>
      <name val="맑은 고딕"/>
      <family val="2"/>
      <charset val="129"/>
      <scheme val="minor"/>
    </font>
    <font>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9C6500"/>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sz val="11"/>
      <color rgb="FFFF000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1"/>
      <color theme="0"/>
      <name val="맑은 고딕"/>
      <family val="2"/>
      <charset val="129"/>
      <scheme val="minor"/>
    </font>
    <font>
      <sz val="8"/>
      <name val="맑은 고딕"/>
      <family val="2"/>
      <charset val="129"/>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
      <patternFill patternType="solid">
        <fgColor rgb="FFDDEBF7"/>
        <bgColor indexed="64"/>
      </patternFill>
    </fill>
  </fills>
  <borders count="2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7"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7"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7"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7"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7"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7" fillId="32" borderId="0" applyNumberFormat="0" applyBorder="0" applyAlignment="0" applyProtection="0">
      <alignment vertical="center"/>
    </xf>
  </cellStyleXfs>
  <cellXfs count="22">
    <xf numFmtId="0" fontId="0" fillId="0" borderId="0" xfId="0">
      <alignment vertical="center"/>
    </xf>
    <xf numFmtId="49" fontId="0" fillId="0" borderId="0" xfId="0" applyNumberFormat="1">
      <alignment vertical="center"/>
    </xf>
    <xf numFmtId="49" fontId="0" fillId="0" borderId="0" xfId="0" applyNumberFormat="1" applyAlignment="1">
      <alignment horizontal="center" vertical="center"/>
    </xf>
    <xf numFmtId="176" fontId="0" fillId="0" borderId="0" xfId="0" applyNumberFormat="1" applyAlignment="1">
      <alignment horizontal="center" vertical="center"/>
    </xf>
    <xf numFmtId="49" fontId="0" fillId="0" borderId="16" xfId="0" applyNumberFormat="1" applyBorder="1" applyAlignment="1">
      <alignment horizontal="center" vertical="center"/>
    </xf>
    <xf numFmtId="49" fontId="0" fillId="0" borderId="17" xfId="0" applyNumberFormat="1" applyBorder="1" applyAlignment="1">
      <alignment horizontal="center" vertical="center"/>
    </xf>
    <xf numFmtId="176" fontId="0" fillId="0" borderId="18" xfId="0" applyNumberFormat="1" applyBorder="1" applyAlignment="1">
      <alignment horizontal="center" vertical="center"/>
    </xf>
    <xf numFmtId="49" fontId="0" fillId="0" borderId="18" xfId="0" applyNumberFormat="1" applyBorder="1">
      <alignment vertical="center"/>
    </xf>
    <xf numFmtId="49" fontId="0" fillId="0" borderId="17" xfId="0" applyNumberFormat="1" applyBorder="1">
      <alignment vertical="center"/>
    </xf>
    <xf numFmtId="176" fontId="0" fillId="0" borderId="19" xfId="0" applyNumberFormat="1" applyBorder="1" applyAlignment="1">
      <alignment horizontal="center" vertical="center"/>
    </xf>
    <xf numFmtId="176" fontId="0" fillId="0" borderId="20" xfId="0" applyNumberFormat="1" applyBorder="1" applyAlignment="1">
      <alignment horizontal="center" vertical="center"/>
    </xf>
    <xf numFmtId="176" fontId="0" fillId="0" borderId="21" xfId="0" applyNumberFormat="1" applyBorder="1" applyAlignment="1">
      <alignment horizontal="center" vertical="center"/>
    </xf>
    <xf numFmtId="49" fontId="0" fillId="0" borderId="21" xfId="0" applyNumberFormat="1" applyBorder="1">
      <alignment vertical="center"/>
    </xf>
    <xf numFmtId="49" fontId="0" fillId="0" borderId="14" xfId="0" applyNumberFormat="1" applyBorder="1" applyAlignment="1">
      <alignment horizontal="center" vertical="center"/>
    </xf>
    <xf numFmtId="49" fontId="0" fillId="0" borderId="15" xfId="0" applyNumberFormat="1" applyBorder="1" applyAlignment="1">
      <alignment horizontal="center" vertical="center"/>
    </xf>
    <xf numFmtId="49" fontId="0" fillId="34" borderId="10" xfId="0" applyNumberFormat="1" applyFill="1" applyBorder="1" applyAlignment="1">
      <alignment horizontal="center" vertical="center"/>
    </xf>
    <xf numFmtId="49" fontId="0" fillId="34" borderId="11" xfId="0" applyNumberFormat="1" applyFill="1" applyBorder="1" applyAlignment="1">
      <alignment horizontal="center" vertical="center"/>
    </xf>
    <xf numFmtId="49" fontId="0" fillId="34" borderId="12" xfId="0" applyNumberFormat="1" applyFill="1" applyBorder="1" applyAlignment="1">
      <alignment horizontal="center" vertical="center"/>
    </xf>
    <xf numFmtId="49" fontId="0" fillId="33" borderId="10" xfId="0" applyNumberFormat="1" applyFill="1" applyBorder="1" applyAlignment="1">
      <alignment horizontal="center" vertical="center"/>
    </xf>
    <xf numFmtId="49" fontId="0" fillId="33" borderId="11" xfId="0" applyNumberFormat="1" applyFill="1" applyBorder="1" applyAlignment="1">
      <alignment horizontal="center" vertical="center"/>
    </xf>
    <xf numFmtId="49" fontId="0" fillId="33" borderId="12" xfId="0" applyNumberFormat="1" applyFill="1" applyBorder="1" applyAlignment="1">
      <alignment horizontal="center" vertical="center"/>
    </xf>
    <xf numFmtId="49" fontId="0" fillId="0" borderId="13" xfId="0" applyNumberFormat="1" applyBorder="1" applyAlignment="1">
      <alignment horizontal="center" vertical="center"/>
    </xf>
  </cellXfs>
  <cellStyles count="42">
    <cellStyle name="20% - 강조색1" xfId="19" builtinId="30" customBuiltin="1"/>
    <cellStyle name="20% - 강조색2" xfId="23" builtinId="34" customBuiltin="1"/>
    <cellStyle name="20% - 강조색3" xfId="27" builtinId="38" customBuiltin="1"/>
    <cellStyle name="20% - 강조색4" xfId="31" builtinId="42" customBuiltin="1"/>
    <cellStyle name="20% - 강조색5" xfId="35" builtinId="46" customBuiltin="1"/>
    <cellStyle name="20% - 강조색6" xfId="39" builtinId="50" customBuiltin="1"/>
    <cellStyle name="40% - 강조색1" xfId="20" builtinId="31" customBuiltin="1"/>
    <cellStyle name="40% - 강조색2" xfId="24" builtinId="35" customBuiltin="1"/>
    <cellStyle name="40% - 강조색3" xfId="28" builtinId="39" customBuiltin="1"/>
    <cellStyle name="40% - 강조색4" xfId="32" builtinId="43" customBuiltin="1"/>
    <cellStyle name="40% - 강조색5" xfId="36" builtinId="47" customBuiltin="1"/>
    <cellStyle name="40% - 강조색6" xfId="40" builtinId="51" customBuiltin="1"/>
    <cellStyle name="60% - 강조색1" xfId="21" builtinId="32" customBuiltin="1"/>
    <cellStyle name="60% - 강조색2" xfId="25" builtinId="36" customBuiltin="1"/>
    <cellStyle name="60% - 강조색3" xfId="29" builtinId="40" customBuiltin="1"/>
    <cellStyle name="60% - 강조색4" xfId="33" builtinId="44" customBuiltin="1"/>
    <cellStyle name="60% - 강조색5" xfId="37" builtinId="48" customBuiltin="1"/>
    <cellStyle name="60% - 강조색6" xfId="41" builtinId="52" customBuiltin="1"/>
    <cellStyle name="강조색1" xfId="18" builtinId="29" customBuiltin="1"/>
    <cellStyle name="강조색2" xfId="22" builtinId="33" customBuiltin="1"/>
    <cellStyle name="강조색3" xfId="26" builtinId="37" customBuiltin="1"/>
    <cellStyle name="강조색4" xfId="30" builtinId="41" customBuiltin="1"/>
    <cellStyle name="강조색5" xfId="34" builtinId="45" customBuiltin="1"/>
    <cellStyle name="강조색6" xfId="38" builtinId="49" customBuiltin="1"/>
    <cellStyle name="경고문" xfId="14" builtinId="11" customBuiltin="1"/>
    <cellStyle name="계산" xfId="11" builtinId="22" customBuiltin="1"/>
    <cellStyle name="나쁨" xfId="7" builtinId="27" customBuiltin="1"/>
    <cellStyle name="메모" xfId="15" builtinId="10" customBuiltin="1"/>
    <cellStyle name="보통" xfId="8" builtinId="28" customBuiltin="1"/>
    <cellStyle name="설명 텍스트" xfId="16" builtinId="53" customBuiltin="1"/>
    <cellStyle name="셀 확인" xfId="13" builtinId="23" customBuiltin="1"/>
    <cellStyle name="연결된 셀" xfId="12" builtinId="24" customBuiltin="1"/>
    <cellStyle name="요약" xfId="17"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좋음" xfId="6" builtinId="26" customBuiltin="1"/>
    <cellStyle name="출력" xfId="10" builtinId="21" customBuiltin="1"/>
    <cellStyle name="표준" xfId="0" builtinId="0"/>
  </cellStyles>
  <dxfs count="0"/>
  <tableStyles count="0" defaultTableStyle="TableStyleMedium2" defaultPivotStyle="PivotStyleLight16"/>
  <colors>
    <mruColors>
      <color rgb="FFDDEBF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O39"/>
  <sheetViews>
    <sheetView showGridLines="0" tabSelected="1" workbookViewId="0">
      <pane ySplit="2" topLeftCell="A3" activePane="bottomLeft" state="frozen"/>
      <selection pane="bottomLeft" activeCell="A3" sqref="A3"/>
    </sheetView>
  </sheetViews>
  <sheetFormatPr defaultRowHeight="16.5" x14ac:dyDescent="0.3"/>
  <cols>
    <col min="3" max="3" width="16" bestFit="1" customWidth="1"/>
    <col min="4" max="4" width="16" customWidth="1"/>
    <col min="5" max="5" width="9.125" bestFit="1" customWidth="1"/>
    <col min="6" max="7" width="12.5" bestFit="1" customWidth="1"/>
    <col min="8" max="8" width="9.125" bestFit="1" customWidth="1"/>
    <col min="9" max="9" width="12.5" bestFit="1" customWidth="1"/>
    <col min="10" max="11" width="9.125" bestFit="1" customWidth="1"/>
    <col min="12" max="12" width="12.5" bestFit="1" customWidth="1"/>
    <col min="13" max="14" width="9.125" bestFit="1" customWidth="1"/>
    <col min="15" max="15" width="12.5" bestFit="1" customWidth="1"/>
    <col min="16" max="16" width="9.125" bestFit="1" customWidth="1"/>
    <col min="17" max="17" width="9.875" bestFit="1" customWidth="1"/>
    <col min="18" max="18" width="12.5" bestFit="1" customWidth="1"/>
    <col min="19" max="20" width="9.125" bestFit="1" customWidth="1"/>
    <col min="21" max="21" width="12.5" bestFit="1" customWidth="1"/>
    <col min="22" max="23" width="9.125" bestFit="1" customWidth="1"/>
    <col min="24" max="24" width="12.5" bestFit="1" customWidth="1"/>
    <col min="25" max="26" width="9.125" bestFit="1" customWidth="1"/>
    <col min="27" max="27" width="12.5" bestFit="1" customWidth="1"/>
    <col min="28" max="29" width="9.125" bestFit="1" customWidth="1"/>
    <col min="30" max="30" width="11.375" bestFit="1" customWidth="1"/>
    <col min="31" max="32" width="9.125" bestFit="1" customWidth="1"/>
    <col min="33" max="33" width="12.5" bestFit="1" customWidth="1"/>
    <col min="34" max="35" width="9.125" bestFit="1" customWidth="1"/>
    <col min="36" max="36" width="12.5" bestFit="1" customWidth="1"/>
    <col min="37" max="38" width="9.125" bestFit="1" customWidth="1"/>
    <col min="39" max="39" width="11.375" bestFit="1" customWidth="1"/>
    <col min="40" max="40" width="9.125" bestFit="1" customWidth="1"/>
    <col min="41" max="41" width="10.75" bestFit="1" customWidth="1"/>
    <col min="42" max="42" width="13.625" bestFit="1" customWidth="1"/>
    <col min="43" max="43" width="12.5" bestFit="1" customWidth="1"/>
  </cols>
  <sheetData>
    <row r="1" spans="1:67" x14ac:dyDescent="0.3">
      <c r="A1" s="1"/>
      <c r="B1" s="1"/>
      <c r="C1" s="1"/>
      <c r="D1" s="1"/>
      <c r="E1" s="15" t="s">
        <v>0</v>
      </c>
      <c r="F1" s="16"/>
      <c r="G1" s="17"/>
      <c r="H1" s="18" t="s">
        <v>1</v>
      </c>
      <c r="I1" s="19"/>
      <c r="J1" s="20"/>
      <c r="K1" s="18" t="s">
        <v>2</v>
      </c>
      <c r="L1" s="19"/>
      <c r="M1" s="20"/>
      <c r="N1" s="18" t="s">
        <v>3</v>
      </c>
      <c r="O1" s="19"/>
      <c r="P1" s="20"/>
      <c r="Q1" s="18" t="s">
        <v>4</v>
      </c>
      <c r="R1" s="19"/>
      <c r="S1" s="20"/>
      <c r="T1" s="18" t="s">
        <v>5</v>
      </c>
      <c r="U1" s="19"/>
      <c r="V1" s="20"/>
      <c r="W1" s="18" t="s">
        <v>6</v>
      </c>
      <c r="X1" s="19"/>
      <c r="Y1" s="20"/>
      <c r="Z1" s="18" t="s">
        <v>7</v>
      </c>
      <c r="AA1" s="19"/>
      <c r="AB1" s="20"/>
      <c r="AC1" s="18" t="s">
        <v>8</v>
      </c>
      <c r="AD1" s="19"/>
      <c r="AE1" s="20"/>
      <c r="AF1" s="18" t="s">
        <v>9</v>
      </c>
      <c r="AG1" s="19"/>
      <c r="AH1" s="20"/>
      <c r="AI1" s="18" t="s">
        <v>10</v>
      </c>
      <c r="AJ1" s="19"/>
      <c r="AK1" s="20"/>
      <c r="AL1" s="18" t="s">
        <v>11</v>
      </c>
      <c r="AM1" s="19"/>
      <c r="AN1" s="20"/>
      <c r="AO1" s="18" t="s">
        <v>12</v>
      </c>
      <c r="AP1" s="19"/>
      <c r="AQ1" s="20"/>
    </row>
    <row r="2" spans="1:67" x14ac:dyDescent="0.3">
      <c r="A2" s="2" t="s">
        <v>37</v>
      </c>
      <c r="B2" s="2" t="s">
        <v>50</v>
      </c>
      <c r="C2" s="2" t="s">
        <v>13</v>
      </c>
      <c r="D2" s="2" t="s">
        <v>38</v>
      </c>
      <c r="E2" s="4" t="s">
        <v>14</v>
      </c>
      <c r="F2" s="2" t="s">
        <v>38</v>
      </c>
      <c r="G2" s="5" t="s">
        <v>15</v>
      </c>
      <c r="H2" s="2" t="s">
        <v>14</v>
      </c>
      <c r="I2" s="2" t="s">
        <v>38</v>
      </c>
      <c r="J2" s="5" t="s">
        <v>15</v>
      </c>
      <c r="K2" s="2" t="s">
        <v>14</v>
      </c>
      <c r="L2" s="2" t="s">
        <v>38</v>
      </c>
      <c r="M2" s="5" t="s">
        <v>15</v>
      </c>
      <c r="N2" s="2" t="s">
        <v>14</v>
      </c>
      <c r="O2" s="2" t="s">
        <v>38</v>
      </c>
      <c r="P2" s="5" t="s">
        <v>15</v>
      </c>
      <c r="Q2" s="2" t="s">
        <v>14</v>
      </c>
      <c r="R2" s="2" t="s">
        <v>38</v>
      </c>
      <c r="S2" s="5" t="s">
        <v>15</v>
      </c>
      <c r="T2" s="2" t="s">
        <v>14</v>
      </c>
      <c r="U2" s="2" t="s">
        <v>38</v>
      </c>
      <c r="V2" s="5" t="s">
        <v>15</v>
      </c>
      <c r="W2" s="2" t="s">
        <v>14</v>
      </c>
      <c r="X2" s="2" t="s">
        <v>38</v>
      </c>
      <c r="Y2" s="5" t="s">
        <v>15</v>
      </c>
      <c r="Z2" s="2" t="s">
        <v>14</v>
      </c>
      <c r="AA2" s="2" t="s">
        <v>38</v>
      </c>
      <c r="AB2" s="5" t="s">
        <v>15</v>
      </c>
      <c r="AC2" s="2" t="s">
        <v>14</v>
      </c>
      <c r="AD2" s="2" t="s">
        <v>38</v>
      </c>
      <c r="AE2" s="5" t="s">
        <v>15</v>
      </c>
      <c r="AF2" s="2" t="s">
        <v>14</v>
      </c>
      <c r="AG2" s="2" t="s">
        <v>38</v>
      </c>
      <c r="AH2" s="5" t="s">
        <v>15</v>
      </c>
      <c r="AI2" s="2" t="s">
        <v>14</v>
      </c>
      <c r="AJ2" s="2" t="s">
        <v>38</v>
      </c>
      <c r="AK2" s="5" t="s">
        <v>15</v>
      </c>
      <c r="AL2" s="2" t="s">
        <v>14</v>
      </c>
      <c r="AM2" s="2" t="s">
        <v>38</v>
      </c>
      <c r="AN2" s="5" t="s">
        <v>15</v>
      </c>
      <c r="AO2" s="2" t="s">
        <v>14</v>
      </c>
      <c r="AP2" s="2" t="s">
        <v>40</v>
      </c>
      <c r="AQ2" s="5" t="s">
        <v>15</v>
      </c>
    </row>
    <row r="3" spans="1:67" ht="15" customHeight="1" x14ac:dyDescent="0.3">
      <c r="A3" s="7" t="s">
        <v>16</v>
      </c>
      <c r="B3" s="13" t="s">
        <v>56</v>
      </c>
      <c r="C3" s="21" t="s">
        <v>17</v>
      </c>
      <c r="D3" s="21" t="s">
        <v>39</v>
      </c>
      <c r="E3" s="9">
        <f>F3/G3</f>
        <v>1459.852125693161</v>
      </c>
      <c r="F3" s="10">
        <f>SUM(F4:F34)</f>
        <v>157956</v>
      </c>
      <c r="G3" s="11">
        <f>SUM(G4:G34)</f>
        <v>108.19999999999999</v>
      </c>
      <c r="H3" s="10">
        <f>I3/J3</f>
        <v>1376.6875434933891</v>
      </c>
      <c r="I3" s="10">
        <f>SUM(I4:I34)</f>
        <v>791320</v>
      </c>
      <c r="J3" s="11">
        <f>SUM(J4:J34)</f>
        <v>574.79999999999995</v>
      </c>
      <c r="K3" s="10">
        <f>L3/M3</f>
        <v>1652.6029019840096</v>
      </c>
      <c r="L3" s="10">
        <f>SUM(L4:L34)</f>
        <v>558084</v>
      </c>
      <c r="M3" s="11">
        <f>SUM(M4:M34)</f>
        <v>337.7</v>
      </c>
      <c r="N3" s="10">
        <f>O3/P3</f>
        <v>1701.6811279826461</v>
      </c>
      <c r="O3" s="10">
        <f>SUM(O4:O34)</f>
        <v>313790</v>
      </c>
      <c r="P3" s="11">
        <f>SUM(P4:P34)</f>
        <v>184.40000000000003</v>
      </c>
      <c r="Q3" s="10">
        <f>R3/S3</f>
        <v>1689.1679049034178</v>
      </c>
      <c r="R3" s="10">
        <f>SUM(R4:R34)</f>
        <v>341043</v>
      </c>
      <c r="S3" s="11">
        <f>SUM(S4:S34)</f>
        <v>201.89999999999998</v>
      </c>
      <c r="T3" s="10">
        <f>U3/V3</f>
        <v>1802.0623145400596</v>
      </c>
      <c r="U3" s="10">
        <f>SUM(U4:U34)</f>
        <v>242918</v>
      </c>
      <c r="V3" s="11">
        <f>SUM(V4:V34)</f>
        <v>134.79999999999998</v>
      </c>
      <c r="W3" s="10">
        <f>X3/Y3</f>
        <v>1875.1482213438737</v>
      </c>
      <c r="X3" s="10">
        <f>SUM(X4:X34)</f>
        <v>189765</v>
      </c>
      <c r="Y3" s="11">
        <f>SUM(Y4:Y34)</f>
        <v>101.19999999999999</v>
      </c>
      <c r="Z3" s="10">
        <f>AA3/AB3</f>
        <v>1763.707627118644</v>
      </c>
      <c r="AA3" s="10">
        <f>SUM(AA4:AA34)</f>
        <v>249741</v>
      </c>
      <c r="AB3" s="11">
        <f>SUM(AB4:AB34)</f>
        <v>141.6</v>
      </c>
      <c r="AC3" s="10">
        <f>AD3/AE3</f>
        <v>1781.4855687606109</v>
      </c>
      <c r="AD3" s="10">
        <f>SUM(AD4:AD34)</f>
        <v>209859</v>
      </c>
      <c r="AE3" s="11">
        <f>SUM(AE4:AE34)</f>
        <v>117.80000000000003</v>
      </c>
      <c r="AF3" s="10">
        <f>AG3/AH3</f>
        <v>1808.5187539732997</v>
      </c>
      <c r="AG3" s="10">
        <f>SUM(AG4:AG34)</f>
        <v>284480</v>
      </c>
      <c r="AH3" s="11">
        <f>SUM(AH4:AH34)</f>
        <v>157.29999999999998</v>
      </c>
      <c r="AI3" s="10">
        <f>AJ3/AK3</f>
        <v>1797.4560987185573</v>
      </c>
      <c r="AJ3" s="10">
        <f>SUM(AJ4:AJ34)</f>
        <v>378724</v>
      </c>
      <c r="AK3" s="11">
        <f>SUM(AK4:AK34)</f>
        <v>210.7</v>
      </c>
      <c r="AL3" s="10">
        <f>AM3/AN3</f>
        <v>1467.1455576559547</v>
      </c>
      <c r="AM3" s="10">
        <f>SUM(AM4:AM34)</f>
        <v>698508</v>
      </c>
      <c r="AN3" s="11">
        <f>SUM(AN4:AN34)</f>
        <v>476.09999999999997</v>
      </c>
      <c r="AO3" s="10">
        <f>AP3/AQ3</f>
        <v>1607.9330056435463</v>
      </c>
      <c r="AP3" s="10">
        <f>SUM(AP4:AP34)</f>
        <v>4416188</v>
      </c>
      <c r="AQ3" s="11">
        <f>SUM(AQ4:AQ34)</f>
        <v>2746.5</v>
      </c>
      <c r="AR3" s="3"/>
      <c r="AS3" s="3"/>
      <c r="AT3" s="3"/>
      <c r="AU3" s="3"/>
      <c r="AV3" s="3"/>
      <c r="AW3" s="3"/>
      <c r="AX3" s="3"/>
      <c r="AY3" s="3"/>
      <c r="AZ3" s="3"/>
      <c r="BA3" s="3"/>
      <c r="BB3" s="3"/>
      <c r="BC3" s="3"/>
      <c r="BD3" s="3"/>
      <c r="BE3" s="3"/>
      <c r="BF3" s="3"/>
      <c r="BG3" s="3"/>
      <c r="BH3" s="3"/>
      <c r="BI3" s="3"/>
      <c r="BJ3" s="3"/>
      <c r="BK3" s="3"/>
      <c r="BL3" s="3"/>
      <c r="BM3" s="3"/>
      <c r="BN3" s="3"/>
      <c r="BO3" s="3"/>
    </row>
    <row r="4" spans="1:67" ht="15" customHeight="1" x14ac:dyDescent="0.3">
      <c r="A4" s="8" t="s">
        <v>52</v>
      </c>
      <c r="B4" s="13"/>
      <c r="C4" s="13"/>
      <c r="D4" s="13"/>
      <c r="E4" s="3">
        <f t="shared" ref="E4:E11" si="0">F4/G4</f>
        <v>1489.6551724137933</v>
      </c>
      <c r="F4" s="3">
        <v>4320</v>
      </c>
      <c r="G4" s="6">
        <v>2.9</v>
      </c>
      <c r="H4" s="3" t="e">
        <f t="shared" ref="H4:H11" si="1">I4/J4</f>
        <v>#DIV/0!</v>
      </c>
      <c r="I4" s="3">
        <v>0</v>
      </c>
      <c r="J4" s="6">
        <v>0</v>
      </c>
      <c r="K4" s="3" t="e">
        <f t="shared" ref="K4:K11" si="2">L4/M4</f>
        <v>#DIV/0!</v>
      </c>
      <c r="L4" s="3">
        <v>0</v>
      </c>
      <c r="M4" s="6">
        <v>0</v>
      </c>
      <c r="N4" s="3" t="e">
        <f t="shared" ref="N4:N11" si="3">O4/P4</f>
        <v>#DIV/0!</v>
      </c>
      <c r="O4" s="3">
        <v>0</v>
      </c>
      <c r="P4" s="6">
        <v>0</v>
      </c>
      <c r="Q4" s="3" t="e">
        <f t="shared" ref="Q4:Q11" si="4">R4/S4</f>
        <v>#DIV/0!</v>
      </c>
      <c r="R4" s="3">
        <v>0</v>
      </c>
      <c r="S4" s="6">
        <v>0</v>
      </c>
      <c r="T4" s="3" t="e">
        <f t="shared" ref="T4:T11" si="5">U4/V4</f>
        <v>#DIV/0!</v>
      </c>
      <c r="U4" s="3">
        <v>0</v>
      </c>
      <c r="V4" s="6">
        <v>0</v>
      </c>
      <c r="W4" s="3" t="e">
        <f t="shared" ref="W4:W11" si="6">X4/Y4</f>
        <v>#DIV/0!</v>
      </c>
      <c r="X4" s="3">
        <v>0</v>
      </c>
      <c r="Y4" s="6">
        <v>0</v>
      </c>
      <c r="Z4" s="3" t="e">
        <f t="shared" ref="Z4:Z11" si="7">AA4/AB4</f>
        <v>#DIV/0!</v>
      </c>
      <c r="AA4" s="3">
        <v>0</v>
      </c>
      <c r="AB4" s="6">
        <v>0</v>
      </c>
      <c r="AC4" s="3" t="e">
        <f t="shared" ref="AC4:AC11" si="8">AD4/AE4</f>
        <v>#DIV/0!</v>
      </c>
      <c r="AD4" s="3">
        <v>0</v>
      </c>
      <c r="AE4" s="6">
        <v>0</v>
      </c>
      <c r="AF4" s="3" t="e">
        <f t="shared" ref="AF4:AF11" si="9">AG4/AH4</f>
        <v>#DIV/0!</v>
      </c>
      <c r="AG4" s="3">
        <v>0</v>
      </c>
      <c r="AH4" s="6">
        <v>0</v>
      </c>
      <c r="AI4" s="3" t="e">
        <f t="shared" ref="AI4:AI11" si="10">AJ4/AK4</f>
        <v>#DIV/0!</v>
      </c>
      <c r="AJ4" s="3">
        <v>0</v>
      </c>
      <c r="AK4" s="6">
        <v>0</v>
      </c>
      <c r="AL4" s="3">
        <f t="shared" ref="AL4:AL11" si="11">AM4/AN4</f>
        <v>1118.0394431554523</v>
      </c>
      <c r="AM4" s="3">
        <v>192750</v>
      </c>
      <c r="AN4" s="6">
        <v>172.4</v>
      </c>
      <c r="AO4" s="3">
        <f t="shared" ref="AO4:AO34" si="12">AP4/AQ4</f>
        <v>1124.1871078151739</v>
      </c>
      <c r="AP4" s="3">
        <f t="shared" ref="AP4" si="13">SUM(F4,I4,L4,O4,R4,U4,X4,AA4,AD4,AG4,AJ4,AM4)</f>
        <v>197070</v>
      </c>
      <c r="AQ4" s="6">
        <f t="shared" ref="AQ4" si="14">SUM(G4,J4,M4,P4,S4,V4,Y4,AB4,AE4,AH4,AK4,AN4)</f>
        <v>175.3</v>
      </c>
      <c r="AR4" s="3"/>
      <c r="AS4" s="3"/>
      <c r="AT4" s="3"/>
      <c r="AU4" s="3"/>
      <c r="AV4" s="3"/>
      <c r="AW4" s="3"/>
      <c r="AX4" s="3"/>
      <c r="AY4" s="3"/>
      <c r="AZ4" s="3"/>
      <c r="BA4" s="3"/>
      <c r="BB4" s="3"/>
      <c r="BC4" s="3"/>
      <c r="BD4" s="3"/>
      <c r="BE4" s="3"/>
      <c r="BF4" s="3"/>
      <c r="BG4" s="3"/>
      <c r="BH4" s="3"/>
      <c r="BI4" s="3"/>
      <c r="BJ4" s="3"/>
      <c r="BK4" s="3"/>
      <c r="BL4" s="3"/>
      <c r="BM4" s="3"/>
      <c r="BN4" s="3"/>
      <c r="BO4" s="3"/>
    </row>
    <row r="5" spans="1:67" ht="15" customHeight="1" x14ac:dyDescent="0.3">
      <c r="A5" s="7" t="s">
        <v>26</v>
      </c>
      <c r="B5" s="13"/>
      <c r="C5" s="13"/>
      <c r="D5" s="13"/>
      <c r="E5" s="3" t="e">
        <f t="shared" si="0"/>
        <v>#DIV/0!</v>
      </c>
      <c r="F5" s="3">
        <v>0</v>
      </c>
      <c r="G5" s="6">
        <v>0</v>
      </c>
      <c r="H5" s="3" t="e">
        <f t="shared" si="1"/>
        <v>#DIV/0!</v>
      </c>
      <c r="I5" s="3">
        <v>0</v>
      </c>
      <c r="J5" s="6">
        <v>0</v>
      </c>
      <c r="K5" s="3">
        <f t="shared" si="2"/>
        <v>1486.5263157894738</v>
      </c>
      <c r="L5" s="3">
        <v>28244</v>
      </c>
      <c r="M5" s="6">
        <v>19</v>
      </c>
      <c r="N5" s="3">
        <f t="shared" si="3"/>
        <v>1482.8729281767955</v>
      </c>
      <c r="O5" s="3">
        <v>26840</v>
      </c>
      <c r="P5" s="6">
        <v>18.100000000000001</v>
      </c>
      <c r="Q5" s="3" t="e">
        <f t="shared" si="4"/>
        <v>#DIV/0!</v>
      </c>
      <c r="R5" s="3">
        <v>0</v>
      </c>
      <c r="S5" s="6">
        <v>0</v>
      </c>
      <c r="T5" s="3" t="e">
        <f t="shared" si="5"/>
        <v>#DIV/0!</v>
      </c>
      <c r="U5" s="3">
        <v>0</v>
      </c>
      <c r="V5" s="6">
        <v>0</v>
      </c>
      <c r="W5" s="3" t="e">
        <f t="shared" si="6"/>
        <v>#DIV/0!</v>
      </c>
      <c r="X5" s="3">
        <v>0</v>
      </c>
      <c r="Y5" s="6">
        <v>0</v>
      </c>
      <c r="Z5" s="3" t="e">
        <f t="shared" si="7"/>
        <v>#DIV/0!</v>
      </c>
      <c r="AA5" s="3">
        <v>0</v>
      </c>
      <c r="AB5" s="6">
        <v>0</v>
      </c>
      <c r="AC5" s="3" t="e">
        <f t="shared" si="8"/>
        <v>#DIV/0!</v>
      </c>
      <c r="AD5" s="3">
        <v>0</v>
      </c>
      <c r="AE5" s="6">
        <v>0</v>
      </c>
      <c r="AF5" s="3">
        <f t="shared" si="9"/>
        <v>1572.7659574468084</v>
      </c>
      <c r="AG5" s="3">
        <v>29568</v>
      </c>
      <c r="AH5" s="6">
        <v>18.8</v>
      </c>
      <c r="AI5" s="3">
        <f t="shared" si="10"/>
        <v>1595.7446808510638</v>
      </c>
      <c r="AJ5" s="3">
        <v>30000</v>
      </c>
      <c r="AK5" s="6">
        <v>18.8</v>
      </c>
      <c r="AL5" s="3">
        <f t="shared" si="11"/>
        <v>1493.2558139534883</v>
      </c>
      <c r="AM5" s="3">
        <v>186209</v>
      </c>
      <c r="AN5" s="6">
        <v>124.7</v>
      </c>
      <c r="AO5" s="3">
        <f t="shared" si="12"/>
        <v>1508.8314944834503</v>
      </c>
      <c r="AP5" s="3">
        <f t="shared" ref="AP5" si="15">SUM(F5,I5,L5,O5,R5,U5,X5,AA5,AD5,AG5,AJ5,AM5)</f>
        <v>300861</v>
      </c>
      <c r="AQ5" s="6">
        <f t="shared" ref="AQ5" si="16">SUM(G5,J5,M5,P5,S5,V5,Y5,AB5,AE5,AH5,AK5,AN5)</f>
        <v>199.4</v>
      </c>
      <c r="AR5" s="3"/>
      <c r="AS5" s="3"/>
      <c r="AT5" s="3"/>
      <c r="AU5" s="3"/>
      <c r="AV5" s="3"/>
      <c r="AW5" s="3"/>
      <c r="AX5" s="3"/>
      <c r="AY5" s="3"/>
      <c r="AZ5" s="3"/>
      <c r="BA5" s="3"/>
      <c r="BB5" s="3"/>
      <c r="BC5" s="3"/>
      <c r="BD5" s="3"/>
      <c r="BE5" s="3"/>
      <c r="BF5" s="3"/>
      <c r="BG5" s="3"/>
      <c r="BH5" s="3"/>
      <c r="BI5" s="3"/>
      <c r="BJ5" s="3"/>
      <c r="BK5" s="3"/>
      <c r="BL5" s="3"/>
      <c r="BM5" s="3"/>
      <c r="BN5" s="3"/>
      <c r="BO5" s="3"/>
    </row>
    <row r="6" spans="1:67" ht="15" customHeight="1" x14ac:dyDescent="0.3">
      <c r="A6" s="7" t="s">
        <v>42</v>
      </c>
      <c r="B6" s="13"/>
      <c r="C6" s="13"/>
      <c r="D6" s="13"/>
      <c r="E6" s="3">
        <f t="shared" si="0"/>
        <v>1376.0294117647059</v>
      </c>
      <c r="F6" s="3">
        <v>9357</v>
      </c>
      <c r="G6" s="6">
        <v>6.8</v>
      </c>
      <c r="H6" s="3" t="e">
        <f t="shared" si="1"/>
        <v>#DIV/0!</v>
      </c>
      <c r="I6" s="3">
        <v>0</v>
      </c>
      <c r="J6" s="6">
        <v>0</v>
      </c>
      <c r="K6" s="3" t="e">
        <f t="shared" si="2"/>
        <v>#DIV/0!</v>
      </c>
      <c r="L6" s="3">
        <v>0</v>
      </c>
      <c r="M6" s="6">
        <v>0</v>
      </c>
      <c r="N6" s="3">
        <f t="shared" si="3"/>
        <v>1584.8148148148148</v>
      </c>
      <c r="O6" s="3">
        <v>4279</v>
      </c>
      <c r="P6" s="6">
        <v>2.7</v>
      </c>
      <c r="Q6" s="3" t="e">
        <f t="shared" si="4"/>
        <v>#DIV/0!</v>
      </c>
      <c r="R6" s="3">
        <v>0</v>
      </c>
      <c r="S6" s="6">
        <v>0</v>
      </c>
      <c r="T6" s="3" t="e">
        <f t="shared" si="5"/>
        <v>#DIV/0!</v>
      </c>
      <c r="U6" s="3">
        <v>0</v>
      </c>
      <c r="V6" s="6">
        <v>0</v>
      </c>
      <c r="W6" s="3">
        <f t="shared" si="6"/>
        <v>1920</v>
      </c>
      <c r="X6" s="3">
        <v>3648</v>
      </c>
      <c r="Y6" s="6">
        <v>1.9</v>
      </c>
      <c r="Z6" s="3">
        <f t="shared" si="7"/>
        <v>1940.5479452054794</v>
      </c>
      <c r="AA6" s="3">
        <v>14166</v>
      </c>
      <c r="AB6" s="6">
        <v>7.3</v>
      </c>
      <c r="AC6" s="3">
        <f t="shared" si="8"/>
        <v>1597.7358490566039</v>
      </c>
      <c r="AD6" s="3">
        <v>8468</v>
      </c>
      <c r="AE6" s="6">
        <v>5.3</v>
      </c>
      <c r="AF6" s="3">
        <f t="shared" si="9"/>
        <v>1850.3571428571429</v>
      </c>
      <c r="AG6" s="3">
        <v>10362</v>
      </c>
      <c r="AH6" s="6">
        <v>5.6</v>
      </c>
      <c r="AI6" s="3">
        <f t="shared" si="10"/>
        <v>1593.8636363636363</v>
      </c>
      <c r="AJ6" s="3">
        <v>14026</v>
      </c>
      <c r="AK6" s="6">
        <v>8.8000000000000007</v>
      </c>
      <c r="AL6" s="3">
        <f t="shared" si="11"/>
        <v>1870.4753199268737</v>
      </c>
      <c r="AM6" s="3">
        <v>102315</v>
      </c>
      <c r="AN6" s="6">
        <v>54.7</v>
      </c>
      <c r="AO6" s="3">
        <f t="shared" si="12"/>
        <v>1789.6992481203006</v>
      </c>
      <c r="AP6" s="3">
        <f t="shared" ref="AP6:AP34" si="17">SUM(F6,I6,L6,O6,R6,U6,X6,AA6,AD6,AG6,AJ6,AM6)</f>
        <v>166621</v>
      </c>
      <c r="AQ6" s="6">
        <f t="shared" ref="AQ6:AQ34" si="18">SUM(G6,J6,M6,P6,S6,V6,Y6,AB6,AE6,AH6,AK6,AN6)</f>
        <v>93.100000000000009</v>
      </c>
      <c r="AR6" s="3"/>
      <c r="AS6" s="3"/>
      <c r="AT6" s="3"/>
      <c r="AU6" s="3"/>
      <c r="AV6" s="3"/>
      <c r="AW6" s="3"/>
      <c r="AX6" s="3"/>
      <c r="AY6" s="3"/>
      <c r="AZ6" s="3"/>
      <c r="BA6" s="3"/>
      <c r="BB6" s="3"/>
      <c r="BC6" s="3"/>
      <c r="BD6" s="3"/>
      <c r="BE6" s="3"/>
      <c r="BF6" s="3"/>
      <c r="BG6" s="3"/>
      <c r="BH6" s="3"/>
      <c r="BI6" s="3"/>
      <c r="BJ6" s="3"/>
      <c r="BK6" s="3"/>
      <c r="BL6" s="3"/>
      <c r="BM6" s="3"/>
      <c r="BN6" s="3"/>
      <c r="BO6" s="3"/>
    </row>
    <row r="7" spans="1:67" ht="15" customHeight="1" x14ac:dyDescent="0.3">
      <c r="A7" s="7" t="s">
        <v>31</v>
      </c>
      <c r="B7" s="13"/>
      <c r="C7" s="13"/>
      <c r="D7" s="13"/>
      <c r="E7" s="3" t="e">
        <f t="shared" si="0"/>
        <v>#DIV/0!</v>
      </c>
      <c r="F7" s="3">
        <v>0</v>
      </c>
      <c r="G7" s="6">
        <v>0</v>
      </c>
      <c r="H7" s="3" t="e">
        <f t="shared" si="1"/>
        <v>#DIV/0!</v>
      </c>
      <c r="I7" s="3">
        <v>0</v>
      </c>
      <c r="J7" s="6">
        <v>0</v>
      </c>
      <c r="K7" s="3">
        <f t="shared" si="2"/>
        <v>1268.5</v>
      </c>
      <c r="L7" s="3">
        <v>2537</v>
      </c>
      <c r="M7" s="6">
        <v>2</v>
      </c>
      <c r="N7" s="3">
        <f t="shared" si="3"/>
        <v>2037.3076923076922</v>
      </c>
      <c r="O7" s="3">
        <v>5297</v>
      </c>
      <c r="P7" s="6">
        <v>2.6</v>
      </c>
      <c r="Q7" s="3">
        <f t="shared" si="4"/>
        <v>1756.5517241379312</v>
      </c>
      <c r="R7" s="3">
        <v>20376</v>
      </c>
      <c r="S7" s="6">
        <v>11.6</v>
      </c>
      <c r="T7" s="3">
        <f t="shared" si="5"/>
        <v>1826.6666666666665</v>
      </c>
      <c r="U7" s="3">
        <v>22468</v>
      </c>
      <c r="V7" s="6">
        <v>12.3</v>
      </c>
      <c r="W7" s="3">
        <f t="shared" si="6"/>
        <v>1838.8172043010752</v>
      </c>
      <c r="X7" s="3">
        <v>34202</v>
      </c>
      <c r="Y7" s="6">
        <v>18.600000000000001</v>
      </c>
      <c r="Z7" s="3">
        <f t="shared" si="7"/>
        <v>1873.3333333333333</v>
      </c>
      <c r="AA7" s="3">
        <v>3372</v>
      </c>
      <c r="AB7" s="6">
        <v>1.8</v>
      </c>
      <c r="AC7" s="3" t="e">
        <f t="shared" si="8"/>
        <v>#DIV/0!</v>
      </c>
      <c r="AD7" s="3">
        <v>0</v>
      </c>
      <c r="AE7" s="6">
        <v>0</v>
      </c>
      <c r="AF7" s="3" t="e">
        <f t="shared" si="9"/>
        <v>#DIV/0!</v>
      </c>
      <c r="AG7" s="3">
        <v>0</v>
      </c>
      <c r="AH7" s="6">
        <v>0</v>
      </c>
      <c r="AI7" s="3" t="e">
        <f t="shared" si="10"/>
        <v>#DIV/0!</v>
      </c>
      <c r="AJ7" s="3">
        <v>0</v>
      </c>
      <c r="AK7" s="6">
        <v>0</v>
      </c>
      <c r="AL7" s="3">
        <f t="shared" si="11"/>
        <v>1697.7735849056603</v>
      </c>
      <c r="AM7" s="3">
        <v>89982</v>
      </c>
      <c r="AN7" s="6">
        <v>53</v>
      </c>
      <c r="AO7" s="3">
        <f t="shared" si="12"/>
        <v>1749.106967615309</v>
      </c>
      <c r="AP7" s="3">
        <f t="shared" si="17"/>
        <v>178234</v>
      </c>
      <c r="AQ7" s="6">
        <f t="shared" si="18"/>
        <v>101.9</v>
      </c>
      <c r="AR7" s="3"/>
      <c r="AS7" s="3"/>
      <c r="AT7" s="3"/>
      <c r="AU7" s="3"/>
      <c r="AV7" s="3"/>
      <c r="AW7" s="3"/>
      <c r="AX7" s="3"/>
      <c r="AY7" s="3"/>
      <c r="AZ7" s="3"/>
      <c r="BA7" s="3"/>
      <c r="BB7" s="3"/>
      <c r="BC7" s="3"/>
      <c r="BD7" s="3"/>
      <c r="BE7" s="3"/>
      <c r="BF7" s="3"/>
      <c r="BG7" s="3"/>
      <c r="BH7" s="3"/>
      <c r="BI7" s="3"/>
      <c r="BJ7" s="3"/>
      <c r="BK7" s="3"/>
      <c r="BL7" s="3"/>
      <c r="BM7" s="3"/>
      <c r="BN7" s="3"/>
      <c r="BO7" s="3"/>
    </row>
    <row r="8" spans="1:67" ht="15" customHeight="1" x14ac:dyDescent="0.3">
      <c r="A8" s="7" t="s">
        <v>32</v>
      </c>
      <c r="B8" s="13"/>
      <c r="C8" s="13"/>
      <c r="D8" s="13"/>
      <c r="E8" s="3" t="e">
        <f t="shared" si="0"/>
        <v>#DIV/0!</v>
      </c>
      <c r="F8" s="3">
        <v>0</v>
      </c>
      <c r="G8" s="6">
        <v>0</v>
      </c>
      <c r="H8" s="3">
        <f t="shared" si="1"/>
        <v>1479.7903225806451</v>
      </c>
      <c r="I8" s="3">
        <v>91747</v>
      </c>
      <c r="J8" s="6">
        <v>62</v>
      </c>
      <c r="K8" s="3">
        <f t="shared" si="2"/>
        <v>1513.4615384615383</v>
      </c>
      <c r="L8" s="3">
        <v>31480</v>
      </c>
      <c r="M8" s="6">
        <v>20.8</v>
      </c>
      <c r="N8" s="3">
        <f t="shared" si="3"/>
        <v>1599.1329479768785</v>
      </c>
      <c r="O8" s="3">
        <v>55330</v>
      </c>
      <c r="P8" s="6">
        <v>34.6</v>
      </c>
      <c r="Q8" s="3">
        <f t="shared" si="4"/>
        <v>1618.416149068323</v>
      </c>
      <c r="R8" s="3">
        <v>156339</v>
      </c>
      <c r="S8" s="6">
        <v>96.6</v>
      </c>
      <c r="T8" s="3">
        <f t="shared" si="5"/>
        <v>1618.6192468619247</v>
      </c>
      <c r="U8" s="3">
        <v>77370</v>
      </c>
      <c r="V8" s="6">
        <v>47.8</v>
      </c>
      <c r="W8" s="3">
        <f t="shared" si="6"/>
        <v>1535.6097560975609</v>
      </c>
      <c r="X8" s="3">
        <v>31480</v>
      </c>
      <c r="Y8" s="6">
        <v>20.5</v>
      </c>
      <c r="Z8" s="3">
        <f t="shared" si="7"/>
        <v>1631.3023255813953</v>
      </c>
      <c r="AA8" s="3">
        <v>70146</v>
      </c>
      <c r="AB8" s="6">
        <v>43</v>
      </c>
      <c r="AC8" s="3">
        <f t="shared" si="8"/>
        <v>1775.4112554112553</v>
      </c>
      <c r="AD8" s="3">
        <v>41012</v>
      </c>
      <c r="AE8" s="6">
        <v>23.1</v>
      </c>
      <c r="AF8" s="3">
        <f t="shared" si="9"/>
        <v>1431.638418079096</v>
      </c>
      <c r="AG8" s="3">
        <v>50680</v>
      </c>
      <c r="AH8" s="6">
        <v>35.4</v>
      </c>
      <c r="AI8" s="3">
        <f t="shared" si="10"/>
        <v>1656.6803699897225</v>
      </c>
      <c r="AJ8" s="3">
        <v>161195</v>
      </c>
      <c r="AK8" s="6">
        <v>97.3</v>
      </c>
      <c r="AL8" s="3">
        <f t="shared" si="11"/>
        <v>1955.3218884120172</v>
      </c>
      <c r="AM8" s="3">
        <v>45559</v>
      </c>
      <c r="AN8" s="6">
        <v>23.3</v>
      </c>
      <c r="AO8" s="3">
        <f t="shared" si="12"/>
        <v>1610.5035685963519</v>
      </c>
      <c r="AP8" s="3">
        <f t="shared" si="17"/>
        <v>812338</v>
      </c>
      <c r="AQ8" s="6">
        <f t="shared" si="18"/>
        <v>504.40000000000003</v>
      </c>
      <c r="AR8" s="3"/>
      <c r="AS8" s="3"/>
      <c r="AT8" s="3"/>
      <c r="AU8" s="3"/>
      <c r="AV8" s="3"/>
      <c r="AW8" s="3"/>
      <c r="AX8" s="3"/>
      <c r="AY8" s="3"/>
      <c r="AZ8" s="3"/>
      <c r="BA8" s="3"/>
      <c r="BB8" s="3"/>
      <c r="BC8" s="3"/>
      <c r="BD8" s="3"/>
      <c r="BE8" s="3"/>
      <c r="BF8" s="3"/>
      <c r="BG8" s="3"/>
      <c r="BH8" s="3"/>
      <c r="BI8" s="3"/>
      <c r="BJ8" s="3"/>
      <c r="BK8" s="3"/>
      <c r="BL8" s="3"/>
      <c r="BM8" s="3"/>
      <c r="BN8" s="3"/>
      <c r="BO8" s="3"/>
    </row>
    <row r="9" spans="1:67" ht="15" customHeight="1" x14ac:dyDescent="0.3">
      <c r="A9" s="7" t="s">
        <v>23</v>
      </c>
      <c r="B9" s="13"/>
      <c r="C9" s="13"/>
      <c r="D9" s="13"/>
      <c r="E9" s="3">
        <f t="shared" si="0"/>
        <v>2581.3953488372094</v>
      </c>
      <c r="F9" s="3">
        <v>22200</v>
      </c>
      <c r="G9" s="6">
        <v>8.6</v>
      </c>
      <c r="H9" s="3">
        <f t="shared" si="1"/>
        <v>1334.5299469294919</v>
      </c>
      <c r="I9" s="3">
        <v>352049</v>
      </c>
      <c r="J9" s="6">
        <v>263.8</v>
      </c>
      <c r="K9" s="3">
        <f t="shared" si="2"/>
        <v>1563.4246575342468</v>
      </c>
      <c r="L9" s="3">
        <v>34239</v>
      </c>
      <c r="M9" s="6">
        <v>21.9</v>
      </c>
      <c r="N9" s="3">
        <f t="shared" si="3"/>
        <v>1636.6666666666665</v>
      </c>
      <c r="O9" s="3">
        <v>18658</v>
      </c>
      <c r="P9" s="6">
        <v>11.4</v>
      </c>
      <c r="Q9" s="3">
        <f t="shared" si="4"/>
        <v>1731.0526315789475</v>
      </c>
      <c r="R9" s="3">
        <v>6578</v>
      </c>
      <c r="S9" s="6">
        <v>3.8</v>
      </c>
      <c r="T9" s="3">
        <f t="shared" si="5"/>
        <v>1644.5555555555557</v>
      </c>
      <c r="U9" s="3">
        <v>29602</v>
      </c>
      <c r="V9" s="6">
        <v>18</v>
      </c>
      <c r="W9" s="3">
        <f t="shared" si="6"/>
        <v>2952.7272727272725</v>
      </c>
      <c r="X9" s="3">
        <v>12992</v>
      </c>
      <c r="Y9" s="6">
        <v>4.4000000000000004</v>
      </c>
      <c r="Z9" s="3">
        <f t="shared" si="7"/>
        <v>2338.1111111111113</v>
      </c>
      <c r="AA9" s="3">
        <v>21043</v>
      </c>
      <c r="AB9" s="6">
        <v>9</v>
      </c>
      <c r="AC9" s="3">
        <f t="shared" si="8"/>
        <v>3349.3</v>
      </c>
      <c r="AD9" s="3">
        <v>33493</v>
      </c>
      <c r="AE9" s="6">
        <v>10</v>
      </c>
      <c r="AF9" s="3">
        <f t="shared" si="9"/>
        <v>2708.0291970802923</v>
      </c>
      <c r="AG9" s="3">
        <v>74200</v>
      </c>
      <c r="AH9" s="6">
        <v>27.4</v>
      </c>
      <c r="AI9" s="3">
        <f t="shared" si="10"/>
        <v>1666.3841807909605</v>
      </c>
      <c r="AJ9" s="3">
        <v>29495</v>
      </c>
      <c r="AK9" s="6">
        <v>17.7</v>
      </c>
      <c r="AL9" s="3">
        <f t="shared" si="11"/>
        <v>1425.9479553903348</v>
      </c>
      <c r="AM9" s="3">
        <v>38358</v>
      </c>
      <c r="AN9" s="6">
        <v>26.9</v>
      </c>
      <c r="AO9" s="3">
        <f t="shared" si="12"/>
        <v>1591.172854102625</v>
      </c>
      <c r="AP9" s="3">
        <f t="shared" si="17"/>
        <v>672907</v>
      </c>
      <c r="AQ9" s="6">
        <f t="shared" si="18"/>
        <v>422.89999999999992</v>
      </c>
      <c r="AR9" s="3"/>
      <c r="AS9" s="3"/>
      <c r="AT9" s="3"/>
      <c r="AU9" s="3"/>
      <c r="AV9" s="3"/>
      <c r="AW9" s="3"/>
      <c r="AX9" s="3"/>
      <c r="AY9" s="3"/>
      <c r="AZ9" s="3"/>
      <c r="BA9" s="3"/>
      <c r="BB9" s="3"/>
      <c r="BC9" s="3"/>
      <c r="BD9" s="3"/>
      <c r="BE9" s="3"/>
      <c r="BF9" s="3"/>
      <c r="BG9" s="3"/>
      <c r="BH9" s="3"/>
      <c r="BI9" s="3"/>
      <c r="BJ9" s="3"/>
      <c r="BK9" s="3"/>
      <c r="BL9" s="3"/>
      <c r="BM9" s="3"/>
      <c r="BN9" s="3"/>
      <c r="BO9" s="3"/>
    </row>
    <row r="10" spans="1:67" ht="15" customHeight="1" x14ac:dyDescent="0.3">
      <c r="A10" s="7" t="s">
        <v>46</v>
      </c>
      <c r="B10" s="13"/>
      <c r="C10" s="13"/>
      <c r="D10" s="13"/>
      <c r="E10" s="3" t="e">
        <f t="shared" si="0"/>
        <v>#DIV/0!</v>
      </c>
      <c r="F10" s="3">
        <v>0</v>
      </c>
      <c r="G10" s="6">
        <v>0</v>
      </c>
      <c r="H10" s="3" t="e">
        <f t="shared" si="1"/>
        <v>#DIV/0!</v>
      </c>
      <c r="I10" s="3">
        <v>0</v>
      </c>
      <c r="J10" s="6">
        <v>0</v>
      </c>
      <c r="K10" s="3">
        <f t="shared" si="2"/>
        <v>1701.7777777777778</v>
      </c>
      <c r="L10" s="3">
        <v>7658</v>
      </c>
      <c r="M10" s="6">
        <v>4.5</v>
      </c>
      <c r="N10" s="3" t="e">
        <f t="shared" si="3"/>
        <v>#DIV/0!</v>
      </c>
      <c r="O10" s="3">
        <v>0</v>
      </c>
      <c r="P10" s="6">
        <v>0</v>
      </c>
      <c r="Q10" s="3">
        <f t="shared" si="4"/>
        <v>1337.685185185185</v>
      </c>
      <c r="R10" s="3">
        <v>14447</v>
      </c>
      <c r="S10" s="6">
        <v>10.8</v>
      </c>
      <c r="T10" s="3">
        <f t="shared" si="5"/>
        <v>1605.0617283950619</v>
      </c>
      <c r="U10" s="3">
        <v>13001</v>
      </c>
      <c r="V10" s="6">
        <v>8.1</v>
      </c>
      <c r="W10" s="3">
        <f t="shared" si="6"/>
        <v>1645</v>
      </c>
      <c r="X10" s="3">
        <v>24675</v>
      </c>
      <c r="Y10" s="6">
        <v>15</v>
      </c>
      <c r="Z10" s="3">
        <f t="shared" si="7"/>
        <v>1813.5616438356165</v>
      </c>
      <c r="AA10" s="3">
        <v>26478</v>
      </c>
      <c r="AB10" s="6">
        <v>14.6</v>
      </c>
      <c r="AC10" s="3">
        <f t="shared" si="8"/>
        <v>1652.7972027972028</v>
      </c>
      <c r="AD10" s="3">
        <v>23635</v>
      </c>
      <c r="AE10" s="6">
        <v>14.3</v>
      </c>
      <c r="AF10" s="3">
        <f t="shared" si="9"/>
        <v>4546.666666666667</v>
      </c>
      <c r="AG10" s="3">
        <v>13640</v>
      </c>
      <c r="AH10" s="6">
        <v>3</v>
      </c>
      <c r="AI10" s="3">
        <f t="shared" si="10"/>
        <v>2333.333333333333</v>
      </c>
      <c r="AJ10" s="3">
        <v>46900</v>
      </c>
      <c r="AK10" s="6">
        <v>20.100000000000001</v>
      </c>
      <c r="AL10" s="3">
        <f t="shared" si="11"/>
        <v>3042.7419354838707</v>
      </c>
      <c r="AM10" s="3">
        <v>18865</v>
      </c>
      <c r="AN10" s="6">
        <v>6.2</v>
      </c>
      <c r="AO10" s="3">
        <f t="shared" si="12"/>
        <v>1959.6169772256726</v>
      </c>
      <c r="AP10" s="3">
        <f t="shared" si="17"/>
        <v>189299</v>
      </c>
      <c r="AQ10" s="6">
        <f t="shared" si="18"/>
        <v>96.600000000000009</v>
      </c>
      <c r="AR10" s="3"/>
      <c r="AS10" s="3"/>
      <c r="AT10" s="3"/>
      <c r="AU10" s="3"/>
      <c r="AV10" s="3"/>
      <c r="AW10" s="3"/>
      <c r="AX10" s="3"/>
      <c r="AY10" s="3"/>
      <c r="AZ10" s="3"/>
      <c r="BA10" s="3"/>
      <c r="BB10" s="3"/>
      <c r="BC10" s="3"/>
      <c r="BD10" s="3"/>
      <c r="BE10" s="3"/>
      <c r="BF10" s="3"/>
      <c r="BG10" s="3"/>
      <c r="BH10" s="3"/>
      <c r="BI10" s="3"/>
      <c r="BJ10" s="3"/>
      <c r="BK10" s="3"/>
      <c r="BL10" s="3"/>
      <c r="BM10" s="3"/>
      <c r="BN10" s="3"/>
      <c r="BO10" s="3"/>
    </row>
    <row r="11" spans="1:67" ht="15" customHeight="1" x14ac:dyDescent="0.3">
      <c r="A11" s="7" t="s">
        <v>51</v>
      </c>
      <c r="B11" s="13"/>
      <c r="C11" s="13"/>
      <c r="D11" s="13"/>
      <c r="E11" s="3" t="e">
        <f t="shared" si="0"/>
        <v>#DIV/0!</v>
      </c>
      <c r="F11" s="3">
        <v>0</v>
      </c>
      <c r="G11" s="6">
        <v>0</v>
      </c>
      <c r="H11" s="3" t="e">
        <f t="shared" si="1"/>
        <v>#DIV/0!</v>
      </c>
      <c r="I11" s="3">
        <v>0</v>
      </c>
      <c r="J11" s="6">
        <v>0</v>
      </c>
      <c r="K11" s="3" t="e">
        <f t="shared" si="2"/>
        <v>#DIV/0!</v>
      </c>
      <c r="L11" s="3">
        <v>0</v>
      </c>
      <c r="M11" s="6">
        <v>0</v>
      </c>
      <c r="N11" s="3">
        <f t="shared" si="3"/>
        <v>1633.125</v>
      </c>
      <c r="O11" s="3">
        <v>5226</v>
      </c>
      <c r="P11" s="6">
        <v>3.2</v>
      </c>
      <c r="Q11" s="3" t="e">
        <f t="shared" si="4"/>
        <v>#DIV/0!</v>
      </c>
      <c r="R11" s="3">
        <v>0</v>
      </c>
      <c r="S11" s="6">
        <v>0</v>
      </c>
      <c r="T11" s="3" t="e">
        <f t="shared" si="5"/>
        <v>#DIV/0!</v>
      </c>
      <c r="U11" s="3">
        <v>0</v>
      </c>
      <c r="V11" s="6">
        <v>0</v>
      </c>
      <c r="W11" s="3" t="e">
        <f t="shared" si="6"/>
        <v>#DIV/0!</v>
      </c>
      <c r="X11" s="3">
        <v>0</v>
      </c>
      <c r="Y11" s="6">
        <v>0</v>
      </c>
      <c r="Z11" s="3" t="e">
        <f t="shared" si="7"/>
        <v>#DIV/0!</v>
      </c>
      <c r="AA11" s="3">
        <v>0</v>
      </c>
      <c r="AB11" s="6">
        <v>0</v>
      </c>
      <c r="AC11" s="3" t="e">
        <f t="shared" si="8"/>
        <v>#DIV/0!</v>
      </c>
      <c r="AD11" s="3">
        <v>0</v>
      </c>
      <c r="AE11" s="6">
        <v>0</v>
      </c>
      <c r="AF11" s="3" t="e">
        <f t="shared" si="9"/>
        <v>#DIV/0!</v>
      </c>
      <c r="AG11" s="3">
        <v>0</v>
      </c>
      <c r="AH11" s="6">
        <v>0</v>
      </c>
      <c r="AI11" s="3" t="e">
        <f t="shared" si="10"/>
        <v>#DIV/0!</v>
      </c>
      <c r="AJ11" s="3">
        <v>0</v>
      </c>
      <c r="AK11" s="6">
        <v>0</v>
      </c>
      <c r="AL11" s="3">
        <f t="shared" si="11"/>
        <v>1630.4615384615386</v>
      </c>
      <c r="AM11" s="3">
        <v>10598</v>
      </c>
      <c r="AN11" s="6">
        <v>6.5</v>
      </c>
      <c r="AO11" s="3">
        <f t="shared" si="12"/>
        <v>1631.3402061855672</v>
      </c>
      <c r="AP11" s="3">
        <f t="shared" si="17"/>
        <v>15824</v>
      </c>
      <c r="AQ11" s="6">
        <f t="shared" si="18"/>
        <v>9.6999999999999993</v>
      </c>
      <c r="AR11" s="3"/>
      <c r="AS11" s="3"/>
      <c r="AT11" s="3"/>
      <c r="AU11" s="3"/>
      <c r="AV11" s="3"/>
      <c r="AW11" s="3"/>
      <c r="AX11" s="3"/>
      <c r="AY11" s="3"/>
      <c r="AZ11" s="3"/>
      <c r="BA11" s="3"/>
      <c r="BB11" s="3"/>
      <c r="BC11" s="3"/>
      <c r="BD11" s="3"/>
      <c r="BE11" s="3"/>
      <c r="BF11" s="3"/>
      <c r="BG11" s="3"/>
      <c r="BH11" s="3"/>
      <c r="BI11" s="3"/>
      <c r="BJ11" s="3"/>
      <c r="BK11" s="3"/>
      <c r="BL11" s="3"/>
      <c r="BM11" s="3"/>
      <c r="BN11" s="3"/>
      <c r="BO11" s="3"/>
    </row>
    <row r="12" spans="1:67" ht="15" customHeight="1" x14ac:dyDescent="0.3">
      <c r="A12" s="7" t="s">
        <v>33</v>
      </c>
      <c r="B12" s="13"/>
      <c r="C12" s="13"/>
      <c r="D12" s="13"/>
      <c r="E12" s="3" t="e">
        <f>F12/G12</f>
        <v>#DIV/0!</v>
      </c>
      <c r="F12" s="3">
        <v>0</v>
      </c>
      <c r="G12" s="6">
        <v>0</v>
      </c>
      <c r="H12" s="3">
        <f>I12/J12</f>
        <v>2207.4074074074074</v>
      </c>
      <c r="I12" s="3">
        <v>11920</v>
      </c>
      <c r="J12" s="6">
        <v>5.4</v>
      </c>
      <c r="K12" s="3" t="e">
        <f>L12/M12</f>
        <v>#DIV/0!</v>
      </c>
      <c r="L12" s="3">
        <v>0</v>
      </c>
      <c r="M12" s="6">
        <v>0</v>
      </c>
      <c r="N12" s="3">
        <f>O12/P12</f>
        <v>2527.6785714285716</v>
      </c>
      <c r="O12" s="3">
        <v>14155</v>
      </c>
      <c r="P12" s="6">
        <v>5.6</v>
      </c>
      <c r="Q12" s="3">
        <f>R12/S12</f>
        <v>1657.845659163987</v>
      </c>
      <c r="R12" s="3">
        <v>51559</v>
      </c>
      <c r="S12" s="6">
        <v>31.1</v>
      </c>
      <c r="T12" s="3">
        <f>U12/V12</f>
        <v>2125.7446808510635</v>
      </c>
      <c r="U12" s="3">
        <v>9991</v>
      </c>
      <c r="V12" s="6">
        <v>4.7</v>
      </c>
      <c r="W12" s="3">
        <f>X12/Y12</f>
        <v>2425.3061224489793</v>
      </c>
      <c r="X12" s="3">
        <v>11884</v>
      </c>
      <c r="Y12" s="6">
        <v>4.9000000000000004</v>
      </c>
      <c r="Z12" s="3" t="e">
        <f>AA12/AB12</f>
        <v>#DIV/0!</v>
      </c>
      <c r="AA12" s="3">
        <v>0</v>
      </c>
      <c r="AB12" s="6">
        <v>0</v>
      </c>
      <c r="AC12" s="3">
        <f>AD12/AE12</f>
        <v>2351.4285714285711</v>
      </c>
      <c r="AD12" s="3">
        <v>4938</v>
      </c>
      <c r="AE12" s="6">
        <v>2.1</v>
      </c>
      <c r="AF12" s="3" t="e">
        <f>AG12/AH12</f>
        <v>#DIV/0!</v>
      </c>
      <c r="AG12" s="3">
        <v>0</v>
      </c>
      <c r="AH12" s="6">
        <v>0</v>
      </c>
      <c r="AI12" s="3">
        <f>AJ12/AK12</f>
        <v>2507.3333333333335</v>
      </c>
      <c r="AJ12" s="3">
        <v>11283</v>
      </c>
      <c r="AK12" s="6">
        <v>4.5</v>
      </c>
      <c r="AL12" s="3">
        <f>AM12/AN12</f>
        <v>1665.9183673469386</v>
      </c>
      <c r="AM12" s="3">
        <v>8163</v>
      </c>
      <c r="AN12" s="6">
        <v>4.9000000000000004</v>
      </c>
      <c r="AO12" s="3">
        <f t="shared" si="12"/>
        <v>1960.3322784810125</v>
      </c>
      <c r="AP12" s="3">
        <f t="shared" si="17"/>
        <v>123893</v>
      </c>
      <c r="AQ12" s="6">
        <f t="shared" si="18"/>
        <v>63.2</v>
      </c>
      <c r="AR12" s="3"/>
      <c r="AS12" s="3"/>
      <c r="AT12" s="3"/>
      <c r="AU12" s="3"/>
      <c r="AV12" s="3"/>
      <c r="AW12" s="3"/>
      <c r="AX12" s="3"/>
      <c r="AY12" s="3"/>
      <c r="AZ12" s="3"/>
      <c r="BA12" s="3"/>
      <c r="BB12" s="3"/>
      <c r="BC12" s="3"/>
      <c r="BD12" s="3"/>
      <c r="BE12" s="3"/>
      <c r="BF12" s="3"/>
      <c r="BG12" s="3"/>
      <c r="BH12" s="3"/>
      <c r="BI12" s="3"/>
      <c r="BJ12" s="3"/>
      <c r="BK12" s="3"/>
      <c r="BL12" s="3"/>
      <c r="BM12" s="3"/>
      <c r="BN12" s="3"/>
      <c r="BO12" s="3"/>
    </row>
    <row r="13" spans="1:67" ht="15" customHeight="1" x14ac:dyDescent="0.3">
      <c r="A13" s="7" t="s">
        <v>25</v>
      </c>
      <c r="B13" s="13"/>
      <c r="C13" s="13"/>
      <c r="D13" s="13"/>
      <c r="E13" s="3">
        <f t="shared" ref="E13:E34" si="19">F13/G13</f>
        <v>1461.4798206278026</v>
      </c>
      <c r="F13" s="3">
        <v>32591</v>
      </c>
      <c r="G13" s="6">
        <v>22.3</v>
      </c>
      <c r="H13" s="3">
        <f t="shared" ref="H13:H34" si="20">I13/J13</f>
        <v>1040.1183431952661</v>
      </c>
      <c r="I13" s="3">
        <v>52734</v>
      </c>
      <c r="J13" s="6">
        <v>50.7</v>
      </c>
      <c r="K13" s="3">
        <f t="shared" ref="K13:K34" si="21">L13/M13</f>
        <v>1484.8179871520342</v>
      </c>
      <c r="L13" s="3">
        <v>69341</v>
      </c>
      <c r="M13" s="6">
        <v>46.7</v>
      </c>
      <c r="N13" s="3">
        <f t="shared" ref="N13:N34" si="22">O13/P13</f>
        <v>2140.0485436893205</v>
      </c>
      <c r="O13" s="3">
        <v>44085</v>
      </c>
      <c r="P13" s="6">
        <v>20.6</v>
      </c>
      <c r="Q13" s="3">
        <f t="shared" ref="Q13:Q34" si="23">R13/S13</f>
        <v>1380.4651162790697</v>
      </c>
      <c r="R13" s="3">
        <v>17808</v>
      </c>
      <c r="S13" s="6">
        <v>12.9</v>
      </c>
      <c r="T13" s="3">
        <f t="shared" ref="T13:T34" si="24">U13/V13</f>
        <v>2250</v>
      </c>
      <c r="U13" s="3">
        <v>4950</v>
      </c>
      <c r="V13" s="6">
        <v>2.2000000000000002</v>
      </c>
      <c r="W13" s="3">
        <f t="shared" ref="W13:W34" si="25">X13/Y13</f>
        <v>2465.1162790697672</v>
      </c>
      <c r="X13" s="3">
        <v>31800</v>
      </c>
      <c r="Y13" s="6">
        <v>12.9</v>
      </c>
      <c r="Z13" s="3">
        <f t="shared" ref="Z13:Z34" si="26">AA13/AB13</f>
        <v>2737.3469387755099</v>
      </c>
      <c r="AA13" s="3">
        <v>13413</v>
      </c>
      <c r="AB13" s="6">
        <v>4.9000000000000004</v>
      </c>
      <c r="AC13" s="3">
        <f t="shared" ref="AC13:AC34" si="27">AD13/AE13</f>
        <v>1362.9565217391305</v>
      </c>
      <c r="AD13" s="3">
        <v>62696</v>
      </c>
      <c r="AE13" s="6">
        <v>46</v>
      </c>
      <c r="AF13" s="3">
        <f t="shared" ref="AF13:AF34" si="28">AG13/AH13</f>
        <v>2382.6148409893995</v>
      </c>
      <c r="AG13" s="3">
        <v>67428</v>
      </c>
      <c r="AH13" s="6">
        <v>28.3</v>
      </c>
      <c r="AI13" s="3">
        <f t="shared" ref="AI13:AI34" si="29">AJ13/AK13</f>
        <v>1454.0625</v>
      </c>
      <c r="AJ13" s="3">
        <v>23265</v>
      </c>
      <c r="AK13" s="6">
        <v>16</v>
      </c>
      <c r="AL13" s="3">
        <f t="shared" ref="AL13:AL34" si="30">AM13/AN13</f>
        <v>1631.1428571428571</v>
      </c>
      <c r="AM13" s="3">
        <v>5709</v>
      </c>
      <c r="AN13" s="6">
        <v>3.5</v>
      </c>
      <c r="AO13" s="3">
        <f t="shared" si="12"/>
        <v>1594.8314606741574</v>
      </c>
      <c r="AP13" s="3">
        <f t="shared" si="17"/>
        <v>425820</v>
      </c>
      <c r="AQ13" s="6">
        <f t="shared" si="18"/>
        <v>267</v>
      </c>
      <c r="AR13" s="3"/>
      <c r="AS13" s="3"/>
      <c r="AT13" s="3"/>
      <c r="AU13" s="3"/>
      <c r="AV13" s="3"/>
      <c r="AW13" s="3"/>
      <c r="AX13" s="3"/>
      <c r="AY13" s="3"/>
      <c r="AZ13" s="3"/>
      <c r="BA13" s="3"/>
      <c r="BB13" s="3"/>
      <c r="BC13" s="3"/>
      <c r="BD13" s="3"/>
      <c r="BE13" s="3"/>
      <c r="BF13" s="3"/>
      <c r="BG13" s="3"/>
      <c r="BH13" s="3"/>
      <c r="BI13" s="3"/>
      <c r="BJ13" s="3"/>
      <c r="BK13" s="3"/>
      <c r="BL13" s="3"/>
      <c r="BM13" s="3"/>
      <c r="BN13" s="3"/>
      <c r="BO13" s="3"/>
    </row>
    <row r="14" spans="1:67" ht="15" customHeight="1" x14ac:dyDescent="0.3">
      <c r="A14" s="7" t="s">
        <v>24</v>
      </c>
      <c r="B14" s="13"/>
      <c r="C14" s="13"/>
      <c r="D14" s="13"/>
      <c r="E14" s="3" t="e">
        <f t="shared" si="19"/>
        <v>#DIV/0!</v>
      </c>
      <c r="F14" s="3">
        <v>0</v>
      </c>
      <c r="G14" s="6">
        <v>0</v>
      </c>
      <c r="H14" s="3">
        <f t="shared" si="20"/>
        <v>2237.4137931034484</v>
      </c>
      <c r="I14" s="3">
        <v>38931</v>
      </c>
      <c r="J14" s="6">
        <v>17.399999999999999</v>
      </c>
      <c r="K14" s="3">
        <f t="shared" si="21"/>
        <v>2343.6842105263158</v>
      </c>
      <c r="L14" s="3">
        <v>48983</v>
      </c>
      <c r="M14" s="6">
        <v>20.9</v>
      </c>
      <c r="N14" s="3">
        <f t="shared" si="22"/>
        <v>1759.9270072992701</v>
      </c>
      <c r="O14" s="3">
        <v>24111</v>
      </c>
      <c r="P14" s="6">
        <v>13.7</v>
      </c>
      <c r="Q14" s="3" t="e">
        <f t="shared" si="23"/>
        <v>#DIV/0!</v>
      </c>
      <c r="R14" s="3">
        <v>0</v>
      </c>
      <c r="S14" s="6">
        <v>0</v>
      </c>
      <c r="T14" s="3" t="e">
        <f t="shared" si="24"/>
        <v>#DIV/0!</v>
      </c>
      <c r="U14" s="3">
        <v>0</v>
      </c>
      <c r="V14" s="6">
        <v>0</v>
      </c>
      <c r="W14" s="3" t="e">
        <f t="shared" si="25"/>
        <v>#DIV/0!</v>
      </c>
      <c r="X14" s="3">
        <v>0</v>
      </c>
      <c r="Y14" s="6">
        <v>0</v>
      </c>
      <c r="Z14" s="3" t="e">
        <f t="shared" si="26"/>
        <v>#DIV/0!</v>
      </c>
      <c r="AA14" s="3">
        <v>0</v>
      </c>
      <c r="AB14" s="6">
        <v>0</v>
      </c>
      <c r="AC14" s="3" t="e">
        <f t="shared" si="27"/>
        <v>#DIV/0!</v>
      </c>
      <c r="AD14" s="3">
        <v>0</v>
      </c>
      <c r="AE14" s="6">
        <v>0</v>
      </c>
      <c r="AF14" s="3" t="e">
        <f t="shared" si="28"/>
        <v>#DIV/0!</v>
      </c>
      <c r="AG14" s="3">
        <v>0</v>
      </c>
      <c r="AH14" s="6">
        <v>0</v>
      </c>
      <c r="AI14" s="3" t="e">
        <f t="shared" si="29"/>
        <v>#DIV/0!</v>
      </c>
      <c r="AJ14" s="3">
        <v>0</v>
      </c>
      <c r="AK14" s="6">
        <v>0</v>
      </c>
      <c r="AL14" s="3" t="e">
        <f t="shared" si="30"/>
        <v>#DIV/0!</v>
      </c>
      <c r="AM14" s="3">
        <v>0</v>
      </c>
      <c r="AN14" s="6">
        <v>0</v>
      </c>
      <c r="AO14" s="3">
        <f t="shared" si="12"/>
        <v>2154.3269230769229</v>
      </c>
      <c r="AP14" s="3">
        <f t="shared" si="17"/>
        <v>112025</v>
      </c>
      <c r="AQ14" s="6">
        <f t="shared" si="18"/>
        <v>52</v>
      </c>
      <c r="AR14" s="3"/>
      <c r="AS14" s="3"/>
      <c r="AT14" s="3"/>
      <c r="AU14" s="3"/>
      <c r="AV14" s="3"/>
      <c r="AW14" s="3"/>
      <c r="AX14" s="3"/>
      <c r="AY14" s="3"/>
      <c r="AZ14" s="3"/>
      <c r="BA14" s="3"/>
      <c r="BB14" s="3"/>
      <c r="BC14" s="3"/>
      <c r="BD14" s="3"/>
      <c r="BE14" s="3"/>
      <c r="BF14" s="3"/>
      <c r="BG14" s="3"/>
      <c r="BH14" s="3"/>
      <c r="BI14" s="3"/>
      <c r="BJ14" s="3"/>
      <c r="BK14" s="3"/>
      <c r="BL14" s="3"/>
      <c r="BM14" s="3"/>
      <c r="BN14" s="3"/>
      <c r="BO14" s="3"/>
    </row>
    <row r="15" spans="1:67" ht="15" customHeight="1" x14ac:dyDescent="0.3">
      <c r="A15" s="7" t="s">
        <v>19</v>
      </c>
      <c r="B15" s="13"/>
      <c r="C15" s="13"/>
      <c r="D15" s="13"/>
      <c r="E15" s="3" t="e">
        <f t="shared" si="19"/>
        <v>#DIV/0!</v>
      </c>
      <c r="F15" s="3">
        <v>0</v>
      </c>
      <c r="G15" s="6">
        <v>0</v>
      </c>
      <c r="H15" s="3" t="e">
        <f t="shared" si="20"/>
        <v>#DIV/0!</v>
      </c>
      <c r="I15" s="3">
        <v>0</v>
      </c>
      <c r="J15" s="6">
        <v>0</v>
      </c>
      <c r="K15" s="3" t="e">
        <f t="shared" si="21"/>
        <v>#DIV/0!</v>
      </c>
      <c r="L15" s="3">
        <v>0</v>
      </c>
      <c r="M15" s="6">
        <v>0</v>
      </c>
      <c r="N15" s="3" t="e">
        <f t="shared" si="22"/>
        <v>#DIV/0!</v>
      </c>
      <c r="O15" s="3">
        <v>0</v>
      </c>
      <c r="P15" s="6">
        <v>0</v>
      </c>
      <c r="Q15" s="3" t="e">
        <f t="shared" si="23"/>
        <v>#DIV/0!</v>
      </c>
      <c r="R15" s="3">
        <v>0</v>
      </c>
      <c r="S15" s="6">
        <v>0</v>
      </c>
      <c r="T15" s="3" t="e">
        <f t="shared" si="24"/>
        <v>#DIV/0!</v>
      </c>
      <c r="U15" s="3">
        <v>0</v>
      </c>
      <c r="V15" s="6">
        <v>0</v>
      </c>
      <c r="W15" s="3" t="e">
        <f t="shared" si="25"/>
        <v>#DIV/0!</v>
      </c>
      <c r="X15" s="3">
        <v>0</v>
      </c>
      <c r="Y15" s="6">
        <v>0</v>
      </c>
      <c r="Z15" s="3" t="e">
        <f t="shared" si="26"/>
        <v>#DIV/0!</v>
      </c>
      <c r="AA15" s="3">
        <v>0</v>
      </c>
      <c r="AB15" s="6">
        <v>0</v>
      </c>
      <c r="AC15" s="3" t="e">
        <f t="shared" si="27"/>
        <v>#DIV/0!</v>
      </c>
      <c r="AD15" s="3">
        <v>0</v>
      </c>
      <c r="AE15" s="6">
        <v>0</v>
      </c>
      <c r="AF15" s="3" t="e">
        <f t="shared" si="28"/>
        <v>#DIV/0!</v>
      </c>
      <c r="AG15" s="3">
        <v>0</v>
      </c>
      <c r="AH15" s="6">
        <v>0</v>
      </c>
      <c r="AI15" s="3">
        <f t="shared" si="29"/>
        <v>2481.875</v>
      </c>
      <c r="AJ15" s="3">
        <v>3971</v>
      </c>
      <c r="AK15" s="6">
        <v>1.6</v>
      </c>
      <c r="AL15" s="3" t="e">
        <f t="shared" si="30"/>
        <v>#DIV/0!</v>
      </c>
      <c r="AM15" s="3">
        <v>0</v>
      </c>
      <c r="AN15" s="6">
        <v>0</v>
      </c>
      <c r="AO15" s="3">
        <f t="shared" si="12"/>
        <v>2481.875</v>
      </c>
      <c r="AP15" s="3">
        <f t="shared" si="17"/>
        <v>3971</v>
      </c>
      <c r="AQ15" s="6">
        <f t="shared" si="18"/>
        <v>1.6</v>
      </c>
      <c r="AR15" s="3"/>
      <c r="AS15" s="3"/>
      <c r="AT15" s="3"/>
      <c r="AU15" s="3"/>
      <c r="AV15" s="3"/>
      <c r="AW15" s="3"/>
      <c r="AX15" s="3"/>
      <c r="AY15" s="3"/>
      <c r="AZ15" s="3"/>
      <c r="BA15" s="3"/>
      <c r="BB15" s="3"/>
      <c r="BC15" s="3"/>
      <c r="BD15" s="3"/>
      <c r="BE15" s="3"/>
      <c r="BF15" s="3"/>
      <c r="BG15" s="3"/>
      <c r="BH15" s="3"/>
      <c r="BI15" s="3"/>
      <c r="BJ15" s="3"/>
      <c r="BK15" s="3"/>
      <c r="BL15" s="3"/>
      <c r="BM15" s="3"/>
      <c r="BN15" s="3"/>
      <c r="BO15" s="3"/>
    </row>
    <row r="16" spans="1:67" ht="15" customHeight="1" x14ac:dyDescent="0.3">
      <c r="A16" s="7" t="s">
        <v>57</v>
      </c>
      <c r="B16" s="13"/>
      <c r="C16" s="13"/>
      <c r="D16" s="13"/>
      <c r="E16" s="3" t="e">
        <f t="shared" si="19"/>
        <v>#DIV/0!</v>
      </c>
      <c r="F16" s="3">
        <v>0</v>
      </c>
      <c r="G16" s="6">
        <v>0</v>
      </c>
      <c r="H16" s="3" t="e">
        <f t="shared" si="20"/>
        <v>#DIV/0!</v>
      </c>
      <c r="I16" s="3">
        <v>0</v>
      </c>
      <c r="J16" s="6">
        <v>0</v>
      </c>
      <c r="K16" s="3">
        <f t="shared" si="21"/>
        <v>1820.9395973154362</v>
      </c>
      <c r="L16" s="3">
        <v>27132</v>
      </c>
      <c r="M16" s="6">
        <v>14.9</v>
      </c>
      <c r="N16" s="3" t="e">
        <f t="shared" si="22"/>
        <v>#DIV/0!</v>
      </c>
      <c r="O16" s="3">
        <v>0</v>
      </c>
      <c r="P16" s="6">
        <v>0</v>
      </c>
      <c r="Q16" s="3" t="e">
        <f t="shared" si="23"/>
        <v>#DIV/0!</v>
      </c>
      <c r="R16" s="3">
        <v>0</v>
      </c>
      <c r="S16" s="6">
        <v>0</v>
      </c>
      <c r="T16" s="3" t="e">
        <f t="shared" si="24"/>
        <v>#DIV/0!</v>
      </c>
      <c r="U16" s="3">
        <v>0</v>
      </c>
      <c r="V16" s="6">
        <v>0</v>
      </c>
      <c r="W16" s="3" t="e">
        <f t="shared" si="25"/>
        <v>#DIV/0!</v>
      </c>
      <c r="X16" s="3">
        <v>0</v>
      </c>
      <c r="Y16" s="6">
        <v>0</v>
      </c>
      <c r="Z16" s="3" t="e">
        <f t="shared" si="26"/>
        <v>#DIV/0!</v>
      </c>
      <c r="AA16" s="3">
        <v>0</v>
      </c>
      <c r="AB16" s="6">
        <v>0</v>
      </c>
      <c r="AC16" s="3" t="e">
        <f t="shared" si="27"/>
        <v>#DIV/0!</v>
      </c>
      <c r="AD16" s="3">
        <v>0</v>
      </c>
      <c r="AE16" s="6">
        <v>0</v>
      </c>
      <c r="AF16" s="3" t="e">
        <f t="shared" si="28"/>
        <v>#DIV/0!</v>
      </c>
      <c r="AG16" s="3">
        <v>0</v>
      </c>
      <c r="AH16" s="6">
        <v>0</v>
      </c>
      <c r="AI16" s="3" t="e">
        <f t="shared" si="29"/>
        <v>#DIV/0!</v>
      </c>
      <c r="AJ16" s="3">
        <v>0</v>
      </c>
      <c r="AK16" s="6">
        <v>0</v>
      </c>
      <c r="AL16" s="3" t="e">
        <f t="shared" si="30"/>
        <v>#DIV/0!</v>
      </c>
      <c r="AM16" s="3">
        <v>0</v>
      </c>
      <c r="AN16" s="6">
        <v>0</v>
      </c>
      <c r="AO16" s="3">
        <f t="shared" si="12"/>
        <v>1820.9395973154362</v>
      </c>
      <c r="AP16" s="3">
        <f t="shared" si="17"/>
        <v>27132</v>
      </c>
      <c r="AQ16" s="6">
        <f t="shared" si="18"/>
        <v>14.9</v>
      </c>
      <c r="AR16" s="3"/>
      <c r="AS16" s="3"/>
      <c r="AT16" s="3"/>
      <c r="AU16" s="3"/>
      <c r="AV16" s="3"/>
      <c r="AW16" s="3"/>
      <c r="AX16" s="3"/>
      <c r="AY16" s="3"/>
      <c r="AZ16" s="3"/>
      <c r="BA16" s="3"/>
      <c r="BB16" s="3"/>
      <c r="BC16" s="3"/>
      <c r="BD16" s="3"/>
      <c r="BE16" s="3"/>
      <c r="BF16" s="3"/>
      <c r="BG16" s="3"/>
      <c r="BH16" s="3"/>
      <c r="BI16" s="3"/>
      <c r="BJ16" s="3"/>
      <c r="BK16" s="3"/>
      <c r="BL16" s="3"/>
      <c r="BM16" s="3"/>
      <c r="BN16" s="3"/>
      <c r="BO16" s="3"/>
    </row>
    <row r="17" spans="1:67" ht="15" customHeight="1" x14ac:dyDescent="0.3">
      <c r="A17" s="7" t="s">
        <v>27</v>
      </c>
      <c r="B17" s="13"/>
      <c r="C17" s="13"/>
      <c r="D17" s="13"/>
      <c r="E17" s="3">
        <f t="shared" si="19"/>
        <v>6872.7272727272721</v>
      </c>
      <c r="F17" s="3">
        <v>7560</v>
      </c>
      <c r="G17" s="6">
        <v>1.1000000000000001</v>
      </c>
      <c r="H17" s="3" t="e">
        <f t="shared" si="20"/>
        <v>#DIV/0!</v>
      </c>
      <c r="I17" s="3">
        <v>0</v>
      </c>
      <c r="J17" s="6">
        <v>0</v>
      </c>
      <c r="K17" s="3" t="e">
        <f t="shared" si="21"/>
        <v>#DIV/0!</v>
      </c>
      <c r="L17" s="3">
        <v>0</v>
      </c>
      <c r="M17" s="6">
        <v>0</v>
      </c>
      <c r="N17" s="3">
        <f t="shared" si="22"/>
        <v>4258.181818181818</v>
      </c>
      <c r="O17" s="3">
        <v>9368</v>
      </c>
      <c r="P17" s="6">
        <v>2.2000000000000002</v>
      </c>
      <c r="Q17" s="3">
        <f t="shared" si="23"/>
        <v>3230.1470588235293</v>
      </c>
      <c r="R17" s="3">
        <v>21965</v>
      </c>
      <c r="S17" s="6">
        <v>6.8</v>
      </c>
      <c r="T17" s="3" t="e">
        <f t="shared" si="24"/>
        <v>#DIV/0!</v>
      </c>
      <c r="U17" s="3">
        <v>0</v>
      </c>
      <c r="V17" s="6">
        <v>0</v>
      </c>
      <c r="W17" s="3" t="e">
        <f t="shared" si="25"/>
        <v>#DIV/0!</v>
      </c>
      <c r="X17" s="3">
        <v>0</v>
      </c>
      <c r="Y17" s="6">
        <v>0</v>
      </c>
      <c r="Z17" s="3">
        <f t="shared" si="26"/>
        <v>3972.727272727273</v>
      </c>
      <c r="AA17" s="3">
        <v>13110</v>
      </c>
      <c r="AB17" s="6">
        <v>3.3</v>
      </c>
      <c r="AC17" s="3">
        <f t="shared" si="27"/>
        <v>4650.9090909090901</v>
      </c>
      <c r="AD17" s="3">
        <v>10232</v>
      </c>
      <c r="AE17" s="6">
        <v>2.2000000000000002</v>
      </c>
      <c r="AF17" s="3" t="e">
        <f t="shared" si="28"/>
        <v>#DIV/0!</v>
      </c>
      <c r="AG17" s="3">
        <v>0</v>
      </c>
      <c r="AH17" s="6">
        <v>0</v>
      </c>
      <c r="AI17" s="3">
        <f t="shared" si="29"/>
        <v>4547.333333333333</v>
      </c>
      <c r="AJ17" s="3">
        <v>6821</v>
      </c>
      <c r="AK17" s="6">
        <v>1.5</v>
      </c>
      <c r="AL17" s="3" t="e">
        <f t="shared" si="30"/>
        <v>#DIV/0!</v>
      </c>
      <c r="AM17" s="3">
        <v>0</v>
      </c>
      <c r="AN17" s="6">
        <v>0</v>
      </c>
      <c r="AO17" s="3">
        <f t="shared" si="12"/>
        <v>4038.3625730994158</v>
      </c>
      <c r="AP17" s="3">
        <f t="shared" si="17"/>
        <v>69056</v>
      </c>
      <c r="AQ17" s="6">
        <f t="shared" si="18"/>
        <v>17.099999999999998</v>
      </c>
      <c r="AR17" s="3"/>
      <c r="AS17" s="3"/>
      <c r="AT17" s="3"/>
      <c r="AU17" s="3"/>
      <c r="AV17" s="3"/>
      <c r="AW17" s="3"/>
      <c r="AX17" s="3"/>
      <c r="AY17" s="3"/>
      <c r="AZ17" s="3"/>
      <c r="BA17" s="3"/>
      <c r="BB17" s="3"/>
      <c r="BC17" s="3"/>
      <c r="BD17" s="3"/>
      <c r="BE17" s="3"/>
      <c r="BF17" s="3"/>
      <c r="BG17" s="3"/>
      <c r="BH17" s="3"/>
      <c r="BI17" s="3"/>
      <c r="BJ17" s="3"/>
      <c r="BK17" s="3"/>
      <c r="BL17" s="3"/>
      <c r="BM17" s="3"/>
      <c r="BN17" s="3"/>
      <c r="BO17" s="3"/>
    </row>
    <row r="18" spans="1:67" ht="15" customHeight="1" x14ac:dyDescent="0.3">
      <c r="A18" s="7" t="s">
        <v>20</v>
      </c>
      <c r="B18" s="13"/>
      <c r="C18" s="13"/>
      <c r="D18" s="13"/>
      <c r="E18" s="3" t="e">
        <f t="shared" si="19"/>
        <v>#DIV/0!</v>
      </c>
      <c r="F18" s="3">
        <v>0</v>
      </c>
      <c r="G18" s="6">
        <v>0</v>
      </c>
      <c r="H18" s="3" t="e">
        <f t="shared" si="20"/>
        <v>#DIV/0!</v>
      </c>
      <c r="I18" s="3">
        <v>0</v>
      </c>
      <c r="J18" s="6">
        <v>0</v>
      </c>
      <c r="K18" s="3" t="e">
        <f t="shared" si="21"/>
        <v>#DIV/0!</v>
      </c>
      <c r="L18" s="3">
        <v>0</v>
      </c>
      <c r="M18" s="6">
        <v>0</v>
      </c>
      <c r="N18" s="3" t="e">
        <f t="shared" si="22"/>
        <v>#DIV/0!</v>
      </c>
      <c r="O18" s="3">
        <v>0</v>
      </c>
      <c r="P18" s="6">
        <v>0</v>
      </c>
      <c r="Q18" s="3" t="e">
        <f t="shared" si="23"/>
        <v>#DIV/0!</v>
      </c>
      <c r="R18" s="3">
        <v>0</v>
      </c>
      <c r="S18" s="6">
        <v>0</v>
      </c>
      <c r="T18" s="3" t="e">
        <f t="shared" si="24"/>
        <v>#DIV/0!</v>
      </c>
      <c r="U18" s="3">
        <v>0</v>
      </c>
      <c r="V18" s="6">
        <v>0</v>
      </c>
      <c r="W18" s="3">
        <f t="shared" si="25"/>
        <v>1963.8888888888889</v>
      </c>
      <c r="X18" s="3">
        <v>3535</v>
      </c>
      <c r="Y18" s="6">
        <v>1.8</v>
      </c>
      <c r="Z18" s="3" t="e">
        <f t="shared" si="26"/>
        <v>#DIV/0!</v>
      </c>
      <c r="AA18" s="3">
        <v>0</v>
      </c>
      <c r="AB18" s="6">
        <v>0</v>
      </c>
      <c r="AC18" s="3" t="e">
        <f t="shared" si="27"/>
        <v>#DIV/0!</v>
      </c>
      <c r="AD18" s="3">
        <v>0</v>
      </c>
      <c r="AE18" s="6">
        <v>0</v>
      </c>
      <c r="AF18" s="3" t="e">
        <f t="shared" si="28"/>
        <v>#DIV/0!</v>
      </c>
      <c r="AG18" s="3">
        <v>0</v>
      </c>
      <c r="AH18" s="6">
        <v>0</v>
      </c>
      <c r="AI18" s="3" t="e">
        <f t="shared" si="29"/>
        <v>#DIV/0!</v>
      </c>
      <c r="AJ18" s="3">
        <v>0</v>
      </c>
      <c r="AK18" s="6">
        <v>0</v>
      </c>
      <c r="AL18" s="3" t="e">
        <f t="shared" si="30"/>
        <v>#DIV/0!</v>
      </c>
      <c r="AM18" s="3">
        <v>0</v>
      </c>
      <c r="AN18" s="6">
        <v>0</v>
      </c>
      <c r="AO18" s="3">
        <f t="shared" si="12"/>
        <v>1963.8888888888889</v>
      </c>
      <c r="AP18" s="3">
        <f t="shared" si="17"/>
        <v>3535</v>
      </c>
      <c r="AQ18" s="6">
        <f t="shared" si="18"/>
        <v>1.8</v>
      </c>
      <c r="AR18" s="3"/>
      <c r="AS18" s="3"/>
      <c r="AT18" s="3"/>
      <c r="AU18" s="3"/>
      <c r="AV18" s="3"/>
      <c r="AW18" s="3"/>
      <c r="AX18" s="3"/>
      <c r="AY18" s="3"/>
      <c r="AZ18" s="3"/>
      <c r="BA18" s="3"/>
      <c r="BB18" s="3"/>
      <c r="BC18" s="3"/>
      <c r="BD18" s="3"/>
      <c r="BE18" s="3"/>
      <c r="BF18" s="3"/>
      <c r="BG18" s="3"/>
      <c r="BH18" s="3"/>
      <c r="BI18" s="3"/>
      <c r="BJ18" s="3"/>
      <c r="BK18" s="3"/>
      <c r="BL18" s="3"/>
      <c r="BM18" s="3"/>
      <c r="BN18" s="3"/>
      <c r="BO18" s="3"/>
    </row>
    <row r="19" spans="1:67" ht="15" customHeight="1" x14ac:dyDescent="0.3">
      <c r="A19" s="7" t="s">
        <v>18</v>
      </c>
      <c r="B19" s="13"/>
      <c r="C19" s="13"/>
      <c r="D19" s="13"/>
      <c r="E19" s="3" t="e">
        <f t="shared" si="19"/>
        <v>#DIV/0!</v>
      </c>
      <c r="F19" s="3">
        <v>0</v>
      </c>
      <c r="G19" s="6">
        <v>0</v>
      </c>
      <c r="H19" s="3" t="e">
        <f t="shared" si="20"/>
        <v>#DIV/0!</v>
      </c>
      <c r="I19" s="3">
        <v>0</v>
      </c>
      <c r="J19" s="6">
        <v>0</v>
      </c>
      <c r="K19" s="3" t="e">
        <f t="shared" si="21"/>
        <v>#DIV/0!</v>
      </c>
      <c r="L19" s="3">
        <v>0</v>
      </c>
      <c r="M19" s="6">
        <v>0</v>
      </c>
      <c r="N19" s="3">
        <f t="shared" si="22"/>
        <v>1813.6842105263158</v>
      </c>
      <c r="O19" s="3">
        <v>10338</v>
      </c>
      <c r="P19" s="6">
        <v>5.7</v>
      </c>
      <c r="Q19" s="3">
        <f t="shared" si="23"/>
        <v>1766.9791666666667</v>
      </c>
      <c r="R19" s="3">
        <v>16963</v>
      </c>
      <c r="S19" s="6">
        <v>9.6</v>
      </c>
      <c r="T19" s="3">
        <f t="shared" si="24"/>
        <v>1754.1176470588236</v>
      </c>
      <c r="U19" s="3">
        <v>11928</v>
      </c>
      <c r="V19" s="6">
        <v>6.8</v>
      </c>
      <c r="W19" s="3" t="e">
        <f t="shared" si="25"/>
        <v>#DIV/0!</v>
      </c>
      <c r="X19" s="3">
        <v>0</v>
      </c>
      <c r="Y19" s="6">
        <v>0</v>
      </c>
      <c r="Z19" s="3" t="e">
        <f t="shared" si="26"/>
        <v>#DIV/0!</v>
      </c>
      <c r="AA19" s="3">
        <v>0</v>
      </c>
      <c r="AB19" s="6">
        <v>0</v>
      </c>
      <c r="AC19" s="3" t="e">
        <f t="shared" si="27"/>
        <v>#DIV/0!</v>
      </c>
      <c r="AD19" s="3">
        <v>0</v>
      </c>
      <c r="AE19" s="6">
        <v>0</v>
      </c>
      <c r="AF19" s="3" t="e">
        <f t="shared" si="28"/>
        <v>#DIV/0!</v>
      </c>
      <c r="AG19" s="3">
        <v>0</v>
      </c>
      <c r="AH19" s="6">
        <v>0</v>
      </c>
      <c r="AI19" s="3" t="e">
        <f t="shared" si="29"/>
        <v>#DIV/0!</v>
      </c>
      <c r="AJ19" s="3">
        <v>0</v>
      </c>
      <c r="AK19" s="6">
        <v>0</v>
      </c>
      <c r="AL19" s="3" t="e">
        <f t="shared" si="30"/>
        <v>#DIV/0!</v>
      </c>
      <c r="AM19" s="3">
        <v>0</v>
      </c>
      <c r="AN19" s="6">
        <v>0</v>
      </c>
      <c r="AO19" s="3">
        <f t="shared" si="12"/>
        <v>1775.0678733031673</v>
      </c>
      <c r="AP19" s="3">
        <f t="shared" si="17"/>
        <v>39229</v>
      </c>
      <c r="AQ19" s="6">
        <f t="shared" si="18"/>
        <v>22.1</v>
      </c>
      <c r="AR19" s="3"/>
      <c r="AS19" s="3"/>
      <c r="AT19" s="3"/>
      <c r="AU19" s="3"/>
      <c r="AV19" s="3"/>
      <c r="AW19" s="3"/>
      <c r="AX19" s="3"/>
      <c r="AY19" s="3"/>
      <c r="AZ19" s="3"/>
      <c r="BA19" s="3"/>
      <c r="BB19" s="3"/>
      <c r="BC19" s="3"/>
      <c r="BD19" s="3"/>
      <c r="BE19" s="3"/>
      <c r="BF19" s="3"/>
      <c r="BG19" s="3"/>
      <c r="BH19" s="3"/>
      <c r="BI19" s="3"/>
      <c r="BJ19" s="3"/>
      <c r="BK19" s="3"/>
      <c r="BL19" s="3"/>
      <c r="BM19" s="3"/>
      <c r="BN19" s="3"/>
      <c r="BO19" s="3"/>
    </row>
    <row r="20" spans="1:67" x14ac:dyDescent="0.3">
      <c r="A20" s="7" t="s">
        <v>47</v>
      </c>
      <c r="B20" s="13"/>
      <c r="C20" s="13"/>
      <c r="D20" s="13"/>
      <c r="E20" s="3" t="e">
        <f t="shared" si="19"/>
        <v>#DIV/0!</v>
      </c>
      <c r="F20" s="3">
        <v>0</v>
      </c>
      <c r="G20" s="6">
        <v>0</v>
      </c>
      <c r="H20" s="3" t="e">
        <f t="shared" si="20"/>
        <v>#DIV/0!</v>
      </c>
      <c r="I20" s="3">
        <v>0</v>
      </c>
      <c r="J20" s="6">
        <v>0</v>
      </c>
      <c r="K20" s="3" t="e">
        <f t="shared" si="21"/>
        <v>#DIV/0!</v>
      </c>
      <c r="L20" s="3">
        <v>0</v>
      </c>
      <c r="M20" s="6">
        <v>0</v>
      </c>
      <c r="N20" s="3">
        <f t="shared" si="22"/>
        <v>1648.5714285714284</v>
      </c>
      <c r="O20" s="3">
        <v>6924</v>
      </c>
      <c r="P20" s="6">
        <v>4.2</v>
      </c>
      <c r="Q20" s="3">
        <f t="shared" si="23"/>
        <v>1639.516129032258</v>
      </c>
      <c r="R20" s="3">
        <v>10165</v>
      </c>
      <c r="S20" s="6">
        <v>6.2</v>
      </c>
      <c r="T20" s="3">
        <f t="shared" si="24"/>
        <v>1526.8181818181818</v>
      </c>
      <c r="U20" s="3">
        <v>6718</v>
      </c>
      <c r="V20" s="6">
        <v>4.4000000000000004</v>
      </c>
      <c r="W20" s="3">
        <f t="shared" si="25"/>
        <v>1604.6511627906978</v>
      </c>
      <c r="X20" s="3">
        <v>6900</v>
      </c>
      <c r="Y20" s="6">
        <v>4.3</v>
      </c>
      <c r="Z20" s="3">
        <f t="shared" si="26"/>
        <v>1469.5</v>
      </c>
      <c r="AA20" s="3">
        <v>5878</v>
      </c>
      <c r="AB20" s="6">
        <v>4</v>
      </c>
      <c r="AC20" s="3" t="e">
        <f t="shared" si="27"/>
        <v>#DIV/0!</v>
      </c>
      <c r="AD20" s="3">
        <v>0</v>
      </c>
      <c r="AE20" s="6">
        <v>0</v>
      </c>
      <c r="AF20" s="3" t="e">
        <f t="shared" si="28"/>
        <v>#DIV/0!</v>
      </c>
      <c r="AG20" s="3">
        <v>0</v>
      </c>
      <c r="AH20" s="6">
        <v>0</v>
      </c>
      <c r="AI20" s="3" t="e">
        <f t="shared" si="29"/>
        <v>#DIV/0!</v>
      </c>
      <c r="AJ20" s="3">
        <v>0</v>
      </c>
      <c r="AK20" s="6">
        <v>0</v>
      </c>
      <c r="AL20" s="3" t="e">
        <f t="shared" si="30"/>
        <v>#DIV/0!</v>
      </c>
      <c r="AM20" s="3">
        <v>0</v>
      </c>
      <c r="AN20" s="6">
        <v>0</v>
      </c>
      <c r="AO20" s="3">
        <f t="shared" si="12"/>
        <v>1583.7662337662337</v>
      </c>
      <c r="AP20" s="3">
        <f t="shared" si="17"/>
        <v>36585</v>
      </c>
      <c r="AQ20" s="6">
        <f t="shared" si="18"/>
        <v>23.1</v>
      </c>
      <c r="AR20" s="3"/>
      <c r="AS20" s="3"/>
      <c r="AT20" s="3"/>
      <c r="AU20" s="3"/>
      <c r="AV20" s="3"/>
      <c r="AW20" s="3"/>
      <c r="AX20" s="3"/>
      <c r="AY20" s="3"/>
      <c r="AZ20" s="3"/>
      <c r="BA20" s="3"/>
      <c r="BB20" s="3"/>
      <c r="BC20" s="3"/>
      <c r="BD20" s="3"/>
      <c r="BE20" s="3"/>
      <c r="BF20" s="3"/>
      <c r="BG20" s="3"/>
      <c r="BH20" s="3"/>
      <c r="BI20" s="3"/>
      <c r="BJ20" s="3"/>
      <c r="BK20" s="3"/>
      <c r="BL20" s="3"/>
      <c r="BM20" s="3"/>
      <c r="BN20" s="3"/>
      <c r="BO20" s="3"/>
    </row>
    <row r="21" spans="1:67" x14ac:dyDescent="0.3">
      <c r="A21" s="7" t="s">
        <v>28</v>
      </c>
      <c r="B21" s="13"/>
      <c r="C21" s="13"/>
      <c r="D21" s="13"/>
      <c r="E21" s="3" t="e">
        <f t="shared" si="19"/>
        <v>#DIV/0!</v>
      </c>
      <c r="F21" s="3">
        <v>0</v>
      </c>
      <c r="G21" s="6">
        <v>0</v>
      </c>
      <c r="H21" s="3" t="e">
        <f t="shared" si="20"/>
        <v>#DIV/0!</v>
      </c>
      <c r="I21" s="3">
        <v>0</v>
      </c>
      <c r="J21" s="6">
        <v>0</v>
      </c>
      <c r="K21" s="3" t="e">
        <f t="shared" si="21"/>
        <v>#DIV/0!</v>
      </c>
      <c r="L21" s="3">
        <v>0</v>
      </c>
      <c r="M21" s="6">
        <v>0</v>
      </c>
      <c r="N21" s="3">
        <f t="shared" si="22"/>
        <v>1970.6666666666667</v>
      </c>
      <c r="O21" s="3">
        <v>2956</v>
      </c>
      <c r="P21" s="6">
        <v>1.5</v>
      </c>
      <c r="Q21" s="3" t="e">
        <f t="shared" si="23"/>
        <v>#DIV/0!</v>
      </c>
      <c r="R21" s="3">
        <v>0</v>
      </c>
      <c r="S21" s="6">
        <v>0</v>
      </c>
      <c r="T21" s="3" t="e">
        <f t="shared" si="24"/>
        <v>#DIV/0!</v>
      </c>
      <c r="U21" s="3">
        <v>0</v>
      </c>
      <c r="V21" s="6">
        <v>0</v>
      </c>
      <c r="W21" s="3" t="e">
        <f t="shared" si="25"/>
        <v>#DIV/0!</v>
      </c>
      <c r="X21" s="3">
        <v>0</v>
      </c>
      <c r="Y21" s="6">
        <v>0</v>
      </c>
      <c r="Z21" s="3" t="e">
        <f t="shared" si="26"/>
        <v>#DIV/0!</v>
      </c>
      <c r="AA21" s="3">
        <v>0</v>
      </c>
      <c r="AB21" s="6">
        <v>0</v>
      </c>
      <c r="AC21" s="3" t="e">
        <f t="shared" si="27"/>
        <v>#DIV/0!</v>
      </c>
      <c r="AD21" s="3">
        <v>0</v>
      </c>
      <c r="AE21" s="6">
        <v>0</v>
      </c>
      <c r="AF21" s="3" t="e">
        <f t="shared" si="28"/>
        <v>#DIV/0!</v>
      </c>
      <c r="AG21" s="3">
        <v>0</v>
      </c>
      <c r="AH21" s="6">
        <v>0</v>
      </c>
      <c r="AI21" s="3" t="e">
        <f t="shared" si="29"/>
        <v>#DIV/0!</v>
      </c>
      <c r="AJ21" s="3">
        <v>0</v>
      </c>
      <c r="AK21" s="6">
        <v>0</v>
      </c>
      <c r="AL21" s="3" t="e">
        <f t="shared" si="30"/>
        <v>#DIV/0!</v>
      </c>
      <c r="AM21" s="3">
        <v>0</v>
      </c>
      <c r="AN21" s="6">
        <v>0</v>
      </c>
      <c r="AO21" s="3">
        <f t="shared" si="12"/>
        <v>1970.6666666666667</v>
      </c>
      <c r="AP21" s="3">
        <f t="shared" si="17"/>
        <v>2956</v>
      </c>
      <c r="AQ21" s="6">
        <f t="shared" si="18"/>
        <v>1.5</v>
      </c>
      <c r="AR21" s="3"/>
      <c r="AS21" s="3"/>
      <c r="AT21" s="3"/>
      <c r="AU21" s="3"/>
      <c r="AV21" s="3"/>
      <c r="AW21" s="3"/>
      <c r="AX21" s="3"/>
      <c r="AY21" s="3"/>
      <c r="AZ21" s="3"/>
      <c r="BA21" s="3"/>
      <c r="BB21" s="3"/>
      <c r="BC21" s="3"/>
      <c r="BD21" s="3"/>
      <c r="BE21" s="3"/>
      <c r="BF21" s="3"/>
      <c r="BG21" s="3"/>
      <c r="BH21" s="3"/>
      <c r="BI21" s="3"/>
      <c r="BJ21" s="3"/>
      <c r="BK21" s="3"/>
      <c r="BL21" s="3"/>
      <c r="BM21" s="3"/>
      <c r="BN21" s="3"/>
      <c r="BO21" s="3"/>
    </row>
    <row r="22" spans="1:67" x14ac:dyDescent="0.3">
      <c r="A22" s="7" t="s">
        <v>41</v>
      </c>
      <c r="B22" s="13"/>
      <c r="C22" s="13"/>
      <c r="D22" s="13"/>
      <c r="E22" s="3" t="e">
        <f t="shared" si="19"/>
        <v>#DIV/0!</v>
      </c>
      <c r="F22" s="3">
        <v>0</v>
      </c>
      <c r="G22" s="6">
        <v>0</v>
      </c>
      <c r="H22" s="3" t="e">
        <f t="shared" si="20"/>
        <v>#DIV/0!</v>
      </c>
      <c r="I22" s="3">
        <v>0</v>
      </c>
      <c r="J22" s="6">
        <v>0</v>
      </c>
      <c r="K22" s="3" t="e">
        <f t="shared" si="21"/>
        <v>#DIV/0!</v>
      </c>
      <c r="L22" s="3">
        <v>0</v>
      </c>
      <c r="M22" s="6">
        <v>0</v>
      </c>
      <c r="N22" s="3" t="e">
        <f t="shared" si="22"/>
        <v>#DIV/0!</v>
      </c>
      <c r="O22" s="3">
        <v>0</v>
      </c>
      <c r="P22" s="6">
        <v>0</v>
      </c>
      <c r="Q22" s="3" t="e">
        <f t="shared" si="23"/>
        <v>#DIV/0!</v>
      </c>
      <c r="R22" s="3">
        <v>0</v>
      </c>
      <c r="S22" s="6">
        <v>0</v>
      </c>
      <c r="T22" s="3" t="e">
        <f t="shared" si="24"/>
        <v>#DIV/0!</v>
      </c>
      <c r="U22" s="3">
        <v>0</v>
      </c>
      <c r="V22" s="6">
        <v>0</v>
      </c>
      <c r="W22" s="3" t="e">
        <f t="shared" si="25"/>
        <v>#DIV/0!</v>
      </c>
      <c r="X22" s="3">
        <v>0</v>
      </c>
      <c r="Y22" s="6">
        <v>0</v>
      </c>
      <c r="Z22" s="3" t="e">
        <f t="shared" si="26"/>
        <v>#DIV/0!</v>
      </c>
      <c r="AA22" s="3">
        <v>0</v>
      </c>
      <c r="AB22" s="6">
        <v>0</v>
      </c>
      <c r="AC22" s="3" t="e">
        <f t="shared" si="27"/>
        <v>#DIV/0!</v>
      </c>
      <c r="AD22" s="3">
        <v>0</v>
      </c>
      <c r="AE22" s="6">
        <v>0</v>
      </c>
      <c r="AF22" s="3" t="e">
        <f t="shared" si="28"/>
        <v>#DIV/0!</v>
      </c>
      <c r="AG22" s="3">
        <v>0</v>
      </c>
      <c r="AH22" s="6">
        <v>0</v>
      </c>
      <c r="AI22" s="3">
        <f t="shared" si="29"/>
        <v>1448.75</v>
      </c>
      <c r="AJ22" s="3">
        <v>3477</v>
      </c>
      <c r="AK22" s="6">
        <v>2.4</v>
      </c>
      <c r="AL22" s="3" t="e">
        <f t="shared" si="30"/>
        <v>#DIV/0!</v>
      </c>
      <c r="AM22" s="3">
        <v>0</v>
      </c>
      <c r="AN22" s="6">
        <v>0</v>
      </c>
      <c r="AO22" s="3">
        <f t="shared" si="12"/>
        <v>1448.75</v>
      </c>
      <c r="AP22" s="3">
        <f t="shared" si="17"/>
        <v>3477</v>
      </c>
      <c r="AQ22" s="6">
        <f t="shared" si="18"/>
        <v>2.4</v>
      </c>
      <c r="AR22" s="3"/>
      <c r="AS22" s="3"/>
      <c r="AT22" s="3"/>
      <c r="AU22" s="3"/>
      <c r="AV22" s="3"/>
      <c r="AW22" s="3"/>
      <c r="AX22" s="3"/>
      <c r="AY22" s="3"/>
      <c r="AZ22" s="3"/>
      <c r="BA22" s="3"/>
      <c r="BB22" s="3"/>
      <c r="BC22" s="3"/>
      <c r="BD22" s="3"/>
      <c r="BE22" s="3"/>
      <c r="BF22" s="3"/>
      <c r="BG22" s="3"/>
      <c r="BH22" s="3"/>
      <c r="BI22" s="3"/>
      <c r="BJ22" s="3"/>
      <c r="BK22" s="3"/>
      <c r="BL22" s="3"/>
      <c r="BM22" s="3"/>
      <c r="BN22" s="3"/>
      <c r="BO22" s="3"/>
    </row>
    <row r="23" spans="1:67" x14ac:dyDescent="0.3">
      <c r="A23" s="7" t="s">
        <v>29</v>
      </c>
      <c r="B23" s="13"/>
      <c r="C23" s="13"/>
      <c r="D23" s="13"/>
      <c r="E23" s="3" t="e">
        <f t="shared" si="19"/>
        <v>#DIV/0!</v>
      </c>
      <c r="F23" s="3">
        <v>0</v>
      </c>
      <c r="G23" s="6">
        <v>0</v>
      </c>
      <c r="H23" s="3">
        <f t="shared" si="20"/>
        <v>1627.5572519083969</v>
      </c>
      <c r="I23" s="3">
        <v>21321</v>
      </c>
      <c r="J23" s="6">
        <v>13.1</v>
      </c>
      <c r="K23" s="3" t="e">
        <f t="shared" si="21"/>
        <v>#DIV/0!</v>
      </c>
      <c r="L23" s="3">
        <v>0</v>
      </c>
      <c r="M23" s="6">
        <v>0</v>
      </c>
      <c r="N23" s="3">
        <f t="shared" si="22"/>
        <v>1257.3790322580644</v>
      </c>
      <c r="O23" s="3">
        <v>31183</v>
      </c>
      <c r="P23" s="6">
        <v>24.8</v>
      </c>
      <c r="Q23" s="3" t="e">
        <f t="shared" si="23"/>
        <v>#DIV/0!</v>
      </c>
      <c r="R23" s="3">
        <v>0</v>
      </c>
      <c r="S23" s="6">
        <v>0</v>
      </c>
      <c r="T23" s="3">
        <f t="shared" si="24"/>
        <v>2074.4705882352941</v>
      </c>
      <c r="U23" s="3">
        <v>35266</v>
      </c>
      <c r="V23" s="6">
        <v>17</v>
      </c>
      <c r="W23" s="3" t="e">
        <f t="shared" si="25"/>
        <v>#DIV/0!</v>
      </c>
      <c r="X23" s="3">
        <v>0</v>
      </c>
      <c r="Y23" s="6">
        <v>0</v>
      </c>
      <c r="Z23" s="3">
        <f t="shared" si="26"/>
        <v>1312.1348314606741</v>
      </c>
      <c r="AA23" s="3">
        <v>23356</v>
      </c>
      <c r="AB23" s="6">
        <v>17.8</v>
      </c>
      <c r="AC23" s="3" t="e">
        <f t="shared" si="27"/>
        <v>#DIV/0!</v>
      </c>
      <c r="AD23" s="3">
        <v>0</v>
      </c>
      <c r="AE23" s="6">
        <v>0</v>
      </c>
      <c r="AF23" s="3">
        <f t="shared" si="28"/>
        <v>906.69421487603313</v>
      </c>
      <c r="AG23" s="3">
        <v>32913</v>
      </c>
      <c r="AH23" s="6">
        <v>36.299999999999997</v>
      </c>
      <c r="AI23" s="3">
        <f t="shared" si="29"/>
        <v>2762</v>
      </c>
      <c r="AJ23" s="3">
        <v>2762</v>
      </c>
      <c r="AK23" s="6">
        <v>1</v>
      </c>
      <c r="AL23" s="3" t="e">
        <f t="shared" si="30"/>
        <v>#DIV/0!</v>
      </c>
      <c r="AM23" s="3">
        <v>0</v>
      </c>
      <c r="AN23" s="6">
        <v>0</v>
      </c>
      <c r="AO23" s="3">
        <f t="shared" si="12"/>
        <v>1334.5545454545454</v>
      </c>
      <c r="AP23" s="3">
        <f t="shared" si="17"/>
        <v>146801</v>
      </c>
      <c r="AQ23" s="6">
        <f t="shared" si="18"/>
        <v>110</v>
      </c>
      <c r="AR23" s="3"/>
      <c r="AS23" s="3"/>
      <c r="AT23" s="3"/>
      <c r="AU23" s="3"/>
      <c r="AV23" s="3"/>
      <c r="AW23" s="3"/>
      <c r="AX23" s="3"/>
      <c r="AY23" s="3"/>
      <c r="AZ23" s="3"/>
      <c r="BA23" s="3"/>
      <c r="BB23" s="3"/>
      <c r="BC23" s="3"/>
      <c r="BD23" s="3"/>
      <c r="BE23" s="3"/>
      <c r="BF23" s="3"/>
      <c r="BG23" s="3"/>
      <c r="BH23" s="3"/>
      <c r="BI23" s="3"/>
      <c r="BJ23" s="3"/>
      <c r="BK23" s="3"/>
      <c r="BL23" s="3"/>
      <c r="BM23" s="3"/>
      <c r="BN23" s="3"/>
      <c r="BO23" s="3"/>
    </row>
    <row r="24" spans="1:67" x14ac:dyDescent="0.3">
      <c r="A24" s="7" t="s">
        <v>30</v>
      </c>
      <c r="B24" s="13"/>
      <c r="C24" s="13"/>
      <c r="D24" s="13"/>
      <c r="E24" s="3" t="e">
        <f t="shared" si="19"/>
        <v>#DIV/0!</v>
      </c>
      <c r="F24" s="3">
        <v>0</v>
      </c>
      <c r="G24" s="6">
        <v>0</v>
      </c>
      <c r="H24" s="3" t="e">
        <f t="shared" si="20"/>
        <v>#DIV/0!</v>
      </c>
      <c r="I24" s="3">
        <v>0</v>
      </c>
      <c r="J24" s="6">
        <v>0</v>
      </c>
      <c r="K24" s="3" t="e">
        <f t="shared" si="21"/>
        <v>#DIV/0!</v>
      </c>
      <c r="L24" s="3">
        <v>0</v>
      </c>
      <c r="M24" s="6">
        <v>0</v>
      </c>
      <c r="N24" s="3">
        <f t="shared" si="22"/>
        <v>1586.5079365079366</v>
      </c>
      <c r="O24" s="3">
        <v>19990</v>
      </c>
      <c r="P24" s="6">
        <v>12.6</v>
      </c>
      <c r="Q24" s="3">
        <f t="shared" si="23"/>
        <v>1965.6756756756758</v>
      </c>
      <c r="R24" s="3">
        <v>21819</v>
      </c>
      <c r="S24" s="6">
        <v>11.1</v>
      </c>
      <c r="T24" s="3">
        <f t="shared" si="24"/>
        <v>1943.6974789915967</v>
      </c>
      <c r="U24" s="3">
        <v>23130</v>
      </c>
      <c r="V24" s="6">
        <v>11.9</v>
      </c>
      <c r="W24" s="3">
        <f t="shared" si="25"/>
        <v>1695.2071005917162</v>
      </c>
      <c r="X24" s="3">
        <v>28649</v>
      </c>
      <c r="Y24" s="6">
        <v>16.899999999999999</v>
      </c>
      <c r="Z24" s="3">
        <f t="shared" si="26"/>
        <v>1864.3125</v>
      </c>
      <c r="AA24" s="3">
        <v>29829</v>
      </c>
      <c r="AB24" s="6">
        <v>16</v>
      </c>
      <c r="AC24" s="3">
        <f t="shared" si="27"/>
        <v>1631.4728682170542</v>
      </c>
      <c r="AD24" s="3">
        <v>21046</v>
      </c>
      <c r="AE24" s="6">
        <v>12.9</v>
      </c>
      <c r="AF24" s="3">
        <f t="shared" si="28"/>
        <v>1648.421052631579</v>
      </c>
      <c r="AG24" s="3">
        <v>3132</v>
      </c>
      <c r="AH24" s="6">
        <v>1.9</v>
      </c>
      <c r="AI24" s="3" t="e">
        <f t="shared" si="29"/>
        <v>#DIV/0!</v>
      </c>
      <c r="AJ24" s="3">
        <v>0</v>
      </c>
      <c r="AK24" s="6">
        <v>0</v>
      </c>
      <c r="AL24" s="3" t="e">
        <f t="shared" si="30"/>
        <v>#DIV/0!</v>
      </c>
      <c r="AM24" s="3">
        <v>0</v>
      </c>
      <c r="AN24" s="6">
        <v>0</v>
      </c>
      <c r="AO24" s="3">
        <f t="shared" si="12"/>
        <v>1771.8487394957981</v>
      </c>
      <c r="AP24" s="3">
        <f t="shared" si="17"/>
        <v>147595</v>
      </c>
      <c r="AQ24" s="6">
        <f t="shared" si="18"/>
        <v>83.300000000000011</v>
      </c>
      <c r="AR24" s="3"/>
      <c r="AS24" s="3"/>
      <c r="AT24" s="3"/>
      <c r="AU24" s="3"/>
      <c r="AV24" s="3"/>
      <c r="AW24" s="3"/>
      <c r="AX24" s="3"/>
      <c r="AY24" s="3"/>
      <c r="AZ24" s="3"/>
      <c r="BA24" s="3"/>
      <c r="BB24" s="3"/>
      <c r="BC24" s="3"/>
      <c r="BD24" s="3"/>
      <c r="BE24" s="3"/>
      <c r="BF24" s="3"/>
      <c r="BG24" s="3"/>
      <c r="BH24" s="3"/>
      <c r="BI24" s="3"/>
      <c r="BJ24" s="3"/>
      <c r="BK24" s="3"/>
      <c r="BL24" s="3"/>
      <c r="BM24" s="3"/>
      <c r="BN24" s="3"/>
      <c r="BO24" s="3"/>
    </row>
    <row r="25" spans="1:67" x14ac:dyDescent="0.3">
      <c r="A25" s="7" t="s">
        <v>22</v>
      </c>
      <c r="B25" s="13"/>
      <c r="C25" s="13"/>
      <c r="D25" s="13"/>
      <c r="E25" s="3" t="e">
        <f t="shared" si="19"/>
        <v>#DIV/0!</v>
      </c>
      <c r="F25" s="3">
        <v>0</v>
      </c>
      <c r="G25" s="6">
        <v>0</v>
      </c>
      <c r="H25" s="3" t="e">
        <f t="shared" si="20"/>
        <v>#DIV/0!</v>
      </c>
      <c r="I25" s="3">
        <v>0</v>
      </c>
      <c r="J25" s="6">
        <v>0</v>
      </c>
      <c r="K25" s="3">
        <f t="shared" si="21"/>
        <v>1809.1370558375636</v>
      </c>
      <c r="L25" s="3">
        <v>35640</v>
      </c>
      <c r="M25" s="6">
        <v>19.7</v>
      </c>
      <c r="N25" s="3" t="e">
        <f t="shared" si="22"/>
        <v>#DIV/0!</v>
      </c>
      <c r="O25" s="3">
        <v>0</v>
      </c>
      <c r="P25" s="6">
        <v>0</v>
      </c>
      <c r="Q25" s="3" t="e">
        <f t="shared" si="23"/>
        <v>#DIV/0!</v>
      </c>
      <c r="R25" s="3">
        <v>0</v>
      </c>
      <c r="S25" s="6">
        <v>0</v>
      </c>
      <c r="T25" s="3" t="e">
        <f t="shared" si="24"/>
        <v>#DIV/0!</v>
      </c>
      <c r="U25" s="3">
        <v>0</v>
      </c>
      <c r="V25" s="6">
        <v>0</v>
      </c>
      <c r="W25" s="3" t="e">
        <f t="shared" si="25"/>
        <v>#DIV/0!</v>
      </c>
      <c r="X25" s="3">
        <v>0</v>
      </c>
      <c r="Y25" s="6">
        <v>0</v>
      </c>
      <c r="Z25" s="3" t="e">
        <f t="shared" si="26"/>
        <v>#DIV/0!</v>
      </c>
      <c r="AA25" s="3">
        <v>0</v>
      </c>
      <c r="AB25" s="6">
        <v>0</v>
      </c>
      <c r="AC25" s="3">
        <f t="shared" si="27"/>
        <v>2283.6842105263158</v>
      </c>
      <c r="AD25" s="3">
        <v>4339</v>
      </c>
      <c r="AE25" s="6">
        <v>1.9</v>
      </c>
      <c r="AF25" s="3" t="e">
        <f t="shared" si="28"/>
        <v>#DIV/0!</v>
      </c>
      <c r="AG25" s="3">
        <v>0</v>
      </c>
      <c r="AH25" s="6">
        <v>0</v>
      </c>
      <c r="AI25" s="3" t="e">
        <f t="shared" si="29"/>
        <v>#DIV/0!</v>
      </c>
      <c r="AJ25" s="3">
        <v>0</v>
      </c>
      <c r="AK25" s="6">
        <v>0</v>
      </c>
      <c r="AL25" s="3" t="e">
        <f t="shared" si="30"/>
        <v>#DIV/0!</v>
      </c>
      <c r="AM25" s="3">
        <v>0</v>
      </c>
      <c r="AN25" s="6">
        <v>0</v>
      </c>
      <c r="AO25" s="3">
        <f t="shared" si="12"/>
        <v>1850.8796296296298</v>
      </c>
      <c r="AP25" s="3">
        <f t="shared" si="17"/>
        <v>39979</v>
      </c>
      <c r="AQ25" s="6">
        <f t="shared" si="18"/>
        <v>21.599999999999998</v>
      </c>
      <c r="AR25" s="3"/>
      <c r="AS25" s="3"/>
      <c r="AT25" s="3"/>
      <c r="AU25" s="3"/>
      <c r="AV25" s="3"/>
      <c r="AW25" s="3"/>
      <c r="AX25" s="3"/>
      <c r="AY25" s="3"/>
      <c r="AZ25" s="3"/>
      <c r="BA25" s="3"/>
      <c r="BB25" s="3"/>
      <c r="BC25" s="3"/>
      <c r="BD25" s="3"/>
      <c r="BE25" s="3"/>
      <c r="BF25" s="3"/>
      <c r="BG25" s="3"/>
      <c r="BH25" s="3"/>
      <c r="BI25" s="3"/>
      <c r="BJ25" s="3"/>
      <c r="BK25" s="3"/>
      <c r="BL25" s="3"/>
      <c r="BM25" s="3"/>
      <c r="BN25" s="3"/>
      <c r="BO25" s="3"/>
    </row>
    <row r="26" spans="1:67" x14ac:dyDescent="0.3">
      <c r="A26" s="7" t="s">
        <v>21</v>
      </c>
      <c r="B26" s="13"/>
      <c r="C26" s="13"/>
      <c r="D26" s="13"/>
      <c r="E26" s="3" t="e">
        <f t="shared" si="19"/>
        <v>#DIV/0!</v>
      </c>
      <c r="F26" s="3">
        <v>0</v>
      </c>
      <c r="G26" s="6">
        <v>0</v>
      </c>
      <c r="H26" s="3">
        <f t="shared" si="20"/>
        <v>2140</v>
      </c>
      <c r="I26" s="3">
        <v>4708</v>
      </c>
      <c r="J26" s="6">
        <v>2.2000000000000002</v>
      </c>
      <c r="K26" s="3" t="e">
        <f t="shared" si="21"/>
        <v>#DIV/0!</v>
      </c>
      <c r="L26" s="3">
        <v>0</v>
      </c>
      <c r="M26" s="6">
        <v>0</v>
      </c>
      <c r="N26" s="3" t="e">
        <f t="shared" si="22"/>
        <v>#DIV/0!</v>
      </c>
      <c r="O26" s="3">
        <v>0</v>
      </c>
      <c r="P26" s="6">
        <v>0</v>
      </c>
      <c r="Q26" s="3" t="e">
        <f t="shared" si="23"/>
        <v>#DIV/0!</v>
      </c>
      <c r="R26" s="3">
        <v>0</v>
      </c>
      <c r="S26" s="6">
        <v>0</v>
      </c>
      <c r="T26" s="3">
        <f t="shared" si="24"/>
        <v>5308.75</v>
      </c>
      <c r="U26" s="3">
        <v>8494</v>
      </c>
      <c r="V26" s="6">
        <v>1.6</v>
      </c>
      <c r="W26" s="3" t="e">
        <f t="shared" si="25"/>
        <v>#DIV/0!</v>
      </c>
      <c r="X26" s="3">
        <v>0</v>
      </c>
      <c r="Y26" s="6">
        <v>0</v>
      </c>
      <c r="Z26" s="3" t="e">
        <f t="shared" si="26"/>
        <v>#DIV/0!</v>
      </c>
      <c r="AA26" s="3">
        <v>0</v>
      </c>
      <c r="AB26" s="6">
        <v>0</v>
      </c>
      <c r="AC26" s="3" t="e">
        <f t="shared" si="27"/>
        <v>#DIV/0!</v>
      </c>
      <c r="AD26" s="3">
        <v>0</v>
      </c>
      <c r="AE26" s="6">
        <v>0</v>
      </c>
      <c r="AF26" s="3" t="e">
        <f t="shared" si="28"/>
        <v>#DIV/0!</v>
      </c>
      <c r="AG26" s="3">
        <v>0</v>
      </c>
      <c r="AH26" s="6">
        <v>0</v>
      </c>
      <c r="AI26" s="3" t="e">
        <f t="shared" si="29"/>
        <v>#DIV/0!</v>
      </c>
      <c r="AJ26" s="3">
        <v>0</v>
      </c>
      <c r="AK26" s="6">
        <v>0</v>
      </c>
      <c r="AL26" s="3" t="e">
        <f t="shared" si="30"/>
        <v>#DIV/0!</v>
      </c>
      <c r="AM26" s="3">
        <v>0</v>
      </c>
      <c r="AN26" s="6">
        <v>0</v>
      </c>
      <c r="AO26" s="3">
        <f t="shared" si="12"/>
        <v>3474.2105263157891</v>
      </c>
      <c r="AP26" s="3">
        <f t="shared" si="17"/>
        <v>13202</v>
      </c>
      <c r="AQ26" s="6">
        <f t="shared" si="18"/>
        <v>3.8000000000000003</v>
      </c>
      <c r="AR26" s="3"/>
      <c r="AS26" s="3"/>
      <c r="AT26" s="3"/>
      <c r="AU26" s="3"/>
      <c r="AV26" s="3"/>
      <c r="AW26" s="3"/>
      <c r="AX26" s="3"/>
      <c r="AY26" s="3"/>
      <c r="AZ26" s="3"/>
      <c r="BA26" s="3"/>
      <c r="BB26" s="3"/>
      <c r="BC26" s="3"/>
      <c r="BD26" s="3"/>
      <c r="BE26" s="3"/>
      <c r="BF26" s="3"/>
      <c r="BG26" s="3"/>
      <c r="BH26" s="3"/>
      <c r="BI26" s="3"/>
      <c r="BJ26" s="3"/>
      <c r="BK26" s="3"/>
      <c r="BL26" s="3"/>
      <c r="BM26" s="3"/>
      <c r="BN26" s="3"/>
      <c r="BO26" s="3"/>
    </row>
    <row r="27" spans="1:67" x14ac:dyDescent="0.3">
      <c r="A27" s="7" t="s">
        <v>44</v>
      </c>
      <c r="B27" s="13"/>
      <c r="C27" s="13"/>
      <c r="D27" s="13"/>
      <c r="E27" s="3">
        <f t="shared" si="19"/>
        <v>939.02173913043487</v>
      </c>
      <c r="F27" s="3">
        <v>17278</v>
      </c>
      <c r="G27" s="6">
        <v>18.399999999999999</v>
      </c>
      <c r="H27" s="3">
        <f t="shared" si="20"/>
        <v>1133.6363636363635</v>
      </c>
      <c r="I27" s="3">
        <v>39904</v>
      </c>
      <c r="J27" s="6">
        <v>35.200000000000003</v>
      </c>
      <c r="K27" s="3">
        <f t="shared" si="21"/>
        <v>1500</v>
      </c>
      <c r="L27" s="3">
        <v>30000</v>
      </c>
      <c r="M27" s="6">
        <v>20</v>
      </c>
      <c r="N27" s="3" t="e">
        <f t="shared" si="22"/>
        <v>#DIV/0!</v>
      </c>
      <c r="O27" s="3">
        <v>0</v>
      </c>
      <c r="P27" s="6">
        <v>0</v>
      </c>
      <c r="Q27" s="3" t="e">
        <f t="shared" si="23"/>
        <v>#DIV/0!</v>
      </c>
      <c r="R27" s="3">
        <v>0</v>
      </c>
      <c r="S27" s="6">
        <v>0</v>
      </c>
      <c r="T27" s="3" t="e">
        <f t="shared" si="24"/>
        <v>#DIV/0!</v>
      </c>
      <c r="U27" s="3">
        <v>0</v>
      </c>
      <c r="V27" s="6">
        <v>0</v>
      </c>
      <c r="W27" s="3" t="e">
        <f t="shared" si="25"/>
        <v>#DIV/0!</v>
      </c>
      <c r="X27" s="3">
        <v>0</v>
      </c>
      <c r="Y27" s="6">
        <v>0</v>
      </c>
      <c r="Z27" s="3" t="e">
        <f t="shared" si="26"/>
        <v>#DIV/0!</v>
      </c>
      <c r="AA27" s="3">
        <v>0</v>
      </c>
      <c r="AB27" s="6">
        <v>0</v>
      </c>
      <c r="AC27" s="3" t="e">
        <f t="shared" si="27"/>
        <v>#DIV/0!</v>
      </c>
      <c r="AD27" s="3">
        <v>0</v>
      </c>
      <c r="AE27" s="6">
        <v>0</v>
      </c>
      <c r="AF27" s="3" t="e">
        <f t="shared" si="28"/>
        <v>#DIV/0!</v>
      </c>
      <c r="AG27" s="3">
        <v>0</v>
      </c>
      <c r="AH27" s="6">
        <v>0</v>
      </c>
      <c r="AI27" s="3" t="e">
        <f t="shared" si="29"/>
        <v>#DIV/0!</v>
      </c>
      <c r="AJ27" s="3">
        <v>0</v>
      </c>
      <c r="AK27" s="6">
        <v>0</v>
      </c>
      <c r="AL27" s="3" t="e">
        <f t="shared" si="30"/>
        <v>#DIV/0!</v>
      </c>
      <c r="AM27" s="3">
        <v>0</v>
      </c>
      <c r="AN27" s="6">
        <v>0</v>
      </c>
      <c r="AO27" s="3">
        <f t="shared" si="12"/>
        <v>1184.538043478261</v>
      </c>
      <c r="AP27" s="3">
        <f t="shared" si="17"/>
        <v>87182</v>
      </c>
      <c r="AQ27" s="6">
        <f t="shared" si="18"/>
        <v>73.599999999999994</v>
      </c>
      <c r="AR27" s="3"/>
      <c r="AS27" s="3"/>
      <c r="AT27" s="3"/>
      <c r="AU27" s="3"/>
      <c r="AV27" s="3"/>
      <c r="AW27" s="3"/>
      <c r="AX27" s="3"/>
      <c r="AY27" s="3"/>
      <c r="AZ27" s="3"/>
      <c r="BA27" s="3"/>
      <c r="BB27" s="3"/>
      <c r="BC27" s="3"/>
      <c r="BD27" s="3"/>
      <c r="BE27" s="3"/>
      <c r="BF27" s="3"/>
      <c r="BG27" s="3"/>
      <c r="BH27" s="3"/>
      <c r="BI27" s="3"/>
      <c r="BJ27" s="3"/>
      <c r="BK27" s="3"/>
      <c r="BL27" s="3"/>
      <c r="BM27" s="3"/>
      <c r="BN27" s="3"/>
      <c r="BO27" s="3"/>
    </row>
    <row r="28" spans="1:67" x14ac:dyDescent="0.3">
      <c r="A28" s="7" t="s">
        <v>45</v>
      </c>
      <c r="B28" s="13"/>
      <c r="C28" s="13"/>
      <c r="D28" s="13"/>
      <c r="E28" s="3" t="e">
        <f t="shared" si="19"/>
        <v>#DIV/0!</v>
      </c>
      <c r="F28" s="3">
        <v>0</v>
      </c>
      <c r="G28" s="6">
        <v>0</v>
      </c>
      <c r="H28" s="3" t="e">
        <f t="shared" si="20"/>
        <v>#DIV/0!</v>
      </c>
      <c r="I28" s="3">
        <v>0</v>
      </c>
      <c r="J28" s="6">
        <v>0</v>
      </c>
      <c r="K28" s="3" t="e">
        <f t="shared" si="21"/>
        <v>#DIV/0!</v>
      </c>
      <c r="L28" s="3">
        <v>0</v>
      </c>
      <c r="M28" s="6">
        <v>0</v>
      </c>
      <c r="N28" s="3" t="e">
        <f t="shared" si="22"/>
        <v>#DIV/0!</v>
      </c>
      <c r="O28" s="3">
        <v>0</v>
      </c>
      <c r="P28" s="6">
        <v>0</v>
      </c>
      <c r="Q28" s="3" t="e">
        <f t="shared" si="23"/>
        <v>#DIV/0!</v>
      </c>
      <c r="R28" s="3">
        <v>0</v>
      </c>
      <c r="S28" s="6">
        <v>0</v>
      </c>
      <c r="T28" s="3" t="e">
        <f t="shared" si="24"/>
        <v>#DIV/0!</v>
      </c>
      <c r="U28" s="3">
        <v>0</v>
      </c>
      <c r="V28" s="6">
        <v>0</v>
      </c>
      <c r="W28" s="3" t="e">
        <f t="shared" si="25"/>
        <v>#DIV/0!</v>
      </c>
      <c r="X28" s="3">
        <v>0</v>
      </c>
      <c r="Y28" s="6">
        <v>0</v>
      </c>
      <c r="Z28" s="3">
        <f t="shared" si="26"/>
        <v>1454.7738693467338</v>
      </c>
      <c r="AA28" s="3">
        <v>28950</v>
      </c>
      <c r="AB28" s="6">
        <v>19.899999999999999</v>
      </c>
      <c r="AC28" s="3" t="e">
        <f t="shared" si="27"/>
        <v>#DIV/0!</v>
      </c>
      <c r="AD28" s="3">
        <v>0</v>
      </c>
      <c r="AE28" s="6">
        <v>0</v>
      </c>
      <c r="AF28" s="3" t="e">
        <f t="shared" si="28"/>
        <v>#DIV/0!</v>
      </c>
      <c r="AG28" s="3">
        <v>0</v>
      </c>
      <c r="AH28" s="6">
        <v>0</v>
      </c>
      <c r="AI28" s="3">
        <f t="shared" si="29"/>
        <v>1912.7485380116957</v>
      </c>
      <c r="AJ28" s="3">
        <v>32708</v>
      </c>
      <c r="AK28" s="6">
        <v>17.100000000000001</v>
      </c>
      <c r="AL28" s="3" t="e">
        <f t="shared" si="30"/>
        <v>#DIV/0!</v>
      </c>
      <c r="AM28" s="3">
        <v>0</v>
      </c>
      <c r="AN28" s="6">
        <v>0</v>
      </c>
      <c r="AO28" s="3">
        <f t="shared" si="12"/>
        <v>1666.4324324324325</v>
      </c>
      <c r="AP28" s="3">
        <f t="shared" si="17"/>
        <v>61658</v>
      </c>
      <c r="AQ28" s="6">
        <f t="shared" si="18"/>
        <v>37</v>
      </c>
      <c r="AR28" s="3"/>
      <c r="AS28" s="3"/>
      <c r="AT28" s="3"/>
      <c r="AU28" s="3"/>
      <c r="AV28" s="3"/>
      <c r="AW28" s="3"/>
      <c r="AX28" s="3"/>
      <c r="AY28" s="3"/>
      <c r="AZ28" s="3"/>
      <c r="BA28" s="3"/>
      <c r="BB28" s="3"/>
      <c r="BC28" s="3"/>
      <c r="BD28" s="3"/>
      <c r="BE28" s="3"/>
      <c r="BF28" s="3"/>
      <c r="BG28" s="3"/>
      <c r="BH28" s="3"/>
      <c r="BI28" s="3"/>
      <c r="BJ28" s="3"/>
      <c r="BK28" s="3"/>
      <c r="BL28" s="3"/>
      <c r="BM28" s="3"/>
      <c r="BN28" s="3"/>
      <c r="BO28" s="3"/>
    </row>
    <row r="29" spans="1:67" x14ac:dyDescent="0.3">
      <c r="A29" s="7" t="s">
        <v>53</v>
      </c>
      <c r="B29" s="13"/>
      <c r="C29" s="13"/>
      <c r="D29" s="13"/>
      <c r="E29" s="3" t="e">
        <f t="shared" si="19"/>
        <v>#DIV/0!</v>
      </c>
      <c r="F29" s="3">
        <v>0</v>
      </c>
      <c r="G29" s="6">
        <v>0</v>
      </c>
      <c r="H29" s="3" t="e">
        <f t="shared" si="20"/>
        <v>#DIV/0!</v>
      </c>
      <c r="I29" s="3">
        <v>0</v>
      </c>
      <c r="J29" s="6">
        <v>0</v>
      </c>
      <c r="K29" s="3" t="e">
        <f t="shared" si="21"/>
        <v>#DIV/0!</v>
      </c>
      <c r="L29" s="3">
        <v>0</v>
      </c>
      <c r="M29" s="6">
        <v>0</v>
      </c>
      <c r="N29" s="3" t="e">
        <f t="shared" si="22"/>
        <v>#DIV/0!</v>
      </c>
      <c r="O29" s="3">
        <v>0</v>
      </c>
      <c r="P29" s="6">
        <v>0</v>
      </c>
      <c r="Q29" s="3">
        <f t="shared" si="23"/>
        <v>2160</v>
      </c>
      <c r="R29" s="3">
        <v>3024</v>
      </c>
      <c r="S29" s="6">
        <v>1.4</v>
      </c>
      <c r="T29" s="3" t="e">
        <f t="shared" si="24"/>
        <v>#DIV/0!</v>
      </c>
      <c r="U29" s="3">
        <v>0</v>
      </c>
      <c r="V29" s="6">
        <v>0</v>
      </c>
      <c r="W29" s="3" t="e">
        <f t="shared" si="25"/>
        <v>#DIV/0!</v>
      </c>
      <c r="X29" s="3">
        <v>0</v>
      </c>
      <c r="Y29" s="6">
        <v>0</v>
      </c>
      <c r="Z29" s="3" t="e">
        <f t="shared" si="26"/>
        <v>#DIV/0!</v>
      </c>
      <c r="AA29" s="3">
        <v>0</v>
      </c>
      <c r="AB29" s="6">
        <v>0</v>
      </c>
      <c r="AC29" s="3" t="e">
        <f t="shared" si="27"/>
        <v>#DIV/0!</v>
      </c>
      <c r="AD29" s="3">
        <v>0</v>
      </c>
      <c r="AE29" s="6">
        <v>0</v>
      </c>
      <c r="AF29" s="3" t="e">
        <f t="shared" si="28"/>
        <v>#DIV/0!</v>
      </c>
      <c r="AG29" s="3">
        <v>0</v>
      </c>
      <c r="AH29" s="6">
        <v>0</v>
      </c>
      <c r="AI29" s="3" t="e">
        <f t="shared" si="29"/>
        <v>#DIV/0!</v>
      </c>
      <c r="AJ29" s="3">
        <v>0</v>
      </c>
      <c r="AK29" s="6">
        <v>0</v>
      </c>
      <c r="AL29" s="3" t="e">
        <f t="shared" si="30"/>
        <v>#DIV/0!</v>
      </c>
      <c r="AM29" s="3">
        <v>0</v>
      </c>
      <c r="AN29" s="6">
        <v>0</v>
      </c>
      <c r="AO29" s="3">
        <f t="shared" si="12"/>
        <v>2160</v>
      </c>
      <c r="AP29" s="3">
        <f t="shared" si="17"/>
        <v>3024</v>
      </c>
      <c r="AQ29" s="6">
        <f t="shared" si="18"/>
        <v>1.4</v>
      </c>
      <c r="AR29" s="3"/>
      <c r="AS29" s="3"/>
      <c r="AT29" s="3"/>
      <c r="AU29" s="3"/>
      <c r="AV29" s="3"/>
      <c r="AW29" s="3"/>
      <c r="AX29" s="3"/>
      <c r="AY29" s="3"/>
      <c r="AZ29" s="3"/>
      <c r="BA29" s="3"/>
      <c r="BB29" s="3"/>
      <c r="BC29" s="3"/>
      <c r="BD29" s="3"/>
      <c r="BE29" s="3"/>
      <c r="BF29" s="3"/>
      <c r="BG29" s="3"/>
      <c r="BH29" s="3"/>
      <c r="BI29" s="3"/>
      <c r="BJ29" s="3"/>
      <c r="BK29" s="3"/>
      <c r="BL29" s="3"/>
      <c r="BM29" s="3"/>
      <c r="BN29" s="3"/>
      <c r="BO29" s="3"/>
    </row>
    <row r="30" spans="1:67" x14ac:dyDescent="0.3">
      <c r="A30" s="7" t="s">
        <v>58</v>
      </c>
      <c r="B30" s="13"/>
      <c r="C30" s="13"/>
      <c r="D30" s="13"/>
      <c r="E30" s="3" t="e">
        <f t="shared" si="19"/>
        <v>#DIV/0!</v>
      </c>
      <c r="F30" s="3">
        <v>0</v>
      </c>
      <c r="G30" s="6">
        <v>0</v>
      </c>
      <c r="H30" s="3" t="e">
        <f t="shared" si="20"/>
        <v>#DIV/0!</v>
      </c>
      <c r="I30" s="3">
        <v>0</v>
      </c>
      <c r="J30" s="6">
        <v>0</v>
      </c>
      <c r="K30" s="3" t="e">
        <f t="shared" si="21"/>
        <v>#DIV/0!</v>
      </c>
      <c r="L30" s="3">
        <v>0</v>
      </c>
      <c r="M30" s="6">
        <v>0</v>
      </c>
      <c r="N30" s="3" t="e">
        <f t="shared" si="22"/>
        <v>#DIV/0!</v>
      </c>
      <c r="O30" s="3">
        <v>0</v>
      </c>
      <c r="P30" s="6">
        <v>0</v>
      </c>
      <c r="Q30" s="3" t="e">
        <f t="shared" si="23"/>
        <v>#DIV/0!</v>
      </c>
      <c r="R30" s="3">
        <v>0</v>
      </c>
      <c r="S30" s="6">
        <v>0</v>
      </c>
      <c r="T30" s="3" t="e">
        <f t="shared" si="24"/>
        <v>#DIV/0!</v>
      </c>
      <c r="U30" s="3">
        <v>0</v>
      </c>
      <c r="V30" s="6">
        <v>0</v>
      </c>
      <c r="W30" s="3" t="e">
        <f t="shared" si="25"/>
        <v>#DIV/0!</v>
      </c>
      <c r="X30" s="3">
        <v>0</v>
      </c>
      <c r="Y30" s="6">
        <v>0</v>
      </c>
      <c r="Z30" s="3" t="e">
        <f t="shared" si="26"/>
        <v>#DIV/0!</v>
      </c>
      <c r="AA30" s="3">
        <v>0</v>
      </c>
      <c r="AB30" s="6">
        <v>0</v>
      </c>
      <c r="AC30" s="3" t="e">
        <f t="shared" si="27"/>
        <v>#DIV/0!</v>
      </c>
      <c r="AD30" s="3">
        <v>0</v>
      </c>
      <c r="AE30" s="6">
        <v>0</v>
      </c>
      <c r="AF30" s="3">
        <f t="shared" si="28"/>
        <v>4261.666666666667</v>
      </c>
      <c r="AG30" s="3">
        <v>2557</v>
      </c>
      <c r="AH30" s="6">
        <v>0.6</v>
      </c>
      <c r="AI30" s="3" t="e">
        <f t="shared" si="29"/>
        <v>#DIV/0!</v>
      </c>
      <c r="AJ30" s="3">
        <v>0</v>
      </c>
      <c r="AK30" s="6">
        <v>0</v>
      </c>
      <c r="AL30" s="3" t="e">
        <f t="shared" si="30"/>
        <v>#DIV/0!</v>
      </c>
      <c r="AM30" s="3">
        <v>0</v>
      </c>
      <c r="AN30" s="6">
        <v>0</v>
      </c>
      <c r="AO30" s="3">
        <f t="shared" si="12"/>
        <v>4261.666666666667</v>
      </c>
      <c r="AP30" s="3">
        <f t="shared" si="17"/>
        <v>2557</v>
      </c>
      <c r="AQ30" s="6">
        <f t="shared" si="18"/>
        <v>0.6</v>
      </c>
      <c r="AR30" s="3"/>
      <c r="AS30" s="3"/>
      <c r="AT30" s="3"/>
      <c r="AU30" s="3"/>
      <c r="AV30" s="3"/>
      <c r="AW30" s="3"/>
      <c r="AX30" s="3"/>
      <c r="AY30" s="3"/>
      <c r="AZ30" s="3"/>
      <c r="BA30" s="3"/>
      <c r="BB30" s="3"/>
      <c r="BC30" s="3"/>
      <c r="BD30" s="3"/>
      <c r="BE30" s="3"/>
      <c r="BF30" s="3"/>
      <c r="BG30" s="3"/>
      <c r="BH30" s="3"/>
      <c r="BI30" s="3"/>
      <c r="BJ30" s="3"/>
      <c r="BK30" s="3"/>
      <c r="BL30" s="3"/>
      <c r="BM30" s="3"/>
      <c r="BN30" s="3"/>
      <c r="BO30" s="3"/>
    </row>
    <row r="31" spans="1:67" x14ac:dyDescent="0.3">
      <c r="A31" s="7" t="s">
        <v>54</v>
      </c>
      <c r="B31" s="13"/>
      <c r="C31" s="13"/>
      <c r="D31" s="13"/>
      <c r="E31" s="3" t="e">
        <f t="shared" si="19"/>
        <v>#DIV/0!</v>
      </c>
      <c r="F31" s="3">
        <v>0</v>
      </c>
      <c r="G31" s="6">
        <v>0</v>
      </c>
      <c r="H31" s="3">
        <f t="shared" si="20"/>
        <v>1483.0555555555554</v>
      </c>
      <c r="I31" s="3">
        <v>21356</v>
      </c>
      <c r="J31" s="6">
        <v>14.4</v>
      </c>
      <c r="K31" s="3" t="e">
        <f t="shared" si="21"/>
        <v>#DIV/0!</v>
      </c>
      <c r="L31" s="3">
        <v>0</v>
      </c>
      <c r="M31" s="6">
        <v>0</v>
      </c>
      <c r="N31" s="3" t="e">
        <f t="shared" si="22"/>
        <v>#DIV/0!</v>
      </c>
      <c r="O31" s="3">
        <v>0</v>
      </c>
      <c r="P31" s="6">
        <v>0</v>
      </c>
      <c r="Q31" s="3" t="e">
        <f t="shared" si="23"/>
        <v>#DIV/0!</v>
      </c>
      <c r="R31" s="3">
        <v>0</v>
      </c>
      <c r="S31" s="6">
        <v>0</v>
      </c>
      <c r="T31" s="3" t="e">
        <f t="shared" si="24"/>
        <v>#DIV/0!</v>
      </c>
      <c r="U31" s="3">
        <v>0</v>
      </c>
      <c r="V31" s="6">
        <v>0</v>
      </c>
      <c r="W31" s="3" t="e">
        <f t="shared" si="25"/>
        <v>#DIV/0!</v>
      </c>
      <c r="X31" s="3">
        <v>0</v>
      </c>
      <c r="Y31" s="6">
        <v>0</v>
      </c>
      <c r="Z31" s="3" t="e">
        <f t="shared" si="26"/>
        <v>#DIV/0!</v>
      </c>
      <c r="AA31" s="3">
        <v>0</v>
      </c>
      <c r="AB31" s="6">
        <v>0</v>
      </c>
      <c r="AC31" s="3" t="e">
        <f t="shared" si="27"/>
        <v>#DIV/0!</v>
      </c>
      <c r="AD31" s="3">
        <v>0</v>
      </c>
      <c r="AE31" s="6">
        <v>0</v>
      </c>
      <c r="AF31" s="3" t="e">
        <f t="shared" si="28"/>
        <v>#DIV/0!</v>
      </c>
      <c r="AG31" s="3">
        <v>0</v>
      </c>
      <c r="AH31" s="6">
        <v>0</v>
      </c>
      <c r="AI31" s="3" t="e">
        <f t="shared" si="29"/>
        <v>#DIV/0!</v>
      </c>
      <c r="AJ31" s="3">
        <v>0</v>
      </c>
      <c r="AK31" s="6">
        <v>0</v>
      </c>
      <c r="AL31" s="3" t="e">
        <f t="shared" si="30"/>
        <v>#DIV/0!</v>
      </c>
      <c r="AM31" s="3">
        <v>0</v>
      </c>
      <c r="AN31" s="6">
        <v>0</v>
      </c>
      <c r="AO31" s="3">
        <f t="shared" si="12"/>
        <v>1483.0555555555554</v>
      </c>
      <c r="AP31" s="3">
        <f t="shared" si="17"/>
        <v>21356</v>
      </c>
      <c r="AQ31" s="6">
        <f t="shared" si="18"/>
        <v>14.4</v>
      </c>
      <c r="AR31" s="3"/>
      <c r="AS31" s="3"/>
      <c r="AT31" s="3"/>
      <c r="AU31" s="3"/>
      <c r="AV31" s="3"/>
      <c r="AW31" s="3"/>
      <c r="AX31" s="3"/>
      <c r="AY31" s="3"/>
      <c r="AZ31" s="3"/>
      <c r="BA31" s="3"/>
      <c r="BB31" s="3"/>
      <c r="BC31" s="3"/>
      <c r="BD31" s="3"/>
      <c r="BE31" s="3"/>
      <c r="BF31" s="3"/>
      <c r="BG31" s="3"/>
      <c r="BH31" s="3"/>
      <c r="BI31" s="3"/>
      <c r="BJ31" s="3"/>
      <c r="BK31" s="3"/>
      <c r="BL31" s="3"/>
      <c r="BM31" s="3"/>
      <c r="BN31" s="3"/>
      <c r="BO31" s="3"/>
    </row>
    <row r="32" spans="1:67" x14ac:dyDescent="0.3">
      <c r="A32" s="7" t="s">
        <v>43</v>
      </c>
      <c r="B32" s="13"/>
      <c r="C32" s="13"/>
      <c r="D32" s="13"/>
      <c r="E32" s="3">
        <f t="shared" si="19"/>
        <v>1284.2696629213483</v>
      </c>
      <c r="F32" s="3">
        <v>57150</v>
      </c>
      <c r="G32" s="6">
        <v>44.5</v>
      </c>
      <c r="H32" s="3">
        <f t="shared" si="20"/>
        <v>1416.3652802893309</v>
      </c>
      <c r="I32" s="3">
        <v>156650</v>
      </c>
      <c r="J32" s="6">
        <v>110.6</v>
      </c>
      <c r="K32" s="3">
        <f t="shared" si="21"/>
        <v>1648.5403937542428</v>
      </c>
      <c r="L32" s="3">
        <v>242830</v>
      </c>
      <c r="M32" s="6">
        <v>147.30000000000001</v>
      </c>
      <c r="N32" s="3">
        <f t="shared" si="22"/>
        <v>1677.0334928229665</v>
      </c>
      <c r="O32" s="3">
        <v>35050</v>
      </c>
      <c r="P32" s="6">
        <v>20.9</v>
      </c>
      <c r="Q32" s="3" t="e">
        <f t="shared" si="23"/>
        <v>#DIV/0!</v>
      </c>
      <c r="R32" s="3">
        <v>0</v>
      </c>
      <c r="S32" s="6">
        <v>0</v>
      </c>
      <c r="T32" s="3" t="e">
        <f t="shared" si="24"/>
        <v>#DIV/0!</v>
      </c>
      <c r="U32" s="3">
        <v>0</v>
      </c>
      <c r="V32" s="6">
        <v>0</v>
      </c>
      <c r="W32" s="3" t="e">
        <f t="shared" si="25"/>
        <v>#DIV/0!</v>
      </c>
      <c r="X32" s="3">
        <v>0</v>
      </c>
      <c r="Y32" s="6">
        <v>0</v>
      </c>
      <c r="Z32" s="3" t="e">
        <f t="shared" si="26"/>
        <v>#DIV/0!</v>
      </c>
      <c r="AA32" s="3">
        <v>0</v>
      </c>
      <c r="AB32" s="6">
        <v>0</v>
      </c>
      <c r="AC32" s="3" t="e">
        <f t="shared" si="27"/>
        <v>#DIV/0!</v>
      </c>
      <c r="AD32" s="3">
        <v>0</v>
      </c>
      <c r="AE32" s="6">
        <v>0</v>
      </c>
      <c r="AF32" s="3" t="e">
        <f t="shared" si="28"/>
        <v>#DIV/0!</v>
      </c>
      <c r="AG32" s="3">
        <v>0</v>
      </c>
      <c r="AH32" s="6">
        <v>0</v>
      </c>
      <c r="AI32" s="3" t="e">
        <f t="shared" si="29"/>
        <v>#DIV/0!</v>
      </c>
      <c r="AJ32" s="3">
        <v>0</v>
      </c>
      <c r="AK32" s="6">
        <v>0</v>
      </c>
      <c r="AL32" s="3" t="e">
        <f t="shared" si="30"/>
        <v>#DIV/0!</v>
      </c>
      <c r="AM32" s="3">
        <v>0</v>
      </c>
      <c r="AN32" s="6">
        <v>0</v>
      </c>
      <c r="AO32" s="3">
        <f t="shared" si="12"/>
        <v>1520.816579028766</v>
      </c>
      <c r="AP32" s="3">
        <f t="shared" si="17"/>
        <v>491680</v>
      </c>
      <c r="AQ32" s="6">
        <f t="shared" si="18"/>
        <v>323.29999999999995</v>
      </c>
      <c r="AR32" s="3"/>
      <c r="AS32" s="3"/>
      <c r="AT32" s="3"/>
      <c r="AU32" s="3"/>
      <c r="AV32" s="3"/>
      <c r="AW32" s="3"/>
      <c r="AX32" s="3"/>
      <c r="AY32" s="3"/>
      <c r="AZ32" s="3"/>
      <c r="BA32" s="3"/>
      <c r="BB32" s="3"/>
      <c r="BC32" s="3"/>
      <c r="BD32" s="3"/>
      <c r="BE32" s="3"/>
      <c r="BF32" s="3"/>
      <c r="BG32" s="3"/>
      <c r="BH32" s="3"/>
      <c r="BI32" s="3"/>
      <c r="BJ32" s="3"/>
      <c r="BK32" s="3"/>
      <c r="BL32" s="3"/>
      <c r="BM32" s="3"/>
      <c r="BN32" s="3"/>
      <c r="BO32" s="3"/>
    </row>
    <row r="33" spans="1:67" x14ac:dyDescent="0.3">
      <c r="A33" s="7" t="s">
        <v>59</v>
      </c>
      <c r="B33" s="13"/>
      <c r="C33" s="13"/>
      <c r="D33" s="13"/>
      <c r="E33" s="3" t="e">
        <f t="shared" si="19"/>
        <v>#DIV/0!</v>
      </c>
      <c r="F33" s="3">
        <v>0</v>
      </c>
      <c r="G33" s="6">
        <v>0</v>
      </c>
      <c r="H33" s="3" t="e">
        <f t="shared" si="20"/>
        <v>#DIV/0!</v>
      </c>
      <c r="I33" s="3">
        <v>0</v>
      </c>
      <c r="J33" s="6">
        <v>0</v>
      </c>
      <c r="K33" s="3" t="e">
        <f t="shared" si="21"/>
        <v>#DIV/0!</v>
      </c>
      <c r="L33" s="3">
        <v>0</v>
      </c>
      <c r="M33" s="6">
        <v>0</v>
      </c>
      <c r="N33" s="3" t="e">
        <f t="shared" si="22"/>
        <v>#DIV/0!</v>
      </c>
      <c r="O33" s="3">
        <v>0</v>
      </c>
      <c r="P33" s="6">
        <v>0</v>
      </c>
      <c r="Q33" s="3" t="e">
        <f t="shared" si="23"/>
        <v>#DIV/0!</v>
      </c>
      <c r="R33" s="3">
        <v>0</v>
      </c>
      <c r="S33" s="6">
        <v>0</v>
      </c>
      <c r="T33" s="3" t="e">
        <f t="shared" si="24"/>
        <v>#DIV/0!</v>
      </c>
      <c r="U33" s="3">
        <v>0</v>
      </c>
      <c r="V33" s="6">
        <v>0</v>
      </c>
      <c r="W33" s="3" t="e">
        <f t="shared" si="25"/>
        <v>#DIV/0!</v>
      </c>
      <c r="X33" s="3">
        <v>0</v>
      </c>
      <c r="Y33" s="6">
        <v>0</v>
      </c>
      <c r="Z33" s="3" t="e">
        <f t="shared" si="26"/>
        <v>#DIV/0!</v>
      </c>
      <c r="AA33" s="3">
        <v>0</v>
      </c>
      <c r="AB33" s="6">
        <v>0</v>
      </c>
      <c r="AC33" s="3" t="e">
        <f t="shared" si="27"/>
        <v>#DIV/0!</v>
      </c>
      <c r="AD33" s="3">
        <v>0</v>
      </c>
      <c r="AE33" s="6">
        <v>0</v>
      </c>
      <c r="AF33" s="3" t="e">
        <f t="shared" si="28"/>
        <v>#DIV/0!</v>
      </c>
      <c r="AG33" s="3">
        <v>0</v>
      </c>
      <c r="AH33" s="6">
        <v>0</v>
      </c>
      <c r="AI33" s="3">
        <f t="shared" si="29"/>
        <v>3287.4358974358975</v>
      </c>
      <c r="AJ33" s="3">
        <v>12821</v>
      </c>
      <c r="AK33" s="6">
        <v>3.9</v>
      </c>
      <c r="AL33" s="3" t="e">
        <f t="shared" si="30"/>
        <v>#DIV/0!</v>
      </c>
      <c r="AM33" s="3">
        <v>0</v>
      </c>
      <c r="AN33" s="6">
        <v>0</v>
      </c>
      <c r="AO33" s="3">
        <f t="shared" si="12"/>
        <v>3287.4358974358975</v>
      </c>
      <c r="AP33" s="3">
        <f t="shared" si="17"/>
        <v>12821</v>
      </c>
      <c r="AQ33" s="6">
        <f t="shared" si="18"/>
        <v>3.9</v>
      </c>
      <c r="AR33" s="3"/>
      <c r="AS33" s="3"/>
      <c r="AT33" s="3"/>
      <c r="AU33" s="3"/>
      <c r="AV33" s="3"/>
      <c r="AW33" s="3"/>
      <c r="AX33" s="3"/>
      <c r="AY33" s="3"/>
      <c r="AZ33" s="3"/>
      <c r="BA33" s="3"/>
      <c r="BB33" s="3"/>
      <c r="BC33" s="3"/>
      <c r="BD33" s="3"/>
      <c r="BE33" s="3"/>
      <c r="BF33" s="3"/>
      <c r="BG33" s="3"/>
      <c r="BH33" s="3"/>
      <c r="BI33" s="3"/>
      <c r="BJ33" s="3"/>
      <c r="BK33" s="3"/>
      <c r="BL33" s="3"/>
      <c r="BM33" s="3"/>
      <c r="BN33" s="3"/>
      <c r="BO33" s="3"/>
    </row>
    <row r="34" spans="1:67" x14ac:dyDescent="0.3">
      <c r="A34" s="12" t="s">
        <v>55</v>
      </c>
      <c r="B34" s="14"/>
      <c r="C34" s="14"/>
      <c r="D34" s="14"/>
      <c r="E34" s="9">
        <f t="shared" si="19"/>
        <v>2083.3333333333335</v>
      </c>
      <c r="F34" s="10">
        <v>7500</v>
      </c>
      <c r="G34" s="11">
        <v>3.6</v>
      </c>
      <c r="H34" s="10" t="e">
        <f t="shared" si="20"/>
        <v>#DIV/0!</v>
      </c>
      <c r="I34" s="10">
        <v>0</v>
      </c>
      <c r="J34" s="11">
        <v>0</v>
      </c>
      <c r="K34" s="10" t="e">
        <f t="shared" si="21"/>
        <v>#DIV/0!</v>
      </c>
      <c r="L34" s="10">
        <v>0</v>
      </c>
      <c r="M34" s="11">
        <v>0</v>
      </c>
      <c r="N34" s="10" t="e">
        <f t="shared" si="22"/>
        <v>#DIV/0!</v>
      </c>
      <c r="O34" s="10">
        <v>0</v>
      </c>
      <c r="P34" s="11">
        <v>0</v>
      </c>
      <c r="Q34" s="10" t="e">
        <f t="shared" si="23"/>
        <v>#DIV/0!</v>
      </c>
      <c r="R34" s="10">
        <v>0</v>
      </c>
      <c r="S34" s="11">
        <v>0</v>
      </c>
      <c r="T34" s="10" t="e">
        <f t="shared" si="24"/>
        <v>#DIV/0!</v>
      </c>
      <c r="U34" s="10">
        <v>0</v>
      </c>
      <c r="V34" s="11">
        <v>0</v>
      </c>
      <c r="W34" s="10" t="e">
        <f t="shared" si="25"/>
        <v>#DIV/0!</v>
      </c>
      <c r="X34" s="10">
        <v>0</v>
      </c>
      <c r="Y34" s="11">
        <v>0</v>
      </c>
      <c r="Z34" s="10" t="e">
        <f t="shared" si="26"/>
        <v>#DIV/0!</v>
      </c>
      <c r="AA34" s="10">
        <v>0</v>
      </c>
      <c r="AB34" s="11">
        <v>0</v>
      </c>
      <c r="AC34" s="10" t="e">
        <f t="shared" si="27"/>
        <v>#DIV/0!</v>
      </c>
      <c r="AD34" s="10">
        <v>0</v>
      </c>
      <c r="AE34" s="11">
        <v>0</v>
      </c>
      <c r="AF34" s="10" t="e">
        <f t="shared" si="28"/>
        <v>#DIV/0!</v>
      </c>
      <c r="AG34" s="10">
        <v>0</v>
      </c>
      <c r="AH34" s="11">
        <v>0</v>
      </c>
      <c r="AI34" s="10" t="e">
        <f t="shared" si="29"/>
        <v>#DIV/0!</v>
      </c>
      <c r="AJ34" s="10">
        <v>0</v>
      </c>
      <c r="AK34" s="11">
        <v>0</v>
      </c>
      <c r="AL34" s="10" t="e">
        <f t="shared" si="30"/>
        <v>#DIV/0!</v>
      </c>
      <c r="AM34" s="10">
        <v>0</v>
      </c>
      <c r="AN34" s="11">
        <v>0</v>
      </c>
      <c r="AO34" s="10">
        <f t="shared" si="12"/>
        <v>2083.3333333333335</v>
      </c>
      <c r="AP34" s="10">
        <f t="shared" si="17"/>
        <v>7500</v>
      </c>
      <c r="AQ34" s="11">
        <f t="shared" si="18"/>
        <v>3.6</v>
      </c>
      <c r="AR34" s="3"/>
      <c r="AS34" s="3"/>
      <c r="AT34" s="3"/>
      <c r="AU34" s="3"/>
      <c r="AV34" s="3"/>
      <c r="AW34" s="3"/>
      <c r="AX34" s="3"/>
      <c r="AY34" s="3"/>
      <c r="AZ34" s="3"/>
      <c r="BA34" s="3"/>
      <c r="BB34" s="3"/>
      <c r="BC34" s="3"/>
      <c r="BD34" s="3"/>
      <c r="BE34" s="3"/>
      <c r="BF34" s="3"/>
      <c r="BG34" s="3"/>
      <c r="BH34" s="3"/>
      <c r="BI34" s="3"/>
      <c r="BJ34" s="3"/>
      <c r="BK34" s="3"/>
      <c r="BL34" s="3"/>
      <c r="BM34" s="3"/>
      <c r="BN34" s="3"/>
      <c r="BO34" s="3"/>
    </row>
    <row r="35" spans="1:67" x14ac:dyDescent="0.3">
      <c r="A35" s="1" t="s">
        <v>34</v>
      </c>
      <c r="B35" s="1"/>
    </row>
    <row r="36" spans="1:67" x14ac:dyDescent="0.3">
      <c r="A36" s="1" t="s">
        <v>48</v>
      </c>
      <c r="B36" s="1"/>
    </row>
    <row r="37" spans="1:67" x14ac:dyDescent="0.3">
      <c r="A37" s="1" t="s">
        <v>35</v>
      </c>
      <c r="B37" s="1"/>
    </row>
    <row r="38" spans="1:67" x14ac:dyDescent="0.3">
      <c r="A38" s="1" t="s">
        <v>36</v>
      </c>
      <c r="B38" s="1"/>
    </row>
    <row r="39" spans="1:67" x14ac:dyDescent="0.3">
      <c r="A39" s="1" t="s">
        <v>49</v>
      </c>
      <c r="B39" s="1"/>
    </row>
  </sheetData>
  <mergeCells count="16">
    <mergeCell ref="N1:P1"/>
    <mergeCell ref="Q1:S1"/>
    <mergeCell ref="T1:V1"/>
    <mergeCell ref="AL1:AN1"/>
    <mergeCell ref="AO1:AQ1"/>
    <mergeCell ref="W1:Y1"/>
    <mergeCell ref="Z1:AB1"/>
    <mergeCell ref="AC1:AE1"/>
    <mergeCell ref="AF1:AH1"/>
    <mergeCell ref="AI1:AK1"/>
    <mergeCell ref="B3:B34"/>
    <mergeCell ref="E1:G1"/>
    <mergeCell ref="H1:J1"/>
    <mergeCell ref="K1:M1"/>
    <mergeCell ref="C3:C34"/>
    <mergeCell ref="D3:D34"/>
  </mergeCells>
  <phoneticPr fontId="18"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2011년</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ds</dc:creator>
  <cp:lastModifiedBy>ds</cp:lastModifiedBy>
  <dcterms:created xsi:type="dcterms:W3CDTF">2026-06-15T09:24:56Z</dcterms:created>
  <dcterms:modified xsi:type="dcterms:W3CDTF">2026-08-07T07:33:42Z</dcterms:modified>
</cp:coreProperties>
</file>