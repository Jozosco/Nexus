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정제된 대두유 및 그 분획물(.4050)\"/>
    </mc:Choice>
  </mc:AlternateContent>
  <bookViews>
    <workbookView xWindow="0" yWindow="0" windowWidth="25125" windowHeight="11640"/>
  </bookViews>
  <sheets>
    <sheet name="2020년" sheetId="1" r:id="rId1"/>
  </sheets>
  <calcPr calcId="162913"/>
</workbook>
</file>

<file path=xl/calcChain.xml><?xml version="1.0" encoding="utf-8"?>
<calcChain xmlns="http://schemas.openxmlformats.org/spreadsheetml/2006/main">
  <c r="AQ59" i="1" l="1"/>
  <c r="AP59" i="1"/>
  <c r="AQ58" i="1"/>
  <c r="AP58" i="1"/>
  <c r="AQ57" i="1"/>
  <c r="AP57" i="1"/>
  <c r="AQ56" i="1"/>
  <c r="AP56" i="1"/>
  <c r="AQ55" i="1"/>
  <c r="AP55" i="1"/>
  <c r="AQ54" i="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Q4" i="1"/>
  <c r="AN3" i="1" l="1"/>
  <c r="AM3" i="1"/>
  <c r="AK3" i="1"/>
  <c r="AJ3" i="1"/>
  <c r="AH3" i="1"/>
  <c r="AG3" i="1"/>
  <c r="AB3" i="1"/>
  <c r="AA3" i="1"/>
  <c r="AE3" i="1"/>
  <c r="AD3" i="1"/>
  <c r="Y3" i="1"/>
  <c r="X3" i="1"/>
  <c r="V3" i="1"/>
  <c r="U3" i="1"/>
  <c r="S3" i="1"/>
  <c r="R3" i="1"/>
  <c r="P3" i="1"/>
  <c r="O3" i="1"/>
  <c r="M3" i="1"/>
  <c r="L3" i="1"/>
  <c r="J3" i="1"/>
  <c r="I3" i="1"/>
  <c r="G3" i="1"/>
  <c r="F3" i="1"/>
  <c r="AP4" i="1"/>
  <c r="AP3" i="1" l="1"/>
  <c r="AQ3" i="1"/>
  <c r="AL59" i="1"/>
  <c r="AL58" i="1"/>
  <c r="AL57" i="1"/>
  <c r="AL56" i="1"/>
  <c r="AL55" i="1"/>
  <c r="AL54" i="1"/>
  <c r="AL53" i="1"/>
  <c r="AL52" i="1"/>
  <c r="AL51" i="1"/>
  <c r="AL50" i="1"/>
  <c r="AL49" i="1"/>
  <c r="AL48" i="1"/>
  <c r="AL47" i="1"/>
  <c r="AL46" i="1"/>
  <c r="AL45" i="1"/>
  <c r="AI59" i="1"/>
  <c r="AI58" i="1"/>
  <c r="AI57" i="1"/>
  <c r="AI56" i="1"/>
  <c r="AI55" i="1"/>
  <c r="AI54" i="1"/>
  <c r="AI53" i="1"/>
  <c r="AI52" i="1"/>
  <c r="AI51" i="1"/>
  <c r="AI50" i="1"/>
  <c r="AI49" i="1"/>
  <c r="AI48" i="1"/>
  <c r="AI47" i="1"/>
  <c r="AI46" i="1"/>
  <c r="AI45" i="1"/>
  <c r="AF59" i="1"/>
  <c r="AF58" i="1"/>
  <c r="AF57" i="1"/>
  <c r="AF56" i="1"/>
  <c r="AF55" i="1"/>
  <c r="AF54" i="1"/>
  <c r="AF53" i="1"/>
  <c r="AF52" i="1"/>
  <c r="AF51" i="1"/>
  <c r="AF50" i="1"/>
  <c r="AF49" i="1"/>
  <c r="AF48" i="1"/>
  <c r="AF47" i="1"/>
  <c r="AF46" i="1"/>
  <c r="AF45" i="1"/>
  <c r="AC59" i="1"/>
  <c r="AC58" i="1"/>
  <c r="AC57" i="1"/>
  <c r="AC56" i="1"/>
  <c r="AC55" i="1"/>
  <c r="AC54" i="1"/>
  <c r="AC53" i="1"/>
  <c r="AC52" i="1"/>
  <c r="AC51" i="1"/>
  <c r="AC50" i="1"/>
  <c r="AC49" i="1"/>
  <c r="AC48" i="1"/>
  <c r="AC47" i="1"/>
  <c r="AC46" i="1"/>
  <c r="AC45" i="1"/>
  <c r="Z59" i="1"/>
  <c r="Z58" i="1"/>
  <c r="Z57" i="1"/>
  <c r="Z56" i="1"/>
  <c r="Z55" i="1"/>
  <c r="Z54" i="1"/>
  <c r="Z53" i="1"/>
  <c r="Z52" i="1"/>
  <c r="Z51" i="1"/>
  <c r="Z50" i="1"/>
  <c r="Z49" i="1"/>
  <c r="Z48" i="1"/>
  <c r="Z47" i="1"/>
  <c r="Z46" i="1"/>
  <c r="Z45" i="1"/>
  <c r="W59" i="1"/>
  <c r="W58" i="1"/>
  <c r="W57" i="1"/>
  <c r="W56" i="1"/>
  <c r="W55" i="1"/>
  <c r="W54" i="1"/>
  <c r="W53" i="1"/>
  <c r="W52" i="1"/>
  <c r="W51" i="1"/>
  <c r="W50" i="1"/>
  <c r="W49" i="1"/>
  <c r="W48" i="1"/>
  <c r="W47" i="1"/>
  <c r="W46" i="1"/>
  <c r="W45" i="1"/>
  <c r="T59" i="1"/>
  <c r="T58" i="1"/>
  <c r="T57" i="1"/>
  <c r="T56" i="1"/>
  <c r="T55" i="1"/>
  <c r="T54" i="1"/>
  <c r="T53" i="1"/>
  <c r="T52" i="1"/>
  <c r="T51" i="1"/>
  <c r="T50" i="1"/>
  <c r="T49" i="1"/>
  <c r="T48" i="1"/>
  <c r="T47" i="1"/>
  <c r="T46" i="1"/>
  <c r="T45" i="1"/>
  <c r="Q59" i="1"/>
  <c r="Q58" i="1"/>
  <c r="Q57" i="1"/>
  <c r="Q56" i="1"/>
  <c r="Q55" i="1"/>
  <c r="Q54" i="1"/>
  <c r="Q53" i="1"/>
  <c r="Q52" i="1"/>
  <c r="Q51" i="1"/>
  <c r="Q50" i="1"/>
  <c r="Q49" i="1"/>
  <c r="Q48" i="1"/>
  <c r="Q47" i="1"/>
  <c r="Q46" i="1"/>
  <c r="Q45" i="1"/>
  <c r="N59" i="1"/>
  <c r="N58" i="1"/>
  <c r="N57" i="1"/>
  <c r="N56" i="1"/>
  <c r="N55" i="1"/>
  <c r="N54" i="1"/>
  <c r="N53" i="1"/>
  <c r="N52" i="1"/>
  <c r="N51" i="1"/>
  <c r="N50" i="1"/>
  <c r="N49" i="1"/>
  <c r="N48" i="1"/>
  <c r="N47" i="1"/>
  <c r="N46" i="1"/>
  <c r="N45" i="1"/>
  <c r="K59" i="1"/>
  <c r="K58" i="1"/>
  <c r="K57" i="1"/>
  <c r="K56" i="1"/>
  <c r="K55" i="1"/>
  <c r="K54" i="1"/>
  <c r="K53" i="1"/>
  <c r="K52" i="1"/>
  <c r="K51" i="1"/>
  <c r="K50" i="1"/>
  <c r="K49" i="1"/>
  <c r="K48" i="1"/>
  <c r="K47" i="1"/>
  <c r="K46" i="1"/>
  <c r="K45" i="1"/>
  <c r="H59" i="1"/>
  <c r="H58" i="1"/>
  <c r="H57" i="1"/>
  <c r="H56" i="1"/>
  <c r="H55" i="1"/>
  <c r="H54" i="1"/>
  <c r="H53" i="1"/>
  <c r="H52" i="1"/>
  <c r="H51" i="1"/>
  <c r="H50" i="1"/>
  <c r="H49" i="1"/>
  <c r="H48" i="1"/>
  <c r="H47" i="1"/>
  <c r="H46" i="1"/>
  <c r="H45" i="1"/>
  <c r="E59" i="1"/>
  <c r="E58" i="1"/>
  <c r="E57" i="1"/>
  <c r="E56" i="1"/>
  <c r="E55" i="1"/>
  <c r="E54" i="1"/>
  <c r="E53" i="1"/>
  <c r="E52" i="1"/>
  <c r="E51" i="1"/>
  <c r="E50" i="1"/>
  <c r="E49" i="1"/>
  <c r="E48" i="1"/>
  <c r="E47" i="1"/>
  <c r="E46" i="1"/>
  <c r="E45" i="1"/>
  <c r="AO50" i="1" l="1"/>
  <c r="AO46" i="1"/>
  <c r="AO54" i="1"/>
  <c r="AO58" i="1"/>
  <c r="AO45" i="1"/>
  <c r="AO49" i="1"/>
  <c r="AO53" i="1"/>
  <c r="AO57" i="1"/>
  <c r="AO55" i="1"/>
  <c r="AO47" i="1"/>
  <c r="AO59" i="1"/>
  <c r="AO51" i="1"/>
  <c r="AO52" i="1"/>
  <c r="AO48" i="1"/>
  <c r="AO56" i="1"/>
  <c r="AC3" i="1"/>
  <c r="Q3" i="1"/>
  <c r="AL3" i="1"/>
  <c r="AF3" i="1"/>
  <c r="W3" i="1"/>
  <c r="T3" i="1"/>
  <c r="N3" i="1"/>
  <c r="K3" i="1"/>
  <c r="H3" i="1"/>
  <c r="N43"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I3" i="1" l="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<sst xmlns="http://schemas.openxmlformats.org/spreadsheetml/2006/main" count="122" uniqueCount="86">
  <si>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</si>
  <si>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</si>
  <si>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</si>
  <si>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</si>
  <si>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</si>
  <si>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</si>
  <si>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</si>
  <si>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</si>
  <si>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</si>
  <si>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</si>
  <si>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</si>
  <si>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</si>
  <si>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</si>
  <si>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</si>
  <si>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</si>
  <si>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</si>
  <si>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</si>
  <si>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</si>
  <si>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</si>
  <si>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Canada</t>
  </si>
  <si>
    <t>Colombia</t>
  </si>
  <si>
    <t>Dominican Republic</t>
  </si>
  <si>
    <t>Korea, South</t>
  </si>
  <si>
    <t>Jamaica</t>
  </si>
  <si>
    <t>Mexico</t>
  </si>
  <si>
    <t>United Arab Emirates</t>
  </si>
  <si>
    <t>Barbados</t>
  </si>
  <si>
    <t>Bahamas, The</t>
  </si>
  <si>
    <t>Belize</t>
  </si>
  <si>
    <t>China</t>
  </si>
  <si>
    <t>El Salvador</t>
  </si>
  <si>
    <t>Guatemala</t>
  </si>
  <si>
    <t>Honduras</t>
  </si>
  <si>
    <t>Japan</t>
  </si>
  <si>
    <t>Nicaragua</t>
  </si>
  <si>
    <t>Panama</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</si>
  <si>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</si>
  <si>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</si>
  <si>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</si>
  <si>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</si>
  <si>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</si>
  <si>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</si>
  <si>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</si>
  <si>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</si>
  <si>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</si>
  <si>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</si>
  <si>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</si>
  <si>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</si>
  <si>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Hong Kong</t>
  </si>
  <si>
    <t>Jordan</t>
  </si>
  <si>
    <t>Netherlands Antilles(*)</t>
  </si>
  <si>
    <t>Singapore</t>
  </si>
  <si>
    <t>Saudi Arabia</t>
  </si>
  <si>
    <t>Kuwait</t>
  </si>
  <si>
    <t>Chile</t>
  </si>
  <si>
    <t>Lebanon</t>
  </si>
  <si>
    <t>Qatar</t>
  </si>
  <si>
    <t>India</t>
  </si>
  <si>
    <t>Cayman Islands</t>
  </si>
  <si>
    <t>Bermuda</t>
  </si>
  <si>
    <t>Brazil</t>
  </si>
  <si>
    <t>Brunei</t>
  </si>
  <si>
    <t>Equatorial Guinea</t>
  </si>
  <si>
    <t>Iceland</t>
  </si>
  <si>
    <t>Indonesia</t>
  </si>
  <si>
    <t>Russia</t>
  </si>
  <si>
    <t>United Kingdom</t>
  </si>
  <si>
    <t>1. Data Source: U.S. Census Bureau Trade Data</t>
  </si>
  <si>
    <t>4. Product Group : Harmonized</t>
  </si>
  <si>
    <t>Product</t>
    <phoneticPr fontId="18" type="noConversion"/>
  </si>
  <si>
    <t>Israel(*)</t>
  </si>
  <si>
    <t>Spain</t>
  </si>
  <si>
    <t>Haiti</t>
  </si>
  <si>
    <t>SOY OIL FLY-RFND</t>
    <phoneticPr fontId="18" type="noConversion"/>
  </si>
  <si>
    <t>Niger</t>
  </si>
  <si>
    <t>Switzerland(*)</t>
  </si>
  <si>
    <t>Congo (Kinshasa)</t>
  </si>
  <si>
    <t>Oman</t>
  </si>
  <si>
    <t>Ecuador</t>
  </si>
  <si>
    <t>Hungary</t>
  </si>
  <si>
    <t>Turks and Caicos Islands</t>
  </si>
  <si>
    <t>Timor-Leste</t>
  </si>
  <si>
    <t>Sierra Leone</t>
  </si>
  <si>
    <t>Afghanistan</t>
  </si>
  <si>
    <t>Germany</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</si>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</sst>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21" xfId="0" applyBorder="1">
      <alignment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0" fontId="0" fillId="0" borderId="0" xfId="0" applyBorder="1">
      <alignment vertical="center"/>
    </xf>
    <xf numFmtId="49" fontId="0" fillId="0" borderId="0" xfId="0" applyNumberFormat="1" applyBorder="1">
      <alignment vertical="center"/>
    </xf>
    <xf numFmtId="49" fontId="0" fillId="0" borderId="23" xfId="0" applyNumberFormat="1" applyBorder="1">
      <alignment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64"/>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8" t="s">
        <v>0</v>
      </c>
      <c r="F1" s="29"/>
      <c r="G1" s="30"/>
      <c r="H1" s="25" t="s">
        <v>1</v>
      </c>
      <c r="I1" s="26"/>
      <c r="J1" s="27"/>
      <c r="K1" s="25" t="s">
        <v>2</v>
      </c>
      <c r="L1" s="26"/>
      <c r="M1" s="27"/>
      <c r="N1" s="25" t="s">
        <v>3</v>
      </c>
      <c r="O1" s="26"/>
      <c r="P1" s="27"/>
      <c r="Q1" s="25" t="s">
        <v>4</v>
      </c>
      <c r="R1" s="26"/>
      <c r="S1" s="27"/>
      <c r="T1" s="25" t="s">
        <v>5</v>
      </c>
      <c r="U1" s="26"/>
      <c r="V1" s="27"/>
      <c r="W1" s="25" t="s">
        <v>6</v>
      </c>
      <c r="X1" s="26"/>
      <c r="Y1" s="27"/>
      <c r="Z1" s="25" t="s">
        <v>7</v>
      </c>
      <c r="AA1" s="26"/>
      <c r="AB1" s="27"/>
      <c r="AC1" s="25" t="s">
        <v>8</v>
      </c>
      <c r="AD1" s="26"/>
      <c r="AE1" s="27"/>
      <c r="AF1" s="25" t="s">
        <v>9</v>
      </c>
      <c r="AG1" s="26"/>
      <c r="AH1" s="27"/>
      <c r="AI1" s="25" t="s">
        <v>10</v>
      </c>
      <c r="AJ1" s="26"/>
      <c r="AK1" s="27"/>
      <c r="AL1" s="25" t="s">
        <v>11</v>
      </c>
      <c r="AM1" s="26"/>
      <c r="AN1" s="27"/>
      <c r="AO1" s="25" t="s">
        <v>12</v>
      </c>
      <c r="AP1" s="26"/>
      <c r="AQ1" s="27"/>
    </row>
    <row r="2" spans="1:67" x14ac:dyDescent="0.3">
      <c r="A2" s="2" t="s">
        <v>42</v>
      </c>
      <c r="B2" s="2" t="s">
        <v>69</v>
      </c>
      <c r="C2" s="2" t="s">
        <v>13</v>
      </c>
      <c r="D2" s="2" t="s">
        <v>43</v>
      </c>
      <c r="E2" s="4" t="s">
        <v>14</v>
      </c>
      <c r="F2" s="2" t="s">
        <v>43</v>
      </c>
      <c r="G2" s="5" t="s">
        <v>15</v>
      </c>
      <c r="H2" s="2" t="s">
        <v>14</v>
      </c>
      <c r="I2" s="2" t="s">
        <v>43</v>
      </c>
      <c r="J2" s="5" t="s">
        <v>15</v>
      </c>
      <c r="K2" s="2" t="s">
        <v>14</v>
      </c>
      <c r="L2" s="2" t="s">
        <v>43</v>
      </c>
      <c r="M2" s="5" t="s">
        <v>15</v>
      </c>
      <c r="N2" s="2" t="s">
        <v>14</v>
      </c>
      <c r="O2" s="2" t="s">
        <v>43</v>
      </c>
      <c r="P2" s="5" t="s">
        <v>15</v>
      </c>
      <c r="Q2" s="2" t="s">
        <v>14</v>
      </c>
      <c r="R2" s="2" t="s">
        <v>43</v>
      </c>
      <c r="S2" s="5" t="s">
        <v>15</v>
      </c>
      <c r="T2" s="2" t="s">
        <v>14</v>
      </c>
      <c r="U2" s="2" t="s">
        <v>43</v>
      </c>
      <c r="V2" s="5" t="s">
        <v>15</v>
      </c>
      <c r="W2" s="2" t="s">
        <v>14</v>
      </c>
      <c r="X2" s="2" t="s">
        <v>43</v>
      </c>
      <c r="Y2" s="5" t="s">
        <v>15</v>
      </c>
      <c r="Z2" s="2" t="s">
        <v>14</v>
      </c>
      <c r="AA2" s="2" t="s">
        <v>43</v>
      </c>
      <c r="AB2" s="5" t="s">
        <v>15</v>
      </c>
      <c r="AC2" s="2" t="s">
        <v>14</v>
      </c>
      <c r="AD2" s="2" t="s">
        <v>43</v>
      </c>
      <c r="AE2" s="5" t="s">
        <v>15</v>
      </c>
      <c r="AF2" s="2" t="s">
        <v>14</v>
      </c>
      <c r="AG2" s="2" t="s">
        <v>43</v>
      </c>
      <c r="AH2" s="5" t="s">
        <v>15</v>
      </c>
      <c r="AI2" s="2" t="s">
        <v>14</v>
      </c>
      <c r="AJ2" s="2" t="s">
        <v>43</v>
      </c>
      <c r="AK2" s="5" t="s">
        <v>15</v>
      </c>
      <c r="AL2" s="2" t="s">
        <v>14</v>
      </c>
      <c r="AM2" s="2" t="s">
        <v>43</v>
      </c>
      <c r="AN2" s="5" t="s">
        <v>15</v>
      </c>
      <c r="AO2" s="2" t="s">
        <v>14</v>
      </c>
      <c r="AP2" s="2" t="s">
        <v>45</v>
      </c>
      <c r="AQ2" s="5" t="s">
        <v>15</v>
      </c>
    </row>
    <row r="3" spans="1:67" ht="15" customHeight="1" x14ac:dyDescent="0.3">
      <c r="A3" s="20" t="s">
        <v>16</v>
      </c>
      <c r="B3" s="22" t="s">
        <v>73</v>
      </c>
      <c r="C3" s="22" t="s">
        <v>17</v>
      </c>
      <c r="D3" s="22" t="s">
        <v>44</v>
      </c>
      <c r="E3" s="17">
        <f>F3/G3</f>
        <v>1004.0128322323606</v>
      </c>
      <c r="F3" s="17">
        <f>SUM(F4:F59)</f>
        <v>11642332</v>
      </c>
      <c r="G3" s="18">
        <f>SUM(G4:G59)</f>
        <v>11595.799999999994</v>
      </c>
      <c r="H3" s="17">
        <f>I3/J3</f>
        <v>952.12182641333254</v>
      </c>
      <c r="I3" s="17">
        <f>SUM(I4:I59)</f>
        <v>15499496</v>
      </c>
      <c r="J3" s="18">
        <f>SUM(J4:J59)</f>
        <v>16278.900000000001</v>
      </c>
      <c r="K3" s="17">
        <f>L3/M3</f>
        <v>954.90053091926302</v>
      </c>
      <c r="L3" s="17">
        <f>SUM(L4:L59)</f>
        <v>13723162</v>
      </c>
      <c r="M3" s="18">
        <f>SUM(M4:M59)</f>
        <v>14371.299999999996</v>
      </c>
      <c r="N3" s="17">
        <f>O3/P3</f>
        <v>1082.9873639160928</v>
      </c>
      <c r="O3" s="17">
        <f>SUM(O4:O59)</f>
        <v>13867220</v>
      </c>
      <c r="P3" s="18">
        <f>SUM(P4:P59)</f>
        <v>12804.599999999999</v>
      </c>
      <c r="Q3" s="17">
        <f>R3/S3</f>
        <v>1099.6513084261583</v>
      </c>
      <c r="R3" s="17">
        <f>SUM(R4:R59)</f>
        <v>16506206</v>
      </c>
      <c r="S3" s="18">
        <f>SUM(S4:S59)</f>
        <v>15010.399999999996</v>
      </c>
      <c r="T3" s="17">
        <f>U3/V3</f>
        <v>1116.5178842270393</v>
      </c>
      <c r="U3" s="17">
        <f>SUM(U4:U59)</f>
        <v>12882495</v>
      </c>
      <c r="V3" s="18">
        <f>SUM(V4:V59)</f>
        <v>11538.099999999999</v>
      </c>
      <c r="W3" s="17">
        <f>X3/Y3</f>
        <v>1035.6369771249938</v>
      </c>
      <c r="X3" s="17">
        <f>SUM(X4:X59)</f>
        <v>10435596</v>
      </c>
      <c r="Y3" s="18">
        <f>SUM(Y4:Y59)</f>
        <v>10076.5</v>
      </c>
      <c r="Z3" s="17">
        <f>AA3/AB3</f>
        <v>992.78489344779393</v>
      </c>
      <c r="AA3" s="17">
        <f>SUM(AA4:AA59)</f>
        <v>14479172</v>
      </c>
      <c r="AB3" s="18">
        <f>SUM(AB4:AB59)</f>
        <v>14584.399999999994</v>
      </c>
      <c r="AC3" s="17">
        <f>AD3/AE3</f>
        <v>988.61337815343336</v>
      </c>
      <c r="AD3" s="17">
        <f>SUM(AD4:AD59)</f>
        <v>12234486</v>
      </c>
      <c r="AE3" s="18">
        <f>SUM(AE4:AE59)</f>
        <v>12375.400000000001</v>
      </c>
      <c r="AF3" s="17">
        <f>AG3/AH3</f>
        <v>1002.9457452765613</v>
      </c>
      <c r="AG3" s="17">
        <f>SUM(AG4:AG59)</f>
        <v>19343614</v>
      </c>
      <c r="AH3" s="18">
        <f>SUM(AH4:AH59)</f>
        <v>19286.800000000017</v>
      </c>
      <c r="AI3" s="17">
        <f>AJ3/AK3</f>
        <v>1047.4974276259072</v>
      </c>
      <c r="AJ3" s="17">
        <f>SUM(AJ4:AJ59)</f>
        <v>15066784</v>
      </c>
      <c r="AK3" s="18">
        <f>SUM(AK4:AK59)</f>
        <v>14383.600000000002</v>
      </c>
      <c r="AL3" s="17">
        <f>AM3/AN3</f>
        <v>1057.021984840354</v>
      </c>
      <c r="AM3" s="17">
        <f>SUM(AM4:AM59)</f>
        <v>12606467</v>
      </c>
      <c r="AN3" s="18">
        <f>SUM(AN4:AN59)</f>
        <v>11926.400000000001</v>
      </c>
      <c r="AO3" s="17">
        <f>AP3/AQ3</f>
        <v>1024.6896162871838</v>
      </c>
      <c r="AP3" s="17">
        <f>SUM(AP4:AP59)</f>
        <v>168287030</v>
      </c>
      <c r="AQ3" s="18">
        <f>SUM(AQ4:AQ59)</f>
        <v>164232.19999999998</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21" t="s">
        <v>24</v>
      </c>
      <c r="B4" s="23"/>
      <c r="C4" s="23"/>
      <c r="D4" s="23"/>
      <c r="E4" s="3">
        <f t="shared" ref="E4:E11" si="0">F4/G4</f>
        <v>883.32250124453776</v>
      </c>
      <c r="F4" s="3">
        <v>6387835</v>
      </c>
      <c r="G4" s="6">
        <v>7231.6</v>
      </c>
      <c r="H4" s="3">
        <f t="shared" ref="H4:H11" si="1">I4/J4</f>
        <v>844.23866831004455</v>
      </c>
      <c r="I4" s="3">
        <v>6096163</v>
      </c>
      <c r="J4" s="6">
        <v>7220.9</v>
      </c>
      <c r="K4" s="3">
        <f t="shared" ref="K4:K11" si="2">L4/M4</f>
        <v>823.92078281647059</v>
      </c>
      <c r="L4" s="3">
        <v>6517131</v>
      </c>
      <c r="M4" s="6">
        <v>7909.9</v>
      </c>
      <c r="N4" s="3">
        <f t="shared" ref="N4:N11" si="3">O4/P4</f>
        <v>968.13473360655735</v>
      </c>
      <c r="O4" s="3">
        <v>7559196</v>
      </c>
      <c r="P4" s="6">
        <v>7808</v>
      </c>
      <c r="Q4" s="3">
        <f t="shared" ref="Q4:Q11" si="4">R4/S4</f>
        <v>1360.370321733421</v>
      </c>
      <c r="R4" s="3">
        <v>7251454</v>
      </c>
      <c r="S4" s="6">
        <v>5330.5</v>
      </c>
      <c r="T4" s="3">
        <f t="shared" ref="T4:T11" si="5">U4/V4</f>
        <v>1444.502928153121</v>
      </c>
      <c r="U4" s="3">
        <v>4045186</v>
      </c>
      <c r="V4" s="6">
        <v>2800.4</v>
      </c>
      <c r="W4" s="3">
        <f t="shared" ref="W4:W11" si="6">X4/Y4</f>
        <v>1126.9604351486109</v>
      </c>
      <c r="X4" s="3">
        <v>3480730</v>
      </c>
      <c r="Y4" s="6">
        <v>3088.6</v>
      </c>
      <c r="Z4" s="3">
        <f t="shared" ref="Z4:Z11" si="7">AA4/AB4</f>
        <v>1028.238327561364</v>
      </c>
      <c r="AA4" s="3">
        <v>4067608</v>
      </c>
      <c r="AB4" s="6">
        <v>3955.9</v>
      </c>
      <c r="AC4" s="3">
        <f t="shared" ref="AC4:AC11" si="8">AD4/AE4</f>
        <v>892.09005321326242</v>
      </c>
      <c r="AD4" s="3">
        <v>3269064</v>
      </c>
      <c r="AE4" s="6">
        <v>3664.5</v>
      </c>
      <c r="AF4" s="3">
        <f t="shared" ref="AF4:AF11" si="9">AG4/AH4</f>
        <v>887.49012458219386</v>
      </c>
      <c r="AG4" s="3">
        <v>4381095</v>
      </c>
      <c r="AH4" s="6">
        <v>4936.5</v>
      </c>
      <c r="AI4" s="3">
        <f t="shared" ref="AI4:AI11" si="10">AJ4/AK4</f>
        <v>878.31794425087105</v>
      </c>
      <c r="AJ4" s="3">
        <v>4033236</v>
      </c>
      <c r="AK4" s="6">
        <v>4592</v>
      </c>
      <c r="AL4" s="3">
        <f t="shared" ref="AL4:AL11" si="11">AM4/AN4</f>
        <v>924.43675018982537</v>
      </c>
      <c r="AM4" s="3">
        <v>6087416</v>
      </c>
      <c r="AN4" s="6">
        <v>6585</v>
      </c>
      <c r="AO4" s="3">
        <f t="shared" ref="AO4:AO59" si="12">AP4/AQ4</f>
        <v>970.09256216621259</v>
      </c>
      <c r="AP4" s="3">
        <f t="shared" ref="AP4" si="13">SUM(F4,I4,L4,O4,R4,U4,X4,AA4,AD4,AG4,AJ4,AM4)</f>
        <v>63176114</v>
      </c>
      <c r="AQ4" s="6">
        <f t="shared" ref="AQ4:AQ59" si="14">SUM(G4,J4,M4,P4,S4,V4,Y4,AB4,AE4,AH4,AK4,AN4)</f>
        <v>65123.8</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20" t="s">
        <v>19</v>
      </c>
      <c r="B5" s="23"/>
      <c r="C5" s="23"/>
      <c r="D5" s="23"/>
      <c r="E5" s="3">
        <f t="shared" si="0"/>
        <v>1202.673389080177</v>
      </c>
      <c r="F5" s="3">
        <v>1956028</v>
      </c>
      <c r="G5" s="6">
        <v>1626.4</v>
      </c>
      <c r="H5" s="3">
        <f t="shared" si="1"/>
        <v>1071.533083821764</v>
      </c>
      <c r="I5" s="3">
        <v>1517398</v>
      </c>
      <c r="J5" s="6">
        <v>1416.1</v>
      </c>
      <c r="K5" s="3">
        <f t="shared" si="2"/>
        <v>1156.5204276037257</v>
      </c>
      <c r="L5" s="3">
        <v>2185361</v>
      </c>
      <c r="M5" s="6">
        <v>1889.6</v>
      </c>
      <c r="N5" s="3">
        <f t="shared" si="3"/>
        <v>1155.6943663103752</v>
      </c>
      <c r="O5" s="3">
        <v>2876061</v>
      </c>
      <c r="P5" s="6">
        <v>2488.6</v>
      </c>
      <c r="Q5" s="3">
        <f t="shared" si="4"/>
        <v>1215.7092606804811</v>
      </c>
      <c r="R5" s="3">
        <v>1900883</v>
      </c>
      <c r="S5" s="6">
        <v>1563.6</v>
      </c>
      <c r="T5" s="3">
        <f t="shared" si="5"/>
        <v>1177.0352859046773</v>
      </c>
      <c r="U5" s="3">
        <v>3709309</v>
      </c>
      <c r="V5" s="6">
        <v>3151.4</v>
      </c>
      <c r="W5" s="3">
        <f t="shared" si="6"/>
        <v>1086.0121089101981</v>
      </c>
      <c r="X5" s="3">
        <v>3103171</v>
      </c>
      <c r="Y5" s="6">
        <v>2857.4</v>
      </c>
      <c r="Z5" s="3">
        <f t="shared" si="7"/>
        <v>968.79235029064762</v>
      </c>
      <c r="AA5" s="3">
        <v>5633140</v>
      </c>
      <c r="AB5" s="6">
        <v>5814.6</v>
      </c>
      <c r="AC5" s="3">
        <f t="shared" si="8"/>
        <v>973.21538146860303</v>
      </c>
      <c r="AD5" s="3">
        <v>6185465</v>
      </c>
      <c r="AE5" s="6">
        <v>6355.7</v>
      </c>
      <c r="AF5" s="3">
        <f t="shared" si="9"/>
        <v>1017.2535053028942</v>
      </c>
      <c r="AG5" s="3">
        <v>9054370</v>
      </c>
      <c r="AH5" s="6">
        <v>8900.7999999999993</v>
      </c>
      <c r="AI5" s="3">
        <f t="shared" si="10"/>
        <v>1152.2861238018454</v>
      </c>
      <c r="AJ5" s="3">
        <v>2572594</v>
      </c>
      <c r="AK5" s="6">
        <v>2232.6</v>
      </c>
      <c r="AL5" s="3">
        <f t="shared" si="11"/>
        <v>1337.828776902332</v>
      </c>
      <c r="AM5" s="3">
        <v>2529968</v>
      </c>
      <c r="AN5" s="6">
        <v>1891.1</v>
      </c>
      <c r="AO5" s="3">
        <f t="shared" si="12"/>
        <v>1075.5413445340514</v>
      </c>
      <c r="AP5" s="3">
        <f t="shared" ref="AP5:AP59" si="15">SUM(F5,I5,L5,O5,R5,U5,X5,AA5,AD5,AG5,AJ5,AM5)</f>
        <v>43223748</v>
      </c>
      <c r="AQ5" s="6">
        <f t="shared" si="14"/>
        <v>40187.899999999994</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20" t="s">
        <v>36</v>
      </c>
      <c r="B6" s="23"/>
      <c r="C6" s="23"/>
      <c r="D6" s="23"/>
      <c r="E6" s="3">
        <f t="shared" si="0"/>
        <v>1076.1421824509073</v>
      </c>
      <c r="F6" s="3">
        <v>432932</v>
      </c>
      <c r="G6" s="6">
        <v>402.3</v>
      </c>
      <c r="H6" s="3">
        <f t="shared" si="1"/>
        <v>1095.4279661016949</v>
      </c>
      <c r="I6" s="3">
        <v>517042</v>
      </c>
      <c r="J6" s="6">
        <v>472</v>
      </c>
      <c r="K6" s="3">
        <f t="shared" si="2"/>
        <v>1181.6582257801012</v>
      </c>
      <c r="L6" s="3">
        <v>723293</v>
      </c>
      <c r="M6" s="6">
        <v>612.1</v>
      </c>
      <c r="N6" s="3">
        <f t="shared" si="3"/>
        <v>1086.7732831608655</v>
      </c>
      <c r="O6" s="3">
        <v>462096</v>
      </c>
      <c r="P6" s="6">
        <v>425.2</v>
      </c>
      <c r="Q6" s="3">
        <f t="shared" si="4"/>
        <v>1044.059034572733</v>
      </c>
      <c r="R6" s="3">
        <v>640217</v>
      </c>
      <c r="S6" s="6">
        <v>613.20000000000005</v>
      </c>
      <c r="T6" s="3">
        <f t="shared" si="5"/>
        <v>1080.7935936656468</v>
      </c>
      <c r="U6" s="3">
        <v>600597</v>
      </c>
      <c r="V6" s="6">
        <v>555.70000000000005</v>
      </c>
      <c r="W6" s="3">
        <f t="shared" si="6"/>
        <v>1084.8793042243522</v>
      </c>
      <c r="X6" s="3">
        <v>611221</v>
      </c>
      <c r="Y6" s="6">
        <v>563.4</v>
      </c>
      <c r="Z6" s="3">
        <f t="shared" si="7"/>
        <v>1084.4584741241331</v>
      </c>
      <c r="AA6" s="3">
        <v>609791</v>
      </c>
      <c r="AB6" s="6">
        <v>562.29999999999995</v>
      </c>
      <c r="AC6" s="3">
        <f t="shared" si="8"/>
        <v>1056.642169728784</v>
      </c>
      <c r="AD6" s="3">
        <v>603871</v>
      </c>
      <c r="AE6" s="6">
        <v>571.5</v>
      </c>
      <c r="AF6" s="3">
        <f t="shared" si="9"/>
        <v>1072.0903172184514</v>
      </c>
      <c r="AG6" s="3">
        <v>773942</v>
      </c>
      <c r="AH6" s="6">
        <v>721.9</v>
      </c>
      <c r="AI6" s="3">
        <f t="shared" si="10"/>
        <v>1157.095886442642</v>
      </c>
      <c r="AJ6" s="3">
        <v>798859</v>
      </c>
      <c r="AK6" s="6">
        <v>690.4</v>
      </c>
      <c r="AL6" s="3">
        <f t="shared" si="11"/>
        <v>1303.5816028831302</v>
      </c>
      <c r="AM6" s="3">
        <v>759597</v>
      </c>
      <c r="AN6" s="6">
        <v>582.70000000000005</v>
      </c>
      <c r="AO6" s="3">
        <f t="shared" si="12"/>
        <v>1112.3271368877997</v>
      </c>
      <c r="AP6" s="3">
        <f t="shared" si="15"/>
        <v>7533458</v>
      </c>
      <c r="AQ6" s="6">
        <f t="shared" si="14"/>
        <v>6772.6999999999989</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20" t="s">
        <v>52</v>
      </c>
      <c r="B7" s="23"/>
      <c r="C7" s="23"/>
      <c r="D7" s="23"/>
      <c r="E7" s="3">
        <f t="shared" si="0"/>
        <v>1127.4839065661208</v>
      </c>
      <c r="F7" s="3">
        <v>613013</v>
      </c>
      <c r="G7" s="6">
        <v>543.70000000000005</v>
      </c>
      <c r="H7" s="3">
        <f t="shared" si="1"/>
        <v>1186.9733228717143</v>
      </c>
      <c r="I7" s="3">
        <v>605119</v>
      </c>
      <c r="J7" s="6">
        <v>509.8</v>
      </c>
      <c r="K7" s="3">
        <f t="shared" si="2"/>
        <v>1141.5158764680295</v>
      </c>
      <c r="L7" s="3">
        <v>524869</v>
      </c>
      <c r="M7" s="6">
        <v>459.8</v>
      </c>
      <c r="N7" s="3">
        <f t="shared" si="3"/>
        <v>1133.7895011752416</v>
      </c>
      <c r="O7" s="3">
        <v>434128</v>
      </c>
      <c r="P7" s="6">
        <v>382.9</v>
      </c>
      <c r="Q7" s="3">
        <f t="shared" si="4"/>
        <v>1164.7836349331235</v>
      </c>
      <c r="R7" s="3">
        <v>148044</v>
      </c>
      <c r="S7" s="6">
        <v>127.1</v>
      </c>
      <c r="T7" s="3">
        <f t="shared" si="5"/>
        <v>1163.3187772925764</v>
      </c>
      <c r="U7" s="3">
        <v>26640</v>
      </c>
      <c r="V7" s="6">
        <v>22.9</v>
      </c>
      <c r="W7" s="3">
        <f t="shared" si="6"/>
        <v>1163.3187772925764</v>
      </c>
      <c r="X7" s="3">
        <v>26640</v>
      </c>
      <c r="Y7" s="6">
        <v>22.9</v>
      </c>
      <c r="Z7" s="3">
        <f t="shared" si="7"/>
        <v>1136.6353736387532</v>
      </c>
      <c r="AA7" s="3">
        <v>302686</v>
      </c>
      <c r="AB7" s="6">
        <v>266.3</v>
      </c>
      <c r="AC7" s="3">
        <f t="shared" si="8"/>
        <v>1098.258837277242</v>
      </c>
      <c r="AD7" s="3">
        <v>375934</v>
      </c>
      <c r="AE7" s="6">
        <v>342.3</v>
      </c>
      <c r="AF7" s="3">
        <f t="shared" si="9"/>
        <v>1147.7072431836959</v>
      </c>
      <c r="AG7" s="3">
        <v>833465</v>
      </c>
      <c r="AH7" s="6">
        <v>726.2</v>
      </c>
      <c r="AI7" s="3">
        <f t="shared" si="10"/>
        <v>1149.0152071316204</v>
      </c>
      <c r="AJ7" s="3">
        <v>1095586</v>
      </c>
      <c r="AK7" s="6">
        <v>953.5</v>
      </c>
      <c r="AL7" s="3">
        <f t="shared" si="11"/>
        <v>1154.4295302013425</v>
      </c>
      <c r="AM7" s="3">
        <v>722442</v>
      </c>
      <c r="AN7" s="6">
        <v>625.79999999999995</v>
      </c>
      <c r="AO7" s="3">
        <f t="shared" si="12"/>
        <v>1145.562289292021</v>
      </c>
      <c r="AP7" s="3">
        <f t="shared" si="15"/>
        <v>5708566</v>
      </c>
      <c r="AQ7" s="6">
        <f t="shared" si="14"/>
        <v>4983.2000000000007</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20" t="s">
        <v>32</v>
      </c>
      <c r="B8" s="23"/>
      <c r="C8" s="23"/>
      <c r="D8" s="23"/>
      <c r="E8" s="3">
        <f t="shared" si="0"/>
        <v>1118.1236673773988</v>
      </c>
      <c r="F8" s="3">
        <v>52440</v>
      </c>
      <c r="G8" s="6">
        <v>46.9</v>
      </c>
      <c r="H8" s="3">
        <f t="shared" si="1"/>
        <v>997.62311067771816</v>
      </c>
      <c r="I8" s="3">
        <v>409225</v>
      </c>
      <c r="J8" s="6">
        <v>410.2</v>
      </c>
      <c r="K8" s="3">
        <f t="shared" si="2"/>
        <v>1010.6823216659283</v>
      </c>
      <c r="L8" s="3">
        <v>456222</v>
      </c>
      <c r="M8" s="6">
        <v>451.4</v>
      </c>
      <c r="N8" s="3">
        <f t="shared" si="3"/>
        <v>1143.2432432432431</v>
      </c>
      <c r="O8" s="3">
        <v>16920</v>
      </c>
      <c r="P8" s="6">
        <v>14.8</v>
      </c>
      <c r="Q8" s="3">
        <f t="shared" si="4"/>
        <v>977.73135669362091</v>
      </c>
      <c r="R8" s="3">
        <v>217643</v>
      </c>
      <c r="S8" s="6">
        <v>222.6</v>
      </c>
      <c r="T8" s="3">
        <f t="shared" si="5"/>
        <v>908.96463841987895</v>
      </c>
      <c r="U8" s="3">
        <v>285324</v>
      </c>
      <c r="V8" s="6">
        <v>313.89999999999998</v>
      </c>
      <c r="W8" s="3">
        <f t="shared" si="6"/>
        <v>898.96536796536793</v>
      </c>
      <c r="X8" s="3">
        <v>207661</v>
      </c>
      <c r="Y8" s="6">
        <v>231</v>
      </c>
      <c r="Z8" s="3">
        <f t="shared" si="7"/>
        <v>961.71069727154611</v>
      </c>
      <c r="AA8" s="3">
        <v>222059</v>
      </c>
      <c r="AB8" s="6">
        <v>230.9</v>
      </c>
      <c r="AC8" s="3">
        <f t="shared" si="8"/>
        <v>935.79976067012365</v>
      </c>
      <c r="AD8" s="3">
        <v>234605</v>
      </c>
      <c r="AE8" s="6">
        <v>250.7</v>
      </c>
      <c r="AF8" s="3">
        <f t="shared" si="9"/>
        <v>879.29290914530759</v>
      </c>
      <c r="AG8" s="3">
        <v>881667</v>
      </c>
      <c r="AH8" s="6">
        <v>1002.7</v>
      </c>
      <c r="AI8" s="3">
        <f t="shared" si="10"/>
        <v>1221.9708029197079</v>
      </c>
      <c r="AJ8" s="3">
        <v>100446</v>
      </c>
      <c r="AK8" s="6">
        <v>82.2</v>
      </c>
      <c r="AL8" s="3">
        <f t="shared" si="11"/>
        <v>868.22269539078161</v>
      </c>
      <c r="AM8" s="3">
        <v>693189</v>
      </c>
      <c r="AN8" s="6">
        <v>798.4</v>
      </c>
      <c r="AO8" s="3">
        <f t="shared" si="12"/>
        <v>931.38077273960118</v>
      </c>
      <c r="AP8" s="3">
        <f t="shared" si="15"/>
        <v>3777401</v>
      </c>
      <c r="AQ8" s="6">
        <f t="shared" si="14"/>
        <v>4055.6999999999994</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20" t="s">
        <v>25</v>
      </c>
      <c r="B9" s="23"/>
      <c r="C9" s="23"/>
      <c r="D9" s="23"/>
      <c r="E9" s="3">
        <f t="shared" si="0"/>
        <v>1129.014319014319</v>
      </c>
      <c r="F9" s="3">
        <v>339043</v>
      </c>
      <c r="G9" s="6">
        <v>300.3</v>
      </c>
      <c r="H9" s="3">
        <f t="shared" si="1"/>
        <v>1165.3451380552222</v>
      </c>
      <c r="I9" s="3">
        <v>388293</v>
      </c>
      <c r="J9" s="6">
        <v>333.2</v>
      </c>
      <c r="K9" s="3">
        <f t="shared" si="2"/>
        <v>1144.0136265097553</v>
      </c>
      <c r="L9" s="3">
        <v>369402</v>
      </c>
      <c r="M9" s="6">
        <v>322.89999999999998</v>
      </c>
      <c r="N9" s="3">
        <f t="shared" si="3"/>
        <v>1128.0525164113785</v>
      </c>
      <c r="O9" s="3">
        <v>103104</v>
      </c>
      <c r="P9" s="6">
        <v>91.4</v>
      </c>
      <c r="Q9" s="3">
        <f t="shared" si="4"/>
        <v>1131.2035010940917</v>
      </c>
      <c r="R9" s="3">
        <v>51696</v>
      </c>
      <c r="S9" s="6">
        <v>45.7</v>
      </c>
      <c r="T9" s="3">
        <f t="shared" si="5"/>
        <v>1124.0501792114696</v>
      </c>
      <c r="U9" s="3">
        <v>125444</v>
      </c>
      <c r="V9" s="6">
        <v>111.6</v>
      </c>
      <c r="W9" s="3">
        <f t="shared" si="6"/>
        <v>1122.8571428571429</v>
      </c>
      <c r="X9" s="3">
        <v>61308</v>
      </c>
      <c r="Y9" s="6">
        <v>54.6</v>
      </c>
      <c r="Z9" s="3">
        <f t="shared" si="7"/>
        <v>1111.9869983041267</v>
      </c>
      <c r="AA9" s="3">
        <v>393421</v>
      </c>
      <c r="AB9" s="6">
        <v>353.8</v>
      </c>
      <c r="AC9" s="3">
        <f t="shared" si="8"/>
        <v>1096.0776361529549</v>
      </c>
      <c r="AD9" s="3">
        <v>189183</v>
      </c>
      <c r="AE9" s="6">
        <v>172.6</v>
      </c>
      <c r="AF9" s="3">
        <f t="shared" si="9"/>
        <v>1119.6958737465068</v>
      </c>
      <c r="AG9" s="3">
        <v>681111</v>
      </c>
      <c r="AH9" s="6">
        <v>608.29999999999995</v>
      </c>
      <c r="AI9" s="3">
        <f t="shared" si="10"/>
        <v>1162.9321382842509</v>
      </c>
      <c r="AJ9" s="3">
        <v>454125</v>
      </c>
      <c r="AK9" s="6">
        <v>390.5</v>
      </c>
      <c r="AL9" s="3">
        <f t="shared" si="11"/>
        <v>1102.3910710452888</v>
      </c>
      <c r="AM9" s="3">
        <v>513604</v>
      </c>
      <c r="AN9" s="6">
        <v>465.9</v>
      </c>
      <c r="AO9" s="3">
        <f t="shared" si="12"/>
        <v>1128.8710471268612</v>
      </c>
      <c r="AP9" s="3">
        <f t="shared" si="15"/>
        <v>3669734</v>
      </c>
      <c r="AQ9" s="6">
        <f t="shared" si="14"/>
        <v>3250.7999999999997</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20" t="s">
        <v>53</v>
      </c>
      <c r="B10" s="23"/>
      <c r="C10" s="23"/>
      <c r="D10" s="23"/>
      <c r="E10" s="3">
        <f t="shared" si="0"/>
        <v>1154.5011661052088</v>
      </c>
      <c r="F10" s="3">
        <v>445522</v>
      </c>
      <c r="G10" s="6">
        <v>385.9</v>
      </c>
      <c r="H10" s="3">
        <f t="shared" si="1"/>
        <v>1174.6258700696055</v>
      </c>
      <c r="I10" s="3">
        <v>405011</v>
      </c>
      <c r="J10" s="6">
        <v>344.8</v>
      </c>
      <c r="K10" s="3">
        <f t="shared" si="2"/>
        <v>1152.3186168570546</v>
      </c>
      <c r="L10" s="3">
        <v>373236</v>
      </c>
      <c r="M10" s="6">
        <v>323.89999999999998</v>
      </c>
      <c r="N10" s="3">
        <f t="shared" si="3"/>
        <v>1062.6594863297432</v>
      </c>
      <c r="O10" s="3">
        <v>128263</v>
      </c>
      <c r="P10" s="6">
        <v>120.7</v>
      </c>
      <c r="Q10" s="3">
        <f t="shared" si="4"/>
        <v>1049.9492385786803</v>
      </c>
      <c r="R10" s="3">
        <v>41368</v>
      </c>
      <c r="S10" s="6">
        <v>39.4</v>
      </c>
      <c r="T10" s="3">
        <f t="shared" si="5"/>
        <v>1175.8793969849246</v>
      </c>
      <c r="U10" s="3">
        <v>23400</v>
      </c>
      <c r="V10" s="6">
        <v>19.899999999999999</v>
      </c>
      <c r="W10" s="3" t="e">
        <f t="shared" si="6"/>
        <v>#DIV/0!</v>
      </c>
      <c r="X10" s="3">
        <v>0</v>
      </c>
      <c r="Y10" s="6">
        <v>0</v>
      </c>
      <c r="Z10" s="3" t="e">
        <f t="shared" si="7"/>
        <v>#DIV/0!</v>
      </c>
      <c r="AA10" s="3">
        <v>0</v>
      </c>
      <c r="AB10" s="6">
        <v>0</v>
      </c>
      <c r="AC10" s="3">
        <f t="shared" si="8"/>
        <v>1126.027397260274</v>
      </c>
      <c r="AD10" s="3">
        <v>16440</v>
      </c>
      <c r="AE10" s="6">
        <v>14.6</v>
      </c>
      <c r="AF10" s="3" t="e">
        <f t="shared" si="9"/>
        <v>#DIV/0!</v>
      </c>
      <c r="AG10" s="3">
        <v>0</v>
      </c>
      <c r="AH10" s="6">
        <v>0</v>
      </c>
      <c r="AI10" s="3">
        <f t="shared" si="10"/>
        <v>1160.9782608695652</v>
      </c>
      <c r="AJ10" s="3">
        <v>64086</v>
      </c>
      <c r="AK10" s="6">
        <v>55.2</v>
      </c>
      <c r="AL10" s="3">
        <f t="shared" si="11"/>
        <v>1346.4724919093851</v>
      </c>
      <c r="AM10" s="3">
        <v>249636</v>
      </c>
      <c r="AN10" s="6">
        <v>185.4</v>
      </c>
      <c r="AO10" s="3">
        <f t="shared" si="12"/>
        <v>1172.6151161229693</v>
      </c>
      <c r="AP10" s="3">
        <f t="shared" si="15"/>
        <v>1746962</v>
      </c>
      <c r="AQ10" s="6">
        <f t="shared" si="14"/>
        <v>1489.8000000000002</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20" t="s">
        <v>35</v>
      </c>
      <c r="B11" s="23"/>
      <c r="C11" s="23"/>
      <c r="D11" s="23"/>
      <c r="E11" s="3">
        <f t="shared" si="0"/>
        <v>1190.88056206089</v>
      </c>
      <c r="F11" s="3">
        <v>254253</v>
      </c>
      <c r="G11" s="6">
        <v>213.5</v>
      </c>
      <c r="H11" s="3">
        <f t="shared" si="1"/>
        <v>1259.91700057241</v>
      </c>
      <c r="I11" s="3">
        <v>440215</v>
      </c>
      <c r="J11" s="6">
        <v>349.4</v>
      </c>
      <c r="K11" s="3">
        <f t="shared" si="2"/>
        <v>1198.7763401109057</v>
      </c>
      <c r="L11" s="3">
        <v>324269</v>
      </c>
      <c r="M11" s="6">
        <v>270.5</v>
      </c>
      <c r="N11" s="3">
        <f t="shared" si="3"/>
        <v>1509.889211289897</v>
      </c>
      <c r="O11" s="3">
        <v>572399</v>
      </c>
      <c r="P11" s="6">
        <v>379.1</v>
      </c>
      <c r="Q11" s="3">
        <f t="shared" si="4"/>
        <v>1208.0388978930307</v>
      </c>
      <c r="R11" s="3">
        <v>74536</v>
      </c>
      <c r="S11" s="6">
        <v>61.7</v>
      </c>
      <c r="T11" s="3">
        <f t="shared" si="5"/>
        <v>2276.4227642276423</v>
      </c>
      <c r="U11" s="3">
        <v>28000</v>
      </c>
      <c r="V11" s="6">
        <v>12.3</v>
      </c>
      <c r="W11" s="3">
        <f t="shared" si="6"/>
        <v>1383.2919254658384</v>
      </c>
      <c r="X11" s="3">
        <v>89084</v>
      </c>
      <c r="Y11" s="6">
        <v>64.400000000000006</v>
      </c>
      <c r="Z11" s="3">
        <f t="shared" si="7"/>
        <v>1339.6949152542372</v>
      </c>
      <c r="AA11" s="3">
        <v>79042</v>
      </c>
      <c r="AB11" s="6">
        <v>59</v>
      </c>
      <c r="AC11" s="3">
        <f t="shared" si="8"/>
        <v>1288.4261501210656</v>
      </c>
      <c r="AD11" s="3">
        <v>212848</v>
      </c>
      <c r="AE11" s="6">
        <v>165.2</v>
      </c>
      <c r="AF11" s="3">
        <f t="shared" si="9"/>
        <v>1319.493908153702</v>
      </c>
      <c r="AG11" s="3">
        <v>281580</v>
      </c>
      <c r="AH11" s="6">
        <v>213.4</v>
      </c>
      <c r="AI11" s="3">
        <f t="shared" si="10"/>
        <v>1289.8562412342217</v>
      </c>
      <c r="AJ11" s="3">
        <v>367867</v>
      </c>
      <c r="AK11" s="6">
        <v>285.2</v>
      </c>
      <c r="AL11" s="3">
        <f t="shared" si="11"/>
        <v>1237.4518201284798</v>
      </c>
      <c r="AM11" s="3">
        <v>173367</v>
      </c>
      <c r="AN11" s="6">
        <v>140.1</v>
      </c>
      <c r="AO11" s="3">
        <f t="shared" si="12"/>
        <v>1308.8174180142739</v>
      </c>
      <c r="AP11" s="3">
        <f t="shared" si="15"/>
        <v>2897460</v>
      </c>
      <c r="AQ11" s="6">
        <f t="shared" si="14"/>
        <v>2213.8000000000002</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20" t="s">
        <v>74</v>
      </c>
      <c r="B12" s="23"/>
      <c r="C12" s="23"/>
      <c r="D12" s="23"/>
      <c r="E12" s="3" t="e">
        <f>F12/G12</f>
        <v>#DIV/0!</v>
      </c>
      <c r="F12" s="3">
        <v>0</v>
      </c>
      <c r="G12" s="6">
        <v>0</v>
      </c>
      <c r="H12" s="3" t="e">
        <f>I12/J12</f>
        <v>#DIV/0!</v>
      </c>
      <c r="I12" s="3">
        <v>0</v>
      </c>
      <c r="J12" s="6">
        <v>0</v>
      </c>
      <c r="K12" s="3" t="e">
        <f>L12/M12</f>
        <v>#DIV/0!</v>
      </c>
      <c r="L12" s="3">
        <v>0</v>
      </c>
      <c r="M12" s="6">
        <v>0</v>
      </c>
      <c r="N12" s="3" t="e">
        <f>O12/P12</f>
        <v>#DIV/0!</v>
      </c>
      <c r="O12" s="3">
        <v>0</v>
      </c>
      <c r="P12" s="6">
        <v>0</v>
      </c>
      <c r="Q12" s="3" t="e">
        <f>R12/S12</f>
        <v>#DIV/0!</v>
      </c>
      <c r="R12" s="3">
        <v>0</v>
      </c>
      <c r="S12" s="6">
        <v>0</v>
      </c>
      <c r="T12" s="3" t="e">
        <f>U12/V12</f>
        <v>#DIV/0!</v>
      </c>
      <c r="U12" s="3">
        <v>0</v>
      </c>
      <c r="V12" s="6">
        <v>0</v>
      </c>
      <c r="W12" s="3" t="e">
        <f>X12/Y12</f>
        <v>#DIV/0!</v>
      </c>
      <c r="X12" s="3">
        <v>0</v>
      </c>
      <c r="Y12" s="6">
        <v>0</v>
      </c>
      <c r="Z12" s="3" t="e">
        <f>AA12/AB12</f>
        <v>#DIV/0!</v>
      </c>
      <c r="AA12" s="3">
        <v>0</v>
      </c>
      <c r="AB12" s="6">
        <v>0</v>
      </c>
      <c r="AC12" s="3" t="e">
        <f>AD12/AE12</f>
        <v>#DIV/0!</v>
      </c>
      <c r="AD12" s="3">
        <v>0</v>
      </c>
      <c r="AE12" s="6">
        <v>0</v>
      </c>
      <c r="AF12" s="3" t="e">
        <f>AG12/AH12</f>
        <v>#DIV/0!</v>
      </c>
      <c r="AG12" s="3">
        <v>0</v>
      </c>
      <c r="AH12" s="6">
        <v>0</v>
      </c>
      <c r="AI12" s="3" t="e">
        <f>AJ12/AK12</f>
        <v>#DIV/0!</v>
      </c>
      <c r="AJ12" s="3">
        <v>0</v>
      </c>
      <c r="AK12" s="6">
        <v>0</v>
      </c>
      <c r="AL12" s="3">
        <f>AM12/AN12</f>
        <v>1177.3714285714286</v>
      </c>
      <c r="AM12" s="3">
        <v>164832</v>
      </c>
      <c r="AN12" s="6">
        <v>140</v>
      </c>
      <c r="AO12" s="3">
        <f t="shared" si="12"/>
        <v>1177.3714285714286</v>
      </c>
      <c r="AP12" s="3">
        <f t="shared" si="15"/>
        <v>164832</v>
      </c>
      <c r="AQ12" s="6">
        <f t="shared" si="14"/>
        <v>140</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20" t="s">
        <v>18</v>
      </c>
      <c r="B13" s="23"/>
      <c r="C13" s="23"/>
      <c r="D13" s="23"/>
      <c r="E13" s="3">
        <f t="shared" ref="E13:E59" si="16">F13/G13</f>
        <v>1034.7508305647841</v>
      </c>
      <c r="F13" s="3">
        <v>93438</v>
      </c>
      <c r="G13" s="6">
        <v>90.3</v>
      </c>
      <c r="H13" s="3">
        <f t="shared" ref="H13:H59" si="17">I13/J13</f>
        <v>1418.7347391786905</v>
      </c>
      <c r="I13" s="3">
        <v>127828</v>
      </c>
      <c r="J13" s="6">
        <v>90.1</v>
      </c>
      <c r="K13" s="3">
        <f t="shared" ref="K13:K59" si="18">L13/M13</f>
        <v>1124.7894221351617</v>
      </c>
      <c r="L13" s="3">
        <v>114841</v>
      </c>
      <c r="M13" s="6">
        <v>102.1</v>
      </c>
      <c r="N13" s="3">
        <f t="shared" ref="N13:N59" si="19">O13/P13</f>
        <v>1037.9951690821256</v>
      </c>
      <c r="O13" s="3">
        <v>42973</v>
      </c>
      <c r="P13" s="6">
        <v>41.4</v>
      </c>
      <c r="Q13" s="3">
        <f t="shared" ref="Q13:Q59" si="20">R13/S13</f>
        <v>4122.0833333333339</v>
      </c>
      <c r="R13" s="3">
        <v>9893</v>
      </c>
      <c r="S13" s="6">
        <v>2.4</v>
      </c>
      <c r="T13" s="3">
        <f t="shared" ref="T13:T59" si="21">U13/V13</f>
        <v>1123.6318407960198</v>
      </c>
      <c r="U13" s="3">
        <v>45170</v>
      </c>
      <c r="V13" s="6">
        <v>40.200000000000003</v>
      </c>
      <c r="W13" s="3">
        <f t="shared" ref="W13:W59" si="22">X13/Y13</f>
        <v>1215.9810874704492</v>
      </c>
      <c r="X13" s="3">
        <v>51436</v>
      </c>
      <c r="Y13" s="6">
        <v>42.3</v>
      </c>
      <c r="Z13" s="3">
        <f t="shared" ref="Z13:Z59" si="23">AA13/AB13</f>
        <v>1223.5629453681711</v>
      </c>
      <c r="AA13" s="3">
        <v>51512</v>
      </c>
      <c r="AB13" s="6">
        <v>42.1</v>
      </c>
      <c r="AC13" s="3">
        <f t="shared" ref="AC13:AC59" si="24">AD13/AE13</f>
        <v>937.44897959183663</v>
      </c>
      <c r="AD13" s="3">
        <v>36748</v>
      </c>
      <c r="AE13" s="6">
        <v>39.200000000000003</v>
      </c>
      <c r="AF13" s="3">
        <f t="shared" ref="AF13:AF59" si="25">AG13/AH13</f>
        <v>1220.2594339622642</v>
      </c>
      <c r="AG13" s="3">
        <v>51739</v>
      </c>
      <c r="AH13" s="6">
        <v>42.4</v>
      </c>
      <c r="AI13" s="3">
        <f t="shared" ref="AI13:AI59" si="26">AJ13/AK13</f>
        <v>1136.7487684729065</v>
      </c>
      <c r="AJ13" s="3">
        <v>46152</v>
      </c>
      <c r="AK13" s="6">
        <v>40.6</v>
      </c>
      <c r="AL13" s="3">
        <f t="shared" ref="AL13:AL59" si="27">AM13/AN13</f>
        <v>1135.5878787878787</v>
      </c>
      <c r="AM13" s="3">
        <v>93686</v>
      </c>
      <c r="AN13" s="6">
        <v>82.5</v>
      </c>
      <c r="AO13" s="3">
        <f t="shared" si="12"/>
        <v>1167.5045759609518</v>
      </c>
      <c r="AP13" s="3">
        <f t="shared" si="15"/>
        <v>765416</v>
      </c>
      <c r="AQ13" s="6">
        <f t="shared" si="14"/>
        <v>655.6</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20" t="s">
        <v>55</v>
      </c>
      <c r="B14" s="23"/>
      <c r="C14" s="23"/>
      <c r="D14" s="23"/>
      <c r="E14" s="3" t="e">
        <f t="shared" si="16"/>
        <v>#DIV/0!</v>
      </c>
      <c r="F14" s="3">
        <v>0</v>
      </c>
      <c r="G14" s="6">
        <v>0</v>
      </c>
      <c r="H14" s="3">
        <f t="shared" si="17"/>
        <v>1156.6041275797375</v>
      </c>
      <c r="I14" s="3">
        <v>61647</v>
      </c>
      <c r="J14" s="6">
        <v>53.3</v>
      </c>
      <c r="K14" s="3">
        <f t="shared" si="18"/>
        <v>1131.8777292576419</v>
      </c>
      <c r="L14" s="3">
        <v>25920</v>
      </c>
      <c r="M14" s="6">
        <v>22.9</v>
      </c>
      <c r="N14" s="3" t="e">
        <f t="shared" si="19"/>
        <v>#DIV/0!</v>
      </c>
      <c r="O14" s="3">
        <v>0</v>
      </c>
      <c r="P14" s="6">
        <v>0</v>
      </c>
      <c r="Q14" s="3">
        <f t="shared" si="20"/>
        <v>1106.7248908296945</v>
      </c>
      <c r="R14" s="3">
        <v>25344</v>
      </c>
      <c r="S14" s="6">
        <v>22.9</v>
      </c>
      <c r="T14" s="3" t="e">
        <f t="shared" si="21"/>
        <v>#DIV/0!</v>
      </c>
      <c r="U14" s="3">
        <v>0</v>
      </c>
      <c r="V14" s="6">
        <v>0</v>
      </c>
      <c r="W14" s="3">
        <f t="shared" si="22"/>
        <v>1141.3100436681223</v>
      </c>
      <c r="X14" s="3">
        <v>26136</v>
      </c>
      <c r="Y14" s="6">
        <v>22.9</v>
      </c>
      <c r="Z14" s="3" t="e">
        <f t="shared" si="23"/>
        <v>#DIV/0!</v>
      </c>
      <c r="AA14" s="3">
        <v>0</v>
      </c>
      <c r="AB14" s="6">
        <v>0</v>
      </c>
      <c r="AC14" s="3" t="e">
        <f t="shared" si="24"/>
        <v>#DIV/0!</v>
      </c>
      <c r="AD14" s="3">
        <v>0</v>
      </c>
      <c r="AE14" s="6">
        <v>0</v>
      </c>
      <c r="AF14" s="3" t="e">
        <f t="shared" si="25"/>
        <v>#DIV/0!</v>
      </c>
      <c r="AG14" s="3">
        <v>0</v>
      </c>
      <c r="AH14" s="6">
        <v>0</v>
      </c>
      <c r="AI14" s="3">
        <f t="shared" si="26"/>
        <v>1193.4545454545455</v>
      </c>
      <c r="AJ14" s="3">
        <v>19692</v>
      </c>
      <c r="AK14" s="6">
        <v>16.5</v>
      </c>
      <c r="AL14" s="3">
        <f t="shared" si="27"/>
        <v>1276.2682215743441</v>
      </c>
      <c r="AM14" s="3">
        <v>87552</v>
      </c>
      <c r="AN14" s="6">
        <v>68.599999999999994</v>
      </c>
      <c r="AO14" s="3">
        <f t="shared" si="12"/>
        <v>1189.2370835345243</v>
      </c>
      <c r="AP14" s="3">
        <f t="shared" si="15"/>
        <v>246291</v>
      </c>
      <c r="AQ14" s="6">
        <f t="shared" si="14"/>
        <v>207.1</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20" t="s">
        <v>54</v>
      </c>
      <c r="B15" s="23"/>
      <c r="C15" s="23"/>
      <c r="D15" s="23"/>
      <c r="E15" s="3">
        <f t="shared" si="16"/>
        <v>1753.6932707355243</v>
      </c>
      <c r="F15" s="3">
        <v>112061</v>
      </c>
      <c r="G15" s="6">
        <v>63.9</v>
      </c>
      <c r="H15" s="3">
        <f t="shared" si="17"/>
        <v>1585.0715746421267</v>
      </c>
      <c r="I15" s="3">
        <v>77510</v>
      </c>
      <c r="J15" s="6">
        <v>48.9</v>
      </c>
      <c r="K15" s="3">
        <f t="shared" si="18"/>
        <v>1423.3147113594041</v>
      </c>
      <c r="L15" s="3">
        <v>76432</v>
      </c>
      <c r="M15" s="6">
        <v>53.7</v>
      </c>
      <c r="N15" s="3" t="e">
        <f t="shared" si="19"/>
        <v>#DIV/0!</v>
      </c>
      <c r="O15" s="3">
        <v>0</v>
      </c>
      <c r="P15" s="6">
        <v>0</v>
      </c>
      <c r="Q15" s="3" t="e">
        <f t="shared" si="20"/>
        <v>#DIV/0!</v>
      </c>
      <c r="R15" s="3">
        <v>0</v>
      </c>
      <c r="S15" s="6">
        <v>0</v>
      </c>
      <c r="T15" s="3">
        <f t="shared" si="21"/>
        <v>1086.2213740458017</v>
      </c>
      <c r="U15" s="3">
        <v>28459</v>
      </c>
      <c r="V15" s="6">
        <v>26.2</v>
      </c>
      <c r="W15" s="3">
        <f t="shared" si="22"/>
        <v>4603.913043478261</v>
      </c>
      <c r="X15" s="3">
        <v>10589</v>
      </c>
      <c r="Y15" s="6">
        <v>2.2999999999999998</v>
      </c>
      <c r="Z15" s="3">
        <f t="shared" si="23"/>
        <v>1759.1983122362869</v>
      </c>
      <c r="AA15" s="3">
        <v>83386</v>
      </c>
      <c r="AB15" s="6">
        <v>47.4</v>
      </c>
      <c r="AC15" s="3">
        <f t="shared" si="24"/>
        <v>1831.849710982659</v>
      </c>
      <c r="AD15" s="3">
        <v>63382</v>
      </c>
      <c r="AE15" s="6">
        <v>34.6</v>
      </c>
      <c r="AF15" s="3">
        <f t="shared" si="25"/>
        <v>1441.1111111111111</v>
      </c>
      <c r="AG15" s="3">
        <v>125809</v>
      </c>
      <c r="AH15" s="6">
        <v>87.3</v>
      </c>
      <c r="AI15" s="3">
        <f t="shared" si="26"/>
        <v>1709.5444685466377</v>
      </c>
      <c r="AJ15" s="3">
        <v>78810</v>
      </c>
      <c r="AK15" s="6">
        <v>46.1</v>
      </c>
      <c r="AL15" s="3">
        <f t="shared" si="27"/>
        <v>1515.9157509157508</v>
      </c>
      <c r="AM15" s="3">
        <v>82769</v>
      </c>
      <c r="AN15" s="6">
        <v>54.6</v>
      </c>
      <c r="AO15" s="3">
        <f t="shared" si="12"/>
        <v>1589.6924731182794</v>
      </c>
      <c r="AP15" s="3">
        <f t="shared" si="15"/>
        <v>739207</v>
      </c>
      <c r="AQ15" s="6">
        <f t="shared" si="14"/>
        <v>465.00000000000006</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20" t="s">
        <v>77</v>
      </c>
      <c r="B16" s="23"/>
      <c r="C16" s="23"/>
      <c r="D16" s="23"/>
      <c r="E16" s="3">
        <f t="shared" si="16"/>
        <v>1107.1562082777036</v>
      </c>
      <c r="F16" s="3">
        <v>82926</v>
      </c>
      <c r="G16" s="6">
        <v>74.900000000000006</v>
      </c>
      <c r="H16" s="3">
        <f t="shared" si="17"/>
        <v>1146.9584245076585</v>
      </c>
      <c r="I16" s="3">
        <v>104832</v>
      </c>
      <c r="J16" s="6">
        <v>91.4</v>
      </c>
      <c r="K16" s="3">
        <f t="shared" si="18"/>
        <v>1296.0526315789473</v>
      </c>
      <c r="L16" s="3">
        <v>14775</v>
      </c>
      <c r="M16" s="6">
        <v>11.4</v>
      </c>
      <c r="N16" s="3" t="e">
        <f t="shared" si="19"/>
        <v>#DIV/0!</v>
      </c>
      <c r="O16" s="3">
        <v>0</v>
      </c>
      <c r="P16" s="6">
        <v>0</v>
      </c>
      <c r="Q16" s="3" t="e">
        <f t="shared" si="20"/>
        <v>#DIV/0!</v>
      </c>
      <c r="R16" s="3">
        <v>0</v>
      </c>
      <c r="S16" s="6">
        <v>0</v>
      </c>
      <c r="T16" s="3" t="e">
        <f t="shared" si="21"/>
        <v>#DIV/0!</v>
      </c>
      <c r="U16" s="3">
        <v>0</v>
      </c>
      <c r="V16" s="6">
        <v>0</v>
      </c>
      <c r="W16" s="3">
        <f t="shared" si="22"/>
        <v>1100.4366812227074</v>
      </c>
      <c r="X16" s="3">
        <v>25200</v>
      </c>
      <c r="Y16" s="6">
        <v>22.9</v>
      </c>
      <c r="Z16" s="3">
        <f t="shared" si="23"/>
        <v>1099.9416909620993</v>
      </c>
      <c r="AA16" s="3">
        <v>75456</v>
      </c>
      <c r="AB16" s="6">
        <v>68.599999999999994</v>
      </c>
      <c r="AC16" s="3">
        <f t="shared" si="24"/>
        <v>1087.2489082969432</v>
      </c>
      <c r="AD16" s="3">
        <v>24898</v>
      </c>
      <c r="AE16" s="6">
        <v>22.9</v>
      </c>
      <c r="AF16" s="3">
        <f t="shared" si="25"/>
        <v>1149.1684901531728</v>
      </c>
      <c r="AG16" s="3">
        <v>105034</v>
      </c>
      <c r="AH16" s="6">
        <v>91.4</v>
      </c>
      <c r="AI16" s="3" t="e">
        <f t="shared" si="26"/>
        <v>#DIV/0!</v>
      </c>
      <c r="AJ16" s="3">
        <v>0</v>
      </c>
      <c r="AK16" s="6">
        <v>0</v>
      </c>
      <c r="AL16" s="3">
        <f t="shared" si="27"/>
        <v>1256.281310211946</v>
      </c>
      <c r="AM16" s="3">
        <v>65201</v>
      </c>
      <c r="AN16" s="6">
        <v>51.9</v>
      </c>
      <c r="AO16" s="3">
        <f t="shared" si="12"/>
        <v>1144.5153881488288</v>
      </c>
      <c r="AP16" s="3">
        <f t="shared" si="15"/>
        <v>498322</v>
      </c>
      <c r="AQ16" s="6">
        <f t="shared" si="14"/>
        <v>435.4</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20" t="s">
        <v>33</v>
      </c>
      <c r="B17" s="23"/>
      <c r="C17" s="23"/>
      <c r="D17" s="23"/>
      <c r="E17" s="3">
        <f t="shared" si="16"/>
        <v>1850.6735751295337</v>
      </c>
      <c r="F17" s="3">
        <v>35718</v>
      </c>
      <c r="G17" s="6">
        <v>19.3</v>
      </c>
      <c r="H17" s="3">
        <f t="shared" si="17"/>
        <v>2286.5375302663438</v>
      </c>
      <c r="I17" s="3">
        <v>94434</v>
      </c>
      <c r="J17" s="6">
        <v>41.3</v>
      </c>
      <c r="K17" s="3" t="e">
        <f t="shared" si="18"/>
        <v>#DIV/0!</v>
      </c>
      <c r="L17" s="3">
        <v>0</v>
      </c>
      <c r="M17" s="6">
        <v>0</v>
      </c>
      <c r="N17" s="3">
        <f t="shared" si="19"/>
        <v>2733.1010452961673</v>
      </c>
      <c r="O17" s="3">
        <v>156880</v>
      </c>
      <c r="P17" s="6">
        <v>57.4</v>
      </c>
      <c r="Q17" s="3">
        <f t="shared" si="20"/>
        <v>1716.9924812030074</v>
      </c>
      <c r="R17" s="3">
        <v>22836</v>
      </c>
      <c r="S17" s="6">
        <v>13.3</v>
      </c>
      <c r="T17" s="3">
        <f t="shared" si="21"/>
        <v>2616.4473684210525</v>
      </c>
      <c r="U17" s="3">
        <v>59655</v>
      </c>
      <c r="V17" s="6">
        <v>22.8</v>
      </c>
      <c r="W17" s="3" t="e">
        <f t="shared" si="22"/>
        <v>#DIV/0!</v>
      </c>
      <c r="X17" s="3">
        <v>0</v>
      </c>
      <c r="Y17" s="6">
        <v>0</v>
      </c>
      <c r="Z17" s="3">
        <f t="shared" si="23"/>
        <v>2616.4473684210525</v>
      </c>
      <c r="AA17" s="3">
        <v>59655</v>
      </c>
      <c r="AB17" s="6">
        <v>22.8</v>
      </c>
      <c r="AC17" s="3">
        <f t="shared" si="24"/>
        <v>3273.6410256410259</v>
      </c>
      <c r="AD17" s="3">
        <v>63836</v>
      </c>
      <c r="AE17" s="6">
        <v>19.5</v>
      </c>
      <c r="AF17" s="3">
        <f t="shared" si="25"/>
        <v>2869.6634615384614</v>
      </c>
      <c r="AG17" s="3">
        <v>59689</v>
      </c>
      <c r="AH17" s="6">
        <v>20.8</v>
      </c>
      <c r="AI17" s="3" t="e">
        <f t="shared" si="26"/>
        <v>#DIV/0!</v>
      </c>
      <c r="AJ17" s="3">
        <v>0</v>
      </c>
      <c r="AK17" s="6">
        <v>0</v>
      </c>
      <c r="AL17" s="3">
        <f t="shared" si="27"/>
        <v>2617.9385964912281</v>
      </c>
      <c r="AM17" s="3">
        <v>59689</v>
      </c>
      <c r="AN17" s="6">
        <v>22.8</v>
      </c>
      <c r="AO17" s="3">
        <f t="shared" si="12"/>
        <v>2551.6333333333328</v>
      </c>
      <c r="AP17" s="3">
        <f t="shared" si="15"/>
        <v>612392</v>
      </c>
      <c r="AQ17" s="6">
        <f t="shared" si="14"/>
        <v>240.00000000000006</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20" t="s">
        <v>27</v>
      </c>
      <c r="B18" s="23"/>
      <c r="C18" s="23"/>
      <c r="D18" s="23"/>
      <c r="E18" s="3">
        <f t="shared" si="16"/>
        <v>1472.6827586206896</v>
      </c>
      <c r="F18" s="3">
        <v>213539</v>
      </c>
      <c r="G18" s="6">
        <v>145</v>
      </c>
      <c r="H18" s="3">
        <f t="shared" si="17"/>
        <v>1570.7684210526315</v>
      </c>
      <c r="I18" s="3">
        <v>149223</v>
      </c>
      <c r="J18" s="6">
        <v>95</v>
      </c>
      <c r="K18" s="3">
        <f t="shared" si="18"/>
        <v>1623.3660130718954</v>
      </c>
      <c r="L18" s="3">
        <v>198700</v>
      </c>
      <c r="M18" s="6">
        <v>122.4</v>
      </c>
      <c r="N18" s="3">
        <f t="shared" si="19"/>
        <v>1919.4089993284083</v>
      </c>
      <c r="O18" s="3">
        <v>285800</v>
      </c>
      <c r="P18" s="6">
        <v>148.9</v>
      </c>
      <c r="Q18" s="3">
        <f t="shared" si="20"/>
        <v>2017.1448565430371</v>
      </c>
      <c r="R18" s="3">
        <v>288250</v>
      </c>
      <c r="S18" s="6">
        <v>142.9</v>
      </c>
      <c r="T18" s="3">
        <f t="shared" si="21"/>
        <v>1860.518134715026</v>
      </c>
      <c r="U18" s="3">
        <v>215448</v>
      </c>
      <c r="V18" s="6">
        <v>115.8</v>
      </c>
      <c r="W18" s="3">
        <f t="shared" si="22"/>
        <v>1366.0580204778157</v>
      </c>
      <c r="X18" s="3">
        <v>80051</v>
      </c>
      <c r="Y18" s="6">
        <v>58.6</v>
      </c>
      <c r="Z18" s="3">
        <f t="shared" si="23"/>
        <v>1820.0325909831613</v>
      </c>
      <c r="AA18" s="3">
        <v>335068</v>
      </c>
      <c r="AB18" s="6">
        <v>184.1</v>
      </c>
      <c r="AC18" s="3">
        <f t="shared" si="24"/>
        <v>2785.0193050193052</v>
      </c>
      <c r="AD18" s="3">
        <v>72132</v>
      </c>
      <c r="AE18" s="6">
        <v>25.9</v>
      </c>
      <c r="AF18" s="3">
        <f t="shared" si="25"/>
        <v>1706.4528795811516</v>
      </c>
      <c r="AG18" s="3">
        <v>130373</v>
      </c>
      <c r="AH18" s="6">
        <v>76.400000000000006</v>
      </c>
      <c r="AI18" s="3">
        <f t="shared" si="26"/>
        <v>1794.0624999999998</v>
      </c>
      <c r="AJ18" s="3">
        <v>252604</v>
      </c>
      <c r="AK18" s="6">
        <v>140.80000000000001</v>
      </c>
      <c r="AL18" s="3">
        <f t="shared" si="27"/>
        <v>1360.6779661016949</v>
      </c>
      <c r="AM18" s="3">
        <v>48168</v>
      </c>
      <c r="AN18" s="6">
        <v>35.4</v>
      </c>
      <c r="AO18" s="3">
        <f t="shared" si="12"/>
        <v>1757.5557620817842</v>
      </c>
      <c r="AP18" s="3">
        <f t="shared" si="15"/>
        <v>2269356</v>
      </c>
      <c r="AQ18" s="6">
        <f t="shared" si="14"/>
        <v>1291.2</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20" t="s">
        <v>30</v>
      </c>
      <c r="B19" s="23"/>
      <c r="C19" s="23"/>
      <c r="D19" s="23"/>
      <c r="E19" s="3">
        <f t="shared" si="16"/>
        <v>2448.7096774193546</v>
      </c>
      <c r="F19" s="3">
        <v>7591</v>
      </c>
      <c r="G19" s="6">
        <v>3.1</v>
      </c>
      <c r="H19" s="3">
        <f t="shared" si="17"/>
        <v>2459.3220338983051</v>
      </c>
      <c r="I19" s="3">
        <v>43530</v>
      </c>
      <c r="J19" s="6">
        <v>17.7</v>
      </c>
      <c r="K19" s="3">
        <f t="shared" si="18"/>
        <v>1648.8705234159781</v>
      </c>
      <c r="L19" s="3">
        <v>59854</v>
      </c>
      <c r="M19" s="6">
        <v>36.299999999999997</v>
      </c>
      <c r="N19" s="3">
        <f t="shared" si="19"/>
        <v>2430.7692307692309</v>
      </c>
      <c r="O19" s="3">
        <v>56880</v>
      </c>
      <c r="P19" s="6">
        <v>23.4</v>
      </c>
      <c r="Q19" s="3">
        <f t="shared" si="20"/>
        <v>2398.6283185840707</v>
      </c>
      <c r="R19" s="3">
        <v>54209</v>
      </c>
      <c r="S19" s="6">
        <v>22.6</v>
      </c>
      <c r="T19" s="3">
        <f t="shared" si="21"/>
        <v>1208.4296028880867</v>
      </c>
      <c r="U19" s="3">
        <v>66947</v>
      </c>
      <c r="V19" s="6">
        <v>55.4</v>
      </c>
      <c r="W19" s="3">
        <f t="shared" si="22"/>
        <v>1225.2912019826517</v>
      </c>
      <c r="X19" s="3">
        <v>98881</v>
      </c>
      <c r="Y19" s="6">
        <v>80.7</v>
      </c>
      <c r="Z19" s="3" t="e">
        <f t="shared" si="23"/>
        <v>#DIV/0!</v>
      </c>
      <c r="AA19" s="3">
        <v>0</v>
      </c>
      <c r="AB19" s="6">
        <v>0</v>
      </c>
      <c r="AC19" s="3">
        <f t="shared" si="24"/>
        <v>2216.4523809523807</v>
      </c>
      <c r="AD19" s="3">
        <v>93091</v>
      </c>
      <c r="AE19" s="6">
        <v>42</v>
      </c>
      <c r="AF19" s="3" t="e">
        <f t="shared" si="25"/>
        <v>#DIV/0!</v>
      </c>
      <c r="AG19" s="3">
        <v>0</v>
      </c>
      <c r="AH19" s="6">
        <v>0</v>
      </c>
      <c r="AI19" s="3">
        <f t="shared" si="26"/>
        <v>3173.125</v>
      </c>
      <c r="AJ19" s="3">
        <v>5077</v>
      </c>
      <c r="AK19" s="6">
        <v>1.6</v>
      </c>
      <c r="AL19" s="3">
        <f t="shared" si="27"/>
        <v>1655.0936329588014</v>
      </c>
      <c r="AM19" s="3">
        <v>44191</v>
      </c>
      <c r="AN19" s="6">
        <v>26.7</v>
      </c>
      <c r="AO19" s="3">
        <f t="shared" si="12"/>
        <v>1713.2504038772213</v>
      </c>
      <c r="AP19" s="3">
        <f t="shared" si="15"/>
        <v>530251</v>
      </c>
      <c r="AQ19" s="6">
        <f t="shared" si="14"/>
        <v>309.5</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20" t="s">
        <v>56</v>
      </c>
      <c r="B20" s="23"/>
      <c r="C20" s="23"/>
      <c r="D20" s="23"/>
      <c r="E20" s="3">
        <f t="shared" si="16"/>
        <v>1204.6934460887951</v>
      </c>
      <c r="F20" s="3">
        <v>56982</v>
      </c>
      <c r="G20" s="6">
        <v>47.3</v>
      </c>
      <c r="H20" s="3">
        <f t="shared" si="17"/>
        <v>1178.4137475214804</v>
      </c>
      <c r="I20" s="3">
        <v>178294</v>
      </c>
      <c r="J20" s="6">
        <v>151.30000000000001</v>
      </c>
      <c r="K20" s="3">
        <f t="shared" si="18"/>
        <v>1205.6620093147039</v>
      </c>
      <c r="L20" s="3">
        <v>181211</v>
      </c>
      <c r="M20" s="6">
        <v>150.30000000000001</v>
      </c>
      <c r="N20" s="3">
        <f t="shared" si="19"/>
        <v>1236.2464985994397</v>
      </c>
      <c r="O20" s="3">
        <v>88268</v>
      </c>
      <c r="P20" s="6">
        <v>71.400000000000006</v>
      </c>
      <c r="Q20" s="3">
        <f t="shared" si="20"/>
        <v>1243.4412081984897</v>
      </c>
      <c r="R20" s="3">
        <v>115267</v>
      </c>
      <c r="S20" s="6">
        <v>92.7</v>
      </c>
      <c r="T20" s="3">
        <f t="shared" si="21"/>
        <v>844.09090909090912</v>
      </c>
      <c r="U20" s="3">
        <v>20427</v>
      </c>
      <c r="V20" s="6">
        <v>24.2</v>
      </c>
      <c r="W20" s="3">
        <f t="shared" si="22"/>
        <v>1214.5689655172414</v>
      </c>
      <c r="X20" s="3">
        <v>28178</v>
      </c>
      <c r="Y20" s="6">
        <v>23.2</v>
      </c>
      <c r="Z20" s="3">
        <f t="shared" si="23"/>
        <v>1153.4701986754967</v>
      </c>
      <c r="AA20" s="3">
        <v>174174</v>
      </c>
      <c r="AB20" s="6">
        <v>151</v>
      </c>
      <c r="AC20" s="3">
        <f t="shared" si="24"/>
        <v>1204.2716857610474</v>
      </c>
      <c r="AD20" s="3">
        <v>220743</v>
      </c>
      <c r="AE20" s="6">
        <v>183.3</v>
      </c>
      <c r="AF20" s="3">
        <f t="shared" si="25"/>
        <v>1193.9107611548557</v>
      </c>
      <c r="AG20" s="3">
        <v>227440</v>
      </c>
      <c r="AH20" s="6">
        <v>190.5</v>
      </c>
      <c r="AI20" s="3">
        <f t="shared" si="26"/>
        <v>1339.3621399176955</v>
      </c>
      <c r="AJ20" s="3">
        <v>65093</v>
      </c>
      <c r="AK20" s="6">
        <v>48.6</v>
      </c>
      <c r="AL20" s="3">
        <f t="shared" si="27"/>
        <v>1431.6810344827586</v>
      </c>
      <c r="AM20" s="3">
        <v>33215</v>
      </c>
      <c r="AN20" s="6">
        <v>23.2</v>
      </c>
      <c r="AO20" s="3">
        <f t="shared" si="12"/>
        <v>1200.7709593777008</v>
      </c>
      <c r="AP20" s="3">
        <f t="shared" si="15"/>
        <v>1389292</v>
      </c>
      <c r="AQ20" s="6">
        <f t="shared" si="14"/>
        <v>1157.0000000000002</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20" t="s">
        <v>49</v>
      </c>
      <c r="B21" s="23"/>
      <c r="C21" s="23"/>
      <c r="D21" s="23"/>
      <c r="E21" s="3">
        <f t="shared" si="16"/>
        <v>1203.2350925291296</v>
      </c>
      <c r="F21" s="3">
        <v>175552</v>
      </c>
      <c r="G21" s="6">
        <v>145.9</v>
      </c>
      <c r="H21" s="3">
        <f t="shared" si="17"/>
        <v>1201.687797147385</v>
      </c>
      <c r="I21" s="3">
        <v>151653</v>
      </c>
      <c r="J21" s="6">
        <v>126.2</v>
      </c>
      <c r="K21" s="3">
        <f t="shared" si="18"/>
        <v>1129.8349056603774</v>
      </c>
      <c r="L21" s="3">
        <v>191620</v>
      </c>
      <c r="M21" s="6">
        <v>169.6</v>
      </c>
      <c r="N21" s="3">
        <f t="shared" si="19"/>
        <v>1078.2775119617224</v>
      </c>
      <c r="O21" s="3">
        <v>225360</v>
      </c>
      <c r="P21" s="6">
        <v>209</v>
      </c>
      <c r="Q21" s="3" t="e">
        <f t="shared" si="20"/>
        <v>#DIV/0!</v>
      </c>
      <c r="R21" s="3">
        <v>0</v>
      </c>
      <c r="S21" s="6">
        <v>0</v>
      </c>
      <c r="T21" s="3" t="e">
        <f t="shared" si="21"/>
        <v>#DIV/0!</v>
      </c>
      <c r="U21" s="3">
        <v>0</v>
      </c>
      <c r="V21" s="6">
        <v>0</v>
      </c>
      <c r="W21" s="3">
        <f t="shared" si="22"/>
        <v>1104.759825327511</v>
      </c>
      <c r="X21" s="3">
        <v>25299</v>
      </c>
      <c r="Y21" s="6">
        <v>22.9</v>
      </c>
      <c r="Z21" s="3">
        <f t="shared" si="23"/>
        <v>1069.7410071942445</v>
      </c>
      <c r="AA21" s="3">
        <v>74347</v>
      </c>
      <c r="AB21" s="6">
        <v>69.5</v>
      </c>
      <c r="AC21" s="3">
        <f t="shared" si="24"/>
        <v>1257.64192139738</v>
      </c>
      <c r="AD21" s="3">
        <v>28800</v>
      </c>
      <c r="AE21" s="6">
        <v>22.9</v>
      </c>
      <c r="AF21" s="3">
        <f t="shared" si="25"/>
        <v>1068.1838074398249</v>
      </c>
      <c r="AG21" s="3">
        <v>97632</v>
      </c>
      <c r="AH21" s="6">
        <v>91.4</v>
      </c>
      <c r="AI21" s="3">
        <f t="shared" si="26"/>
        <v>1263.7974683544305</v>
      </c>
      <c r="AJ21" s="3">
        <v>179712</v>
      </c>
      <c r="AK21" s="6">
        <v>142.19999999999999</v>
      </c>
      <c r="AL21" s="3">
        <f t="shared" si="27"/>
        <v>1392.8384279475983</v>
      </c>
      <c r="AM21" s="3">
        <v>31896</v>
      </c>
      <c r="AN21" s="6">
        <v>22.9</v>
      </c>
      <c r="AO21" s="3">
        <f t="shared" si="12"/>
        <v>1155.8640586797067</v>
      </c>
      <c r="AP21" s="3">
        <f t="shared" si="15"/>
        <v>1181871</v>
      </c>
      <c r="AQ21" s="6">
        <f t="shared" si="14"/>
        <v>1022.4999999999999</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20" t="s">
        <v>23</v>
      </c>
      <c r="B22" s="23"/>
      <c r="C22" s="23"/>
      <c r="D22" s="23"/>
      <c r="E22" s="3">
        <f t="shared" si="16"/>
        <v>2183.6</v>
      </c>
      <c r="F22" s="3">
        <v>5459</v>
      </c>
      <c r="G22" s="6">
        <v>2.5</v>
      </c>
      <c r="H22" s="3">
        <f t="shared" si="17"/>
        <v>1133.8922640745241</v>
      </c>
      <c r="I22" s="3">
        <v>279958</v>
      </c>
      <c r="J22" s="6">
        <v>246.9</v>
      </c>
      <c r="K22" s="3">
        <f t="shared" si="18"/>
        <v>1075.7698541329012</v>
      </c>
      <c r="L22" s="3">
        <v>132750</v>
      </c>
      <c r="M22" s="6">
        <v>123.4</v>
      </c>
      <c r="N22" s="3">
        <f t="shared" si="19"/>
        <v>1666.9613259668506</v>
      </c>
      <c r="O22" s="3">
        <v>60344</v>
      </c>
      <c r="P22" s="6">
        <v>36.200000000000003</v>
      </c>
      <c r="Q22" s="3">
        <f t="shared" si="20"/>
        <v>1549.726235741445</v>
      </c>
      <c r="R22" s="3">
        <v>203789</v>
      </c>
      <c r="S22" s="6">
        <v>131.5</v>
      </c>
      <c r="T22" s="3" t="e">
        <f t="shared" si="21"/>
        <v>#DIV/0!</v>
      </c>
      <c r="U22" s="3">
        <v>0</v>
      </c>
      <c r="V22" s="6">
        <v>0</v>
      </c>
      <c r="W22" s="3" t="e">
        <f t="shared" si="22"/>
        <v>#DIV/0!</v>
      </c>
      <c r="X22" s="3">
        <v>0</v>
      </c>
      <c r="Y22" s="6">
        <v>0</v>
      </c>
      <c r="Z22" s="3">
        <f t="shared" si="23"/>
        <v>987.95436664044064</v>
      </c>
      <c r="AA22" s="3">
        <v>125569</v>
      </c>
      <c r="AB22" s="6">
        <v>127.1</v>
      </c>
      <c r="AC22" s="3">
        <f t="shared" si="24"/>
        <v>1088.0466926070039</v>
      </c>
      <c r="AD22" s="3">
        <v>139814</v>
      </c>
      <c r="AE22" s="6">
        <v>128.5</v>
      </c>
      <c r="AF22" s="3">
        <f t="shared" si="25"/>
        <v>1090.4564315352698</v>
      </c>
      <c r="AG22" s="3">
        <v>78840</v>
      </c>
      <c r="AH22" s="6">
        <v>72.3</v>
      </c>
      <c r="AI22" s="3">
        <f t="shared" si="26"/>
        <v>1366.2114125350795</v>
      </c>
      <c r="AJ22" s="3">
        <v>146048</v>
      </c>
      <c r="AK22" s="6">
        <v>106.9</v>
      </c>
      <c r="AL22" s="3">
        <f t="shared" si="27"/>
        <v>1304.5228215767634</v>
      </c>
      <c r="AM22" s="3">
        <v>31439</v>
      </c>
      <c r="AN22" s="6">
        <v>24.1</v>
      </c>
      <c r="AO22" s="3">
        <f t="shared" si="12"/>
        <v>1204.7328397038223</v>
      </c>
      <c r="AP22" s="3">
        <f t="shared" si="15"/>
        <v>1204010</v>
      </c>
      <c r="AQ22" s="6">
        <f t="shared" si="14"/>
        <v>999.4</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20" t="s">
        <v>58</v>
      </c>
      <c r="B23" s="23"/>
      <c r="C23" s="23"/>
      <c r="D23" s="23"/>
      <c r="E23" s="3">
        <f t="shared" si="16"/>
        <v>1321.2916666666667</v>
      </c>
      <c r="F23" s="3">
        <v>31711</v>
      </c>
      <c r="G23" s="6">
        <v>24</v>
      </c>
      <c r="H23" s="3" t="e">
        <f t="shared" si="17"/>
        <v>#DIV/0!</v>
      </c>
      <c r="I23" s="3">
        <v>0</v>
      </c>
      <c r="J23" s="6">
        <v>0</v>
      </c>
      <c r="K23" s="3">
        <f t="shared" si="18"/>
        <v>1312.9</v>
      </c>
      <c r="L23" s="3">
        <v>26258</v>
      </c>
      <c r="M23" s="6">
        <v>20</v>
      </c>
      <c r="N23" s="3" t="e">
        <f t="shared" si="19"/>
        <v>#DIV/0!</v>
      </c>
      <c r="O23" s="3">
        <v>0</v>
      </c>
      <c r="P23" s="6">
        <v>0</v>
      </c>
      <c r="Q23" s="3" t="e">
        <f t="shared" si="20"/>
        <v>#DIV/0!</v>
      </c>
      <c r="R23" s="3">
        <v>0</v>
      </c>
      <c r="S23" s="6">
        <v>0</v>
      </c>
      <c r="T23" s="3" t="e">
        <f t="shared" si="21"/>
        <v>#DIV/0!</v>
      </c>
      <c r="U23" s="3">
        <v>0</v>
      </c>
      <c r="V23" s="6">
        <v>0</v>
      </c>
      <c r="W23" s="3">
        <f t="shared" si="22"/>
        <v>1287.7</v>
      </c>
      <c r="X23" s="3">
        <v>25754</v>
      </c>
      <c r="Y23" s="6">
        <v>20</v>
      </c>
      <c r="Z23" s="3" t="e">
        <f t="shared" si="23"/>
        <v>#DIV/0!</v>
      </c>
      <c r="AA23" s="3">
        <v>0</v>
      </c>
      <c r="AB23" s="6">
        <v>0</v>
      </c>
      <c r="AC23" s="3">
        <f t="shared" si="24"/>
        <v>1387.25</v>
      </c>
      <c r="AD23" s="3">
        <v>27745</v>
      </c>
      <c r="AE23" s="6">
        <v>20</v>
      </c>
      <c r="AF23" s="3">
        <f t="shared" si="25"/>
        <v>1458.45</v>
      </c>
      <c r="AG23" s="3">
        <v>29169</v>
      </c>
      <c r="AH23" s="6">
        <v>20</v>
      </c>
      <c r="AI23" s="3" t="e">
        <f t="shared" si="26"/>
        <v>#DIV/0!</v>
      </c>
      <c r="AJ23" s="3">
        <v>0</v>
      </c>
      <c r="AK23" s="6">
        <v>0</v>
      </c>
      <c r="AL23" s="3">
        <f t="shared" si="27"/>
        <v>1552.3</v>
      </c>
      <c r="AM23" s="3">
        <v>31046</v>
      </c>
      <c r="AN23" s="6">
        <v>20</v>
      </c>
      <c r="AO23" s="3">
        <f t="shared" si="12"/>
        <v>1384.5403225806451</v>
      </c>
      <c r="AP23" s="3">
        <f t="shared" si="15"/>
        <v>171683</v>
      </c>
      <c r="AQ23" s="6">
        <f t="shared" si="14"/>
        <v>124</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20" t="s">
        <v>31</v>
      </c>
      <c r="B24" s="23"/>
      <c r="C24" s="23"/>
      <c r="D24" s="23"/>
      <c r="E24" s="3">
        <f t="shared" si="16"/>
        <v>1039.836400817996</v>
      </c>
      <c r="F24" s="3">
        <v>50848</v>
      </c>
      <c r="G24" s="6">
        <v>48.9</v>
      </c>
      <c r="H24" s="3">
        <f t="shared" si="17"/>
        <v>1180.6598984771574</v>
      </c>
      <c r="I24" s="3">
        <v>23259</v>
      </c>
      <c r="J24" s="6">
        <v>19.7</v>
      </c>
      <c r="K24" s="3">
        <f t="shared" si="18"/>
        <v>1085.4948805460751</v>
      </c>
      <c r="L24" s="3">
        <v>31805</v>
      </c>
      <c r="M24" s="6">
        <v>29.3</v>
      </c>
      <c r="N24" s="3">
        <f t="shared" si="19"/>
        <v>1062.1812080536913</v>
      </c>
      <c r="O24" s="3">
        <v>31653</v>
      </c>
      <c r="P24" s="6">
        <v>29.8</v>
      </c>
      <c r="Q24" s="3">
        <f t="shared" si="20"/>
        <v>1209.1304347826087</v>
      </c>
      <c r="R24" s="3">
        <v>36153</v>
      </c>
      <c r="S24" s="6">
        <v>29.9</v>
      </c>
      <c r="T24" s="3">
        <f t="shared" si="21"/>
        <v>1315.6521739130435</v>
      </c>
      <c r="U24" s="3">
        <v>12104</v>
      </c>
      <c r="V24" s="6">
        <v>9.1999999999999993</v>
      </c>
      <c r="W24" s="3">
        <f t="shared" si="22"/>
        <v>1442.7195467422098</v>
      </c>
      <c r="X24" s="3">
        <v>50928</v>
      </c>
      <c r="Y24" s="6">
        <v>35.299999999999997</v>
      </c>
      <c r="Z24" s="3">
        <f t="shared" si="23"/>
        <v>1059.7311827956989</v>
      </c>
      <c r="AA24" s="3">
        <v>19711</v>
      </c>
      <c r="AB24" s="6">
        <v>18.600000000000001</v>
      </c>
      <c r="AC24" s="3">
        <f t="shared" si="24"/>
        <v>1076.060606060606</v>
      </c>
      <c r="AD24" s="3">
        <v>49714</v>
      </c>
      <c r="AE24" s="6">
        <v>46.2</v>
      </c>
      <c r="AF24" s="3">
        <f t="shared" si="25"/>
        <v>1092.6984126984128</v>
      </c>
      <c r="AG24" s="3">
        <v>20652</v>
      </c>
      <c r="AH24" s="6">
        <v>18.899999999999999</v>
      </c>
      <c r="AI24" s="3">
        <f t="shared" si="26"/>
        <v>1044.7091412742382</v>
      </c>
      <c r="AJ24" s="3">
        <v>37714</v>
      </c>
      <c r="AK24" s="6">
        <v>36.1</v>
      </c>
      <c r="AL24" s="3">
        <f t="shared" si="27"/>
        <v>1011.9148936170213</v>
      </c>
      <c r="AM24" s="3">
        <v>28536</v>
      </c>
      <c r="AN24" s="6">
        <v>28.2</v>
      </c>
      <c r="AO24" s="3">
        <f t="shared" si="12"/>
        <v>1122.7563553270495</v>
      </c>
      <c r="AP24" s="3">
        <f t="shared" si="15"/>
        <v>393077</v>
      </c>
      <c r="AQ24" s="6">
        <f t="shared" si="14"/>
        <v>350.09999999999997</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20" t="s">
        <v>21</v>
      </c>
      <c r="B25" s="23"/>
      <c r="C25" s="23"/>
      <c r="D25" s="23"/>
      <c r="E25" s="3">
        <f t="shared" si="16"/>
        <v>1360.4255319148936</v>
      </c>
      <c r="F25" s="3">
        <v>63940</v>
      </c>
      <c r="G25" s="6">
        <v>47</v>
      </c>
      <c r="H25" s="3">
        <f t="shared" si="17"/>
        <v>1446.1627906976744</v>
      </c>
      <c r="I25" s="3">
        <v>12437</v>
      </c>
      <c r="J25" s="6">
        <v>8.6</v>
      </c>
      <c r="K25" s="3">
        <f t="shared" si="18"/>
        <v>834.04962546816478</v>
      </c>
      <c r="L25" s="3">
        <v>890765</v>
      </c>
      <c r="M25" s="6">
        <v>1068</v>
      </c>
      <c r="N25" s="3">
        <f t="shared" si="19"/>
        <v>1900.5882352941178</v>
      </c>
      <c r="O25" s="3">
        <v>6462</v>
      </c>
      <c r="P25" s="6">
        <v>3.4</v>
      </c>
      <c r="Q25" s="3">
        <f t="shared" si="20"/>
        <v>1849.6129032258063</v>
      </c>
      <c r="R25" s="3">
        <v>57338</v>
      </c>
      <c r="S25" s="6">
        <v>31</v>
      </c>
      <c r="T25" s="3">
        <f t="shared" si="21"/>
        <v>1797.0270270270269</v>
      </c>
      <c r="U25" s="3">
        <v>26596</v>
      </c>
      <c r="V25" s="6">
        <v>14.8</v>
      </c>
      <c r="W25" s="3">
        <f t="shared" si="22"/>
        <v>953.40517241379314</v>
      </c>
      <c r="X25" s="3">
        <v>22119</v>
      </c>
      <c r="Y25" s="6">
        <v>23.2</v>
      </c>
      <c r="Z25" s="3" t="e">
        <f t="shared" si="23"/>
        <v>#DIV/0!</v>
      </c>
      <c r="AA25" s="3">
        <v>0</v>
      </c>
      <c r="AB25" s="6">
        <v>0</v>
      </c>
      <c r="AC25" s="3">
        <f t="shared" si="24"/>
        <v>1193.939393939394</v>
      </c>
      <c r="AD25" s="3">
        <v>39400</v>
      </c>
      <c r="AE25" s="6">
        <v>33</v>
      </c>
      <c r="AF25" s="3">
        <f t="shared" si="25"/>
        <v>930.72375527840518</v>
      </c>
      <c r="AG25" s="3">
        <v>947756</v>
      </c>
      <c r="AH25" s="6">
        <v>1018.3</v>
      </c>
      <c r="AI25" s="3" t="e">
        <f t="shared" si="26"/>
        <v>#DIV/0!</v>
      </c>
      <c r="AJ25" s="3">
        <v>0</v>
      </c>
      <c r="AK25" s="6">
        <v>0</v>
      </c>
      <c r="AL25" s="3">
        <f t="shared" si="27"/>
        <v>1175.5494505494505</v>
      </c>
      <c r="AM25" s="3">
        <v>21395</v>
      </c>
      <c r="AN25" s="6">
        <v>18.2</v>
      </c>
      <c r="AO25" s="3">
        <f t="shared" si="12"/>
        <v>921.74266166409177</v>
      </c>
      <c r="AP25" s="3">
        <f t="shared" si="15"/>
        <v>2088208</v>
      </c>
      <c r="AQ25" s="6">
        <f t="shared" si="14"/>
        <v>2265.5</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20" t="s">
        <v>38</v>
      </c>
      <c r="B26" s="23"/>
      <c r="C26" s="23"/>
      <c r="D26" s="23"/>
      <c r="E26" s="3">
        <f t="shared" si="16"/>
        <v>1350.9090909090908</v>
      </c>
      <c r="F26" s="3">
        <v>11888</v>
      </c>
      <c r="G26" s="6">
        <v>8.8000000000000007</v>
      </c>
      <c r="H26" s="3">
        <f t="shared" si="17"/>
        <v>1950</v>
      </c>
      <c r="I26" s="3">
        <v>3120</v>
      </c>
      <c r="J26" s="6">
        <v>1.6</v>
      </c>
      <c r="K26" s="3">
        <f t="shared" si="18"/>
        <v>1249.268292682927</v>
      </c>
      <c r="L26" s="3">
        <v>10244</v>
      </c>
      <c r="M26" s="6">
        <v>8.1999999999999993</v>
      </c>
      <c r="N26" s="3">
        <f t="shared" si="19"/>
        <v>1675.7894736842104</v>
      </c>
      <c r="O26" s="3">
        <v>19104</v>
      </c>
      <c r="P26" s="6">
        <v>11.4</v>
      </c>
      <c r="Q26" s="3">
        <f t="shared" si="20"/>
        <v>1128.7878787878788</v>
      </c>
      <c r="R26" s="3">
        <v>11175</v>
      </c>
      <c r="S26" s="6">
        <v>9.9</v>
      </c>
      <c r="T26" s="3">
        <f t="shared" si="21"/>
        <v>1510.344827586207</v>
      </c>
      <c r="U26" s="3">
        <v>4380</v>
      </c>
      <c r="V26" s="6">
        <v>2.9</v>
      </c>
      <c r="W26" s="3">
        <f t="shared" si="22"/>
        <v>1873.0434782608697</v>
      </c>
      <c r="X26" s="3">
        <v>4308</v>
      </c>
      <c r="Y26" s="6">
        <v>2.2999999999999998</v>
      </c>
      <c r="Z26" s="3">
        <f t="shared" si="23"/>
        <v>838.37209302325584</v>
      </c>
      <c r="AA26" s="3">
        <v>3605</v>
      </c>
      <c r="AB26" s="6">
        <v>4.3</v>
      </c>
      <c r="AC26" s="3">
        <f t="shared" si="24"/>
        <v>2906.6666666666665</v>
      </c>
      <c r="AD26" s="3">
        <v>2616</v>
      </c>
      <c r="AE26" s="6">
        <v>0.9</v>
      </c>
      <c r="AF26" s="3">
        <f t="shared" si="25"/>
        <v>2029.5652173913045</v>
      </c>
      <c r="AG26" s="3">
        <v>4668</v>
      </c>
      <c r="AH26" s="6">
        <v>2.2999999999999998</v>
      </c>
      <c r="AI26" s="3">
        <f t="shared" si="26"/>
        <v>3611.1111111111109</v>
      </c>
      <c r="AJ26" s="3">
        <v>3250</v>
      </c>
      <c r="AK26" s="6">
        <v>0.9</v>
      </c>
      <c r="AL26" s="3">
        <f t="shared" si="27"/>
        <v>1586</v>
      </c>
      <c r="AM26" s="3">
        <v>15067</v>
      </c>
      <c r="AN26" s="6">
        <v>9.5</v>
      </c>
      <c r="AO26" s="3">
        <f t="shared" si="12"/>
        <v>1482.9365079365082</v>
      </c>
      <c r="AP26" s="3">
        <f t="shared" si="15"/>
        <v>93425</v>
      </c>
      <c r="AQ26" s="6">
        <f t="shared" si="14"/>
        <v>62.999999999999986</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20" t="s">
        <v>47</v>
      </c>
      <c r="B27" s="23"/>
      <c r="C27" s="23"/>
      <c r="D27" s="23"/>
      <c r="E27" s="3">
        <f t="shared" si="16"/>
        <v>1567.1666666666667</v>
      </c>
      <c r="F27" s="3">
        <v>28209</v>
      </c>
      <c r="G27" s="6">
        <v>18</v>
      </c>
      <c r="H27" s="3" t="e">
        <f t="shared" si="17"/>
        <v>#DIV/0!</v>
      </c>
      <c r="I27" s="3">
        <v>0</v>
      </c>
      <c r="J27" s="6">
        <v>0</v>
      </c>
      <c r="K27" s="3">
        <f t="shared" si="18"/>
        <v>1551.4285714285713</v>
      </c>
      <c r="L27" s="3">
        <v>15204</v>
      </c>
      <c r="M27" s="6">
        <v>9.8000000000000007</v>
      </c>
      <c r="N27" s="3">
        <f t="shared" si="19"/>
        <v>1621.8867924528302</v>
      </c>
      <c r="O27" s="3">
        <v>42980</v>
      </c>
      <c r="P27" s="6">
        <v>26.5</v>
      </c>
      <c r="Q27" s="3">
        <f t="shared" si="20"/>
        <v>1728.125</v>
      </c>
      <c r="R27" s="3">
        <v>8295</v>
      </c>
      <c r="S27" s="6">
        <v>4.8</v>
      </c>
      <c r="T27" s="3">
        <f t="shared" si="21"/>
        <v>1682.171052631579</v>
      </c>
      <c r="U27" s="3">
        <v>25569</v>
      </c>
      <c r="V27" s="6">
        <v>15.2</v>
      </c>
      <c r="W27" s="3">
        <f t="shared" si="22"/>
        <v>1617.8061224489795</v>
      </c>
      <c r="X27" s="3">
        <v>31709</v>
      </c>
      <c r="Y27" s="6">
        <v>19.600000000000001</v>
      </c>
      <c r="Z27" s="3">
        <f t="shared" si="23"/>
        <v>1465.3658536585367</v>
      </c>
      <c r="AA27" s="3">
        <v>6008</v>
      </c>
      <c r="AB27" s="6">
        <v>4.0999999999999996</v>
      </c>
      <c r="AC27" s="3">
        <f t="shared" si="24"/>
        <v>1585.3982300884954</v>
      </c>
      <c r="AD27" s="3">
        <v>17915</v>
      </c>
      <c r="AE27" s="6">
        <v>11.3</v>
      </c>
      <c r="AF27" s="3">
        <f t="shared" si="25"/>
        <v>1546.1616161616162</v>
      </c>
      <c r="AG27" s="3">
        <v>15307</v>
      </c>
      <c r="AH27" s="6">
        <v>9.9</v>
      </c>
      <c r="AI27" s="3">
        <f t="shared" si="26"/>
        <v>1684.5833333333335</v>
      </c>
      <c r="AJ27" s="3">
        <v>8086</v>
      </c>
      <c r="AK27" s="6">
        <v>4.8</v>
      </c>
      <c r="AL27" s="3">
        <f t="shared" si="27"/>
        <v>1591.4606741573034</v>
      </c>
      <c r="AM27" s="3">
        <v>14164</v>
      </c>
      <c r="AN27" s="6">
        <v>8.9</v>
      </c>
      <c r="AO27" s="3">
        <f t="shared" si="12"/>
        <v>1606.0647103085025</v>
      </c>
      <c r="AP27" s="3">
        <f t="shared" si="15"/>
        <v>213446</v>
      </c>
      <c r="AQ27" s="6">
        <f t="shared" si="14"/>
        <v>132.9</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20" t="s">
        <v>50</v>
      </c>
      <c r="B28" s="23"/>
      <c r="C28" s="23"/>
      <c r="D28" s="23"/>
      <c r="E28" s="3">
        <f t="shared" si="16"/>
        <v>1693.3333333333333</v>
      </c>
      <c r="F28" s="3">
        <v>7620</v>
      </c>
      <c r="G28" s="6">
        <v>4.5</v>
      </c>
      <c r="H28" s="3">
        <f t="shared" si="17"/>
        <v>1499.015873015873</v>
      </c>
      <c r="I28" s="3">
        <v>47219</v>
      </c>
      <c r="J28" s="6">
        <v>31.5</v>
      </c>
      <c r="K28" s="3">
        <f t="shared" si="18"/>
        <v>1871.7365269461079</v>
      </c>
      <c r="L28" s="3">
        <v>31258</v>
      </c>
      <c r="M28" s="6">
        <v>16.7</v>
      </c>
      <c r="N28" s="3">
        <f t="shared" si="19"/>
        <v>2143.9285714285716</v>
      </c>
      <c r="O28" s="3">
        <v>12006</v>
      </c>
      <c r="P28" s="6">
        <v>5.6</v>
      </c>
      <c r="Q28" s="3">
        <f t="shared" si="20"/>
        <v>2225.3333333333335</v>
      </c>
      <c r="R28" s="3">
        <v>3338</v>
      </c>
      <c r="S28" s="6">
        <v>1.5</v>
      </c>
      <c r="T28" s="3">
        <f t="shared" si="21"/>
        <v>958.24561403508767</v>
      </c>
      <c r="U28" s="3">
        <v>5462</v>
      </c>
      <c r="V28" s="6">
        <v>5.7</v>
      </c>
      <c r="W28" s="3">
        <f t="shared" si="22"/>
        <v>1643.943661971831</v>
      </c>
      <c r="X28" s="3">
        <v>11672</v>
      </c>
      <c r="Y28" s="6">
        <v>7.1</v>
      </c>
      <c r="Z28" s="3">
        <f t="shared" si="23"/>
        <v>1610.2439024390246</v>
      </c>
      <c r="AA28" s="3">
        <v>26408</v>
      </c>
      <c r="AB28" s="6">
        <v>16.399999999999999</v>
      </c>
      <c r="AC28" s="3">
        <f t="shared" si="24"/>
        <v>1378.5407725321888</v>
      </c>
      <c r="AD28" s="3">
        <v>32120</v>
      </c>
      <c r="AE28" s="6">
        <v>23.3</v>
      </c>
      <c r="AF28" s="3">
        <f t="shared" si="25"/>
        <v>1483.2835820895523</v>
      </c>
      <c r="AG28" s="3">
        <v>9938</v>
      </c>
      <c r="AH28" s="6">
        <v>6.7</v>
      </c>
      <c r="AI28" s="3">
        <f t="shared" si="26"/>
        <v>1919.4594594594594</v>
      </c>
      <c r="AJ28" s="3">
        <v>14204</v>
      </c>
      <c r="AK28" s="6">
        <v>7.4</v>
      </c>
      <c r="AL28" s="3">
        <f t="shared" si="27"/>
        <v>2018.5714285714287</v>
      </c>
      <c r="AM28" s="3">
        <v>11304</v>
      </c>
      <c r="AN28" s="6">
        <v>5.6</v>
      </c>
      <c r="AO28" s="3">
        <f t="shared" si="12"/>
        <v>1610.219696969697</v>
      </c>
      <c r="AP28" s="3">
        <f t="shared" si="15"/>
        <v>212549</v>
      </c>
      <c r="AQ28" s="6">
        <f t="shared" si="14"/>
        <v>132</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20" t="s">
        <v>82</v>
      </c>
      <c r="B29" s="23"/>
      <c r="C29" s="23"/>
      <c r="D29" s="23"/>
      <c r="E29" s="3" t="e">
        <f t="shared" si="16"/>
        <v>#DIV/0!</v>
      </c>
      <c r="F29" s="3">
        <v>0</v>
      </c>
      <c r="G29" s="6">
        <v>0</v>
      </c>
      <c r="H29" s="3" t="e">
        <f t="shared" si="17"/>
        <v>#DIV/0!</v>
      </c>
      <c r="I29" s="3">
        <v>0</v>
      </c>
      <c r="J29" s="6">
        <v>0</v>
      </c>
      <c r="K29" s="3" t="e">
        <f t="shared" si="18"/>
        <v>#DIV/0!</v>
      </c>
      <c r="L29" s="3">
        <v>0</v>
      </c>
      <c r="M29" s="6">
        <v>0</v>
      </c>
      <c r="N29" s="3" t="e">
        <f t="shared" si="19"/>
        <v>#DIV/0!</v>
      </c>
      <c r="O29" s="3">
        <v>0</v>
      </c>
      <c r="P29" s="6">
        <v>0</v>
      </c>
      <c r="Q29" s="3" t="e">
        <f t="shared" si="20"/>
        <v>#DIV/0!</v>
      </c>
      <c r="R29" s="3">
        <v>0</v>
      </c>
      <c r="S29" s="6">
        <v>0</v>
      </c>
      <c r="T29" s="3" t="e">
        <f t="shared" si="21"/>
        <v>#DIV/0!</v>
      </c>
      <c r="U29" s="3">
        <v>0</v>
      </c>
      <c r="V29" s="6">
        <v>0</v>
      </c>
      <c r="W29" s="3" t="e">
        <f t="shared" si="22"/>
        <v>#DIV/0!</v>
      </c>
      <c r="X29" s="3">
        <v>0</v>
      </c>
      <c r="Y29" s="6">
        <v>0</v>
      </c>
      <c r="Z29" s="3" t="e">
        <f t="shared" si="23"/>
        <v>#DIV/0!</v>
      </c>
      <c r="AA29" s="3">
        <v>0</v>
      </c>
      <c r="AB29" s="6">
        <v>0</v>
      </c>
      <c r="AC29" s="3" t="e">
        <f t="shared" si="24"/>
        <v>#DIV/0!</v>
      </c>
      <c r="AD29" s="3">
        <v>0</v>
      </c>
      <c r="AE29" s="6">
        <v>0</v>
      </c>
      <c r="AF29" s="3" t="e">
        <f t="shared" si="25"/>
        <v>#DIV/0!</v>
      </c>
      <c r="AG29" s="3">
        <v>0</v>
      </c>
      <c r="AH29" s="6">
        <v>0</v>
      </c>
      <c r="AI29" s="3" t="e">
        <f t="shared" si="26"/>
        <v>#DIV/0!</v>
      </c>
      <c r="AJ29" s="3">
        <v>0</v>
      </c>
      <c r="AK29" s="6">
        <v>0</v>
      </c>
      <c r="AL29" s="3">
        <f t="shared" si="27"/>
        <v>1555.5555555555557</v>
      </c>
      <c r="AM29" s="3">
        <v>7000</v>
      </c>
      <c r="AN29" s="6">
        <v>4.5</v>
      </c>
      <c r="AO29" s="3">
        <f t="shared" si="12"/>
        <v>1555.5555555555557</v>
      </c>
      <c r="AP29" s="3">
        <f t="shared" si="15"/>
        <v>7000</v>
      </c>
      <c r="AQ29" s="6">
        <f t="shared" si="14"/>
        <v>4.5</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20" t="s">
        <v>26</v>
      </c>
      <c r="B30" s="23"/>
      <c r="C30" s="23"/>
      <c r="D30" s="23"/>
      <c r="E30" s="3" t="e">
        <f t="shared" si="16"/>
        <v>#DIV/0!</v>
      </c>
      <c r="F30" s="3">
        <v>0</v>
      </c>
      <c r="G30" s="6">
        <v>0</v>
      </c>
      <c r="H30" s="3" t="e">
        <f t="shared" si="17"/>
        <v>#DIV/0!</v>
      </c>
      <c r="I30" s="3">
        <v>0</v>
      </c>
      <c r="J30" s="6">
        <v>0</v>
      </c>
      <c r="K30" s="3" t="e">
        <f t="shared" si="18"/>
        <v>#DIV/0!</v>
      </c>
      <c r="L30" s="3">
        <v>0</v>
      </c>
      <c r="M30" s="6">
        <v>0</v>
      </c>
      <c r="N30" s="3" t="e">
        <f t="shared" si="19"/>
        <v>#DIV/0!</v>
      </c>
      <c r="O30" s="3">
        <v>0</v>
      </c>
      <c r="P30" s="6">
        <v>0</v>
      </c>
      <c r="Q30" s="3" t="e">
        <f t="shared" si="20"/>
        <v>#DIV/0!</v>
      </c>
      <c r="R30" s="3">
        <v>0</v>
      </c>
      <c r="S30" s="6">
        <v>0</v>
      </c>
      <c r="T30" s="3" t="e">
        <f t="shared" si="21"/>
        <v>#DIV/0!</v>
      </c>
      <c r="U30" s="3">
        <v>0</v>
      </c>
      <c r="V30" s="6">
        <v>0</v>
      </c>
      <c r="W30" s="3" t="e">
        <f t="shared" si="22"/>
        <v>#DIV/0!</v>
      </c>
      <c r="X30" s="3">
        <v>0</v>
      </c>
      <c r="Y30" s="6">
        <v>0</v>
      </c>
      <c r="Z30" s="3" t="e">
        <f t="shared" si="23"/>
        <v>#DIV/0!</v>
      </c>
      <c r="AA30" s="3">
        <v>0</v>
      </c>
      <c r="AB30" s="6">
        <v>0</v>
      </c>
      <c r="AC30" s="3" t="e">
        <f t="shared" si="24"/>
        <v>#DIV/0!</v>
      </c>
      <c r="AD30" s="3">
        <v>0</v>
      </c>
      <c r="AE30" s="6">
        <v>0</v>
      </c>
      <c r="AF30" s="3" t="e">
        <f t="shared" si="25"/>
        <v>#DIV/0!</v>
      </c>
      <c r="AG30" s="3">
        <v>0</v>
      </c>
      <c r="AH30" s="6">
        <v>0</v>
      </c>
      <c r="AI30" s="3" t="e">
        <f t="shared" si="26"/>
        <v>#DIV/0!</v>
      </c>
      <c r="AJ30" s="3">
        <v>0</v>
      </c>
      <c r="AK30" s="6">
        <v>0</v>
      </c>
      <c r="AL30" s="3">
        <f t="shared" si="27"/>
        <v>1378.3333333333335</v>
      </c>
      <c r="AM30" s="3">
        <v>3308</v>
      </c>
      <c r="AN30" s="6">
        <v>2.4</v>
      </c>
      <c r="AO30" s="3">
        <f t="shared" si="12"/>
        <v>1378.3333333333335</v>
      </c>
      <c r="AP30" s="3">
        <f t="shared" si="15"/>
        <v>3308</v>
      </c>
      <c r="AQ30" s="6">
        <f t="shared" si="14"/>
        <v>2.4</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20" t="s">
        <v>80</v>
      </c>
      <c r="B31" s="23"/>
      <c r="C31" s="23"/>
      <c r="D31" s="23"/>
      <c r="E31" s="3">
        <f t="shared" si="16"/>
        <v>1026.0714285714287</v>
      </c>
      <c r="F31" s="3">
        <v>2873</v>
      </c>
      <c r="G31" s="6">
        <v>2.8</v>
      </c>
      <c r="H31" s="3" t="e">
        <f t="shared" si="17"/>
        <v>#DIV/0!</v>
      </c>
      <c r="I31" s="3">
        <v>0</v>
      </c>
      <c r="J31" s="6">
        <v>0</v>
      </c>
      <c r="K31" s="3" t="e">
        <f t="shared" si="18"/>
        <v>#DIV/0!</v>
      </c>
      <c r="L31" s="3">
        <v>0</v>
      </c>
      <c r="M31" s="6">
        <v>0</v>
      </c>
      <c r="N31" s="3" t="e">
        <f t="shared" si="19"/>
        <v>#DIV/0!</v>
      </c>
      <c r="O31" s="3">
        <v>0</v>
      </c>
      <c r="P31" s="6">
        <v>0</v>
      </c>
      <c r="Q31" s="3" t="e">
        <f t="shared" si="20"/>
        <v>#DIV/0!</v>
      </c>
      <c r="R31" s="3">
        <v>0</v>
      </c>
      <c r="S31" s="6">
        <v>0</v>
      </c>
      <c r="T31" s="3" t="e">
        <f t="shared" si="21"/>
        <v>#DIV/0!</v>
      </c>
      <c r="U31" s="3">
        <v>0</v>
      </c>
      <c r="V31" s="6">
        <v>0</v>
      </c>
      <c r="W31" s="3" t="e">
        <f t="shared" si="22"/>
        <v>#DIV/0!</v>
      </c>
      <c r="X31" s="3">
        <v>0</v>
      </c>
      <c r="Y31" s="6">
        <v>0</v>
      </c>
      <c r="Z31" s="3" t="e">
        <f t="shared" si="23"/>
        <v>#DIV/0!</v>
      </c>
      <c r="AA31" s="3">
        <v>0</v>
      </c>
      <c r="AB31" s="6">
        <v>0</v>
      </c>
      <c r="AC31" s="3" t="e">
        <f t="shared" si="24"/>
        <v>#DIV/0!</v>
      </c>
      <c r="AD31" s="3">
        <v>0</v>
      </c>
      <c r="AE31" s="6">
        <v>0</v>
      </c>
      <c r="AF31" s="3" t="e">
        <f t="shared" si="25"/>
        <v>#DIV/0!</v>
      </c>
      <c r="AG31" s="3">
        <v>0</v>
      </c>
      <c r="AH31" s="6">
        <v>0</v>
      </c>
      <c r="AI31" s="3" t="e">
        <f t="shared" si="26"/>
        <v>#DIV/0!</v>
      </c>
      <c r="AJ31" s="3">
        <v>0</v>
      </c>
      <c r="AK31" s="6">
        <v>0</v>
      </c>
      <c r="AL31" s="3">
        <f t="shared" si="27"/>
        <v>1395</v>
      </c>
      <c r="AM31" s="3">
        <v>2790</v>
      </c>
      <c r="AN31" s="6">
        <v>2</v>
      </c>
      <c r="AO31" s="3">
        <f t="shared" si="12"/>
        <v>1179.7916666666667</v>
      </c>
      <c r="AP31" s="3">
        <f t="shared" si="15"/>
        <v>5663</v>
      </c>
      <c r="AQ31" s="6">
        <f t="shared" si="14"/>
        <v>4.8</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20" t="s">
        <v>83</v>
      </c>
      <c r="B32" s="23"/>
      <c r="C32" s="23"/>
      <c r="D32" s="23"/>
      <c r="E32" s="3" t="e">
        <f t="shared" si="16"/>
        <v>#DIV/0!</v>
      </c>
      <c r="F32" s="3">
        <v>0</v>
      </c>
      <c r="G32" s="6">
        <v>0</v>
      </c>
      <c r="H32" s="3" t="e">
        <f t="shared" si="17"/>
        <v>#DIV/0!</v>
      </c>
      <c r="I32" s="3">
        <v>0</v>
      </c>
      <c r="J32" s="6">
        <v>0</v>
      </c>
      <c r="K32" s="3" t="e">
        <f t="shared" si="18"/>
        <v>#DIV/0!</v>
      </c>
      <c r="L32" s="3">
        <v>0</v>
      </c>
      <c r="M32" s="6">
        <v>0</v>
      </c>
      <c r="N32" s="3">
        <f t="shared" si="19"/>
        <v>4574.4230769230771</v>
      </c>
      <c r="O32" s="3">
        <v>95148</v>
      </c>
      <c r="P32" s="6">
        <v>20.8</v>
      </c>
      <c r="Q32" s="3">
        <f t="shared" si="20"/>
        <v>4560.9230769230771</v>
      </c>
      <c r="R32" s="3">
        <v>118584</v>
      </c>
      <c r="S32" s="6">
        <v>26</v>
      </c>
      <c r="T32" s="3" t="e">
        <f t="shared" si="21"/>
        <v>#DIV/0!</v>
      </c>
      <c r="U32" s="3">
        <v>0</v>
      </c>
      <c r="V32" s="6">
        <v>0</v>
      </c>
      <c r="W32" s="3" t="e">
        <f t="shared" si="22"/>
        <v>#DIV/0!</v>
      </c>
      <c r="X32" s="3">
        <v>0</v>
      </c>
      <c r="Y32" s="6">
        <v>0</v>
      </c>
      <c r="Z32" s="3" t="e">
        <f t="shared" si="23"/>
        <v>#DIV/0!</v>
      </c>
      <c r="AA32" s="3">
        <v>0</v>
      </c>
      <c r="AB32" s="6">
        <v>0</v>
      </c>
      <c r="AC32" s="3" t="e">
        <f t="shared" si="24"/>
        <v>#DIV/0!</v>
      </c>
      <c r="AD32" s="3">
        <v>0</v>
      </c>
      <c r="AE32" s="6">
        <v>0</v>
      </c>
      <c r="AF32" s="3" t="e">
        <f t="shared" si="25"/>
        <v>#DIV/0!</v>
      </c>
      <c r="AG32" s="3">
        <v>0</v>
      </c>
      <c r="AH32" s="6">
        <v>0</v>
      </c>
      <c r="AI32" s="3" t="e">
        <f t="shared" si="26"/>
        <v>#DIV/0!</v>
      </c>
      <c r="AJ32" s="3">
        <v>0</v>
      </c>
      <c r="AK32" s="6">
        <v>0</v>
      </c>
      <c r="AL32" s="3" t="e">
        <f t="shared" si="27"/>
        <v>#DIV/0!</v>
      </c>
      <c r="AM32" s="3">
        <v>0</v>
      </c>
      <c r="AN32" s="6">
        <v>0</v>
      </c>
      <c r="AO32" s="3">
        <f t="shared" si="12"/>
        <v>4566.9230769230771</v>
      </c>
      <c r="AP32" s="3">
        <f t="shared" si="15"/>
        <v>213732</v>
      </c>
      <c r="AQ32" s="6">
        <f t="shared" si="14"/>
        <v>46.8</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20" t="s">
        <v>46</v>
      </c>
      <c r="B33" s="23"/>
      <c r="C33" s="23"/>
      <c r="D33" s="23"/>
      <c r="E33" s="3">
        <f t="shared" si="16"/>
        <v>1241.259842519685</v>
      </c>
      <c r="F33" s="3">
        <v>47292</v>
      </c>
      <c r="G33" s="6">
        <v>38.1</v>
      </c>
      <c r="H33" s="3">
        <f t="shared" si="17"/>
        <v>1131.015503875969</v>
      </c>
      <c r="I33" s="3">
        <v>145901</v>
      </c>
      <c r="J33" s="6">
        <v>129</v>
      </c>
      <c r="K33" s="3">
        <f t="shared" si="18"/>
        <v>1063.023983315954</v>
      </c>
      <c r="L33" s="3">
        <v>101944</v>
      </c>
      <c r="M33" s="6">
        <v>95.9</v>
      </c>
      <c r="N33" s="3" t="e">
        <f t="shared" si="19"/>
        <v>#DIV/0!</v>
      </c>
      <c r="O33" s="3">
        <v>0</v>
      </c>
      <c r="P33" s="6">
        <v>0</v>
      </c>
      <c r="Q33" s="3" t="e">
        <f t="shared" si="20"/>
        <v>#DIV/0!</v>
      </c>
      <c r="R33" s="3">
        <v>0</v>
      </c>
      <c r="S33" s="6">
        <v>0</v>
      </c>
      <c r="T33" s="3" t="e">
        <f t="shared" si="21"/>
        <v>#DIV/0!</v>
      </c>
      <c r="U33" s="3">
        <v>0</v>
      </c>
      <c r="V33" s="6">
        <v>0</v>
      </c>
      <c r="W33" s="3" t="e">
        <f t="shared" si="22"/>
        <v>#DIV/0!</v>
      </c>
      <c r="X33" s="3">
        <v>0</v>
      </c>
      <c r="Y33" s="6">
        <v>0</v>
      </c>
      <c r="Z33" s="3" t="e">
        <f t="shared" si="23"/>
        <v>#DIV/0!</v>
      </c>
      <c r="AA33" s="3">
        <v>0</v>
      </c>
      <c r="AB33" s="6">
        <v>0</v>
      </c>
      <c r="AC33" s="3">
        <f t="shared" si="24"/>
        <v>1126.3478260869565</v>
      </c>
      <c r="AD33" s="3">
        <v>51812</v>
      </c>
      <c r="AE33" s="6">
        <v>46</v>
      </c>
      <c r="AF33" s="3">
        <f t="shared" si="25"/>
        <v>959.91266375545854</v>
      </c>
      <c r="AG33" s="3">
        <v>21982</v>
      </c>
      <c r="AH33" s="6">
        <v>22.9</v>
      </c>
      <c r="AI33" s="3">
        <f t="shared" si="26"/>
        <v>1163.3456334563346</v>
      </c>
      <c r="AJ33" s="3">
        <v>94580</v>
      </c>
      <c r="AK33" s="6">
        <v>81.3</v>
      </c>
      <c r="AL33" s="3" t="e">
        <f t="shared" si="27"/>
        <v>#DIV/0!</v>
      </c>
      <c r="AM33" s="3">
        <v>0</v>
      </c>
      <c r="AN33" s="6">
        <v>0</v>
      </c>
      <c r="AO33" s="3">
        <f t="shared" si="12"/>
        <v>1121.7594385285577</v>
      </c>
      <c r="AP33" s="3">
        <f t="shared" si="15"/>
        <v>463511</v>
      </c>
      <c r="AQ33" s="6">
        <f t="shared" si="14"/>
        <v>413.2</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20" t="s">
        <v>59</v>
      </c>
      <c r="B34" s="23"/>
      <c r="C34" s="23"/>
      <c r="D34" s="23"/>
      <c r="E34" s="3">
        <f t="shared" si="16"/>
        <v>2073.9473684210529</v>
      </c>
      <c r="F34" s="3">
        <v>7881</v>
      </c>
      <c r="G34" s="6">
        <v>3.8</v>
      </c>
      <c r="H34" s="3">
        <f t="shared" si="17"/>
        <v>2397.6923076923076</v>
      </c>
      <c r="I34" s="3">
        <v>15585</v>
      </c>
      <c r="J34" s="6">
        <v>6.5</v>
      </c>
      <c r="K34" s="3">
        <f t="shared" si="18"/>
        <v>1754</v>
      </c>
      <c r="L34" s="3">
        <v>15786</v>
      </c>
      <c r="M34" s="6">
        <v>9</v>
      </c>
      <c r="N34" s="3">
        <f t="shared" si="19"/>
        <v>1592.8260869565217</v>
      </c>
      <c r="O34" s="3">
        <v>14654</v>
      </c>
      <c r="P34" s="6">
        <v>9.1999999999999993</v>
      </c>
      <c r="Q34" s="3">
        <f t="shared" si="20"/>
        <v>1795.408163265306</v>
      </c>
      <c r="R34" s="3">
        <v>17595</v>
      </c>
      <c r="S34" s="6">
        <v>9.8000000000000007</v>
      </c>
      <c r="T34" s="3">
        <f t="shared" si="21"/>
        <v>3458.0833333333335</v>
      </c>
      <c r="U34" s="3">
        <v>41497</v>
      </c>
      <c r="V34" s="6">
        <v>12</v>
      </c>
      <c r="W34" s="3">
        <f t="shared" si="22"/>
        <v>2124.4444444444443</v>
      </c>
      <c r="X34" s="3">
        <v>17208</v>
      </c>
      <c r="Y34" s="6">
        <v>8.1</v>
      </c>
      <c r="Z34" s="3">
        <f t="shared" si="23"/>
        <v>1420</v>
      </c>
      <c r="AA34" s="3">
        <v>7526</v>
      </c>
      <c r="AB34" s="6">
        <v>5.3</v>
      </c>
      <c r="AC34" s="3">
        <f t="shared" si="24"/>
        <v>1946.9736842105265</v>
      </c>
      <c r="AD34" s="3">
        <v>14797</v>
      </c>
      <c r="AE34" s="6">
        <v>7.6</v>
      </c>
      <c r="AF34" s="3">
        <f t="shared" si="25"/>
        <v>1279.3604651162791</v>
      </c>
      <c r="AG34" s="3">
        <v>22005</v>
      </c>
      <c r="AH34" s="6">
        <v>17.2</v>
      </c>
      <c r="AI34" s="3">
        <f t="shared" si="26"/>
        <v>1640.5681818181818</v>
      </c>
      <c r="AJ34" s="3">
        <v>14437</v>
      </c>
      <c r="AK34" s="6">
        <v>8.8000000000000007</v>
      </c>
      <c r="AL34" s="3" t="e">
        <f t="shared" si="27"/>
        <v>#DIV/0!</v>
      </c>
      <c r="AM34" s="3">
        <v>0</v>
      </c>
      <c r="AN34" s="6">
        <v>0</v>
      </c>
      <c r="AO34" s="3">
        <f t="shared" si="12"/>
        <v>1942.1479958890031</v>
      </c>
      <c r="AP34" s="3">
        <f t="shared" si="15"/>
        <v>188971</v>
      </c>
      <c r="AQ34" s="6">
        <f t="shared" si="14"/>
        <v>97.3</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20" t="s">
        <v>28</v>
      </c>
      <c r="B35" s="23"/>
      <c r="C35" s="23"/>
      <c r="D35" s="23"/>
      <c r="E35" s="3" t="e">
        <f t="shared" si="16"/>
        <v>#DIV/0!</v>
      </c>
      <c r="F35" s="3">
        <v>0</v>
      </c>
      <c r="G35" s="6">
        <v>0</v>
      </c>
      <c r="H35" s="3" t="e">
        <f t="shared" si="17"/>
        <v>#DIV/0!</v>
      </c>
      <c r="I35" s="3">
        <v>0</v>
      </c>
      <c r="J35" s="6">
        <v>0</v>
      </c>
      <c r="K35" s="3" t="e">
        <f t="shared" si="18"/>
        <v>#DIV/0!</v>
      </c>
      <c r="L35" s="3">
        <v>0</v>
      </c>
      <c r="M35" s="6">
        <v>0</v>
      </c>
      <c r="N35" s="3">
        <f t="shared" si="19"/>
        <v>1819.3548387096773</v>
      </c>
      <c r="O35" s="3">
        <v>5640</v>
      </c>
      <c r="P35" s="6">
        <v>3.1</v>
      </c>
      <c r="Q35" s="3">
        <f t="shared" si="20"/>
        <v>1544.1860465116279</v>
      </c>
      <c r="R35" s="3">
        <v>13280</v>
      </c>
      <c r="S35" s="6">
        <v>8.6</v>
      </c>
      <c r="T35" s="3" t="e">
        <f t="shared" si="21"/>
        <v>#DIV/0!</v>
      </c>
      <c r="U35" s="3">
        <v>0</v>
      </c>
      <c r="V35" s="6">
        <v>0</v>
      </c>
      <c r="W35" s="3">
        <f t="shared" si="22"/>
        <v>1794.5454545454545</v>
      </c>
      <c r="X35" s="3">
        <v>13818</v>
      </c>
      <c r="Y35" s="6">
        <v>7.7</v>
      </c>
      <c r="Z35" s="3" t="e">
        <f t="shared" si="23"/>
        <v>#DIV/0!</v>
      </c>
      <c r="AA35" s="3">
        <v>0</v>
      </c>
      <c r="AB35" s="6">
        <v>0</v>
      </c>
      <c r="AC35" s="3" t="e">
        <f t="shared" si="24"/>
        <v>#DIV/0!</v>
      </c>
      <c r="AD35" s="3">
        <v>0</v>
      </c>
      <c r="AE35" s="6">
        <v>0</v>
      </c>
      <c r="AF35" s="3">
        <f t="shared" si="25"/>
        <v>1160</v>
      </c>
      <c r="AG35" s="3">
        <v>5220</v>
      </c>
      <c r="AH35" s="6">
        <v>4.5</v>
      </c>
      <c r="AI35" s="3">
        <f t="shared" si="26"/>
        <v>3576.6666666666665</v>
      </c>
      <c r="AJ35" s="3">
        <v>85840</v>
      </c>
      <c r="AK35" s="6">
        <v>24</v>
      </c>
      <c r="AL35" s="3" t="e">
        <f t="shared" si="27"/>
        <v>#DIV/0!</v>
      </c>
      <c r="AM35" s="3">
        <v>0</v>
      </c>
      <c r="AN35" s="6">
        <v>0</v>
      </c>
      <c r="AO35" s="3">
        <f t="shared" si="12"/>
        <v>2584.509394572025</v>
      </c>
      <c r="AP35" s="3">
        <f t="shared" si="15"/>
        <v>123798</v>
      </c>
      <c r="AQ35" s="6">
        <f t="shared" si="14"/>
        <v>47.9</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20" t="s">
        <v>60</v>
      </c>
      <c r="B36" s="23"/>
      <c r="C36" s="23"/>
      <c r="D36" s="23"/>
      <c r="E36" s="3" t="e">
        <f t="shared" si="16"/>
        <v>#DIV/0!</v>
      </c>
      <c r="F36" s="3">
        <v>0</v>
      </c>
      <c r="G36" s="6">
        <v>0</v>
      </c>
      <c r="H36" s="3" t="e">
        <f t="shared" si="17"/>
        <v>#DIV/0!</v>
      </c>
      <c r="I36" s="3">
        <v>0</v>
      </c>
      <c r="J36" s="6">
        <v>0</v>
      </c>
      <c r="K36" s="3" t="e">
        <f t="shared" si="18"/>
        <v>#DIV/0!</v>
      </c>
      <c r="L36" s="3">
        <v>0</v>
      </c>
      <c r="M36" s="6">
        <v>0</v>
      </c>
      <c r="N36" s="3" t="e">
        <f t="shared" si="19"/>
        <v>#DIV/0!</v>
      </c>
      <c r="O36" s="3">
        <v>0</v>
      </c>
      <c r="P36" s="6">
        <v>0</v>
      </c>
      <c r="Q36" s="3" t="e">
        <f t="shared" si="20"/>
        <v>#DIV/0!</v>
      </c>
      <c r="R36" s="3">
        <v>0</v>
      </c>
      <c r="S36" s="6">
        <v>0</v>
      </c>
      <c r="T36" s="3" t="e">
        <f t="shared" si="21"/>
        <v>#DIV/0!</v>
      </c>
      <c r="U36" s="3">
        <v>0</v>
      </c>
      <c r="V36" s="6">
        <v>0</v>
      </c>
      <c r="W36" s="3">
        <f t="shared" si="22"/>
        <v>7708.3333333333339</v>
      </c>
      <c r="X36" s="3">
        <v>4625</v>
      </c>
      <c r="Y36" s="6">
        <v>0.6</v>
      </c>
      <c r="Z36" s="3" t="e">
        <f t="shared" si="23"/>
        <v>#DIV/0!</v>
      </c>
      <c r="AA36" s="3">
        <v>0</v>
      </c>
      <c r="AB36" s="6">
        <v>0</v>
      </c>
      <c r="AC36" s="3" t="e">
        <f t="shared" si="24"/>
        <v>#DIV/0!</v>
      </c>
      <c r="AD36" s="3">
        <v>0</v>
      </c>
      <c r="AE36" s="6">
        <v>0</v>
      </c>
      <c r="AF36" s="3" t="e">
        <f t="shared" si="25"/>
        <v>#DIV/0!</v>
      </c>
      <c r="AG36" s="3">
        <v>0</v>
      </c>
      <c r="AH36" s="6">
        <v>0</v>
      </c>
      <c r="AI36" s="3" t="e">
        <f t="shared" si="26"/>
        <v>#DIV/0!</v>
      </c>
      <c r="AJ36" s="3">
        <v>0</v>
      </c>
      <c r="AK36" s="6">
        <v>0</v>
      </c>
      <c r="AL36" s="3" t="e">
        <f t="shared" si="27"/>
        <v>#DIV/0!</v>
      </c>
      <c r="AM36" s="3">
        <v>0</v>
      </c>
      <c r="AN36" s="6">
        <v>0</v>
      </c>
      <c r="AO36" s="3">
        <f t="shared" si="12"/>
        <v>7708.3333333333339</v>
      </c>
      <c r="AP36" s="3">
        <f t="shared" si="15"/>
        <v>4625</v>
      </c>
      <c r="AQ36" s="6">
        <f t="shared" si="14"/>
        <v>0.6</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20" t="s">
        <v>61</v>
      </c>
      <c r="B37" s="23"/>
      <c r="C37" s="23"/>
      <c r="D37" s="23"/>
      <c r="E37" s="3" t="e">
        <f t="shared" si="16"/>
        <v>#DIV/0!</v>
      </c>
      <c r="F37" s="3">
        <v>0</v>
      </c>
      <c r="G37" s="6">
        <v>0</v>
      </c>
      <c r="H37" s="3" t="e">
        <f t="shared" si="17"/>
        <v>#DIV/0!</v>
      </c>
      <c r="I37" s="3">
        <v>0</v>
      </c>
      <c r="J37" s="6">
        <v>0</v>
      </c>
      <c r="K37" s="3" t="e">
        <f t="shared" si="18"/>
        <v>#DIV/0!</v>
      </c>
      <c r="L37" s="3">
        <v>0</v>
      </c>
      <c r="M37" s="6">
        <v>0</v>
      </c>
      <c r="N37" s="3" t="e">
        <f t="shared" si="19"/>
        <v>#DIV/0!</v>
      </c>
      <c r="O37" s="3">
        <v>0</v>
      </c>
      <c r="P37" s="6">
        <v>0</v>
      </c>
      <c r="Q37" s="3">
        <f t="shared" si="20"/>
        <v>2474.5454545454545</v>
      </c>
      <c r="R37" s="3">
        <v>8166</v>
      </c>
      <c r="S37" s="6">
        <v>3.3</v>
      </c>
      <c r="T37" s="3" t="e">
        <f t="shared" si="21"/>
        <v>#DIV/0!</v>
      </c>
      <c r="U37" s="3">
        <v>0</v>
      </c>
      <c r="V37" s="6">
        <v>0</v>
      </c>
      <c r="W37" s="3" t="e">
        <f t="shared" si="22"/>
        <v>#DIV/0!</v>
      </c>
      <c r="X37" s="3">
        <v>0</v>
      </c>
      <c r="Y37" s="6">
        <v>0</v>
      </c>
      <c r="Z37" s="3" t="e">
        <f t="shared" si="23"/>
        <v>#DIV/0!</v>
      </c>
      <c r="AA37" s="3">
        <v>0</v>
      </c>
      <c r="AB37" s="6">
        <v>0</v>
      </c>
      <c r="AC37" s="3" t="e">
        <f t="shared" si="24"/>
        <v>#DIV/0!</v>
      </c>
      <c r="AD37" s="3">
        <v>0</v>
      </c>
      <c r="AE37" s="6">
        <v>0</v>
      </c>
      <c r="AF37" s="3" t="e">
        <f t="shared" si="25"/>
        <v>#DIV/0!</v>
      </c>
      <c r="AG37" s="3">
        <v>0</v>
      </c>
      <c r="AH37" s="6">
        <v>0</v>
      </c>
      <c r="AI37" s="3">
        <f t="shared" si="26"/>
        <v>2300</v>
      </c>
      <c r="AJ37" s="3">
        <v>4830</v>
      </c>
      <c r="AK37" s="6">
        <v>2.1</v>
      </c>
      <c r="AL37" s="3" t="e">
        <f t="shared" si="27"/>
        <v>#DIV/0!</v>
      </c>
      <c r="AM37" s="3">
        <v>0</v>
      </c>
      <c r="AN37" s="6">
        <v>0</v>
      </c>
      <c r="AO37" s="3">
        <f t="shared" si="12"/>
        <v>2406.6666666666665</v>
      </c>
      <c r="AP37" s="3">
        <f t="shared" si="15"/>
        <v>12996</v>
      </c>
      <c r="AQ37" s="6">
        <f t="shared" si="14"/>
        <v>5.4</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20" t="s">
        <v>76</v>
      </c>
      <c r="B38" s="23"/>
      <c r="C38" s="23"/>
      <c r="D38" s="23"/>
      <c r="E38" s="3" t="e">
        <f t="shared" si="16"/>
        <v>#DIV/0!</v>
      </c>
      <c r="F38" s="3">
        <v>0</v>
      </c>
      <c r="G38" s="6">
        <v>0</v>
      </c>
      <c r="H38" s="3" t="e">
        <f t="shared" si="17"/>
        <v>#DIV/0!</v>
      </c>
      <c r="I38" s="3">
        <v>0</v>
      </c>
      <c r="J38" s="6">
        <v>0</v>
      </c>
      <c r="K38" s="3" t="e">
        <f t="shared" si="18"/>
        <v>#DIV/0!</v>
      </c>
      <c r="L38" s="3">
        <v>0</v>
      </c>
      <c r="M38" s="6">
        <v>0</v>
      </c>
      <c r="N38" s="3" t="e">
        <f t="shared" si="19"/>
        <v>#DIV/0!</v>
      </c>
      <c r="O38" s="3">
        <v>0</v>
      </c>
      <c r="P38" s="6">
        <v>0</v>
      </c>
      <c r="Q38" s="3" t="e">
        <f t="shared" si="20"/>
        <v>#DIV/0!</v>
      </c>
      <c r="R38" s="3">
        <v>0</v>
      </c>
      <c r="S38" s="6">
        <v>0</v>
      </c>
      <c r="T38" s="3">
        <f t="shared" si="21"/>
        <v>1084.7666666666667</v>
      </c>
      <c r="U38" s="3">
        <v>32543</v>
      </c>
      <c r="V38" s="6">
        <v>30</v>
      </c>
      <c r="W38" s="3" t="e">
        <f t="shared" si="22"/>
        <v>#DIV/0!</v>
      </c>
      <c r="X38" s="3">
        <v>0</v>
      </c>
      <c r="Y38" s="6">
        <v>0</v>
      </c>
      <c r="Z38" s="3" t="e">
        <f t="shared" si="23"/>
        <v>#DIV/0!</v>
      </c>
      <c r="AA38" s="3">
        <v>0</v>
      </c>
      <c r="AB38" s="6">
        <v>0</v>
      </c>
      <c r="AC38" s="3" t="e">
        <f t="shared" si="24"/>
        <v>#DIV/0!</v>
      </c>
      <c r="AD38" s="3">
        <v>0</v>
      </c>
      <c r="AE38" s="6">
        <v>0</v>
      </c>
      <c r="AF38" s="3" t="e">
        <f t="shared" si="25"/>
        <v>#DIV/0!</v>
      </c>
      <c r="AG38" s="3">
        <v>0</v>
      </c>
      <c r="AH38" s="6">
        <v>0</v>
      </c>
      <c r="AI38" s="3" t="e">
        <f t="shared" si="26"/>
        <v>#DIV/0!</v>
      </c>
      <c r="AJ38" s="3">
        <v>0</v>
      </c>
      <c r="AK38" s="6">
        <v>0</v>
      </c>
      <c r="AL38" s="3" t="e">
        <f t="shared" si="27"/>
        <v>#DIV/0!</v>
      </c>
      <c r="AM38" s="3">
        <v>0</v>
      </c>
      <c r="AN38" s="6">
        <v>0</v>
      </c>
      <c r="AO38" s="3">
        <f t="shared" si="12"/>
        <v>1084.7666666666667</v>
      </c>
      <c r="AP38" s="3">
        <f t="shared" si="15"/>
        <v>32543</v>
      </c>
      <c r="AQ38" s="6">
        <f t="shared" si="14"/>
        <v>30</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20" t="s">
        <v>29</v>
      </c>
      <c r="B39" s="23"/>
      <c r="C39" s="23"/>
      <c r="D39" s="23"/>
      <c r="E39" s="3">
        <f t="shared" si="16"/>
        <v>1992.4534161490681</v>
      </c>
      <c r="F39" s="3">
        <v>64157</v>
      </c>
      <c r="G39" s="6">
        <v>32.200000000000003</v>
      </c>
      <c r="H39" s="3">
        <f t="shared" si="17"/>
        <v>1690.148148148148</v>
      </c>
      <c r="I39" s="3">
        <v>45634</v>
      </c>
      <c r="J39" s="6">
        <v>27</v>
      </c>
      <c r="K39" s="3">
        <f t="shared" si="18"/>
        <v>1787.8804347826087</v>
      </c>
      <c r="L39" s="3">
        <v>32897</v>
      </c>
      <c r="M39" s="6">
        <v>18.399999999999999</v>
      </c>
      <c r="N39" s="3" t="e">
        <f t="shared" si="19"/>
        <v>#DIV/0!</v>
      </c>
      <c r="O39" s="3">
        <v>0</v>
      </c>
      <c r="P39" s="6">
        <v>0</v>
      </c>
      <c r="Q39" s="3">
        <f t="shared" si="20"/>
        <v>2104.6620046620046</v>
      </c>
      <c r="R39" s="3">
        <v>90290</v>
      </c>
      <c r="S39" s="6">
        <v>42.9</v>
      </c>
      <c r="T39" s="3">
        <f t="shared" si="21"/>
        <v>2196.6213592233012</v>
      </c>
      <c r="U39" s="3">
        <v>113126</v>
      </c>
      <c r="V39" s="6">
        <v>51.5</v>
      </c>
      <c r="W39" s="3" t="e">
        <f t="shared" si="22"/>
        <v>#DIV/0!</v>
      </c>
      <c r="X39" s="3">
        <v>0</v>
      </c>
      <c r="Y39" s="6">
        <v>0</v>
      </c>
      <c r="Z39" s="3" t="e">
        <f t="shared" si="23"/>
        <v>#DIV/0!</v>
      </c>
      <c r="AA39" s="3">
        <v>0</v>
      </c>
      <c r="AB39" s="6">
        <v>0</v>
      </c>
      <c r="AC39" s="3" t="e">
        <f t="shared" si="24"/>
        <v>#DIV/0!</v>
      </c>
      <c r="AD39" s="3">
        <v>0</v>
      </c>
      <c r="AE39" s="6">
        <v>0</v>
      </c>
      <c r="AF39" s="3" t="e">
        <f t="shared" si="25"/>
        <v>#DIV/0!</v>
      </c>
      <c r="AG39" s="3">
        <v>0</v>
      </c>
      <c r="AH39" s="6">
        <v>0</v>
      </c>
      <c r="AI39" s="3" t="e">
        <f t="shared" si="26"/>
        <v>#DIV/0!</v>
      </c>
      <c r="AJ39" s="3">
        <v>0</v>
      </c>
      <c r="AK39" s="6">
        <v>0</v>
      </c>
      <c r="AL39" s="3" t="e">
        <f t="shared" si="27"/>
        <v>#DIV/0!</v>
      </c>
      <c r="AM39" s="3">
        <v>0</v>
      </c>
      <c r="AN39" s="6">
        <v>0</v>
      </c>
      <c r="AO39" s="3">
        <f t="shared" si="12"/>
        <v>2012.2325581395348</v>
      </c>
      <c r="AP39" s="3">
        <f t="shared" si="15"/>
        <v>346104</v>
      </c>
      <c r="AQ39" s="6">
        <f t="shared" si="14"/>
        <v>172</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20" t="s">
        <v>20</v>
      </c>
      <c r="B40" s="23"/>
      <c r="C40" s="23"/>
      <c r="D40" s="23"/>
      <c r="E40" s="3" t="e">
        <f t="shared" si="16"/>
        <v>#DIV/0!</v>
      </c>
      <c r="F40" s="3">
        <v>0</v>
      </c>
      <c r="G40" s="6">
        <v>0</v>
      </c>
      <c r="H40" s="3">
        <f t="shared" si="17"/>
        <v>865.12576886532975</v>
      </c>
      <c r="I40" s="3">
        <v>1729992</v>
      </c>
      <c r="J40" s="6">
        <v>1999.7</v>
      </c>
      <c r="K40" s="3" t="e">
        <f t="shared" si="18"/>
        <v>#DIV/0!</v>
      </c>
      <c r="L40" s="3">
        <v>0</v>
      </c>
      <c r="M40" s="6">
        <v>0</v>
      </c>
      <c r="N40" s="3">
        <f t="shared" si="19"/>
        <v>2171.25</v>
      </c>
      <c r="O40" s="3">
        <v>17370</v>
      </c>
      <c r="P40" s="6">
        <v>8</v>
      </c>
      <c r="Q40" s="3">
        <f t="shared" si="20"/>
        <v>770.65942300487075</v>
      </c>
      <c r="R40" s="3">
        <v>2056890</v>
      </c>
      <c r="S40" s="6">
        <v>2669</v>
      </c>
      <c r="T40" s="3">
        <f t="shared" si="21"/>
        <v>786.65970336327553</v>
      </c>
      <c r="U40" s="3">
        <v>2636018</v>
      </c>
      <c r="V40" s="6">
        <v>3350.9</v>
      </c>
      <c r="W40" s="3">
        <f t="shared" si="22"/>
        <v>808.39418247244919</v>
      </c>
      <c r="X40" s="3">
        <v>2156634</v>
      </c>
      <c r="Y40" s="6">
        <v>2667.8</v>
      </c>
      <c r="Z40" s="3" t="e">
        <f t="shared" si="23"/>
        <v>#DIV/0!</v>
      </c>
      <c r="AA40" s="3">
        <v>0</v>
      </c>
      <c r="AB40" s="6">
        <v>0</v>
      </c>
      <c r="AC40" s="3" t="e">
        <f t="shared" si="24"/>
        <v>#DIV/0!</v>
      </c>
      <c r="AD40" s="3">
        <v>0</v>
      </c>
      <c r="AE40" s="6">
        <v>0</v>
      </c>
      <c r="AF40" s="3">
        <f t="shared" si="25"/>
        <v>1787.9591836734692</v>
      </c>
      <c r="AG40" s="3">
        <v>8761</v>
      </c>
      <c r="AH40" s="6">
        <v>4.9000000000000004</v>
      </c>
      <c r="AI40" s="3" t="e">
        <f t="shared" si="26"/>
        <v>#DIV/0!</v>
      </c>
      <c r="AJ40" s="3">
        <v>0</v>
      </c>
      <c r="AK40" s="6">
        <v>0</v>
      </c>
      <c r="AL40" s="3" t="e">
        <f t="shared" si="27"/>
        <v>#DIV/0!</v>
      </c>
      <c r="AM40" s="3">
        <v>0</v>
      </c>
      <c r="AN40" s="6">
        <v>0</v>
      </c>
      <c r="AO40" s="3">
        <f t="shared" si="12"/>
        <v>804.2452080782781</v>
      </c>
      <c r="AP40" s="3">
        <f t="shared" si="15"/>
        <v>8605665</v>
      </c>
      <c r="AQ40" s="6">
        <f t="shared" si="14"/>
        <v>10700.300000000001</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20" t="s">
        <v>78</v>
      </c>
      <c r="B41" s="23"/>
      <c r="C41" s="23"/>
      <c r="D41" s="23"/>
      <c r="E41" s="3" t="e">
        <f t="shared" si="16"/>
        <v>#DIV/0!</v>
      </c>
      <c r="F41" s="3">
        <v>0</v>
      </c>
      <c r="G41" s="6">
        <v>0</v>
      </c>
      <c r="H41" s="3" t="e">
        <f t="shared" si="17"/>
        <v>#DIV/0!</v>
      </c>
      <c r="I41" s="3">
        <v>0</v>
      </c>
      <c r="J41" s="6">
        <v>0</v>
      </c>
      <c r="K41" s="3" t="e">
        <f t="shared" si="18"/>
        <v>#DIV/0!</v>
      </c>
      <c r="L41" s="3">
        <v>0</v>
      </c>
      <c r="M41" s="6">
        <v>0</v>
      </c>
      <c r="N41" s="3" t="e">
        <f t="shared" si="19"/>
        <v>#DIV/0!</v>
      </c>
      <c r="O41" s="3">
        <v>0</v>
      </c>
      <c r="P41" s="6">
        <v>0</v>
      </c>
      <c r="Q41" s="3" t="e">
        <f t="shared" si="20"/>
        <v>#DIV/0!</v>
      </c>
      <c r="R41" s="3">
        <v>0</v>
      </c>
      <c r="S41" s="6">
        <v>0</v>
      </c>
      <c r="T41" s="3" t="e">
        <f t="shared" si="21"/>
        <v>#DIV/0!</v>
      </c>
      <c r="U41" s="3">
        <v>0</v>
      </c>
      <c r="V41" s="6">
        <v>0</v>
      </c>
      <c r="W41" s="3">
        <f t="shared" si="22"/>
        <v>1353.8848920863309</v>
      </c>
      <c r="X41" s="3">
        <v>18819</v>
      </c>
      <c r="Y41" s="6">
        <v>13.9</v>
      </c>
      <c r="Z41" s="3" t="e">
        <f t="shared" si="23"/>
        <v>#DIV/0!</v>
      </c>
      <c r="AA41" s="3">
        <v>0</v>
      </c>
      <c r="AB41" s="6">
        <v>0</v>
      </c>
      <c r="AC41" s="3" t="e">
        <f t="shared" si="24"/>
        <v>#DIV/0!</v>
      </c>
      <c r="AD41" s="3">
        <v>0</v>
      </c>
      <c r="AE41" s="6">
        <v>0</v>
      </c>
      <c r="AF41" s="3" t="e">
        <f t="shared" si="25"/>
        <v>#DIV/0!</v>
      </c>
      <c r="AG41" s="3">
        <v>0</v>
      </c>
      <c r="AH41" s="6">
        <v>0</v>
      </c>
      <c r="AI41" s="3" t="e">
        <f t="shared" si="26"/>
        <v>#DIV/0!</v>
      </c>
      <c r="AJ41" s="3">
        <v>0</v>
      </c>
      <c r="AK41" s="6">
        <v>0</v>
      </c>
      <c r="AL41" s="3" t="e">
        <f t="shared" si="27"/>
        <v>#DIV/0!</v>
      </c>
      <c r="AM41" s="3">
        <v>0</v>
      </c>
      <c r="AN41" s="6">
        <v>0</v>
      </c>
      <c r="AO41" s="3">
        <f t="shared" si="12"/>
        <v>1353.8848920863309</v>
      </c>
      <c r="AP41" s="3">
        <f t="shared" si="15"/>
        <v>18819</v>
      </c>
      <c r="AQ41" s="6">
        <f t="shared" si="14"/>
        <v>13.9</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20" t="s">
        <v>62</v>
      </c>
      <c r="B42" s="23"/>
      <c r="C42" s="23"/>
      <c r="D42" s="23"/>
      <c r="E42" s="3">
        <f t="shared" si="16"/>
        <v>1551.3953488372094</v>
      </c>
      <c r="F42" s="3">
        <v>6671</v>
      </c>
      <c r="G42" s="6">
        <v>4.3</v>
      </c>
      <c r="H42" s="3" t="e">
        <f t="shared" si="17"/>
        <v>#DIV/0!</v>
      </c>
      <c r="I42" s="3">
        <v>0</v>
      </c>
      <c r="J42" s="6">
        <v>0</v>
      </c>
      <c r="K42" s="3">
        <f t="shared" si="18"/>
        <v>1603.6363636363637</v>
      </c>
      <c r="L42" s="3">
        <v>10584</v>
      </c>
      <c r="M42" s="6">
        <v>6.6</v>
      </c>
      <c r="N42" s="3">
        <f t="shared" si="19"/>
        <v>1411.2</v>
      </c>
      <c r="O42" s="3">
        <v>3528</v>
      </c>
      <c r="P42" s="6">
        <v>2.5</v>
      </c>
      <c r="Q42" s="3">
        <f t="shared" si="20"/>
        <v>1411.2</v>
      </c>
      <c r="R42" s="3">
        <v>3528</v>
      </c>
      <c r="S42" s="6">
        <v>2.5</v>
      </c>
      <c r="T42" s="3" t="e">
        <f t="shared" si="21"/>
        <v>#DIV/0!</v>
      </c>
      <c r="U42" s="3">
        <v>0</v>
      </c>
      <c r="V42" s="6">
        <v>0</v>
      </c>
      <c r="W42" s="3" t="e">
        <f t="shared" si="22"/>
        <v>#DIV/0!</v>
      </c>
      <c r="X42" s="3">
        <v>0</v>
      </c>
      <c r="Y42" s="6">
        <v>0</v>
      </c>
      <c r="Z42" s="3" t="e">
        <f t="shared" si="23"/>
        <v>#DIV/0!</v>
      </c>
      <c r="AA42" s="3">
        <v>0</v>
      </c>
      <c r="AB42" s="6">
        <v>0</v>
      </c>
      <c r="AC42" s="3" t="e">
        <f t="shared" si="24"/>
        <v>#DIV/0!</v>
      </c>
      <c r="AD42" s="3">
        <v>0</v>
      </c>
      <c r="AE42" s="6">
        <v>0</v>
      </c>
      <c r="AF42" s="3" t="e">
        <f t="shared" si="25"/>
        <v>#DIV/0!</v>
      </c>
      <c r="AG42" s="3">
        <v>0</v>
      </c>
      <c r="AH42" s="6">
        <v>0</v>
      </c>
      <c r="AI42" s="3">
        <f t="shared" si="26"/>
        <v>1637.2727272727273</v>
      </c>
      <c r="AJ42" s="3">
        <v>3602</v>
      </c>
      <c r="AK42" s="6">
        <v>2.2000000000000002</v>
      </c>
      <c r="AL42" s="3" t="e">
        <f t="shared" si="27"/>
        <v>#DIV/0!</v>
      </c>
      <c r="AM42" s="3">
        <v>0</v>
      </c>
      <c r="AN42" s="6">
        <v>0</v>
      </c>
      <c r="AO42" s="3">
        <f t="shared" si="12"/>
        <v>1542.1546961325969</v>
      </c>
      <c r="AP42" s="3">
        <f t="shared" si="15"/>
        <v>27913</v>
      </c>
      <c r="AQ42" s="6">
        <f t="shared" si="14"/>
        <v>18.099999999999998</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20" t="s">
        <v>84</v>
      </c>
      <c r="B43" s="23"/>
      <c r="C43" s="23"/>
      <c r="D43" s="23"/>
      <c r="E43" s="3" t="e">
        <f t="shared" si="16"/>
        <v>#DIV/0!</v>
      </c>
      <c r="F43" s="3">
        <v>0</v>
      </c>
      <c r="G43" s="6">
        <v>0</v>
      </c>
      <c r="H43" s="3">
        <f t="shared" si="17"/>
        <v>2777.7777777777778</v>
      </c>
      <c r="I43" s="3">
        <v>5000</v>
      </c>
      <c r="J43" s="6">
        <v>1.8</v>
      </c>
      <c r="K43" s="3" t="e">
        <f t="shared" si="18"/>
        <v>#DIV/0!</v>
      </c>
      <c r="L43" s="3">
        <v>0</v>
      </c>
      <c r="M43" s="6">
        <v>0</v>
      </c>
      <c r="N43" s="3" t="e">
        <f t="shared" si="19"/>
        <v>#DIV/0!</v>
      </c>
      <c r="O43" s="3">
        <v>0</v>
      </c>
      <c r="P43" s="6">
        <v>0</v>
      </c>
      <c r="Q43" s="3" t="e">
        <f t="shared" si="20"/>
        <v>#DIV/0!</v>
      </c>
      <c r="R43" s="3">
        <v>0</v>
      </c>
      <c r="S43" s="6">
        <v>0</v>
      </c>
      <c r="T43" s="3" t="e">
        <f t="shared" si="21"/>
        <v>#DIV/0!</v>
      </c>
      <c r="U43" s="3">
        <v>0</v>
      </c>
      <c r="V43" s="6">
        <v>0</v>
      </c>
      <c r="W43" s="3" t="e">
        <f t="shared" si="22"/>
        <v>#DIV/0!</v>
      </c>
      <c r="X43" s="3">
        <v>0</v>
      </c>
      <c r="Y43" s="6">
        <v>0</v>
      </c>
      <c r="Z43" s="3" t="e">
        <f t="shared" si="23"/>
        <v>#DIV/0!</v>
      </c>
      <c r="AA43" s="3">
        <v>0</v>
      </c>
      <c r="AB43" s="6">
        <v>0</v>
      </c>
      <c r="AC43" s="3" t="e">
        <f t="shared" si="24"/>
        <v>#DIV/0!</v>
      </c>
      <c r="AD43" s="3">
        <v>0</v>
      </c>
      <c r="AE43" s="6">
        <v>0</v>
      </c>
      <c r="AF43" s="3" t="e">
        <f t="shared" si="25"/>
        <v>#DIV/0!</v>
      </c>
      <c r="AG43" s="3">
        <v>0</v>
      </c>
      <c r="AH43" s="6">
        <v>0</v>
      </c>
      <c r="AI43" s="3" t="e">
        <f t="shared" si="26"/>
        <v>#DIV/0!</v>
      </c>
      <c r="AJ43" s="3">
        <v>0</v>
      </c>
      <c r="AK43" s="6">
        <v>0</v>
      </c>
      <c r="AL43" s="3" t="e">
        <f t="shared" si="27"/>
        <v>#DIV/0!</v>
      </c>
      <c r="AM43" s="3">
        <v>0</v>
      </c>
      <c r="AN43" s="6">
        <v>0</v>
      </c>
      <c r="AO43" s="3">
        <f t="shared" si="12"/>
        <v>2777.7777777777778</v>
      </c>
      <c r="AP43" s="3">
        <f t="shared" si="15"/>
        <v>5000</v>
      </c>
      <c r="AQ43" s="6">
        <f t="shared" si="14"/>
        <v>1.8</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20" t="s">
        <v>72</v>
      </c>
      <c r="B44" s="23"/>
      <c r="C44" s="23"/>
      <c r="D44" s="23"/>
      <c r="E44" s="9" t="e">
        <f t="shared" si="16"/>
        <v>#DIV/0!</v>
      </c>
      <c r="F44" s="9">
        <v>0</v>
      </c>
      <c r="G44" s="6">
        <v>0</v>
      </c>
      <c r="H44" s="11">
        <f t="shared" si="17"/>
        <v>868.447</v>
      </c>
      <c r="I44" s="9">
        <v>1736894</v>
      </c>
      <c r="J44" s="6">
        <v>2000</v>
      </c>
      <c r="K44" s="9" t="e">
        <f t="shared" si="18"/>
        <v>#DIV/0!</v>
      </c>
      <c r="L44" s="9">
        <v>0</v>
      </c>
      <c r="M44" s="6">
        <v>0</v>
      </c>
      <c r="N44" s="9" t="e">
        <f t="shared" si="19"/>
        <v>#DIV/0!</v>
      </c>
      <c r="O44" s="9">
        <v>0</v>
      </c>
      <c r="P44" s="6">
        <v>0</v>
      </c>
      <c r="Q44" s="11" t="e">
        <f t="shared" si="20"/>
        <v>#DIV/0!</v>
      </c>
      <c r="R44" s="9">
        <v>0</v>
      </c>
      <c r="S44" s="6">
        <v>0</v>
      </c>
      <c r="T44" s="11">
        <f t="shared" si="21"/>
        <v>798.00546009314269</v>
      </c>
      <c r="U44" s="9">
        <v>496918</v>
      </c>
      <c r="V44" s="6">
        <v>622.70000000000005</v>
      </c>
      <c r="W44" s="9" t="e">
        <f t="shared" si="22"/>
        <v>#DIV/0!</v>
      </c>
      <c r="X44" s="9">
        <v>0</v>
      </c>
      <c r="Y44" s="6">
        <v>0</v>
      </c>
      <c r="Z44" s="9" t="e">
        <f t="shared" si="23"/>
        <v>#DIV/0!</v>
      </c>
      <c r="AA44" s="9">
        <v>0</v>
      </c>
      <c r="AB44" s="6">
        <v>0</v>
      </c>
      <c r="AC44" s="9" t="e">
        <f t="shared" si="24"/>
        <v>#DIV/0!</v>
      </c>
      <c r="AD44" s="9">
        <v>0</v>
      </c>
      <c r="AE44" s="6">
        <v>0</v>
      </c>
      <c r="AF44" s="9">
        <f t="shared" si="25"/>
        <v>1110.2362204724409</v>
      </c>
      <c r="AG44" s="9">
        <v>84600</v>
      </c>
      <c r="AH44" s="6">
        <v>76.2</v>
      </c>
      <c r="AI44" s="9">
        <f t="shared" si="26"/>
        <v>1101.5625</v>
      </c>
      <c r="AJ44" s="9">
        <v>56400</v>
      </c>
      <c r="AK44" s="6">
        <v>51.2</v>
      </c>
      <c r="AL44" s="9" t="e">
        <f t="shared" si="27"/>
        <v>#DIV/0!</v>
      </c>
      <c r="AM44" s="9">
        <v>0</v>
      </c>
      <c r="AN44" s="6">
        <v>0</v>
      </c>
      <c r="AO44" s="9">
        <f t="shared" si="12"/>
        <v>863.53659866913949</v>
      </c>
      <c r="AP44" s="9">
        <f t="shared" si="15"/>
        <v>2374812</v>
      </c>
      <c r="AQ44" s="6">
        <f t="shared" si="14"/>
        <v>2750.0999999999995</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20" t="s">
        <v>48</v>
      </c>
      <c r="B45" s="23"/>
      <c r="C45" s="23"/>
      <c r="D45" s="23"/>
      <c r="E45" s="10" t="e">
        <f t="shared" si="16"/>
        <v>#DIV/0!</v>
      </c>
      <c r="F45" s="10">
        <v>0</v>
      </c>
      <c r="G45" s="8">
        <v>0</v>
      </c>
      <c r="H45" s="7">
        <f t="shared" si="17"/>
        <v>1705</v>
      </c>
      <c r="I45" s="10">
        <v>34100</v>
      </c>
      <c r="J45" s="8">
        <v>20</v>
      </c>
      <c r="K45" s="15" t="e">
        <f t="shared" si="18"/>
        <v>#DIV/0!</v>
      </c>
      <c r="L45" s="7">
        <v>0</v>
      </c>
      <c r="M45" s="8">
        <v>0</v>
      </c>
      <c r="N45" s="15">
        <f t="shared" si="19"/>
        <v>2212.2330097087379</v>
      </c>
      <c r="O45" s="7">
        <v>22786</v>
      </c>
      <c r="P45" s="8">
        <v>10.3</v>
      </c>
      <c r="Q45" s="7" t="e">
        <f t="shared" si="20"/>
        <v>#DIV/0!</v>
      </c>
      <c r="R45" s="10">
        <v>0</v>
      </c>
      <c r="S45" s="8">
        <v>0</v>
      </c>
      <c r="T45" s="7">
        <f t="shared" si="21"/>
        <v>2338.8695652173915</v>
      </c>
      <c r="U45" s="10">
        <v>26897</v>
      </c>
      <c r="V45" s="8">
        <v>11.5</v>
      </c>
      <c r="W45" s="10" t="e">
        <f t="shared" si="22"/>
        <v>#DIV/0!</v>
      </c>
      <c r="X45" s="10">
        <v>0</v>
      </c>
      <c r="Y45" s="8">
        <v>0</v>
      </c>
      <c r="Z45" s="10">
        <f t="shared" si="23"/>
        <v>1690.148148148148</v>
      </c>
      <c r="AA45" s="10">
        <v>22817</v>
      </c>
      <c r="AB45" s="8">
        <v>13.5</v>
      </c>
      <c r="AC45" s="10">
        <f t="shared" si="24"/>
        <v>1688.5925925925926</v>
      </c>
      <c r="AD45" s="10">
        <v>22796</v>
      </c>
      <c r="AE45" s="8">
        <v>13.5</v>
      </c>
      <c r="AF45" s="7">
        <f t="shared" si="25"/>
        <v>2327.7981651376144</v>
      </c>
      <c r="AG45" s="10">
        <v>25373</v>
      </c>
      <c r="AH45" s="8">
        <v>10.9</v>
      </c>
      <c r="AI45" s="10" t="e">
        <f t="shared" si="26"/>
        <v>#DIV/0!</v>
      </c>
      <c r="AJ45" s="10">
        <v>0</v>
      </c>
      <c r="AK45" s="8">
        <v>0</v>
      </c>
      <c r="AL45" s="10" t="e">
        <f t="shared" si="27"/>
        <v>#DIV/0!</v>
      </c>
      <c r="AM45" s="10">
        <v>0</v>
      </c>
      <c r="AN45" s="8">
        <v>0</v>
      </c>
      <c r="AO45" s="10">
        <f t="shared" si="12"/>
        <v>1941.8946047678794</v>
      </c>
      <c r="AP45" s="7">
        <f t="shared" si="15"/>
        <v>154769</v>
      </c>
      <c r="AQ45" s="8">
        <f t="shared" si="14"/>
        <v>79.7</v>
      </c>
    </row>
    <row r="46" spans="1:67" x14ac:dyDescent="0.3">
      <c r="A46" s="20" t="s">
        <v>79</v>
      </c>
      <c r="B46" s="23"/>
      <c r="C46" s="23"/>
      <c r="D46" s="23"/>
      <c r="E46" s="7" t="e">
        <f t="shared" si="16"/>
        <v>#DIV/0!</v>
      </c>
      <c r="F46" s="7">
        <v>0</v>
      </c>
      <c r="G46" s="8">
        <v>0</v>
      </c>
      <c r="H46" s="7" t="e">
        <f t="shared" si="17"/>
        <v>#DIV/0!</v>
      </c>
      <c r="I46" s="7">
        <v>0</v>
      </c>
      <c r="J46" s="8">
        <v>0</v>
      </c>
      <c r="K46" s="7" t="e">
        <f t="shared" si="18"/>
        <v>#DIV/0!</v>
      </c>
      <c r="L46" s="7">
        <v>0</v>
      </c>
      <c r="M46" s="8">
        <v>0</v>
      </c>
      <c r="N46" s="7" t="e">
        <f t="shared" si="19"/>
        <v>#DIV/0!</v>
      </c>
      <c r="O46" s="7">
        <v>0</v>
      </c>
      <c r="P46" s="8">
        <v>0</v>
      </c>
      <c r="Q46" s="7">
        <f t="shared" si="20"/>
        <v>1222.7205882352941</v>
      </c>
      <c r="R46" s="7">
        <v>66516</v>
      </c>
      <c r="S46" s="8">
        <v>54.4</v>
      </c>
      <c r="T46" s="7" t="e">
        <f t="shared" si="21"/>
        <v>#DIV/0!</v>
      </c>
      <c r="U46" s="7">
        <v>0</v>
      </c>
      <c r="V46" s="8">
        <v>0</v>
      </c>
      <c r="W46" s="7" t="e">
        <f t="shared" si="22"/>
        <v>#DIV/0!</v>
      </c>
      <c r="X46" s="7">
        <v>0</v>
      </c>
      <c r="Y46" s="8">
        <v>0</v>
      </c>
      <c r="Z46" s="7" t="e">
        <f t="shared" si="23"/>
        <v>#DIV/0!</v>
      </c>
      <c r="AA46" s="7">
        <v>0</v>
      </c>
      <c r="AB46" s="8">
        <v>0</v>
      </c>
      <c r="AC46" s="7" t="e">
        <f t="shared" si="24"/>
        <v>#DIV/0!</v>
      </c>
      <c r="AD46" s="7">
        <v>0</v>
      </c>
      <c r="AE46" s="8">
        <v>0</v>
      </c>
      <c r="AF46" s="7" t="e">
        <f t="shared" si="25"/>
        <v>#DIV/0!</v>
      </c>
      <c r="AG46" s="7">
        <v>0</v>
      </c>
      <c r="AH46" s="8">
        <v>0</v>
      </c>
      <c r="AI46" s="7" t="e">
        <f t="shared" si="26"/>
        <v>#DIV/0!</v>
      </c>
      <c r="AJ46" s="7">
        <v>0</v>
      </c>
      <c r="AK46" s="8">
        <v>0</v>
      </c>
      <c r="AL46" s="7" t="e">
        <f t="shared" si="27"/>
        <v>#DIV/0!</v>
      </c>
      <c r="AM46" s="7">
        <v>0</v>
      </c>
      <c r="AN46" s="8">
        <v>0</v>
      </c>
      <c r="AO46" s="7">
        <f t="shared" si="12"/>
        <v>1222.7205882352941</v>
      </c>
      <c r="AP46" s="7">
        <f t="shared" si="15"/>
        <v>66516</v>
      </c>
      <c r="AQ46" s="8">
        <f t="shared" si="14"/>
        <v>54.4</v>
      </c>
    </row>
    <row r="47" spans="1:67" x14ac:dyDescent="0.3">
      <c r="A47" s="20" t="s">
        <v>63</v>
      </c>
      <c r="B47" s="23"/>
      <c r="C47" s="23"/>
      <c r="D47" s="23"/>
      <c r="E47" s="7">
        <f t="shared" si="16"/>
        <v>2244</v>
      </c>
      <c r="F47" s="7">
        <v>3366</v>
      </c>
      <c r="G47" s="8">
        <v>1.5</v>
      </c>
      <c r="H47" s="7" t="e">
        <f t="shared" si="17"/>
        <v>#DIV/0!</v>
      </c>
      <c r="I47" s="7">
        <v>0</v>
      </c>
      <c r="J47" s="8">
        <v>0</v>
      </c>
      <c r="K47" s="7">
        <f t="shared" si="18"/>
        <v>2117.5</v>
      </c>
      <c r="L47" s="7">
        <v>3388</v>
      </c>
      <c r="M47" s="8">
        <v>1.6</v>
      </c>
      <c r="N47" s="7">
        <f t="shared" si="19"/>
        <v>2167.8846153846152</v>
      </c>
      <c r="O47" s="7">
        <v>11273</v>
      </c>
      <c r="P47" s="8">
        <v>5.2</v>
      </c>
      <c r="Q47" s="7">
        <f t="shared" si="20"/>
        <v>2147.6190476190477</v>
      </c>
      <c r="R47" s="7">
        <v>4510</v>
      </c>
      <c r="S47" s="8">
        <v>2.1</v>
      </c>
      <c r="T47" s="7" t="e">
        <f t="shared" si="21"/>
        <v>#DIV/0!</v>
      </c>
      <c r="U47" s="7">
        <v>0</v>
      </c>
      <c r="V47" s="8">
        <v>0</v>
      </c>
      <c r="W47" s="7" t="e">
        <f t="shared" si="22"/>
        <v>#DIV/0!</v>
      </c>
      <c r="X47" s="7">
        <v>0</v>
      </c>
      <c r="Y47" s="8">
        <v>0</v>
      </c>
      <c r="Z47" s="7" t="e">
        <f t="shared" si="23"/>
        <v>#DIV/0!</v>
      </c>
      <c r="AA47" s="7">
        <v>0</v>
      </c>
      <c r="AB47" s="8">
        <v>0</v>
      </c>
      <c r="AC47" s="7" t="e">
        <f t="shared" si="24"/>
        <v>#DIV/0!</v>
      </c>
      <c r="AD47" s="7">
        <v>0</v>
      </c>
      <c r="AE47" s="8">
        <v>0</v>
      </c>
      <c r="AF47" s="7">
        <f t="shared" si="25"/>
        <v>2191.5384615384614</v>
      </c>
      <c r="AG47" s="7">
        <v>11396</v>
      </c>
      <c r="AH47" s="8">
        <v>5.2</v>
      </c>
      <c r="AI47" s="7" t="e">
        <f t="shared" si="26"/>
        <v>#DIV/0!</v>
      </c>
      <c r="AJ47" s="7">
        <v>0</v>
      </c>
      <c r="AK47" s="8">
        <v>0</v>
      </c>
      <c r="AL47" s="7" t="e">
        <f t="shared" si="27"/>
        <v>#DIV/0!</v>
      </c>
      <c r="AM47" s="7">
        <v>0</v>
      </c>
      <c r="AN47" s="8">
        <v>0</v>
      </c>
      <c r="AO47" s="7">
        <f t="shared" si="12"/>
        <v>2175.1923076923076</v>
      </c>
      <c r="AP47" s="7">
        <f t="shared" si="15"/>
        <v>33933</v>
      </c>
      <c r="AQ47" s="8">
        <f t="shared" si="14"/>
        <v>15.600000000000001</v>
      </c>
    </row>
    <row r="48" spans="1:67" x14ac:dyDescent="0.3">
      <c r="A48" s="20" t="s">
        <v>64</v>
      </c>
      <c r="B48" s="23"/>
      <c r="C48" s="23"/>
      <c r="D48" s="23"/>
      <c r="E48" s="7" t="e">
        <f t="shared" si="16"/>
        <v>#DIV/0!</v>
      </c>
      <c r="F48" s="7">
        <v>0</v>
      </c>
      <c r="G48" s="8">
        <v>0</v>
      </c>
      <c r="H48" s="7" t="e">
        <f t="shared" si="17"/>
        <v>#DIV/0!</v>
      </c>
      <c r="I48" s="7">
        <v>0</v>
      </c>
      <c r="J48" s="8">
        <v>0</v>
      </c>
      <c r="K48" s="7">
        <f t="shared" si="18"/>
        <v>1406.7318435754191</v>
      </c>
      <c r="L48" s="7">
        <v>50361</v>
      </c>
      <c r="M48" s="8">
        <v>35.799999999999997</v>
      </c>
      <c r="N48" s="7">
        <f t="shared" si="19"/>
        <v>1142.7748691099475</v>
      </c>
      <c r="O48" s="7">
        <v>21827</v>
      </c>
      <c r="P48" s="8">
        <v>19.100000000000001</v>
      </c>
      <c r="Q48" s="7" t="e">
        <f t="shared" si="20"/>
        <v>#DIV/0!</v>
      </c>
      <c r="R48" s="7">
        <v>0</v>
      </c>
      <c r="S48" s="8">
        <v>0</v>
      </c>
      <c r="T48" s="7" t="e">
        <f t="shared" si="21"/>
        <v>#DIV/0!</v>
      </c>
      <c r="U48" s="7">
        <v>0</v>
      </c>
      <c r="V48" s="8">
        <v>0</v>
      </c>
      <c r="W48" s="7" t="e">
        <f t="shared" si="22"/>
        <v>#DIV/0!</v>
      </c>
      <c r="X48" s="7">
        <v>0</v>
      </c>
      <c r="Y48" s="8">
        <v>0</v>
      </c>
      <c r="Z48" s="7" t="e">
        <f t="shared" si="23"/>
        <v>#DIV/0!</v>
      </c>
      <c r="AA48" s="7">
        <v>0</v>
      </c>
      <c r="AB48" s="8">
        <v>0</v>
      </c>
      <c r="AC48" s="7" t="e">
        <f t="shared" si="24"/>
        <v>#DIV/0!</v>
      </c>
      <c r="AD48" s="7">
        <v>0</v>
      </c>
      <c r="AE48" s="8">
        <v>0</v>
      </c>
      <c r="AF48" s="7" t="e">
        <f t="shared" si="25"/>
        <v>#DIV/0!</v>
      </c>
      <c r="AG48" s="7">
        <v>0</v>
      </c>
      <c r="AH48" s="8">
        <v>0</v>
      </c>
      <c r="AI48" s="7" t="e">
        <f t="shared" si="26"/>
        <v>#DIV/0!</v>
      </c>
      <c r="AJ48" s="7">
        <v>0</v>
      </c>
      <c r="AK48" s="8">
        <v>0</v>
      </c>
      <c r="AL48" s="7" t="e">
        <f t="shared" si="27"/>
        <v>#DIV/0!</v>
      </c>
      <c r="AM48" s="7">
        <v>0</v>
      </c>
      <c r="AN48" s="8">
        <v>0</v>
      </c>
      <c r="AO48" s="7">
        <f t="shared" si="12"/>
        <v>1314.8998178506376</v>
      </c>
      <c r="AP48" s="7">
        <f t="shared" si="15"/>
        <v>72188</v>
      </c>
      <c r="AQ48" s="8">
        <f t="shared" si="14"/>
        <v>54.9</v>
      </c>
    </row>
    <row r="49" spans="1:43" x14ac:dyDescent="0.3">
      <c r="A49" s="20" t="s">
        <v>57</v>
      </c>
      <c r="B49" s="23"/>
      <c r="C49" s="23"/>
      <c r="D49" s="23"/>
      <c r="E49" s="7" t="e">
        <f t="shared" si="16"/>
        <v>#DIV/0!</v>
      </c>
      <c r="F49" s="7">
        <v>0</v>
      </c>
      <c r="G49" s="8">
        <v>0</v>
      </c>
      <c r="H49" s="7">
        <f t="shared" si="17"/>
        <v>51220</v>
      </c>
      <c r="I49" s="7">
        <v>10244</v>
      </c>
      <c r="J49" s="8">
        <v>0.2</v>
      </c>
      <c r="K49" s="7">
        <f t="shared" si="18"/>
        <v>2124.7692307692309</v>
      </c>
      <c r="L49" s="7">
        <v>13811</v>
      </c>
      <c r="M49" s="8">
        <v>6.5</v>
      </c>
      <c r="N49" s="7">
        <f t="shared" si="19"/>
        <v>1760.9459459459458</v>
      </c>
      <c r="O49" s="7">
        <v>26062</v>
      </c>
      <c r="P49" s="8">
        <v>14.8</v>
      </c>
      <c r="Q49" s="7">
        <f t="shared" si="20"/>
        <v>1760.9459459459458</v>
      </c>
      <c r="R49" s="7">
        <v>26062</v>
      </c>
      <c r="S49" s="8">
        <v>14.8</v>
      </c>
      <c r="T49" s="7" t="e">
        <f t="shared" si="21"/>
        <v>#VALUE!</v>
      </c>
      <c r="U49" s="7">
        <v>2598</v>
      </c>
      <c r="V49" s="8" t="s">
        <v>85</v>
      </c>
      <c r="W49" s="7">
        <f t="shared" si="22"/>
        <v>1837.6162790697674</v>
      </c>
      <c r="X49" s="7">
        <v>31607</v>
      </c>
      <c r="Y49" s="8">
        <v>17.2</v>
      </c>
      <c r="Z49" s="7">
        <f t="shared" si="23"/>
        <v>1760.9459459459458</v>
      </c>
      <c r="AA49" s="7">
        <v>26062</v>
      </c>
      <c r="AB49" s="8">
        <v>14.8</v>
      </c>
      <c r="AC49" s="7">
        <f t="shared" si="24"/>
        <v>1760.9459459459458</v>
      </c>
      <c r="AD49" s="7">
        <v>26062</v>
      </c>
      <c r="AE49" s="8">
        <v>14.8</v>
      </c>
      <c r="AF49" s="7">
        <f t="shared" si="25"/>
        <v>1871.2435233160622</v>
      </c>
      <c r="AG49" s="7">
        <v>108345</v>
      </c>
      <c r="AH49" s="8">
        <v>57.9</v>
      </c>
      <c r="AI49" s="7" t="e">
        <f t="shared" si="26"/>
        <v>#DIV/0!</v>
      </c>
      <c r="AJ49" s="7">
        <v>0</v>
      </c>
      <c r="AK49" s="8">
        <v>0</v>
      </c>
      <c r="AL49" s="7" t="e">
        <f t="shared" si="27"/>
        <v>#DIV/0!</v>
      </c>
      <c r="AM49" s="7">
        <v>0</v>
      </c>
      <c r="AN49" s="8">
        <v>0</v>
      </c>
      <c r="AO49" s="7">
        <f t="shared" si="12"/>
        <v>1920.9432624113474</v>
      </c>
      <c r="AP49" s="7">
        <f t="shared" si="15"/>
        <v>270853</v>
      </c>
      <c r="AQ49" s="8">
        <f t="shared" si="14"/>
        <v>141</v>
      </c>
    </row>
    <row r="50" spans="1:43" x14ac:dyDescent="0.3">
      <c r="A50" s="20" t="s">
        <v>70</v>
      </c>
      <c r="B50" s="23"/>
      <c r="C50" s="23"/>
      <c r="D50" s="23"/>
      <c r="E50" s="7" t="e">
        <f t="shared" si="16"/>
        <v>#DIV/0!</v>
      </c>
      <c r="F50" s="7">
        <v>0</v>
      </c>
      <c r="G50" s="8">
        <v>0</v>
      </c>
      <c r="H50" s="7" t="e">
        <f t="shared" si="17"/>
        <v>#DIV/0!</v>
      </c>
      <c r="I50" s="7">
        <v>0</v>
      </c>
      <c r="J50" s="8">
        <v>0</v>
      </c>
      <c r="K50" s="7" t="e">
        <f t="shared" si="18"/>
        <v>#DIV/0!</v>
      </c>
      <c r="L50" s="7">
        <v>0</v>
      </c>
      <c r="M50" s="8">
        <v>0</v>
      </c>
      <c r="N50" s="7" t="e">
        <f t="shared" si="19"/>
        <v>#DIV/0!</v>
      </c>
      <c r="O50" s="7">
        <v>0</v>
      </c>
      <c r="P50" s="8">
        <v>0</v>
      </c>
      <c r="Q50" s="7" t="e">
        <f t="shared" si="20"/>
        <v>#DIV/0!</v>
      </c>
      <c r="R50" s="7">
        <v>0</v>
      </c>
      <c r="S50" s="8">
        <v>0</v>
      </c>
      <c r="T50" s="7" t="e">
        <f t="shared" si="21"/>
        <v>#DIV/0!</v>
      </c>
      <c r="U50" s="7">
        <v>0</v>
      </c>
      <c r="V50" s="8">
        <v>0</v>
      </c>
      <c r="W50" s="7" t="e">
        <f t="shared" si="22"/>
        <v>#DIV/0!</v>
      </c>
      <c r="X50" s="7">
        <v>0</v>
      </c>
      <c r="Y50" s="8">
        <v>0</v>
      </c>
      <c r="Z50" s="7" t="e">
        <f t="shared" si="23"/>
        <v>#DIV/0!</v>
      </c>
      <c r="AA50" s="7">
        <v>0</v>
      </c>
      <c r="AB50" s="8">
        <v>0</v>
      </c>
      <c r="AC50" s="7">
        <f t="shared" si="24"/>
        <v>1338.5344827586207</v>
      </c>
      <c r="AD50" s="7">
        <v>31054</v>
      </c>
      <c r="AE50" s="8">
        <v>23.2</v>
      </c>
      <c r="AF50" s="7" t="e">
        <f t="shared" si="25"/>
        <v>#DIV/0!</v>
      </c>
      <c r="AG50" s="7">
        <v>0</v>
      </c>
      <c r="AH50" s="8">
        <v>0</v>
      </c>
      <c r="AI50" s="7" t="e">
        <f t="shared" si="26"/>
        <v>#DIV/0!</v>
      </c>
      <c r="AJ50" s="7">
        <v>0</v>
      </c>
      <c r="AK50" s="8">
        <v>0</v>
      </c>
      <c r="AL50" s="7" t="e">
        <f t="shared" si="27"/>
        <v>#DIV/0!</v>
      </c>
      <c r="AM50" s="7">
        <v>0</v>
      </c>
      <c r="AN50" s="8">
        <v>0</v>
      </c>
      <c r="AO50" s="7">
        <f t="shared" si="12"/>
        <v>1338.5344827586207</v>
      </c>
      <c r="AP50" s="7">
        <f t="shared" si="15"/>
        <v>31054</v>
      </c>
      <c r="AQ50" s="8">
        <f t="shared" si="14"/>
        <v>23.2</v>
      </c>
    </row>
    <row r="51" spans="1:43" x14ac:dyDescent="0.3">
      <c r="A51" s="19" t="s">
        <v>22</v>
      </c>
      <c r="B51" s="23"/>
      <c r="C51" s="23"/>
      <c r="D51" s="23"/>
      <c r="E51" s="7">
        <f t="shared" si="16"/>
        <v>2641.630434782609</v>
      </c>
      <c r="F51" s="7">
        <v>48606</v>
      </c>
      <c r="G51" s="8">
        <v>18.399999999999999</v>
      </c>
      <c r="H51" s="7">
        <f t="shared" si="17"/>
        <v>3415.0467289719627</v>
      </c>
      <c r="I51" s="7">
        <v>36541</v>
      </c>
      <c r="J51" s="8">
        <v>10.7</v>
      </c>
      <c r="K51" s="7" t="e">
        <f t="shared" si="18"/>
        <v>#DIV/0!</v>
      </c>
      <c r="L51" s="7">
        <v>0</v>
      </c>
      <c r="M51" s="8">
        <v>0</v>
      </c>
      <c r="N51" s="7">
        <f t="shared" si="19"/>
        <v>1241.5923566878982</v>
      </c>
      <c r="O51" s="7">
        <v>214423</v>
      </c>
      <c r="P51" s="8">
        <v>172.7</v>
      </c>
      <c r="Q51" s="7">
        <f t="shared" si="20"/>
        <v>799.72142486125915</v>
      </c>
      <c r="R51" s="7">
        <v>2925301</v>
      </c>
      <c r="S51" s="8">
        <v>3657.9</v>
      </c>
      <c r="T51" s="7">
        <f t="shared" si="21"/>
        <v>1269.9276934201011</v>
      </c>
      <c r="U51" s="7">
        <v>175631</v>
      </c>
      <c r="V51" s="8">
        <v>138.30000000000001</v>
      </c>
      <c r="W51" s="7">
        <f t="shared" si="22"/>
        <v>1228.0662983425414</v>
      </c>
      <c r="X51" s="7">
        <v>22228</v>
      </c>
      <c r="Y51" s="8">
        <v>18.100000000000001</v>
      </c>
      <c r="Z51" s="7">
        <f t="shared" si="23"/>
        <v>814.45651321464993</v>
      </c>
      <c r="AA51" s="7">
        <v>2077027</v>
      </c>
      <c r="AB51" s="8">
        <v>2550.1999999999998</v>
      </c>
      <c r="AC51" s="7">
        <f t="shared" si="24"/>
        <v>1229.3401015228426</v>
      </c>
      <c r="AD51" s="7">
        <v>24218</v>
      </c>
      <c r="AE51" s="8">
        <v>19.7</v>
      </c>
      <c r="AF51" s="7">
        <f t="shared" si="25"/>
        <v>1405.7142857142858</v>
      </c>
      <c r="AG51" s="7">
        <v>103320</v>
      </c>
      <c r="AH51" s="8">
        <v>73.5</v>
      </c>
      <c r="AI51" s="7">
        <f t="shared" si="26"/>
        <v>1009.0873015873017</v>
      </c>
      <c r="AJ51" s="7">
        <v>4221214</v>
      </c>
      <c r="AK51" s="8">
        <v>4183.2</v>
      </c>
      <c r="AL51" s="7" t="e">
        <f t="shared" si="27"/>
        <v>#DIV/0!</v>
      </c>
      <c r="AM51" s="7">
        <v>0</v>
      </c>
      <c r="AN51" s="8">
        <v>0</v>
      </c>
      <c r="AO51" s="7">
        <f t="shared" si="12"/>
        <v>908.30780156234141</v>
      </c>
      <c r="AP51" s="7">
        <f t="shared" si="15"/>
        <v>9848509</v>
      </c>
      <c r="AQ51" s="8">
        <f t="shared" si="14"/>
        <v>10842.7</v>
      </c>
    </row>
    <row r="52" spans="1:43" x14ac:dyDescent="0.3">
      <c r="A52" s="19" t="s">
        <v>34</v>
      </c>
      <c r="B52" s="23"/>
      <c r="C52" s="23"/>
      <c r="D52" s="23"/>
      <c r="E52" s="7" t="e">
        <f t="shared" si="16"/>
        <v>#DIV/0!</v>
      </c>
      <c r="F52" s="7">
        <v>0</v>
      </c>
      <c r="G52" s="8">
        <v>0</v>
      </c>
      <c r="H52" s="7">
        <f t="shared" si="17"/>
        <v>2144.6666666666665</v>
      </c>
      <c r="I52" s="7">
        <v>3217</v>
      </c>
      <c r="J52" s="8">
        <v>1.5</v>
      </c>
      <c r="K52" s="7">
        <f t="shared" si="18"/>
        <v>1965.3846153846152</v>
      </c>
      <c r="L52" s="7">
        <v>2555</v>
      </c>
      <c r="M52" s="8">
        <v>1.3</v>
      </c>
      <c r="N52" s="7" t="e">
        <f t="shared" si="19"/>
        <v>#DIV/0!</v>
      </c>
      <c r="O52" s="7">
        <v>0</v>
      </c>
      <c r="P52" s="8">
        <v>0</v>
      </c>
      <c r="Q52" s="7">
        <f t="shared" si="20"/>
        <v>1796.1904761904761</v>
      </c>
      <c r="R52" s="7">
        <v>3772</v>
      </c>
      <c r="S52" s="8">
        <v>2.1</v>
      </c>
      <c r="T52" s="7" t="e">
        <f t="shared" si="21"/>
        <v>#DIV/0!</v>
      </c>
      <c r="U52" s="7">
        <v>0</v>
      </c>
      <c r="V52" s="8">
        <v>0</v>
      </c>
      <c r="W52" s="7">
        <f t="shared" si="22"/>
        <v>1786</v>
      </c>
      <c r="X52" s="7">
        <v>2679</v>
      </c>
      <c r="Y52" s="8">
        <v>1.5</v>
      </c>
      <c r="Z52" s="7" t="e">
        <f t="shared" si="23"/>
        <v>#DIV/0!</v>
      </c>
      <c r="AA52" s="7">
        <v>0</v>
      </c>
      <c r="AB52" s="8">
        <v>0</v>
      </c>
      <c r="AC52" s="7" t="e">
        <f t="shared" si="24"/>
        <v>#DIV/0!</v>
      </c>
      <c r="AD52" s="7">
        <v>0</v>
      </c>
      <c r="AE52" s="8">
        <v>0</v>
      </c>
      <c r="AF52" s="7">
        <f t="shared" si="25"/>
        <v>1032.3733333333332</v>
      </c>
      <c r="AG52" s="7">
        <v>154856</v>
      </c>
      <c r="AH52" s="8">
        <v>150</v>
      </c>
      <c r="AI52" s="7" t="e">
        <f t="shared" si="26"/>
        <v>#DIV/0!</v>
      </c>
      <c r="AJ52" s="7">
        <v>0</v>
      </c>
      <c r="AK52" s="8">
        <v>0</v>
      </c>
      <c r="AL52" s="7" t="e">
        <f t="shared" si="27"/>
        <v>#DIV/0!</v>
      </c>
      <c r="AM52" s="7">
        <v>0</v>
      </c>
      <c r="AN52" s="8">
        <v>0</v>
      </c>
      <c r="AO52" s="7">
        <f t="shared" si="12"/>
        <v>1068.2800511508951</v>
      </c>
      <c r="AP52" s="7">
        <f t="shared" si="15"/>
        <v>167079</v>
      </c>
      <c r="AQ52" s="8">
        <f t="shared" si="14"/>
        <v>156.4</v>
      </c>
    </row>
    <row r="53" spans="1:43" x14ac:dyDescent="0.3">
      <c r="A53" s="19" t="s">
        <v>65</v>
      </c>
      <c r="B53" s="23"/>
      <c r="C53" s="23"/>
      <c r="D53" s="23"/>
      <c r="E53" s="7">
        <f t="shared" si="16"/>
        <v>4197.1428571428578</v>
      </c>
      <c r="F53" s="7">
        <v>2938</v>
      </c>
      <c r="G53" s="8">
        <v>0.7</v>
      </c>
      <c r="H53" s="7" t="e">
        <f t="shared" si="17"/>
        <v>#DIV/0!</v>
      </c>
      <c r="I53" s="7">
        <v>0</v>
      </c>
      <c r="J53" s="8">
        <v>0</v>
      </c>
      <c r="K53" s="7" t="e">
        <f t="shared" si="18"/>
        <v>#DIV/0!</v>
      </c>
      <c r="L53" s="7">
        <v>0</v>
      </c>
      <c r="M53" s="8">
        <v>0</v>
      </c>
      <c r="N53" s="7" t="e">
        <f t="shared" si="19"/>
        <v>#DIV/0!</v>
      </c>
      <c r="O53" s="7">
        <v>0</v>
      </c>
      <c r="P53" s="8">
        <v>0</v>
      </c>
      <c r="Q53" s="7" t="e">
        <f t="shared" si="20"/>
        <v>#DIV/0!</v>
      </c>
      <c r="R53" s="7">
        <v>0</v>
      </c>
      <c r="S53" s="8">
        <v>0</v>
      </c>
      <c r="T53" s="7" t="e">
        <f t="shared" si="21"/>
        <v>#DIV/0!</v>
      </c>
      <c r="U53" s="7">
        <v>0</v>
      </c>
      <c r="V53" s="8">
        <v>0</v>
      </c>
      <c r="W53" s="7" t="e">
        <f t="shared" si="22"/>
        <v>#DIV/0!</v>
      </c>
      <c r="X53" s="7">
        <v>0</v>
      </c>
      <c r="Y53" s="8">
        <v>0</v>
      </c>
      <c r="Z53" s="7" t="e">
        <f t="shared" si="23"/>
        <v>#DIV/0!</v>
      </c>
      <c r="AA53" s="7">
        <v>0</v>
      </c>
      <c r="AB53" s="8">
        <v>0</v>
      </c>
      <c r="AC53" s="7" t="e">
        <f t="shared" si="24"/>
        <v>#DIV/0!</v>
      </c>
      <c r="AD53" s="7">
        <v>0</v>
      </c>
      <c r="AE53" s="8">
        <v>0</v>
      </c>
      <c r="AF53" s="7" t="e">
        <f t="shared" si="25"/>
        <v>#DIV/0!</v>
      </c>
      <c r="AG53" s="7">
        <v>0</v>
      </c>
      <c r="AH53" s="8">
        <v>0</v>
      </c>
      <c r="AI53" s="7" t="e">
        <f t="shared" si="26"/>
        <v>#DIV/0!</v>
      </c>
      <c r="AJ53" s="7">
        <v>0</v>
      </c>
      <c r="AK53" s="8">
        <v>0</v>
      </c>
      <c r="AL53" s="7" t="e">
        <f t="shared" si="27"/>
        <v>#DIV/0!</v>
      </c>
      <c r="AM53" s="7">
        <v>0</v>
      </c>
      <c r="AN53" s="8">
        <v>0</v>
      </c>
      <c r="AO53" s="7">
        <f t="shared" si="12"/>
        <v>4197.1428571428578</v>
      </c>
      <c r="AP53" s="7">
        <f t="shared" si="15"/>
        <v>2938</v>
      </c>
      <c r="AQ53" s="8">
        <f t="shared" si="14"/>
        <v>0.7</v>
      </c>
    </row>
    <row r="54" spans="1:43" x14ac:dyDescent="0.3">
      <c r="A54" s="19" t="s">
        <v>51</v>
      </c>
      <c r="B54" s="23"/>
      <c r="C54" s="23"/>
      <c r="D54" s="23"/>
      <c r="E54" s="7" t="e">
        <f t="shared" si="16"/>
        <v>#DIV/0!</v>
      </c>
      <c r="F54" s="7">
        <v>0</v>
      </c>
      <c r="G54" s="8">
        <v>0</v>
      </c>
      <c r="H54" s="7" t="e">
        <f t="shared" si="17"/>
        <v>#DIV/0!</v>
      </c>
      <c r="I54" s="7">
        <v>0</v>
      </c>
      <c r="J54" s="8">
        <v>0</v>
      </c>
      <c r="K54" s="7">
        <f t="shared" si="18"/>
        <v>1368</v>
      </c>
      <c r="L54" s="7">
        <v>16416</v>
      </c>
      <c r="M54" s="8">
        <v>12</v>
      </c>
      <c r="N54" s="7" t="e">
        <f t="shared" si="19"/>
        <v>#DIV/0!</v>
      </c>
      <c r="O54" s="7">
        <v>0</v>
      </c>
      <c r="P54" s="8">
        <v>0</v>
      </c>
      <c r="Q54" s="7">
        <f t="shared" si="20"/>
        <v>1280</v>
      </c>
      <c r="R54" s="7">
        <v>9984</v>
      </c>
      <c r="S54" s="8">
        <v>7.8</v>
      </c>
      <c r="T54" s="7" t="e">
        <f t="shared" si="21"/>
        <v>#DIV/0!</v>
      </c>
      <c r="U54" s="7">
        <v>0</v>
      </c>
      <c r="V54" s="8">
        <v>0</v>
      </c>
      <c r="W54" s="7" t="e">
        <f t="shared" si="22"/>
        <v>#DIV/0!</v>
      </c>
      <c r="X54" s="7">
        <v>0</v>
      </c>
      <c r="Y54" s="8">
        <v>0</v>
      </c>
      <c r="Z54" s="7" t="e">
        <f t="shared" si="23"/>
        <v>#DIV/0!</v>
      </c>
      <c r="AA54" s="7">
        <v>0</v>
      </c>
      <c r="AB54" s="8">
        <v>0</v>
      </c>
      <c r="AC54" s="7" t="e">
        <f t="shared" si="24"/>
        <v>#DIV/0!</v>
      </c>
      <c r="AD54" s="7">
        <v>0</v>
      </c>
      <c r="AE54" s="8">
        <v>0</v>
      </c>
      <c r="AF54" s="7">
        <f t="shared" si="25"/>
        <v>1246.1538461538462</v>
      </c>
      <c r="AG54" s="7">
        <v>6480</v>
      </c>
      <c r="AH54" s="8">
        <v>5.2</v>
      </c>
      <c r="AI54" s="7" t="e">
        <f t="shared" si="26"/>
        <v>#DIV/0!</v>
      </c>
      <c r="AJ54" s="7">
        <v>0</v>
      </c>
      <c r="AK54" s="8">
        <v>0</v>
      </c>
      <c r="AL54" s="7" t="e">
        <f t="shared" si="27"/>
        <v>#DIV/0!</v>
      </c>
      <c r="AM54" s="7">
        <v>0</v>
      </c>
      <c r="AN54" s="8">
        <v>0</v>
      </c>
      <c r="AO54" s="7">
        <f t="shared" si="12"/>
        <v>1315.2</v>
      </c>
      <c r="AP54" s="7">
        <f t="shared" si="15"/>
        <v>32880</v>
      </c>
      <c r="AQ54" s="8">
        <f t="shared" si="14"/>
        <v>25</v>
      </c>
    </row>
    <row r="55" spans="1:43" x14ac:dyDescent="0.3">
      <c r="A55" s="19" t="s">
        <v>71</v>
      </c>
      <c r="B55" s="23"/>
      <c r="C55" s="23"/>
      <c r="D55" s="23"/>
      <c r="E55" s="7" t="e">
        <f t="shared" si="16"/>
        <v>#DIV/0!</v>
      </c>
      <c r="F55" s="7">
        <v>0</v>
      </c>
      <c r="G55" s="8">
        <v>0</v>
      </c>
      <c r="H55" s="7">
        <f t="shared" si="17"/>
        <v>1145.3846153846152</v>
      </c>
      <c r="I55" s="7">
        <v>2978</v>
      </c>
      <c r="J55" s="8">
        <v>2.6</v>
      </c>
      <c r="K55" s="7" t="e">
        <f t="shared" si="18"/>
        <v>#DIV/0!</v>
      </c>
      <c r="L55" s="7">
        <v>0</v>
      </c>
      <c r="M55" s="8">
        <v>0</v>
      </c>
      <c r="N55" s="7" t="e">
        <f t="shared" si="19"/>
        <v>#DIV/0!</v>
      </c>
      <c r="O55" s="7">
        <v>0</v>
      </c>
      <c r="P55" s="8">
        <v>0</v>
      </c>
      <c r="Q55" s="7" t="e">
        <f t="shared" si="20"/>
        <v>#DIV/0!</v>
      </c>
      <c r="R55" s="7">
        <v>0</v>
      </c>
      <c r="S55" s="8">
        <v>0</v>
      </c>
      <c r="T55" s="7" t="e">
        <f t="shared" si="21"/>
        <v>#DIV/0!</v>
      </c>
      <c r="U55" s="7">
        <v>0</v>
      </c>
      <c r="V55" s="8">
        <v>0</v>
      </c>
      <c r="W55" s="7" t="e">
        <f t="shared" si="22"/>
        <v>#DIV/0!</v>
      </c>
      <c r="X55" s="7">
        <v>0</v>
      </c>
      <c r="Y55" s="8">
        <v>0</v>
      </c>
      <c r="Z55" s="7" t="e">
        <f t="shared" si="23"/>
        <v>#DIV/0!</v>
      </c>
      <c r="AA55" s="7">
        <v>0</v>
      </c>
      <c r="AB55" s="8">
        <v>0</v>
      </c>
      <c r="AC55" s="7" t="e">
        <f t="shared" si="24"/>
        <v>#DIV/0!</v>
      </c>
      <c r="AD55" s="7">
        <v>0</v>
      </c>
      <c r="AE55" s="8">
        <v>0</v>
      </c>
      <c r="AF55" s="7" t="e">
        <f t="shared" si="25"/>
        <v>#DIV/0!</v>
      </c>
      <c r="AG55" s="7">
        <v>0</v>
      </c>
      <c r="AH55" s="8">
        <v>0</v>
      </c>
      <c r="AI55" s="7" t="e">
        <f t="shared" si="26"/>
        <v>#DIV/0!</v>
      </c>
      <c r="AJ55" s="7">
        <v>0</v>
      </c>
      <c r="AK55" s="8">
        <v>0</v>
      </c>
      <c r="AL55" s="7" t="e">
        <f t="shared" si="27"/>
        <v>#DIV/0!</v>
      </c>
      <c r="AM55" s="7">
        <v>0</v>
      </c>
      <c r="AN55" s="8">
        <v>0</v>
      </c>
      <c r="AO55" s="7">
        <f t="shared" si="12"/>
        <v>1145.3846153846152</v>
      </c>
      <c r="AP55" s="7">
        <f t="shared" si="15"/>
        <v>2978</v>
      </c>
      <c r="AQ55" s="8">
        <f t="shared" si="14"/>
        <v>2.6</v>
      </c>
    </row>
    <row r="56" spans="1:43" x14ac:dyDescent="0.3">
      <c r="A56" s="19" t="s">
        <v>75</v>
      </c>
      <c r="B56" s="23"/>
      <c r="C56" s="23"/>
      <c r="D56" s="23"/>
      <c r="E56" s="7" t="e">
        <f t="shared" si="16"/>
        <v>#DIV/0!</v>
      </c>
      <c r="F56" s="7">
        <v>0</v>
      </c>
      <c r="G56" s="8">
        <v>0</v>
      </c>
      <c r="H56" s="7" t="e">
        <f t="shared" si="17"/>
        <v>#DIV/0!</v>
      </c>
      <c r="I56" s="7">
        <v>0</v>
      </c>
      <c r="J56" s="8">
        <v>0</v>
      </c>
      <c r="K56" s="7" t="e">
        <f t="shared" si="18"/>
        <v>#DIV/0!</v>
      </c>
      <c r="L56" s="7">
        <v>0</v>
      </c>
      <c r="M56" s="8">
        <v>0</v>
      </c>
      <c r="N56" s="7" t="e">
        <f t="shared" si="19"/>
        <v>#DIV/0!</v>
      </c>
      <c r="O56" s="7">
        <v>0</v>
      </c>
      <c r="P56" s="8">
        <v>0</v>
      </c>
      <c r="Q56" s="7" t="e">
        <f t="shared" si="20"/>
        <v>#DIV/0!</v>
      </c>
      <c r="R56" s="7">
        <v>0</v>
      </c>
      <c r="S56" s="8">
        <v>0</v>
      </c>
      <c r="T56" s="7" t="e">
        <f t="shared" si="21"/>
        <v>#DIV/0!</v>
      </c>
      <c r="U56" s="7">
        <v>0</v>
      </c>
      <c r="V56" s="8">
        <v>0</v>
      </c>
      <c r="W56" s="7" t="e">
        <f t="shared" si="22"/>
        <v>#DIV/0!</v>
      </c>
      <c r="X56" s="7">
        <v>0</v>
      </c>
      <c r="Y56" s="8">
        <v>0</v>
      </c>
      <c r="Z56" s="7">
        <f t="shared" si="23"/>
        <v>1718.8888888888889</v>
      </c>
      <c r="AA56" s="7">
        <v>3094</v>
      </c>
      <c r="AB56" s="8">
        <v>1.8</v>
      </c>
      <c r="AC56" s="7" t="e">
        <f t="shared" si="24"/>
        <v>#DIV/0!</v>
      </c>
      <c r="AD56" s="7">
        <v>0</v>
      </c>
      <c r="AE56" s="8">
        <v>0</v>
      </c>
      <c r="AF56" s="7" t="e">
        <f t="shared" si="25"/>
        <v>#DIV/0!</v>
      </c>
      <c r="AG56" s="7">
        <v>0</v>
      </c>
      <c r="AH56" s="8">
        <v>0</v>
      </c>
      <c r="AI56" s="7" t="e">
        <f t="shared" si="26"/>
        <v>#DIV/0!</v>
      </c>
      <c r="AJ56" s="7">
        <v>0</v>
      </c>
      <c r="AK56" s="8">
        <v>0</v>
      </c>
      <c r="AL56" s="7" t="e">
        <f t="shared" si="27"/>
        <v>#DIV/0!</v>
      </c>
      <c r="AM56" s="7">
        <v>0</v>
      </c>
      <c r="AN56" s="8">
        <v>0</v>
      </c>
      <c r="AO56" s="7">
        <f t="shared" si="12"/>
        <v>1718.8888888888889</v>
      </c>
      <c r="AP56" s="7">
        <f t="shared" si="15"/>
        <v>3094</v>
      </c>
      <c r="AQ56" s="8">
        <f t="shared" si="14"/>
        <v>1.8</v>
      </c>
    </row>
    <row r="57" spans="1:43" x14ac:dyDescent="0.3">
      <c r="A57" s="19" t="s">
        <v>81</v>
      </c>
      <c r="B57" s="23"/>
      <c r="C57" s="23"/>
      <c r="D57" s="23"/>
      <c r="E57" s="7" t="e">
        <f t="shared" si="16"/>
        <v>#DIV/0!</v>
      </c>
      <c r="F57" s="7">
        <v>0</v>
      </c>
      <c r="G57" s="8">
        <v>0</v>
      </c>
      <c r="H57" s="7" t="e">
        <f t="shared" si="17"/>
        <v>#DIV/0!</v>
      </c>
      <c r="I57" s="7">
        <v>0</v>
      </c>
      <c r="J57" s="8">
        <v>0</v>
      </c>
      <c r="K57" s="7" t="e">
        <f t="shared" si="18"/>
        <v>#DIV/0!</v>
      </c>
      <c r="L57" s="7">
        <v>0</v>
      </c>
      <c r="M57" s="8">
        <v>0</v>
      </c>
      <c r="N57" s="7" t="e">
        <f t="shared" si="19"/>
        <v>#DIV/0!</v>
      </c>
      <c r="O57" s="7">
        <v>0</v>
      </c>
      <c r="P57" s="8">
        <v>0</v>
      </c>
      <c r="Q57" s="7" t="e">
        <f t="shared" si="20"/>
        <v>#DIV/0!</v>
      </c>
      <c r="R57" s="7">
        <v>0</v>
      </c>
      <c r="S57" s="8">
        <v>0</v>
      </c>
      <c r="T57" s="7" t="e">
        <f t="shared" si="21"/>
        <v>#DIV/0!</v>
      </c>
      <c r="U57" s="7">
        <v>0</v>
      </c>
      <c r="V57" s="8">
        <v>0</v>
      </c>
      <c r="W57" s="7">
        <f t="shared" si="22"/>
        <v>979.07142857142856</v>
      </c>
      <c r="X57" s="7">
        <v>68535</v>
      </c>
      <c r="Y57" s="8">
        <v>70</v>
      </c>
      <c r="Z57" s="7" t="e">
        <f t="shared" si="23"/>
        <v>#DIV/0!</v>
      </c>
      <c r="AA57" s="7">
        <v>0</v>
      </c>
      <c r="AB57" s="8">
        <v>0</v>
      </c>
      <c r="AC57" s="7">
        <f t="shared" si="24"/>
        <v>1056.3833333333334</v>
      </c>
      <c r="AD57" s="7">
        <v>63383</v>
      </c>
      <c r="AE57" s="8">
        <v>60</v>
      </c>
      <c r="AF57" s="7" t="e">
        <f t="shared" si="25"/>
        <v>#DIV/0!</v>
      </c>
      <c r="AG57" s="7">
        <v>0</v>
      </c>
      <c r="AH57" s="8">
        <v>0</v>
      </c>
      <c r="AI57" s="7" t="e">
        <f t="shared" si="26"/>
        <v>#DIV/0!</v>
      </c>
      <c r="AJ57" s="7">
        <v>0</v>
      </c>
      <c r="AK57" s="8">
        <v>0</v>
      </c>
      <c r="AL57" s="7" t="e">
        <f t="shared" si="27"/>
        <v>#DIV/0!</v>
      </c>
      <c r="AM57" s="7">
        <v>0</v>
      </c>
      <c r="AN57" s="8">
        <v>0</v>
      </c>
      <c r="AO57" s="7">
        <f t="shared" si="12"/>
        <v>1014.7538461538461</v>
      </c>
      <c r="AP57" s="7">
        <f t="shared" si="15"/>
        <v>131918</v>
      </c>
      <c r="AQ57" s="8">
        <f t="shared" si="14"/>
        <v>130</v>
      </c>
    </row>
    <row r="58" spans="1:43" x14ac:dyDescent="0.3">
      <c r="A58" s="19" t="s">
        <v>66</v>
      </c>
      <c r="B58" s="23"/>
      <c r="C58" s="23"/>
      <c r="D58" s="23"/>
      <c r="E58" s="7" t="e">
        <f t="shared" si="16"/>
        <v>#DIV/0!</v>
      </c>
      <c r="F58" s="7">
        <v>0</v>
      </c>
      <c r="G58" s="8">
        <v>0</v>
      </c>
      <c r="H58" s="7" t="e">
        <f t="shared" si="17"/>
        <v>#DIV/0!</v>
      </c>
      <c r="I58" s="7">
        <v>0</v>
      </c>
      <c r="J58" s="8">
        <v>0</v>
      </c>
      <c r="K58" s="7" t="e">
        <f t="shared" si="18"/>
        <v>#DIV/0!</v>
      </c>
      <c r="L58" s="7">
        <v>0</v>
      </c>
      <c r="M58" s="8">
        <v>0</v>
      </c>
      <c r="N58" s="7">
        <f t="shared" si="19"/>
        <v>1548.4249084249084</v>
      </c>
      <c r="O58" s="7">
        <v>253632</v>
      </c>
      <c r="P58" s="8">
        <v>163.80000000000001</v>
      </c>
      <c r="Q58" s="7" t="e">
        <f t="shared" si="20"/>
        <v>#DIV/0!</v>
      </c>
      <c r="R58" s="7">
        <v>0</v>
      </c>
      <c r="S58" s="8">
        <v>0</v>
      </c>
      <c r="T58" s="7" t="e">
        <f t="shared" si="21"/>
        <v>#DIV/0!</v>
      </c>
      <c r="U58" s="7">
        <v>0</v>
      </c>
      <c r="V58" s="8">
        <v>0</v>
      </c>
      <c r="W58" s="7">
        <f t="shared" si="22"/>
        <v>4561.333333333333</v>
      </c>
      <c r="X58" s="7">
        <v>27368</v>
      </c>
      <c r="Y58" s="8">
        <v>6</v>
      </c>
      <c r="Z58" s="7" t="e">
        <f t="shared" si="23"/>
        <v>#DIV/0!</v>
      </c>
      <c r="AA58" s="7">
        <v>0</v>
      </c>
      <c r="AB58" s="8">
        <v>0</v>
      </c>
      <c r="AC58" s="7" t="e">
        <f t="shared" si="24"/>
        <v>#DIV/0!</v>
      </c>
      <c r="AD58" s="7">
        <v>0</v>
      </c>
      <c r="AE58" s="8">
        <v>0</v>
      </c>
      <c r="AF58" s="7" t="e">
        <f t="shared" si="25"/>
        <v>#DIV/0!</v>
      </c>
      <c r="AG58" s="7">
        <v>0</v>
      </c>
      <c r="AH58" s="8">
        <v>0</v>
      </c>
      <c r="AI58" s="7">
        <f t="shared" si="26"/>
        <v>1548.4365028717295</v>
      </c>
      <c r="AJ58" s="7">
        <v>242640</v>
      </c>
      <c r="AK58" s="8">
        <v>156.69999999999999</v>
      </c>
      <c r="AL58" s="7" t="e">
        <f t="shared" si="27"/>
        <v>#DIV/0!</v>
      </c>
      <c r="AM58" s="7">
        <v>0</v>
      </c>
      <c r="AN58" s="8">
        <v>0</v>
      </c>
      <c r="AO58" s="7">
        <f t="shared" si="12"/>
        <v>1603.7978560490046</v>
      </c>
      <c r="AP58" s="7">
        <f t="shared" si="15"/>
        <v>523640</v>
      </c>
      <c r="AQ58" s="8">
        <f t="shared" si="14"/>
        <v>326.5</v>
      </c>
    </row>
    <row r="59" spans="1:43" x14ac:dyDescent="0.3">
      <c r="A59" s="16" t="s">
        <v>37</v>
      </c>
      <c r="B59" s="24"/>
      <c r="C59" s="24"/>
      <c r="D59" s="24"/>
      <c r="E59" s="14" t="e">
        <f t="shared" si="16"/>
        <v>#DIV/0!</v>
      </c>
      <c r="F59" s="12">
        <v>0</v>
      </c>
      <c r="G59" s="13">
        <v>0</v>
      </c>
      <c r="H59" s="12" t="e">
        <f t="shared" si="17"/>
        <v>#DIV/0!</v>
      </c>
      <c r="I59" s="12">
        <v>0</v>
      </c>
      <c r="J59" s="13">
        <v>0</v>
      </c>
      <c r="K59" s="12" t="e">
        <f t="shared" si="18"/>
        <v>#DIV/0!</v>
      </c>
      <c r="L59" s="12">
        <v>0</v>
      </c>
      <c r="M59" s="13">
        <v>0</v>
      </c>
      <c r="N59" s="12" t="e">
        <f t="shared" si="19"/>
        <v>#DIV/0!</v>
      </c>
      <c r="O59" s="12">
        <v>0</v>
      </c>
      <c r="P59" s="13">
        <v>0</v>
      </c>
      <c r="Q59" s="12" t="e">
        <f t="shared" si="20"/>
        <v>#DIV/0!</v>
      </c>
      <c r="R59" s="12">
        <v>0</v>
      </c>
      <c r="S59" s="13">
        <v>0</v>
      </c>
      <c r="T59" s="12">
        <f t="shared" si="21"/>
        <v>4500</v>
      </c>
      <c r="U59" s="12">
        <v>3150</v>
      </c>
      <c r="V59" s="13">
        <v>0.7</v>
      </c>
      <c r="W59" s="12" t="e">
        <f t="shared" si="22"/>
        <v>#DIV/0!</v>
      </c>
      <c r="X59" s="12">
        <v>0</v>
      </c>
      <c r="Y59" s="13">
        <v>0</v>
      </c>
      <c r="Z59" s="12" t="e">
        <f t="shared" si="23"/>
        <v>#DIV/0!</v>
      </c>
      <c r="AA59" s="12">
        <v>0</v>
      </c>
      <c r="AB59" s="13">
        <v>0</v>
      </c>
      <c r="AC59" s="12" t="e">
        <f t="shared" si="24"/>
        <v>#DIV/0!</v>
      </c>
      <c r="AD59" s="12">
        <v>0</v>
      </c>
      <c r="AE59" s="13">
        <v>0</v>
      </c>
      <c r="AF59" s="12" t="e">
        <f t="shared" si="25"/>
        <v>#DIV/0!</v>
      </c>
      <c r="AG59" s="12">
        <v>0</v>
      </c>
      <c r="AH59" s="13">
        <v>0</v>
      </c>
      <c r="AI59" s="12" t="e">
        <f t="shared" si="26"/>
        <v>#DIV/0!</v>
      </c>
      <c r="AJ59" s="12">
        <v>0</v>
      </c>
      <c r="AK59" s="13">
        <v>0</v>
      </c>
      <c r="AL59" s="12" t="e">
        <f t="shared" si="27"/>
        <v>#DIV/0!</v>
      </c>
      <c r="AM59" s="12">
        <v>0</v>
      </c>
      <c r="AN59" s="13">
        <v>0</v>
      </c>
      <c r="AO59" s="12">
        <f t="shared" si="12"/>
        <v>4500</v>
      </c>
      <c r="AP59" s="12">
        <f t="shared" si="15"/>
        <v>3150</v>
      </c>
      <c r="AQ59" s="13">
        <f t="shared" si="14"/>
        <v>0.7</v>
      </c>
    </row>
    <row r="60" spans="1:43" x14ac:dyDescent="0.3">
      <c r="A60" s="1" t="s">
        <v>39</v>
      </c>
      <c r="B60" s="1"/>
    </row>
    <row r="61" spans="1:43" x14ac:dyDescent="0.3">
      <c r="A61" s="1" t="s">
        <v>67</v>
      </c>
      <c r="B61" s="1"/>
    </row>
    <row r="62" spans="1:43" x14ac:dyDescent="0.3">
      <c r="A62" s="1" t="s">
        <v>40</v>
      </c>
      <c r="B62" s="1"/>
    </row>
    <row r="63" spans="1:43" x14ac:dyDescent="0.3">
      <c r="A63" s="1" t="s">
        <v>41</v>
      </c>
      <c r="B63" s="1"/>
    </row>
    <row r="64" spans="1:43" x14ac:dyDescent="0.3">
      <c r="A64" s="1" t="s">
        <v>68</v>
      </c>
      <c r="B64" s="1"/>
    </row>
  </sheetData>
  <mergeCells count="16">
    <mergeCell ref="B3:B59"/>
    <mergeCell ref="C3:C59"/>
    <mergeCell ref="AO1:AQ1"/>
    <mergeCell ref="W1:Y1"/>
    <mergeCell ref="Z1:AB1"/>
    <mergeCell ref="AC1:AE1"/>
    <mergeCell ref="AF1:AH1"/>
    <mergeCell ref="AI1:AK1"/>
    <mergeCell ref="D3:D59"/>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2020년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2026-08-07T05:25:46Z</dcterms:modified>
</cp:coreProperties>
</file>