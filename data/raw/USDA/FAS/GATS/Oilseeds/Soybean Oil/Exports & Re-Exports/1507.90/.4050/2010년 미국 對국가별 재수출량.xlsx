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0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11" i="1" l="1"/>
  <c r="AP11" i="1"/>
  <c r="AQ10" i="1"/>
  <c r="AP10" i="1"/>
  <c r="AQ9" i="1"/>
  <c r="AP9" i="1"/>
  <c r="AQ8" i="1"/>
  <c r="AP8" i="1"/>
  <c r="AQ7" i="1"/>
  <c r="AP7" i="1"/>
  <c r="AQ6" i="1"/>
  <c r="AP6" i="1"/>
  <c r="AC3" i="1" l="1"/>
  <c r="Q3" i="1"/>
  <c r="AL3" i="1"/>
  <c r="AF3" i="1"/>
  <c r="W3" i="1"/>
  <c r="T3" i="1"/>
  <c r="N3" i="1"/>
  <c r="K3" i="1"/>
  <c r="H3" i="1"/>
  <c r="AP5" i="1"/>
  <c r="AP3" i="1" s="1"/>
  <c r="AL11" i="1"/>
  <c r="AL10" i="1"/>
  <c r="AL9" i="1"/>
  <c r="AL8" i="1"/>
  <c r="AL7" i="1"/>
  <c r="AL6" i="1"/>
  <c r="AL5" i="1"/>
  <c r="AL4" i="1"/>
  <c r="AI11" i="1"/>
  <c r="AI10" i="1"/>
  <c r="AI9" i="1"/>
  <c r="AI8" i="1"/>
  <c r="AI7" i="1"/>
  <c r="AI6" i="1"/>
  <c r="AI5" i="1"/>
  <c r="AI4" i="1"/>
  <c r="AF11" i="1"/>
  <c r="AF10" i="1"/>
  <c r="AF9" i="1"/>
  <c r="AF8" i="1"/>
  <c r="AF7" i="1"/>
  <c r="AF6" i="1"/>
  <c r="AF5" i="1"/>
  <c r="AF4" i="1"/>
  <c r="AC11" i="1"/>
  <c r="AC10" i="1"/>
  <c r="AC9" i="1"/>
  <c r="AC8" i="1"/>
  <c r="AC7" i="1"/>
  <c r="AC6" i="1"/>
  <c r="AC5" i="1"/>
  <c r="AC4" i="1"/>
  <c r="Z11" i="1"/>
  <c r="Z10" i="1"/>
  <c r="Z9" i="1"/>
  <c r="Z8" i="1"/>
  <c r="Z7" i="1"/>
  <c r="Z6" i="1"/>
  <c r="Z5" i="1"/>
  <c r="Z4" i="1"/>
  <c r="W11" i="1"/>
  <c r="W10" i="1"/>
  <c r="W9" i="1"/>
  <c r="W8" i="1"/>
  <c r="W7" i="1"/>
  <c r="W6" i="1"/>
  <c r="W5" i="1"/>
  <c r="W4" i="1"/>
  <c r="T11" i="1"/>
  <c r="T10" i="1"/>
  <c r="T9" i="1"/>
  <c r="T8" i="1"/>
  <c r="T7" i="1"/>
  <c r="T6" i="1"/>
  <c r="T5" i="1"/>
  <c r="T4" i="1"/>
  <c r="Q11" i="1"/>
  <c r="Q10" i="1"/>
  <c r="Q9" i="1"/>
  <c r="Q8" i="1"/>
  <c r="Q7" i="1"/>
  <c r="Q6" i="1"/>
  <c r="Q5" i="1"/>
  <c r="Q4" i="1"/>
  <c r="N11" i="1"/>
  <c r="N10" i="1"/>
  <c r="N9" i="1"/>
  <c r="N8" i="1"/>
  <c r="N7" i="1"/>
  <c r="N6" i="1"/>
  <c r="N5" i="1"/>
  <c r="N4" i="1"/>
  <c r="K11" i="1"/>
  <c r="K10" i="1"/>
  <c r="K9" i="1"/>
  <c r="K8" i="1"/>
  <c r="K7" i="1"/>
  <c r="K6" i="1"/>
  <c r="K5" i="1"/>
  <c r="K4" i="1"/>
  <c r="H11" i="1"/>
  <c r="H10" i="1"/>
  <c r="H9" i="1"/>
  <c r="H8" i="1"/>
  <c r="H7" i="1"/>
  <c r="H6" i="1"/>
  <c r="H5" i="1"/>
  <c r="H4" i="1"/>
  <c r="E11" i="1"/>
  <c r="E10" i="1"/>
  <c r="E9" i="1"/>
  <c r="E8" i="1"/>
  <c r="E7" i="1"/>
  <c r="E6" i="1"/>
  <c r="E5" i="1"/>
  <c r="AQ5" i="1"/>
  <c r="AI3" i="1" l="1"/>
  <c r="Z3" i="1"/>
  <c r="AO7" i="1"/>
  <c r="E3" i="1"/>
  <c r="AO10" i="1"/>
  <c r="AO11" i="1"/>
  <c r="AO5" i="1"/>
  <c r="AO6" i="1"/>
  <c r="AO8" i="1"/>
  <c r="AO9" i="1"/>
  <c r="AQ3" i="1"/>
  <c r="AO3" i="1" l="1"/>
  <c r="AO4" i="1"/>
</calcChain>
</file>

<file path=xl/sharedStrings.xml><?xml version="1.0" encoding="utf-8"?>
<sst xmlns="http://schemas.openxmlformats.org/spreadsheetml/2006/main" count="74" uniqueCount="38">
  <si>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</si>
  <si>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</si>
  <si>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</si>
  <si>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</si>
  <si>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</si>
  <si>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</si>
  <si>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</si>
  <si>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</si>
  <si>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</si>
  <si>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</si>
  <si>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</si>
  <si>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</si>
  <si>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</si>
  <si>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</si>
  <si>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</si>
  <si>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</si>
  <si>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</si>
  <si>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</si>
  <si>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</si>
  <si>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</si>
  <si>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</si>
  <si>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</si>
  <si>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</si>
  <si>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</si>
  <si>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</si>
  <si>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</si>
  <si>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Nicaragua</t>
    <phoneticPr fontId="18" type="noConversion"/>
  </si>
  <si>
    <t>Netherlands Antilles(*)</t>
    <phoneticPr fontId="18" type="noConversion"/>
  </si>
  <si>
    <t>Dominican Republic</t>
    <phoneticPr fontId="18" type="noConversion"/>
  </si>
  <si>
    <t>Jamaica</t>
    <phoneticPr fontId="18" type="noConversion"/>
  </si>
  <si>
    <t>Canada</t>
    <phoneticPr fontId="18" type="noConversion"/>
  </si>
  <si>
    <t>Mexico</t>
    <phoneticPr fontId="18" type="noConversion"/>
  </si>
  <si>
    <t>Panama</t>
    <phoneticPr fontId="18" type="noConversion"/>
  </si>
  <si>
    <t>Trinidad and Tobago</t>
    <phoneticPr fontId="18" type="noConversion"/>
  </si>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</sst>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21"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7"/>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2" t="s">
        <v>1</v>
      </c>
      <c r="I1" s="13"/>
      <c r="J1" s="14"/>
      <c r="K1" s="12" t="s">
        <v>2</v>
      </c>
      <c r="L1" s="13"/>
      <c r="M1" s="14"/>
      <c r="N1" s="12" t="s">
        <v>3</v>
      </c>
      <c r="O1" s="13"/>
      <c r="P1" s="14"/>
      <c r="Q1" s="12" t="s">
        <v>4</v>
      </c>
      <c r="R1" s="13"/>
      <c r="S1" s="14"/>
      <c r="T1" s="12" t="s">
        <v>5</v>
      </c>
      <c r="U1" s="13"/>
      <c r="V1" s="14"/>
      <c r="W1" s="12" t="s">
        <v>6</v>
      </c>
      <c r="X1" s="13"/>
      <c r="Y1" s="14"/>
      <c r="Z1" s="12" t="s">
        <v>7</v>
      </c>
      <c r="AA1" s="13"/>
      <c r="AB1" s="14"/>
      <c r="AC1" s="12" t="s">
        <v>8</v>
      </c>
      <c r="AD1" s="13"/>
      <c r="AE1" s="14"/>
      <c r="AF1" s="12" t="s">
        <v>9</v>
      </c>
      <c r="AG1" s="13"/>
      <c r="AH1" s="14"/>
      <c r="AI1" s="12" t="s">
        <v>10</v>
      </c>
      <c r="AJ1" s="13"/>
      <c r="AK1" s="14"/>
      <c r="AL1" s="12" t="s">
        <v>11</v>
      </c>
      <c r="AM1" s="13"/>
      <c r="AN1" s="14"/>
      <c r="AO1" s="12" t="s">
        <v>12</v>
      </c>
      <c r="AP1" s="13"/>
      <c r="AQ1" s="14"/>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7" t="s">
        <v>16</v>
      </c>
      <c r="B3" s="19" t="s">
        <v>25</v>
      </c>
      <c r="C3" s="18" t="s">
        <v>17</v>
      </c>
      <c r="D3" s="18" t="s">
        <v>21</v>
      </c>
      <c r="E3" s="9">
        <f>F3/G3</f>
        <v>1384.8148148148148</v>
      </c>
      <c r="F3" s="10">
        <f>SUM(F4:F11)</f>
        <v>7478</v>
      </c>
      <c r="G3" s="11">
        <f>SUM(G4:G11)</f>
        <v>5.4</v>
      </c>
      <c r="H3" s="10" t="e">
        <f>I3/J3</f>
        <v>#DIV/0!</v>
      </c>
      <c r="I3" s="10">
        <f>SUM(I4:I11)</f>
        <v>0</v>
      </c>
      <c r="J3" s="11">
        <f>SUM(J4:J11)</f>
        <v>0</v>
      </c>
      <c r="K3" s="10">
        <f>L3/M3</f>
        <v>1004.2991755005888</v>
      </c>
      <c r="L3" s="10">
        <f>SUM(L4:L11)</f>
        <v>85265</v>
      </c>
      <c r="M3" s="11">
        <f>SUM(M4:M11)</f>
        <v>84.9</v>
      </c>
      <c r="N3" s="10">
        <f>O3/P3</f>
        <v>1481.1111111111111</v>
      </c>
      <c r="O3" s="10">
        <f>SUM(O4:O11)</f>
        <v>9331</v>
      </c>
      <c r="P3" s="11">
        <f>SUM(P4:P11)</f>
        <v>6.3</v>
      </c>
      <c r="Q3" s="10">
        <f>R3/S3</f>
        <v>1302.5</v>
      </c>
      <c r="R3" s="10">
        <f>SUM(R4:R11)</f>
        <v>11983</v>
      </c>
      <c r="S3" s="11">
        <f>SUM(S4:S11)</f>
        <v>9.1999999999999993</v>
      </c>
      <c r="T3" s="10" t="e">
        <f>U3/V3</f>
        <v>#DIV/0!</v>
      </c>
      <c r="U3" s="10">
        <f>SUM(U4:U11)</f>
        <v>0</v>
      </c>
      <c r="V3" s="11">
        <f>SUM(V4:V11)</f>
        <v>0</v>
      </c>
      <c r="W3" s="10" t="e">
        <f>X3/Y3</f>
        <v>#DIV/0!</v>
      </c>
      <c r="X3" s="10">
        <f>SUM(X4:X11)</f>
        <v>0</v>
      </c>
      <c r="Y3" s="11">
        <f>SUM(Y4:Y11)</f>
        <v>0</v>
      </c>
      <c r="Z3" s="10">
        <f>AA3/AB3</f>
        <v>1444.8</v>
      </c>
      <c r="AA3" s="10">
        <f>SUM(AA4:AA11)</f>
        <v>3612</v>
      </c>
      <c r="AB3" s="11">
        <f>SUM(AB4:AB11)</f>
        <v>2.5</v>
      </c>
      <c r="AC3" s="10">
        <f>AD3/AE3</f>
        <v>1075.296803652968</v>
      </c>
      <c r="AD3" s="10">
        <f>SUM(AD4:AD11)</f>
        <v>23549</v>
      </c>
      <c r="AE3" s="11">
        <f>SUM(AE4:AE11)</f>
        <v>21.9</v>
      </c>
      <c r="AF3" s="10">
        <f>AG3/AH3</f>
        <v>1151.0599078341015</v>
      </c>
      <c r="AG3" s="10">
        <f>SUM(AG4:AG11)</f>
        <v>24978</v>
      </c>
      <c r="AH3" s="11">
        <f>SUM(AH4:AH11)</f>
        <v>21.7</v>
      </c>
      <c r="AI3" s="10">
        <f>AJ3/AK3</f>
        <v>991.08564535585037</v>
      </c>
      <c r="AJ3" s="10">
        <f>SUM(AJ4:AJ11)</f>
        <v>82161</v>
      </c>
      <c r="AK3" s="11">
        <f>SUM(AK4:AK11)</f>
        <v>82.9</v>
      </c>
      <c r="AL3" s="10">
        <f>AM3/AN3</f>
        <v>1554.6363636363637</v>
      </c>
      <c r="AM3" s="10">
        <f>SUM(AM4:AM11)</f>
        <v>17101</v>
      </c>
      <c r="AN3" s="11">
        <f>SUM(AN4:AN11)</f>
        <v>11</v>
      </c>
      <c r="AO3" s="10">
        <f>AP3/AQ3</f>
        <v>1079.9755899104962</v>
      </c>
      <c r="AP3" s="10">
        <f>SUM(AP4:AP11)</f>
        <v>265458</v>
      </c>
      <c r="AQ3" s="11">
        <f>SUM(AQ4:AQ11)</f>
        <v>245.8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26</v>
      </c>
      <c r="B4" s="19"/>
      <c r="C4" s="19"/>
      <c r="D4" s="19"/>
      <c r="E4" s="3" t="e">
        <f t="shared" ref="E4:E11" si="0">F4/G4</f>
        <v>#DIV/0!</v>
      </c>
      <c r="F4" s="3">
        <v>0</v>
      </c>
      <c r="G4" s="6">
        <v>0</v>
      </c>
      <c r="H4" s="3" t="e">
        <f t="shared" ref="H4:H11" si="1">I4/J4</f>
        <v>#DIV/0!</v>
      </c>
      <c r="I4" s="3">
        <v>0</v>
      </c>
      <c r="J4" s="6">
        <v>0</v>
      </c>
      <c r="K4" s="3" t="e">
        <f t="shared" ref="K4:K11" si="2">L4/M4</f>
        <v>#DIV/0!</v>
      </c>
      <c r="L4" s="3">
        <v>0</v>
      </c>
      <c r="M4" s="6">
        <v>0</v>
      </c>
      <c r="N4" s="3" t="e">
        <f t="shared" ref="N4:N11" si="3">O4/P4</f>
        <v>#DIV/0!</v>
      </c>
      <c r="O4" s="3">
        <v>0</v>
      </c>
      <c r="P4" s="6">
        <v>0</v>
      </c>
      <c r="Q4" s="3" t="e">
        <f t="shared" ref="Q4:Q11" si="4">R4/S4</f>
        <v>#DIV/0!</v>
      </c>
      <c r="R4" s="3">
        <v>0</v>
      </c>
      <c r="S4" s="6">
        <v>0</v>
      </c>
      <c r="T4" s="3" t="e">
        <f t="shared" ref="T4:T11" si="5">U4/V4</f>
        <v>#DIV/0!</v>
      </c>
      <c r="U4" s="3">
        <v>0</v>
      </c>
      <c r="V4" s="6">
        <v>0</v>
      </c>
      <c r="W4" s="3" t="e">
        <f t="shared" ref="W4:W11" si="6">X4/Y4</f>
        <v>#DIV/0!</v>
      </c>
      <c r="X4" s="3">
        <v>0</v>
      </c>
      <c r="Y4" s="6">
        <v>0</v>
      </c>
      <c r="Z4" s="3" t="e">
        <f t="shared" ref="Z4:Z11" si="7">AA4/AB4</f>
        <v>#DIV/0!</v>
      </c>
      <c r="AA4" s="3">
        <v>0</v>
      </c>
      <c r="AB4" s="6">
        <v>0</v>
      </c>
      <c r="AC4" s="3" t="e">
        <f t="shared" ref="AC4:AC11" si="8">AD4/AE4</f>
        <v>#DIV/0!</v>
      </c>
      <c r="AD4" s="3">
        <v>0</v>
      </c>
      <c r="AE4" s="6">
        <v>0</v>
      </c>
      <c r="AF4" s="3" t="e">
        <f t="shared" ref="AF4:AF11" si="9">AG4/AH4</f>
        <v>#DIV/0!</v>
      </c>
      <c r="AG4" s="3">
        <v>0</v>
      </c>
      <c r="AH4" s="6">
        <v>0</v>
      </c>
      <c r="AI4" s="3" t="e">
        <f t="shared" ref="AI4:AI11" si="10">AJ4/AK4</f>
        <v>#DIV/0!</v>
      </c>
      <c r="AJ4" s="3">
        <v>0</v>
      </c>
      <c r="AK4" s="6">
        <v>0</v>
      </c>
      <c r="AL4" s="3">
        <f t="shared" ref="AL4:AL11" si="11">AM4/AN4</f>
        <v>1558.1818181818182</v>
      </c>
      <c r="AM4" s="3">
        <v>5142</v>
      </c>
      <c r="AN4" s="6">
        <v>3.3</v>
      </c>
      <c r="AO4" s="3">
        <f t="shared" ref="AO4:AO11" si="12">AP4/AQ4</f>
        <v>1558.1818181818182</v>
      </c>
      <c r="AP4" s="3">
        <f t="shared" ref="AP4" si="13">SUM(F4,I4,L4,O4,R4,U4,X4,AA4,AD4,AG4,AJ4,AM4)</f>
        <v>5142</v>
      </c>
      <c r="AQ4" s="6">
        <f t="shared" ref="AQ4" si="14">SUM(G4,J4,M4,P4,S4,V4,Y4,AB4,AE4,AH4,AK4,AN4)</f>
        <v>3.3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27</v>
      </c>
      <c r="B5" s="19"/>
      <c r="C5" s="19"/>
      <c r="D5" s="19"/>
      <c r="E5" s="3" t="e">
        <f t="shared" si="0"/>
        <v>#DIV/0!</v>
      </c>
      <c r="F5" s="3">
        <v>0</v>
      </c>
      <c r="G5" s="6">
        <v>0</v>
      </c>
      <c r="H5" s="3" t="e">
        <f t="shared" si="1"/>
        <v>#DIV/0!</v>
      </c>
      <c r="I5" s="3">
        <v>0</v>
      </c>
      <c r="J5" s="6">
        <v>0</v>
      </c>
      <c r="K5" s="3" t="e">
        <f t="shared" si="2"/>
        <v>#DIV/0!</v>
      </c>
      <c r="L5" s="3">
        <v>0</v>
      </c>
      <c r="M5" s="6">
        <v>0</v>
      </c>
      <c r="N5" s="3" t="e">
        <f t="shared" si="3"/>
        <v>#DIV/0!</v>
      </c>
      <c r="O5" s="3">
        <v>0</v>
      </c>
      <c r="P5" s="6">
        <v>0</v>
      </c>
      <c r="Q5" s="3">
        <f t="shared" si="4"/>
        <v>1333.7037037037037</v>
      </c>
      <c r="R5" s="3">
        <v>3601</v>
      </c>
      <c r="S5" s="6">
        <v>2.7</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1648.0769230769231</v>
      </c>
      <c r="AM5" s="3">
        <v>4285</v>
      </c>
      <c r="AN5" s="6">
        <v>2.6</v>
      </c>
      <c r="AO5" s="3">
        <f t="shared" si="12"/>
        <v>1487.9245283018865</v>
      </c>
      <c r="AP5" s="3">
        <f t="shared" ref="AP5" si="15">SUM(F5,I5,L5,O5,R5,U5,X5,AA5,AD5,AG5,AJ5,AM5)</f>
        <v>7886</v>
      </c>
      <c r="AQ5" s="6">
        <f t="shared" ref="AQ5" si="16">SUM(G5,J5,M5,P5,S5,V5,Y5,AB5,AE5,AH5,AK5,AN5)</f>
        <v>5.3000000000000007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28</v>
      </c>
      <c r="B6" s="19"/>
      <c r="C6" s="19"/>
      <c r="D6" s="19"/>
      <c r="E6" s="3">
        <f t="shared" si="0"/>
        <v>1355.9259259259259</v>
      </c>
      <c r="F6" s="3">
        <v>3661</v>
      </c>
      <c r="G6" s="6">
        <v>2.7</v>
      </c>
      <c r="H6" s="3" t="e">
        <f t="shared" si="1"/>
        <v>#DIV/0!</v>
      </c>
      <c r="I6" s="3">
        <v>0</v>
      </c>
      <c r="J6" s="6">
        <v>0</v>
      </c>
      <c r="K6" s="3" t="e">
        <f t="shared" si="2"/>
        <v>#DIV/0!</v>
      </c>
      <c r="L6" s="3">
        <v>0</v>
      </c>
      <c r="M6" s="6">
        <v>0</v>
      </c>
      <c r="N6" s="3">
        <f t="shared" si="3"/>
        <v>1436</v>
      </c>
      <c r="O6" s="3">
        <v>5026</v>
      </c>
      <c r="P6" s="6">
        <v>3.5</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f t="shared" si="11"/>
        <v>1483.0769230769231</v>
      </c>
      <c r="AM6" s="3">
        <v>3856</v>
      </c>
      <c r="AN6" s="6">
        <v>2.6</v>
      </c>
      <c r="AO6" s="3">
        <f t="shared" si="12"/>
        <v>1425.340909090909</v>
      </c>
      <c r="AP6" s="3">
        <f t="shared" ref="AP6:AP11" si="17">SUM(F6,I6,L6,O6,R6,U6,X6,AA6,AD6,AG6,AJ6,AM6)</f>
        <v>12543</v>
      </c>
      <c r="AQ6" s="6">
        <f t="shared" ref="AQ6:AQ11" si="18">SUM(G6,J6,M6,P6,S6,V6,Y6,AB6,AE6,AH6,AK6,AN6)</f>
        <v>8.8000000000000007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29</v>
      </c>
      <c r="B7" s="19"/>
      <c r="C7" s="19"/>
      <c r="D7" s="19"/>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1527.2</v>
      </c>
      <c r="AM7" s="3">
        <v>3818</v>
      </c>
      <c r="AN7" s="6">
        <v>2.5</v>
      </c>
      <c r="AO7" s="3">
        <f t="shared" si="12"/>
        <v>1527.2</v>
      </c>
      <c r="AP7" s="3">
        <f t="shared" si="17"/>
        <v>3818</v>
      </c>
      <c r="AQ7" s="6">
        <f t="shared" si="18"/>
        <v>2.5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30</v>
      </c>
      <c r="B8" s="19"/>
      <c r="C8" s="19"/>
      <c r="D8" s="19"/>
      <c r="E8" s="3" t="e">
        <f t="shared" si="0"/>
        <v>#DIV/0!</v>
      </c>
      <c r="F8" s="3">
        <v>0</v>
      </c>
      <c r="G8" s="6">
        <v>0</v>
      </c>
      <c r="H8" s="3" t="e">
        <f t="shared" si="1"/>
        <v>#DIV/0!</v>
      </c>
      <c r="I8" s="3">
        <v>0</v>
      </c>
      <c r="J8" s="6">
        <v>0</v>
      </c>
      <c r="K8" s="3">
        <f t="shared" si="2"/>
        <v>1004.2991755005888</v>
      </c>
      <c r="L8" s="3">
        <v>85265</v>
      </c>
      <c r="M8" s="6">
        <v>84.9</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f t="shared" si="8"/>
        <v>1075.296803652968</v>
      </c>
      <c r="AD8" s="3">
        <v>23549</v>
      </c>
      <c r="AE8" s="6">
        <v>21.9</v>
      </c>
      <c r="AF8" s="3">
        <f t="shared" si="9"/>
        <v>1151.0599078341015</v>
      </c>
      <c r="AG8" s="3">
        <v>24978</v>
      </c>
      <c r="AH8" s="6">
        <v>21.7</v>
      </c>
      <c r="AI8" s="3">
        <f t="shared" si="10"/>
        <v>991.08564535585037</v>
      </c>
      <c r="AJ8" s="3">
        <v>82161</v>
      </c>
      <c r="AK8" s="6">
        <v>82.9</v>
      </c>
      <c r="AL8" s="3" t="e">
        <f t="shared" si="11"/>
        <v>#DIV/0!</v>
      </c>
      <c r="AM8" s="3">
        <v>0</v>
      </c>
      <c r="AN8" s="6">
        <v>0</v>
      </c>
      <c r="AO8" s="3">
        <f t="shared" si="12"/>
        <v>1021.5373699148533</v>
      </c>
      <c r="AP8" s="3">
        <f t="shared" si="17"/>
        <v>215953</v>
      </c>
      <c r="AQ8" s="6">
        <f t="shared" si="18"/>
        <v>211.4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31</v>
      </c>
      <c r="B9" s="19"/>
      <c r="C9" s="19"/>
      <c r="D9" s="19"/>
      <c r="E9" s="3" t="e">
        <f t="shared" si="0"/>
        <v>#DIV/0!</v>
      </c>
      <c r="F9" s="3">
        <v>0</v>
      </c>
      <c r="G9" s="6">
        <v>0</v>
      </c>
      <c r="H9" s="3" t="e">
        <f t="shared" si="1"/>
        <v>#DIV/0!</v>
      </c>
      <c r="I9" s="3">
        <v>0</v>
      </c>
      <c r="J9" s="6">
        <v>0</v>
      </c>
      <c r="K9" s="3" t="e">
        <f t="shared" si="2"/>
        <v>#DIV/0!</v>
      </c>
      <c r="L9" s="3">
        <v>0</v>
      </c>
      <c r="M9" s="6">
        <v>0</v>
      </c>
      <c r="N9" s="3">
        <f t="shared" si="3"/>
        <v>1537.5</v>
      </c>
      <c r="O9" s="3">
        <v>4305</v>
      </c>
      <c r="P9" s="6">
        <v>2.8</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1537.5</v>
      </c>
      <c r="AP9" s="3">
        <f t="shared" si="17"/>
        <v>4305</v>
      </c>
      <c r="AQ9" s="6">
        <f t="shared" si="18"/>
        <v>2.8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32</v>
      </c>
      <c r="B10" s="19"/>
      <c r="C10" s="19"/>
      <c r="D10" s="19"/>
      <c r="E10" s="3">
        <f t="shared" si="0"/>
        <v>1413.7037037037037</v>
      </c>
      <c r="F10" s="3">
        <v>3817</v>
      </c>
      <c r="G10" s="6">
        <v>2.7</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f t="shared" si="7"/>
        <v>1444.8</v>
      </c>
      <c r="AA10" s="3">
        <v>3612</v>
      </c>
      <c r="AB10" s="6">
        <v>2.5</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1428.6538461538462</v>
      </c>
      <c r="AP10" s="3">
        <f t="shared" si="17"/>
        <v>7429</v>
      </c>
      <c r="AQ10" s="6">
        <f t="shared" si="18"/>
        <v>5.2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1" t="s">
        <v>33</v>
      </c>
      <c r="B11" s="20"/>
      <c r="C11" s="20"/>
      <c r="D11" s="20"/>
      <c r="E11" s="9" t="e">
        <f t="shared" si="0"/>
        <v>#DIV/0!</v>
      </c>
      <c r="F11" s="10">
        <v>0</v>
      </c>
      <c r="G11" s="11">
        <v>0</v>
      </c>
      <c r="H11" s="10" t="e">
        <f t="shared" si="1"/>
        <v>#DIV/0!</v>
      </c>
      <c r="I11" s="10">
        <v>0</v>
      </c>
      <c r="J11" s="11">
        <v>0</v>
      </c>
      <c r="K11" s="10" t="e">
        <f t="shared" si="2"/>
        <v>#DIV/0!</v>
      </c>
      <c r="L11" s="10">
        <v>0</v>
      </c>
      <c r="M11" s="11">
        <v>0</v>
      </c>
      <c r="N11" s="10" t="e">
        <f t="shared" si="3"/>
        <v>#DIV/0!</v>
      </c>
      <c r="O11" s="10">
        <v>0</v>
      </c>
      <c r="P11" s="11">
        <v>0</v>
      </c>
      <c r="Q11" s="10">
        <f t="shared" si="4"/>
        <v>1289.5384615384614</v>
      </c>
      <c r="R11" s="10">
        <v>8382</v>
      </c>
      <c r="S11" s="11">
        <v>6.5</v>
      </c>
      <c r="T11" s="10" t="e">
        <f t="shared" si="5"/>
        <v>#DIV/0!</v>
      </c>
      <c r="U11" s="10">
        <v>0</v>
      </c>
      <c r="V11" s="11">
        <v>0</v>
      </c>
      <c r="W11" s="10" t="e">
        <f t="shared" si="6"/>
        <v>#DIV/0!</v>
      </c>
      <c r="X11" s="10">
        <v>0</v>
      </c>
      <c r="Y11" s="11">
        <v>0</v>
      </c>
      <c r="Z11" s="10" t="e">
        <f t="shared" si="7"/>
        <v>#DIV/0!</v>
      </c>
      <c r="AA11" s="10">
        <v>0</v>
      </c>
      <c r="AB11" s="11">
        <v>0</v>
      </c>
      <c r="AC11" s="10" t="e">
        <f t="shared" si="8"/>
        <v>#DIV/0!</v>
      </c>
      <c r="AD11" s="10">
        <v>0</v>
      </c>
      <c r="AE11" s="11">
        <v>0</v>
      </c>
      <c r="AF11" s="10" t="e">
        <f t="shared" si="9"/>
        <v>#DIV/0!</v>
      </c>
      <c r="AG11" s="10">
        <v>0</v>
      </c>
      <c r="AH11" s="11">
        <v>0</v>
      </c>
      <c r="AI11" s="10" t="e">
        <f t="shared" si="10"/>
        <v>#DIV/0!</v>
      </c>
      <c r="AJ11" s="10">
        <v>0</v>
      </c>
      <c r="AK11" s="11">
        <v>0</v>
      </c>
      <c r="AL11" s="10" t="e">
        <f t="shared" si="11"/>
        <v>#DIV/0!</v>
      </c>
      <c r="AM11" s="10">
        <v>0</v>
      </c>
      <c r="AN11" s="11">
        <v>0</v>
      </c>
      <c r="AO11" s="10">
        <f t="shared" si="12"/>
        <v>1289.5384615384614</v>
      </c>
      <c r="AP11" s="10">
        <f t="shared" si="17"/>
        <v>8382</v>
      </c>
      <c r="AQ11" s="11">
        <f t="shared" si="18"/>
        <v>6.5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x14ac:dyDescent="0.3">
      <c r="A12" s="1" t="s">
        <v>18</v>
      </c>
      <c r="B12" s="1"/>
    </row>
    <row r="13" spans="1:67" x14ac:dyDescent="0.3">
      <c r="A13" s="1" t="s">
        <v>23</v>
      </c>
      <c r="B13" s="1"/>
    </row>
    <row r="14" spans="1:67" x14ac:dyDescent="0.3">
      <c r="A14" s="1" t="s">
        <v>34</v>
      </c>
      <c r="B14" s="1"/>
    </row>
    <row r="15" spans="1:67" x14ac:dyDescent="0.3">
      <c r="A15" s="1" t="s">
        <v>35</v>
      </c>
      <c r="B15" s="1"/>
    </row>
    <row r="16" spans="1:67" x14ac:dyDescent="0.3">
      <c r="A16" s="1" t="s">
        <v>36</v>
      </c>
      <c r="B16" s="1"/>
    </row>
    <row r="17" spans="1:2" x14ac:dyDescent="0.3">
      <c r="A17" s="1" t="s">
        <v>37</v>
      </c>
      <c r="B17" s="1"/>
    </row>
  </sheetData>
  <mergeCells count="16">
    <mergeCell ref="B3:B11"/>
    <mergeCell ref="E1:G1"/>
    <mergeCell ref="H1:J1"/>
    <mergeCell ref="K1:M1"/>
    <mergeCell ref="C3:C11"/>
    <mergeCell ref="D3:D11"/>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2026-08-10T00:48:08Z</dcterms:modified>
</cp:coreProperties>
</file>