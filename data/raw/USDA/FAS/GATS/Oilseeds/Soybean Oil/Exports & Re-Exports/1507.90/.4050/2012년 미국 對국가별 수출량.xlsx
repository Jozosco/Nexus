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정제된 대두유 및 그 분획물(.4050)\"/>
    </mc:Choice>
  </mc:AlternateContent>
  <bookViews>
    <workbookView xWindow="0" yWindow="0" windowWidth="25125" windowHeight="11640"/>
  </bookViews>
  <sheets>
    <sheet name="2012년" sheetId="1" r:id="rId1"/>
  </sheets>
  <calcPr calcId="162913"/>
</workbook>
</file>

<file path=xl/calcChain.xml><?xml version="1.0" encoding="utf-8"?>
<calcChain xmlns="http://schemas.openxmlformats.org/spreadsheetml/2006/main">
  <c r="AQ68" i="1" l="1"/>
  <c r="AQ67" i="1"/>
  <c r="AQ66" i="1"/>
  <c r="AQ65" i="1"/>
  <c r="AQ64" i="1"/>
  <c r="AQ63" i="1"/>
  <c r="AQ62" i="1"/>
  <c r="AQ61" i="1"/>
  <c r="AQ60" i="1"/>
  <c r="AQ59" i="1"/>
  <c r="AQ58" i="1"/>
  <c r="AQ57" i="1"/>
  <c r="AQ56" i="1"/>
  <c r="AQ55" i="1"/>
  <c r="AQ54" i="1"/>
  <c r="AQ53" i="1"/>
  <c r="AQ52" i="1"/>
  <c r="AQ51" i="1"/>
  <c r="AQ50" i="1"/>
  <c r="AQ49" i="1"/>
  <c r="AQ48" i="1"/>
  <c r="AQ47" i="1"/>
  <c r="AQ46" i="1"/>
  <c r="AQ4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AQ15" i="1"/>
  <c r="AQ14" i="1"/>
  <c r="AQ13" i="1"/>
  <c r="AQ12" i="1"/>
  <c r="AQ11" i="1"/>
  <c r="AQ10" i="1"/>
  <c r="AQ9" i="1"/>
  <c r="AQ8" i="1"/>
  <c r="AQ7" i="1"/>
  <c r="AQ6" i="1"/>
  <c r="AQ5" i="1"/>
  <c r="AQ4" i="1"/>
  <c r="AP68" i="1"/>
  <c r="AP67" i="1"/>
  <c r="AP66" i="1"/>
  <c r="AP65" i="1"/>
  <c r="AP64" i="1"/>
  <c r="AP63" i="1"/>
  <c r="AP62" i="1"/>
  <c r="AP61" i="1"/>
  <c r="AP60" i="1"/>
  <c r="AP59" i="1"/>
  <c r="AP58" i="1"/>
  <c r="AP57" i="1"/>
  <c r="AP56" i="1"/>
  <c r="AP55" i="1"/>
  <c r="AP54" i="1"/>
  <c r="AP53" i="1"/>
  <c r="AP52" i="1"/>
  <c r="AP51" i="1"/>
  <c r="AP50" i="1"/>
  <c r="AP49" i="1"/>
  <c r="AP48" i="1"/>
  <c r="AP47" i="1"/>
  <c r="AP46" i="1"/>
  <c r="AP45" i="1"/>
  <c r="AP44" i="1"/>
  <c r="AP43" i="1"/>
  <c r="AP42" i="1"/>
  <c r="AP41" i="1"/>
  <c r="AP40" i="1"/>
  <c r="AP39" i="1"/>
  <c r="AP38" i="1"/>
  <c r="AP37" i="1"/>
  <c r="AP36" i="1"/>
  <c r="AP35" i="1"/>
  <c r="AP34" i="1"/>
  <c r="AP33" i="1"/>
  <c r="AP32" i="1"/>
  <c r="AP31" i="1"/>
  <c r="AP30" i="1"/>
  <c r="AP29" i="1"/>
  <c r="AP28" i="1"/>
  <c r="AP27" i="1"/>
  <c r="AP26" i="1"/>
  <c r="AP25" i="1"/>
  <c r="AP24" i="1"/>
  <c r="AP23" i="1"/>
  <c r="AP22" i="1"/>
  <c r="AP21" i="1"/>
  <c r="AP20" i="1"/>
  <c r="AP19" i="1"/>
  <c r="AP18" i="1"/>
  <c r="AP17" i="1"/>
  <c r="AP16" i="1"/>
  <c r="AP15" i="1"/>
  <c r="AP14" i="1"/>
  <c r="AP13" i="1"/>
  <c r="AP12" i="1"/>
  <c r="AP11" i="1"/>
  <c r="AP10" i="1"/>
  <c r="AP9" i="1"/>
  <c r="AP8" i="1"/>
  <c r="AP7" i="1"/>
  <c r="AP6" i="1"/>
  <c r="AP5" i="1"/>
  <c r="AN3" i="1"/>
  <c r="AM3" i="1"/>
  <c r="AK3" i="1"/>
  <c r="AJ3" i="1"/>
  <c r="AH3" i="1"/>
  <c r="AG3" i="1"/>
  <c r="AE3" i="1"/>
  <c r="AD3" i="1"/>
  <c r="AB3" i="1"/>
  <c r="AA3" i="1"/>
  <c r="Y3" i="1"/>
  <c r="X3" i="1"/>
  <c r="V3" i="1"/>
  <c r="U3" i="1"/>
  <c r="S3" i="1"/>
  <c r="R3" i="1"/>
  <c r="P3" i="1"/>
  <c r="O3" i="1"/>
  <c r="M3" i="1"/>
  <c r="L3" i="1"/>
  <c r="J3" i="1"/>
  <c r="I3" i="1"/>
  <c r="G3" i="1"/>
  <c r="F3" i="1"/>
  <c r="AL68" i="1"/>
  <c r="AL67" i="1"/>
  <c r="AI68" i="1"/>
  <c r="AI67" i="1"/>
  <c r="AF68" i="1"/>
  <c r="AF67" i="1"/>
  <c r="AC68" i="1"/>
  <c r="AC67" i="1"/>
  <c r="Z68" i="1"/>
  <c r="Z67" i="1"/>
  <c r="W68" i="1"/>
  <c r="W67" i="1"/>
  <c r="T68" i="1"/>
  <c r="T67" i="1"/>
  <c r="Q68" i="1"/>
  <c r="Q67" i="1"/>
  <c r="N68" i="1"/>
  <c r="N67" i="1"/>
  <c r="K68" i="1"/>
  <c r="K67" i="1"/>
  <c r="H68" i="1"/>
  <c r="H67" i="1"/>
  <c r="E68" i="1"/>
  <c r="E67" i="1"/>
  <c r="AP4" i="1"/>
  <c r="AO67" i="1" l="1"/>
  <c r="AO68" i="1"/>
  <c r="AL66" i="1"/>
  <c r="AL65" i="1"/>
  <c r="AL64" i="1"/>
  <c r="AL63" i="1"/>
  <c r="AL62" i="1"/>
  <c r="AL61" i="1"/>
  <c r="AL60" i="1"/>
  <c r="AL59" i="1"/>
  <c r="AL58" i="1"/>
  <c r="AL57" i="1"/>
  <c r="AL56" i="1"/>
  <c r="AL55" i="1"/>
  <c r="AL54" i="1"/>
  <c r="AL53" i="1"/>
  <c r="AL52" i="1"/>
  <c r="AL51" i="1"/>
  <c r="AL50" i="1"/>
  <c r="AL49" i="1"/>
  <c r="AL48" i="1"/>
  <c r="AL47" i="1"/>
  <c r="AL46" i="1"/>
  <c r="AL45" i="1"/>
  <c r="AI66" i="1"/>
  <c r="AI65" i="1"/>
  <c r="AI64" i="1"/>
  <c r="AI63" i="1"/>
  <c r="AI62" i="1"/>
  <c r="AI61" i="1"/>
  <c r="AI60" i="1"/>
  <c r="AI59" i="1"/>
  <c r="AI58" i="1"/>
  <c r="AI57" i="1"/>
  <c r="AI56" i="1"/>
  <c r="AI55" i="1"/>
  <c r="AI54" i="1"/>
  <c r="AI53" i="1"/>
  <c r="AI52" i="1"/>
  <c r="AI51" i="1"/>
  <c r="AI50" i="1"/>
  <c r="AI49" i="1"/>
  <c r="AI48" i="1"/>
  <c r="AI47" i="1"/>
  <c r="AI46" i="1"/>
  <c r="AI45" i="1"/>
  <c r="AF66" i="1"/>
  <c r="AF65" i="1"/>
  <c r="AF64" i="1"/>
  <c r="AF63" i="1"/>
  <c r="AF62" i="1"/>
  <c r="AF61" i="1"/>
  <c r="AF60" i="1"/>
  <c r="AF59" i="1"/>
  <c r="AF58" i="1"/>
  <c r="AF57" i="1"/>
  <c r="AF56" i="1"/>
  <c r="AF55" i="1"/>
  <c r="AF54" i="1"/>
  <c r="AF53" i="1"/>
  <c r="AF52" i="1"/>
  <c r="AF51" i="1"/>
  <c r="AF50" i="1"/>
  <c r="AF49" i="1"/>
  <c r="AF48" i="1"/>
  <c r="AF47" i="1"/>
  <c r="AF46" i="1"/>
  <c r="AF45" i="1"/>
  <c r="AC66" i="1"/>
  <c r="AC65" i="1"/>
  <c r="AC64" i="1"/>
  <c r="AC63" i="1"/>
  <c r="AC62" i="1"/>
  <c r="AC61" i="1"/>
  <c r="AC60" i="1"/>
  <c r="AC59" i="1"/>
  <c r="AC58" i="1"/>
  <c r="AC57" i="1"/>
  <c r="AC56" i="1"/>
  <c r="AC55" i="1"/>
  <c r="AC54" i="1"/>
  <c r="AC53" i="1"/>
  <c r="AC52" i="1"/>
  <c r="AC51" i="1"/>
  <c r="AC50" i="1"/>
  <c r="AC49" i="1"/>
  <c r="AC48" i="1"/>
  <c r="AC47" i="1"/>
  <c r="AC46" i="1"/>
  <c r="AC45" i="1"/>
  <c r="Z66" i="1"/>
  <c r="Z65" i="1"/>
  <c r="Z64" i="1"/>
  <c r="Z63" i="1"/>
  <c r="Z62" i="1"/>
  <c r="Z61" i="1"/>
  <c r="Z60" i="1"/>
  <c r="Z59" i="1"/>
  <c r="Z58" i="1"/>
  <c r="Z57" i="1"/>
  <c r="Z56" i="1"/>
  <c r="Z55" i="1"/>
  <c r="Z54" i="1"/>
  <c r="Z53" i="1"/>
  <c r="Z52" i="1"/>
  <c r="Z51" i="1"/>
  <c r="Z50" i="1"/>
  <c r="Z49" i="1"/>
  <c r="Z48" i="1"/>
  <c r="Z47" i="1"/>
  <c r="Z46" i="1"/>
  <c r="Z45" i="1"/>
  <c r="W66" i="1"/>
  <c r="W65" i="1"/>
  <c r="W64" i="1"/>
  <c r="W63" i="1"/>
  <c r="W62" i="1"/>
  <c r="W61" i="1"/>
  <c r="W60" i="1"/>
  <c r="W59" i="1"/>
  <c r="W58" i="1"/>
  <c r="W57" i="1"/>
  <c r="W56" i="1"/>
  <c r="W55" i="1"/>
  <c r="W54" i="1"/>
  <c r="W53" i="1"/>
  <c r="W52" i="1"/>
  <c r="W51" i="1"/>
  <c r="W50" i="1"/>
  <c r="W49" i="1"/>
  <c r="W48" i="1"/>
  <c r="W47" i="1"/>
  <c r="W46" i="1"/>
  <c r="W45" i="1"/>
  <c r="T66" i="1"/>
  <c r="T65" i="1"/>
  <c r="T64" i="1"/>
  <c r="T63" i="1"/>
  <c r="T62" i="1"/>
  <c r="T61" i="1"/>
  <c r="T60" i="1"/>
  <c r="T59" i="1"/>
  <c r="T58" i="1"/>
  <c r="T57" i="1"/>
  <c r="T56" i="1"/>
  <c r="T55" i="1"/>
  <c r="T54" i="1"/>
  <c r="T53" i="1"/>
  <c r="T52" i="1"/>
  <c r="T51" i="1"/>
  <c r="T50" i="1"/>
  <c r="T49" i="1"/>
  <c r="T48" i="1"/>
  <c r="T47" i="1"/>
  <c r="T46" i="1"/>
  <c r="T45" i="1"/>
  <c r="Q66" i="1"/>
  <c r="Q65" i="1"/>
  <c r="Q64" i="1"/>
  <c r="Q63" i="1"/>
  <c r="Q62" i="1"/>
  <c r="Q61" i="1"/>
  <c r="Q60" i="1"/>
  <c r="Q59" i="1"/>
  <c r="Q58" i="1"/>
  <c r="Q57" i="1"/>
  <c r="Q56" i="1"/>
  <c r="Q55" i="1"/>
  <c r="Q54" i="1"/>
  <c r="Q53" i="1"/>
  <c r="Q52" i="1"/>
  <c r="Q51" i="1"/>
  <c r="Q50" i="1"/>
  <c r="Q49" i="1"/>
  <c r="Q48" i="1"/>
  <c r="Q47" i="1"/>
  <c r="Q46" i="1"/>
  <c r="Q45" i="1"/>
  <c r="N66" i="1"/>
  <c r="N65" i="1"/>
  <c r="N64" i="1"/>
  <c r="N63" i="1"/>
  <c r="N62" i="1"/>
  <c r="N61" i="1"/>
  <c r="N60" i="1"/>
  <c r="N59" i="1"/>
  <c r="N58" i="1"/>
  <c r="N57" i="1"/>
  <c r="N56" i="1"/>
  <c r="N55" i="1"/>
  <c r="N54" i="1"/>
  <c r="N53" i="1"/>
  <c r="N52" i="1"/>
  <c r="N51" i="1"/>
  <c r="N50" i="1"/>
  <c r="N49" i="1"/>
  <c r="N48" i="1"/>
  <c r="N47" i="1"/>
  <c r="N46" i="1"/>
  <c r="N45" i="1"/>
  <c r="K66" i="1"/>
  <c r="K65" i="1"/>
  <c r="K64" i="1"/>
  <c r="K63" i="1"/>
  <c r="K62" i="1"/>
  <c r="K61" i="1"/>
  <c r="K60" i="1"/>
  <c r="K59" i="1"/>
  <c r="K58" i="1"/>
  <c r="K57" i="1"/>
  <c r="K56" i="1"/>
  <c r="K55" i="1"/>
  <c r="K54" i="1"/>
  <c r="K53" i="1"/>
  <c r="K52" i="1"/>
  <c r="K51" i="1"/>
  <c r="K50" i="1"/>
  <c r="K49" i="1"/>
  <c r="K48" i="1"/>
  <c r="K47" i="1"/>
  <c r="K46" i="1"/>
  <c r="K45" i="1"/>
  <c r="H66" i="1"/>
  <c r="H65" i="1"/>
  <c r="H64" i="1"/>
  <c r="H63" i="1"/>
  <c r="H62" i="1"/>
  <c r="H61" i="1"/>
  <c r="H60" i="1"/>
  <c r="H59" i="1"/>
  <c r="H58" i="1"/>
  <c r="H57" i="1"/>
  <c r="H56" i="1"/>
  <c r="H55" i="1"/>
  <c r="H54" i="1"/>
  <c r="H53" i="1"/>
  <c r="H52" i="1"/>
  <c r="H51" i="1"/>
  <c r="H50" i="1"/>
  <c r="H49" i="1"/>
  <c r="H48" i="1"/>
  <c r="H47" i="1"/>
  <c r="H46" i="1"/>
  <c r="H45" i="1"/>
  <c r="E66" i="1"/>
  <c r="E65" i="1"/>
  <c r="E64" i="1"/>
  <c r="E63" i="1"/>
  <c r="E62" i="1"/>
  <c r="E61" i="1"/>
  <c r="E60" i="1"/>
  <c r="E59" i="1"/>
  <c r="E58" i="1"/>
  <c r="E57" i="1"/>
  <c r="E56" i="1"/>
  <c r="E55" i="1"/>
  <c r="E54" i="1"/>
  <c r="E53" i="1"/>
  <c r="E52" i="1"/>
  <c r="E51" i="1"/>
  <c r="E50" i="1"/>
  <c r="E49" i="1"/>
  <c r="E48" i="1"/>
  <c r="E47" i="1"/>
  <c r="E46" i="1"/>
  <c r="E45" i="1"/>
  <c r="AO50" i="1" l="1"/>
  <c r="AO62" i="1"/>
  <c r="AO46" i="1"/>
  <c r="AO54" i="1"/>
  <c r="AO58" i="1"/>
  <c r="AO66" i="1"/>
  <c r="AO45" i="1"/>
  <c r="AO49" i="1"/>
  <c r="AO53" i="1"/>
  <c r="AO57" i="1"/>
  <c r="AO65" i="1"/>
  <c r="AO61" i="1"/>
  <c r="AO63" i="1"/>
  <c r="AO55" i="1"/>
  <c r="AO47" i="1"/>
  <c r="AO59" i="1"/>
  <c r="AO51" i="1"/>
  <c r="AO52" i="1"/>
  <c r="AO64" i="1"/>
  <c r="AO48" i="1"/>
  <c r="AO60" i="1"/>
  <c r="AO56" i="1"/>
  <c r="AC3" i="1"/>
  <c r="Q3" i="1"/>
  <c r="AL3" i="1"/>
  <c r="AF3" i="1"/>
  <c r="W3" i="1"/>
  <c r="T3" i="1"/>
  <c r="N3" i="1"/>
  <c r="K3" i="1"/>
  <c r="H3" i="1"/>
  <c r="N43" i="1"/>
  <c r="AP3"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3" i="1"/>
  <c r="AI3" i="1" l="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<sst xmlns="http://schemas.openxmlformats.org/spreadsheetml/2006/main" count="130" uniqueCount="94">
  <si>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</si>
  <si>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</si>
  <si>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</si>
  <si>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</si>
  <si>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</si>
  <si>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</si>
  <si>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</si>
  <si>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</si>
  <si>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</si>
  <si>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</si>
  <si>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</si>
  <si>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</si>
  <si>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</si>
  <si>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</si>
  <si>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</si>
  <si>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</si>
  <si>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</si>
  <si>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</si>
  <si>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</si>
  <si>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</si>
  <si>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</si>
  <si>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Colombia</t>
  </si>
  <si>
    <t>Dominican Republic</t>
  </si>
  <si>
    <t>Korea, South</t>
  </si>
  <si>
    <t>Jamaica</t>
  </si>
  <si>
    <t>Mexico</t>
  </si>
  <si>
    <t>United Arab Emirates</t>
  </si>
  <si>
    <t>Barbados</t>
  </si>
  <si>
    <t>Bahamas, The</t>
  </si>
  <si>
    <t>Belize</t>
  </si>
  <si>
    <t>China</t>
  </si>
  <si>
    <t>Ecuador</t>
  </si>
  <si>
    <t>El Salvador</t>
  </si>
  <si>
    <t>Guatemala</t>
  </si>
  <si>
    <t>Honduras</t>
  </si>
  <si>
    <t>Italy(*)</t>
  </si>
  <si>
    <t>Japan</t>
  </si>
  <si>
    <t>Netherlands</t>
  </si>
  <si>
    <t>Nicaragua</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</si>
  <si>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</si>
  <si>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</si>
  <si>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</si>
  <si>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</si>
  <si>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</si>
  <si>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</si>
  <si>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</si>
  <si>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</si>
  <si>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</si>
  <si>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</si>
  <si>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</si>
  <si>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Germany</t>
  </si>
  <si>
    <t>Guyana</t>
  </si>
  <si>
    <t>Hong Kong</t>
  </si>
  <si>
    <t>Netherlands Antilles(*)</t>
  </si>
  <si>
    <t>Singapore</t>
  </si>
  <si>
    <t>Saudi Arabia</t>
  </si>
  <si>
    <t>Kuwait</t>
  </si>
  <si>
    <t>Lebanon</t>
  </si>
  <si>
    <t>India</t>
  </si>
  <si>
    <t>Cayman Islands</t>
  </si>
  <si>
    <t>Bermuda</t>
  </si>
  <si>
    <t>Belgium-Luxembourg(*)</t>
  </si>
  <si>
    <t>Bangladesh</t>
  </si>
  <si>
    <t>Brunei</t>
  </si>
  <si>
    <t>Iceland</t>
  </si>
  <si>
    <t>Indonesia</t>
  </si>
  <si>
    <t>New Zealand(*)</t>
  </si>
  <si>
    <t>Peru</t>
  </si>
  <si>
    <t>Philippines</t>
  </si>
  <si>
    <t>Turks and Caicos Islands</t>
  </si>
  <si>
    <t>United Kingdom</t>
  </si>
  <si>
    <t>French Pacific Islands(*)</t>
  </si>
  <si>
    <t>Turkey</t>
  </si>
  <si>
    <t>1. Data Source: U.S. Census Bureau Trade Data</t>
  </si>
  <si>
    <t>4. Product Group : Harmonized</t>
  </si>
  <si>
    <t>Product</t>
    <phoneticPr fontId="18" type="noConversion"/>
  </si>
  <si>
    <t>Afghanistan</t>
  </si>
  <si>
    <t>Israel(*)</t>
  </si>
  <si>
    <t>Liberia</t>
  </si>
  <si>
    <t>Spain</t>
  </si>
  <si>
    <t>Ethiopia(*)</t>
  </si>
  <si>
    <t>Haiti</t>
  </si>
  <si>
    <t>Malaysia</t>
  </si>
  <si>
    <t>Suriname</t>
  </si>
  <si>
    <t>Taiwan</t>
  </si>
  <si>
    <t>SOY OIL FLY-RFND</t>
    <phoneticPr fontId="18" type="noConversion"/>
  </si>
  <si>
    <t>South Africa</t>
  </si>
  <si>
    <t>Thailand</t>
  </si>
  <si>
    <t>Mayotte</t>
  </si>
  <si>
    <t>Micronesia</t>
  </si>
  <si>
    <t>Greece</t>
  </si>
  <si>
    <t>Uganda</t>
  </si>
  <si>
    <t>Uruguay</t>
  </si>
  <si>
    <t>Samoa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</si>
</sst>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18" xfId="0" applyBorder="1">
      <alignment vertical="center"/>
    </xf>
    <xf numFmtId="0" fontId="0" fillId="0" borderId="21" xfId="0" applyBorder="1">
      <alignment vertical="center"/>
    </xf>
    <xf numFmtId="49" fontId="0" fillId="0" borderId="17" xfId="0" applyNumberFormat="1" applyBorder="1">
      <alignment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73"/>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5" t="s">
        <v>0</v>
      </c>
      <c r="F1" s="26"/>
      <c r="G1" s="27"/>
      <c r="H1" s="28" t="s">
        <v>1</v>
      </c>
      <c r="I1" s="29"/>
      <c r="J1" s="30"/>
      <c r="K1" s="28" t="s">
        <v>2</v>
      </c>
      <c r="L1" s="29"/>
      <c r="M1" s="30"/>
      <c r="N1" s="28" t="s">
        <v>3</v>
      </c>
      <c r="O1" s="29"/>
      <c r="P1" s="30"/>
      <c r="Q1" s="28" t="s">
        <v>4</v>
      </c>
      <c r="R1" s="29"/>
      <c r="S1" s="30"/>
      <c r="T1" s="28" t="s">
        <v>5</v>
      </c>
      <c r="U1" s="29"/>
      <c r="V1" s="30"/>
      <c r="W1" s="28" t="s">
        <v>6</v>
      </c>
      <c r="X1" s="29"/>
      <c r="Y1" s="30"/>
      <c r="Z1" s="28" t="s">
        <v>7</v>
      </c>
      <c r="AA1" s="29"/>
      <c r="AB1" s="30"/>
      <c r="AC1" s="28" t="s">
        <v>8</v>
      </c>
      <c r="AD1" s="29"/>
      <c r="AE1" s="30"/>
      <c r="AF1" s="28" t="s">
        <v>9</v>
      </c>
      <c r="AG1" s="29"/>
      <c r="AH1" s="30"/>
      <c r="AI1" s="28" t="s">
        <v>10</v>
      </c>
      <c r="AJ1" s="29"/>
      <c r="AK1" s="30"/>
      <c r="AL1" s="28" t="s">
        <v>11</v>
      </c>
      <c r="AM1" s="29"/>
      <c r="AN1" s="30"/>
      <c r="AO1" s="28" t="s">
        <v>12</v>
      </c>
      <c r="AP1" s="29"/>
      <c r="AQ1" s="30"/>
    </row>
    <row r="2" spans="1:67" x14ac:dyDescent="0.3">
      <c r="A2" s="2" t="s">
        <v>45</v>
      </c>
      <c r="B2" s="2" t="s">
        <v>75</v>
      </c>
      <c r="C2" s="2" t="s">
        <v>13</v>
      </c>
      <c r="D2" s="2" t="s">
        <v>46</v>
      </c>
      <c r="E2" s="4" t="s">
        <v>14</v>
      </c>
      <c r="F2" s="2" t="s">
        <v>46</v>
      </c>
      <c r="G2" s="5" t="s">
        <v>15</v>
      </c>
      <c r="H2" s="2" t="s">
        <v>14</v>
      </c>
      <c r="I2" s="2" t="s">
        <v>46</v>
      </c>
      <c r="J2" s="5" t="s">
        <v>15</v>
      </c>
      <c r="K2" s="2" t="s">
        <v>14</v>
      </c>
      <c r="L2" s="2" t="s">
        <v>46</v>
      </c>
      <c r="M2" s="5" t="s">
        <v>15</v>
      </c>
      <c r="N2" s="2" t="s">
        <v>14</v>
      </c>
      <c r="O2" s="2" t="s">
        <v>46</v>
      </c>
      <c r="P2" s="5" t="s">
        <v>15</v>
      </c>
      <c r="Q2" s="2" t="s">
        <v>14</v>
      </c>
      <c r="R2" s="2" t="s">
        <v>46</v>
      </c>
      <c r="S2" s="5" t="s">
        <v>15</v>
      </c>
      <c r="T2" s="2" t="s">
        <v>14</v>
      </c>
      <c r="U2" s="2" t="s">
        <v>46</v>
      </c>
      <c r="V2" s="5" t="s">
        <v>15</v>
      </c>
      <c r="W2" s="2" t="s">
        <v>14</v>
      </c>
      <c r="X2" s="2" t="s">
        <v>46</v>
      </c>
      <c r="Y2" s="5" t="s">
        <v>15</v>
      </c>
      <c r="Z2" s="2" t="s">
        <v>14</v>
      </c>
      <c r="AA2" s="2" t="s">
        <v>46</v>
      </c>
      <c r="AB2" s="5" t="s">
        <v>15</v>
      </c>
      <c r="AC2" s="2" t="s">
        <v>14</v>
      </c>
      <c r="AD2" s="2" t="s">
        <v>46</v>
      </c>
      <c r="AE2" s="5" t="s">
        <v>15</v>
      </c>
      <c r="AF2" s="2" t="s">
        <v>14</v>
      </c>
      <c r="AG2" s="2" t="s">
        <v>46</v>
      </c>
      <c r="AH2" s="5" t="s">
        <v>15</v>
      </c>
      <c r="AI2" s="2" t="s">
        <v>14</v>
      </c>
      <c r="AJ2" s="2" t="s">
        <v>46</v>
      </c>
      <c r="AK2" s="5" t="s">
        <v>15</v>
      </c>
      <c r="AL2" s="2" t="s">
        <v>14</v>
      </c>
      <c r="AM2" s="2" t="s">
        <v>46</v>
      </c>
      <c r="AN2" s="5" t="s">
        <v>15</v>
      </c>
      <c r="AO2" s="2" t="s">
        <v>14</v>
      </c>
      <c r="AP2" s="2" t="s">
        <v>48</v>
      </c>
      <c r="AQ2" s="5" t="s">
        <v>15</v>
      </c>
    </row>
    <row r="3" spans="1:67" ht="15" customHeight="1" x14ac:dyDescent="0.3">
      <c r="A3" s="7" t="s">
        <v>16</v>
      </c>
      <c r="B3" s="23" t="s">
        <v>85</v>
      </c>
      <c r="C3" s="22" t="s">
        <v>17</v>
      </c>
      <c r="D3" s="22" t="s">
        <v>47</v>
      </c>
      <c r="E3" s="20">
        <f>F3/G3</f>
        <v>1545.4400446414468</v>
      </c>
      <c r="F3" s="20">
        <f>SUM(F4:F68)</f>
        <v>14678435</v>
      </c>
      <c r="G3" s="21">
        <f t="shared" ref="G3" si="0">SUM(G4:G68)</f>
        <v>9497.9000000000015</v>
      </c>
      <c r="H3" s="20">
        <f>I3/J3</f>
        <v>1569.6889442302625</v>
      </c>
      <c r="I3" s="20">
        <f>SUM(I4:I68)</f>
        <v>6555178</v>
      </c>
      <c r="J3" s="21">
        <f t="shared" ref="J3" si="1">SUM(J4:J68)</f>
        <v>4176.1000000000004</v>
      </c>
      <c r="K3" s="20">
        <f>L3/M3</f>
        <v>1543.7124294636726</v>
      </c>
      <c r="L3" s="20">
        <f>SUM(L4:L68)</f>
        <v>9219205</v>
      </c>
      <c r="M3" s="21">
        <f t="shared" ref="M3" si="2">SUM(M4:M68)</f>
        <v>5972.1</v>
      </c>
      <c r="N3" s="20">
        <f>O3/P3</f>
        <v>1536.644059239313</v>
      </c>
      <c r="O3" s="20">
        <f>SUM(O4:O68)</f>
        <v>9130739</v>
      </c>
      <c r="P3" s="21">
        <f t="shared" ref="P3" si="3">SUM(P4:P68)</f>
        <v>5942.0000000000009</v>
      </c>
      <c r="Q3" s="20">
        <f>R3/S3</f>
        <v>1541.4385902970578</v>
      </c>
      <c r="R3" s="20">
        <f>SUM(R4:R68)</f>
        <v>9604858</v>
      </c>
      <c r="S3" s="21">
        <f t="shared" ref="S3" si="4">SUM(S4:S68)</f>
        <v>6231.1000000000022</v>
      </c>
      <c r="T3" s="20">
        <f>U3/V3</f>
        <v>1394.0980149264433</v>
      </c>
      <c r="U3" s="20">
        <f>SUM(U4:U68)</f>
        <v>13617410</v>
      </c>
      <c r="V3" s="21">
        <f t="shared" ref="V3" si="5">SUM(V4:V68)</f>
        <v>9767.899999999996</v>
      </c>
      <c r="W3" s="20">
        <f>X3/Y3</f>
        <v>1366.8431707105462</v>
      </c>
      <c r="X3" s="20">
        <f>SUM(X4:X68)</f>
        <v>14179221</v>
      </c>
      <c r="Y3" s="21">
        <f t="shared" ref="Y3" si="6">SUM(Y4:Y68)</f>
        <v>10373.700000000004</v>
      </c>
      <c r="Z3" s="20">
        <f>AA3/AB3</f>
        <v>1342.7657206143933</v>
      </c>
      <c r="AA3" s="20">
        <f>SUM(AA4:AA68)</f>
        <v>24005697</v>
      </c>
      <c r="AB3" s="21">
        <f t="shared" ref="AB3" si="7">SUM(AB4:AB68)</f>
        <v>17877.8</v>
      </c>
      <c r="AC3" s="20">
        <f>AD3/AE3</f>
        <v>1466.197378162972</v>
      </c>
      <c r="AD3" s="20">
        <f>SUM(AD4:AD68)</f>
        <v>16832679</v>
      </c>
      <c r="AE3" s="21">
        <f t="shared" ref="AE3" si="8">SUM(AE4:AE68)</f>
        <v>11480.5</v>
      </c>
      <c r="AF3" s="20">
        <f>AG3/AH3</f>
        <v>1382.5163445505748</v>
      </c>
      <c r="AG3" s="20">
        <f>SUM(AG4:AG68)</f>
        <v>24128090</v>
      </c>
      <c r="AH3" s="21">
        <f t="shared" ref="AH3" si="9">SUM(AH4:AH68)</f>
        <v>17452.300000000003</v>
      </c>
      <c r="AI3" s="20">
        <f>AJ3/AK3</f>
        <v>1374.5857357809211</v>
      </c>
      <c r="AJ3" s="20">
        <f>SUM(AJ4:AJ68)</f>
        <v>22838742</v>
      </c>
      <c r="AK3" s="21">
        <f t="shared" ref="AK3" si="10">SUM(AK4:AK68)</f>
        <v>16614.999999999996</v>
      </c>
      <c r="AL3" s="20">
        <f>AM3/AN3</f>
        <v>1275.7969804077179</v>
      </c>
      <c r="AM3" s="20">
        <f>SUM(AM4:AM68)</f>
        <v>27648817</v>
      </c>
      <c r="AN3" s="21">
        <f t="shared" ref="AN3" si="11">SUM(AN4:AN68)</f>
        <v>21671.800000000014</v>
      </c>
      <c r="AO3" s="20">
        <f>AP3/AQ3</f>
        <v>1404.0682790230728</v>
      </c>
      <c r="AP3" s="20">
        <f>SUM(AP4:AP68)</f>
        <v>192439071</v>
      </c>
      <c r="AQ3" s="21">
        <f t="shared" ref="AQ3" si="12">SUM(AQ4:AQ68)</f>
        <v>137058.19999999992</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9" t="s">
        <v>25</v>
      </c>
      <c r="B4" s="23"/>
      <c r="C4" s="23"/>
      <c r="D4" s="23"/>
      <c r="E4" s="3">
        <f t="shared" ref="E4:E11" si="13">F4/G4</f>
        <v>1292.801457772144</v>
      </c>
      <c r="F4" s="3">
        <v>4079435</v>
      </c>
      <c r="G4" s="6">
        <v>3155.5</v>
      </c>
      <c r="H4" s="3">
        <f t="shared" ref="H4:H11" si="14">I4/J4</f>
        <v>1383.047828051378</v>
      </c>
      <c r="I4" s="3">
        <v>2142756</v>
      </c>
      <c r="J4" s="6">
        <v>1549.3</v>
      </c>
      <c r="K4" s="3">
        <f t="shared" ref="K4:K11" si="15">L4/M4</f>
        <v>1386.8985151767336</v>
      </c>
      <c r="L4" s="3">
        <v>3166428</v>
      </c>
      <c r="M4" s="6">
        <v>2283.1</v>
      </c>
      <c r="N4" s="3">
        <f t="shared" ref="N4:N11" si="16">O4/P4</f>
        <v>1374.2673372335694</v>
      </c>
      <c r="O4" s="3">
        <v>4016846</v>
      </c>
      <c r="P4" s="6">
        <v>2922.9</v>
      </c>
      <c r="Q4" s="3">
        <f t="shared" ref="Q4:Q11" si="17">R4/S4</f>
        <v>1315.3913530936866</v>
      </c>
      <c r="R4" s="3">
        <v>3754390</v>
      </c>
      <c r="S4" s="6">
        <v>2854.2</v>
      </c>
      <c r="T4" s="3">
        <f t="shared" ref="T4:T11" si="18">U4/V4</f>
        <v>1255.051485057892</v>
      </c>
      <c r="U4" s="3">
        <v>8227239</v>
      </c>
      <c r="V4" s="6">
        <v>6555.3</v>
      </c>
      <c r="W4" s="3">
        <f t="shared" ref="W4:W11" si="19">X4/Y4</f>
        <v>1225.507294595179</v>
      </c>
      <c r="X4" s="3">
        <v>7366892</v>
      </c>
      <c r="Y4" s="6">
        <v>6011.3</v>
      </c>
      <c r="Z4" s="3">
        <f t="shared" ref="Z4:Z11" si="20">AA4/AB4</f>
        <v>1236.2054554350486</v>
      </c>
      <c r="AA4" s="3">
        <v>12127670</v>
      </c>
      <c r="AB4" s="6">
        <v>9810.4</v>
      </c>
      <c r="AC4" s="3">
        <f t="shared" ref="AC4:AC11" si="21">AD4/AE4</f>
        <v>1283.292431374623</v>
      </c>
      <c r="AD4" s="3">
        <v>7278963</v>
      </c>
      <c r="AE4" s="6">
        <v>5672.1</v>
      </c>
      <c r="AF4" s="3">
        <f t="shared" ref="AF4:AF11" si="22">AG4/AH4</f>
        <v>1309.174974673597</v>
      </c>
      <c r="AG4" s="3">
        <v>13827637</v>
      </c>
      <c r="AH4" s="6">
        <v>10562.1</v>
      </c>
      <c r="AI4" s="3">
        <f t="shared" ref="AI4:AI11" si="23">AJ4/AK4</f>
        <v>1264.7757302128443</v>
      </c>
      <c r="AJ4" s="3">
        <v>13726611</v>
      </c>
      <c r="AK4" s="6">
        <v>10853</v>
      </c>
      <c r="AL4" s="3">
        <f t="shared" ref="AL4:AL11" si="24">AM4/AN4</f>
        <v>1221.8984023964056</v>
      </c>
      <c r="AM4" s="3">
        <v>13705790</v>
      </c>
      <c r="AN4" s="6">
        <v>11216.8</v>
      </c>
      <c r="AO4" s="3">
        <f t="shared" ref="AO4:AO67" si="25">AP4/AQ4</f>
        <v>1271.963850992566</v>
      </c>
      <c r="AP4" s="3">
        <f t="shared" ref="AP4:AQ67" si="26">SUM(F4,I4,L4,O4,R4,U4,X4,AA4,AD4,AG4,AJ4,AM4)</f>
        <v>93420657</v>
      </c>
      <c r="AQ4" s="6">
        <f t="shared" si="26"/>
        <v>73446</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21</v>
      </c>
      <c r="B5" s="23"/>
      <c r="C5" s="23"/>
      <c r="D5" s="23"/>
      <c r="E5" s="3">
        <f t="shared" si="13"/>
        <v>2279.5275590551182</v>
      </c>
      <c r="F5" s="3">
        <v>28950</v>
      </c>
      <c r="G5" s="6">
        <v>12.7</v>
      </c>
      <c r="H5" s="3" t="e">
        <f t="shared" si="14"/>
        <v>#DIV/0!</v>
      </c>
      <c r="I5" s="3">
        <v>0</v>
      </c>
      <c r="J5" s="6">
        <v>0</v>
      </c>
      <c r="K5" s="3">
        <f t="shared" si="15"/>
        <v>1547.557603686636</v>
      </c>
      <c r="L5" s="3">
        <v>33582</v>
      </c>
      <c r="M5" s="6">
        <v>21.7</v>
      </c>
      <c r="N5" s="3">
        <f t="shared" si="16"/>
        <v>2702.3308270676689</v>
      </c>
      <c r="O5" s="3">
        <v>71882</v>
      </c>
      <c r="P5" s="6">
        <v>26.6</v>
      </c>
      <c r="Q5" s="3">
        <f t="shared" si="17"/>
        <v>2655.9375</v>
      </c>
      <c r="R5" s="3">
        <v>33996</v>
      </c>
      <c r="S5" s="6">
        <v>12.8</v>
      </c>
      <c r="T5" s="3">
        <f t="shared" si="18"/>
        <v>2358.0392156862745</v>
      </c>
      <c r="U5" s="3">
        <v>120260</v>
      </c>
      <c r="V5" s="6">
        <v>51</v>
      </c>
      <c r="W5" s="3">
        <f t="shared" si="19"/>
        <v>3678.0232558139537</v>
      </c>
      <c r="X5" s="3">
        <v>31631</v>
      </c>
      <c r="Y5" s="6">
        <v>8.6</v>
      </c>
      <c r="Z5" s="3">
        <f t="shared" si="20"/>
        <v>2626.822916666667</v>
      </c>
      <c r="AA5" s="3">
        <v>50435</v>
      </c>
      <c r="AB5" s="6">
        <v>19.2</v>
      </c>
      <c r="AC5" s="3">
        <f t="shared" si="21"/>
        <v>2174.4106463878325</v>
      </c>
      <c r="AD5" s="3">
        <v>114374</v>
      </c>
      <c r="AE5" s="6">
        <v>52.6</v>
      </c>
      <c r="AF5" s="3">
        <f t="shared" si="22"/>
        <v>2258.0645161290322</v>
      </c>
      <c r="AG5" s="3">
        <v>42000</v>
      </c>
      <c r="AH5" s="6">
        <v>18.600000000000001</v>
      </c>
      <c r="AI5" s="3">
        <f t="shared" si="23"/>
        <v>2205.7142857142858</v>
      </c>
      <c r="AJ5" s="3">
        <v>27792</v>
      </c>
      <c r="AK5" s="6">
        <v>12.6</v>
      </c>
      <c r="AL5" s="3">
        <f t="shared" si="24"/>
        <v>1181.7248408910102</v>
      </c>
      <c r="AM5" s="3">
        <v>7130055</v>
      </c>
      <c r="AN5" s="6">
        <v>6033.6</v>
      </c>
      <c r="AO5" s="3">
        <f t="shared" si="25"/>
        <v>1225.6709728867625</v>
      </c>
      <c r="AP5" s="3">
        <f t="shared" si="26"/>
        <v>7684957</v>
      </c>
      <c r="AQ5" s="6">
        <f t="shared" si="26"/>
        <v>6270</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20</v>
      </c>
      <c r="B6" s="23"/>
      <c r="C6" s="23"/>
      <c r="D6" s="23"/>
      <c r="E6" s="3">
        <f t="shared" si="13"/>
        <v>1498.3393704182838</v>
      </c>
      <c r="F6" s="3">
        <v>3474649</v>
      </c>
      <c r="G6" s="6">
        <v>2319</v>
      </c>
      <c r="H6" s="3">
        <f t="shared" si="14"/>
        <v>1540.6333024405315</v>
      </c>
      <c r="I6" s="3">
        <v>1994812</v>
      </c>
      <c r="J6" s="6">
        <v>1294.8</v>
      </c>
      <c r="K6" s="3">
        <f t="shared" si="15"/>
        <v>1464.3991337203945</v>
      </c>
      <c r="L6" s="3">
        <v>3178039</v>
      </c>
      <c r="M6" s="6">
        <v>2170.1999999999998</v>
      </c>
      <c r="N6" s="3">
        <f t="shared" si="16"/>
        <v>1510.6439224220701</v>
      </c>
      <c r="O6" s="3">
        <v>2360079</v>
      </c>
      <c r="P6" s="6">
        <v>1562.3</v>
      </c>
      <c r="Q6" s="3">
        <f t="shared" si="17"/>
        <v>1574.2763766010828</v>
      </c>
      <c r="R6" s="3">
        <v>2384399</v>
      </c>
      <c r="S6" s="6">
        <v>1514.6</v>
      </c>
      <c r="T6" s="3">
        <f t="shared" si="18"/>
        <v>1578.8704900376954</v>
      </c>
      <c r="U6" s="3">
        <v>2345570</v>
      </c>
      <c r="V6" s="6">
        <v>1485.6</v>
      </c>
      <c r="W6" s="3">
        <f t="shared" si="19"/>
        <v>1367.4537532769634</v>
      </c>
      <c r="X6" s="3">
        <v>3703475</v>
      </c>
      <c r="Y6" s="6">
        <v>2708.3</v>
      </c>
      <c r="Z6" s="3">
        <f t="shared" si="20"/>
        <v>1593.2268592830389</v>
      </c>
      <c r="AA6" s="3">
        <v>2977741</v>
      </c>
      <c r="AB6" s="6">
        <v>1869</v>
      </c>
      <c r="AC6" s="3">
        <f t="shared" si="21"/>
        <v>1524.8341836734694</v>
      </c>
      <c r="AD6" s="3">
        <v>3466863</v>
      </c>
      <c r="AE6" s="6">
        <v>2273.6</v>
      </c>
      <c r="AF6" s="3">
        <f t="shared" si="22"/>
        <v>1393.9944092982198</v>
      </c>
      <c r="AG6" s="3">
        <v>6632486</v>
      </c>
      <c r="AH6" s="6">
        <v>4757.8999999999996</v>
      </c>
      <c r="AI6" s="3">
        <f t="shared" si="23"/>
        <v>1471.4920105491776</v>
      </c>
      <c r="AJ6" s="3">
        <v>3794095</v>
      </c>
      <c r="AK6" s="6">
        <v>2578.4</v>
      </c>
      <c r="AL6" s="3">
        <f t="shared" si="24"/>
        <v>1487.742783877967</v>
      </c>
      <c r="AM6" s="3">
        <v>2262708</v>
      </c>
      <c r="AN6" s="6">
        <v>1520.9</v>
      </c>
      <c r="AO6" s="3">
        <f t="shared" si="25"/>
        <v>1480.541478280227</v>
      </c>
      <c r="AP6" s="3">
        <f t="shared" si="26"/>
        <v>38574916</v>
      </c>
      <c r="AQ6" s="6">
        <f t="shared" si="26"/>
        <v>26054.6</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33</v>
      </c>
      <c r="B7" s="23"/>
      <c r="C7" s="23"/>
      <c r="D7" s="23"/>
      <c r="E7" s="3">
        <f t="shared" si="13"/>
        <v>2380.3333333333335</v>
      </c>
      <c r="F7" s="3">
        <v>14282</v>
      </c>
      <c r="G7" s="6">
        <v>6</v>
      </c>
      <c r="H7" s="3">
        <f t="shared" si="14"/>
        <v>1495.4916067146282</v>
      </c>
      <c r="I7" s="3">
        <v>124724</v>
      </c>
      <c r="J7" s="6">
        <v>83.4</v>
      </c>
      <c r="K7" s="3">
        <f t="shared" si="15"/>
        <v>3022.5</v>
      </c>
      <c r="L7" s="3">
        <v>10881</v>
      </c>
      <c r="M7" s="6">
        <v>3.6</v>
      </c>
      <c r="N7" s="3">
        <f t="shared" si="16"/>
        <v>2465.8490566037735</v>
      </c>
      <c r="O7" s="3">
        <v>13069</v>
      </c>
      <c r="P7" s="6">
        <v>5.3</v>
      </c>
      <c r="Q7" s="3" t="e">
        <f t="shared" si="17"/>
        <v>#DIV/0!</v>
      </c>
      <c r="R7" s="3">
        <v>0</v>
      </c>
      <c r="S7" s="6">
        <v>0</v>
      </c>
      <c r="T7" s="3">
        <f t="shared" si="18"/>
        <v>2691.363636363636</v>
      </c>
      <c r="U7" s="3">
        <v>5921</v>
      </c>
      <c r="V7" s="6">
        <v>2.2000000000000002</v>
      </c>
      <c r="W7" s="3">
        <f t="shared" si="19"/>
        <v>2031.3207547169811</v>
      </c>
      <c r="X7" s="3">
        <v>21532</v>
      </c>
      <c r="Y7" s="6">
        <v>10.6</v>
      </c>
      <c r="Z7" s="3">
        <f t="shared" si="20"/>
        <v>1309.97799779978</v>
      </c>
      <c r="AA7" s="3">
        <v>714462</v>
      </c>
      <c r="AB7" s="6">
        <v>545.4</v>
      </c>
      <c r="AC7" s="3">
        <f t="shared" si="21"/>
        <v>1481.2063492063492</v>
      </c>
      <c r="AD7" s="3">
        <v>279948</v>
      </c>
      <c r="AE7" s="6">
        <v>189</v>
      </c>
      <c r="AF7" s="3">
        <f t="shared" si="22"/>
        <v>2109.7701149425288</v>
      </c>
      <c r="AG7" s="3">
        <v>36710</v>
      </c>
      <c r="AH7" s="6">
        <v>17.399999999999999</v>
      </c>
      <c r="AI7" s="3">
        <f t="shared" si="23"/>
        <v>2676.1538461538462</v>
      </c>
      <c r="AJ7" s="3">
        <v>10437</v>
      </c>
      <c r="AK7" s="6">
        <v>3.9</v>
      </c>
      <c r="AL7" s="3">
        <f t="shared" si="24"/>
        <v>1456.9547910150698</v>
      </c>
      <c r="AM7" s="3">
        <v>1537233</v>
      </c>
      <c r="AN7" s="6">
        <v>1055.0999999999999</v>
      </c>
      <c r="AO7" s="3">
        <f t="shared" si="25"/>
        <v>1440.8652895572091</v>
      </c>
      <c r="AP7" s="3">
        <f t="shared" si="26"/>
        <v>2769199</v>
      </c>
      <c r="AQ7" s="6">
        <f t="shared" si="26"/>
        <v>1921.8999999999999</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40</v>
      </c>
      <c r="B8" s="23"/>
      <c r="C8" s="23"/>
      <c r="D8" s="23"/>
      <c r="E8" s="3">
        <f t="shared" si="13"/>
        <v>1520.8328115216032</v>
      </c>
      <c r="F8" s="3">
        <v>242877</v>
      </c>
      <c r="G8" s="6">
        <v>159.69999999999999</v>
      </c>
      <c r="H8" s="3">
        <f t="shared" si="14"/>
        <v>1585.8608458390177</v>
      </c>
      <c r="I8" s="3">
        <v>581218</v>
      </c>
      <c r="J8" s="6">
        <v>366.5</v>
      </c>
      <c r="K8" s="3">
        <f t="shared" si="15"/>
        <v>1620.9840201850295</v>
      </c>
      <c r="L8" s="3">
        <v>578205</v>
      </c>
      <c r="M8" s="6">
        <v>356.7</v>
      </c>
      <c r="N8" s="3">
        <f t="shared" si="16"/>
        <v>1600.9390764454793</v>
      </c>
      <c r="O8" s="3">
        <v>412562</v>
      </c>
      <c r="P8" s="6">
        <v>257.7</v>
      </c>
      <c r="Q8" s="3">
        <f t="shared" si="17"/>
        <v>1714.9823440390112</v>
      </c>
      <c r="R8" s="3">
        <v>1019900</v>
      </c>
      <c r="S8" s="6">
        <v>594.70000000000005</v>
      </c>
      <c r="T8" s="3">
        <f t="shared" si="18"/>
        <v>1590.0052124055253</v>
      </c>
      <c r="U8" s="3">
        <v>610085</v>
      </c>
      <c r="V8" s="6">
        <v>383.7</v>
      </c>
      <c r="W8" s="3">
        <f t="shared" si="19"/>
        <v>1723.9066880256307</v>
      </c>
      <c r="X8" s="3">
        <v>860919</v>
      </c>
      <c r="Y8" s="6">
        <v>499.4</v>
      </c>
      <c r="Z8" s="3">
        <f t="shared" si="20"/>
        <v>1665.5684340320593</v>
      </c>
      <c r="AA8" s="3">
        <v>675388</v>
      </c>
      <c r="AB8" s="6">
        <v>405.5</v>
      </c>
      <c r="AC8" s="3">
        <f t="shared" si="21"/>
        <v>1667.6554705686731</v>
      </c>
      <c r="AD8" s="3">
        <v>501464</v>
      </c>
      <c r="AE8" s="6">
        <v>300.7</v>
      </c>
      <c r="AF8" s="3">
        <f t="shared" si="22"/>
        <v>1338.121212121212</v>
      </c>
      <c r="AG8" s="3">
        <v>1103950</v>
      </c>
      <c r="AH8" s="6">
        <v>825</v>
      </c>
      <c r="AI8" s="3">
        <f t="shared" si="23"/>
        <v>1462.0554235946161</v>
      </c>
      <c r="AJ8" s="3">
        <v>923288</v>
      </c>
      <c r="AK8" s="6">
        <v>631.5</v>
      </c>
      <c r="AL8" s="3">
        <f t="shared" si="24"/>
        <v>1437.0663052543787</v>
      </c>
      <c r="AM8" s="3">
        <v>689217</v>
      </c>
      <c r="AN8" s="6">
        <v>479.6</v>
      </c>
      <c r="AO8" s="3">
        <f t="shared" si="25"/>
        <v>1558.5517136502745</v>
      </c>
      <c r="AP8" s="3">
        <f t="shared" si="26"/>
        <v>8199073</v>
      </c>
      <c r="AQ8" s="6">
        <f t="shared" si="26"/>
        <v>5260.7000000000007</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36</v>
      </c>
      <c r="B9" s="23"/>
      <c r="C9" s="23"/>
      <c r="D9" s="23"/>
      <c r="E9" s="3">
        <f t="shared" si="13"/>
        <v>1685.0321336760926</v>
      </c>
      <c r="F9" s="3">
        <v>524382</v>
      </c>
      <c r="G9" s="6">
        <v>311.2</v>
      </c>
      <c r="H9" s="3">
        <f t="shared" si="14"/>
        <v>1548.5143979057591</v>
      </c>
      <c r="I9" s="3">
        <v>236613</v>
      </c>
      <c r="J9" s="6">
        <v>152.80000000000001</v>
      </c>
      <c r="K9" s="3">
        <f t="shared" si="15"/>
        <v>1570.2558746736293</v>
      </c>
      <c r="L9" s="3">
        <v>601408</v>
      </c>
      <c r="M9" s="6">
        <v>383</v>
      </c>
      <c r="N9" s="3">
        <f t="shared" si="16"/>
        <v>1568.2753950338601</v>
      </c>
      <c r="O9" s="3">
        <v>347373</v>
      </c>
      <c r="P9" s="6">
        <v>221.5</v>
      </c>
      <c r="Q9" s="3">
        <f t="shared" si="17"/>
        <v>1549.1141034727145</v>
      </c>
      <c r="R9" s="3">
        <v>437160</v>
      </c>
      <c r="S9" s="6">
        <v>282.2</v>
      </c>
      <c r="T9" s="3">
        <f t="shared" si="18"/>
        <v>1549.094008767657</v>
      </c>
      <c r="U9" s="3">
        <v>318029</v>
      </c>
      <c r="V9" s="6">
        <v>205.3</v>
      </c>
      <c r="W9" s="3">
        <f t="shared" si="19"/>
        <v>1548.7627737226278</v>
      </c>
      <c r="X9" s="3">
        <v>424361</v>
      </c>
      <c r="Y9" s="6">
        <v>274</v>
      </c>
      <c r="Z9" s="3">
        <f t="shared" si="20"/>
        <v>1918.6996336996335</v>
      </c>
      <c r="AA9" s="3">
        <v>314283</v>
      </c>
      <c r="AB9" s="6">
        <v>163.80000000000001</v>
      </c>
      <c r="AC9" s="3">
        <f t="shared" si="21"/>
        <v>1630.653409090909</v>
      </c>
      <c r="AD9" s="3">
        <v>229596</v>
      </c>
      <c r="AE9" s="6">
        <v>140.80000000000001</v>
      </c>
      <c r="AF9" s="3">
        <f t="shared" si="22"/>
        <v>1781.8707328174785</v>
      </c>
      <c r="AG9" s="3">
        <v>391477</v>
      </c>
      <c r="AH9" s="6">
        <v>219.7</v>
      </c>
      <c r="AI9" s="3">
        <f t="shared" si="23"/>
        <v>2573.9890710382515</v>
      </c>
      <c r="AJ9" s="3">
        <v>282624</v>
      </c>
      <c r="AK9" s="6">
        <v>109.8</v>
      </c>
      <c r="AL9" s="3">
        <f t="shared" si="24"/>
        <v>2008.9226407452409</v>
      </c>
      <c r="AM9" s="3">
        <v>496003</v>
      </c>
      <c r="AN9" s="6">
        <v>246.9</v>
      </c>
      <c r="AO9" s="3">
        <f t="shared" si="25"/>
        <v>1698.0114348948728</v>
      </c>
      <c r="AP9" s="3">
        <f t="shared" si="26"/>
        <v>4603309</v>
      </c>
      <c r="AQ9" s="6">
        <f t="shared" si="26"/>
        <v>2711</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88</v>
      </c>
      <c r="B10" s="23"/>
      <c r="C10" s="23"/>
      <c r="D10" s="23"/>
      <c r="E10" s="3" t="e">
        <f t="shared" si="13"/>
        <v>#DIV/0!</v>
      </c>
      <c r="F10" s="3">
        <v>0</v>
      </c>
      <c r="G10" s="6">
        <v>0</v>
      </c>
      <c r="H10" s="3" t="e">
        <f t="shared" si="14"/>
        <v>#DIV/0!</v>
      </c>
      <c r="I10" s="3">
        <v>0</v>
      </c>
      <c r="J10" s="6">
        <v>0</v>
      </c>
      <c r="K10" s="3" t="e">
        <f t="shared" si="15"/>
        <v>#DIV/0!</v>
      </c>
      <c r="L10" s="3">
        <v>0</v>
      </c>
      <c r="M10" s="6">
        <v>0</v>
      </c>
      <c r="N10" s="3" t="e">
        <f t="shared" si="16"/>
        <v>#DIV/0!</v>
      </c>
      <c r="O10" s="3">
        <v>0</v>
      </c>
      <c r="P10" s="6">
        <v>0</v>
      </c>
      <c r="Q10" s="3" t="e">
        <f t="shared" si="17"/>
        <v>#DIV/0!</v>
      </c>
      <c r="R10" s="3">
        <v>0</v>
      </c>
      <c r="S10" s="6">
        <v>0</v>
      </c>
      <c r="T10" s="3" t="e">
        <f t="shared" si="18"/>
        <v>#DIV/0!</v>
      </c>
      <c r="U10" s="3">
        <v>0</v>
      </c>
      <c r="V10" s="6">
        <v>0</v>
      </c>
      <c r="W10" s="3" t="e">
        <f t="shared" si="19"/>
        <v>#DIV/0!</v>
      </c>
      <c r="X10" s="3">
        <v>0</v>
      </c>
      <c r="Y10" s="6">
        <v>0</v>
      </c>
      <c r="Z10" s="3" t="e">
        <f t="shared" si="20"/>
        <v>#DIV/0!</v>
      </c>
      <c r="AA10" s="3">
        <v>0</v>
      </c>
      <c r="AB10" s="6">
        <v>0</v>
      </c>
      <c r="AC10" s="3" t="e">
        <f t="shared" si="21"/>
        <v>#DIV/0!</v>
      </c>
      <c r="AD10" s="3">
        <v>0</v>
      </c>
      <c r="AE10" s="6">
        <v>0</v>
      </c>
      <c r="AF10" s="3" t="e">
        <f t="shared" si="22"/>
        <v>#DIV/0!</v>
      </c>
      <c r="AG10" s="3">
        <v>0</v>
      </c>
      <c r="AH10" s="6">
        <v>0</v>
      </c>
      <c r="AI10" s="3" t="e">
        <f t="shared" si="23"/>
        <v>#DIV/0!</v>
      </c>
      <c r="AJ10" s="3">
        <v>0</v>
      </c>
      <c r="AK10" s="6">
        <v>0</v>
      </c>
      <c r="AL10" s="3">
        <f t="shared" si="24"/>
        <v>1228.8736263736264</v>
      </c>
      <c r="AM10" s="3">
        <v>447310</v>
      </c>
      <c r="AN10" s="6">
        <v>364</v>
      </c>
      <c r="AO10" s="3">
        <f t="shared" si="25"/>
        <v>1228.8736263736264</v>
      </c>
      <c r="AP10" s="3">
        <f t="shared" si="26"/>
        <v>447310</v>
      </c>
      <c r="AQ10" s="6">
        <f t="shared" si="26"/>
        <v>364</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28</v>
      </c>
      <c r="B11" s="23"/>
      <c r="C11" s="23"/>
      <c r="D11" s="23"/>
      <c r="E11" s="3">
        <f t="shared" si="13"/>
        <v>2099.8471615720523</v>
      </c>
      <c r="F11" s="3">
        <v>288519</v>
      </c>
      <c r="G11" s="6">
        <v>137.4</v>
      </c>
      <c r="H11" s="3">
        <f t="shared" si="14"/>
        <v>1909.8021201413428</v>
      </c>
      <c r="I11" s="3">
        <v>270237</v>
      </c>
      <c r="J11" s="6">
        <v>141.5</v>
      </c>
      <c r="K11" s="3">
        <f t="shared" si="15"/>
        <v>2191.7540983606559</v>
      </c>
      <c r="L11" s="3">
        <v>133697</v>
      </c>
      <c r="M11" s="6">
        <v>61</v>
      </c>
      <c r="N11" s="3">
        <f t="shared" si="16"/>
        <v>2009.8368456832088</v>
      </c>
      <c r="O11" s="3">
        <v>295647</v>
      </c>
      <c r="P11" s="6">
        <v>147.1</v>
      </c>
      <c r="Q11" s="3">
        <f t="shared" si="17"/>
        <v>2015.604177026355</v>
      </c>
      <c r="R11" s="3">
        <v>405338</v>
      </c>
      <c r="S11" s="6">
        <v>201.1</v>
      </c>
      <c r="T11" s="3">
        <f t="shared" si="18"/>
        <v>1920.6862745098038</v>
      </c>
      <c r="U11" s="3">
        <v>274274</v>
      </c>
      <c r="V11" s="6">
        <v>142.80000000000001</v>
      </c>
      <c r="W11" s="3">
        <f t="shared" si="19"/>
        <v>1778.1754195993503</v>
      </c>
      <c r="X11" s="3">
        <v>328429</v>
      </c>
      <c r="Y11" s="6">
        <v>184.7</v>
      </c>
      <c r="Z11" s="3">
        <f t="shared" si="20"/>
        <v>1945.8354239839437</v>
      </c>
      <c r="AA11" s="3">
        <v>387805</v>
      </c>
      <c r="AB11" s="6">
        <v>199.3</v>
      </c>
      <c r="AC11" s="3">
        <f t="shared" si="21"/>
        <v>1953.6435045317221</v>
      </c>
      <c r="AD11" s="3">
        <v>323328</v>
      </c>
      <c r="AE11" s="6">
        <v>165.5</v>
      </c>
      <c r="AF11" s="3">
        <f t="shared" si="22"/>
        <v>1882.3282442748093</v>
      </c>
      <c r="AG11" s="3">
        <v>197268</v>
      </c>
      <c r="AH11" s="6">
        <v>104.8</v>
      </c>
      <c r="AI11" s="3">
        <f t="shared" si="23"/>
        <v>1765.827532869296</v>
      </c>
      <c r="AJ11" s="3">
        <v>456643</v>
      </c>
      <c r="AK11" s="6">
        <v>258.60000000000002</v>
      </c>
      <c r="AL11" s="3">
        <f t="shared" si="24"/>
        <v>1843.96771037182</v>
      </c>
      <c r="AM11" s="3">
        <v>376907</v>
      </c>
      <c r="AN11" s="6">
        <v>204.4</v>
      </c>
      <c r="AO11" s="3">
        <f t="shared" si="25"/>
        <v>1918.7414023200902</v>
      </c>
      <c r="AP11" s="3">
        <f t="shared" si="26"/>
        <v>3738092</v>
      </c>
      <c r="AQ11" s="6">
        <f t="shared" si="26"/>
        <v>1948.2000000000003</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39</v>
      </c>
      <c r="B12" s="23"/>
      <c r="C12" s="23"/>
      <c r="D12" s="23"/>
      <c r="E12" s="3">
        <f>F12/G12</f>
        <v>1664.5251716247139</v>
      </c>
      <c r="F12" s="3">
        <v>290959</v>
      </c>
      <c r="G12" s="6">
        <v>174.8</v>
      </c>
      <c r="H12" s="3">
        <f>I12/J12</f>
        <v>1665.3253796095444</v>
      </c>
      <c r="I12" s="3">
        <v>153543</v>
      </c>
      <c r="J12" s="6">
        <v>92.2</v>
      </c>
      <c r="K12" s="3">
        <f>L12/M12</f>
        <v>1689.6850393700788</v>
      </c>
      <c r="L12" s="3">
        <v>171672</v>
      </c>
      <c r="M12" s="6">
        <v>101.6</v>
      </c>
      <c r="N12" s="3">
        <f>O12/P12</f>
        <v>1626.3101160862357</v>
      </c>
      <c r="O12" s="3">
        <v>196133</v>
      </c>
      <c r="P12" s="6">
        <v>120.6</v>
      </c>
      <c r="Q12" s="3">
        <f>R12/S12</f>
        <v>1685.037783375315</v>
      </c>
      <c r="R12" s="3">
        <v>468272</v>
      </c>
      <c r="S12" s="6">
        <v>277.89999999999998</v>
      </c>
      <c r="T12" s="3">
        <f>U12/V12</f>
        <v>1725.288169868554</v>
      </c>
      <c r="U12" s="3">
        <v>170631</v>
      </c>
      <c r="V12" s="6">
        <v>98.9</v>
      </c>
      <c r="W12" s="3">
        <f>X12/Y12</f>
        <v>1723.7888888888888</v>
      </c>
      <c r="X12" s="3">
        <v>310282</v>
      </c>
      <c r="Y12" s="6">
        <v>180</v>
      </c>
      <c r="Z12" s="3">
        <f>AA12/AB12</f>
        <v>1612.3827095413812</v>
      </c>
      <c r="AA12" s="3">
        <v>305869</v>
      </c>
      <c r="AB12" s="6">
        <v>189.7</v>
      </c>
      <c r="AC12" s="3">
        <f>AD12/AE12</f>
        <v>1810.4746317512274</v>
      </c>
      <c r="AD12" s="3">
        <v>331860</v>
      </c>
      <c r="AE12" s="6">
        <v>183.3</v>
      </c>
      <c r="AF12" s="3">
        <f>AG12/AH12</f>
        <v>1749.6918561995597</v>
      </c>
      <c r="AG12" s="3">
        <v>476966</v>
      </c>
      <c r="AH12" s="6">
        <v>272.60000000000002</v>
      </c>
      <c r="AI12" s="3">
        <f>AJ12/AK12</f>
        <v>1613.9944903581265</v>
      </c>
      <c r="AJ12" s="3">
        <v>351528</v>
      </c>
      <c r="AK12" s="6">
        <v>217.8</v>
      </c>
      <c r="AL12" s="3">
        <f>AM12/AN12</f>
        <v>1601.1079136690648</v>
      </c>
      <c r="AM12" s="3">
        <v>222554</v>
      </c>
      <c r="AN12" s="6">
        <v>139</v>
      </c>
      <c r="AO12" s="3">
        <f t="shared" si="25"/>
        <v>1684.3726811169697</v>
      </c>
      <c r="AP12" s="3">
        <f t="shared" si="26"/>
        <v>3450269</v>
      </c>
      <c r="AQ12" s="6">
        <f t="shared" si="26"/>
        <v>2048.3999999999996</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30</v>
      </c>
      <c r="B13" s="23"/>
      <c r="C13" s="23"/>
      <c r="D13" s="23"/>
      <c r="E13" s="3" t="e">
        <f t="shared" ref="E13:E68" si="27">F13/G13</f>
        <v>#DIV/0!</v>
      </c>
      <c r="F13" s="3">
        <v>0</v>
      </c>
      <c r="G13" s="6">
        <v>0</v>
      </c>
      <c r="H13" s="3">
        <f t="shared" ref="H13:H68" si="28">I13/J13</f>
        <v>2420.0793650793653</v>
      </c>
      <c r="I13" s="3">
        <v>91479</v>
      </c>
      <c r="J13" s="6">
        <v>37.799999999999997</v>
      </c>
      <c r="K13" s="3">
        <f t="shared" ref="K13:K68" si="29">L13/M13</f>
        <v>2273.4736842105262</v>
      </c>
      <c r="L13" s="3">
        <v>129588</v>
      </c>
      <c r="M13" s="6">
        <v>57</v>
      </c>
      <c r="N13" s="3">
        <f t="shared" ref="N13:N68" si="30">O13/P13</f>
        <v>2379.8518518518517</v>
      </c>
      <c r="O13" s="3">
        <v>32128</v>
      </c>
      <c r="P13" s="6">
        <v>13.5</v>
      </c>
      <c r="Q13" s="3">
        <f t="shared" ref="Q13:Q68" si="31">R13/S13</f>
        <v>2379.8888888888887</v>
      </c>
      <c r="R13" s="3">
        <v>64257</v>
      </c>
      <c r="S13" s="6">
        <v>27</v>
      </c>
      <c r="T13" s="3">
        <f t="shared" ref="T13:T68" si="32">U13/V13</f>
        <v>2377.0186335403723</v>
      </c>
      <c r="U13" s="3">
        <v>38270</v>
      </c>
      <c r="V13" s="6">
        <v>16.100000000000001</v>
      </c>
      <c r="W13" s="3">
        <f t="shared" ref="W13:W68" si="33">X13/Y13</f>
        <v>2160.0613496932515</v>
      </c>
      <c r="X13" s="3">
        <v>35209</v>
      </c>
      <c r="Y13" s="6">
        <v>16.3</v>
      </c>
      <c r="Z13" s="3">
        <f t="shared" ref="Z13:Z68" si="34">AA13/AB13</f>
        <v>2381.5555555555557</v>
      </c>
      <c r="AA13" s="3">
        <v>64302</v>
      </c>
      <c r="AB13" s="6">
        <v>27</v>
      </c>
      <c r="AC13" s="3">
        <f t="shared" ref="AC13:AC68" si="35">AD13/AE13</f>
        <v>2131.3617021276596</v>
      </c>
      <c r="AD13" s="3">
        <v>50087</v>
      </c>
      <c r="AE13" s="6">
        <v>23.5</v>
      </c>
      <c r="AF13" s="3">
        <f t="shared" ref="AF13:AF68" si="36">AG13/AH13</f>
        <v>2384.9851632047476</v>
      </c>
      <c r="AG13" s="3">
        <v>160748</v>
      </c>
      <c r="AH13" s="6">
        <v>67.400000000000006</v>
      </c>
      <c r="AI13" s="3">
        <f t="shared" ref="AI13:AI68" si="37">AJ13/AK13</f>
        <v>2387.6785714285716</v>
      </c>
      <c r="AJ13" s="3">
        <v>66855</v>
      </c>
      <c r="AK13" s="6">
        <v>28</v>
      </c>
      <c r="AL13" s="3">
        <f t="shared" ref="AL13:AL68" si="38">AM13/AN13</f>
        <v>2382.5519287833827</v>
      </c>
      <c r="AM13" s="3">
        <v>160584</v>
      </c>
      <c r="AN13" s="6">
        <v>67.400000000000006</v>
      </c>
      <c r="AO13" s="3">
        <f t="shared" si="25"/>
        <v>2345.1627296587926</v>
      </c>
      <c r="AP13" s="3">
        <f t="shared" si="26"/>
        <v>893507</v>
      </c>
      <c r="AQ13" s="6">
        <f t="shared" si="26"/>
        <v>381</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51</v>
      </c>
      <c r="B14" s="23"/>
      <c r="C14" s="23"/>
      <c r="D14" s="23"/>
      <c r="E14" s="3">
        <f t="shared" si="27"/>
        <v>2096</v>
      </c>
      <c r="F14" s="3">
        <v>7336</v>
      </c>
      <c r="G14" s="6">
        <v>3.5</v>
      </c>
      <c r="H14" s="3">
        <f t="shared" si="28"/>
        <v>2037.6923076923076</v>
      </c>
      <c r="I14" s="3">
        <v>10596</v>
      </c>
      <c r="J14" s="6">
        <v>5.2</v>
      </c>
      <c r="K14" s="3">
        <f t="shared" si="29"/>
        <v>2494.6067415730336</v>
      </c>
      <c r="L14" s="3">
        <v>22202</v>
      </c>
      <c r="M14" s="6">
        <v>8.9</v>
      </c>
      <c r="N14" s="3">
        <f t="shared" si="30"/>
        <v>1835.0000000000002</v>
      </c>
      <c r="O14" s="3">
        <v>2569</v>
      </c>
      <c r="P14" s="6">
        <v>1.4</v>
      </c>
      <c r="Q14" s="3">
        <f t="shared" si="31"/>
        <v>2631.3513513513512</v>
      </c>
      <c r="R14" s="3">
        <v>38944</v>
      </c>
      <c r="S14" s="6">
        <v>14.8</v>
      </c>
      <c r="T14" s="3">
        <f t="shared" si="32"/>
        <v>1530.0377358490566</v>
      </c>
      <c r="U14" s="3">
        <v>40546</v>
      </c>
      <c r="V14" s="6">
        <v>26.5</v>
      </c>
      <c r="W14" s="3">
        <f t="shared" si="33"/>
        <v>2055.0746268656717</v>
      </c>
      <c r="X14" s="3">
        <v>13769</v>
      </c>
      <c r="Y14" s="6">
        <v>6.7</v>
      </c>
      <c r="Z14" s="3">
        <f t="shared" si="34"/>
        <v>2096.8421052631579</v>
      </c>
      <c r="AA14" s="3">
        <v>7968</v>
      </c>
      <c r="AB14" s="6">
        <v>3.8</v>
      </c>
      <c r="AC14" s="3">
        <f t="shared" si="35"/>
        <v>2489.5876288659797</v>
      </c>
      <c r="AD14" s="3">
        <v>24149</v>
      </c>
      <c r="AE14" s="6">
        <v>9.6999999999999993</v>
      </c>
      <c r="AF14" s="3">
        <f t="shared" si="36"/>
        <v>2473</v>
      </c>
      <c r="AG14" s="3">
        <v>44514</v>
      </c>
      <c r="AH14" s="6">
        <v>18</v>
      </c>
      <c r="AI14" s="3">
        <f t="shared" si="37"/>
        <v>1496.204081632653</v>
      </c>
      <c r="AJ14" s="3">
        <v>36657</v>
      </c>
      <c r="AK14" s="6">
        <v>24.5</v>
      </c>
      <c r="AL14" s="3">
        <f t="shared" si="38"/>
        <v>1914.367469879518</v>
      </c>
      <c r="AM14" s="3">
        <v>63557</v>
      </c>
      <c r="AN14" s="6">
        <v>33.200000000000003</v>
      </c>
      <c r="AO14" s="3">
        <f t="shared" si="25"/>
        <v>2002.605633802817</v>
      </c>
      <c r="AP14" s="3">
        <f t="shared" si="26"/>
        <v>312807</v>
      </c>
      <c r="AQ14" s="6">
        <f t="shared" si="26"/>
        <v>156.19999999999999</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52</v>
      </c>
      <c r="B15" s="23"/>
      <c r="C15" s="23"/>
      <c r="D15" s="23"/>
      <c r="E15" s="3">
        <f t="shared" si="27"/>
        <v>1776.4285714285716</v>
      </c>
      <c r="F15" s="3">
        <v>52227</v>
      </c>
      <c r="G15" s="6">
        <v>29.4</v>
      </c>
      <c r="H15" s="3">
        <f t="shared" si="28"/>
        <v>1696.5517241379309</v>
      </c>
      <c r="I15" s="3">
        <v>49200</v>
      </c>
      <c r="J15" s="6">
        <v>29</v>
      </c>
      <c r="K15" s="3">
        <f t="shared" si="29"/>
        <v>1798.8625592417061</v>
      </c>
      <c r="L15" s="3">
        <v>37956</v>
      </c>
      <c r="M15" s="6">
        <v>21.1</v>
      </c>
      <c r="N15" s="3">
        <f t="shared" si="30"/>
        <v>1764.4137931034484</v>
      </c>
      <c r="O15" s="3">
        <v>51168</v>
      </c>
      <c r="P15" s="6">
        <v>29</v>
      </c>
      <c r="Q15" s="3">
        <f t="shared" si="31"/>
        <v>1667.4345549738218</v>
      </c>
      <c r="R15" s="3">
        <v>31848</v>
      </c>
      <c r="S15" s="6">
        <v>19.100000000000001</v>
      </c>
      <c r="T15" s="3">
        <f t="shared" si="32"/>
        <v>1878.7878787878788</v>
      </c>
      <c r="U15" s="3">
        <v>18600</v>
      </c>
      <c r="V15" s="6">
        <v>9.9</v>
      </c>
      <c r="W15" s="3">
        <f t="shared" si="33"/>
        <v>1840.0760456273763</v>
      </c>
      <c r="X15" s="3">
        <v>48394</v>
      </c>
      <c r="Y15" s="6">
        <v>26.3</v>
      </c>
      <c r="Z15" s="3">
        <f t="shared" si="34"/>
        <v>1878.7878787878788</v>
      </c>
      <c r="AA15" s="3">
        <v>18600</v>
      </c>
      <c r="AB15" s="6">
        <v>9.9</v>
      </c>
      <c r="AC15" s="3">
        <f t="shared" si="35"/>
        <v>1818.3383685800604</v>
      </c>
      <c r="AD15" s="3">
        <v>60187</v>
      </c>
      <c r="AE15" s="6">
        <v>33.1</v>
      </c>
      <c r="AF15" s="3">
        <f t="shared" si="36"/>
        <v>1689.4240837696334</v>
      </c>
      <c r="AG15" s="3">
        <v>32268</v>
      </c>
      <c r="AH15" s="6">
        <v>19.100000000000001</v>
      </c>
      <c r="AI15" s="3">
        <f t="shared" si="37"/>
        <v>1680</v>
      </c>
      <c r="AJ15" s="3">
        <v>48720</v>
      </c>
      <c r="AK15" s="6">
        <v>29</v>
      </c>
      <c r="AL15" s="3">
        <f t="shared" si="38"/>
        <v>1797.7647058823529</v>
      </c>
      <c r="AM15" s="3">
        <v>61124</v>
      </c>
      <c r="AN15" s="6">
        <v>34</v>
      </c>
      <c r="AO15" s="3">
        <f t="shared" si="25"/>
        <v>1766.3274489442715</v>
      </c>
      <c r="AP15" s="3">
        <f t="shared" si="26"/>
        <v>510292</v>
      </c>
      <c r="AQ15" s="6">
        <f t="shared" si="26"/>
        <v>288.89999999999998</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72</v>
      </c>
      <c r="B16" s="23"/>
      <c r="C16" s="23"/>
      <c r="D16" s="23"/>
      <c r="E16" s="3">
        <f t="shared" si="27"/>
        <v>2542.255434782609</v>
      </c>
      <c r="F16" s="3">
        <v>93555</v>
      </c>
      <c r="G16" s="6">
        <v>36.799999999999997</v>
      </c>
      <c r="H16" s="3" t="e">
        <f t="shared" si="28"/>
        <v>#DIV/0!</v>
      </c>
      <c r="I16" s="3">
        <v>0</v>
      </c>
      <c r="J16" s="6">
        <v>0</v>
      </c>
      <c r="K16" s="3" t="e">
        <f t="shared" si="29"/>
        <v>#DIV/0!</v>
      </c>
      <c r="L16" s="3">
        <v>0</v>
      </c>
      <c r="M16" s="6">
        <v>0</v>
      </c>
      <c r="N16" s="3" t="e">
        <f t="shared" si="30"/>
        <v>#DIV/0!</v>
      </c>
      <c r="O16" s="3">
        <v>0</v>
      </c>
      <c r="P16" s="6">
        <v>0</v>
      </c>
      <c r="Q16" s="3">
        <f t="shared" si="31"/>
        <v>2726.5573770491801</v>
      </c>
      <c r="R16" s="3">
        <v>49896</v>
      </c>
      <c r="S16" s="6">
        <v>18.3</v>
      </c>
      <c r="T16" s="3" t="e">
        <f t="shared" si="32"/>
        <v>#DIV/0!</v>
      </c>
      <c r="U16" s="3">
        <v>0</v>
      </c>
      <c r="V16" s="6">
        <v>0</v>
      </c>
      <c r="W16" s="3" t="e">
        <f t="shared" si="33"/>
        <v>#DIV/0!</v>
      </c>
      <c r="X16" s="3">
        <v>0</v>
      </c>
      <c r="Y16" s="6">
        <v>0</v>
      </c>
      <c r="Z16" s="3">
        <f t="shared" si="34"/>
        <v>2719.1280653950953</v>
      </c>
      <c r="AA16" s="3">
        <v>99792</v>
      </c>
      <c r="AB16" s="6">
        <v>36.700000000000003</v>
      </c>
      <c r="AC16" s="3" t="e">
        <f t="shared" si="35"/>
        <v>#DIV/0!</v>
      </c>
      <c r="AD16" s="3">
        <v>0</v>
      </c>
      <c r="AE16" s="6">
        <v>0</v>
      </c>
      <c r="AF16" s="3">
        <f t="shared" si="36"/>
        <v>2539.2366412213742</v>
      </c>
      <c r="AG16" s="3">
        <v>99792</v>
      </c>
      <c r="AH16" s="6">
        <v>39.299999999999997</v>
      </c>
      <c r="AI16" s="3" t="e">
        <f t="shared" si="37"/>
        <v>#DIV/0!</v>
      </c>
      <c r="AJ16" s="3">
        <v>0</v>
      </c>
      <c r="AK16" s="6">
        <v>0</v>
      </c>
      <c r="AL16" s="3">
        <f t="shared" si="38"/>
        <v>1547.1270718232042</v>
      </c>
      <c r="AM16" s="3">
        <v>56006</v>
      </c>
      <c r="AN16" s="6">
        <v>36.200000000000003</v>
      </c>
      <c r="AO16" s="3">
        <f t="shared" si="25"/>
        <v>2385.1823072325165</v>
      </c>
      <c r="AP16" s="3">
        <f t="shared" si="26"/>
        <v>399041</v>
      </c>
      <c r="AQ16" s="6">
        <f t="shared" si="26"/>
        <v>167.3</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26</v>
      </c>
      <c r="B17" s="23"/>
      <c r="C17" s="23"/>
      <c r="D17" s="23"/>
      <c r="E17" s="3">
        <f t="shared" si="27"/>
        <v>1766.3144</v>
      </c>
      <c r="F17" s="3">
        <v>4415786</v>
      </c>
      <c r="G17" s="6">
        <v>2500</v>
      </c>
      <c r="H17" s="3">
        <f t="shared" si="28"/>
        <v>1548.6725663716813</v>
      </c>
      <c r="I17" s="3">
        <v>35000</v>
      </c>
      <c r="J17" s="6">
        <v>22.6</v>
      </c>
      <c r="K17" s="3">
        <f t="shared" si="29"/>
        <v>2333.3333333333335</v>
      </c>
      <c r="L17" s="3">
        <v>35000</v>
      </c>
      <c r="M17" s="6">
        <v>15</v>
      </c>
      <c r="N17" s="3">
        <f t="shared" si="30"/>
        <v>1832.4607329842931</v>
      </c>
      <c r="O17" s="3">
        <v>35000</v>
      </c>
      <c r="P17" s="6">
        <v>19.100000000000001</v>
      </c>
      <c r="Q17" s="3">
        <f t="shared" si="31"/>
        <v>1832.4607329842931</v>
      </c>
      <c r="R17" s="3">
        <v>35000</v>
      </c>
      <c r="S17" s="6">
        <v>19.100000000000001</v>
      </c>
      <c r="T17" s="3" t="e">
        <f t="shared" si="32"/>
        <v>#DIV/0!</v>
      </c>
      <c r="U17" s="3">
        <v>0</v>
      </c>
      <c r="V17" s="6">
        <v>0</v>
      </c>
      <c r="W17" s="3">
        <f t="shared" si="33"/>
        <v>3613.5294117647059</v>
      </c>
      <c r="X17" s="3">
        <v>6143</v>
      </c>
      <c r="Y17" s="6">
        <v>1.7</v>
      </c>
      <c r="Z17" s="3">
        <f t="shared" si="34"/>
        <v>1548.6725663716813</v>
      </c>
      <c r="AA17" s="3">
        <v>35000</v>
      </c>
      <c r="AB17" s="6">
        <v>22.6</v>
      </c>
      <c r="AC17" s="3" t="e">
        <f t="shared" si="35"/>
        <v>#DIV/0!</v>
      </c>
      <c r="AD17" s="3">
        <v>0</v>
      </c>
      <c r="AE17" s="6">
        <v>0</v>
      </c>
      <c r="AF17" s="3">
        <f t="shared" si="36"/>
        <v>3684.5631067961162</v>
      </c>
      <c r="AG17" s="3">
        <v>37951</v>
      </c>
      <c r="AH17" s="6">
        <v>10.3</v>
      </c>
      <c r="AI17" s="3">
        <f t="shared" si="37"/>
        <v>1988.6363636363635</v>
      </c>
      <c r="AJ17" s="3">
        <v>70000</v>
      </c>
      <c r="AK17" s="6">
        <v>35.200000000000003</v>
      </c>
      <c r="AL17" s="3">
        <f t="shared" si="38"/>
        <v>1543.0240549828177</v>
      </c>
      <c r="AM17" s="3">
        <v>44902</v>
      </c>
      <c r="AN17" s="6">
        <v>29.1</v>
      </c>
      <c r="AO17" s="3">
        <f t="shared" si="25"/>
        <v>1775.8185964781101</v>
      </c>
      <c r="AP17" s="3">
        <f t="shared" si="26"/>
        <v>4749782</v>
      </c>
      <c r="AQ17" s="6">
        <f t="shared" si="26"/>
        <v>2674.6999999999994</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59</v>
      </c>
      <c r="B18" s="23"/>
      <c r="C18" s="23"/>
      <c r="D18" s="23"/>
      <c r="E18" s="3">
        <f t="shared" si="27"/>
        <v>2725.217391304348</v>
      </c>
      <c r="F18" s="3">
        <v>6268</v>
      </c>
      <c r="G18" s="6">
        <v>2.2999999999999998</v>
      </c>
      <c r="H18" s="3">
        <f t="shared" si="28"/>
        <v>2442.6666666666665</v>
      </c>
      <c r="I18" s="3">
        <v>3664</v>
      </c>
      <c r="J18" s="6">
        <v>1.5</v>
      </c>
      <c r="K18" s="3">
        <f t="shared" si="29"/>
        <v>1775.4285714285713</v>
      </c>
      <c r="L18" s="3">
        <v>49712</v>
      </c>
      <c r="M18" s="6">
        <v>28</v>
      </c>
      <c r="N18" s="3">
        <f t="shared" si="30"/>
        <v>2098.1632653061224</v>
      </c>
      <c r="O18" s="3">
        <v>10281</v>
      </c>
      <c r="P18" s="6">
        <v>4.9000000000000004</v>
      </c>
      <c r="Q18" s="3">
        <f t="shared" si="31"/>
        <v>2394.6428571428573</v>
      </c>
      <c r="R18" s="3">
        <v>6705</v>
      </c>
      <c r="S18" s="6">
        <v>2.8</v>
      </c>
      <c r="T18" s="3">
        <f t="shared" si="32"/>
        <v>1689.8134328358208</v>
      </c>
      <c r="U18" s="3">
        <v>45287</v>
      </c>
      <c r="V18" s="6">
        <v>26.8</v>
      </c>
      <c r="W18" s="3">
        <f t="shared" si="33"/>
        <v>2455.1282051282051</v>
      </c>
      <c r="X18" s="3">
        <v>9575</v>
      </c>
      <c r="Y18" s="6">
        <v>3.9</v>
      </c>
      <c r="Z18" s="3">
        <f t="shared" si="34"/>
        <v>2534.3478260869565</v>
      </c>
      <c r="AA18" s="3">
        <v>5829</v>
      </c>
      <c r="AB18" s="6">
        <v>2.2999999999999998</v>
      </c>
      <c r="AC18" s="3">
        <f t="shared" si="35"/>
        <v>1829.5683453237409</v>
      </c>
      <c r="AD18" s="3">
        <v>50862</v>
      </c>
      <c r="AE18" s="6">
        <v>27.8</v>
      </c>
      <c r="AF18" s="3">
        <f t="shared" si="36"/>
        <v>2692.1428571428573</v>
      </c>
      <c r="AG18" s="3">
        <v>3769</v>
      </c>
      <c r="AH18" s="6">
        <v>1.4</v>
      </c>
      <c r="AI18" s="3">
        <f t="shared" si="37"/>
        <v>1923.5772357723577</v>
      </c>
      <c r="AJ18" s="3">
        <v>23660</v>
      </c>
      <c r="AK18" s="6">
        <v>12.3</v>
      </c>
      <c r="AL18" s="3">
        <f t="shared" si="38"/>
        <v>1617.6404494382023</v>
      </c>
      <c r="AM18" s="3">
        <v>43191</v>
      </c>
      <c r="AN18" s="6">
        <v>26.7</v>
      </c>
      <c r="AO18" s="3">
        <f t="shared" si="25"/>
        <v>1839.3958777540868</v>
      </c>
      <c r="AP18" s="3">
        <f t="shared" si="26"/>
        <v>258803</v>
      </c>
      <c r="AQ18" s="6">
        <f t="shared" si="26"/>
        <v>140.69999999999999</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41</v>
      </c>
      <c r="B19" s="23"/>
      <c r="C19" s="23"/>
      <c r="D19" s="23"/>
      <c r="E19" s="3">
        <f t="shared" si="27"/>
        <v>2364.8333333333335</v>
      </c>
      <c r="F19" s="3">
        <v>14189</v>
      </c>
      <c r="G19" s="6">
        <v>6</v>
      </c>
      <c r="H19" s="3">
        <f t="shared" si="28"/>
        <v>2470.454545454545</v>
      </c>
      <c r="I19" s="3">
        <v>5435</v>
      </c>
      <c r="J19" s="6">
        <v>2.2000000000000002</v>
      </c>
      <c r="K19" s="3">
        <f t="shared" si="29"/>
        <v>1975.4263565891472</v>
      </c>
      <c r="L19" s="3">
        <v>25483</v>
      </c>
      <c r="M19" s="6">
        <v>12.9</v>
      </c>
      <c r="N19" s="3">
        <f t="shared" si="30"/>
        <v>2643.1428571428573</v>
      </c>
      <c r="O19" s="3">
        <v>18502</v>
      </c>
      <c r="P19" s="6">
        <v>7</v>
      </c>
      <c r="Q19" s="3">
        <f t="shared" si="31"/>
        <v>2124.0932642487046</v>
      </c>
      <c r="R19" s="3">
        <v>40995</v>
      </c>
      <c r="S19" s="6">
        <v>19.3</v>
      </c>
      <c r="T19" s="3">
        <f t="shared" si="32"/>
        <v>2330.909090909091</v>
      </c>
      <c r="U19" s="3">
        <v>12820</v>
      </c>
      <c r="V19" s="6">
        <v>5.5</v>
      </c>
      <c r="W19" s="3">
        <f t="shared" si="33"/>
        <v>1991.2053571428573</v>
      </c>
      <c r="X19" s="3">
        <v>44603</v>
      </c>
      <c r="Y19" s="6">
        <v>22.4</v>
      </c>
      <c r="Z19" s="3">
        <f t="shared" si="34"/>
        <v>2117.4311926605506</v>
      </c>
      <c r="AA19" s="3">
        <v>23080</v>
      </c>
      <c r="AB19" s="6">
        <v>10.9</v>
      </c>
      <c r="AC19" s="3">
        <f t="shared" si="35"/>
        <v>1721.875</v>
      </c>
      <c r="AD19" s="3">
        <v>19285</v>
      </c>
      <c r="AE19" s="6">
        <v>11.2</v>
      </c>
      <c r="AF19" s="3">
        <f t="shared" si="36"/>
        <v>2254.375</v>
      </c>
      <c r="AG19" s="3">
        <v>3607</v>
      </c>
      <c r="AH19" s="6">
        <v>1.6</v>
      </c>
      <c r="AI19" s="3">
        <f t="shared" si="37"/>
        <v>2456.9832402234638</v>
      </c>
      <c r="AJ19" s="3">
        <v>43980</v>
      </c>
      <c r="AK19" s="6">
        <v>17.899999999999999</v>
      </c>
      <c r="AL19" s="3">
        <f t="shared" si="38"/>
        <v>1292.9392971246007</v>
      </c>
      <c r="AM19" s="3">
        <v>40469</v>
      </c>
      <c r="AN19" s="6">
        <v>31.3</v>
      </c>
      <c r="AO19" s="3">
        <f t="shared" si="25"/>
        <v>1973.333333333333</v>
      </c>
      <c r="AP19" s="3">
        <f t="shared" si="26"/>
        <v>292448</v>
      </c>
      <c r="AQ19" s="6">
        <f t="shared" si="26"/>
        <v>148.20000000000002</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23</v>
      </c>
      <c r="B20" s="23"/>
      <c r="C20" s="23"/>
      <c r="D20" s="23"/>
      <c r="E20" s="3" t="e">
        <f t="shared" si="27"/>
        <v>#DIV/0!</v>
      </c>
      <c r="F20" s="3">
        <v>0</v>
      </c>
      <c r="G20" s="6">
        <v>0</v>
      </c>
      <c r="H20" s="3">
        <f t="shared" si="28"/>
        <v>2490.5730129390017</v>
      </c>
      <c r="I20" s="3">
        <v>134740</v>
      </c>
      <c r="J20" s="6">
        <v>54.1</v>
      </c>
      <c r="K20" s="3" t="e">
        <f t="shared" si="29"/>
        <v>#DIV/0!</v>
      </c>
      <c r="L20" s="3">
        <v>0</v>
      </c>
      <c r="M20" s="6">
        <v>0</v>
      </c>
      <c r="N20" s="3" t="e">
        <f t="shared" si="30"/>
        <v>#DIV/0!</v>
      </c>
      <c r="O20" s="3">
        <v>0</v>
      </c>
      <c r="P20" s="6">
        <v>0</v>
      </c>
      <c r="Q20" s="3" t="e">
        <f t="shared" si="31"/>
        <v>#DIV/0!</v>
      </c>
      <c r="R20" s="3">
        <v>0</v>
      </c>
      <c r="S20" s="6">
        <v>0</v>
      </c>
      <c r="T20" s="3">
        <f t="shared" si="32"/>
        <v>2032.5581395348838</v>
      </c>
      <c r="U20" s="3">
        <v>34960</v>
      </c>
      <c r="V20" s="6">
        <v>17.2</v>
      </c>
      <c r="W20" s="3" t="e">
        <f t="shared" si="33"/>
        <v>#DIV/0!</v>
      </c>
      <c r="X20" s="3">
        <v>0</v>
      </c>
      <c r="Y20" s="6">
        <v>0</v>
      </c>
      <c r="Z20" s="3" t="e">
        <f t="shared" si="34"/>
        <v>#DIV/0!</v>
      </c>
      <c r="AA20" s="3">
        <v>0</v>
      </c>
      <c r="AB20" s="6">
        <v>0</v>
      </c>
      <c r="AC20" s="3">
        <f t="shared" si="35"/>
        <v>3147.3027989821885</v>
      </c>
      <c r="AD20" s="3">
        <v>123689</v>
      </c>
      <c r="AE20" s="6">
        <v>39.299999999999997</v>
      </c>
      <c r="AF20" s="3" t="e">
        <f t="shared" si="36"/>
        <v>#DIV/0!</v>
      </c>
      <c r="AG20" s="3">
        <v>0</v>
      </c>
      <c r="AH20" s="6">
        <v>0</v>
      </c>
      <c r="AI20" s="3" t="e">
        <f t="shared" si="37"/>
        <v>#DIV/0!</v>
      </c>
      <c r="AJ20" s="3">
        <v>0</v>
      </c>
      <c r="AK20" s="6">
        <v>0</v>
      </c>
      <c r="AL20" s="3">
        <f t="shared" si="38"/>
        <v>2476.6447368421054</v>
      </c>
      <c r="AM20" s="3">
        <v>37645</v>
      </c>
      <c r="AN20" s="6">
        <v>15.2</v>
      </c>
      <c r="AO20" s="3">
        <f t="shared" si="25"/>
        <v>2631.4308426073135</v>
      </c>
      <c r="AP20" s="3">
        <f t="shared" si="26"/>
        <v>331034</v>
      </c>
      <c r="AQ20" s="6">
        <f t="shared" si="26"/>
        <v>125.8</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55</v>
      </c>
      <c r="B21" s="23"/>
      <c r="C21" s="23"/>
      <c r="D21" s="23"/>
      <c r="E21" s="3" t="e">
        <f t="shared" si="27"/>
        <v>#DIV/0!</v>
      </c>
      <c r="F21" s="3">
        <v>0</v>
      </c>
      <c r="G21" s="6">
        <v>0</v>
      </c>
      <c r="H21" s="3" t="e">
        <f t="shared" si="28"/>
        <v>#DIV/0!</v>
      </c>
      <c r="I21" s="3">
        <v>0</v>
      </c>
      <c r="J21" s="6">
        <v>0</v>
      </c>
      <c r="K21" s="3" t="e">
        <f t="shared" si="29"/>
        <v>#DIV/0!</v>
      </c>
      <c r="L21" s="3">
        <v>0</v>
      </c>
      <c r="M21" s="6">
        <v>0</v>
      </c>
      <c r="N21" s="3">
        <f t="shared" si="30"/>
        <v>1750</v>
      </c>
      <c r="O21" s="3">
        <v>35000</v>
      </c>
      <c r="P21" s="6">
        <v>20</v>
      </c>
      <c r="Q21" s="3">
        <f t="shared" si="31"/>
        <v>1732.0441988950274</v>
      </c>
      <c r="R21" s="3">
        <v>31350</v>
      </c>
      <c r="S21" s="6">
        <v>18.100000000000001</v>
      </c>
      <c r="T21" s="3">
        <f t="shared" si="32"/>
        <v>1588.7096774193549</v>
      </c>
      <c r="U21" s="3">
        <v>68950</v>
      </c>
      <c r="V21" s="6">
        <v>43.4</v>
      </c>
      <c r="W21" s="3" t="e">
        <f t="shared" si="33"/>
        <v>#DIV/0!</v>
      </c>
      <c r="X21" s="3">
        <v>0</v>
      </c>
      <c r="Y21" s="6">
        <v>0</v>
      </c>
      <c r="Z21" s="3">
        <f t="shared" si="34"/>
        <v>1673.6842105263158</v>
      </c>
      <c r="AA21" s="3">
        <v>31800</v>
      </c>
      <c r="AB21" s="6">
        <v>19</v>
      </c>
      <c r="AC21" s="3" t="e">
        <f t="shared" si="35"/>
        <v>#DIV/0!</v>
      </c>
      <c r="AD21" s="3">
        <v>0</v>
      </c>
      <c r="AE21" s="6">
        <v>0</v>
      </c>
      <c r="AF21" s="3">
        <f t="shared" si="36"/>
        <v>1571.4444444444443</v>
      </c>
      <c r="AG21" s="3">
        <v>28286</v>
      </c>
      <c r="AH21" s="6">
        <v>18</v>
      </c>
      <c r="AI21" s="3" t="e">
        <f t="shared" si="37"/>
        <v>#DIV/0!</v>
      </c>
      <c r="AJ21" s="3">
        <v>0</v>
      </c>
      <c r="AK21" s="6">
        <v>0</v>
      </c>
      <c r="AL21" s="3">
        <f t="shared" si="38"/>
        <v>1531.2757201646091</v>
      </c>
      <c r="AM21" s="3">
        <v>37210</v>
      </c>
      <c r="AN21" s="6">
        <v>24.3</v>
      </c>
      <c r="AO21" s="3">
        <f t="shared" si="25"/>
        <v>1628.8235294117646</v>
      </c>
      <c r="AP21" s="3">
        <f t="shared" si="26"/>
        <v>232596</v>
      </c>
      <c r="AQ21" s="6">
        <f t="shared" si="26"/>
        <v>142.80000000000001</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56</v>
      </c>
      <c r="B22" s="23"/>
      <c r="C22" s="23"/>
      <c r="D22" s="23"/>
      <c r="E22" s="3">
        <f t="shared" si="27"/>
        <v>1732.6732673267327</v>
      </c>
      <c r="F22" s="3">
        <v>35000</v>
      </c>
      <c r="G22" s="6">
        <v>20.2</v>
      </c>
      <c r="H22" s="3">
        <f t="shared" si="28"/>
        <v>1400.287081339713</v>
      </c>
      <c r="I22" s="3">
        <v>29266</v>
      </c>
      <c r="J22" s="6">
        <v>20.9</v>
      </c>
      <c r="K22" s="3" t="e">
        <f t="shared" si="29"/>
        <v>#DIV/0!</v>
      </c>
      <c r="L22" s="3">
        <v>0</v>
      </c>
      <c r="M22" s="6">
        <v>0</v>
      </c>
      <c r="N22" s="3" t="e">
        <f t="shared" si="30"/>
        <v>#DIV/0!</v>
      </c>
      <c r="O22" s="3">
        <v>0</v>
      </c>
      <c r="P22" s="6">
        <v>0</v>
      </c>
      <c r="Q22" s="3" t="e">
        <f t="shared" si="31"/>
        <v>#DIV/0!</v>
      </c>
      <c r="R22" s="3">
        <v>0</v>
      </c>
      <c r="S22" s="6">
        <v>0</v>
      </c>
      <c r="T22" s="3">
        <f t="shared" si="32"/>
        <v>1832.4607329842931</v>
      </c>
      <c r="U22" s="3">
        <v>35000</v>
      </c>
      <c r="V22" s="6">
        <v>19.100000000000001</v>
      </c>
      <c r="W22" s="3" t="e">
        <f t="shared" si="33"/>
        <v>#DIV/0!</v>
      </c>
      <c r="X22" s="3">
        <v>0</v>
      </c>
      <c r="Y22" s="6">
        <v>0</v>
      </c>
      <c r="Z22" s="3">
        <f t="shared" si="34"/>
        <v>1722.7722772277227</v>
      </c>
      <c r="AA22" s="3">
        <v>34800</v>
      </c>
      <c r="AB22" s="6">
        <v>20.2</v>
      </c>
      <c r="AC22" s="3">
        <f t="shared" si="35"/>
        <v>1832.4607329842931</v>
      </c>
      <c r="AD22" s="3">
        <v>35000</v>
      </c>
      <c r="AE22" s="6">
        <v>19.100000000000001</v>
      </c>
      <c r="AF22" s="3" t="e">
        <f t="shared" si="36"/>
        <v>#DIV/0!</v>
      </c>
      <c r="AG22" s="3">
        <v>0</v>
      </c>
      <c r="AH22" s="6">
        <v>0</v>
      </c>
      <c r="AI22" s="3">
        <f t="shared" si="37"/>
        <v>1723.1739130434783</v>
      </c>
      <c r="AJ22" s="3">
        <v>39633</v>
      </c>
      <c r="AK22" s="6">
        <v>23</v>
      </c>
      <c r="AL22" s="3">
        <f t="shared" si="38"/>
        <v>1732.6732673267327</v>
      </c>
      <c r="AM22" s="3">
        <v>35000</v>
      </c>
      <c r="AN22" s="6">
        <v>20.2</v>
      </c>
      <c r="AO22" s="3">
        <f t="shared" si="25"/>
        <v>1707.7715487035741</v>
      </c>
      <c r="AP22" s="3">
        <f t="shared" si="26"/>
        <v>243699</v>
      </c>
      <c r="AQ22" s="6">
        <f t="shared" si="26"/>
        <v>142.69999999999999</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65</v>
      </c>
      <c r="B23" s="23"/>
      <c r="C23" s="23"/>
      <c r="D23" s="23"/>
      <c r="E23" s="3" t="e">
        <f t="shared" si="27"/>
        <v>#DIV/0!</v>
      </c>
      <c r="F23" s="3">
        <v>0</v>
      </c>
      <c r="G23" s="6">
        <v>0</v>
      </c>
      <c r="H23" s="3">
        <f t="shared" si="28"/>
        <v>1808.2070240295748</v>
      </c>
      <c r="I23" s="3">
        <v>97824</v>
      </c>
      <c r="J23" s="6">
        <v>54.1</v>
      </c>
      <c r="K23" s="3">
        <f t="shared" si="29"/>
        <v>2043.4686346863468</v>
      </c>
      <c r="L23" s="3">
        <v>55378</v>
      </c>
      <c r="M23" s="6">
        <v>27.1</v>
      </c>
      <c r="N23" s="3">
        <f t="shared" si="30"/>
        <v>1829.9475065616798</v>
      </c>
      <c r="O23" s="3">
        <v>69721</v>
      </c>
      <c r="P23" s="6">
        <v>38.1</v>
      </c>
      <c r="Q23" s="3">
        <f t="shared" si="31"/>
        <v>2134.705882352941</v>
      </c>
      <c r="R23" s="3">
        <v>54435</v>
      </c>
      <c r="S23" s="6">
        <v>25.5</v>
      </c>
      <c r="T23" s="3">
        <f t="shared" si="32"/>
        <v>1762.8215767634854</v>
      </c>
      <c r="U23" s="3">
        <v>42484</v>
      </c>
      <c r="V23" s="6">
        <v>24.1</v>
      </c>
      <c r="W23" s="3">
        <f t="shared" si="33"/>
        <v>1810.1630434782608</v>
      </c>
      <c r="X23" s="3">
        <v>99921</v>
      </c>
      <c r="Y23" s="6">
        <v>55.2</v>
      </c>
      <c r="Z23" s="3">
        <f t="shared" si="34"/>
        <v>2094.3220338983051</v>
      </c>
      <c r="AA23" s="3">
        <v>49426</v>
      </c>
      <c r="AB23" s="6">
        <v>23.6</v>
      </c>
      <c r="AC23" s="3">
        <f t="shared" si="35"/>
        <v>1858.8095238095236</v>
      </c>
      <c r="AD23" s="3">
        <v>31228</v>
      </c>
      <c r="AE23" s="6">
        <v>16.8</v>
      </c>
      <c r="AF23" s="3">
        <f t="shared" si="36"/>
        <v>1948.4357541899442</v>
      </c>
      <c r="AG23" s="3">
        <v>34877</v>
      </c>
      <c r="AH23" s="6">
        <v>17.899999999999999</v>
      </c>
      <c r="AI23" s="3">
        <f t="shared" si="37"/>
        <v>2284.4549763033174</v>
      </c>
      <c r="AJ23" s="3">
        <v>48202</v>
      </c>
      <c r="AK23" s="6">
        <v>21.1</v>
      </c>
      <c r="AL23" s="3">
        <f t="shared" si="38"/>
        <v>1988.0952380952381</v>
      </c>
      <c r="AM23" s="3">
        <v>33400</v>
      </c>
      <c r="AN23" s="6">
        <v>16.8</v>
      </c>
      <c r="AO23" s="3">
        <f t="shared" si="25"/>
        <v>1925.9943802684982</v>
      </c>
      <c r="AP23" s="3">
        <f t="shared" si="26"/>
        <v>616896</v>
      </c>
      <c r="AQ23" s="6">
        <f t="shared" si="26"/>
        <v>320.3</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53</v>
      </c>
      <c r="B24" s="23"/>
      <c r="C24" s="23"/>
      <c r="D24" s="23"/>
      <c r="E24" s="3">
        <f t="shared" si="27"/>
        <v>2156.165048543689</v>
      </c>
      <c r="F24" s="3">
        <v>44417</v>
      </c>
      <c r="G24" s="6">
        <v>20.6</v>
      </c>
      <c r="H24" s="3">
        <f t="shared" si="28"/>
        <v>2352.1052631578946</v>
      </c>
      <c r="I24" s="3">
        <v>26814</v>
      </c>
      <c r="J24" s="6">
        <v>11.4</v>
      </c>
      <c r="K24" s="3">
        <f t="shared" si="29"/>
        <v>2184.7668393782383</v>
      </c>
      <c r="L24" s="3">
        <v>42166</v>
      </c>
      <c r="M24" s="6">
        <v>19.3</v>
      </c>
      <c r="N24" s="3">
        <f t="shared" si="30"/>
        <v>2221.4868804664725</v>
      </c>
      <c r="O24" s="3">
        <v>76197</v>
      </c>
      <c r="P24" s="6">
        <v>34.299999999999997</v>
      </c>
      <c r="Q24" s="3">
        <f t="shared" si="31"/>
        <v>2499.565217391304</v>
      </c>
      <c r="R24" s="3">
        <v>40243</v>
      </c>
      <c r="S24" s="6">
        <v>16.100000000000001</v>
      </c>
      <c r="T24" s="3">
        <f t="shared" si="32"/>
        <v>2186.317204301075</v>
      </c>
      <c r="U24" s="3">
        <v>81331</v>
      </c>
      <c r="V24" s="6">
        <v>37.200000000000003</v>
      </c>
      <c r="W24" s="3">
        <f t="shared" si="33"/>
        <v>2444.8148148148148</v>
      </c>
      <c r="X24" s="3">
        <v>39606</v>
      </c>
      <c r="Y24" s="6">
        <v>16.2</v>
      </c>
      <c r="Z24" s="3">
        <f t="shared" si="34"/>
        <v>2119.1489361702129</v>
      </c>
      <c r="AA24" s="3">
        <v>39840</v>
      </c>
      <c r="AB24" s="6">
        <v>18.8</v>
      </c>
      <c r="AC24" s="3">
        <f t="shared" si="35"/>
        <v>2407.7165354330709</v>
      </c>
      <c r="AD24" s="3">
        <v>30578</v>
      </c>
      <c r="AE24" s="6">
        <v>12.7</v>
      </c>
      <c r="AF24" s="3">
        <f t="shared" si="36"/>
        <v>2354.5488721804509</v>
      </c>
      <c r="AG24" s="3">
        <v>62631</v>
      </c>
      <c r="AH24" s="6">
        <v>26.6</v>
      </c>
      <c r="AI24" s="3">
        <f t="shared" si="37"/>
        <v>2164.8802395209582</v>
      </c>
      <c r="AJ24" s="3">
        <v>72307</v>
      </c>
      <c r="AK24" s="6">
        <v>33.4</v>
      </c>
      <c r="AL24" s="3">
        <f t="shared" si="38"/>
        <v>2658.1578947368421</v>
      </c>
      <c r="AM24" s="3">
        <v>30303</v>
      </c>
      <c r="AN24" s="6">
        <v>11.4</v>
      </c>
      <c r="AO24" s="3">
        <f t="shared" si="25"/>
        <v>2272.9961240310081</v>
      </c>
      <c r="AP24" s="3">
        <f t="shared" si="26"/>
        <v>586433</v>
      </c>
      <c r="AQ24" s="6">
        <f t="shared" si="26"/>
        <v>257.99999999999994</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29</v>
      </c>
      <c r="B25" s="23"/>
      <c r="C25" s="23"/>
      <c r="D25" s="23"/>
      <c r="E25" s="3">
        <f t="shared" si="27"/>
        <v>1653.876923076923</v>
      </c>
      <c r="F25" s="3">
        <v>53751</v>
      </c>
      <c r="G25" s="6">
        <v>32.5</v>
      </c>
      <c r="H25" s="3">
        <f t="shared" si="28"/>
        <v>1962.1637426900584</v>
      </c>
      <c r="I25" s="3">
        <v>33553</v>
      </c>
      <c r="J25" s="6">
        <v>17.100000000000001</v>
      </c>
      <c r="K25" s="3">
        <f t="shared" si="29"/>
        <v>1616.0209424083769</v>
      </c>
      <c r="L25" s="3">
        <v>30866</v>
      </c>
      <c r="M25" s="6">
        <v>19.100000000000001</v>
      </c>
      <c r="N25" s="3">
        <f t="shared" si="30"/>
        <v>1620.3325942350332</v>
      </c>
      <c r="O25" s="3">
        <v>73077</v>
      </c>
      <c r="P25" s="6">
        <v>45.1</v>
      </c>
      <c r="Q25" s="3">
        <f t="shared" si="31"/>
        <v>1691.1794871794871</v>
      </c>
      <c r="R25" s="3">
        <v>32978</v>
      </c>
      <c r="S25" s="6">
        <v>19.5</v>
      </c>
      <c r="T25" s="3">
        <f t="shared" si="32"/>
        <v>1654.5325779036827</v>
      </c>
      <c r="U25" s="3">
        <v>58405</v>
      </c>
      <c r="V25" s="6">
        <v>35.299999999999997</v>
      </c>
      <c r="W25" s="3">
        <f t="shared" si="33"/>
        <v>2171.4285714285716</v>
      </c>
      <c r="X25" s="3">
        <v>4560</v>
      </c>
      <c r="Y25" s="6">
        <v>2.1</v>
      </c>
      <c r="Z25" s="3">
        <f t="shared" si="34"/>
        <v>1655.8099352051836</v>
      </c>
      <c r="AA25" s="3">
        <v>76664</v>
      </c>
      <c r="AB25" s="6">
        <v>46.3</v>
      </c>
      <c r="AC25" s="3">
        <f t="shared" si="35"/>
        <v>2986.8</v>
      </c>
      <c r="AD25" s="3">
        <v>7467</v>
      </c>
      <c r="AE25" s="6">
        <v>2.5</v>
      </c>
      <c r="AF25" s="3">
        <f t="shared" si="36"/>
        <v>1691.0511363636363</v>
      </c>
      <c r="AG25" s="3">
        <v>59525</v>
      </c>
      <c r="AH25" s="6">
        <v>35.200000000000003</v>
      </c>
      <c r="AI25" s="3">
        <f t="shared" si="37"/>
        <v>1868.1102362204726</v>
      </c>
      <c r="AJ25" s="3">
        <v>47450</v>
      </c>
      <c r="AK25" s="6">
        <v>25.4</v>
      </c>
      <c r="AL25" s="3">
        <f t="shared" si="38"/>
        <v>3286.0759493670885</v>
      </c>
      <c r="AM25" s="3">
        <v>25960</v>
      </c>
      <c r="AN25" s="6">
        <v>7.9</v>
      </c>
      <c r="AO25" s="3">
        <f t="shared" si="25"/>
        <v>1750.8888888888891</v>
      </c>
      <c r="AP25" s="3">
        <f t="shared" si="26"/>
        <v>504256</v>
      </c>
      <c r="AQ25" s="6">
        <f t="shared" si="26"/>
        <v>287.99999999999994</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57</v>
      </c>
      <c r="B26" s="23"/>
      <c r="C26" s="23"/>
      <c r="D26" s="23"/>
      <c r="E26" s="3">
        <f t="shared" si="27"/>
        <v>1557.6870748299318</v>
      </c>
      <c r="F26" s="3">
        <v>68694</v>
      </c>
      <c r="G26" s="6">
        <v>44.1</v>
      </c>
      <c r="H26" s="3">
        <f t="shared" si="28"/>
        <v>1559.1203703703702</v>
      </c>
      <c r="I26" s="3">
        <v>33677</v>
      </c>
      <c r="J26" s="6">
        <v>21.6</v>
      </c>
      <c r="K26" s="3">
        <f t="shared" si="29"/>
        <v>1632.1546961325969</v>
      </c>
      <c r="L26" s="3">
        <v>88626</v>
      </c>
      <c r="M26" s="6">
        <v>54.3</v>
      </c>
      <c r="N26" s="3" t="e">
        <f t="shared" si="30"/>
        <v>#DIV/0!</v>
      </c>
      <c r="O26" s="3">
        <v>0</v>
      </c>
      <c r="P26" s="6">
        <v>0</v>
      </c>
      <c r="Q26" s="3">
        <f t="shared" si="31"/>
        <v>1635.7</v>
      </c>
      <c r="R26" s="3">
        <v>32714</v>
      </c>
      <c r="S26" s="6">
        <v>20</v>
      </c>
      <c r="T26" s="3">
        <f t="shared" si="32"/>
        <v>1245.3778558875219</v>
      </c>
      <c r="U26" s="3">
        <v>70862</v>
      </c>
      <c r="V26" s="6">
        <v>56.9</v>
      </c>
      <c r="W26" s="3">
        <f t="shared" si="33"/>
        <v>1305.0615114235502</v>
      </c>
      <c r="X26" s="3">
        <v>74258</v>
      </c>
      <c r="Y26" s="6">
        <v>56.9</v>
      </c>
      <c r="Z26" s="3">
        <f t="shared" si="34"/>
        <v>1464.0900195694717</v>
      </c>
      <c r="AA26" s="3">
        <v>149630</v>
      </c>
      <c r="AB26" s="6">
        <v>102.2</v>
      </c>
      <c r="AC26" s="3">
        <f t="shared" si="35"/>
        <v>1444.1423357664235</v>
      </c>
      <c r="AD26" s="3">
        <v>79139</v>
      </c>
      <c r="AE26" s="6">
        <v>54.8</v>
      </c>
      <c r="AF26" s="3">
        <f t="shared" si="36"/>
        <v>1511.1290322580646</v>
      </c>
      <c r="AG26" s="3">
        <v>84321</v>
      </c>
      <c r="AH26" s="6">
        <v>55.8</v>
      </c>
      <c r="AI26" s="3" t="e">
        <f t="shared" si="37"/>
        <v>#DIV/0!</v>
      </c>
      <c r="AJ26" s="3">
        <v>0</v>
      </c>
      <c r="AK26" s="6">
        <v>0</v>
      </c>
      <c r="AL26" s="3">
        <f t="shared" si="38"/>
        <v>1444.7272727272727</v>
      </c>
      <c r="AM26" s="3">
        <v>23838</v>
      </c>
      <c r="AN26" s="6">
        <v>16.5</v>
      </c>
      <c r="AO26" s="3">
        <f t="shared" si="25"/>
        <v>1460.8962947629889</v>
      </c>
      <c r="AP26" s="3">
        <f t="shared" si="26"/>
        <v>705759</v>
      </c>
      <c r="AQ26" s="6">
        <f t="shared" si="26"/>
        <v>483.1</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22</v>
      </c>
      <c r="B27" s="23"/>
      <c r="C27" s="23"/>
      <c r="D27" s="23"/>
      <c r="E27" s="3">
        <f t="shared" si="27"/>
        <v>2062.4137931034484</v>
      </c>
      <c r="F27" s="3">
        <v>29905</v>
      </c>
      <c r="G27" s="6">
        <v>14.5</v>
      </c>
      <c r="H27" s="3">
        <f t="shared" si="28"/>
        <v>2096.5263157894738</v>
      </c>
      <c r="I27" s="3">
        <v>19917</v>
      </c>
      <c r="J27" s="6">
        <v>9.5</v>
      </c>
      <c r="K27" s="3">
        <f t="shared" si="29"/>
        <v>2417.78125</v>
      </c>
      <c r="L27" s="3">
        <v>77369</v>
      </c>
      <c r="M27" s="6">
        <v>32</v>
      </c>
      <c r="N27" s="3">
        <f t="shared" si="30"/>
        <v>1900.9448818897638</v>
      </c>
      <c r="O27" s="3">
        <v>24142</v>
      </c>
      <c r="P27" s="6">
        <v>12.7</v>
      </c>
      <c r="Q27" s="3">
        <f t="shared" si="31"/>
        <v>1918.1981981981983</v>
      </c>
      <c r="R27" s="3">
        <v>63876</v>
      </c>
      <c r="S27" s="6">
        <v>33.299999999999997</v>
      </c>
      <c r="T27" s="3">
        <f t="shared" si="32"/>
        <v>1922.5490196078433</v>
      </c>
      <c r="U27" s="3">
        <v>9805</v>
      </c>
      <c r="V27" s="6">
        <v>5.0999999999999996</v>
      </c>
      <c r="W27" s="3" t="e">
        <f t="shared" si="33"/>
        <v>#DIV/0!</v>
      </c>
      <c r="X27" s="3">
        <v>0</v>
      </c>
      <c r="Y27" s="6">
        <v>0</v>
      </c>
      <c r="Z27" s="3">
        <f t="shared" si="34"/>
        <v>2049.6026490066224</v>
      </c>
      <c r="AA27" s="3">
        <v>30949</v>
      </c>
      <c r="AB27" s="6">
        <v>15.1</v>
      </c>
      <c r="AC27" s="3">
        <f t="shared" si="35"/>
        <v>1875.6379821958456</v>
      </c>
      <c r="AD27" s="3">
        <v>63209</v>
      </c>
      <c r="AE27" s="6">
        <v>33.700000000000003</v>
      </c>
      <c r="AF27" s="3">
        <f t="shared" si="36"/>
        <v>2095.4205607476638</v>
      </c>
      <c r="AG27" s="3">
        <v>44842</v>
      </c>
      <c r="AH27" s="6">
        <v>21.4</v>
      </c>
      <c r="AI27" s="3">
        <f t="shared" si="37"/>
        <v>2152.840909090909</v>
      </c>
      <c r="AJ27" s="3">
        <v>18945</v>
      </c>
      <c r="AK27" s="6">
        <v>8.8000000000000007</v>
      </c>
      <c r="AL27" s="3">
        <f t="shared" si="38"/>
        <v>2277.5</v>
      </c>
      <c r="AM27" s="3">
        <v>19131</v>
      </c>
      <c r="AN27" s="6">
        <v>8.4</v>
      </c>
      <c r="AO27" s="3">
        <f t="shared" si="25"/>
        <v>2067.3007712082263</v>
      </c>
      <c r="AP27" s="3">
        <f t="shared" si="26"/>
        <v>402090</v>
      </c>
      <c r="AQ27" s="6">
        <f t="shared" si="26"/>
        <v>194.5</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7" t="s">
        <v>54</v>
      </c>
      <c r="B28" s="23"/>
      <c r="C28" s="23"/>
      <c r="D28" s="23"/>
      <c r="E28" s="3">
        <f t="shared" si="27"/>
        <v>1757.0993914807302</v>
      </c>
      <c r="F28" s="3">
        <v>86625</v>
      </c>
      <c r="G28" s="6">
        <v>49.3</v>
      </c>
      <c r="H28" s="3">
        <f t="shared" si="28"/>
        <v>2824.7282608695655</v>
      </c>
      <c r="I28" s="3">
        <v>51975</v>
      </c>
      <c r="J28" s="6">
        <v>18.399999999999999</v>
      </c>
      <c r="K28" s="3" t="e">
        <f t="shared" si="29"/>
        <v>#DIV/0!</v>
      </c>
      <c r="L28" s="3">
        <v>0</v>
      </c>
      <c r="M28" s="6">
        <v>0</v>
      </c>
      <c r="N28" s="3">
        <f t="shared" si="30"/>
        <v>1590.4347826086957</v>
      </c>
      <c r="O28" s="3">
        <v>7316</v>
      </c>
      <c r="P28" s="6">
        <v>4.5999999999999996</v>
      </c>
      <c r="Q28" s="3" t="e">
        <f t="shared" si="31"/>
        <v>#DIV/0!</v>
      </c>
      <c r="R28" s="3">
        <v>0</v>
      </c>
      <c r="S28" s="6">
        <v>0</v>
      </c>
      <c r="T28" s="3" t="e">
        <f t="shared" si="32"/>
        <v>#DIV/0!</v>
      </c>
      <c r="U28" s="3">
        <v>0</v>
      </c>
      <c r="V28" s="6">
        <v>0</v>
      </c>
      <c r="W28" s="3">
        <f t="shared" si="33"/>
        <v>2882.5341296928327</v>
      </c>
      <c r="X28" s="3">
        <v>337833</v>
      </c>
      <c r="Y28" s="6">
        <v>117.2</v>
      </c>
      <c r="Z28" s="3" t="e">
        <f t="shared" si="34"/>
        <v>#DIV/0!</v>
      </c>
      <c r="AA28" s="3">
        <v>0</v>
      </c>
      <c r="AB28" s="6">
        <v>0</v>
      </c>
      <c r="AC28" s="3">
        <f t="shared" si="35"/>
        <v>2609.0360169491523</v>
      </c>
      <c r="AD28" s="3">
        <v>246293</v>
      </c>
      <c r="AE28" s="6">
        <v>94.4</v>
      </c>
      <c r="AF28" s="3">
        <f t="shared" si="36"/>
        <v>2314.090909090909</v>
      </c>
      <c r="AG28" s="3">
        <v>56001</v>
      </c>
      <c r="AH28" s="6">
        <v>24.2</v>
      </c>
      <c r="AI28" s="3" t="e">
        <f t="shared" si="37"/>
        <v>#DIV/0!</v>
      </c>
      <c r="AJ28" s="3">
        <v>0</v>
      </c>
      <c r="AK28" s="6">
        <v>0</v>
      </c>
      <c r="AL28" s="3">
        <f t="shared" si="38"/>
        <v>1576.027397260274</v>
      </c>
      <c r="AM28" s="3">
        <v>11505</v>
      </c>
      <c r="AN28" s="6">
        <v>7.3</v>
      </c>
      <c r="AO28" s="3">
        <f t="shared" si="25"/>
        <v>2528.6873811033611</v>
      </c>
      <c r="AP28" s="3">
        <f t="shared" si="26"/>
        <v>797548</v>
      </c>
      <c r="AQ28" s="6">
        <f t="shared" si="26"/>
        <v>315.39999999999998</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7" t="s">
        <v>32</v>
      </c>
      <c r="B29" s="23"/>
      <c r="C29" s="23"/>
      <c r="D29" s="23"/>
      <c r="E29" s="3">
        <f t="shared" si="27"/>
        <v>2856.4179104477612</v>
      </c>
      <c r="F29" s="3">
        <v>19138</v>
      </c>
      <c r="G29" s="6">
        <v>6.7</v>
      </c>
      <c r="H29" s="3" t="e">
        <f t="shared" si="28"/>
        <v>#DIV/0!</v>
      </c>
      <c r="I29" s="3">
        <v>0</v>
      </c>
      <c r="J29" s="6">
        <v>0</v>
      </c>
      <c r="K29" s="3">
        <f t="shared" si="29"/>
        <v>2656.8115942028985</v>
      </c>
      <c r="L29" s="3">
        <v>36664</v>
      </c>
      <c r="M29" s="6">
        <v>13.8</v>
      </c>
      <c r="N29" s="3">
        <f t="shared" si="30"/>
        <v>2680.4123711340208</v>
      </c>
      <c r="O29" s="3">
        <v>26000</v>
      </c>
      <c r="P29" s="6">
        <v>9.6999999999999993</v>
      </c>
      <c r="Q29" s="3">
        <f t="shared" si="31"/>
        <v>17305</v>
      </c>
      <c r="R29" s="3">
        <v>6922</v>
      </c>
      <c r="S29" s="6">
        <v>0.4</v>
      </c>
      <c r="T29" s="3">
        <f t="shared" si="32"/>
        <v>2677.9518072289156</v>
      </c>
      <c r="U29" s="3">
        <v>22227</v>
      </c>
      <c r="V29" s="6">
        <v>8.3000000000000007</v>
      </c>
      <c r="W29" s="3">
        <f t="shared" si="33"/>
        <v>2835.8695652173915</v>
      </c>
      <c r="X29" s="3">
        <v>26090</v>
      </c>
      <c r="Y29" s="6">
        <v>9.1999999999999993</v>
      </c>
      <c r="Z29" s="3">
        <f t="shared" si="34"/>
        <v>2943.8095238095239</v>
      </c>
      <c r="AA29" s="3">
        <v>37092</v>
      </c>
      <c r="AB29" s="6">
        <v>12.6</v>
      </c>
      <c r="AC29" s="3">
        <f t="shared" si="35"/>
        <v>2858.8888888888891</v>
      </c>
      <c r="AD29" s="3">
        <v>33449</v>
      </c>
      <c r="AE29" s="6">
        <v>11.7</v>
      </c>
      <c r="AF29" s="3">
        <f t="shared" si="36"/>
        <v>2560.2083333333335</v>
      </c>
      <c r="AG29" s="3">
        <v>12289</v>
      </c>
      <c r="AH29" s="6">
        <v>4.8</v>
      </c>
      <c r="AI29" s="3">
        <f t="shared" si="37"/>
        <v>2715.1456310679609</v>
      </c>
      <c r="AJ29" s="3">
        <v>27966</v>
      </c>
      <c r="AK29" s="6">
        <v>10.3</v>
      </c>
      <c r="AL29" s="3">
        <f t="shared" si="38"/>
        <v>3087.5675675675675</v>
      </c>
      <c r="AM29" s="3">
        <v>11424</v>
      </c>
      <c r="AN29" s="6">
        <v>3.7</v>
      </c>
      <c r="AO29" s="3">
        <f t="shared" si="25"/>
        <v>2842.7741228070181</v>
      </c>
      <c r="AP29" s="3">
        <f t="shared" si="26"/>
        <v>259261</v>
      </c>
      <c r="AQ29" s="6">
        <f t="shared" si="26"/>
        <v>91.199999999999989</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7" t="s">
        <v>60</v>
      </c>
      <c r="B30" s="23"/>
      <c r="C30" s="23"/>
      <c r="D30" s="23"/>
      <c r="E30" s="3">
        <f t="shared" si="27"/>
        <v>2388.125</v>
      </c>
      <c r="F30" s="3">
        <v>19105</v>
      </c>
      <c r="G30" s="6">
        <v>8</v>
      </c>
      <c r="H30" s="3">
        <f t="shared" si="28"/>
        <v>2043.0645161290322</v>
      </c>
      <c r="I30" s="3">
        <v>12667</v>
      </c>
      <c r="J30" s="6">
        <v>6.2</v>
      </c>
      <c r="K30" s="3">
        <f t="shared" si="29"/>
        <v>2428.75</v>
      </c>
      <c r="L30" s="3">
        <v>15544</v>
      </c>
      <c r="M30" s="6">
        <v>6.4</v>
      </c>
      <c r="N30" s="3">
        <f t="shared" si="30"/>
        <v>2726.363636363636</v>
      </c>
      <c r="O30" s="3">
        <v>2999</v>
      </c>
      <c r="P30" s="6">
        <v>1.1000000000000001</v>
      </c>
      <c r="Q30" s="3">
        <f t="shared" si="31"/>
        <v>2472.3809523809523</v>
      </c>
      <c r="R30" s="3">
        <v>10384</v>
      </c>
      <c r="S30" s="6">
        <v>4.2</v>
      </c>
      <c r="T30" s="3">
        <f t="shared" si="32"/>
        <v>2322.3728813559319</v>
      </c>
      <c r="U30" s="3">
        <v>13702</v>
      </c>
      <c r="V30" s="6">
        <v>5.9</v>
      </c>
      <c r="W30" s="3">
        <f t="shared" si="33"/>
        <v>2322.3076923076924</v>
      </c>
      <c r="X30" s="3">
        <v>9057</v>
      </c>
      <c r="Y30" s="6">
        <v>3.9</v>
      </c>
      <c r="Z30" s="3">
        <f t="shared" si="34"/>
        <v>2255.3658536585367</v>
      </c>
      <c r="AA30" s="3">
        <v>9247</v>
      </c>
      <c r="AB30" s="6">
        <v>4.0999999999999996</v>
      </c>
      <c r="AC30" s="3">
        <f t="shared" si="35"/>
        <v>2381.7021276595742</v>
      </c>
      <c r="AD30" s="3">
        <v>22388</v>
      </c>
      <c r="AE30" s="6">
        <v>9.4</v>
      </c>
      <c r="AF30" s="3">
        <f t="shared" si="36"/>
        <v>2888.9655172413795</v>
      </c>
      <c r="AG30" s="3">
        <v>8378</v>
      </c>
      <c r="AH30" s="6">
        <v>2.9</v>
      </c>
      <c r="AI30" s="3">
        <f t="shared" si="37"/>
        <v>1702.9411764705883</v>
      </c>
      <c r="AJ30" s="3">
        <v>11580</v>
      </c>
      <c r="AK30" s="6">
        <v>6.8</v>
      </c>
      <c r="AL30" s="3">
        <f t="shared" si="38"/>
        <v>2584.6153846153848</v>
      </c>
      <c r="AM30" s="3">
        <v>10080</v>
      </c>
      <c r="AN30" s="6">
        <v>3.9</v>
      </c>
      <c r="AO30" s="3">
        <f t="shared" si="25"/>
        <v>2311.003184713376</v>
      </c>
      <c r="AP30" s="3">
        <f t="shared" si="26"/>
        <v>145131</v>
      </c>
      <c r="AQ30" s="6">
        <f t="shared" si="26"/>
        <v>62.8</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7" t="s">
        <v>68</v>
      </c>
      <c r="B31" s="23"/>
      <c r="C31" s="23"/>
      <c r="D31" s="23"/>
      <c r="E31" s="3">
        <f t="shared" si="27"/>
        <v>2433.181818181818</v>
      </c>
      <c r="F31" s="3">
        <v>5353</v>
      </c>
      <c r="G31" s="6">
        <v>2.2000000000000002</v>
      </c>
      <c r="H31" s="3">
        <f t="shared" si="28"/>
        <v>2597.4087591240877</v>
      </c>
      <c r="I31" s="3">
        <v>71169</v>
      </c>
      <c r="J31" s="6">
        <v>27.4</v>
      </c>
      <c r="K31" s="3">
        <f t="shared" si="29"/>
        <v>2782.5165562913908</v>
      </c>
      <c r="L31" s="3">
        <v>126048</v>
      </c>
      <c r="M31" s="6">
        <v>45.3</v>
      </c>
      <c r="N31" s="3">
        <f t="shared" si="30"/>
        <v>2834.1447368421054</v>
      </c>
      <c r="O31" s="3">
        <v>172316</v>
      </c>
      <c r="P31" s="6">
        <v>60.8</v>
      </c>
      <c r="Q31" s="3">
        <f t="shared" si="31"/>
        <v>2826.2409638554218</v>
      </c>
      <c r="R31" s="3">
        <v>117289</v>
      </c>
      <c r="S31" s="6">
        <v>41.5</v>
      </c>
      <c r="T31" s="3">
        <f t="shared" si="32"/>
        <v>2767.216035634744</v>
      </c>
      <c r="U31" s="3">
        <v>124248</v>
      </c>
      <c r="V31" s="6">
        <v>44.9</v>
      </c>
      <c r="W31" s="3">
        <f t="shared" si="33"/>
        <v>2815.6148491879349</v>
      </c>
      <c r="X31" s="3">
        <v>121353</v>
      </c>
      <c r="Y31" s="6">
        <v>43.1</v>
      </c>
      <c r="Z31" s="3">
        <f t="shared" si="34"/>
        <v>2527.6623376623374</v>
      </c>
      <c r="AA31" s="3">
        <v>19463</v>
      </c>
      <c r="AB31" s="6">
        <v>7.7</v>
      </c>
      <c r="AC31" s="3">
        <f t="shared" si="35"/>
        <v>2523.818181818182</v>
      </c>
      <c r="AD31" s="3">
        <v>13881</v>
      </c>
      <c r="AE31" s="6">
        <v>5.5</v>
      </c>
      <c r="AF31" s="3">
        <f t="shared" si="36"/>
        <v>2514.5783132530119</v>
      </c>
      <c r="AG31" s="3">
        <v>20871</v>
      </c>
      <c r="AH31" s="6">
        <v>8.3000000000000007</v>
      </c>
      <c r="AI31" s="3">
        <f t="shared" si="37"/>
        <v>2495.8095238095239</v>
      </c>
      <c r="AJ31" s="3">
        <v>26206</v>
      </c>
      <c r="AK31" s="6">
        <v>10.5</v>
      </c>
      <c r="AL31" s="3">
        <f t="shared" si="38"/>
        <v>2532.3076923076924</v>
      </c>
      <c r="AM31" s="3">
        <v>9876</v>
      </c>
      <c r="AN31" s="6">
        <v>3.9</v>
      </c>
      <c r="AO31" s="3">
        <f t="shared" si="25"/>
        <v>2750.1594154765862</v>
      </c>
      <c r="AP31" s="3">
        <f t="shared" si="26"/>
        <v>828073</v>
      </c>
      <c r="AQ31" s="6">
        <f t="shared" si="26"/>
        <v>301.09999999999997</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7" t="s">
        <v>34</v>
      </c>
      <c r="B32" s="23"/>
      <c r="C32" s="23"/>
      <c r="D32" s="23"/>
      <c r="E32" s="3" t="e">
        <f t="shared" si="27"/>
        <v>#DIV/0!</v>
      </c>
      <c r="F32" s="3">
        <v>0</v>
      </c>
      <c r="G32" s="6">
        <v>0</v>
      </c>
      <c r="H32" s="3">
        <f t="shared" si="28"/>
        <v>2453.3333333333335</v>
      </c>
      <c r="I32" s="3">
        <v>4416</v>
      </c>
      <c r="J32" s="6">
        <v>1.8</v>
      </c>
      <c r="K32" s="3">
        <f t="shared" si="29"/>
        <v>1739.4444444444443</v>
      </c>
      <c r="L32" s="3">
        <v>15655</v>
      </c>
      <c r="M32" s="6">
        <v>9</v>
      </c>
      <c r="N32" s="3" t="e">
        <f t="shared" si="30"/>
        <v>#DIV/0!</v>
      </c>
      <c r="O32" s="3">
        <v>0</v>
      </c>
      <c r="P32" s="6">
        <v>0</v>
      </c>
      <c r="Q32" s="3">
        <f t="shared" si="31"/>
        <v>1688.16091954023</v>
      </c>
      <c r="R32" s="3">
        <v>14687</v>
      </c>
      <c r="S32" s="6">
        <v>8.6999999999999993</v>
      </c>
      <c r="T32" s="3">
        <f t="shared" si="32"/>
        <v>1396.1904761904764</v>
      </c>
      <c r="U32" s="3">
        <v>26388</v>
      </c>
      <c r="V32" s="6">
        <v>18.899999999999999</v>
      </c>
      <c r="W32" s="3">
        <f t="shared" si="33"/>
        <v>2194.6</v>
      </c>
      <c r="X32" s="3">
        <v>10973</v>
      </c>
      <c r="Y32" s="6">
        <v>5</v>
      </c>
      <c r="Z32" s="3" t="e">
        <f t="shared" si="34"/>
        <v>#DIV/0!</v>
      </c>
      <c r="AA32" s="3">
        <v>0</v>
      </c>
      <c r="AB32" s="6">
        <v>0</v>
      </c>
      <c r="AC32" s="3">
        <f t="shared" si="35"/>
        <v>2388.3333333333335</v>
      </c>
      <c r="AD32" s="3">
        <v>2866</v>
      </c>
      <c r="AE32" s="6">
        <v>1.2</v>
      </c>
      <c r="AF32" s="3">
        <f t="shared" si="36"/>
        <v>2560</v>
      </c>
      <c r="AG32" s="3">
        <v>7424</v>
      </c>
      <c r="AH32" s="6">
        <v>2.9</v>
      </c>
      <c r="AI32" s="3">
        <f t="shared" si="37"/>
        <v>2352.5</v>
      </c>
      <c r="AJ32" s="3">
        <v>2823</v>
      </c>
      <c r="AK32" s="6">
        <v>1.2</v>
      </c>
      <c r="AL32" s="3">
        <f t="shared" si="38"/>
        <v>1904</v>
      </c>
      <c r="AM32" s="3">
        <v>5712</v>
      </c>
      <c r="AN32" s="6">
        <v>3</v>
      </c>
      <c r="AO32" s="3">
        <f t="shared" si="25"/>
        <v>1759.071566731141</v>
      </c>
      <c r="AP32" s="3">
        <f t="shared" si="26"/>
        <v>90944</v>
      </c>
      <c r="AQ32" s="6">
        <f t="shared" si="26"/>
        <v>51.7</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7" t="s">
        <v>64</v>
      </c>
      <c r="B33" s="23"/>
      <c r="C33" s="23"/>
      <c r="D33" s="23"/>
      <c r="E33" s="3">
        <f t="shared" si="27"/>
        <v>2098.4693877551017</v>
      </c>
      <c r="F33" s="3">
        <v>20565</v>
      </c>
      <c r="G33" s="6">
        <v>9.8000000000000007</v>
      </c>
      <c r="H33" s="3">
        <f t="shared" si="28"/>
        <v>2061.9047619047619</v>
      </c>
      <c r="I33" s="3">
        <v>4330</v>
      </c>
      <c r="J33" s="6">
        <v>2.1</v>
      </c>
      <c r="K33" s="3" t="e">
        <f t="shared" si="29"/>
        <v>#DIV/0!</v>
      </c>
      <c r="L33" s="3">
        <v>0</v>
      </c>
      <c r="M33" s="6">
        <v>0</v>
      </c>
      <c r="N33" s="3">
        <f t="shared" si="30"/>
        <v>2088.6363636363635</v>
      </c>
      <c r="O33" s="3">
        <v>18380</v>
      </c>
      <c r="P33" s="6">
        <v>8.8000000000000007</v>
      </c>
      <c r="Q33" s="3">
        <f t="shared" si="31"/>
        <v>2094.838709677419</v>
      </c>
      <c r="R33" s="3">
        <v>19482</v>
      </c>
      <c r="S33" s="6">
        <v>9.3000000000000007</v>
      </c>
      <c r="T33" s="3">
        <f t="shared" si="32"/>
        <v>2291.4457831325299</v>
      </c>
      <c r="U33" s="3">
        <v>19019</v>
      </c>
      <c r="V33" s="6">
        <v>8.3000000000000007</v>
      </c>
      <c r="W33" s="3">
        <f t="shared" si="33"/>
        <v>1928.3333333333335</v>
      </c>
      <c r="X33" s="3">
        <v>33553</v>
      </c>
      <c r="Y33" s="6">
        <v>17.399999999999999</v>
      </c>
      <c r="Z33" s="3" t="e">
        <f t="shared" si="34"/>
        <v>#DIV/0!</v>
      </c>
      <c r="AA33" s="3">
        <v>0</v>
      </c>
      <c r="AB33" s="6">
        <v>0</v>
      </c>
      <c r="AC33" s="3">
        <f t="shared" si="35"/>
        <v>3093.125</v>
      </c>
      <c r="AD33" s="3">
        <v>4949</v>
      </c>
      <c r="AE33" s="6">
        <v>1.6</v>
      </c>
      <c r="AF33" s="3">
        <f t="shared" si="36"/>
        <v>2088.9473684210525</v>
      </c>
      <c r="AG33" s="3">
        <v>11907</v>
      </c>
      <c r="AH33" s="6">
        <v>5.7</v>
      </c>
      <c r="AI33" s="3">
        <f t="shared" si="37"/>
        <v>2081.1538461538462</v>
      </c>
      <c r="AJ33" s="3">
        <v>5411</v>
      </c>
      <c r="AK33" s="6">
        <v>2.6</v>
      </c>
      <c r="AL33" s="3">
        <f t="shared" si="38"/>
        <v>2081.1538461538462</v>
      </c>
      <c r="AM33" s="3">
        <v>5411</v>
      </c>
      <c r="AN33" s="6">
        <v>2.6</v>
      </c>
      <c r="AO33" s="3">
        <f t="shared" si="25"/>
        <v>2096.8768328445749</v>
      </c>
      <c r="AP33" s="3">
        <f t="shared" si="26"/>
        <v>143007</v>
      </c>
      <c r="AQ33" s="6">
        <f t="shared" si="26"/>
        <v>68.2</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7" t="s">
        <v>83</v>
      </c>
      <c r="B34" s="23"/>
      <c r="C34" s="23"/>
      <c r="D34" s="23"/>
      <c r="E34" s="3" t="e">
        <f t="shared" si="27"/>
        <v>#DIV/0!</v>
      </c>
      <c r="F34" s="3">
        <v>0</v>
      </c>
      <c r="G34" s="6">
        <v>0</v>
      </c>
      <c r="H34" s="3">
        <f t="shared" si="28"/>
        <v>1471.0344827586207</v>
      </c>
      <c r="I34" s="3">
        <v>4266</v>
      </c>
      <c r="J34" s="6">
        <v>2.9</v>
      </c>
      <c r="K34" s="3" t="e">
        <f t="shared" si="29"/>
        <v>#DIV/0!</v>
      </c>
      <c r="L34" s="3">
        <v>0</v>
      </c>
      <c r="M34" s="6">
        <v>0</v>
      </c>
      <c r="N34" s="3">
        <f t="shared" si="30"/>
        <v>1665.0602409638552</v>
      </c>
      <c r="O34" s="3">
        <v>27640</v>
      </c>
      <c r="P34" s="6">
        <v>16.600000000000001</v>
      </c>
      <c r="Q34" s="3" t="e">
        <f t="shared" si="31"/>
        <v>#DIV/0!</v>
      </c>
      <c r="R34" s="3">
        <v>0</v>
      </c>
      <c r="S34" s="6">
        <v>0</v>
      </c>
      <c r="T34" s="3">
        <f t="shared" si="32"/>
        <v>1552.7689873417721</v>
      </c>
      <c r="U34" s="3">
        <v>98135</v>
      </c>
      <c r="V34" s="6">
        <v>63.2</v>
      </c>
      <c r="W34" s="3">
        <f t="shared" si="33"/>
        <v>1432.0270270270271</v>
      </c>
      <c r="X34" s="3">
        <v>31791</v>
      </c>
      <c r="Y34" s="6">
        <v>22.2</v>
      </c>
      <c r="Z34" s="3" t="e">
        <f t="shared" si="34"/>
        <v>#DIV/0!</v>
      </c>
      <c r="AA34" s="3">
        <v>0</v>
      </c>
      <c r="AB34" s="6">
        <v>0</v>
      </c>
      <c r="AC34" s="3">
        <f t="shared" si="35"/>
        <v>1536.8965517241379</v>
      </c>
      <c r="AD34" s="3">
        <v>4457</v>
      </c>
      <c r="AE34" s="6">
        <v>2.9</v>
      </c>
      <c r="AF34" s="3">
        <f t="shared" si="36"/>
        <v>2796.2650602409635</v>
      </c>
      <c r="AG34" s="3">
        <v>46418</v>
      </c>
      <c r="AH34" s="6">
        <v>16.600000000000001</v>
      </c>
      <c r="AI34" s="3">
        <f t="shared" si="37"/>
        <v>1511.9736842105265</v>
      </c>
      <c r="AJ34" s="3">
        <v>11491</v>
      </c>
      <c r="AK34" s="6">
        <v>7.6</v>
      </c>
      <c r="AL34" s="3">
        <f t="shared" si="38"/>
        <v>1425.3125</v>
      </c>
      <c r="AM34" s="3">
        <v>4561</v>
      </c>
      <c r="AN34" s="6">
        <v>3.2</v>
      </c>
      <c r="AO34" s="3">
        <f t="shared" si="25"/>
        <v>1692.0044378698226</v>
      </c>
      <c r="AP34" s="3">
        <f t="shared" si="26"/>
        <v>228759</v>
      </c>
      <c r="AQ34" s="6">
        <f t="shared" si="26"/>
        <v>135.19999999999999</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7" t="s">
        <v>58</v>
      </c>
      <c r="B35" s="23"/>
      <c r="C35" s="23"/>
      <c r="D35" s="23"/>
      <c r="E35" s="3">
        <f t="shared" si="27"/>
        <v>2261.9512195121952</v>
      </c>
      <c r="F35" s="3">
        <v>9274</v>
      </c>
      <c r="G35" s="6">
        <v>4.0999999999999996</v>
      </c>
      <c r="H35" s="3" t="e">
        <f t="shared" si="28"/>
        <v>#DIV/0!</v>
      </c>
      <c r="I35" s="3">
        <v>0</v>
      </c>
      <c r="J35" s="6">
        <v>0</v>
      </c>
      <c r="K35" s="3" t="e">
        <f t="shared" si="29"/>
        <v>#DIV/0!</v>
      </c>
      <c r="L35" s="3">
        <v>0</v>
      </c>
      <c r="M35" s="6">
        <v>0</v>
      </c>
      <c r="N35" s="3" t="e">
        <f t="shared" si="30"/>
        <v>#DIV/0!</v>
      </c>
      <c r="O35" s="3">
        <v>0</v>
      </c>
      <c r="P35" s="6">
        <v>0</v>
      </c>
      <c r="Q35" s="3" t="e">
        <f t="shared" si="31"/>
        <v>#DIV/0!</v>
      </c>
      <c r="R35" s="3">
        <v>0</v>
      </c>
      <c r="S35" s="6">
        <v>0</v>
      </c>
      <c r="T35" s="3" t="e">
        <f t="shared" si="32"/>
        <v>#DIV/0!</v>
      </c>
      <c r="U35" s="3">
        <v>0</v>
      </c>
      <c r="V35" s="6">
        <v>0</v>
      </c>
      <c r="W35" s="3">
        <f t="shared" si="33"/>
        <v>4262.8571428571431</v>
      </c>
      <c r="X35" s="3">
        <v>2984</v>
      </c>
      <c r="Y35" s="6">
        <v>0.7</v>
      </c>
      <c r="Z35" s="3" t="e">
        <f t="shared" si="34"/>
        <v>#DIV/0!</v>
      </c>
      <c r="AA35" s="3">
        <v>0</v>
      </c>
      <c r="AB35" s="6">
        <v>0</v>
      </c>
      <c r="AC35" s="3" t="e">
        <f t="shared" si="35"/>
        <v>#DIV/0!</v>
      </c>
      <c r="AD35" s="3">
        <v>0</v>
      </c>
      <c r="AE35" s="6">
        <v>0</v>
      </c>
      <c r="AF35" s="3">
        <f t="shared" si="36"/>
        <v>11623</v>
      </c>
      <c r="AG35" s="3">
        <v>11623</v>
      </c>
      <c r="AH35" s="6">
        <v>1</v>
      </c>
      <c r="AI35" s="3">
        <f t="shared" si="37"/>
        <v>51525</v>
      </c>
      <c r="AJ35" s="3">
        <v>10305</v>
      </c>
      <c r="AK35" s="6">
        <v>0.2</v>
      </c>
      <c r="AL35" s="3">
        <f t="shared" si="38"/>
        <v>2058</v>
      </c>
      <c r="AM35" s="3">
        <v>4116</v>
      </c>
      <c r="AN35" s="6">
        <v>2</v>
      </c>
      <c r="AO35" s="3">
        <f t="shared" si="25"/>
        <v>4787.75</v>
      </c>
      <c r="AP35" s="3">
        <f t="shared" si="26"/>
        <v>38302</v>
      </c>
      <c r="AQ35" s="6">
        <f t="shared" si="26"/>
        <v>8</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7" t="s">
        <v>24</v>
      </c>
      <c r="B36" s="23"/>
      <c r="C36" s="23"/>
      <c r="D36" s="23"/>
      <c r="E36" s="3" t="e">
        <f t="shared" si="27"/>
        <v>#DIV/0!</v>
      </c>
      <c r="F36" s="3">
        <v>0</v>
      </c>
      <c r="G36" s="6">
        <v>0</v>
      </c>
      <c r="H36" s="3">
        <f t="shared" si="28"/>
        <v>2451.1111111111109</v>
      </c>
      <c r="I36" s="3">
        <v>8824</v>
      </c>
      <c r="J36" s="6">
        <v>3.6</v>
      </c>
      <c r="K36" s="3">
        <f t="shared" si="29"/>
        <v>2456.666666666667</v>
      </c>
      <c r="L36" s="3">
        <v>2948</v>
      </c>
      <c r="M36" s="6">
        <v>1.2</v>
      </c>
      <c r="N36" s="3" t="e">
        <f t="shared" si="30"/>
        <v>#DIV/0!</v>
      </c>
      <c r="O36" s="3">
        <v>0</v>
      </c>
      <c r="P36" s="6">
        <v>0</v>
      </c>
      <c r="Q36" s="3" t="e">
        <f t="shared" si="31"/>
        <v>#DIV/0!</v>
      </c>
      <c r="R36" s="3">
        <v>0</v>
      </c>
      <c r="S36" s="6">
        <v>0</v>
      </c>
      <c r="T36" s="3" t="e">
        <f t="shared" si="32"/>
        <v>#DIV/0!</v>
      </c>
      <c r="U36" s="3">
        <v>0</v>
      </c>
      <c r="V36" s="6">
        <v>0</v>
      </c>
      <c r="W36" s="3" t="e">
        <f t="shared" si="33"/>
        <v>#DIV/0!</v>
      </c>
      <c r="X36" s="3">
        <v>0</v>
      </c>
      <c r="Y36" s="6">
        <v>0</v>
      </c>
      <c r="Z36" s="3" t="e">
        <f t="shared" si="34"/>
        <v>#DIV/0!</v>
      </c>
      <c r="AA36" s="3">
        <v>0</v>
      </c>
      <c r="AB36" s="6">
        <v>0</v>
      </c>
      <c r="AC36" s="3" t="e">
        <f t="shared" si="35"/>
        <v>#DIV/0!</v>
      </c>
      <c r="AD36" s="3">
        <v>0</v>
      </c>
      <c r="AE36" s="6">
        <v>0</v>
      </c>
      <c r="AF36" s="3" t="e">
        <f t="shared" si="36"/>
        <v>#DIV/0!</v>
      </c>
      <c r="AG36" s="3">
        <v>0</v>
      </c>
      <c r="AH36" s="6">
        <v>0</v>
      </c>
      <c r="AI36" s="3" t="e">
        <f t="shared" si="37"/>
        <v>#DIV/0!</v>
      </c>
      <c r="AJ36" s="3">
        <v>0</v>
      </c>
      <c r="AK36" s="6">
        <v>0</v>
      </c>
      <c r="AL36" s="3">
        <f t="shared" si="38"/>
        <v>2292.8571428571431</v>
      </c>
      <c r="AM36" s="3">
        <v>3210</v>
      </c>
      <c r="AN36" s="6">
        <v>1.4</v>
      </c>
      <c r="AO36" s="3">
        <f t="shared" si="25"/>
        <v>2416.4516129032263</v>
      </c>
      <c r="AP36" s="3">
        <f t="shared" si="26"/>
        <v>14982</v>
      </c>
      <c r="AQ36" s="6">
        <f t="shared" si="26"/>
        <v>6.1999999999999993</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7" t="s">
        <v>71</v>
      </c>
      <c r="B37" s="23"/>
      <c r="C37" s="23"/>
      <c r="D37" s="23"/>
      <c r="E37" s="3" t="e">
        <f t="shared" si="27"/>
        <v>#DIV/0!</v>
      </c>
      <c r="F37" s="3">
        <v>0</v>
      </c>
      <c r="G37" s="6">
        <v>0</v>
      </c>
      <c r="H37" s="3" t="e">
        <f t="shared" si="28"/>
        <v>#DIV/0!</v>
      </c>
      <c r="I37" s="3">
        <v>0</v>
      </c>
      <c r="J37" s="6">
        <v>0</v>
      </c>
      <c r="K37" s="3" t="e">
        <f t="shared" si="29"/>
        <v>#DIV/0!</v>
      </c>
      <c r="L37" s="3">
        <v>0</v>
      </c>
      <c r="M37" s="6">
        <v>0</v>
      </c>
      <c r="N37" s="3" t="e">
        <f t="shared" si="30"/>
        <v>#DIV/0!</v>
      </c>
      <c r="O37" s="3">
        <v>0</v>
      </c>
      <c r="P37" s="6">
        <v>0</v>
      </c>
      <c r="Q37" s="3" t="e">
        <f t="shared" si="31"/>
        <v>#DIV/0!</v>
      </c>
      <c r="R37" s="3">
        <v>0</v>
      </c>
      <c r="S37" s="6">
        <v>0</v>
      </c>
      <c r="T37" s="3" t="e">
        <f t="shared" si="32"/>
        <v>#DIV/0!</v>
      </c>
      <c r="U37" s="3">
        <v>0</v>
      </c>
      <c r="V37" s="6">
        <v>0</v>
      </c>
      <c r="W37" s="3" t="e">
        <f t="shared" si="33"/>
        <v>#DIV/0!</v>
      </c>
      <c r="X37" s="3">
        <v>0</v>
      </c>
      <c r="Y37" s="6">
        <v>0</v>
      </c>
      <c r="Z37" s="3" t="e">
        <f t="shared" si="34"/>
        <v>#DIV/0!</v>
      </c>
      <c r="AA37" s="3">
        <v>0</v>
      </c>
      <c r="AB37" s="6">
        <v>0</v>
      </c>
      <c r="AC37" s="3" t="e">
        <f t="shared" si="35"/>
        <v>#DIV/0!</v>
      </c>
      <c r="AD37" s="3">
        <v>0</v>
      </c>
      <c r="AE37" s="6">
        <v>0</v>
      </c>
      <c r="AF37" s="3" t="e">
        <f t="shared" si="36"/>
        <v>#DIV/0!</v>
      </c>
      <c r="AG37" s="3">
        <v>0</v>
      </c>
      <c r="AH37" s="6">
        <v>0</v>
      </c>
      <c r="AI37" s="3" t="e">
        <f t="shared" si="37"/>
        <v>#DIV/0!</v>
      </c>
      <c r="AJ37" s="3">
        <v>0</v>
      </c>
      <c r="AK37" s="6">
        <v>0</v>
      </c>
      <c r="AL37" s="3">
        <f t="shared" si="38"/>
        <v>1486.8421052631579</v>
      </c>
      <c r="AM37" s="3">
        <v>2825</v>
      </c>
      <c r="AN37" s="6">
        <v>1.9</v>
      </c>
      <c r="AO37" s="3">
        <f t="shared" si="25"/>
        <v>1486.8421052631579</v>
      </c>
      <c r="AP37" s="3">
        <f t="shared" si="26"/>
        <v>2825</v>
      </c>
      <c r="AQ37" s="6">
        <f t="shared" si="26"/>
        <v>1.9</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7" t="s">
        <v>76</v>
      </c>
      <c r="B38" s="23"/>
      <c r="C38" s="23"/>
      <c r="D38" s="23"/>
      <c r="E38" s="3" t="e">
        <f t="shared" si="27"/>
        <v>#DIV/0!</v>
      </c>
      <c r="F38" s="3">
        <v>0</v>
      </c>
      <c r="G38" s="6">
        <v>0</v>
      </c>
      <c r="H38" s="3" t="e">
        <f t="shared" si="28"/>
        <v>#DIV/0!</v>
      </c>
      <c r="I38" s="3">
        <v>0</v>
      </c>
      <c r="J38" s="6">
        <v>0</v>
      </c>
      <c r="K38" s="3" t="e">
        <f t="shared" si="29"/>
        <v>#DIV/0!</v>
      </c>
      <c r="L38" s="3">
        <v>0</v>
      </c>
      <c r="M38" s="6">
        <v>0</v>
      </c>
      <c r="N38" s="3" t="e">
        <f t="shared" si="30"/>
        <v>#DIV/0!</v>
      </c>
      <c r="O38" s="3">
        <v>0</v>
      </c>
      <c r="P38" s="6">
        <v>0</v>
      </c>
      <c r="Q38" s="3" t="e">
        <f t="shared" si="31"/>
        <v>#DIV/0!</v>
      </c>
      <c r="R38" s="3">
        <v>0</v>
      </c>
      <c r="S38" s="6">
        <v>0</v>
      </c>
      <c r="T38" s="3" t="e">
        <f t="shared" si="32"/>
        <v>#DIV/0!</v>
      </c>
      <c r="U38" s="3">
        <v>0</v>
      </c>
      <c r="V38" s="6">
        <v>0</v>
      </c>
      <c r="W38" s="3" t="e">
        <f t="shared" si="33"/>
        <v>#DIV/0!</v>
      </c>
      <c r="X38" s="3">
        <v>0</v>
      </c>
      <c r="Y38" s="6">
        <v>0</v>
      </c>
      <c r="Z38" s="3" t="e">
        <f t="shared" si="34"/>
        <v>#DIV/0!</v>
      </c>
      <c r="AA38" s="3">
        <v>0</v>
      </c>
      <c r="AB38" s="6">
        <v>0</v>
      </c>
      <c r="AC38" s="3" t="e">
        <f t="shared" si="35"/>
        <v>#DIV/0!</v>
      </c>
      <c r="AD38" s="3">
        <v>0</v>
      </c>
      <c r="AE38" s="6">
        <v>0</v>
      </c>
      <c r="AF38" s="3" t="e">
        <f t="shared" si="36"/>
        <v>#DIV/0!</v>
      </c>
      <c r="AG38" s="3">
        <v>0</v>
      </c>
      <c r="AH38" s="6">
        <v>0</v>
      </c>
      <c r="AI38" s="3">
        <f t="shared" si="37"/>
        <v>1599.0420731707318</v>
      </c>
      <c r="AJ38" s="3">
        <v>2622429</v>
      </c>
      <c r="AK38" s="6">
        <v>1640</v>
      </c>
      <c r="AL38" s="3" t="e">
        <f t="shared" si="38"/>
        <v>#DIV/0!</v>
      </c>
      <c r="AM38" s="3">
        <v>0</v>
      </c>
      <c r="AN38" s="6">
        <v>0</v>
      </c>
      <c r="AO38" s="3">
        <f t="shared" si="25"/>
        <v>1599.0420731707318</v>
      </c>
      <c r="AP38" s="3">
        <f t="shared" si="26"/>
        <v>2622429</v>
      </c>
      <c r="AQ38" s="6">
        <f t="shared" si="26"/>
        <v>1640</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7" t="s">
        <v>19</v>
      </c>
      <c r="B39" s="23"/>
      <c r="C39" s="23"/>
      <c r="D39" s="23"/>
      <c r="E39" s="3">
        <f t="shared" si="27"/>
        <v>2443.5772357723577</v>
      </c>
      <c r="F39" s="3">
        <v>30056</v>
      </c>
      <c r="G39" s="6">
        <v>12.3</v>
      </c>
      <c r="H39" s="3">
        <f t="shared" si="28"/>
        <v>1916.7149758454107</v>
      </c>
      <c r="I39" s="3">
        <v>119028</v>
      </c>
      <c r="J39" s="6">
        <v>62.1</v>
      </c>
      <c r="K39" s="3">
        <f t="shared" si="29"/>
        <v>2460.8802177858438</v>
      </c>
      <c r="L39" s="3">
        <v>271189</v>
      </c>
      <c r="M39" s="6">
        <v>110.2</v>
      </c>
      <c r="N39" s="3">
        <f t="shared" si="30"/>
        <v>2656.1033634126334</v>
      </c>
      <c r="O39" s="3">
        <v>323779</v>
      </c>
      <c r="P39" s="6">
        <v>121.9</v>
      </c>
      <c r="Q39" s="3">
        <f t="shared" si="31"/>
        <v>1794.4827586206898</v>
      </c>
      <c r="R39" s="3">
        <v>88468</v>
      </c>
      <c r="S39" s="6">
        <v>49.3</v>
      </c>
      <c r="T39" s="3">
        <f t="shared" si="32"/>
        <v>2051.4545454545455</v>
      </c>
      <c r="U39" s="3">
        <v>45132</v>
      </c>
      <c r="V39" s="6">
        <v>22</v>
      </c>
      <c r="W39" s="3">
        <f t="shared" si="33"/>
        <v>2788.0658436213989</v>
      </c>
      <c r="X39" s="3">
        <v>67750</v>
      </c>
      <c r="Y39" s="6">
        <v>24.3</v>
      </c>
      <c r="Z39" s="3">
        <f t="shared" si="34"/>
        <v>2584.0849673202615</v>
      </c>
      <c r="AA39" s="3">
        <v>158146</v>
      </c>
      <c r="AB39" s="6">
        <v>61.2</v>
      </c>
      <c r="AC39" s="3">
        <f t="shared" si="35"/>
        <v>2458.4892086330938</v>
      </c>
      <c r="AD39" s="3">
        <v>615114</v>
      </c>
      <c r="AE39" s="6">
        <v>250.2</v>
      </c>
      <c r="AF39" s="3">
        <f t="shared" si="36"/>
        <v>2449.7560975609754</v>
      </c>
      <c r="AG39" s="3">
        <v>60264</v>
      </c>
      <c r="AH39" s="6">
        <v>24.6</v>
      </c>
      <c r="AI39" s="3">
        <f t="shared" si="37"/>
        <v>2681.3793103448274</v>
      </c>
      <c r="AJ39" s="3">
        <v>31104</v>
      </c>
      <c r="AK39" s="6">
        <v>11.6</v>
      </c>
      <c r="AL39" s="3" t="e">
        <f t="shared" si="38"/>
        <v>#DIV/0!</v>
      </c>
      <c r="AM39" s="3">
        <v>0</v>
      </c>
      <c r="AN39" s="6">
        <v>0</v>
      </c>
      <c r="AO39" s="3">
        <f t="shared" si="25"/>
        <v>2414.3390689609178</v>
      </c>
      <c r="AP39" s="3">
        <f t="shared" si="26"/>
        <v>1810030</v>
      </c>
      <c r="AQ39" s="6">
        <f t="shared" si="26"/>
        <v>749.7</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7" t="s">
        <v>49</v>
      </c>
      <c r="B40" s="23"/>
      <c r="C40" s="23"/>
      <c r="D40" s="23"/>
      <c r="E40" s="3" t="e">
        <f t="shared" si="27"/>
        <v>#DIV/0!</v>
      </c>
      <c r="F40" s="3">
        <v>0</v>
      </c>
      <c r="G40" s="6">
        <v>0</v>
      </c>
      <c r="H40" s="3" t="e">
        <f t="shared" si="28"/>
        <v>#DIV/0!</v>
      </c>
      <c r="I40" s="3">
        <v>0</v>
      </c>
      <c r="J40" s="6">
        <v>0</v>
      </c>
      <c r="K40" s="3" t="e">
        <f t="shared" si="29"/>
        <v>#DIV/0!</v>
      </c>
      <c r="L40" s="3">
        <v>0</v>
      </c>
      <c r="M40" s="6">
        <v>0</v>
      </c>
      <c r="N40" s="3" t="e">
        <f t="shared" si="30"/>
        <v>#DIV/0!</v>
      </c>
      <c r="O40" s="3">
        <v>0</v>
      </c>
      <c r="P40" s="6">
        <v>0</v>
      </c>
      <c r="Q40" s="3" t="e">
        <f t="shared" si="31"/>
        <v>#DIV/0!</v>
      </c>
      <c r="R40" s="3">
        <v>0</v>
      </c>
      <c r="S40" s="6">
        <v>0</v>
      </c>
      <c r="T40" s="3" t="e">
        <f t="shared" si="32"/>
        <v>#DIV/0!</v>
      </c>
      <c r="U40" s="3">
        <v>0</v>
      </c>
      <c r="V40" s="6">
        <v>0</v>
      </c>
      <c r="W40" s="3" t="e">
        <f t="shared" si="33"/>
        <v>#DIV/0!</v>
      </c>
      <c r="X40" s="3">
        <v>0</v>
      </c>
      <c r="Y40" s="6">
        <v>0</v>
      </c>
      <c r="Z40" s="3" t="e">
        <f t="shared" si="34"/>
        <v>#DIV/0!</v>
      </c>
      <c r="AA40" s="3">
        <v>0</v>
      </c>
      <c r="AB40" s="6">
        <v>0</v>
      </c>
      <c r="AC40" s="3" t="e">
        <f t="shared" si="35"/>
        <v>#DIV/0!</v>
      </c>
      <c r="AD40" s="3">
        <v>0</v>
      </c>
      <c r="AE40" s="6">
        <v>0</v>
      </c>
      <c r="AF40" s="3">
        <f t="shared" si="36"/>
        <v>1860</v>
      </c>
      <c r="AG40" s="3">
        <v>11160</v>
      </c>
      <c r="AH40" s="6">
        <v>6</v>
      </c>
      <c r="AI40" s="3" t="e">
        <f t="shared" si="37"/>
        <v>#DIV/0!</v>
      </c>
      <c r="AJ40" s="3">
        <v>0</v>
      </c>
      <c r="AK40" s="6">
        <v>0</v>
      </c>
      <c r="AL40" s="3" t="e">
        <f t="shared" si="38"/>
        <v>#DIV/0!</v>
      </c>
      <c r="AM40" s="3">
        <v>0</v>
      </c>
      <c r="AN40" s="6">
        <v>0</v>
      </c>
      <c r="AO40" s="3">
        <f t="shared" si="25"/>
        <v>1860</v>
      </c>
      <c r="AP40" s="3">
        <f t="shared" si="26"/>
        <v>11160</v>
      </c>
      <c r="AQ40" s="6">
        <f t="shared" si="26"/>
        <v>6</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7" t="s">
        <v>27</v>
      </c>
      <c r="B41" s="23"/>
      <c r="C41" s="23"/>
      <c r="D41" s="23"/>
      <c r="E41" s="3" t="e">
        <f t="shared" si="27"/>
        <v>#DIV/0!</v>
      </c>
      <c r="F41" s="3">
        <v>0</v>
      </c>
      <c r="G41" s="6">
        <v>0</v>
      </c>
      <c r="H41" s="3" t="e">
        <f t="shared" si="28"/>
        <v>#DIV/0!</v>
      </c>
      <c r="I41" s="3">
        <v>0</v>
      </c>
      <c r="J41" s="6">
        <v>0</v>
      </c>
      <c r="K41" s="3">
        <f t="shared" si="29"/>
        <v>2931.1111111111109</v>
      </c>
      <c r="L41" s="3">
        <v>2638</v>
      </c>
      <c r="M41" s="6">
        <v>0.9</v>
      </c>
      <c r="N41" s="3" t="e">
        <f t="shared" si="30"/>
        <v>#DIV/0!</v>
      </c>
      <c r="O41" s="3">
        <v>0</v>
      </c>
      <c r="P41" s="6">
        <v>0</v>
      </c>
      <c r="Q41" s="3" t="e">
        <f t="shared" si="31"/>
        <v>#DIV/0!</v>
      </c>
      <c r="R41" s="3">
        <v>0</v>
      </c>
      <c r="S41" s="6">
        <v>0</v>
      </c>
      <c r="T41" s="3" t="e">
        <f t="shared" si="32"/>
        <v>#DIV/0!</v>
      </c>
      <c r="U41" s="3">
        <v>0</v>
      </c>
      <c r="V41" s="6">
        <v>0</v>
      </c>
      <c r="W41" s="3" t="e">
        <f t="shared" si="33"/>
        <v>#DIV/0!</v>
      </c>
      <c r="X41" s="3">
        <v>0</v>
      </c>
      <c r="Y41" s="6">
        <v>0</v>
      </c>
      <c r="Z41" s="3" t="e">
        <f t="shared" si="34"/>
        <v>#DIV/0!</v>
      </c>
      <c r="AA41" s="3">
        <v>0</v>
      </c>
      <c r="AB41" s="6">
        <v>0</v>
      </c>
      <c r="AC41" s="3" t="e">
        <f t="shared" si="35"/>
        <v>#DIV/0!</v>
      </c>
      <c r="AD41" s="3">
        <v>0</v>
      </c>
      <c r="AE41" s="6">
        <v>0</v>
      </c>
      <c r="AF41" s="3" t="e">
        <f t="shared" si="36"/>
        <v>#DIV/0!</v>
      </c>
      <c r="AG41" s="3">
        <v>0</v>
      </c>
      <c r="AH41" s="6">
        <v>0</v>
      </c>
      <c r="AI41" s="3" t="e">
        <f t="shared" si="37"/>
        <v>#DIV/0!</v>
      </c>
      <c r="AJ41" s="3">
        <v>0</v>
      </c>
      <c r="AK41" s="6">
        <v>0</v>
      </c>
      <c r="AL41" s="3" t="e">
        <f t="shared" si="38"/>
        <v>#DIV/0!</v>
      </c>
      <c r="AM41" s="3">
        <v>0</v>
      </c>
      <c r="AN41" s="6">
        <v>0</v>
      </c>
      <c r="AO41" s="3">
        <f t="shared" si="25"/>
        <v>2931.1111111111109</v>
      </c>
      <c r="AP41" s="3">
        <f t="shared" si="26"/>
        <v>2638</v>
      </c>
      <c r="AQ41" s="6">
        <f t="shared" si="26"/>
        <v>0.9</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7" t="s">
        <v>61</v>
      </c>
      <c r="B42" s="23"/>
      <c r="C42" s="23"/>
      <c r="D42" s="23"/>
      <c r="E42" s="3">
        <f t="shared" si="27"/>
        <v>2763.2558139534885</v>
      </c>
      <c r="F42" s="3">
        <v>47528</v>
      </c>
      <c r="G42" s="6">
        <v>17.2</v>
      </c>
      <c r="H42" s="3">
        <f t="shared" si="28"/>
        <v>2690.2452830188681</v>
      </c>
      <c r="I42" s="3">
        <v>142583</v>
      </c>
      <c r="J42" s="6">
        <v>53</v>
      </c>
      <c r="K42" s="3">
        <f t="shared" si="29"/>
        <v>2498.0661577608143</v>
      </c>
      <c r="L42" s="3">
        <v>98174</v>
      </c>
      <c r="M42" s="6">
        <v>39.299999999999997</v>
      </c>
      <c r="N42" s="3">
        <f t="shared" si="30"/>
        <v>2374.5177664974622</v>
      </c>
      <c r="O42" s="3">
        <v>46778</v>
      </c>
      <c r="P42" s="6">
        <v>19.7</v>
      </c>
      <c r="Q42" s="3">
        <f t="shared" si="31"/>
        <v>2578.4265010351969</v>
      </c>
      <c r="R42" s="3">
        <v>249076</v>
      </c>
      <c r="S42" s="6">
        <v>96.6</v>
      </c>
      <c r="T42" s="3">
        <f t="shared" si="32"/>
        <v>2570.8629441624366</v>
      </c>
      <c r="U42" s="3">
        <v>151938</v>
      </c>
      <c r="V42" s="6">
        <v>59.1</v>
      </c>
      <c r="W42" s="3">
        <f t="shared" si="33"/>
        <v>2577.4045801526718</v>
      </c>
      <c r="X42" s="3">
        <v>101292</v>
      </c>
      <c r="Y42" s="6">
        <v>39.299999999999997</v>
      </c>
      <c r="Z42" s="3">
        <f t="shared" si="34"/>
        <v>2557.1428571428573</v>
      </c>
      <c r="AA42" s="3">
        <v>53700</v>
      </c>
      <c r="AB42" s="6">
        <v>21</v>
      </c>
      <c r="AC42" s="3">
        <f t="shared" si="35"/>
        <v>2574.6341463414633</v>
      </c>
      <c r="AD42" s="3">
        <v>147784</v>
      </c>
      <c r="AE42" s="6">
        <v>57.4</v>
      </c>
      <c r="AF42" s="3" t="e">
        <f t="shared" si="36"/>
        <v>#DIV/0!</v>
      </c>
      <c r="AG42" s="3">
        <v>0</v>
      </c>
      <c r="AH42" s="6">
        <v>0</v>
      </c>
      <c r="AI42" s="3" t="e">
        <f t="shared" si="37"/>
        <v>#DIV/0!</v>
      </c>
      <c r="AJ42" s="3">
        <v>0</v>
      </c>
      <c r="AK42" s="6">
        <v>0</v>
      </c>
      <c r="AL42" s="3" t="e">
        <f t="shared" si="38"/>
        <v>#DIV/0!</v>
      </c>
      <c r="AM42" s="3">
        <v>0</v>
      </c>
      <c r="AN42" s="6">
        <v>0</v>
      </c>
      <c r="AO42" s="3">
        <f t="shared" si="25"/>
        <v>2580.3601589667164</v>
      </c>
      <c r="AP42" s="3">
        <f t="shared" si="26"/>
        <v>1038853</v>
      </c>
      <c r="AQ42" s="6">
        <f t="shared" si="26"/>
        <v>402.59999999999997</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7" t="s">
        <v>62</v>
      </c>
      <c r="B43" s="23"/>
      <c r="C43" s="23"/>
      <c r="D43" s="23"/>
      <c r="E43" s="3" t="e">
        <f t="shared" si="27"/>
        <v>#DIV/0!</v>
      </c>
      <c r="F43" s="3">
        <v>0</v>
      </c>
      <c r="G43" s="6">
        <v>0</v>
      </c>
      <c r="H43" s="3" t="e">
        <f t="shared" si="28"/>
        <v>#DIV/0!</v>
      </c>
      <c r="I43" s="3">
        <v>0</v>
      </c>
      <c r="J43" s="6">
        <v>0</v>
      </c>
      <c r="K43" s="3" t="e">
        <f t="shared" si="29"/>
        <v>#DIV/0!</v>
      </c>
      <c r="L43" s="3">
        <v>0</v>
      </c>
      <c r="M43" s="6">
        <v>0</v>
      </c>
      <c r="N43" s="3" t="e">
        <f t="shared" si="30"/>
        <v>#DIV/0!</v>
      </c>
      <c r="O43" s="3">
        <v>0</v>
      </c>
      <c r="P43" s="6">
        <v>0</v>
      </c>
      <c r="Q43" s="3" t="e">
        <f t="shared" si="31"/>
        <v>#DIV/0!</v>
      </c>
      <c r="R43" s="3">
        <v>0</v>
      </c>
      <c r="S43" s="6">
        <v>0</v>
      </c>
      <c r="T43" s="3" t="e">
        <f t="shared" si="32"/>
        <v>#DIV/0!</v>
      </c>
      <c r="U43" s="3">
        <v>0</v>
      </c>
      <c r="V43" s="6">
        <v>0</v>
      </c>
      <c r="W43" s="3" t="e">
        <f t="shared" si="33"/>
        <v>#DIV/0!</v>
      </c>
      <c r="X43" s="3">
        <v>0</v>
      </c>
      <c r="Y43" s="6">
        <v>0</v>
      </c>
      <c r="Z43" s="3" t="e">
        <f t="shared" si="34"/>
        <v>#DIV/0!</v>
      </c>
      <c r="AA43" s="3">
        <v>0</v>
      </c>
      <c r="AB43" s="6">
        <v>0</v>
      </c>
      <c r="AC43" s="3">
        <f t="shared" si="35"/>
        <v>1589.5923076923077</v>
      </c>
      <c r="AD43" s="3">
        <v>413294</v>
      </c>
      <c r="AE43" s="6">
        <v>260</v>
      </c>
      <c r="AF43" s="3" t="e">
        <f t="shared" si="36"/>
        <v>#DIV/0!</v>
      </c>
      <c r="AG43" s="3">
        <v>0</v>
      </c>
      <c r="AH43" s="6">
        <v>0</v>
      </c>
      <c r="AI43" s="3" t="e">
        <f t="shared" si="37"/>
        <v>#DIV/0!</v>
      </c>
      <c r="AJ43" s="3">
        <v>0</v>
      </c>
      <c r="AK43" s="6">
        <v>0</v>
      </c>
      <c r="AL43" s="3" t="e">
        <f t="shared" si="38"/>
        <v>#DIV/0!</v>
      </c>
      <c r="AM43" s="3">
        <v>0</v>
      </c>
      <c r="AN43" s="6">
        <v>0</v>
      </c>
      <c r="AO43" s="3">
        <f t="shared" si="25"/>
        <v>1589.5923076923077</v>
      </c>
      <c r="AP43" s="3">
        <f t="shared" si="26"/>
        <v>413294</v>
      </c>
      <c r="AQ43" s="6">
        <f t="shared" si="26"/>
        <v>260</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7" t="s">
        <v>63</v>
      </c>
      <c r="B44" s="23"/>
      <c r="C44" s="23"/>
      <c r="D44" s="23"/>
      <c r="E44" s="10" t="e">
        <f t="shared" si="27"/>
        <v>#DIV/0!</v>
      </c>
      <c r="F44" s="10">
        <v>0</v>
      </c>
      <c r="G44" s="6">
        <v>0</v>
      </c>
      <c r="H44" s="12" t="e">
        <f t="shared" si="28"/>
        <v>#DIV/0!</v>
      </c>
      <c r="I44" s="10">
        <v>0</v>
      </c>
      <c r="J44" s="6">
        <v>0</v>
      </c>
      <c r="K44" s="10" t="e">
        <f t="shared" si="29"/>
        <v>#DIV/0!</v>
      </c>
      <c r="L44" s="10">
        <v>0</v>
      </c>
      <c r="M44" s="6">
        <v>0</v>
      </c>
      <c r="N44" s="10">
        <f t="shared" si="30"/>
        <v>2504.4444444444443</v>
      </c>
      <c r="O44" s="10">
        <v>4508</v>
      </c>
      <c r="P44" s="6">
        <v>1.8</v>
      </c>
      <c r="Q44" s="12" t="e">
        <f t="shared" si="31"/>
        <v>#DIV/0!</v>
      </c>
      <c r="R44" s="10">
        <v>0</v>
      </c>
      <c r="S44" s="6">
        <v>0</v>
      </c>
      <c r="T44" s="12">
        <f t="shared" si="32"/>
        <v>2458.6206896551726</v>
      </c>
      <c r="U44" s="10">
        <v>7130</v>
      </c>
      <c r="V44" s="6">
        <v>2.9</v>
      </c>
      <c r="W44" s="10" t="e">
        <f t="shared" si="33"/>
        <v>#DIV/0!</v>
      </c>
      <c r="X44" s="10">
        <v>0</v>
      </c>
      <c r="Y44" s="6">
        <v>0</v>
      </c>
      <c r="Z44" s="10">
        <f t="shared" si="34"/>
        <v>2679.2307692307695</v>
      </c>
      <c r="AA44" s="10">
        <v>10449</v>
      </c>
      <c r="AB44" s="6">
        <v>3.9</v>
      </c>
      <c r="AC44" s="10" t="e">
        <f t="shared" si="35"/>
        <v>#DIV/0!</v>
      </c>
      <c r="AD44" s="10">
        <v>0</v>
      </c>
      <c r="AE44" s="6">
        <v>0</v>
      </c>
      <c r="AF44" s="10" t="e">
        <f t="shared" si="36"/>
        <v>#DIV/0!</v>
      </c>
      <c r="AG44" s="10">
        <v>0</v>
      </c>
      <c r="AH44" s="6">
        <v>0</v>
      </c>
      <c r="AI44" s="10" t="e">
        <f t="shared" si="37"/>
        <v>#DIV/0!</v>
      </c>
      <c r="AJ44" s="10">
        <v>0</v>
      </c>
      <c r="AK44" s="6">
        <v>0</v>
      </c>
      <c r="AL44" s="10" t="e">
        <f t="shared" si="38"/>
        <v>#DIV/0!</v>
      </c>
      <c r="AM44" s="10">
        <v>0</v>
      </c>
      <c r="AN44" s="6">
        <v>0</v>
      </c>
      <c r="AO44" s="10">
        <f t="shared" si="25"/>
        <v>2568.2558139534885</v>
      </c>
      <c r="AP44" s="10">
        <f t="shared" si="26"/>
        <v>22087</v>
      </c>
      <c r="AQ44" s="6">
        <f t="shared" si="26"/>
        <v>8.6</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7" t="s">
        <v>18</v>
      </c>
      <c r="B45" s="23"/>
      <c r="C45" s="23"/>
      <c r="D45" s="23"/>
      <c r="E45" s="11" t="e">
        <f t="shared" si="27"/>
        <v>#DIV/0!</v>
      </c>
      <c r="F45" s="11">
        <v>0</v>
      </c>
      <c r="G45" s="9">
        <v>0</v>
      </c>
      <c r="H45" s="8" t="e">
        <f t="shared" si="28"/>
        <v>#DIV/0!</v>
      </c>
      <c r="I45" s="11">
        <v>0</v>
      </c>
      <c r="J45" s="9">
        <v>0</v>
      </c>
      <c r="K45" s="16">
        <f t="shared" si="29"/>
        <v>4738.75</v>
      </c>
      <c r="L45" s="8">
        <v>3791</v>
      </c>
      <c r="M45" s="9">
        <v>0.8</v>
      </c>
      <c r="N45" s="16" t="e">
        <f t="shared" si="30"/>
        <v>#DIV/0!</v>
      </c>
      <c r="O45" s="8">
        <v>0</v>
      </c>
      <c r="P45" s="9">
        <v>0</v>
      </c>
      <c r="Q45" s="8">
        <f t="shared" si="31"/>
        <v>5666</v>
      </c>
      <c r="R45" s="11">
        <v>2833</v>
      </c>
      <c r="S45" s="9">
        <v>0.5</v>
      </c>
      <c r="T45" s="8">
        <f t="shared" si="32"/>
        <v>3778.8888888888887</v>
      </c>
      <c r="U45" s="11">
        <v>6802</v>
      </c>
      <c r="V45" s="9">
        <v>1.8</v>
      </c>
      <c r="W45" s="11" t="e">
        <f t="shared" si="33"/>
        <v>#DIV/0!</v>
      </c>
      <c r="X45" s="11">
        <v>0</v>
      </c>
      <c r="Y45" s="9">
        <v>0</v>
      </c>
      <c r="Z45" s="11">
        <f t="shared" si="34"/>
        <v>1992.6315789473686</v>
      </c>
      <c r="AA45" s="11">
        <v>3786</v>
      </c>
      <c r="AB45" s="9">
        <v>1.9</v>
      </c>
      <c r="AC45" s="11" t="e">
        <f t="shared" si="35"/>
        <v>#DIV/0!</v>
      </c>
      <c r="AD45" s="11">
        <v>0</v>
      </c>
      <c r="AE45" s="9">
        <v>0</v>
      </c>
      <c r="AF45" s="8">
        <f t="shared" si="36"/>
        <v>3652.1428571428573</v>
      </c>
      <c r="AG45" s="11">
        <v>5113</v>
      </c>
      <c r="AH45" s="9">
        <v>1.4</v>
      </c>
      <c r="AI45" s="11" t="e">
        <f t="shared" si="37"/>
        <v>#DIV/0!</v>
      </c>
      <c r="AJ45" s="11">
        <v>0</v>
      </c>
      <c r="AK45" s="9">
        <v>0</v>
      </c>
      <c r="AL45" s="11" t="e">
        <f t="shared" si="38"/>
        <v>#DIV/0!</v>
      </c>
      <c r="AM45" s="11">
        <v>0</v>
      </c>
      <c r="AN45" s="9">
        <v>0</v>
      </c>
      <c r="AO45" s="11">
        <f t="shared" si="25"/>
        <v>3488.28125</v>
      </c>
      <c r="AP45" s="8">
        <f t="shared" si="26"/>
        <v>22325</v>
      </c>
      <c r="AQ45" s="9">
        <f t="shared" si="26"/>
        <v>6.4</v>
      </c>
    </row>
    <row r="46" spans="1:67" x14ac:dyDescent="0.3">
      <c r="A46" s="7" t="s">
        <v>31</v>
      </c>
      <c r="B46" s="23"/>
      <c r="C46" s="23"/>
      <c r="D46" s="23"/>
      <c r="E46" s="8" t="e">
        <f t="shared" si="27"/>
        <v>#DIV/0!</v>
      </c>
      <c r="F46" s="8">
        <v>0</v>
      </c>
      <c r="G46" s="9">
        <v>0</v>
      </c>
      <c r="H46" s="8" t="e">
        <f t="shared" si="28"/>
        <v>#DIV/0!</v>
      </c>
      <c r="I46" s="8">
        <v>0</v>
      </c>
      <c r="J46" s="9">
        <v>0</v>
      </c>
      <c r="K46" s="8" t="e">
        <f t="shared" si="29"/>
        <v>#DIV/0!</v>
      </c>
      <c r="L46" s="8">
        <v>0</v>
      </c>
      <c r="M46" s="9">
        <v>0</v>
      </c>
      <c r="N46" s="8">
        <f t="shared" si="30"/>
        <v>1755.2631578947369</v>
      </c>
      <c r="O46" s="8">
        <v>3335</v>
      </c>
      <c r="P46" s="9">
        <v>1.9</v>
      </c>
      <c r="Q46" s="8" t="e">
        <f t="shared" si="31"/>
        <v>#DIV/0!</v>
      </c>
      <c r="R46" s="8">
        <v>0</v>
      </c>
      <c r="S46" s="9">
        <v>0</v>
      </c>
      <c r="T46" s="8" t="e">
        <f t="shared" si="32"/>
        <v>#DIV/0!</v>
      </c>
      <c r="U46" s="8">
        <v>0</v>
      </c>
      <c r="V46" s="9">
        <v>0</v>
      </c>
      <c r="W46" s="8">
        <f t="shared" si="33"/>
        <v>1755.2631578947369</v>
      </c>
      <c r="X46" s="8">
        <v>3335</v>
      </c>
      <c r="Y46" s="9">
        <v>1.9</v>
      </c>
      <c r="Z46" s="8" t="e">
        <f t="shared" si="34"/>
        <v>#DIV/0!</v>
      </c>
      <c r="AA46" s="8">
        <v>0</v>
      </c>
      <c r="AB46" s="9">
        <v>0</v>
      </c>
      <c r="AC46" s="8">
        <f t="shared" si="35"/>
        <v>2321.7647058823532</v>
      </c>
      <c r="AD46" s="8">
        <v>7894</v>
      </c>
      <c r="AE46" s="9">
        <v>3.4</v>
      </c>
      <c r="AF46" s="8">
        <f t="shared" si="36"/>
        <v>3107.6536312849166</v>
      </c>
      <c r="AG46" s="8">
        <v>55627</v>
      </c>
      <c r="AH46" s="9">
        <v>17.899999999999999</v>
      </c>
      <c r="AI46" s="8" t="e">
        <f t="shared" si="37"/>
        <v>#DIV/0!</v>
      </c>
      <c r="AJ46" s="8">
        <v>0</v>
      </c>
      <c r="AK46" s="9">
        <v>0</v>
      </c>
      <c r="AL46" s="8" t="e">
        <f t="shared" si="38"/>
        <v>#DIV/0!</v>
      </c>
      <c r="AM46" s="8">
        <v>0</v>
      </c>
      <c r="AN46" s="9">
        <v>0</v>
      </c>
      <c r="AO46" s="8">
        <f t="shared" si="25"/>
        <v>2796.4541832669324</v>
      </c>
      <c r="AP46" s="8">
        <f t="shared" si="26"/>
        <v>70191</v>
      </c>
      <c r="AQ46" s="9">
        <f t="shared" si="26"/>
        <v>25.099999999999998</v>
      </c>
    </row>
    <row r="47" spans="1:67" x14ac:dyDescent="0.3">
      <c r="A47" s="7" t="s">
        <v>80</v>
      </c>
      <c r="B47" s="23"/>
      <c r="C47" s="23"/>
      <c r="D47" s="23"/>
      <c r="E47" s="8">
        <f t="shared" si="27"/>
        <v>1639.5282051282052</v>
      </c>
      <c r="F47" s="8">
        <v>639416</v>
      </c>
      <c r="G47" s="9">
        <v>390</v>
      </c>
      <c r="H47" s="8" t="e">
        <f t="shared" si="28"/>
        <v>#DIV/0!</v>
      </c>
      <c r="I47" s="8">
        <v>0</v>
      </c>
      <c r="J47" s="9">
        <v>0</v>
      </c>
      <c r="K47" s="8" t="e">
        <f t="shared" si="29"/>
        <v>#DIV/0!</v>
      </c>
      <c r="L47" s="8">
        <v>0</v>
      </c>
      <c r="M47" s="9">
        <v>0</v>
      </c>
      <c r="N47" s="8" t="e">
        <f t="shared" si="30"/>
        <v>#DIV/0!</v>
      </c>
      <c r="O47" s="8">
        <v>0</v>
      </c>
      <c r="P47" s="9">
        <v>0</v>
      </c>
      <c r="Q47" s="8" t="e">
        <f t="shared" si="31"/>
        <v>#DIV/0!</v>
      </c>
      <c r="R47" s="8">
        <v>0</v>
      </c>
      <c r="S47" s="9">
        <v>0</v>
      </c>
      <c r="T47" s="8" t="e">
        <f t="shared" si="32"/>
        <v>#DIV/0!</v>
      </c>
      <c r="U47" s="8">
        <v>0</v>
      </c>
      <c r="V47" s="9">
        <v>0</v>
      </c>
      <c r="W47" s="8" t="e">
        <f t="shared" si="33"/>
        <v>#DIV/0!</v>
      </c>
      <c r="X47" s="8">
        <v>0</v>
      </c>
      <c r="Y47" s="9">
        <v>0</v>
      </c>
      <c r="Z47" s="8" t="e">
        <f t="shared" si="34"/>
        <v>#DIV/0!</v>
      </c>
      <c r="AA47" s="8">
        <v>0</v>
      </c>
      <c r="AB47" s="9">
        <v>0</v>
      </c>
      <c r="AC47" s="8">
        <f t="shared" si="35"/>
        <v>1730.386</v>
      </c>
      <c r="AD47" s="8">
        <v>865193</v>
      </c>
      <c r="AE47" s="9">
        <v>500</v>
      </c>
      <c r="AF47" s="8" t="e">
        <f t="shared" si="36"/>
        <v>#DIV/0!</v>
      </c>
      <c r="AG47" s="8">
        <v>0</v>
      </c>
      <c r="AH47" s="9">
        <v>0</v>
      </c>
      <c r="AI47" s="8" t="e">
        <f t="shared" si="37"/>
        <v>#DIV/0!</v>
      </c>
      <c r="AJ47" s="8">
        <v>0</v>
      </c>
      <c r="AK47" s="9">
        <v>0</v>
      </c>
      <c r="AL47" s="8" t="e">
        <f t="shared" si="38"/>
        <v>#DIV/0!</v>
      </c>
      <c r="AM47" s="8">
        <v>0</v>
      </c>
      <c r="AN47" s="9">
        <v>0</v>
      </c>
      <c r="AO47" s="8">
        <f t="shared" si="25"/>
        <v>1690.5719101123595</v>
      </c>
      <c r="AP47" s="8">
        <f t="shared" si="26"/>
        <v>1504609</v>
      </c>
      <c r="AQ47" s="9">
        <f t="shared" si="26"/>
        <v>890</v>
      </c>
    </row>
    <row r="48" spans="1:67" x14ac:dyDescent="0.3">
      <c r="A48" s="7" t="s">
        <v>89</v>
      </c>
      <c r="B48" s="23"/>
      <c r="C48" s="23"/>
      <c r="D48" s="23"/>
      <c r="E48" s="8" t="e">
        <f t="shared" si="27"/>
        <v>#DIV/0!</v>
      </c>
      <c r="F48" s="8">
        <v>0</v>
      </c>
      <c r="G48" s="9">
        <v>0</v>
      </c>
      <c r="H48" s="8" t="e">
        <f t="shared" si="28"/>
        <v>#DIV/0!</v>
      </c>
      <c r="I48" s="8">
        <v>0</v>
      </c>
      <c r="J48" s="9">
        <v>0</v>
      </c>
      <c r="K48" s="8" t="e">
        <f t="shared" si="29"/>
        <v>#DIV/0!</v>
      </c>
      <c r="L48" s="8">
        <v>0</v>
      </c>
      <c r="M48" s="9">
        <v>0</v>
      </c>
      <c r="N48" s="8" t="e">
        <f t="shared" si="30"/>
        <v>#DIV/0!</v>
      </c>
      <c r="O48" s="8">
        <v>0</v>
      </c>
      <c r="P48" s="9">
        <v>0</v>
      </c>
      <c r="Q48" s="8" t="e">
        <f t="shared" si="31"/>
        <v>#DIV/0!</v>
      </c>
      <c r="R48" s="8">
        <v>0</v>
      </c>
      <c r="S48" s="9">
        <v>0</v>
      </c>
      <c r="T48" s="8" t="e">
        <f t="shared" si="32"/>
        <v>#DIV/0!</v>
      </c>
      <c r="U48" s="8">
        <v>0</v>
      </c>
      <c r="V48" s="9">
        <v>0</v>
      </c>
      <c r="W48" s="8">
        <f t="shared" si="33"/>
        <v>1773.75</v>
      </c>
      <c r="X48" s="8">
        <v>2838</v>
      </c>
      <c r="Y48" s="9">
        <v>1.6</v>
      </c>
      <c r="Z48" s="8" t="e">
        <f t="shared" si="34"/>
        <v>#DIV/0!</v>
      </c>
      <c r="AA48" s="8">
        <v>0</v>
      </c>
      <c r="AB48" s="9">
        <v>0</v>
      </c>
      <c r="AC48" s="8" t="e">
        <f t="shared" si="35"/>
        <v>#DIV/0!</v>
      </c>
      <c r="AD48" s="8">
        <v>0</v>
      </c>
      <c r="AE48" s="9">
        <v>0</v>
      </c>
      <c r="AF48" s="8" t="e">
        <f t="shared" si="36"/>
        <v>#DIV/0!</v>
      </c>
      <c r="AG48" s="8">
        <v>0</v>
      </c>
      <c r="AH48" s="9">
        <v>0</v>
      </c>
      <c r="AI48" s="8" t="e">
        <f t="shared" si="37"/>
        <v>#DIV/0!</v>
      </c>
      <c r="AJ48" s="8">
        <v>0</v>
      </c>
      <c r="AK48" s="9">
        <v>0</v>
      </c>
      <c r="AL48" s="8" t="e">
        <f t="shared" si="38"/>
        <v>#DIV/0!</v>
      </c>
      <c r="AM48" s="8">
        <v>0</v>
      </c>
      <c r="AN48" s="9">
        <v>0</v>
      </c>
      <c r="AO48" s="8">
        <f t="shared" si="25"/>
        <v>1773.75</v>
      </c>
      <c r="AP48" s="8">
        <f t="shared" si="26"/>
        <v>2838</v>
      </c>
      <c r="AQ48" s="9">
        <f t="shared" si="26"/>
        <v>1.6</v>
      </c>
    </row>
    <row r="49" spans="1:43" x14ac:dyDescent="0.3">
      <c r="A49" s="7" t="s">
        <v>50</v>
      </c>
      <c r="B49" s="23"/>
      <c r="C49" s="23"/>
      <c r="D49" s="23"/>
      <c r="E49" s="8" t="e">
        <f t="shared" si="27"/>
        <v>#DIV/0!</v>
      </c>
      <c r="F49" s="8">
        <v>0</v>
      </c>
      <c r="G49" s="9">
        <v>0</v>
      </c>
      <c r="H49" s="8" t="e">
        <f t="shared" si="28"/>
        <v>#DIV/0!</v>
      </c>
      <c r="I49" s="8">
        <v>0</v>
      </c>
      <c r="J49" s="9">
        <v>0</v>
      </c>
      <c r="K49" s="8" t="e">
        <f t="shared" si="29"/>
        <v>#DIV/0!</v>
      </c>
      <c r="L49" s="8">
        <v>0</v>
      </c>
      <c r="M49" s="9">
        <v>0</v>
      </c>
      <c r="N49" s="8">
        <f t="shared" si="30"/>
        <v>938.82352941176475</v>
      </c>
      <c r="O49" s="8">
        <v>3192</v>
      </c>
      <c r="P49" s="9">
        <v>3.4</v>
      </c>
      <c r="Q49" s="8" t="e">
        <f t="shared" si="31"/>
        <v>#DIV/0!</v>
      </c>
      <c r="R49" s="8">
        <v>0</v>
      </c>
      <c r="S49" s="9">
        <v>0</v>
      </c>
      <c r="T49" s="8" t="e">
        <f t="shared" si="32"/>
        <v>#DIV/0!</v>
      </c>
      <c r="U49" s="8">
        <v>0</v>
      </c>
      <c r="V49" s="9">
        <v>0</v>
      </c>
      <c r="W49" s="8" t="e">
        <f t="shared" si="33"/>
        <v>#DIV/0!</v>
      </c>
      <c r="X49" s="8">
        <v>0</v>
      </c>
      <c r="Y49" s="9">
        <v>0</v>
      </c>
      <c r="Z49" s="8" t="e">
        <f t="shared" si="34"/>
        <v>#DIV/0!</v>
      </c>
      <c r="AA49" s="8">
        <v>0</v>
      </c>
      <c r="AB49" s="9">
        <v>0</v>
      </c>
      <c r="AC49" s="8" t="e">
        <f t="shared" si="35"/>
        <v>#DIV/0!</v>
      </c>
      <c r="AD49" s="8">
        <v>0</v>
      </c>
      <c r="AE49" s="9">
        <v>0</v>
      </c>
      <c r="AF49" s="8">
        <f t="shared" si="36"/>
        <v>4382.5</v>
      </c>
      <c r="AG49" s="8">
        <v>3506</v>
      </c>
      <c r="AH49" s="9">
        <v>0.8</v>
      </c>
      <c r="AI49" s="8" t="e">
        <f t="shared" si="37"/>
        <v>#DIV/0!</v>
      </c>
      <c r="AJ49" s="8">
        <v>0</v>
      </c>
      <c r="AK49" s="9">
        <v>0</v>
      </c>
      <c r="AL49" s="8" t="e">
        <f t="shared" si="38"/>
        <v>#DIV/0!</v>
      </c>
      <c r="AM49" s="8">
        <v>0</v>
      </c>
      <c r="AN49" s="9">
        <v>0</v>
      </c>
      <c r="AO49" s="8">
        <f t="shared" si="25"/>
        <v>1594.7619047619046</v>
      </c>
      <c r="AP49" s="8">
        <f t="shared" si="26"/>
        <v>6698</v>
      </c>
      <c r="AQ49" s="9">
        <f t="shared" si="26"/>
        <v>4.2</v>
      </c>
    </row>
    <row r="50" spans="1:43" x14ac:dyDescent="0.3">
      <c r="A50" s="7" t="s">
        <v>90</v>
      </c>
      <c r="B50" s="23"/>
      <c r="C50" s="23"/>
      <c r="D50" s="23"/>
      <c r="E50" s="8" t="e">
        <f t="shared" si="27"/>
        <v>#DIV/0!</v>
      </c>
      <c r="F50" s="8">
        <v>0</v>
      </c>
      <c r="G50" s="9">
        <v>0</v>
      </c>
      <c r="H50" s="8">
        <f t="shared" si="28"/>
        <v>1474</v>
      </c>
      <c r="I50" s="8">
        <v>29480</v>
      </c>
      <c r="J50" s="9">
        <v>20</v>
      </c>
      <c r="K50" s="8" t="e">
        <f t="shared" si="29"/>
        <v>#DIV/0!</v>
      </c>
      <c r="L50" s="8">
        <v>0</v>
      </c>
      <c r="M50" s="9">
        <v>0</v>
      </c>
      <c r="N50" s="8" t="e">
        <f t="shared" si="30"/>
        <v>#DIV/0!</v>
      </c>
      <c r="O50" s="8">
        <v>0</v>
      </c>
      <c r="P50" s="9">
        <v>0</v>
      </c>
      <c r="Q50" s="8" t="e">
        <f t="shared" si="31"/>
        <v>#DIV/0!</v>
      </c>
      <c r="R50" s="8">
        <v>0</v>
      </c>
      <c r="S50" s="9">
        <v>0</v>
      </c>
      <c r="T50" s="8" t="e">
        <f t="shared" si="32"/>
        <v>#DIV/0!</v>
      </c>
      <c r="U50" s="8">
        <v>0</v>
      </c>
      <c r="V50" s="9">
        <v>0</v>
      </c>
      <c r="W50" s="8" t="e">
        <f t="shared" si="33"/>
        <v>#DIV/0!</v>
      </c>
      <c r="X50" s="8">
        <v>0</v>
      </c>
      <c r="Y50" s="9">
        <v>0</v>
      </c>
      <c r="Z50" s="8" t="e">
        <f t="shared" si="34"/>
        <v>#DIV/0!</v>
      </c>
      <c r="AA50" s="8">
        <v>0</v>
      </c>
      <c r="AB50" s="9">
        <v>0</v>
      </c>
      <c r="AC50" s="8" t="e">
        <f t="shared" si="35"/>
        <v>#DIV/0!</v>
      </c>
      <c r="AD50" s="8">
        <v>0</v>
      </c>
      <c r="AE50" s="9">
        <v>0</v>
      </c>
      <c r="AF50" s="8" t="e">
        <f t="shared" si="36"/>
        <v>#DIV/0!</v>
      </c>
      <c r="AG50" s="8">
        <v>0</v>
      </c>
      <c r="AH50" s="9">
        <v>0</v>
      </c>
      <c r="AI50" s="8" t="e">
        <f t="shared" si="37"/>
        <v>#DIV/0!</v>
      </c>
      <c r="AJ50" s="8">
        <v>0</v>
      </c>
      <c r="AK50" s="9">
        <v>0</v>
      </c>
      <c r="AL50" s="8" t="e">
        <f t="shared" si="38"/>
        <v>#DIV/0!</v>
      </c>
      <c r="AM50" s="8">
        <v>0</v>
      </c>
      <c r="AN50" s="9">
        <v>0</v>
      </c>
      <c r="AO50" s="8">
        <f t="shared" si="25"/>
        <v>1474</v>
      </c>
      <c r="AP50" s="8">
        <f t="shared" si="26"/>
        <v>29480</v>
      </c>
      <c r="AQ50" s="9">
        <f t="shared" si="26"/>
        <v>20</v>
      </c>
    </row>
    <row r="51" spans="1:43" x14ac:dyDescent="0.3">
      <c r="A51" s="17" t="s">
        <v>81</v>
      </c>
      <c r="B51" s="23"/>
      <c r="C51" s="23"/>
      <c r="D51" s="23"/>
      <c r="E51" s="8" t="e">
        <f t="shared" si="27"/>
        <v>#DIV/0!</v>
      </c>
      <c r="F51" s="8">
        <v>0</v>
      </c>
      <c r="G51" s="9">
        <v>0</v>
      </c>
      <c r="H51" s="8" t="e">
        <f t="shared" si="28"/>
        <v>#DIV/0!</v>
      </c>
      <c r="I51" s="8">
        <v>0</v>
      </c>
      <c r="J51" s="9">
        <v>0</v>
      </c>
      <c r="K51" s="8" t="e">
        <f t="shared" si="29"/>
        <v>#DIV/0!</v>
      </c>
      <c r="L51" s="8">
        <v>0</v>
      </c>
      <c r="M51" s="9">
        <v>0</v>
      </c>
      <c r="N51" s="8">
        <f t="shared" si="30"/>
        <v>1478.1435154707044</v>
      </c>
      <c r="O51" s="8">
        <v>224530</v>
      </c>
      <c r="P51" s="9">
        <v>151.9</v>
      </c>
      <c r="Q51" s="8">
        <f t="shared" si="31"/>
        <v>2726.25</v>
      </c>
      <c r="R51" s="8">
        <v>8724</v>
      </c>
      <c r="S51" s="9">
        <v>3.2</v>
      </c>
      <c r="T51" s="8" t="e">
        <f t="shared" si="32"/>
        <v>#DIV/0!</v>
      </c>
      <c r="U51" s="8">
        <v>0</v>
      </c>
      <c r="V51" s="9">
        <v>0</v>
      </c>
      <c r="W51" s="8" t="e">
        <f t="shared" si="33"/>
        <v>#DIV/0!</v>
      </c>
      <c r="X51" s="8">
        <v>0</v>
      </c>
      <c r="Y51" s="9">
        <v>0</v>
      </c>
      <c r="Z51" s="8">
        <f t="shared" si="34"/>
        <v>1290.01500150015</v>
      </c>
      <c r="AA51" s="8">
        <v>2579772</v>
      </c>
      <c r="AB51" s="9">
        <v>1999.8</v>
      </c>
      <c r="AC51" s="8">
        <f t="shared" si="35"/>
        <v>1310.0009991008094</v>
      </c>
      <c r="AD51" s="8">
        <v>1311180</v>
      </c>
      <c r="AE51" s="9">
        <v>1000.9</v>
      </c>
      <c r="AF51" s="8" t="e">
        <f t="shared" si="36"/>
        <v>#DIV/0!</v>
      </c>
      <c r="AG51" s="8">
        <v>0</v>
      </c>
      <c r="AH51" s="9">
        <v>0</v>
      </c>
      <c r="AI51" s="8" t="e">
        <f t="shared" si="37"/>
        <v>#DIV/0!</v>
      </c>
      <c r="AJ51" s="8">
        <v>0</v>
      </c>
      <c r="AK51" s="9">
        <v>0</v>
      </c>
      <c r="AL51" s="8" t="e">
        <f t="shared" si="38"/>
        <v>#DIV/0!</v>
      </c>
      <c r="AM51" s="8">
        <v>0</v>
      </c>
      <c r="AN51" s="9">
        <v>0</v>
      </c>
      <c r="AO51" s="8">
        <f t="shared" si="25"/>
        <v>1306.8654540845428</v>
      </c>
      <c r="AP51" s="8">
        <f t="shared" si="26"/>
        <v>4124206</v>
      </c>
      <c r="AQ51" s="9">
        <f t="shared" si="26"/>
        <v>3155.8</v>
      </c>
    </row>
    <row r="52" spans="1:43" x14ac:dyDescent="0.3">
      <c r="A52" s="17" t="s">
        <v>77</v>
      </c>
      <c r="B52" s="23"/>
      <c r="C52" s="23"/>
      <c r="D52" s="23"/>
      <c r="E52" s="8" t="e">
        <f t="shared" si="27"/>
        <v>#DIV/0!</v>
      </c>
      <c r="F52" s="8">
        <v>0</v>
      </c>
      <c r="G52" s="9">
        <v>0</v>
      </c>
      <c r="H52" s="8" t="e">
        <f t="shared" si="28"/>
        <v>#DIV/0!</v>
      </c>
      <c r="I52" s="8">
        <v>0</v>
      </c>
      <c r="J52" s="9">
        <v>0</v>
      </c>
      <c r="K52" s="8">
        <f t="shared" si="29"/>
        <v>3182.1428571428569</v>
      </c>
      <c r="L52" s="8">
        <v>31185</v>
      </c>
      <c r="M52" s="9">
        <v>9.8000000000000007</v>
      </c>
      <c r="N52" s="8" t="e">
        <f t="shared" si="30"/>
        <v>#DIV/0!</v>
      </c>
      <c r="O52" s="8">
        <v>0</v>
      </c>
      <c r="P52" s="9">
        <v>0</v>
      </c>
      <c r="Q52" s="8" t="e">
        <f t="shared" si="31"/>
        <v>#DIV/0!</v>
      </c>
      <c r="R52" s="8">
        <v>0</v>
      </c>
      <c r="S52" s="9">
        <v>0</v>
      </c>
      <c r="T52" s="8" t="e">
        <f t="shared" si="32"/>
        <v>#DIV/0!</v>
      </c>
      <c r="U52" s="8">
        <v>0</v>
      </c>
      <c r="V52" s="9">
        <v>0</v>
      </c>
      <c r="W52" s="8" t="e">
        <f t="shared" si="33"/>
        <v>#DIV/0!</v>
      </c>
      <c r="X52" s="8">
        <v>0</v>
      </c>
      <c r="Y52" s="9">
        <v>0</v>
      </c>
      <c r="Z52" s="8" t="e">
        <f t="shared" si="34"/>
        <v>#DIV/0!</v>
      </c>
      <c r="AA52" s="8">
        <v>0</v>
      </c>
      <c r="AB52" s="9">
        <v>0</v>
      </c>
      <c r="AC52" s="8" t="e">
        <f t="shared" si="35"/>
        <v>#DIV/0!</v>
      </c>
      <c r="AD52" s="8">
        <v>0</v>
      </c>
      <c r="AE52" s="9">
        <v>0</v>
      </c>
      <c r="AF52" s="8" t="e">
        <f t="shared" si="36"/>
        <v>#DIV/0!</v>
      </c>
      <c r="AG52" s="8">
        <v>0</v>
      </c>
      <c r="AH52" s="9">
        <v>0</v>
      </c>
      <c r="AI52" s="8" t="e">
        <f t="shared" si="37"/>
        <v>#DIV/0!</v>
      </c>
      <c r="AJ52" s="8">
        <v>0</v>
      </c>
      <c r="AK52" s="9">
        <v>0</v>
      </c>
      <c r="AL52" s="8" t="e">
        <f t="shared" si="38"/>
        <v>#DIV/0!</v>
      </c>
      <c r="AM52" s="8">
        <v>0</v>
      </c>
      <c r="AN52" s="9">
        <v>0</v>
      </c>
      <c r="AO52" s="8">
        <f t="shared" si="25"/>
        <v>3182.1428571428569</v>
      </c>
      <c r="AP52" s="8">
        <f t="shared" si="26"/>
        <v>31185</v>
      </c>
      <c r="AQ52" s="9">
        <f t="shared" si="26"/>
        <v>9.8000000000000007</v>
      </c>
    </row>
    <row r="53" spans="1:43" x14ac:dyDescent="0.3">
      <c r="A53" s="17" t="s">
        <v>35</v>
      </c>
      <c r="B53" s="23"/>
      <c r="C53" s="23"/>
      <c r="D53" s="23"/>
      <c r="E53" s="8" t="e">
        <f t="shared" si="27"/>
        <v>#DIV/0!</v>
      </c>
      <c r="F53" s="8">
        <v>0</v>
      </c>
      <c r="G53" s="9">
        <v>0</v>
      </c>
      <c r="H53" s="8" t="e">
        <f t="shared" si="28"/>
        <v>#DIV/0!</v>
      </c>
      <c r="I53" s="8">
        <v>0</v>
      </c>
      <c r="J53" s="9">
        <v>0</v>
      </c>
      <c r="K53" s="8">
        <f t="shared" si="29"/>
        <v>2580.2280130293161</v>
      </c>
      <c r="L53" s="8">
        <v>79213</v>
      </c>
      <c r="M53" s="9">
        <v>30.7</v>
      </c>
      <c r="N53" s="8">
        <f t="shared" si="30"/>
        <v>2562.4456521739135</v>
      </c>
      <c r="O53" s="8">
        <v>94298</v>
      </c>
      <c r="P53" s="9">
        <v>36.799999999999997</v>
      </c>
      <c r="Q53" s="8">
        <f t="shared" si="31"/>
        <v>2368.8888888888887</v>
      </c>
      <c r="R53" s="8">
        <v>53300</v>
      </c>
      <c r="S53" s="9">
        <v>22.5</v>
      </c>
      <c r="T53" s="8" t="e">
        <f t="shared" si="32"/>
        <v>#DIV/0!</v>
      </c>
      <c r="U53" s="8">
        <v>0</v>
      </c>
      <c r="V53" s="9">
        <v>0</v>
      </c>
      <c r="W53" s="8" t="e">
        <f t="shared" si="33"/>
        <v>#DIV/0!</v>
      </c>
      <c r="X53" s="8">
        <v>0</v>
      </c>
      <c r="Y53" s="9">
        <v>0</v>
      </c>
      <c r="Z53" s="8" t="e">
        <f t="shared" si="34"/>
        <v>#DIV/0!</v>
      </c>
      <c r="AA53" s="8">
        <v>0</v>
      </c>
      <c r="AB53" s="9">
        <v>0</v>
      </c>
      <c r="AC53" s="8" t="e">
        <f t="shared" si="35"/>
        <v>#DIV/0!</v>
      </c>
      <c r="AD53" s="8">
        <v>0</v>
      </c>
      <c r="AE53" s="9">
        <v>0</v>
      </c>
      <c r="AF53" s="8" t="e">
        <f t="shared" si="36"/>
        <v>#DIV/0!</v>
      </c>
      <c r="AG53" s="8">
        <v>0</v>
      </c>
      <c r="AH53" s="9">
        <v>0</v>
      </c>
      <c r="AI53" s="8" t="e">
        <f t="shared" si="37"/>
        <v>#DIV/0!</v>
      </c>
      <c r="AJ53" s="8">
        <v>0</v>
      </c>
      <c r="AK53" s="9">
        <v>0</v>
      </c>
      <c r="AL53" s="8" t="e">
        <f t="shared" si="38"/>
        <v>#DIV/0!</v>
      </c>
      <c r="AM53" s="8">
        <v>0</v>
      </c>
      <c r="AN53" s="9">
        <v>0</v>
      </c>
      <c r="AO53" s="8">
        <f t="shared" si="25"/>
        <v>2520.1222222222223</v>
      </c>
      <c r="AP53" s="8">
        <f t="shared" si="26"/>
        <v>226811</v>
      </c>
      <c r="AQ53" s="9">
        <f t="shared" si="26"/>
        <v>90</v>
      </c>
    </row>
    <row r="54" spans="1:43" x14ac:dyDescent="0.3">
      <c r="A54" s="17" t="s">
        <v>78</v>
      </c>
      <c r="B54" s="23"/>
      <c r="C54" s="23"/>
      <c r="D54" s="23"/>
      <c r="E54" s="8" t="e">
        <f t="shared" si="27"/>
        <v>#DIV/0!</v>
      </c>
      <c r="F54" s="8">
        <v>0</v>
      </c>
      <c r="G54" s="9">
        <v>0</v>
      </c>
      <c r="H54" s="8" t="e">
        <f t="shared" si="28"/>
        <v>#DIV/0!</v>
      </c>
      <c r="I54" s="8">
        <v>0</v>
      </c>
      <c r="J54" s="9">
        <v>0</v>
      </c>
      <c r="K54" s="8" t="e">
        <f t="shared" si="29"/>
        <v>#DIV/0!</v>
      </c>
      <c r="L54" s="8">
        <v>0</v>
      </c>
      <c r="M54" s="9">
        <v>0</v>
      </c>
      <c r="N54" s="8" t="e">
        <f t="shared" si="30"/>
        <v>#DIV/0!</v>
      </c>
      <c r="O54" s="8">
        <v>0</v>
      </c>
      <c r="P54" s="9">
        <v>0</v>
      </c>
      <c r="Q54" s="8" t="e">
        <f t="shared" si="31"/>
        <v>#DIV/0!</v>
      </c>
      <c r="R54" s="8">
        <v>0</v>
      </c>
      <c r="S54" s="9">
        <v>0</v>
      </c>
      <c r="T54" s="8" t="e">
        <f t="shared" si="32"/>
        <v>#DIV/0!</v>
      </c>
      <c r="U54" s="8">
        <v>0</v>
      </c>
      <c r="V54" s="9">
        <v>0</v>
      </c>
      <c r="W54" s="8" t="e">
        <f t="shared" si="33"/>
        <v>#DIV/0!</v>
      </c>
      <c r="X54" s="8">
        <v>0</v>
      </c>
      <c r="Y54" s="9">
        <v>0</v>
      </c>
      <c r="Z54" s="8">
        <f t="shared" si="34"/>
        <v>1590.075</v>
      </c>
      <c r="AA54" s="8">
        <v>318015</v>
      </c>
      <c r="AB54" s="9">
        <v>200</v>
      </c>
      <c r="AC54" s="8" t="e">
        <f t="shared" si="35"/>
        <v>#DIV/0!</v>
      </c>
      <c r="AD54" s="8">
        <v>0</v>
      </c>
      <c r="AE54" s="9">
        <v>0</v>
      </c>
      <c r="AF54" s="8">
        <f t="shared" si="36"/>
        <v>1600.7947368421053</v>
      </c>
      <c r="AG54" s="8">
        <v>304151</v>
      </c>
      <c r="AH54" s="9">
        <v>190</v>
      </c>
      <c r="AI54" s="8" t="e">
        <f t="shared" si="37"/>
        <v>#DIV/0!</v>
      </c>
      <c r="AJ54" s="8">
        <v>0</v>
      </c>
      <c r="AK54" s="9">
        <v>0</v>
      </c>
      <c r="AL54" s="8" t="e">
        <f t="shared" si="38"/>
        <v>#DIV/0!</v>
      </c>
      <c r="AM54" s="8">
        <v>0</v>
      </c>
      <c r="AN54" s="9">
        <v>0</v>
      </c>
      <c r="AO54" s="8">
        <f t="shared" si="25"/>
        <v>1595.2974358974359</v>
      </c>
      <c r="AP54" s="8">
        <f t="shared" si="26"/>
        <v>622166</v>
      </c>
      <c r="AQ54" s="9">
        <f t="shared" si="26"/>
        <v>390</v>
      </c>
    </row>
    <row r="55" spans="1:43" x14ac:dyDescent="0.3">
      <c r="A55" s="17" t="s">
        <v>82</v>
      </c>
      <c r="B55" s="23"/>
      <c r="C55" s="23"/>
      <c r="D55" s="23"/>
      <c r="E55" s="8" t="e">
        <f t="shared" si="27"/>
        <v>#DIV/0!</v>
      </c>
      <c r="F55" s="8">
        <v>0</v>
      </c>
      <c r="G55" s="9">
        <v>0</v>
      </c>
      <c r="H55" s="8" t="e">
        <f t="shared" si="28"/>
        <v>#DIV/0!</v>
      </c>
      <c r="I55" s="8">
        <v>0</v>
      </c>
      <c r="J55" s="9">
        <v>0</v>
      </c>
      <c r="K55" s="8" t="e">
        <f t="shared" si="29"/>
        <v>#DIV/0!</v>
      </c>
      <c r="L55" s="8">
        <v>0</v>
      </c>
      <c r="M55" s="9">
        <v>0</v>
      </c>
      <c r="N55" s="8" t="e">
        <f t="shared" si="30"/>
        <v>#DIV/0!</v>
      </c>
      <c r="O55" s="8">
        <v>0</v>
      </c>
      <c r="P55" s="9">
        <v>0</v>
      </c>
      <c r="Q55" s="8" t="e">
        <f t="shared" si="31"/>
        <v>#DIV/0!</v>
      </c>
      <c r="R55" s="8">
        <v>0</v>
      </c>
      <c r="S55" s="9">
        <v>0</v>
      </c>
      <c r="T55" s="8" t="e">
        <f t="shared" si="32"/>
        <v>#DIV/0!</v>
      </c>
      <c r="U55" s="8">
        <v>0</v>
      </c>
      <c r="V55" s="9">
        <v>0</v>
      </c>
      <c r="W55" s="8" t="e">
        <f t="shared" si="33"/>
        <v>#DIV/0!</v>
      </c>
      <c r="X55" s="8">
        <v>0</v>
      </c>
      <c r="Y55" s="9">
        <v>0</v>
      </c>
      <c r="Z55" s="8">
        <f t="shared" si="34"/>
        <v>1292.0141766085958</v>
      </c>
      <c r="AA55" s="8">
        <v>2588292</v>
      </c>
      <c r="AB55" s="9">
        <v>2003.3</v>
      </c>
      <c r="AC55" s="8" t="e">
        <f t="shared" si="35"/>
        <v>#DIV/0!</v>
      </c>
      <c r="AD55" s="8">
        <v>0</v>
      </c>
      <c r="AE55" s="9">
        <v>0</v>
      </c>
      <c r="AF55" s="8" t="e">
        <f t="shared" si="36"/>
        <v>#DIV/0!</v>
      </c>
      <c r="AG55" s="8">
        <v>0</v>
      </c>
      <c r="AH55" s="9">
        <v>0</v>
      </c>
      <c r="AI55" s="8" t="e">
        <f t="shared" si="37"/>
        <v>#DIV/0!</v>
      </c>
      <c r="AJ55" s="8">
        <v>0</v>
      </c>
      <c r="AK55" s="9">
        <v>0</v>
      </c>
      <c r="AL55" s="8" t="e">
        <f t="shared" si="38"/>
        <v>#DIV/0!</v>
      </c>
      <c r="AM55" s="8">
        <v>0</v>
      </c>
      <c r="AN55" s="9">
        <v>0</v>
      </c>
      <c r="AO55" s="8">
        <f t="shared" si="25"/>
        <v>1292.0141766085958</v>
      </c>
      <c r="AP55" s="8">
        <f t="shared" si="26"/>
        <v>2588292</v>
      </c>
      <c r="AQ55" s="9">
        <f t="shared" si="26"/>
        <v>2003.3</v>
      </c>
    </row>
    <row r="56" spans="1:43" x14ac:dyDescent="0.3">
      <c r="A56" s="17" t="s">
        <v>37</v>
      </c>
      <c r="B56" s="23"/>
      <c r="C56" s="23"/>
      <c r="D56" s="23"/>
      <c r="E56" s="8" t="e">
        <f t="shared" si="27"/>
        <v>#DIV/0!</v>
      </c>
      <c r="F56" s="8">
        <v>0</v>
      </c>
      <c r="G56" s="9">
        <v>0</v>
      </c>
      <c r="H56" s="8" t="e">
        <f t="shared" si="28"/>
        <v>#DIV/0!</v>
      </c>
      <c r="I56" s="8">
        <v>0</v>
      </c>
      <c r="J56" s="9">
        <v>0</v>
      </c>
      <c r="K56" s="8" t="e">
        <f t="shared" si="29"/>
        <v>#DIV/0!</v>
      </c>
      <c r="L56" s="8">
        <v>0</v>
      </c>
      <c r="M56" s="9">
        <v>0</v>
      </c>
      <c r="N56" s="8" t="e">
        <f t="shared" si="30"/>
        <v>#DIV/0!</v>
      </c>
      <c r="O56" s="8">
        <v>0</v>
      </c>
      <c r="P56" s="9">
        <v>0</v>
      </c>
      <c r="Q56" s="8" t="e">
        <f t="shared" si="31"/>
        <v>#DIV/0!</v>
      </c>
      <c r="R56" s="8">
        <v>0</v>
      </c>
      <c r="S56" s="9">
        <v>0</v>
      </c>
      <c r="T56" s="8">
        <f t="shared" si="32"/>
        <v>2389.1176470588234</v>
      </c>
      <c r="U56" s="8">
        <v>8123</v>
      </c>
      <c r="V56" s="9">
        <v>3.4</v>
      </c>
      <c r="W56" s="8" t="e">
        <f t="shared" si="33"/>
        <v>#DIV/0!</v>
      </c>
      <c r="X56" s="8">
        <v>0</v>
      </c>
      <c r="Y56" s="9">
        <v>0</v>
      </c>
      <c r="Z56" s="8" t="e">
        <f t="shared" si="34"/>
        <v>#DIV/0!</v>
      </c>
      <c r="AA56" s="8">
        <v>0</v>
      </c>
      <c r="AB56" s="9">
        <v>0</v>
      </c>
      <c r="AC56" s="8" t="e">
        <f t="shared" si="35"/>
        <v>#DIV/0!</v>
      </c>
      <c r="AD56" s="8">
        <v>0</v>
      </c>
      <c r="AE56" s="9">
        <v>0</v>
      </c>
      <c r="AF56" s="8" t="e">
        <f t="shared" si="36"/>
        <v>#DIV/0!</v>
      </c>
      <c r="AG56" s="8">
        <v>0</v>
      </c>
      <c r="AH56" s="9">
        <v>0</v>
      </c>
      <c r="AI56" s="8" t="e">
        <f t="shared" si="37"/>
        <v>#DIV/0!</v>
      </c>
      <c r="AJ56" s="8">
        <v>0</v>
      </c>
      <c r="AK56" s="9">
        <v>0</v>
      </c>
      <c r="AL56" s="8" t="e">
        <f t="shared" si="38"/>
        <v>#DIV/0!</v>
      </c>
      <c r="AM56" s="8">
        <v>0</v>
      </c>
      <c r="AN56" s="9">
        <v>0</v>
      </c>
      <c r="AO56" s="8">
        <f t="shared" si="25"/>
        <v>2389.1176470588234</v>
      </c>
      <c r="AP56" s="8">
        <f t="shared" si="26"/>
        <v>8123</v>
      </c>
      <c r="AQ56" s="9">
        <f t="shared" si="26"/>
        <v>3.4</v>
      </c>
    </row>
    <row r="57" spans="1:43" x14ac:dyDescent="0.3">
      <c r="A57" s="17" t="s">
        <v>38</v>
      </c>
      <c r="B57" s="23"/>
      <c r="C57" s="23"/>
      <c r="D57" s="23"/>
      <c r="E57" s="8" t="e">
        <f t="shared" si="27"/>
        <v>#DIV/0!</v>
      </c>
      <c r="F57" s="8">
        <v>0</v>
      </c>
      <c r="G57" s="9">
        <v>0</v>
      </c>
      <c r="H57" s="8" t="e">
        <f t="shared" si="28"/>
        <v>#DIV/0!</v>
      </c>
      <c r="I57" s="8">
        <v>0</v>
      </c>
      <c r="J57" s="9">
        <v>0</v>
      </c>
      <c r="K57" s="8" t="e">
        <f t="shared" si="29"/>
        <v>#DIV/0!</v>
      </c>
      <c r="L57" s="8">
        <v>0</v>
      </c>
      <c r="M57" s="9">
        <v>0</v>
      </c>
      <c r="N57" s="8" t="e">
        <f t="shared" si="30"/>
        <v>#DIV/0!</v>
      </c>
      <c r="O57" s="8">
        <v>0</v>
      </c>
      <c r="P57" s="9">
        <v>0</v>
      </c>
      <c r="Q57" s="8">
        <f t="shared" si="31"/>
        <v>1554.8888888888889</v>
      </c>
      <c r="R57" s="8">
        <v>6997</v>
      </c>
      <c r="S57" s="9">
        <v>4.5</v>
      </c>
      <c r="T57" s="8">
        <f t="shared" si="32"/>
        <v>2013.6666666666667</v>
      </c>
      <c r="U57" s="8">
        <v>36246</v>
      </c>
      <c r="V57" s="9">
        <v>18</v>
      </c>
      <c r="W57" s="8">
        <f t="shared" si="33"/>
        <v>1560.5882352941178</v>
      </c>
      <c r="X57" s="8">
        <v>2653</v>
      </c>
      <c r="Y57" s="9">
        <v>1.7</v>
      </c>
      <c r="Z57" s="8" t="e">
        <f t="shared" si="34"/>
        <v>#DIV/0!</v>
      </c>
      <c r="AA57" s="8">
        <v>0</v>
      </c>
      <c r="AB57" s="9">
        <v>0</v>
      </c>
      <c r="AC57" s="8" t="e">
        <f t="shared" si="35"/>
        <v>#DIV/0!</v>
      </c>
      <c r="AD57" s="8">
        <v>0</v>
      </c>
      <c r="AE57" s="9">
        <v>0</v>
      </c>
      <c r="AF57" s="8" t="e">
        <f t="shared" si="36"/>
        <v>#DIV/0!</v>
      </c>
      <c r="AG57" s="8">
        <v>0</v>
      </c>
      <c r="AH57" s="9">
        <v>0</v>
      </c>
      <c r="AI57" s="8" t="e">
        <f t="shared" si="37"/>
        <v>#DIV/0!</v>
      </c>
      <c r="AJ57" s="8">
        <v>0</v>
      </c>
      <c r="AK57" s="9">
        <v>0</v>
      </c>
      <c r="AL57" s="8" t="e">
        <f t="shared" si="38"/>
        <v>#DIV/0!</v>
      </c>
      <c r="AM57" s="8">
        <v>0</v>
      </c>
      <c r="AN57" s="9">
        <v>0</v>
      </c>
      <c r="AO57" s="8">
        <f t="shared" si="25"/>
        <v>1896.5289256198348</v>
      </c>
      <c r="AP57" s="8">
        <f t="shared" si="26"/>
        <v>45896</v>
      </c>
      <c r="AQ57" s="9">
        <f t="shared" si="26"/>
        <v>24.2</v>
      </c>
    </row>
    <row r="58" spans="1:43" x14ac:dyDescent="0.3">
      <c r="A58" s="17" t="s">
        <v>66</v>
      </c>
      <c r="B58" s="23"/>
      <c r="C58" s="23"/>
      <c r="D58" s="23"/>
      <c r="E58" s="8">
        <f t="shared" si="27"/>
        <v>3531.9402985074626</v>
      </c>
      <c r="F58" s="8">
        <v>23664</v>
      </c>
      <c r="G58" s="9">
        <v>6.7</v>
      </c>
      <c r="H58" s="8" t="e">
        <f t="shared" si="28"/>
        <v>#DIV/0!</v>
      </c>
      <c r="I58" s="8">
        <v>0</v>
      </c>
      <c r="J58" s="9">
        <v>0</v>
      </c>
      <c r="K58" s="8" t="e">
        <f t="shared" si="29"/>
        <v>#DIV/0!</v>
      </c>
      <c r="L58" s="8">
        <v>0</v>
      </c>
      <c r="M58" s="9">
        <v>0</v>
      </c>
      <c r="N58" s="8" t="e">
        <f t="shared" si="30"/>
        <v>#DIV/0!</v>
      </c>
      <c r="O58" s="8">
        <v>0</v>
      </c>
      <c r="P58" s="9">
        <v>0</v>
      </c>
      <c r="Q58" s="8" t="e">
        <f t="shared" si="31"/>
        <v>#DIV/0!</v>
      </c>
      <c r="R58" s="8">
        <v>0</v>
      </c>
      <c r="S58" s="9">
        <v>0</v>
      </c>
      <c r="T58" s="8" t="e">
        <f t="shared" si="32"/>
        <v>#DIV/0!</v>
      </c>
      <c r="U58" s="8">
        <v>0</v>
      </c>
      <c r="V58" s="9">
        <v>0</v>
      </c>
      <c r="W58" s="8" t="e">
        <f t="shared" si="33"/>
        <v>#DIV/0!</v>
      </c>
      <c r="X58" s="8">
        <v>0</v>
      </c>
      <c r="Y58" s="9">
        <v>0</v>
      </c>
      <c r="Z58" s="8">
        <f t="shared" si="34"/>
        <v>4001.25</v>
      </c>
      <c r="AA58" s="8">
        <v>6402</v>
      </c>
      <c r="AB58" s="9">
        <v>1.6</v>
      </c>
      <c r="AC58" s="8" t="e">
        <f t="shared" si="35"/>
        <v>#DIV/0!</v>
      </c>
      <c r="AD58" s="8">
        <v>0</v>
      </c>
      <c r="AE58" s="9">
        <v>0</v>
      </c>
      <c r="AF58" s="8">
        <f t="shared" si="36"/>
        <v>3022.5</v>
      </c>
      <c r="AG58" s="8">
        <v>21762</v>
      </c>
      <c r="AH58" s="9">
        <v>7.2</v>
      </c>
      <c r="AI58" s="8" t="e">
        <f t="shared" si="37"/>
        <v>#DIV/0!</v>
      </c>
      <c r="AJ58" s="8">
        <v>0</v>
      </c>
      <c r="AK58" s="9">
        <v>0</v>
      </c>
      <c r="AL58" s="8" t="e">
        <f t="shared" si="38"/>
        <v>#DIV/0!</v>
      </c>
      <c r="AM58" s="8">
        <v>0</v>
      </c>
      <c r="AN58" s="9">
        <v>0</v>
      </c>
      <c r="AO58" s="8">
        <f t="shared" si="25"/>
        <v>3343.7419354838707</v>
      </c>
      <c r="AP58" s="8">
        <f t="shared" si="26"/>
        <v>51828</v>
      </c>
      <c r="AQ58" s="9">
        <f t="shared" si="26"/>
        <v>15.5</v>
      </c>
    </row>
    <row r="59" spans="1:43" x14ac:dyDescent="0.3">
      <c r="A59" s="17" t="s">
        <v>67</v>
      </c>
      <c r="B59" s="23"/>
      <c r="C59" s="23"/>
      <c r="D59" s="23"/>
      <c r="E59" s="8" t="e">
        <f t="shared" si="27"/>
        <v>#DIV/0!</v>
      </c>
      <c r="F59" s="8">
        <v>0</v>
      </c>
      <c r="G59" s="9">
        <v>0</v>
      </c>
      <c r="H59" s="8" t="e">
        <f t="shared" si="28"/>
        <v>#DIV/0!</v>
      </c>
      <c r="I59" s="8">
        <v>0</v>
      </c>
      <c r="J59" s="9">
        <v>0</v>
      </c>
      <c r="K59" s="8" t="e">
        <f t="shared" si="29"/>
        <v>#DIV/0!</v>
      </c>
      <c r="L59" s="8">
        <v>0</v>
      </c>
      <c r="M59" s="9">
        <v>0</v>
      </c>
      <c r="N59" s="8" t="e">
        <f t="shared" si="30"/>
        <v>#DIV/0!</v>
      </c>
      <c r="O59" s="8">
        <v>0</v>
      </c>
      <c r="P59" s="9">
        <v>0</v>
      </c>
      <c r="Q59" s="8" t="e">
        <f t="shared" si="31"/>
        <v>#DIV/0!</v>
      </c>
      <c r="R59" s="8">
        <v>0</v>
      </c>
      <c r="S59" s="9">
        <v>0</v>
      </c>
      <c r="T59" s="8">
        <f t="shared" si="32"/>
        <v>2973.030303030303</v>
      </c>
      <c r="U59" s="8">
        <v>9811</v>
      </c>
      <c r="V59" s="9">
        <v>3.3</v>
      </c>
      <c r="W59" s="8" t="e">
        <f t="shared" si="33"/>
        <v>#DIV/0!</v>
      </c>
      <c r="X59" s="8">
        <v>0</v>
      </c>
      <c r="Y59" s="9">
        <v>0</v>
      </c>
      <c r="Z59" s="8" t="e">
        <f t="shared" si="34"/>
        <v>#DIV/0!</v>
      </c>
      <c r="AA59" s="8">
        <v>0</v>
      </c>
      <c r="AB59" s="9">
        <v>0</v>
      </c>
      <c r="AC59" s="8" t="e">
        <f t="shared" si="35"/>
        <v>#DIV/0!</v>
      </c>
      <c r="AD59" s="8">
        <v>0</v>
      </c>
      <c r="AE59" s="9">
        <v>0</v>
      </c>
      <c r="AF59" s="8" t="e">
        <f t="shared" si="36"/>
        <v>#DIV/0!</v>
      </c>
      <c r="AG59" s="8">
        <v>0</v>
      </c>
      <c r="AH59" s="9">
        <v>0</v>
      </c>
      <c r="AI59" s="8" t="e">
        <f t="shared" si="37"/>
        <v>#DIV/0!</v>
      </c>
      <c r="AJ59" s="8">
        <v>0</v>
      </c>
      <c r="AK59" s="9">
        <v>0</v>
      </c>
      <c r="AL59" s="8" t="e">
        <f t="shared" si="38"/>
        <v>#DIV/0!</v>
      </c>
      <c r="AM59" s="8">
        <v>0</v>
      </c>
      <c r="AN59" s="9">
        <v>0</v>
      </c>
      <c r="AO59" s="8">
        <f t="shared" si="25"/>
        <v>2973.030303030303</v>
      </c>
      <c r="AP59" s="8">
        <f t="shared" si="26"/>
        <v>9811</v>
      </c>
      <c r="AQ59" s="9">
        <f t="shared" si="26"/>
        <v>3.3</v>
      </c>
    </row>
    <row r="60" spans="1:43" x14ac:dyDescent="0.3">
      <c r="A60" s="17" t="s">
        <v>86</v>
      </c>
      <c r="B60" s="23"/>
      <c r="C60" s="23"/>
      <c r="D60" s="23"/>
      <c r="E60" s="8" t="e">
        <f t="shared" si="27"/>
        <v>#DIV/0!</v>
      </c>
      <c r="F60" s="8">
        <v>0</v>
      </c>
      <c r="G60" s="9">
        <v>0</v>
      </c>
      <c r="H60" s="8" t="e">
        <f t="shared" si="28"/>
        <v>#DIV/0!</v>
      </c>
      <c r="I60" s="8">
        <v>0</v>
      </c>
      <c r="J60" s="9">
        <v>0</v>
      </c>
      <c r="K60" s="8" t="e">
        <f t="shared" si="29"/>
        <v>#DIV/0!</v>
      </c>
      <c r="L60" s="8">
        <v>0</v>
      </c>
      <c r="M60" s="9">
        <v>0</v>
      </c>
      <c r="N60" s="8" t="e">
        <f t="shared" si="30"/>
        <v>#DIV/0!</v>
      </c>
      <c r="O60" s="8">
        <v>0</v>
      </c>
      <c r="P60" s="9">
        <v>0</v>
      </c>
      <c r="Q60" s="8" t="e">
        <f t="shared" si="31"/>
        <v>#DIV/0!</v>
      </c>
      <c r="R60" s="8">
        <v>0</v>
      </c>
      <c r="S60" s="9">
        <v>0</v>
      </c>
      <c r="T60" s="8" t="e">
        <f t="shared" si="32"/>
        <v>#DIV/0!</v>
      </c>
      <c r="U60" s="8">
        <v>0</v>
      </c>
      <c r="V60" s="9">
        <v>0</v>
      </c>
      <c r="W60" s="8" t="e">
        <f t="shared" si="33"/>
        <v>#DIV/0!</v>
      </c>
      <c r="X60" s="8">
        <v>0</v>
      </c>
      <c r="Y60" s="9">
        <v>0</v>
      </c>
      <c r="Z60" s="8" t="e">
        <f t="shared" si="34"/>
        <v>#DIV/0!</v>
      </c>
      <c r="AA60" s="8">
        <v>0</v>
      </c>
      <c r="AB60" s="9">
        <v>0</v>
      </c>
      <c r="AC60" s="8" t="e">
        <f t="shared" si="35"/>
        <v>#DIV/0!</v>
      </c>
      <c r="AD60" s="8">
        <v>0</v>
      </c>
      <c r="AE60" s="9">
        <v>0</v>
      </c>
      <c r="AF60" s="8">
        <f t="shared" si="36"/>
        <v>3000</v>
      </c>
      <c r="AG60" s="8">
        <v>3000</v>
      </c>
      <c r="AH60" s="9">
        <v>1</v>
      </c>
      <c r="AI60" s="8" t="e">
        <f t="shared" si="37"/>
        <v>#DIV/0!</v>
      </c>
      <c r="AJ60" s="8">
        <v>0</v>
      </c>
      <c r="AK60" s="9">
        <v>0</v>
      </c>
      <c r="AL60" s="8" t="e">
        <f t="shared" si="38"/>
        <v>#DIV/0!</v>
      </c>
      <c r="AM60" s="8">
        <v>0</v>
      </c>
      <c r="AN60" s="9">
        <v>0</v>
      </c>
      <c r="AO60" s="8">
        <f t="shared" si="25"/>
        <v>3000</v>
      </c>
      <c r="AP60" s="8">
        <f t="shared" si="26"/>
        <v>3000</v>
      </c>
      <c r="AQ60" s="9">
        <f t="shared" si="26"/>
        <v>1</v>
      </c>
    </row>
    <row r="61" spans="1:43" x14ac:dyDescent="0.3">
      <c r="A61" s="17" t="s">
        <v>79</v>
      </c>
      <c r="B61" s="23"/>
      <c r="C61" s="23"/>
      <c r="D61" s="23"/>
      <c r="E61" s="8" t="e">
        <f t="shared" si="27"/>
        <v>#DIV/0!</v>
      </c>
      <c r="F61" s="8">
        <v>0</v>
      </c>
      <c r="G61" s="9">
        <v>0</v>
      </c>
      <c r="H61" s="8" t="e">
        <f t="shared" si="28"/>
        <v>#DIV/0!</v>
      </c>
      <c r="I61" s="8">
        <v>0</v>
      </c>
      <c r="J61" s="9">
        <v>0</v>
      </c>
      <c r="K61" s="8">
        <f t="shared" si="29"/>
        <v>1557.9310344827586</v>
      </c>
      <c r="L61" s="8">
        <v>4518</v>
      </c>
      <c r="M61" s="9">
        <v>2.9</v>
      </c>
      <c r="N61" s="8" t="e">
        <f t="shared" si="30"/>
        <v>#DIV/0!</v>
      </c>
      <c r="O61" s="8">
        <v>0</v>
      </c>
      <c r="P61" s="9">
        <v>0</v>
      </c>
      <c r="Q61" s="8" t="e">
        <f t="shared" si="31"/>
        <v>#DIV/0!</v>
      </c>
      <c r="R61" s="8">
        <v>0</v>
      </c>
      <c r="S61" s="9">
        <v>0</v>
      </c>
      <c r="T61" s="8" t="e">
        <f t="shared" si="32"/>
        <v>#DIV/0!</v>
      </c>
      <c r="U61" s="8">
        <v>0</v>
      </c>
      <c r="V61" s="9">
        <v>0</v>
      </c>
      <c r="W61" s="8" t="e">
        <f t="shared" si="33"/>
        <v>#DIV/0!</v>
      </c>
      <c r="X61" s="8">
        <v>0</v>
      </c>
      <c r="Y61" s="9">
        <v>0</v>
      </c>
      <c r="Z61" s="8" t="e">
        <f t="shared" si="34"/>
        <v>#DIV/0!</v>
      </c>
      <c r="AA61" s="8">
        <v>0</v>
      </c>
      <c r="AB61" s="9">
        <v>0</v>
      </c>
      <c r="AC61" s="8" t="e">
        <f t="shared" si="35"/>
        <v>#DIV/0!</v>
      </c>
      <c r="AD61" s="8">
        <v>0</v>
      </c>
      <c r="AE61" s="9">
        <v>0</v>
      </c>
      <c r="AF61" s="8" t="e">
        <f t="shared" si="36"/>
        <v>#DIV/0!</v>
      </c>
      <c r="AG61" s="8">
        <v>0</v>
      </c>
      <c r="AH61" s="9">
        <v>0</v>
      </c>
      <c r="AI61" s="8" t="e">
        <f t="shared" si="37"/>
        <v>#DIV/0!</v>
      </c>
      <c r="AJ61" s="8">
        <v>0</v>
      </c>
      <c r="AK61" s="9">
        <v>0</v>
      </c>
      <c r="AL61" s="8" t="e">
        <f t="shared" si="38"/>
        <v>#DIV/0!</v>
      </c>
      <c r="AM61" s="8">
        <v>0</v>
      </c>
      <c r="AN61" s="9">
        <v>0</v>
      </c>
      <c r="AO61" s="8">
        <f t="shared" si="25"/>
        <v>1557.9310344827586</v>
      </c>
      <c r="AP61" s="8">
        <f t="shared" si="26"/>
        <v>4518</v>
      </c>
      <c r="AQ61" s="9">
        <f t="shared" si="26"/>
        <v>2.9</v>
      </c>
    </row>
    <row r="62" spans="1:43" x14ac:dyDescent="0.3">
      <c r="A62" s="17" t="s">
        <v>87</v>
      </c>
      <c r="B62" s="23"/>
      <c r="C62" s="23"/>
      <c r="D62" s="23"/>
      <c r="E62" s="8" t="e">
        <f t="shared" si="27"/>
        <v>#DIV/0!</v>
      </c>
      <c r="F62" s="8">
        <v>0</v>
      </c>
      <c r="G62" s="9">
        <v>0</v>
      </c>
      <c r="H62" s="8" t="e">
        <f t="shared" si="28"/>
        <v>#DIV/0!</v>
      </c>
      <c r="I62" s="8">
        <v>0</v>
      </c>
      <c r="J62" s="9">
        <v>0</v>
      </c>
      <c r="K62" s="8" t="e">
        <f t="shared" si="29"/>
        <v>#DIV/0!</v>
      </c>
      <c r="L62" s="8">
        <v>0</v>
      </c>
      <c r="M62" s="9">
        <v>0</v>
      </c>
      <c r="N62" s="8" t="e">
        <f t="shared" si="30"/>
        <v>#DIV/0!</v>
      </c>
      <c r="O62" s="8">
        <v>0</v>
      </c>
      <c r="P62" s="9">
        <v>0</v>
      </c>
      <c r="Q62" s="8" t="e">
        <f t="shared" si="31"/>
        <v>#DIV/0!</v>
      </c>
      <c r="R62" s="8">
        <v>0</v>
      </c>
      <c r="S62" s="9">
        <v>0</v>
      </c>
      <c r="T62" s="8" t="e">
        <f t="shared" si="32"/>
        <v>#DIV/0!</v>
      </c>
      <c r="U62" s="8">
        <v>0</v>
      </c>
      <c r="V62" s="9">
        <v>0</v>
      </c>
      <c r="W62" s="8" t="e">
        <f t="shared" si="33"/>
        <v>#DIV/0!</v>
      </c>
      <c r="X62" s="8">
        <v>0</v>
      </c>
      <c r="Y62" s="9">
        <v>0</v>
      </c>
      <c r="Z62" s="8" t="e">
        <f t="shared" si="34"/>
        <v>#DIV/0!</v>
      </c>
      <c r="AA62" s="8">
        <v>0</v>
      </c>
      <c r="AB62" s="9">
        <v>0</v>
      </c>
      <c r="AC62" s="8">
        <f t="shared" si="35"/>
        <v>2817.0731707317073</v>
      </c>
      <c r="AD62" s="8">
        <v>34650</v>
      </c>
      <c r="AE62" s="9">
        <v>12.3</v>
      </c>
      <c r="AF62" s="8" t="e">
        <f t="shared" si="36"/>
        <v>#DIV/0!</v>
      </c>
      <c r="AG62" s="8">
        <v>0</v>
      </c>
      <c r="AH62" s="9">
        <v>0</v>
      </c>
      <c r="AI62" s="8" t="e">
        <f t="shared" si="37"/>
        <v>#DIV/0!</v>
      </c>
      <c r="AJ62" s="8">
        <v>0</v>
      </c>
      <c r="AK62" s="9">
        <v>0</v>
      </c>
      <c r="AL62" s="8" t="e">
        <f t="shared" si="38"/>
        <v>#DIV/0!</v>
      </c>
      <c r="AM62" s="8">
        <v>0</v>
      </c>
      <c r="AN62" s="9">
        <v>0</v>
      </c>
      <c r="AO62" s="8">
        <f t="shared" si="25"/>
        <v>2817.0731707317073</v>
      </c>
      <c r="AP62" s="8">
        <f t="shared" si="26"/>
        <v>34650</v>
      </c>
      <c r="AQ62" s="9">
        <f t="shared" si="26"/>
        <v>12.3</v>
      </c>
    </row>
    <row r="63" spans="1:43" x14ac:dyDescent="0.3">
      <c r="A63" s="17" t="s">
        <v>69</v>
      </c>
      <c r="B63" s="23"/>
      <c r="C63" s="23"/>
      <c r="D63" s="23"/>
      <c r="E63" s="8" t="e">
        <f t="shared" si="27"/>
        <v>#DIV/0!</v>
      </c>
      <c r="F63" s="8">
        <v>0</v>
      </c>
      <c r="G63" s="9">
        <v>0</v>
      </c>
      <c r="H63" s="8" t="e">
        <f t="shared" si="28"/>
        <v>#DIV/0!</v>
      </c>
      <c r="I63" s="8">
        <v>0</v>
      </c>
      <c r="J63" s="9">
        <v>0</v>
      </c>
      <c r="K63" s="8">
        <f t="shared" si="29"/>
        <v>1639.4736842105265</v>
      </c>
      <c r="L63" s="8">
        <v>3115</v>
      </c>
      <c r="M63" s="9">
        <v>1.9</v>
      </c>
      <c r="N63" s="8" t="e">
        <f t="shared" si="30"/>
        <v>#DIV/0!</v>
      </c>
      <c r="O63" s="8">
        <v>0</v>
      </c>
      <c r="P63" s="9">
        <v>0</v>
      </c>
      <c r="Q63" s="8" t="e">
        <f t="shared" si="31"/>
        <v>#DIV/0!</v>
      </c>
      <c r="R63" s="8">
        <v>0</v>
      </c>
      <c r="S63" s="9">
        <v>0</v>
      </c>
      <c r="T63" s="8" t="e">
        <f t="shared" si="32"/>
        <v>#DIV/0!</v>
      </c>
      <c r="U63" s="8">
        <v>0</v>
      </c>
      <c r="V63" s="9">
        <v>0</v>
      </c>
      <c r="W63" s="8" t="e">
        <f t="shared" si="33"/>
        <v>#DIV/0!</v>
      </c>
      <c r="X63" s="8">
        <v>0</v>
      </c>
      <c r="Y63" s="9">
        <v>0</v>
      </c>
      <c r="Z63" s="8" t="e">
        <f t="shared" si="34"/>
        <v>#DIV/0!</v>
      </c>
      <c r="AA63" s="8">
        <v>0</v>
      </c>
      <c r="AB63" s="9">
        <v>0</v>
      </c>
      <c r="AC63" s="8" t="e">
        <f t="shared" si="35"/>
        <v>#DIV/0!</v>
      </c>
      <c r="AD63" s="8">
        <v>0</v>
      </c>
      <c r="AE63" s="9">
        <v>0</v>
      </c>
      <c r="AF63" s="8" t="e">
        <f t="shared" si="36"/>
        <v>#DIV/0!</v>
      </c>
      <c r="AG63" s="8">
        <v>0</v>
      </c>
      <c r="AH63" s="9">
        <v>0</v>
      </c>
      <c r="AI63" s="8" t="e">
        <f t="shared" si="37"/>
        <v>#DIV/0!</v>
      </c>
      <c r="AJ63" s="8">
        <v>0</v>
      </c>
      <c r="AK63" s="9">
        <v>0</v>
      </c>
      <c r="AL63" s="8" t="e">
        <f t="shared" si="38"/>
        <v>#DIV/0!</v>
      </c>
      <c r="AM63" s="8">
        <v>0</v>
      </c>
      <c r="AN63" s="9">
        <v>0</v>
      </c>
      <c r="AO63" s="8">
        <f t="shared" si="25"/>
        <v>1639.4736842105265</v>
      </c>
      <c r="AP63" s="8">
        <f t="shared" si="26"/>
        <v>3115</v>
      </c>
      <c r="AQ63" s="9">
        <f t="shared" si="26"/>
        <v>1.9</v>
      </c>
    </row>
    <row r="64" spans="1:43" x14ac:dyDescent="0.3">
      <c r="A64" s="17" t="s">
        <v>84</v>
      </c>
      <c r="B64" s="23"/>
      <c r="C64" s="23"/>
      <c r="D64" s="23"/>
      <c r="E64" s="8" t="e">
        <f t="shared" si="27"/>
        <v>#DIV/0!</v>
      </c>
      <c r="F64" s="8">
        <v>0</v>
      </c>
      <c r="G64" s="9">
        <v>0</v>
      </c>
      <c r="H64" s="8">
        <f t="shared" si="28"/>
        <v>8165</v>
      </c>
      <c r="I64" s="8">
        <v>6532</v>
      </c>
      <c r="J64" s="9">
        <v>0.8</v>
      </c>
      <c r="K64" s="8">
        <f t="shared" si="29"/>
        <v>2480.0411522633744</v>
      </c>
      <c r="L64" s="8">
        <v>60265</v>
      </c>
      <c r="M64" s="9">
        <v>24.3</v>
      </c>
      <c r="N64" s="8">
        <f t="shared" si="30"/>
        <v>2469.8360655737706</v>
      </c>
      <c r="O64" s="8">
        <v>30132</v>
      </c>
      <c r="P64" s="9">
        <v>12.2</v>
      </c>
      <c r="Q64" s="8" t="e">
        <f t="shared" si="31"/>
        <v>#DIV/0!</v>
      </c>
      <c r="R64" s="8">
        <v>0</v>
      </c>
      <c r="S64" s="9">
        <v>0</v>
      </c>
      <c r="T64" s="8">
        <f t="shared" si="32"/>
        <v>2483.4615384615386</v>
      </c>
      <c r="U64" s="8">
        <v>45199</v>
      </c>
      <c r="V64" s="9">
        <v>18.2</v>
      </c>
      <c r="W64" s="8" t="e">
        <f t="shared" si="33"/>
        <v>#DIV/0!</v>
      </c>
      <c r="X64" s="8">
        <v>0</v>
      </c>
      <c r="Y64" s="9">
        <v>0</v>
      </c>
      <c r="Z64" s="8" t="e">
        <f t="shared" si="34"/>
        <v>#DIV/0!</v>
      </c>
      <c r="AA64" s="8">
        <v>0</v>
      </c>
      <c r="AB64" s="9">
        <v>0</v>
      </c>
      <c r="AC64" s="8" t="e">
        <f t="shared" si="35"/>
        <v>#DIV/0!</v>
      </c>
      <c r="AD64" s="8">
        <v>0</v>
      </c>
      <c r="AE64" s="9">
        <v>0</v>
      </c>
      <c r="AF64" s="8">
        <f t="shared" si="36"/>
        <v>3641.5646258503402</v>
      </c>
      <c r="AG64" s="8">
        <v>53531</v>
      </c>
      <c r="AH64" s="9">
        <v>14.7</v>
      </c>
      <c r="AI64" s="8" t="e">
        <f t="shared" si="37"/>
        <v>#DIV/0!</v>
      </c>
      <c r="AJ64" s="8">
        <v>0</v>
      </c>
      <c r="AK64" s="9">
        <v>0</v>
      </c>
      <c r="AL64" s="8" t="e">
        <f t="shared" si="38"/>
        <v>#DIV/0!</v>
      </c>
      <c r="AM64" s="8">
        <v>0</v>
      </c>
      <c r="AN64" s="9">
        <v>0</v>
      </c>
      <c r="AO64" s="8">
        <f t="shared" si="25"/>
        <v>2787.165242165242</v>
      </c>
      <c r="AP64" s="8">
        <f t="shared" si="26"/>
        <v>195659</v>
      </c>
      <c r="AQ64" s="9">
        <f t="shared" si="26"/>
        <v>70.2</v>
      </c>
    </row>
    <row r="65" spans="1:43" x14ac:dyDescent="0.3">
      <c r="A65" s="17" t="s">
        <v>91</v>
      </c>
      <c r="B65" s="23"/>
      <c r="C65" s="23"/>
      <c r="D65" s="23"/>
      <c r="E65" s="8" t="e">
        <f t="shared" si="27"/>
        <v>#DIV/0!</v>
      </c>
      <c r="F65" s="8">
        <v>0</v>
      </c>
      <c r="G65" s="9">
        <v>0</v>
      </c>
      <c r="H65" s="8" t="e">
        <f t="shared" si="28"/>
        <v>#DIV/0!</v>
      </c>
      <c r="I65" s="8">
        <v>0</v>
      </c>
      <c r="J65" s="9">
        <v>0</v>
      </c>
      <c r="K65" s="8" t="e">
        <f t="shared" si="29"/>
        <v>#DIV/0!</v>
      </c>
      <c r="L65" s="8">
        <v>0</v>
      </c>
      <c r="M65" s="9">
        <v>0</v>
      </c>
      <c r="N65" s="8" t="e">
        <f t="shared" si="30"/>
        <v>#DIV/0!</v>
      </c>
      <c r="O65" s="8">
        <v>0</v>
      </c>
      <c r="P65" s="9">
        <v>0</v>
      </c>
      <c r="Q65" s="8" t="e">
        <f t="shared" si="31"/>
        <v>#DIV/0!</v>
      </c>
      <c r="R65" s="8">
        <v>0</v>
      </c>
      <c r="S65" s="9">
        <v>0</v>
      </c>
      <c r="T65" s="8">
        <f t="shared" si="32"/>
        <v>1498.0239520958085</v>
      </c>
      <c r="U65" s="8">
        <v>325221</v>
      </c>
      <c r="V65" s="9">
        <v>217.1</v>
      </c>
      <c r="W65" s="8" t="e">
        <f t="shared" si="33"/>
        <v>#DIV/0!</v>
      </c>
      <c r="X65" s="8">
        <v>0</v>
      </c>
      <c r="Y65" s="9">
        <v>0</v>
      </c>
      <c r="Z65" s="8" t="e">
        <f t="shared" si="34"/>
        <v>#DIV/0!</v>
      </c>
      <c r="AA65" s="8">
        <v>0</v>
      </c>
      <c r="AB65" s="9">
        <v>0</v>
      </c>
      <c r="AC65" s="8" t="e">
        <f t="shared" si="35"/>
        <v>#DIV/0!</v>
      </c>
      <c r="AD65" s="8">
        <v>0</v>
      </c>
      <c r="AE65" s="9">
        <v>0</v>
      </c>
      <c r="AF65" s="8" t="e">
        <f t="shared" si="36"/>
        <v>#DIV/0!</v>
      </c>
      <c r="AG65" s="8">
        <v>0</v>
      </c>
      <c r="AH65" s="9">
        <v>0</v>
      </c>
      <c r="AI65" s="8" t="e">
        <f t="shared" si="37"/>
        <v>#DIV/0!</v>
      </c>
      <c r="AJ65" s="8">
        <v>0</v>
      </c>
      <c r="AK65" s="9">
        <v>0</v>
      </c>
      <c r="AL65" s="8" t="e">
        <f t="shared" si="38"/>
        <v>#DIV/0!</v>
      </c>
      <c r="AM65" s="8">
        <v>0</v>
      </c>
      <c r="AN65" s="9">
        <v>0</v>
      </c>
      <c r="AO65" s="8">
        <f t="shared" si="25"/>
        <v>1498.0239520958085</v>
      </c>
      <c r="AP65" s="8">
        <f t="shared" si="26"/>
        <v>325221</v>
      </c>
      <c r="AQ65" s="9">
        <f t="shared" si="26"/>
        <v>217.1</v>
      </c>
    </row>
    <row r="66" spans="1:43" x14ac:dyDescent="0.3">
      <c r="A66" s="17" t="s">
        <v>70</v>
      </c>
      <c r="B66" s="23"/>
      <c r="C66" s="23"/>
      <c r="D66" s="23"/>
      <c r="E66" s="11">
        <f t="shared" si="27"/>
        <v>2320.3703703703704</v>
      </c>
      <c r="F66" s="11">
        <v>12530</v>
      </c>
      <c r="G66" s="9">
        <v>5.4</v>
      </c>
      <c r="H66" s="11">
        <f t="shared" si="28"/>
        <v>2411.6504854368932</v>
      </c>
      <c r="I66" s="11">
        <v>24840</v>
      </c>
      <c r="J66" s="9">
        <v>10.3</v>
      </c>
      <c r="K66" s="11" t="e">
        <f t="shared" si="29"/>
        <v>#DIV/0!</v>
      </c>
      <c r="L66" s="11">
        <v>0</v>
      </c>
      <c r="M66" s="9">
        <v>0</v>
      </c>
      <c r="N66" s="11">
        <f t="shared" si="30"/>
        <v>2447.0588235294117</v>
      </c>
      <c r="O66" s="11">
        <v>4160</v>
      </c>
      <c r="P66" s="9">
        <v>1.7</v>
      </c>
      <c r="Q66" s="11" t="e">
        <f t="shared" si="31"/>
        <v>#DIV/0!</v>
      </c>
      <c r="R66" s="11">
        <v>0</v>
      </c>
      <c r="S66" s="9">
        <v>0</v>
      </c>
      <c r="T66" s="11">
        <f t="shared" si="32"/>
        <v>2413.1147540983607</v>
      </c>
      <c r="U66" s="11">
        <v>29440</v>
      </c>
      <c r="V66" s="9">
        <v>12.2</v>
      </c>
      <c r="W66" s="11">
        <f t="shared" si="33"/>
        <v>2600</v>
      </c>
      <c r="X66" s="11">
        <v>4160</v>
      </c>
      <c r="Y66" s="9">
        <v>1.6</v>
      </c>
      <c r="Z66" s="11" t="e">
        <f t="shared" si="34"/>
        <v>#DIV/0!</v>
      </c>
      <c r="AA66" s="11">
        <v>0</v>
      </c>
      <c r="AB66" s="9">
        <v>0</v>
      </c>
      <c r="AC66" s="11" t="e">
        <f t="shared" si="35"/>
        <v>#DIV/0!</v>
      </c>
      <c r="AD66" s="11">
        <v>0</v>
      </c>
      <c r="AE66" s="9">
        <v>0</v>
      </c>
      <c r="AF66" s="11">
        <f t="shared" si="36"/>
        <v>2413.1147540983607</v>
      </c>
      <c r="AG66" s="11">
        <v>29440</v>
      </c>
      <c r="AH66" s="9">
        <v>12.2</v>
      </c>
      <c r="AI66" s="11" t="e">
        <f t="shared" si="37"/>
        <v>#DIV/0!</v>
      </c>
      <c r="AJ66" s="11">
        <v>0</v>
      </c>
      <c r="AK66" s="9">
        <v>0</v>
      </c>
      <c r="AL66" s="11" t="e">
        <f t="shared" si="38"/>
        <v>#DIV/0!</v>
      </c>
      <c r="AM66" s="11">
        <v>0</v>
      </c>
      <c r="AN66" s="9">
        <v>0</v>
      </c>
      <c r="AO66" s="11">
        <f t="shared" si="25"/>
        <v>2409.4470046082947</v>
      </c>
      <c r="AP66" s="11">
        <f t="shared" si="26"/>
        <v>104570</v>
      </c>
      <c r="AQ66" s="9">
        <f t="shared" si="26"/>
        <v>43.400000000000006</v>
      </c>
    </row>
    <row r="67" spans="1:43" x14ac:dyDescent="0.3">
      <c r="A67" s="17" t="s">
        <v>92</v>
      </c>
      <c r="B67" s="23"/>
      <c r="C67" s="23"/>
      <c r="D67" s="23"/>
      <c r="E67" s="11" t="e">
        <f t="shared" si="27"/>
        <v>#DIV/0!</v>
      </c>
      <c r="F67" s="8">
        <v>0</v>
      </c>
      <c r="G67" s="9">
        <v>0</v>
      </c>
      <c r="H67" s="11" t="e">
        <f t="shared" si="28"/>
        <v>#DIV/0!</v>
      </c>
      <c r="I67" s="8">
        <v>0</v>
      </c>
      <c r="J67" s="9">
        <v>0</v>
      </c>
      <c r="K67" s="11" t="e">
        <f t="shared" si="29"/>
        <v>#DIV/0!</v>
      </c>
      <c r="L67" s="8">
        <v>0</v>
      </c>
      <c r="M67" s="9">
        <v>0</v>
      </c>
      <c r="N67" s="11" t="e">
        <f t="shared" si="30"/>
        <v>#DIV/0!</v>
      </c>
      <c r="O67" s="8">
        <v>0</v>
      </c>
      <c r="P67" s="9">
        <v>0</v>
      </c>
      <c r="Q67" s="11" t="e">
        <f t="shared" si="31"/>
        <v>#DIV/0!</v>
      </c>
      <c r="R67" s="8">
        <v>0</v>
      </c>
      <c r="S67" s="9">
        <v>0</v>
      </c>
      <c r="T67" s="11">
        <f t="shared" si="32"/>
        <v>1545.6</v>
      </c>
      <c r="U67" s="8">
        <v>19320</v>
      </c>
      <c r="V67" s="9">
        <v>12.5</v>
      </c>
      <c r="W67" s="11" t="e">
        <f t="shared" si="33"/>
        <v>#DIV/0!</v>
      </c>
      <c r="X67" s="8">
        <v>0</v>
      </c>
      <c r="Y67" s="9">
        <v>0</v>
      </c>
      <c r="Z67" s="11" t="e">
        <f t="shared" si="34"/>
        <v>#DIV/0!</v>
      </c>
      <c r="AA67" s="8">
        <v>0</v>
      </c>
      <c r="AB67" s="9">
        <v>0</v>
      </c>
      <c r="AC67" s="11" t="e">
        <f t="shared" si="35"/>
        <v>#DIV/0!</v>
      </c>
      <c r="AD67" s="8">
        <v>0</v>
      </c>
      <c r="AE67" s="9">
        <v>0</v>
      </c>
      <c r="AF67" s="11" t="e">
        <f t="shared" si="36"/>
        <v>#DIV/0!</v>
      </c>
      <c r="AG67" s="8">
        <v>0</v>
      </c>
      <c r="AH67" s="9">
        <v>0</v>
      </c>
      <c r="AI67" s="11" t="e">
        <f t="shared" si="37"/>
        <v>#DIV/0!</v>
      </c>
      <c r="AJ67" s="8">
        <v>0</v>
      </c>
      <c r="AK67" s="9">
        <v>0</v>
      </c>
      <c r="AL67" s="11" t="e">
        <f t="shared" si="38"/>
        <v>#DIV/0!</v>
      </c>
      <c r="AM67" s="8">
        <v>0</v>
      </c>
      <c r="AN67" s="9">
        <v>0</v>
      </c>
      <c r="AO67" s="11">
        <f t="shared" si="25"/>
        <v>1545.6</v>
      </c>
      <c r="AP67" s="8">
        <f t="shared" si="26"/>
        <v>19320</v>
      </c>
      <c r="AQ67" s="9">
        <f t="shared" si="26"/>
        <v>12.5</v>
      </c>
    </row>
    <row r="68" spans="1:43" x14ac:dyDescent="0.3">
      <c r="A68" s="18" t="s">
        <v>93</v>
      </c>
      <c r="B68" s="24"/>
      <c r="C68" s="24"/>
      <c r="D68" s="24"/>
      <c r="E68" s="15" t="e">
        <f t="shared" si="27"/>
        <v>#DIV/0!</v>
      </c>
      <c r="F68" s="13">
        <v>0</v>
      </c>
      <c r="G68" s="14">
        <v>0</v>
      </c>
      <c r="H68" s="15" t="e">
        <f t="shared" si="28"/>
        <v>#DIV/0!</v>
      </c>
      <c r="I68" s="13">
        <v>0</v>
      </c>
      <c r="J68" s="14">
        <v>0</v>
      </c>
      <c r="K68" s="15" t="e">
        <f t="shared" si="29"/>
        <v>#DIV/0!</v>
      </c>
      <c r="L68" s="13">
        <v>0</v>
      </c>
      <c r="M68" s="14">
        <v>0</v>
      </c>
      <c r="N68" s="15" t="e">
        <f t="shared" si="30"/>
        <v>#DIV/0!</v>
      </c>
      <c r="O68" s="13">
        <v>0</v>
      </c>
      <c r="P68" s="14">
        <v>0</v>
      </c>
      <c r="Q68" s="15" t="e">
        <f t="shared" si="31"/>
        <v>#DIV/0!</v>
      </c>
      <c r="R68" s="13">
        <v>0</v>
      </c>
      <c r="S68" s="14">
        <v>0</v>
      </c>
      <c r="T68" s="15" t="e">
        <f t="shared" si="32"/>
        <v>#DIV/0!</v>
      </c>
      <c r="U68" s="13">
        <v>0</v>
      </c>
      <c r="V68" s="14">
        <v>0</v>
      </c>
      <c r="W68" s="15" t="e">
        <f t="shared" si="33"/>
        <v>#DIV/0!</v>
      </c>
      <c r="X68" s="13">
        <v>0</v>
      </c>
      <c r="Y68" s="14">
        <v>0</v>
      </c>
      <c r="Z68" s="15" t="e">
        <f t="shared" si="34"/>
        <v>#DIV/0!</v>
      </c>
      <c r="AA68" s="13">
        <v>0</v>
      </c>
      <c r="AB68" s="14">
        <v>0</v>
      </c>
      <c r="AC68" s="15">
        <f t="shared" si="35"/>
        <v>1027.051282051282</v>
      </c>
      <c r="AD68" s="13">
        <v>8011</v>
      </c>
      <c r="AE68" s="14">
        <v>7.8</v>
      </c>
      <c r="AF68" s="15" t="e">
        <f t="shared" si="36"/>
        <v>#DIV/0!</v>
      </c>
      <c r="AG68" s="13">
        <v>0</v>
      </c>
      <c r="AH68" s="14">
        <v>0</v>
      </c>
      <c r="AI68" s="15" t="e">
        <f t="shared" si="37"/>
        <v>#DIV/0!</v>
      </c>
      <c r="AJ68" s="13">
        <v>0</v>
      </c>
      <c r="AK68" s="14">
        <v>0</v>
      </c>
      <c r="AL68" s="15" t="e">
        <f t="shared" si="38"/>
        <v>#DIV/0!</v>
      </c>
      <c r="AM68" s="13">
        <v>0</v>
      </c>
      <c r="AN68" s="14">
        <v>0</v>
      </c>
      <c r="AO68" s="15">
        <f t="shared" ref="AO68" si="39">AP68/AQ68</f>
        <v>1027.051282051282</v>
      </c>
      <c r="AP68" s="13">
        <f t="shared" ref="AP68:AQ68" si="40">SUM(F68,I68,L68,O68,R68,U68,X68,AA68,AD68,AG68,AJ68,AM68)</f>
        <v>8011</v>
      </c>
      <c r="AQ68" s="14">
        <f t="shared" si="40"/>
        <v>7.8</v>
      </c>
    </row>
    <row r="69" spans="1:43" x14ac:dyDescent="0.3">
      <c r="A69" s="1" t="s">
        <v>42</v>
      </c>
      <c r="B69" s="1"/>
    </row>
    <row r="70" spans="1:43" x14ac:dyDescent="0.3">
      <c r="A70" s="1" t="s">
        <v>73</v>
      </c>
      <c r="B70" s="1"/>
    </row>
    <row r="71" spans="1:43" x14ac:dyDescent="0.3">
      <c r="A71" s="1" t="s">
        <v>43</v>
      </c>
      <c r="B71" s="1"/>
    </row>
    <row r="72" spans="1:43" x14ac:dyDescent="0.3">
      <c r="A72" s="1" t="s">
        <v>44</v>
      </c>
      <c r="B72" s="1"/>
    </row>
    <row r="73" spans="1:43" x14ac:dyDescent="0.3">
      <c r="A73" s="1" t="s">
        <v>74</v>
      </c>
      <c r="B73" s="1"/>
    </row>
  </sheetData>
  <mergeCells count="16">
    <mergeCell ref="N1:P1"/>
    <mergeCell ref="Q1:S1"/>
    <mergeCell ref="T1:V1"/>
    <mergeCell ref="AL1:AN1"/>
    <mergeCell ref="AO1:AQ1"/>
    <mergeCell ref="W1:Y1"/>
    <mergeCell ref="Z1:AB1"/>
    <mergeCell ref="AC1:AE1"/>
    <mergeCell ref="AF1:AH1"/>
    <mergeCell ref="AI1:AK1"/>
    <mergeCell ref="E1:G1"/>
    <mergeCell ref="H1:J1"/>
    <mergeCell ref="K1:M1"/>
    <mergeCell ref="B3:B68"/>
    <mergeCell ref="C3:C68"/>
    <mergeCell ref="D3:D68"/>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2012년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2026-08-07T04:47:32Z</dcterms:modified>
</cp:coreProperties>
</file>