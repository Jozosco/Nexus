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AQ5" i="1" l="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5" i="1"/>
  <c r="AL4" i="1"/>
  <c r="AI5" i="1"/>
  <c r="AI4" i="1"/>
  <c r="AF5" i="1"/>
  <c r="AF4" i="1"/>
  <c r="AC5" i="1"/>
  <c r="AC4" i="1"/>
  <c r="Z5" i="1"/>
  <c r="Z4" i="1"/>
  <c r="W5" i="1"/>
  <c r="W4" i="1"/>
  <c r="T5" i="1"/>
  <c r="T4" i="1"/>
  <c r="Q5" i="1"/>
  <c r="Q4" i="1"/>
  <c r="N5" i="1"/>
  <c r="N4" i="1"/>
  <c r="K5" i="1"/>
  <c r="K4" i="1"/>
  <c r="H5" i="1"/>
  <c r="H4" i="1"/>
  <c r="E5" i="1"/>
  <c r="E4" i="1"/>
  <c r="AI3" i="1" l="1"/>
  <c r="Z3" i="1"/>
  <c r="E3" i="1"/>
  <c r="AO5" i="1"/>
  <c r="AO3" i="1" l="1"/>
  <c r="AO4" i="1"/>
</calcChain>
</file>

<file path=xl/sharedStrings.xml><?xml version="1.0" encoding="utf-8"?>
<sst xmlns="http://schemas.openxmlformats.org/spreadsheetml/2006/main" count="67" uniqueCount="31">
  <si>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</si>
  <si>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</si>
  <si>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</si>
  <si>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</si>
  <si>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</si>
  <si>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</si>
  <si>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</si>
  <si>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</si>
  <si>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</si>
  <si>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</si>
  <si>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</si>
  <si>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</si>
  <si>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</si>
  <si>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</si>
  <si>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</si>
  <si>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</si>
  <si>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</si>
  <si>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</si>
  <si>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</si>
  <si>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Notes: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</si>
  <si>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</si>
  <si>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</si>
  <si>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</si>
  <si>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</si>
  <si>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</si>
  <si>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</si>
  <si>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</si>
  <si>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</si>
  <si>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Honduras</t>
    <phoneticPr fontId="18" type="noConversion"/>
  </si>
  <si>
    <t>2. FAS Totals include all Agricultural commodities and FAS selected NONAG commodity items.</t>
    <phoneticPr fontId="18" type="noConversion"/>
  </si>
  <si>
    <t>4.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</si>
</sst>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0"/>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21</v>
      </c>
      <c r="B2" s="2" t="s">
        <v>26</v>
      </c>
      <c r="C2" s="2" t="s">
        <v>13</v>
      </c>
      <c r="D2" s="2" t="s">
        <v>22</v>
      </c>
      <c r="E2" s="4" t="s">
        <v>14</v>
      </c>
      <c r="F2" s="2" t="s">
        <v>22</v>
      </c>
      <c r="G2" s="5" t="s">
        <v>15</v>
      </c>
      <c r="H2" s="2" t="s">
        <v>14</v>
      </c>
      <c r="I2" s="2" t="s">
        <v>22</v>
      </c>
      <c r="J2" s="5" t="s">
        <v>15</v>
      </c>
      <c r="K2" s="2" t="s">
        <v>14</v>
      </c>
      <c r="L2" s="2" t="s">
        <v>22</v>
      </c>
      <c r="M2" s="5" t="s">
        <v>15</v>
      </c>
      <c r="N2" s="2" t="s">
        <v>14</v>
      </c>
      <c r="O2" s="2" t="s">
        <v>22</v>
      </c>
      <c r="P2" s="5" t="s">
        <v>15</v>
      </c>
      <c r="Q2" s="2" t="s">
        <v>14</v>
      </c>
      <c r="R2" s="2" t="s">
        <v>22</v>
      </c>
      <c r="S2" s="5" t="s">
        <v>15</v>
      </c>
      <c r="T2" s="2" t="s">
        <v>14</v>
      </c>
      <c r="U2" s="2" t="s">
        <v>22</v>
      </c>
      <c r="V2" s="5" t="s">
        <v>15</v>
      </c>
      <c r="W2" s="2" t="s">
        <v>14</v>
      </c>
      <c r="X2" s="2" t="s">
        <v>22</v>
      </c>
      <c r="Y2" s="5" t="s">
        <v>15</v>
      </c>
      <c r="Z2" s="2" t="s">
        <v>14</v>
      </c>
      <c r="AA2" s="2" t="s">
        <v>22</v>
      </c>
      <c r="AB2" s="5" t="s">
        <v>15</v>
      </c>
      <c r="AC2" s="2" t="s">
        <v>14</v>
      </c>
      <c r="AD2" s="2" t="s">
        <v>22</v>
      </c>
      <c r="AE2" s="5" t="s">
        <v>15</v>
      </c>
      <c r="AF2" s="2" t="s">
        <v>14</v>
      </c>
      <c r="AG2" s="2" t="s">
        <v>22</v>
      </c>
      <c r="AH2" s="5" t="s">
        <v>15</v>
      </c>
      <c r="AI2" s="2" t="s">
        <v>14</v>
      </c>
      <c r="AJ2" s="2" t="s">
        <v>22</v>
      </c>
      <c r="AK2" s="5" t="s">
        <v>15</v>
      </c>
      <c r="AL2" s="2" t="s">
        <v>14</v>
      </c>
      <c r="AM2" s="2" t="s">
        <v>22</v>
      </c>
      <c r="AN2" s="5" t="s">
        <v>15</v>
      </c>
      <c r="AO2" s="2" t="s">
        <v>14</v>
      </c>
      <c r="AP2" s="2" t="s">
        <v>24</v>
      </c>
      <c r="AQ2" s="5" t="s">
        <v>15</v>
      </c>
    </row>
    <row r="3" spans="1:67" ht="15" customHeight="1" x14ac:dyDescent="0.3">
      <c r="A3" s="9" t="s">
        <v>16</v>
      </c>
      <c r="B3" s="13" t="s">
        <v>27</v>
      </c>
      <c r="C3" s="13" t="s">
        <v>17</v>
      </c>
      <c r="D3" s="13" t="s">
        <v>23</v>
      </c>
      <c r="E3" s="7" t="e">
        <f>F3/G3</f>
        <v>#DIV/0!</v>
      </c>
      <c r="F3" s="7">
        <f>SUM(F4:F5)</f>
        <v>0</v>
      </c>
      <c r="G3" s="8">
        <f>SUM(G4:G5)</f>
        <v>0</v>
      </c>
      <c r="H3" s="7">
        <f>I3/J3</f>
        <v>1019.271523178808</v>
      </c>
      <c r="I3" s="7">
        <f>SUM(I4:I5)</f>
        <v>15391</v>
      </c>
      <c r="J3" s="8">
        <f>SUM(J4:J5)</f>
        <v>15.1</v>
      </c>
      <c r="K3" s="7" t="e">
        <f>L3/M3</f>
        <v>#DIV/0!</v>
      </c>
      <c r="L3" s="7">
        <f>SUM(L4:L5)</f>
        <v>0</v>
      </c>
      <c r="M3" s="8">
        <f>SUM(M4:M5)</f>
        <v>0</v>
      </c>
      <c r="N3" s="7">
        <f>O3/P3</f>
        <v>1100</v>
      </c>
      <c r="O3" s="7">
        <f>SUM(O4:O5)</f>
        <v>6600</v>
      </c>
      <c r="P3" s="8">
        <f>SUM(P4:P5)</f>
        <v>6</v>
      </c>
      <c r="Q3" s="7" t="e">
        <f>R3/S3</f>
        <v>#DIV/0!</v>
      </c>
      <c r="R3" s="7">
        <f>SUM(R4:R5)</f>
        <v>0</v>
      </c>
      <c r="S3" s="8">
        <f>SUM(S4:S5)</f>
        <v>0</v>
      </c>
      <c r="T3" s="7" t="e">
        <f>U3/V3</f>
        <v>#DIV/0!</v>
      </c>
      <c r="U3" s="7">
        <f>SUM(U4:U5)</f>
        <v>0</v>
      </c>
      <c r="V3" s="8">
        <f>SUM(V4:V5)</f>
        <v>0</v>
      </c>
      <c r="W3" s="7">
        <f>X3/Y3</f>
        <v>995.78947368421052</v>
      </c>
      <c r="X3" s="7">
        <f>SUM(X4:X5)</f>
        <v>7568</v>
      </c>
      <c r="Y3" s="8">
        <f>SUM(Y4:Y5)</f>
        <v>7.6</v>
      </c>
      <c r="Z3" s="7">
        <f>AA3/AB3</f>
        <v>1180.7594936708861</v>
      </c>
      <c r="AA3" s="7">
        <f>SUM(AA4:AA5)</f>
        <v>9328</v>
      </c>
      <c r="AB3" s="8">
        <f>SUM(AB4:AB5)</f>
        <v>7.9</v>
      </c>
      <c r="AC3" s="7" t="e">
        <f>AD3/AE3</f>
        <v>#DIV/0!</v>
      </c>
      <c r="AD3" s="7">
        <f>SUM(AD4:AD5)</f>
        <v>0</v>
      </c>
      <c r="AE3" s="8">
        <f>SUM(AE4:AE5)</f>
        <v>0</v>
      </c>
      <c r="AF3" s="7" t="e">
        <f>AG3/AH3</f>
        <v>#DIV/0!</v>
      </c>
      <c r="AG3" s="7">
        <f>SUM(AG4:AG5)</f>
        <v>0</v>
      </c>
      <c r="AH3" s="8">
        <f>SUM(AH4:AH5)</f>
        <v>0</v>
      </c>
      <c r="AI3" s="7" t="e">
        <f>AJ3/AK3</f>
        <v>#DIV/0!</v>
      </c>
      <c r="AJ3" s="7">
        <f>SUM(AJ4:AJ5)</f>
        <v>0</v>
      </c>
      <c r="AK3" s="8">
        <f>SUM(AK4:AK5)</f>
        <v>0</v>
      </c>
      <c r="AL3" s="7">
        <f>AM3/AN3</f>
        <v>1112.1052631578948</v>
      </c>
      <c r="AM3" s="7">
        <f>SUM(AM4:AM5)</f>
        <v>4226</v>
      </c>
      <c r="AN3" s="8">
        <f>SUM(AN4:AN5)</f>
        <v>3.8</v>
      </c>
      <c r="AO3" s="7">
        <f>AP3/AQ3</f>
        <v>1067.1534653465346</v>
      </c>
      <c r="AP3" s="7">
        <f>SUM(AP4:AP5)</f>
        <v>43113</v>
      </c>
      <c r="AQ3" s="8">
        <f>SUM(AQ4:AQ5)</f>
        <v>40.4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18</v>
      </c>
      <c r="B4" s="14"/>
      <c r="C4" s="14"/>
      <c r="D4" s="14"/>
      <c r="E4" s="3" t="e">
        <f t="shared" ref="E4:E5" si="0">F4/G4</f>
        <v>#DIV/0!</v>
      </c>
      <c r="F4" s="3">
        <v>0</v>
      </c>
      <c r="G4" s="6">
        <v>0</v>
      </c>
      <c r="H4" s="3" t="e">
        <f t="shared" ref="H4:H5" si="1">I4/J4</f>
        <v>#DIV/0!</v>
      </c>
      <c r="I4" s="3">
        <v>0</v>
      </c>
      <c r="J4" s="6">
        <v>0</v>
      </c>
      <c r="K4" s="3" t="e">
        <f t="shared" ref="K4:K5" si="2">L4/M4</f>
        <v>#DIV/0!</v>
      </c>
      <c r="L4" s="3">
        <v>0</v>
      </c>
      <c r="M4" s="6">
        <v>0</v>
      </c>
      <c r="N4" s="3" t="e">
        <f t="shared" ref="N4:N5" si="3">O4/P4</f>
        <v>#DIV/0!</v>
      </c>
      <c r="O4" s="3">
        <v>0</v>
      </c>
      <c r="P4" s="6">
        <v>0</v>
      </c>
      <c r="Q4" s="3" t="e">
        <f t="shared" ref="Q4:Q5" si="4">R4/S4</f>
        <v>#DIV/0!</v>
      </c>
      <c r="R4" s="3">
        <v>0</v>
      </c>
      <c r="S4" s="6">
        <v>0</v>
      </c>
      <c r="T4" s="3" t="e">
        <f t="shared" ref="T4:T5" si="5">U4/V4</f>
        <v>#DIV/0!</v>
      </c>
      <c r="U4" s="3">
        <v>0</v>
      </c>
      <c r="V4" s="6">
        <v>0</v>
      </c>
      <c r="W4" s="3" t="e">
        <f t="shared" ref="W4:W5" si="6">X4/Y4</f>
        <v>#DIV/0!</v>
      </c>
      <c r="X4" s="3">
        <v>0</v>
      </c>
      <c r="Y4" s="6">
        <v>0</v>
      </c>
      <c r="Z4" s="3" t="e">
        <f t="shared" ref="Z4:Z5" si="7">AA4/AB4</f>
        <v>#DIV/0!</v>
      </c>
      <c r="AA4" s="3">
        <v>0</v>
      </c>
      <c r="AB4" s="6">
        <v>0</v>
      </c>
      <c r="AC4" s="3" t="e">
        <f t="shared" ref="AC4:AC5" si="8">AD4/AE4</f>
        <v>#DIV/0!</v>
      </c>
      <c r="AD4" s="3">
        <v>0</v>
      </c>
      <c r="AE4" s="6">
        <v>0</v>
      </c>
      <c r="AF4" s="3" t="e">
        <f t="shared" ref="AF4:AF5" si="9">AG4/AH4</f>
        <v>#DIV/0!</v>
      </c>
      <c r="AG4" s="3">
        <v>0</v>
      </c>
      <c r="AH4" s="6">
        <v>0</v>
      </c>
      <c r="AI4" s="3" t="e">
        <f t="shared" ref="AI4:AI5" si="10">AJ4/AK4</f>
        <v>#DIV/0!</v>
      </c>
      <c r="AJ4" s="3">
        <v>0</v>
      </c>
      <c r="AK4" s="6">
        <v>0</v>
      </c>
      <c r="AL4" s="3">
        <f t="shared" ref="AL4:AL5" si="11">AM4/AN4</f>
        <v>1112.1052631578948</v>
      </c>
      <c r="AM4" s="3">
        <v>4226</v>
      </c>
      <c r="AN4" s="6">
        <v>3.8</v>
      </c>
      <c r="AO4" s="3">
        <f t="shared" ref="AO4:AO5" si="12">AP4/AQ4</f>
        <v>1112.1052631578948</v>
      </c>
      <c r="AP4" s="3">
        <f t="shared" ref="AP4:AQ4" si="13">SUM(F4,I4,L4,O4,R4,U4,X4,AA4,AD4,AG4,AJ4,AM4)</f>
        <v>4226</v>
      </c>
      <c r="AQ4" s="6">
        <f t="shared" si="13"/>
        <v>3.8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11" t="s">
        <v>28</v>
      </c>
      <c r="B5" s="15"/>
      <c r="C5" s="15"/>
      <c r="D5" s="15"/>
      <c r="E5" s="12" t="e">
        <f t="shared" si="0"/>
        <v>#DIV/0!</v>
      </c>
      <c r="F5" s="7">
        <v>0</v>
      </c>
      <c r="G5" s="8">
        <v>0</v>
      </c>
      <c r="H5" s="7">
        <f t="shared" si="1"/>
        <v>1019.271523178808</v>
      </c>
      <c r="I5" s="7">
        <v>15391</v>
      </c>
      <c r="J5" s="8">
        <v>15.1</v>
      </c>
      <c r="K5" s="7" t="e">
        <f t="shared" si="2"/>
        <v>#DIV/0!</v>
      </c>
      <c r="L5" s="7">
        <v>0</v>
      </c>
      <c r="M5" s="8">
        <v>0</v>
      </c>
      <c r="N5" s="7">
        <f t="shared" si="3"/>
        <v>1100</v>
      </c>
      <c r="O5" s="7">
        <v>6600</v>
      </c>
      <c r="P5" s="8">
        <v>6</v>
      </c>
      <c r="Q5" s="7" t="e">
        <f t="shared" si="4"/>
        <v>#DIV/0!</v>
      </c>
      <c r="R5" s="7">
        <v>0</v>
      </c>
      <c r="S5" s="8">
        <v>0</v>
      </c>
      <c r="T5" s="7" t="e">
        <f t="shared" si="5"/>
        <v>#DIV/0!</v>
      </c>
      <c r="U5" s="7">
        <v>0</v>
      </c>
      <c r="V5" s="8">
        <v>0</v>
      </c>
      <c r="W5" s="7">
        <f t="shared" si="6"/>
        <v>995.78947368421052</v>
      </c>
      <c r="X5" s="7">
        <v>7568</v>
      </c>
      <c r="Y5" s="8">
        <v>7.6</v>
      </c>
      <c r="Z5" s="7">
        <f t="shared" si="7"/>
        <v>1180.7594936708861</v>
      </c>
      <c r="AA5" s="7">
        <v>9328</v>
      </c>
      <c r="AB5" s="8">
        <v>7.9</v>
      </c>
      <c r="AC5" s="7" t="e">
        <f t="shared" si="8"/>
        <v>#DIV/0!</v>
      </c>
      <c r="AD5" s="7">
        <v>0</v>
      </c>
      <c r="AE5" s="8">
        <v>0</v>
      </c>
      <c r="AF5" s="7" t="e">
        <f t="shared" si="9"/>
        <v>#DIV/0!</v>
      </c>
      <c r="AG5" s="7">
        <v>0</v>
      </c>
      <c r="AH5" s="8">
        <v>0</v>
      </c>
      <c r="AI5" s="7" t="e">
        <f t="shared" si="10"/>
        <v>#DIV/0!</v>
      </c>
      <c r="AJ5" s="7">
        <v>0</v>
      </c>
      <c r="AK5" s="8">
        <v>0</v>
      </c>
      <c r="AL5" s="7" t="e">
        <f t="shared" si="11"/>
        <v>#DIV/0!</v>
      </c>
      <c r="AM5" s="7">
        <v>0</v>
      </c>
      <c r="AN5" s="8">
        <v>0</v>
      </c>
      <c r="AO5" s="7">
        <f t="shared" si="12"/>
        <v>1062.4863387978141</v>
      </c>
      <c r="AP5" s="7">
        <f t="shared" ref="AP5" si="14">SUM(F5,I5,L5,O5,R5,U5,X5,AA5,AD5,AG5,AJ5,AM5)</f>
        <v>38887</v>
      </c>
      <c r="AQ5" s="8">
        <f t="shared" ref="AQ5" si="15">SUM(G5,J5,M5,P5,S5,V5,Y5,AB5,AE5,AH5,AK5,AN5)</f>
        <v>36.6</v>
      </c>
      <c r="AR5" s="3"/>
      <c r="AS5" s="3"/>
      <c r="AT5" s="3"/>
      <c r="AU5" s="3"/>
      <c r="AV5" s="3"/>
      <c r="AW5" s="3"/>
      <c r="AX5" s="3"/>
      <c r="AY5" s="3"/>
      <c r="AZ5" s="3"/>
      <c r="BA5" s="3"/>
      <c r="BB5" s="3"/>
      <c r="BC5" s="3"/>
      <c r="BD5" s="3"/>
      <c r="BE5" s="3"/>
      <c r="BF5" s="3"/>
      <c r="BG5" s="3"/>
      <c r="BH5" s="3"/>
      <c r="BI5" s="3"/>
      <c r="BJ5" s="3"/>
      <c r="BK5" s="3"/>
      <c r="BL5" s="3"/>
      <c r="BM5" s="3"/>
      <c r="BN5" s="3"/>
      <c r="BO5" s="3"/>
    </row>
    <row r="6" spans="1:67" x14ac:dyDescent="0.3">
      <c r="A6" s="1" t="s">
        <v>19</v>
      </c>
      <c r="B6" s="1"/>
    </row>
    <row r="7" spans="1:67" x14ac:dyDescent="0.3">
      <c r="A7" s="1" t="s">
        <v>25</v>
      </c>
      <c r="B7" s="1"/>
    </row>
    <row r="8" spans="1:67" x14ac:dyDescent="0.3">
      <c r="A8" s="1" t="s">
        <v>29</v>
      </c>
      <c r="B8" s="1"/>
    </row>
    <row r="9" spans="1:67" x14ac:dyDescent="0.3">
      <c r="A9" s="1" t="s">
        <v>20</v>
      </c>
      <c r="B9" s="1"/>
    </row>
    <row r="10" spans="1:67" x14ac:dyDescent="0.3">
      <c r="A10" s="1" t="s">
        <v>30</v>
      </c>
      <c r="B10" s="1"/>
    </row>
  </sheetData>
  <mergeCells count="16">
    <mergeCell ref="B3:B5"/>
    <mergeCell ref="C3:C5"/>
    <mergeCell ref="AO1:AQ1"/>
    <mergeCell ref="W1:Y1"/>
    <mergeCell ref="Z1:AB1"/>
    <mergeCell ref="AC1:AE1"/>
    <mergeCell ref="AF1:AH1"/>
    <mergeCell ref="AI1:AK1"/>
    <mergeCell ref="D3:D5"/>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2026-08-10T05:28:20Z</dcterms:modified>
</cp:coreProperties>
</file>