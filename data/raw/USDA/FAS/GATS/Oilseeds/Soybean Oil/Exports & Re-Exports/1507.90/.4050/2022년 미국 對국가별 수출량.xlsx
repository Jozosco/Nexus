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Q63" i="1" l="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63" i="1"/>
  <c r="AL62" i="1"/>
  <c r="AL61" i="1"/>
  <c r="AL60" i="1"/>
  <c r="AL59" i="1"/>
  <c r="AL58" i="1"/>
  <c r="AL57" i="1"/>
  <c r="AL56" i="1"/>
  <c r="AL55" i="1"/>
  <c r="AL54" i="1"/>
  <c r="AL53" i="1"/>
  <c r="AL52" i="1"/>
  <c r="AL51" i="1"/>
  <c r="AL50" i="1"/>
  <c r="AL49" i="1"/>
  <c r="AL48" i="1"/>
  <c r="AL47" i="1"/>
  <c r="AL46" i="1"/>
  <c r="AL45" i="1"/>
  <c r="AI63" i="1"/>
  <c r="AI62" i="1"/>
  <c r="AI61" i="1"/>
  <c r="AI60" i="1"/>
  <c r="AI59" i="1"/>
  <c r="AI58" i="1"/>
  <c r="AI57" i="1"/>
  <c r="AI56" i="1"/>
  <c r="AI55" i="1"/>
  <c r="AI54" i="1"/>
  <c r="AI53" i="1"/>
  <c r="AI52" i="1"/>
  <c r="AI51" i="1"/>
  <c r="AI50" i="1"/>
  <c r="AI49" i="1"/>
  <c r="AI48" i="1"/>
  <c r="AI47" i="1"/>
  <c r="AI46" i="1"/>
  <c r="AI45" i="1"/>
  <c r="AF63" i="1"/>
  <c r="AF62" i="1"/>
  <c r="AF61" i="1"/>
  <c r="AF60" i="1"/>
  <c r="AF59" i="1"/>
  <c r="AF58" i="1"/>
  <c r="AF57" i="1"/>
  <c r="AF56" i="1"/>
  <c r="AF55" i="1"/>
  <c r="AF54" i="1"/>
  <c r="AF53" i="1"/>
  <c r="AF52" i="1"/>
  <c r="AF51" i="1"/>
  <c r="AF50" i="1"/>
  <c r="AF49" i="1"/>
  <c r="AF48" i="1"/>
  <c r="AF47" i="1"/>
  <c r="AF46" i="1"/>
  <c r="AF45" i="1"/>
  <c r="AC63" i="1"/>
  <c r="AC62" i="1"/>
  <c r="AC61" i="1"/>
  <c r="AC60" i="1"/>
  <c r="AC59" i="1"/>
  <c r="AC58" i="1"/>
  <c r="AC57" i="1"/>
  <c r="AC56" i="1"/>
  <c r="AC55" i="1"/>
  <c r="AC54" i="1"/>
  <c r="AC53" i="1"/>
  <c r="AC52" i="1"/>
  <c r="AC51" i="1"/>
  <c r="AC50" i="1"/>
  <c r="AC49" i="1"/>
  <c r="AC48" i="1"/>
  <c r="AC47" i="1"/>
  <c r="AC46" i="1"/>
  <c r="AC45" i="1"/>
  <c r="Z63" i="1"/>
  <c r="Z62" i="1"/>
  <c r="Z61" i="1"/>
  <c r="Z60" i="1"/>
  <c r="Z59" i="1"/>
  <c r="Z58" i="1"/>
  <c r="Z57" i="1"/>
  <c r="Z56" i="1"/>
  <c r="Z55" i="1"/>
  <c r="Z54" i="1"/>
  <c r="Z53" i="1"/>
  <c r="Z52" i="1"/>
  <c r="Z51" i="1"/>
  <c r="Z50" i="1"/>
  <c r="Z49" i="1"/>
  <c r="Z48" i="1"/>
  <c r="Z47" i="1"/>
  <c r="Z46" i="1"/>
  <c r="Z45" i="1"/>
  <c r="W63" i="1"/>
  <c r="W62" i="1"/>
  <c r="W61" i="1"/>
  <c r="W60" i="1"/>
  <c r="W59" i="1"/>
  <c r="W58" i="1"/>
  <c r="W57" i="1"/>
  <c r="W56" i="1"/>
  <c r="W55" i="1"/>
  <c r="W54" i="1"/>
  <c r="W53" i="1"/>
  <c r="W52" i="1"/>
  <c r="W51" i="1"/>
  <c r="W50" i="1"/>
  <c r="W49" i="1"/>
  <c r="W48" i="1"/>
  <c r="W47" i="1"/>
  <c r="W46" i="1"/>
  <c r="W45" i="1"/>
  <c r="T63" i="1"/>
  <c r="T62" i="1"/>
  <c r="T61" i="1"/>
  <c r="T60" i="1"/>
  <c r="T59" i="1"/>
  <c r="T58" i="1"/>
  <c r="T57" i="1"/>
  <c r="T56" i="1"/>
  <c r="T55" i="1"/>
  <c r="T54" i="1"/>
  <c r="T53" i="1"/>
  <c r="T52" i="1"/>
  <c r="T51" i="1"/>
  <c r="T50" i="1"/>
  <c r="T49" i="1"/>
  <c r="T48" i="1"/>
  <c r="T47" i="1"/>
  <c r="T46" i="1"/>
  <c r="T45" i="1"/>
  <c r="Q63" i="1"/>
  <c r="Q62" i="1"/>
  <c r="Q61" i="1"/>
  <c r="Q60" i="1"/>
  <c r="Q59" i="1"/>
  <c r="Q58" i="1"/>
  <c r="Q57" i="1"/>
  <c r="Q56" i="1"/>
  <c r="Q55" i="1"/>
  <c r="Q54" i="1"/>
  <c r="Q53" i="1"/>
  <c r="Q52" i="1"/>
  <c r="Q51" i="1"/>
  <c r="Q50" i="1"/>
  <c r="Q49" i="1"/>
  <c r="Q48" i="1"/>
  <c r="Q47" i="1"/>
  <c r="Q46" i="1"/>
  <c r="Q45" i="1"/>
  <c r="N63" i="1"/>
  <c r="N62" i="1"/>
  <c r="N61" i="1"/>
  <c r="N60" i="1"/>
  <c r="N59" i="1"/>
  <c r="N58" i="1"/>
  <c r="N57" i="1"/>
  <c r="N56" i="1"/>
  <c r="N55" i="1"/>
  <c r="N54" i="1"/>
  <c r="N53" i="1"/>
  <c r="N52" i="1"/>
  <c r="N51" i="1"/>
  <c r="N50" i="1"/>
  <c r="N49" i="1"/>
  <c r="N48" i="1"/>
  <c r="N47" i="1"/>
  <c r="N46" i="1"/>
  <c r="N45" i="1"/>
  <c r="K63" i="1"/>
  <c r="K62" i="1"/>
  <c r="K61" i="1"/>
  <c r="K60" i="1"/>
  <c r="K59" i="1"/>
  <c r="K58" i="1"/>
  <c r="K57" i="1"/>
  <c r="K56" i="1"/>
  <c r="K55" i="1"/>
  <c r="K54" i="1"/>
  <c r="K53" i="1"/>
  <c r="K52" i="1"/>
  <c r="K51" i="1"/>
  <c r="K50" i="1"/>
  <c r="K49" i="1"/>
  <c r="K48" i="1"/>
  <c r="K47" i="1"/>
  <c r="K46" i="1"/>
  <c r="K45" i="1"/>
  <c r="H63" i="1"/>
  <c r="H62" i="1"/>
  <c r="H61" i="1"/>
  <c r="H60" i="1"/>
  <c r="H59" i="1"/>
  <c r="H58" i="1"/>
  <c r="H57" i="1"/>
  <c r="H56" i="1"/>
  <c r="H55" i="1"/>
  <c r="H54" i="1"/>
  <c r="H53" i="1"/>
  <c r="H52" i="1"/>
  <c r="H51" i="1"/>
  <c r="H50" i="1"/>
  <c r="H49" i="1"/>
  <c r="H48" i="1"/>
  <c r="H47" i="1"/>
  <c r="H46" i="1"/>
  <c r="H45" i="1"/>
  <c r="E63" i="1"/>
  <c r="E62" i="1"/>
  <c r="E61" i="1"/>
  <c r="E60" i="1"/>
  <c r="E59" i="1"/>
  <c r="E58" i="1"/>
  <c r="E57" i="1"/>
  <c r="E56" i="1"/>
  <c r="E55" i="1"/>
  <c r="E54" i="1"/>
  <c r="E53" i="1"/>
  <c r="E52" i="1"/>
  <c r="E51" i="1"/>
  <c r="E50" i="1"/>
  <c r="E49" i="1"/>
  <c r="E48" i="1"/>
  <c r="E47" i="1"/>
  <c r="E46" i="1"/>
  <c r="E45" i="1"/>
  <c r="AO50" i="1" l="1"/>
  <c r="AO62" i="1"/>
  <c r="AO46" i="1"/>
  <c r="AO54" i="1"/>
  <c r="AO58" i="1"/>
  <c r="AO45" i="1"/>
  <c r="AO49" i="1"/>
  <c r="AO53" i="1"/>
  <c r="AO57" i="1"/>
  <c r="AO61" i="1"/>
  <c r="AO63" i="1"/>
  <c r="AO55" i="1"/>
  <c r="AO47" i="1"/>
  <c r="AO59" i="1"/>
  <c r="AO51" i="1"/>
  <c r="AO52"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<sst xmlns="http://schemas.openxmlformats.org/spreadsheetml/2006/main" count="125" uniqueCount="89">
  <si>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</si>
  <si>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</si>
  <si>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</si>
  <si>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</si>
  <si>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</si>
  <si>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</si>
  <si>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</si>
  <si>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</si>
  <si>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</si>
  <si>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</si>
  <si>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</si>
  <si>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</si>
  <si>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</si>
  <si>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</si>
  <si>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</si>
  <si>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</si>
  <si>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</si>
  <si>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</si>
  <si>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</si>
  <si>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</si>
  <si>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</si>
  <si>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</si>
  <si>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</si>
  <si>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</si>
  <si>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</si>
  <si>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</si>
  <si>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</si>
  <si>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</si>
  <si>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</si>
  <si>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</si>
  <si>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</si>
  <si>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</si>
  <si>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</si>
  <si>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</si>
  <si>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</si>
  <si>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</si>
  <si>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</si>
  <si>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</si>
  <si>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</si>
  <si>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</si>
  <si>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</si>
  <si>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</si>
  <si>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</si>
  <si>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</si>
  <si>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</si>
  <si>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</si>
  <si>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</si>
  <si>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</si>
  <si>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</si>
  <si>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</si>
  <si>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</si>
  <si>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</si>
  <si>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</si>
  <si>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Saudi Arabia</t>
  </si>
  <si>
    <t>Kuwait</t>
  </si>
  <si>
    <t>Chile</t>
  </si>
  <si>
    <t>Lebanon</t>
  </si>
  <si>
    <t>Qatar</t>
  </si>
  <si>
    <t>India</t>
  </si>
  <si>
    <t>Cayman Islands</t>
  </si>
  <si>
    <t>Bermuda</t>
  </si>
  <si>
    <t>Brunei</t>
  </si>
  <si>
    <t>Equatorial Guinea</t>
  </si>
  <si>
    <t>Iceland</t>
  </si>
  <si>
    <t>Indonesia</t>
  </si>
  <si>
    <t>Peru</t>
  </si>
  <si>
    <t>Philippines</t>
  </si>
  <si>
    <t>United Kingdom</t>
  </si>
  <si>
    <t>1. Data Source: U.S. Census Bureau Trade Data</t>
  </si>
  <si>
    <t>4. Product Group : Harmonized</t>
  </si>
  <si>
    <t>Product</t>
    <phoneticPr fontId="18" type="noConversion"/>
  </si>
  <si>
    <t>SOY OIL FLY-RFND</t>
    <phoneticPr fontId="18" type="noConversion"/>
  </si>
  <si>
    <t>Niger</t>
  </si>
  <si>
    <t>Oman</t>
  </si>
  <si>
    <t>Marshall Islands</t>
  </si>
  <si>
    <t>French Pacific Islands(*)</t>
  </si>
  <si>
    <t>Argentina</t>
  </si>
  <si>
    <t>Spain</t>
  </si>
  <si>
    <t>Malta</t>
  </si>
  <si>
    <t>New Zealand(*)</t>
  </si>
  <si>
    <t>Belgium-Luxembourg(*)</t>
  </si>
  <si>
    <t>Brazil</t>
  </si>
  <si>
    <t>Haiti</t>
  </si>
  <si>
    <t>Malaysia</t>
  </si>
  <si>
    <t>Paraguay</t>
  </si>
  <si>
    <t>South Africa</t>
  </si>
  <si>
    <t>Turks and Caicos Islands</t>
  </si>
  <si>
    <t>Yemen</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</si>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</sst>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44</v>
      </c>
      <c r="B2" s="2" t="s">
        <v>70</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20" t="s">
        <v>16</v>
      </c>
      <c r="B3" s="22" t="s">
        <v>71</v>
      </c>
      <c r="C3" s="22" t="s">
        <v>17</v>
      </c>
      <c r="D3" s="22" t="s">
        <v>46</v>
      </c>
      <c r="E3" s="17">
        <f>F3/G3</f>
        <v>1599.0483909497323</v>
      </c>
      <c r="F3" s="17">
        <f>SUM(F4:F63)</f>
        <v>28114149</v>
      </c>
      <c r="G3" s="18">
        <f>SUM(G4:G63)</f>
        <v>17581.8</v>
      </c>
      <c r="H3" s="17">
        <f>I3/J3</f>
        <v>1604.0785382190529</v>
      </c>
      <c r="I3" s="17">
        <f>SUM(I4:I63)</f>
        <v>37502875</v>
      </c>
      <c r="J3" s="18">
        <f>SUM(J4:J63)</f>
        <v>23379.700000000004</v>
      </c>
      <c r="K3" s="17">
        <f>L3/M3</f>
        <v>1789.593149465303</v>
      </c>
      <c r="L3" s="17">
        <f>SUM(L4:L63)</f>
        <v>17889310</v>
      </c>
      <c r="M3" s="18">
        <f>SUM(M4:M63)</f>
        <v>9996.2999999999956</v>
      </c>
      <c r="N3" s="17">
        <f>O3/P3</f>
        <v>1867.0382591724422</v>
      </c>
      <c r="O3" s="17">
        <f>SUM(O4:O63)</f>
        <v>18558547</v>
      </c>
      <c r="P3" s="18">
        <f>SUM(P4:P63)</f>
        <v>9940.100000000004</v>
      </c>
      <c r="Q3" s="17">
        <f>R3/S3</f>
        <v>2290.9949506541197</v>
      </c>
      <c r="R3" s="17">
        <f>SUM(R4:R63)</f>
        <v>13974611</v>
      </c>
      <c r="S3" s="18">
        <f>SUM(S4:S63)</f>
        <v>6099.8</v>
      </c>
      <c r="T3" s="17">
        <f>U3/V3</f>
        <v>2259.0698137919258</v>
      </c>
      <c r="U3" s="17">
        <f>SUM(U4:U63)</f>
        <v>15868610</v>
      </c>
      <c r="V3" s="18">
        <f>SUM(V4:V63)</f>
        <v>7024.3999999999987</v>
      </c>
      <c r="W3" s="17">
        <f>X3/Y3</f>
        <v>2212.6714683254218</v>
      </c>
      <c r="X3" s="17">
        <f>SUM(X4:X63)</f>
        <v>17572373</v>
      </c>
      <c r="Y3" s="18">
        <f>SUM(Y4:Y63)</f>
        <v>7941.7</v>
      </c>
      <c r="Z3" s="17">
        <f>AA3/AB3</f>
        <v>2185.3351879067818</v>
      </c>
      <c r="AA3" s="17">
        <f>SUM(AA4:AA63)</f>
        <v>20817503</v>
      </c>
      <c r="AB3" s="18">
        <f>SUM(AB4:AB63)</f>
        <v>9525.9999999999982</v>
      </c>
      <c r="AC3" s="17">
        <f>AD3/AE3</f>
        <v>2078.6888435878427</v>
      </c>
      <c r="AD3" s="17">
        <f>SUM(AD4:AD63)</f>
        <v>20189889</v>
      </c>
      <c r="AE3" s="18">
        <f>SUM(AE4:AE63)</f>
        <v>9712.8000000000011</v>
      </c>
      <c r="AF3" s="17">
        <f>AG3/AH3</f>
        <v>2068.8879108974565</v>
      </c>
      <c r="AG3" s="17">
        <f>SUM(AG4:AG63)</f>
        <v>18333864</v>
      </c>
      <c r="AH3" s="18">
        <f>SUM(AH4:AH63)</f>
        <v>8861.7000000000044</v>
      </c>
      <c r="AI3" s="17">
        <f>AJ3/AK3</f>
        <v>2064.0554733168374</v>
      </c>
      <c r="AJ3" s="17">
        <f>SUM(AJ4:AJ63)</f>
        <v>19102627</v>
      </c>
      <c r="AK3" s="18">
        <f>SUM(AK4:AK63)</f>
        <v>9254.9000000000015</v>
      </c>
      <c r="AL3" s="17">
        <f>AM3/AN3</f>
        <v>2189.5757901655011</v>
      </c>
      <c r="AM3" s="17">
        <f>SUM(AM4:AM63)</f>
        <v>10994079</v>
      </c>
      <c r="AN3" s="18">
        <f>SUM(AN4:AN63)</f>
        <v>5021.1000000000013</v>
      </c>
      <c r="AO3" s="17">
        <f>AP3/AQ3</f>
        <v>1921.4883428783744</v>
      </c>
      <c r="AP3" s="17">
        <f>SUM(AP4:AP63)</f>
        <v>238918437</v>
      </c>
      <c r="AQ3" s="18">
        <f>SUM(AQ4:AQ63)</f>
        <v>124340.30000000003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20</v>
      </c>
      <c r="B4" s="23"/>
      <c r="C4" s="23"/>
      <c r="D4" s="23"/>
      <c r="E4" s="3">
        <f t="shared" ref="E4:E11" si="0">F4/G4</f>
        <v>1689.1054259521502</v>
      </c>
      <c r="F4" s="3">
        <v>9065091</v>
      </c>
      <c r="G4" s="6">
        <v>5366.8</v>
      </c>
      <c r="H4" s="3">
        <f t="shared" ref="H4:H11" si="1">I4/J4</f>
        <v>1616.1419470285769</v>
      </c>
      <c r="I4" s="3">
        <v>14992464</v>
      </c>
      <c r="J4" s="6">
        <v>9276.7000000000007</v>
      </c>
      <c r="K4" s="3">
        <f t="shared" ref="K4:K11" si="2">L4/M4</f>
        <v>1709.5342107176616</v>
      </c>
      <c r="L4" s="3">
        <v>11755612</v>
      </c>
      <c r="M4" s="6">
        <v>6876.5</v>
      </c>
      <c r="N4" s="3">
        <f t="shared" ref="N4:N11" si="3">O4/P4</f>
        <v>1763.7321468113373</v>
      </c>
      <c r="O4" s="3">
        <v>12744023</v>
      </c>
      <c r="P4" s="6">
        <v>7225.6</v>
      </c>
      <c r="Q4" s="3">
        <f t="shared" ref="Q4:Q11" si="4">R4/S4</f>
        <v>2220.8885820873602</v>
      </c>
      <c r="R4" s="3">
        <v>7560571</v>
      </c>
      <c r="S4" s="6">
        <v>3404.3</v>
      </c>
      <c r="T4" s="3">
        <f t="shared" ref="T4:T11" si="5">U4/V4</f>
        <v>2188.1756883702483</v>
      </c>
      <c r="U4" s="3">
        <v>10482018</v>
      </c>
      <c r="V4" s="6">
        <v>4790.3</v>
      </c>
      <c r="W4" s="3">
        <f t="shared" ref="W4:W11" si="6">X4/Y4</f>
        <v>2127.0798308537774</v>
      </c>
      <c r="X4" s="3">
        <v>12424486</v>
      </c>
      <c r="Y4" s="6">
        <v>5841.1</v>
      </c>
      <c r="Z4" s="3">
        <f t="shared" ref="Z4:Z11" si="7">AA4/AB4</f>
        <v>2062.5778647622255</v>
      </c>
      <c r="AA4" s="3">
        <v>15913407</v>
      </c>
      <c r="AB4" s="6">
        <v>7715.3</v>
      </c>
      <c r="AC4" s="3">
        <f t="shared" ref="AC4:AC11" si="8">AD4/AE4</f>
        <v>2007.5072937473519</v>
      </c>
      <c r="AD4" s="3">
        <v>16583014</v>
      </c>
      <c r="AE4" s="6">
        <v>8260.5</v>
      </c>
      <c r="AF4" s="3">
        <f t="shared" ref="AF4:AF11" si="9">AG4/AH4</f>
        <v>1983.0283110966482</v>
      </c>
      <c r="AG4" s="3">
        <v>15234615</v>
      </c>
      <c r="AH4" s="6">
        <v>7682.5</v>
      </c>
      <c r="AI4" s="3">
        <f t="shared" ref="AI4:AI11" si="10">AJ4/AK4</f>
        <v>2030.162616203691</v>
      </c>
      <c r="AJ4" s="3">
        <v>14719085</v>
      </c>
      <c r="AK4" s="6">
        <v>7250.2</v>
      </c>
      <c r="AL4" s="3">
        <f t="shared" ref="AL4:AL11" si="11">AM4/AN4</f>
        <v>2078.980539897459</v>
      </c>
      <c r="AM4" s="3">
        <v>7339425</v>
      </c>
      <c r="AN4" s="6">
        <v>3530.3</v>
      </c>
      <c r="AO4" s="3">
        <f t="shared" ref="AO4:AO63" si="12">AP4/AQ4</f>
        <v>1927.138283944206</v>
      </c>
      <c r="AP4" s="3">
        <f t="shared" ref="AP4" si="13">SUM(F4,I4,L4,O4,R4,U4,X4,AA4,AD4,AG4,AJ4,AM4)</f>
        <v>148813811</v>
      </c>
      <c r="AQ4" s="6">
        <f t="shared" ref="AQ4:AQ63" si="14">SUM(G4,J4,M4,P4,S4,V4,Y4,AB4,AE4,AH4,AK4,AN4)</f>
        <v>77220.100000000006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26</v>
      </c>
      <c r="B5" s="23"/>
      <c r="C5" s="23"/>
      <c r="D5" s="23"/>
      <c r="E5" s="3">
        <f t="shared" si="0"/>
        <v>1975.2631578947369</v>
      </c>
      <c r="F5" s="3">
        <v>116343</v>
      </c>
      <c r="G5" s="6">
        <v>58.9</v>
      </c>
      <c r="H5" s="3">
        <f t="shared" si="1"/>
        <v>1465.3113087674712</v>
      </c>
      <c r="I5" s="3">
        <v>115320</v>
      </c>
      <c r="J5" s="6">
        <v>78.7</v>
      </c>
      <c r="K5" s="3">
        <f t="shared" si="2"/>
        <v>2318.0353295993109</v>
      </c>
      <c r="L5" s="3">
        <v>538016</v>
      </c>
      <c r="M5" s="6">
        <v>232.1</v>
      </c>
      <c r="N5" s="3">
        <f t="shared" si="3"/>
        <v>2351.1478312186487</v>
      </c>
      <c r="O5" s="3">
        <v>796804</v>
      </c>
      <c r="P5" s="6">
        <v>338.9</v>
      </c>
      <c r="Q5" s="3">
        <f t="shared" si="4"/>
        <v>2369.5987376014427</v>
      </c>
      <c r="R5" s="3">
        <v>525577</v>
      </c>
      <c r="S5" s="6">
        <v>221.8</v>
      </c>
      <c r="T5" s="3">
        <f t="shared" si="5"/>
        <v>2513.0583695127834</v>
      </c>
      <c r="U5" s="3">
        <v>520957</v>
      </c>
      <c r="V5" s="6">
        <v>207.3</v>
      </c>
      <c r="W5" s="3">
        <f t="shared" si="6"/>
        <v>2005.148842337376</v>
      </c>
      <c r="X5" s="3">
        <v>363734</v>
      </c>
      <c r="Y5" s="6">
        <v>181.4</v>
      </c>
      <c r="Z5" s="3">
        <f t="shared" si="7"/>
        <v>2735.7964869775892</v>
      </c>
      <c r="AA5" s="3">
        <v>903360</v>
      </c>
      <c r="AB5" s="6">
        <v>330.2</v>
      </c>
      <c r="AC5" s="3">
        <f t="shared" si="8"/>
        <v>2472.8113590263692</v>
      </c>
      <c r="AD5" s="3">
        <v>609548</v>
      </c>
      <c r="AE5" s="6">
        <v>246.5</v>
      </c>
      <c r="AF5" s="3">
        <f t="shared" si="9"/>
        <v>2730.0409836065573</v>
      </c>
      <c r="AG5" s="3">
        <v>199839</v>
      </c>
      <c r="AH5" s="6">
        <v>73.2</v>
      </c>
      <c r="AI5" s="3">
        <f t="shared" si="10"/>
        <v>2739.4427860696519</v>
      </c>
      <c r="AJ5" s="3">
        <v>275314</v>
      </c>
      <c r="AK5" s="6">
        <v>100.5</v>
      </c>
      <c r="AL5" s="3">
        <f t="shared" si="11"/>
        <v>2527.5832621690865</v>
      </c>
      <c r="AM5" s="3">
        <v>591960</v>
      </c>
      <c r="AN5" s="6">
        <v>234.2</v>
      </c>
      <c r="AO5" s="3">
        <f t="shared" si="12"/>
        <v>2412.1074792724748</v>
      </c>
      <c r="AP5" s="3">
        <f t="shared" ref="AP5:AP63" si="15">SUM(F5,I5,L5,O5,R5,U5,X5,AA5,AD5,AG5,AJ5,AM5)</f>
        <v>5556772</v>
      </c>
      <c r="AQ5" s="6">
        <f t="shared" si="14"/>
        <v>2303.6999999999998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25</v>
      </c>
      <c r="B6" s="23"/>
      <c r="C6" s="23"/>
      <c r="D6" s="23"/>
      <c r="E6" s="3">
        <f t="shared" si="0"/>
        <v>1566.8354234999035</v>
      </c>
      <c r="F6" s="3">
        <v>4060454</v>
      </c>
      <c r="G6" s="6">
        <v>2591.5</v>
      </c>
      <c r="H6" s="3">
        <f t="shared" si="1"/>
        <v>1694.0321453529</v>
      </c>
      <c r="I6" s="3">
        <v>1454496</v>
      </c>
      <c r="J6" s="6">
        <v>858.6</v>
      </c>
      <c r="K6" s="3">
        <f t="shared" si="2"/>
        <v>1702.7627223250856</v>
      </c>
      <c r="L6" s="3">
        <v>3034834</v>
      </c>
      <c r="M6" s="6">
        <v>1782.3</v>
      </c>
      <c r="N6" s="3">
        <f t="shared" si="3"/>
        <v>1760.4272352568169</v>
      </c>
      <c r="O6" s="3">
        <v>2220955</v>
      </c>
      <c r="P6" s="6">
        <v>1261.5999999999999</v>
      </c>
      <c r="Q6" s="3">
        <f t="shared" si="4"/>
        <v>2177.8861400324768</v>
      </c>
      <c r="R6" s="3">
        <v>2280029</v>
      </c>
      <c r="S6" s="6">
        <v>1046.9000000000001</v>
      </c>
      <c r="T6" s="3">
        <f t="shared" si="5"/>
        <v>2265.7650897226754</v>
      </c>
      <c r="U6" s="3">
        <v>2083371</v>
      </c>
      <c r="V6" s="6">
        <v>919.5</v>
      </c>
      <c r="W6" s="3">
        <f t="shared" si="6"/>
        <v>2012.5429362880886</v>
      </c>
      <c r="X6" s="3">
        <v>726528</v>
      </c>
      <c r="Y6" s="6">
        <v>361</v>
      </c>
      <c r="Z6" s="3">
        <f t="shared" si="7"/>
        <v>3515.5912408759123</v>
      </c>
      <c r="AA6" s="3">
        <v>240818</v>
      </c>
      <c r="AB6" s="6">
        <v>68.5</v>
      </c>
      <c r="AC6" s="3">
        <f t="shared" si="8"/>
        <v>2685.8986486486488</v>
      </c>
      <c r="AD6" s="3">
        <v>397513</v>
      </c>
      <c r="AE6" s="6">
        <v>148</v>
      </c>
      <c r="AF6" s="3">
        <f t="shared" si="9"/>
        <v>3363.7623762376238</v>
      </c>
      <c r="AG6" s="3">
        <v>271792</v>
      </c>
      <c r="AH6" s="6">
        <v>80.8</v>
      </c>
      <c r="AI6" s="3">
        <f t="shared" si="10"/>
        <v>1923.7725310992637</v>
      </c>
      <c r="AJ6" s="3">
        <v>2273322</v>
      </c>
      <c r="AK6" s="6">
        <v>1181.7</v>
      </c>
      <c r="AL6" s="3">
        <f t="shared" si="11"/>
        <v>2466.5361952861954</v>
      </c>
      <c r="AM6" s="3">
        <v>586049</v>
      </c>
      <c r="AN6" s="6">
        <v>237.6</v>
      </c>
      <c r="AO6" s="3">
        <f t="shared" si="12"/>
        <v>1862.7975896754601</v>
      </c>
      <c r="AP6" s="3">
        <f t="shared" si="15"/>
        <v>19630161</v>
      </c>
      <c r="AQ6" s="6">
        <f t="shared" si="14"/>
        <v>10538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38</v>
      </c>
      <c r="B7" s="23"/>
      <c r="C7" s="23"/>
      <c r="D7" s="23"/>
      <c r="E7" s="3">
        <f t="shared" si="0"/>
        <v>2042.9672650475184</v>
      </c>
      <c r="F7" s="3">
        <v>386938</v>
      </c>
      <c r="G7" s="6">
        <v>189.4</v>
      </c>
      <c r="H7" s="3">
        <f t="shared" si="1"/>
        <v>1889.7098214285713</v>
      </c>
      <c r="I7" s="3">
        <v>507954</v>
      </c>
      <c r="J7" s="6">
        <v>268.8</v>
      </c>
      <c r="K7" s="3">
        <f t="shared" si="2"/>
        <v>2196.0913705583757</v>
      </c>
      <c r="L7" s="3">
        <v>173052</v>
      </c>
      <c r="M7" s="6">
        <v>78.8</v>
      </c>
      <c r="N7" s="3">
        <f t="shared" si="3"/>
        <v>2262.2684310018903</v>
      </c>
      <c r="O7" s="3">
        <v>359022</v>
      </c>
      <c r="P7" s="6">
        <v>158.69999999999999</v>
      </c>
      <c r="Q7" s="3">
        <f t="shared" si="4"/>
        <v>2818.4233261339095</v>
      </c>
      <c r="R7" s="3">
        <v>130493</v>
      </c>
      <c r="S7" s="6">
        <v>46.3</v>
      </c>
      <c r="T7" s="3">
        <f t="shared" si="5"/>
        <v>2187.2376357056692</v>
      </c>
      <c r="U7" s="3">
        <v>181322</v>
      </c>
      <c r="V7" s="6">
        <v>82.9</v>
      </c>
      <c r="W7" s="3">
        <f t="shared" si="6"/>
        <v>2722.8796561604586</v>
      </c>
      <c r="X7" s="3">
        <v>570171</v>
      </c>
      <c r="Y7" s="6">
        <v>209.4</v>
      </c>
      <c r="Z7" s="3">
        <f t="shared" si="7"/>
        <v>2591.6642547033289</v>
      </c>
      <c r="AA7" s="3">
        <v>358168</v>
      </c>
      <c r="AB7" s="6">
        <v>138.19999999999999</v>
      </c>
      <c r="AC7" s="3">
        <f t="shared" si="8"/>
        <v>2581.0349854227406</v>
      </c>
      <c r="AD7" s="3">
        <v>177059</v>
      </c>
      <c r="AE7" s="6">
        <v>68.599999999999994</v>
      </c>
      <c r="AF7" s="3">
        <f t="shared" si="9"/>
        <v>2605.0689655172414</v>
      </c>
      <c r="AG7" s="3">
        <v>302188</v>
      </c>
      <c r="AH7" s="6">
        <v>116</v>
      </c>
      <c r="AI7" s="3">
        <f t="shared" si="10"/>
        <v>2019.1708723864458</v>
      </c>
      <c r="AJ7" s="3">
        <v>280059</v>
      </c>
      <c r="AK7" s="6">
        <v>138.69999999999999</v>
      </c>
      <c r="AL7" s="3">
        <f t="shared" si="11"/>
        <v>2353.7332646755922</v>
      </c>
      <c r="AM7" s="3">
        <v>457095</v>
      </c>
      <c r="AN7" s="6">
        <v>194.2</v>
      </c>
      <c r="AO7" s="3">
        <f t="shared" si="12"/>
        <v>2297.9414201183431</v>
      </c>
      <c r="AP7" s="3">
        <f t="shared" si="15"/>
        <v>3883521</v>
      </c>
      <c r="AQ7" s="6">
        <f t="shared" si="14"/>
        <v>1690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54</v>
      </c>
      <c r="B8" s="23"/>
      <c r="C8" s="23"/>
      <c r="D8" s="23"/>
      <c r="E8" s="3">
        <f t="shared" si="0"/>
        <v>1930.8717105263158</v>
      </c>
      <c r="F8" s="3">
        <v>352191</v>
      </c>
      <c r="G8" s="6">
        <v>182.4</v>
      </c>
      <c r="H8" s="3">
        <f t="shared" si="1"/>
        <v>1941.5417196103347</v>
      </c>
      <c r="I8" s="3">
        <v>916796</v>
      </c>
      <c r="J8" s="6">
        <v>472.2</v>
      </c>
      <c r="K8" s="3">
        <f t="shared" si="2"/>
        <v>2352.4525916561315</v>
      </c>
      <c r="L8" s="3">
        <v>186079</v>
      </c>
      <c r="M8" s="6">
        <v>79.099999999999994</v>
      </c>
      <c r="N8" s="3">
        <f t="shared" si="3"/>
        <v>2111.1369509043925</v>
      </c>
      <c r="O8" s="3">
        <v>81701</v>
      </c>
      <c r="P8" s="6">
        <v>38.700000000000003</v>
      </c>
      <c r="Q8" s="3">
        <f t="shared" si="4"/>
        <v>2331.5802469135801</v>
      </c>
      <c r="R8" s="3">
        <v>283287</v>
      </c>
      <c r="S8" s="6">
        <v>121.5</v>
      </c>
      <c r="T8" s="3">
        <f t="shared" si="5"/>
        <v>2218.2940038684719</v>
      </c>
      <c r="U8" s="3">
        <v>573429</v>
      </c>
      <c r="V8" s="6">
        <v>258.5</v>
      </c>
      <c r="W8" s="3">
        <f t="shared" si="6"/>
        <v>2431.3591731266151</v>
      </c>
      <c r="X8" s="3">
        <v>940936</v>
      </c>
      <c r="Y8" s="6">
        <v>387</v>
      </c>
      <c r="Z8" s="3">
        <f t="shared" si="7"/>
        <v>2699.8313253012047</v>
      </c>
      <c r="AA8" s="3">
        <v>112043</v>
      </c>
      <c r="AB8" s="6">
        <v>41.5</v>
      </c>
      <c r="AC8" s="3">
        <f t="shared" si="8"/>
        <v>2589.7568037058486</v>
      </c>
      <c r="AD8" s="3">
        <v>447251</v>
      </c>
      <c r="AE8" s="6">
        <v>172.7</v>
      </c>
      <c r="AF8" s="3">
        <f t="shared" si="9"/>
        <v>2946.8449197860964</v>
      </c>
      <c r="AG8" s="3">
        <v>55106</v>
      </c>
      <c r="AH8" s="6">
        <v>18.7</v>
      </c>
      <c r="AI8" s="3">
        <f t="shared" si="10"/>
        <v>2524.6393442622953</v>
      </c>
      <c r="AJ8" s="3">
        <v>154003</v>
      </c>
      <c r="AK8" s="6">
        <v>61</v>
      </c>
      <c r="AL8" s="3">
        <f t="shared" si="11"/>
        <v>2574.6560846560847</v>
      </c>
      <c r="AM8" s="3">
        <v>291966</v>
      </c>
      <c r="AN8" s="6">
        <v>113.4</v>
      </c>
      <c r="AO8" s="3">
        <f t="shared" si="12"/>
        <v>2257.557918528792</v>
      </c>
      <c r="AP8" s="3">
        <f t="shared" si="15"/>
        <v>4394788</v>
      </c>
      <c r="AQ8" s="6">
        <f t="shared" si="14"/>
        <v>1946.7000000000003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77</v>
      </c>
      <c r="B9" s="23"/>
      <c r="C9" s="23"/>
      <c r="D9" s="23"/>
      <c r="E9" s="3">
        <f t="shared" si="0"/>
        <v>7738</v>
      </c>
      <c r="F9" s="3">
        <v>7738</v>
      </c>
      <c r="G9" s="6">
        <v>1</v>
      </c>
      <c r="H9" s="3" t="e">
        <f t="shared" si="1"/>
        <v>#DIV/0!</v>
      </c>
      <c r="I9" s="3">
        <v>0</v>
      </c>
      <c r="J9" s="6">
        <v>0</v>
      </c>
      <c r="K9" s="3">
        <f t="shared" si="2"/>
        <v>2630.1204819277104</v>
      </c>
      <c r="L9" s="3">
        <v>21830</v>
      </c>
      <c r="M9" s="6">
        <v>8.3000000000000007</v>
      </c>
      <c r="N9" s="3">
        <f t="shared" si="3"/>
        <v>1881.5267175572519</v>
      </c>
      <c r="O9" s="3">
        <v>49296</v>
      </c>
      <c r="P9" s="6">
        <v>26.2</v>
      </c>
      <c r="Q9" s="3">
        <f t="shared" si="4"/>
        <v>1543.5483870967741</v>
      </c>
      <c r="R9" s="3">
        <v>4785</v>
      </c>
      <c r="S9" s="6">
        <v>3.1</v>
      </c>
      <c r="T9" s="3">
        <f t="shared" si="5"/>
        <v>1539</v>
      </c>
      <c r="U9" s="3">
        <v>4617</v>
      </c>
      <c r="V9" s="6">
        <v>3</v>
      </c>
      <c r="W9" s="3" t="e">
        <f t="shared" si="6"/>
        <v>#DIV/0!</v>
      </c>
      <c r="X9" s="3">
        <v>0</v>
      </c>
      <c r="Y9" s="6">
        <v>0</v>
      </c>
      <c r="Z9" s="3">
        <f t="shared" si="7"/>
        <v>2411.71875</v>
      </c>
      <c r="AA9" s="3">
        <v>46305</v>
      </c>
      <c r="AB9" s="6">
        <v>19.2</v>
      </c>
      <c r="AC9" s="3">
        <f t="shared" si="8"/>
        <v>2330.3508771929824</v>
      </c>
      <c r="AD9" s="3">
        <v>92981</v>
      </c>
      <c r="AE9" s="6">
        <v>39.9</v>
      </c>
      <c r="AF9" s="3">
        <f t="shared" si="9"/>
        <v>2798.5185185185182</v>
      </c>
      <c r="AG9" s="3">
        <v>30224</v>
      </c>
      <c r="AH9" s="6">
        <v>10.8</v>
      </c>
      <c r="AI9" s="3">
        <f t="shared" si="10"/>
        <v>3190.2</v>
      </c>
      <c r="AJ9" s="3">
        <v>15951</v>
      </c>
      <c r="AK9" s="6">
        <v>5</v>
      </c>
      <c r="AL9" s="3">
        <f t="shared" si="11"/>
        <v>2053.6504065040649</v>
      </c>
      <c r="AM9" s="3">
        <v>252599</v>
      </c>
      <c r="AN9" s="6">
        <v>123</v>
      </c>
      <c r="AO9" s="3">
        <f t="shared" si="12"/>
        <v>2197.6033402922758</v>
      </c>
      <c r="AP9" s="3">
        <f t="shared" si="15"/>
        <v>526326</v>
      </c>
      <c r="AQ9" s="6">
        <f t="shared" si="14"/>
        <v>239.5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48</v>
      </c>
      <c r="B10" s="23"/>
      <c r="C10" s="23"/>
      <c r="D10" s="23"/>
      <c r="E10" s="3">
        <f t="shared" si="0"/>
        <v>2223.1578947368421</v>
      </c>
      <c r="F10" s="3">
        <v>42240</v>
      </c>
      <c r="G10" s="6">
        <v>19</v>
      </c>
      <c r="H10" s="3">
        <f t="shared" si="1"/>
        <v>2117.40625</v>
      </c>
      <c r="I10" s="3">
        <v>135514</v>
      </c>
      <c r="J10" s="6">
        <v>64</v>
      </c>
      <c r="K10" s="3">
        <f t="shared" si="2"/>
        <v>2309.6943231441051</v>
      </c>
      <c r="L10" s="3">
        <v>52892</v>
      </c>
      <c r="M10" s="6">
        <v>22.9</v>
      </c>
      <c r="N10" s="3">
        <f t="shared" si="3"/>
        <v>2455.5963302752293</v>
      </c>
      <c r="O10" s="3">
        <v>160596</v>
      </c>
      <c r="P10" s="6">
        <v>65.400000000000006</v>
      </c>
      <c r="Q10" s="3">
        <f t="shared" si="4"/>
        <v>2375.5311355311355</v>
      </c>
      <c r="R10" s="3">
        <v>194556</v>
      </c>
      <c r="S10" s="6">
        <v>81.900000000000006</v>
      </c>
      <c r="T10" s="3">
        <f t="shared" si="5"/>
        <v>2361.2227074235811</v>
      </c>
      <c r="U10" s="3">
        <v>54072</v>
      </c>
      <c r="V10" s="6">
        <v>22.9</v>
      </c>
      <c r="W10" s="3" t="e">
        <f t="shared" si="6"/>
        <v>#DIV/0!</v>
      </c>
      <c r="X10" s="3">
        <v>0</v>
      </c>
      <c r="Y10" s="6">
        <v>0</v>
      </c>
      <c r="Z10" s="3">
        <f t="shared" si="7"/>
        <v>2507.8032786885246</v>
      </c>
      <c r="AA10" s="3">
        <v>152976</v>
      </c>
      <c r="AB10" s="6">
        <v>61</v>
      </c>
      <c r="AC10" s="3">
        <f t="shared" si="8"/>
        <v>2525.1572327044023</v>
      </c>
      <c r="AD10" s="3">
        <v>40150</v>
      </c>
      <c r="AE10" s="6">
        <v>15.9</v>
      </c>
      <c r="AF10" s="3">
        <f t="shared" si="9"/>
        <v>2949.4736842105262</v>
      </c>
      <c r="AG10" s="3">
        <v>44832</v>
      </c>
      <c r="AH10" s="6">
        <v>15.2</v>
      </c>
      <c r="AI10" s="3" t="e">
        <f t="shared" si="10"/>
        <v>#DIV/0!</v>
      </c>
      <c r="AJ10" s="3">
        <v>0</v>
      </c>
      <c r="AK10" s="6">
        <v>0</v>
      </c>
      <c r="AL10" s="3">
        <f t="shared" si="11"/>
        <v>2463.2822757111594</v>
      </c>
      <c r="AM10" s="3">
        <v>225144</v>
      </c>
      <c r="AN10" s="6">
        <v>91.4</v>
      </c>
      <c r="AO10" s="3">
        <f t="shared" si="12"/>
        <v>2399.852045256745</v>
      </c>
      <c r="AP10" s="3">
        <f t="shared" si="15"/>
        <v>1102972</v>
      </c>
      <c r="AQ10" s="6">
        <f t="shared" si="14"/>
        <v>459.6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53</v>
      </c>
      <c r="B11" s="23"/>
      <c r="C11" s="23"/>
      <c r="D11" s="23"/>
      <c r="E11" s="3">
        <f t="shared" si="0"/>
        <v>2319.2300962379704</v>
      </c>
      <c r="F11" s="3">
        <v>265088</v>
      </c>
      <c r="G11" s="6">
        <v>114.3</v>
      </c>
      <c r="H11" s="3">
        <f t="shared" si="1"/>
        <v>2137.434373452204</v>
      </c>
      <c r="I11" s="3">
        <v>431548</v>
      </c>
      <c r="J11" s="6">
        <v>201.9</v>
      </c>
      <c r="K11" s="3">
        <f t="shared" si="2"/>
        <v>1978.2708688245314</v>
      </c>
      <c r="L11" s="3">
        <v>232249</v>
      </c>
      <c r="M11" s="6">
        <v>117.4</v>
      </c>
      <c r="N11" s="3">
        <f t="shared" si="3"/>
        <v>2345.7725947521867</v>
      </c>
      <c r="O11" s="3">
        <v>321840</v>
      </c>
      <c r="P11" s="6">
        <v>137.19999999999999</v>
      </c>
      <c r="Q11" s="3">
        <f t="shared" si="4"/>
        <v>2364.0615384615385</v>
      </c>
      <c r="R11" s="3">
        <v>307328</v>
      </c>
      <c r="S11" s="6">
        <v>130</v>
      </c>
      <c r="T11" s="3">
        <f t="shared" si="5"/>
        <v>2358.9059080962797</v>
      </c>
      <c r="U11" s="3">
        <v>215604</v>
      </c>
      <c r="V11" s="6">
        <v>91.4</v>
      </c>
      <c r="W11" s="3">
        <f t="shared" si="6"/>
        <v>2322.8346456692916</v>
      </c>
      <c r="X11" s="3">
        <v>531000</v>
      </c>
      <c r="Y11" s="6">
        <v>228.6</v>
      </c>
      <c r="Z11" s="3">
        <f t="shared" si="7"/>
        <v>2480.3732809430257</v>
      </c>
      <c r="AA11" s="3">
        <v>757506</v>
      </c>
      <c r="AB11" s="6">
        <v>305.39999999999998</v>
      </c>
      <c r="AC11" s="3">
        <f t="shared" si="8"/>
        <v>2920.6091370558379</v>
      </c>
      <c r="AD11" s="3">
        <v>115072</v>
      </c>
      <c r="AE11" s="6">
        <v>39.4</v>
      </c>
      <c r="AF11" s="3">
        <f t="shared" si="9"/>
        <v>1910.7768115942029</v>
      </c>
      <c r="AG11" s="3">
        <v>329609</v>
      </c>
      <c r="AH11" s="6">
        <v>172.5</v>
      </c>
      <c r="AI11" s="3">
        <f t="shared" si="10"/>
        <v>2747.9342723004693</v>
      </c>
      <c r="AJ11" s="3">
        <v>117062</v>
      </c>
      <c r="AK11" s="6">
        <v>42.6</v>
      </c>
      <c r="AL11" s="3">
        <f t="shared" si="11"/>
        <v>2347.4835886214441</v>
      </c>
      <c r="AM11" s="3">
        <v>214560</v>
      </c>
      <c r="AN11" s="6">
        <v>91.4</v>
      </c>
      <c r="AO11" s="3">
        <f t="shared" si="12"/>
        <v>2295.5959571795947</v>
      </c>
      <c r="AP11" s="3">
        <f t="shared" si="15"/>
        <v>3838466</v>
      </c>
      <c r="AQ11" s="6">
        <f t="shared" si="14"/>
        <v>1672.1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22</v>
      </c>
      <c r="B12" s="23"/>
      <c r="C12" s="23"/>
      <c r="D12" s="23"/>
      <c r="E12" s="3">
        <f>F12/G12</f>
        <v>2503.7556561085971</v>
      </c>
      <c r="F12" s="3">
        <v>55333</v>
      </c>
      <c r="G12" s="6">
        <v>22.1</v>
      </c>
      <c r="H12" s="3">
        <f>I12/J12</f>
        <v>1475.407244346608</v>
      </c>
      <c r="I12" s="3">
        <v>737261</v>
      </c>
      <c r="J12" s="6">
        <v>499.7</v>
      </c>
      <c r="K12" s="3">
        <f>L12/M12</f>
        <v>2791.25</v>
      </c>
      <c r="L12" s="3">
        <v>13398</v>
      </c>
      <c r="M12" s="6">
        <v>4.8</v>
      </c>
      <c r="N12" s="3">
        <f>O12/P12</f>
        <v>2432.8640776699026</v>
      </c>
      <c r="O12" s="3">
        <v>50117</v>
      </c>
      <c r="P12" s="6">
        <v>20.6</v>
      </c>
      <c r="Q12" s="3">
        <f>R12/S12</f>
        <v>2289.7523219814243</v>
      </c>
      <c r="R12" s="3">
        <v>73959</v>
      </c>
      <c r="S12" s="6">
        <v>32.299999999999997</v>
      </c>
      <c r="T12" s="3">
        <f>U12/V12</f>
        <v>2771.9318181818185</v>
      </c>
      <c r="U12" s="3">
        <v>73179</v>
      </c>
      <c r="V12" s="6">
        <v>26.4</v>
      </c>
      <c r="W12" s="3">
        <f>X12/Y12</f>
        <v>2726.6058394160586</v>
      </c>
      <c r="X12" s="3">
        <v>74709</v>
      </c>
      <c r="Y12" s="6">
        <v>27.4</v>
      </c>
      <c r="Z12" s="3">
        <f>AA12/AB12</f>
        <v>4181.2195121951227</v>
      </c>
      <c r="AA12" s="3">
        <v>17143</v>
      </c>
      <c r="AB12" s="6">
        <v>4.0999999999999996</v>
      </c>
      <c r="AC12" s="3">
        <f>AD12/AE12</f>
        <v>2345.7222222222222</v>
      </c>
      <c r="AD12" s="3">
        <v>337784</v>
      </c>
      <c r="AE12" s="6">
        <v>144</v>
      </c>
      <c r="AF12" s="3">
        <f>AG12/AH12</f>
        <v>2412.8215223097113</v>
      </c>
      <c r="AG12" s="3">
        <v>183857</v>
      </c>
      <c r="AH12" s="6">
        <v>76.2</v>
      </c>
      <c r="AI12" s="3">
        <f>AJ12/AK12</f>
        <v>1465.6666666666667</v>
      </c>
      <c r="AJ12" s="3">
        <v>8794</v>
      </c>
      <c r="AK12" s="6">
        <v>6</v>
      </c>
      <c r="AL12" s="3">
        <f>AM12/AN12</f>
        <v>2438.8143525741034</v>
      </c>
      <c r="AM12" s="3">
        <v>156328</v>
      </c>
      <c r="AN12" s="6">
        <v>64.099999999999994</v>
      </c>
      <c r="AO12" s="3">
        <f t="shared" si="12"/>
        <v>1920.7308397111137</v>
      </c>
      <c r="AP12" s="3">
        <f t="shared" si="15"/>
        <v>1781862</v>
      </c>
      <c r="AQ12" s="6">
        <f t="shared" si="14"/>
        <v>927.69999999999993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28</v>
      </c>
      <c r="B13" s="23"/>
      <c r="C13" s="23"/>
      <c r="D13" s="23"/>
      <c r="E13" s="3">
        <f t="shared" ref="E13:E63" si="16">F13/G13</f>
        <v>2440.0518672199169</v>
      </c>
      <c r="F13" s="3">
        <v>470442</v>
      </c>
      <c r="G13" s="6">
        <v>192.8</v>
      </c>
      <c r="H13" s="3">
        <f t="shared" ref="H13:H63" si="17">I13/J13</f>
        <v>2735.3220338983051</v>
      </c>
      <c r="I13" s="3">
        <v>161384</v>
      </c>
      <c r="J13" s="6">
        <v>59</v>
      </c>
      <c r="K13" s="3">
        <f t="shared" ref="K13:K63" si="18">L13/M13</f>
        <v>2714.0174129353231</v>
      </c>
      <c r="L13" s="3">
        <v>218207</v>
      </c>
      <c r="M13" s="6">
        <v>80.400000000000006</v>
      </c>
      <c r="N13" s="3">
        <f t="shared" ref="N13:N63" si="19">O13/P13</f>
        <v>2308.2063882063885</v>
      </c>
      <c r="O13" s="3">
        <v>281832</v>
      </c>
      <c r="P13" s="6">
        <v>122.1</v>
      </c>
      <c r="Q13" s="3">
        <f t="shared" ref="Q13:Q63" si="20">R13/S13</f>
        <v>2708.1175190424374</v>
      </c>
      <c r="R13" s="3">
        <v>497752</v>
      </c>
      <c r="S13" s="6">
        <v>183.8</v>
      </c>
      <c r="T13" s="3">
        <f t="shared" ref="T13:T63" si="21">U13/V13</f>
        <v>3382.0281690140846</v>
      </c>
      <c r="U13" s="3">
        <v>120062</v>
      </c>
      <c r="V13" s="6">
        <v>35.5</v>
      </c>
      <c r="W13" s="3">
        <f t="shared" ref="W13:W63" si="22">X13/Y13</f>
        <v>3145.5357142857142</v>
      </c>
      <c r="X13" s="3">
        <v>334685</v>
      </c>
      <c r="Y13" s="6">
        <v>106.4</v>
      </c>
      <c r="Z13" s="3">
        <f t="shared" ref="Z13:Z63" si="23">AA13/AB13</f>
        <v>3458.4573002754823</v>
      </c>
      <c r="AA13" s="3">
        <v>125542</v>
      </c>
      <c r="AB13" s="6">
        <v>36.299999999999997</v>
      </c>
      <c r="AC13" s="3">
        <f t="shared" ref="AC13:AC63" si="24">AD13/AE13</f>
        <v>2389.0137614678897</v>
      </c>
      <c r="AD13" s="3">
        <v>208322</v>
      </c>
      <c r="AE13" s="6">
        <v>87.2</v>
      </c>
      <c r="AF13" s="3">
        <f t="shared" ref="AF13:AF63" si="25">AG13/AH13</f>
        <v>2768.531746031746</v>
      </c>
      <c r="AG13" s="3">
        <v>209301</v>
      </c>
      <c r="AH13" s="6">
        <v>75.599999999999994</v>
      </c>
      <c r="AI13" s="3">
        <f t="shared" ref="AI13:AI63" si="26">AJ13/AK13</f>
        <v>2886.5642775881684</v>
      </c>
      <c r="AJ13" s="3">
        <v>253729</v>
      </c>
      <c r="AK13" s="6">
        <v>87.9</v>
      </c>
      <c r="AL13" s="3">
        <f t="shared" ref="AL13:AL63" si="27">AM13/AN13</f>
        <v>3233.4793814432992</v>
      </c>
      <c r="AM13" s="3">
        <v>125459</v>
      </c>
      <c r="AN13" s="6">
        <v>38.799999999999997</v>
      </c>
      <c r="AO13" s="3">
        <f t="shared" si="12"/>
        <v>2719.0423223005964</v>
      </c>
      <c r="AP13" s="3">
        <f t="shared" si="15"/>
        <v>3006717</v>
      </c>
      <c r="AQ13" s="6">
        <f t="shared" si="14"/>
        <v>1105.8000000000002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56</v>
      </c>
      <c r="B14" s="23"/>
      <c r="C14" s="23"/>
      <c r="D14" s="23"/>
      <c r="E14" s="3" t="e">
        <f t="shared" si="16"/>
        <v>#DIV/0!</v>
      </c>
      <c r="F14" s="3">
        <v>0</v>
      </c>
      <c r="G14" s="6">
        <v>0</v>
      </c>
      <c r="H14" s="3">
        <f t="shared" si="17"/>
        <v>2353.6170212765956</v>
      </c>
      <c r="I14" s="3">
        <v>110620</v>
      </c>
      <c r="J14" s="6">
        <v>47</v>
      </c>
      <c r="K14" s="3">
        <f t="shared" si="18"/>
        <v>2463.1578947368421</v>
      </c>
      <c r="L14" s="3">
        <v>18720</v>
      </c>
      <c r="M14" s="6">
        <v>7.6</v>
      </c>
      <c r="N14" s="3">
        <f t="shared" si="19"/>
        <v>2559.3103448275861</v>
      </c>
      <c r="O14" s="3">
        <v>103908</v>
      </c>
      <c r="P14" s="6">
        <v>40.6</v>
      </c>
      <c r="Q14" s="3">
        <f t="shared" si="20"/>
        <v>2576.1391437308866</v>
      </c>
      <c r="R14" s="3">
        <v>336959</v>
      </c>
      <c r="S14" s="6">
        <v>130.80000000000001</v>
      </c>
      <c r="T14" s="3">
        <f t="shared" si="21"/>
        <v>2650.523560209424</v>
      </c>
      <c r="U14" s="3">
        <v>50625</v>
      </c>
      <c r="V14" s="6">
        <v>19.100000000000001</v>
      </c>
      <c r="W14" s="3" t="e">
        <f t="shared" si="22"/>
        <v>#DIV/0!</v>
      </c>
      <c r="X14" s="3">
        <v>0</v>
      </c>
      <c r="Y14" s="6">
        <v>0</v>
      </c>
      <c r="Z14" s="3">
        <f t="shared" si="23"/>
        <v>2717.794117647059</v>
      </c>
      <c r="AA14" s="3">
        <v>18481</v>
      </c>
      <c r="AB14" s="6">
        <v>6.8</v>
      </c>
      <c r="AC14" s="3">
        <f t="shared" si="24"/>
        <v>1032.9577464788733</v>
      </c>
      <c r="AD14" s="3">
        <v>58672</v>
      </c>
      <c r="AE14" s="6">
        <v>56.8</v>
      </c>
      <c r="AF14" s="3" t="e">
        <f t="shared" si="25"/>
        <v>#DIV/0!</v>
      </c>
      <c r="AG14" s="3">
        <v>0</v>
      </c>
      <c r="AH14" s="6">
        <v>0</v>
      </c>
      <c r="AI14" s="3">
        <f t="shared" si="26"/>
        <v>2473.6099585062238</v>
      </c>
      <c r="AJ14" s="3">
        <v>59614</v>
      </c>
      <c r="AK14" s="6">
        <v>24.1</v>
      </c>
      <c r="AL14" s="3">
        <f t="shared" si="27"/>
        <v>2432.5601750547044</v>
      </c>
      <c r="AM14" s="3">
        <v>111168</v>
      </c>
      <c r="AN14" s="6">
        <v>45.7</v>
      </c>
      <c r="AO14" s="3">
        <f t="shared" si="12"/>
        <v>2295.2892998678994</v>
      </c>
      <c r="AP14" s="3">
        <f t="shared" si="15"/>
        <v>868767</v>
      </c>
      <c r="AQ14" s="6">
        <f t="shared" si="14"/>
        <v>378.5</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39</v>
      </c>
      <c r="B15" s="23"/>
      <c r="C15" s="23"/>
      <c r="D15" s="23"/>
      <c r="E15" s="3">
        <f t="shared" si="16"/>
        <v>2164.7210657785181</v>
      </c>
      <c r="F15" s="3">
        <v>259983</v>
      </c>
      <c r="G15" s="6">
        <v>120.1</v>
      </c>
      <c r="H15" s="3">
        <f t="shared" si="17"/>
        <v>1969.269406392694</v>
      </c>
      <c r="I15" s="3">
        <v>301889</v>
      </c>
      <c r="J15" s="6">
        <v>153.30000000000001</v>
      </c>
      <c r="K15" s="3">
        <f t="shared" si="18"/>
        <v>2349.9036918138045</v>
      </c>
      <c r="L15" s="3">
        <v>146399</v>
      </c>
      <c r="M15" s="6">
        <v>62.3</v>
      </c>
      <c r="N15" s="3">
        <f t="shared" si="19"/>
        <v>2686.7955801104972</v>
      </c>
      <c r="O15" s="3">
        <v>97262</v>
      </c>
      <c r="P15" s="6">
        <v>36.200000000000003</v>
      </c>
      <c r="Q15" s="3">
        <f t="shared" si="20"/>
        <v>2273.1350892098553</v>
      </c>
      <c r="R15" s="3">
        <v>267548</v>
      </c>
      <c r="S15" s="6">
        <v>117.7</v>
      </c>
      <c r="T15" s="3">
        <f t="shared" si="21"/>
        <v>2660.294117647059</v>
      </c>
      <c r="U15" s="3">
        <v>198990</v>
      </c>
      <c r="V15" s="6">
        <v>74.8</v>
      </c>
      <c r="W15" s="3">
        <f t="shared" si="22"/>
        <v>2614.7320169252466</v>
      </c>
      <c r="X15" s="3">
        <v>370769</v>
      </c>
      <c r="Y15" s="6">
        <v>141.80000000000001</v>
      </c>
      <c r="Z15" s="3">
        <f t="shared" si="23"/>
        <v>2794.8490230905863</v>
      </c>
      <c r="AA15" s="3">
        <v>157350</v>
      </c>
      <c r="AB15" s="6">
        <v>56.3</v>
      </c>
      <c r="AC15" s="3">
        <f t="shared" si="24"/>
        <v>2686.788732394366</v>
      </c>
      <c r="AD15" s="3">
        <v>95381</v>
      </c>
      <c r="AE15" s="6">
        <v>35.5</v>
      </c>
      <c r="AF15" s="3">
        <f t="shared" si="25"/>
        <v>3211.2273641851107</v>
      </c>
      <c r="AG15" s="3">
        <v>159598</v>
      </c>
      <c r="AH15" s="6">
        <v>49.7</v>
      </c>
      <c r="AI15" s="3">
        <f t="shared" si="26"/>
        <v>2224.0191387559812</v>
      </c>
      <c r="AJ15" s="3">
        <v>46482</v>
      </c>
      <c r="AK15" s="6">
        <v>20.9</v>
      </c>
      <c r="AL15" s="3">
        <f t="shared" si="27"/>
        <v>2532.5</v>
      </c>
      <c r="AM15" s="3">
        <v>105352</v>
      </c>
      <c r="AN15" s="6">
        <v>41.6</v>
      </c>
      <c r="AO15" s="3">
        <f t="shared" si="12"/>
        <v>2424.7451109646231</v>
      </c>
      <c r="AP15" s="3">
        <f t="shared" si="15"/>
        <v>2207003</v>
      </c>
      <c r="AQ15" s="6">
        <f t="shared" si="14"/>
        <v>910.2</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55</v>
      </c>
      <c r="B16" s="23"/>
      <c r="C16" s="23"/>
      <c r="D16" s="23"/>
      <c r="E16" s="3">
        <f t="shared" si="16"/>
        <v>2726.6849315068494</v>
      </c>
      <c r="F16" s="3">
        <v>99524</v>
      </c>
      <c r="G16" s="6">
        <v>36.5</v>
      </c>
      <c r="H16" s="3">
        <f t="shared" si="17"/>
        <v>2899.5255474452556</v>
      </c>
      <c r="I16" s="3">
        <v>158894</v>
      </c>
      <c r="J16" s="6">
        <v>54.8</v>
      </c>
      <c r="K16" s="3">
        <f t="shared" si="18"/>
        <v>2617.9475587703437</v>
      </c>
      <c r="L16" s="3">
        <v>289545</v>
      </c>
      <c r="M16" s="6">
        <v>110.6</v>
      </c>
      <c r="N16" s="3">
        <f t="shared" si="19"/>
        <v>2735.8333333333335</v>
      </c>
      <c r="O16" s="3">
        <v>68943</v>
      </c>
      <c r="P16" s="6">
        <v>25.2</v>
      </c>
      <c r="Q16" s="3">
        <f t="shared" si="20"/>
        <v>2195.5684007707132</v>
      </c>
      <c r="R16" s="3">
        <v>227900</v>
      </c>
      <c r="S16" s="6">
        <v>103.8</v>
      </c>
      <c r="T16" s="3">
        <f t="shared" si="21"/>
        <v>2514.3188268684958</v>
      </c>
      <c r="U16" s="3">
        <v>531527</v>
      </c>
      <c r="V16" s="6">
        <v>211.4</v>
      </c>
      <c r="W16" s="3">
        <f t="shared" si="22"/>
        <v>2725.0750938673341</v>
      </c>
      <c r="X16" s="3">
        <v>435467</v>
      </c>
      <c r="Y16" s="6">
        <v>159.80000000000001</v>
      </c>
      <c r="Z16" s="3">
        <f t="shared" si="23"/>
        <v>2892.2618414050025</v>
      </c>
      <c r="AA16" s="3">
        <v>543456</v>
      </c>
      <c r="AB16" s="6">
        <v>187.9</v>
      </c>
      <c r="AC16" s="3">
        <f t="shared" si="24"/>
        <v>2828.3627204030226</v>
      </c>
      <c r="AD16" s="3">
        <v>112286</v>
      </c>
      <c r="AE16" s="6">
        <v>39.700000000000003</v>
      </c>
      <c r="AF16" s="3">
        <f t="shared" si="25"/>
        <v>2736.5623746490173</v>
      </c>
      <c r="AG16" s="3">
        <v>682225</v>
      </c>
      <c r="AH16" s="6">
        <v>249.3</v>
      </c>
      <c r="AI16" s="3">
        <f t="shared" si="26"/>
        <v>2954.9913344887345</v>
      </c>
      <c r="AJ16" s="3">
        <v>170503</v>
      </c>
      <c r="AK16" s="6">
        <v>57.7</v>
      </c>
      <c r="AL16" s="3">
        <f t="shared" si="27"/>
        <v>2806.9387755102043</v>
      </c>
      <c r="AM16" s="3">
        <v>96278</v>
      </c>
      <c r="AN16" s="6">
        <v>34.299999999999997</v>
      </c>
      <c r="AO16" s="3">
        <f t="shared" si="12"/>
        <v>2688.0786782061368</v>
      </c>
      <c r="AP16" s="3">
        <f t="shared" si="15"/>
        <v>3416548</v>
      </c>
      <c r="AQ16" s="6">
        <f t="shared" si="14"/>
        <v>1271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40</v>
      </c>
      <c r="B17" s="23"/>
      <c r="C17" s="23"/>
      <c r="D17" s="23"/>
      <c r="E17" s="3">
        <f t="shared" si="16"/>
        <v>2172.0175438596489</v>
      </c>
      <c r="F17" s="3">
        <v>24761</v>
      </c>
      <c r="G17" s="6">
        <v>11.4</v>
      </c>
      <c r="H17" s="3">
        <f t="shared" si="17"/>
        <v>2824.3333333333335</v>
      </c>
      <c r="I17" s="3">
        <v>25419</v>
      </c>
      <c r="J17" s="6">
        <v>9</v>
      </c>
      <c r="K17" s="3">
        <f t="shared" si="18"/>
        <v>2556.5925925925926</v>
      </c>
      <c r="L17" s="3">
        <v>34514</v>
      </c>
      <c r="M17" s="6">
        <v>13.5</v>
      </c>
      <c r="N17" s="3">
        <f t="shared" si="19"/>
        <v>1888.8059701492537</v>
      </c>
      <c r="O17" s="3">
        <v>37965</v>
      </c>
      <c r="P17" s="6">
        <v>20.100000000000001</v>
      </c>
      <c r="Q17" s="3">
        <f t="shared" si="20"/>
        <v>1918.955223880597</v>
      </c>
      <c r="R17" s="3">
        <v>25714</v>
      </c>
      <c r="S17" s="6">
        <v>13.4</v>
      </c>
      <c r="T17" s="3">
        <f t="shared" si="21"/>
        <v>3350.3355704697988</v>
      </c>
      <c r="U17" s="3">
        <v>49920</v>
      </c>
      <c r="V17" s="6">
        <v>14.9</v>
      </c>
      <c r="W17" s="3">
        <f t="shared" si="22"/>
        <v>2952.5</v>
      </c>
      <c r="X17" s="3">
        <v>35430</v>
      </c>
      <c r="Y17" s="6">
        <v>12</v>
      </c>
      <c r="Z17" s="3">
        <f t="shared" si="23"/>
        <v>1910.8695652173913</v>
      </c>
      <c r="AA17" s="3">
        <v>52740</v>
      </c>
      <c r="AB17" s="6">
        <v>27.6</v>
      </c>
      <c r="AC17" s="3">
        <f t="shared" si="24"/>
        <v>2598.0446927374305</v>
      </c>
      <c r="AD17" s="3">
        <v>46505</v>
      </c>
      <c r="AE17" s="6">
        <v>17.899999999999999</v>
      </c>
      <c r="AF17" s="3">
        <f t="shared" si="25"/>
        <v>2746.4757709251103</v>
      </c>
      <c r="AG17" s="3">
        <v>62345</v>
      </c>
      <c r="AH17" s="6">
        <v>22.7</v>
      </c>
      <c r="AI17" s="3">
        <f t="shared" si="26"/>
        <v>2512.934782608696</v>
      </c>
      <c r="AJ17" s="3">
        <v>46238</v>
      </c>
      <c r="AK17" s="6">
        <v>18.399999999999999</v>
      </c>
      <c r="AL17" s="3">
        <f t="shared" si="27"/>
        <v>2055.0234741784038</v>
      </c>
      <c r="AM17" s="3">
        <v>87544</v>
      </c>
      <c r="AN17" s="6">
        <v>42.6</v>
      </c>
      <c r="AO17" s="3">
        <f t="shared" si="12"/>
        <v>2367.3154362416108</v>
      </c>
      <c r="AP17" s="3">
        <f t="shared" si="15"/>
        <v>529095</v>
      </c>
      <c r="AQ17" s="6">
        <f t="shared" si="14"/>
        <v>223.5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24</v>
      </c>
      <c r="B18" s="23"/>
      <c r="C18" s="23"/>
      <c r="D18" s="23"/>
      <c r="E18" s="3" t="e">
        <f t="shared" si="16"/>
        <v>#DIV/0!</v>
      </c>
      <c r="F18" s="3">
        <v>0</v>
      </c>
      <c r="G18" s="6">
        <v>0</v>
      </c>
      <c r="H18" s="3" t="e">
        <f t="shared" si="17"/>
        <v>#DIV/0!</v>
      </c>
      <c r="I18" s="3">
        <v>0</v>
      </c>
      <c r="J18" s="6">
        <v>0</v>
      </c>
      <c r="K18" s="3" t="e">
        <f t="shared" si="18"/>
        <v>#DIV/0!</v>
      </c>
      <c r="L18" s="3">
        <v>0</v>
      </c>
      <c r="M18" s="6">
        <v>0</v>
      </c>
      <c r="N18" s="3">
        <f t="shared" si="19"/>
        <v>2448.9026915113873</v>
      </c>
      <c r="O18" s="3">
        <v>118282</v>
      </c>
      <c r="P18" s="6">
        <v>48.3</v>
      </c>
      <c r="Q18" s="3">
        <f t="shared" si="20"/>
        <v>2438.3817427385889</v>
      </c>
      <c r="R18" s="3">
        <v>58765</v>
      </c>
      <c r="S18" s="6">
        <v>24.1</v>
      </c>
      <c r="T18" s="3">
        <f t="shared" si="21"/>
        <v>2438.3817427385889</v>
      </c>
      <c r="U18" s="3">
        <v>58765</v>
      </c>
      <c r="V18" s="6">
        <v>24.1</v>
      </c>
      <c r="W18" s="3">
        <f t="shared" si="22"/>
        <v>2429.9170124481325</v>
      </c>
      <c r="X18" s="3">
        <v>58561</v>
      </c>
      <c r="Y18" s="6">
        <v>24.1</v>
      </c>
      <c r="Z18" s="3" t="e">
        <f t="shared" si="23"/>
        <v>#DIV/0!</v>
      </c>
      <c r="AA18" s="3">
        <v>0</v>
      </c>
      <c r="AB18" s="6">
        <v>0</v>
      </c>
      <c r="AC18" s="3">
        <f t="shared" si="24"/>
        <v>2548.695652173913</v>
      </c>
      <c r="AD18" s="3">
        <v>123102</v>
      </c>
      <c r="AE18" s="6">
        <v>48.3</v>
      </c>
      <c r="AF18" s="3" t="e">
        <f t="shared" si="25"/>
        <v>#DIV/0!</v>
      </c>
      <c r="AG18" s="3">
        <v>0</v>
      </c>
      <c r="AH18" s="6">
        <v>0</v>
      </c>
      <c r="AI18" s="3">
        <f t="shared" si="26"/>
        <v>2565.9336099585062</v>
      </c>
      <c r="AJ18" s="3">
        <v>61839</v>
      </c>
      <c r="AK18" s="6">
        <v>24.1</v>
      </c>
      <c r="AL18" s="3">
        <f t="shared" si="27"/>
        <v>2876.2240663900411</v>
      </c>
      <c r="AM18" s="3">
        <v>69317</v>
      </c>
      <c r="AN18" s="6">
        <v>24.1</v>
      </c>
      <c r="AO18" s="3">
        <f t="shared" si="12"/>
        <v>2527.0888991248275</v>
      </c>
      <c r="AP18" s="3">
        <f t="shared" si="15"/>
        <v>548631</v>
      </c>
      <c r="AQ18" s="6">
        <f t="shared" si="14"/>
        <v>217.09999999999997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78</v>
      </c>
      <c r="B19" s="23"/>
      <c r="C19" s="23"/>
      <c r="D19" s="23"/>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f t="shared" si="20"/>
        <v>2378.7931034482758</v>
      </c>
      <c r="R19" s="3">
        <v>55188</v>
      </c>
      <c r="S19" s="6">
        <v>23.2</v>
      </c>
      <c r="T19" s="3" t="e">
        <f t="shared" si="21"/>
        <v>#DIV/0!</v>
      </c>
      <c r="U19" s="3">
        <v>0</v>
      </c>
      <c r="V19" s="6">
        <v>0</v>
      </c>
      <c r="W19" s="3" t="e">
        <f t="shared" si="22"/>
        <v>#DIV/0!</v>
      </c>
      <c r="X19" s="3">
        <v>0</v>
      </c>
      <c r="Y19" s="6">
        <v>0</v>
      </c>
      <c r="Z19" s="3">
        <f t="shared" si="23"/>
        <v>2378.7931034482758</v>
      </c>
      <c r="AA19" s="3">
        <v>55188</v>
      </c>
      <c r="AB19" s="6">
        <v>23.2</v>
      </c>
      <c r="AC19" s="3" t="e">
        <f t="shared" si="24"/>
        <v>#DIV/0!</v>
      </c>
      <c r="AD19" s="3">
        <v>0</v>
      </c>
      <c r="AE19" s="6">
        <v>0</v>
      </c>
      <c r="AF19" s="3" t="e">
        <f t="shared" si="25"/>
        <v>#DIV/0!</v>
      </c>
      <c r="AG19" s="3">
        <v>0</v>
      </c>
      <c r="AH19" s="6">
        <v>0</v>
      </c>
      <c r="AI19" s="3" t="e">
        <f t="shared" si="26"/>
        <v>#DIV/0!</v>
      </c>
      <c r="AJ19" s="3">
        <v>0</v>
      </c>
      <c r="AK19" s="6">
        <v>0</v>
      </c>
      <c r="AL19" s="3">
        <f t="shared" si="27"/>
        <v>2739.1304347826085</v>
      </c>
      <c r="AM19" s="3">
        <v>63000</v>
      </c>
      <c r="AN19" s="6">
        <v>23</v>
      </c>
      <c r="AO19" s="3">
        <f t="shared" si="12"/>
        <v>2498.2132564841495</v>
      </c>
      <c r="AP19" s="3">
        <f t="shared" si="15"/>
        <v>173376</v>
      </c>
      <c r="AQ19" s="6">
        <f t="shared" si="14"/>
        <v>69.400000000000006</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57</v>
      </c>
      <c r="B20" s="23"/>
      <c r="C20" s="23"/>
      <c r="D20" s="23"/>
      <c r="E20" s="3">
        <f t="shared" si="16"/>
        <v>2480.7184325108851</v>
      </c>
      <c r="F20" s="3">
        <v>341843</v>
      </c>
      <c r="G20" s="6">
        <v>137.80000000000001</v>
      </c>
      <c r="H20" s="3">
        <f t="shared" si="17"/>
        <v>2480.518207282913</v>
      </c>
      <c r="I20" s="3">
        <v>177109</v>
      </c>
      <c r="J20" s="6">
        <v>71.400000000000006</v>
      </c>
      <c r="K20" s="3">
        <f t="shared" si="18"/>
        <v>1475.5056179775281</v>
      </c>
      <c r="L20" s="3">
        <v>26264</v>
      </c>
      <c r="M20" s="6">
        <v>17.8</v>
      </c>
      <c r="N20" s="3">
        <f t="shared" si="19"/>
        <v>2749.8417266187053</v>
      </c>
      <c r="O20" s="3">
        <v>191114</v>
      </c>
      <c r="P20" s="6">
        <v>69.5</v>
      </c>
      <c r="Q20" s="3">
        <f t="shared" si="20"/>
        <v>2856.8438538205983</v>
      </c>
      <c r="R20" s="3">
        <v>257973</v>
      </c>
      <c r="S20" s="6">
        <v>90.3</v>
      </c>
      <c r="T20" s="3" t="e">
        <f t="shared" si="21"/>
        <v>#DIV/0!</v>
      </c>
      <c r="U20" s="3">
        <v>0</v>
      </c>
      <c r="V20" s="6">
        <v>0</v>
      </c>
      <c r="W20" s="3">
        <f t="shared" si="22"/>
        <v>2570.0665188470066</v>
      </c>
      <c r="X20" s="3">
        <v>115910</v>
      </c>
      <c r="Y20" s="6">
        <v>45.1</v>
      </c>
      <c r="Z20" s="3">
        <f t="shared" si="23"/>
        <v>2873.4008762322014</v>
      </c>
      <c r="AA20" s="3">
        <v>524683</v>
      </c>
      <c r="AB20" s="6">
        <v>182.6</v>
      </c>
      <c r="AC20" s="3">
        <f t="shared" si="24"/>
        <v>3164.3838862559242</v>
      </c>
      <c r="AD20" s="3">
        <v>133537</v>
      </c>
      <c r="AE20" s="6">
        <v>42.2</v>
      </c>
      <c r="AF20" s="3">
        <f t="shared" si="25"/>
        <v>2647.1428571428569</v>
      </c>
      <c r="AG20" s="3">
        <v>5559</v>
      </c>
      <c r="AH20" s="6">
        <v>2.1</v>
      </c>
      <c r="AI20" s="3" t="e">
        <f t="shared" si="26"/>
        <v>#DIV/0!</v>
      </c>
      <c r="AJ20" s="3">
        <v>0</v>
      </c>
      <c r="AK20" s="6">
        <v>0</v>
      </c>
      <c r="AL20" s="3">
        <f t="shared" si="27"/>
        <v>2939.4923857868021</v>
      </c>
      <c r="AM20" s="3">
        <v>57908</v>
      </c>
      <c r="AN20" s="6">
        <v>19.7</v>
      </c>
      <c r="AO20" s="3">
        <f t="shared" si="12"/>
        <v>2699.926308032424</v>
      </c>
      <c r="AP20" s="3">
        <f t="shared" si="15"/>
        <v>1831900</v>
      </c>
      <c r="AQ20" s="6">
        <f t="shared" si="14"/>
        <v>678.50000000000011</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51</v>
      </c>
      <c r="B21" s="23"/>
      <c r="C21" s="23"/>
      <c r="D21" s="23"/>
      <c r="E21" s="3">
        <f t="shared" si="16"/>
        <v>2476.6739606126912</v>
      </c>
      <c r="F21" s="3">
        <v>113184</v>
      </c>
      <c r="G21" s="6">
        <v>45.7</v>
      </c>
      <c r="H21" s="3">
        <f t="shared" si="17"/>
        <v>2408.7763713080171</v>
      </c>
      <c r="I21" s="3">
        <v>171264</v>
      </c>
      <c r="J21" s="6">
        <v>71.099999999999994</v>
      </c>
      <c r="K21" s="3">
        <f t="shared" si="18"/>
        <v>2373.7991266375548</v>
      </c>
      <c r="L21" s="3">
        <v>54360</v>
      </c>
      <c r="M21" s="6">
        <v>22.9</v>
      </c>
      <c r="N21" s="3">
        <f t="shared" si="19"/>
        <v>2585.3413654618475</v>
      </c>
      <c r="O21" s="3">
        <v>321875</v>
      </c>
      <c r="P21" s="6">
        <v>124.5</v>
      </c>
      <c r="Q21" s="3">
        <f t="shared" si="20"/>
        <v>2635.1586368977673</v>
      </c>
      <c r="R21" s="3">
        <v>448504</v>
      </c>
      <c r="S21" s="6">
        <v>170.2</v>
      </c>
      <c r="T21" s="3">
        <f t="shared" si="21"/>
        <v>2393.1634182908547</v>
      </c>
      <c r="U21" s="3">
        <v>159624</v>
      </c>
      <c r="V21" s="6">
        <v>66.7</v>
      </c>
      <c r="W21" s="3">
        <f t="shared" si="22"/>
        <v>2524.8275862068967</v>
      </c>
      <c r="X21" s="3">
        <v>117152</v>
      </c>
      <c r="Y21" s="6">
        <v>46.4</v>
      </c>
      <c r="Z21" s="3">
        <f t="shared" si="23"/>
        <v>2406.7908902691511</v>
      </c>
      <c r="AA21" s="3">
        <v>116248</v>
      </c>
      <c r="AB21" s="6">
        <v>48.3</v>
      </c>
      <c r="AC21" s="3">
        <f t="shared" si="24"/>
        <v>2425.196850393701</v>
      </c>
      <c r="AD21" s="3">
        <v>61600</v>
      </c>
      <c r="AE21" s="6">
        <v>25.4</v>
      </c>
      <c r="AF21" s="3">
        <f t="shared" si="25"/>
        <v>2466.4182194616978</v>
      </c>
      <c r="AG21" s="3">
        <v>119128</v>
      </c>
      <c r="AH21" s="6">
        <v>48.3</v>
      </c>
      <c r="AI21" s="3">
        <f t="shared" si="26"/>
        <v>2527.0897155361049</v>
      </c>
      <c r="AJ21" s="3">
        <v>115488</v>
      </c>
      <c r="AK21" s="6">
        <v>45.7</v>
      </c>
      <c r="AL21" s="3">
        <f t="shared" si="27"/>
        <v>2386.3755458515284</v>
      </c>
      <c r="AM21" s="3">
        <v>54648</v>
      </c>
      <c r="AN21" s="6">
        <v>22.9</v>
      </c>
      <c r="AO21" s="3">
        <f t="shared" si="12"/>
        <v>2510.6015445061648</v>
      </c>
      <c r="AP21" s="3">
        <f t="shared" si="15"/>
        <v>1853075</v>
      </c>
      <c r="AQ21" s="6">
        <f t="shared" si="14"/>
        <v>738.09999999999991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52</v>
      </c>
      <c r="B22" s="23"/>
      <c r="C22" s="23"/>
      <c r="D22" s="23"/>
      <c r="E22" s="3">
        <f t="shared" si="16"/>
        <v>2695.6488549618321</v>
      </c>
      <c r="F22" s="3">
        <v>35313</v>
      </c>
      <c r="G22" s="6">
        <v>13.1</v>
      </c>
      <c r="H22" s="3">
        <f t="shared" si="17"/>
        <v>2882.4752475247524</v>
      </c>
      <c r="I22" s="3">
        <v>29113</v>
      </c>
      <c r="J22" s="6">
        <v>10.1</v>
      </c>
      <c r="K22" s="3">
        <f t="shared" si="18"/>
        <v>2682.6923076923076</v>
      </c>
      <c r="L22" s="3">
        <v>13950</v>
      </c>
      <c r="M22" s="6">
        <v>5.2</v>
      </c>
      <c r="N22" s="3">
        <f t="shared" si="19"/>
        <v>2647.0434782608695</v>
      </c>
      <c r="O22" s="3">
        <v>30441</v>
      </c>
      <c r="P22" s="6">
        <v>11.5</v>
      </c>
      <c r="Q22" s="3">
        <f t="shared" si="20"/>
        <v>2786</v>
      </c>
      <c r="R22" s="3">
        <v>5572</v>
      </c>
      <c r="S22" s="6">
        <v>2</v>
      </c>
      <c r="T22" s="3">
        <f t="shared" si="21"/>
        <v>3178.7179487179487</v>
      </c>
      <c r="U22" s="3">
        <v>24794</v>
      </c>
      <c r="V22" s="6">
        <v>7.8</v>
      </c>
      <c r="W22" s="3">
        <f t="shared" si="22"/>
        <v>3126.5714285714284</v>
      </c>
      <c r="X22" s="3">
        <v>21886</v>
      </c>
      <c r="Y22" s="6">
        <v>7</v>
      </c>
      <c r="Z22" s="3">
        <f t="shared" si="23"/>
        <v>1564.5625</v>
      </c>
      <c r="AA22" s="3">
        <v>25033</v>
      </c>
      <c r="AB22" s="6">
        <v>16</v>
      </c>
      <c r="AC22" s="3">
        <f t="shared" si="24"/>
        <v>2633.6241610738252</v>
      </c>
      <c r="AD22" s="3">
        <v>39241</v>
      </c>
      <c r="AE22" s="6">
        <v>14.9</v>
      </c>
      <c r="AF22" s="3">
        <f t="shared" si="25"/>
        <v>4603.125</v>
      </c>
      <c r="AG22" s="3">
        <v>7365</v>
      </c>
      <c r="AH22" s="6">
        <v>1.6</v>
      </c>
      <c r="AI22" s="3">
        <f t="shared" si="26"/>
        <v>2888.730158730159</v>
      </c>
      <c r="AJ22" s="3">
        <v>18199</v>
      </c>
      <c r="AK22" s="6">
        <v>6.3</v>
      </c>
      <c r="AL22" s="3">
        <f t="shared" si="27"/>
        <v>2638.9622641509436</v>
      </c>
      <c r="AM22" s="3">
        <v>27973</v>
      </c>
      <c r="AN22" s="6">
        <v>10.6</v>
      </c>
      <c r="AO22" s="3">
        <f t="shared" si="12"/>
        <v>2628.4637134778518</v>
      </c>
      <c r="AP22" s="3">
        <f t="shared" si="15"/>
        <v>278880</v>
      </c>
      <c r="AQ22" s="6">
        <f t="shared" si="14"/>
        <v>106.09999999999998</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33</v>
      </c>
      <c r="B23" s="23"/>
      <c r="C23" s="23"/>
      <c r="D23" s="23"/>
      <c r="E23" s="3">
        <f t="shared" si="16"/>
        <v>1522.6064093660086</v>
      </c>
      <c r="F23" s="3">
        <v>1534635</v>
      </c>
      <c r="G23" s="6">
        <v>1007.9</v>
      </c>
      <c r="H23" s="3">
        <f t="shared" si="17"/>
        <v>2484.4753086419755</v>
      </c>
      <c r="I23" s="3">
        <v>80497</v>
      </c>
      <c r="J23" s="6">
        <v>32.4</v>
      </c>
      <c r="K23" s="3">
        <f t="shared" si="18"/>
        <v>2602.1666666666665</v>
      </c>
      <c r="L23" s="3">
        <v>46839</v>
      </c>
      <c r="M23" s="6">
        <v>18</v>
      </c>
      <c r="N23" s="3">
        <f t="shared" si="19"/>
        <v>2532.5454545454545</v>
      </c>
      <c r="O23" s="3">
        <v>41787</v>
      </c>
      <c r="P23" s="6">
        <v>16.5</v>
      </c>
      <c r="Q23" s="3">
        <f t="shared" si="20"/>
        <v>2574.0186915887853</v>
      </c>
      <c r="R23" s="3">
        <v>27542</v>
      </c>
      <c r="S23" s="6">
        <v>10.7</v>
      </c>
      <c r="T23" s="3">
        <f t="shared" si="21"/>
        <v>2705.1869158878508</v>
      </c>
      <c r="U23" s="3">
        <v>57891</v>
      </c>
      <c r="V23" s="6">
        <v>21.4</v>
      </c>
      <c r="W23" s="3" t="e">
        <f t="shared" si="22"/>
        <v>#DIV/0!</v>
      </c>
      <c r="X23" s="3">
        <v>0</v>
      </c>
      <c r="Y23" s="6">
        <v>0</v>
      </c>
      <c r="Z23" s="3">
        <f t="shared" si="23"/>
        <v>2394.651162790698</v>
      </c>
      <c r="AA23" s="3">
        <v>41188</v>
      </c>
      <c r="AB23" s="6">
        <v>17.2</v>
      </c>
      <c r="AC23" s="3">
        <f t="shared" si="24"/>
        <v>2501.6083916083917</v>
      </c>
      <c r="AD23" s="3">
        <v>35773</v>
      </c>
      <c r="AE23" s="6">
        <v>14.3</v>
      </c>
      <c r="AF23" s="3" t="e">
        <f t="shared" si="25"/>
        <v>#DIV/0!</v>
      </c>
      <c r="AG23" s="3">
        <v>0</v>
      </c>
      <c r="AH23" s="6">
        <v>0</v>
      </c>
      <c r="AI23" s="3">
        <f t="shared" si="26"/>
        <v>2566.875</v>
      </c>
      <c r="AJ23" s="3">
        <v>49284</v>
      </c>
      <c r="AK23" s="6">
        <v>19.2</v>
      </c>
      <c r="AL23" s="3">
        <f t="shared" si="27"/>
        <v>2450.5263157894738</v>
      </c>
      <c r="AM23" s="3">
        <v>23280</v>
      </c>
      <c r="AN23" s="6">
        <v>9.5</v>
      </c>
      <c r="AO23" s="3">
        <f t="shared" si="12"/>
        <v>1661.1395767286435</v>
      </c>
      <c r="AP23" s="3">
        <f t="shared" si="15"/>
        <v>1938716</v>
      </c>
      <c r="AQ23" s="6">
        <f t="shared" si="14"/>
        <v>1167.1000000000001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18</v>
      </c>
      <c r="B24" s="23"/>
      <c r="C24" s="23"/>
      <c r="D24" s="23"/>
      <c r="E24" s="3">
        <f t="shared" si="16"/>
        <v>2216.7716535433074</v>
      </c>
      <c r="F24" s="3">
        <v>28153</v>
      </c>
      <c r="G24" s="6">
        <v>12.7</v>
      </c>
      <c r="H24" s="3">
        <f t="shared" si="17"/>
        <v>3464.7368421052629</v>
      </c>
      <c r="I24" s="3">
        <v>19749</v>
      </c>
      <c r="J24" s="6">
        <v>5.7</v>
      </c>
      <c r="K24" s="3">
        <f t="shared" si="18"/>
        <v>2700</v>
      </c>
      <c r="L24" s="3">
        <v>9450</v>
      </c>
      <c r="M24" s="6">
        <v>3.5</v>
      </c>
      <c r="N24" s="3">
        <f t="shared" si="19"/>
        <v>2756.666666666667</v>
      </c>
      <c r="O24" s="3">
        <v>3308</v>
      </c>
      <c r="P24" s="6">
        <v>1.2</v>
      </c>
      <c r="Q24" s="3" t="e">
        <f t="shared" si="20"/>
        <v>#DIV/0!</v>
      </c>
      <c r="R24" s="3">
        <v>0</v>
      </c>
      <c r="S24" s="6">
        <v>0</v>
      </c>
      <c r="T24" s="3" t="e">
        <f t="shared" si="21"/>
        <v>#DIV/0!</v>
      </c>
      <c r="U24" s="3">
        <v>0</v>
      </c>
      <c r="V24" s="6">
        <v>0</v>
      </c>
      <c r="W24" s="3">
        <f t="shared" si="22"/>
        <v>2068.3720930232557</v>
      </c>
      <c r="X24" s="3">
        <v>26682</v>
      </c>
      <c r="Y24" s="6">
        <v>12.9</v>
      </c>
      <c r="Z24" s="3">
        <f t="shared" si="23"/>
        <v>3519.0384615384614</v>
      </c>
      <c r="AA24" s="3">
        <v>18299</v>
      </c>
      <c r="AB24" s="6">
        <v>5.2</v>
      </c>
      <c r="AC24" s="3">
        <f t="shared" si="24"/>
        <v>3747.2727272727275</v>
      </c>
      <c r="AD24" s="3">
        <v>24732</v>
      </c>
      <c r="AE24" s="6">
        <v>6.6</v>
      </c>
      <c r="AF24" s="3">
        <f t="shared" si="25"/>
        <v>2046.1386138613861</v>
      </c>
      <c r="AG24" s="3">
        <v>20666</v>
      </c>
      <c r="AH24" s="6">
        <v>10.1</v>
      </c>
      <c r="AI24" s="3">
        <f t="shared" si="26"/>
        <v>1551.8965517241379</v>
      </c>
      <c r="AJ24" s="3">
        <v>18002</v>
      </c>
      <c r="AK24" s="6">
        <v>11.6</v>
      </c>
      <c r="AL24" s="3">
        <f t="shared" si="27"/>
        <v>1546.9172932330825</v>
      </c>
      <c r="AM24" s="3">
        <v>20574</v>
      </c>
      <c r="AN24" s="6">
        <v>13.3</v>
      </c>
      <c r="AO24" s="3">
        <f t="shared" si="12"/>
        <v>2290.036231884058</v>
      </c>
      <c r="AP24" s="3">
        <f t="shared" si="15"/>
        <v>189615</v>
      </c>
      <c r="AQ24" s="6">
        <f t="shared" si="14"/>
        <v>82.8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49</v>
      </c>
      <c r="B25" s="23"/>
      <c r="C25" s="23"/>
      <c r="D25" s="23"/>
      <c r="E25" s="3">
        <f t="shared" si="16"/>
        <v>2113.7378640776701</v>
      </c>
      <c r="F25" s="3">
        <v>130629</v>
      </c>
      <c r="G25" s="6">
        <v>61.8</v>
      </c>
      <c r="H25" s="3">
        <f t="shared" si="17"/>
        <v>2038.4633027522934</v>
      </c>
      <c r="I25" s="3">
        <v>88877</v>
      </c>
      <c r="J25" s="6">
        <v>43.6</v>
      </c>
      <c r="K25" s="3">
        <f t="shared" si="18"/>
        <v>2470.8555133079849</v>
      </c>
      <c r="L25" s="3">
        <v>129967</v>
      </c>
      <c r="M25" s="6">
        <v>52.6</v>
      </c>
      <c r="N25" s="3">
        <f t="shared" si="19"/>
        <v>2499.7761194029849</v>
      </c>
      <c r="O25" s="3">
        <v>33497</v>
      </c>
      <c r="P25" s="6">
        <v>13.4</v>
      </c>
      <c r="Q25" s="3">
        <f t="shared" si="20"/>
        <v>2443.0131004366813</v>
      </c>
      <c r="R25" s="3">
        <v>55945</v>
      </c>
      <c r="S25" s="6">
        <v>22.9</v>
      </c>
      <c r="T25" s="3">
        <f t="shared" si="21"/>
        <v>3257.156398104265</v>
      </c>
      <c r="U25" s="3">
        <v>68726</v>
      </c>
      <c r="V25" s="6">
        <v>21.1</v>
      </c>
      <c r="W25" s="3">
        <f t="shared" si="22"/>
        <v>2469.8083067092653</v>
      </c>
      <c r="X25" s="3">
        <v>77305</v>
      </c>
      <c r="Y25" s="6">
        <v>31.3</v>
      </c>
      <c r="Z25" s="3">
        <f t="shared" si="23"/>
        <v>2394.5882352941176</v>
      </c>
      <c r="AA25" s="3">
        <v>40708</v>
      </c>
      <c r="AB25" s="6">
        <v>17</v>
      </c>
      <c r="AC25" s="3">
        <f t="shared" si="24"/>
        <v>2522.8519855595669</v>
      </c>
      <c r="AD25" s="3">
        <v>69883</v>
      </c>
      <c r="AE25" s="6">
        <v>27.7</v>
      </c>
      <c r="AF25" s="3">
        <f t="shared" si="25"/>
        <v>2797.114624505929</v>
      </c>
      <c r="AG25" s="3">
        <v>70767</v>
      </c>
      <c r="AH25" s="6">
        <v>25.3</v>
      </c>
      <c r="AI25" s="3">
        <f t="shared" si="26"/>
        <v>2893.3986928104573</v>
      </c>
      <c r="AJ25" s="3">
        <v>44269</v>
      </c>
      <c r="AK25" s="6">
        <v>15.3</v>
      </c>
      <c r="AL25" s="3">
        <f t="shared" si="27"/>
        <v>1942.7397260273974</v>
      </c>
      <c r="AM25" s="3">
        <v>14182</v>
      </c>
      <c r="AN25" s="6">
        <v>7.3</v>
      </c>
      <c r="AO25" s="3">
        <f t="shared" si="12"/>
        <v>2430.7544945475975</v>
      </c>
      <c r="AP25" s="3">
        <f t="shared" si="15"/>
        <v>824755</v>
      </c>
      <c r="AQ25" s="6">
        <f t="shared" si="14"/>
        <v>339.30000000000007</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59</v>
      </c>
      <c r="B26" s="23"/>
      <c r="C26" s="23"/>
      <c r="D26" s="23"/>
      <c r="E26" s="3">
        <f t="shared" si="16"/>
        <v>2388</v>
      </c>
      <c r="F26" s="3">
        <v>4776</v>
      </c>
      <c r="G26" s="6">
        <v>2</v>
      </c>
      <c r="H26" s="3" t="e">
        <f t="shared" si="17"/>
        <v>#DIV/0!</v>
      </c>
      <c r="I26" s="3">
        <v>0</v>
      </c>
      <c r="J26" s="6">
        <v>0</v>
      </c>
      <c r="K26" s="3">
        <f t="shared" si="18"/>
        <v>3059.6666666666665</v>
      </c>
      <c r="L26" s="3">
        <v>9179</v>
      </c>
      <c r="M26" s="6">
        <v>3</v>
      </c>
      <c r="N26" s="3">
        <f t="shared" si="19"/>
        <v>3654.2857142857147</v>
      </c>
      <c r="O26" s="3">
        <v>2558</v>
      </c>
      <c r="P26" s="6">
        <v>0.7</v>
      </c>
      <c r="Q26" s="3" t="e">
        <f t="shared" si="20"/>
        <v>#DIV/0!</v>
      </c>
      <c r="R26" s="3">
        <v>0</v>
      </c>
      <c r="S26" s="6">
        <v>0</v>
      </c>
      <c r="T26" s="3" t="e">
        <f t="shared" si="21"/>
        <v>#DIV/0!</v>
      </c>
      <c r="U26" s="3">
        <v>0</v>
      </c>
      <c r="V26" s="6">
        <v>0</v>
      </c>
      <c r="W26" s="3">
        <f t="shared" si="22"/>
        <v>3015.454545454545</v>
      </c>
      <c r="X26" s="3">
        <v>3317</v>
      </c>
      <c r="Y26" s="6">
        <v>1.1000000000000001</v>
      </c>
      <c r="Z26" s="3" t="e">
        <f t="shared" si="23"/>
        <v>#DIV/0!</v>
      </c>
      <c r="AA26" s="3">
        <v>0</v>
      </c>
      <c r="AB26" s="6">
        <v>0</v>
      </c>
      <c r="AC26" s="3">
        <f t="shared" si="24"/>
        <v>3368</v>
      </c>
      <c r="AD26" s="3">
        <v>5052</v>
      </c>
      <c r="AE26" s="6">
        <v>1.5</v>
      </c>
      <c r="AF26" s="3">
        <f t="shared" si="25"/>
        <v>2877</v>
      </c>
      <c r="AG26" s="3">
        <v>2877</v>
      </c>
      <c r="AH26" s="6">
        <v>1</v>
      </c>
      <c r="AI26" s="3">
        <f t="shared" si="26"/>
        <v>3297.5</v>
      </c>
      <c r="AJ26" s="3">
        <v>2638</v>
      </c>
      <c r="AK26" s="6">
        <v>0.8</v>
      </c>
      <c r="AL26" s="3">
        <f t="shared" si="27"/>
        <v>5399.333333333333</v>
      </c>
      <c r="AM26" s="3">
        <v>8099</v>
      </c>
      <c r="AN26" s="6">
        <v>1.5</v>
      </c>
      <c r="AO26" s="3">
        <f t="shared" si="12"/>
        <v>3318.6206896551721</v>
      </c>
      <c r="AP26" s="3">
        <f t="shared" si="15"/>
        <v>38496</v>
      </c>
      <c r="AQ26" s="6">
        <f t="shared" si="14"/>
        <v>11.600000000000001</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79</v>
      </c>
      <c r="B27" s="23"/>
      <c r="C27" s="23"/>
      <c r="D27" s="23"/>
      <c r="E27" s="3" t="e">
        <f t="shared" si="16"/>
        <v>#DIV/0!</v>
      </c>
      <c r="F27" s="3">
        <v>0</v>
      </c>
      <c r="G27" s="6">
        <v>0</v>
      </c>
      <c r="H27" s="3" t="e">
        <f t="shared" si="17"/>
        <v>#DIV/0!</v>
      </c>
      <c r="I27" s="3">
        <v>0</v>
      </c>
      <c r="J27" s="6">
        <v>0</v>
      </c>
      <c r="K27" s="3" t="e">
        <f t="shared" si="18"/>
        <v>#DIV/0!</v>
      </c>
      <c r="L27" s="3">
        <v>0</v>
      </c>
      <c r="M27" s="6">
        <v>0</v>
      </c>
      <c r="N27" s="3" t="e">
        <f t="shared" si="19"/>
        <v>#DIV/0!</v>
      </c>
      <c r="O27" s="3">
        <v>0</v>
      </c>
      <c r="P27" s="6">
        <v>0</v>
      </c>
      <c r="Q27" s="3" t="e">
        <f t="shared" si="20"/>
        <v>#DIV/0!</v>
      </c>
      <c r="R27" s="3">
        <v>0</v>
      </c>
      <c r="S27" s="6">
        <v>0</v>
      </c>
      <c r="T27" s="3" t="e">
        <f t="shared" si="21"/>
        <v>#DIV/0!</v>
      </c>
      <c r="U27" s="3">
        <v>0</v>
      </c>
      <c r="V27" s="6">
        <v>0</v>
      </c>
      <c r="W27" s="3" t="e">
        <f t="shared" si="22"/>
        <v>#DIV/0!</v>
      </c>
      <c r="X27" s="3">
        <v>0</v>
      </c>
      <c r="Y27" s="6">
        <v>0</v>
      </c>
      <c r="Z27" s="3" t="e">
        <f t="shared" si="23"/>
        <v>#DIV/0!</v>
      </c>
      <c r="AA27" s="3">
        <v>0</v>
      </c>
      <c r="AB27" s="6">
        <v>0</v>
      </c>
      <c r="AC27" s="3" t="e">
        <f t="shared" si="24"/>
        <v>#DIV/0!</v>
      </c>
      <c r="AD27" s="3">
        <v>0</v>
      </c>
      <c r="AE27" s="6">
        <v>0</v>
      </c>
      <c r="AF27" s="3" t="e">
        <f t="shared" si="25"/>
        <v>#DIV/0!</v>
      </c>
      <c r="AG27" s="3">
        <v>0</v>
      </c>
      <c r="AH27" s="6">
        <v>0</v>
      </c>
      <c r="AI27" s="3" t="e">
        <f t="shared" si="26"/>
        <v>#DIV/0!</v>
      </c>
      <c r="AJ27" s="3">
        <v>0</v>
      </c>
      <c r="AK27" s="6">
        <v>0</v>
      </c>
      <c r="AL27" s="3">
        <f t="shared" si="27"/>
        <v>1564.5454545454547</v>
      </c>
      <c r="AM27" s="3">
        <v>5163</v>
      </c>
      <c r="AN27" s="6">
        <v>3.3</v>
      </c>
      <c r="AO27" s="3">
        <f t="shared" si="12"/>
        <v>1564.5454545454547</v>
      </c>
      <c r="AP27" s="3">
        <f t="shared" si="15"/>
        <v>5163</v>
      </c>
      <c r="AQ27" s="6">
        <f t="shared" si="14"/>
        <v>3.3</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27</v>
      </c>
      <c r="B28" s="23"/>
      <c r="C28" s="23"/>
      <c r="D28" s="23"/>
      <c r="E28" s="3" t="e">
        <f t="shared" si="16"/>
        <v>#DIV/0!</v>
      </c>
      <c r="F28" s="3">
        <v>0</v>
      </c>
      <c r="G28" s="6">
        <v>0</v>
      </c>
      <c r="H28" s="3">
        <f t="shared" si="17"/>
        <v>3080.8108108108108</v>
      </c>
      <c r="I28" s="3">
        <v>11399</v>
      </c>
      <c r="J28" s="6">
        <v>3.7</v>
      </c>
      <c r="K28" s="3">
        <f t="shared" si="18"/>
        <v>2436.5</v>
      </c>
      <c r="L28" s="3">
        <v>9746</v>
      </c>
      <c r="M28" s="6">
        <v>4</v>
      </c>
      <c r="N28" s="3">
        <f t="shared" si="19"/>
        <v>2397.6923076923076</v>
      </c>
      <c r="O28" s="3">
        <v>3117</v>
      </c>
      <c r="P28" s="6">
        <v>1.3</v>
      </c>
      <c r="Q28" s="3">
        <f t="shared" si="20"/>
        <v>2521.1764705882351</v>
      </c>
      <c r="R28" s="3">
        <v>4286</v>
      </c>
      <c r="S28" s="6">
        <v>1.7</v>
      </c>
      <c r="T28" s="3" t="e">
        <f t="shared" si="21"/>
        <v>#DIV/0!</v>
      </c>
      <c r="U28" s="3">
        <v>0</v>
      </c>
      <c r="V28" s="6">
        <v>0</v>
      </c>
      <c r="W28" s="3">
        <f t="shared" si="22"/>
        <v>2793.3333333333335</v>
      </c>
      <c r="X28" s="3">
        <v>3352</v>
      </c>
      <c r="Y28" s="6">
        <v>1.2</v>
      </c>
      <c r="Z28" s="3" t="e">
        <f t="shared" si="23"/>
        <v>#DIV/0!</v>
      </c>
      <c r="AA28" s="3">
        <v>0</v>
      </c>
      <c r="AB28" s="6">
        <v>0</v>
      </c>
      <c r="AC28" s="3">
        <f t="shared" si="24"/>
        <v>2818.125</v>
      </c>
      <c r="AD28" s="3">
        <v>4509</v>
      </c>
      <c r="AE28" s="6">
        <v>1.6</v>
      </c>
      <c r="AF28" s="3">
        <f t="shared" si="25"/>
        <v>2792.3076923076924</v>
      </c>
      <c r="AG28" s="3">
        <v>7260</v>
      </c>
      <c r="AH28" s="6">
        <v>2.6</v>
      </c>
      <c r="AI28" s="3">
        <f t="shared" si="26"/>
        <v>2904.8</v>
      </c>
      <c r="AJ28" s="3">
        <v>7262</v>
      </c>
      <c r="AK28" s="6">
        <v>2.5</v>
      </c>
      <c r="AL28" s="3">
        <f t="shared" si="27"/>
        <v>2818.125</v>
      </c>
      <c r="AM28" s="3">
        <v>4509</v>
      </c>
      <c r="AN28" s="6">
        <v>1.6</v>
      </c>
      <c r="AO28" s="3">
        <f t="shared" si="12"/>
        <v>2744.5544554455446</v>
      </c>
      <c r="AP28" s="3">
        <f t="shared" si="15"/>
        <v>55440</v>
      </c>
      <c r="AQ28" s="6">
        <f t="shared" si="14"/>
        <v>20.2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36</v>
      </c>
      <c r="B29" s="23"/>
      <c r="C29" s="23"/>
      <c r="D29" s="23"/>
      <c r="E29" s="3" t="e">
        <f t="shared" si="16"/>
        <v>#DIV/0!</v>
      </c>
      <c r="F29" s="3">
        <v>0</v>
      </c>
      <c r="G29" s="6">
        <v>0</v>
      </c>
      <c r="H29" s="3" t="e">
        <f t="shared" si="17"/>
        <v>#DIV/0!</v>
      </c>
      <c r="I29" s="3">
        <v>0</v>
      </c>
      <c r="J29" s="6">
        <v>0</v>
      </c>
      <c r="K29" s="3" t="e">
        <f t="shared" si="18"/>
        <v>#DIV/0!</v>
      </c>
      <c r="L29" s="3">
        <v>0</v>
      </c>
      <c r="M29" s="6">
        <v>0</v>
      </c>
      <c r="N29" s="3">
        <f t="shared" si="19"/>
        <v>2494.2567567567567</v>
      </c>
      <c r="O29" s="3">
        <v>36915</v>
      </c>
      <c r="P29" s="6">
        <v>14.8</v>
      </c>
      <c r="Q29" s="3">
        <f t="shared" si="20"/>
        <v>2675.575221238938</v>
      </c>
      <c r="R29" s="3">
        <v>30234</v>
      </c>
      <c r="S29" s="6">
        <v>11.3</v>
      </c>
      <c r="T29" s="3" t="e">
        <f t="shared" si="21"/>
        <v>#DIV/0!</v>
      </c>
      <c r="U29" s="3">
        <v>0</v>
      </c>
      <c r="V29" s="6">
        <v>0</v>
      </c>
      <c r="W29" s="3">
        <f t="shared" si="22"/>
        <v>3006.4957264957266</v>
      </c>
      <c r="X29" s="3">
        <v>35176</v>
      </c>
      <c r="Y29" s="6">
        <v>11.7</v>
      </c>
      <c r="Z29" s="3" t="e">
        <f t="shared" si="23"/>
        <v>#DIV/0!</v>
      </c>
      <c r="AA29" s="3">
        <v>0</v>
      </c>
      <c r="AB29" s="6">
        <v>0</v>
      </c>
      <c r="AC29" s="3">
        <f t="shared" si="24"/>
        <v>1782.53125</v>
      </c>
      <c r="AD29" s="3">
        <v>57041</v>
      </c>
      <c r="AE29" s="6">
        <v>32</v>
      </c>
      <c r="AF29" s="3">
        <f t="shared" si="25"/>
        <v>2749.2356687898091</v>
      </c>
      <c r="AG29" s="3">
        <v>43163</v>
      </c>
      <c r="AH29" s="6">
        <v>15.7</v>
      </c>
      <c r="AI29" s="3" t="e">
        <f t="shared" si="26"/>
        <v>#DIV/0!</v>
      </c>
      <c r="AJ29" s="3">
        <v>0</v>
      </c>
      <c r="AK29" s="6">
        <v>0</v>
      </c>
      <c r="AL29" s="3">
        <f t="shared" si="27"/>
        <v>2646.4705882352941</v>
      </c>
      <c r="AM29" s="3">
        <v>4499</v>
      </c>
      <c r="AN29" s="6">
        <v>1.7</v>
      </c>
      <c r="AO29" s="3">
        <f t="shared" si="12"/>
        <v>2374.1743119266052</v>
      </c>
      <c r="AP29" s="3">
        <f t="shared" si="15"/>
        <v>207028</v>
      </c>
      <c r="AQ29" s="6">
        <f t="shared" si="14"/>
        <v>87.2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76</v>
      </c>
      <c r="B30" s="23"/>
      <c r="C30" s="23"/>
      <c r="D30" s="23"/>
      <c r="E30" s="3" t="e">
        <f t="shared" si="16"/>
        <v>#DIV/0!</v>
      </c>
      <c r="F30" s="3">
        <v>0</v>
      </c>
      <c r="G30" s="6">
        <v>0</v>
      </c>
      <c r="H30" s="3" t="e">
        <f t="shared" si="17"/>
        <v>#DIV/0!</v>
      </c>
      <c r="I30" s="3">
        <v>0</v>
      </c>
      <c r="J30" s="6">
        <v>0</v>
      </c>
      <c r="K30" s="3" t="e">
        <f t="shared" si="18"/>
        <v>#DIV/0!</v>
      </c>
      <c r="L30" s="3">
        <v>0</v>
      </c>
      <c r="M30" s="6">
        <v>0</v>
      </c>
      <c r="N30" s="3" t="e">
        <f t="shared" si="19"/>
        <v>#DIV/0!</v>
      </c>
      <c r="O30" s="3">
        <v>0</v>
      </c>
      <c r="P30" s="6">
        <v>0</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t="e">
        <f t="shared" si="24"/>
        <v>#DIV/0!</v>
      </c>
      <c r="AD30" s="3">
        <v>0</v>
      </c>
      <c r="AE30" s="6">
        <v>0</v>
      </c>
      <c r="AF30" s="3" t="e">
        <f t="shared" si="25"/>
        <v>#DIV/0!</v>
      </c>
      <c r="AG30" s="3">
        <v>0</v>
      </c>
      <c r="AH30" s="6">
        <v>0</v>
      </c>
      <c r="AI30" s="3">
        <f t="shared" si="26"/>
        <v>1538.8235294117646</v>
      </c>
      <c r="AJ30" s="3">
        <v>10464</v>
      </c>
      <c r="AK30" s="6">
        <v>6.8</v>
      </c>
      <c r="AL30" s="3" t="e">
        <f t="shared" si="27"/>
        <v>#DIV/0!</v>
      </c>
      <c r="AM30" s="3">
        <v>0</v>
      </c>
      <c r="AN30" s="6">
        <v>0</v>
      </c>
      <c r="AO30" s="3">
        <f t="shared" si="12"/>
        <v>1538.8235294117646</v>
      </c>
      <c r="AP30" s="3">
        <f t="shared" si="15"/>
        <v>10464</v>
      </c>
      <c r="AQ30" s="6">
        <f t="shared" si="14"/>
        <v>6.8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19</v>
      </c>
      <c r="B31" s="23"/>
      <c r="C31" s="23"/>
      <c r="D31" s="23"/>
      <c r="E31" s="3" t="e">
        <f t="shared" si="16"/>
        <v>#DIV/0!</v>
      </c>
      <c r="F31" s="3">
        <v>0</v>
      </c>
      <c r="G31" s="6">
        <v>0</v>
      </c>
      <c r="H31" s="3" t="e">
        <f t="shared" si="17"/>
        <v>#DIV/0!</v>
      </c>
      <c r="I31" s="3">
        <v>0</v>
      </c>
      <c r="J31" s="6">
        <v>0</v>
      </c>
      <c r="K31" s="3" t="e">
        <f t="shared" si="18"/>
        <v>#DIV/0!</v>
      </c>
      <c r="L31" s="3">
        <v>0</v>
      </c>
      <c r="M31" s="6">
        <v>0</v>
      </c>
      <c r="N31" s="3" t="e">
        <f t="shared" si="19"/>
        <v>#DIV/0!</v>
      </c>
      <c r="O31" s="3">
        <v>0</v>
      </c>
      <c r="P31" s="6">
        <v>0</v>
      </c>
      <c r="Q31" s="3" t="e">
        <f t="shared" si="20"/>
        <v>#DIV/0!</v>
      </c>
      <c r="R31" s="3">
        <v>0</v>
      </c>
      <c r="S31" s="6">
        <v>0</v>
      </c>
      <c r="T31" s="3">
        <f t="shared" si="21"/>
        <v>2831.5</v>
      </c>
      <c r="U31" s="3">
        <v>11326</v>
      </c>
      <c r="V31" s="6">
        <v>4</v>
      </c>
      <c r="W31" s="3" t="e">
        <f t="shared" si="22"/>
        <v>#DIV/0!</v>
      </c>
      <c r="X31" s="3">
        <v>0</v>
      </c>
      <c r="Y31" s="6">
        <v>0</v>
      </c>
      <c r="Z31" s="3" t="e">
        <f t="shared" si="23"/>
        <v>#DIV/0!</v>
      </c>
      <c r="AA31" s="3">
        <v>0</v>
      </c>
      <c r="AB31" s="6">
        <v>0</v>
      </c>
      <c r="AC31" s="3" t="e">
        <f t="shared" si="24"/>
        <v>#DIV/0!</v>
      </c>
      <c r="AD31" s="3">
        <v>0</v>
      </c>
      <c r="AE31" s="6">
        <v>0</v>
      </c>
      <c r="AF31" s="3">
        <f t="shared" si="25"/>
        <v>1533.8461538461538</v>
      </c>
      <c r="AG31" s="3">
        <v>3988</v>
      </c>
      <c r="AH31" s="6">
        <v>2.6</v>
      </c>
      <c r="AI31" s="3" t="e">
        <f t="shared" si="26"/>
        <v>#DIV/0!</v>
      </c>
      <c r="AJ31" s="3">
        <v>0</v>
      </c>
      <c r="AK31" s="6">
        <v>0</v>
      </c>
      <c r="AL31" s="3" t="e">
        <f t="shared" si="27"/>
        <v>#DIV/0!</v>
      </c>
      <c r="AM31" s="3">
        <v>0</v>
      </c>
      <c r="AN31" s="6">
        <v>0</v>
      </c>
      <c r="AO31" s="3">
        <f t="shared" si="12"/>
        <v>2320.3030303030305</v>
      </c>
      <c r="AP31" s="3">
        <f t="shared" si="15"/>
        <v>15314</v>
      </c>
      <c r="AQ31" s="6">
        <f t="shared" si="14"/>
        <v>6.6</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60</v>
      </c>
      <c r="B32" s="23"/>
      <c r="C32" s="23"/>
      <c r="D32" s="23"/>
      <c r="E32" s="3">
        <f t="shared" si="16"/>
        <v>2161.4285714285716</v>
      </c>
      <c r="F32" s="3">
        <v>30260</v>
      </c>
      <c r="G32" s="6">
        <v>14</v>
      </c>
      <c r="H32" s="3">
        <f t="shared" si="17"/>
        <v>2214.2857142857142</v>
      </c>
      <c r="I32" s="3">
        <v>6200</v>
      </c>
      <c r="J32" s="6">
        <v>2.8</v>
      </c>
      <c r="K32" s="3">
        <f t="shared" si="18"/>
        <v>1586.9716088328075</v>
      </c>
      <c r="L32" s="3">
        <v>100614</v>
      </c>
      <c r="M32" s="6">
        <v>63.4</v>
      </c>
      <c r="N32" s="3">
        <f t="shared" si="19"/>
        <v>2376.5217391304345</v>
      </c>
      <c r="O32" s="3">
        <v>16398</v>
      </c>
      <c r="P32" s="6">
        <v>6.9</v>
      </c>
      <c r="Q32" s="3">
        <f t="shared" si="20"/>
        <v>2390.625</v>
      </c>
      <c r="R32" s="3">
        <v>11475</v>
      </c>
      <c r="S32" s="6">
        <v>4.8</v>
      </c>
      <c r="T32" s="3">
        <f t="shared" si="21"/>
        <v>2725.314685314685</v>
      </c>
      <c r="U32" s="3">
        <v>38972</v>
      </c>
      <c r="V32" s="6">
        <v>14.3</v>
      </c>
      <c r="W32" s="3">
        <f t="shared" si="22"/>
        <v>2622.291666666667</v>
      </c>
      <c r="X32" s="3">
        <v>12587</v>
      </c>
      <c r="Y32" s="6">
        <v>4.8</v>
      </c>
      <c r="Z32" s="3" t="e">
        <f t="shared" si="23"/>
        <v>#DIV/0!</v>
      </c>
      <c r="AA32" s="3">
        <v>0</v>
      </c>
      <c r="AB32" s="6">
        <v>0</v>
      </c>
      <c r="AC32" s="3">
        <f t="shared" si="24"/>
        <v>2303.125</v>
      </c>
      <c r="AD32" s="3">
        <v>11055</v>
      </c>
      <c r="AE32" s="6">
        <v>4.8</v>
      </c>
      <c r="AF32" s="3">
        <f t="shared" si="25"/>
        <v>3544.6153846153848</v>
      </c>
      <c r="AG32" s="3">
        <v>13824</v>
      </c>
      <c r="AH32" s="6">
        <v>3.9</v>
      </c>
      <c r="AI32" s="3">
        <f t="shared" si="26"/>
        <v>3277.68</v>
      </c>
      <c r="AJ32" s="3">
        <v>40971</v>
      </c>
      <c r="AK32" s="6">
        <v>12.5</v>
      </c>
      <c r="AL32" s="3" t="e">
        <f t="shared" si="27"/>
        <v>#DIV/0!</v>
      </c>
      <c r="AM32" s="3">
        <v>0</v>
      </c>
      <c r="AN32" s="6">
        <v>0</v>
      </c>
      <c r="AO32" s="3">
        <f t="shared" si="12"/>
        <v>2135.8245083207262</v>
      </c>
      <c r="AP32" s="3">
        <f t="shared" si="15"/>
        <v>282356</v>
      </c>
      <c r="AQ32" s="6">
        <f t="shared" si="14"/>
        <v>132.19999999999999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80</v>
      </c>
      <c r="B33" s="23"/>
      <c r="C33" s="23"/>
      <c r="D33" s="23"/>
      <c r="E33" s="3">
        <f t="shared" si="16"/>
        <v>3619.2</v>
      </c>
      <c r="F33" s="3">
        <v>9048</v>
      </c>
      <c r="G33" s="6">
        <v>2.5</v>
      </c>
      <c r="H33" s="3">
        <f t="shared" si="17"/>
        <v>3759.166666666667</v>
      </c>
      <c r="I33" s="3">
        <v>4511</v>
      </c>
      <c r="J33" s="6">
        <v>1.2</v>
      </c>
      <c r="K33" s="3" t="e">
        <f t="shared" si="18"/>
        <v>#DIV/0!</v>
      </c>
      <c r="L33" s="3">
        <v>0</v>
      </c>
      <c r="M33" s="6">
        <v>0</v>
      </c>
      <c r="N33" s="3">
        <f t="shared" si="19"/>
        <v>4815.2066115702482</v>
      </c>
      <c r="O33" s="3">
        <v>58264</v>
      </c>
      <c r="P33" s="6">
        <v>12.1</v>
      </c>
      <c r="Q33" s="3">
        <f t="shared" si="20"/>
        <v>1526.3636363636363</v>
      </c>
      <c r="R33" s="3">
        <v>3358</v>
      </c>
      <c r="S33" s="6">
        <v>2.2000000000000002</v>
      </c>
      <c r="T33" s="3">
        <f t="shared" si="21"/>
        <v>2898.2</v>
      </c>
      <c r="U33" s="3">
        <v>28982</v>
      </c>
      <c r="V33" s="6">
        <v>10</v>
      </c>
      <c r="W33" s="3">
        <f t="shared" si="22"/>
        <v>2095.2542372881353</v>
      </c>
      <c r="X33" s="3">
        <v>24724</v>
      </c>
      <c r="Y33" s="6">
        <v>11.8</v>
      </c>
      <c r="Z33" s="3">
        <f t="shared" si="23"/>
        <v>1890.4635761589404</v>
      </c>
      <c r="AA33" s="3">
        <v>28546</v>
      </c>
      <c r="AB33" s="6">
        <v>15.1</v>
      </c>
      <c r="AC33" s="3">
        <f t="shared" si="24"/>
        <v>2392.3529411764707</v>
      </c>
      <c r="AD33" s="3">
        <v>8134</v>
      </c>
      <c r="AE33" s="6">
        <v>3.4</v>
      </c>
      <c r="AF33" s="3" t="e">
        <f t="shared" si="25"/>
        <v>#DIV/0!</v>
      </c>
      <c r="AG33" s="3">
        <v>0</v>
      </c>
      <c r="AH33" s="6">
        <v>0</v>
      </c>
      <c r="AI33" s="3" t="e">
        <f t="shared" si="26"/>
        <v>#DIV/0!</v>
      </c>
      <c r="AJ33" s="3">
        <v>0</v>
      </c>
      <c r="AK33" s="6">
        <v>0</v>
      </c>
      <c r="AL33" s="3" t="e">
        <f t="shared" si="27"/>
        <v>#DIV/0!</v>
      </c>
      <c r="AM33" s="3">
        <v>0</v>
      </c>
      <c r="AN33" s="6">
        <v>0</v>
      </c>
      <c r="AO33" s="3">
        <f t="shared" si="12"/>
        <v>2839.9142367066897</v>
      </c>
      <c r="AP33" s="3">
        <f t="shared" si="15"/>
        <v>165567</v>
      </c>
      <c r="AQ33" s="6">
        <f t="shared" si="14"/>
        <v>58.3</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29</v>
      </c>
      <c r="B34" s="23"/>
      <c r="C34" s="23"/>
      <c r="D34" s="23"/>
      <c r="E34" s="3">
        <f t="shared" si="16"/>
        <v>2533.4166666666665</v>
      </c>
      <c r="F34" s="3">
        <v>30401</v>
      </c>
      <c r="G34" s="6">
        <v>12</v>
      </c>
      <c r="H34" s="3">
        <f t="shared" si="17"/>
        <v>2435.5172413793102</v>
      </c>
      <c r="I34" s="3">
        <v>7063</v>
      </c>
      <c r="J34" s="6">
        <v>2.9</v>
      </c>
      <c r="K34" s="3">
        <f t="shared" si="18"/>
        <v>2469.63768115942</v>
      </c>
      <c r="L34" s="3">
        <v>68162</v>
      </c>
      <c r="M34" s="6">
        <v>27.6</v>
      </c>
      <c r="N34" s="3" t="e">
        <f t="shared" si="19"/>
        <v>#DIV/0!</v>
      </c>
      <c r="O34" s="3">
        <v>0</v>
      </c>
      <c r="P34" s="6">
        <v>0</v>
      </c>
      <c r="Q34" s="3" t="e">
        <f t="shared" si="20"/>
        <v>#DIV/0!</v>
      </c>
      <c r="R34" s="3">
        <v>0</v>
      </c>
      <c r="S34" s="6">
        <v>0</v>
      </c>
      <c r="T34" s="3">
        <f t="shared" si="21"/>
        <v>3030.7407407407404</v>
      </c>
      <c r="U34" s="3">
        <v>8183</v>
      </c>
      <c r="V34" s="6">
        <v>2.7</v>
      </c>
      <c r="W34" s="3">
        <f t="shared" si="22"/>
        <v>3385.0746268656717</v>
      </c>
      <c r="X34" s="3">
        <v>22680</v>
      </c>
      <c r="Y34" s="6">
        <v>6.7</v>
      </c>
      <c r="Z34" s="3" t="e">
        <f t="shared" si="23"/>
        <v>#DIV/0!</v>
      </c>
      <c r="AA34" s="3">
        <v>0</v>
      </c>
      <c r="AB34" s="6">
        <v>0</v>
      </c>
      <c r="AC34" s="3" t="e">
        <f t="shared" si="24"/>
        <v>#DIV/0!</v>
      </c>
      <c r="AD34" s="3">
        <v>0</v>
      </c>
      <c r="AE34" s="6">
        <v>0</v>
      </c>
      <c r="AF34" s="3" t="e">
        <f t="shared" si="25"/>
        <v>#DIV/0!</v>
      </c>
      <c r="AG34" s="3">
        <v>0</v>
      </c>
      <c r="AH34" s="6">
        <v>0</v>
      </c>
      <c r="AI34" s="3">
        <f t="shared" si="26"/>
        <v>1547.3684210526317</v>
      </c>
      <c r="AJ34" s="3">
        <v>44100</v>
      </c>
      <c r="AK34" s="6">
        <v>28.5</v>
      </c>
      <c r="AL34" s="3" t="e">
        <f t="shared" si="27"/>
        <v>#DIV/0!</v>
      </c>
      <c r="AM34" s="3">
        <v>0</v>
      </c>
      <c r="AN34" s="6">
        <v>0</v>
      </c>
      <c r="AO34" s="3">
        <f t="shared" si="12"/>
        <v>2246.1318407960198</v>
      </c>
      <c r="AP34" s="3">
        <f t="shared" si="15"/>
        <v>180589</v>
      </c>
      <c r="AQ34" s="6">
        <f t="shared" si="14"/>
        <v>80.400000000000006</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81</v>
      </c>
      <c r="B35" s="23"/>
      <c r="C35" s="23"/>
      <c r="D35" s="23"/>
      <c r="E35" s="3" t="e">
        <f t="shared" si="16"/>
        <v>#DIV/0!</v>
      </c>
      <c r="F35" s="3">
        <v>0</v>
      </c>
      <c r="G35" s="6">
        <v>0</v>
      </c>
      <c r="H35" s="3">
        <f t="shared" si="17"/>
        <v>2980.7692307692305</v>
      </c>
      <c r="I35" s="3">
        <v>3875</v>
      </c>
      <c r="J35" s="6">
        <v>1.3</v>
      </c>
      <c r="K35" s="3" t="e">
        <f t="shared" si="18"/>
        <v>#DIV/0!</v>
      </c>
      <c r="L35" s="3">
        <v>0</v>
      </c>
      <c r="M35" s="6">
        <v>0</v>
      </c>
      <c r="N35" s="3" t="e">
        <f t="shared" si="19"/>
        <v>#DIV/0!</v>
      </c>
      <c r="O35" s="3">
        <v>0</v>
      </c>
      <c r="P35" s="6">
        <v>0</v>
      </c>
      <c r="Q35" s="3" t="e">
        <f t="shared" si="20"/>
        <v>#DIV/0!</v>
      </c>
      <c r="R35" s="3">
        <v>0</v>
      </c>
      <c r="S35" s="6">
        <v>0</v>
      </c>
      <c r="T35" s="3" t="e">
        <f t="shared" si="21"/>
        <v>#DIV/0!</v>
      </c>
      <c r="U35" s="3">
        <v>0</v>
      </c>
      <c r="V35" s="6">
        <v>0</v>
      </c>
      <c r="W35" s="3" t="e">
        <f t="shared" si="22"/>
        <v>#DIV/0!</v>
      </c>
      <c r="X35" s="3">
        <v>0</v>
      </c>
      <c r="Y35" s="6">
        <v>0</v>
      </c>
      <c r="Z35" s="3" t="e">
        <f t="shared" si="23"/>
        <v>#DIV/0!</v>
      </c>
      <c r="AA35" s="3">
        <v>0</v>
      </c>
      <c r="AB35" s="6">
        <v>0</v>
      </c>
      <c r="AC35" s="3" t="e">
        <f t="shared" si="24"/>
        <v>#DIV/0!</v>
      </c>
      <c r="AD35" s="3">
        <v>0</v>
      </c>
      <c r="AE35" s="6">
        <v>0</v>
      </c>
      <c r="AF35" s="3">
        <f t="shared" si="25"/>
        <v>4356.8181818181811</v>
      </c>
      <c r="AG35" s="3">
        <v>9585</v>
      </c>
      <c r="AH35" s="6">
        <v>2.2000000000000002</v>
      </c>
      <c r="AI35" s="3" t="e">
        <f t="shared" si="26"/>
        <v>#DIV/0!</v>
      </c>
      <c r="AJ35" s="3">
        <v>0</v>
      </c>
      <c r="AK35" s="6">
        <v>0</v>
      </c>
      <c r="AL35" s="3" t="e">
        <f t="shared" si="27"/>
        <v>#DIV/0!</v>
      </c>
      <c r="AM35" s="3">
        <v>0</v>
      </c>
      <c r="AN35" s="6">
        <v>0</v>
      </c>
      <c r="AO35" s="3">
        <f t="shared" si="12"/>
        <v>3845.7142857142858</v>
      </c>
      <c r="AP35" s="3">
        <f t="shared" si="15"/>
        <v>13460</v>
      </c>
      <c r="AQ35" s="6">
        <f t="shared" si="14"/>
        <v>3.5</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61</v>
      </c>
      <c r="B36" s="23"/>
      <c r="C36" s="23"/>
      <c r="D36" s="23"/>
      <c r="E36" s="3" t="e">
        <f t="shared" si="16"/>
        <v>#DIV/0!</v>
      </c>
      <c r="F36" s="3">
        <v>0</v>
      </c>
      <c r="G36" s="6">
        <v>0</v>
      </c>
      <c r="H36" s="3">
        <f t="shared" si="17"/>
        <v>3108.6666666666665</v>
      </c>
      <c r="I36" s="3">
        <v>4663</v>
      </c>
      <c r="J36" s="6">
        <v>1.5</v>
      </c>
      <c r="K36" s="3" t="e">
        <f t="shared" si="18"/>
        <v>#DIV/0!</v>
      </c>
      <c r="L36" s="3">
        <v>0</v>
      </c>
      <c r="M36" s="6">
        <v>0</v>
      </c>
      <c r="N36" s="3" t="e">
        <f t="shared" si="19"/>
        <v>#DIV/0!</v>
      </c>
      <c r="O36" s="3">
        <v>0</v>
      </c>
      <c r="P36" s="6">
        <v>0</v>
      </c>
      <c r="Q36" s="3" t="e">
        <f t="shared" si="20"/>
        <v>#DIV/0!</v>
      </c>
      <c r="R36" s="3">
        <v>0</v>
      </c>
      <c r="S36" s="6">
        <v>0</v>
      </c>
      <c r="T36" s="3" t="e">
        <f t="shared" si="21"/>
        <v>#DIV/0!</v>
      </c>
      <c r="U36" s="3">
        <v>0</v>
      </c>
      <c r="V36" s="6">
        <v>0</v>
      </c>
      <c r="W36" s="3" t="e">
        <f t="shared" si="22"/>
        <v>#DIV/0!</v>
      </c>
      <c r="X36" s="3">
        <v>0</v>
      </c>
      <c r="Y36" s="6">
        <v>0</v>
      </c>
      <c r="Z36" s="3" t="e">
        <f t="shared" si="23"/>
        <v>#DIV/0!</v>
      </c>
      <c r="AA36" s="3">
        <v>0</v>
      </c>
      <c r="AB36" s="6">
        <v>0</v>
      </c>
      <c r="AC36" s="3" t="e">
        <f t="shared" si="24"/>
        <v>#DIV/0!</v>
      </c>
      <c r="AD36" s="3">
        <v>0</v>
      </c>
      <c r="AE36" s="6">
        <v>0</v>
      </c>
      <c r="AF36" s="3">
        <f t="shared" si="25"/>
        <v>3190.4761904761904</v>
      </c>
      <c r="AG36" s="3">
        <v>6700</v>
      </c>
      <c r="AH36" s="6">
        <v>2.1</v>
      </c>
      <c r="AI36" s="3" t="e">
        <f t="shared" si="26"/>
        <v>#DIV/0!</v>
      </c>
      <c r="AJ36" s="3">
        <v>0</v>
      </c>
      <c r="AK36" s="6">
        <v>0</v>
      </c>
      <c r="AL36" s="3" t="e">
        <f t="shared" si="27"/>
        <v>#DIV/0!</v>
      </c>
      <c r="AM36" s="3">
        <v>0</v>
      </c>
      <c r="AN36" s="6">
        <v>0</v>
      </c>
      <c r="AO36" s="3">
        <f t="shared" si="12"/>
        <v>3156.3888888888887</v>
      </c>
      <c r="AP36" s="3">
        <f t="shared" si="15"/>
        <v>11363</v>
      </c>
      <c r="AQ36" s="6">
        <f t="shared" si="14"/>
        <v>3.6</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30</v>
      </c>
      <c r="B37" s="23"/>
      <c r="C37" s="23"/>
      <c r="D37" s="23"/>
      <c r="E37" s="3">
        <f t="shared" si="16"/>
        <v>1488</v>
      </c>
      <c r="F37" s="3">
        <v>59520</v>
      </c>
      <c r="G37" s="6">
        <v>40</v>
      </c>
      <c r="H37" s="3" t="e">
        <f t="shared" si="17"/>
        <v>#DIV/0!</v>
      </c>
      <c r="I37" s="3">
        <v>0</v>
      </c>
      <c r="J37" s="6">
        <v>0</v>
      </c>
      <c r="K37" s="3" t="e">
        <f t="shared" si="18"/>
        <v>#DIV/0!</v>
      </c>
      <c r="L37" s="3">
        <v>0</v>
      </c>
      <c r="M37" s="6">
        <v>0</v>
      </c>
      <c r="N37" s="3" t="e">
        <f t="shared" si="19"/>
        <v>#DIV/0!</v>
      </c>
      <c r="O37" s="3">
        <v>0</v>
      </c>
      <c r="P37" s="6">
        <v>0</v>
      </c>
      <c r="Q37" s="3" t="e">
        <f t="shared" si="20"/>
        <v>#DIV/0!</v>
      </c>
      <c r="R37" s="3">
        <v>0</v>
      </c>
      <c r="S37" s="6">
        <v>0</v>
      </c>
      <c r="T37" s="3" t="e">
        <f t="shared" si="21"/>
        <v>#DIV/0!</v>
      </c>
      <c r="U37" s="3">
        <v>0</v>
      </c>
      <c r="V37" s="6">
        <v>0</v>
      </c>
      <c r="W37" s="3" t="e">
        <f t="shared" si="22"/>
        <v>#DIV/0!</v>
      </c>
      <c r="X37" s="3">
        <v>0</v>
      </c>
      <c r="Y37" s="6">
        <v>0</v>
      </c>
      <c r="Z37" s="3" t="e">
        <f t="shared" si="23"/>
        <v>#DIV/0!</v>
      </c>
      <c r="AA37" s="3">
        <v>0</v>
      </c>
      <c r="AB37" s="6">
        <v>0</v>
      </c>
      <c r="AC37" s="3" t="e">
        <f t="shared" si="24"/>
        <v>#DIV/0!</v>
      </c>
      <c r="AD37" s="3">
        <v>0</v>
      </c>
      <c r="AE37" s="6">
        <v>0</v>
      </c>
      <c r="AF37" s="3" t="e">
        <f t="shared" si="25"/>
        <v>#DIV/0!</v>
      </c>
      <c r="AG37" s="3">
        <v>0</v>
      </c>
      <c r="AH37" s="6">
        <v>0</v>
      </c>
      <c r="AI37" s="3" t="e">
        <f t="shared" si="26"/>
        <v>#DIV/0!</v>
      </c>
      <c r="AJ37" s="3">
        <v>0</v>
      </c>
      <c r="AK37" s="6">
        <v>0</v>
      </c>
      <c r="AL37" s="3" t="e">
        <f t="shared" si="27"/>
        <v>#DIV/0!</v>
      </c>
      <c r="AM37" s="3">
        <v>0</v>
      </c>
      <c r="AN37" s="6">
        <v>0</v>
      </c>
      <c r="AO37" s="3">
        <f t="shared" si="12"/>
        <v>1488</v>
      </c>
      <c r="AP37" s="3">
        <f t="shared" si="15"/>
        <v>59520</v>
      </c>
      <c r="AQ37" s="6">
        <f t="shared" si="14"/>
        <v>40</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21</v>
      </c>
      <c r="B38" s="23"/>
      <c r="C38" s="23"/>
      <c r="D38" s="23"/>
      <c r="E38" s="3">
        <f t="shared" si="16"/>
        <v>1492.6718967480704</v>
      </c>
      <c r="F38" s="3">
        <v>5898293</v>
      </c>
      <c r="G38" s="6">
        <v>3951.5</v>
      </c>
      <c r="H38" s="3">
        <f t="shared" si="17"/>
        <v>1502.4206666666666</v>
      </c>
      <c r="I38" s="3">
        <v>2253631</v>
      </c>
      <c r="J38" s="6">
        <v>1500</v>
      </c>
      <c r="K38" s="3">
        <f t="shared" si="18"/>
        <v>3649.072164948454</v>
      </c>
      <c r="L38" s="3">
        <v>35396</v>
      </c>
      <c r="M38" s="6">
        <v>9.6999999999999993</v>
      </c>
      <c r="N38" s="3" t="e">
        <f t="shared" si="19"/>
        <v>#DIV/0!</v>
      </c>
      <c r="O38" s="3">
        <v>0</v>
      </c>
      <c r="P38" s="6">
        <v>0</v>
      </c>
      <c r="Q38" s="3" t="e">
        <f t="shared" si="20"/>
        <v>#DIV/0!</v>
      </c>
      <c r="R38" s="3">
        <v>0</v>
      </c>
      <c r="S38" s="6">
        <v>0</v>
      </c>
      <c r="T38" s="3" t="e">
        <f t="shared" si="21"/>
        <v>#DIV/0!</v>
      </c>
      <c r="U38" s="3">
        <v>0</v>
      </c>
      <c r="V38" s="6">
        <v>0</v>
      </c>
      <c r="W38" s="3">
        <f t="shared" si="22"/>
        <v>3227.7900552486185</v>
      </c>
      <c r="X38" s="3">
        <v>58423</v>
      </c>
      <c r="Y38" s="6">
        <v>18.100000000000001</v>
      </c>
      <c r="Z38" s="3" t="e">
        <f t="shared" si="23"/>
        <v>#DIV/0!</v>
      </c>
      <c r="AA38" s="3">
        <v>0</v>
      </c>
      <c r="AB38" s="6">
        <v>0</v>
      </c>
      <c r="AC38" s="3" t="e">
        <f t="shared" si="24"/>
        <v>#DIV/0!</v>
      </c>
      <c r="AD38" s="3">
        <v>0</v>
      </c>
      <c r="AE38" s="6">
        <v>0</v>
      </c>
      <c r="AF38" s="3">
        <f t="shared" si="25"/>
        <v>3313.0232558139533</v>
      </c>
      <c r="AG38" s="3">
        <v>85476</v>
      </c>
      <c r="AH38" s="6">
        <v>25.8</v>
      </c>
      <c r="AI38" s="3" t="e">
        <f t="shared" si="26"/>
        <v>#DIV/0!</v>
      </c>
      <c r="AJ38" s="3">
        <v>0</v>
      </c>
      <c r="AK38" s="6">
        <v>0</v>
      </c>
      <c r="AL38" s="3" t="e">
        <f t="shared" si="27"/>
        <v>#DIV/0!</v>
      </c>
      <c r="AM38" s="3">
        <v>0</v>
      </c>
      <c r="AN38" s="6">
        <v>0</v>
      </c>
      <c r="AO38" s="3">
        <f t="shared" si="12"/>
        <v>1513.3637899402372</v>
      </c>
      <c r="AP38" s="3">
        <f t="shared" si="15"/>
        <v>8331219</v>
      </c>
      <c r="AQ38" s="6">
        <f t="shared" si="14"/>
        <v>5505.1</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62</v>
      </c>
      <c r="B39" s="23"/>
      <c r="C39" s="23"/>
      <c r="D39" s="23"/>
      <c r="E39" s="3">
        <f t="shared" si="16"/>
        <v>2975.8823529411766</v>
      </c>
      <c r="F39" s="3">
        <v>10118</v>
      </c>
      <c r="G39" s="6">
        <v>3.4</v>
      </c>
      <c r="H39" s="3" t="e">
        <f t="shared" si="17"/>
        <v>#DIV/0!</v>
      </c>
      <c r="I39" s="3">
        <v>0</v>
      </c>
      <c r="J39" s="6">
        <v>0</v>
      </c>
      <c r="K39" s="3">
        <f t="shared" si="18"/>
        <v>2967.5</v>
      </c>
      <c r="L39" s="3">
        <v>7122</v>
      </c>
      <c r="M39" s="6">
        <v>2.4</v>
      </c>
      <c r="N39" s="3">
        <f t="shared" si="19"/>
        <v>2880</v>
      </c>
      <c r="O39" s="3">
        <v>14400</v>
      </c>
      <c r="P39" s="6">
        <v>5</v>
      </c>
      <c r="Q39" s="3">
        <f t="shared" si="20"/>
        <v>2000</v>
      </c>
      <c r="R39" s="3">
        <v>19200</v>
      </c>
      <c r="S39" s="6">
        <v>9.6</v>
      </c>
      <c r="T39" s="3">
        <f t="shared" si="21"/>
        <v>2823.5294117647059</v>
      </c>
      <c r="U39" s="3">
        <v>9600</v>
      </c>
      <c r="V39" s="6">
        <v>3.4</v>
      </c>
      <c r="W39" s="3">
        <f t="shared" si="22"/>
        <v>3226.8</v>
      </c>
      <c r="X39" s="3">
        <v>8067</v>
      </c>
      <c r="Y39" s="6">
        <v>2.5</v>
      </c>
      <c r="Z39" s="3">
        <f t="shared" si="23"/>
        <v>2974.8</v>
      </c>
      <c r="AA39" s="3">
        <v>14874</v>
      </c>
      <c r="AB39" s="6">
        <v>5</v>
      </c>
      <c r="AC39" s="3">
        <f t="shared" si="24"/>
        <v>3070.5882352941176</v>
      </c>
      <c r="AD39" s="3">
        <v>5220</v>
      </c>
      <c r="AE39" s="6">
        <v>1.7</v>
      </c>
      <c r="AF39" s="3">
        <f t="shared" si="25"/>
        <v>3054.7058823529414</v>
      </c>
      <c r="AG39" s="3">
        <v>5193</v>
      </c>
      <c r="AH39" s="6">
        <v>1.7</v>
      </c>
      <c r="AI39" s="3">
        <f t="shared" si="26"/>
        <v>2960.5882352941176</v>
      </c>
      <c r="AJ39" s="3">
        <v>5033</v>
      </c>
      <c r="AK39" s="6">
        <v>1.7</v>
      </c>
      <c r="AL39" s="3" t="e">
        <f t="shared" si="27"/>
        <v>#DIV/0!</v>
      </c>
      <c r="AM39" s="3">
        <v>0</v>
      </c>
      <c r="AN39" s="6">
        <v>0</v>
      </c>
      <c r="AO39" s="3">
        <f t="shared" si="12"/>
        <v>2715.0274725274721</v>
      </c>
      <c r="AP39" s="3">
        <f t="shared" si="15"/>
        <v>98827</v>
      </c>
      <c r="AQ39" s="6">
        <f t="shared" si="14"/>
        <v>36.400000000000006</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31</v>
      </c>
      <c r="B40" s="23"/>
      <c r="C40" s="23"/>
      <c r="D40" s="23"/>
      <c r="E40" s="3" t="e">
        <f t="shared" si="16"/>
        <v>#DIV/0!</v>
      </c>
      <c r="F40" s="3">
        <v>0</v>
      </c>
      <c r="G40" s="6">
        <v>0</v>
      </c>
      <c r="H40" s="3" t="e">
        <f t="shared" si="17"/>
        <v>#DIV/0!</v>
      </c>
      <c r="I40" s="3">
        <v>0</v>
      </c>
      <c r="J40" s="6">
        <v>0</v>
      </c>
      <c r="K40" s="3">
        <f t="shared" si="18"/>
        <v>1706.0495867768595</v>
      </c>
      <c r="L40" s="3">
        <v>206432</v>
      </c>
      <c r="M40" s="6">
        <v>121</v>
      </c>
      <c r="N40" s="3">
        <f t="shared" si="19"/>
        <v>4525.5443037974683</v>
      </c>
      <c r="O40" s="3">
        <v>178759</v>
      </c>
      <c r="P40" s="6">
        <v>39.5</v>
      </c>
      <c r="Q40" s="3">
        <f t="shared" si="20"/>
        <v>4454.0106951871658</v>
      </c>
      <c r="R40" s="3">
        <v>83290</v>
      </c>
      <c r="S40" s="6">
        <v>18.7</v>
      </c>
      <c r="T40" s="3" t="e">
        <f t="shared" si="21"/>
        <v>#DIV/0!</v>
      </c>
      <c r="U40" s="3">
        <v>0</v>
      </c>
      <c r="V40" s="6">
        <v>0</v>
      </c>
      <c r="W40" s="3" t="e">
        <f t="shared" si="22"/>
        <v>#DIV/0!</v>
      </c>
      <c r="X40" s="3">
        <v>0</v>
      </c>
      <c r="Y40" s="6">
        <v>0</v>
      </c>
      <c r="Z40" s="3">
        <f t="shared" si="23"/>
        <v>2116.5517241379312</v>
      </c>
      <c r="AA40" s="3">
        <v>6138</v>
      </c>
      <c r="AB40" s="6">
        <v>2.9</v>
      </c>
      <c r="AC40" s="3" t="e">
        <f t="shared" si="24"/>
        <v>#DIV/0!</v>
      </c>
      <c r="AD40" s="3">
        <v>0</v>
      </c>
      <c r="AE40" s="6">
        <v>0</v>
      </c>
      <c r="AF40" s="3">
        <f t="shared" si="25"/>
        <v>6994.166666666667</v>
      </c>
      <c r="AG40" s="3">
        <v>8393</v>
      </c>
      <c r="AH40" s="6">
        <v>1.2</v>
      </c>
      <c r="AI40" s="3" t="e">
        <f t="shared" si="26"/>
        <v>#DIV/0!</v>
      </c>
      <c r="AJ40" s="3">
        <v>0</v>
      </c>
      <c r="AK40" s="6">
        <v>0</v>
      </c>
      <c r="AL40" s="3" t="e">
        <f t="shared" si="27"/>
        <v>#DIV/0!</v>
      </c>
      <c r="AM40" s="3">
        <v>0</v>
      </c>
      <c r="AN40" s="6">
        <v>0</v>
      </c>
      <c r="AO40" s="3">
        <f t="shared" si="12"/>
        <v>2635.0900163666124</v>
      </c>
      <c r="AP40" s="3">
        <f t="shared" si="15"/>
        <v>483012</v>
      </c>
      <c r="AQ40" s="6">
        <f t="shared" si="14"/>
        <v>183.29999999999998</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32</v>
      </c>
      <c r="B41" s="23"/>
      <c r="C41" s="23"/>
      <c r="D41" s="23"/>
      <c r="E41" s="3">
        <f t="shared" si="16"/>
        <v>2306.7880085653105</v>
      </c>
      <c r="F41" s="3">
        <v>107727</v>
      </c>
      <c r="G41" s="6">
        <v>46.7</v>
      </c>
      <c r="H41" s="3">
        <f t="shared" si="17"/>
        <v>2100.4010695187167</v>
      </c>
      <c r="I41" s="3">
        <v>78555</v>
      </c>
      <c r="J41" s="6">
        <v>37.4</v>
      </c>
      <c r="K41" s="3">
        <f t="shared" si="18"/>
        <v>2304.4609665427511</v>
      </c>
      <c r="L41" s="3">
        <v>61990</v>
      </c>
      <c r="M41" s="6">
        <v>26.9</v>
      </c>
      <c r="N41" s="3">
        <f t="shared" si="19"/>
        <v>2011.049562682216</v>
      </c>
      <c r="O41" s="3">
        <v>68979</v>
      </c>
      <c r="P41" s="6">
        <v>34.299999999999997</v>
      </c>
      <c r="Q41" s="3">
        <f t="shared" si="20"/>
        <v>2172.705882352941</v>
      </c>
      <c r="R41" s="3">
        <v>18468</v>
      </c>
      <c r="S41" s="6">
        <v>8.5</v>
      </c>
      <c r="T41" s="3" t="e">
        <f t="shared" si="21"/>
        <v>#DIV/0!</v>
      </c>
      <c r="U41" s="3">
        <v>0</v>
      </c>
      <c r="V41" s="6">
        <v>0</v>
      </c>
      <c r="W41" s="3">
        <f t="shared" si="22"/>
        <v>6030</v>
      </c>
      <c r="X41" s="3">
        <v>9045</v>
      </c>
      <c r="Y41" s="6">
        <v>1.5</v>
      </c>
      <c r="Z41" s="3">
        <f t="shared" si="23"/>
        <v>2574.5192307692305</v>
      </c>
      <c r="AA41" s="3">
        <v>53550</v>
      </c>
      <c r="AB41" s="6">
        <v>20.8</v>
      </c>
      <c r="AC41" s="3" t="e">
        <f t="shared" si="24"/>
        <v>#DIV/0!</v>
      </c>
      <c r="AD41" s="3">
        <v>0</v>
      </c>
      <c r="AE41" s="6">
        <v>0</v>
      </c>
      <c r="AF41" s="3">
        <f t="shared" si="25"/>
        <v>2007.4183006535948</v>
      </c>
      <c r="AG41" s="3">
        <v>61427</v>
      </c>
      <c r="AH41" s="6">
        <v>30.6</v>
      </c>
      <c r="AI41" s="3" t="e">
        <f t="shared" si="26"/>
        <v>#DIV/0!</v>
      </c>
      <c r="AJ41" s="3">
        <v>0</v>
      </c>
      <c r="AK41" s="6">
        <v>0</v>
      </c>
      <c r="AL41" s="3" t="e">
        <f t="shared" si="27"/>
        <v>#DIV/0!</v>
      </c>
      <c r="AM41" s="3">
        <v>0</v>
      </c>
      <c r="AN41" s="6">
        <v>0</v>
      </c>
      <c r="AO41" s="3">
        <f t="shared" si="12"/>
        <v>2224.1944847605223</v>
      </c>
      <c r="AP41" s="3">
        <f t="shared" si="15"/>
        <v>459741</v>
      </c>
      <c r="AQ41" s="6">
        <f t="shared" si="14"/>
        <v>206.70000000000002</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82</v>
      </c>
      <c r="B42" s="23"/>
      <c r="C42" s="23"/>
      <c r="D42" s="23"/>
      <c r="E42" s="3" t="e">
        <f t="shared" si="16"/>
        <v>#DIV/0!</v>
      </c>
      <c r="F42" s="3">
        <v>0</v>
      </c>
      <c r="G42" s="6">
        <v>0</v>
      </c>
      <c r="H42" s="3">
        <f t="shared" si="17"/>
        <v>1502.3321696123353</v>
      </c>
      <c r="I42" s="3">
        <v>8262226</v>
      </c>
      <c r="J42" s="6">
        <v>5499.6</v>
      </c>
      <c r="K42" s="3" t="e">
        <f t="shared" si="18"/>
        <v>#DIV/0!</v>
      </c>
      <c r="L42" s="3">
        <v>0</v>
      </c>
      <c r="M42" s="6">
        <v>0</v>
      </c>
      <c r="N42" s="3" t="e">
        <f t="shared" si="19"/>
        <v>#DIV/0!</v>
      </c>
      <c r="O42" s="3">
        <v>0</v>
      </c>
      <c r="P42" s="6">
        <v>0</v>
      </c>
      <c r="Q42" s="3" t="e">
        <f t="shared" si="20"/>
        <v>#DIV/0!</v>
      </c>
      <c r="R42" s="3">
        <v>0</v>
      </c>
      <c r="S42" s="6">
        <v>0</v>
      </c>
      <c r="T42" s="3" t="e">
        <f t="shared" si="21"/>
        <v>#DIV/0!</v>
      </c>
      <c r="U42" s="3">
        <v>0</v>
      </c>
      <c r="V42" s="6">
        <v>0</v>
      </c>
      <c r="W42" s="3" t="e">
        <f t="shared" si="22"/>
        <v>#DIV/0!</v>
      </c>
      <c r="X42" s="3">
        <v>0</v>
      </c>
      <c r="Y42" s="6">
        <v>0</v>
      </c>
      <c r="Z42" s="3" t="e">
        <f t="shared" si="23"/>
        <v>#DIV/0!</v>
      </c>
      <c r="AA42" s="3">
        <v>0</v>
      </c>
      <c r="AB42" s="6">
        <v>0</v>
      </c>
      <c r="AC42" s="3" t="e">
        <f t="shared" si="24"/>
        <v>#DIV/0!</v>
      </c>
      <c r="AD42" s="3">
        <v>0</v>
      </c>
      <c r="AE42" s="6">
        <v>0</v>
      </c>
      <c r="AF42" s="3" t="e">
        <f t="shared" si="25"/>
        <v>#DIV/0!</v>
      </c>
      <c r="AG42" s="3">
        <v>0</v>
      </c>
      <c r="AH42" s="6">
        <v>0</v>
      </c>
      <c r="AI42" s="3" t="e">
        <f t="shared" si="26"/>
        <v>#DIV/0!</v>
      </c>
      <c r="AJ42" s="3">
        <v>0</v>
      </c>
      <c r="AK42" s="6">
        <v>0</v>
      </c>
      <c r="AL42" s="3" t="e">
        <f t="shared" si="27"/>
        <v>#DIV/0!</v>
      </c>
      <c r="AM42" s="3">
        <v>0</v>
      </c>
      <c r="AN42" s="6">
        <v>0</v>
      </c>
      <c r="AO42" s="3">
        <f t="shared" si="12"/>
        <v>1502.3321696123353</v>
      </c>
      <c r="AP42" s="3">
        <f t="shared" si="15"/>
        <v>8262226</v>
      </c>
      <c r="AQ42" s="6">
        <f t="shared" si="14"/>
        <v>5499.6</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50</v>
      </c>
      <c r="B43" s="23"/>
      <c r="C43" s="23"/>
      <c r="D43" s="23"/>
      <c r="E43" s="3">
        <f t="shared" si="16"/>
        <v>2188.3703703703704</v>
      </c>
      <c r="F43" s="3">
        <v>29543</v>
      </c>
      <c r="G43" s="6">
        <v>13.5</v>
      </c>
      <c r="H43" s="3" t="e">
        <f t="shared" si="17"/>
        <v>#DIV/0!</v>
      </c>
      <c r="I43" s="3">
        <v>0</v>
      </c>
      <c r="J43" s="6">
        <v>0</v>
      </c>
      <c r="K43" s="3">
        <f t="shared" si="18"/>
        <v>2196.5055762081784</v>
      </c>
      <c r="L43" s="3">
        <v>59086</v>
      </c>
      <c r="M43" s="6">
        <v>26.9</v>
      </c>
      <c r="N43" s="3" t="e">
        <f t="shared" si="19"/>
        <v>#DIV/0!</v>
      </c>
      <c r="O43" s="3">
        <v>0</v>
      </c>
      <c r="P43" s="6">
        <v>0</v>
      </c>
      <c r="Q43" s="3">
        <f t="shared" si="20"/>
        <v>5060</v>
      </c>
      <c r="R43" s="3">
        <v>4554</v>
      </c>
      <c r="S43" s="6">
        <v>0.9</v>
      </c>
      <c r="T43" s="3">
        <f t="shared" si="21"/>
        <v>2403.7918215613386</v>
      </c>
      <c r="U43" s="3">
        <v>64662</v>
      </c>
      <c r="V43" s="6">
        <v>26.9</v>
      </c>
      <c r="W43" s="3" t="e">
        <f t="shared" si="22"/>
        <v>#DIV/0!</v>
      </c>
      <c r="X43" s="3">
        <v>0</v>
      </c>
      <c r="Y43" s="6">
        <v>0</v>
      </c>
      <c r="Z43" s="3" t="e">
        <f t="shared" si="23"/>
        <v>#DIV/0!</v>
      </c>
      <c r="AA43" s="3">
        <v>0</v>
      </c>
      <c r="AB43" s="6">
        <v>0</v>
      </c>
      <c r="AC43" s="3" t="e">
        <f t="shared" si="24"/>
        <v>#DIV/0!</v>
      </c>
      <c r="AD43" s="3">
        <v>0</v>
      </c>
      <c r="AE43" s="6">
        <v>0</v>
      </c>
      <c r="AF43" s="3" t="e">
        <f t="shared" si="25"/>
        <v>#DIV/0!</v>
      </c>
      <c r="AG43" s="3">
        <v>0</v>
      </c>
      <c r="AH43" s="6">
        <v>0</v>
      </c>
      <c r="AI43" s="3" t="e">
        <f t="shared" si="26"/>
        <v>#DIV/0!</v>
      </c>
      <c r="AJ43" s="3">
        <v>0</v>
      </c>
      <c r="AK43" s="6">
        <v>0</v>
      </c>
      <c r="AL43" s="3" t="e">
        <f t="shared" si="27"/>
        <v>#DIV/0!</v>
      </c>
      <c r="AM43" s="3">
        <v>0</v>
      </c>
      <c r="AN43" s="6">
        <v>0</v>
      </c>
      <c r="AO43" s="3">
        <f t="shared" si="12"/>
        <v>2314.4428152492674</v>
      </c>
      <c r="AP43" s="3">
        <f t="shared" si="15"/>
        <v>157845</v>
      </c>
      <c r="AQ43" s="6">
        <f t="shared" si="14"/>
        <v>68.199999999999989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63</v>
      </c>
      <c r="B44" s="23"/>
      <c r="C44" s="23"/>
      <c r="D44" s="23"/>
      <c r="E44" s="9" t="e">
        <f t="shared" si="16"/>
        <v>#DIV/0!</v>
      </c>
      <c r="F44" s="9">
        <v>0</v>
      </c>
      <c r="G44" s="6">
        <v>0</v>
      </c>
      <c r="H44" s="11" t="e">
        <f t="shared" si="17"/>
        <v>#DIV/0!</v>
      </c>
      <c r="I44" s="9">
        <v>0</v>
      </c>
      <c r="J44" s="6">
        <v>0</v>
      </c>
      <c r="K44" s="9">
        <f t="shared" si="18"/>
        <v>3033.9024390243903</v>
      </c>
      <c r="L44" s="9">
        <v>12439</v>
      </c>
      <c r="M44" s="6">
        <v>4.0999999999999996</v>
      </c>
      <c r="N44" s="9" t="e">
        <f t="shared" si="19"/>
        <v>#DIV/0!</v>
      </c>
      <c r="O44" s="9">
        <v>0</v>
      </c>
      <c r="P44" s="6">
        <v>0</v>
      </c>
      <c r="Q44" s="11" t="e">
        <f t="shared" si="20"/>
        <v>#DIV/0!</v>
      </c>
      <c r="R44" s="9">
        <v>0</v>
      </c>
      <c r="S44" s="6">
        <v>0</v>
      </c>
      <c r="T44" s="11" t="e">
        <f t="shared" si="21"/>
        <v>#DIV/0!</v>
      </c>
      <c r="U44" s="9">
        <v>0</v>
      </c>
      <c r="V44" s="6">
        <v>0</v>
      </c>
      <c r="W44" s="9" t="e">
        <f t="shared" si="22"/>
        <v>#DIV/0!</v>
      </c>
      <c r="X44" s="9">
        <v>0</v>
      </c>
      <c r="Y44" s="6">
        <v>0</v>
      </c>
      <c r="Z44" s="9" t="e">
        <f t="shared" si="23"/>
        <v>#DIV/0!</v>
      </c>
      <c r="AA44" s="9">
        <v>0</v>
      </c>
      <c r="AB44" s="6">
        <v>0</v>
      </c>
      <c r="AC44" s="9">
        <f t="shared" si="24"/>
        <v>3033.9024390243903</v>
      </c>
      <c r="AD44" s="9">
        <v>12439</v>
      </c>
      <c r="AE44" s="6">
        <v>4.0999999999999996</v>
      </c>
      <c r="AF44" s="9" t="e">
        <f t="shared" si="25"/>
        <v>#DIV/0!</v>
      </c>
      <c r="AG44" s="9">
        <v>0</v>
      </c>
      <c r="AH44" s="6">
        <v>0</v>
      </c>
      <c r="AI44" s="9" t="e">
        <f t="shared" si="26"/>
        <v>#DIV/0!</v>
      </c>
      <c r="AJ44" s="9">
        <v>0</v>
      </c>
      <c r="AK44" s="6">
        <v>0</v>
      </c>
      <c r="AL44" s="9" t="e">
        <f t="shared" si="27"/>
        <v>#DIV/0!</v>
      </c>
      <c r="AM44" s="9">
        <v>0</v>
      </c>
      <c r="AN44" s="6">
        <v>0</v>
      </c>
      <c r="AO44" s="9">
        <f t="shared" si="12"/>
        <v>3033.9024390243903</v>
      </c>
      <c r="AP44" s="9">
        <f t="shared" si="15"/>
        <v>24878</v>
      </c>
      <c r="AQ44" s="6">
        <f t="shared" si="14"/>
        <v>8.1999999999999993</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64</v>
      </c>
      <c r="B45" s="23"/>
      <c r="C45" s="23"/>
      <c r="D45" s="23"/>
      <c r="E45" s="10">
        <f t="shared" si="16"/>
        <v>2505.6382978723404</v>
      </c>
      <c r="F45" s="10">
        <v>70659</v>
      </c>
      <c r="G45" s="8">
        <v>28.2</v>
      </c>
      <c r="H45" s="7" t="e">
        <f t="shared" si="17"/>
        <v>#DIV/0!</v>
      </c>
      <c r="I45" s="10">
        <v>0</v>
      </c>
      <c r="J45" s="8">
        <v>0</v>
      </c>
      <c r="K45" s="15">
        <f t="shared" si="18"/>
        <v>2728.8095238095239</v>
      </c>
      <c r="L45" s="7">
        <v>45844</v>
      </c>
      <c r="M45" s="8">
        <v>16.8</v>
      </c>
      <c r="N45" s="15" t="e">
        <f t="shared" si="19"/>
        <v>#DIV/0!</v>
      </c>
      <c r="O45" s="7">
        <v>0</v>
      </c>
      <c r="P45" s="8">
        <v>0</v>
      </c>
      <c r="Q45" s="7">
        <f t="shared" si="20"/>
        <v>3260.8695652173915</v>
      </c>
      <c r="R45" s="10">
        <v>30000</v>
      </c>
      <c r="S45" s="8">
        <v>9.1999999999999993</v>
      </c>
      <c r="T45" s="7" t="e">
        <f t="shared" si="21"/>
        <v>#DIV/0!</v>
      </c>
      <c r="U45" s="10">
        <v>0</v>
      </c>
      <c r="V45" s="8">
        <v>0</v>
      </c>
      <c r="W45" s="10" t="e">
        <f t="shared" si="22"/>
        <v>#DIV/0!</v>
      </c>
      <c r="X45" s="10">
        <v>0</v>
      </c>
      <c r="Y45" s="8">
        <v>0</v>
      </c>
      <c r="Z45" s="10">
        <f t="shared" si="23"/>
        <v>3500</v>
      </c>
      <c r="AA45" s="10">
        <v>29400</v>
      </c>
      <c r="AB45" s="8">
        <v>8.4</v>
      </c>
      <c r="AC45" s="10" t="e">
        <f t="shared" si="24"/>
        <v>#DIV/0!</v>
      </c>
      <c r="AD45" s="10">
        <v>0</v>
      </c>
      <c r="AE45" s="8">
        <v>0</v>
      </c>
      <c r="AF45" s="7" t="e">
        <f t="shared" si="25"/>
        <v>#DIV/0!</v>
      </c>
      <c r="AG45" s="10">
        <v>0</v>
      </c>
      <c r="AH45" s="8">
        <v>0</v>
      </c>
      <c r="AI45" s="10" t="e">
        <f t="shared" si="26"/>
        <v>#DIV/0!</v>
      </c>
      <c r="AJ45" s="10">
        <v>0</v>
      </c>
      <c r="AK45" s="8">
        <v>0</v>
      </c>
      <c r="AL45" s="10" t="e">
        <f t="shared" si="27"/>
        <v>#DIV/0!</v>
      </c>
      <c r="AM45" s="10">
        <v>0</v>
      </c>
      <c r="AN45" s="8">
        <v>0</v>
      </c>
      <c r="AO45" s="10">
        <f t="shared" si="12"/>
        <v>2809.9520766773162</v>
      </c>
      <c r="AP45" s="7">
        <f t="shared" si="15"/>
        <v>175903</v>
      </c>
      <c r="AQ45" s="8">
        <f t="shared" si="14"/>
        <v>62.6</v>
      </c>
    </row>
    <row r="46" spans="1:67" x14ac:dyDescent="0.3">
      <c r="A46" s="20" t="s">
        <v>58</v>
      </c>
      <c r="B46" s="23"/>
      <c r="C46" s="23"/>
      <c r="D46" s="23"/>
      <c r="E46" s="7" t="e">
        <f t="shared" si="16"/>
        <v>#DIV/0!</v>
      </c>
      <c r="F46" s="7">
        <v>0</v>
      </c>
      <c r="G46" s="8">
        <v>0</v>
      </c>
      <c r="H46" s="7" t="e">
        <f t="shared" si="17"/>
        <v>#DIV/0!</v>
      </c>
      <c r="I46" s="7">
        <v>0</v>
      </c>
      <c r="J46" s="8">
        <v>0</v>
      </c>
      <c r="K46" s="7">
        <f t="shared" si="18"/>
        <v>3377.9166666666665</v>
      </c>
      <c r="L46" s="7">
        <v>72963</v>
      </c>
      <c r="M46" s="8">
        <v>21.6</v>
      </c>
      <c r="N46" s="7" t="e">
        <f t="shared" si="19"/>
        <v>#DIV/0!</v>
      </c>
      <c r="O46" s="7">
        <v>0</v>
      </c>
      <c r="P46" s="8">
        <v>0</v>
      </c>
      <c r="Q46" s="7" t="e">
        <f t="shared" si="20"/>
        <v>#DIV/0!</v>
      </c>
      <c r="R46" s="7">
        <v>0</v>
      </c>
      <c r="S46" s="8">
        <v>0</v>
      </c>
      <c r="T46" s="7">
        <f t="shared" si="21"/>
        <v>3049.1666666666665</v>
      </c>
      <c r="U46" s="7">
        <v>54885</v>
      </c>
      <c r="V46" s="8">
        <v>18</v>
      </c>
      <c r="W46" s="7">
        <f t="shared" si="22"/>
        <v>3236.4622641509436</v>
      </c>
      <c r="X46" s="7">
        <v>68613</v>
      </c>
      <c r="Y46" s="8">
        <v>21.2</v>
      </c>
      <c r="Z46" s="7">
        <f t="shared" si="23"/>
        <v>3492.2988505747126</v>
      </c>
      <c r="AA46" s="7">
        <v>212681</v>
      </c>
      <c r="AB46" s="8">
        <v>60.9</v>
      </c>
      <c r="AC46" s="7" t="e">
        <f t="shared" si="24"/>
        <v>#DIV/0!</v>
      </c>
      <c r="AD46" s="7">
        <v>0</v>
      </c>
      <c r="AE46" s="8">
        <v>0</v>
      </c>
      <c r="AF46" s="7">
        <f t="shared" si="25"/>
        <v>1538.4615384615386</v>
      </c>
      <c r="AG46" s="7">
        <v>10000</v>
      </c>
      <c r="AH46" s="8">
        <v>6.5</v>
      </c>
      <c r="AI46" s="7">
        <f t="shared" si="26"/>
        <v>3904.2335766423362</v>
      </c>
      <c r="AJ46" s="7">
        <v>53488</v>
      </c>
      <c r="AK46" s="8">
        <v>13.7</v>
      </c>
      <c r="AL46" s="7" t="e">
        <f t="shared" si="27"/>
        <v>#DIV/0!</v>
      </c>
      <c r="AM46" s="7">
        <v>0</v>
      </c>
      <c r="AN46" s="8">
        <v>0</v>
      </c>
      <c r="AO46" s="7">
        <f t="shared" si="12"/>
        <v>3330.7258632840035</v>
      </c>
      <c r="AP46" s="7">
        <f t="shared" si="15"/>
        <v>472630</v>
      </c>
      <c r="AQ46" s="8">
        <f t="shared" si="14"/>
        <v>141.89999999999998</v>
      </c>
    </row>
    <row r="47" spans="1:67" x14ac:dyDescent="0.3">
      <c r="A47" s="20" t="s">
        <v>34</v>
      </c>
      <c r="B47" s="23"/>
      <c r="C47" s="23"/>
      <c r="D47" s="23"/>
      <c r="E47" s="7" t="e">
        <f t="shared" si="16"/>
        <v>#DIV/0!</v>
      </c>
      <c r="F47" s="7">
        <v>0</v>
      </c>
      <c r="G47" s="8">
        <v>0</v>
      </c>
      <c r="H47" s="7">
        <f t="shared" si="17"/>
        <v>4972.5</v>
      </c>
      <c r="I47" s="7">
        <v>15912</v>
      </c>
      <c r="J47" s="8">
        <v>3.2</v>
      </c>
      <c r="K47" s="7">
        <f t="shared" si="18"/>
        <v>2605.5172413793102</v>
      </c>
      <c r="L47" s="7">
        <v>7556</v>
      </c>
      <c r="M47" s="8">
        <v>2.9</v>
      </c>
      <c r="N47" s="7">
        <f t="shared" si="19"/>
        <v>2648.1308411214955</v>
      </c>
      <c r="O47" s="7">
        <v>56670</v>
      </c>
      <c r="P47" s="8">
        <v>21.4</v>
      </c>
      <c r="Q47" s="7">
        <f t="shared" si="20"/>
        <v>2407.5</v>
      </c>
      <c r="R47" s="7">
        <v>32742</v>
      </c>
      <c r="S47" s="8">
        <v>13.6</v>
      </c>
      <c r="T47" s="7">
        <f t="shared" si="21"/>
        <v>2582.1649484536083</v>
      </c>
      <c r="U47" s="7">
        <v>75141</v>
      </c>
      <c r="V47" s="8">
        <v>29.1</v>
      </c>
      <c r="W47" s="7">
        <f t="shared" si="22"/>
        <v>3038.0263157894738</v>
      </c>
      <c r="X47" s="7">
        <v>46178</v>
      </c>
      <c r="Y47" s="8">
        <v>15.2</v>
      </c>
      <c r="Z47" s="7">
        <f t="shared" si="23"/>
        <v>2600.2654867256638</v>
      </c>
      <c r="AA47" s="7">
        <v>29383</v>
      </c>
      <c r="AB47" s="8">
        <v>11.3</v>
      </c>
      <c r="AC47" s="7">
        <f t="shared" si="24"/>
        <v>2044.144927536232</v>
      </c>
      <c r="AD47" s="7">
        <v>70523</v>
      </c>
      <c r="AE47" s="8">
        <v>34.5</v>
      </c>
      <c r="AF47" s="7">
        <f t="shared" si="25"/>
        <v>2671.363636363636</v>
      </c>
      <c r="AG47" s="7">
        <v>11754</v>
      </c>
      <c r="AH47" s="8">
        <v>4.4000000000000004</v>
      </c>
      <c r="AI47" s="7" t="e">
        <f t="shared" si="26"/>
        <v>#DIV/0!</v>
      </c>
      <c r="AJ47" s="7">
        <v>0</v>
      </c>
      <c r="AK47" s="8">
        <v>0</v>
      </c>
      <c r="AL47" s="7" t="e">
        <f t="shared" si="27"/>
        <v>#DIV/0!</v>
      </c>
      <c r="AM47" s="7">
        <v>0</v>
      </c>
      <c r="AN47" s="8">
        <v>0</v>
      </c>
      <c r="AO47" s="7">
        <f t="shared" si="12"/>
        <v>2550.5825958702067</v>
      </c>
      <c r="AP47" s="7">
        <f t="shared" si="15"/>
        <v>345859</v>
      </c>
      <c r="AQ47" s="8">
        <f t="shared" si="14"/>
        <v>135.6</v>
      </c>
    </row>
    <row r="48" spans="1:67" x14ac:dyDescent="0.3">
      <c r="A48" s="20" t="s">
        <v>35</v>
      </c>
      <c r="B48" s="23"/>
      <c r="C48" s="23"/>
      <c r="D48" s="23"/>
      <c r="E48" s="7" t="e">
        <f t="shared" si="16"/>
        <v>#DIV/0!</v>
      </c>
      <c r="F48" s="7">
        <v>0</v>
      </c>
      <c r="G48" s="8">
        <v>0</v>
      </c>
      <c r="H48" s="7" t="e">
        <f t="shared" si="17"/>
        <v>#DIV/0!</v>
      </c>
      <c r="I48" s="7">
        <v>0</v>
      </c>
      <c r="J48" s="8">
        <v>0</v>
      </c>
      <c r="K48" s="7">
        <f t="shared" si="18"/>
        <v>3531.6363636363635</v>
      </c>
      <c r="L48" s="7">
        <v>97120</v>
      </c>
      <c r="M48" s="8">
        <v>27.5</v>
      </c>
      <c r="N48" s="7" t="e">
        <f t="shared" si="19"/>
        <v>#DIV/0!</v>
      </c>
      <c r="O48" s="7">
        <v>0</v>
      </c>
      <c r="P48" s="8">
        <v>0</v>
      </c>
      <c r="Q48" s="7" t="e">
        <f t="shared" si="20"/>
        <v>#DIV/0!</v>
      </c>
      <c r="R48" s="7">
        <v>0</v>
      </c>
      <c r="S48" s="8">
        <v>0</v>
      </c>
      <c r="T48" s="7" t="e">
        <f t="shared" si="21"/>
        <v>#DIV/0!</v>
      </c>
      <c r="U48" s="7">
        <v>0</v>
      </c>
      <c r="V48" s="8">
        <v>0</v>
      </c>
      <c r="W48" s="7" t="e">
        <f t="shared" si="22"/>
        <v>#DIV/0!</v>
      </c>
      <c r="X48" s="7">
        <v>0</v>
      </c>
      <c r="Y48" s="8">
        <v>0</v>
      </c>
      <c r="Z48" s="7" t="e">
        <f t="shared" si="23"/>
        <v>#DIV/0!</v>
      </c>
      <c r="AA48" s="7">
        <v>0</v>
      </c>
      <c r="AB48" s="8">
        <v>0</v>
      </c>
      <c r="AC48" s="7">
        <f t="shared" si="24"/>
        <v>3846.4480874316937</v>
      </c>
      <c r="AD48" s="7">
        <v>70390</v>
      </c>
      <c r="AE48" s="8">
        <v>18.3</v>
      </c>
      <c r="AF48" s="7" t="e">
        <f t="shared" si="25"/>
        <v>#DIV/0!</v>
      </c>
      <c r="AG48" s="7">
        <v>0</v>
      </c>
      <c r="AH48" s="8">
        <v>0</v>
      </c>
      <c r="AI48" s="7">
        <f t="shared" si="26"/>
        <v>3592.105263157895</v>
      </c>
      <c r="AJ48" s="7">
        <v>54600</v>
      </c>
      <c r="AK48" s="8">
        <v>15.2</v>
      </c>
      <c r="AL48" s="7" t="e">
        <f t="shared" si="27"/>
        <v>#DIV/0!</v>
      </c>
      <c r="AM48" s="7">
        <v>0</v>
      </c>
      <c r="AN48" s="8">
        <v>0</v>
      </c>
      <c r="AO48" s="7">
        <f t="shared" si="12"/>
        <v>3641.1475409836066</v>
      </c>
      <c r="AP48" s="7">
        <f t="shared" si="15"/>
        <v>222110</v>
      </c>
      <c r="AQ48" s="8">
        <f t="shared" si="14"/>
        <v>61</v>
      </c>
    </row>
    <row r="49" spans="1:43" x14ac:dyDescent="0.3">
      <c r="A49" s="20" t="s">
        <v>23</v>
      </c>
      <c r="B49" s="23"/>
      <c r="C49" s="23"/>
      <c r="D49" s="23"/>
      <c r="E49" s="7">
        <f t="shared" si="16"/>
        <v>1319.6577832627331</v>
      </c>
      <c r="F49" s="7">
        <v>3956466</v>
      </c>
      <c r="G49" s="8">
        <v>2998.1</v>
      </c>
      <c r="H49" s="7">
        <f t="shared" si="17"/>
        <v>1541.9123456172808</v>
      </c>
      <c r="I49" s="7">
        <v>6167341</v>
      </c>
      <c r="J49" s="8">
        <v>3999.8</v>
      </c>
      <c r="K49" s="7">
        <f t="shared" si="18"/>
        <v>2405.2631578947367</v>
      </c>
      <c r="L49" s="7">
        <v>45700</v>
      </c>
      <c r="M49" s="8">
        <v>19</v>
      </c>
      <c r="N49" s="7" t="e">
        <f t="shared" si="19"/>
        <v>#DIV/0!</v>
      </c>
      <c r="O49" s="7">
        <v>0</v>
      </c>
      <c r="P49" s="8">
        <v>0</v>
      </c>
      <c r="Q49" s="7">
        <f t="shared" si="20"/>
        <v>2931.954022988506</v>
      </c>
      <c r="R49" s="7">
        <v>102032</v>
      </c>
      <c r="S49" s="8">
        <v>34.799999999999997</v>
      </c>
      <c r="T49" s="7" t="e">
        <f t="shared" si="21"/>
        <v>#DIV/0!</v>
      </c>
      <c r="U49" s="7">
        <v>0</v>
      </c>
      <c r="V49" s="8">
        <v>0</v>
      </c>
      <c r="W49" s="7" t="e">
        <f t="shared" si="22"/>
        <v>#DIV/0!</v>
      </c>
      <c r="X49" s="7">
        <v>0</v>
      </c>
      <c r="Y49" s="8">
        <v>0</v>
      </c>
      <c r="Z49" s="7" t="e">
        <f t="shared" si="23"/>
        <v>#DIV/0!</v>
      </c>
      <c r="AA49" s="7">
        <v>0</v>
      </c>
      <c r="AB49" s="8">
        <v>0</v>
      </c>
      <c r="AC49" s="7" t="e">
        <f t="shared" si="24"/>
        <v>#DIV/0!</v>
      </c>
      <c r="AD49" s="7">
        <v>0</v>
      </c>
      <c r="AE49" s="8">
        <v>0</v>
      </c>
      <c r="AF49" s="7" t="e">
        <f t="shared" si="25"/>
        <v>#DIV/0!</v>
      </c>
      <c r="AG49" s="7">
        <v>0</v>
      </c>
      <c r="AH49" s="8">
        <v>0</v>
      </c>
      <c r="AI49" s="7">
        <f t="shared" si="26"/>
        <v>2750</v>
      </c>
      <c r="AJ49" s="7">
        <v>55000</v>
      </c>
      <c r="AK49" s="8">
        <v>20</v>
      </c>
      <c r="AL49" s="7" t="e">
        <f t="shared" si="27"/>
        <v>#DIV/0!</v>
      </c>
      <c r="AM49" s="7">
        <v>0</v>
      </c>
      <c r="AN49" s="8">
        <v>0</v>
      </c>
      <c r="AO49" s="7">
        <f t="shared" si="12"/>
        <v>1460.2625959811644</v>
      </c>
      <c r="AP49" s="7">
        <f t="shared" si="15"/>
        <v>10326539</v>
      </c>
      <c r="AQ49" s="8">
        <f t="shared" si="14"/>
        <v>7071.7</v>
      </c>
    </row>
    <row r="50" spans="1:43" x14ac:dyDescent="0.3">
      <c r="A50" s="20" t="s">
        <v>73</v>
      </c>
      <c r="B50" s="23"/>
      <c r="C50" s="23"/>
      <c r="D50" s="23"/>
      <c r="E50" s="7" t="e">
        <f t="shared" si="16"/>
        <v>#DIV/0!</v>
      </c>
      <c r="F50" s="7">
        <v>0</v>
      </c>
      <c r="G50" s="8">
        <v>0</v>
      </c>
      <c r="H50" s="7">
        <f t="shared" si="17"/>
        <v>2027.64192139738</v>
      </c>
      <c r="I50" s="7">
        <v>46433</v>
      </c>
      <c r="J50" s="8">
        <v>22.9</v>
      </c>
      <c r="K50" s="7">
        <f t="shared" si="18"/>
        <v>2348.6462882096071</v>
      </c>
      <c r="L50" s="7">
        <v>53784</v>
      </c>
      <c r="M50" s="8">
        <v>22.9</v>
      </c>
      <c r="N50" s="7" t="e">
        <f t="shared" si="19"/>
        <v>#DIV/0!</v>
      </c>
      <c r="O50" s="7">
        <v>0</v>
      </c>
      <c r="P50" s="8">
        <v>0</v>
      </c>
      <c r="Q50" s="7" t="e">
        <f t="shared" si="20"/>
        <v>#DIV/0!</v>
      </c>
      <c r="R50" s="7">
        <v>0</v>
      </c>
      <c r="S50" s="8">
        <v>0</v>
      </c>
      <c r="T50" s="7" t="e">
        <f t="shared" si="21"/>
        <v>#DIV/0!</v>
      </c>
      <c r="U50" s="7">
        <v>0</v>
      </c>
      <c r="V50" s="8">
        <v>0</v>
      </c>
      <c r="W50" s="7" t="e">
        <f t="shared" si="22"/>
        <v>#DIV/0!</v>
      </c>
      <c r="X50" s="7">
        <v>0</v>
      </c>
      <c r="Y50" s="8">
        <v>0</v>
      </c>
      <c r="Z50" s="7">
        <f t="shared" si="23"/>
        <v>2353.7855579868706</v>
      </c>
      <c r="AA50" s="7">
        <v>215136</v>
      </c>
      <c r="AB50" s="8">
        <v>91.4</v>
      </c>
      <c r="AC50" s="7">
        <f t="shared" si="24"/>
        <v>2363.2385120350109</v>
      </c>
      <c r="AD50" s="7">
        <v>108000</v>
      </c>
      <c r="AE50" s="8">
        <v>45.7</v>
      </c>
      <c r="AF50" s="7" t="e">
        <f t="shared" si="25"/>
        <v>#DIV/0!</v>
      </c>
      <c r="AG50" s="7">
        <v>0</v>
      </c>
      <c r="AH50" s="8">
        <v>0</v>
      </c>
      <c r="AI50" s="7" t="e">
        <f t="shared" si="26"/>
        <v>#DIV/0!</v>
      </c>
      <c r="AJ50" s="7">
        <v>0</v>
      </c>
      <c r="AK50" s="8">
        <v>0</v>
      </c>
      <c r="AL50" s="7" t="e">
        <f t="shared" si="27"/>
        <v>#DIV/0!</v>
      </c>
      <c r="AM50" s="7">
        <v>0</v>
      </c>
      <c r="AN50" s="8">
        <v>0</v>
      </c>
      <c r="AO50" s="7">
        <f t="shared" si="12"/>
        <v>2314.6692181519961</v>
      </c>
      <c r="AP50" s="7">
        <f t="shared" si="15"/>
        <v>423353</v>
      </c>
      <c r="AQ50" s="8">
        <f t="shared" si="14"/>
        <v>182.89999999999998</v>
      </c>
    </row>
    <row r="51" spans="1:43" x14ac:dyDescent="0.3">
      <c r="A51" s="19" t="s">
        <v>83</v>
      </c>
      <c r="B51" s="23"/>
      <c r="C51" s="23"/>
      <c r="D51" s="23"/>
      <c r="E51" s="7">
        <f t="shared" si="16"/>
        <v>3174.4444444444443</v>
      </c>
      <c r="F51" s="7">
        <v>8571</v>
      </c>
      <c r="G51" s="8">
        <v>2.7</v>
      </c>
      <c r="H51" s="7">
        <f t="shared" si="17"/>
        <v>854.08805031446536</v>
      </c>
      <c r="I51" s="7">
        <v>13580</v>
      </c>
      <c r="J51" s="8">
        <v>15.9</v>
      </c>
      <c r="K51" s="7" t="e">
        <f t="shared" si="18"/>
        <v>#DIV/0!</v>
      </c>
      <c r="L51" s="7">
        <v>0</v>
      </c>
      <c r="M51" s="8">
        <v>0</v>
      </c>
      <c r="N51" s="7" t="e">
        <f t="shared" si="19"/>
        <v>#DIV/0!</v>
      </c>
      <c r="O51" s="7">
        <v>0</v>
      </c>
      <c r="P51" s="8">
        <v>0</v>
      </c>
      <c r="Q51" s="7" t="e">
        <f t="shared" si="20"/>
        <v>#DIV/0!</v>
      </c>
      <c r="R51" s="7">
        <v>0</v>
      </c>
      <c r="S51" s="8">
        <v>0</v>
      </c>
      <c r="T51" s="7" t="e">
        <f t="shared" si="21"/>
        <v>#DIV/0!</v>
      </c>
      <c r="U51" s="7">
        <v>0</v>
      </c>
      <c r="V51" s="8">
        <v>0</v>
      </c>
      <c r="W51" s="7" t="e">
        <f t="shared" si="22"/>
        <v>#DIV/0!</v>
      </c>
      <c r="X51" s="7">
        <v>0</v>
      </c>
      <c r="Y51" s="8">
        <v>0</v>
      </c>
      <c r="Z51" s="7" t="e">
        <f t="shared" si="23"/>
        <v>#DIV/0!</v>
      </c>
      <c r="AA51" s="7">
        <v>0</v>
      </c>
      <c r="AB51" s="8">
        <v>0</v>
      </c>
      <c r="AC51" s="7" t="e">
        <f t="shared" si="24"/>
        <v>#DIV/0!</v>
      </c>
      <c r="AD51" s="7">
        <v>0</v>
      </c>
      <c r="AE51" s="8">
        <v>0</v>
      </c>
      <c r="AF51" s="7" t="e">
        <f t="shared" si="25"/>
        <v>#DIV/0!</v>
      </c>
      <c r="AG51" s="7">
        <v>0</v>
      </c>
      <c r="AH51" s="8">
        <v>0</v>
      </c>
      <c r="AI51" s="7" t="e">
        <f t="shared" si="26"/>
        <v>#DIV/0!</v>
      </c>
      <c r="AJ51" s="7">
        <v>0</v>
      </c>
      <c r="AK51" s="8">
        <v>0</v>
      </c>
      <c r="AL51" s="7" t="e">
        <f t="shared" si="27"/>
        <v>#DIV/0!</v>
      </c>
      <c r="AM51" s="7">
        <v>0</v>
      </c>
      <c r="AN51" s="8">
        <v>0</v>
      </c>
      <c r="AO51" s="7">
        <f t="shared" si="12"/>
        <v>1190.9139784946235</v>
      </c>
      <c r="AP51" s="7">
        <f t="shared" si="15"/>
        <v>22151</v>
      </c>
      <c r="AQ51" s="8">
        <f t="shared" si="14"/>
        <v>18.600000000000001</v>
      </c>
    </row>
    <row r="52" spans="1:43" x14ac:dyDescent="0.3">
      <c r="A52" s="19" t="s">
        <v>72</v>
      </c>
      <c r="B52" s="23"/>
      <c r="C52" s="23"/>
      <c r="D52" s="23"/>
      <c r="E52" s="7" t="e">
        <f t="shared" si="16"/>
        <v>#DIV/0!</v>
      </c>
      <c r="F52" s="7">
        <v>0</v>
      </c>
      <c r="G52" s="8">
        <v>0</v>
      </c>
      <c r="H52" s="7" t="e">
        <f t="shared" si="17"/>
        <v>#DIV/0!</v>
      </c>
      <c r="I52" s="7">
        <v>0</v>
      </c>
      <c r="J52" s="8">
        <v>0</v>
      </c>
      <c r="K52" s="7" t="e">
        <f t="shared" si="18"/>
        <v>#DIV/0!</v>
      </c>
      <c r="L52" s="7">
        <v>0</v>
      </c>
      <c r="M52" s="8">
        <v>0</v>
      </c>
      <c r="N52" s="7" t="e">
        <f t="shared" si="19"/>
        <v>#DIV/0!</v>
      </c>
      <c r="O52" s="7">
        <v>0</v>
      </c>
      <c r="P52" s="8">
        <v>0</v>
      </c>
      <c r="Q52" s="7" t="e">
        <f t="shared" si="20"/>
        <v>#DIV/0!</v>
      </c>
      <c r="R52" s="7">
        <v>0</v>
      </c>
      <c r="S52" s="8">
        <v>0</v>
      </c>
      <c r="T52" s="7" t="e">
        <f t="shared" si="21"/>
        <v>#DIV/0!</v>
      </c>
      <c r="U52" s="7">
        <v>0</v>
      </c>
      <c r="V52" s="8">
        <v>0</v>
      </c>
      <c r="W52" s="7" t="e">
        <f t="shared" si="22"/>
        <v>#DIV/0!</v>
      </c>
      <c r="X52" s="7">
        <v>0</v>
      </c>
      <c r="Y52" s="8">
        <v>0</v>
      </c>
      <c r="Z52" s="7" t="e">
        <f t="shared" si="23"/>
        <v>#DIV/0!</v>
      </c>
      <c r="AA52" s="7">
        <v>0</v>
      </c>
      <c r="AB52" s="8">
        <v>0</v>
      </c>
      <c r="AC52" s="7" t="e">
        <f t="shared" si="24"/>
        <v>#DIV/0!</v>
      </c>
      <c r="AD52" s="7">
        <v>0</v>
      </c>
      <c r="AE52" s="8">
        <v>0</v>
      </c>
      <c r="AF52" s="7">
        <f t="shared" si="25"/>
        <v>2537.65</v>
      </c>
      <c r="AG52" s="7">
        <v>50753</v>
      </c>
      <c r="AH52" s="8">
        <v>20</v>
      </c>
      <c r="AI52" s="7">
        <f t="shared" si="26"/>
        <v>2947.9</v>
      </c>
      <c r="AJ52" s="7">
        <v>88437</v>
      </c>
      <c r="AK52" s="8">
        <v>30</v>
      </c>
      <c r="AL52" s="7" t="e">
        <f t="shared" si="27"/>
        <v>#DIV/0!</v>
      </c>
      <c r="AM52" s="7">
        <v>0</v>
      </c>
      <c r="AN52" s="8">
        <v>0</v>
      </c>
      <c r="AO52" s="7">
        <f t="shared" si="12"/>
        <v>2783.8</v>
      </c>
      <c r="AP52" s="7">
        <f t="shared" si="15"/>
        <v>139190</v>
      </c>
      <c r="AQ52" s="8">
        <f t="shared" si="14"/>
        <v>50</v>
      </c>
    </row>
    <row r="53" spans="1:43" x14ac:dyDescent="0.3">
      <c r="A53" s="19" t="s">
        <v>37</v>
      </c>
      <c r="B53" s="23"/>
      <c r="C53" s="23"/>
      <c r="D53" s="23"/>
      <c r="E53" s="7" t="e">
        <f t="shared" si="16"/>
        <v>#DIV/0!</v>
      </c>
      <c r="F53" s="7">
        <v>0</v>
      </c>
      <c r="G53" s="8">
        <v>0</v>
      </c>
      <c r="H53" s="7" t="e">
        <f t="shared" si="17"/>
        <v>#DIV/0!</v>
      </c>
      <c r="I53" s="7">
        <v>0</v>
      </c>
      <c r="J53" s="8">
        <v>0</v>
      </c>
      <c r="K53" s="7" t="e">
        <f t="shared" si="18"/>
        <v>#DIV/0!</v>
      </c>
      <c r="L53" s="7">
        <v>0</v>
      </c>
      <c r="M53" s="8">
        <v>0</v>
      </c>
      <c r="N53" s="7" t="e">
        <f t="shared" si="19"/>
        <v>#DIV/0!</v>
      </c>
      <c r="O53" s="7">
        <v>0</v>
      </c>
      <c r="P53" s="8">
        <v>0</v>
      </c>
      <c r="Q53" s="7" t="e">
        <f t="shared" si="20"/>
        <v>#DIV/0!</v>
      </c>
      <c r="R53" s="7">
        <v>0</v>
      </c>
      <c r="S53" s="8">
        <v>0</v>
      </c>
      <c r="T53" s="7" t="e">
        <f t="shared" si="21"/>
        <v>#DIV/0!</v>
      </c>
      <c r="U53" s="7">
        <v>0</v>
      </c>
      <c r="V53" s="8">
        <v>0</v>
      </c>
      <c r="W53" s="7" t="e">
        <f t="shared" si="22"/>
        <v>#DIV/0!</v>
      </c>
      <c r="X53" s="7">
        <v>0</v>
      </c>
      <c r="Y53" s="8">
        <v>0</v>
      </c>
      <c r="Z53" s="7" t="e">
        <f t="shared" si="23"/>
        <v>#DIV/0!</v>
      </c>
      <c r="AA53" s="7">
        <v>0</v>
      </c>
      <c r="AB53" s="8">
        <v>0</v>
      </c>
      <c r="AC53" s="7" t="e">
        <f t="shared" si="24"/>
        <v>#DIV/0!</v>
      </c>
      <c r="AD53" s="7">
        <v>0</v>
      </c>
      <c r="AE53" s="8">
        <v>0</v>
      </c>
      <c r="AF53" s="7" t="e">
        <f t="shared" si="25"/>
        <v>#DIV/0!</v>
      </c>
      <c r="AG53" s="7">
        <v>0</v>
      </c>
      <c r="AH53" s="8">
        <v>0</v>
      </c>
      <c r="AI53" s="7">
        <f t="shared" si="26"/>
        <v>6427.5</v>
      </c>
      <c r="AJ53" s="7">
        <v>2571</v>
      </c>
      <c r="AK53" s="8">
        <v>0.4</v>
      </c>
      <c r="AL53" s="7" t="e">
        <f t="shared" si="27"/>
        <v>#DIV/0!</v>
      </c>
      <c r="AM53" s="7">
        <v>0</v>
      </c>
      <c r="AN53" s="8">
        <v>0</v>
      </c>
      <c r="AO53" s="7">
        <f t="shared" si="12"/>
        <v>6427.5</v>
      </c>
      <c r="AP53" s="7">
        <f t="shared" si="15"/>
        <v>2571</v>
      </c>
      <c r="AQ53" s="8">
        <f t="shared" si="14"/>
        <v>0.4</v>
      </c>
    </row>
    <row r="54" spans="1:43" x14ac:dyDescent="0.3">
      <c r="A54" s="19" t="s">
        <v>84</v>
      </c>
      <c r="B54" s="23"/>
      <c r="C54" s="23"/>
      <c r="D54" s="23"/>
      <c r="E54" s="7" t="e">
        <f t="shared" si="16"/>
        <v>#DIV/0!</v>
      </c>
      <c r="F54" s="7">
        <v>0</v>
      </c>
      <c r="G54" s="8">
        <v>0</v>
      </c>
      <c r="H54" s="7" t="e">
        <f t="shared" si="17"/>
        <v>#DIV/0!</v>
      </c>
      <c r="I54" s="7">
        <v>0</v>
      </c>
      <c r="J54" s="8">
        <v>0</v>
      </c>
      <c r="K54" s="7" t="e">
        <f t="shared" si="18"/>
        <v>#DIV/0!</v>
      </c>
      <c r="L54" s="7">
        <v>0</v>
      </c>
      <c r="M54" s="8">
        <v>0</v>
      </c>
      <c r="N54" s="7" t="e">
        <f t="shared" si="19"/>
        <v>#DIV/0!</v>
      </c>
      <c r="O54" s="7">
        <v>0</v>
      </c>
      <c r="P54" s="8">
        <v>0</v>
      </c>
      <c r="Q54" s="7" t="e">
        <f t="shared" si="20"/>
        <v>#DIV/0!</v>
      </c>
      <c r="R54" s="7">
        <v>0</v>
      </c>
      <c r="S54" s="8">
        <v>0</v>
      </c>
      <c r="T54" s="7" t="e">
        <f t="shared" si="21"/>
        <v>#DIV/0!</v>
      </c>
      <c r="U54" s="7">
        <v>0</v>
      </c>
      <c r="V54" s="8">
        <v>0</v>
      </c>
      <c r="W54" s="7" t="e">
        <f t="shared" si="22"/>
        <v>#DIV/0!</v>
      </c>
      <c r="X54" s="7">
        <v>0</v>
      </c>
      <c r="Y54" s="8">
        <v>0</v>
      </c>
      <c r="Z54" s="7" t="e">
        <f t="shared" si="23"/>
        <v>#DIV/0!</v>
      </c>
      <c r="AA54" s="7">
        <v>0</v>
      </c>
      <c r="AB54" s="8">
        <v>0</v>
      </c>
      <c r="AC54" s="7">
        <f t="shared" si="24"/>
        <v>4465</v>
      </c>
      <c r="AD54" s="7">
        <v>4465</v>
      </c>
      <c r="AE54" s="8">
        <v>1</v>
      </c>
      <c r="AF54" s="7" t="e">
        <f t="shared" si="25"/>
        <v>#DIV/0!</v>
      </c>
      <c r="AG54" s="7">
        <v>0</v>
      </c>
      <c r="AH54" s="8">
        <v>0</v>
      </c>
      <c r="AI54" s="7" t="e">
        <f t="shared" si="26"/>
        <v>#DIV/0!</v>
      </c>
      <c r="AJ54" s="7">
        <v>0</v>
      </c>
      <c r="AK54" s="8">
        <v>0</v>
      </c>
      <c r="AL54" s="7" t="e">
        <f t="shared" si="27"/>
        <v>#DIV/0!</v>
      </c>
      <c r="AM54" s="7">
        <v>0</v>
      </c>
      <c r="AN54" s="8">
        <v>0</v>
      </c>
      <c r="AO54" s="7">
        <f t="shared" si="12"/>
        <v>4465</v>
      </c>
      <c r="AP54" s="7">
        <f t="shared" si="15"/>
        <v>4465</v>
      </c>
      <c r="AQ54" s="8">
        <f t="shared" si="14"/>
        <v>1</v>
      </c>
    </row>
    <row r="55" spans="1:43" x14ac:dyDescent="0.3">
      <c r="A55" s="19" t="s">
        <v>65</v>
      </c>
      <c r="B55" s="23"/>
      <c r="C55" s="23"/>
      <c r="D55" s="23"/>
      <c r="E55" s="7">
        <f t="shared" si="16"/>
        <v>5629</v>
      </c>
      <c r="F55" s="7">
        <v>5629</v>
      </c>
      <c r="G55" s="8">
        <v>1</v>
      </c>
      <c r="H55" s="7" t="e">
        <f t="shared" si="17"/>
        <v>#DIV/0!</v>
      </c>
      <c r="I55" s="7">
        <v>0</v>
      </c>
      <c r="J55" s="8">
        <v>0</v>
      </c>
      <c r="K55" s="7" t="e">
        <f t="shared" si="18"/>
        <v>#DIV/0!</v>
      </c>
      <c r="L55" s="7">
        <v>0</v>
      </c>
      <c r="M55" s="8">
        <v>0</v>
      </c>
      <c r="N55" s="7">
        <f t="shared" si="19"/>
        <v>6362.5</v>
      </c>
      <c r="O55" s="7">
        <v>2545</v>
      </c>
      <c r="P55" s="8">
        <v>0.4</v>
      </c>
      <c r="Q55" s="7" t="e">
        <f t="shared" si="20"/>
        <v>#DIV/0!</v>
      </c>
      <c r="R55" s="7">
        <v>0</v>
      </c>
      <c r="S55" s="8">
        <v>0</v>
      </c>
      <c r="T55" s="7" t="e">
        <f t="shared" si="21"/>
        <v>#DIV/0!</v>
      </c>
      <c r="U55" s="7">
        <v>0</v>
      </c>
      <c r="V55" s="8">
        <v>0</v>
      </c>
      <c r="W55" s="7" t="e">
        <f t="shared" si="22"/>
        <v>#DIV/0!</v>
      </c>
      <c r="X55" s="7">
        <v>0</v>
      </c>
      <c r="Y55" s="8">
        <v>0</v>
      </c>
      <c r="Z55" s="7" t="e">
        <f t="shared" si="23"/>
        <v>#DIV/0!</v>
      </c>
      <c r="AA55" s="7">
        <v>0</v>
      </c>
      <c r="AB55" s="8">
        <v>0</v>
      </c>
      <c r="AC55" s="7" t="e">
        <f t="shared" si="24"/>
        <v>#DIV/0!</v>
      </c>
      <c r="AD55" s="7">
        <v>0</v>
      </c>
      <c r="AE55" s="8">
        <v>0</v>
      </c>
      <c r="AF55" s="7" t="e">
        <f t="shared" si="25"/>
        <v>#DIV/0!</v>
      </c>
      <c r="AG55" s="7">
        <v>0</v>
      </c>
      <c r="AH55" s="8">
        <v>0</v>
      </c>
      <c r="AI55" s="7" t="e">
        <f t="shared" si="26"/>
        <v>#DIV/0!</v>
      </c>
      <c r="AJ55" s="7">
        <v>0</v>
      </c>
      <c r="AK55" s="8">
        <v>0</v>
      </c>
      <c r="AL55" s="7" t="e">
        <f t="shared" si="27"/>
        <v>#DIV/0!</v>
      </c>
      <c r="AM55" s="7">
        <v>0</v>
      </c>
      <c r="AN55" s="8">
        <v>0</v>
      </c>
      <c r="AO55" s="7">
        <f t="shared" si="12"/>
        <v>5838.5714285714294</v>
      </c>
      <c r="AP55" s="7">
        <f t="shared" si="15"/>
        <v>8174</v>
      </c>
      <c r="AQ55" s="8">
        <f t="shared" si="14"/>
        <v>1.4</v>
      </c>
    </row>
    <row r="56" spans="1:43" x14ac:dyDescent="0.3">
      <c r="A56" s="19" t="s">
        <v>74</v>
      </c>
      <c r="B56" s="23"/>
      <c r="C56" s="23"/>
      <c r="D56" s="23"/>
      <c r="E56" s="7" t="e">
        <f t="shared" si="16"/>
        <v>#DIV/0!</v>
      </c>
      <c r="F56" s="7">
        <v>0</v>
      </c>
      <c r="G56" s="8">
        <v>0</v>
      </c>
      <c r="H56" s="7" t="e">
        <f t="shared" si="17"/>
        <v>#DIV/0!</v>
      </c>
      <c r="I56" s="7">
        <v>0</v>
      </c>
      <c r="J56" s="8">
        <v>0</v>
      </c>
      <c r="K56" s="7" t="e">
        <f t="shared" si="18"/>
        <v>#DIV/0!</v>
      </c>
      <c r="L56" s="7">
        <v>0</v>
      </c>
      <c r="M56" s="8">
        <v>0</v>
      </c>
      <c r="N56" s="7" t="e">
        <f t="shared" si="19"/>
        <v>#DIV/0!</v>
      </c>
      <c r="O56" s="7">
        <v>0</v>
      </c>
      <c r="P56" s="8">
        <v>0</v>
      </c>
      <c r="Q56" s="7" t="e">
        <f t="shared" si="20"/>
        <v>#DIV/0!</v>
      </c>
      <c r="R56" s="7">
        <v>0</v>
      </c>
      <c r="S56" s="8">
        <v>0</v>
      </c>
      <c r="T56" s="7" t="e">
        <f t="shared" si="21"/>
        <v>#DIV/0!</v>
      </c>
      <c r="U56" s="7">
        <v>0</v>
      </c>
      <c r="V56" s="8">
        <v>0</v>
      </c>
      <c r="W56" s="7" t="e">
        <f t="shared" si="22"/>
        <v>#DIV/0!</v>
      </c>
      <c r="X56" s="7">
        <v>0</v>
      </c>
      <c r="Y56" s="8">
        <v>0</v>
      </c>
      <c r="Z56" s="7" t="e">
        <f t="shared" si="23"/>
        <v>#DIV/0!</v>
      </c>
      <c r="AA56" s="7">
        <v>0</v>
      </c>
      <c r="AB56" s="8">
        <v>0</v>
      </c>
      <c r="AC56" s="7">
        <f t="shared" si="24"/>
        <v>4311.4285714285716</v>
      </c>
      <c r="AD56" s="7">
        <v>3018</v>
      </c>
      <c r="AE56" s="8">
        <v>0.7</v>
      </c>
      <c r="AF56" s="7" t="e">
        <f t="shared" si="25"/>
        <v>#DIV/0!</v>
      </c>
      <c r="AG56" s="7">
        <v>0</v>
      </c>
      <c r="AH56" s="8">
        <v>0</v>
      </c>
      <c r="AI56" s="7" t="e">
        <f t="shared" si="26"/>
        <v>#DIV/0!</v>
      </c>
      <c r="AJ56" s="7">
        <v>0</v>
      </c>
      <c r="AK56" s="8">
        <v>0</v>
      </c>
      <c r="AL56" s="7" t="e">
        <f t="shared" si="27"/>
        <v>#DIV/0!</v>
      </c>
      <c r="AM56" s="7">
        <v>0</v>
      </c>
      <c r="AN56" s="8">
        <v>0</v>
      </c>
      <c r="AO56" s="7">
        <f t="shared" si="12"/>
        <v>4311.4285714285716</v>
      </c>
      <c r="AP56" s="7">
        <f t="shared" si="15"/>
        <v>3018</v>
      </c>
      <c r="AQ56" s="8">
        <f t="shared" si="14"/>
        <v>0.7</v>
      </c>
    </row>
    <row r="57" spans="1:43" x14ac:dyDescent="0.3">
      <c r="A57" s="19" t="s">
        <v>66</v>
      </c>
      <c r="B57" s="23"/>
      <c r="C57" s="23"/>
      <c r="D57" s="23"/>
      <c r="E57" s="7" t="e">
        <f t="shared" si="16"/>
        <v>#DIV/0!</v>
      </c>
      <c r="F57" s="7">
        <v>0</v>
      </c>
      <c r="G57" s="8">
        <v>0</v>
      </c>
      <c r="H57" s="7">
        <f t="shared" si="17"/>
        <v>1000.0000000000001</v>
      </c>
      <c r="I57" s="7">
        <v>8200</v>
      </c>
      <c r="J57" s="8">
        <v>8.1999999999999993</v>
      </c>
      <c r="K57" s="7" t="e">
        <f t="shared" si="18"/>
        <v>#DIV/0!</v>
      </c>
      <c r="L57" s="7">
        <v>0</v>
      </c>
      <c r="M57" s="8">
        <v>0</v>
      </c>
      <c r="N57" s="7" t="e">
        <f t="shared" si="19"/>
        <v>#DIV/0!</v>
      </c>
      <c r="O57" s="7">
        <v>0</v>
      </c>
      <c r="P57" s="8">
        <v>0</v>
      </c>
      <c r="Q57" s="7" t="e">
        <f t="shared" si="20"/>
        <v>#DIV/0!</v>
      </c>
      <c r="R57" s="7">
        <v>0</v>
      </c>
      <c r="S57" s="8">
        <v>0</v>
      </c>
      <c r="T57" s="7" t="e">
        <f t="shared" si="21"/>
        <v>#DIV/0!</v>
      </c>
      <c r="U57" s="7">
        <v>0</v>
      </c>
      <c r="V57" s="8">
        <v>0</v>
      </c>
      <c r="W57" s="7" t="e">
        <f t="shared" si="22"/>
        <v>#DIV/0!</v>
      </c>
      <c r="X57" s="7">
        <v>0</v>
      </c>
      <c r="Y57" s="8">
        <v>0</v>
      </c>
      <c r="Z57" s="7" t="e">
        <f t="shared" si="23"/>
        <v>#DIV/0!</v>
      </c>
      <c r="AA57" s="7">
        <v>0</v>
      </c>
      <c r="AB57" s="8">
        <v>0</v>
      </c>
      <c r="AC57" s="7" t="e">
        <f t="shared" si="24"/>
        <v>#DIV/0!</v>
      </c>
      <c r="AD57" s="7">
        <v>0</v>
      </c>
      <c r="AE57" s="8">
        <v>0</v>
      </c>
      <c r="AF57" s="7" t="e">
        <f t="shared" si="25"/>
        <v>#DIV/0!</v>
      </c>
      <c r="AG57" s="7">
        <v>0</v>
      </c>
      <c r="AH57" s="8">
        <v>0</v>
      </c>
      <c r="AI57" s="7" t="e">
        <f t="shared" si="26"/>
        <v>#DIV/0!</v>
      </c>
      <c r="AJ57" s="7">
        <v>0</v>
      </c>
      <c r="AK57" s="8">
        <v>0</v>
      </c>
      <c r="AL57" s="7" t="e">
        <f t="shared" si="27"/>
        <v>#DIV/0!</v>
      </c>
      <c r="AM57" s="7">
        <v>0</v>
      </c>
      <c r="AN57" s="8">
        <v>0</v>
      </c>
      <c r="AO57" s="7">
        <f t="shared" si="12"/>
        <v>1000.0000000000001</v>
      </c>
      <c r="AP57" s="7">
        <f t="shared" si="15"/>
        <v>8200</v>
      </c>
      <c r="AQ57" s="8">
        <f t="shared" si="14"/>
        <v>8.1999999999999993</v>
      </c>
    </row>
    <row r="58" spans="1:43" x14ac:dyDescent="0.3">
      <c r="A58" s="19" t="s">
        <v>85</v>
      </c>
      <c r="B58" s="23"/>
      <c r="C58" s="23"/>
      <c r="D58" s="23"/>
      <c r="E58" s="7" t="e">
        <f t="shared" si="16"/>
        <v>#DIV/0!</v>
      </c>
      <c r="F58" s="7">
        <v>0</v>
      </c>
      <c r="G58" s="8">
        <v>0</v>
      </c>
      <c r="H58" s="7" t="e">
        <f t="shared" si="17"/>
        <v>#DIV/0!</v>
      </c>
      <c r="I58" s="7">
        <v>0</v>
      </c>
      <c r="J58" s="8">
        <v>0</v>
      </c>
      <c r="K58" s="7" t="e">
        <f t="shared" si="18"/>
        <v>#DIV/0!</v>
      </c>
      <c r="L58" s="7">
        <v>0</v>
      </c>
      <c r="M58" s="8">
        <v>0</v>
      </c>
      <c r="N58" s="7" t="e">
        <f t="shared" si="19"/>
        <v>#DIV/0!</v>
      </c>
      <c r="O58" s="7">
        <v>0</v>
      </c>
      <c r="P58" s="8">
        <v>0</v>
      </c>
      <c r="Q58" s="7" t="e">
        <f t="shared" si="20"/>
        <v>#DIV/0!</v>
      </c>
      <c r="R58" s="7">
        <v>0</v>
      </c>
      <c r="S58" s="8">
        <v>0</v>
      </c>
      <c r="T58" s="7" t="e">
        <f t="shared" si="21"/>
        <v>#DIV/0!</v>
      </c>
      <c r="U58" s="7">
        <v>0</v>
      </c>
      <c r="V58" s="8">
        <v>0</v>
      </c>
      <c r="W58" s="7" t="e">
        <f t="shared" si="22"/>
        <v>#DIV/0!</v>
      </c>
      <c r="X58" s="7">
        <v>0</v>
      </c>
      <c r="Y58" s="8">
        <v>0</v>
      </c>
      <c r="Z58" s="7" t="e">
        <f t="shared" si="23"/>
        <v>#DIV/0!</v>
      </c>
      <c r="AA58" s="7">
        <v>0</v>
      </c>
      <c r="AB58" s="8">
        <v>0</v>
      </c>
      <c r="AC58" s="7">
        <f t="shared" si="24"/>
        <v>1526.3636363636365</v>
      </c>
      <c r="AD58" s="7">
        <v>5037</v>
      </c>
      <c r="AE58" s="8">
        <v>3.3</v>
      </c>
      <c r="AF58" s="7">
        <f t="shared" si="25"/>
        <v>1551.304347826087</v>
      </c>
      <c r="AG58" s="7">
        <v>7136</v>
      </c>
      <c r="AH58" s="8">
        <v>4.5999999999999996</v>
      </c>
      <c r="AI58" s="7">
        <f t="shared" si="26"/>
        <v>1542.0408163265306</v>
      </c>
      <c r="AJ58" s="7">
        <v>7556</v>
      </c>
      <c r="AK58" s="8">
        <v>4.9000000000000004</v>
      </c>
      <c r="AL58" s="7" t="e">
        <f t="shared" si="27"/>
        <v>#DIV/0!</v>
      </c>
      <c r="AM58" s="7">
        <v>0</v>
      </c>
      <c r="AN58" s="8">
        <v>0</v>
      </c>
      <c r="AO58" s="7">
        <f t="shared" si="12"/>
        <v>1541.328125</v>
      </c>
      <c r="AP58" s="7">
        <f t="shared" si="15"/>
        <v>19729</v>
      </c>
      <c r="AQ58" s="8">
        <f t="shared" si="14"/>
        <v>12.8</v>
      </c>
    </row>
    <row r="59" spans="1:43" x14ac:dyDescent="0.3">
      <c r="A59" s="19" t="s">
        <v>86</v>
      </c>
      <c r="B59" s="23"/>
      <c r="C59" s="23"/>
      <c r="D59" s="23"/>
      <c r="E59" s="7" t="e">
        <f t="shared" si="16"/>
        <v>#DIV/0!</v>
      </c>
      <c r="F59" s="7">
        <v>0</v>
      </c>
      <c r="G59" s="8">
        <v>0</v>
      </c>
      <c r="H59" s="7">
        <f t="shared" si="17"/>
        <v>2398.4615384615386</v>
      </c>
      <c r="I59" s="7">
        <v>3118</v>
      </c>
      <c r="J59" s="8">
        <v>1.3</v>
      </c>
      <c r="K59" s="7" t="e">
        <f t="shared" si="18"/>
        <v>#DIV/0!</v>
      </c>
      <c r="L59" s="7">
        <v>0</v>
      </c>
      <c r="M59" s="8">
        <v>0</v>
      </c>
      <c r="N59" s="7">
        <f t="shared" si="19"/>
        <v>3161.1764705882356</v>
      </c>
      <c r="O59" s="7">
        <v>5374</v>
      </c>
      <c r="P59" s="8">
        <v>1.7</v>
      </c>
      <c r="Q59" s="7">
        <f t="shared" si="20"/>
        <v>2578.5714285714284</v>
      </c>
      <c r="R59" s="7">
        <v>9025</v>
      </c>
      <c r="S59" s="8">
        <v>3.5</v>
      </c>
      <c r="T59" s="7">
        <f t="shared" si="21"/>
        <v>2420.8333333333335</v>
      </c>
      <c r="U59" s="7">
        <v>11620</v>
      </c>
      <c r="V59" s="8">
        <v>4.8</v>
      </c>
      <c r="W59" s="7">
        <f t="shared" si="22"/>
        <v>3062.5</v>
      </c>
      <c r="X59" s="7">
        <v>9800</v>
      </c>
      <c r="Y59" s="8">
        <v>3.2</v>
      </c>
      <c r="Z59" s="7">
        <f t="shared" si="23"/>
        <v>2980.416666666667</v>
      </c>
      <c r="AA59" s="7">
        <v>7153</v>
      </c>
      <c r="AB59" s="8">
        <v>2.4</v>
      </c>
      <c r="AC59" s="7">
        <f t="shared" si="24"/>
        <v>2854.9999999999995</v>
      </c>
      <c r="AD59" s="7">
        <v>6281</v>
      </c>
      <c r="AE59" s="8">
        <v>2.2000000000000002</v>
      </c>
      <c r="AF59" s="7">
        <f t="shared" si="25"/>
        <v>3748.8571428571427</v>
      </c>
      <c r="AG59" s="7">
        <v>13121</v>
      </c>
      <c r="AH59" s="8">
        <v>3.5</v>
      </c>
      <c r="AI59" s="7">
        <f t="shared" si="26"/>
        <v>3270</v>
      </c>
      <c r="AJ59" s="7">
        <v>3270</v>
      </c>
      <c r="AK59" s="8">
        <v>1</v>
      </c>
      <c r="AL59" s="7" t="e">
        <f t="shared" si="27"/>
        <v>#DIV/0!</v>
      </c>
      <c r="AM59" s="7">
        <v>0</v>
      </c>
      <c r="AN59" s="8">
        <v>0</v>
      </c>
      <c r="AO59" s="7">
        <f t="shared" si="12"/>
        <v>2913.6440677966102</v>
      </c>
      <c r="AP59" s="7">
        <f t="shared" si="15"/>
        <v>68762</v>
      </c>
      <c r="AQ59" s="8">
        <f t="shared" si="14"/>
        <v>23.599999999999998</v>
      </c>
    </row>
    <row r="60" spans="1:43" x14ac:dyDescent="0.3">
      <c r="A60" s="19" t="s">
        <v>67</v>
      </c>
      <c r="B60" s="23"/>
      <c r="C60" s="23"/>
      <c r="D60" s="23"/>
      <c r="E60" s="7">
        <f t="shared" si="16"/>
        <v>3759</v>
      </c>
      <c r="F60" s="7">
        <v>3759</v>
      </c>
      <c r="G60" s="8">
        <v>1</v>
      </c>
      <c r="H60" s="7" t="e">
        <f t="shared" si="17"/>
        <v>#DIV/0!</v>
      </c>
      <c r="I60" s="7">
        <v>0</v>
      </c>
      <c r="J60" s="8">
        <v>0</v>
      </c>
      <c r="K60" s="7" t="e">
        <f t="shared" si="18"/>
        <v>#DIV/0!</v>
      </c>
      <c r="L60" s="7">
        <v>0</v>
      </c>
      <c r="M60" s="8">
        <v>0</v>
      </c>
      <c r="N60" s="7" t="e">
        <f t="shared" si="19"/>
        <v>#DIV/0!</v>
      </c>
      <c r="O60" s="7">
        <v>0</v>
      </c>
      <c r="P60" s="8">
        <v>0</v>
      </c>
      <c r="Q60" s="7" t="e">
        <f t="shared" si="20"/>
        <v>#DIV/0!</v>
      </c>
      <c r="R60" s="7">
        <v>0</v>
      </c>
      <c r="S60" s="8">
        <v>0</v>
      </c>
      <c r="T60" s="7">
        <f t="shared" si="21"/>
        <v>4569.3442622950824</v>
      </c>
      <c r="U60" s="7">
        <v>55746</v>
      </c>
      <c r="V60" s="8">
        <v>12.2</v>
      </c>
      <c r="W60" s="7" t="e">
        <f t="shared" si="22"/>
        <v>#DIV/0!</v>
      </c>
      <c r="X60" s="7">
        <v>0</v>
      </c>
      <c r="Y60" s="8">
        <v>0</v>
      </c>
      <c r="Z60" s="7" t="e">
        <f t="shared" si="23"/>
        <v>#DIV/0!</v>
      </c>
      <c r="AA60" s="7">
        <v>0</v>
      </c>
      <c r="AB60" s="8">
        <v>0</v>
      </c>
      <c r="AC60" s="7" t="e">
        <f t="shared" si="24"/>
        <v>#DIV/0!</v>
      </c>
      <c r="AD60" s="7">
        <v>0</v>
      </c>
      <c r="AE60" s="8">
        <v>0</v>
      </c>
      <c r="AF60" s="7" t="e">
        <f t="shared" si="25"/>
        <v>#DIV/0!</v>
      </c>
      <c r="AG60" s="7">
        <v>0</v>
      </c>
      <c r="AH60" s="8">
        <v>0</v>
      </c>
      <c r="AI60" s="7" t="e">
        <f t="shared" si="26"/>
        <v>#DIV/0!</v>
      </c>
      <c r="AJ60" s="7">
        <v>0</v>
      </c>
      <c r="AK60" s="8">
        <v>0</v>
      </c>
      <c r="AL60" s="7" t="e">
        <f t="shared" si="27"/>
        <v>#DIV/0!</v>
      </c>
      <c r="AM60" s="7">
        <v>0</v>
      </c>
      <c r="AN60" s="8">
        <v>0</v>
      </c>
      <c r="AO60" s="7">
        <f t="shared" si="12"/>
        <v>4507.954545454546</v>
      </c>
      <c r="AP60" s="7">
        <f t="shared" si="15"/>
        <v>59505</v>
      </c>
      <c r="AQ60" s="8">
        <f t="shared" si="14"/>
        <v>13.2</v>
      </c>
    </row>
    <row r="61" spans="1:43" x14ac:dyDescent="0.3">
      <c r="A61" s="19" t="s">
        <v>87</v>
      </c>
      <c r="B61" s="23"/>
      <c r="C61" s="23"/>
      <c r="D61" s="23"/>
      <c r="E61" s="7" t="e">
        <f t="shared" si="16"/>
        <v>#DIV/0!</v>
      </c>
      <c r="F61" s="7">
        <v>0</v>
      </c>
      <c r="G61" s="8">
        <v>0</v>
      </c>
      <c r="H61" s="7" t="e">
        <f t="shared" si="17"/>
        <v>#DIV/0!</v>
      </c>
      <c r="I61" s="7">
        <v>0</v>
      </c>
      <c r="J61" s="8">
        <v>0</v>
      </c>
      <c r="K61" s="7" t="e">
        <f t="shared" si="18"/>
        <v>#DIV/0!</v>
      </c>
      <c r="L61" s="7">
        <v>0</v>
      </c>
      <c r="M61" s="8">
        <v>0</v>
      </c>
      <c r="N61" s="7" t="e">
        <f t="shared" si="19"/>
        <v>#DIV/0!</v>
      </c>
      <c r="O61" s="7">
        <v>0</v>
      </c>
      <c r="P61" s="8">
        <v>0</v>
      </c>
      <c r="Q61" s="7" t="e">
        <f t="shared" si="20"/>
        <v>#DIV/0!</v>
      </c>
      <c r="R61" s="7">
        <v>0</v>
      </c>
      <c r="S61" s="8">
        <v>0</v>
      </c>
      <c r="T61" s="7" t="e">
        <f t="shared" si="21"/>
        <v>#DIV/0!</v>
      </c>
      <c r="U61" s="7">
        <v>0</v>
      </c>
      <c r="V61" s="8">
        <v>0</v>
      </c>
      <c r="W61" s="7">
        <f t="shared" si="22"/>
        <v>2250</v>
      </c>
      <c r="X61" s="7">
        <v>45000</v>
      </c>
      <c r="Y61" s="8">
        <v>20</v>
      </c>
      <c r="Z61" s="7" t="e">
        <f t="shared" si="23"/>
        <v>#DIV/0!</v>
      </c>
      <c r="AA61" s="7">
        <v>0</v>
      </c>
      <c r="AB61" s="8">
        <v>0</v>
      </c>
      <c r="AC61" s="7" t="e">
        <f t="shared" si="24"/>
        <v>#DIV/0!</v>
      </c>
      <c r="AD61" s="7">
        <v>0</v>
      </c>
      <c r="AE61" s="8">
        <v>0</v>
      </c>
      <c r="AF61" s="7" t="e">
        <f t="shared" si="25"/>
        <v>#DIV/0!</v>
      </c>
      <c r="AG61" s="7">
        <v>0</v>
      </c>
      <c r="AH61" s="8">
        <v>0</v>
      </c>
      <c r="AI61" s="7" t="e">
        <f t="shared" si="26"/>
        <v>#DIV/0!</v>
      </c>
      <c r="AJ61" s="7">
        <v>0</v>
      </c>
      <c r="AK61" s="8">
        <v>0</v>
      </c>
      <c r="AL61" s="7" t="e">
        <f t="shared" si="27"/>
        <v>#DIV/0!</v>
      </c>
      <c r="AM61" s="7">
        <v>0</v>
      </c>
      <c r="AN61" s="8">
        <v>0</v>
      </c>
      <c r="AO61" s="7">
        <f t="shared" si="12"/>
        <v>2250</v>
      </c>
      <c r="AP61" s="7">
        <f t="shared" si="15"/>
        <v>45000</v>
      </c>
      <c r="AQ61" s="8">
        <f t="shared" si="14"/>
        <v>20</v>
      </c>
    </row>
    <row r="62" spans="1:43" x14ac:dyDescent="0.3">
      <c r="A62" s="19" t="s">
        <v>75</v>
      </c>
      <c r="B62" s="23"/>
      <c r="C62" s="23"/>
      <c r="D62" s="23"/>
      <c r="E62" s="7" t="e">
        <f t="shared" si="16"/>
        <v>#DIV/0!</v>
      </c>
      <c r="F62" s="7">
        <v>0</v>
      </c>
      <c r="G62" s="8">
        <v>0</v>
      </c>
      <c r="H62" s="7" t="e">
        <f t="shared" si="17"/>
        <v>#DIV/0!</v>
      </c>
      <c r="I62" s="7">
        <v>0</v>
      </c>
      <c r="J62" s="8">
        <v>0</v>
      </c>
      <c r="K62" s="7" t="e">
        <f t="shared" si="18"/>
        <v>#DIV/0!</v>
      </c>
      <c r="L62" s="7">
        <v>0</v>
      </c>
      <c r="M62" s="8">
        <v>0</v>
      </c>
      <c r="N62" s="7" t="e">
        <f t="shared" si="19"/>
        <v>#DIV/0!</v>
      </c>
      <c r="O62" s="7">
        <v>0</v>
      </c>
      <c r="P62" s="8">
        <v>0</v>
      </c>
      <c r="Q62" s="7" t="e">
        <f t="shared" si="20"/>
        <v>#DIV/0!</v>
      </c>
      <c r="R62" s="7">
        <v>0</v>
      </c>
      <c r="S62" s="8">
        <v>0</v>
      </c>
      <c r="T62" s="7" t="e">
        <f t="shared" si="21"/>
        <v>#DIV/0!</v>
      </c>
      <c r="U62" s="7">
        <v>0</v>
      </c>
      <c r="V62" s="8">
        <v>0</v>
      </c>
      <c r="W62" s="7" t="e">
        <f t="shared" si="22"/>
        <v>#DIV/0!</v>
      </c>
      <c r="X62" s="7">
        <v>0</v>
      </c>
      <c r="Y62" s="8">
        <v>0</v>
      </c>
      <c r="Z62" s="7" t="e">
        <f t="shared" si="23"/>
        <v>#DIV/0!</v>
      </c>
      <c r="AA62" s="7">
        <v>0</v>
      </c>
      <c r="AB62" s="8">
        <v>0</v>
      </c>
      <c r="AC62" s="7">
        <f t="shared" si="24"/>
        <v>1553.1666666666667</v>
      </c>
      <c r="AD62" s="7">
        <v>9319</v>
      </c>
      <c r="AE62" s="8">
        <v>6</v>
      </c>
      <c r="AF62" s="7">
        <f t="shared" si="25"/>
        <v>1554.8148148148148</v>
      </c>
      <c r="AG62" s="7">
        <v>4198</v>
      </c>
      <c r="AH62" s="8">
        <v>2.7</v>
      </c>
      <c r="AI62" s="7" t="e">
        <f t="shared" si="26"/>
        <v>#DIV/0!</v>
      </c>
      <c r="AJ62" s="7">
        <v>0</v>
      </c>
      <c r="AK62" s="8">
        <v>0</v>
      </c>
      <c r="AL62" s="7" t="e">
        <f t="shared" si="27"/>
        <v>#DIV/0!</v>
      </c>
      <c r="AM62" s="7">
        <v>0</v>
      </c>
      <c r="AN62" s="8">
        <v>0</v>
      </c>
      <c r="AO62" s="7">
        <f t="shared" si="12"/>
        <v>1553.6781609195405</v>
      </c>
      <c r="AP62" s="7">
        <f t="shared" si="15"/>
        <v>13517</v>
      </c>
      <c r="AQ62" s="8">
        <f t="shared" si="14"/>
        <v>8.6999999999999993</v>
      </c>
    </row>
    <row r="63" spans="1:43" x14ac:dyDescent="0.3">
      <c r="A63" s="16" t="s">
        <v>88</v>
      </c>
      <c r="B63" s="24"/>
      <c r="C63" s="24"/>
      <c r="D63" s="24"/>
      <c r="E63" s="14">
        <f t="shared" si="16"/>
        <v>1783.9142857142858</v>
      </c>
      <c r="F63" s="12">
        <v>499496</v>
      </c>
      <c r="G63" s="13">
        <v>280</v>
      </c>
      <c r="H63" s="12" t="e">
        <f t="shared" si="17"/>
        <v>#DIV/0!</v>
      </c>
      <c r="I63" s="12">
        <v>0</v>
      </c>
      <c r="J63" s="13">
        <v>0</v>
      </c>
      <c r="K63" s="12" t="e">
        <f t="shared" si="18"/>
        <v>#DIV/0!</v>
      </c>
      <c r="L63" s="12">
        <v>0</v>
      </c>
      <c r="M63" s="13">
        <v>0</v>
      </c>
      <c r="N63" s="12" t="e">
        <f t="shared" si="19"/>
        <v>#DIV/0!</v>
      </c>
      <c r="O63" s="12">
        <v>0</v>
      </c>
      <c r="P63" s="13">
        <v>0</v>
      </c>
      <c r="Q63" s="12" t="e">
        <f t="shared" si="20"/>
        <v>#DIV/0!</v>
      </c>
      <c r="R63" s="12">
        <v>0</v>
      </c>
      <c r="S63" s="13">
        <v>0</v>
      </c>
      <c r="T63" s="12" t="e">
        <f t="shared" si="21"/>
        <v>#DIV/0!</v>
      </c>
      <c r="U63" s="12">
        <v>0</v>
      </c>
      <c r="V63" s="13">
        <v>0</v>
      </c>
      <c r="W63" s="12" t="e">
        <f t="shared" si="22"/>
        <v>#DIV/0!</v>
      </c>
      <c r="X63" s="12">
        <v>0</v>
      </c>
      <c r="Y63" s="13">
        <v>0</v>
      </c>
      <c r="Z63" s="12" t="e">
        <f t="shared" si="23"/>
        <v>#DIV/0!</v>
      </c>
      <c r="AA63" s="12">
        <v>0</v>
      </c>
      <c r="AB63" s="13">
        <v>0</v>
      </c>
      <c r="AC63" s="12" t="e">
        <f t="shared" si="24"/>
        <v>#DIV/0!</v>
      </c>
      <c r="AD63" s="12">
        <v>0</v>
      </c>
      <c r="AE63" s="13">
        <v>0</v>
      </c>
      <c r="AF63" s="12" t="e">
        <f t="shared" si="25"/>
        <v>#DIV/0!</v>
      </c>
      <c r="AG63" s="12">
        <v>0</v>
      </c>
      <c r="AH63" s="13">
        <v>0</v>
      </c>
      <c r="AI63" s="12" t="e">
        <f t="shared" si="26"/>
        <v>#DIV/0!</v>
      </c>
      <c r="AJ63" s="12">
        <v>0</v>
      </c>
      <c r="AK63" s="13">
        <v>0</v>
      </c>
      <c r="AL63" s="12" t="e">
        <f t="shared" si="27"/>
        <v>#DIV/0!</v>
      </c>
      <c r="AM63" s="12">
        <v>0</v>
      </c>
      <c r="AN63" s="13">
        <v>0</v>
      </c>
      <c r="AO63" s="12">
        <f t="shared" si="12"/>
        <v>1783.9142857142858</v>
      </c>
      <c r="AP63" s="12">
        <f t="shared" si="15"/>
        <v>499496</v>
      </c>
      <c r="AQ63" s="13">
        <f t="shared" si="14"/>
        <v>280</v>
      </c>
    </row>
    <row r="64" spans="1:43" x14ac:dyDescent="0.3">
      <c r="A64" s="1" t="s">
        <v>41</v>
      </c>
      <c r="B64" s="1"/>
    </row>
    <row r="65" spans="1:2" x14ac:dyDescent="0.3">
      <c r="A65" s="1" t="s">
        <v>68</v>
      </c>
      <c r="B65" s="1"/>
    </row>
    <row r="66" spans="1:2" x14ac:dyDescent="0.3">
      <c r="A66" s="1" t="s">
        <v>42</v>
      </c>
      <c r="B66" s="1"/>
    </row>
    <row r="67" spans="1:2" x14ac:dyDescent="0.3">
      <c r="A67" s="1" t="s">
        <v>43</v>
      </c>
      <c r="B67" s="1"/>
    </row>
    <row r="68" spans="1:2" x14ac:dyDescent="0.3">
      <c r="A68" s="1" t="s">
        <v>69</v>
      </c>
      <c r="B68" s="1"/>
    </row>
  </sheetData>
  <mergeCells count="16">
    <mergeCell ref="B3:B63"/>
    <mergeCell ref="C3:C63"/>
    <mergeCell ref="AO1:AQ1"/>
    <mergeCell ref="W1:Y1"/>
    <mergeCell ref="Z1:AB1"/>
    <mergeCell ref="AC1:AE1"/>
    <mergeCell ref="AF1:AH1"/>
    <mergeCell ref="AI1:AK1"/>
    <mergeCell ref="D3:D63"/>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2026-08-07T05:33:41Z</dcterms:modified>
</cp:coreProperties>
</file>