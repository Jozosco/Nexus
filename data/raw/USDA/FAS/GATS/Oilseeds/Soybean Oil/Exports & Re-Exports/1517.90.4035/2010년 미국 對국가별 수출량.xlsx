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0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36" i="1" l="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C3" i="1" l="1"/>
  <c r="Q3" i="1"/>
  <c r="AL3" i="1"/>
  <c r="AF3" i="1"/>
  <c r="W3" i="1"/>
  <c r="T3" i="1"/>
  <c r="N3" i="1"/>
  <c r="K3" i="1"/>
  <c r="H3" i="1"/>
  <c r="AP5" i="1"/>
  <c r="AP3" i="1" s="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I3" i="1" l="1"/>
  <c r="Z3" i="1"/>
  <c r="AO7" i="1"/>
  <c r="AO15" i="1"/>
  <c r="E3" i="1"/>
  <c r="AO10" i="1"/>
  <c r="AO18" i="1"/>
  <c r="AO26" i="1"/>
  <c r="AO34" i="1"/>
  <c r="AO11" i="1"/>
  <c r="AO27" i="1"/>
  <c r="AO35" i="1"/>
  <c r="AO20" i="1"/>
  <c r="AO28" i="1"/>
  <c r="AO36" i="1"/>
  <c r="AO5" i="1"/>
  <c r="AO13" i="1"/>
  <c r="AO21" i="1"/>
  <c r="AO29" i="1"/>
  <c r="AO6" i="1"/>
  <c r="AO14" i="1"/>
  <c r="AO22" i="1"/>
  <c r="AO30" i="1"/>
  <c r="AO31" i="1"/>
  <c r="AO8" i="1"/>
  <c r="AO16" i="1"/>
  <c r="AO24" i="1"/>
  <c r="AO32" i="1"/>
  <c r="AO9" i="1"/>
  <c r="AO17" i="1"/>
  <c r="AO25" i="1"/>
  <c r="AO33" i="1"/>
  <c r="AO19" i="1"/>
  <c r="AO23" i="1"/>
  <c r="AQ3" i="1"/>
  <c r="AO3" i="1" l="1"/>
  <c r="AO4" i="1"/>
  <c r="AO12" i="1"/>
</calcChain>
</file>

<file path=xl/sharedStrings.xml><?xml version="1.0" encoding="utf-8"?>
<sst xmlns="http://schemas.openxmlformats.org/spreadsheetml/2006/main" count="98" uniqueCount="62">
  <si>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</si>
  <si>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</si>
  <si>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</si>
  <si>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</si>
  <si>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</si>
  <si>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</si>
  <si>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</si>
  <si>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</si>
  <si>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</si>
  <si>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</si>
  <si>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</si>
  <si>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</si>
  <si>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</si>
  <si>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</si>
  <si>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</si>
  <si>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</si>
  <si>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</si>
  <si>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</si>
  <si>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Australia(*)</t>
  </si>
  <si>
    <t>Colombia</t>
  </si>
  <si>
    <t>Dominican Republic</t>
  </si>
  <si>
    <t>Jamaica</t>
  </si>
  <si>
    <t>Mexico</t>
  </si>
  <si>
    <t>United Arab Emirates</t>
  </si>
  <si>
    <t>Bahamas, The</t>
  </si>
  <si>
    <t>Belize</t>
  </si>
  <si>
    <t>China</t>
  </si>
  <si>
    <t>Guatemala</t>
  </si>
  <si>
    <t>Honduras</t>
  </si>
  <si>
    <t>Japan</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</si>
  <si>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</si>
  <si>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</si>
  <si>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</si>
  <si>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</si>
  <si>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</si>
  <si>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</si>
  <si>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</si>
  <si>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</si>
  <si>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</si>
  <si>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</si>
  <si>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</si>
  <si>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</si>
  <si>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</si>
  <si>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</si>
  <si>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</si>
  <si>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</si>
  <si>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Bermuda</t>
  </si>
  <si>
    <t>New Zealand(*)</t>
  </si>
  <si>
    <t>United Kingdom</t>
  </si>
  <si>
    <t>1. Data Source: U.S. Census Bureau Trade Data</t>
  </si>
  <si>
    <t>4. Product Group : Harmonized</t>
  </si>
  <si>
    <t>Product</t>
    <phoneticPr fontId="18" type="noConversion"/>
  </si>
  <si>
    <t>Spain</t>
  </si>
  <si>
    <t>Angola</t>
  </si>
  <si>
    <t>Suriname</t>
  </si>
  <si>
    <t>Taiwan</t>
  </si>
  <si>
    <t>Austria</t>
  </si>
  <si>
    <t>Netherlands</t>
  </si>
  <si>
    <t>Qatar</t>
  </si>
  <si>
    <t>Turks and Caicos Islands</t>
  </si>
  <si>
    <t>Other Pacific Islands, NEC(*)</t>
  </si>
  <si>
    <t>SOY OIL HYDRGNTD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</si>
</sst>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21"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2" t="s">
        <v>1</v>
      </c>
      <c r="I1" s="13"/>
      <c r="J1" s="14"/>
      <c r="K1" s="12" t="s">
        <v>2</v>
      </c>
      <c r="L1" s="13"/>
      <c r="M1" s="14"/>
      <c r="N1" s="12" t="s">
        <v>3</v>
      </c>
      <c r="O1" s="13"/>
      <c r="P1" s="14"/>
      <c r="Q1" s="12" t="s">
        <v>4</v>
      </c>
      <c r="R1" s="13"/>
      <c r="S1" s="14"/>
      <c r="T1" s="12" t="s">
        <v>5</v>
      </c>
      <c r="U1" s="13"/>
      <c r="V1" s="14"/>
      <c r="W1" s="12" t="s">
        <v>6</v>
      </c>
      <c r="X1" s="13"/>
      <c r="Y1" s="14"/>
      <c r="Z1" s="12" t="s">
        <v>7</v>
      </c>
      <c r="AA1" s="13"/>
      <c r="AB1" s="14"/>
      <c r="AC1" s="12" t="s">
        <v>8</v>
      </c>
      <c r="AD1" s="13"/>
      <c r="AE1" s="14"/>
      <c r="AF1" s="12" t="s">
        <v>9</v>
      </c>
      <c r="AG1" s="13"/>
      <c r="AH1" s="14"/>
      <c r="AI1" s="12" t="s">
        <v>10</v>
      </c>
      <c r="AJ1" s="13"/>
      <c r="AK1" s="14"/>
      <c r="AL1" s="12" t="s">
        <v>11</v>
      </c>
      <c r="AM1" s="13"/>
      <c r="AN1" s="14"/>
      <c r="AO1" s="12" t="s">
        <v>12</v>
      </c>
      <c r="AP1" s="13"/>
      <c r="AQ1" s="14"/>
    </row>
    <row r="2" spans="1:67" x14ac:dyDescent="0.3">
      <c r="A2" s="2" t="s">
        <v>37</v>
      </c>
      <c r="B2" s="2" t="s">
        <v>51</v>
      </c>
      <c r="C2" s="2" t="s">
        <v>13</v>
      </c>
      <c r="D2" s="2" t="s">
        <v>38</v>
      </c>
      <c r="E2" s="4" t="s">
        <v>14</v>
      </c>
      <c r="F2" s="2" t="s">
        <v>38</v>
      </c>
      <c r="G2" s="5" t="s">
        <v>15</v>
      </c>
      <c r="H2" s="2" t="s">
        <v>14</v>
      </c>
      <c r="I2" s="2" t="s">
        <v>38</v>
      </c>
      <c r="J2" s="5" t="s">
        <v>15</v>
      </c>
      <c r="K2" s="2" t="s">
        <v>14</v>
      </c>
      <c r="L2" s="2" t="s">
        <v>38</v>
      </c>
      <c r="M2" s="5" t="s">
        <v>15</v>
      </c>
      <c r="N2" s="2" t="s">
        <v>14</v>
      </c>
      <c r="O2" s="2" t="s">
        <v>38</v>
      </c>
      <c r="P2" s="5" t="s">
        <v>15</v>
      </c>
      <c r="Q2" s="2" t="s">
        <v>14</v>
      </c>
      <c r="R2" s="2" t="s">
        <v>38</v>
      </c>
      <c r="S2" s="5" t="s">
        <v>15</v>
      </c>
      <c r="T2" s="2" t="s">
        <v>14</v>
      </c>
      <c r="U2" s="2" t="s">
        <v>38</v>
      </c>
      <c r="V2" s="5" t="s">
        <v>15</v>
      </c>
      <c r="W2" s="2" t="s">
        <v>14</v>
      </c>
      <c r="X2" s="2" t="s">
        <v>38</v>
      </c>
      <c r="Y2" s="5" t="s">
        <v>15</v>
      </c>
      <c r="Z2" s="2" t="s">
        <v>14</v>
      </c>
      <c r="AA2" s="2" t="s">
        <v>38</v>
      </c>
      <c r="AB2" s="5" t="s">
        <v>15</v>
      </c>
      <c r="AC2" s="2" t="s">
        <v>14</v>
      </c>
      <c r="AD2" s="2" t="s">
        <v>38</v>
      </c>
      <c r="AE2" s="5" t="s">
        <v>15</v>
      </c>
      <c r="AF2" s="2" t="s">
        <v>14</v>
      </c>
      <c r="AG2" s="2" t="s">
        <v>38</v>
      </c>
      <c r="AH2" s="5" t="s">
        <v>15</v>
      </c>
      <c r="AI2" s="2" t="s">
        <v>14</v>
      </c>
      <c r="AJ2" s="2" t="s">
        <v>38</v>
      </c>
      <c r="AK2" s="5" t="s">
        <v>15</v>
      </c>
      <c r="AL2" s="2" t="s">
        <v>14</v>
      </c>
      <c r="AM2" s="2" t="s">
        <v>38</v>
      </c>
      <c r="AN2" s="5" t="s">
        <v>15</v>
      </c>
      <c r="AO2" s="2" t="s">
        <v>14</v>
      </c>
      <c r="AP2" s="2" t="s">
        <v>40</v>
      </c>
      <c r="AQ2" s="5" t="s">
        <v>15</v>
      </c>
    </row>
    <row r="3" spans="1:67" ht="15" customHeight="1" x14ac:dyDescent="0.3">
      <c r="A3" s="7" t="s">
        <v>16</v>
      </c>
      <c r="B3" s="19" t="s">
        <v>61</v>
      </c>
      <c r="C3" s="18" t="s">
        <v>17</v>
      </c>
      <c r="D3" s="18" t="s">
        <v>39</v>
      </c>
      <c r="E3" s="9">
        <f>F3/G3</f>
        <v>1403.8884524744697</v>
      </c>
      <c r="F3" s="10">
        <f>SUM(F4:F36)</f>
        <v>714860</v>
      </c>
      <c r="G3" s="11">
        <f>SUM(G4:G36)</f>
        <v>509.20000000000005</v>
      </c>
      <c r="H3" s="10">
        <f>I3/J3</f>
        <v>1476.7459562321599</v>
      </c>
      <c r="I3" s="10">
        <f>SUM(I4:I36)</f>
        <v>465618</v>
      </c>
      <c r="J3" s="11">
        <f>SUM(J4:J36)</f>
        <v>315.3</v>
      </c>
      <c r="K3" s="10">
        <f>L3/M3</f>
        <v>1380.6458145814581</v>
      </c>
      <c r="L3" s="10">
        <f>SUM(L4:L36)</f>
        <v>613559</v>
      </c>
      <c r="M3" s="11">
        <f>SUM(M4:M36)</f>
        <v>444.40000000000003</v>
      </c>
      <c r="N3" s="10">
        <f>O3/P3</f>
        <v>1274.8976480836238</v>
      </c>
      <c r="O3" s="10">
        <f>SUM(O4:O36)</f>
        <v>585433</v>
      </c>
      <c r="P3" s="11">
        <f>SUM(P4:P36)</f>
        <v>459.2</v>
      </c>
      <c r="Q3" s="10">
        <f>R3/S3</f>
        <v>1365.6325088339224</v>
      </c>
      <c r="R3" s="10">
        <f>SUM(R4:R36)</f>
        <v>579711</v>
      </c>
      <c r="S3" s="11">
        <f>SUM(S4:S36)</f>
        <v>424.49999999999994</v>
      </c>
      <c r="T3" s="10">
        <f>U3/V3</f>
        <v>1279.8055028463</v>
      </c>
      <c r="U3" s="10">
        <f>SUM(U4:U36)</f>
        <v>539566</v>
      </c>
      <c r="V3" s="11">
        <f>SUM(V4:V36)</f>
        <v>421.59999999999997</v>
      </c>
      <c r="W3" s="10">
        <f>X3/Y3</f>
        <v>1552.9153094462542</v>
      </c>
      <c r="X3" s="10">
        <f>SUM(X4:X36)</f>
        <v>286047</v>
      </c>
      <c r="Y3" s="11">
        <f>SUM(Y4:Y36)</f>
        <v>184.2</v>
      </c>
      <c r="Z3" s="10">
        <f>AA3/AB3</f>
        <v>1127.8904189862292</v>
      </c>
      <c r="AA3" s="10">
        <f>SUM(AA4:AA36)</f>
        <v>384949</v>
      </c>
      <c r="AB3" s="11">
        <f>SUM(AB4:AB36)</f>
        <v>341.3</v>
      </c>
      <c r="AC3" s="10">
        <f>AD3/AE3</f>
        <v>1379.2990813201768</v>
      </c>
      <c r="AD3" s="10">
        <f>SUM(AD4:AD36)</f>
        <v>405376</v>
      </c>
      <c r="AE3" s="11">
        <f>SUM(AE4:AE36)</f>
        <v>293.90000000000003</v>
      </c>
      <c r="AF3" s="10">
        <f>AG3/AH3</f>
        <v>1361.4728148657948</v>
      </c>
      <c r="AG3" s="10">
        <f>SUM(AG4:AG36)</f>
        <v>791288</v>
      </c>
      <c r="AH3" s="11">
        <f>SUM(AH4:AH36)</f>
        <v>581.20000000000005</v>
      </c>
      <c r="AI3" s="10">
        <f>AJ3/AK3</f>
        <v>1457.2788461538462</v>
      </c>
      <c r="AJ3" s="10">
        <f>SUM(AJ4:AJ36)</f>
        <v>151557</v>
      </c>
      <c r="AK3" s="11">
        <f>SUM(AK4:AK36)</f>
        <v>104</v>
      </c>
      <c r="AL3" s="10">
        <f>AM3/AN3</f>
        <v>1412.2101033295062</v>
      </c>
      <c r="AM3" s="10">
        <f>SUM(AM4:AM36)</f>
        <v>246007</v>
      </c>
      <c r="AN3" s="11">
        <f>SUM(AN4:AN36)</f>
        <v>174.20000000000002</v>
      </c>
      <c r="AO3" s="10">
        <f>AP3/AQ3</f>
        <v>1355.2718081354333</v>
      </c>
      <c r="AP3" s="10">
        <f>SUM(AP4:AP36)</f>
        <v>5763971</v>
      </c>
      <c r="AQ3" s="11">
        <f>SUM(AQ4:AQ36)</f>
        <v>4253.0000000000018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44</v>
      </c>
      <c r="B4" s="19"/>
      <c r="C4" s="19"/>
      <c r="D4" s="19"/>
      <c r="E4" s="3" t="e">
        <f t="shared" ref="E4:E11" si="0">F4/G4</f>
        <v>#DIV/0!</v>
      </c>
      <c r="F4" s="3">
        <v>0</v>
      </c>
      <c r="G4" s="6">
        <v>0</v>
      </c>
      <c r="H4" s="3" t="e">
        <f t="shared" ref="H4:H11" si="1">I4/J4</f>
        <v>#DIV/0!</v>
      </c>
      <c r="I4" s="3">
        <v>0</v>
      </c>
      <c r="J4" s="6">
        <v>0</v>
      </c>
      <c r="K4" s="3" t="e">
        <f t="shared" ref="K4:K11" si="2">L4/M4</f>
        <v>#DIV/0!</v>
      </c>
      <c r="L4" s="3">
        <v>0</v>
      </c>
      <c r="M4" s="6">
        <v>0</v>
      </c>
      <c r="N4" s="3" t="e">
        <f t="shared" ref="N4:N11" si="3">O4/P4</f>
        <v>#DIV/0!</v>
      </c>
      <c r="O4" s="3">
        <v>0</v>
      </c>
      <c r="P4" s="6">
        <v>0</v>
      </c>
      <c r="Q4" s="3" t="e">
        <f t="shared" ref="Q4:Q11" si="4">R4/S4</f>
        <v>#DIV/0!</v>
      </c>
      <c r="R4" s="3">
        <v>0</v>
      </c>
      <c r="S4" s="6">
        <v>0</v>
      </c>
      <c r="T4" s="3">
        <f t="shared" ref="T4:T11" si="5">U4/V4</f>
        <v>1452.8846153846152</v>
      </c>
      <c r="U4" s="3">
        <v>15110</v>
      </c>
      <c r="V4" s="6">
        <v>10.4</v>
      </c>
      <c r="W4" s="3" t="e">
        <f t="shared" ref="W4:W11" si="6">X4/Y4</f>
        <v>#DIV/0!</v>
      </c>
      <c r="X4" s="3">
        <v>0</v>
      </c>
      <c r="Y4" s="6">
        <v>0</v>
      </c>
      <c r="Z4" s="3">
        <f t="shared" ref="Z4:Z11" si="7">AA4/AB4</f>
        <v>1197</v>
      </c>
      <c r="AA4" s="3">
        <v>8379</v>
      </c>
      <c r="AB4" s="6">
        <v>7</v>
      </c>
      <c r="AC4" s="3" t="e">
        <f t="shared" ref="AC4:AC11" si="8">AD4/AE4</f>
        <v>#DIV/0!</v>
      </c>
      <c r="AD4" s="3">
        <v>0</v>
      </c>
      <c r="AE4" s="6">
        <v>0</v>
      </c>
      <c r="AF4" s="3" t="e">
        <f t="shared" ref="AF4:AF11" si="9">AG4/AH4</f>
        <v>#DIV/0!</v>
      </c>
      <c r="AG4" s="3">
        <v>0</v>
      </c>
      <c r="AH4" s="6">
        <v>0</v>
      </c>
      <c r="AI4" s="3" t="e">
        <f t="shared" ref="AI4:AI11" si="10">AJ4/AK4</f>
        <v>#DIV/0!</v>
      </c>
      <c r="AJ4" s="3">
        <v>0</v>
      </c>
      <c r="AK4" s="6">
        <v>0</v>
      </c>
      <c r="AL4" s="3">
        <f t="shared" ref="AL4:AL11" si="11">AM4/AN4</f>
        <v>1279.5762711864406</v>
      </c>
      <c r="AM4" s="3">
        <v>60396</v>
      </c>
      <c r="AN4" s="6">
        <v>47.2</v>
      </c>
      <c r="AO4" s="3">
        <f t="shared" ref="AO4:AO36" si="12">AP4/AQ4</f>
        <v>1298.5294117647061</v>
      </c>
      <c r="AP4" s="3">
        <f t="shared" ref="AP4" si="13">SUM(F4,I4,L4,O4,R4,U4,X4,AA4,AD4,AG4,AJ4,AM4)</f>
        <v>83885</v>
      </c>
      <c r="AQ4" s="6">
        <f t="shared" ref="AQ4" si="14">SUM(G4,J4,M4,P4,S4,V4,Y4,AB4,AE4,AH4,AK4,AN4)</f>
        <v>64.599999999999994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31</v>
      </c>
      <c r="B5" s="19"/>
      <c r="C5" s="19"/>
      <c r="D5" s="19"/>
      <c r="E5" s="3">
        <f t="shared" si="0"/>
        <v>1605</v>
      </c>
      <c r="F5" s="3">
        <v>8025</v>
      </c>
      <c r="G5" s="6">
        <v>5</v>
      </c>
      <c r="H5" s="3" t="e">
        <f t="shared" si="1"/>
        <v>#DIV/0!</v>
      </c>
      <c r="I5" s="3">
        <v>0</v>
      </c>
      <c r="J5" s="6">
        <v>0</v>
      </c>
      <c r="K5" s="3">
        <f t="shared" si="2"/>
        <v>1070.8484848484848</v>
      </c>
      <c r="L5" s="3">
        <v>17669</v>
      </c>
      <c r="M5" s="6">
        <v>16.5</v>
      </c>
      <c r="N5" s="3">
        <f t="shared" si="3"/>
        <v>2404.3835616438355</v>
      </c>
      <c r="O5" s="3">
        <v>17552</v>
      </c>
      <c r="P5" s="6">
        <v>7.3</v>
      </c>
      <c r="Q5" s="3">
        <f t="shared" si="4"/>
        <v>1150.9137055837564</v>
      </c>
      <c r="R5" s="3">
        <v>22673</v>
      </c>
      <c r="S5" s="6">
        <v>19.7</v>
      </c>
      <c r="T5" s="3" t="e">
        <f t="shared" si="5"/>
        <v>#DIV/0!</v>
      </c>
      <c r="U5" s="3">
        <v>0</v>
      </c>
      <c r="V5" s="6">
        <v>0</v>
      </c>
      <c r="W5" s="3" t="e">
        <f t="shared" si="6"/>
        <v>#DIV/0!</v>
      </c>
      <c r="X5" s="3">
        <v>0</v>
      </c>
      <c r="Y5" s="6">
        <v>0</v>
      </c>
      <c r="Z5" s="3">
        <f t="shared" si="7"/>
        <v>1023.0927835051547</v>
      </c>
      <c r="AA5" s="3">
        <v>9924</v>
      </c>
      <c r="AB5" s="6">
        <v>9.6999999999999993</v>
      </c>
      <c r="AC5" s="3">
        <f t="shared" si="8"/>
        <v>1410</v>
      </c>
      <c r="AD5" s="3">
        <v>7614</v>
      </c>
      <c r="AE5" s="6">
        <v>5.4</v>
      </c>
      <c r="AF5" s="3">
        <f t="shared" si="9"/>
        <v>1248.9483065953655</v>
      </c>
      <c r="AG5" s="3">
        <v>70066</v>
      </c>
      <c r="AH5" s="6">
        <v>56.1</v>
      </c>
      <c r="AI5" s="3">
        <f t="shared" si="10"/>
        <v>1239.021739130435</v>
      </c>
      <c r="AJ5" s="3">
        <v>45596</v>
      </c>
      <c r="AK5" s="6">
        <v>36.799999999999997</v>
      </c>
      <c r="AL5" s="3">
        <f t="shared" si="11"/>
        <v>1626.5606936416184</v>
      </c>
      <c r="AM5" s="3">
        <v>56279</v>
      </c>
      <c r="AN5" s="6">
        <v>34.6</v>
      </c>
      <c r="AO5" s="3">
        <f t="shared" si="12"/>
        <v>1336.4625850340137</v>
      </c>
      <c r="AP5" s="3">
        <f t="shared" ref="AP5" si="15">SUM(F5,I5,L5,O5,R5,U5,X5,AA5,AD5,AG5,AJ5,AM5)</f>
        <v>255398</v>
      </c>
      <c r="AQ5" s="6">
        <f t="shared" ref="AQ5" si="16">SUM(G5,J5,M5,P5,S5,V5,Y5,AB5,AE5,AH5,AK5,AN5)</f>
        <v>191.1</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42</v>
      </c>
      <c r="B6" s="19"/>
      <c r="C6" s="19"/>
      <c r="D6" s="19"/>
      <c r="E6" s="3">
        <f t="shared" si="0"/>
        <v>1260.9906152241917</v>
      </c>
      <c r="F6" s="3">
        <v>120929</v>
      </c>
      <c r="G6" s="6">
        <v>95.9</v>
      </c>
      <c r="H6" s="3">
        <f t="shared" si="1"/>
        <v>1168.8978494623655</v>
      </c>
      <c r="I6" s="3">
        <v>43483</v>
      </c>
      <c r="J6" s="6">
        <v>37.200000000000003</v>
      </c>
      <c r="K6" s="3">
        <f t="shared" si="2"/>
        <v>1314.230303030303</v>
      </c>
      <c r="L6" s="3">
        <v>108424</v>
      </c>
      <c r="M6" s="6">
        <v>82.5</v>
      </c>
      <c r="N6" s="3">
        <f t="shared" si="3"/>
        <v>1357.7058823529412</v>
      </c>
      <c r="O6" s="3">
        <v>92324</v>
      </c>
      <c r="P6" s="6">
        <v>68</v>
      </c>
      <c r="Q6" s="3">
        <f t="shared" si="4"/>
        <v>1378.5237613751262</v>
      </c>
      <c r="R6" s="3">
        <v>136336</v>
      </c>
      <c r="S6" s="6">
        <v>98.9</v>
      </c>
      <c r="T6" s="3">
        <f t="shared" si="5"/>
        <v>1396.1863173216886</v>
      </c>
      <c r="U6" s="3">
        <v>287754</v>
      </c>
      <c r="V6" s="6">
        <v>206.1</v>
      </c>
      <c r="W6" s="3">
        <f t="shared" si="6"/>
        <v>1238.5645933014355</v>
      </c>
      <c r="X6" s="3">
        <v>25886</v>
      </c>
      <c r="Y6" s="6">
        <v>20.9</v>
      </c>
      <c r="Z6" s="3">
        <f t="shared" si="7"/>
        <v>1405.6461232604374</v>
      </c>
      <c r="AA6" s="3">
        <v>70704</v>
      </c>
      <c r="AB6" s="6">
        <v>50.3</v>
      </c>
      <c r="AC6" s="3">
        <f t="shared" si="8"/>
        <v>1345.3228962818005</v>
      </c>
      <c r="AD6" s="3">
        <v>68746</v>
      </c>
      <c r="AE6" s="6">
        <v>51.1</v>
      </c>
      <c r="AF6" s="3">
        <f t="shared" si="9"/>
        <v>1490.913140311804</v>
      </c>
      <c r="AG6" s="3">
        <v>133884</v>
      </c>
      <c r="AH6" s="6">
        <v>89.8</v>
      </c>
      <c r="AI6" s="3" t="e">
        <f t="shared" si="10"/>
        <v>#DIV/0!</v>
      </c>
      <c r="AJ6" s="3">
        <v>0</v>
      </c>
      <c r="AK6" s="6">
        <v>0</v>
      </c>
      <c r="AL6" s="3">
        <f t="shared" si="11"/>
        <v>1302.6470588235295</v>
      </c>
      <c r="AM6" s="3">
        <v>26574</v>
      </c>
      <c r="AN6" s="6">
        <v>20.399999999999999</v>
      </c>
      <c r="AO6" s="3">
        <f t="shared" si="12"/>
        <v>1357.9880647911341</v>
      </c>
      <c r="AP6" s="3">
        <f t="shared" ref="AP6:AP36" si="17">SUM(F6,I6,L6,O6,R6,U6,X6,AA6,AD6,AG6,AJ6,AM6)</f>
        <v>1115044</v>
      </c>
      <c r="AQ6" s="6">
        <f t="shared" ref="AQ6:AQ36" si="18">SUM(G6,J6,M6,P6,S6,V6,Y6,AB6,AE6,AH6,AK6,AN6)</f>
        <v>821.09999999999991</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24</v>
      </c>
      <c r="B7" s="19"/>
      <c r="C7" s="19"/>
      <c r="D7" s="19"/>
      <c r="E7" s="3">
        <f t="shared" si="0"/>
        <v>1990.9090909090908</v>
      </c>
      <c r="F7" s="3">
        <v>4380</v>
      </c>
      <c r="G7" s="6">
        <v>2.2000000000000002</v>
      </c>
      <c r="H7" s="3">
        <f t="shared" si="1"/>
        <v>1460.5238095238096</v>
      </c>
      <c r="I7" s="3">
        <v>92013</v>
      </c>
      <c r="J7" s="6">
        <v>63</v>
      </c>
      <c r="K7" s="3">
        <f t="shared" si="2"/>
        <v>2019.0537084398977</v>
      </c>
      <c r="L7" s="3">
        <v>78945</v>
      </c>
      <c r="M7" s="6">
        <v>39.1</v>
      </c>
      <c r="N7" s="3">
        <f t="shared" si="3"/>
        <v>1346.9662921348315</v>
      </c>
      <c r="O7" s="3">
        <v>23976</v>
      </c>
      <c r="P7" s="6">
        <v>17.8</v>
      </c>
      <c r="Q7" s="3">
        <f t="shared" si="4"/>
        <v>2014.5348837209303</v>
      </c>
      <c r="R7" s="3">
        <v>17325</v>
      </c>
      <c r="S7" s="6">
        <v>8.6</v>
      </c>
      <c r="T7" s="3">
        <f t="shared" si="5"/>
        <v>1060.4811715481171</v>
      </c>
      <c r="U7" s="3">
        <v>50691</v>
      </c>
      <c r="V7" s="6">
        <v>47.8</v>
      </c>
      <c r="W7" s="3">
        <f t="shared" si="6"/>
        <v>1158.5321100917431</v>
      </c>
      <c r="X7" s="3">
        <v>50512</v>
      </c>
      <c r="Y7" s="6">
        <v>43.6</v>
      </c>
      <c r="Z7" s="3">
        <f t="shared" si="7"/>
        <v>1006.9060773480662</v>
      </c>
      <c r="AA7" s="3">
        <v>18225</v>
      </c>
      <c r="AB7" s="6">
        <v>18.100000000000001</v>
      </c>
      <c r="AC7" s="3">
        <f t="shared" si="8"/>
        <v>2029.5</v>
      </c>
      <c r="AD7" s="3">
        <v>8118</v>
      </c>
      <c r="AE7" s="6">
        <v>4</v>
      </c>
      <c r="AF7" s="3">
        <f t="shared" si="9"/>
        <v>1903.5398230088495</v>
      </c>
      <c r="AG7" s="3">
        <v>21510</v>
      </c>
      <c r="AH7" s="6">
        <v>11.3</v>
      </c>
      <c r="AI7" s="3">
        <f t="shared" si="10"/>
        <v>2770.8762886597942</v>
      </c>
      <c r="AJ7" s="3">
        <v>53755</v>
      </c>
      <c r="AK7" s="6">
        <v>19.399999999999999</v>
      </c>
      <c r="AL7" s="3">
        <f t="shared" si="11"/>
        <v>1292.5615763546798</v>
      </c>
      <c r="AM7" s="3">
        <v>26239</v>
      </c>
      <c r="AN7" s="6">
        <v>20.3</v>
      </c>
      <c r="AO7" s="3">
        <f t="shared" si="12"/>
        <v>1509.7865853658536</v>
      </c>
      <c r="AP7" s="3">
        <f t="shared" si="17"/>
        <v>445689</v>
      </c>
      <c r="AQ7" s="6">
        <f t="shared" si="18"/>
        <v>295.2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43</v>
      </c>
      <c r="B8" s="19"/>
      <c r="C8" s="19"/>
      <c r="D8" s="19"/>
      <c r="E8" s="3">
        <f t="shared" si="0"/>
        <v>1167.6623376623377</v>
      </c>
      <c r="F8" s="3">
        <v>17982</v>
      </c>
      <c r="G8" s="6">
        <v>15.4</v>
      </c>
      <c r="H8" s="3">
        <f t="shared" si="1"/>
        <v>1139.6198830409355</v>
      </c>
      <c r="I8" s="3">
        <v>38975</v>
      </c>
      <c r="J8" s="6">
        <v>34.200000000000003</v>
      </c>
      <c r="K8" s="3">
        <f t="shared" si="2"/>
        <v>1077.9735682819385</v>
      </c>
      <c r="L8" s="3">
        <v>48940</v>
      </c>
      <c r="M8" s="6">
        <v>45.4</v>
      </c>
      <c r="N8" s="3" t="e">
        <f t="shared" si="3"/>
        <v>#DIV/0!</v>
      </c>
      <c r="O8" s="3">
        <v>0</v>
      </c>
      <c r="P8" s="6">
        <v>0</v>
      </c>
      <c r="Q8" s="3">
        <f t="shared" si="4"/>
        <v>960.4054054054053</v>
      </c>
      <c r="R8" s="3">
        <v>14214</v>
      </c>
      <c r="S8" s="6">
        <v>14.8</v>
      </c>
      <c r="T8" s="3">
        <f t="shared" si="5"/>
        <v>1329.6103896103896</v>
      </c>
      <c r="U8" s="3">
        <v>20476</v>
      </c>
      <c r="V8" s="6">
        <v>15.4</v>
      </c>
      <c r="W8" s="3" t="e">
        <f t="shared" si="6"/>
        <v>#DIV/0!</v>
      </c>
      <c r="X8" s="3">
        <v>0</v>
      </c>
      <c r="Y8" s="6">
        <v>0</v>
      </c>
      <c r="Z8" s="3">
        <f t="shared" si="7"/>
        <v>899.89130434782612</v>
      </c>
      <c r="AA8" s="3">
        <v>16558</v>
      </c>
      <c r="AB8" s="6">
        <v>18.399999999999999</v>
      </c>
      <c r="AC8" s="3">
        <f t="shared" si="8"/>
        <v>1362.8571428571429</v>
      </c>
      <c r="AD8" s="3">
        <v>20988</v>
      </c>
      <c r="AE8" s="6">
        <v>15.4</v>
      </c>
      <c r="AF8" s="3" t="e">
        <f t="shared" si="9"/>
        <v>#DIV/0!</v>
      </c>
      <c r="AG8" s="3">
        <v>0</v>
      </c>
      <c r="AH8" s="6">
        <v>0</v>
      </c>
      <c r="AI8" s="3" t="e">
        <f t="shared" si="10"/>
        <v>#DIV/0!</v>
      </c>
      <c r="AJ8" s="3">
        <v>0</v>
      </c>
      <c r="AK8" s="6">
        <v>0</v>
      </c>
      <c r="AL8" s="3">
        <f t="shared" si="11"/>
        <v>1485.3246753246754</v>
      </c>
      <c r="AM8" s="3">
        <v>22874</v>
      </c>
      <c r="AN8" s="6">
        <v>15.4</v>
      </c>
      <c r="AO8" s="3">
        <f t="shared" si="12"/>
        <v>1152.5630733944954</v>
      </c>
      <c r="AP8" s="3">
        <f t="shared" si="17"/>
        <v>201007</v>
      </c>
      <c r="AQ8" s="6">
        <f t="shared" si="18"/>
        <v>174.4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26</v>
      </c>
      <c r="B9" s="19"/>
      <c r="C9" s="19"/>
      <c r="D9" s="19"/>
      <c r="E9" s="3">
        <f t="shared" si="0"/>
        <v>5906.25</v>
      </c>
      <c r="F9" s="3">
        <v>37800</v>
      </c>
      <c r="G9" s="6">
        <v>6.4</v>
      </c>
      <c r="H9" s="3" t="e">
        <f t="shared" si="1"/>
        <v>#DIV/0!</v>
      </c>
      <c r="I9" s="3">
        <v>0</v>
      </c>
      <c r="J9" s="6">
        <v>0</v>
      </c>
      <c r="K9" s="3">
        <f t="shared" si="2"/>
        <v>5929.4117647058829</v>
      </c>
      <c r="L9" s="3">
        <v>30240</v>
      </c>
      <c r="M9" s="6">
        <v>5.0999999999999996</v>
      </c>
      <c r="N9" s="3" t="e">
        <f t="shared" si="3"/>
        <v>#DIV/0!</v>
      </c>
      <c r="O9" s="3">
        <v>0</v>
      </c>
      <c r="P9" s="6">
        <v>0</v>
      </c>
      <c r="Q9" s="3">
        <f t="shared" si="4"/>
        <v>5839.0243902439033</v>
      </c>
      <c r="R9" s="3">
        <v>23940</v>
      </c>
      <c r="S9" s="6">
        <v>4.0999999999999996</v>
      </c>
      <c r="T9" s="3" t="e">
        <f t="shared" si="5"/>
        <v>#DIV/0!</v>
      </c>
      <c r="U9" s="3">
        <v>0</v>
      </c>
      <c r="V9" s="6">
        <v>0</v>
      </c>
      <c r="W9" s="3" t="e">
        <f t="shared" si="6"/>
        <v>#DIV/0!</v>
      </c>
      <c r="X9" s="3">
        <v>0</v>
      </c>
      <c r="Y9" s="6">
        <v>0</v>
      </c>
      <c r="Z9" s="3">
        <f t="shared" si="7"/>
        <v>5929.4117647058829</v>
      </c>
      <c r="AA9" s="3">
        <v>10080</v>
      </c>
      <c r="AB9" s="6">
        <v>1.7</v>
      </c>
      <c r="AC9" s="3" t="e">
        <f t="shared" si="8"/>
        <v>#DIV/0!</v>
      </c>
      <c r="AD9" s="3">
        <v>0</v>
      </c>
      <c r="AE9" s="6">
        <v>0</v>
      </c>
      <c r="AF9" s="3">
        <f t="shared" si="9"/>
        <v>5815.3846153846152</v>
      </c>
      <c r="AG9" s="3">
        <v>7560</v>
      </c>
      <c r="AH9" s="6">
        <v>1.3</v>
      </c>
      <c r="AI9" s="3">
        <f t="shared" si="10"/>
        <v>8190.0000000000009</v>
      </c>
      <c r="AJ9" s="3">
        <v>5733</v>
      </c>
      <c r="AK9" s="6">
        <v>0.7</v>
      </c>
      <c r="AL9" s="3">
        <f t="shared" si="11"/>
        <v>1460.8695652173913</v>
      </c>
      <c r="AM9" s="3">
        <v>20160</v>
      </c>
      <c r="AN9" s="6">
        <v>13.8</v>
      </c>
      <c r="AO9" s="3">
        <f t="shared" si="12"/>
        <v>4094.0483383685801</v>
      </c>
      <c r="AP9" s="3">
        <f t="shared" si="17"/>
        <v>135513</v>
      </c>
      <c r="AQ9" s="6">
        <f t="shared" si="18"/>
        <v>33.1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22</v>
      </c>
      <c r="B10" s="19"/>
      <c r="C10" s="19"/>
      <c r="D10" s="19"/>
      <c r="E10" s="3">
        <f t="shared" si="0"/>
        <v>1208.5265225933204</v>
      </c>
      <c r="F10" s="3">
        <v>61514</v>
      </c>
      <c r="G10" s="6">
        <v>50.9</v>
      </c>
      <c r="H10" s="3">
        <f t="shared" si="1"/>
        <v>1252.1052631578948</v>
      </c>
      <c r="I10" s="3">
        <v>7137</v>
      </c>
      <c r="J10" s="6">
        <v>5.7</v>
      </c>
      <c r="K10" s="3">
        <f t="shared" si="2"/>
        <v>1293.75</v>
      </c>
      <c r="L10" s="3">
        <v>6210</v>
      </c>
      <c r="M10" s="6">
        <v>4.8</v>
      </c>
      <c r="N10" s="3">
        <f t="shared" si="3"/>
        <v>981.56924697209058</v>
      </c>
      <c r="O10" s="3">
        <v>186400</v>
      </c>
      <c r="P10" s="6">
        <v>189.9</v>
      </c>
      <c r="Q10" s="3">
        <f t="shared" si="4"/>
        <v>983.73781148429043</v>
      </c>
      <c r="R10" s="3">
        <v>90799</v>
      </c>
      <c r="S10" s="6">
        <v>92.3</v>
      </c>
      <c r="T10" s="3">
        <f t="shared" si="5"/>
        <v>2475</v>
      </c>
      <c r="U10" s="3">
        <v>2970</v>
      </c>
      <c r="V10" s="6">
        <v>1.2</v>
      </c>
      <c r="W10" s="3">
        <f t="shared" si="6"/>
        <v>1463.4146341463415</v>
      </c>
      <c r="X10" s="3">
        <v>12000</v>
      </c>
      <c r="Y10" s="6">
        <v>8.1999999999999993</v>
      </c>
      <c r="Z10" s="3">
        <f t="shared" si="7"/>
        <v>945.95695171611396</v>
      </c>
      <c r="AA10" s="3">
        <v>162610</v>
      </c>
      <c r="AB10" s="6">
        <v>171.9</v>
      </c>
      <c r="AC10" s="3">
        <f t="shared" si="8"/>
        <v>962.00643776824029</v>
      </c>
      <c r="AD10" s="3">
        <v>89659</v>
      </c>
      <c r="AE10" s="6">
        <v>93.2</v>
      </c>
      <c r="AF10" s="3">
        <f t="shared" si="9"/>
        <v>993.6932121859968</v>
      </c>
      <c r="AG10" s="3">
        <v>185920</v>
      </c>
      <c r="AH10" s="6">
        <v>187.1</v>
      </c>
      <c r="AI10" s="3">
        <f t="shared" si="10"/>
        <v>1291.1627906976744</v>
      </c>
      <c r="AJ10" s="3">
        <v>11104</v>
      </c>
      <c r="AK10" s="6">
        <v>8.6</v>
      </c>
      <c r="AL10" s="3">
        <f t="shared" si="11"/>
        <v>1481.9354838709678</v>
      </c>
      <c r="AM10" s="3">
        <v>18376</v>
      </c>
      <c r="AN10" s="6">
        <v>12.4</v>
      </c>
      <c r="AO10" s="3">
        <f t="shared" si="12"/>
        <v>1010.2868554829339</v>
      </c>
      <c r="AP10" s="3">
        <f t="shared" si="17"/>
        <v>834699</v>
      </c>
      <c r="AQ10" s="6">
        <f t="shared" si="18"/>
        <v>826.2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46</v>
      </c>
      <c r="B11" s="19"/>
      <c r="C11" s="19"/>
      <c r="D11" s="19"/>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f t="shared" si="11"/>
        <v>1455.4320987654321</v>
      </c>
      <c r="AM11" s="3">
        <v>11789</v>
      </c>
      <c r="AN11" s="6">
        <v>8.1</v>
      </c>
      <c r="AO11" s="3">
        <f t="shared" si="12"/>
        <v>1455.4320987654321</v>
      </c>
      <c r="AP11" s="3">
        <f t="shared" si="17"/>
        <v>11789</v>
      </c>
      <c r="AQ11" s="6">
        <f t="shared" si="18"/>
        <v>8.1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33</v>
      </c>
      <c r="B12" s="19"/>
      <c r="C12" s="19"/>
      <c r="D12" s="19"/>
      <c r="E12" s="3" t="e">
        <f>F12/G12</f>
        <v>#DIV/0!</v>
      </c>
      <c r="F12" s="3">
        <v>0</v>
      </c>
      <c r="G12" s="6">
        <v>0</v>
      </c>
      <c r="H12" s="3">
        <f>I12/J12</f>
        <v>1606.216216216216</v>
      </c>
      <c r="I12" s="3">
        <v>5943</v>
      </c>
      <c r="J12" s="6">
        <v>3.7</v>
      </c>
      <c r="K12" s="3">
        <f>L12/M12</f>
        <v>9360</v>
      </c>
      <c r="L12" s="3">
        <v>4680</v>
      </c>
      <c r="M12" s="6">
        <v>0.5</v>
      </c>
      <c r="N12" s="3" t="e">
        <f>O12/P12</f>
        <v>#DIV/0!</v>
      </c>
      <c r="O12" s="3">
        <v>0</v>
      </c>
      <c r="P12" s="6">
        <v>0</v>
      </c>
      <c r="Q12" s="3">
        <f>R12/S12</f>
        <v>1814.1176470588236</v>
      </c>
      <c r="R12" s="3">
        <v>3084</v>
      </c>
      <c r="S12" s="6">
        <v>1.7</v>
      </c>
      <c r="T12" s="3">
        <f>U12/V12</f>
        <v>3414.545454545454</v>
      </c>
      <c r="U12" s="3">
        <v>3756</v>
      </c>
      <c r="V12" s="6">
        <v>1.1000000000000001</v>
      </c>
      <c r="W12" s="3">
        <f>X12/Y12</f>
        <v>1107.2392638036808</v>
      </c>
      <c r="X12" s="3">
        <v>18048</v>
      </c>
      <c r="Y12" s="6">
        <v>16.3</v>
      </c>
      <c r="Z12" s="3" t="e">
        <f>AA12/AB12</f>
        <v>#DIV/0!</v>
      </c>
      <c r="AA12" s="3">
        <v>0</v>
      </c>
      <c r="AB12" s="6">
        <v>0</v>
      </c>
      <c r="AC12" s="3" t="e">
        <f>AD12/AE12</f>
        <v>#DIV/0!</v>
      </c>
      <c r="AD12" s="3">
        <v>0</v>
      </c>
      <c r="AE12" s="6">
        <v>0</v>
      </c>
      <c r="AF12" s="3">
        <f>AG12/AH12</f>
        <v>1974.6153846153845</v>
      </c>
      <c r="AG12" s="3">
        <v>5134</v>
      </c>
      <c r="AH12" s="6">
        <v>2.6</v>
      </c>
      <c r="AI12" s="3">
        <f>AJ12/AK12</f>
        <v>1631.0526315789475</v>
      </c>
      <c r="AJ12" s="3">
        <v>3099</v>
      </c>
      <c r="AK12" s="6">
        <v>1.9</v>
      </c>
      <c r="AL12" s="3">
        <f>AM12/AN12</f>
        <v>1660</v>
      </c>
      <c r="AM12" s="3">
        <v>3320</v>
      </c>
      <c r="AN12" s="6">
        <v>2</v>
      </c>
      <c r="AO12" s="3">
        <f t="shared" si="12"/>
        <v>1579.3288590604027</v>
      </c>
      <c r="AP12" s="3">
        <f t="shared" si="17"/>
        <v>47064</v>
      </c>
      <c r="AQ12" s="6">
        <f t="shared" si="18"/>
        <v>29.8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23</v>
      </c>
      <c r="B13" s="19"/>
      <c r="C13" s="19"/>
      <c r="D13" s="19"/>
      <c r="E13" s="3">
        <f t="shared" ref="E13:E36" si="19">F13/G13</f>
        <v>1167.6623376623377</v>
      </c>
      <c r="F13" s="3">
        <v>17982</v>
      </c>
      <c r="G13" s="6">
        <v>15.4</v>
      </c>
      <c r="H13" s="3">
        <f t="shared" ref="H13:H36" si="20">I13/J13</f>
        <v>1125.4545454545455</v>
      </c>
      <c r="I13" s="3">
        <v>17332</v>
      </c>
      <c r="J13" s="6">
        <v>15.4</v>
      </c>
      <c r="K13" s="3" t="e">
        <f t="shared" ref="K13:K36" si="21">L13/M13</f>
        <v>#DIV/0!</v>
      </c>
      <c r="L13" s="3">
        <v>0</v>
      </c>
      <c r="M13" s="6">
        <v>0</v>
      </c>
      <c r="N13" s="3">
        <f t="shared" ref="N13:N36" si="22">O13/P13</f>
        <v>1329.6103896103896</v>
      </c>
      <c r="O13" s="3">
        <v>20476</v>
      </c>
      <c r="P13" s="6">
        <v>15.4</v>
      </c>
      <c r="Q13" s="3" t="e">
        <f t="shared" ref="Q13:Q36" si="23">R13/S13</f>
        <v>#DIV/0!</v>
      </c>
      <c r="R13" s="3">
        <v>0</v>
      </c>
      <c r="S13" s="6">
        <v>0</v>
      </c>
      <c r="T13" s="3">
        <f t="shared" ref="T13:T36" si="24">U13/V13</f>
        <v>1386.8831168831168</v>
      </c>
      <c r="U13" s="3">
        <v>21358</v>
      </c>
      <c r="V13" s="6">
        <v>15.4</v>
      </c>
      <c r="W13" s="3">
        <f t="shared" ref="W13:W36" si="25">X13/Y13</f>
        <v>1386.8831168831168</v>
      </c>
      <c r="X13" s="3">
        <v>21358</v>
      </c>
      <c r="Y13" s="6">
        <v>15.4</v>
      </c>
      <c r="Z13" s="3" t="e">
        <f t="shared" ref="Z13:Z36" si="26">AA13/AB13</f>
        <v>#DIV/0!</v>
      </c>
      <c r="AA13" s="3">
        <v>0</v>
      </c>
      <c r="AB13" s="6">
        <v>0</v>
      </c>
      <c r="AC13" s="3" t="e">
        <f t="shared" ref="AC13:AC36" si="27">AD13/AE13</f>
        <v>#DIV/0!</v>
      </c>
      <c r="AD13" s="3">
        <v>0</v>
      </c>
      <c r="AE13" s="6">
        <v>0</v>
      </c>
      <c r="AF13" s="3" t="e">
        <f t="shared" ref="AF13:AF36" si="28">AG13/AH13</f>
        <v>#DIV/0!</v>
      </c>
      <c r="AG13" s="3">
        <v>0</v>
      </c>
      <c r="AH13" s="6">
        <v>0</v>
      </c>
      <c r="AI13" s="3" t="e">
        <f t="shared" ref="AI13:AI36" si="29">AJ13/AK13</f>
        <v>#DIV/0!</v>
      </c>
      <c r="AJ13" s="3">
        <v>0</v>
      </c>
      <c r="AK13" s="6">
        <v>0</v>
      </c>
      <c r="AL13" s="3" t="e">
        <f t="shared" ref="AL13:AL36" si="30">AM13/AN13</f>
        <v>#DIV/0!</v>
      </c>
      <c r="AM13" s="3">
        <v>0</v>
      </c>
      <c r="AN13" s="6">
        <v>0</v>
      </c>
      <c r="AO13" s="3">
        <f t="shared" si="12"/>
        <v>1279.2987012987012</v>
      </c>
      <c r="AP13" s="3">
        <f t="shared" si="17"/>
        <v>98506</v>
      </c>
      <c r="AQ13" s="6">
        <f t="shared" si="18"/>
        <v>77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53</v>
      </c>
      <c r="B14" s="19"/>
      <c r="C14" s="19"/>
      <c r="D14" s="19"/>
      <c r="E14" s="3" t="e">
        <f t="shared" si="19"/>
        <v>#DIV/0!</v>
      </c>
      <c r="F14" s="3">
        <v>0</v>
      </c>
      <c r="G14" s="6">
        <v>0</v>
      </c>
      <c r="H14" s="3" t="e">
        <f t="shared" si="20"/>
        <v>#DIV/0!</v>
      </c>
      <c r="I14" s="3">
        <v>0</v>
      </c>
      <c r="J14" s="6">
        <v>0</v>
      </c>
      <c r="K14" s="3" t="e">
        <f t="shared" si="21"/>
        <v>#DIV/0!</v>
      </c>
      <c r="L14" s="3">
        <v>0</v>
      </c>
      <c r="M14" s="6">
        <v>0</v>
      </c>
      <c r="N14" s="3" t="e">
        <f t="shared" si="22"/>
        <v>#DIV/0!</v>
      </c>
      <c r="O14" s="3">
        <v>0</v>
      </c>
      <c r="P14" s="6">
        <v>0</v>
      </c>
      <c r="Q14" s="3" t="e">
        <f t="shared" si="23"/>
        <v>#DIV/0!</v>
      </c>
      <c r="R14" s="3">
        <v>0</v>
      </c>
      <c r="S14" s="6">
        <v>0</v>
      </c>
      <c r="T14" s="3" t="e">
        <f t="shared" si="24"/>
        <v>#DIV/0!</v>
      </c>
      <c r="U14" s="3">
        <v>0</v>
      </c>
      <c r="V14" s="6">
        <v>0</v>
      </c>
      <c r="W14" s="3" t="e">
        <f t="shared" si="25"/>
        <v>#DIV/0!</v>
      </c>
      <c r="X14" s="3">
        <v>0</v>
      </c>
      <c r="Y14" s="6">
        <v>0</v>
      </c>
      <c r="Z14" s="3" t="e">
        <f t="shared" si="26"/>
        <v>#DIV/0!</v>
      </c>
      <c r="AA14" s="3">
        <v>0</v>
      </c>
      <c r="AB14" s="6">
        <v>0</v>
      </c>
      <c r="AC14" s="3" t="e">
        <f t="shared" si="27"/>
        <v>#DIV/0!</v>
      </c>
      <c r="AD14" s="3">
        <v>0</v>
      </c>
      <c r="AE14" s="6">
        <v>0</v>
      </c>
      <c r="AF14" s="3">
        <f t="shared" si="28"/>
        <v>2250</v>
      </c>
      <c r="AG14" s="3">
        <v>45000</v>
      </c>
      <c r="AH14" s="6">
        <v>20</v>
      </c>
      <c r="AI14" s="3" t="e">
        <f t="shared" si="29"/>
        <v>#DIV/0!</v>
      </c>
      <c r="AJ14" s="3">
        <v>0</v>
      </c>
      <c r="AK14" s="6">
        <v>0</v>
      </c>
      <c r="AL14" s="3" t="e">
        <f t="shared" si="30"/>
        <v>#DIV/0!</v>
      </c>
      <c r="AM14" s="3">
        <v>0</v>
      </c>
      <c r="AN14" s="6">
        <v>0</v>
      </c>
      <c r="AO14" s="3">
        <f t="shared" si="12"/>
        <v>2250</v>
      </c>
      <c r="AP14" s="3">
        <f t="shared" si="17"/>
        <v>45000</v>
      </c>
      <c r="AQ14" s="6">
        <f t="shared" si="18"/>
        <v>20</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18</v>
      </c>
      <c r="B15" s="19"/>
      <c r="C15" s="19"/>
      <c r="D15" s="19"/>
      <c r="E15" s="3" t="e">
        <f t="shared" si="19"/>
        <v>#DIV/0!</v>
      </c>
      <c r="F15" s="3">
        <v>0</v>
      </c>
      <c r="G15" s="6">
        <v>0</v>
      </c>
      <c r="H15" s="3">
        <f t="shared" si="20"/>
        <v>4511.4285714285716</v>
      </c>
      <c r="I15" s="3">
        <v>6316</v>
      </c>
      <c r="J15" s="6">
        <v>1.4</v>
      </c>
      <c r="K15" s="3">
        <f t="shared" si="21"/>
        <v>4602.3076923076924</v>
      </c>
      <c r="L15" s="3">
        <v>5983</v>
      </c>
      <c r="M15" s="6">
        <v>1.3</v>
      </c>
      <c r="N15" s="3" t="e">
        <f t="shared" si="22"/>
        <v>#DIV/0!</v>
      </c>
      <c r="O15" s="3">
        <v>0</v>
      </c>
      <c r="P15" s="6">
        <v>0</v>
      </c>
      <c r="Q15" s="3">
        <f t="shared" si="23"/>
        <v>4369.090909090909</v>
      </c>
      <c r="R15" s="3">
        <v>4806</v>
      </c>
      <c r="S15" s="6">
        <v>1.1000000000000001</v>
      </c>
      <c r="T15" s="3" t="e">
        <f t="shared" si="24"/>
        <v>#DIV/0!</v>
      </c>
      <c r="U15" s="3">
        <v>0</v>
      </c>
      <c r="V15" s="6">
        <v>0</v>
      </c>
      <c r="W15" s="3" t="e">
        <f t="shared" si="25"/>
        <v>#DIV/0!</v>
      </c>
      <c r="X15" s="3">
        <v>0</v>
      </c>
      <c r="Y15" s="6">
        <v>0</v>
      </c>
      <c r="Z15" s="3" t="e">
        <f t="shared" si="26"/>
        <v>#DIV/0!</v>
      </c>
      <c r="AA15" s="3">
        <v>0</v>
      </c>
      <c r="AB15" s="6">
        <v>0</v>
      </c>
      <c r="AC15" s="3" t="e">
        <f t="shared" si="27"/>
        <v>#DIV/0!</v>
      </c>
      <c r="AD15" s="3">
        <v>0</v>
      </c>
      <c r="AE15" s="6">
        <v>0</v>
      </c>
      <c r="AF15" s="3" t="e">
        <f t="shared" si="28"/>
        <v>#DIV/0!</v>
      </c>
      <c r="AG15" s="3">
        <v>0</v>
      </c>
      <c r="AH15" s="6">
        <v>0</v>
      </c>
      <c r="AI15" s="3" t="e">
        <f t="shared" si="29"/>
        <v>#DIV/0!</v>
      </c>
      <c r="AJ15" s="3">
        <v>0</v>
      </c>
      <c r="AK15" s="6">
        <v>0</v>
      </c>
      <c r="AL15" s="3" t="e">
        <f t="shared" si="30"/>
        <v>#DIV/0!</v>
      </c>
      <c r="AM15" s="3">
        <v>0</v>
      </c>
      <c r="AN15" s="6">
        <v>0</v>
      </c>
      <c r="AO15" s="3">
        <f t="shared" si="12"/>
        <v>4501.3157894736842</v>
      </c>
      <c r="AP15" s="3">
        <f t="shared" si="17"/>
        <v>17105</v>
      </c>
      <c r="AQ15" s="6">
        <f t="shared" si="18"/>
        <v>3.8000000000000003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56</v>
      </c>
      <c r="B16" s="19"/>
      <c r="C16" s="19"/>
      <c r="D16" s="19"/>
      <c r="E16" s="3" t="e">
        <f t="shared" si="19"/>
        <v>#DIV/0!</v>
      </c>
      <c r="F16" s="3">
        <v>0</v>
      </c>
      <c r="G16" s="6">
        <v>0</v>
      </c>
      <c r="H16" s="3" t="e">
        <f t="shared" si="20"/>
        <v>#DIV/0!</v>
      </c>
      <c r="I16" s="3">
        <v>0</v>
      </c>
      <c r="J16" s="6">
        <v>0</v>
      </c>
      <c r="K16" s="3" t="e">
        <f t="shared" si="21"/>
        <v>#DIV/0!</v>
      </c>
      <c r="L16" s="3">
        <v>0</v>
      </c>
      <c r="M16" s="6">
        <v>0</v>
      </c>
      <c r="N16" s="3" t="e">
        <f t="shared" si="22"/>
        <v>#DIV/0!</v>
      </c>
      <c r="O16" s="3">
        <v>0</v>
      </c>
      <c r="P16" s="6">
        <v>0</v>
      </c>
      <c r="Q16" s="3" t="e">
        <f t="shared" si="23"/>
        <v>#DIV/0!</v>
      </c>
      <c r="R16" s="3">
        <v>0</v>
      </c>
      <c r="S16" s="6">
        <v>0</v>
      </c>
      <c r="T16" s="3" t="e">
        <f t="shared" si="24"/>
        <v>#DIV/0!</v>
      </c>
      <c r="U16" s="3">
        <v>0</v>
      </c>
      <c r="V16" s="6">
        <v>0</v>
      </c>
      <c r="W16" s="3" t="e">
        <f t="shared" si="25"/>
        <v>#DIV/0!</v>
      </c>
      <c r="X16" s="3">
        <v>0</v>
      </c>
      <c r="Y16" s="6">
        <v>0</v>
      </c>
      <c r="Z16" s="3" t="e">
        <f t="shared" si="26"/>
        <v>#DIV/0!</v>
      </c>
      <c r="AA16" s="3">
        <v>0</v>
      </c>
      <c r="AB16" s="6">
        <v>0</v>
      </c>
      <c r="AC16" s="3">
        <f t="shared" si="27"/>
        <v>1455.6962025316454</v>
      </c>
      <c r="AD16" s="3">
        <v>11500</v>
      </c>
      <c r="AE16" s="6">
        <v>7.9</v>
      </c>
      <c r="AF16" s="3" t="e">
        <f t="shared" si="28"/>
        <v>#DIV/0!</v>
      </c>
      <c r="AG16" s="3">
        <v>0</v>
      </c>
      <c r="AH16" s="6">
        <v>0</v>
      </c>
      <c r="AI16" s="3" t="e">
        <f t="shared" si="29"/>
        <v>#DIV/0!</v>
      </c>
      <c r="AJ16" s="3">
        <v>0</v>
      </c>
      <c r="AK16" s="6">
        <v>0</v>
      </c>
      <c r="AL16" s="3" t="e">
        <f t="shared" si="30"/>
        <v>#DIV/0!</v>
      </c>
      <c r="AM16" s="3">
        <v>0</v>
      </c>
      <c r="AN16" s="6">
        <v>0</v>
      </c>
      <c r="AO16" s="3">
        <f t="shared" si="12"/>
        <v>1455.6962025316454</v>
      </c>
      <c r="AP16" s="3">
        <f t="shared" si="17"/>
        <v>11500</v>
      </c>
      <c r="AQ16" s="6">
        <f t="shared" si="18"/>
        <v>7.9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25</v>
      </c>
      <c r="B17" s="19"/>
      <c r="C17" s="19"/>
      <c r="D17" s="19"/>
      <c r="E17" s="3" t="e">
        <f t="shared" si="19"/>
        <v>#DIV/0!</v>
      </c>
      <c r="F17" s="3">
        <v>0</v>
      </c>
      <c r="G17" s="6">
        <v>0</v>
      </c>
      <c r="H17" s="3" t="e">
        <f t="shared" si="20"/>
        <v>#DIV/0!</v>
      </c>
      <c r="I17" s="3">
        <v>0</v>
      </c>
      <c r="J17" s="6">
        <v>0</v>
      </c>
      <c r="K17" s="3" t="e">
        <f t="shared" si="21"/>
        <v>#DIV/0!</v>
      </c>
      <c r="L17" s="3">
        <v>0</v>
      </c>
      <c r="M17" s="6">
        <v>0</v>
      </c>
      <c r="N17" s="3">
        <f t="shared" si="22"/>
        <v>1120.6741573033707</v>
      </c>
      <c r="O17" s="3">
        <v>19948</v>
      </c>
      <c r="P17" s="6">
        <v>17.8</v>
      </c>
      <c r="Q17" s="3">
        <f t="shared" si="23"/>
        <v>1211.2574850299402</v>
      </c>
      <c r="R17" s="3">
        <v>20228</v>
      </c>
      <c r="S17" s="6">
        <v>16.7</v>
      </c>
      <c r="T17" s="3" t="e">
        <f t="shared" si="24"/>
        <v>#DIV/0!</v>
      </c>
      <c r="U17" s="3">
        <v>0</v>
      </c>
      <c r="V17" s="6">
        <v>0</v>
      </c>
      <c r="W17" s="3" t="e">
        <f t="shared" si="25"/>
        <v>#DIV/0!</v>
      </c>
      <c r="X17" s="3">
        <v>0</v>
      </c>
      <c r="Y17" s="6">
        <v>0</v>
      </c>
      <c r="Z17" s="3" t="e">
        <f t="shared" si="26"/>
        <v>#DIV/0!</v>
      </c>
      <c r="AA17" s="3">
        <v>0</v>
      </c>
      <c r="AB17" s="6">
        <v>0</v>
      </c>
      <c r="AC17" s="3" t="e">
        <f t="shared" si="27"/>
        <v>#DIV/0!</v>
      </c>
      <c r="AD17" s="3">
        <v>0</v>
      </c>
      <c r="AE17" s="6">
        <v>0</v>
      </c>
      <c r="AF17" s="3" t="e">
        <f t="shared" si="28"/>
        <v>#DIV/0!</v>
      </c>
      <c r="AG17" s="3">
        <v>0</v>
      </c>
      <c r="AH17" s="6">
        <v>0</v>
      </c>
      <c r="AI17" s="3" t="e">
        <f t="shared" si="29"/>
        <v>#DIV/0!</v>
      </c>
      <c r="AJ17" s="3">
        <v>0</v>
      </c>
      <c r="AK17" s="6">
        <v>0</v>
      </c>
      <c r="AL17" s="3" t="e">
        <f t="shared" si="30"/>
        <v>#DIV/0!</v>
      </c>
      <c r="AM17" s="3">
        <v>0</v>
      </c>
      <c r="AN17" s="6">
        <v>0</v>
      </c>
      <c r="AO17" s="3">
        <f t="shared" si="12"/>
        <v>1164.5217391304348</v>
      </c>
      <c r="AP17" s="3">
        <f t="shared" si="17"/>
        <v>40176</v>
      </c>
      <c r="AQ17" s="6">
        <f t="shared" si="18"/>
        <v>34.5</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45</v>
      </c>
      <c r="B18" s="19"/>
      <c r="C18" s="19"/>
      <c r="D18" s="19"/>
      <c r="E18" s="3" t="e">
        <f t="shared" si="19"/>
        <v>#DIV/0!</v>
      </c>
      <c r="F18" s="3">
        <v>0</v>
      </c>
      <c r="G18" s="6">
        <v>0</v>
      </c>
      <c r="H18" s="3" t="e">
        <f t="shared" si="20"/>
        <v>#DIV/0!</v>
      </c>
      <c r="I18" s="3">
        <v>0</v>
      </c>
      <c r="J18" s="6">
        <v>0</v>
      </c>
      <c r="K18" s="3" t="e">
        <f t="shared" si="21"/>
        <v>#DIV/0!</v>
      </c>
      <c r="L18" s="3">
        <v>0</v>
      </c>
      <c r="M18" s="6">
        <v>0</v>
      </c>
      <c r="N18" s="3" t="e">
        <f t="shared" si="22"/>
        <v>#DIV/0!</v>
      </c>
      <c r="O18" s="3">
        <v>0</v>
      </c>
      <c r="P18" s="6">
        <v>0</v>
      </c>
      <c r="Q18" s="3" t="e">
        <f t="shared" si="23"/>
        <v>#DIV/0!</v>
      </c>
      <c r="R18" s="3">
        <v>0</v>
      </c>
      <c r="S18" s="6">
        <v>0</v>
      </c>
      <c r="T18" s="3" t="e">
        <f t="shared" si="24"/>
        <v>#DIV/0!</v>
      </c>
      <c r="U18" s="3">
        <v>0</v>
      </c>
      <c r="V18" s="6">
        <v>0</v>
      </c>
      <c r="W18" s="3" t="e">
        <f t="shared" si="25"/>
        <v>#DIV/0!</v>
      </c>
      <c r="X18" s="3">
        <v>0</v>
      </c>
      <c r="Y18" s="6">
        <v>0</v>
      </c>
      <c r="Z18" s="3" t="e">
        <f t="shared" si="26"/>
        <v>#DIV/0!</v>
      </c>
      <c r="AA18" s="3">
        <v>0</v>
      </c>
      <c r="AB18" s="6">
        <v>0</v>
      </c>
      <c r="AC18" s="3" t="e">
        <f t="shared" si="27"/>
        <v>#DIV/0!</v>
      </c>
      <c r="AD18" s="3">
        <v>0</v>
      </c>
      <c r="AE18" s="6">
        <v>0</v>
      </c>
      <c r="AF18" s="3">
        <f t="shared" si="28"/>
        <v>1177.3134328358208</v>
      </c>
      <c r="AG18" s="3">
        <v>7888</v>
      </c>
      <c r="AH18" s="6">
        <v>6.7</v>
      </c>
      <c r="AI18" s="3" t="e">
        <f t="shared" si="29"/>
        <v>#DIV/0!</v>
      </c>
      <c r="AJ18" s="3">
        <v>0</v>
      </c>
      <c r="AK18" s="6">
        <v>0</v>
      </c>
      <c r="AL18" s="3" t="e">
        <f t="shared" si="30"/>
        <v>#DIV/0!</v>
      </c>
      <c r="AM18" s="3">
        <v>0</v>
      </c>
      <c r="AN18" s="6">
        <v>0</v>
      </c>
      <c r="AO18" s="3">
        <f t="shared" si="12"/>
        <v>1177.3134328358208</v>
      </c>
      <c r="AP18" s="3">
        <f t="shared" si="17"/>
        <v>7888</v>
      </c>
      <c r="AQ18" s="6">
        <f t="shared" si="18"/>
        <v>6.7</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19</v>
      </c>
      <c r="B19" s="19"/>
      <c r="C19" s="19"/>
      <c r="D19" s="19"/>
      <c r="E19" s="3">
        <f t="shared" si="19"/>
        <v>1440.2127659574467</v>
      </c>
      <c r="F19" s="3">
        <v>27076</v>
      </c>
      <c r="G19" s="6">
        <v>18.8</v>
      </c>
      <c r="H19" s="3" t="e">
        <f t="shared" si="20"/>
        <v>#DIV/0!</v>
      </c>
      <c r="I19" s="3">
        <v>0</v>
      </c>
      <c r="J19" s="6">
        <v>0</v>
      </c>
      <c r="K19" s="3">
        <f t="shared" si="21"/>
        <v>1050.8945386064029</v>
      </c>
      <c r="L19" s="3">
        <v>111605</v>
      </c>
      <c r="M19" s="6">
        <v>106.2</v>
      </c>
      <c r="N19" s="3" t="e">
        <f t="shared" si="22"/>
        <v>#DIV/0!</v>
      </c>
      <c r="O19" s="3">
        <v>0</v>
      </c>
      <c r="P19" s="6">
        <v>0</v>
      </c>
      <c r="Q19" s="3" t="e">
        <f t="shared" si="23"/>
        <v>#DIV/0!</v>
      </c>
      <c r="R19" s="3">
        <v>0</v>
      </c>
      <c r="S19" s="6">
        <v>0</v>
      </c>
      <c r="T19" s="3" t="e">
        <f t="shared" si="24"/>
        <v>#DIV/0!</v>
      </c>
      <c r="U19" s="3">
        <v>0</v>
      </c>
      <c r="V19" s="6">
        <v>0</v>
      </c>
      <c r="W19" s="3" t="e">
        <f t="shared" si="25"/>
        <v>#DIV/0!</v>
      </c>
      <c r="X19" s="3">
        <v>0</v>
      </c>
      <c r="Y19" s="6">
        <v>0</v>
      </c>
      <c r="Z19" s="3" t="e">
        <f t="shared" si="26"/>
        <v>#DIV/0!</v>
      </c>
      <c r="AA19" s="3">
        <v>0</v>
      </c>
      <c r="AB19" s="6">
        <v>0</v>
      </c>
      <c r="AC19" s="3" t="e">
        <f t="shared" si="27"/>
        <v>#DIV/0!</v>
      </c>
      <c r="AD19" s="3">
        <v>0</v>
      </c>
      <c r="AE19" s="6">
        <v>0</v>
      </c>
      <c r="AF19" s="3" t="e">
        <f t="shared" si="28"/>
        <v>#DIV/0!</v>
      </c>
      <c r="AG19" s="3">
        <v>0</v>
      </c>
      <c r="AH19" s="6">
        <v>0</v>
      </c>
      <c r="AI19" s="3" t="e">
        <f t="shared" si="29"/>
        <v>#DIV/0!</v>
      </c>
      <c r="AJ19" s="3">
        <v>0</v>
      </c>
      <c r="AK19" s="6">
        <v>0</v>
      </c>
      <c r="AL19" s="3" t="e">
        <f t="shared" si="30"/>
        <v>#DIV/0!</v>
      </c>
      <c r="AM19" s="3">
        <v>0</v>
      </c>
      <c r="AN19" s="6">
        <v>0</v>
      </c>
      <c r="AO19" s="3">
        <f t="shared" si="12"/>
        <v>1109.4480000000001</v>
      </c>
      <c r="AP19" s="3">
        <f t="shared" si="17"/>
        <v>138681</v>
      </c>
      <c r="AQ19" s="6">
        <f t="shared" si="18"/>
        <v>125</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20</v>
      </c>
      <c r="B20" s="19"/>
      <c r="C20" s="19"/>
      <c r="D20" s="19"/>
      <c r="E20" s="3" t="e">
        <f t="shared" si="19"/>
        <v>#DIV/0!</v>
      </c>
      <c r="F20" s="3">
        <v>0</v>
      </c>
      <c r="G20" s="6">
        <v>0</v>
      </c>
      <c r="H20" s="3" t="e">
        <f t="shared" si="20"/>
        <v>#DIV/0!</v>
      </c>
      <c r="I20" s="3">
        <v>0</v>
      </c>
      <c r="J20" s="6">
        <v>0</v>
      </c>
      <c r="K20" s="3" t="e">
        <f t="shared" si="21"/>
        <v>#DIV/0!</v>
      </c>
      <c r="L20" s="3">
        <v>0</v>
      </c>
      <c r="M20" s="6">
        <v>0</v>
      </c>
      <c r="N20" s="3" t="e">
        <f t="shared" si="22"/>
        <v>#DIV/0!</v>
      </c>
      <c r="O20" s="3">
        <v>0</v>
      </c>
      <c r="P20" s="6">
        <v>0</v>
      </c>
      <c r="Q20" s="3">
        <f t="shared" si="23"/>
        <v>1465.2380952380952</v>
      </c>
      <c r="R20" s="3">
        <v>3077</v>
      </c>
      <c r="S20" s="6">
        <v>2.1</v>
      </c>
      <c r="T20" s="3" t="e">
        <f t="shared" si="24"/>
        <v>#DIV/0!</v>
      </c>
      <c r="U20" s="3">
        <v>0</v>
      </c>
      <c r="V20" s="6">
        <v>0</v>
      </c>
      <c r="W20" s="3" t="e">
        <f t="shared" si="25"/>
        <v>#DIV/0!</v>
      </c>
      <c r="X20" s="3">
        <v>0</v>
      </c>
      <c r="Y20" s="6">
        <v>0</v>
      </c>
      <c r="Z20" s="3" t="e">
        <f t="shared" si="26"/>
        <v>#DIV/0!</v>
      </c>
      <c r="AA20" s="3">
        <v>0</v>
      </c>
      <c r="AB20" s="6">
        <v>0</v>
      </c>
      <c r="AC20" s="3" t="e">
        <f t="shared" si="27"/>
        <v>#DIV/0!</v>
      </c>
      <c r="AD20" s="3">
        <v>0</v>
      </c>
      <c r="AE20" s="6">
        <v>0</v>
      </c>
      <c r="AF20" s="3">
        <f t="shared" si="28"/>
        <v>1321.7857142857144</v>
      </c>
      <c r="AG20" s="3">
        <v>3701</v>
      </c>
      <c r="AH20" s="6">
        <v>2.8</v>
      </c>
      <c r="AI20" s="3" t="e">
        <f t="shared" si="29"/>
        <v>#DIV/0!</v>
      </c>
      <c r="AJ20" s="3">
        <v>0</v>
      </c>
      <c r="AK20" s="6">
        <v>0</v>
      </c>
      <c r="AL20" s="3" t="e">
        <f t="shared" si="30"/>
        <v>#DIV/0!</v>
      </c>
      <c r="AM20" s="3">
        <v>0</v>
      </c>
      <c r="AN20" s="6">
        <v>0</v>
      </c>
      <c r="AO20" s="3">
        <f t="shared" si="12"/>
        <v>1383.2653061224489</v>
      </c>
      <c r="AP20" s="3">
        <f t="shared" si="17"/>
        <v>6778</v>
      </c>
      <c r="AQ20" s="6">
        <f t="shared" si="18"/>
        <v>4.9000000000000004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27</v>
      </c>
      <c r="B21" s="19"/>
      <c r="C21" s="19"/>
      <c r="D21" s="19"/>
      <c r="E21" s="3">
        <f t="shared" si="19"/>
        <v>1290.4000000000001</v>
      </c>
      <c r="F21" s="3">
        <v>322600</v>
      </c>
      <c r="G21" s="6">
        <v>250</v>
      </c>
      <c r="H21" s="3" t="e">
        <f t="shared" si="20"/>
        <v>#DIV/0!</v>
      </c>
      <c r="I21" s="3">
        <v>0</v>
      </c>
      <c r="J21" s="6">
        <v>0</v>
      </c>
      <c r="K21" s="3" t="e">
        <f t="shared" si="21"/>
        <v>#DIV/0!</v>
      </c>
      <c r="L21" s="3">
        <v>0</v>
      </c>
      <c r="M21" s="6">
        <v>0</v>
      </c>
      <c r="N21" s="3" t="e">
        <f t="shared" si="22"/>
        <v>#DIV/0!</v>
      </c>
      <c r="O21" s="3">
        <v>0</v>
      </c>
      <c r="P21" s="6">
        <v>0</v>
      </c>
      <c r="Q21" s="3" t="e">
        <f t="shared" si="23"/>
        <v>#DIV/0!</v>
      </c>
      <c r="R21" s="3">
        <v>0</v>
      </c>
      <c r="S21" s="6">
        <v>0</v>
      </c>
      <c r="T21" s="3" t="e">
        <f t="shared" si="24"/>
        <v>#DIV/0!</v>
      </c>
      <c r="U21" s="3">
        <v>0</v>
      </c>
      <c r="V21" s="6">
        <v>0</v>
      </c>
      <c r="W21" s="3" t="e">
        <f t="shared" si="25"/>
        <v>#DIV/0!</v>
      </c>
      <c r="X21" s="3">
        <v>0</v>
      </c>
      <c r="Y21" s="6">
        <v>0</v>
      </c>
      <c r="Z21" s="3" t="e">
        <f t="shared" si="26"/>
        <v>#DIV/0!</v>
      </c>
      <c r="AA21" s="3">
        <v>0</v>
      </c>
      <c r="AB21" s="6">
        <v>0</v>
      </c>
      <c r="AC21" s="3" t="e">
        <f t="shared" si="27"/>
        <v>#DIV/0!</v>
      </c>
      <c r="AD21" s="3">
        <v>0</v>
      </c>
      <c r="AE21" s="6">
        <v>0</v>
      </c>
      <c r="AF21" s="3" t="e">
        <f t="shared" si="28"/>
        <v>#DIV/0!</v>
      </c>
      <c r="AG21" s="3">
        <v>0</v>
      </c>
      <c r="AH21" s="6">
        <v>0</v>
      </c>
      <c r="AI21" s="3" t="e">
        <f t="shared" si="29"/>
        <v>#DIV/0!</v>
      </c>
      <c r="AJ21" s="3">
        <v>0</v>
      </c>
      <c r="AK21" s="6">
        <v>0</v>
      </c>
      <c r="AL21" s="3" t="e">
        <f t="shared" si="30"/>
        <v>#DIV/0!</v>
      </c>
      <c r="AM21" s="3">
        <v>0</v>
      </c>
      <c r="AN21" s="6">
        <v>0</v>
      </c>
      <c r="AO21" s="3">
        <f t="shared" si="12"/>
        <v>1290.4000000000001</v>
      </c>
      <c r="AP21" s="3">
        <f t="shared" si="17"/>
        <v>322600</v>
      </c>
      <c r="AQ21" s="6">
        <f t="shared" si="18"/>
        <v>250</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28</v>
      </c>
      <c r="B22" s="19"/>
      <c r="C22" s="19"/>
      <c r="D22" s="19"/>
      <c r="E22" s="3" t="e">
        <f t="shared" si="19"/>
        <v>#DIV/0!</v>
      </c>
      <c r="F22" s="3">
        <v>0</v>
      </c>
      <c r="G22" s="6">
        <v>0</v>
      </c>
      <c r="H22" s="3">
        <f t="shared" si="20"/>
        <v>1800.2425876010782</v>
      </c>
      <c r="I22" s="3">
        <v>133578</v>
      </c>
      <c r="J22" s="6">
        <v>74.2</v>
      </c>
      <c r="K22" s="3">
        <f t="shared" si="21"/>
        <v>1247.4269005847952</v>
      </c>
      <c r="L22" s="3">
        <v>21331</v>
      </c>
      <c r="M22" s="6">
        <v>17.100000000000001</v>
      </c>
      <c r="N22" s="3">
        <f t="shared" si="22"/>
        <v>1511.640625</v>
      </c>
      <c r="O22" s="3">
        <v>58047</v>
      </c>
      <c r="P22" s="6">
        <v>38.4</v>
      </c>
      <c r="Q22" s="3">
        <f t="shared" si="23"/>
        <v>1778.1730769230769</v>
      </c>
      <c r="R22" s="3">
        <v>110958</v>
      </c>
      <c r="S22" s="6">
        <v>62.4</v>
      </c>
      <c r="T22" s="3" t="e">
        <f t="shared" si="24"/>
        <v>#DIV/0!</v>
      </c>
      <c r="U22" s="3">
        <v>0</v>
      </c>
      <c r="V22" s="6">
        <v>0</v>
      </c>
      <c r="W22" s="3">
        <f t="shared" si="25"/>
        <v>902.01877934272295</v>
      </c>
      <c r="X22" s="3">
        <v>19213</v>
      </c>
      <c r="Y22" s="6">
        <v>21.3</v>
      </c>
      <c r="Z22" s="3" t="e">
        <f t="shared" si="26"/>
        <v>#DIV/0!</v>
      </c>
      <c r="AA22" s="3">
        <v>0</v>
      </c>
      <c r="AB22" s="6">
        <v>0</v>
      </c>
      <c r="AC22" s="3">
        <f t="shared" si="27"/>
        <v>7328.8888888888887</v>
      </c>
      <c r="AD22" s="3">
        <v>6596</v>
      </c>
      <c r="AE22" s="6">
        <v>0.9</v>
      </c>
      <c r="AF22" s="3" t="e">
        <f t="shared" si="28"/>
        <v>#DIV/0!</v>
      </c>
      <c r="AG22" s="3">
        <v>0</v>
      </c>
      <c r="AH22" s="6">
        <v>0</v>
      </c>
      <c r="AI22" s="3">
        <f t="shared" si="29"/>
        <v>881.69398907103823</v>
      </c>
      <c r="AJ22" s="3">
        <v>32270</v>
      </c>
      <c r="AK22" s="6">
        <v>36.6</v>
      </c>
      <c r="AL22" s="3" t="e">
        <f t="shared" si="30"/>
        <v>#DIV/0!</v>
      </c>
      <c r="AM22" s="3">
        <v>0</v>
      </c>
      <c r="AN22" s="6">
        <v>0</v>
      </c>
      <c r="AO22" s="3">
        <f t="shared" si="12"/>
        <v>1522.4910322837782</v>
      </c>
      <c r="AP22" s="3">
        <f t="shared" si="17"/>
        <v>381993</v>
      </c>
      <c r="AQ22" s="6">
        <f t="shared" si="18"/>
        <v>250.90000000000003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29</v>
      </c>
      <c r="B23" s="19"/>
      <c r="C23" s="19"/>
      <c r="D23" s="19"/>
      <c r="E23" s="3">
        <f t="shared" si="19"/>
        <v>4712.7272727272721</v>
      </c>
      <c r="F23" s="3">
        <v>5184</v>
      </c>
      <c r="G23" s="6">
        <v>1.1000000000000001</v>
      </c>
      <c r="H23" s="3" t="e">
        <f t="shared" si="20"/>
        <v>#DIV/0!</v>
      </c>
      <c r="I23" s="3">
        <v>0</v>
      </c>
      <c r="J23" s="6">
        <v>0</v>
      </c>
      <c r="K23" s="3">
        <f t="shared" si="21"/>
        <v>2302.7225130890051</v>
      </c>
      <c r="L23" s="3">
        <v>43982</v>
      </c>
      <c r="M23" s="6">
        <v>19.100000000000001</v>
      </c>
      <c r="N23" s="3">
        <f t="shared" si="22"/>
        <v>4712.7272727272721</v>
      </c>
      <c r="O23" s="3">
        <v>5184</v>
      </c>
      <c r="P23" s="6">
        <v>1.1000000000000001</v>
      </c>
      <c r="Q23" s="3" t="e">
        <f t="shared" si="23"/>
        <v>#DIV/0!</v>
      </c>
      <c r="R23" s="3">
        <v>0</v>
      </c>
      <c r="S23" s="6">
        <v>0</v>
      </c>
      <c r="T23" s="3" t="e">
        <f t="shared" si="24"/>
        <v>#DIV/0!</v>
      </c>
      <c r="U23" s="3">
        <v>0</v>
      </c>
      <c r="V23" s="6">
        <v>0</v>
      </c>
      <c r="W23" s="3" t="e">
        <f t="shared" si="25"/>
        <v>#DIV/0!</v>
      </c>
      <c r="X23" s="3">
        <v>0</v>
      </c>
      <c r="Y23" s="6">
        <v>0</v>
      </c>
      <c r="Z23" s="3">
        <f t="shared" si="26"/>
        <v>2764.6715328467153</v>
      </c>
      <c r="AA23" s="3">
        <v>37876</v>
      </c>
      <c r="AB23" s="6">
        <v>13.7</v>
      </c>
      <c r="AC23" s="3" t="e">
        <f t="shared" si="27"/>
        <v>#DIV/0!</v>
      </c>
      <c r="AD23" s="3">
        <v>0</v>
      </c>
      <c r="AE23" s="6">
        <v>0</v>
      </c>
      <c r="AF23" s="3">
        <f t="shared" si="28"/>
        <v>5797.0588235294117</v>
      </c>
      <c r="AG23" s="3">
        <v>98550</v>
      </c>
      <c r="AH23" s="6">
        <v>17</v>
      </c>
      <c r="AI23" s="3" t="e">
        <f t="shared" si="29"/>
        <v>#DIV/0!</v>
      </c>
      <c r="AJ23" s="3">
        <v>0</v>
      </c>
      <c r="AK23" s="6">
        <v>0</v>
      </c>
      <c r="AL23" s="3" t="e">
        <f t="shared" si="30"/>
        <v>#DIV/0!</v>
      </c>
      <c r="AM23" s="3">
        <v>0</v>
      </c>
      <c r="AN23" s="6">
        <v>0</v>
      </c>
      <c r="AO23" s="3">
        <f t="shared" si="12"/>
        <v>3668.7692307692309</v>
      </c>
      <c r="AP23" s="3">
        <f t="shared" si="17"/>
        <v>190776</v>
      </c>
      <c r="AQ23" s="6">
        <f t="shared" si="18"/>
        <v>52</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21</v>
      </c>
      <c r="B24" s="19"/>
      <c r="C24" s="19"/>
      <c r="D24" s="19"/>
      <c r="E24" s="3">
        <f t="shared" si="19"/>
        <v>1157.5956284153006</v>
      </c>
      <c r="F24" s="3">
        <v>21184</v>
      </c>
      <c r="G24" s="6">
        <v>18.3</v>
      </c>
      <c r="H24" s="3" t="e">
        <f t="shared" si="20"/>
        <v>#DIV/0!</v>
      </c>
      <c r="I24" s="3">
        <v>0</v>
      </c>
      <c r="J24" s="6">
        <v>0</v>
      </c>
      <c r="K24" s="3" t="e">
        <f t="shared" si="21"/>
        <v>#DIV/0!</v>
      </c>
      <c r="L24" s="3">
        <v>0</v>
      </c>
      <c r="M24" s="6">
        <v>0</v>
      </c>
      <c r="N24" s="3" t="e">
        <f t="shared" si="22"/>
        <v>#DIV/0!</v>
      </c>
      <c r="O24" s="3">
        <v>0</v>
      </c>
      <c r="P24" s="6">
        <v>0</v>
      </c>
      <c r="Q24" s="3" t="e">
        <f t="shared" si="23"/>
        <v>#DIV/0!</v>
      </c>
      <c r="R24" s="3">
        <v>0</v>
      </c>
      <c r="S24" s="6">
        <v>0</v>
      </c>
      <c r="T24" s="3" t="e">
        <f t="shared" si="24"/>
        <v>#DIV/0!</v>
      </c>
      <c r="U24" s="3">
        <v>0</v>
      </c>
      <c r="V24" s="6">
        <v>0</v>
      </c>
      <c r="W24" s="3" t="e">
        <f t="shared" si="25"/>
        <v>#DIV/0!</v>
      </c>
      <c r="X24" s="3">
        <v>0</v>
      </c>
      <c r="Y24" s="6">
        <v>0</v>
      </c>
      <c r="Z24" s="3" t="e">
        <f t="shared" si="26"/>
        <v>#DIV/0!</v>
      </c>
      <c r="AA24" s="3">
        <v>0</v>
      </c>
      <c r="AB24" s="6">
        <v>0</v>
      </c>
      <c r="AC24" s="3" t="e">
        <f t="shared" si="27"/>
        <v>#DIV/0!</v>
      </c>
      <c r="AD24" s="3">
        <v>0</v>
      </c>
      <c r="AE24" s="6">
        <v>0</v>
      </c>
      <c r="AF24" s="3" t="e">
        <f t="shared" si="28"/>
        <v>#DIV/0!</v>
      </c>
      <c r="AG24" s="3">
        <v>0</v>
      </c>
      <c r="AH24" s="6">
        <v>0</v>
      </c>
      <c r="AI24" s="3" t="e">
        <f t="shared" si="29"/>
        <v>#DIV/0!</v>
      </c>
      <c r="AJ24" s="3">
        <v>0</v>
      </c>
      <c r="AK24" s="6">
        <v>0</v>
      </c>
      <c r="AL24" s="3" t="e">
        <f t="shared" si="30"/>
        <v>#DIV/0!</v>
      </c>
      <c r="AM24" s="3">
        <v>0</v>
      </c>
      <c r="AN24" s="6">
        <v>0</v>
      </c>
      <c r="AO24" s="3">
        <f t="shared" si="12"/>
        <v>1157.5956284153006</v>
      </c>
      <c r="AP24" s="3">
        <f t="shared" si="17"/>
        <v>21184</v>
      </c>
      <c r="AQ24" s="6">
        <f t="shared" si="18"/>
        <v>18.3</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57</v>
      </c>
      <c r="B25" s="19"/>
      <c r="C25" s="19"/>
      <c r="D25" s="19"/>
      <c r="E25" s="3">
        <f t="shared" si="19"/>
        <v>4479.5348837209303</v>
      </c>
      <c r="F25" s="3">
        <v>19262</v>
      </c>
      <c r="G25" s="6">
        <v>4.3</v>
      </c>
      <c r="H25" s="3">
        <f t="shared" si="20"/>
        <v>4155.1428571428569</v>
      </c>
      <c r="I25" s="3">
        <v>14543</v>
      </c>
      <c r="J25" s="6">
        <v>3.5</v>
      </c>
      <c r="K25" s="3" t="e">
        <f t="shared" si="21"/>
        <v>#DIV/0!</v>
      </c>
      <c r="L25" s="3">
        <v>0</v>
      </c>
      <c r="M25" s="6">
        <v>0</v>
      </c>
      <c r="N25" s="3">
        <f t="shared" si="22"/>
        <v>4569.333333333333</v>
      </c>
      <c r="O25" s="3">
        <v>27416</v>
      </c>
      <c r="P25" s="6">
        <v>6</v>
      </c>
      <c r="Q25" s="3" t="e">
        <f t="shared" si="23"/>
        <v>#DIV/0!</v>
      </c>
      <c r="R25" s="3">
        <v>0</v>
      </c>
      <c r="S25" s="6">
        <v>0</v>
      </c>
      <c r="T25" s="3" t="e">
        <f t="shared" si="24"/>
        <v>#DIV/0!</v>
      </c>
      <c r="U25" s="3">
        <v>0</v>
      </c>
      <c r="V25" s="6">
        <v>0</v>
      </c>
      <c r="W25" s="3" t="e">
        <f t="shared" si="25"/>
        <v>#DIV/0!</v>
      </c>
      <c r="X25" s="3">
        <v>0</v>
      </c>
      <c r="Y25" s="6">
        <v>0</v>
      </c>
      <c r="Z25" s="3" t="e">
        <f t="shared" si="26"/>
        <v>#DIV/0!</v>
      </c>
      <c r="AA25" s="3">
        <v>0</v>
      </c>
      <c r="AB25" s="6">
        <v>0</v>
      </c>
      <c r="AC25" s="3" t="e">
        <f t="shared" si="27"/>
        <v>#DIV/0!</v>
      </c>
      <c r="AD25" s="3">
        <v>0</v>
      </c>
      <c r="AE25" s="6">
        <v>0</v>
      </c>
      <c r="AF25" s="3">
        <f t="shared" si="28"/>
        <v>4631</v>
      </c>
      <c r="AG25" s="3">
        <v>4631</v>
      </c>
      <c r="AH25" s="6">
        <v>1</v>
      </c>
      <c r="AI25" s="3" t="e">
        <f t="shared" si="29"/>
        <v>#DIV/0!</v>
      </c>
      <c r="AJ25" s="3">
        <v>0</v>
      </c>
      <c r="AK25" s="6">
        <v>0</v>
      </c>
      <c r="AL25" s="3" t="e">
        <f t="shared" si="30"/>
        <v>#DIV/0!</v>
      </c>
      <c r="AM25" s="3">
        <v>0</v>
      </c>
      <c r="AN25" s="6">
        <v>0</v>
      </c>
      <c r="AO25" s="3">
        <f t="shared" si="12"/>
        <v>4449.4594594594591</v>
      </c>
      <c r="AP25" s="3">
        <f t="shared" si="17"/>
        <v>65852</v>
      </c>
      <c r="AQ25" s="6">
        <f t="shared" si="18"/>
        <v>14.8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54</v>
      </c>
      <c r="B26" s="19"/>
      <c r="C26" s="19"/>
      <c r="D26" s="19"/>
      <c r="E26" s="3">
        <f t="shared" si="19"/>
        <v>1240.3973509933776</v>
      </c>
      <c r="F26" s="3">
        <v>18730</v>
      </c>
      <c r="G26" s="6">
        <v>15.1</v>
      </c>
      <c r="H26" s="3">
        <f t="shared" si="20"/>
        <v>1242.4543946932008</v>
      </c>
      <c r="I26" s="3">
        <v>74920</v>
      </c>
      <c r="J26" s="6">
        <v>60.3</v>
      </c>
      <c r="K26" s="3">
        <f t="shared" si="21"/>
        <v>1241.5719696969697</v>
      </c>
      <c r="L26" s="3">
        <v>131110</v>
      </c>
      <c r="M26" s="6">
        <v>105.6</v>
      </c>
      <c r="N26" s="3">
        <f t="shared" si="22"/>
        <v>1197.7333333333333</v>
      </c>
      <c r="O26" s="3">
        <v>89830</v>
      </c>
      <c r="P26" s="6">
        <v>75</v>
      </c>
      <c r="Q26" s="3">
        <f t="shared" si="23"/>
        <v>1177.9448621553886</v>
      </c>
      <c r="R26" s="3">
        <v>94000</v>
      </c>
      <c r="S26" s="6">
        <v>79.8</v>
      </c>
      <c r="T26" s="3">
        <f t="shared" si="24"/>
        <v>1042.3976608187133</v>
      </c>
      <c r="U26" s="3">
        <v>124775</v>
      </c>
      <c r="V26" s="6">
        <v>119.7</v>
      </c>
      <c r="W26" s="3">
        <f t="shared" si="25"/>
        <v>971.75</v>
      </c>
      <c r="X26" s="3">
        <v>19435</v>
      </c>
      <c r="Y26" s="6">
        <v>20</v>
      </c>
      <c r="Z26" s="3">
        <f t="shared" si="26"/>
        <v>994.71590909090901</v>
      </c>
      <c r="AA26" s="3">
        <v>35014</v>
      </c>
      <c r="AB26" s="6">
        <v>35.200000000000003</v>
      </c>
      <c r="AC26" s="3">
        <f t="shared" si="27"/>
        <v>1019.568062827225</v>
      </c>
      <c r="AD26" s="3">
        <v>77895</v>
      </c>
      <c r="AE26" s="6">
        <v>76.400000000000006</v>
      </c>
      <c r="AF26" s="3">
        <f t="shared" si="28"/>
        <v>1020.2357563850688</v>
      </c>
      <c r="AG26" s="3">
        <v>155790</v>
      </c>
      <c r="AH26" s="6">
        <v>152.69999999999999</v>
      </c>
      <c r="AI26" s="3" t="e">
        <f t="shared" si="29"/>
        <v>#DIV/0!</v>
      </c>
      <c r="AJ26" s="3">
        <v>0</v>
      </c>
      <c r="AK26" s="6">
        <v>0</v>
      </c>
      <c r="AL26" s="3" t="e">
        <f t="shared" si="30"/>
        <v>#DIV/0!</v>
      </c>
      <c r="AM26" s="3">
        <v>0</v>
      </c>
      <c r="AN26" s="6">
        <v>0</v>
      </c>
      <c r="AO26" s="3">
        <f t="shared" si="12"/>
        <v>1110.433901054339</v>
      </c>
      <c r="AP26" s="3">
        <f t="shared" si="17"/>
        <v>821499</v>
      </c>
      <c r="AQ26" s="6">
        <f t="shared" si="18"/>
        <v>739.8</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41</v>
      </c>
      <c r="B27" s="19"/>
      <c r="C27" s="19"/>
      <c r="D27" s="19"/>
      <c r="E27" s="3" t="e">
        <f t="shared" si="19"/>
        <v>#DIV/0!</v>
      </c>
      <c r="F27" s="3">
        <v>0</v>
      </c>
      <c r="G27" s="6">
        <v>0</v>
      </c>
      <c r="H27" s="3">
        <f t="shared" si="20"/>
        <v>1878.9221556886228</v>
      </c>
      <c r="I27" s="3">
        <v>31378</v>
      </c>
      <c r="J27" s="6">
        <v>16.7</v>
      </c>
      <c r="K27" s="3">
        <f t="shared" si="21"/>
        <v>3700</v>
      </c>
      <c r="L27" s="3">
        <v>4440</v>
      </c>
      <c r="M27" s="6">
        <v>1.2</v>
      </c>
      <c r="N27" s="3">
        <f t="shared" si="22"/>
        <v>1627.3417721518986</v>
      </c>
      <c r="O27" s="3">
        <v>12856</v>
      </c>
      <c r="P27" s="6">
        <v>7.9</v>
      </c>
      <c r="Q27" s="3">
        <f t="shared" si="23"/>
        <v>1968.8135593220338</v>
      </c>
      <c r="R27" s="3">
        <v>11616</v>
      </c>
      <c r="S27" s="6">
        <v>5.9</v>
      </c>
      <c r="T27" s="3" t="e">
        <f t="shared" si="24"/>
        <v>#DIV/0!</v>
      </c>
      <c r="U27" s="3">
        <v>0</v>
      </c>
      <c r="V27" s="6">
        <v>0</v>
      </c>
      <c r="W27" s="3" t="e">
        <f t="shared" si="25"/>
        <v>#DIV/0!</v>
      </c>
      <c r="X27" s="3">
        <v>0</v>
      </c>
      <c r="Y27" s="6">
        <v>0</v>
      </c>
      <c r="Z27" s="3">
        <f t="shared" si="26"/>
        <v>1018.235294117647</v>
      </c>
      <c r="AA27" s="3">
        <v>15579</v>
      </c>
      <c r="AB27" s="6">
        <v>15.3</v>
      </c>
      <c r="AC27" s="3">
        <f t="shared" si="27"/>
        <v>1047.9452054794522</v>
      </c>
      <c r="AD27" s="3">
        <v>7650</v>
      </c>
      <c r="AE27" s="6">
        <v>7.3</v>
      </c>
      <c r="AF27" s="3">
        <f t="shared" si="28"/>
        <v>1896.5079365079366</v>
      </c>
      <c r="AG27" s="3">
        <v>11948</v>
      </c>
      <c r="AH27" s="6">
        <v>6.3</v>
      </c>
      <c r="AI27" s="3" t="e">
        <f t="shared" si="29"/>
        <v>#DIV/0!</v>
      </c>
      <c r="AJ27" s="3">
        <v>0</v>
      </c>
      <c r="AK27" s="6">
        <v>0</v>
      </c>
      <c r="AL27" s="3" t="e">
        <f t="shared" si="30"/>
        <v>#DIV/0!</v>
      </c>
      <c r="AM27" s="3">
        <v>0</v>
      </c>
      <c r="AN27" s="6">
        <v>0</v>
      </c>
      <c r="AO27" s="3">
        <f t="shared" si="12"/>
        <v>1575.3630363036305</v>
      </c>
      <c r="AP27" s="3">
        <f t="shared" si="17"/>
        <v>95467</v>
      </c>
      <c r="AQ27" s="6">
        <f t="shared" si="18"/>
        <v>60.599999999999994</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47</v>
      </c>
      <c r="B28" s="19"/>
      <c r="C28" s="19"/>
      <c r="D28" s="19"/>
      <c r="E28" s="3" t="e">
        <f t="shared" si="19"/>
        <v>#DIV/0!</v>
      </c>
      <c r="F28" s="3">
        <v>0</v>
      </c>
      <c r="G28" s="6">
        <v>0</v>
      </c>
      <c r="H28" s="3" t="e">
        <f t="shared" si="20"/>
        <v>#DIV/0!</v>
      </c>
      <c r="I28" s="3">
        <v>0</v>
      </c>
      <c r="J28" s="6">
        <v>0</v>
      </c>
      <c r="K28" s="3" t="e">
        <f t="shared" si="21"/>
        <v>#DIV/0!</v>
      </c>
      <c r="L28" s="3">
        <v>0</v>
      </c>
      <c r="M28" s="6">
        <v>0</v>
      </c>
      <c r="N28" s="3" t="e">
        <f t="shared" si="22"/>
        <v>#DIV/0!</v>
      </c>
      <c r="O28" s="3">
        <v>0</v>
      </c>
      <c r="P28" s="6">
        <v>0</v>
      </c>
      <c r="Q28" s="3" t="e">
        <f t="shared" si="23"/>
        <v>#DIV/0!</v>
      </c>
      <c r="R28" s="3">
        <v>0</v>
      </c>
      <c r="S28" s="6">
        <v>0</v>
      </c>
      <c r="T28" s="3" t="e">
        <f t="shared" si="24"/>
        <v>#DIV/0!</v>
      </c>
      <c r="U28" s="3">
        <v>0</v>
      </c>
      <c r="V28" s="6">
        <v>0</v>
      </c>
      <c r="W28" s="3">
        <f t="shared" si="25"/>
        <v>4539.3693693693695</v>
      </c>
      <c r="X28" s="3">
        <v>100774</v>
      </c>
      <c r="Y28" s="6">
        <v>22.2</v>
      </c>
      <c r="Z28" s="3" t="e">
        <f t="shared" si="26"/>
        <v>#DIV/0!</v>
      </c>
      <c r="AA28" s="3">
        <v>0</v>
      </c>
      <c r="AB28" s="6">
        <v>0</v>
      </c>
      <c r="AC28" s="3" t="e">
        <f t="shared" si="27"/>
        <v>#DIV/0!</v>
      </c>
      <c r="AD28" s="3">
        <v>0</v>
      </c>
      <c r="AE28" s="6">
        <v>0</v>
      </c>
      <c r="AF28" s="3" t="e">
        <f t="shared" si="28"/>
        <v>#DIV/0!</v>
      </c>
      <c r="AG28" s="3">
        <v>0</v>
      </c>
      <c r="AH28" s="6">
        <v>0</v>
      </c>
      <c r="AI28" s="3" t="e">
        <f t="shared" si="29"/>
        <v>#DIV/0!</v>
      </c>
      <c r="AJ28" s="3">
        <v>0</v>
      </c>
      <c r="AK28" s="6">
        <v>0</v>
      </c>
      <c r="AL28" s="3" t="e">
        <f t="shared" si="30"/>
        <v>#DIV/0!</v>
      </c>
      <c r="AM28" s="3">
        <v>0</v>
      </c>
      <c r="AN28" s="6">
        <v>0</v>
      </c>
      <c r="AO28" s="3">
        <f t="shared" si="12"/>
        <v>4539.3693693693695</v>
      </c>
      <c r="AP28" s="3">
        <f t="shared" si="17"/>
        <v>100774</v>
      </c>
      <c r="AQ28" s="6">
        <f t="shared" si="18"/>
        <v>22.2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30</v>
      </c>
      <c r="B29" s="19"/>
      <c r="C29" s="19"/>
      <c r="D29" s="19"/>
      <c r="E29" s="3" t="e">
        <f t="shared" si="19"/>
        <v>#DIV/0!</v>
      </c>
      <c r="F29" s="3">
        <v>0</v>
      </c>
      <c r="G29" s="6">
        <v>0</v>
      </c>
      <c r="H29" s="3" t="e">
        <f t="shared" si="20"/>
        <v>#DIV/0!</v>
      </c>
      <c r="I29" s="3">
        <v>0</v>
      </c>
      <c r="J29" s="6">
        <v>0</v>
      </c>
      <c r="K29" s="3" t="e">
        <f t="shared" si="21"/>
        <v>#DIV/0!</v>
      </c>
      <c r="L29" s="3">
        <v>0</v>
      </c>
      <c r="M29" s="6">
        <v>0</v>
      </c>
      <c r="N29" s="3" t="e">
        <f t="shared" si="22"/>
        <v>#DIV/0!</v>
      </c>
      <c r="O29" s="3">
        <v>0</v>
      </c>
      <c r="P29" s="6">
        <v>0</v>
      </c>
      <c r="Q29" s="3" t="e">
        <f t="shared" si="23"/>
        <v>#DIV/0!</v>
      </c>
      <c r="R29" s="3">
        <v>0</v>
      </c>
      <c r="S29" s="6">
        <v>0</v>
      </c>
      <c r="T29" s="3" t="e">
        <f t="shared" si="24"/>
        <v>#DIV/0!</v>
      </c>
      <c r="U29" s="3">
        <v>0</v>
      </c>
      <c r="V29" s="6">
        <v>0</v>
      </c>
      <c r="W29" s="3">
        <f t="shared" si="25"/>
        <v>1065.04</v>
      </c>
      <c r="X29" s="3">
        <v>13313</v>
      </c>
      <c r="Y29" s="6">
        <v>12.5</v>
      </c>
      <c r="Z29" s="3" t="e">
        <f t="shared" si="26"/>
        <v>#DIV/0!</v>
      </c>
      <c r="AA29" s="3">
        <v>0</v>
      </c>
      <c r="AB29" s="6">
        <v>0</v>
      </c>
      <c r="AC29" s="3">
        <f t="shared" si="27"/>
        <v>1119.078947368421</v>
      </c>
      <c r="AD29" s="3">
        <v>17010</v>
      </c>
      <c r="AE29" s="6">
        <v>15.2</v>
      </c>
      <c r="AF29" s="3">
        <f t="shared" si="28"/>
        <v>2243.04347826087</v>
      </c>
      <c r="AG29" s="3">
        <v>10318</v>
      </c>
      <c r="AH29" s="6">
        <v>4.5999999999999996</v>
      </c>
      <c r="AI29" s="3" t="e">
        <f t="shared" si="29"/>
        <v>#DIV/0!</v>
      </c>
      <c r="AJ29" s="3">
        <v>0</v>
      </c>
      <c r="AK29" s="6">
        <v>0</v>
      </c>
      <c r="AL29" s="3" t="e">
        <f t="shared" si="30"/>
        <v>#DIV/0!</v>
      </c>
      <c r="AM29" s="3">
        <v>0</v>
      </c>
      <c r="AN29" s="6">
        <v>0</v>
      </c>
      <c r="AO29" s="3">
        <f t="shared" si="12"/>
        <v>1258.2352941176471</v>
      </c>
      <c r="AP29" s="3">
        <f t="shared" si="17"/>
        <v>40641</v>
      </c>
      <c r="AQ29" s="6">
        <f t="shared" si="18"/>
        <v>32.299999999999997</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58</v>
      </c>
      <c r="B30" s="19"/>
      <c r="C30" s="19"/>
      <c r="D30" s="19"/>
      <c r="E30" s="3" t="e">
        <f t="shared" si="19"/>
        <v>#DIV/0!</v>
      </c>
      <c r="F30" s="3">
        <v>0</v>
      </c>
      <c r="G30" s="6">
        <v>0</v>
      </c>
      <c r="H30" s="3" t="e">
        <f t="shared" si="20"/>
        <v>#DIV/0!</v>
      </c>
      <c r="I30" s="3">
        <v>0</v>
      </c>
      <c r="J30" s="6">
        <v>0</v>
      </c>
      <c r="K30" s="3" t="e">
        <f t="shared" si="21"/>
        <v>#DIV/0!</v>
      </c>
      <c r="L30" s="3">
        <v>0</v>
      </c>
      <c r="M30" s="6">
        <v>0</v>
      </c>
      <c r="N30" s="3" t="e">
        <f t="shared" si="22"/>
        <v>#DIV/0!</v>
      </c>
      <c r="O30" s="3">
        <v>0</v>
      </c>
      <c r="P30" s="6">
        <v>0</v>
      </c>
      <c r="Q30" s="3">
        <f t="shared" si="23"/>
        <v>1329.6103896103896</v>
      </c>
      <c r="R30" s="3">
        <v>20476</v>
      </c>
      <c r="S30" s="6">
        <v>15.4</v>
      </c>
      <c r="T30" s="3" t="e">
        <f t="shared" si="24"/>
        <v>#DIV/0!</v>
      </c>
      <c r="U30" s="3">
        <v>0</v>
      </c>
      <c r="V30" s="6">
        <v>0</v>
      </c>
      <c r="W30" s="3" t="e">
        <f t="shared" si="25"/>
        <v>#DIV/0!</v>
      </c>
      <c r="X30" s="3">
        <v>0</v>
      </c>
      <c r="Y30" s="6">
        <v>0</v>
      </c>
      <c r="Z30" s="3" t="e">
        <f t="shared" si="26"/>
        <v>#DIV/0!</v>
      </c>
      <c r="AA30" s="3">
        <v>0</v>
      </c>
      <c r="AB30" s="6">
        <v>0</v>
      </c>
      <c r="AC30" s="3" t="e">
        <f t="shared" si="27"/>
        <v>#DIV/0!</v>
      </c>
      <c r="AD30" s="3">
        <v>0</v>
      </c>
      <c r="AE30" s="6">
        <v>0</v>
      </c>
      <c r="AF30" s="3">
        <f t="shared" si="28"/>
        <v>1359.1160220994475</v>
      </c>
      <c r="AG30" s="3">
        <v>24600</v>
      </c>
      <c r="AH30" s="6">
        <v>18.100000000000001</v>
      </c>
      <c r="AI30" s="3" t="e">
        <f t="shared" si="29"/>
        <v>#DIV/0!</v>
      </c>
      <c r="AJ30" s="3">
        <v>0</v>
      </c>
      <c r="AK30" s="6">
        <v>0</v>
      </c>
      <c r="AL30" s="3" t="e">
        <f t="shared" si="30"/>
        <v>#DIV/0!</v>
      </c>
      <c r="AM30" s="3">
        <v>0</v>
      </c>
      <c r="AN30" s="6">
        <v>0</v>
      </c>
      <c r="AO30" s="3">
        <f t="shared" si="12"/>
        <v>1345.5522388059701</v>
      </c>
      <c r="AP30" s="3">
        <f t="shared" si="17"/>
        <v>45076</v>
      </c>
      <c r="AQ30" s="6">
        <f t="shared" si="18"/>
        <v>33.5</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52</v>
      </c>
      <c r="B31" s="19"/>
      <c r="C31" s="19"/>
      <c r="D31" s="19"/>
      <c r="E31" s="3">
        <f t="shared" si="19"/>
        <v>1448.5714285714287</v>
      </c>
      <c r="F31" s="3">
        <v>5070</v>
      </c>
      <c r="G31" s="6">
        <v>3.5</v>
      </c>
      <c r="H31" s="3" t="e">
        <f t="shared" si="20"/>
        <v>#DIV/0!</v>
      </c>
      <c r="I31" s="3">
        <v>0</v>
      </c>
      <c r="J31" s="6">
        <v>0</v>
      </c>
      <c r="K31" s="3" t="e">
        <f t="shared" si="21"/>
        <v>#DIV/0!</v>
      </c>
      <c r="L31" s="3">
        <v>0</v>
      </c>
      <c r="M31" s="6">
        <v>0</v>
      </c>
      <c r="N31" s="3" t="e">
        <f t="shared" si="22"/>
        <v>#DIV/0!</v>
      </c>
      <c r="O31" s="3">
        <v>0</v>
      </c>
      <c r="P31" s="6">
        <v>0</v>
      </c>
      <c r="Q31" s="3" t="e">
        <f t="shared" si="23"/>
        <v>#DIV/0!</v>
      </c>
      <c r="R31" s="3">
        <v>0</v>
      </c>
      <c r="S31" s="6">
        <v>0</v>
      </c>
      <c r="T31" s="3" t="e">
        <f t="shared" si="24"/>
        <v>#DIV/0!</v>
      </c>
      <c r="U31" s="3">
        <v>0</v>
      </c>
      <c r="V31" s="6">
        <v>0</v>
      </c>
      <c r="W31" s="3" t="e">
        <f t="shared" si="25"/>
        <v>#DIV/0!</v>
      </c>
      <c r="X31" s="3">
        <v>0</v>
      </c>
      <c r="Y31" s="6">
        <v>0</v>
      </c>
      <c r="Z31" s="3" t="e">
        <f t="shared" si="26"/>
        <v>#DIV/0!</v>
      </c>
      <c r="AA31" s="3">
        <v>0</v>
      </c>
      <c r="AB31" s="6">
        <v>0</v>
      </c>
      <c r="AC31" s="3" t="e">
        <f t="shared" si="27"/>
        <v>#DIV/0!</v>
      </c>
      <c r="AD31" s="3">
        <v>0</v>
      </c>
      <c r="AE31" s="6">
        <v>0</v>
      </c>
      <c r="AF31" s="3" t="e">
        <f t="shared" si="28"/>
        <v>#DIV/0!</v>
      </c>
      <c r="AG31" s="3">
        <v>0</v>
      </c>
      <c r="AH31" s="6">
        <v>0</v>
      </c>
      <c r="AI31" s="3" t="e">
        <f t="shared" si="29"/>
        <v>#DIV/0!</v>
      </c>
      <c r="AJ31" s="3">
        <v>0</v>
      </c>
      <c r="AK31" s="6">
        <v>0</v>
      </c>
      <c r="AL31" s="3" t="e">
        <f t="shared" si="30"/>
        <v>#DIV/0!</v>
      </c>
      <c r="AM31" s="3">
        <v>0</v>
      </c>
      <c r="AN31" s="6">
        <v>0</v>
      </c>
      <c r="AO31" s="3">
        <f t="shared" si="12"/>
        <v>1448.5714285714287</v>
      </c>
      <c r="AP31" s="3">
        <f t="shared" si="17"/>
        <v>5070</v>
      </c>
      <c r="AQ31" s="6">
        <f t="shared" si="18"/>
        <v>3.5</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59</v>
      </c>
      <c r="B32" s="19"/>
      <c r="C32" s="19"/>
      <c r="D32" s="19"/>
      <c r="E32" s="3" t="e">
        <f t="shared" si="19"/>
        <v>#DIV/0!</v>
      </c>
      <c r="F32" s="3">
        <v>0</v>
      </c>
      <c r="G32" s="6">
        <v>0</v>
      </c>
      <c r="H32" s="3" t="e">
        <f t="shared" si="20"/>
        <v>#DIV/0!</v>
      </c>
      <c r="I32" s="3">
        <v>0</v>
      </c>
      <c r="J32" s="6">
        <v>0</v>
      </c>
      <c r="K32" s="3" t="e">
        <f t="shared" si="21"/>
        <v>#DIV/0!</v>
      </c>
      <c r="L32" s="3">
        <v>0</v>
      </c>
      <c r="M32" s="6">
        <v>0</v>
      </c>
      <c r="N32" s="3" t="e">
        <f t="shared" si="22"/>
        <v>#DIV/0!</v>
      </c>
      <c r="O32" s="3">
        <v>0</v>
      </c>
      <c r="P32" s="6">
        <v>0</v>
      </c>
      <c r="Q32" s="3" t="e">
        <f t="shared" si="23"/>
        <v>#DIV/0!</v>
      </c>
      <c r="R32" s="3">
        <v>0</v>
      </c>
      <c r="S32" s="6">
        <v>0</v>
      </c>
      <c r="T32" s="3" t="e">
        <f t="shared" si="24"/>
        <v>#DIV/0!</v>
      </c>
      <c r="U32" s="3">
        <v>0</v>
      </c>
      <c r="V32" s="6">
        <v>0</v>
      </c>
      <c r="W32" s="3" t="e">
        <f t="shared" si="25"/>
        <v>#DIV/0!</v>
      </c>
      <c r="X32" s="3">
        <v>0</v>
      </c>
      <c r="Y32" s="6">
        <v>0</v>
      </c>
      <c r="Z32" s="3" t="e">
        <f t="shared" si="26"/>
        <v>#DIV/0!</v>
      </c>
      <c r="AA32" s="3">
        <v>0</v>
      </c>
      <c r="AB32" s="6">
        <v>0</v>
      </c>
      <c r="AC32" s="3" t="e">
        <f t="shared" si="27"/>
        <v>#DIV/0!</v>
      </c>
      <c r="AD32" s="3">
        <v>0</v>
      </c>
      <c r="AE32" s="6">
        <v>0</v>
      </c>
      <c r="AF32" s="3">
        <f t="shared" si="28"/>
        <v>1260</v>
      </c>
      <c r="AG32" s="3">
        <v>4788</v>
      </c>
      <c r="AH32" s="6">
        <v>3.8</v>
      </c>
      <c r="AI32" s="3" t="e">
        <f t="shared" si="29"/>
        <v>#DIV/0!</v>
      </c>
      <c r="AJ32" s="3">
        <v>0</v>
      </c>
      <c r="AK32" s="6">
        <v>0</v>
      </c>
      <c r="AL32" s="3" t="e">
        <f t="shared" si="30"/>
        <v>#DIV/0!</v>
      </c>
      <c r="AM32" s="3">
        <v>0</v>
      </c>
      <c r="AN32" s="6">
        <v>0</v>
      </c>
      <c r="AO32" s="3">
        <f t="shared" si="12"/>
        <v>1260</v>
      </c>
      <c r="AP32" s="3">
        <f t="shared" si="17"/>
        <v>4788</v>
      </c>
      <c r="AQ32" s="6">
        <f t="shared" si="18"/>
        <v>3.8</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55</v>
      </c>
      <c r="B33" s="19"/>
      <c r="C33" s="19"/>
      <c r="D33" s="19"/>
      <c r="E33" s="3" t="e">
        <f t="shared" si="19"/>
        <v>#DIV/0!</v>
      </c>
      <c r="F33" s="3">
        <v>0</v>
      </c>
      <c r="G33" s="6">
        <v>0</v>
      </c>
      <c r="H33" s="3" t="e">
        <f t="shared" si="20"/>
        <v>#DIV/0!</v>
      </c>
      <c r="I33" s="3">
        <v>0</v>
      </c>
      <c r="J33" s="6">
        <v>0</v>
      </c>
      <c r="K33" s="3" t="e">
        <f t="shared" si="21"/>
        <v>#DIV/0!</v>
      </c>
      <c r="L33" s="3">
        <v>0</v>
      </c>
      <c r="M33" s="6">
        <v>0</v>
      </c>
      <c r="N33" s="3" t="e">
        <f t="shared" si="22"/>
        <v>#DIV/0!</v>
      </c>
      <c r="O33" s="3">
        <v>0</v>
      </c>
      <c r="P33" s="6">
        <v>0</v>
      </c>
      <c r="Q33" s="3" t="e">
        <f t="shared" si="23"/>
        <v>#DIV/0!</v>
      </c>
      <c r="R33" s="3">
        <v>0</v>
      </c>
      <c r="S33" s="6">
        <v>0</v>
      </c>
      <c r="T33" s="3">
        <f t="shared" si="24"/>
        <v>1739.1428571428571</v>
      </c>
      <c r="U33" s="3">
        <v>6087</v>
      </c>
      <c r="V33" s="6">
        <v>3.5</v>
      </c>
      <c r="W33" s="3" t="e">
        <f t="shared" si="25"/>
        <v>#DIV/0!</v>
      </c>
      <c r="X33" s="3">
        <v>0</v>
      </c>
      <c r="Y33" s="6">
        <v>0</v>
      </c>
      <c r="Z33" s="3" t="e">
        <f t="shared" si="26"/>
        <v>#DIV/0!</v>
      </c>
      <c r="AA33" s="3">
        <v>0</v>
      </c>
      <c r="AB33" s="6">
        <v>0</v>
      </c>
      <c r="AC33" s="3" t="e">
        <f t="shared" si="27"/>
        <v>#DIV/0!</v>
      </c>
      <c r="AD33" s="3">
        <v>0</v>
      </c>
      <c r="AE33" s="6">
        <v>0</v>
      </c>
      <c r="AF33" s="3" t="e">
        <f t="shared" si="28"/>
        <v>#DIV/0!</v>
      </c>
      <c r="AG33" s="3">
        <v>0</v>
      </c>
      <c r="AH33" s="6">
        <v>0</v>
      </c>
      <c r="AI33" s="3" t="e">
        <f t="shared" si="29"/>
        <v>#DIV/0!</v>
      </c>
      <c r="AJ33" s="3">
        <v>0</v>
      </c>
      <c r="AK33" s="6">
        <v>0</v>
      </c>
      <c r="AL33" s="3" t="e">
        <f t="shared" si="30"/>
        <v>#DIV/0!</v>
      </c>
      <c r="AM33" s="3">
        <v>0</v>
      </c>
      <c r="AN33" s="6">
        <v>0</v>
      </c>
      <c r="AO33" s="3">
        <f t="shared" si="12"/>
        <v>1739.1428571428571</v>
      </c>
      <c r="AP33" s="3">
        <f t="shared" si="17"/>
        <v>6087</v>
      </c>
      <c r="AQ33" s="6">
        <f t="shared" si="18"/>
        <v>3.5</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48</v>
      </c>
      <c r="B34" s="19"/>
      <c r="C34" s="19"/>
      <c r="D34" s="19"/>
      <c r="E34" s="3">
        <f t="shared" si="19"/>
        <v>3933.623188405797</v>
      </c>
      <c r="F34" s="3">
        <v>27142</v>
      </c>
      <c r="G34" s="6">
        <v>6.9</v>
      </c>
      <c r="H34" s="3" t="e">
        <f t="shared" si="20"/>
        <v>#DIV/0!</v>
      </c>
      <c r="I34" s="3">
        <v>0</v>
      </c>
      <c r="J34" s="6">
        <v>0</v>
      </c>
      <c r="K34" s="3" t="e">
        <f t="shared" si="21"/>
        <v>#DIV/0!</v>
      </c>
      <c r="L34" s="3">
        <v>0</v>
      </c>
      <c r="M34" s="6">
        <v>0</v>
      </c>
      <c r="N34" s="3">
        <f t="shared" si="22"/>
        <v>4524.7368421052633</v>
      </c>
      <c r="O34" s="3">
        <v>17194</v>
      </c>
      <c r="P34" s="6">
        <v>3.8</v>
      </c>
      <c r="Q34" s="3">
        <f t="shared" si="23"/>
        <v>6179</v>
      </c>
      <c r="R34" s="3">
        <v>6179</v>
      </c>
      <c r="S34" s="6">
        <v>1</v>
      </c>
      <c r="T34" s="3">
        <f t="shared" si="24"/>
        <v>6589</v>
      </c>
      <c r="U34" s="3">
        <v>6589</v>
      </c>
      <c r="V34" s="6">
        <v>1</v>
      </c>
      <c r="W34" s="3">
        <f t="shared" si="25"/>
        <v>1449.4736842105265</v>
      </c>
      <c r="X34" s="3">
        <v>5508</v>
      </c>
      <c r="Y34" s="6">
        <v>3.8</v>
      </c>
      <c r="Z34" s="3" t="e">
        <f t="shared" si="26"/>
        <v>#DIV/0!</v>
      </c>
      <c r="AA34" s="3">
        <v>0</v>
      </c>
      <c r="AB34" s="6">
        <v>0</v>
      </c>
      <c r="AC34" s="3" t="e">
        <f t="shared" si="27"/>
        <v>#DIV/0!</v>
      </c>
      <c r="AD34" s="3">
        <v>0</v>
      </c>
      <c r="AE34" s="6">
        <v>0</v>
      </c>
      <c r="AF34" s="3" t="e">
        <f t="shared" si="28"/>
        <v>#DIV/0!</v>
      </c>
      <c r="AG34" s="3">
        <v>0</v>
      </c>
      <c r="AH34" s="6">
        <v>0</v>
      </c>
      <c r="AI34" s="3" t="e">
        <f t="shared" si="29"/>
        <v>#DIV/0!</v>
      </c>
      <c r="AJ34" s="3">
        <v>0</v>
      </c>
      <c r="AK34" s="6">
        <v>0</v>
      </c>
      <c r="AL34" s="3" t="e">
        <f t="shared" si="30"/>
        <v>#DIV/0!</v>
      </c>
      <c r="AM34" s="3">
        <v>0</v>
      </c>
      <c r="AN34" s="6">
        <v>0</v>
      </c>
      <c r="AO34" s="3">
        <f t="shared" si="12"/>
        <v>3794.6666666666665</v>
      </c>
      <c r="AP34" s="3">
        <f t="shared" si="17"/>
        <v>62612</v>
      </c>
      <c r="AQ34" s="6">
        <f t="shared" si="18"/>
        <v>16.5</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32</v>
      </c>
      <c r="B35" s="19"/>
      <c r="C35" s="19"/>
      <c r="D35" s="19"/>
      <c r="E35" s="3" t="e">
        <f t="shared" si="19"/>
        <v>#DIV/0!</v>
      </c>
      <c r="F35" s="3">
        <v>0</v>
      </c>
      <c r="G35" s="6">
        <v>0</v>
      </c>
      <c r="H35" s="3" t="e">
        <f t="shared" si="20"/>
        <v>#DIV/0!</v>
      </c>
      <c r="I35" s="3">
        <v>0</v>
      </c>
      <c r="J35" s="6">
        <v>0</v>
      </c>
      <c r="K35" s="3" t="e">
        <f t="shared" si="21"/>
        <v>#DIV/0!</v>
      </c>
      <c r="L35" s="3">
        <v>0</v>
      </c>
      <c r="M35" s="6">
        <v>0</v>
      </c>
      <c r="N35" s="3" t="e">
        <f t="shared" si="22"/>
        <v>#DIV/0!</v>
      </c>
      <c r="O35" s="3">
        <v>0</v>
      </c>
      <c r="P35" s="6">
        <v>0</v>
      </c>
      <c r="Q35" s="3" t="e">
        <f t="shared" si="23"/>
        <v>#DIV/0!</v>
      </c>
      <c r="R35" s="3">
        <v>0</v>
      </c>
      <c r="S35" s="6">
        <v>0</v>
      </c>
      <c r="T35" s="3" t="e">
        <f t="shared" si="24"/>
        <v>#DIV/0!</v>
      </c>
      <c r="U35" s="3">
        <v>0</v>
      </c>
      <c r="V35" s="6">
        <v>0</v>
      </c>
      <c r="W35" s="3" t="e">
        <f t="shared" si="25"/>
        <v>#DIV/0!</v>
      </c>
      <c r="X35" s="3">
        <v>0</v>
      </c>
      <c r="Y35" s="6">
        <v>0</v>
      </c>
      <c r="Z35" s="3" t="e">
        <f t="shared" si="26"/>
        <v>#DIV/0!</v>
      </c>
      <c r="AA35" s="3">
        <v>0</v>
      </c>
      <c r="AB35" s="6">
        <v>0</v>
      </c>
      <c r="AC35" s="3">
        <f t="shared" si="27"/>
        <v>5239.7660818713448</v>
      </c>
      <c r="AD35" s="3">
        <v>89600</v>
      </c>
      <c r="AE35" s="6">
        <v>17.100000000000001</v>
      </c>
      <c r="AF35" s="3" t="e">
        <f t="shared" si="28"/>
        <v>#DIV/0!</v>
      </c>
      <c r="AG35" s="3">
        <v>0</v>
      </c>
      <c r="AH35" s="6">
        <v>0</v>
      </c>
      <c r="AI35" s="3" t="e">
        <f t="shared" si="29"/>
        <v>#DIV/0!</v>
      </c>
      <c r="AJ35" s="3">
        <v>0</v>
      </c>
      <c r="AK35" s="6">
        <v>0</v>
      </c>
      <c r="AL35" s="3" t="e">
        <f t="shared" si="30"/>
        <v>#DIV/0!</v>
      </c>
      <c r="AM35" s="3">
        <v>0</v>
      </c>
      <c r="AN35" s="6">
        <v>0</v>
      </c>
      <c r="AO35" s="3">
        <f t="shared" si="12"/>
        <v>5239.7660818713448</v>
      </c>
      <c r="AP35" s="3">
        <f t="shared" si="17"/>
        <v>89600</v>
      </c>
      <c r="AQ35" s="6">
        <f t="shared" si="18"/>
        <v>17.100000000000001</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1" t="s">
        <v>60</v>
      </c>
      <c r="B36" s="20"/>
      <c r="C36" s="20"/>
      <c r="D36" s="20"/>
      <c r="E36" s="9" t="e">
        <f t="shared" si="19"/>
        <v>#DIV/0!</v>
      </c>
      <c r="F36" s="10">
        <v>0</v>
      </c>
      <c r="G36" s="11">
        <v>0</v>
      </c>
      <c r="H36" s="10" t="e">
        <f t="shared" si="20"/>
        <v>#DIV/0!</v>
      </c>
      <c r="I36" s="10">
        <v>0</v>
      </c>
      <c r="J36" s="11">
        <v>0</v>
      </c>
      <c r="K36" s="10" t="e">
        <f t="shared" si="21"/>
        <v>#DIV/0!</v>
      </c>
      <c r="L36" s="10">
        <v>0</v>
      </c>
      <c r="M36" s="11">
        <v>0</v>
      </c>
      <c r="N36" s="10">
        <f t="shared" si="22"/>
        <v>1317.5925925925926</v>
      </c>
      <c r="O36" s="10">
        <v>14230</v>
      </c>
      <c r="P36" s="11">
        <v>10.8</v>
      </c>
      <c r="Q36" s="10" t="e">
        <f t="shared" si="23"/>
        <v>#DIV/0!</v>
      </c>
      <c r="R36" s="10">
        <v>0</v>
      </c>
      <c r="S36" s="11">
        <v>0</v>
      </c>
      <c r="T36" s="10" t="e">
        <f t="shared" si="24"/>
        <v>#DIV/0!</v>
      </c>
      <c r="U36" s="10">
        <v>0</v>
      </c>
      <c r="V36" s="11">
        <v>0</v>
      </c>
      <c r="W36" s="10" t="e">
        <f t="shared" si="25"/>
        <v>#DIV/0!</v>
      </c>
      <c r="X36" s="10">
        <v>0</v>
      </c>
      <c r="Y36" s="11">
        <v>0</v>
      </c>
      <c r="Z36" s="10" t="e">
        <f t="shared" si="26"/>
        <v>#DIV/0!</v>
      </c>
      <c r="AA36" s="10">
        <v>0</v>
      </c>
      <c r="AB36" s="11">
        <v>0</v>
      </c>
      <c r="AC36" s="10" t="e">
        <f t="shared" si="27"/>
        <v>#DIV/0!</v>
      </c>
      <c r="AD36" s="10">
        <v>0</v>
      </c>
      <c r="AE36" s="11">
        <v>0</v>
      </c>
      <c r="AF36" s="10" t="e">
        <f t="shared" si="28"/>
        <v>#DIV/0!</v>
      </c>
      <c r="AG36" s="10">
        <v>0</v>
      </c>
      <c r="AH36" s="11">
        <v>0</v>
      </c>
      <c r="AI36" s="10" t="e">
        <f t="shared" si="29"/>
        <v>#DIV/0!</v>
      </c>
      <c r="AJ36" s="10">
        <v>0</v>
      </c>
      <c r="AK36" s="11">
        <v>0</v>
      </c>
      <c r="AL36" s="10" t="e">
        <f t="shared" si="30"/>
        <v>#DIV/0!</v>
      </c>
      <c r="AM36" s="10">
        <v>0</v>
      </c>
      <c r="AN36" s="11">
        <v>0</v>
      </c>
      <c r="AO36" s="10">
        <f t="shared" si="12"/>
        <v>1317.5925925925926</v>
      </c>
      <c r="AP36" s="10">
        <f t="shared" si="17"/>
        <v>14230</v>
      </c>
      <c r="AQ36" s="11">
        <f t="shared" si="18"/>
        <v>10.8</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1" t="s">
        <v>34</v>
      </c>
      <c r="B37" s="1"/>
    </row>
    <row r="38" spans="1:67" x14ac:dyDescent="0.3">
      <c r="A38" s="1" t="s">
        <v>49</v>
      </c>
      <c r="B38" s="1"/>
    </row>
    <row r="39" spans="1:67" x14ac:dyDescent="0.3">
      <c r="A39" s="1" t="s">
        <v>35</v>
      </c>
      <c r="B39" s="1"/>
    </row>
    <row r="40" spans="1:67" x14ac:dyDescent="0.3">
      <c r="A40" s="1" t="s">
        <v>36</v>
      </c>
      <c r="B40" s="1"/>
    </row>
    <row r="41" spans="1:67" x14ac:dyDescent="0.3">
      <c r="A41" s="1" t="s">
        <v>50</v>
      </c>
      <c r="B41" s="1"/>
    </row>
  </sheetData>
  <mergeCells count="16">
    <mergeCell ref="B3:B36"/>
    <mergeCell ref="E1:G1"/>
    <mergeCell ref="H1:J1"/>
    <mergeCell ref="K1:M1"/>
    <mergeCell ref="C3:C36"/>
    <mergeCell ref="D3:D36"/>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2026-08-07T07:28:03Z</dcterms:modified>
</cp:coreProperties>
</file>