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AO11" i="1" l="1"/>
  <c r="AQ11" i="1"/>
  <c r="AP11" i="1"/>
  <c r="AL11" i="1"/>
  <c r="AI11" i="1"/>
  <c r="AF11" i="1"/>
  <c r="AC11" i="1"/>
  <c r="Z11" i="1"/>
  <c r="W11" i="1"/>
  <c r="T11" i="1"/>
  <c r="Q11" i="1"/>
  <c r="N11" i="1"/>
  <c r="K11" i="1"/>
  <c r="H11" i="1"/>
  <c r="E11" i="1"/>
  <c r="E4" i="1" l="1"/>
  <c r="AQ4" i="1" l="1"/>
  <c r="AP4" i="1"/>
  <c r="AN3" i="1"/>
  <c r="AM3" i="1"/>
  <c r="AK3" i="1"/>
  <c r="AJ3" i="1"/>
  <c r="AH3" i="1"/>
  <c r="AG3" i="1"/>
  <c r="AE3" i="1"/>
  <c r="AD3" i="1"/>
  <c r="AB3" i="1"/>
  <c r="AA3" i="1"/>
  <c r="Y3" i="1"/>
  <c r="X3" i="1"/>
  <c r="V3" i="1"/>
  <c r="U3" i="1"/>
  <c r="S3" i="1"/>
  <c r="R3" i="1"/>
  <c r="P3" i="1"/>
  <c r="O3" i="1"/>
  <c r="M3" i="1"/>
  <c r="L3" i="1"/>
  <c r="J3" i="1"/>
  <c r="I3" i="1"/>
  <c r="G3" i="1"/>
  <c r="F3" i="1"/>
  <c r="AQ12" i="1" l="1"/>
  <c r="AP12" i="1"/>
  <c r="AQ10" i="1"/>
  <c r="AP10" i="1"/>
  <c r="AQ9" i="1"/>
  <c r="AP9" i="1"/>
  <c r="AQ8" i="1"/>
  <c r="AP8" i="1"/>
  <c r="AQ7" i="1"/>
  <c r="AP7" i="1"/>
  <c r="AQ6" i="1"/>
  <c r="AP6" i="1"/>
  <c r="AC3" i="1" l="1"/>
  <c r="Q3" i="1"/>
  <c r="AL3" i="1"/>
  <c r="AF3" i="1"/>
  <c r="W3" i="1"/>
  <c r="T3" i="1"/>
  <c r="N3" i="1"/>
  <c r="K3" i="1"/>
  <c r="H3" i="1"/>
  <c r="AP5" i="1"/>
  <c r="AP3" i="1" s="1"/>
  <c r="AL12" i="1"/>
  <c r="AL10" i="1"/>
  <c r="AL9" i="1"/>
  <c r="AL8" i="1"/>
  <c r="AL7" i="1"/>
  <c r="AL6" i="1"/>
  <c r="AL5" i="1"/>
  <c r="AL4" i="1"/>
  <c r="AI12" i="1"/>
  <c r="AI10" i="1"/>
  <c r="AI9" i="1"/>
  <c r="AI8" i="1"/>
  <c r="AI7" i="1"/>
  <c r="AI6" i="1"/>
  <c r="AI5" i="1"/>
  <c r="AI4" i="1"/>
  <c r="AF12" i="1"/>
  <c r="AF10" i="1"/>
  <c r="AF9" i="1"/>
  <c r="AF8" i="1"/>
  <c r="AF7" i="1"/>
  <c r="AF6" i="1"/>
  <c r="AF5" i="1"/>
  <c r="AF4" i="1"/>
  <c r="AC12" i="1"/>
  <c r="AC10" i="1"/>
  <c r="AC9" i="1"/>
  <c r="AC8" i="1"/>
  <c r="AC7" i="1"/>
  <c r="AC6" i="1"/>
  <c r="AC5" i="1"/>
  <c r="AC4" i="1"/>
  <c r="Z12" i="1"/>
  <c r="Z10" i="1"/>
  <c r="Z9" i="1"/>
  <c r="Z8" i="1"/>
  <c r="Z7" i="1"/>
  <c r="Z6" i="1"/>
  <c r="Z5" i="1"/>
  <c r="Z4" i="1"/>
  <c r="W12" i="1"/>
  <c r="W10" i="1"/>
  <c r="W9" i="1"/>
  <c r="W8" i="1"/>
  <c r="W7" i="1"/>
  <c r="W6" i="1"/>
  <c r="W5" i="1"/>
  <c r="W4" i="1"/>
  <c r="T12" i="1"/>
  <c r="T10" i="1"/>
  <c r="T9" i="1"/>
  <c r="T8" i="1"/>
  <c r="T7" i="1"/>
  <c r="T6" i="1"/>
  <c r="T5" i="1"/>
  <c r="T4" i="1"/>
  <c r="Q12" i="1"/>
  <c r="Q10" i="1"/>
  <c r="Q9" i="1"/>
  <c r="Q8" i="1"/>
  <c r="Q7" i="1"/>
  <c r="Q6" i="1"/>
  <c r="Q5" i="1"/>
  <c r="Q4" i="1"/>
  <c r="N12" i="1"/>
  <c r="N10" i="1"/>
  <c r="N9" i="1"/>
  <c r="N8" i="1"/>
  <c r="N7" i="1"/>
  <c r="N6" i="1"/>
  <c r="N5" i="1"/>
  <c r="N4" i="1"/>
  <c r="K12" i="1"/>
  <c r="K10" i="1"/>
  <c r="K9" i="1"/>
  <c r="K8" i="1"/>
  <c r="K7" i="1"/>
  <c r="K6" i="1"/>
  <c r="K5" i="1"/>
  <c r="K4" i="1"/>
  <c r="H12" i="1"/>
  <c r="H10" i="1"/>
  <c r="H9" i="1"/>
  <c r="H8" i="1"/>
  <c r="H7" i="1"/>
  <c r="H6" i="1"/>
  <c r="H5" i="1"/>
  <c r="H4" i="1"/>
  <c r="E12" i="1"/>
  <c r="E10" i="1"/>
  <c r="E9" i="1"/>
  <c r="E8" i="1"/>
  <c r="E7" i="1"/>
  <c r="E6" i="1"/>
  <c r="E5" i="1"/>
  <c r="AQ5" i="1"/>
  <c r="AI3" i="1" l="1"/>
  <c r="Z3" i="1"/>
  <c r="AO7" i="1"/>
  <c r="E3" i="1"/>
  <c r="AO10" i="1"/>
  <c r="AO12" i="1"/>
  <c r="AO5" i="1"/>
  <c r="AO6" i="1"/>
  <c r="AO8" i="1"/>
  <c r="AO9" i="1"/>
  <c r="AQ3" i="1"/>
  <c r="AO3" i="1" l="1"/>
  <c r="AO4" i="1"/>
</calcChain>
</file>

<file path=xl/sharedStrings.xml><?xml version="1.0" encoding="utf-8"?>
<sst xmlns="http://schemas.openxmlformats.org/spreadsheetml/2006/main" count="75" uniqueCount="39">
  <si>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</si>
  <si>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</si>
  <si>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</si>
  <si>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</si>
  <si>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</si>
  <si>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</si>
  <si>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</si>
  <si>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</si>
  <si>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</si>
  <si>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</si>
  <si>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</si>
  <si>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</si>
  <si>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</si>
  <si>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</si>
  <si>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</si>
  <si>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</si>
  <si>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</si>
  <si>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</si>
  <si>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</si>
  <si>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</si>
  <si>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</si>
  <si>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</si>
  <si>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</si>
  <si>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</si>
  <si>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</si>
  <si>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</si>
  <si>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</si>
  <si>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</si>
  <si>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</si>
  <si>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</si>
  <si>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</si>
  <si>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Guatemala</t>
    <phoneticPr fontId="18" type="noConversion"/>
  </si>
  <si>
    <t>Brazil</t>
    <phoneticPr fontId="18" type="noConversion"/>
  </si>
  <si>
    <t>India</t>
    <phoneticPr fontId="18" type="noConversion"/>
  </si>
  <si>
    <t>Japan</t>
    <phoneticPr fontId="18" type="noConversion"/>
  </si>
  <si>
    <t>Mexico</t>
    <phoneticPr fontId="18" type="noConversion"/>
  </si>
  <si>
    <t>Nicaragua</t>
    <phoneticPr fontId="18" type="noConversion"/>
  </si>
  <si>
    <t>Netherlands Antilles(*)</t>
    <phoneticPr fontId="18" type="noConversion"/>
  </si>
  <si>
    <t>Leeward-Windward Islands(*)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</si>
</sst>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1425.8639455782313</v>
      </c>
      <c r="F3" s="9">
        <f>SUM(F4:F12)</f>
        <v>104801</v>
      </c>
      <c r="G3" s="10">
        <f>SUM(G4:G12)</f>
        <v>73.5</v>
      </c>
      <c r="H3" s="9">
        <f>I3/J3</f>
        <v>2458.6363636363635</v>
      </c>
      <c r="I3" s="9">
        <f>SUM(I4:I12)</f>
        <v>5409</v>
      </c>
      <c r="J3" s="10">
        <f>SUM(J4:J12)</f>
        <v>2.2000000000000002</v>
      </c>
      <c r="K3" s="9">
        <f>L3/M3</f>
        <v>1280.5</v>
      </c>
      <c r="L3" s="9">
        <f>SUM(L4:L12)</f>
        <v>12805</v>
      </c>
      <c r="M3" s="10">
        <f>SUM(M4:M12)</f>
        <v>10</v>
      </c>
      <c r="N3" s="9">
        <f>O3/P3</f>
        <v>1218.9777777777779</v>
      </c>
      <c r="O3" s="9">
        <f>SUM(O4:O12)</f>
        <v>27427</v>
      </c>
      <c r="P3" s="10">
        <f>SUM(P4:P12)</f>
        <v>22.5</v>
      </c>
      <c r="Q3" s="9">
        <f>R3/S3</f>
        <v>964.52606635071083</v>
      </c>
      <c r="R3" s="9">
        <f>SUM(R4:R12)</f>
        <v>40703</v>
      </c>
      <c r="S3" s="10">
        <f>SUM(S4:S12)</f>
        <v>42.2</v>
      </c>
      <c r="T3" s="9">
        <f>U3/V3</f>
        <v>777.45541022592158</v>
      </c>
      <c r="U3" s="9">
        <f>SUM(U4:U12)</f>
        <v>65384</v>
      </c>
      <c r="V3" s="10">
        <f>SUM(V4:V12)</f>
        <v>84.1</v>
      </c>
      <c r="W3" s="9">
        <f>X3/Y3</f>
        <v>1550.9302325581396</v>
      </c>
      <c r="X3" s="9">
        <f>SUM(X4:X12)</f>
        <v>40014</v>
      </c>
      <c r="Y3" s="10">
        <f>SUM(Y4:Y12)</f>
        <v>25.8</v>
      </c>
      <c r="Z3" s="9">
        <f>AA3/AB3</f>
        <v>1291.8518518518517</v>
      </c>
      <c r="AA3" s="9">
        <f>SUM(AA4:AA12)</f>
        <v>3488</v>
      </c>
      <c r="AB3" s="10">
        <f>SUM(AB4:AB12)</f>
        <v>2.7</v>
      </c>
      <c r="AC3" s="9">
        <f>AD3/AE3</f>
        <v>851.29981024667927</v>
      </c>
      <c r="AD3" s="9">
        <f>SUM(AD4:AD12)</f>
        <v>89727</v>
      </c>
      <c r="AE3" s="10">
        <f>SUM(AE4:AE12)</f>
        <v>105.4</v>
      </c>
      <c r="AF3" s="9">
        <f>AG3/AH3</f>
        <v>1299.6296296296296</v>
      </c>
      <c r="AG3" s="9">
        <f>SUM(AG4:AG12)</f>
        <v>3509</v>
      </c>
      <c r="AH3" s="10">
        <f>SUM(AH4:AH12)</f>
        <v>2.7</v>
      </c>
      <c r="AI3" s="9" t="e">
        <f>AJ3/AK3</f>
        <v>#DIV/0!</v>
      </c>
      <c r="AJ3" s="9">
        <f>SUM(AJ4:AJ12)</f>
        <v>0</v>
      </c>
      <c r="AK3" s="10">
        <f>SUM(AK4:AK12)</f>
        <v>0</v>
      </c>
      <c r="AL3" s="9">
        <f>AM3/AN3</f>
        <v>992.68292682926824</v>
      </c>
      <c r="AM3" s="9">
        <f>SUM(AM4:AM12)</f>
        <v>20350</v>
      </c>
      <c r="AN3" s="10">
        <f>SUM(AN4:AN12)</f>
        <v>20.5</v>
      </c>
      <c r="AO3" s="9">
        <f>AP3/AQ3</f>
        <v>1056.2231869254342</v>
      </c>
      <c r="AP3" s="9">
        <f>SUM(AP4:AP12)</f>
        <v>413617</v>
      </c>
      <c r="AQ3" s="10">
        <f>SUM(AQ4:AQ12)</f>
        <v>391.59999999999997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12" si="0">F4/G4</f>
        <v>1420.4768583450211</v>
      </c>
      <c r="F4" s="3">
        <v>101280</v>
      </c>
      <c r="G4" s="6">
        <v>71.3</v>
      </c>
      <c r="H4" s="3" t="e">
        <f t="shared" ref="H4:H12" si="1">I4/J4</f>
        <v>#DIV/0!</v>
      </c>
      <c r="I4" s="3">
        <v>0</v>
      </c>
      <c r="J4" s="6">
        <v>0</v>
      </c>
      <c r="K4" s="3" t="e">
        <f t="shared" ref="K4:K12" si="2">L4/M4</f>
        <v>#DIV/0!</v>
      </c>
      <c r="L4" s="3">
        <v>0</v>
      </c>
      <c r="M4" s="6">
        <v>0</v>
      </c>
      <c r="N4" s="3" t="e">
        <f t="shared" ref="N4:N12" si="3">O4/P4</f>
        <v>#DIV/0!</v>
      </c>
      <c r="O4" s="3">
        <v>0</v>
      </c>
      <c r="P4" s="6">
        <v>0</v>
      </c>
      <c r="Q4" s="3">
        <f t="shared" ref="Q4:Q12" si="4">R4/S4</f>
        <v>964.52606635071083</v>
      </c>
      <c r="R4" s="3">
        <v>40703</v>
      </c>
      <c r="S4" s="6">
        <v>42.2</v>
      </c>
      <c r="T4" s="3">
        <f t="shared" ref="T4:T12" si="5">U4/V4</f>
        <v>777.45541022592158</v>
      </c>
      <c r="U4" s="3">
        <v>65384</v>
      </c>
      <c r="V4" s="6">
        <v>84.1</v>
      </c>
      <c r="W4" s="3" t="e">
        <f t="shared" ref="W4:W12" si="6">X4/Y4</f>
        <v>#DIV/0!</v>
      </c>
      <c r="X4" s="3">
        <v>0</v>
      </c>
      <c r="Y4" s="6">
        <v>0</v>
      </c>
      <c r="Z4" s="3" t="e">
        <f t="shared" ref="Z4:Z12" si="7">AA4/AB4</f>
        <v>#DIV/0!</v>
      </c>
      <c r="AA4" s="3">
        <v>0</v>
      </c>
      <c r="AB4" s="6">
        <v>0</v>
      </c>
      <c r="AC4" s="3">
        <f t="shared" ref="AC4:AC12" si="8">AD4/AE4</f>
        <v>851.29981024667927</v>
      </c>
      <c r="AD4" s="3">
        <v>89727</v>
      </c>
      <c r="AE4" s="6">
        <v>105.4</v>
      </c>
      <c r="AF4" s="3" t="e">
        <f t="shared" ref="AF4:AF12" si="9">AG4/AH4</f>
        <v>#DIV/0!</v>
      </c>
      <c r="AG4" s="3">
        <v>0</v>
      </c>
      <c r="AH4" s="6">
        <v>0</v>
      </c>
      <c r="AI4" s="3" t="e">
        <f t="shared" ref="AI4:AI12" si="10">AJ4/AK4</f>
        <v>#DIV/0!</v>
      </c>
      <c r="AJ4" s="3">
        <v>0</v>
      </c>
      <c r="AK4" s="6">
        <v>0</v>
      </c>
      <c r="AL4" s="3">
        <f t="shared" ref="AL4:AL12" si="11">AM4/AN4</f>
        <v>992.68292682926824</v>
      </c>
      <c r="AM4" s="3">
        <v>20350</v>
      </c>
      <c r="AN4" s="6">
        <v>20.5</v>
      </c>
      <c r="AO4" s="3">
        <f t="shared" ref="AO4:AO12" si="12">AP4/AQ4</f>
        <v>981.27975270479135</v>
      </c>
      <c r="AP4" s="3">
        <f t="shared" ref="AP4" si="13">SUM(F4,I4,L4,O4,R4,U4,X4,AA4,AD4,AG4,AJ4,AM4)</f>
        <v>317444</v>
      </c>
      <c r="AQ4" s="6">
        <f t="shared" ref="AQ4" si="14">SUM(G4,J4,M4,P4,S4,V4,Y4,AB4,AE4,AH4,AK4,AN4)</f>
        <v>323.5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32</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f t="shared" si="6"/>
        <v>4492.5</v>
      </c>
      <c r="X5" s="3">
        <v>10782</v>
      </c>
      <c r="Y5" s="6">
        <v>2.4</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4492.5</v>
      </c>
      <c r="AP5" s="3">
        <f t="shared" ref="AP5" si="15">SUM(F5,I5,L5,O5,R5,U5,X5,AA5,AD5,AG5,AJ5,AM5)</f>
        <v>10782</v>
      </c>
      <c r="AQ5" s="6">
        <f t="shared" ref="AQ5" si="16">SUM(G5,J5,M5,P5,S5,V5,Y5,AB5,AE5,AH5,AK5,AN5)</f>
        <v>2.4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31</v>
      </c>
      <c r="B6" s="12"/>
      <c r="C6" s="12"/>
      <c r="D6" s="12"/>
      <c r="E6" s="3" t="e">
        <f t="shared" si="0"/>
        <v>#DIV/0!</v>
      </c>
      <c r="F6" s="3">
        <v>0</v>
      </c>
      <c r="G6" s="6">
        <v>0</v>
      </c>
      <c r="H6" s="3" t="e">
        <f t="shared" si="1"/>
        <v>#DIV/0!</v>
      </c>
      <c r="I6" s="3">
        <v>0</v>
      </c>
      <c r="J6" s="6">
        <v>0</v>
      </c>
      <c r="K6" s="3" t="e">
        <f t="shared" si="2"/>
        <v>#DIV/0!</v>
      </c>
      <c r="L6" s="3">
        <v>0</v>
      </c>
      <c r="M6" s="6">
        <v>0</v>
      </c>
      <c r="N6" s="3">
        <f t="shared" si="3"/>
        <v>1279.4444444444443</v>
      </c>
      <c r="O6" s="3">
        <v>4606</v>
      </c>
      <c r="P6" s="6">
        <v>3.6</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1279.4444444444443</v>
      </c>
      <c r="AP6" s="3">
        <f t="shared" ref="AP6:AP12" si="17">SUM(F6,I6,L6,O6,R6,U6,X6,AA6,AD6,AG6,AJ6,AM6)</f>
        <v>4606</v>
      </c>
      <c r="AQ6" s="6">
        <f t="shared" ref="AQ6:AQ12" si="18">SUM(G6,J6,M6,P6,S6,V6,Y6,AB6,AE6,AH6,AK6,AN6)</f>
        <v>3.6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33</v>
      </c>
      <c r="B7" s="12"/>
      <c r="C7" s="12"/>
      <c r="D7" s="12"/>
      <c r="E7" s="3">
        <f t="shared" si="0"/>
        <v>1600.4545454545453</v>
      </c>
      <c r="F7" s="3">
        <v>3521</v>
      </c>
      <c r="G7" s="6">
        <v>2.2000000000000002</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1600.4545454545453</v>
      </c>
      <c r="AP7" s="3">
        <f t="shared" si="17"/>
        <v>3521</v>
      </c>
      <c r="AQ7" s="6">
        <f t="shared" si="18"/>
        <v>2.2000000000000002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34</v>
      </c>
      <c r="B8" s="12"/>
      <c r="C8" s="12"/>
      <c r="D8" s="12"/>
      <c r="E8" s="3" t="e">
        <f t="shared" si="0"/>
        <v>#DIV/0!</v>
      </c>
      <c r="F8" s="3">
        <v>0</v>
      </c>
      <c r="G8" s="6">
        <v>0</v>
      </c>
      <c r="H8" s="3" t="e">
        <f t="shared" si="1"/>
        <v>#DIV/0!</v>
      </c>
      <c r="I8" s="3">
        <v>0</v>
      </c>
      <c r="J8" s="6">
        <v>0</v>
      </c>
      <c r="K8" s="3" t="e">
        <f t="shared" si="2"/>
        <v>#DIV/0!</v>
      </c>
      <c r="L8" s="3">
        <v>0</v>
      </c>
      <c r="M8" s="6">
        <v>0</v>
      </c>
      <c r="N8" s="3">
        <f t="shared" si="3"/>
        <v>1197.8399999999999</v>
      </c>
      <c r="O8" s="3">
        <v>14973</v>
      </c>
      <c r="P8" s="6">
        <v>12.5</v>
      </c>
      <c r="Q8" s="3" t="e">
        <f t="shared" si="4"/>
        <v>#DIV/0!</v>
      </c>
      <c r="R8" s="3">
        <v>0</v>
      </c>
      <c r="S8" s="6">
        <v>0</v>
      </c>
      <c r="T8" s="3" t="e">
        <f t="shared" si="5"/>
        <v>#DIV/0!</v>
      </c>
      <c r="U8" s="3">
        <v>0</v>
      </c>
      <c r="V8" s="6">
        <v>0</v>
      </c>
      <c r="W8" s="3">
        <f t="shared" si="6"/>
        <v>1199.76</v>
      </c>
      <c r="X8" s="3">
        <v>14997</v>
      </c>
      <c r="Y8" s="6">
        <v>12.5</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1198.8</v>
      </c>
      <c r="AP8" s="3">
        <f t="shared" si="17"/>
        <v>29970</v>
      </c>
      <c r="AQ8" s="6">
        <f t="shared" si="18"/>
        <v>25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35</v>
      </c>
      <c r="B9" s="12"/>
      <c r="C9" s="12"/>
      <c r="D9" s="12"/>
      <c r="E9" s="3" t="e">
        <f t="shared" si="0"/>
        <v>#DIV/0!</v>
      </c>
      <c r="F9" s="3">
        <v>0</v>
      </c>
      <c r="G9" s="6">
        <v>0</v>
      </c>
      <c r="H9" s="3">
        <f t="shared" si="1"/>
        <v>2458.6363636363635</v>
      </c>
      <c r="I9" s="3">
        <v>5409</v>
      </c>
      <c r="J9" s="6">
        <v>2.2000000000000002</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2458.6363636363635</v>
      </c>
      <c r="AP9" s="3">
        <f t="shared" si="17"/>
        <v>5409</v>
      </c>
      <c r="AQ9" s="6">
        <f t="shared" si="18"/>
        <v>2.2000000000000002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37</v>
      </c>
      <c r="B10" s="12"/>
      <c r="C10" s="12"/>
      <c r="D10" s="12"/>
      <c r="E10" s="3" t="e">
        <f t="shared" si="0"/>
        <v>#DIV/0!</v>
      </c>
      <c r="F10" s="3">
        <v>0</v>
      </c>
      <c r="G10" s="6">
        <v>0</v>
      </c>
      <c r="H10" s="3" t="e">
        <f t="shared" si="1"/>
        <v>#DIV/0!</v>
      </c>
      <c r="I10" s="3">
        <v>0</v>
      </c>
      <c r="J10" s="6">
        <v>0</v>
      </c>
      <c r="K10" s="3">
        <f t="shared" si="2"/>
        <v>1280.5</v>
      </c>
      <c r="L10" s="3">
        <v>12805</v>
      </c>
      <c r="M10" s="6">
        <v>10</v>
      </c>
      <c r="N10" s="3" t="e">
        <f t="shared" si="3"/>
        <v>#DIV/0!</v>
      </c>
      <c r="O10" s="3">
        <v>0</v>
      </c>
      <c r="P10" s="6">
        <v>0</v>
      </c>
      <c r="Q10" s="3" t="e">
        <f t="shared" si="4"/>
        <v>#DIV/0!</v>
      </c>
      <c r="R10" s="3">
        <v>0</v>
      </c>
      <c r="S10" s="6">
        <v>0</v>
      </c>
      <c r="T10" s="3" t="e">
        <f t="shared" si="5"/>
        <v>#DIV/0!</v>
      </c>
      <c r="U10" s="3">
        <v>0</v>
      </c>
      <c r="V10" s="6">
        <v>0</v>
      </c>
      <c r="W10" s="3">
        <f t="shared" si="6"/>
        <v>1305.9633027522934</v>
      </c>
      <c r="X10" s="3">
        <v>14235</v>
      </c>
      <c r="Y10" s="6">
        <v>10.9</v>
      </c>
      <c r="Z10" s="3">
        <f t="shared" si="7"/>
        <v>1291.8518518518517</v>
      </c>
      <c r="AA10" s="3">
        <v>3488</v>
      </c>
      <c r="AB10" s="6">
        <v>2.7</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1293.5593220338985</v>
      </c>
      <c r="AP10" s="3">
        <f t="shared" si="17"/>
        <v>30528</v>
      </c>
      <c r="AQ10" s="6">
        <f t="shared" si="18"/>
        <v>23.599999999999998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36</v>
      </c>
      <c r="B11" s="12"/>
      <c r="C11" s="12"/>
      <c r="D11" s="12"/>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f t="shared" si="9"/>
        <v>1299.6296296296296</v>
      </c>
      <c r="AG11" s="3">
        <v>3509</v>
      </c>
      <c r="AH11" s="6">
        <v>2.7</v>
      </c>
      <c r="AI11" s="3" t="e">
        <f t="shared" si="10"/>
        <v>#DIV/0!</v>
      </c>
      <c r="AJ11" s="3">
        <v>0</v>
      </c>
      <c r="AK11" s="6">
        <v>0</v>
      </c>
      <c r="AL11" s="3" t="e">
        <f t="shared" si="11"/>
        <v>#DIV/0!</v>
      </c>
      <c r="AM11" s="3">
        <v>0</v>
      </c>
      <c r="AN11" s="6">
        <v>0</v>
      </c>
      <c r="AO11" s="3">
        <f t="shared" si="12"/>
        <v>1299.6296296296296</v>
      </c>
      <c r="AP11" s="3">
        <f t="shared" ref="AP11" si="19">SUM(F11,I11,L11,O11,R11,U11,X11,AA11,AD11,AG11,AJ11,AM11)</f>
        <v>3509</v>
      </c>
      <c r="AQ11" s="6">
        <f t="shared" ref="AQ11" si="20">SUM(G11,J11,M11,P11,S11,V11,Y11,AB11,AE11,AH11,AK11,AN11)</f>
        <v>2.7</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11" t="s">
        <v>38</v>
      </c>
      <c r="B12" s="13"/>
      <c r="C12" s="13"/>
      <c r="D12" s="13"/>
      <c r="E12" s="8" t="e">
        <f t="shared" si="0"/>
        <v>#DIV/0!</v>
      </c>
      <c r="F12" s="9">
        <v>0</v>
      </c>
      <c r="G12" s="10">
        <v>0</v>
      </c>
      <c r="H12" s="9" t="e">
        <f t="shared" si="1"/>
        <v>#DIV/0!</v>
      </c>
      <c r="I12" s="9">
        <v>0</v>
      </c>
      <c r="J12" s="10">
        <v>0</v>
      </c>
      <c r="K12" s="9" t="e">
        <f t="shared" si="2"/>
        <v>#DIV/0!</v>
      </c>
      <c r="L12" s="9">
        <v>0</v>
      </c>
      <c r="M12" s="10">
        <v>0</v>
      </c>
      <c r="N12" s="9">
        <f t="shared" si="3"/>
        <v>1226.25</v>
      </c>
      <c r="O12" s="9">
        <v>7848</v>
      </c>
      <c r="P12" s="10">
        <v>6.4</v>
      </c>
      <c r="Q12" s="9" t="e">
        <f t="shared" si="4"/>
        <v>#DIV/0!</v>
      </c>
      <c r="R12" s="9">
        <v>0</v>
      </c>
      <c r="S12" s="10">
        <v>0</v>
      </c>
      <c r="T12" s="9" t="e">
        <f t="shared" si="5"/>
        <v>#DIV/0!</v>
      </c>
      <c r="U12" s="9">
        <v>0</v>
      </c>
      <c r="V12" s="10">
        <v>0</v>
      </c>
      <c r="W12" s="9" t="e">
        <f t="shared" si="6"/>
        <v>#DIV/0!</v>
      </c>
      <c r="X12" s="9">
        <v>0</v>
      </c>
      <c r="Y12" s="10">
        <v>0</v>
      </c>
      <c r="Z12" s="9" t="e">
        <f t="shared" si="7"/>
        <v>#DIV/0!</v>
      </c>
      <c r="AA12" s="9">
        <v>0</v>
      </c>
      <c r="AB12" s="10">
        <v>0</v>
      </c>
      <c r="AC12" s="9" t="e">
        <f t="shared" si="8"/>
        <v>#DIV/0!</v>
      </c>
      <c r="AD12" s="9">
        <v>0</v>
      </c>
      <c r="AE12" s="10">
        <v>0</v>
      </c>
      <c r="AF12" s="9" t="e">
        <f t="shared" si="9"/>
        <v>#DIV/0!</v>
      </c>
      <c r="AG12" s="9">
        <v>0</v>
      </c>
      <c r="AH12" s="10">
        <v>0</v>
      </c>
      <c r="AI12" s="9" t="e">
        <f t="shared" si="10"/>
        <v>#DIV/0!</v>
      </c>
      <c r="AJ12" s="9">
        <v>0</v>
      </c>
      <c r="AK12" s="10">
        <v>0</v>
      </c>
      <c r="AL12" s="9" t="e">
        <f t="shared" si="11"/>
        <v>#DIV/0!</v>
      </c>
      <c r="AM12" s="9">
        <v>0</v>
      </c>
      <c r="AN12" s="10">
        <v>0</v>
      </c>
      <c r="AO12" s="9">
        <f t="shared" si="12"/>
        <v>1226.25</v>
      </c>
      <c r="AP12" s="9">
        <f t="shared" si="17"/>
        <v>7848</v>
      </c>
      <c r="AQ12" s="10">
        <f t="shared" si="18"/>
        <v>6.4</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x14ac:dyDescent="0.3">
      <c r="A13" s="1" t="s">
        <v>18</v>
      </c>
      <c r="B13" s="1"/>
    </row>
    <row r="14" spans="1:67" x14ac:dyDescent="0.3">
      <c r="A14" s="1" t="s">
        <v>23</v>
      </c>
      <c r="B14" s="1"/>
    </row>
    <row r="15" spans="1:67" x14ac:dyDescent="0.3">
      <c r="A15" s="1" t="s">
        <v>27</v>
      </c>
      <c r="B15" s="1"/>
    </row>
    <row r="16" spans="1:67" x14ac:dyDescent="0.3">
      <c r="A16" s="1" t="s">
        <v>28</v>
      </c>
      <c r="B16" s="1"/>
    </row>
    <row r="17" spans="1:2" x14ac:dyDescent="0.3">
      <c r="A17" s="1" t="s">
        <v>29</v>
      </c>
      <c r="B17" s="1"/>
    </row>
    <row r="18" spans="1:2" x14ac:dyDescent="0.3">
      <c r="A18" s="1" t="s">
        <v>30</v>
      </c>
      <c r="B18" s="1"/>
    </row>
  </sheetData>
  <mergeCells count="16">
    <mergeCell ref="N1:P1"/>
    <mergeCell ref="Q1:S1"/>
    <mergeCell ref="T1:V1"/>
    <mergeCell ref="AL1:AN1"/>
    <mergeCell ref="AO1:AQ1"/>
    <mergeCell ref="W1:Y1"/>
    <mergeCell ref="Z1:AB1"/>
    <mergeCell ref="AC1:AE1"/>
    <mergeCell ref="AF1:AH1"/>
    <mergeCell ref="AI1:AK1"/>
    <mergeCell ref="B3:B12"/>
    <mergeCell ref="E1:G1"/>
    <mergeCell ref="H1:J1"/>
    <mergeCell ref="K1:M1"/>
    <mergeCell ref="C3:C12"/>
    <mergeCell ref="D3:D12"/>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2026-08-10T01:28:41Z</dcterms:modified>
</cp:coreProperties>
</file>