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24년" sheetId="1" r:id="rId1"/>
  </sheets>
  <calcPr calcId="162913"/>
</workbook>
</file>

<file path=xl/calcChain.xml><?xml version="1.0" encoding="utf-8"?>
<calcChain xmlns="http://schemas.openxmlformats.org/spreadsheetml/2006/main">
  <c r="AQ24" i="1" l="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AQ4" i="1" l="1"/>
  <c r="AP4" i="1"/>
  <c r="AC3" i="1" l="1"/>
  <c r="Q3" i="1"/>
  <c r="AL3" i="1"/>
  <c r="AF3" i="1"/>
  <c r="W3" i="1"/>
  <c r="T3" i="1"/>
  <c r="N3" i="1"/>
  <c r="K3" i="1"/>
  <c r="H3" i="1"/>
  <c r="AP3" i="1"/>
  <c r="AL24" i="1"/>
  <c r="AL23" i="1"/>
  <c r="AL22" i="1"/>
  <c r="AL21" i="1"/>
  <c r="AL20" i="1"/>
  <c r="AL19" i="1"/>
  <c r="AL18" i="1"/>
  <c r="AL17" i="1"/>
  <c r="AL16" i="1"/>
  <c r="AL15" i="1"/>
  <c r="AL14" i="1"/>
  <c r="AL13" i="1"/>
  <c r="AL12" i="1"/>
  <c r="AL11" i="1"/>
  <c r="AL10" i="1"/>
  <c r="AL9" i="1"/>
  <c r="AL8" i="1"/>
  <c r="AL7" i="1"/>
  <c r="AL6" i="1"/>
  <c r="AL5" i="1"/>
  <c r="AL4" i="1"/>
  <c r="AI24" i="1"/>
  <c r="AI23" i="1"/>
  <c r="AI22" i="1"/>
  <c r="AI21" i="1"/>
  <c r="AI20" i="1"/>
  <c r="AI19" i="1"/>
  <c r="AI18" i="1"/>
  <c r="AI17" i="1"/>
  <c r="AI16" i="1"/>
  <c r="AI15" i="1"/>
  <c r="AI14" i="1"/>
  <c r="AI13" i="1"/>
  <c r="AI12" i="1"/>
  <c r="AI11" i="1"/>
  <c r="AI10" i="1"/>
  <c r="AI9" i="1"/>
  <c r="AI8" i="1"/>
  <c r="AI7" i="1"/>
  <c r="AI6" i="1"/>
  <c r="AI5" i="1"/>
  <c r="AI4" i="1"/>
  <c r="AF24" i="1"/>
  <c r="AF23" i="1"/>
  <c r="AF22" i="1"/>
  <c r="AF21" i="1"/>
  <c r="AF20" i="1"/>
  <c r="AF19" i="1"/>
  <c r="AF18" i="1"/>
  <c r="AF17" i="1"/>
  <c r="AF16" i="1"/>
  <c r="AF15" i="1"/>
  <c r="AF14" i="1"/>
  <c r="AF13" i="1"/>
  <c r="AF12" i="1"/>
  <c r="AF11" i="1"/>
  <c r="AF10" i="1"/>
  <c r="AF9" i="1"/>
  <c r="AF8" i="1"/>
  <c r="AF7" i="1"/>
  <c r="AF6" i="1"/>
  <c r="AF5" i="1"/>
  <c r="AF4" i="1"/>
  <c r="AC24" i="1"/>
  <c r="AC23" i="1"/>
  <c r="AC22" i="1"/>
  <c r="AC21" i="1"/>
  <c r="AC20" i="1"/>
  <c r="AC19" i="1"/>
  <c r="AC18" i="1"/>
  <c r="AC17" i="1"/>
  <c r="AC16" i="1"/>
  <c r="AC15" i="1"/>
  <c r="AC14" i="1"/>
  <c r="AC13" i="1"/>
  <c r="AC12" i="1"/>
  <c r="AC11" i="1"/>
  <c r="AC10" i="1"/>
  <c r="AC9" i="1"/>
  <c r="AC8" i="1"/>
  <c r="AC7" i="1"/>
  <c r="AC6" i="1"/>
  <c r="AC5" i="1"/>
  <c r="AC4" i="1"/>
  <c r="Z24" i="1"/>
  <c r="Z23" i="1"/>
  <c r="Z22" i="1"/>
  <c r="Z21" i="1"/>
  <c r="Z20" i="1"/>
  <c r="Z19" i="1"/>
  <c r="Z18" i="1"/>
  <c r="Z17" i="1"/>
  <c r="Z16" i="1"/>
  <c r="Z15" i="1"/>
  <c r="Z14" i="1"/>
  <c r="Z13" i="1"/>
  <c r="Z12" i="1"/>
  <c r="Z11" i="1"/>
  <c r="Z10" i="1"/>
  <c r="Z9" i="1"/>
  <c r="Z8" i="1"/>
  <c r="Z7" i="1"/>
  <c r="Z6" i="1"/>
  <c r="Z5" i="1"/>
  <c r="Z4" i="1"/>
  <c r="W24" i="1"/>
  <c r="W23" i="1"/>
  <c r="W22" i="1"/>
  <c r="W21" i="1"/>
  <c r="W20" i="1"/>
  <c r="W19" i="1"/>
  <c r="W18" i="1"/>
  <c r="W17" i="1"/>
  <c r="W16" i="1"/>
  <c r="W15" i="1"/>
  <c r="W14" i="1"/>
  <c r="W13" i="1"/>
  <c r="W12" i="1"/>
  <c r="W11" i="1"/>
  <c r="W10" i="1"/>
  <c r="W9" i="1"/>
  <c r="W8" i="1"/>
  <c r="W7" i="1"/>
  <c r="W6" i="1"/>
  <c r="W5" i="1"/>
  <c r="W4" i="1"/>
  <c r="T24" i="1"/>
  <c r="T23" i="1"/>
  <c r="T22" i="1"/>
  <c r="T21" i="1"/>
  <c r="T20" i="1"/>
  <c r="T19" i="1"/>
  <c r="T18" i="1"/>
  <c r="T17" i="1"/>
  <c r="T16" i="1"/>
  <c r="T15" i="1"/>
  <c r="T14" i="1"/>
  <c r="T13" i="1"/>
  <c r="T12" i="1"/>
  <c r="T11" i="1"/>
  <c r="T10" i="1"/>
  <c r="T9" i="1"/>
  <c r="T8" i="1"/>
  <c r="T7" i="1"/>
  <c r="T6" i="1"/>
  <c r="T5" i="1"/>
  <c r="T4" i="1"/>
  <c r="Q24" i="1"/>
  <c r="Q23" i="1"/>
  <c r="Q22" i="1"/>
  <c r="Q21" i="1"/>
  <c r="Q20" i="1"/>
  <c r="Q19" i="1"/>
  <c r="Q18" i="1"/>
  <c r="Q17" i="1"/>
  <c r="Q16" i="1"/>
  <c r="Q15" i="1"/>
  <c r="Q14" i="1"/>
  <c r="Q13" i="1"/>
  <c r="Q12" i="1"/>
  <c r="Q11" i="1"/>
  <c r="Q10" i="1"/>
  <c r="Q9" i="1"/>
  <c r="Q8" i="1"/>
  <c r="Q7" i="1"/>
  <c r="Q6" i="1"/>
  <c r="Q5" i="1"/>
  <c r="Q4" i="1"/>
  <c r="N24" i="1"/>
  <c r="N23" i="1"/>
  <c r="N22" i="1"/>
  <c r="N21" i="1"/>
  <c r="N20" i="1"/>
  <c r="N19" i="1"/>
  <c r="N18" i="1"/>
  <c r="N17" i="1"/>
  <c r="N16" i="1"/>
  <c r="N15" i="1"/>
  <c r="N14" i="1"/>
  <c r="N13" i="1"/>
  <c r="N12" i="1"/>
  <c r="N11" i="1"/>
  <c r="N10" i="1"/>
  <c r="N9" i="1"/>
  <c r="N8" i="1"/>
  <c r="N7" i="1"/>
  <c r="N6" i="1"/>
  <c r="N5" i="1"/>
  <c r="N4" i="1"/>
  <c r="K24" i="1"/>
  <c r="K23" i="1"/>
  <c r="K22" i="1"/>
  <c r="K21" i="1"/>
  <c r="K20" i="1"/>
  <c r="K19" i="1"/>
  <c r="K18" i="1"/>
  <c r="K17" i="1"/>
  <c r="K16" i="1"/>
  <c r="K15" i="1"/>
  <c r="K14" i="1"/>
  <c r="K13" i="1"/>
  <c r="K12" i="1"/>
  <c r="K11" i="1"/>
  <c r="K10" i="1"/>
  <c r="K9" i="1"/>
  <c r="K8" i="1"/>
  <c r="K7" i="1"/>
  <c r="K6" i="1"/>
  <c r="K5" i="1"/>
  <c r="K4" i="1"/>
  <c r="H24" i="1"/>
  <c r="H23" i="1"/>
  <c r="H22" i="1"/>
  <c r="H21" i="1"/>
  <c r="H20" i="1"/>
  <c r="H19" i="1"/>
  <c r="H18" i="1"/>
  <c r="H17" i="1"/>
  <c r="H16" i="1"/>
  <c r="H15" i="1"/>
  <c r="H14" i="1"/>
  <c r="H13" i="1"/>
  <c r="H12" i="1"/>
  <c r="H11" i="1"/>
  <c r="H10" i="1"/>
  <c r="H9" i="1"/>
  <c r="H8" i="1"/>
  <c r="H7" i="1"/>
  <c r="H6" i="1"/>
  <c r="H5" i="1"/>
  <c r="H4"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11" i="1"/>
  <c r="AO20" i="1"/>
  <c r="AO5" i="1"/>
  <c r="AO13" i="1"/>
  <c r="AO21" i="1"/>
  <c r="AO6" i="1"/>
  <c r="AO14" i="1"/>
  <c r="AO22" i="1"/>
  <c r="AO8" i="1"/>
  <c r="AO16" i="1"/>
  <c r="AO24" i="1"/>
  <c r="AO9" i="1"/>
  <c r="AO17" i="1"/>
  <c r="AO19" i="1"/>
  <c r="AO23" i="1"/>
  <c r="AO3" i="1" l="1"/>
  <c r="AO4" i="1"/>
  <c r="AO12" i="1"/>
</calcChain>
</file>

<file path=xl/sharedStrings.xml><?xml version="1.0" encoding="utf-8"?>
<sst xmlns="http://schemas.openxmlformats.org/spreadsheetml/2006/main" count="86" uniqueCount="50">
  <si>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</si>
  <si>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</si>
  <si>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</si>
  <si>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</si>
  <si>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</si>
  <si>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</si>
  <si>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</si>
  <si>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</si>
  <si>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</si>
  <si>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</si>
  <si>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</si>
  <si>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</si>
  <si>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</si>
  <si>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</si>
  <si>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</si>
  <si>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</si>
  <si>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</si>
  <si>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</si>
  <si>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</si>
  <si>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Jamaica</t>
  </si>
  <si>
    <t>Mexico</t>
  </si>
  <si>
    <t>Bahamas, The</t>
  </si>
  <si>
    <t>Belize</t>
  </si>
  <si>
    <t>Guatemala</t>
  </si>
  <si>
    <t>Honduras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</si>
  <si>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</si>
  <si>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</si>
  <si>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</si>
  <si>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</si>
  <si>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</si>
  <si>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</si>
  <si>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</si>
  <si>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</si>
  <si>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</si>
  <si>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</si>
  <si>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</si>
  <si>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</si>
  <si>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</si>
  <si>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</si>
  <si>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Cayman Islands</t>
  </si>
  <si>
    <t>Bermuda</t>
  </si>
  <si>
    <t>1. Data Source: U.S. Census Bureau Trade Data</t>
  </si>
  <si>
    <t>4. Product Group : Harmonized</t>
  </si>
  <si>
    <t>Product</t>
    <phoneticPr fontId="18" type="noConversion"/>
  </si>
  <si>
    <t>Turks and Caicos Islands</t>
  </si>
  <si>
    <t>SOY OIL HYDRGNTD</t>
    <phoneticPr fontId="18" type="noConversion"/>
  </si>
  <si>
    <t>Barbados</t>
  </si>
  <si>
    <t>Korea, South</t>
  </si>
  <si>
    <t>Haiti</t>
  </si>
  <si>
    <t>Jordan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</si>
</sst>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9"/>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6" t="s">
        <v>0</v>
      </c>
      <c r="F1" s="17"/>
      <c r="G1" s="18"/>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31</v>
      </c>
      <c r="B2" s="2" t="s">
        <v>43</v>
      </c>
      <c r="C2" s="2" t="s">
        <v>13</v>
      </c>
      <c r="D2" s="2" t="s">
        <v>32</v>
      </c>
      <c r="E2" s="4" t="s">
        <v>14</v>
      </c>
      <c r="F2" s="2" t="s">
        <v>32</v>
      </c>
      <c r="G2" s="5" t="s">
        <v>15</v>
      </c>
      <c r="H2" s="2" t="s">
        <v>14</v>
      </c>
      <c r="I2" s="2" t="s">
        <v>32</v>
      </c>
      <c r="J2" s="5" t="s">
        <v>15</v>
      </c>
      <c r="K2" s="2" t="s">
        <v>14</v>
      </c>
      <c r="L2" s="2" t="s">
        <v>32</v>
      </c>
      <c r="M2" s="5" t="s">
        <v>15</v>
      </c>
      <c r="N2" s="2" t="s">
        <v>14</v>
      </c>
      <c r="O2" s="2" t="s">
        <v>32</v>
      </c>
      <c r="P2" s="5" t="s">
        <v>15</v>
      </c>
      <c r="Q2" s="2" t="s">
        <v>14</v>
      </c>
      <c r="R2" s="2" t="s">
        <v>32</v>
      </c>
      <c r="S2" s="5" t="s">
        <v>15</v>
      </c>
      <c r="T2" s="2" t="s">
        <v>14</v>
      </c>
      <c r="U2" s="2" t="s">
        <v>32</v>
      </c>
      <c r="V2" s="5" t="s">
        <v>15</v>
      </c>
      <c r="W2" s="2" t="s">
        <v>14</v>
      </c>
      <c r="X2" s="2" t="s">
        <v>32</v>
      </c>
      <c r="Y2" s="5" t="s">
        <v>15</v>
      </c>
      <c r="Z2" s="2" t="s">
        <v>14</v>
      </c>
      <c r="AA2" s="2" t="s">
        <v>32</v>
      </c>
      <c r="AB2" s="5" t="s">
        <v>15</v>
      </c>
      <c r="AC2" s="2" t="s">
        <v>14</v>
      </c>
      <c r="AD2" s="2" t="s">
        <v>32</v>
      </c>
      <c r="AE2" s="5" t="s">
        <v>15</v>
      </c>
      <c r="AF2" s="2" t="s">
        <v>14</v>
      </c>
      <c r="AG2" s="2" t="s">
        <v>32</v>
      </c>
      <c r="AH2" s="5" t="s">
        <v>15</v>
      </c>
      <c r="AI2" s="2" t="s">
        <v>14</v>
      </c>
      <c r="AJ2" s="2" t="s">
        <v>32</v>
      </c>
      <c r="AK2" s="5" t="s">
        <v>15</v>
      </c>
      <c r="AL2" s="2" t="s">
        <v>14</v>
      </c>
      <c r="AM2" s="2" t="s">
        <v>32</v>
      </c>
      <c r="AN2" s="5" t="s">
        <v>15</v>
      </c>
      <c r="AO2" s="2" t="s">
        <v>14</v>
      </c>
      <c r="AP2" s="2" t="s">
        <v>34</v>
      </c>
      <c r="AQ2" s="5" t="s">
        <v>15</v>
      </c>
    </row>
    <row r="3" spans="1:67" ht="15" customHeight="1" x14ac:dyDescent="0.3">
      <c r="A3" s="7" t="s">
        <v>16</v>
      </c>
      <c r="B3" s="19" t="s">
        <v>45</v>
      </c>
      <c r="C3" s="19" t="s">
        <v>17</v>
      </c>
      <c r="D3" s="19" t="s">
        <v>33</v>
      </c>
      <c r="E3" s="10">
        <f>F3/G3</f>
        <v>2281.6567544604927</v>
      </c>
      <c r="F3" s="10">
        <f>SUM(F4:F24)</f>
        <v>268551</v>
      </c>
      <c r="G3" s="11">
        <f>SUM(G4:G24)</f>
        <v>117.7</v>
      </c>
      <c r="H3" s="10">
        <f>I3/J3</f>
        <v>2106.7126193001063</v>
      </c>
      <c r="I3" s="10">
        <f>SUM(I4:I24)</f>
        <v>397326</v>
      </c>
      <c r="J3" s="11">
        <f>SUM(J4:J24)</f>
        <v>188.6</v>
      </c>
      <c r="K3" s="10">
        <f>L3/M3</f>
        <v>2130.2153667054713</v>
      </c>
      <c r="L3" s="10">
        <f>SUM(L4:L24)</f>
        <v>365971</v>
      </c>
      <c r="M3" s="11">
        <f>SUM(M4:M24)</f>
        <v>171.8</v>
      </c>
      <c r="N3" s="10">
        <f>O3/P3</f>
        <v>1987.34375</v>
      </c>
      <c r="O3" s="10">
        <f>SUM(O4:O24)</f>
        <v>305256</v>
      </c>
      <c r="P3" s="11">
        <f>SUM(P4:P24)</f>
        <v>153.6</v>
      </c>
      <c r="Q3" s="10">
        <f>R3/S3</f>
        <v>1753.0242214532873</v>
      </c>
      <c r="R3" s="10">
        <f>SUM(R4:R24)</f>
        <v>253312</v>
      </c>
      <c r="S3" s="11">
        <f>SUM(S4:S24)</f>
        <v>144.5</v>
      </c>
      <c r="T3" s="10">
        <f>U3/V3</f>
        <v>1951.8516169942927</v>
      </c>
      <c r="U3" s="10">
        <f>SUM(U4:U24)</f>
        <v>307807</v>
      </c>
      <c r="V3" s="11">
        <f>SUM(V4:V24)</f>
        <v>157.70000000000002</v>
      </c>
      <c r="W3" s="10">
        <f>X3/Y3</f>
        <v>1814.6123101518785</v>
      </c>
      <c r="X3" s="10">
        <f>SUM(X4:X24)</f>
        <v>227008</v>
      </c>
      <c r="Y3" s="11">
        <f>SUM(Y4:Y24)</f>
        <v>125.1</v>
      </c>
      <c r="Z3" s="10">
        <f>AA3/AB3</f>
        <v>1831.1889188149289</v>
      </c>
      <c r="AA3" s="10">
        <f>SUM(AA4:AA24)</f>
        <v>475926</v>
      </c>
      <c r="AB3" s="11">
        <f>SUM(AB4:AB24)</f>
        <v>259.89999999999998</v>
      </c>
      <c r="AC3" s="10">
        <f>AD3/AE3</f>
        <v>1904.0694239290988</v>
      </c>
      <c r="AD3" s="10">
        <f>SUM(AD4:AD24)</f>
        <v>257811</v>
      </c>
      <c r="AE3" s="11">
        <f>SUM(AE4:AE24)</f>
        <v>135.4</v>
      </c>
      <c r="AF3" s="10">
        <f>AG3/AH3</f>
        <v>1894.6908533469596</v>
      </c>
      <c r="AG3" s="10">
        <f>SUM(AG4:AG24)</f>
        <v>370791</v>
      </c>
      <c r="AH3" s="11">
        <f>SUM(AH4:AH24)</f>
        <v>195.70000000000002</v>
      </c>
      <c r="AI3" s="10">
        <f>AJ3/AK3</f>
        <v>1810.7403651115621</v>
      </c>
      <c r="AJ3" s="10">
        <f>SUM(AJ4:AJ24)</f>
        <v>357078</v>
      </c>
      <c r="AK3" s="11">
        <f>SUM(AK4:AK24)</f>
        <v>197.19999999999996</v>
      </c>
      <c r="AL3" s="10">
        <f>AM3/AN3</f>
        <v>1705.9088974031501</v>
      </c>
      <c r="AM3" s="10">
        <f>SUM(AM4:AM24)</f>
        <v>400718</v>
      </c>
      <c r="AN3" s="11">
        <f>SUM(AN4:AN24)</f>
        <v>234.9</v>
      </c>
      <c r="AO3" s="10">
        <f>AP3/AQ3</f>
        <v>1915.1601748234953</v>
      </c>
      <c r="AP3" s="10">
        <f>SUM(AP4:AP24)</f>
        <v>3987555</v>
      </c>
      <c r="AQ3" s="11">
        <f>SUM(AQ4:AQ24)</f>
        <v>2082.1000000000004</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20</v>
      </c>
      <c r="B4" s="20"/>
      <c r="C4" s="20"/>
      <c r="D4" s="20"/>
      <c r="E4" s="3">
        <f t="shared" ref="E4:E11" si="0">F4/G4</f>
        <v>2210.6905370843988</v>
      </c>
      <c r="F4" s="3">
        <v>86438</v>
      </c>
      <c r="G4" s="6">
        <v>39.1</v>
      </c>
      <c r="H4" s="3">
        <f t="shared" ref="H4:H11" si="1">I4/J4</f>
        <v>2730.6866952789701</v>
      </c>
      <c r="I4" s="3">
        <v>63625</v>
      </c>
      <c r="J4" s="6">
        <v>23.3</v>
      </c>
      <c r="K4" s="3">
        <f t="shared" ref="K4:K11" si="2">L4/M4</f>
        <v>1988.1675392670156</v>
      </c>
      <c r="L4" s="3">
        <v>75948</v>
      </c>
      <c r="M4" s="6">
        <v>38.200000000000003</v>
      </c>
      <c r="N4" s="3">
        <f t="shared" ref="N4:N11" si="3">O4/P4</f>
        <v>1959.7368421052633</v>
      </c>
      <c r="O4" s="3">
        <v>29788</v>
      </c>
      <c r="P4" s="6">
        <v>15.2</v>
      </c>
      <c r="Q4" s="3">
        <f t="shared" ref="Q4:Q11" si="4">R4/S4</f>
        <v>1717.1219512195121</v>
      </c>
      <c r="R4" s="3">
        <v>70402</v>
      </c>
      <c r="S4" s="6">
        <v>41</v>
      </c>
      <c r="T4" s="3">
        <f t="shared" ref="T4:T11" si="5">U4/V4</f>
        <v>1812.7019498607242</v>
      </c>
      <c r="U4" s="3">
        <v>65076</v>
      </c>
      <c r="V4" s="6">
        <v>35.9</v>
      </c>
      <c r="W4" s="3">
        <f t="shared" ref="W4:W11" si="6">X4/Y4</f>
        <v>1776.0526315789473</v>
      </c>
      <c r="X4" s="3">
        <v>20247</v>
      </c>
      <c r="Y4" s="6">
        <v>11.4</v>
      </c>
      <c r="Z4" s="3">
        <f t="shared" ref="Z4:Z11" si="7">AA4/AB4</f>
        <v>1767.9322033898304</v>
      </c>
      <c r="AA4" s="3">
        <v>52154</v>
      </c>
      <c r="AB4" s="6">
        <v>29.5</v>
      </c>
      <c r="AC4" s="3">
        <f t="shared" ref="AC4:AC11" si="8">AD4/AE4</f>
        <v>1734.3809523809523</v>
      </c>
      <c r="AD4" s="3">
        <v>18211</v>
      </c>
      <c r="AE4" s="6">
        <v>10.5</v>
      </c>
      <c r="AF4" s="3">
        <f t="shared" ref="AF4:AF11" si="9">AG4/AH4</f>
        <v>1925.1162790697676</v>
      </c>
      <c r="AG4" s="3">
        <v>91058</v>
      </c>
      <c r="AH4" s="6">
        <v>47.3</v>
      </c>
      <c r="AI4" s="3">
        <f t="shared" ref="AI4:AI11" si="10">AJ4/AK4</f>
        <v>1883.955223880597</v>
      </c>
      <c r="AJ4" s="3">
        <v>50490</v>
      </c>
      <c r="AK4" s="6">
        <v>26.8</v>
      </c>
      <c r="AL4" s="3">
        <f t="shared" ref="AL4:AL11" si="11">AM4/AN4</f>
        <v>1816.7301905717152</v>
      </c>
      <c r="AM4" s="3">
        <v>181128</v>
      </c>
      <c r="AN4" s="6">
        <v>99.7</v>
      </c>
      <c r="AO4" s="3">
        <f t="shared" ref="AO4:AO24" si="12">AP4/AQ4</f>
        <v>1925.2572385738213</v>
      </c>
      <c r="AP4" s="3">
        <f t="shared" ref="AP4" si="13">SUM(F4,I4,L4,O4,R4,U4,X4,AA4,AD4,AG4,AJ4,AM4)</f>
        <v>804565</v>
      </c>
      <c r="AQ4" s="6">
        <f t="shared" ref="AQ4" si="14">SUM(G4,J4,M4,P4,S4,V4,Y4,AB4,AE4,AH4,AK4,AN4)</f>
        <v>417.90000000000003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23</v>
      </c>
      <c r="B5" s="20"/>
      <c r="C5" s="20"/>
      <c r="D5" s="20"/>
      <c r="E5" s="3" t="e">
        <f t="shared" si="0"/>
        <v>#DIV/0!</v>
      </c>
      <c r="F5" s="3">
        <v>0</v>
      </c>
      <c r="G5" s="6">
        <v>0</v>
      </c>
      <c r="H5" s="3">
        <f t="shared" si="1"/>
        <v>2500.262467191601</v>
      </c>
      <c r="I5" s="3">
        <v>95260</v>
      </c>
      <c r="J5" s="6">
        <v>38.1</v>
      </c>
      <c r="K5" s="3">
        <f t="shared" si="2"/>
        <v>2053.5433070866143</v>
      </c>
      <c r="L5" s="3">
        <v>156480</v>
      </c>
      <c r="M5" s="6">
        <v>76.2</v>
      </c>
      <c r="N5" s="3">
        <f t="shared" si="3"/>
        <v>2220.4724409448818</v>
      </c>
      <c r="O5" s="3">
        <v>84600</v>
      </c>
      <c r="P5" s="6">
        <v>38.1</v>
      </c>
      <c r="Q5" s="3">
        <f t="shared" si="4"/>
        <v>1727.7486910994762</v>
      </c>
      <c r="R5" s="3">
        <v>33000</v>
      </c>
      <c r="S5" s="6">
        <v>19.100000000000001</v>
      </c>
      <c r="T5" s="3">
        <f t="shared" si="5"/>
        <v>1590.3614457831325</v>
      </c>
      <c r="U5" s="3">
        <v>66000</v>
      </c>
      <c r="V5" s="6">
        <v>41.5</v>
      </c>
      <c r="W5" s="3">
        <f t="shared" si="6"/>
        <v>1628.140703517588</v>
      </c>
      <c r="X5" s="3">
        <v>64800</v>
      </c>
      <c r="Y5" s="6">
        <v>39.799999999999997</v>
      </c>
      <c r="Z5" s="3">
        <f t="shared" si="7"/>
        <v>1669.2913385826771</v>
      </c>
      <c r="AA5" s="3">
        <v>63600</v>
      </c>
      <c r="AB5" s="6">
        <v>38.1</v>
      </c>
      <c r="AC5" s="3">
        <f t="shared" si="8"/>
        <v>1532.5301204819277</v>
      </c>
      <c r="AD5" s="3">
        <v>63600</v>
      </c>
      <c r="AE5" s="6">
        <v>41.5</v>
      </c>
      <c r="AF5" s="3">
        <f t="shared" si="9"/>
        <v>1532.5301204819277</v>
      </c>
      <c r="AG5" s="3">
        <v>63600</v>
      </c>
      <c r="AH5" s="6">
        <v>41.5</v>
      </c>
      <c r="AI5" s="3">
        <f t="shared" si="10"/>
        <v>1531.3001605136437</v>
      </c>
      <c r="AJ5" s="3">
        <v>95400</v>
      </c>
      <c r="AK5" s="6">
        <v>62.3</v>
      </c>
      <c r="AL5" s="3">
        <f t="shared" si="11"/>
        <v>1486.9983948635634</v>
      </c>
      <c r="AM5" s="3">
        <v>92640</v>
      </c>
      <c r="AN5" s="6">
        <v>62.3</v>
      </c>
      <c r="AO5" s="3">
        <f t="shared" si="12"/>
        <v>1763.249749247743</v>
      </c>
      <c r="AP5" s="3">
        <f t="shared" ref="AP5:AP24" si="15">SUM(F5,I5,L5,O5,R5,U5,X5,AA5,AD5,AG5,AJ5,AM5)</f>
        <v>878980</v>
      </c>
      <c r="AQ5" s="6">
        <f t="shared" ref="AQ5:AQ24" si="16">SUM(G5,J5,M5,P5,S5,V5,Y5,AB5,AE5,AH5,AK5,AN5)</f>
        <v>498.50000000000006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18</v>
      </c>
      <c r="B6" s="20"/>
      <c r="C6" s="20"/>
      <c r="D6" s="20"/>
      <c r="E6" s="3" t="e">
        <f t="shared" si="0"/>
        <v>#DIV/0!</v>
      </c>
      <c r="F6" s="3">
        <v>0</v>
      </c>
      <c r="G6" s="6">
        <v>0</v>
      </c>
      <c r="H6" s="3">
        <f t="shared" si="1"/>
        <v>2075.1091703056768</v>
      </c>
      <c r="I6" s="3">
        <v>47520</v>
      </c>
      <c r="J6" s="6">
        <v>22.9</v>
      </c>
      <c r="K6" s="3" t="e">
        <f t="shared" si="2"/>
        <v>#DIV/0!</v>
      </c>
      <c r="L6" s="3">
        <v>0</v>
      </c>
      <c r="M6" s="6">
        <v>0</v>
      </c>
      <c r="N6" s="3" t="e">
        <f t="shared" si="3"/>
        <v>#DIV/0!</v>
      </c>
      <c r="O6" s="3">
        <v>0</v>
      </c>
      <c r="P6" s="6">
        <v>0</v>
      </c>
      <c r="Q6" s="3">
        <f t="shared" si="4"/>
        <v>1669.9159663865546</v>
      </c>
      <c r="R6" s="3">
        <v>39744</v>
      </c>
      <c r="S6" s="6">
        <v>23.8</v>
      </c>
      <c r="T6" s="3" t="e">
        <f t="shared" si="5"/>
        <v>#DIV/0!</v>
      </c>
      <c r="U6" s="3">
        <v>0</v>
      </c>
      <c r="V6" s="6">
        <v>0</v>
      </c>
      <c r="W6" s="3" t="e">
        <f t="shared" si="6"/>
        <v>#DIV/0!</v>
      </c>
      <c r="X6" s="3">
        <v>0</v>
      </c>
      <c r="Y6" s="6">
        <v>0</v>
      </c>
      <c r="Z6" s="3">
        <f t="shared" si="7"/>
        <v>2155.489130434783</v>
      </c>
      <c r="AA6" s="3">
        <v>39661</v>
      </c>
      <c r="AB6" s="6">
        <v>18.399999999999999</v>
      </c>
      <c r="AC6" s="3" t="e">
        <f t="shared" si="8"/>
        <v>#DIV/0!</v>
      </c>
      <c r="AD6" s="3">
        <v>0</v>
      </c>
      <c r="AE6" s="6">
        <v>0</v>
      </c>
      <c r="AF6" s="3">
        <f t="shared" si="9"/>
        <v>1750.6341463414635</v>
      </c>
      <c r="AG6" s="3">
        <v>35888</v>
      </c>
      <c r="AH6" s="6">
        <v>20.5</v>
      </c>
      <c r="AI6" s="3" t="e">
        <f t="shared" si="10"/>
        <v>#DIV/0!</v>
      </c>
      <c r="AJ6" s="3">
        <v>0</v>
      </c>
      <c r="AK6" s="6">
        <v>0</v>
      </c>
      <c r="AL6" s="3">
        <f t="shared" si="11"/>
        <v>1998.0603448275863</v>
      </c>
      <c r="AM6" s="3">
        <v>46355</v>
      </c>
      <c r="AN6" s="6">
        <v>23.2</v>
      </c>
      <c r="AO6" s="3">
        <f t="shared" si="12"/>
        <v>1922.5</v>
      </c>
      <c r="AP6" s="3">
        <f t="shared" si="15"/>
        <v>209168</v>
      </c>
      <c r="AQ6" s="6">
        <f t="shared" si="16"/>
        <v>108.8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27</v>
      </c>
      <c r="B7" s="20"/>
      <c r="C7" s="20"/>
      <c r="D7" s="20"/>
      <c r="E7" s="3">
        <f t="shared" si="0"/>
        <v>2406.9523809523807</v>
      </c>
      <c r="F7" s="3">
        <v>25273</v>
      </c>
      <c r="G7" s="6">
        <v>10.5</v>
      </c>
      <c r="H7" s="3">
        <f t="shared" si="1"/>
        <v>2374.1830065359477</v>
      </c>
      <c r="I7" s="3">
        <v>36325</v>
      </c>
      <c r="J7" s="6">
        <v>15.3</v>
      </c>
      <c r="K7" s="3">
        <f t="shared" si="2"/>
        <v>2257.246376811594</v>
      </c>
      <c r="L7" s="3">
        <v>31150</v>
      </c>
      <c r="M7" s="6">
        <v>13.8</v>
      </c>
      <c r="N7" s="3">
        <f t="shared" si="3"/>
        <v>2293.0927835051548</v>
      </c>
      <c r="O7" s="3">
        <v>44486</v>
      </c>
      <c r="P7" s="6">
        <v>19.399999999999999</v>
      </c>
      <c r="Q7" s="3">
        <f t="shared" si="4"/>
        <v>2304.822695035461</v>
      </c>
      <c r="R7" s="3">
        <v>32498</v>
      </c>
      <c r="S7" s="6">
        <v>14.1</v>
      </c>
      <c r="T7" s="3">
        <f t="shared" si="5"/>
        <v>2253.2432432432433</v>
      </c>
      <c r="U7" s="3">
        <v>41685</v>
      </c>
      <c r="V7" s="6">
        <v>18.5</v>
      </c>
      <c r="W7" s="3">
        <f t="shared" si="6"/>
        <v>2144.4086021505373</v>
      </c>
      <c r="X7" s="3">
        <v>19943</v>
      </c>
      <c r="Y7" s="6">
        <v>9.3000000000000007</v>
      </c>
      <c r="Z7" s="3">
        <f t="shared" si="7"/>
        <v>2329.5035460992908</v>
      </c>
      <c r="AA7" s="3">
        <v>32846</v>
      </c>
      <c r="AB7" s="6">
        <v>14.1</v>
      </c>
      <c r="AC7" s="3">
        <f t="shared" si="8"/>
        <v>2169.72972972973</v>
      </c>
      <c r="AD7" s="3">
        <v>24084</v>
      </c>
      <c r="AE7" s="6">
        <v>11.1</v>
      </c>
      <c r="AF7" s="3">
        <f t="shared" si="9"/>
        <v>2045.9589041095892</v>
      </c>
      <c r="AG7" s="3">
        <v>29871</v>
      </c>
      <c r="AH7" s="6">
        <v>14.6</v>
      </c>
      <c r="AI7" s="3">
        <f t="shared" si="10"/>
        <v>1817.2357723577234</v>
      </c>
      <c r="AJ7" s="3">
        <v>22352</v>
      </c>
      <c r="AK7" s="6">
        <v>12.3</v>
      </c>
      <c r="AL7" s="3">
        <f t="shared" si="11"/>
        <v>1633.406113537118</v>
      </c>
      <c r="AM7" s="3">
        <v>37405</v>
      </c>
      <c r="AN7" s="6">
        <v>22.9</v>
      </c>
      <c r="AO7" s="3">
        <f t="shared" si="12"/>
        <v>2148.4820920977827</v>
      </c>
      <c r="AP7" s="3">
        <f t="shared" si="15"/>
        <v>377918</v>
      </c>
      <c r="AQ7" s="6">
        <f t="shared" si="16"/>
        <v>175.9</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21</v>
      </c>
      <c r="B8" s="20"/>
      <c r="C8" s="20"/>
      <c r="D8" s="20"/>
      <c r="E8" s="3">
        <f t="shared" si="0"/>
        <v>2353.8461538461538</v>
      </c>
      <c r="F8" s="3">
        <v>3060</v>
      </c>
      <c r="G8" s="6">
        <v>1.3</v>
      </c>
      <c r="H8" s="3">
        <f t="shared" si="1"/>
        <v>1735.1239669421489</v>
      </c>
      <c r="I8" s="3">
        <v>20995</v>
      </c>
      <c r="J8" s="6">
        <v>12.1</v>
      </c>
      <c r="K8" s="3" t="e">
        <f t="shared" si="2"/>
        <v>#DIV/0!</v>
      </c>
      <c r="L8" s="3">
        <v>0</v>
      </c>
      <c r="M8" s="6">
        <v>0</v>
      </c>
      <c r="N8" s="3">
        <f t="shared" si="3"/>
        <v>1691.404958677686</v>
      </c>
      <c r="O8" s="3">
        <v>20466</v>
      </c>
      <c r="P8" s="6">
        <v>12.1</v>
      </c>
      <c r="Q8" s="3">
        <f t="shared" si="4"/>
        <v>1098.7603305785124</v>
      </c>
      <c r="R8" s="3">
        <v>13295</v>
      </c>
      <c r="S8" s="6">
        <v>12.1</v>
      </c>
      <c r="T8" s="3">
        <f t="shared" si="5"/>
        <v>2220.4724409448818</v>
      </c>
      <c r="U8" s="3">
        <v>84600</v>
      </c>
      <c r="V8" s="6">
        <v>38.1</v>
      </c>
      <c r="W8" s="3">
        <f t="shared" si="6"/>
        <v>1875.2512562814072</v>
      </c>
      <c r="X8" s="3">
        <v>74635</v>
      </c>
      <c r="Y8" s="6">
        <v>39.799999999999997</v>
      </c>
      <c r="Z8" s="3">
        <f t="shared" si="7"/>
        <v>1928.1675392670156</v>
      </c>
      <c r="AA8" s="3">
        <v>36828</v>
      </c>
      <c r="AB8" s="6">
        <v>19.100000000000001</v>
      </c>
      <c r="AC8" s="3">
        <f t="shared" si="8"/>
        <v>2214.6596858638741</v>
      </c>
      <c r="AD8" s="3">
        <v>42300</v>
      </c>
      <c r="AE8" s="6">
        <v>19.100000000000001</v>
      </c>
      <c r="AF8" s="3">
        <f t="shared" si="9"/>
        <v>1675.8583690987125</v>
      </c>
      <c r="AG8" s="3">
        <v>78095</v>
      </c>
      <c r="AH8" s="6">
        <v>46.6</v>
      </c>
      <c r="AI8" s="3">
        <f t="shared" si="10"/>
        <v>2094.901185770751</v>
      </c>
      <c r="AJ8" s="3">
        <v>53001</v>
      </c>
      <c r="AK8" s="6">
        <v>25.3</v>
      </c>
      <c r="AL8" s="3">
        <f t="shared" si="11"/>
        <v>1472.3404255319149</v>
      </c>
      <c r="AM8" s="3">
        <v>27680</v>
      </c>
      <c r="AN8" s="6">
        <v>18.8</v>
      </c>
      <c r="AO8" s="3">
        <f t="shared" si="12"/>
        <v>1861.5180032733224</v>
      </c>
      <c r="AP8" s="3">
        <f t="shared" si="15"/>
        <v>454955</v>
      </c>
      <c r="AQ8" s="6">
        <f t="shared" si="16"/>
        <v>244.4</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19</v>
      </c>
      <c r="B9" s="20"/>
      <c r="C9" s="20"/>
      <c r="D9" s="20"/>
      <c r="E9" s="3">
        <f t="shared" si="0"/>
        <v>2315.625</v>
      </c>
      <c r="F9" s="3">
        <v>11115</v>
      </c>
      <c r="G9" s="6">
        <v>4.8</v>
      </c>
      <c r="H9" s="3">
        <f t="shared" si="1"/>
        <v>2134.375</v>
      </c>
      <c r="I9" s="3">
        <v>10245</v>
      </c>
      <c r="J9" s="6">
        <v>4.8</v>
      </c>
      <c r="K9" s="3">
        <f t="shared" si="2"/>
        <v>2271.5189873417721</v>
      </c>
      <c r="L9" s="3">
        <v>17945</v>
      </c>
      <c r="M9" s="6">
        <v>7.9</v>
      </c>
      <c r="N9" s="3">
        <f t="shared" si="3"/>
        <v>2929.0909090909095</v>
      </c>
      <c r="O9" s="3">
        <v>9666</v>
      </c>
      <c r="P9" s="6">
        <v>3.3</v>
      </c>
      <c r="Q9" s="3">
        <f t="shared" si="4"/>
        <v>2710.4761904761904</v>
      </c>
      <c r="R9" s="3">
        <v>17076</v>
      </c>
      <c r="S9" s="6">
        <v>6.3</v>
      </c>
      <c r="T9" s="3">
        <f t="shared" si="5"/>
        <v>2251.4285714285716</v>
      </c>
      <c r="U9" s="3">
        <v>12608</v>
      </c>
      <c r="V9" s="6">
        <v>5.6</v>
      </c>
      <c r="W9" s="3">
        <f t="shared" si="6"/>
        <v>2675.9459459459458</v>
      </c>
      <c r="X9" s="3">
        <v>9901</v>
      </c>
      <c r="Y9" s="6">
        <v>3.7</v>
      </c>
      <c r="Z9" s="3">
        <f t="shared" si="7"/>
        <v>2347.7477477477478</v>
      </c>
      <c r="AA9" s="3">
        <v>26060</v>
      </c>
      <c r="AB9" s="6">
        <v>11.1</v>
      </c>
      <c r="AC9" s="3">
        <f t="shared" si="8"/>
        <v>2139.6825396825398</v>
      </c>
      <c r="AD9" s="3">
        <v>13480</v>
      </c>
      <c r="AE9" s="6">
        <v>6.3</v>
      </c>
      <c r="AF9" s="3">
        <f t="shared" si="9"/>
        <v>1993.6708860759493</v>
      </c>
      <c r="AG9" s="3">
        <v>15750</v>
      </c>
      <c r="AH9" s="6">
        <v>7.9</v>
      </c>
      <c r="AI9" s="3">
        <f t="shared" si="10"/>
        <v>1968.75</v>
      </c>
      <c r="AJ9" s="3">
        <v>6300</v>
      </c>
      <c r="AK9" s="6">
        <v>3.2</v>
      </c>
      <c r="AL9" s="3">
        <f t="shared" si="11"/>
        <v>2106.25</v>
      </c>
      <c r="AM9" s="3">
        <v>10110</v>
      </c>
      <c r="AN9" s="6">
        <v>4.8</v>
      </c>
      <c r="AO9" s="3">
        <f t="shared" si="12"/>
        <v>2299.22525107604</v>
      </c>
      <c r="AP9" s="3">
        <f t="shared" si="15"/>
        <v>160256</v>
      </c>
      <c r="AQ9" s="6">
        <f t="shared" si="16"/>
        <v>69.7</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44</v>
      </c>
      <c r="B10" s="20"/>
      <c r="C10" s="20"/>
      <c r="D10" s="20"/>
      <c r="E10" s="3">
        <f t="shared" si="0"/>
        <v>2390.625</v>
      </c>
      <c r="F10" s="3">
        <v>3825</v>
      </c>
      <c r="G10" s="6">
        <v>1.6</v>
      </c>
      <c r="H10" s="3">
        <f t="shared" si="1"/>
        <v>2970</v>
      </c>
      <c r="I10" s="3">
        <v>2970</v>
      </c>
      <c r="J10" s="6">
        <v>1</v>
      </c>
      <c r="K10" s="3">
        <f t="shared" si="2"/>
        <v>2225</v>
      </c>
      <c r="L10" s="3">
        <v>3560</v>
      </c>
      <c r="M10" s="6">
        <v>1.6</v>
      </c>
      <c r="N10" s="3">
        <f t="shared" si="3"/>
        <v>2076.9230769230767</v>
      </c>
      <c r="O10" s="3">
        <v>2700</v>
      </c>
      <c r="P10" s="6">
        <v>1.3</v>
      </c>
      <c r="Q10" s="3">
        <f t="shared" si="4"/>
        <v>2076.9230769230767</v>
      </c>
      <c r="R10" s="3">
        <v>2700</v>
      </c>
      <c r="S10" s="6">
        <v>1.3</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f t="shared" si="11"/>
        <v>1687.5</v>
      </c>
      <c r="AM10" s="3">
        <v>5400</v>
      </c>
      <c r="AN10" s="6">
        <v>3.2</v>
      </c>
      <c r="AO10" s="3">
        <f t="shared" si="12"/>
        <v>2115.5</v>
      </c>
      <c r="AP10" s="3">
        <f t="shared" si="15"/>
        <v>21155</v>
      </c>
      <c r="AQ10" s="6">
        <f t="shared" si="16"/>
        <v>10</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46</v>
      </c>
      <c r="B11" s="20"/>
      <c r="C11" s="20"/>
      <c r="D11" s="20"/>
      <c r="E11" s="3">
        <f t="shared" si="0"/>
        <v>2090.5263157894738</v>
      </c>
      <c r="F11" s="3">
        <v>11916</v>
      </c>
      <c r="G11" s="6">
        <v>5.7</v>
      </c>
      <c r="H11" s="3">
        <f t="shared" si="1"/>
        <v>4170</v>
      </c>
      <c r="I11" s="3">
        <v>4170</v>
      </c>
      <c r="J11" s="6">
        <v>1</v>
      </c>
      <c r="K11" s="3" t="e">
        <f t="shared" si="2"/>
        <v>#DIV/0!</v>
      </c>
      <c r="L11" s="3">
        <v>0</v>
      </c>
      <c r="M11" s="6">
        <v>0</v>
      </c>
      <c r="N11" s="3">
        <f t="shared" si="3"/>
        <v>2661.1267605633802</v>
      </c>
      <c r="O11" s="3">
        <v>18894</v>
      </c>
      <c r="P11" s="6">
        <v>7.1</v>
      </c>
      <c r="Q11" s="3">
        <f t="shared" si="4"/>
        <v>2054.4827586206898</v>
      </c>
      <c r="R11" s="3">
        <v>5958</v>
      </c>
      <c r="S11" s="6">
        <v>2.9</v>
      </c>
      <c r="T11" s="3" t="e">
        <f t="shared" si="5"/>
        <v>#DIV/0!</v>
      </c>
      <c r="U11" s="3">
        <v>0</v>
      </c>
      <c r="V11" s="6">
        <v>0</v>
      </c>
      <c r="W11" s="3">
        <f t="shared" si="6"/>
        <v>1798.4</v>
      </c>
      <c r="X11" s="3">
        <v>4496</v>
      </c>
      <c r="Y11" s="6">
        <v>2.5</v>
      </c>
      <c r="Z11" s="3">
        <f t="shared" si="7"/>
        <v>2430</v>
      </c>
      <c r="AA11" s="3">
        <v>7047</v>
      </c>
      <c r="AB11" s="6">
        <v>2.9</v>
      </c>
      <c r="AC11" s="3" t="e">
        <f t="shared" si="8"/>
        <v>#DIV/0!</v>
      </c>
      <c r="AD11" s="3">
        <v>0</v>
      </c>
      <c r="AE11" s="6">
        <v>0</v>
      </c>
      <c r="AF11" s="3" t="e">
        <f t="shared" si="9"/>
        <v>#DIV/0!</v>
      </c>
      <c r="AG11" s="3">
        <v>0</v>
      </c>
      <c r="AH11" s="6">
        <v>0</v>
      </c>
      <c r="AI11" s="3">
        <f t="shared" si="10"/>
        <v>1642.1052631578948</v>
      </c>
      <c r="AJ11" s="3">
        <v>9360</v>
      </c>
      <c r="AK11" s="6">
        <v>5.7</v>
      </c>
      <c r="AL11" s="3" t="e">
        <f t="shared" si="11"/>
        <v>#DIV/0!</v>
      </c>
      <c r="AM11" s="3">
        <v>0</v>
      </c>
      <c r="AN11" s="6">
        <v>0</v>
      </c>
      <c r="AO11" s="3">
        <f t="shared" si="12"/>
        <v>2224.4964028776981</v>
      </c>
      <c r="AP11" s="3">
        <f t="shared" si="15"/>
        <v>61841</v>
      </c>
      <c r="AQ11" s="6">
        <f t="shared" si="16"/>
        <v>27.799999999999997</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40</v>
      </c>
      <c r="B12" s="20"/>
      <c r="C12" s="20"/>
      <c r="D12" s="20"/>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f>X12/Y12</f>
        <v>3561.875</v>
      </c>
      <c r="X12" s="3">
        <v>5699</v>
      </c>
      <c r="Y12" s="6">
        <v>1.6</v>
      </c>
      <c r="Z12" s="3" t="e">
        <f>AA12/AB12</f>
        <v>#DIV/0!</v>
      </c>
      <c r="AA12" s="3">
        <v>0</v>
      </c>
      <c r="AB12" s="6">
        <v>0</v>
      </c>
      <c r="AC12" s="3" t="e">
        <f>AD12/AE12</f>
        <v>#DIV/0!</v>
      </c>
      <c r="AD12" s="3">
        <v>0</v>
      </c>
      <c r="AE12" s="6">
        <v>0</v>
      </c>
      <c r="AF12" s="3" t="e">
        <f>AG12/AH12</f>
        <v>#DIV/0!</v>
      </c>
      <c r="AG12" s="3">
        <v>0</v>
      </c>
      <c r="AH12" s="6">
        <v>0</v>
      </c>
      <c r="AI12" s="3" t="e">
        <f>AJ12/AK12</f>
        <v>#DIV/0!</v>
      </c>
      <c r="AJ12" s="3">
        <v>0</v>
      </c>
      <c r="AK12" s="6">
        <v>0</v>
      </c>
      <c r="AL12" s="3" t="e">
        <f>AM12/AN12</f>
        <v>#DIV/0!</v>
      </c>
      <c r="AM12" s="3">
        <v>0</v>
      </c>
      <c r="AN12" s="6">
        <v>0</v>
      </c>
      <c r="AO12" s="3">
        <f t="shared" si="12"/>
        <v>3561.875</v>
      </c>
      <c r="AP12" s="3">
        <f t="shared" si="15"/>
        <v>5699</v>
      </c>
      <c r="AQ12" s="6">
        <f t="shared" si="16"/>
        <v>1.6</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22</v>
      </c>
      <c r="B13" s="20"/>
      <c r="C13" s="20"/>
      <c r="D13" s="20"/>
      <c r="E13" s="3">
        <f t="shared" ref="E13:E24" si="17">F13/G13</f>
        <v>4705.8823529411766</v>
      </c>
      <c r="F13" s="3">
        <v>8000</v>
      </c>
      <c r="G13" s="6">
        <v>1.7</v>
      </c>
      <c r="H13" s="3" t="e">
        <f t="shared" ref="H13:H24" si="18">I13/J13</f>
        <v>#DIV/0!</v>
      </c>
      <c r="I13" s="3">
        <v>0</v>
      </c>
      <c r="J13" s="6">
        <v>0</v>
      </c>
      <c r="K13" s="3">
        <f t="shared" ref="K13:K24" si="19">L13/M13</f>
        <v>5057.333333333333</v>
      </c>
      <c r="L13" s="3">
        <v>7586</v>
      </c>
      <c r="M13" s="6">
        <v>1.5</v>
      </c>
      <c r="N13" s="3" t="e">
        <f t="shared" ref="N13:N24" si="20">O13/P13</f>
        <v>#DIV/0!</v>
      </c>
      <c r="O13" s="3">
        <v>0</v>
      </c>
      <c r="P13" s="6">
        <v>0</v>
      </c>
      <c r="Q13" s="3">
        <f t="shared" ref="Q13:Q24" si="21">R13/S13</f>
        <v>3102.2222222222222</v>
      </c>
      <c r="R13" s="3">
        <v>2792</v>
      </c>
      <c r="S13" s="6">
        <v>0.9</v>
      </c>
      <c r="T13" s="3" t="e">
        <f t="shared" ref="T13:T24" si="22">U13/V13</f>
        <v>#DIV/0!</v>
      </c>
      <c r="U13" s="3">
        <v>0</v>
      </c>
      <c r="V13" s="6">
        <v>0</v>
      </c>
      <c r="W13" s="3" t="e">
        <f t="shared" ref="W13:W24" si="23">X13/Y13</f>
        <v>#DIV/0!</v>
      </c>
      <c r="X13" s="3">
        <v>0</v>
      </c>
      <c r="Y13" s="6">
        <v>0</v>
      </c>
      <c r="Z13" s="3">
        <f t="shared" ref="Z13:Z24" si="24">AA13/AB13</f>
        <v>2760.9090909090905</v>
      </c>
      <c r="AA13" s="3">
        <v>3037</v>
      </c>
      <c r="AB13" s="6">
        <v>1.1000000000000001</v>
      </c>
      <c r="AC13" s="3" t="e">
        <f t="shared" ref="AC13:AC24" si="25">AD13/AE13</f>
        <v>#DIV/0!</v>
      </c>
      <c r="AD13" s="3">
        <v>0</v>
      </c>
      <c r="AE13" s="6">
        <v>0</v>
      </c>
      <c r="AF13" s="3" t="e">
        <f t="shared" ref="AF13:AF24" si="26">AG13/AH13</f>
        <v>#DIV/0!</v>
      </c>
      <c r="AG13" s="3">
        <v>0</v>
      </c>
      <c r="AH13" s="6">
        <v>0</v>
      </c>
      <c r="AI13" s="3" t="e">
        <f t="shared" ref="AI13:AI24" si="27">AJ13/AK13</f>
        <v>#DIV/0!</v>
      </c>
      <c r="AJ13" s="3">
        <v>0</v>
      </c>
      <c r="AK13" s="6">
        <v>0</v>
      </c>
      <c r="AL13" s="3" t="e">
        <f t="shared" ref="AL13:AL24" si="28">AM13/AN13</f>
        <v>#DIV/0!</v>
      </c>
      <c r="AM13" s="3">
        <v>0</v>
      </c>
      <c r="AN13" s="6">
        <v>0</v>
      </c>
      <c r="AO13" s="3">
        <f t="shared" si="12"/>
        <v>4118.2692307692296</v>
      </c>
      <c r="AP13" s="3">
        <f t="shared" si="15"/>
        <v>21415</v>
      </c>
      <c r="AQ13" s="6">
        <f t="shared" si="16"/>
        <v>5.2000000000000011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39</v>
      </c>
      <c r="B14" s="20"/>
      <c r="C14" s="20"/>
      <c r="D14" s="20"/>
      <c r="E14" s="3" t="e">
        <f t="shared" si="17"/>
        <v>#DIV/0!</v>
      </c>
      <c r="F14" s="3">
        <v>0</v>
      </c>
      <c r="G14" s="6">
        <v>0</v>
      </c>
      <c r="H14" s="3" t="e">
        <f t="shared" si="18"/>
        <v>#DIV/0!</v>
      </c>
      <c r="I14" s="3">
        <v>0</v>
      </c>
      <c r="J14" s="6">
        <v>0</v>
      </c>
      <c r="K14" s="3">
        <f t="shared" si="19"/>
        <v>2622.5</v>
      </c>
      <c r="L14" s="3">
        <v>4196</v>
      </c>
      <c r="M14" s="6">
        <v>1.6</v>
      </c>
      <c r="N14" s="3">
        <f t="shared" si="20"/>
        <v>2141.0344827586209</v>
      </c>
      <c r="O14" s="3">
        <v>6209</v>
      </c>
      <c r="P14" s="6">
        <v>2.9</v>
      </c>
      <c r="Q14" s="3" t="e">
        <f t="shared" si="21"/>
        <v>#DIV/0!</v>
      </c>
      <c r="R14" s="3">
        <v>0</v>
      </c>
      <c r="S14" s="6">
        <v>0</v>
      </c>
      <c r="T14" s="3">
        <f t="shared" si="22"/>
        <v>1809.5</v>
      </c>
      <c r="U14" s="3">
        <v>10857</v>
      </c>
      <c r="V14" s="6">
        <v>6</v>
      </c>
      <c r="W14" s="3" t="e">
        <f t="shared" si="23"/>
        <v>#DIV/0!</v>
      </c>
      <c r="X14" s="3">
        <v>0</v>
      </c>
      <c r="Y14" s="6">
        <v>0</v>
      </c>
      <c r="Z14" s="3" t="e">
        <f t="shared" si="24"/>
        <v>#DIV/0!</v>
      </c>
      <c r="AA14" s="3">
        <v>0</v>
      </c>
      <c r="AB14" s="6">
        <v>0</v>
      </c>
      <c r="AC14" s="3" t="e">
        <f t="shared" si="25"/>
        <v>#DIV/0!</v>
      </c>
      <c r="AD14" s="3">
        <v>0</v>
      </c>
      <c r="AE14" s="6">
        <v>0</v>
      </c>
      <c r="AF14" s="3">
        <f t="shared" si="26"/>
        <v>2819.2307692307691</v>
      </c>
      <c r="AG14" s="3">
        <v>3665</v>
      </c>
      <c r="AH14" s="6">
        <v>1.3</v>
      </c>
      <c r="AI14" s="3" t="e">
        <f t="shared" si="27"/>
        <v>#DIV/0!</v>
      </c>
      <c r="AJ14" s="3">
        <v>0</v>
      </c>
      <c r="AK14" s="6">
        <v>0</v>
      </c>
      <c r="AL14" s="3" t="e">
        <f t="shared" si="28"/>
        <v>#DIV/0!</v>
      </c>
      <c r="AM14" s="3">
        <v>0</v>
      </c>
      <c r="AN14" s="6">
        <v>0</v>
      </c>
      <c r="AO14" s="3">
        <f t="shared" si="12"/>
        <v>2112.4576271186438</v>
      </c>
      <c r="AP14" s="3">
        <f t="shared" si="15"/>
        <v>24927</v>
      </c>
      <c r="AQ14" s="6">
        <f t="shared" si="16"/>
        <v>11.8</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48</v>
      </c>
      <c r="B15" s="20"/>
      <c r="C15" s="20"/>
      <c r="D15" s="20"/>
      <c r="E15" s="3" t="e">
        <f t="shared" si="17"/>
        <v>#DIV/0!</v>
      </c>
      <c r="F15" s="3">
        <v>0</v>
      </c>
      <c r="G15" s="6">
        <v>0</v>
      </c>
      <c r="H15" s="3" t="e">
        <f t="shared" si="18"/>
        <v>#DIV/0!</v>
      </c>
      <c r="I15" s="3">
        <v>0</v>
      </c>
      <c r="J15" s="6">
        <v>0</v>
      </c>
      <c r="K15" s="3" t="e">
        <f t="shared" si="19"/>
        <v>#DIV/0!</v>
      </c>
      <c r="L15" s="3">
        <v>0</v>
      </c>
      <c r="M15" s="6">
        <v>0</v>
      </c>
      <c r="N15" s="3" t="e">
        <f t="shared" si="20"/>
        <v>#DIV/0!</v>
      </c>
      <c r="O15" s="3">
        <v>0</v>
      </c>
      <c r="P15" s="6">
        <v>0</v>
      </c>
      <c r="Q15" s="3" t="e">
        <f t="shared" si="21"/>
        <v>#DIV/0!</v>
      </c>
      <c r="R15" s="3">
        <v>0</v>
      </c>
      <c r="S15" s="6">
        <v>0</v>
      </c>
      <c r="T15" s="3">
        <f t="shared" si="22"/>
        <v>1847.3684210526317</v>
      </c>
      <c r="U15" s="3">
        <v>3510</v>
      </c>
      <c r="V15" s="6">
        <v>1.9</v>
      </c>
      <c r="W15" s="3" t="e">
        <f t="shared" si="23"/>
        <v>#DIV/0!</v>
      </c>
      <c r="X15" s="3">
        <v>0</v>
      </c>
      <c r="Y15" s="6">
        <v>0</v>
      </c>
      <c r="Z15" s="3" t="e">
        <f t="shared" si="24"/>
        <v>#DIV/0!</v>
      </c>
      <c r="AA15" s="3">
        <v>0</v>
      </c>
      <c r="AB15" s="6">
        <v>0</v>
      </c>
      <c r="AC15" s="3" t="e">
        <f t="shared" si="25"/>
        <v>#DIV/0!</v>
      </c>
      <c r="AD15" s="3">
        <v>0</v>
      </c>
      <c r="AE15" s="6">
        <v>0</v>
      </c>
      <c r="AF15" s="3" t="e">
        <f t="shared" si="26"/>
        <v>#DIV/0!</v>
      </c>
      <c r="AG15" s="3">
        <v>0</v>
      </c>
      <c r="AH15" s="6">
        <v>0</v>
      </c>
      <c r="AI15" s="3" t="e">
        <f t="shared" si="27"/>
        <v>#DIV/0!</v>
      </c>
      <c r="AJ15" s="3">
        <v>0</v>
      </c>
      <c r="AK15" s="6">
        <v>0</v>
      </c>
      <c r="AL15" s="3" t="e">
        <f t="shared" si="28"/>
        <v>#DIV/0!</v>
      </c>
      <c r="AM15" s="3">
        <v>0</v>
      </c>
      <c r="AN15" s="6">
        <v>0</v>
      </c>
      <c r="AO15" s="3">
        <f t="shared" si="12"/>
        <v>1847.3684210526317</v>
      </c>
      <c r="AP15" s="3">
        <f t="shared" si="15"/>
        <v>3510</v>
      </c>
      <c r="AQ15" s="6">
        <f t="shared" si="16"/>
        <v>1.9</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24</v>
      </c>
      <c r="B16" s="20"/>
      <c r="C16" s="20"/>
      <c r="D16" s="20"/>
      <c r="E16" s="3" t="e">
        <f t="shared" si="17"/>
        <v>#DIV/0!</v>
      </c>
      <c r="F16" s="3">
        <v>0</v>
      </c>
      <c r="G16" s="6">
        <v>0</v>
      </c>
      <c r="H16" s="3" t="e">
        <f t="shared" si="18"/>
        <v>#DIV/0!</v>
      </c>
      <c r="I16" s="3">
        <v>0</v>
      </c>
      <c r="J16" s="6">
        <v>0</v>
      </c>
      <c r="K16" s="3" t="e">
        <f t="shared" si="19"/>
        <v>#DIV/0!</v>
      </c>
      <c r="L16" s="3">
        <v>0</v>
      </c>
      <c r="M16" s="6">
        <v>0</v>
      </c>
      <c r="N16" s="3" t="e">
        <f t="shared" si="20"/>
        <v>#DIV/0!</v>
      </c>
      <c r="O16" s="3">
        <v>0</v>
      </c>
      <c r="P16" s="6">
        <v>0</v>
      </c>
      <c r="Q16" s="3" t="e">
        <f t="shared" si="21"/>
        <v>#DIV/0!</v>
      </c>
      <c r="R16" s="3">
        <v>0</v>
      </c>
      <c r="S16" s="6">
        <v>0</v>
      </c>
      <c r="T16" s="3" t="e">
        <f t="shared" si="22"/>
        <v>#DIV/0!</v>
      </c>
      <c r="U16" s="3">
        <v>0</v>
      </c>
      <c r="V16" s="6">
        <v>0</v>
      </c>
      <c r="W16" s="3" t="e">
        <f t="shared" si="23"/>
        <v>#DIV/0!</v>
      </c>
      <c r="X16" s="3">
        <v>0</v>
      </c>
      <c r="Y16" s="6">
        <v>0</v>
      </c>
      <c r="Z16" s="3">
        <f t="shared" si="24"/>
        <v>1977.0833333333335</v>
      </c>
      <c r="AA16" s="3">
        <v>4745</v>
      </c>
      <c r="AB16" s="6">
        <v>2.4</v>
      </c>
      <c r="AC16" s="3" t="e">
        <f t="shared" si="25"/>
        <v>#DIV/0!</v>
      </c>
      <c r="AD16" s="3">
        <v>0</v>
      </c>
      <c r="AE16" s="6">
        <v>0</v>
      </c>
      <c r="AF16" s="3">
        <f t="shared" si="26"/>
        <v>4951.75</v>
      </c>
      <c r="AG16" s="3">
        <v>19807</v>
      </c>
      <c r="AH16" s="6">
        <v>4</v>
      </c>
      <c r="AI16" s="3" t="e">
        <f t="shared" si="27"/>
        <v>#DIV/0!</v>
      </c>
      <c r="AJ16" s="3">
        <v>0</v>
      </c>
      <c r="AK16" s="6">
        <v>0</v>
      </c>
      <c r="AL16" s="3" t="e">
        <f t="shared" si="28"/>
        <v>#DIV/0!</v>
      </c>
      <c r="AM16" s="3">
        <v>0</v>
      </c>
      <c r="AN16" s="6">
        <v>0</v>
      </c>
      <c r="AO16" s="3">
        <f t="shared" si="12"/>
        <v>3836.25</v>
      </c>
      <c r="AP16" s="3">
        <f t="shared" si="15"/>
        <v>24552</v>
      </c>
      <c r="AQ16" s="6">
        <f t="shared" si="16"/>
        <v>6.4</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49</v>
      </c>
      <c r="B17" s="20"/>
      <c r="C17" s="20"/>
      <c r="D17" s="20"/>
      <c r="E17" s="3" t="e">
        <f t="shared" si="17"/>
        <v>#DIV/0!</v>
      </c>
      <c r="F17" s="3">
        <v>0</v>
      </c>
      <c r="G17" s="6">
        <v>0</v>
      </c>
      <c r="H17" s="3">
        <f t="shared" si="18"/>
        <v>1765.0765864332602</v>
      </c>
      <c r="I17" s="3">
        <v>80664</v>
      </c>
      <c r="J17" s="6">
        <v>45.7</v>
      </c>
      <c r="K17" s="3" t="e">
        <f t="shared" si="19"/>
        <v>#DIV/0!</v>
      </c>
      <c r="L17" s="3">
        <v>0</v>
      </c>
      <c r="M17" s="6">
        <v>0</v>
      </c>
      <c r="N17" s="3">
        <f t="shared" si="20"/>
        <v>1623.6206896551726</v>
      </c>
      <c r="O17" s="3">
        <v>75336</v>
      </c>
      <c r="P17" s="6">
        <v>46.4</v>
      </c>
      <c r="Q17" s="3" t="e">
        <f t="shared" si="21"/>
        <v>#DIV/0!</v>
      </c>
      <c r="R17" s="3">
        <v>0</v>
      </c>
      <c r="S17" s="6">
        <v>0</v>
      </c>
      <c r="T17" s="3" t="e">
        <f t="shared" si="22"/>
        <v>#DIV/0!</v>
      </c>
      <c r="U17" s="3">
        <v>0</v>
      </c>
      <c r="V17" s="6">
        <v>0</v>
      </c>
      <c r="W17" s="3" t="e">
        <f t="shared" si="23"/>
        <v>#DIV/0!</v>
      </c>
      <c r="X17" s="3">
        <v>0</v>
      </c>
      <c r="Y17" s="6">
        <v>0</v>
      </c>
      <c r="Z17" s="3" t="e">
        <f t="shared" si="24"/>
        <v>#DIV/0!</v>
      </c>
      <c r="AA17" s="3">
        <v>0</v>
      </c>
      <c r="AB17" s="6">
        <v>0</v>
      </c>
      <c r="AC17" s="3" t="e">
        <f t="shared" si="25"/>
        <v>#DIV/0!</v>
      </c>
      <c r="AD17" s="3">
        <v>0</v>
      </c>
      <c r="AE17" s="6">
        <v>0</v>
      </c>
      <c r="AF17" s="3" t="e">
        <f t="shared" si="26"/>
        <v>#DIV/0!</v>
      </c>
      <c r="AG17" s="3">
        <v>0</v>
      </c>
      <c r="AH17" s="6">
        <v>0</v>
      </c>
      <c r="AI17" s="3" t="e">
        <f t="shared" si="27"/>
        <v>#DIV/0!</v>
      </c>
      <c r="AJ17" s="3">
        <v>0</v>
      </c>
      <c r="AK17" s="6">
        <v>0</v>
      </c>
      <c r="AL17" s="3" t="e">
        <f t="shared" si="28"/>
        <v>#DIV/0!</v>
      </c>
      <c r="AM17" s="3">
        <v>0</v>
      </c>
      <c r="AN17" s="6">
        <v>0</v>
      </c>
      <c r="AO17" s="3">
        <f t="shared" si="12"/>
        <v>1693.8110749185669</v>
      </c>
      <c r="AP17" s="3">
        <f t="shared" si="15"/>
        <v>156000</v>
      </c>
      <c r="AQ17" s="6">
        <f t="shared" si="16"/>
        <v>92.1</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47</v>
      </c>
      <c r="B18" s="20"/>
      <c r="C18" s="20"/>
      <c r="D18" s="20"/>
      <c r="E18" s="3" t="e">
        <f t="shared" si="17"/>
        <v>#DIV/0!</v>
      </c>
      <c r="F18" s="3">
        <v>0</v>
      </c>
      <c r="G18" s="6">
        <v>0</v>
      </c>
      <c r="H18" s="3">
        <f t="shared" si="18"/>
        <v>1457.049180327869</v>
      </c>
      <c r="I18" s="3">
        <v>35552</v>
      </c>
      <c r="J18" s="6">
        <v>24.4</v>
      </c>
      <c r="K18" s="3" t="e">
        <f t="shared" si="19"/>
        <v>#DIV/0!</v>
      </c>
      <c r="L18" s="3">
        <v>0</v>
      </c>
      <c r="M18" s="6">
        <v>0</v>
      </c>
      <c r="N18" s="3">
        <f t="shared" si="20"/>
        <v>1451.159420289855</v>
      </c>
      <c r="O18" s="3">
        <v>10013</v>
      </c>
      <c r="P18" s="6">
        <v>6.9</v>
      </c>
      <c r="Q18" s="3" t="e">
        <f t="shared" si="21"/>
        <v>#DIV/0!</v>
      </c>
      <c r="R18" s="3">
        <v>0</v>
      </c>
      <c r="S18" s="6">
        <v>0</v>
      </c>
      <c r="T18" s="3">
        <f t="shared" si="22"/>
        <v>9087.7777777777774</v>
      </c>
      <c r="U18" s="3">
        <v>8179</v>
      </c>
      <c r="V18" s="6">
        <v>0.9</v>
      </c>
      <c r="W18" s="3" t="e">
        <f t="shared" si="23"/>
        <v>#DIV/0!</v>
      </c>
      <c r="X18" s="3">
        <v>0</v>
      </c>
      <c r="Y18" s="6">
        <v>0</v>
      </c>
      <c r="Z18" s="3" t="e">
        <f t="shared" si="24"/>
        <v>#DIV/0!</v>
      </c>
      <c r="AA18" s="3">
        <v>0</v>
      </c>
      <c r="AB18" s="6">
        <v>0</v>
      </c>
      <c r="AC18" s="3">
        <f t="shared" si="25"/>
        <v>8996</v>
      </c>
      <c r="AD18" s="3">
        <v>4498</v>
      </c>
      <c r="AE18" s="6">
        <v>0.5</v>
      </c>
      <c r="AF18" s="3" t="e">
        <f t="shared" si="26"/>
        <v>#DIV/0!</v>
      </c>
      <c r="AG18" s="3">
        <v>0</v>
      </c>
      <c r="AH18" s="6">
        <v>0</v>
      </c>
      <c r="AI18" s="3" t="e">
        <f t="shared" si="27"/>
        <v>#DIV/0!</v>
      </c>
      <c r="AJ18" s="3">
        <v>0</v>
      </c>
      <c r="AK18" s="6">
        <v>0</v>
      </c>
      <c r="AL18" s="3" t="e">
        <f t="shared" si="28"/>
        <v>#DIV/0!</v>
      </c>
      <c r="AM18" s="3">
        <v>0</v>
      </c>
      <c r="AN18" s="6">
        <v>0</v>
      </c>
      <c r="AO18" s="3">
        <f t="shared" si="12"/>
        <v>1781.1009174311928</v>
      </c>
      <c r="AP18" s="3">
        <f t="shared" si="15"/>
        <v>58242</v>
      </c>
      <c r="AQ18" s="6">
        <f t="shared" si="16"/>
        <v>32.699999999999996</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37</v>
      </c>
      <c r="B19" s="20"/>
      <c r="C19" s="20"/>
      <c r="D19" s="20"/>
      <c r="E19" s="3">
        <f t="shared" si="17"/>
        <v>2245.5020080321287</v>
      </c>
      <c r="F19" s="3">
        <v>111826</v>
      </c>
      <c r="G19" s="6">
        <v>49.8</v>
      </c>
      <c r="H19" s="3" t="e">
        <f t="shared" si="18"/>
        <v>#DIV/0!</v>
      </c>
      <c r="I19" s="3">
        <v>0</v>
      </c>
      <c r="J19" s="6">
        <v>0</v>
      </c>
      <c r="K19" s="3" t="e">
        <f t="shared" si="19"/>
        <v>#DIV/0!</v>
      </c>
      <c r="L19" s="3">
        <v>0</v>
      </c>
      <c r="M19" s="6">
        <v>0</v>
      </c>
      <c r="N19" s="3" t="e">
        <f t="shared" si="20"/>
        <v>#DIV/0!</v>
      </c>
      <c r="O19" s="3">
        <v>0</v>
      </c>
      <c r="P19" s="6">
        <v>0</v>
      </c>
      <c r="Q19" s="3">
        <f t="shared" si="21"/>
        <v>1558.5652173913043</v>
      </c>
      <c r="R19" s="3">
        <v>35847</v>
      </c>
      <c r="S19" s="6">
        <v>23</v>
      </c>
      <c r="T19" s="3">
        <f t="shared" si="22"/>
        <v>1499.047619047619</v>
      </c>
      <c r="U19" s="3">
        <v>12592</v>
      </c>
      <c r="V19" s="6">
        <v>8.4</v>
      </c>
      <c r="W19" s="3">
        <f t="shared" si="23"/>
        <v>1463.1896551724139</v>
      </c>
      <c r="X19" s="3">
        <v>16973</v>
      </c>
      <c r="Y19" s="6">
        <v>11.6</v>
      </c>
      <c r="Z19" s="3">
        <f t="shared" si="24"/>
        <v>1623.4760273972604</v>
      </c>
      <c r="AA19" s="3">
        <v>189622</v>
      </c>
      <c r="AB19" s="6">
        <v>116.8</v>
      </c>
      <c r="AC19" s="3">
        <f t="shared" si="25"/>
        <v>1974.9568965517242</v>
      </c>
      <c r="AD19" s="3">
        <v>91638</v>
      </c>
      <c r="AE19" s="6">
        <v>46.4</v>
      </c>
      <c r="AF19" s="3" t="e">
        <f t="shared" si="26"/>
        <v>#DIV/0!</v>
      </c>
      <c r="AG19" s="3">
        <v>0</v>
      </c>
      <c r="AH19" s="6">
        <v>0</v>
      </c>
      <c r="AI19" s="3">
        <f t="shared" si="27"/>
        <v>1974.9568965517242</v>
      </c>
      <c r="AJ19" s="3">
        <v>91638</v>
      </c>
      <c r="AK19" s="6">
        <v>46.4</v>
      </c>
      <c r="AL19" s="3" t="e">
        <f t="shared" si="28"/>
        <v>#DIV/0!</v>
      </c>
      <c r="AM19" s="3">
        <v>0</v>
      </c>
      <c r="AN19" s="6">
        <v>0</v>
      </c>
      <c r="AO19" s="3">
        <f t="shared" si="12"/>
        <v>1819.2328042328045</v>
      </c>
      <c r="AP19" s="3">
        <f t="shared" si="15"/>
        <v>550136</v>
      </c>
      <c r="AQ19" s="6">
        <f t="shared" si="16"/>
        <v>302.39999999999998</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38</v>
      </c>
      <c r="B20" s="20"/>
      <c r="C20" s="20"/>
      <c r="D20" s="20"/>
      <c r="E20" s="3" t="e">
        <f t="shared" si="17"/>
        <v>#DIV/0!</v>
      </c>
      <c r="F20" s="3">
        <v>0</v>
      </c>
      <c r="G20" s="6">
        <v>0</v>
      </c>
      <c r="H20" s="3" t="e">
        <f t="shared" si="18"/>
        <v>#DIV/0!</v>
      </c>
      <c r="I20" s="3">
        <v>0</v>
      </c>
      <c r="J20" s="6">
        <v>0</v>
      </c>
      <c r="K20" s="3">
        <f t="shared" si="19"/>
        <v>1814.9137931034484</v>
      </c>
      <c r="L20" s="3">
        <v>42106</v>
      </c>
      <c r="M20" s="6">
        <v>23.2</v>
      </c>
      <c r="N20" s="3" t="e">
        <f t="shared" si="20"/>
        <v>#DIV/0!</v>
      </c>
      <c r="O20" s="3">
        <v>0</v>
      </c>
      <c r="P20" s="6">
        <v>0</v>
      </c>
      <c r="Q20" s="3" t="e">
        <f t="shared" si="21"/>
        <v>#DIV/0!</v>
      </c>
      <c r="R20" s="3">
        <v>0</v>
      </c>
      <c r="S20" s="6">
        <v>0</v>
      </c>
      <c r="T20" s="3" t="e">
        <f t="shared" si="22"/>
        <v>#DIV/0!</v>
      </c>
      <c r="U20" s="3">
        <v>0</v>
      </c>
      <c r="V20" s="6">
        <v>0</v>
      </c>
      <c r="W20" s="3" t="e">
        <f t="shared" si="23"/>
        <v>#DIV/0!</v>
      </c>
      <c r="X20" s="3">
        <v>0</v>
      </c>
      <c r="Y20" s="6">
        <v>0</v>
      </c>
      <c r="Z20" s="3" t="e">
        <f t="shared" si="24"/>
        <v>#DIV/0!</v>
      </c>
      <c r="AA20" s="3">
        <v>0</v>
      </c>
      <c r="AB20" s="6">
        <v>0</v>
      </c>
      <c r="AC20" s="3" t="e">
        <f t="shared" si="25"/>
        <v>#DIV/0!</v>
      </c>
      <c r="AD20" s="3">
        <v>0</v>
      </c>
      <c r="AE20" s="6">
        <v>0</v>
      </c>
      <c r="AF20" s="3" t="e">
        <f t="shared" si="26"/>
        <v>#DIV/0!</v>
      </c>
      <c r="AG20" s="3">
        <v>0</v>
      </c>
      <c r="AH20" s="6">
        <v>0</v>
      </c>
      <c r="AI20" s="3" t="e">
        <f t="shared" si="27"/>
        <v>#DIV/0!</v>
      </c>
      <c r="AJ20" s="3">
        <v>0</v>
      </c>
      <c r="AK20" s="6">
        <v>0</v>
      </c>
      <c r="AL20" s="3" t="e">
        <f t="shared" si="28"/>
        <v>#DIV/0!</v>
      </c>
      <c r="AM20" s="3">
        <v>0</v>
      </c>
      <c r="AN20" s="6">
        <v>0</v>
      </c>
      <c r="AO20" s="3">
        <f t="shared" si="12"/>
        <v>1814.9137931034484</v>
      </c>
      <c r="AP20" s="3">
        <f t="shared" si="15"/>
        <v>42106</v>
      </c>
      <c r="AQ20" s="6">
        <f t="shared" si="16"/>
        <v>23.2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35</v>
      </c>
      <c r="B21" s="20"/>
      <c r="C21" s="20"/>
      <c r="D21" s="20"/>
      <c r="E21" s="3">
        <f t="shared" si="17"/>
        <v>2218.125</v>
      </c>
      <c r="F21" s="3">
        <v>7098</v>
      </c>
      <c r="G21" s="6">
        <v>3.2</v>
      </c>
      <c r="H21" s="3" t="e">
        <f t="shared" si="18"/>
        <v>#DIV/0!</v>
      </c>
      <c r="I21" s="3">
        <v>0</v>
      </c>
      <c r="J21" s="6">
        <v>0</v>
      </c>
      <c r="K21" s="3">
        <f t="shared" si="19"/>
        <v>2920.6349206349205</v>
      </c>
      <c r="L21" s="3">
        <v>18400</v>
      </c>
      <c r="M21" s="6">
        <v>6.3</v>
      </c>
      <c r="N21" s="3" t="e">
        <f t="shared" si="20"/>
        <v>#DIV/0!</v>
      </c>
      <c r="O21" s="3">
        <v>0</v>
      </c>
      <c r="P21" s="6">
        <v>0</v>
      </c>
      <c r="Q21" s="3" t="e">
        <f t="shared" si="21"/>
        <v>#DIV/0!</v>
      </c>
      <c r="R21" s="3">
        <v>0</v>
      </c>
      <c r="S21" s="6">
        <v>0</v>
      </c>
      <c r="T21" s="3">
        <f t="shared" si="22"/>
        <v>3000</v>
      </c>
      <c r="U21" s="3">
        <v>2700</v>
      </c>
      <c r="V21" s="6">
        <v>0.9</v>
      </c>
      <c r="W21" s="3">
        <f t="shared" si="23"/>
        <v>1909.9999999999998</v>
      </c>
      <c r="X21" s="3">
        <v>10314</v>
      </c>
      <c r="Y21" s="6">
        <v>5.4</v>
      </c>
      <c r="Z21" s="3">
        <f t="shared" si="24"/>
        <v>3175.9375</v>
      </c>
      <c r="AA21" s="3">
        <v>20326</v>
      </c>
      <c r="AB21" s="6">
        <v>6.4</v>
      </c>
      <c r="AC21" s="3" t="e">
        <f t="shared" si="25"/>
        <v>#DIV/0!</v>
      </c>
      <c r="AD21" s="3">
        <v>0</v>
      </c>
      <c r="AE21" s="6">
        <v>0</v>
      </c>
      <c r="AF21" s="3">
        <f t="shared" si="26"/>
        <v>1687.5</v>
      </c>
      <c r="AG21" s="3">
        <v>2700</v>
      </c>
      <c r="AH21" s="6">
        <v>1.6</v>
      </c>
      <c r="AI21" s="3">
        <f t="shared" si="27"/>
        <v>1877.4342105263158</v>
      </c>
      <c r="AJ21" s="3">
        <v>28537</v>
      </c>
      <c r="AK21" s="6">
        <v>15.2</v>
      </c>
      <c r="AL21" s="3" t="e">
        <f t="shared" si="28"/>
        <v>#DIV/0!</v>
      </c>
      <c r="AM21" s="3">
        <v>0</v>
      </c>
      <c r="AN21" s="6">
        <v>0</v>
      </c>
      <c r="AO21" s="3">
        <f t="shared" si="12"/>
        <v>2309.6153846153848</v>
      </c>
      <c r="AP21" s="3">
        <f t="shared" si="15"/>
        <v>90075</v>
      </c>
      <c r="AQ21" s="6">
        <f t="shared" si="16"/>
        <v>39</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25</v>
      </c>
      <c r="B22" s="20"/>
      <c r="C22" s="20"/>
      <c r="D22" s="20"/>
      <c r="E22" s="3" t="e">
        <f t="shared" si="17"/>
        <v>#DIV/0!</v>
      </c>
      <c r="F22" s="3">
        <v>0</v>
      </c>
      <c r="G22" s="6">
        <v>0</v>
      </c>
      <c r="H22" s="3" t="e">
        <f t="shared" si="18"/>
        <v>#DIV/0!</v>
      </c>
      <c r="I22" s="3">
        <v>0</v>
      </c>
      <c r="J22" s="6">
        <v>0</v>
      </c>
      <c r="K22" s="3">
        <f t="shared" si="19"/>
        <v>5733.333333333333</v>
      </c>
      <c r="L22" s="3">
        <v>8600</v>
      </c>
      <c r="M22" s="6">
        <v>1.5</v>
      </c>
      <c r="N22" s="3" t="e">
        <f t="shared" si="20"/>
        <v>#DIV/0!</v>
      </c>
      <c r="O22" s="3">
        <v>0</v>
      </c>
      <c r="P22" s="6">
        <v>0</v>
      </c>
      <c r="Q22" s="3" t="e">
        <f t="shared" si="21"/>
        <v>#DIV/0!</v>
      </c>
      <c r="R22" s="3">
        <v>0</v>
      </c>
      <c r="S22" s="6">
        <v>0</v>
      </c>
      <c r="T22" s="3" t="e">
        <f t="shared" si="22"/>
        <v>#DIV/0!</v>
      </c>
      <c r="U22" s="3">
        <v>0</v>
      </c>
      <c r="V22" s="6">
        <v>0</v>
      </c>
      <c r="W22" s="3" t="e">
        <f t="shared" si="23"/>
        <v>#DIV/0!</v>
      </c>
      <c r="X22" s="3">
        <v>0</v>
      </c>
      <c r="Y22" s="6">
        <v>0</v>
      </c>
      <c r="Z22" s="3" t="e">
        <f t="shared" si="24"/>
        <v>#DIV/0!</v>
      </c>
      <c r="AA22" s="3">
        <v>0</v>
      </c>
      <c r="AB22" s="6">
        <v>0</v>
      </c>
      <c r="AC22" s="3" t="e">
        <f t="shared" si="25"/>
        <v>#DIV/0!</v>
      </c>
      <c r="AD22" s="3">
        <v>0</v>
      </c>
      <c r="AE22" s="6">
        <v>0</v>
      </c>
      <c r="AF22" s="3" t="e">
        <f t="shared" si="26"/>
        <v>#DIV/0!</v>
      </c>
      <c r="AG22" s="3">
        <v>0</v>
      </c>
      <c r="AH22" s="6">
        <v>0</v>
      </c>
      <c r="AI22" s="3" t="e">
        <f t="shared" si="27"/>
        <v>#DIV/0!</v>
      </c>
      <c r="AJ22" s="3">
        <v>0</v>
      </c>
      <c r="AK22" s="6">
        <v>0</v>
      </c>
      <c r="AL22" s="3" t="e">
        <f t="shared" si="28"/>
        <v>#DIV/0!</v>
      </c>
      <c r="AM22" s="3">
        <v>0</v>
      </c>
      <c r="AN22" s="6">
        <v>0</v>
      </c>
      <c r="AO22" s="3">
        <f t="shared" si="12"/>
        <v>5733.333333333333</v>
      </c>
      <c r="AP22" s="3">
        <f t="shared" si="15"/>
        <v>8600</v>
      </c>
      <c r="AQ22" s="6">
        <f t="shared" si="16"/>
        <v>1.5</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36</v>
      </c>
      <c r="B23" s="20"/>
      <c r="C23" s="20"/>
      <c r="D23" s="20"/>
      <c r="E23" s="3" t="e">
        <f t="shared" si="17"/>
        <v>#DIV/0!</v>
      </c>
      <c r="F23" s="3">
        <v>0</v>
      </c>
      <c r="G23" s="6">
        <v>0</v>
      </c>
      <c r="H23" s="3" t="e">
        <f t="shared" si="18"/>
        <v>#DIV/0!</v>
      </c>
      <c r="I23" s="3">
        <v>0</v>
      </c>
      <c r="J23" s="6">
        <v>0</v>
      </c>
      <c r="K23" s="3" t="e">
        <f t="shared" si="19"/>
        <v>#DIV/0!</v>
      </c>
      <c r="L23" s="3">
        <v>0</v>
      </c>
      <c r="M23" s="6">
        <v>0</v>
      </c>
      <c r="N23" s="3">
        <f t="shared" si="20"/>
        <v>3442.2222222222222</v>
      </c>
      <c r="O23" s="3">
        <v>3098</v>
      </c>
      <c r="P23" s="6">
        <v>0.9</v>
      </c>
      <c r="Q23" s="3" t="e">
        <f t="shared" si="21"/>
        <v>#DIV/0!</v>
      </c>
      <c r="R23" s="3">
        <v>0</v>
      </c>
      <c r="S23" s="6">
        <v>0</v>
      </c>
      <c r="T23" s="3" t="e">
        <f t="shared" si="22"/>
        <v>#DIV/0!</v>
      </c>
      <c r="U23" s="3">
        <v>0</v>
      </c>
      <c r="V23" s="6">
        <v>0</v>
      </c>
      <c r="W23" s="3" t="e">
        <f t="shared" si="23"/>
        <v>#DIV/0!</v>
      </c>
      <c r="X23" s="3">
        <v>0</v>
      </c>
      <c r="Y23" s="6">
        <v>0</v>
      </c>
      <c r="Z23" s="3" t="e">
        <f t="shared" si="24"/>
        <v>#DIV/0!</v>
      </c>
      <c r="AA23" s="3">
        <v>0</v>
      </c>
      <c r="AB23" s="6">
        <v>0</v>
      </c>
      <c r="AC23" s="3" t="e">
        <f t="shared" si="25"/>
        <v>#DIV/0!</v>
      </c>
      <c r="AD23" s="3">
        <v>0</v>
      </c>
      <c r="AE23" s="6">
        <v>0</v>
      </c>
      <c r="AF23" s="3" t="e">
        <f t="shared" si="26"/>
        <v>#DIV/0!</v>
      </c>
      <c r="AG23" s="3">
        <v>0</v>
      </c>
      <c r="AH23" s="6">
        <v>0</v>
      </c>
      <c r="AI23" s="3" t="e">
        <f t="shared" si="27"/>
        <v>#DIV/0!</v>
      </c>
      <c r="AJ23" s="3">
        <v>0</v>
      </c>
      <c r="AK23" s="6">
        <v>0</v>
      </c>
      <c r="AL23" s="3" t="e">
        <f t="shared" si="28"/>
        <v>#DIV/0!</v>
      </c>
      <c r="AM23" s="3">
        <v>0</v>
      </c>
      <c r="AN23" s="6">
        <v>0</v>
      </c>
      <c r="AO23" s="3">
        <f t="shared" si="12"/>
        <v>3442.2222222222222</v>
      </c>
      <c r="AP23" s="3">
        <f t="shared" si="15"/>
        <v>3098</v>
      </c>
      <c r="AQ23" s="6">
        <f t="shared" si="16"/>
        <v>0.9</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12" t="s">
        <v>26</v>
      </c>
      <c r="B24" s="21"/>
      <c r="C24" s="21"/>
      <c r="D24" s="21"/>
      <c r="E24" s="9" t="e">
        <f t="shared" si="17"/>
        <v>#DIV/0!</v>
      </c>
      <c r="F24" s="10">
        <v>0</v>
      </c>
      <c r="G24" s="11">
        <v>0</v>
      </c>
      <c r="H24" s="10" t="e">
        <f t="shared" si="18"/>
        <v>#DIV/0!</v>
      </c>
      <c r="I24" s="10">
        <v>0</v>
      </c>
      <c r="J24" s="11">
        <v>0</v>
      </c>
      <c r="K24" s="10" t="e">
        <f t="shared" si="19"/>
        <v>#DIV/0!</v>
      </c>
      <c r="L24" s="10">
        <v>0</v>
      </c>
      <c r="M24" s="11">
        <v>0</v>
      </c>
      <c r="N24" s="10" t="e">
        <f t="shared" si="20"/>
        <v>#DIV/0!</v>
      </c>
      <c r="O24" s="10">
        <v>0</v>
      </c>
      <c r="P24" s="11">
        <v>0</v>
      </c>
      <c r="Q24" s="10" t="e">
        <f t="shared" si="21"/>
        <v>#DIV/0!</v>
      </c>
      <c r="R24" s="10">
        <v>0</v>
      </c>
      <c r="S24" s="11">
        <v>0</v>
      </c>
      <c r="T24" s="10" t="e">
        <f t="shared" si="22"/>
        <v>#DIV/0!</v>
      </c>
      <c r="U24" s="10">
        <v>0</v>
      </c>
      <c r="V24" s="11">
        <v>0</v>
      </c>
      <c r="W24" s="10" t="e">
        <f t="shared" si="23"/>
        <v>#DIV/0!</v>
      </c>
      <c r="X24" s="10">
        <v>0</v>
      </c>
      <c r="Y24" s="11">
        <v>0</v>
      </c>
      <c r="Z24" s="10" t="e">
        <f t="shared" si="24"/>
        <v>#DIV/0!</v>
      </c>
      <c r="AA24" s="10">
        <v>0</v>
      </c>
      <c r="AB24" s="11">
        <v>0</v>
      </c>
      <c r="AC24" s="10" t="e">
        <f t="shared" si="25"/>
        <v>#DIV/0!</v>
      </c>
      <c r="AD24" s="10">
        <v>0</v>
      </c>
      <c r="AE24" s="11">
        <v>0</v>
      </c>
      <c r="AF24" s="10">
        <f t="shared" si="26"/>
        <v>2918.9423076923076</v>
      </c>
      <c r="AG24" s="10">
        <v>30357</v>
      </c>
      <c r="AH24" s="11">
        <v>10.4</v>
      </c>
      <c r="AI24" s="10" t="e">
        <f t="shared" si="27"/>
        <v>#DIV/0!</v>
      </c>
      <c r="AJ24" s="10">
        <v>0</v>
      </c>
      <c r="AK24" s="11">
        <v>0</v>
      </c>
      <c r="AL24" s="10" t="e">
        <f t="shared" si="28"/>
        <v>#DIV/0!</v>
      </c>
      <c r="AM24" s="10">
        <v>0</v>
      </c>
      <c r="AN24" s="11">
        <v>0</v>
      </c>
      <c r="AO24" s="10">
        <f t="shared" si="12"/>
        <v>2918.9423076923076</v>
      </c>
      <c r="AP24" s="10">
        <f t="shared" si="15"/>
        <v>30357</v>
      </c>
      <c r="AQ24" s="11">
        <f t="shared" si="16"/>
        <v>10.4</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1" t="s">
        <v>28</v>
      </c>
      <c r="B25" s="1"/>
    </row>
    <row r="26" spans="1:67" x14ac:dyDescent="0.3">
      <c r="A26" s="1" t="s">
        <v>41</v>
      </c>
      <c r="B26" s="1"/>
    </row>
    <row r="27" spans="1:67" x14ac:dyDescent="0.3">
      <c r="A27" s="1" t="s">
        <v>29</v>
      </c>
      <c r="B27" s="1"/>
    </row>
    <row r="28" spans="1:67" x14ac:dyDescent="0.3">
      <c r="A28" s="1" t="s">
        <v>30</v>
      </c>
      <c r="B28" s="1"/>
    </row>
    <row r="29" spans="1:67" x14ac:dyDescent="0.3">
      <c r="A29" s="1" t="s">
        <v>42</v>
      </c>
      <c r="B29" s="1"/>
    </row>
  </sheetData>
  <mergeCells count="16">
    <mergeCell ref="E1:G1"/>
    <mergeCell ref="H1:J1"/>
    <mergeCell ref="K1:M1"/>
    <mergeCell ref="B3:B24"/>
    <mergeCell ref="C3:C24"/>
    <mergeCell ref="D3:D24"/>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2026-08-07T09:56:21Z</dcterms:modified>
</cp:coreProperties>
</file>