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정제된 대두유 및 그 분획물(.4050)\"/>
    </mc:Choice>
  </mc:AlternateContent>
  <bookViews>
    <workbookView xWindow="0" yWindow="0" windowWidth="25125" windowHeight="11640"/>
  </bookViews>
  <sheets>
    <sheet name="2015년" sheetId="1" r:id="rId1"/>
  </sheets>
  <calcPr calcId="162913"/>
</workbook>
</file>

<file path=xl/calcChain.xml><?xml version="1.0" encoding="utf-8"?>
<calcChain xmlns="http://schemas.openxmlformats.org/spreadsheetml/2006/main">
  <c r="E4" i="1" l="1"/>
  <c r="AQ4" i="1" l="1"/>
  <c r="AP4" i="1"/>
  <c r="AN3" i="1"/>
  <c r="AM3" i="1"/>
  <c r="AK3" i="1"/>
  <c r="AJ3" i="1"/>
  <c r="AH3" i="1"/>
  <c r="AG3" i="1"/>
  <c r="AE3" i="1"/>
  <c r="AD3" i="1"/>
  <c r="AB3" i="1"/>
  <c r="AA3" i="1"/>
  <c r="Y3" i="1"/>
  <c r="X3" i="1"/>
  <c r="V3" i="1"/>
  <c r="U3" i="1"/>
  <c r="S3" i="1"/>
  <c r="R3" i="1"/>
  <c r="P3" i="1"/>
  <c r="O3" i="1"/>
  <c r="M3" i="1"/>
  <c r="L3" i="1"/>
  <c r="J3" i="1"/>
  <c r="I3" i="1"/>
  <c r="G3" i="1"/>
  <c r="F3" i="1"/>
  <c r="AQ7" i="1" l="1"/>
  <c r="AP7" i="1"/>
  <c r="AQ6" i="1"/>
  <c r="AP6" i="1"/>
  <c r="AC3" i="1" l="1"/>
  <c r="Q3" i="1"/>
  <c r="AL3" i="1"/>
  <c r="AF3" i="1"/>
  <c r="W3" i="1"/>
  <c r="T3" i="1"/>
  <c r="N3" i="1"/>
  <c r="K3" i="1"/>
  <c r="H3" i="1"/>
  <c r="AP5" i="1"/>
  <c r="AP3" i="1" s="1"/>
  <c r="AL7" i="1"/>
  <c r="AL6" i="1"/>
  <c r="AL5" i="1"/>
  <c r="AL4" i="1"/>
  <c r="AI7" i="1"/>
  <c r="AI6" i="1"/>
  <c r="AI5" i="1"/>
  <c r="AI4" i="1"/>
  <c r="AF7" i="1"/>
  <c r="AF6" i="1"/>
  <c r="AF5" i="1"/>
  <c r="AF4" i="1"/>
  <c r="AC7" i="1"/>
  <c r="AC6" i="1"/>
  <c r="AC5" i="1"/>
  <c r="AC4" i="1"/>
  <c r="Z7" i="1"/>
  <c r="Z6" i="1"/>
  <c r="Z5" i="1"/>
  <c r="Z4" i="1"/>
  <c r="W7" i="1"/>
  <c r="W6" i="1"/>
  <c r="W5" i="1"/>
  <c r="W4" i="1"/>
  <c r="T7" i="1"/>
  <c r="T6" i="1"/>
  <c r="T5" i="1"/>
  <c r="T4" i="1"/>
  <c r="Q7" i="1"/>
  <c r="Q6" i="1"/>
  <c r="Q5" i="1"/>
  <c r="Q4" i="1"/>
  <c r="N7" i="1"/>
  <c r="N6" i="1"/>
  <c r="N5" i="1"/>
  <c r="N4" i="1"/>
  <c r="K7" i="1"/>
  <c r="K6" i="1"/>
  <c r="K5" i="1"/>
  <c r="K4" i="1"/>
  <c r="H7" i="1"/>
  <c r="H6" i="1"/>
  <c r="H5" i="1"/>
  <c r="H4" i="1"/>
  <c r="E7" i="1"/>
  <c r="E6" i="1"/>
  <c r="E5" i="1"/>
  <c r="AQ5" i="1"/>
  <c r="AI3" i="1" l="1"/>
  <c r="Z3" i="1"/>
  <c r="AO7" i="1"/>
  <c r="E3" i="1"/>
  <c r="AO5" i="1"/>
  <c r="AO6" i="1"/>
  <c r="AQ3" i="1"/>
  <c r="AO3" i="1" l="1"/>
  <c r="AO4" i="1"/>
</calcChain>
</file>

<file path=xl/sharedStrings.xml><?xml version="1.0" encoding="utf-8"?>
<sst xmlns="http://schemas.openxmlformats.org/spreadsheetml/2006/main" count="70" uniqueCount="34">
  <si>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</si>
  <si>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</si>
  <si>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</si>
  <si>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</si>
  <si>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</si>
  <si>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</si>
  <si>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</si>
  <si>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</si>
  <si>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</si>
  <si>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</si>
  <si>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</si>
  <si>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</si>
  <si>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</si>
  <si>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</si>
  <si>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</si>
  <si>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</si>
  <si>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</si>
  <si>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</si>
  <si>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</si>
  <si>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</si>
  <si>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</si>
  <si>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</si>
  <si>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</si>
  <si>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</si>
  <si>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</si>
  <si>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FLY-RFND</t>
    <phoneticPr fontId="18" type="noConversion"/>
  </si>
  <si>
    <t>Canada</t>
    <phoneticPr fontId="18" type="noConversion"/>
  </si>
  <si>
    <t>2. FAS Totals include all Agricultural commodities and FAS selected NONAG commodity items.</t>
    <phoneticPr fontId="18" type="noConversion"/>
  </si>
  <si>
    <t>Japan</t>
    <phoneticPr fontId="18" type="noConversion"/>
  </si>
  <si>
    <t>Mexico</t>
    <phoneticPr fontId="18" type="noConversion"/>
  </si>
  <si>
    <t>Netherlands Antilles(*)</t>
    <phoneticPr fontId="18" type="noConversion"/>
  </si>
  <si>
    <t>5. Product Group : FAS</t>
    <phoneticPr fontId="18" type="noConversion"/>
  </si>
  <si>
    <t>4.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</si>
  <si>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3. (*) denotes a country that is a summarization of its component countries.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</si>
</sst>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3"/>
  <sheetViews>
    <sheetView showGridLines="0" tabSelected="1" workbookViewId="0">
      <pane ySplit="2" topLeftCell="A3" activePane="bottomLeft" state="frozen"/>
      <selection pane="bottomLeft" activeCell="A2" sqref="A2"/>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4" t="s">
        <v>0</v>
      </c>
      <c r="F1" s="15"/>
      <c r="G1" s="16"/>
      <c r="H1" s="17" t="s">
        <v>1</v>
      </c>
      <c r="I1" s="18"/>
      <c r="J1" s="19"/>
      <c r="K1" s="17" t="s">
        <v>2</v>
      </c>
      <c r="L1" s="18"/>
      <c r="M1" s="19"/>
      <c r="N1" s="17" t="s">
        <v>3</v>
      </c>
      <c r="O1" s="18"/>
      <c r="P1" s="19"/>
      <c r="Q1" s="17" t="s">
        <v>4</v>
      </c>
      <c r="R1" s="18"/>
      <c r="S1" s="19"/>
      <c r="T1" s="17" t="s">
        <v>5</v>
      </c>
      <c r="U1" s="18"/>
      <c r="V1" s="19"/>
      <c r="W1" s="17" t="s">
        <v>6</v>
      </c>
      <c r="X1" s="18"/>
      <c r="Y1" s="19"/>
      <c r="Z1" s="17" t="s">
        <v>7</v>
      </c>
      <c r="AA1" s="18"/>
      <c r="AB1" s="19"/>
      <c r="AC1" s="17" t="s">
        <v>8</v>
      </c>
      <c r="AD1" s="18"/>
      <c r="AE1" s="19"/>
      <c r="AF1" s="17" t="s">
        <v>9</v>
      </c>
      <c r="AG1" s="18"/>
      <c r="AH1" s="19"/>
      <c r="AI1" s="17" t="s">
        <v>10</v>
      </c>
      <c r="AJ1" s="18"/>
      <c r="AK1" s="19"/>
      <c r="AL1" s="17" t="s">
        <v>11</v>
      </c>
      <c r="AM1" s="18"/>
      <c r="AN1" s="19"/>
      <c r="AO1" s="17" t="s">
        <v>12</v>
      </c>
      <c r="AP1" s="18"/>
      <c r="AQ1" s="19"/>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11" t="s">
        <v>16</v>
      </c>
      <c r="B3" s="12" t="s">
        <v>25</v>
      </c>
      <c r="C3" s="20" t="s">
        <v>17</v>
      </c>
      <c r="D3" s="20" t="s">
        <v>21</v>
      </c>
      <c r="E3" s="8">
        <f>F3/G3</f>
        <v>1079.1714285714286</v>
      </c>
      <c r="F3" s="9">
        <f>SUM(F4:F7)</f>
        <v>113313</v>
      </c>
      <c r="G3" s="10">
        <f>SUM(G4:G7)</f>
        <v>105</v>
      </c>
      <c r="H3" s="9">
        <f>I3/J3</f>
        <v>1066.9588550983899</v>
      </c>
      <c r="I3" s="9">
        <f>SUM(I4:I7)</f>
        <v>59643</v>
      </c>
      <c r="J3" s="10">
        <f>SUM(J4:J7)</f>
        <v>55.9</v>
      </c>
      <c r="K3" s="9">
        <f>L3/M3</f>
        <v>904.80565371024727</v>
      </c>
      <c r="L3" s="9">
        <f>SUM(L4:L7)</f>
        <v>76818</v>
      </c>
      <c r="M3" s="10">
        <f>SUM(M4:M7)</f>
        <v>84.9</v>
      </c>
      <c r="N3" s="9" t="e">
        <f>O3/P3</f>
        <v>#DIV/0!</v>
      </c>
      <c r="O3" s="9">
        <f>SUM(O4:O7)</f>
        <v>0</v>
      </c>
      <c r="P3" s="10">
        <f>SUM(P4:P7)</f>
        <v>0</v>
      </c>
      <c r="Q3" s="9">
        <f>R3/S3</f>
        <v>1180.7394366197184</v>
      </c>
      <c r="R3" s="9">
        <f>SUM(R4:R7)</f>
        <v>67066</v>
      </c>
      <c r="S3" s="10">
        <f>SUM(S4:S7)</f>
        <v>56.8</v>
      </c>
      <c r="T3" s="9">
        <f>U3/V3</f>
        <v>921.88062142273088</v>
      </c>
      <c r="U3" s="9">
        <f>SUM(U4:U7)</f>
        <v>112746</v>
      </c>
      <c r="V3" s="10">
        <f>SUM(V4:V7)</f>
        <v>122.30000000000001</v>
      </c>
      <c r="W3" s="9">
        <f>X3/Y3</f>
        <v>1311.0722100656453</v>
      </c>
      <c r="X3" s="9">
        <f>SUM(X4:X7)</f>
        <v>59916</v>
      </c>
      <c r="Y3" s="10">
        <f>SUM(Y4:Y7)</f>
        <v>45.7</v>
      </c>
      <c r="Z3" s="9">
        <f>AA3/AB3</f>
        <v>1240.2922077922078</v>
      </c>
      <c r="AA3" s="9">
        <f>SUM(AA4:AA7)</f>
        <v>38201</v>
      </c>
      <c r="AB3" s="10">
        <f>SUM(AB4:AB7)</f>
        <v>30.8</v>
      </c>
      <c r="AC3" s="9">
        <f>AD3/AE3</f>
        <v>1186.4795144157813</v>
      </c>
      <c r="AD3" s="9">
        <f>SUM(AD4:AD7)</f>
        <v>78189</v>
      </c>
      <c r="AE3" s="10">
        <f>SUM(AE4:AE7)</f>
        <v>65.900000000000006</v>
      </c>
      <c r="AF3" s="9">
        <f>AG3/AH3</f>
        <v>884.82758620689663</v>
      </c>
      <c r="AG3" s="9">
        <f>SUM(AG4:AG7)</f>
        <v>74414</v>
      </c>
      <c r="AH3" s="10">
        <f>SUM(AH4:AH7)</f>
        <v>84.1</v>
      </c>
      <c r="AI3" s="9">
        <f>AJ3/AK3</f>
        <v>1214.0425531914893</v>
      </c>
      <c r="AJ3" s="9">
        <f>SUM(AJ4:AJ7)</f>
        <v>45648</v>
      </c>
      <c r="AK3" s="10">
        <f>SUM(AK4:AK7)</f>
        <v>37.6</v>
      </c>
      <c r="AL3" s="9">
        <f>AM3/AN3</f>
        <v>1077.7184466019417</v>
      </c>
      <c r="AM3" s="9">
        <f>SUM(AM4:AM7)</f>
        <v>22201</v>
      </c>
      <c r="AN3" s="10">
        <f>SUM(AN4:AN7)</f>
        <v>20.6</v>
      </c>
      <c r="AO3" s="9">
        <f>AP3/AQ3</f>
        <v>1054.3334272829763</v>
      </c>
      <c r="AP3" s="9">
        <f>SUM(AP4:AP7)</f>
        <v>748155</v>
      </c>
      <c r="AQ3" s="10">
        <f>SUM(AQ4:AQ7)</f>
        <v>709.6</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7" t="s">
        <v>26</v>
      </c>
      <c r="B4" s="12"/>
      <c r="C4" s="12"/>
      <c r="D4" s="12"/>
      <c r="E4" s="3">
        <f t="shared" ref="E4:E7" si="0">F4/G4</f>
        <v>2018.7817258883249</v>
      </c>
      <c r="F4" s="3">
        <v>39770</v>
      </c>
      <c r="G4" s="6">
        <v>19.7</v>
      </c>
      <c r="H4" s="3">
        <f t="shared" ref="H4:H7" si="1">I4/J4</f>
        <v>1018.4261501210655</v>
      </c>
      <c r="I4" s="3">
        <v>42061</v>
      </c>
      <c r="J4" s="6">
        <v>41.3</v>
      </c>
      <c r="K4" s="3">
        <f t="shared" ref="K4:K7" si="2">L4/M4</f>
        <v>904.80565371024727</v>
      </c>
      <c r="L4" s="3">
        <v>76818</v>
      </c>
      <c r="M4" s="6">
        <v>84.9</v>
      </c>
      <c r="N4" s="3" t="e">
        <f t="shared" ref="N4:N7" si="3">O4/P4</f>
        <v>#DIV/0!</v>
      </c>
      <c r="O4" s="3">
        <v>0</v>
      </c>
      <c r="P4" s="6">
        <v>0</v>
      </c>
      <c r="Q4" s="3">
        <f t="shared" ref="Q4:Q7" si="4">R4/S4</f>
        <v>1146.2412993039443</v>
      </c>
      <c r="R4" s="3">
        <v>49403</v>
      </c>
      <c r="S4" s="6">
        <v>43.1</v>
      </c>
      <c r="T4" s="3">
        <f t="shared" ref="T4:T7" si="5">U4/V4</f>
        <v>887.39079102715459</v>
      </c>
      <c r="U4" s="3">
        <v>75162</v>
      </c>
      <c r="V4" s="6">
        <v>84.7</v>
      </c>
      <c r="W4" s="3">
        <f t="shared" ref="W4:W7" si="6">X4/Y4</f>
        <v>1364.0579710144928</v>
      </c>
      <c r="X4" s="3">
        <v>28236</v>
      </c>
      <c r="Y4" s="6">
        <v>20.7</v>
      </c>
      <c r="Z4" s="3">
        <f t="shared" ref="Z4:Z7" si="7">AA4/AB4</f>
        <v>1229.0035587188611</v>
      </c>
      <c r="AA4" s="3">
        <v>34535</v>
      </c>
      <c r="AB4" s="6">
        <v>28.1</v>
      </c>
      <c r="AC4" s="3">
        <f t="shared" ref="AC4:AC7" si="8">AD4/AE4</f>
        <v>1167.6528117359414</v>
      </c>
      <c r="AD4" s="3">
        <v>47757</v>
      </c>
      <c r="AE4" s="6">
        <v>40.9</v>
      </c>
      <c r="AF4" s="3">
        <f t="shared" ref="AF4:AF7" si="9">AG4/AH4</f>
        <v>884.82758620689663</v>
      </c>
      <c r="AG4" s="3">
        <v>74414</v>
      </c>
      <c r="AH4" s="6">
        <v>84.1</v>
      </c>
      <c r="AI4" s="3" t="e">
        <f t="shared" ref="AI4:AI7" si="10">AJ4/AK4</f>
        <v>#DIV/0!</v>
      </c>
      <c r="AJ4" s="3">
        <v>0</v>
      </c>
      <c r="AK4" s="6">
        <v>0</v>
      </c>
      <c r="AL4" s="3">
        <f t="shared" ref="AL4:AL7" si="11">AM4/AN4</f>
        <v>1077.7184466019417</v>
      </c>
      <c r="AM4" s="3">
        <v>22201</v>
      </c>
      <c r="AN4" s="6">
        <v>20.6</v>
      </c>
      <c r="AO4" s="3">
        <f t="shared" ref="AO4:AO7" si="12">AP4/AQ4</f>
        <v>1047.5475325785087</v>
      </c>
      <c r="AP4" s="3">
        <f t="shared" ref="AP4" si="13">SUM(F4,I4,L4,O4,R4,U4,X4,AA4,AD4,AG4,AJ4,AM4)</f>
        <v>490357</v>
      </c>
      <c r="AQ4" s="6">
        <f t="shared" ref="AQ4" si="14">SUM(G4,J4,M4,P4,S4,V4,Y4,AB4,AE4,AH4,AK4,AN4)</f>
        <v>468.1</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28</v>
      </c>
      <c r="B5" s="12"/>
      <c r="C5" s="12"/>
      <c r="D5" s="12"/>
      <c r="E5" s="3" t="e">
        <f t="shared" si="0"/>
        <v>#DIV/0!</v>
      </c>
      <c r="F5" s="3">
        <v>0</v>
      </c>
      <c r="G5" s="6">
        <v>0</v>
      </c>
      <c r="H5" s="3">
        <f t="shared" si="1"/>
        <v>1204.2465753424658</v>
      </c>
      <c r="I5" s="3">
        <v>17582</v>
      </c>
      <c r="J5" s="6">
        <v>14.6</v>
      </c>
      <c r="K5" s="3" t="e">
        <f t="shared" si="2"/>
        <v>#DIV/0!</v>
      </c>
      <c r="L5" s="3">
        <v>0</v>
      </c>
      <c r="M5" s="6">
        <v>0</v>
      </c>
      <c r="N5" s="3" t="e">
        <f t="shared" si="3"/>
        <v>#DIV/0!</v>
      </c>
      <c r="O5" s="3">
        <v>0</v>
      </c>
      <c r="P5" s="6">
        <v>0</v>
      </c>
      <c r="Q5" s="3">
        <f t="shared" si="4"/>
        <v>1289.2700729927008</v>
      </c>
      <c r="R5" s="3">
        <v>17663</v>
      </c>
      <c r="S5" s="6">
        <v>13.7</v>
      </c>
      <c r="T5" s="3">
        <f t="shared" si="5"/>
        <v>999.57446808510633</v>
      </c>
      <c r="U5" s="3">
        <v>37584</v>
      </c>
      <c r="V5" s="6">
        <v>37.6</v>
      </c>
      <c r="W5" s="3">
        <f t="shared" si="6"/>
        <v>1267.2</v>
      </c>
      <c r="X5" s="3">
        <v>31680</v>
      </c>
      <c r="Y5" s="6">
        <v>25</v>
      </c>
      <c r="Z5" s="3" t="e">
        <f t="shared" si="7"/>
        <v>#DIV/0!</v>
      </c>
      <c r="AA5" s="3">
        <v>0</v>
      </c>
      <c r="AB5" s="6">
        <v>0</v>
      </c>
      <c r="AC5" s="3">
        <f t="shared" si="8"/>
        <v>1217.28</v>
      </c>
      <c r="AD5" s="3">
        <v>30432</v>
      </c>
      <c r="AE5" s="6">
        <v>25</v>
      </c>
      <c r="AF5" s="3" t="e">
        <f t="shared" si="9"/>
        <v>#DIV/0!</v>
      </c>
      <c r="AG5" s="3">
        <v>0</v>
      </c>
      <c r="AH5" s="6">
        <v>0</v>
      </c>
      <c r="AI5" s="3">
        <f t="shared" si="10"/>
        <v>1214.0425531914893</v>
      </c>
      <c r="AJ5" s="3">
        <v>45648</v>
      </c>
      <c r="AK5" s="6">
        <v>37.6</v>
      </c>
      <c r="AL5" s="3" t="e">
        <f t="shared" si="11"/>
        <v>#DIV/0!</v>
      </c>
      <c r="AM5" s="3">
        <v>0</v>
      </c>
      <c r="AN5" s="6">
        <v>0</v>
      </c>
      <c r="AO5" s="3">
        <f t="shared" si="12"/>
        <v>1176.4755700325734</v>
      </c>
      <c r="AP5" s="3">
        <f t="shared" ref="AP5" si="15">SUM(F5,I5,L5,O5,R5,U5,X5,AA5,AD5,AG5,AJ5,AM5)</f>
        <v>180589</v>
      </c>
      <c r="AQ5" s="6">
        <f t="shared" ref="AQ5" si="16">SUM(G5,J5,M5,P5,S5,V5,Y5,AB5,AE5,AH5,AK5,AN5)</f>
        <v>153.5</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29</v>
      </c>
      <c r="B6" s="12"/>
      <c r="C6" s="12"/>
      <c r="D6" s="12"/>
      <c r="E6" s="3">
        <f t="shared" si="0"/>
        <v>862.16881594372808</v>
      </c>
      <c r="F6" s="3">
        <v>73543</v>
      </c>
      <c r="G6" s="6">
        <v>85.3</v>
      </c>
      <c r="H6" s="3" t="e">
        <f t="shared" si="1"/>
        <v>#DIV/0!</v>
      </c>
      <c r="I6" s="3">
        <v>0</v>
      </c>
      <c r="J6" s="6">
        <v>0</v>
      </c>
      <c r="K6" s="3" t="e">
        <f t="shared" si="2"/>
        <v>#DIV/0!</v>
      </c>
      <c r="L6" s="3">
        <v>0</v>
      </c>
      <c r="M6" s="6">
        <v>0</v>
      </c>
      <c r="N6" s="3" t="e">
        <f t="shared" si="3"/>
        <v>#DIV/0!</v>
      </c>
      <c r="O6" s="3">
        <v>0</v>
      </c>
      <c r="P6" s="6">
        <v>0</v>
      </c>
      <c r="Q6" s="3" t="e">
        <f t="shared" si="4"/>
        <v>#DIV/0!</v>
      </c>
      <c r="R6" s="3">
        <v>0</v>
      </c>
      <c r="S6" s="6">
        <v>0</v>
      </c>
      <c r="T6" s="3" t="e">
        <f t="shared" si="5"/>
        <v>#DIV/0!</v>
      </c>
      <c r="U6" s="3">
        <v>0</v>
      </c>
      <c r="V6" s="6">
        <v>0</v>
      </c>
      <c r="W6" s="3" t="e">
        <f t="shared" si="6"/>
        <v>#DIV/0!</v>
      </c>
      <c r="X6" s="3">
        <v>0</v>
      </c>
      <c r="Y6" s="6">
        <v>0</v>
      </c>
      <c r="Z6" s="3" t="e">
        <f t="shared" si="7"/>
        <v>#DIV/0!</v>
      </c>
      <c r="AA6" s="3">
        <v>0</v>
      </c>
      <c r="AB6" s="6">
        <v>0</v>
      </c>
      <c r="AC6" s="3" t="e">
        <f t="shared" si="8"/>
        <v>#DIV/0!</v>
      </c>
      <c r="AD6" s="3">
        <v>0</v>
      </c>
      <c r="AE6" s="6">
        <v>0</v>
      </c>
      <c r="AF6" s="3" t="e">
        <f t="shared" si="9"/>
        <v>#DIV/0!</v>
      </c>
      <c r="AG6" s="3">
        <v>0</v>
      </c>
      <c r="AH6" s="6">
        <v>0</v>
      </c>
      <c r="AI6" s="3" t="e">
        <f t="shared" si="10"/>
        <v>#DIV/0!</v>
      </c>
      <c r="AJ6" s="3">
        <v>0</v>
      </c>
      <c r="AK6" s="6">
        <v>0</v>
      </c>
      <c r="AL6" s="3" t="e">
        <f t="shared" si="11"/>
        <v>#DIV/0!</v>
      </c>
      <c r="AM6" s="3">
        <v>0</v>
      </c>
      <c r="AN6" s="6">
        <v>0</v>
      </c>
      <c r="AO6" s="3">
        <f t="shared" si="12"/>
        <v>862.16881594372808</v>
      </c>
      <c r="AP6" s="3">
        <f t="shared" ref="AP6:AP7" si="17">SUM(F6,I6,L6,O6,R6,U6,X6,AA6,AD6,AG6,AJ6,AM6)</f>
        <v>73543</v>
      </c>
      <c r="AQ6" s="6">
        <f t="shared" ref="AQ6:AQ7" si="18">SUM(G6,J6,M6,P6,S6,V6,Y6,AB6,AE6,AH6,AK6,AN6)</f>
        <v>85.3</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11" t="s">
        <v>30</v>
      </c>
      <c r="B7" s="13"/>
      <c r="C7" s="13"/>
      <c r="D7" s="13"/>
      <c r="E7" s="8" t="e">
        <f t="shared" si="0"/>
        <v>#DIV/0!</v>
      </c>
      <c r="F7" s="9">
        <v>0</v>
      </c>
      <c r="G7" s="10">
        <v>0</v>
      </c>
      <c r="H7" s="9" t="e">
        <f t="shared" si="1"/>
        <v>#DIV/0!</v>
      </c>
      <c r="I7" s="9">
        <v>0</v>
      </c>
      <c r="J7" s="10">
        <v>0</v>
      </c>
      <c r="K7" s="9" t="e">
        <f t="shared" si="2"/>
        <v>#DIV/0!</v>
      </c>
      <c r="L7" s="9">
        <v>0</v>
      </c>
      <c r="M7" s="10">
        <v>0</v>
      </c>
      <c r="N7" s="9" t="e">
        <f t="shared" si="3"/>
        <v>#DIV/0!</v>
      </c>
      <c r="O7" s="9">
        <v>0</v>
      </c>
      <c r="P7" s="10">
        <v>0</v>
      </c>
      <c r="Q7" s="9" t="e">
        <f t="shared" si="4"/>
        <v>#DIV/0!</v>
      </c>
      <c r="R7" s="9">
        <v>0</v>
      </c>
      <c r="S7" s="10">
        <v>0</v>
      </c>
      <c r="T7" s="9" t="e">
        <f t="shared" si="5"/>
        <v>#DIV/0!</v>
      </c>
      <c r="U7" s="9">
        <v>0</v>
      </c>
      <c r="V7" s="10">
        <v>0</v>
      </c>
      <c r="W7" s="9" t="e">
        <f t="shared" si="6"/>
        <v>#DIV/0!</v>
      </c>
      <c r="X7" s="9">
        <v>0</v>
      </c>
      <c r="Y7" s="10">
        <v>0</v>
      </c>
      <c r="Z7" s="9">
        <f t="shared" si="7"/>
        <v>1357.7777777777776</v>
      </c>
      <c r="AA7" s="9">
        <v>3666</v>
      </c>
      <c r="AB7" s="10">
        <v>2.7</v>
      </c>
      <c r="AC7" s="9" t="e">
        <f t="shared" si="8"/>
        <v>#DIV/0!</v>
      </c>
      <c r="AD7" s="9">
        <v>0</v>
      </c>
      <c r="AE7" s="10">
        <v>0</v>
      </c>
      <c r="AF7" s="9" t="e">
        <f t="shared" si="9"/>
        <v>#DIV/0!</v>
      </c>
      <c r="AG7" s="9">
        <v>0</v>
      </c>
      <c r="AH7" s="10">
        <v>0</v>
      </c>
      <c r="AI7" s="9" t="e">
        <f t="shared" si="10"/>
        <v>#DIV/0!</v>
      </c>
      <c r="AJ7" s="9">
        <v>0</v>
      </c>
      <c r="AK7" s="10">
        <v>0</v>
      </c>
      <c r="AL7" s="9" t="e">
        <f t="shared" si="11"/>
        <v>#DIV/0!</v>
      </c>
      <c r="AM7" s="9">
        <v>0</v>
      </c>
      <c r="AN7" s="10">
        <v>0</v>
      </c>
      <c r="AO7" s="9">
        <f t="shared" si="12"/>
        <v>1357.7777777777776</v>
      </c>
      <c r="AP7" s="9">
        <f t="shared" si="17"/>
        <v>3666</v>
      </c>
      <c r="AQ7" s="10">
        <f t="shared" si="18"/>
        <v>2.7</v>
      </c>
      <c r="AR7" s="3"/>
      <c r="AS7" s="3"/>
      <c r="AT7" s="3"/>
      <c r="AU7" s="3"/>
      <c r="AV7" s="3"/>
      <c r="AW7" s="3"/>
      <c r="AX7" s="3"/>
      <c r="AY7" s="3"/>
      <c r="AZ7" s="3"/>
      <c r="BA7" s="3"/>
      <c r="BB7" s="3"/>
      <c r="BC7" s="3"/>
      <c r="BD7" s="3"/>
      <c r="BE7" s="3"/>
      <c r="BF7" s="3"/>
      <c r="BG7" s="3"/>
      <c r="BH7" s="3"/>
      <c r="BI7" s="3"/>
      <c r="BJ7" s="3"/>
      <c r="BK7" s="3"/>
      <c r="BL7" s="3"/>
      <c r="BM7" s="3"/>
      <c r="BN7" s="3"/>
      <c r="BO7" s="3"/>
    </row>
    <row r="8" spans="1:67" x14ac:dyDescent="0.3">
      <c r="A8" s="1" t="s">
        <v>18</v>
      </c>
      <c r="B8" s="1"/>
    </row>
    <row r="9" spans="1:67" x14ac:dyDescent="0.3">
      <c r="A9" s="1" t="s">
        <v>23</v>
      </c>
      <c r="B9" s="1"/>
    </row>
    <row r="10" spans="1:67" x14ac:dyDescent="0.3">
      <c r="A10" s="1" t="s">
        <v>27</v>
      </c>
      <c r="B10" s="1"/>
    </row>
    <row r="11" spans="1:67" x14ac:dyDescent="0.3">
      <c r="A11" s="1" t="s">
        <v>33</v>
      </c>
      <c r="B11" s="1"/>
    </row>
    <row r="12" spans="1:67" x14ac:dyDescent="0.3">
      <c r="A12" s="1" t="s">
        <v>32</v>
      </c>
      <c r="B12" s="1"/>
    </row>
    <row r="13" spans="1:67" x14ac:dyDescent="0.3">
      <c r="A13" s="1" t="s">
        <v>31</v>
      </c>
      <c r="B13" s="1"/>
    </row>
  </sheetData>
  <mergeCells count="16">
    <mergeCell ref="N1:P1"/>
    <mergeCell ref="Q1:S1"/>
    <mergeCell ref="T1:V1"/>
    <mergeCell ref="AL1:AN1"/>
    <mergeCell ref="AO1:AQ1"/>
    <mergeCell ref="W1:Y1"/>
    <mergeCell ref="Z1:AB1"/>
    <mergeCell ref="AC1:AE1"/>
    <mergeCell ref="AF1:AH1"/>
    <mergeCell ref="AI1:AK1"/>
    <mergeCell ref="B3:B7"/>
    <mergeCell ref="E1:G1"/>
    <mergeCell ref="H1:J1"/>
    <mergeCell ref="K1:M1"/>
    <mergeCell ref="C3:C7"/>
    <mergeCell ref="D3:D7"/>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2015년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2026-08-10T01:17:08Z</dcterms:modified>
</cp:coreProperties>
</file>