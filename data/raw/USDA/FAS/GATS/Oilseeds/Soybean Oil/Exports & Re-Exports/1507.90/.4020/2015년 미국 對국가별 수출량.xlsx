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AQ23" i="1" l="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3" i="1"/>
  <c r="AL22" i="1"/>
  <c r="AL21" i="1"/>
  <c r="AL20" i="1"/>
  <c r="AL19" i="1"/>
  <c r="AL18" i="1"/>
  <c r="AL17" i="1"/>
  <c r="AL16" i="1"/>
  <c r="AL15" i="1"/>
  <c r="AL14" i="1"/>
  <c r="AL13" i="1"/>
  <c r="AL12" i="1"/>
  <c r="AL11" i="1"/>
  <c r="AL10" i="1"/>
  <c r="AL9" i="1"/>
  <c r="AL8" i="1"/>
  <c r="AL7" i="1"/>
  <c r="AL6" i="1"/>
  <c r="AL5" i="1"/>
  <c r="AL4" i="1"/>
  <c r="AI23" i="1"/>
  <c r="AI22" i="1"/>
  <c r="AI21" i="1"/>
  <c r="AI20" i="1"/>
  <c r="AI19" i="1"/>
  <c r="AI18" i="1"/>
  <c r="AI17" i="1"/>
  <c r="AI16" i="1"/>
  <c r="AI15" i="1"/>
  <c r="AI14" i="1"/>
  <c r="AI13" i="1"/>
  <c r="AI12" i="1"/>
  <c r="AI11" i="1"/>
  <c r="AI10" i="1"/>
  <c r="AI9" i="1"/>
  <c r="AI8" i="1"/>
  <c r="AI7" i="1"/>
  <c r="AI6" i="1"/>
  <c r="AI5" i="1"/>
  <c r="AI4" i="1"/>
  <c r="AF23" i="1"/>
  <c r="AF22" i="1"/>
  <c r="AF21" i="1"/>
  <c r="AF20" i="1"/>
  <c r="AF19" i="1"/>
  <c r="AF18" i="1"/>
  <c r="AF17" i="1"/>
  <c r="AF16" i="1"/>
  <c r="AF15" i="1"/>
  <c r="AF14" i="1"/>
  <c r="AF13" i="1"/>
  <c r="AF12" i="1"/>
  <c r="AF11" i="1"/>
  <c r="AF10" i="1"/>
  <c r="AF9" i="1"/>
  <c r="AF8" i="1"/>
  <c r="AF7" i="1"/>
  <c r="AF6" i="1"/>
  <c r="AF5" i="1"/>
  <c r="AF4" i="1"/>
  <c r="AC23" i="1"/>
  <c r="AC22" i="1"/>
  <c r="AC21" i="1"/>
  <c r="AC20" i="1"/>
  <c r="AC19" i="1"/>
  <c r="AC18" i="1"/>
  <c r="AC17" i="1"/>
  <c r="AC16" i="1"/>
  <c r="AC15" i="1"/>
  <c r="AC14" i="1"/>
  <c r="AC13" i="1"/>
  <c r="AC12" i="1"/>
  <c r="AC11" i="1"/>
  <c r="AC10" i="1"/>
  <c r="AC9" i="1"/>
  <c r="AC8" i="1"/>
  <c r="AC7" i="1"/>
  <c r="AC6" i="1"/>
  <c r="AC5" i="1"/>
  <c r="AC4" i="1"/>
  <c r="Z23" i="1"/>
  <c r="Z22" i="1"/>
  <c r="Z21" i="1"/>
  <c r="Z20" i="1"/>
  <c r="Z19" i="1"/>
  <c r="Z18" i="1"/>
  <c r="Z17" i="1"/>
  <c r="Z16" i="1"/>
  <c r="Z15" i="1"/>
  <c r="Z14" i="1"/>
  <c r="Z13" i="1"/>
  <c r="Z12" i="1"/>
  <c r="Z11" i="1"/>
  <c r="Z10" i="1"/>
  <c r="Z9" i="1"/>
  <c r="Z8" i="1"/>
  <c r="Z7" i="1"/>
  <c r="Z6" i="1"/>
  <c r="Z5" i="1"/>
  <c r="Z4" i="1"/>
  <c r="W23" i="1"/>
  <c r="W22" i="1"/>
  <c r="W21" i="1"/>
  <c r="W20" i="1"/>
  <c r="W19" i="1"/>
  <c r="W18" i="1"/>
  <c r="W17" i="1"/>
  <c r="W16" i="1"/>
  <c r="W15" i="1"/>
  <c r="W14" i="1"/>
  <c r="W13" i="1"/>
  <c r="W12" i="1"/>
  <c r="W11" i="1"/>
  <c r="W10" i="1"/>
  <c r="W9" i="1"/>
  <c r="W8" i="1"/>
  <c r="W7" i="1"/>
  <c r="W6" i="1"/>
  <c r="W5" i="1"/>
  <c r="W4" i="1"/>
  <c r="T23" i="1"/>
  <c r="T22" i="1"/>
  <c r="T21" i="1"/>
  <c r="T20" i="1"/>
  <c r="T19" i="1"/>
  <c r="T18" i="1"/>
  <c r="T17" i="1"/>
  <c r="T16" i="1"/>
  <c r="T15" i="1"/>
  <c r="T14" i="1"/>
  <c r="T13" i="1"/>
  <c r="T12" i="1"/>
  <c r="T11" i="1"/>
  <c r="T10" i="1"/>
  <c r="T9" i="1"/>
  <c r="T8" i="1"/>
  <c r="T7" i="1"/>
  <c r="T6" i="1"/>
  <c r="T5" i="1"/>
  <c r="T4" i="1"/>
  <c r="Q23" i="1"/>
  <c r="Q22" i="1"/>
  <c r="Q21" i="1"/>
  <c r="Q20" i="1"/>
  <c r="Q19" i="1"/>
  <c r="Q18" i="1"/>
  <c r="Q17" i="1"/>
  <c r="Q16" i="1"/>
  <c r="Q15" i="1"/>
  <c r="Q14" i="1"/>
  <c r="Q13" i="1"/>
  <c r="Q12" i="1"/>
  <c r="Q11" i="1"/>
  <c r="Q10" i="1"/>
  <c r="Q9" i="1"/>
  <c r="Q8" i="1"/>
  <c r="Q7" i="1"/>
  <c r="Q6" i="1"/>
  <c r="Q5" i="1"/>
  <c r="Q4" i="1"/>
  <c r="N23" i="1"/>
  <c r="N22" i="1"/>
  <c r="N21" i="1"/>
  <c r="N20" i="1"/>
  <c r="N19" i="1"/>
  <c r="N18" i="1"/>
  <c r="N17" i="1"/>
  <c r="N16" i="1"/>
  <c r="N15" i="1"/>
  <c r="N14" i="1"/>
  <c r="N13" i="1"/>
  <c r="N12" i="1"/>
  <c r="N11" i="1"/>
  <c r="N10" i="1"/>
  <c r="N9" i="1"/>
  <c r="N8" i="1"/>
  <c r="N7" i="1"/>
  <c r="N6" i="1"/>
  <c r="N5" i="1"/>
  <c r="N4" i="1"/>
  <c r="K23" i="1"/>
  <c r="K22" i="1"/>
  <c r="K21" i="1"/>
  <c r="K20" i="1"/>
  <c r="K19" i="1"/>
  <c r="K18" i="1"/>
  <c r="K17" i="1"/>
  <c r="K16" i="1"/>
  <c r="K15" i="1"/>
  <c r="K14" i="1"/>
  <c r="K13" i="1"/>
  <c r="K12" i="1"/>
  <c r="K11" i="1"/>
  <c r="K10" i="1"/>
  <c r="K9" i="1"/>
  <c r="K8" i="1"/>
  <c r="K7" i="1"/>
  <c r="K6" i="1"/>
  <c r="K5" i="1"/>
  <c r="K4" i="1"/>
  <c r="H23" i="1"/>
  <c r="H22" i="1"/>
  <c r="H21" i="1"/>
  <c r="H20" i="1"/>
  <c r="H19" i="1"/>
  <c r="H18" i="1"/>
  <c r="H17" i="1"/>
  <c r="H16" i="1"/>
  <c r="H15" i="1"/>
  <c r="H14" i="1"/>
  <c r="H13" i="1"/>
  <c r="H12" i="1"/>
  <c r="H11" i="1"/>
  <c r="H10" i="1"/>
  <c r="H9" i="1"/>
  <c r="H8" i="1"/>
  <c r="H7" i="1"/>
  <c r="H6" i="1"/>
  <c r="H5" i="1"/>
  <c r="H4" i="1"/>
  <c r="E23"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23" i="1"/>
  <c r="AO3" i="1" l="1"/>
  <c r="AO4" i="1"/>
  <c r="AO12" i="1"/>
</calcChain>
</file>

<file path=xl/sharedStrings.xml><?xml version="1.0" encoding="utf-8"?>
<sst xmlns="http://schemas.openxmlformats.org/spreadsheetml/2006/main" count="85" uniqueCount="49">
  <si>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</si>
  <si>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</si>
  <si>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</si>
  <si>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</si>
  <si>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</si>
  <si>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</si>
  <si>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</si>
  <si>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</si>
  <si>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</si>
  <si>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</si>
  <si>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</si>
  <si>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</si>
  <si>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</si>
  <si>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</si>
  <si>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</si>
  <si>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</si>
  <si>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</si>
  <si>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</si>
  <si>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Australia(*)</t>
  </si>
  <si>
    <t>Mexico</t>
  </si>
  <si>
    <t>Bahamas, The</t>
  </si>
  <si>
    <t>El Salvador</t>
  </si>
  <si>
    <t>Guatemala</t>
  </si>
  <si>
    <t>Honduras</t>
  </si>
  <si>
    <t>Panama</t>
  </si>
  <si>
    <t>Trinidad and Tobago</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</si>
  <si>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</si>
  <si>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</si>
  <si>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</si>
  <si>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</si>
  <si>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</si>
  <si>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</si>
  <si>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</si>
  <si>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</si>
  <si>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</si>
  <si>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</si>
  <si>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</si>
  <si>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Haiti</t>
  </si>
  <si>
    <t>SOY OIL ONC-RFND</t>
    <phoneticPr fontId="18" type="noConversion"/>
  </si>
  <si>
    <t>United Arab Emirates</t>
  </si>
  <si>
    <t>Japan</t>
  </si>
  <si>
    <t>South Africa</t>
  </si>
  <si>
    <t>Bahrain</t>
  </si>
  <si>
    <t>Bermuda</t>
  </si>
  <si>
    <t>Hong Kong</t>
  </si>
  <si>
    <t>Indonesia</t>
  </si>
  <si>
    <t>Iraq</t>
  </si>
  <si>
    <t>Lebanon</t>
  </si>
  <si>
    <t>Mauritania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</si>
</sst>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29</v>
      </c>
      <c r="B2" s="2" t="s">
        <v>36</v>
      </c>
      <c r="C2" s="2" t="s">
        <v>13</v>
      </c>
      <c r="D2" s="2" t="s">
        <v>30</v>
      </c>
      <c r="E2" s="4" t="s">
        <v>14</v>
      </c>
      <c r="F2" s="2" t="s">
        <v>30</v>
      </c>
      <c r="G2" s="5" t="s">
        <v>15</v>
      </c>
      <c r="H2" s="2" t="s">
        <v>14</v>
      </c>
      <c r="I2" s="2" t="s">
        <v>30</v>
      </c>
      <c r="J2" s="5" t="s">
        <v>15</v>
      </c>
      <c r="K2" s="2" t="s">
        <v>14</v>
      </c>
      <c r="L2" s="2" t="s">
        <v>30</v>
      </c>
      <c r="M2" s="5" t="s">
        <v>15</v>
      </c>
      <c r="N2" s="2" t="s">
        <v>14</v>
      </c>
      <c r="O2" s="2" t="s">
        <v>30</v>
      </c>
      <c r="P2" s="5" t="s">
        <v>15</v>
      </c>
      <c r="Q2" s="2" t="s">
        <v>14</v>
      </c>
      <c r="R2" s="2" t="s">
        <v>30</v>
      </c>
      <c r="S2" s="5" t="s">
        <v>15</v>
      </c>
      <c r="T2" s="2" t="s">
        <v>14</v>
      </c>
      <c r="U2" s="2" t="s">
        <v>30</v>
      </c>
      <c r="V2" s="5" t="s">
        <v>15</v>
      </c>
      <c r="W2" s="2" t="s">
        <v>14</v>
      </c>
      <c r="X2" s="2" t="s">
        <v>30</v>
      </c>
      <c r="Y2" s="5" t="s">
        <v>15</v>
      </c>
      <c r="Z2" s="2" t="s">
        <v>14</v>
      </c>
      <c r="AA2" s="2" t="s">
        <v>30</v>
      </c>
      <c r="AB2" s="5" t="s">
        <v>15</v>
      </c>
      <c r="AC2" s="2" t="s">
        <v>14</v>
      </c>
      <c r="AD2" s="2" t="s">
        <v>30</v>
      </c>
      <c r="AE2" s="5" t="s">
        <v>15</v>
      </c>
      <c r="AF2" s="2" t="s">
        <v>14</v>
      </c>
      <c r="AG2" s="2" t="s">
        <v>30</v>
      </c>
      <c r="AH2" s="5" t="s">
        <v>15</v>
      </c>
      <c r="AI2" s="2" t="s">
        <v>14</v>
      </c>
      <c r="AJ2" s="2" t="s">
        <v>30</v>
      </c>
      <c r="AK2" s="5" t="s">
        <v>15</v>
      </c>
      <c r="AL2" s="2" t="s">
        <v>14</v>
      </c>
      <c r="AM2" s="2" t="s">
        <v>30</v>
      </c>
      <c r="AN2" s="5" t="s">
        <v>15</v>
      </c>
      <c r="AO2" s="2" t="s">
        <v>14</v>
      </c>
      <c r="AP2" s="2" t="s">
        <v>32</v>
      </c>
      <c r="AQ2" s="5" t="s">
        <v>15</v>
      </c>
    </row>
    <row r="3" spans="1:67" ht="15" customHeight="1" x14ac:dyDescent="0.3">
      <c r="A3" s="9" t="s">
        <v>16</v>
      </c>
      <c r="B3" s="13" t="s">
        <v>38</v>
      </c>
      <c r="C3" s="13" t="s">
        <v>17</v>
      </c>
      <c r="D3" s="13" t="s">
        <v>31</v>
      </c>
      <c r="E3" s="7">
        <f>F3/G3</f>
        <v>874.69465648854964</v>
      </c>
      <c r="F3" s="7">
        <f>SUM(F4:F23)</f>
        <v>114585</v>
      </c>
      <c r="G3" s="8">
        <f>SUM(G4:G23)</f>
        <v>131</v>
      </c>
      <c r="H3" s="7">
        <f>I3/J3</f>
        <v>1105.8061420345489</v>
      </c>
      <c r="I3" s="7">
        <f>SUM(I4:I23)</f>
        <v>115225</v>
      </c>
      <c r="J3" s="8">
        <f>SUM(J4:J23)</f>
        <v>104.2</v>
      </c>
      <c r="K3" s="7">
        <f>L3/M3</f>
        <v>785.63291139240516</v>
      </c>
      <c r="L3" s="7">
        <f>SUM(L4:L23)</f>
        <v>273086</v>
      </c>
      <c r="M3" s="8">
        <f>SUM(M4:M23)</f>
        <v>347.59999999999997</v>
      </c>
      <c r="N3" s="7">
        <f>O3/P3</f>
        <v>921.15944036570147</v>
      </c>
      <c r="O3" s="7">
        <f>SUM(O4:O23)</f>
        <v>1329970</v>
      </c>
      <c r="P3" s="8">
        <f>SUM(P4:P23)</f>
        <v>1443.8000000000002</v>
      </c>
      <c r="Q3" s="7">
        <f>R3/S3</f>
        <v>831.13025083106686</v>
      </c>
      <c r="R3" s="7">
        <f>SUM(R4:R23)</f>
        <v>275021</v>
      </c>
      <c r="S3" s="8">
        <f>SUM(S4:S23)</f>
        <v>330.9</v>
      </c>
      <c r="T3" s="7">
        <f>U3/V3</f>
        <v>871.75564681724836</v>
      </c>
      <c r="U3" s="7">
        <f>SUM(U4:U23)</f>
        <v>84909</v>
      </c>
      <c r="V3" s="8">
        <f>SUM(V4:V23)</f>
        <v>97.4</v>
      </c>
      <c r="W3" s="7">
        <f>X3/Y3</f>
        <v>804.93142857142857</v>
      </c>
      <c r="X3" s="7">
        <f>SUM(X4:X23)</f>
        <v>140863</v>
      </c>
      <c r="Y3" s="8">
        <f>SUM(Y4:Y23)</f>
        <v>175</v>
      </c>
      <c r="Z3" s="7">
        <f>AA3/AB3</f>
        <v>979.57006369426756</v>
      </c>
      <c r="AA3" s="7">
        <f>SUM(AA4:AA23)</f>
        <v>61517</v>
      </c>
      <c r="AB3" s="8">
        <f>SUM(AB4:AB23)</f>
        <v>62.8</v>
      </c>
      <c r="AC3" s="7">
        <f>AD3/AE3</f>
        <v>804.69556243550051</v>
      </c>
      <c r="AD3" s="7">
        <f>SUM(AD4:AD23)</f>
        <v>77975</v>
      </c>
      <c r="AE3" s="8">
        <f>SUM(AE4:AE23)</f>
        <v>96.9</v>
      </c>
      <c r="AF3" s="7">
        <f>AG3/AH3</f>
        <v>853.04502369668239</v>
      </c>
      <c r="AG3" s="7">
        <f>SUM(AG4:AG23)</f>
        <v>143994</v>
      </c>
      <c r="AH3" s="8">
        <f>SUM(AH4:AH23)</f>
        <v>168.8</v>
      </c>
      <c r="AI3" s="7">
        <f>AJ3/AK3</f>
        <v>1056.8833652007647</v>
      </c>
      <c r="AJ3" s="7">
        <f>SUM(AJ4:AJ23)</f>
        <v>55275</v>
      </c>
      <c r="AK3" s="8">
        <f>SUM(AK4:AK23)</f>
        <v>52.300000000000004</v>
      </c>
      <c r="AL3" s="7">
        <f>AM3/AN3</f>
        <v>813.87254901960785</v>
      </c>
      <c r="AM3" s="7">
        <f>SUM(AM4:AM23)</f>
        <v>132824</v>
      </c>
      <c r="AN3" s="8">
        <f>SUM(AN4:AN23)</f>
        <v>163.19999999999999</v>
      </c>
      <c r="AO3" s="7">
        <f>AP3/AQ3</f>
        <v>883.84763225054337</v>
      </c>
      <c r="AP3" s="7">
        <f>SUM(AP4:AP23)</f>
        <v>2805244</v>
      </c>
      <c r="AQ3" s="8">
        <f>SUM(AQ4:AQ23)</f>
        <v>3173.9000000000005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19</v>
      </c>
      <c r="B4" s="14"/>
      <c r="C4" s="14"/>
      <c r="D4" s="14"/>
      <c r="E4" s="3">
        <f t="shared" ref="E4:E11" si="0">F4/G4</f>
        <v>885.16194331983809</v>
      </c>
      <c r="F4" s="3">
        <v>43727</v>
      </c>
      <c r="G4" s="6">
        <v>49.4</v>
      </c>
      <c r="H4" s="3">
        <f t="shared" ref="H4:H11" si="1">I4/J4</f>
        <v>1129.2105263157896</v>
      </c>
      <c r="I4" s="3">
        <v>4291</v>
      </c>
      <c r="J4" s="6">
        <v>3.8</v>
      </c>
      <c r="K4" s="3">
        <f t="shared" ref="K4:K11" si="2">L4/M4</f>
        <v>715.22976819845462</v>
      </c>
      <c r="L4" s="3">
        <v>175875</v>
      </c>
      <c r="M4" s="6">
        <v>245.9</v>
      </c>
      <c r="N4" s="3">
        <f t="shared" ref="N4:N11" si="3">O4/P4</f>
        <v>1072.3684210526317</v>
      </c>
      <c r="O4" s="3">
        <v>16300</v>
      </c>
      <c r="P4" s="6">
        <v>15.2</v>
      </c>
      <c r="Q4" s="3">
        <f t="shared" ref="Q4:Q11" si="4">R4/S4</f>
        <v>818.09090909090912</v>
      </c>
      <c r="R4" s="3">
        <v>35996</v>
      </c>
      <c r="S4" s="6">
        <v>44</v>
      </c>
      <c r="T4" s="3">
        <f t="shared" ref="T4:T11" si="5">U4/V4</f>
        <v>1199.6296296296296</v>
      </c>
      <c r="U4" s="3">
        <v>25912</v>
      </c>
      <c r="V4" s="6">
        <v>21.6</v>
      </c>
      <c r="W4" s="3">
        <f t="shared" ref="W4:W11" si="6">X4/Y4</f>
        <v>845.90021691973971</v>
      </c>
      <c r="X4" s="3">
        <v>38996</v>
      </c>
      <c r="Y4" s="6">
        <v>46.1</v>
      </c>
      <c r="Z4" s="3">
        <f t="shared" ref="Z4:Z11" si="7">AA4/AB4</f>
        <v>1122.3015873015872</v>
      </c>
      <c r="AA4" s="3">
        <v>14141</v>
      </c>
      <c r="AB4" s="6">
        <v>12.6</v>
      </c>
      <c r="AC4" s="3">
        <f t="shared" ref="AC4:AC11" si="8">AD4/AE4</f>
        <v>824.76851851851848</v>
      </c>
      <c r="AD4" s="3">
        <v>35630</v>
      </c>
      <c r="AE4" s="6">
        <v>43.2</v>
      </c>
      <c r="AF4" s="3">
        <f t="shared" ref="AF4:AF11" si="9">AG4/AH4</f>
        <v>868.86792452830196</v>
      </c>
      <c r="AG4" s="3">
        <v>36840</v>
      </c>
      <c r="AH4" s="6">
        <v>42.4</v>
      </c>
      <c r="AI4" s="3">
        <f t="shared" ref="AI4:AI11" si="10">AJ4/AK4</f>
        <v>1087.6243093922651</v>
      </c>
      <c r="AJ4" s="3">
        <v>19686</v>
      </c>
      <c r="AK4" s="6">
        <v>18.100000000000001</v>
      </c>
      <c r="AL4" s="3">
        <f t="shared" ref="AL4:AL11" si="11">AM4/AN4</f>
        <v>893.81520119225047</v>
      </c>
      <c r="AM4" s="3">
        <v>59975</v>
      </c>
      <c r="AN4" s="6">
        <v>67.099999999999994</v>
      </c>
      <c r="AO4" s="3">
        <f t="shared" ref="AO4:AO23" si="12">AP4/AQ4</f>
        <v>832.57138168690506</v>
      </c>
      <c r="AP4" s="3">
        <f t="shared" ref="AP4:AQ4" si="13">SUM(F4,I4,L4,O4,R4,U4,X4,AA4,AD4,AG4,AJ4,AM4)</f>
        <v>507369</v>
      </c>
      <c r="AQ4" s="6">
        <f t="shared" si="13"/>
        <v>609.40000000000009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39</v>
      </c>
      <c r="B5" s="14"/>
      <c r="C5" s="14"/>
      <c r="D5" s="14"/>
      <c r="E5" s="3">
        <f t="shared" si="0"/>
        <v>718.81606765327695</v>
      </c>
      <c r="F5" s="3">
        <v>34000</v>
      </c>
      <c r="G5" s="6">
        <v>47.3</v>
      </c>
      <c r="H5" s="3">
        <f t="shared" si="1"/>
        <v>1025.3465346534654</v>
      </c>
      <c r="I5" s="3">
        <v>41424</v>
      </c>
      <c r="J5" s="6">
        <v>40.4</v>
      </c>
      <c r="K5" s="3">
        <f t="shared" si="2"/>
        <v>802.42057488653563</v>
      </c>
      <c r="L5" s="3">
        <v>53040</v>
      </c>
      <c r="M5" s="6">
        <v>66.099999999999994</v>
      </c>
      <c r="N5" s="3">
        <f t="shared" si="3"/>
        <v>718.81606765327695</v>
      </c>
      <c r="O5" s="3">
        <v>34000</v>
      </c>
      <c r="P5" s="6">
        <v>47.3</v>
      </c>
      <c r="Q5" s="3">
        <f t="shared" si="4"/>
        <v>855.5729984301413</v>
      </c>
      <c r="R5" s="3">
        <v>54500</v>
      </c>
      <c r="S5" s="6">
        <v>63.7</v>
      </c>
      <c r="T5" s="3">
        <f t="shared" si="5"/>
        <v>718.22410147991548</v>
      </c>
      <c r="U5" s="3">
        <v>33972</v>
      </c>
      <c r="V5" s="6">
        <v>47.3</v>
      </c>
      <c r="W5" s="3">
        <f t="shared" si="6"/>
        <v>718.16254416961124</v>
      </c>
      <c r="X5" s="3">
        <v>60972</v>
      </c>
      <c r="Y5" s="6">
        <v>84.9</v>
      </c>
      <c r="Z5" s="3" t="e">
        <f t="shared" si="7"/>
        <v>#DIV/0!</v>
      </c>
      <c r="AA5" s="3">
        <v>0</v>
      </c>
      <c r="AB5" s="6">
        <v>0</v>
      </c>
      <c r="AC5" s="3">
        <f t="shared" si="8"/>
        <v>718.22410147991548</v>
      </c>
      <c r="AD5" s="3">
        <v>33972</v>
      </c>
      <c r="AE5" s="6">
        <v>47.3</v>
      </c>
      <c r="AF5" s="3">
        <f t="shared" si="9"/>
        <v>718.60788863109042</v>
      </c>
      <c r="AG5" s="3">
        <v>30972</v>
      </c>
      <c r="AH5" s="6">
        <v>43.1</v>
      </c>
      <c r="AI5" s="3">
        <f t="shared" si="10"/>
        <v>1257.6687116564417</v>
      </c>
      <c r="AJ5" s="3">
        <v>20500</v>
      </c>
      <c r="AK5" s="6">
        <v>16.3</v>
      </c>
      <c r="AL5" s="3">
        <f t="shared" si="11"/>
        <v>718.60788863109042</v>
      </c>
      <c r="AM5" s="3">
        <v>30972</v>
      </c>
      <c r="AN5" s="6">
        <v>43.1</v>
      </c>
      <c r="AO5" s="3">
        <f t="shared" si="12"/>
        <v>783.32845647403065</v>
      </c>
      <c r="AP5" s="3">
        <f t="shared" ref="AP5:AP23" si="14">SUM(F5,I5,L5,O5,R5,U5,X5,AA5,AD5,AG5,AJ5,AM5)</f>
        <v>428324</v>
      </c>
      <c r="AQ5" s="6">
        <f t="shared" ref="AQ5:AQ23" si="15">SUM(G5,J5,M5,P5,S5,V5,Y5,AB5,AE5,AH5,AK5,AN5)</f>
        <v>546.80000000000007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22</v>
      </c>
      <c r="B6" s="14"/>
      <c r="C6" s="14"/>
      <c r="D6" s="14"/>
      <c r="E6" s="3">
        <f t="shared" si="0"/>
        <v>716.75324675324669</v>
      </c>
      <c r="F6" s="3">
        <v>11038</v>
      </c>
      <c r="G6" s="6">
        <v>15.4</v>
      </c>
      <c r="H6" s="3">
        <f t="shared" si="1"/>
        <v>971.75213675213683</v>
      </c>
      <c r="I6" s="3">
        <v>22739</v>
      </c>
      <c r="J6" s="6">
        <v>23.4</v>
      </c>
      <c r="K6" s="3">
        <f t="shared" si="2"/>
        <v>1560.7792207792209</v>
      </c>
      <c r="L6" s="3">
        <v>24036</v>
      </c>
      <c r="M6" s="6">
        <v>15.4</v>
      </c>
      <c r="N6" s="3">
        <f t="shared" si="3"/>
        <v>719.81566820276498</v>
      </c>
      <c r="O6" s="3">
        <v>15620</v>
      </c>
      <c r="P6" s="6">
        <v>21.7</v>
      </c>
      <c r="Q6" s="3">
        <f t="shared" si="4"/>
        <v>821.72291296625224</v>
      </c>
      <c r="R6" s="3">
        <v>46263</v>
      </c>
      <c r="S6" s="6">
        <v>56.3</v>
      </c>
      <c r="T6" s="3">
        <f t="shared" si="5"/>
        <v>841.83673469387759</v>
      </c>
      <c r="U6" s="3">
        <v>20625</v>
      </c>
      <c r="V6" s="6">
        <v>24.5</v>
      </c>
      <c r="W6" s="3">
        <f t="shared" si="6"/>
        <v>784.92021276595744</v>
      </c>
      <c r="X6" s="3">
        <v>29513</v>
      </c>
      <c r="Y6" s="6">
        <v>37.6</v>
      </c>
      <c r="Z6" s="3">
        <f t="shared" si="7"/>
        <v>718.97872340425533</v>
      </c>
      <c r="AA6" s="3">
        <v>16896</v>
      </c>
      <c r="AB6" s="6">
        <v>23.5</v>
      </c>
      <c r="AC6" s="3">
        <f t="shared" si="8"/>
        <v>1560</v>
      </c>
      <c r="AD6" s="3">
        <v>3744</v>
      </c>
      <c r="AE6" s="6">
        <v>2.4</v>
      </c>
      <c r="AF6" s="3">
        <f t="shared" si="9"/>
        <v>1624.909090909091</v>
      </c>
      <c r="AG6" s="3">
        <v>8937</v>
      </c>
      <c r="AH6" s="6">
        <v>5.5</v>
      </c>
      <c r="AI6" s="3">
        <f t="shared" si="10"/>
        <v>842.96089385474863</v>
      </c>
      <c r="AJ6" s="3">
        <v>15089</v>
      </c>
      <c r="AK6" s="6">
        <v>17.899999999999999</v>
      </c>
      <c r="AL6" s="3">
        <f t="shared" si="11"/>
        <v>716.92607003891055</v>
      </c>
      <c r="AM6" s="3">
        <v>18425</v>
      </c>
      <c r="AN6" s="6">
        <v>25.7</v>
      </c>
      <c r="AO6" s="3">
        <f t="shared" si="12"/>
        <v>864.92759004827326</v>
      </c>
      <c r="AP6" s="3">
        <f t="shared" si="14"/>
        <v>232925</v>
      </c>
      <c r="AQ6" s="6">
        <f t="shared" si="15"/>
        <v>269.3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24</v>
      </c>
      <c r="B7" s="14"/>
      <c r="C7" s="14"/>
      <c r="D7" s="14"/>
      <c r="E7" s="3" t="e">
        <f t="shared" si="0"/>
        <v>#DIV/0!</v>
      </c>
      <c r="F7" s="3">
        <v>0</v>
      </c>
      <c r="G7" s="6">
        <v>0</v>
      </c>
      <c r="H7" s="3">
        <f t="shared" si="1"/>
        <v>1200.6497175141244</v>
      </c>
      <c r="I7" s="3">
        <v>42503</v>
      </c>
      <c r="J7" s="6">
        <v>35.4</v>
      </c>
      <c r="K7" s="3" t="e">
        <f t="shared" si="2"/>
        <v>#DIV/0!</v>
      </c>
      <c r="L7" s="3">
        <v>0</v>
      </c>
      <c r="M7" s="6">
        <v>0</v>
      </c>
      <c r="N7" s="3">
        <f t="shared" si="3"/>
        <v>1069.4767441860465</v>
      </c>
      <c r="O7" s="3">
        <v>36790</v>
      </c>
      <c r="P7" s="6">
        <v>34.4</v>
      </c>
      <c r="Q7" s="3" t="e">
        <f t="shared" si="4"/>
        <v>#DIV/0!</v>
      </c>
      <c r="R7" s="3">
        <v>0</v>
      </c>
      <c r="S7" s="6">
        <v>0</v>
      </c>
      <c r="T7" s="3" t="e">
        <f t="shared" si="5"/>
        <v>#DIV/0!</v>
      </c>
      <c r="U7" s="3">
        <v>0</v>
      </c>
      <c r="V7" s="6">
        <v>0</v>
      </c>
      <c r="W7" s="3" t="e">
        <f t="shared" si="6"/>
        <v>#DIV/0!</v>
      </c>
      <c r="X7" s="3">
        <v>0</v>
      </c>
      <c r="Y7" s="6">
        <v>0</v>
      </c>
      <c r="Z7" s="3">
        <f t="shared" si="7"/>
        <v>1141.5730337078653</v>
      </c>
      <c r="AA7" s="3">
        <v>30480</v>
      </c>
      <c r="AB7" s="6">
        <v>26.7</v>
      </c>
      <c r="AC7" s="3" t="e">
        <f t="shared" si="8"/>
        <v>#DIV/0!</v>
      </c>
      <c r="AD7" s="3">
        <v>0</v>
      </c>
      <c r="AE7" s="6">
        <v>0</v>
      </c>
      <c r="AF7" s="3" t="e">
        <f t="shared" si="9"/>
        <v>#DIV/0!</v>
      </c>
      <c r="AG7" s="3">
        <v>0</v>
      </c>
      <c r="AH7" s="6">
        <v>0</v>
      </c>
      <c r="AI7" s="3" t="e">
        <f t="shared" si="10"/>
        <v>#DIV/0!</v>
      </c>
      <c r="AJ7" s="3">
        <v>0</v>
      </c>
      <c r="AK7" s="6">
        <v>0</v>
      </c>
      <c r="AL7" s="3">
        <f t="shared" si="11"/>
        <v>718.96995708154509</v>
      </c>
      <c r="AM7" s="3">
        <v>16752</v>
      </c>
      <c r="AN7" s="6">
        <v>23.3</v>
      </c>
      <c r="AO7" s="3">
        <f t="shared" si="12"/>
        <v>1056.1352253756261</v>
      </c>
      <c r="AP7" s="3">
        <f t="shared" si="14"/>
        <v>126525</v>
      </c>
      <c r="AQ7" s="6">
        <f t="shared" si="15"/>
        <v>119.8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40</v>
      </c>
      <c r="B8" s="14"/>
      <c r="C8" s="14"/>
      <c r="D8" s="14"/>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f t="shared" si="11"/>
        <v>1950</v>
      </c>
      <c r="AM8" s="3">
        <v>3900</v>
      </c>
      <c r="AN8" s="6">
        <v>2</v>
      </c>
      <c r="AO8" s="3">
        <f t="shared" si="12"/>
        <v>1950</v>
      </c>
      <c r="AP8" s="3">
        <f t="shared" si="14"/>
        <v>3900</v>
      </c>
      <c r="AQ8" s="6">
        <f t="shared" si="15"/>
        <v>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41</v>
      </c>
      <c r="B9" s="14"/>
      <c r="C9" s="14"/>
      <c r="D9" s="14"/>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f t="shared" si="11"/>
        <v>1400</v>
      </c>
      <c r="AM9" s="3">
        <v>2800</v>
      </c>
      <c r="AN9" s="6">
        <v>2</v>
      </c>
      <c r="AO9" s="3">
        <f t="shared" si="12"/>
        <v>1400</v>
      </c>
      <c r="AP9" s="3">
        <f t="shared" si="14"/>
        <v>2800</v>
      </c>
      <c r="AQ9" s="6">
        <f t="shared" si="15"/>
        <v>2</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18</v>
      </c>
      <c r="B10" s="14"/>
      <c r="C10" s="14"/>
      <c r="D10" s="14"/>
      <c r="E10" s="3" t="e">
        <f t="shared" si="0"/>
        <v>#DIV/0!</v>
      </c>
      <c r="F10" s="3">
        <v>0</v>
      </c>
      <c r="G10" s="6">
        <v>0</v>
      </c>
      <c r="H10" s="3" t="e">
        <f t="shared" si="1"/>
        <v>#DIV/0!</v>
      </c>
      <c r="I10" s="3">
        <v>0</v>
      </c>
      <c r="J10" s="6">
        <v>0</v>
      </c>
      <c r="K10" s="3" t="e">
        <f t="shared" si="2"/>
        <v>#DIV/0!</v>
      </c>
      <c r="L10" s="3">
        <v>0</v>
      </c>
      <c r="M10" s="6">
        <v>0</v>
      </c>
      <c r="N10" s="3">
        <f t="shared" si="3"/>
        <v>717.70197486535005</v>
      </c>
      <c r="O10" s="3">
        <v>39976</v>
      </c>
      <c r="P10" s="6">
        <v>55.7</v>
      </c>
      <c r="Q10" s="3">
        <f t="shared" si="4"/>
        <v>2082.0833333333335</v>
      </c>
      <c r="R10" s="3">
        <v>9994</v>
      </c>
      <c r="S10" s="6">
        <v>4.8</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825.95041322314046</v>
      </c>
      <c r="AP10" s="3">
        <f t="shared" si="14"/>
        <v>49970</v>
      </c>
      <c r="AQ10" s="6">
        <f t="shared" si="15"/>
        <v>60.5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42</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f t="shared" si="4"/>
        <v>992.0792079207921</v>
      </c>
      <c r="R11" s="3">
        <v>20040</v>
      </c>
      <c r="S11" s="6">
        <v>20.2</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992.0792079207921</v>
      </c>
      <c r="AP11" s="3">
        <f t="shared" si="14"/>
        <v>20040</v>
      </c>
      <c r="AQ11" s="6">
        <f t="shared" si="15"/>
        <v>20.2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43</v>
      </c>
      <c r="B12" s="14"/>
      <c r="C12" s="14"/>
      <c r="D12" s="14"/>
      <c r="E12" s="3" t="e">
        <f>F12/G12</f>
        <v>#DIV/0!</v>
      </c>
      <c r="F12" s="3">
        <v>0</v>
      </c>
      <c r="G12" s="6">
        <v>0</v>
      </c>
      <c r="H12" s="3" t="e">
        <f>I12/J12</f>
        <v>#DIV/0!</v>
      </c>
      <c r="I12" s="3">
        <v>0</v>
      </c>
      <c r="J12" s="6">
        <v>0</v>
      </c>
      <c r="K12" s="3" t="e">
        <f>L12/M12</f>
        <v>#DIV/0!</v>
      </c>
      <c r="L12" s="3">
        <v>0</v>
      </c>
      <c r="M12" s="6">
        <v>0</v>
      </c>
      <c r="N12" s="3">
        <f>O12/P12</f>
        <v>1179.3103448275863</v>
      </c>
      <c r="O12" s="3">
        <v>3420</v>
      </c>
      <c r="P12" s="6">
        <v>2.9</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1179.3103448275863</v>
      </c>
      <c r="AP12" s="3">
        <f t="shared" si="14"/>
        <v>3420</v>
      </c>
      <c r="AQ12" s="6">
        <f t="shared" si="15"/>
        <v>2.9</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20</v>
      </c>
      <c r="B13" s="14"/>
      <c r="C13" s="14"/>
      <c r="D13" s="14"/>
      <c r="E13" s="3" t="e">
        <f t="shared" ref="E13:E23" si="16">F13/G13</f>
        <v>#DIV/0!</v>
      </c>
      <c r="F13" s="3">
        <v>0</v>
      </c>
      <c r="G13" s="6">
        <v>0</v>
      </c>
      <c r="H13" s="3" t="e">
        <f t="shared" ref="H13:H23" si="17">I13/J13</f>
        <v>#DIV/0!</v>
      </c>
      <c r="I13" s="3">
        <v>0</v>
      </c>
      <c r="J13" s="6">
        <v>0</v>
      </c>
      <c r="K13" s="3" t="e">
        <f t="shared" ref="K13:K23" si="18">L13/M13</f>
        <v>#DIV/0!</v>
      </c>
      <c r="L13" s="3">
        <v>0</v>
      </c>
      <c r="M13" s="6">
        <v>0</v>
      </c>
      <c r="N13" s="3">
        <f t="shared" ref="N13:N23" si="19">O13/P13</f>
        <v>1112.3275862068965</v>
      </c>
      <c r="O13" s="3">
        <v>25806</v>
      </c>
      <c r="P13" s="6">
        <v>23.2</v>
      </c>
      <c r="Q13" s="3" t="e">
        <f t="shared" ref="Q13:Q23" si="20">R13/S13</f>
        <v>#DIV/0!</v>
      </c>
      <c r="R13" s="3">
        <v>0</v>
      </c>
      <c r="S13" s="6">
        <v>0</v>
      </c>
      <c r="T13" s="3" t="e">
        <f t="shared" ref="T13:T23" si="21">U13/V13</f>
        <v>#DIV/0!</v>
      </c>
      <c r="U13" s="3">
        <v>0</v>
      </c>
      <c r="V13" s="6">
        <v>0</v>
      </c>
      <c r="W13" s="3" t="e">
        <f t="shared" ref="W13:W23" si="22">X13/Y13</f>
        <v>#DIV/0!</v>
      </c>
      <c r="X13" s="3">
        <v>0</v>
      </c>
      <c r="Y13" s="6">
        <v>0</v>
      </c>
      <c r="Z13" s="3" t="e">
        <f t="shared" ref="Z13:Z23" si="23">AA13/AB13</f>
        <v>#DIV/0!</v>
      </c>
      <c r="AA13" s="3">
        <v>0</v>
      </c>
      <c r="AB13" s="6">
        <v>0</v>
      </c>
      <c r="AC13" s="3" t="e">
        <f t="shared" ref="AC13:AC23" si="24">AD13/AE13</f>
        <v>#DIV/0!</v>
      </c>
      <c r="AD13" s="3">
        <v>0</v>
      </c>
      <c r="AE13" s="6">
        <v>0</v>
      </c>
      <c r="AF13" s="3" t="e">
        <f t="shared" ref="AF13:AF23" si="25">AG13/AH13</f>
        <v>#DIV/0!</v>
      </c>
      <c r="AG13" s="3">
        <v>0</v>
      </c>
      <c r="AH13" s="6">
        <v>0</v>
      </c>
      <c r="AI13" s="3" t="e">
        <f t="shared" ref="AI13:AI23" si="26">AJ13/AK13</f>
        <v>#DIV/0!</v>
      </c>
      <c r="AJ13" s="3">
        <v>0</v>
      </c>
      <c r="AK13" s="6">
        <v>0</v>
      </c>
      <c r="AL13" s="3" t="e">
        <f t="shared" ref="AL13:AL23" si="27">AM13/AN13</f>
        <v>#DIV/0!</v>
      </c>
      <c r="AM13" s="3">
        <v>0</v>
      </c>
      <c r="AN13" s="6">
        <v>0</v>
      </c>
      <c r="AO13" s="3">
        <f t="shared" si="12"/>
        <v>1112.3275862068965</v>
      </c>
      <c r="AP13" s="3">
        <f t="shared" si="14"/>
        <v>25806</v>
      </c>
      <c r="AQ13" s="6">
        <f t="shared" si="15"/>
        <v>23.2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21</v>
      </c>
      <c r="B14" s="14"/>
      <c r="C14" s="14"/>
      <c r="D14" s="14"/>
      <c r="E14" s="3" t="e">
        <f t="shared" si="16"/>
        <v>#DIV/0!</v>
      </c>
      <c r="F14" s="3">
        <v>0</v>
      </c>
      <c r="G14" s="6">
        <v>0</v>
      </c>
      <c r="H14" s="3" t="e">
        <f t="shared" si="17"/>
        <v>#DIV/0!</v>
      </c>
      <c r="I14" s="3">
        <v>0</v>
      </c>
      <c r="J14" s="6">
        <v>0</v>
      </c>
      <c r="K14" s="3" t="e">
        <f t="shared" si="18"/>
        <v>#DIV/0!</v>
      </c>
      <c r="L14" s="3">
        <v>0</v>
      </c>
      <c r="M14" s="6">
        <v>0</v>
      </c>
      <c r="N14" s="3">
        <f t="shared" si="19"/>
        <v>931.36594716226341</v>
      </c>
      <c r="O14" s="3">
        <v>1117546</v>
      </c>
      <c r="P14" s="6">
        <v>1199.9000000000001</v>
      </c>
      <c r="Q14" s="3" t="e">
        <f t="shared" si="20"/>
        <v>#DIV/0!</v>
      </c>
      <c r="R14" s="3">
        <v>0</v>
      </c>
      <c r="S14" s="6">
        <v>0</v>
      </c>
      <c r="T14" s="3" t="e">
        <f t="shared" si="21"/>
        <v>#DIV/0!</v>
      </c>
      <c r="U14" s="3">
        <v>0</v>
      </c>
      <c r="V14" s="6">
        <v>0</v>
      </c>
      <c r="W14" s="3">
        <f t="shared" si="22"/>
        <v>2909.166666666667</v>
      </c>
      <c r="X14" s="3">
        <v>6982</v>
      </c>
      <c r="Y14" s="6">
        <v>2.4</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935.31398153539033</v>
      </c>
      <c r="AP14" s="3">
        <f t="shared" si="14"/>
        <v>1124528</v>
      </c>
      <c r="AQ14" s="6">
        <f t="shared" si="15"/>
        <v>1202.3000000000002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37</v>
      </c>
      <c r="B15" s="14"/>
      <c r="C15" s="14"/>
      <c r="D15" s="14"/>
      <c r="E15" s="3" t="e">
        <f t="shared" si="16"/>
        <v>#DIV/0!</v>
      </c>
      <c r="F15" s="3">
        <v>0</v>
      </c>
      <c r="G15" s="6">
        <v>0</v>
      </c>
      <c r="H15" s="3" t="e">
        <f t="shared" si="17"/>
        <v>#DIV/0!</v>
      </c>
      <c r="I15" s="3">
        <v>0</v>
      </c>
      <c r="J15" s="6">
        <v>0</v>
      </c>
      <c r="K15" s="3" t="e">
        <f t="shared" si="18"/>
        <v>#DIV/0!</v>
      </c>
      <c r="L15" s="3">
        <v>0</v>
      </c>
      <c r="M15" s="6">
        <v>0</v>
      </c>
      <c r="N15" s="3">
        <f t="shared" si="19"/>
        <v>931.31034482758616</v>
      </c>
      <c r="O15" s="3">
        <v>40512</v>
      </c>
      <c r="P15" s="6">
        <v>43.5</v>
      </c>
      <c r="Q15" s="3">
        <f t="shared" si="20"/>
        <v>1277.4107142857144</v>
      </c>
      <c r="R15" s="3">
        <v>14307</v>
      </c>
      <c r="S15" s="6">
        <v>11.2</v>
      </c>
      <c r="T15" s="3" t="e">
        <f t="shared" si="21"/>
        <v>#DIV/0!</v>
      </c>
      <c r="U15" s="3">
        <v>0</v>
      </c>
      <c r="V15" s="6">
        <v>0</v>
      </c>
      <c r="W15" s="3" t="e">
        <f t="shared" si="22"/>
        <v>#DIV/0!</v>
      </c>
      <c r="X15" s="3">
        <v>0</v>
      </c>
      <c r="Y15" s="6">
        <v>0</v>
      </c>
      <c r="Z15" s="3" t="e">
        <f t="shared" si="23"/>
        <v>#DIV/0!</v>
      </c>
      <c r="AA15" s="3">
        <v>0</v>
      </c>
      <c r="AB15" s="6">
        <v>0</v>
      </c>
      <c r="AC15" s="3" t="e">
        <f t="shared" si="24"/>
        <v>#DIV/0!</v>
      </c>
      <c r="AD15" s="3">
        <v>0</v>
      </c>
      <c r="AE15" s="6">
        <v>0</v>
      </c>
      <c r="AF15" s="3">
        <f t="shared" si="25"/>
        <v>1585.9259259259259</v>
      </c>
      <c r="AG15" s="3">
        <v>8564</v>
      </c>
      <c r="AH15" s="6">
        <v>5.4</v>
      </c>
      <c r="AI15" s="3" t="e">
        <f t="shared" si="26"/>
        <v>#DIV/0!</v>
      </c>
      <c r="AJ15" s="3">
        <v>0</v>
      </c>
      <c r="AK15" s="6">
        <v>0</v>
      </c>
      <c r="AL15" s="3" t="e">
        <f t="shared" si="27"/>
        <v>#DIV/0!</v>
      </c>
      <c r="AM15" s="3">
        <v>0</v>
      </c>
      <c r="AN15" s="6">
        <v>0</v>
      </c>
      <c r="AO15" s="3">
        <f t="shared" si="12"/>
        <v>1054.6256239600666</v>
      </c>
      <c r="AP15" s="3">
        <f t="shared" si="14"/>
        <v>63383</v>
      </c>
      <c r="AQ15" s="6">
        <f t="shared" si="15"/>
        <v>60.1</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44</v>
      </c>
      <c r="B16" s="14"/>
      <c r="C16" s="14"/>
      <c r="D16" s="14"/>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f t="shared" si="20"/>
        <v>722.27272727272737</v>
      </c>
      <c r="R16" s="3">
        <v>4767</v>
      </c>
      <c r="S16" s="6">
        <v>6.6</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722.27272727272737</v>
      </c>
      <c r="AP16" s="3">
        <f t="shared" si="14"/>
        <v>4767</v>
      </c>
      <c r="AQ16" s="6">
        <f t="shared" si="15"/>
        <v>6.6</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23</v>
      </c>
      <c r="B17" s="14"/>
      <c r="C17" s="14"/>
      <c r="D17" s="14"/>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f t="shared" si="21"/>
        <v>1100</v>
      </c>
      <c r="U17" s="3">
        <v>4400</v>
      </c>
      <c r="V17" s="6">
        <v>4</v>
      </c>
      <c r="W17" s="3">
        <f t="shared" si="22"/>
        <v>1100</v>
      </c>
      <c r="X17" s="3">
        <v>4400</v>
      </c>
      <c r="Y17" s="6">
        <v>4</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1100</v>
      </c>
      <c r="AP17" s="3">
        <f t="shared" si="14"/>
        <v>8800</v>
      </c>
      <c r="AQ17" s="6">
        <f t="shared" si="15"/>
        <v>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45</v>
      </c>
      <c r="B18" s="14"/>
      <c r="C18" s="14"/>
      <c r="D18" s="14"/>
      <c r="E18" s="3">
        <f t="shared" si="16"/>
        <v>2549</v>
      </c>
      <c r="F18" s="3">
        <v>7647</v>
      </c>
      <c r="G18" s="6">
        <v>3</v>
      </c>
      <c r="H18" s="3" t="e">
        <f t="shared" si="17"/>
        <v>#DIV/0!</v>
      </c>
      <c r="I18" s="3">
        <v>0</v>
      </c>
      <c r="J18" s="6">
        <v>0</v>
      </c>
      <c r="K18" s="3" t="e">
        <f t="shared" si="18"/>
        <v>#DIV/0!</v>
      </c>
      <c r="L18" s="3">
        <v>0</v>
      </c>
      <c r="M18" s="6">
        <v>0</v>
      </c>
      <c r="N18" s="3" t="e">
        <f t="shared" si="19"/>
        <v>#DIV/0!</v>
      </c>
      <c r="O18" s="3">
        <v>0</v>
      </c>
      <c r="P18" s="6">
        <v>0</v>
      </c>
      <c r="Q18" s="3" t="e">
        <f t="shared" si="20"/>
        <v>#DIV/0!</v>
      </c>
      <c r="R18" s="3">
        <v>0</v>
      </c>
      <c r="S18" s="6">
        <v>0</v>
      </c>
      <c r="T18" s="3" t="e">
        <f t="shared" si="21"/>
        <v>#DIV/0!</v>
      </c>
      <c r="U18" s="3">
        <v>0</v>
      </c>
      <c r="V18" s="6">
        <v>0</v>
      </c>
      <c r="W18" s="3" t="e">
        <f t="shared" si="22"/>
        <v>#DIV/0!</v>
      </c>
      <c r="X18" s="3">
        <v>0</v>
      </c>
      <c r="Y18" s="6">
        <v>0</v>
      </c>
      <c r="Z18" s="3" t="e">
        <f t="shared" si="23"/>
        <v>#DIV/0!</v>
      </c>
      <c r="AA18" s="3">
        <v>0</v>
      </c>
      <c r="AB18" s="6">
        <v>0</v>
      </c>
      <c r="AC18" s="3" t="e">
        <f t="shared" si="24"/>
        <v>#DIV/0!</v>
      </c>
      <c r="AD18" s="3">
        <v>0</v>
      </c>
      <c r="AE18" s="6">
        <v>0</v>
      </c>
      <c r="AF18" s="3" t="e">
        <f t="shared" si="25"/>
        <v>#DIV/0!</v>
      </c>
      <c r="AG18" s="3">
        <v>0</v>
      </c>
      <c r="AH18" s="6">
        <v>0</v>
      </c>
      <c r="AI18" s="3" t="e">
        <f t="shared" si="26"/>
        <v>#DIV/0!</v>
      </c>
      <c r="AJ18" s="3">
        <v>0</v>
      </c>
      <c r="AK18" s="6">
        <v>0</v>
      </c>
      <c r="AL18" s="3" t="e">
        <f t="shared" si="27"/>
        <v>#DIV/0!</v>
      </c>
      <c r="AM18" s="3">
        <v>0</v>
      </c>
      <c r="AN18" s="6">
        <v>0</v>
      </c>
      <c r="AO18" s="3">
        <f t="shared" si="12"/>
        <v>2549</v>
      </c>
      <c r="AP18" s="3">
        <f t="shared" si="14"/>
        <v>7647</v>
      </c>
      <c r="AQ18" s="6">
        <f t="shared" si="15"/>
        <v>3</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46</v>
      </c>
      <c r="B19" s="14"/>
      <c r="C19" s="14"/>
      <c r="D19" s="14"/>
      <c r="E19" s="3" t="e">
        <f t="shared" si="16"/>
        <v>#DIV/0!</v>
      </c>
      <c r="F19" s="3">
        <v>0</v>
      </c>
      <c r="G19" s="6">
        <v>0</v>
      </c>
      <c r="H19" s="3" t="e">
        <f t="shared" si="17"/>
        <v>#DIV/0!</v>
      </c>
      <c r="I19" s="3">
        <v>0</v>
      </c>
      <c r="J19" s="6">
        <v>0</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t="e">
        <f t="shared" si="24"/>
        <v>#DIV/0!</v>
      </c>
      <c r="AD19" s="3">
        <v>0</v>
      </c>
      <c r="AE19" s="6">
        <v>0</v>
      </c>
      <c r="AF19" s="3">
        <f t="shared" si="25"/>
        <v>1135.8125</v>
      </c>
      <c r="AG19" s="3">
        <v>18173</v>
      </c>
      <c r="AH19" s="6">
        <v>16</v>
      </c>
      <c r="AI19" s="3" t="e">
        <f t="shared" si="26"/>
        <v>#DIV/0!</v>
      </c>
      <c r="AJ19" s="3">
        <v>0</v>
      </c>
      <c r="AK19" s="6">
        <v>0</v>
      </c>
      <c r="AL19" s="3" t="e">
        <f t="shared" si="27"/>
        <v>#DIV/0!</v>
      </c>
      <c r="AM19" s="3">
        <v>0</v>
      </c>
      <c r="AN19" s="6">
        <v>0</v>
      </c>
      <c r="AO19" s="3">
        <f t="shared" si="12"/>
        <v>1135.8125</v>
      </c>
      <c r="AP19" s="3">
        <f t="shared" si="14"/>
        <v>18173</v>
      </c>
      <c r="AQ19" s="6">
        <f t="shared" si="15"/>
        <v>16</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47</v>
      </c>
      <c r="B20" s="14"/>
      <c r="C20" s="14"/>
      <c r="D20" s="14"/>
      <c r="E20" s="3" t="e">
        <f t="shared" si="16"/>
        <v>#DIV/0!</v>
      </c>
      <c r="F20" s="3">
        <v>0</v>
      </c>
      <c r="G20" s="6">
        <v>0</v>
      </c>
      <c r="H20" s="3" t="e">
        <f t="shared" si="17"/>
        <v>#DIV/0!</v>
      </c>
      <c r="I20" s="3">
        <v>0</v>
      </c>
      <c r="J20" s="6">
        <v>0</v>
      </c>
      <c r="K20" s="3">
        <f t="shared" si="18"/>
        <v>996.78217821782187</v>
      </c>
      <c r="L20" s="3">
        <v>20135</v>
      </c>
      <c r="M20" s="6">
        <v>20.2</v>
      </c>
      <c r="N20" s="3" t="e">
        <f t="shared" si="19"/>
        <v>#DIV/0!</v>
      </c>
      <c r="O20" s="3">
        <v>0</v>
      </c>
      <c r="P20" s="6">
        <v>0</v>
      </c>
      <c r="Q20" s="3">
        <f t="shared" si="20"/>
        <v>718.40451248992747</v>
      </c>
      <c r="R20" s="3">
        <v>89154</v>
      </c>
      <c r="S20" s="6">
        <v>124.1</v>
      </c>
      <c r="T20" s="3" t="e">
        <f t="shared" si="21"/>
        <v>#DIV/0!</v>
      </c>
      <c r="U20" s="3">
        <v>0</v>
      </c>
      <c r="V20" s="6">
        <v>0</v>
      </c>
      <c r="W20" s="3" t="e">
        <f t="shared" si="22"/>
        <v>#DIV/0!</v>
      </c>
      <c r="X20" s="3">
        <v>0</v>
      </c>
      <c r="Y20" s="6">
        <v>0</v>
      </c>
      <c r="Z20" s="3" t="e">
        <f t="shared" si="23"/>
        <v>#DIV/0!</v>
      </c>
      <c r="AA20" s="3">
        <v>0</v>
      </c>
      <c r="AB20" s="6">
        <v>0</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757.37352737352751</v>
      </c>
      <c r="AP20" s="3">
        <f t="shared" si="14"/>
        <v>109289</v>
      </c>
      <c r="AQ20" s="6">
        <f t="shared" si="15"/>
        <v>144.29999999999998</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48</v>
      </c>
      <c r="B21" s="14"/>
      <c r="C21" s="14"/>
      <c r="D21" s="14"/>
      <c r="E21" s="3" t="e">
        <f t="shared" si="16"/>
        <v>#DIV/0!</v>
      </c>
      <c r="F21" s="3">
        <v>0</v>
      </c>
      <c r="G21" s="6">
        <v>0</v>
      </c>
      <c r="H21" s="3" t="e">
        <f t="shared" si="17"/>
        <v>#DIV/0!</v>
      </c>
      <c r="I21" s="3">
        <v>0</v>
      </c>
      <c r="J21" s="6">
        <v>0</v>
      </c>
      <c r="K21" s="3" t="e">
        <f t="shared" si="18"/>
        <v>#DIV/0!</v>
      </c>
      <c r="L21" s="3">
        <v>0</v>
      </c>
      <c r="M21" s="6">
        <v>0</v>
      </c>
      <c r="N21" s="3" t="e">
        <f t="shared" si="19"/>
        <v>#DIV/0!</v>
      </c>
      <c r="O21" s="3">
        <v>0</v>
      </c>
      <c r="P21" s="6">
        <v>0</v>
      </c>
      <c r="Q21" s="3" t="e">
        <f t="shared" si="20"/>
        <v>#DIV/0!</v>
      </c>
      <c r="R21" s="3">
        <v>0</v>
      </c>
      <c r="S21" s="6">
        <v>0</v>
      </c>
      <c r="T21" s="3" t="e">
        <f t="shared" si="21"/>
        <v>#DIV/0!</v>
      </c>
      <c r="U21" s="3">
        <v>0</v>
      </c>
      <c r="V21" s="6">
        <v>0</v>
      </c>
      <c r="W21" s="3" t="e">
        <f t="shared" si="22"/>
        <v>#DIV/0!</v>
      </c>
      <c r="X21" s="3">
        <v>0</v>
      </c>
      <c r="Y21" s="6">
        <v>0</v>
      </c>
      <c r="Z21" s="3" t="e">
        <f t="shared" si="23"/>
        <v>#DIV/0!</v>
      </c>
      <c r="AA21" s="3">
        <v>0</v>
      </c>
      <c r="AB21" s="6">
        <v>0</v>
      </c>
      <c r="AC21" s="3">
        <f t="shared" si="24"/>
        <v>1157.25</v>
      </c>
      <c r="AD21" s="3">
        <v>4629</v>
      </c>
      <c r="AE21" s="6">
        <v>4</v>
      </c>
      <c r="AF21" s="3" t="e">
        <f t="shared" si="25"/>
        <v>#DIV/0!</v>
      </c>
      <c r="AG21" s="3">
        <v>0</v>
      </c>
      <c r="AH21" s="6">
        <v>0</v>
      </c>
      <c r="AI21" s="3" t="e">
        <f t="shared" si="26"/>
        <v>#DIV/0!</v>
      </c>
      <c r="AJ21" s="3">
        <v>0</v>
      </c>
      <c r="AK21" s="6">
        <v>0</v>
      </c>
      <c r="AL21" s="3" t="e">
        <f t="shared" si="27"/>
        <v>#DIV/0!</v>
      </c>
      <c r="AM21" s="3">
        <v>0</v>
      </c>
      <c r="AN21" s="6">
        <v>0</v>
      </c>
      <c r="AO21" s="3">
        <f t="shared" si="12"/>
        <v>1157.25</v>
      </c>
      <c r="AP21" s="3">
        <f t="shared" si="14"/>
        <v>4629</v>
      </c>
      <c r="AQ21" s="6">
        <f t="shared" si="15"/>
        <v>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33</v>
      </c>
      <c r="B22" s="14"/>
      <c r="C22" s="14"/>
      <c r="D22" s="14"/>
      <c r="E22" s="3">
        <f t="shared" si="16"/>
        <v>1142.9559748427673</v>
      </c>
      <c r="F22" s="3">
        <v>18173</v>
      </c>
      <c r="G22" s="6">
        <v>15.9</v>
      </c>
      <c r="H22" s="3">
        <f t="shared" si="17"/>
        <v>3556.666666666667</v>
      </c>
      <c r="I22" s="3">
        <v>4268</v>
      </c>
      <c r="J22" s="6">
        <v>1.2</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t="e">
        <f t="shared" si="27"/>
        <v>#DIV/0!</v>
      </c>
      <c r="AM22" s="3">
        <v>0</v>
      </c>
      <c r="AN22" s="6">
        <v>0</v>
      </c>
      <c r="AO22" s="3">
        <f t="shared" si="12"/>
        <v>1312.3391812865495</v>
      </c>
      <c r="AP22" s="3">
        <f t="shared" si="14"/>
        <v>22441</v>
      </c>
      <c r="AQ22" s="6">
        <f t="shared" si="15"/>
        <v>17.100000000000001</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1" t="s">
        <v>25</v>
      </c>
      <c r="B23" s="15"/>
      <c r="C23" s="15"/>
      <c r="D23" s="15"/>
      <c r="E23" s="12" t="e">
        <f t="shared" si="16"/>
        <v>#DIV/0!</v>
      </c>
      <c r="F23" s="7">
        <v>0</v>
      </c>
      <c r="G23" s="8">
        <v>0</v>
      </c>
      <c r="H23" s="7" t="e">
        <f t="shared" si="17"/>
        <v>#DIV/0!</v>
      </c>
      <c r="I23" s="7">
        <v>0</v>
      </c>
      <c r="J23" s="8">
        <v>0</v>
      </c>
      <c r="K23" s="7" t="e">
        <f t="shared" si="18"/>
        <v>#DIV/0!</v>
      </c>
      <c r="L23" s="7">
        <v>0</v>
      </c>
      <c r="M23" s="8">
        <v>0</v>
      </c>
      <c r="N23" s="7" t="e">
        <f t="shared" si="19"/>
        <v>#DIV/0!</v>
      </c>
      <c r="O23" s="7">
        <v>0</v>
      </c>
      <c r="P23" s="8">
        <v>0</v>
      </c>
      <c r="Q23" s="7" t="e">
        <f t="shared" si="20"/>
        <v>#DIV/0!</v>
      </c>
      <c r="R23" s="7">
        <v>0</v>
      </c>
      <c r="S23" s="8">
        <v>0</v>
      </c>
      <c r="T23" s="7" t="e">
        <f t="shared" si="21"/>
        <v>#DIV/0!</v>
      </c>
      <c r="U23" s="7">
        <v>0</v>
      </c>
      <c r="V23" s="8">
        <v>0</v>
      </c>
      <c r="W23" s="7" t="e">
        <f t="shared" si="22"/>
        <v>#DIV/0!</v>
      </c>
      <c r="X23" s="7">
        <v>0</v>
      </c>
      <c r="Y23" s="8">
        <v>0</v>
      </c>
      <c r="Z23" s="7" t="e">
        <f t="shared" si="23"/>
        <v>#DIV/0!</v>
      </c>
      <c r="AA23" s="7">
        <v>0</v>
      </c>
      <c r="AB23" s="8">
        <v>0</v>
      </c>
      <c r="AC23" s="7" t="e">
        <f t="shared" si="24"/>
        <v>#DIV/0!</v>
      </c>
      <c r="AD23" s="7">
        <v>0</v>
      </c>
      <c r="AE23" s="8">
        <v>0</v>
      </c>
      <c r="AF23" s="7">
        <f t="shared" si="25"/>
        <v>718.22695035460993</v>
      </c>
      <c r="AG23" s="7">
        <v>40508</v>
      </c>
      <c r="AH23" s="8">
        <v>56.4</v>
      </c>
      <c r="AI23" s="7" t="e">
        <f t="shared" si="26"/>
        <v>#DIV/0!</v>
      </c>
      <c r="AJ23" s="7">
        <v>0</v>
      </c>
      <c r="AK23" s="8">
        <v>0</v>
      </c>
      <c r="AL23" s="7" t="e">
        <f t="shared" si="27"/>
        <v>#DIV/0!</v>
      </c>
      <c r="AM23" s="7">
        <v>0</v>
      </c>
      <c r="AN23" s="8">
        <v>0</v>
      </c>
      <c r="AO23" s="7">
        <f t="shared" si="12"/>
        <v>718.22695035460993</v>
      </c>
      <c r="AP23" s="7">
        <f t="shared" si="14"/>
        <v>40508</v>
      </c>
      <c r="AQ23" s="8">
        <f t="shared" si="15"/>
        <v>56.4</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 t="s">
        <v>26</v>
      </c>
      <c r="B24" s="1"/>
    </row>
    <row r="25" spans="1:67" x14ac:dyDescent="0.3">
      <c r="A25" s="1" t="s">
        <v>34</v>
      </c>
      <c r="B25" s="1"/>
    </row>
    <row r="26" spans="1:67" x14ac:dyDescent="0.3">
      <c r="A26" s="1" t="s">
        <v>27</v>
      </c>
      <c r="B26" s="1"/>
    </row>
    <row r="27" spans="1:67" x14ac:dyDescent="0.3">
      <c r="A27" s="1" t="s">
        <v>28</v>
      </c>
      <c r="B27" s="1"/>
    </row>
    <row r="28" spans="1:67" x14ac:dyDescent="0.3">
      <c r="A28" s="1" t="s">
        <v>35</v>
      </c>
      <c r="B28" s="1"/>
    </row>
  </sheetData>
  <mergeCells count="16">
    <mergeCell ref="B3:B23"/>
    <mergeCell ref="C3:C23"/>
    <mergeCell ref="AO1:AQ1"/>
    <mergeCell ref="W1:Y1"/>
    <mergeCell ref="Z1:AB1"/>
    <mergeCell ref="AC1:AE1"/>
    <mergeCell ref="AF1:AH1"/>
    <mergeCell ref="AI1:AK1"/>
    <mergeCell ref="D3:D23"/>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2026-08-07T06:07:07Z</dcterms:modified>
</cp:coreProperties>
</file>