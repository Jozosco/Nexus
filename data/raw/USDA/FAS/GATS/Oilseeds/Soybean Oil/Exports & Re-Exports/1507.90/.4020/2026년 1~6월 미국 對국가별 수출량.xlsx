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Q16" i="1" l="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16" i="1"/>
  <c r="AL15" i="1"/>
  <c r="AL14" i="1"/>
  <c r="AL13" i="1"/>
  <c r="AL12" i="1"/>
  <c r="AL11" i="1"/>
  <c r="AL10" i="1"/>
  <c r="AL9" i="1"/>
  <c r="AL8" i="1"/>
  <c r="AL7" i="1"/>
  <c r="AL6" i="1"/>
  <c r="AL5" i="1"/>
  <c r="AL4" i="1"/>
  <c r="AI16" i="1"/>
  <c r="AI15" i="1"/>
  <c r="AI14" i="1"/>
  <c r="AI13" i="1"/>
  <c r="AI12" i="1"/>
  <c r="AI11" i="1"/>
  <c r="AI10" i="1"/>
  <c r="AI9" i="1"/>
  <c r="AI8" i="1"/>
  <c r="AI7" i="1"/>
  <c r="AI6" i="1"/>
  <c r="AI5" i="1"/>
  <c r="AI4" i="1"/>
  <c r="AF16" i="1"/>
  <c r="AF15" i="1"/>
  <c r="AF14" i="1"/>
  <c r="AF13" i="1"/>
  <c r="AF12" i="1"/>
  <c r="AF11" i="1"/>
  <c r="AF10" i="1"/>
  <c r="AF9" i="1"/>
  <c r="AF8" i="1"/>
  <c r="AF7" i="1"/>
  <c r="AF6" i="1"/>
  <c r="AF5" i="1"/>
  <c r="AF4" i="1"/>
  <c r="AC16" i="1"/>
  <c r="AC15" i="1"/>
  <c r="AC14" i="1"/>
  <c r="AC13" i="1"/>
  <c r="AC12" i="1"/>
  <c r="AC11" i="1"/>
  <c r="AC10" i="1"/>
  <c r="AC9" i="1"/>
  <c r="AC8" i="1"/>
  <c r="AC7" i="1"/>
  <c r="AC6" i="1"/>
  <c r="AC5" i="1"/>
  <c r="AC4" i="1"/>
  <c r="Z16" i="1"/>
  <c r="Z15" i="1"/>
  <c r="Z14" i="1"/>
  <c r="Z13" i="1"/>
  <c r="Z12" i="1"/>
  <c r="Z11" i="1"/>
  <c r="Z10" i="1"/>
  <c r="Z9" i="1"/>
  <c r="Z8" i="1"/>
  <c r="Z7" i="1"/>
  <c r="Z6" i="1"/>
  <c r="Z5" i="1"/>
  <c r="Z4" i="1"/>
  <c r="W16" i="1"/>
  <c r="W15" i="1"/>
  <c r="W14" i="1"/>
  <c r="W13" i="1"/>
  <c r="W12" i="1"/>
  <c r="W11" i="1"/>
  <c r="W10" i="1"/>
  <c r="W9" i="1"/>
  <c r="W8" i="1"/>
  <c r="W7" i="1"/>
  <c r="W6" i="1"/>
  <c r="W5" i="1"/>
  <c r="W4" i="1"/>
  <c r="T16" i="1"/>
  <c r="T15" i="1"/>
  <c r="T14" i="1"/>
  <c r="T13" i="1"/>
  <c r="T12" i="1"/>
  <c r="T11" i="1"/>
  <c r="T10" i="1"/>
  <c r="T9" i="1"/>
  <c r="T8" i="1"/>
  <c r="T7" i="1"/>
  <c r="T6" i="1"/>
  <c r="T5" i="1"/>
  <c r="T4" i="1"/>
  <c r="Q16" i="1"/>
  <c r="Q15" i="1"/>
  <c r="Q14" i="1"/>
  <c r="Q13" i="1"/>
  <c r="Q12" i="1"/>
  <c r="Q11" i="1"/>
  <c r="Q10" i="1"/>
  <c r="Q9" i="1"/>
  <c r="Q8" i="1"/>
  <c r="Q7" i="1"/>
  <c r="Q6" i="1"/>
  <c r="Q5" i="1"/>
  <c r="Q4" i="1"/>
  <c r="N16" i="1"/>
  <c r="N15" i="1"/>
  <c r="N14" i="1"/>
  <c r="N13" i="1"/>
  <c r="N12" i="1"/>
  <c r="N11" i="1"/>
  <c r="N10" i="1"/>
  <c r="N9" i="1"/>
  <c r="N8" i="1"/>
  <c r="N7" i="1"/>
  <c r="N6" i="1"/>
  <c r="N5" i="1"/>
  <c r="N4" i="1"/>
  <c r="K16" i="1"/>
  <c r="K15" i="1"/>
  <c r="K14" i="1"/>
  <c r="K13" i="1"/>
  <c r="K12" i="1"/>
  <c r="K11" i="1"/>
  <c r="K10" i="1"/>
  <c r="K9" i="1"/>
  <c r="K8" i="1"/>
  <c r="K7" i="1"/>
  <c r="K6" i="1"/>
  <c r="K5" i="1"/>
  <c r="K4" i="1"/>
  <c r="H16" i="1"/>
  <c r="H15" i="1"/>
  <c r="H14" i="1"/>
  <c r="H13" i="1"/>
  <c r="H12" i="1"/>
  <c r="H11" i="1"/>
  <c r="H10" i="1"/>
  <c r="H9" i="1"/>
  <c r="H8" i="1"/>
  <c r="H7" i="1"/>
  <c r="H6" i="1"/>
  <c r="H5" i="1"/>
  <c r="H4" i="1"/>
  <c r="E16" i="1"/>
  <c r="E15" i="1"/>
  <c r="E14" i="1"/>
  <c r="E13" i="1"/>
  <c r="E11" i="1"/>
  <c r="E10" i="1"/>
  <c r="E9" i="1"/>
  <c r="E8" i="1"/>
  <c r="E7" i="1"/>
  <c r="E6" i="1"/>
  <c r="E5" i="1"/>
  <c r="E4" i="1"/>
  <c r="E12" i="1"/>
  <c r="AI3" i="1" l="1"/>
  <c r="Z3" i="1"/>
  <c r="AO7" i="1"/>
  <c r="AO15" i="1"/>
  <c r="E3" i="1"/>
  <c r="AO10" i="1"/>
  <c r="AO11" i="1"/>
  <c r="AO5" i="1"/>
  <c r="AO13" i="1"/>
  <c r="AO6" i="1"/>
  <c r="AO14" i="1"/>
  <c r="AO8" i="1"/>
  <c r="AO16" i="1"/>
  <c r="AO9" i="1"/>
  <c r="AO3" i="1" l="1"/>
  <c r="AO4" i="1"/>
  <c r="AO12" i="1"/>
</calcChain>
</file>

<file path=xl/sharedStrings.xml><?xml version="1.0" encoding="utf-8"?>
<sst xmlns="http://schemas.openxmlformats.org/spreadsheetml/2006/main" count="78" uniqueCount="42">
  <si>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</si>
  <si>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</si>
  <si>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</si>
  <si>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</si>
  <si>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</si>
  <si>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</si>
  <si>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</si>
  <si>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</si>
  <si>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</si>
  <si>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</si>
  <si>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</si>
  <si>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</si>
  <si>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</si>
  <si>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</si>
  <si>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</si>
  <si>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</si>
  <si>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</si>
  <si>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</si>
  <si>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</si>
  <si>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Bahamas, The</t>
  </si>
  <si>
    <t>El Salvador</t>
  </si>
  <si>
    <t>Guatemala</t>
  </si>
  <si>
    <t>Honduras</t>
  </si>
  <si>
    <t>Panama</t>
  </si>
  <si>
    <t>Trinidad and Tobago</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</si>
  <si>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</si>
  <si>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</si>
  <si>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</si>
  <si>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</si>
  <si>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</si>
  <si>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</si>
  <si>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</si>
  <si>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</si>
  <si>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</si>
  <si>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</si>
  <si>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</si>
  <si>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</si>
  <si>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Nicaragua</t>
  </si>
  <si>
    <t>Saudi Arabia</t>
  </si>
  <si>
    <t>Colombia</t>
  </si>
  <si>
    <t>Japan</t>
  </si>
  <si>
    <t>Turks and Caicos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</si>
</sst>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28</v>
      </c>
      <c r="B2" s="2" t="s">
        <v>35</v>
      </c>
      <c r="C2" s="2" t="s">
        <v>13</v>
      </c>
      <c r="D2" s="2" t="s">
        <v>29</v>
      </c>
      <c r="E2" s="4" t="s">
        <v>14</v>
      </c>
      <c r="F2" s="2" t="s">
        <v>29</v>
      </c>
      <c r="G2" s="5" t="s">
        <v>15</v>
      </c>
      <c r="H2" s="2" t="s">
        <v>14</v>
      </c>
      <c r="I2" s="2" t="s">
        <v>29</v>
      </c>
      <c r="J2" s="5" t="s">
        <v>15</v>
      </c>
      <c r="K2" s="2" t="s">
        <v>14</v>
      </c>
      <c r="L2" s="2" t="s">
        <v>29</v>
      </c>
      <c r="M2" s="5" t="s">
        <v>15</v>
      </c>
      <c r="N2" s="2" t="s">
        <v>14</v>
      </c>
      <c r="O2" s="2" t="s">
        <v>29</v>
      </c>
      <c r="P2" s="5" t="s">
        <v>15</v>
      </c>
      <c r="Q2" s="2" t="s">
        <v>14</v>
      </c>
      <c r="R2" s="2" t="s">
        <v>29</v>
      </c>
      <c r="S2" s="5" t="s">
        <v>15</v>
      </c>
      <c r="T2" s="2" t="s">
        <v>14</v>
      </c>
      <c r="U2" s="2" t="s">
        <v>29</v>
      </c>
      <c r="V2" s="5" t="s">
        <v>15</v>
      </c>
      <c r="W2" s="2" t="s">
        <v>14</v>
      </c>
      <c r="X2" s="2" t="s">
        <v>29</v>
      </c>
      <c r="Y2" s="5" t="s">
        <v>15</v>
      </c>
      <c r="Z2" s="2" t="s">
        <v>14</v>
      </c>
      <c r="AA2" s="2" t="s">
        <v>29</v>
      </c>
      <c r="AB2" s="5" t="s">
        <v>15</v>
      </c>
      <c r="AC2" s="2" t="s">
        <v>14</v>
      </c>
      <c r="AD2" s="2" t="s">
        <v>29</v>
      </c>
      <c r="AE2" s="5" t="s">
        <v>15</v>
      </c>
      <c r="AF2" s="2" t="s">
        <v>14</v>
      </c>
      <c r="AG2" s="2" t="s">
        <v>29</v>
      </c>
      <c r="AH2" s="5" t="s">
        <v>15</v>
      </c>
      <c r="AI2" s="2" t="s">
        <v>14</v>
      </c>
      <c r="AJ2" s="2" t="s">
        <v>29</v>
      </c>
      <c r="AK2" s="5" t="s">
        <v>15</v>
      </c>
      <c r="AL2" s="2" t="s">
        <v>14</v>
      </c>
      <c r="AM2" s="2" t="s">
        <v>29</v>
      </c>
      <c r="AN2" s="5" t="s">
        <v>15</v>
      </c>
      <c r="AO2" s="2" t="s">
        <v>14</v>
      </c>
      <c r="AP2" s="2" t="s">
        <v>31</v>
      </c>
      <c r="AQ2" s="5" t="s">
        <v>15</v>
      </c>
    </row>
    <row r="3" spans="1:67" ht="15" customHeight="1" x14ac:dyDescent="0.3">
      <c r="A3" s="9" t="s">
        <v>16</v>
      </c>
      <c r="B3" s="13" t="s">
        <v>36</v>
      </c>
      <c r="C3" s="13" t="s">
        <v>17</v>
      </c>
      <c r="D3" s="13" t="s">
        <v>30</v>
      </c>
      <c r="E3" s="7">
        <f>F3/G3</f>
        <v>1196.0890609874152</v>
      </c>
      <c r="F3" s="7">
        <f>SUM(F4:F16)</f>
        <v>123556</v>
      </c>
      <c r="G3" s="8">
        <f>SUM(G4:G16)</f>
        <v>103.3</v>
      </c>
      <c r="H3" s="7">
        <f>I3/J3</f>
        <v>885.64463705308776</v>
      </c>
      <c r="I3" s="7">
        <f>SUM(I4:I16)</f>
        <v>163490</v>
      </c>
      <c r="J3" s="8">
        <f>SUM(J4:J16)</f>
        <v>184.6</v>
      </c>
      <c r="K3" s="7">
        <f>L3/M3</f>
        <v>776.76384839650143</v>
      </c>
      <c r="L3" s="7">
        <f>SUM(L4:L16)</f>
        <v>186501</v>
      </c>
      <c r="M3" s="8">
        <f>SUM(M4:M16)</f>
        <v>240.1</v>
      </c>
      <c r="N3" s="7">
        <f>O3/P3</f>
        <v>743.29503210544112</v>
      </c>
      <c r="O3" s="7">
        <f>SUM(O4:O16)</f>
        <v>439882</v>
      </c>
      <c r="P3" s="8">
        <f>SUM(P4:P16)</f>
        <v>591.79999999999995</v>
      </c>
      <c r="Q3" s="7">
        <f>R3/S3</f>
        <v>736.66463785757753</v>
      </c>
      <c r="R3" s="7">
        <f>SUM(R4:R16)</f>
        <v>121034</v>
      </c>
      <c r="S3" s="8">
        <f>SUM(S4:S16)</f>
        <v>164.3</v>
      </c>
      <c r="T3" s="7">
        <f>U3/V3</f>
        <v>742.81331130516878</v>
      </c>
      <c r="U3" s="7">
        <f>SUM(U4:U16)</f>
        <v>314730</v>
      </c>
      <c r="V3" s="8">
        <f>SUM(V4:V16)</f>
        <v>423.7</v>
      </c>
      <c r="W3" s="7" t="e">
        <f>X3/Y3</f>
        <v>#DIV/0!</v>
      </c>
      <c r="X3" s="7">
        <f>SUM(X4:X16)</f>
        <v>0</v>
      </c>
      <c r="Y3" s="8">
        <f>SUM(Y4:Y16)</f>
        <v>0</v>
      </c>
      <c r="Z3" s="7" t="e">
        <f>AA3/AB3</f>
        <v>#DIV/0!</v>
      </c>
      <c r="AA3" s="7">
        <f>SUM(AA4:AA16)</f>
        <v>0</v>
      </c>
      <c r="AB3" s="8">
        <f>SUM(AB4:AB16)</f>
        <v>0</v>
      </c>
      <c r="AC3" s="7" t="e">
        <f>AD3/AE3</f>
        <v>#DIV/0!</v>
      </c>
      <c r="AD3" s="7">
        <f>SUM(AD4:AD16)</f>
        <v>0</v>
      </c>
      <c r="AE3" s="8">
        <f>SUM(AE4:AE16)</f>
        <v>0</v>
      </c>
      <c r="AF3" s="7" t="e">
        <f>AG3/AH3</f>
        <v>#DIV/0!</v>
      </c>
      <c r="AG3" s="7">
        <f>SUM(AG4:AG16)</f>
        <v>0</v>
      </c>
      <c r="AH3" s="8">
        <f>SUM(AH4:AH16)</f>
        <v>0</v>
      </c>
      <c r="AI3" s="7" t="e">
        <f>AJ3/AK3</f>
        <v>#DIV/0!</v>
      </c>
      <c r="AJ3" s="7">
        <f>SUM(AJ4:AJ16)</f>
        <v>0</v>
      </c>
      <c r="AK3" s="8">
        <f>SUM(AK4:AK16)</f>
        <v>0</v>
      </c>
      <c r="AL3" s="7" t="e">
        <f>AM3/AN3</f>
        <v>#DIV/0!</v>
      </c>
      <c r="AM3" s="7">
        <f>SUM(AM4:AM16)</f>
        <v>0</v>
      </c>
      <c r="AN3" s="8">
        <f>SUM(AN4:AN16)</f>
        <v>0</v>
      </c>
      <c r="AO3" s="7">
        <f>AP3/AQ3</f>
        <v>790.01815200843203</v>
      </c>
      <c r="AP3" s="7">
        <f>SUM(AP4:AP16)</f>
        <v>1349193</v>
      </c>
      <c r="AQ3" s="8">
        <f>SUM(AQ4:AQ16)</f>
        <v>1707.7999999999997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38</v>
      </c>
      <c r="B4" s="14"/>
      <c r="C4" s="14"/>
      <c r="D4" s="14"/>
      <c r="E4" s="3" t="e">
        <f t="shared" ref="E4:E11" si="0">F4/G4</f>
        <v>#DIV/0!</v>
      </c>
      <c r="F4" s="3">
        <v>0</v>
      </c>
      <c r="G4" s="6">
        <v>0</v>
      </c>
      <c r="H4" s="3" t="e">
        <f t="shared" ref="H4:H11" si="1">I4/J4</f>
        <v>#DIV/0!</v>
      </c>
      <c r="I4" s="3">
        <v>0</v>
      </c>
      <c r="J4" s="6">
        <v>0</v>
      </c>
      <c r="K4" s="3" t="e">
        <f t="shared" ref="K4:K11" si="2">L4/M4</f>
        <v>#DIV/0!</v>
      </c>
      <c r="L4" s="3">
        <v>0</v>
      </c>
      <c r="M4" s="6">
        <v>0</v>
      </c>
      <c r="N4" s="3">
        <f t="shared" ref="N4:N11" si="3">O4/P4</f>
        <v>718.04455445544556</v>
      </c>
      <c r="O4" s="3">
        <v>58018</v>
      </c>
      <c r="P4" s="6">
        <v>80.8</v>
      </c>
      <c r="Q4" s="3" t="e">
        <f t="shared" ref="Q4:Q11" si="4">R4/S4</f>
        <v>#DIV/0!</v>
      </c>
      <c r="R4" s="3">
        <v>0</v>
      </c>
      <c r="S4" s="6">
        <v>0</v>
      </c>
      <c r="T4" s="3">
        <f t="shared" ref="T4:T11" si="5">U4/V4</f>
        <v>718.20448877805484</v>
      </c>
      <c r="U4" s="3">
        <v>172800</v>
      </c>
      <c r="V4" s="6">
        <v>240.6</v>
      </c>
      <c r="W4" s="3" t="e">
        <f t="shared" ref="W4:W11" si="6">X4/Y4</f>
        <v>#DIV/0!</v>
      </c>
      <c r="X4" s="3"/>
      <c r="Y4" s="6"/>
      <c r="Z4" s="3" t="e">
        <f t="shared" ref="Z4:Z11" si="7">AA4/AB4</f>
        <v>#DIV/0!</v>
      </c>
      <c r="AA4" s="3"/>
      <c r="AB4" s="6"/>
      <c r="AC4" s="3" t="e">
        <f t="shared" ref="AC4:AC11" si="8">AD4/AE4</f>
        <v>#DIV/0!</v>
      </c>
      <c r="AD4" s="3"/>
      <c r="AE4" s="6"/>
      <c r="AF4" s="3" t="e">
        <f t="shared" ref="AF4:AF11" si="9">AG4/AH4</f>
        <v>#DIV/0!</v>
      </c>
      <c r="AG4" s="3"/>
      <c r="AH4" s="6"/>
      <c r="AI4" s="3" t="e">
        <f t="shared" ref="AI4:AI11" si="10">AJ4/AK4</f>
        <v>#DIV/0!</v>
      </c>
      <c r="AJ4" s="3"/>
      <c r="AK4" s="6"/>
      <c r="AL4" s="3" t="e">
        <f t="shared" ref="AL4:AL11" si="11">AM4/AN4</f>
        <v>#DIV/0!</v>
      </c>
      <c r="AM4" s="3"/>
      <c r="AN4" s="6"/>
      <c r="AO4" s="3">
        <f t="shared" ref="AO4:AO16" si="12">AP4/AQ4</f>
        <v>718.16428126944618</v>
      </c>
      <c r="AP4" s="3">
        <f t="shared" ref="AP4:AQ4" si="13">SUM(F4,I4,L4,O4,R4,U4,X4,AA4,AD4,AG4,AJ4,AM4)</f>
        <v>230818</v>
      </c>
      <c r="AQ4" s="6">
        <f t="shared" si="13"/>
        <v>321.39999999999998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19</v>
      </c>
      <c r="B5" s="14"/>
      <c r="C5" s="14"/>
      <c r="D5" s="14"/>
      <c r="E5" s="3" t="e">
        <f t="shared" si="0"/>
        <v>#DIV/0!</v>
      </c>
      <c r="F5" s="3">
        <v>0</v>
      </c>
      <c r="G5" s="6">
        <v>0</v>
      </c>
      <c r="H5" s="3">
        <f t="shared" si="1"/>
        <v>766.6034155597722</v>
      </c>
      <c r="I5" s="3">
        <v>40400</v>
      </c>
      <c r="J5" s="6">
        <v>52.7</v>
      </c>
      <c r="K5" s="3">
        <f t="shared" si="2"/>
        <v>718.42843779232919</v>
      </c>
      <c r="L5" s="3">
        <v>76800</v>
      </c>
      <c r="M5" s="6">
        <v>106.9</v>
      </c>
      <c r="N5" s="3">
        <f t="shared" si="3"/>
        <v>729.18304936653556</v>
      </c>
      <c r="O5" s="3">
        <v>166910</v>
      </c>
      <c r="P5" s="6">
        <v>228.9</v>
      </c>
      <c r="Q5" s="3">
        <f t="shared" si="4"/>
        <v>771.0204081632653</v>
      </c>
      <c r="R5" s="3">
        <v>45336</v>
      </c>
      <c r="S5" s="6">
        <v>58.8</v>
      </c>
      <c r="T5" s="3">
        <f t="shared" si="5"/>
        <v>718.38111298482295</v>
      </c>
      <c r="U5" s="3">
        <v>85200</v>
      </c>
      <c r="V5" s="6">
        <v>118.6</v>
      </c>
      <c r="W5" s="3" t="e">
        <f t="shared" si="6"/>
        <v>#DIV/0!</v>
      </c>
      <c r="X5" s="3"/>
      <c r="Y5" s="6"/>
      <c r="Z5" s="3" t="e">
        <f t="shared" si="7"/>
        <v>#DIV/0!</v>
      </c>
      <c r="AA5" s="3"/>
      <c r="AB5" s="6"/>
      <c r="AC5" s="3" t="e">
        <f t="shared" si="8"/>
        <v>#DIV/0!</v>
      </c>
      <c r="AD5" s="3"/>
      <c r="AE5" s="6"/>
      <c r="AF5" s="3" t="e">
        <f t="shared" si="9"/>
        <v>#DIV/0!</v>
      </c>
      <c r="AG5" s="3"/>
      <c r="AH5" s="6"/>
      <c r="AI5" s="3" t="e">
        <f t="shared" si="10"/>
        <v>#DIV/0!</v>
      </c>
      <c r="AJ5" s="3"/>
      <c r="AK5" s="6"/>
      <c r="AL5" s="3" t="e">
        <f t="shared" si="11"/>
        <v>#DIV/0!</v>
      </c>
      <c r="AM5" s="3"/>
      <c r="AN5" s="6"/>
      <c r="AO5" s="3">
        <f t="shared" si="12"/>
        <v>732.71956176002834</v>
      </c>
      <c r="AP5" s="3">
        <f t="shared" ref="AP5:AP16" si="14">SUM(F5,I5,L5,O5,R5,U5,X5,AA5,AD5,AG5,AJ5,AM5)</f>
        <v>414646</v>
      </c>
      <c r="AQ5" s="6">
        <f t="shared" ref="AQ5:AQ16" si="15">SUM(G5,J5,M5,P5,S5,V5,Y5,AB5,AE5,AH5,AK5,AN5)</f>
        <v>565.9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37</v>
      </c>
      <c r="B6" s="14"/>
      <c r="C6" s="14"/>
      <c r="D6" s="14"/>
      <c r="E6" s="3" t="e">
        <f t="shared" si="0"/>
        <v>#DIV/0!</v>
      </c>
      <c r="F6" s="3">
        <v>0</v>
      </c>
      <c r="G6" s="6">
        <v>0</v>
      </c>
      <c r="H6" s="3" t="e">
        <f t="shared" si="1"/>
        <v>#DIV/0!</v>
      </c>
      <c r="I6" s="3">
        <v>0</v>
      </c>
      <c r="J6" s="6">
        <v>0</v>
      </c>
      <c r="K6" s="3" t="e">
        <f t="shared" si="2"/>
        <v>#DIV/0!</v>
      </c>
      <c r="L6" s="3">
        <v>0</v>
      </c>
      <c r="M6" s="6">
        <v>0</v>
      </c>
      <c r="N6" s="3">
        <f t="shared" si="3"/>
        <v>717.89678675754624</v>
      </c>
      <c r="O6" s="3">
        <v>73728</v>
      </c>
      <c r="P6" s="6">
        <v>102.7</v>
      </c>
      <c r="Q6" s="3">
        <f t="shared" si="4"/>
        <v>717.51412429378524</v>
      </c>
      <c r="R6" s="3">
        <v>38100</v>
      </c>
      <c r="S6" s="6">
        <v>53.1</v>
      </c>
      <c r="T6" s="3">
        <f t="shared" si="5"/>
        <v>717.93103448275861</v>
      </c>
      <c r="U6" s="3">
        <v>41640</v>
      </c>
      <c r="V6" s="6">
        <v>58</v>
      </c>
      <c r="W6" s="3" t="e">
        <f t="shared" si="6"/>
        <v>#DIV/0!</v>
      </c>
      <c r="X6" s="3"/>
      <c r="Y6" s="6"/>
      <c r="Z6" s="3" t="e">
        <f t="shared" si="7"/>
        <v>#DIV/0!</v>
      </c>
      <c r="AA6" s="3"/>
      <c r="AB6" s="6"/>
      <c r="AC6" s="3" t="e">
        <f t="shared" si="8"/>
        <v>#DIV/0!</v>
      </c>
      <c r="AD6" s="3"/>
      <c r="AE6" s="6"/>
      <c r="AF6" s="3" t="e">
        <f t="shared" si="9"/>
        <v>#DIV/0!</v>
      </c>
      <c r="AG6" s="3"/>
      <c r="AH6" s="6"/>
      <c r="AI6" s="3" t="e">
        <f t="shared" si="10"/>
        <v>#DIV/0!</v>
      </c>
      <c r="AJ6" s="3"/>
      <c r="AK6" s="6"/>
      <c r="AL6" s="3" t="e">
        <f t="shared" si="11"/>
        <v>#DIV/0!</v>
      </c>
      <c r="AM6" s="3"/>
      <c r="AN6" s="6"/>
      <c r="AO6" s="3">
        <f t="shared" si="12"/>
        <v>717.81103835360148</v>
      </c>
      <c r="AP6" s="3">
        <f t="shared" si="14"/>
        <v>153468</v>
      </c>
      <c r="AQ6" s="6">
        <f t="shared" si="15"/>
        <v>213.8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18</v>
      </c>
      <c r="B7" s="14"/>
      <c r="C7" s="14"/>
      <c r="D7" s="14"/>
      <c r="E7" s="3">
        <f t="shared" si="0"/>
        <v>2436.9230769230767</v>
      </c>
      <c r="F7" s="3">
        <v>3168</v>
      </c>
      <c r="G7" s="6">
        <v>1.3</v>
      </c>
      <c r="H7" s="3">
        <f t="shared" si="1"/>
        <v>2045.7894736842104</v>
      </c>
      <c r="I7" s="3">
        <v>11661</v>
      </c>
      <c r="J7" s="6">
        <v>5.7</v>
      </c>
      <c r="K7" s="3">
        <f t="shared" si="2"/>
        <v>718.21582733812954</v>
      </c>
      <c r="L7" s="3">
        <v>49916</v>
      </c>
      <c r="M7" s="6">
        <v>69.5</v>
      </c>
      <c r="N7" s="3">
        <f t="shared" si="3"/>
        <v>1894.7368421052633</v>
      </c>
      <c r="O7" s="3">
        <v>7200</v>
      </c>
      <c r="P7" s="6">
        <v>3.8</v>
      </c>
      <c r="Q7" s="3">
        <f t="shared" si="4"/>
        <v>717.51908396946567</v>
      </c>
      <c r="R7" s="3">
        <v>37598</v>
      </c>
      <c r="S7" s="6">
        <v>52.4</v>
      </c>
      <c r="T7" s="3">
        <f t="shared" si="5"/>
        <v>2385.5263157894738</v>
      </c>
      <c r="U7" s="3">
        <v>9065</v>
      </c>
      <c r="V7" s="6">
        <v>3.8</v>
      </c>
      <c r="W7" s="3" t="e">
        <f t="shared" si="6"/>
        <v>#DIV/0!</v>
      </c>
      <c r="X7" s="3"/>
      <c r="Y7" s="6"/>
      <c r="Z7" s="3" t="e">
        <f t="shared" si="7"/>
        <v>#DIV/0!</v>
      </c>
      <c r="AA7" s="3"/>
      <c r="AB7" s="6"/>
      <c r="AC7" s="3" t="e">
        <f t="shared" si="8"/>
        <v>#DIV/0!</v>
      </c>
      <c r="AD7" s="3"/>
      <c r="AE7" s="6"/>
      <c r="AF7" s="3" t="e">
        <f t="shared" si="9"/>
        <v>#DIV/0!</v>
      </c>
      <c r="AG7" s="3"/>
      <c r="AH7" s="6"/>
      <c r="AI7" s="3" t="e">
        <f t="shared" si="10"/>
        <v>#DIV/0!</v>
      </c>
      <c r="AJ7" s="3"/>
      <c r="AK7" s="6"/>
      <c r="AL7" s="3" t="e">
        <f t="shared" si="11"/>
        <v>#DIV/0!</v>
      </c>
      <c r="AM7" s="3"/>
      <c r="AN7" s="6"/>
      <c r="AO7" s="3">
        <f t="shared" si="12"/>
        <v>868.92307692307691</v>
      </c>
      <c r="AP7" s="3">
        <f t="shared" si="14"/>
        <v>118608</v>
      </c>
      <c r="AQ7" s="6">
        <f t="shared" si="15"/>
        <v>136.5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32</v>
      </c>
      <c r="B8" s="14"/>
      <c r="C8" s="14"/>
      <c r="D8" s="14"/>
      <c r="E8" s="3">
        <f t="shared" si="0"/>
        <v>2436.2105263157896</v>
      </c>
      <c r="F8" s="3">
        <v>23144</v>
      </c>
      <c r="G8" s="6">
        <v>9.5</v>
      </c>
      <c r="H8" s="3" t="e">
        <f t="shared" si="1"/>
        <v>#DIV/0!</v>
      </c>
      <c r="I8" s="3">
        <v>0</v>
      </c>
      <c r="J8" s="6">
        <v>0</v>
      </c>
      <c r="K8" s="3">
        <f t="shared" si="2"/>
        <v>2388.9473684210529</v>
      </c>
      <c r="L8" s="3">
        <v>4539</v>
      </c>
      <c r="M8" s="6">
        <v>1.9</v>
      </c>
      <c r="N8" s="3" t="e">
        <f t="shared" si="3"/>
        <v>#DIV/0!</v>
      </c>
      <c r="O8" s="3">
        <v>0</v>
      </c>
      <c r="P8" s="6">
        <v>0</v>
      </c>
      <c r="Q8" s="3" t="e">
        <f t="shared" si="4"/>
        <v>#DIV/0!</v>
      </c>
      <c r="R8" s="3">
        <v>0</v>
      </c>
      <c r="S8" s="6">
        <v>0</v>
      </c>
      <c r="T8" s="3">
        <f t="shared" si="5"/>
        <v>2231.4814814814813</v>
      </c>
      <c r="U8" s="3">
        <v>6025</v>
      </c>
      <c r="V8" s="6">
        <v>2.7</v>
      </c>
      <c r="W8" s="3" t="e">
        <f t="shared" si="6"/>
        <v>#DIV/0!</v>
      </c>
      <c r="X8" s="3"/>
      <c r="Y8" s="6"/>
      <c r="Z8" s="3" t="e">
        <f t="shared" si="7"/>
        <v>#DIV/0!</v>
      </c>
      <c r="AA8" s="3"/>
      <c r="AB8" s="6"/>
      <c r="AC8" s="3" t="e">
        <f t="shared" si="8"/>
        <v>#DIV/0!</v>
      </c>
      <c r="AD8" s="3"/>
      <c r="AE8" s="6"/>
      <c r="AF8" s="3" t="e">
        <f t="shared" si="9"/>
        <v>#DIV/0!</v>
      </c>
      <c r="AG8" s="3"/>
      <c r="AH8" s="6"/>
      <c r="AI8" s="3" t="e">
        <f t="shared" si="10"/>
        <v>#DIV/0!</v>
      </c>
      <c r="AJ8" s="3"/>
      <c r="AK8" s="6"/>
      <c r="AL8" s="3" t="e">
        <f t="shared" si="11"/>
        <v>#DIV/0!</v>
      </c>
      <c r="AM8" s="3"/>
      <c r="AN8" s="6"/>
      <c r="AO8" s="3">
        <f t="shared" si="12"/>
        <v>2390.63829787234</v>
      </c>
      <c r="AP8" s="3">
        <f t="shared" si="14"/>
        <v>33708</v>
      </c>
      <c r="AQ8" s="6">
        <f t="shared" si="15"/>
        <v>14.100000000000001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39</v>
      </c>
      <c r="B9" s="14"/>
      <c r="C9" s="14"/>
      <c r="D9" s="14"/>
      <c r="E9" s="3" t="e">
        <f t="shared" si="0"/>
        <v>#DIV/0!</v>
      </c>
      <c r="F9" s="3">
        <v>0</v>
      </c>
      <c r="G9" s="6">
        <v>0</v>
      </c>
      <c r="H9" s="3">
        <f t="shared" si="1"/>
        <v>718.49557522123894</v>
      </c>
      <c r="I9" s="3">
        <v>40595</v>
      </c>
      <c r="J9" s="6">
        <v>56.5</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c r="Y9" s="6"/>
      <c r="Z9" s="3" t="e">
        <f t="shared" si="7"/>
        <v>#DIV/0!</v>
      </c>
      <c r="AA9" s="3"/>
      <c r="AB9" s="6"/>
      <c r="AC9" s="3" t="e">
        <f t="shared" si="8"/>
        <v>#DIV/0!</v>
      </c>
      <c r="AD9" s="3"/>
      <c r="AE9" s="6"/>
      <c r="AF9" s="3" t="e">
        <f t="shared" si="9"/>
        <v>#DIV/0!</v>
      </c>
      <c r="AG9" s="3"/>
      <c r="AH9" s="6"/>
      <c r="AI9" s="3" t="e">
        <f t="shared" si="10"/>
        <v>#DIV/0!</v>
      </c>
      <c r="AJ9" s="3"/>
      <c r="AK9" s="6"/>
      <c r="AL9" s="3" t="e">
        <f t="shared" si="11"/>
        <v>#DIV/0!</v>
      </c>
      <c r="AM9" s="3"/>
      <c r="AN9" s="6"/>
      <c r="AO9" s="3">
        <f t="shared" si="12"/>
        <v>718.49557522123894</v>
      </c>
      <c r="AP9" s="3">
        <f t="shared" si="14"/>
        <v>40595</v>
      </c>
      <c r="AQ9" s="6">
        <f t="shared" si="15"/>
        <v>56.5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20</v>
      </c>
      <c r="B10" s="14"/>
      <c r="C10" s="14"/>
      <c r="D10" s="14"/>
      <c r="E10" s="3">
        <f t="shared" si="0"/>
        <v>4591.25</v>
      </c>
      <c r="F10" s="3">
        <v>3673</v>
      </c>
      <c r="G10" s="6">
        <v>0.8</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c r="Y10" s="6"/>
      <c r="Z10" s="3" t="e">
        <f t="shared" si="7"/>
        <v>#DIV/0!</v>
      </c>
      <c r="AA10" s="3"/>
      <c r="AB10" s="6"/>
      <c r="AC10" s="3" t="e">
        <f t="shared" si="8"/>
        <v>#DIV/0!</v>
      </c>
      <c r="AD10" s="3"/>
      <c r="AE10" s="6"/>
      <c r="AF10" s="3" t="e">
        <f t="shared" si="9"/>
        <v>#DIV/0!</v>
      </c>
      <c r="AG10" s="3"/>
      <c r="AH10" s="6"/>
      <c r="AI10" s="3" t="e">
        <f t="shared" si="10"/>
        <v>#DIV/0!</v>
      </c>
      <c r="AJ10" s="3"/>
      <c r="AK10" s="6"/>
      <c r="AL10" s="3" t="e">
        <f t="shared" si="11"/>
        <v>#DIV/0!</v>
      </c>
      <c r="AM10" s="3"/>
      <c r="AN10" s="6"/>
      <c r="AO10" s="3">
        <f t="shared" si="12"/>
        <v>4591.25</v>
      </c>
      <c r="AP10" s="3">
        <f t="shared" si="14"/>
        <v>3673</v>
      </c>
      <c r="AQ10" s="6">
        <f t="shared" si="15"/>
        <v>0.8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21</v>
      </c>
      <c r="B11" s="14"/>
      <c r="C11" s="14"/>
      <c r="D11" s="14"/>
      <c r="E11" s="3">
        <f t="shared" si="0"/>
        <v>2438.6842105263158</v>
      </c>
      <c r="F11" s="3">
        <v>9267</v>
      </c>
      <c r="G11" s="6">
        <v>3.8</v>
      </c>
      <c r="H11" s="3">
        <f t="shared" si="1"/>
        <v>850.28925619834718</v>
      </c>
      <c r="I11" s="3">
        <v>20577</v>
      </c>
      <c r="J11" s="6">
        <v>24.2</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c r="Y11" s="6"/>
      <c r="Z11" s="3" t="e">
        <f t="shared" si="7"/>
        <v>#DIV/0!</v>
      </c>
      <c r="AA11" s="3"/>
      <c r="AB11" s="6"/>
      <c r="AC11" s="3" t="e">
        <f t="shared" si="8"/>
        <v>#DIV/0!</v>
      </c>
      <c r="AD11" s="3"/>
      <c r="AE11" s="6"/>
      <c r="AF11" s="3" t="e">
        <f t="shared" si="9"/>
        <v>#DIV/0!</v>
      </c>
      <c r="AG11" s="3"/>
      <c r="AH11" s="6"/>
      <c r="AI11" s="3" t="e">
        <f t="shared" si="10"/>
        <v>#DIV/0!</v>
      </c>
      <c r="AJ11" s="3"/>
      <c r="AK11" s="6"/>
      <c r="AL11" s="3" t="e">
        <f t="shared" si="11"/>
        <v>#DIV/0!</v>
      </c>
      <c r="AM11" s="3"/>
      <c r="AN11" s="6"/>
      <c r="AO11" s="3">
        <f t="shared" si="12"/>
        <v>1065.8571428571429</v>
      </c>
      <c r="AP11" s="3">
        <f t="shared" si="14"/>
        <v>29844</v>
      </c>
      <c r="AQ11" s="6">
        <f t="shared" si="15"/>
        <v>28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22</v>
      </c>
      <c r="B12" s="14"/>
      <c r="C12" s="14"/>
      <c r="D12" s="14"/>
      <c r="E12" s="3">
        <f>F12/G12</f>
        <v>2434.2105263157896</v>
      </c>
      <c r="F12" s="3">
        <v>9250</v>
      </c>
      <c r="G12" s="6">
        <v>3.8</v>
      </c>
      <c r="H12" s="3" t="e">
        <f>I12/J12</f>
        <v>#DIV/0!</v>
      </c>
      <c r="I12" s="3">
        <v>0</v>
      </c>
      <c r="J12" s="6">
        <v>0</v>
      </c>
      <c r="K12" s="3">
        <f>L12/M12</f>
        <v>2021.063829787234</v>
      </c>
      <c r="L12" s="3">
        <v>9499</v>
      </c>
      <c r="M12" s="6">
        <v>4.7</v>
      </c>
      <c r="N12" s="3" t="e">
        <f>O12/P12</f>
        <v>#DIV/0!</v>
      </c>
      <c r="O12" s="3">
        <v>0</v>
      </c>
      <c r="P12" s="6">
        <v>0</v>
      </c>
      <c r="Q12" s="3" t="e">
        <f>R12/S12</f>
        <v>#DIV/0!</v>
      </c>
      <c r="R12" s="3">
        <v>0</v>
      </c>
      <c r="S12" s="6">
        <v>0</v>
      </c>
      <c r="T12" s="3" t="e">
        <f>U12/V12</f>
        <v>#DIV/0!</v>
      </c>
      <c r="U12" s="3">
        <v>0</v>
      </c>
      <c r="V12" s="6">
        <v>0</v>
      </c>
      <c r="W12" s="3" t="e">
        <f>X12/Y12</f>
        <v>#DIV/0!</v>
      </c>
      <c r="X12" s="3"/>
      <c r="Y12" s="6"/>
      <c r="Z12" s="3" t="e">
        <f>AA12/AB12</f>
        <v>#DIV/0!</v>
      </c>
      <c r="AA12" s="3"/>
      <c r="AB12" s="6"/>
      <c r="AC12" s="3" t="e">
        <f>AD12/AE12</f>
        <v>#DIV/0!</v>
      </c>
      <c r="AD12" s="3"/>
      <c r="AE12" s="6"/>
      <c r="AF12" s="3" t="e">
        <f>AG12/AH12</f>
        <v>#DIV/0!</v>
      </c>
      <c r="AG12" s="3"/>
      <c r="AH12" s="6"/>
      <c r="AI12" s="3" t="e">
        <f>AJ12/AK12</f>
        <v>#DIV/0!</v>
      </c>
      <c r="AJ12" s="3"/>
      <c r="AK12" s="6"/>
      <c r="AL12" s="3" t="e">
        <f>AM12/AN12</f>
        <v>#DIV/0!</v>
      </c>
      <c r="AM12" s="3"/>
      <c r="AN12" s="6"/>
      <c r="AO12" s="3">
        <f t="shared" si="12"/>
        <v>2205.7647058823532</v>
      </c>
      <c r="AP12" s="3">
        <f t="shared" si="14"/>
        <v>18749</v>
      </c>
      <c r="AQ12" s="6">
        <f t="shared" si="15"/>
        <v>8.5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40</v>
      </c>
      <c r="B13" s="14"/>
      <c r="C13" s="14"/>
      <c r="D13" s="14"/>
      <c r="E13" s="3">
        <f t="shared" ref="E13:E16" si="16">F13/G13</f>
        <v>718.30985915492954</v>
      </c>
      <c r="F13" s="3">
        <v>51000</v>
      </c>
      <c r="G13" s="6">
        <v>71</v>
      </c>
      <c r="H13" s="3" t="e">
        <f t="shared" ref="H13:H16" si="17">I13/J13</f>
        <v>#DIV/0!</v>
      </c>
      <c r="I13" s="3">
        <v>0</v>
      </c>
      <c r="J13" s="6">
        <v>0</v>
      </c>
      <c r="K13" s="3" t="e">
        <f t="shared" ref="K13:K16" si="18">L13/M13</f>
        <v>#DIV/0!</v>
      </c>
      <c r="L13" s="3">
        <v>0</v>
      </c>
      <c r="M13" s="6">
        <v>0</v>
      </c>
      <c r="N13" s="3" t="e">
        <f t="shared" ref="N13:N16" si="19">O13/P13</f>
        <v>#DIV/0!</v>
      </c>
      <c r="O13" s="3">
        <v>0</v>
      </c>
      <c r="P13" s="6">
        <v>0</v>
      </c>
      <c r="Q13" s="3" t="e">
        <f t="shared" ref="Q13:Q16" si="20">R13/S13</f>
        <v>#DIV/0!</v>
      </c>
      <c r="R13" s="3">
        <v>0</v>
      </c>
      <c r="S13" s="6">
        <v>0</v>
      </c>
      <c r="T13" s="3" t="e">
        <f t="shared" ref="T13:T16" si="21">U13/V13</f>
        <v>#DIV/0!</v>
      </c>
      <c r="U13" s="3">
        <v>0</v>
      </c>
      <c r="V13" s="6">
        <v>0</v>
      </c>
      <c r="W13" s="3" t="e">
        <f t="shared" ref="W13:W16" si="22">X13/Y13</f>
        <v>#DIV/0!</v>
      </c>
      <c r="X13" s="3"/>
      <c r="Y13" s="6"/>
      <c r="Z13" s="3" t="e">
        <f t="shared" ref="Z13:Z16" si="23">AA13/AB13</f>
        <v>#DIV/0!</v>
      </c>
      <c r="AA13" s="3"/>
      <c r="AB13" s="6"/>
      <c r="AC13" s="3" t="e">
        <f t="shared" ref="AC13:AC16" si="24">AD13/AE13</f>
        <v>#DIV/0!</v>
      </c>
      <c r="AD13" s="3"/>
      <c r="AE13" s="6"/>
      <c r="AF13" s="3" t="e">
        <f t="shared" ref="AF13:AF16" si="25">AG13/AH13</f>
        <v>#DIV/0!</v>
      </c>
      <c r="AG13" s="3"/>
      <c r="AH13" s="6"/>
      <c r="AI13" s="3" t="e">
        <f t="shared" ref="AI13:AI16" si="26">AJ13/AK13</f>
        <v>#DIV/0!</v>
      </c>
      <c r="AJ13" s="3"/>
      <c r="AK13" s="6"/>
      <c r="AL13" s="3" t="e">
        <f t="shared" ref="AL13:AL16" si="27">AM13/AN13</f>
        <v>#DIV/0!</v>
      </c>
      <c r="AM13" s="3"/>
      <c r="AN13" s="6"/>
      <c r="AO13" s="3">
        <f t="shared" si="12"/>
        <v>718.30985915492954</v>
      </c>
      <c r="AP13" s="3">
        <f t="shared" si="14"/>
        <v>51000</v>
      </c>
      <c r="AQ13" s="6">
        <f t="shared" si="15"/>
        <v>71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23</v>
      </c>
      <c r="B14" s="14"/>
      <c r="C14" s="14"/>
      <c r="D14" s="14"/>
      <c r="E14" s="3">
        <f t="shared" si="16"/>
        <v>2420.2325581395348</v>
      </c>
      <c r="F14" s="3">
        <v>20814</v>
      </c>
      <c r="G14" s="6">
        <v>8.6</v>
      </c>
      <c r="H14" s="3">
        <f t="shared" si="17"/>
        <v>1214.1150442477876</v>
      </c>
      <c r="I14" s="3">
        <v>27439</v>
      </c>
      <c r="J14" s="6">
        <v>22.6</v>
      </c>
      <c r="K14" s="3">
        <f t="shared" si="18"/>
        <v>801.1733800350263</v>
      </c>
      <c r="L14" s="3">
        <v>45747</v>
      </c>
      <c r="M14" s="6">
        <v>57.1</v>
      </c>
      <c r="N14" s="3">
        <f t="shared" si="19"/>
        <v>745.42314335060451</v>
      </c>
      <c r="O14" s="3">
        <v>129480</v>
      </c>
      <c r="P14" s="6">
        <v>173.7</v>
      </c>
      <c r="Q14" s="3" t="e">
        <f t="shared" si="20"/>
        <v>#DIV/0!</v>
      </c>
      <c r="R14" s="3">
        <v>0</v>
      </c>
      <c r="S14" s="6">
        <v>0</v>
      </c>
      <c r="T14" s="3" t="e">
        <f t="shared" si="21"/>
        <v>#DIV/0!</v>
      </c>
      <c r="U14" s="3">
        <v>0</v>
      </c>
      <c r="V14" s="6">
        <v>0</v>
      </c>
      <c r="W14" s="3" t="e">
        <f t="shared" si="22"/>
        <v>#DIV/0!</v>
      </c>
      <c r="X14" s="3"/>
      <c r="Y14" s="6"/>
      <c r="Z14" s="3" t="e">
        <f t="shared" si="23"/>
        <v>#DIV/0!</v>
      </c>
      <c r="AA14" s="3"/>
      <c r="AB14" s="6"/>
      <c r="AC14" s="3" t="e">
        <f t="shared" si="24"/>
        <v>#DIV/0!</v>
      </c>
      <c r="AD14" s="3"/>
      <c r="AE14" s="6"/>
      <c r="AF14" s="3" t="e">
        <f t="shared" si="25"/>
        <v>#DIV/0!</v>
      </c>
      <c r="AG14" s="3"/>
      <c r="AH14" s="6"/>
      <c r="AI14" s="3" t="e">
        <f t="shared" si="26"/>
        <v>#DIV/0!</v>
      </c>
      <c r="AJ14" s="3"/>
      <c r="AK14" s="6"/>
      <c r="AL14" s="3" t="e">
        <f t="shared" si="27"/>
        <v>#DIV/0!</v>
      </c>
      <c r="AM14" s="3"/>
      <c r="AN14" s="6"/>
      <c r="AO14" s="3">
        <f t="shared" si="12"/>
        <v>852.97709923664127</v>
      </c>
      <c r="AP14" s="3">
        <f t="shared" si="14"/>
        <v>223480</v>
      </c>
      <c r="AQ14" s="6">
        <f t="shared" si="15"/>
        <v>262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24</v>
      </c>
      <c r="B15" s="14"/>
      <c r="C15" s="14"/>
      <c r="D15" s="14"/>
      <c r="E15" s="3" t="e">
        <f t="shared" si="16"/>
        <v>#DIV/0!</v>
      </c>
      <c r="F15" s="3">
        <v>0</v>
      </c>
      <c r="G15" s="6">
        <v>0</v>
      </c>
      <c r="H15" s="3">
        <f t="shared" si="17"/>
        <v>996.41921397379917</v>
      </c>
      <c r="I15" s="3">
        <v>22818</v>
      </c>
      <c r="J15" s="6">
        <v>22.9</v>
      </c>
      <c r="K15" s="3" t="e">
        <f t="shared" si="18"/>
        <v>#DIV/0!</v>
      </c>
      <c r="L15" s="3">
        <v>0</v>
      </c>
      <c r="M15" s="6">
        <v>0</v>
      </c>
      <c r="N15" s="3">
        <f t="shared" si="19"/>
        <v>2392.6315789473683</v>
      </c>
      <c r="O15" s="3">
        <v>4546</v>
      </c>
      <c r="P15" s="6">
        <v>1.9</v>
      </c>
      <c r="Q15" s="3" t="e">
        <f t="shared" si="20"/>
        <v>#DIV/0!</v>
      </c>
      <c r="R15" s="3">
        <v>0</v>
      </c>
      <c r="S15" s="6">
        <v>0</v>
      </c>
      <c r="T15" s="3" t="e">
        <f t="shared" si="21"/>
        <v>#DIV/0!</v>
      </c>
      <c r="U15" s="3">
        <v>0</v>
      </c>
      <c r="V15" s="6">
        <v>0</v>
      </c>
      <c r="W15" s="3" t="e">
        <f t="shared" si="22"/>
        <v>#DIV/0!</v>
      </c>
      <c r="X15" s="3"/>
      <c r="Y15" s="6"/>
      <c r="Z15" s="3" t="e">
        <f t="shared" si="23"/>
        <v>#DIV/0!</v>
      </c>
      <c r="AA15" s="3"/>
      <c r="AB15" s="6"/>
      <c r="AC15" s="3" t="e">
        <f t="shared" si="24"/>
        <v>#DIV/0!</v>
      </c>
      <c r="AD15" s="3"/>
      <c r="AE15" s="6"/>
      <c r="AF15" s="3" t="e">
        <f t="shared" si="25"/>
        <v>#DIV/0!</v>
      </c>
      <c r="AG15" s="3"/>
      <c r="AH15" s="6"/>
      <c r="AI15" s="3" t="e">
        <f t="shared" si="26"/>
        <v>#DIV/0!</v>
      </c>
      <c r="AJ15" s="3"/>
      <c r="AK15" s="6"/>
      <c r="AL15" s="3" t="e">
        <f t="shared" si="27"/>
        <v>#DIV/0!</v>
      </c>
      <c r="AM15" s="3"/>
      <c r="AN15" s="6"/>
      <c r="AO15" s="3">
        <f t="shared" si="12"/>
        <v>1103.3870967741937</v>
      </c>
      <c r="AP15" s="3">
        <f t="shared" si="14"/>
        <v>27364</v>
      </c>
      <c r="AQ15" s="6">
        <f t="shared" si="15"/>
        <v>24.799999999999997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11" t="s">
        <v>41</v>
      </c>
      <c r="B16" s="15"/>
      <c r="C16" s="15"/>
      <c r="D16" s="15"/>
      <c r="E16" s="12">
        <f t="shared" si="16"/>
        <v>720</v>
      </c>
      <c r="F16" s="7">
        <v>3240</v>
      </c>
      <c r="G16" s="8">
        <v>4.5</v>
      </c>
      <c r="H16" s="7" t="e">
        <f t="shared" si="17"/>
        <v>#DIV/0!</v>
      </c>
      <c r="I16" s="7">
        <v>0</v>
      </c>
      <c r="J16" s="8">
        <v>0</v>
      </c>
      <c r="K16" s="7" t="e">
        <f t="shared" si="18"/>
        <v>#DIV/0!</v>
      </c>
      <c r="L16" s="7">
        <v>0</v>
      </c>
      <c r="M16" s="8">
        <v>0</v>
      </c>
      <c r="N16" s="7" t="e">
        <f t="shared" si="19"/>
        <v>#DIV/0!</v>
      </c>
      <c r="O16" s="7">
        <v>0</v>
      </c>
      <c r="P16" s="8">
        <v>0</v>
      </c>
      <c r="Q16" s="7" t="e">
        <f t="shared" si="20"/>
        <v>#DIV/0!</v>
      </c>
      <c r="R16" s="7">
        <v>0</v>
      </c>
      <c r="S16" s="8">
        <v>0</v>
      </c>
      <c r="T16" s="7" t="e">
        <f t="shared" si="21"/>
        <v>#DIV/0!</v>
      </c>
      <c r="U16" s="7">
        <v>0</v>
      </c>
      <c r="V16" s="8">
        <v>0</v>
      </c>
      <c r="W16" s="7" t="e">
        <f t="shared" si="22"/>
        <v>#DIV/0!</v>
      </c>
      <c r="X16" s="7"/>
      <c r="Y16" s="8"/>
      <c r="Z16" s="7" t="e">
        <f t="shared" si="23"/>
        <v>#DIV/0!</v>
      </c>
      <c r="AA16" s="7"/>
      <c r="AB16" s="8"/>
      <c r="AC16" s="7" t="e">
        <f t="shared" si="24"/>
        <v>#DIV/0!</v>
      </c>
      <c r="AD16" s="7"/>
      <c r="AE16" s="8"/>
      <c r="AF16" s="7" t="e">
        <f t="shared" si="25"/>
        <v>#DIV/0!</v>
      </c>
      <c r="AG16" s="7"/>
      <c r="AH16" s="8"/>
      <c r="AI16" s="7" t="e">
        <f t="shared" si="26"/>
        <v>#DIV/0!</v>
      </c>
      <c r="AJ16" s="7"/>
      <c r="AK16" s="8"/>
      <c r="AL16" s="7" t="e">
        <f t="shared" si="27"/>
        <v>#DIV/0!</v>
      </c>
      <c r="AM16" s="7"/>
      <c r="AN16" s="8"/>
      <c r="AO16" s="7">
        <f t="shared" si="12"/>
        <v>720</v>
      </c>
      <c r="AP16" s="7">
        <f t="shared" si="14"/>
        <v>3240</v>
      </c>
      <c r="AQ16" s="8">
        <f t="shared" si="15"/>
        <v>4.5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2" x14ac:dyDescent="0.3">
      <c r="A17" s="1" t="s">
        <v>25</v>
      </c>
      <c r="B17" s="1"/>
    </row>
    <row r="18" spans="1:2" x14ac:dyDescent="0.3">
      <c r="A18" s="1" t="s">
        <v>33</v>
      </c>
      <c r="B18" s="1"/>
    </row>
    <row r="19" spans="1:2" x14ac:dyDescent="0.3">
      <c r="A19" s="1" t="s">
        <v>26</v>
      </c>
      <c r="B19" s="1"/>
    </row>
    <row r="20" spans="1:2" x14ac:dyDescent="0.3">
      <c r="A20" s="1" t="s">
        <v>27</v>
      </c>
      <c r="B20" s="1"/>
    </row>
    <row r="21" spans="1:2" x14ac:dyDescent="0.3">
      <c r="A21" s="1" t="s">
        <v>34</v>
      </c>
      <c r="B21" s="1"/>
    </row>
  </sheetData>
  <mergeCells count="16">
    <mergeCell ref="B3:B16"/>
    <mergeCell ref="C3:C16"/>
    <mergeCell ref="AO1:AQ1"/>
    <mergeCell ref="W1:Y1"/>
    <mergeCell ref="Z1:AB1"/>
    <mergeCell ref="AC1:AE1"/>
    <mergeCell ref="AF1:AH1"/>
    <mergeCell ref="AI1:AK1"/>
    <mergeCell ref="D3:D16"/>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2026-08-07T07:21:18Z</dcterms:modified>
</cp:coreProperties>
</file>