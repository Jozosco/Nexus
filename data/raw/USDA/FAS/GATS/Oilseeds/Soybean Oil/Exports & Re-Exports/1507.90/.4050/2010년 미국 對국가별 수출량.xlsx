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정제된 대두유 및 그 분획물(.4050)\"/>
    </mc:Choice>
  </mc:AlternateContent>
  <bookViews>
    <workbookView xWindow="0" yWindow="0" windowWidth="25125" windowHeight="11640"/>
  </bookViews>
  <sheets>
    <sheet name="2010년" sheetId="1" r:id="rId1"/>
  </sheets>
  <calcPr calcId="162913"/>
</workbook>
</file>

<file path=xl/calcChain.xml><?xml version="1.0" encoding="utf-8"?>
<calcChain xmlns="http://schemas.openxmlformats.org/spreadsheetml/2006/main">
  <c r="AQ4" i="1" l="1"/>
  <c r="AP4" i="1"/>
  <c r="AP3" i="1" s="1"/>
  <c r="AN3" i="1"/>
  <c r="AM3" i="1"/>
  <c r="AK3" i="1"/>
  <c r="AJ3" i="1"/>
  <c r="AH3" i="1"/>
  <c r="AG3" i="1"/>
  <c r="AE3" i="1"/>
  <c r="AD3" i="1"/>
  <c r="AB3" i="1"/>
  <c r="AA3" i="1"/>
  <c r="Y3" i="1"/>
  <c r="X3" i="1"/>
  <c r="V3" i="1"/>
  <c r="U3" i="1"/>
  <c r="S3" i="1"/>
  <c r="R3" i="1"/>
  <c r="P3" i="1"/>
  <c r="O3" i="1"/>
  <c r="M3" i="1"/>
  <c r="L3" i="1"/>
  <c r="J3" i="1"/>
  <c r="I3" i="1"/>
  <c r="G3" i="1"/>
  <c r="F3" i="1"/>
  <c r="AQ66" i="1" l="1"/>
  <c r="AP66" i="1"/>
  <c r="AQ65" i="1"/>
  <c r="AP65" i="1"/>
  <c r="AQ64" i="1"/>
  <c r="AP64" i="1"/>
  <c r="AQ63" i="1"/>
  <c r="AP63" i="1"/>
  <c r="AQ62" i="1"/>
  <c r="AP62" i="1"/>
  <c r="AQ61" i="1"/>
  <c r="AP61" i="1"/>
  <c r="AQ60" i="1"/>
  <c r="AP60" i="1"/>
  <c r="AQ59" i="1"/>
  <c r="AP59" i="1"/>
  <c r="AQ58" i="1"/>
  <c r="AP58" i="1"/>
  <c r="AQ57" i="1"/>
  <c r="AP57" i="1"/>
  <c r="AQ56" i="1"/>
  <c r="AP56" i="1"/>
  <c r="AQ55" i="1"/>
  <c r="AP55" i="1"/>
  <c r="AQ54" i="1"/>
  <c r="AP54" i="1"/>
  <c r="AQ53" i="1"/>
  <c r="AP53" i="1"/>
  <c r="AQ52" i="1"/>
  <c r="AP52" i="1"/>
  <c r="AQ51" i="1"/>
  <c r="AP51" i="1"/>
  <c r="AQ50" i="1"/>
  <c r="AP50" i="1"/>
  <c r="AQ49" i="1"/>
  <c r="AP49" i="1"/>
  <c r="AQ48" i="1"/>
  <c r="AP48" i="1"/>
  <c r="AQ47" i="1"/>
  <c r="AP47" i="1"/>
  <c r="AQ46" i="1"/>
  <c r="AP46" i="1"/>
  <c r="AQ45" i="1"/>
  <c r="AP45" i="1"/>
  <c r="AQ44" i="1"/>
  <c r="AP44" i="1"/>
  <c r="AQ43" i="1"/>
  <c r="AP43" i="1"/>
  <c r="AQ42" i="1"/>
  <c r="AP42" i="1"/>
  <c r="AQ41" i="1"/>
  <c r="AP41" i="1"/>
  <c r="AQ40" i="1"/>
  <c r="AP40" i="1"/>
  <c r="AQ39" i="1"/>
  <c r="AP39" i="1"/>
  <c r="AQ38" i="1"/>
  <c r="AP38" i="1"/>
  <c r="AQ37" i="1"/>
  <c r="AP37" i="1"/>
  <c r="AQ36" i="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L66" i="1"/>
  <c r="AL65" i="1"/>
  <c r="AL64" i="1"/>
  <c r="AL63" i="1"/>
  <c r="AL62" i="1"/>
  <c r="AL61" i="1"/>
  <c r="AL60" i="1"/>
  <c r="AL59" i="1"/>
  <c r="AL58" i="1"/>
  <c r="AL57" i="1"/>
  <c r="AL56" i="1"/>
  <c r="AL55" i="1"/>
  <c r="AL54" i="1"/>
  <c r="AL53" i="1"/>
  <c r="AL52" i="1"/>
  <c r="AL51" i="1"/>
  <c r="AL50" i="1"/>
  <c r="AL49" i="1"/>
  <c r="AL48" i="1"/>
  <c r="AL47" i="1"/>
  <c r="AL46" i="1"/>
  <c r="AL45" i="1"/>
  <c r="AI66" i="1"/>
  <c r="AI65" i="1"/>
  <c r="AI64" i="1"/>
  <c r="AI63" i="1"/>
  <c r="AI62" i="1"/>
  <c r="AI61" i="1"/>
  <c r="AI60" i="1"/>
  <c r="AI59" i="1"/>
  <c r="AI58" i="1"/>
  <c r="AI57" i="1"/>
  <c r="AI56" i="1"/>
  <c r="AI55" i="1"/>
  <c r="AI54" i="1"/>
  <c r="AI53" i="1"/>
  <c r="AI52" i="1"/>
  <c r="AI51" i="1"/>
  <c r="AI50" i="1"/>
  <c r="AI49" i="1"/>
  <c r="AI48" i="1"/>
  <c r="AI47" i="1"/>
  <c r="AI46" i="1"/>
  <c r="AI45" i="1"/>
  <c r="AF66" i="1"/>
  <c r="AF65" i="1"/>
  <c r="AF64" i="1"/>
  <c r="AF63" i="1"/>
  <c r="AF62" i="1"/>
  <c r="AF61" i="1"/>
  <c r="AF60" i="1"/>
  <c r="AF59" i="1"/>
  <c r="AF58" i="1"/>
  <c r="AF57" i="1"/>
  <c r="AF56" i="1"/>
  <c r="AF55" i="1"/>
  <c r="AF54" i="1"/>
  <c r="AF53" i="1"/>
  <c r="AF52" i="1"/>
  <c r="AF51" i="1"/>
  <c r="AF50" i="1"/>
  <c r="AF49" i="1"/>
  <c r="AF48" i="1"/>
  <c r="AF47" i="1"/>
  <c r="AF46" i="1"/>
  <c r="AF45" i="1"/>
  <c r="AC66" i="1"/>
  <c r="AC65" i="1"/>
  <c r="AC64" i="1"/>
  <c r="AC63" i="1"/>
  <c r="AC62" i="1"/>
  <c r="AC61" i="1"/>
  <c r="AC60" i="1"/>
  <c r="AC59" i="1"/>
  <c r="AC58" i="1"/>
  <c r="AC57" i="1"/>
  <c r="AC56" i="1"/>
  <c r="AC55" i="1"/>
  <c r="AC54" i="1"/>
  <c r="AC53" i="1"/>
  <c r="AC52" i="1"/>
  <c r="AC51" i="1"/>
  <c r="AC50" i="1"/>
  <c r="AC49" i="1"/>
  <c r="AC48" i="1"/>
  <c r="AC47" i="1"/>
  <c r="AC46" i="1"/>
  <c r="AC45" i="1"/>
  <c r="Z66" i="1"/>
  <c r="Z65" i="1"/>
  <c r="Z64" i="1"/>
  <c r="Z63" i="1"/>
  <c r="Z62" i="1"/>
  <c r="Z61" i="1"/>
  <c r="Z60" i="1"/>
  <c r="Z59" i="1"/>
  <c r="Z58" i="1"/>
  <c r="Z57" i="1"/>
  <c r="Z56" i="1"/>
  <c r="Z55" i="1"/>
  <c r="Z54" i="1"/>
  <c r="Z53" i="1"/>
  <c r="Z52" i="1"/>
  <c r="Z51" i="1"/>
  <c r="Z50" i="1"/>
  <c r="Z49" i="1"/>
  <c r="Z48" i="1"/>
  <c r="Z47" i="1"/>
  <c r="Z46" i="1"/>
  <c r="Z45" i="1"/>
  <c r="W66" i="1"/>
  <c r="W65" i="1"/>
  <c r="W64" i="1"/>
  <c r="W63" i="1"/>
  <c r="W62" i="1"/>
  <c r="W61" i="1"/>
  <c r="W60" i="1"/>
  <c r="W59" i="1"/>
  <c r="W58" i="1"/>
  <c r="W57" i="1"/>
  <c r="W56" i="1"/>
  <c r="W55" i="1"/>
  <c r="W54" i="1"/>
  <c r="W53" i="1"/>
  <c r="W52" i="1"/>
  <c r="W51" i="1"/>
  <c r="W50" i="1"/>
  <c r="W49" i="1"/>
  <c r="W48" i="1"/>
  <c r="W47" i="1"/>
  <c r="W46" i="1"/>
  <c r="W45" i="1"/>
  <c r="T66" i="1"/>
  <c r="T65" i="1"/>
  <c r="T64" i="1"/>
  <c r="T63" i="1"/>
  <c r="T62" i="1"/>
  <c r="T61" i="1"/>
  <c r="T60" i="1"/>
  <c r="T59" i="1"/>
  <c r="T58" i="1"/>
  <c r="T57" i="1"/>
  <c r="T56" i="1"/>
  <c r="T55" i="1"/>
  <c r="T54" i="1"/>
  <c r="T53" i="1"/>
  <c r="T52" i="1"/>
  <c r="T51" i="1"/>
  <c r="T50" i="1"/>
  <c r="T49" i="1"/>
  <c r="T48" i="1"/>
  <c r="T47" i="1"/>
  <c r="T46" i="1"/>
  <c r="T45" i="1"/>
  <c r="Q66" i="1"/>
  <c r="Q65" i="1"/>
  <c r="Q64" i="1"/>
  <c r="Q63" i="1"/>
  <c r="Q62" i="1"/>
  <c r="Q61" i="1"/>
  <c r="Q60" i="1"/>
  <c r="Q59" i="1"/>
  <c r="Q58" i="1"/>
  <c r="Q57" i="1"/>
  <c r="Q56" i="1"/>
  <c r="Q55" i="1"/>
  <c r="Q54" i="1"/>
  <c r="Q53" i="1"/>
  <c r="Q52" i="1"/>
  <c r="Q51" i="1"/>
  <c r="Q50" i="1"/>
  <c r="Q49" i="1"/>
  <c r="Q48" i="1"/>
  <c r="Q47" i="1"/>
  <c r="Q46" i="1"/>
  <c r="Q45" i="1"/>
  <c r="N66" i="1"/>
  <c r="N65" i="1"/>
  <c r="N64" i="1"/>
  <c r="N63" i="1"/>
  <c r="N62" i="1"/>
  <c r="N61" i="1"/>
  <c r="N60" i="1"/>
  <c r="N59" i="1"/>
  <c r="N58" i="1"/>
  <c r="N57" i="1"/>
  <c r="N56" i="1"/>
  <c r="N55" i="1"/>
  <c r="N54" i="1"/>
  <c r="N53" i="1"/>
  <c r="N52" i="1"/>
  <c r="N51" i="1"/>
  <c r="N50" i="1"/>
  <c r="N49" i="1"/>
  <c r="N48" i="1"/>
  <c r="N47" i="1"/>
  <c r="N46" i="1"/>
  <c r="N45" i="1"/>
  <c r="K66" i="1"/>
  <c r="K65" i="1"/>
  <c r="K64" i="1"/>
  <c r="K63" i="1"/>
  <c r="K62" i="1"/>
  <c r="K61" i="1"/>
  <c r="K60" i="1"/>
  <c r="K59" i="1"/>
  <c r="K58" i="1"/>
  <c r="K57" i="1"/>
  <c r="K56" i="1"/>
  <c r="K55" i="1"/>
  <c r="K54" i="1"/>
  <c r="K53" i="1"/>
  <c r="K52" i="1"/>
  <c r="K51" i="1"/>
  <c r="K50" i="1"/>
  <c r="K49" i="1"/>
  <c r="K48" i="1"/>
  <c r="K47" i="1"/>
  <c r="K46" i="1"/>
  <c r="K45" i="1"/>
  <c r="H66" i="1"/>
  <c r="H65" i="1"/>
  <c r="H64" i="1"/>
  <c r="H63" i="1"/>
  <c r="H62" i="1"/>
  <c r="H61" i="1"/>
  <c r="H60" i="1"/>
  <c r="H59" i="1"/>
  <c r="H58" i="1"/>
  <c r="H57" i="1"/>
  <c r="H56" i="1"/>
  <c r="H55" i="1"/>
  <c r="H54" i="1"/>
  <c r="H53" i="1"/>
  <c r="H52" i="1"/>
  <c r="H51" i="1"/>
  <c r="H50" i="1"/>
  <c r="H49" i="1"/>
  <c r="H48" i="1"/>
  <c r="H47" i="1"/>
  <c r="H46" i="1"/>
  <c r="H45" i="1"/>
  <c r="E66" i="1"/>
  <c r="E65" i="1"/>
  <c r="E64" i="1"/>
  <c r="E63" i="1"/>
  <c r="E62" i="1"/>
  <c r="E61" i="1"/>
  <c r="E60" i="1"/>
  <c r="E59" i="1"/>
  <c r="E58" i="1"/>
  <c r="E57" i="1"/>
  <c r="E56" i="1"/>
  <c r="E55" i="1"/>
  <c r="E54" i="1"/>
  <c r="E53" i="1"/>
  <c r="E52" i="1"/>
  <c r="E51" i="1"/>
  <c r="E50" i="1"/>
  <c r="E49" i="1"/>
  <c r="E48" i="1"/>
  <c r="E47" i="1"/>
  <c r="E46" i="1"/>
  <c r="E45" i="1"/>
  <c r="AO50" i="1" l="1"/>
  <c r="AO62" i="1"/>
  <c r="AO46" i="1"/>
  <c r="AO54" i="1"/>
  <c r="AO58" i="1"/>
  <c r="AO66" i="1"/>
  <c r="AO45" i="1"/>
  <c r="AO49" i="1"/>
  <c r="AO53" i="1"/>
  <c r="AO57" i="1"/>
  <c r="AO65" i="1"/>
  <c r="AO61" i="1"/>
  <c r="AO63" i="1"/>
  <c r="AO55" i="1"/>
  <c r="AO47" i="1"/>
  <c r="AO59" i="1"/>
  <c r="AO51" i="1"/>
  <c r="AO52" i="1"/>
  <c r="AO64" i="1"/>
  <c r="AO48" i="1"/>
  <c r="AO60" i="1"/>
  <c r="AO56" i="1"/>
  <c r="AC3" i="1"/>
  <c r="Q3" i="1"/>
  <c r="AL3" i="1"/>
  <c r="AF3" i="1"/>
  <c r="W3" i="1"/>
  <c r="T3" i="1"/>
  <c r="N3" i="1"/>
  <c r="K3" i="1"/>
  <c r="H3" i="1"/>
  <c r="N43" i="1"/>
  <c r="AP5"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F4"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Q5" i="1"/>
  <c r="AI3" i="1" l="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Q3" i="1"/>
  <c r="AO3" i="1" l="1"/>
  <c r="AO4" i="1"/>
  <c r="AO12" i="1"/>
</calcChain>
</file>

<file path=xl/sharedStrings.xml><?xml version="1.0" encoding="utf-8"?>
<sst xmlns="http://schemas.openxmlformats.org/spreadsheetml/2006/main" count="128" uniqueCount="92">
  <si>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</si>
  <si>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</si>
  <si>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</si>
  <si>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</si>
  <si>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</si>
  <si>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</si>
  <si>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</si>
  <si>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</si>
  <si>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</si>
  <si>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</si>
  <si>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</si>
  <si>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</si>
  <si>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</si>
  <si>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</si>
  <si>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</si>
  <si>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</si>
  <si>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</si>
  <si>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</si>
  <si>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</si>
  <si>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Australia(*)</t>
  </si>
  <si>
    <t>Canada</t>
  </si>
  <si>
    <t>Colombia</t>
  </si>
  <si>
    <t>Dominican Republic</t>
  </si>
  <si>
    <t>Korea, South</t>
  </si>
  <si>
    <t>Jamaica</t>
  </si>
  <si>
    <t>Mexico</t>
  </si>
  <si>
    <t>United Arab Emirates</t>
  </si>
  <si>
    <t>Barbados</t>
  </si>
  <si>
    <t>Bahamas, The</t>
  </si>
  <si>
    <t>Belize</t>
  </si>
  <si>
    <t>China</t>
  </si>
  <si>
    <t>Ecuador</t>
  </si>
  <si>
    <t>El Salvador</t>
  </si>
  <si>
    <t>Guatemala</t>
  </si>
  <si>
    <t>Honduras</t>
  </si>
  <si>
    <t>Italy(*)</t>
  </si>
  <si>
    <t>Japan</t>
  </si>
  <si>
    <t>Panama</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</si>
  <si>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</si>
  <si>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</si>
  <si>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</si>
  <si>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</si>
  <si>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</si>
  <si>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</si>
  <si>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</si>
  <si>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</si>
  <si>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</si>
  <si>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</si>
  <si>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Guyana</t>
  </si>
  <si>
    <t>Hong Kong</t>
  </si>
  <si>
    <t>Jordan</t>
  </si>
  <si>
    <t>Netherlands Antilles(*)</t>
  </si>
  <si>
    <t>Saudi Arabia</t>
  </si>
  <si>
    <t>Kuwait</t>
  </si>
  <si>
    <t>Chile</t>
  </si>
  <si>
    <t>Lebanon</t>
  </si>
  <si>
    <t>India</t>
  </si>
  <si>
    <t>Cayman Islands</t>
  </si>
  <si>
    <t>Bermuda</t>
  </si>
  <si>
    <t>Bangladesh</t>
  </si>
  <si>
    <t>Brazil</t>
  </si>
  <si>
    <t>Brunei</t>
  </si>
  <si>
    <t>Cuba</t>
  </si>
  <si>
    <t>Denmark</t>
  </si>
  <si>
    <t>Egypt</t>
  </si>
  <si>
    <t>Equatorial Guinea</t>
  </si>
  <si>
    <t>Iceland</t>
  </si>
  <si>
    <t>Indonesia</t>
  </si>
  <si>
    <t>New Zealand(*)</t>
  </si>
  <si>
    <t>Philippines</t>
  </si>
  <si>
    <t>United Kingdom</t>
  </si>
  <si>
    <t>Turkey</t>
  </si>
  <si>
    <t>1. Data Source: U.S. Census Bureau Trade Data</t>
  </si>
  <si>
    <t>4. Product Group : Harmonized</t>
  </si>
  <si>
    <t>Product</t>
    <phoneticPr fontId="18" type="noConversion"/>
  </si>
  <si>
    <t>Afghanistan</t>
  </si>
  <si>
    <t>Israel(*)</t>
  </si>
  <si>
    <t>Kyrgyzstan</t>
  </si>
  <si>
    <t>Liberia</t>
  </si>
  <si>
    <t>Spain</t>
  </si>
  <si>
    <t>Angola</t>
  </si>
  <si>
    <t>Argentina</t>
  </si>
  <si>
    <t>Ethiopia(*)</t>
  </si>
  <si>
    <t>Haiti</t>
  </si>
  <si>
    <t>Malta</t>
  </si>
  <si>
    <t>Malaysia</t>
  </si>
  <si>
    <t>Nigeria</t>
  </si>
  <si>
    <t>Suriname</t>
  </si>
  <si>
    <t>Pakistan</t>
  </si>
  <si>
    <t>Tajikistan</t>
  </si>
  <si>
    <t>Taiwan</t>
  </si>
  <si>
    <t>SOY OIL FLY-RFND</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</si>
</sst>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0" fontId="0" fillId="0" borderId="18" xfId="0" applyBorder="1">
      <alignment vertical="center"/>
    </xf>
    <xf numFmtId="0" fontId="0" fillId="0" borderId="21" xfId="0" applyBorder="1">
      <alignment vertical="center"/>
    </xf>
    <xf numFmtId="49" fontId="0" fillId="0" borderId="17"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71"/>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6" t="s">
        <v>0</v>
      </c>
      <c r="F1" s="27"/>
      <c r="G1" s="28"/>
      <c r="H1" s="29" t="s">
        <v>1</v>
      </c>
      <c r="I1" s="30"/>
      <c r="J1" s="31"/>
      <c r="K1" s="29" t="s">
        <v>2</v>
      </c>
      <c r="L1" s="30"/>
      <c r="M1" s="31"/>
      <c r="N1" s="29" t="s">
        <v>3</v>
      </c>
      <c r="O1" s="30"/>
      <c r="P1" s="31"/>
      <c r="Q1" s="29" t="s">
        <v>4</v>
      </c>
      <c r="R1" s="30"/>
      <c r="S1" s="31"/>
      <c r="T1" s="29" t="s">
        <v>5</v>
      </c>
      <c r="U1" s="30"/>
      <c r="V1" s="31"/>
      <c r="W1" s="29" t="s">
        <v>6</v>
      </c>
      <c r="X1" s="30"/>
      <c r="Y1" s="31"/>
      <c r="Z1" s="29" t="s">
        <v>7</v>
      </c>
      <c r="AA1" s="30"/>
      <c r="AB1" s="31"/>
      <c r="AC1" s="29" t="s">
        <v>8</v>
      </c>
      <c r="AD1" s="30"/>
      <c r="AE1" s="31"/>
      <c r="AF1" s="29" t="s">
        <v>9</v>
      </c>
      <c r="AG1" s="30"/>
      <c r="AH1" s="31"/>
      <c r="AI1" s="29" t="s">
        <v>10</v>
      </c>
      <c r="AJ1" s="30"/>
      <c r="AK1" s="31"/>
      <c r="AL1" s="29" t="s">
        <v>11</v>
      </c>
      <c r="AM1" s="30"/>
      <c r="AN1" s="31"/>
      <c r="AO1" s="29" t="s">
        <v>12</v>
      </c>
      <c r="AP1" s="30"/>
      <c r="AQ1" s="31"/>
    </row>
    <row r="2" spans="1:67" x14ac:dyDescent="0.3">
      <c r="A2" s="2" t="s">
        <v>44</v>
      </c>
      <c r="B2" s="2" t="s">
        <v>74</v>
      </c>
      <c r="C2" s="2" t="s">
        <v>13</v>
      </c>
      <c r="D2" s="2" t="s">
        <v>45</v>
      </c>
      <c r="E2" s="4" t="s">
        <v>14</v>
      </c>
      <c r="F2" s="2" t="s">
        <v>45</v>
      </c>
      <c r="G2" s="5" t="s">
        <v>15</v>
      </c>
      <c r="H2" s="2" t="s">
        <v>14</v>
      </c>
      <c r="I2" s="2" t="s">
        <v>45</v>
      </c>
      <c r="J2" s="5" t="s">
        <v>15</v>
      </c>
      <c r="K2" s="2" t="s">
        <v>14</v>
      </c>
      <c r="L2" s="2" t="s">
        <v>45</v>
      </c>
      <c r="M2" s="5" t="s">
        <v>15</v>
      </c>
      <c r="N2" s="2" t="s">
        <v>14</v>
      </c>
      <c r="O2" s="2" t="s">
        <v>45</v>
      </c>
      <c r="P2" s="5" t="s">
        <v>15</v>
      </c>
      <c r="Q2" s="2" t="s">
        <v>14</v>
      </c>
      <c r="R2" s="2" t="s">
        <v>45</v>
      </c>
      <c r="S2" s="5" t="s">
        <v>15</v>
      </c>
      <c r="T2" s="2" t="s">
        <v>14</v>
      </c>
      <c r="U2" s="2" t="s">
        <v>45</v>
      </c>
      <c r="V2" s="5" t="s">
        <v>15</v>
      </c>
      <c r="W2" s="2" t="s">
        <v>14</v>
      </c>
      <c r="X2" s="2" t="s">
        <v>45</v>
      </c>
      <c r="Y2" s="5" t="s">
        <v>15</v>
      </c>
      <c r="Z2" s="2" t="s">
        <v>14</v>
      </c>
      <c r="AA2" s="2" t="s">
        <v>45</v>
      </c>
      <c r="AB2" s="5" t="s">
        <v>15</v>
      </c>
      <c r="AC2" s="2" t="s">
        <v>14</v>
      </c>
      <c r="AD2" s="2" t="s">
        <v>45</v>
      </c>
      <c r="AE2" s="5" t="s">
        <v>15</v>
      </c>
      <c r="AF2" s="2" t="s">
        <v>14</v>
      </c>
      <c r="AG2" s="2" t="s">
        <v>45</v>
      </c>
      <c r="AH2" s="5" t="s">
        <v>15</v>
      </c>
      <c r="AI2" s="2" t="s">
        <v>14</v>
      </c>
      <c r="AJ2" s="2" t="s">
        <v>45</v>
      </c>
      <c r="AK2" s="5" t="s">
        <v>15</v>
      </c>
      <c r="AL2" s="2" t="s">
        <v>14</v>
      </c>
      <c r="AM2" s="2" t="s">
        <v>45</v>
      </c>
      <c r="AN2" s="5" t="s">
        <v>15</v>
      </c>
      <c r="AO2" s="2" t="s">
        <v>14</v>
      </c>
      <c r="AP2" s="2" t="s">
        <v>47</v>
      </c>
      <c r="AQ2" s="5" t="s">
        <v>15</v>
      </c>
    </row>
    <row r="3" spans="1:67" ht="15" customHeight="1" x14ac:dyDescent="0.3">
      <c r="A3" s="7" t="s">
        <v>16</v>
      </c>
      <c r="B3" s="24" t="s">
        <v>91</v>
      </c>
      <c r="C3" s="23" t="s">
        <v>17</v>
      </c>
      <c r="D3" s="23" t="s">
        <v>46</v>
      </c>
      <c r="E3" s="20">
        <f>F3/G3</f>
        <v>1091.8163174162917</v>
      </c>
      <c r="F3" s="21">
        <f>SUM(F4:F66)</f>
        <v>18579875</v>
      </c>
      <c r="G3" s="22">
        <f t="shared" ref="G3" si="0">SUM(G4:G66)</f>
        <v>17017.399999999998</v>
      </c>
      <c r="H3" s="21">
        <f>I3/J3</f>
        <v>975.43316808987936</v>
      </c>
      <c r="I3" s="21">
        <f>SUM(I4:I66)</f>
        <v>15957794</v>
      </c>
      <c r="J3" s="22">
        <f t="shared" ref="J3" si="1">SUM(J4:J66)</f>
        <v>16359.7</v>
      </c>
      <c r="K3" s="21">
        <f>L3/M3</f>
        <v>992.19848803501395</v>
      </c>
      <c r="L3" s="21">
        <f>SUM(L4:L66)</f>
        <v>26183622</v>
      </c>
      <c r="M3" s="22">
        <f t="shared" ref="M3" si="2">SUM(M4:M66)</f>
        <v>26389.5</v>
      </c>
      <c r="N3" s="21">
        <f>O3/P3</f>
        <v>1076.9026801092666</v>
      </c>
      <c r="O3" s="21">
        <f>SUM(O4:O66)</f>
        <v>9816291</v>
      </c>
      <c r="P3" s="22">
        <f t="shared" ref="P3" si="3">SUM(P4:P66)</f>
        <v>9115.3000000000011</v>
      </c>
      <c r="Q3" s="21">
        <f>R3/S3</f>
        <v>1077.7746776004626</v>
      </c>
      <c r="R3" s="21">
        <f>SUM(R4:R66)</f>
        <v>9502416</v>
      </c>
      <c r="S3" s="22">
        <f t="shared" ref="S3" si="4">SUM(S4:S66)</f>
        <v>8816.7000000000007</v>
      </c>
      <c r="T3" s="21">
        <f>U3/V3</f>
        <v>1022.7005696778884</v>
      </c>
      <c r="U3" s="21">
        <f>SUM(U4:U66)</f>
        <v>14487474</v>
      </c>
      <c r="V3" s="22">
        <f t="shared" ref="V3" si="5">SUM(V4:V66)</f>
        <v>14165.9</v>
      </c>
      <c r="W3" s="21">
        <f>X3/Y3</f>
        <v>1127.3544025641388</v>
      </c>
      <c r="X3" s="21">
        <f>SUM(X4:X66)</f>
        <v>8054609</v>
      </c>
      <c r="Y3" s="22">
        <f t="shared" ref="Y3" si="6">SUM(Y4:Y66)</f>
        <v>7144.6999999999971</v>
      </c>
      <c r="Z3" s="21">
        <f>AA3/AB3</f>
        <v>1083.4891649690201</v>
      </c>
      <c r="AA3" s="21">
        <f>SUM(AA4:AA66)</f>
        <v>10264868</v>
      </c>
      <c r="AB3" s="22">
        <f t="shared" ref="AB3" si="7">SUM(AB4:AB66)</f>
        <v>9473.9000000000015</v>
      </c>
      <c r="AC3" s="21">
        <f>AD3/AE3</f>
        <v>1073.9123153855096</v>
      </c>
      <c r="AD3" s="21">
        <f>SUM(AD4:AD66)</f>
        <v>9234572</v>
      </c>
      <c r="AE3" s="22">
        <f t="shared" ref="AE3" si="8">SUM(AE4:AE66)</f>
        <v>8599.0000000000036</v>
      </c>
      <c r="AF3" s="21">
        <f>AG3/AH3</f>
        <v>1077.1502822042567</v>
      </c>
      <c r="AG3" s="21">
        <f>SUM(AG4:AG66)</f>
        <v>20744945</v>
      </c>
      <c r="AH3" s="22">
        <f t="shared" ref="AH3" si="9">SUM(AH4:AH66)</f>
        <v>19259.100000000002</v>
      </c>
      <c r="AI3" s="21">
        <f>AJ3/AK3</f>
        <v>1215.5968673364448</v>
      </c>
      <c r="AJ3" s="21">
        <f>SUM(AJ4:AJ66)</f>
        <v>13829724</v>
      </c>
      <c r="AK3" s="22">
        <f t="shared" ref="AK3" si="10">SUM(AK4:AK66)</f>
        <v>11376.900000000001</v>
      </c>
      <c r="AL3" s="21">
        <f>AM3/AN3</f>
        <v>1261.1738122727509</v>
      </c>
      <c r="AM3" s="21">
        <f>SUM(AM4:AM66)</f>
        <v>29274871</v>
      </c>
      <c r="AN3" s="22">
        <f t="shared" ref="AN3" si="11">SUM(AN4:AN66)</f>
        <v>23212.399999999998</v>
      </c>
      <c r="AO3" s="21">
        <f>AP3/AQ3</f>
        <v>1087.7582467728107</v>
      </c>
      <c r="AP3" s="21">
        <f>SUM(AP4:AP66)</f>
        <v>185931061</v>
      </c>
      <c r="AQ3" s="22">
        <f t="shared" ref="AQ3" si="12">SUM(AQ4:AQ66)</f>
        <v>170930.50000000006</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9" t="s">
        <v>49</v>
      </c>
      <c r="B4" s="24"/>
      <c r="C4" s="24"/>
      <c r="D4" s="24"/>
      <c r="E4" s="3">
        <f t="shared" ref="E4:E11" si="13">F4/G4</f>
        <v>7020</v>
      </c>
      <c r="F4" s="3">
        <v>2808</v>
      </c>
      <c r="G4" s="6">
        <v>0.4</v>
      </c>
      <c r="H4" s="3">
        <f t="shared" ref="H4:H11" si="14">I4/J4</f>
        <v>1656.2857142857142</v>
      </c>
      <c r="I4" s="3">
        <v>11594</v>
      </c>
      <c r="J4" s="6">
        <v>7</v>
      </c>
      <c r="K4" s="3">
        <f t="shared" ref="K4:K11" si="15">L4/M4</f>
        <v>6240</v>
      </c>
      <c r="L4" s="3">
        <v>5616</v>
      </c>
      <c r="M4" s="6">
        <v>0.9</v>
      </c>
      <c r="N4" s="3" t="e">
        <f t="shared" ref="N4:N11" si="16">O4/P4</f>
        <v>#DIV/0!</v>
      </c>
      <c r="O4" s="3">
        <v>0</v>
      </c>
      <c r="P4" s="6">
        <v>0</v>
      </c>
      <c r="Q4" s="3">
        <f t="shared" ref="Q4:Q11" si="17">R4/S4</f>
        <v>1793.6893203883494</v>
      </c>
      <c r="R4" s="3">
        <v>18475</v>
      </c>
      <c r="S4" s="6">
        <v>10.3</v>
      </c>
      <c r="T4" s="3" t="e">
        <f t="shared" ref="T4:T11" si="18">U4/V4</f>
        <v>#DIV/0!</v>
      </c>
      <c r="U4" s="3">
        <v>0</v>
      </c>
      <c r="V4" s="6">
        <v>0</v>
      </c>
      <c r="W4" s="3" t="e">
        <f t="shared" ref="W4:W11" si="19">X4/Y4</f>
        <v>#DIV/0!</v>
      </c>
      <c r="X4" s="3">
        <v>0</v>
      </c>
      <c r="Y4" s="6">
        <v>0</v>
      </c>
      <c r="Z4" s="3" t="e">
        <f t="shared" ref="Z4:Z11" si="20">AA4/AB4</f>
        <v>#DIV/0!</v>
      </c>
      <c r="AA4" s="3">
        <v>0</v>
      </c>
      <c r="AB4" s="6">
        <v>0</v>
      </c>
      <c r="AC4" s="3">
        <f t="shared" ref="AC4:AC11" si="21">AD4/AE4</f>
        <v>1873.0714285714287</v>
      </c>
      <c r="AD4" s="3">
        <v>26223</v>
      </c>
      <c r="AE4" s="6">
        <v>14</v>
      </c>
      <c r="AF4" s="3">
        <f t="shared" ref="AF4:AF11" si="22">AG4/AH4</f>
        <v>1046.0036850754443</v>
      </c>
      <c r="AG4" s="3">
        <v>6301440</v>
      </c>
      <c r="AH4" s="6">
        <v>6024.3</v>
      </c>
      <c r="AI4" s="3">
        <f t="shared" ref="AI4:AI11" si="23">AJ4/AK4</f>
        <v>1350.253807106599</v>
      </c>
      <c r="AJ4" s="3">
        <v>26600</v>
      </c>
      <c r="AK4" s="6">
        <v>19.7</v>
      </c>
      <c r="AL4" s="3">
        <f t="shared" ref="AL4:AL11" si="24">AM4/AN4</f>
        <v>1265.3020378457059</v>
      </c>
      <c r="AM4" s="3">
        <v>9040330</v>
      </c>
      <c r="AN4" s="6">
        <v>7144.8</v>
      </c>
      <c r="AO4" s="3">
        <f t="shared" ref="AO4:AO66" si="25">AP4/AQ4</f>
        <v>1167.2807720816252</v>
      </c>
      <c r="AP4" s="3">
        <f t="shared" ref="AP4" si="26">SUM(F4,I4,L4,O4,R4,U4,X4,AA4,AD4,AG4,AJ4,AM4)</f>
        <v>15433086</v>
      </c>
      <c r="AQ4" s="6">
        <f t="shared" ref="AQ4" si="27">SUM(G4,J4,M4,P4,S4,V4,Y4,AB4,AE4,AH4,AK4,AN4)</f>
        <v>13221.400000000001</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25</v>
      </c>
      <c r="B5" s="24"/>
      <c r="C5" s="24"/>
      <c r="D5" s="24"/>
      <c r="E5" s="3">
        <f t="shared" si="13"/>
        <v>1032.3944249210792</v>
      </c>
      <c r="F5" s="3">
        <v>1733287</v>
      </c>
      <c r="G5" s="6">
        <v>1678.9</v>
      </c>
      <c r="H5" s="3">
        <f t="shared" si="14"/>
        <v>984.05332709624599</v>
      </c>
      <c r="I5" s="3">
        <v>2524392</v>
      </c>
      <c r="J5" s="6">
        <v>2565.3000000000002</v>
      </c>
      <c r="K5" s="3">
        <f t="shared" si="15"/>
        <v>887.05909510618665</v>
      </c>
      <c r="L5" s="3">
        <v>3650603</v>
      </c>
      <c r="M5" s="6">
        <v>4115.3999999999996</v>
      </c>
      <c r="N5" s="3">
        <f t="shared" si="16"/>
        <v>934.49107599536978</v>
      </c>
      <c r="O5" s="3">
        <v>3471354</v>
      </c>
      <c r="P5" s="6">
        <v>3714.7</v>
      </c>
      <c r="Q5" s="3">
        <f t="shared" si="17"/>
        <v>938.85615829257449</v>
      </c>
      <c r="R5" s="3">
        <v>4222975</v>
      </c>
      <c r="S5" s="6">
        <v>4498</v>
      </c>
      <c r="T5" s="3">
        <f t="shared" si="18"/>
        <v>904.79089474121463</v>
      </c>
      <c r="U5" s="3">
        <v>5445484</v>
      </c>
      <c r="V5" s="6">
        <v>6018.5</v>
      </c>
      <c r="W5" s="3">
        <f t="shared" si="19"/>
        <v>945.73372735049372</v>
      </c>
      <c r="X5" s="3">
        <v>1216119</v>
      </c>
      <c r="Y5" s="6">
        <v>1285.9000000000001</v>
      </c>
      <c r="Z5" s="3">
        <f t="shared" si="20"/>
        <v>926.47188514487095</v>
      </c>
      <c r="AA5" s="3">
        <v>5336756</v>
      </c>
      <c r="AB5" s="6">
        <v>5760.3</v>
      </c>
      <c r="AC5" s="3">
        <f t="shared" si="21"/>
        <v>946.43492300049672</v>
      </c>
      <c r="AD5" s="3">
        <v>3810347</v>
      </c>
      <c r="AE5" s="6">
        <v>4026</v>
      </c>
      <c r="AF5" s="3">
        <f t="shared" si="22"/>
        <v>1010.3684069252448</v>
      </c>
      <c r="AG5" s="3">
        <v>4516953</v>
      </c>
      <c r="AH5" s="6">
        <v>4470.6000000000004</v>
      </c>
      <c r="AI5" s="3">
        <f t="shared" si="23"/>
        <v>1153.0224224429201</v>
      </c>
      <c r="AJ5" s="3">
        <v>2252314</v>
      </c>
      <c r="AK5" s="6">
        <v>1953.4</v>
      </c>
      <c r="AL5" s="3">
        <f t="shared" si="24"/>
        <v>1190.7630950025116</v>
      </c>
      <c r="AM5" s="3">
        <v>7822480</v>
      </c>
      <c r="AN5" s="6">
        <v>6569.3</v>
      </c>
      <c r="AO5" s="3">
        <f t="shared" si="25"/>
        <v>985.9989754866973</v>
      </c>
      <c r="AP5" s="3">
        <f t="shared" ref="AP5" si="28">SUM(F5,I5,L5,O5,R5,U5,X5,AA5,AD5,AG5,AJ5,AM5)</f>
        <v>46003064</v>
      </c>
      <c r="AQ5" s="6">
        <f t="shared" ref="AQ5" si="29">SUM(G5,J5,M5,P5,S5,V5,Y5,AB5,AE5,AH5,AK5,AN5)</f>
        <v>46656.3</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75</v>
      </c>
      <c r="B6" s="24"/>
      <c r="C6" s="24"/>
      <c r="D6" s="24"/>
      <c r="E6" s="3">
        <f t="shared" si="13"/>
        <v>1250.5844589389349</v>
      </c>
      <c r="F6" s="3">
        <v>4870026</v>
      </c>
      <c r="G6" s="6">
        <v>3894.2</v>
      </c>
      <c r="H6" s="3" t="e">
        <f t="shared" si="14"/>
        <v>#DIV/0!</v>
      </c>
      <c r="I6" s="3">
        <v>0</v>
      </c>
      <c r="J6" s="6">
        <v>0</v>
      </c>
      <c r="K6" s="3" t="e">
        <f t="shared" si="15"/>
        <v>#DIV/0!</v>
      </c>
      <c r="L6" s="3">
        <v>0</v>
      </c>
      <c r="M6" s="6">
        <v>0</v>
      </c>
      <c r="N6" s="3" t="e">
        <f t="shared" si="16"/>
        <v>#DIV/0!</v>
      </c>
      <c r="O6" s="3">
        <v>0</v>
      </c>
      <c r="P6" s="6">
        <v>0</v>
      </c>
      <c r="Q6" s="3" t="e">
        <f t="shared" si="17"/>
        <v>#DIV/0!</v>
      </c>
      <c r="R6" s="3">
        <v>0</v>
      </c>
      <c r="S6" s="6">
        <v>0</v>
      </c>
      <c r="T6" s="3">
        <f t="shared" si="18"/>
        <v>1188.5533333333333</v>
      </c>
      <c r="U6" s="3">
        <v>2495962</v>
      </c>
      <c r="V6" s="6">
        <v>2100</v>
      </c>
      <c r="W6" s="3">
        <f t="shared" si="19"/>
        <v>1187.1659999999999</v>
      </c>
      <c r="X6" s="3">
        <v>1780749</v>
      </c>
      <c r="Y6" s="6">
        <v>1500</v>
      </c>
      <c r="Z6" s="3" t="e">
        <f t="shared" si="20"/>
        <v>#DIV/0!</v>
      </c>
      <c r="AA6" s="3">
        <v>0</v>
      </c>
      <c r="AB6" s="6">
        <v>0</v>
      </c>
      <c r="AC6" s="3" t="e">
        <f t="shared" si="21"/>
        <v>#DIV/0!</v>
      </c>
      <c r="AD6" s="3">
        <v>0</v>
      </c>
      <c r="AE6" s="6">
        <v>0</v>
      </c>
      <c r="AF6" s="3" t="e">
        <f t="shared" si="22"/>
        <v>#DIV/0!</v>
      </c>
      <c r="AG6" s="3">
        <v>0</v>
      </c>
      <c r="AH6" s="6">
        <v>0</v>
      </c>
      <c r="AI6" s="3">
        <f t="shared" si="23"/>
        <v>1349.6714285714286</v>
      </c>
      <c r="AJ6" s="3">
        <v>755816</v>
      </c>
      <c r="AK6" s="6">
        <v>560</v>
      </c>
      <c r="AL6" s="3">
        <f t="shared" si="24"/>
        <v>1349.6619186046512</v>
      </c>
      <c r="AM6" s="3">
        <v>4642837</v>
      </c>
      <c r="AN6" s="6">
        <v>3440</v>
      </c>
      <c r="AO6" s="3">
        <f t="shared" si="25"/>
        <v>1265.4547510918549</v>
      </c>
      <c r="AP6" s="3">
        <f t="shared" ref="AP6:AP66" si="30">SUM(F6,I6,L6,O6,R6,U6,X6,AA6,AD6,AG6,AJ6,AM6)</f>
        <v>14545390</v>
      </c>
      <c r="AQ6" s="6">
        <f t="shared" ref="AQ6:AQ66" si="31">SUM(G6,J6,M6,P6,S6,V6,Y6,AB6,AE6,AH6,AK6,AN6)</f>
        <v>11494.2</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7" t="s">
        <v>20</v>
      </c>
      <c r="B7" s="24"/>
      <c r="C7" s="24"/>
      <c r="D7" s="24"/>
      <c r="E7" s="3">
        <f t="shared" si="13"/>
        <v>1192.1005917159762</v>
      </c>
      <c r="F7" s="3">
        <v>3263733</v>
      </c>
      <c r="G7" s="6">
        <v>2737.8</v>
      </c>
      <c r="H7" s="3">
        <f t="shared" si="14"/>
        <v>1119.7771385113911</v>
      </c>
      <c r="I7" s="3">
        <v>3386542</v>
      </c>
      <c r="J7" s="6">
        <v>3024.3</v>
      </c>
      <c r="K7" s="3">
        <f t="shared" si="15"/>
        <v>1107.6202866900542</v>
      </c>
      <c r="L7" s="3">
        <v>4767530</v>
      </c>
      <c r="M7" s="6">
        <v>4304.3</v>
      </c>
      <c r="N7" s="3">
        <f t="shared" si="16"/>
        <v>1118.0182552220467</v>
      </c>
      <c r="O7" s="3">
        <v>3184675</v>
      </c>
      <c r="P7" s="6">
        <v>2848.5</v>
      </c>
      <c r="Q7" s="3">
        <f t="shared" si="17"/>
        <v>1186.8131265091095</v>
      </c>
      <c r="R7" s="3">
        <v>3244035</v>
      </c>
      <c r="S7" s="6">
        <v>2733.4</v>
      </c>
      <c r="T7" s="3">
        <f t="shared" si="18"/>
        <v>1018.6960954225711</v>
      </c>
      <c r="U7" s="3">
        <v>4996195</v>
      </c>
      <c r="V7" s="6">
        <v>4904.5</v>
      </c>
      <c r="W7" s="3">
        <f t="shared" si="19"/>
        <v>1066.5818116933326</v>
      </c>
      <c r="X7" s="3">
        <v>3586488</v>
      </c>
      <c r="Y7" s="6">
        <v>3362.6</v>
      </c>
      <c r="Z7" s="3">
        <f t="shared" si="20"/>
        <v>1290.6166094947698</v>
      </c>
      <c r="AA7" s="3">
        <v>3047533</v>
      </c>
      <c r="AB7" s="6">
        <v>2361.3000000000002</v>
      </c>
      <c r="AC7" s="3">
        <f t="shared" si="21"/>
        <v>1121.7007628294036</v>
      </c>
      <c r="AD7" s="3">
        <v>3881982</v>
      </c>
      <c r="AE7" s="6">
        <v>3460.8</v>
      </c>
      <c r="AF7" s="3">
        <f t="shared" si="22"/>
        <v>1031.8117793390932</v>
      </c>
      <c r="AG7" s="3">
        <v>6138661</v>
      </c>
      <c r="AH7" s="6">
        <v>5949.4</v>
      </c>
      <c r="AI7" s="3">
        <f t="shared" si="23"/>
        <v>1174.9000385290465</v>
      </c>
      <c r="AJ7" s="3">
        <v>2744449</v>
      </c>
      <c r="AK7" s="6">
        <v>2335.9</v>
      </c>
      <c r="AL7" s="3">
        <f t="shared" si="24"/>
        <v>1314.0815284766281</v>
      </c>
      <c r="AM7" s="3">
        <v>3604000</v>
      </c>
      <c r="AN7" s="6">
        <v>2742.6</v>
      </c>
      <c r="AO7" s="3">
        <f t="shared" si="25"/>
        <v>1124.6258591845044</v>
      </c>
      <c r="AP7" s="3">
        <f t="shared" si="30"/>
        <v>45845823</v>
      </c>
      <c r="AQ7" s="6">
        <f t="shared" si="31"/>
        <v>40765.4</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7" t="s">
        <v>76</v>
      </c>
      <c r="B8" s="24"/>
      <c r="C8" s="24"/>
      <c r="D8" s="24"/>
      <c r="E8" s="3" t="e">
        <f t="shared" si="13"/>
        <v>#DIV/0!</v>
      </c>
      <c r="F8" s="3">
        <v>0</v>
      </c>
      <c r="G8" s="6">
        <v>0</v>
      </c>
      <c r="H8" s="3" t="e">
        <f t="shared" si="14"/>
        <v>#DIV/0!</v>
      </c>
      <c r="I8" s="3">
        <v>0</v>
      </c>
      <c r="J8" s="6">
        <v>0</v>
      </c>
      <c r="K8" s="3">
        <f t="shared" si="15"/>
        <v>883.33333333333337</v>
      </c>
      <c r="L8" s="3">
        <v>1325000</v>
      </c>
      <c r="M8" s="6">
        <v>1500</v>
      </c>
      <c r="N8" s="3" t="e">
        <f t="shared" si="16"/>
        <v>#DIV/0!</v>
      </c>
      <c r="O8" s="3">
        <v>0</v>
      </c>
      <c r="P8" s="6">
        <v>0</v>
      </c>
      <c r="Q8" s="3" t="e">
        <f t="shared" si="17"/>
        <v>#DIV/0!</v>
      </c>
      <c r="R8" s="3">
        <v>0</v>
      </c>
      <c r="S8" s="6">
        <v>0</v>
      </c>
      <c r="T8" s="3" t="e">
        <f t="shared" si="18"/>
        <v>#DIV/0!</v>
      </c>
      <c r="U8" s="3">
        <v>0</v>
      </c>
      <c r="V8" s="6">
        <v>0</v>
      </c>
      <c r="W8" s="3">
        <f t="shared" si="19"/>
        <v>7570</v>
      </c>
      <c r="X8" s="3">
        <v>3028</v>
      </c>
      <c r="Y8" s="6">
        <v>0.4</v>
      </c>
      <c r="Z8" s="3" t="e">
        <f t="shared" si="20"/>
        <v>#DIV/0!</v>
      </c>
      <c r="AA8" s="3">
        <v>0</v>
      </c>
      <c r="AB8" s="6">
        <v>0</v>
      </c>
      <c r="AC8" s="3" t="e">
        <f t="shared" si="21"/>
        <v>#DIV/0!</v>
      </c>
      <c r="AD8" s="3">
        <v>0</v>
      </c>
      <c r="AE8" s="6">
        <v>0</v>
      </c>
      <c r="AF8" s="3" t="e">
        <f t="shared" si="22"/>
        <v>#DIV/0!</v>
      </c>
      <c r="AG8" s="3">
        <v>0</v>
      </c>
      <c r="AH8" s="6">
        <v>0</v>
      </c>
      <c r="AI8" s="3" t="e">
        <f t="shared" si="23"/>
        <v>#DIV/0!</v>
      </c>
      <c r="AJ8" s="3">
        <v>0</v>
      </c>
      <c r="AK8" s="6">
        <v>0</v>
      </c>
      <c r="AL8" s="3">
        <f t="shared" si="24"/>
        <v>1040</v>
      </c>
      <c r="AM8" s="3">
        <v>1591200</v>
      </c>
      <c r="AN8" s="6">
        <v>1530</v>
      </c>
      <c r="AO8" s="3">
        <f t="shared" si="25"/>
        <v>963.31441393875389</v>
      </c>
      <c r="AP8" s="3">
        <f t="shared" si="30"/>
        <v>2919228</v>
      </c>
      <c r="AQ8" s="6">
        <f t="shared" si="31"/>
        <v>3030.4</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7" t="s">
        <v>38</v>
      </c>
      <c r="B9" s="24"/>
      <c r="C9" s="24"/>
      <c r="D9" s="24"/>
      <c r="E9" s="3">
        <f t="shared" si="13"/>
        <v>1178.9964912280702</v>
      </c>
      <c r="F9" s="3">
        <v>168007</v>
      </c>
      <c r="G9" s="6">
        <v>142.5</v>
      </c>
      <c r="H9" s="3">
        <f t="shared" si="14"/>
        <v>1158.2343434343434</v>
      </c>
      <c r="I9" s="3">
        <v>286663</v>
      </c>
      <c r="J9" s="6">
        <v>247.5</v>
      </c>
      <c r="K9" s="3">
        <f t="shared" si="15"/>
        <v>1164.4601328903655</v>
      </c>
      <c r="L9" s="3">
        <v>280402</v>
      </c>
      <c r="M9" s="6">
        <v>240.8</v>
      </c>
      <c r="N9" s="3">
        <f t="shared" si="16"/>
        <v>1286.8942505133471</v>
      </c>
      <c r="O9" s="3">
        <v>752061</v>
      </c>
      <c r="P9" s="6">
        <v>584.4</v>
      </c>
      <c r="Q9" s="3">
        <f t="shared" si="17"/>
        <v>1160.1364325416878</v>
      </c>
      <c r="R9" s="3">
        <v>459182</v>
      </c>
      <c r="S9" s="6">
        <v>395.8</v>
      </c>
      <c r="T9" s="3">
        <f t="shared" si="18"/>
        <v>1158.1772023356182</v>
      </c>
      <c r="U9" s="3">
        <v>456206</v>
      </c>
      <c r="V9" s="6">
        <v>393.9</v>
      </c>
      <c r="W9" s="3">
        <f t="shared" si="19"/>
        <v>1219.364629704573</v>
      </c>
      <c r="X9" s="3">
        <v>301305</v>
      </c>
      <c r="Y9" s="6">
        <v>247.1</v>
      </c>
      <c r="Z9" s="3">
        <f t="shared" si="20"/>
        <v>1143.2559598494354</v>
      </c>
      <c r="AA9" s="3">
        <v>546705</v>
      </c>
      <c r="AB9" s="6">
        <v>478.2</v>
      </c>
      <c r="AC9" s="3">
        <f t="shared" si="21"/>
        <v>1214.0213346564128</v>
      </c>
      <c r="AD9" s="3">
        <v>489372</v>
      </c>
      <c r="AE9" s="6">
        <v>403.1</v>
      </c>
      <c r="AF9" s="3">
        <f t="shared" si="22"/>
        <v>1414.6255850234011</v>
      </c>
      <c r="AG9" s="3">
        <v>725420</v>
      </c>
      <c r="AH9" s="6">
        <v>512.79999999999995</v>
      </c>
      <c r="AI9" s="3">
        <f t="shared" si="23"/>
        <v>1404.2297084318361</v>
      </c>
      <c r="AJ9" s="3">
        <v>712787</v>
      </c>
      <c r="AK9" s="6">
        <v>507.6</v>
      </c>
      <c r="AL9" s="3">
        <f t="shared" si="24"/>
        <v>1440.6640211640211</v>
      </c>
      <c r="AM9" s="3">
        <v>544571</v>
      </c>
      <c r="AN9" s="6">
        <v>378</v>
      </c>
      <c r="AO9" s="3">
        <f t="shared" si="25"/>
        <v>1262.8110863472868</v>
      </c>
      <c r="AP9" s="3">
        <f t="shared" si="30"/>
        <v>5722681</v>
      </c>
      <c r="AQ9" s="6">
        <f t="shared" si="31"/>
        <v>4531.7</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7" t="s">
        <v>33</v>
      </c>
      <c r="B10" s="24"/>
      <c r="C10" s="24"/>
      <c r="D10" s="24"/>
      <c r="E10" s="3">
        <f t="shared" si="13"/>
        <v>1150.1064249113126</v>
      </c>
      <c r="F10" s="3">
        <v>291782</v>
      </c>
      <c r="G10" s="6">
        <v>253.7</v>
      </c>
      <c r="H10" s="3" t="e">
        <f t="shared" si="14"/>
        <v>#DIV/0!</v>
      </c>
      <c r="I10" s="3">
        <v>0</v>
      </c>
      <c r="J10" s="6">
        <v>0</v>
      </c>
      <c r="K10" s="3">
        <f t="shared" si="15"/>
        <v>1968.0555555555557</v>
      </c>
      <c r="L10" s="3">
        <v>35425</v>
      </c>
      <c r="M10" s="6">
        <v>18</v>
      </c>
      <c r="N10" s="3" t="e">
        <f t="shared" si="16"/>
        <v>#DIV/0!</v>
      </c>
      <c r="O10" s="3">
        <v>0</v>
      </c>
      <c r="P10" s="6">
        <v>0</v>
      </c>
      <c r="Q10" s="3">
        <f t="shared" si="17"/>
        <v>976.84005201560456</v>
      </c>
      <c r="R10" s="3">
        <v>300476</v>
      </c>
      <c r="S10" s="6">
        <v>307.60000000000002</v>
      </c>
      <c r="T10" s="3">
        <f t="shared" si="18"/>
        <v>1480.8947368421052</v>
      </c>
      <c r="U10" s="3">
        <v>28137</v>
      </c>
      <c r="V10" s="6">
        <v>19</v>
      </c>
      <c r="W10" s="3">
        <f t="shared" si="19"/>
        <v>2309.3220338983051</v>
      </c>
      <c r="X10" s="3">
        <v>13625</v>
      </c>
      <c r="Y10" s="6">
        <v>5.9</v>
      </c>
      <c r="Z10" s="3">
        <f t="shared" si="20"/>
        <v>1432.3825831702543</v>
      </c>
      <c r="AA10" s="3">
        <v>292779</v>
      </c>
      <c r="AB10" s="6">
        <v>204.4</v>
      </c>
      <c r="AC10" s="3">
        <f t="shared" si="21"/>
        <v>2338.0357142857142</v>
      </c>
      <c r="AD10" s="3">
        <v>13093</v>
      </c>
      <c r="AE10" s="6">
        <v>5.6</v>
      </c>
      <c r="AF10" s="3">
        <f t="shared" si="22"/>
        <v>1117.7217358203275</v>
      </c>
      <c r="AG10" s="3">
        <v>587251</v>
      </c>
      <c r="AH10" s="6">
        <v>525.4</v>
      </c>
      <c r="AI10" s="3">
        <f t="shared" si="23"/>
        <v>1884.7321428571429</v>
      </c>
      <c r="AJ10" s="3">
        <v>21109</v>
      </c>
      <c r="AK10" s="6">
        <v>11.2</v>
      </c>
      <c r="AL10" s="3">
        <f t="shared" si="24"/>
        <v>1329.836217552534</v>
      </c>
      <c r="AM10" s="3">
        <v>430335</v>
      </c>
      <c r="AN10" s="6">
        <v>323.60000000000002</v>
      </c>
      <c r="AO10" s="3">
        <f t="shared" si="25"/>
        <v>1202.8260869565217</v>
      </c>
      <c r="AP10" s="3">
        <f t="shared" si="30"/>
        <v>2014012</v>
      </c>
      <c r="AQ10" s="6">
        <f t="shared" si="31"/>
        <v>1674.4</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7" t="s">
        <v>28</v>
      </c>
      <c r="B11" s="24"/>
      <c r="C11" s="24"/>
      <c r="D11" s="24"/>
      <c r="E11" s="3">
        <f t="shared" si="13"/>
        <v>1367.7828348504549</v>
      </c>
      <c r="F11" s="3">
        <v>210365</v>
      </c>
      <c r="G11" s="6">
        <v>153.80000000000001</v>
      </c>
      <c r="H11" s="3">
        <f t="shared" si="14"/>
        <v>1491.7436661698957</v>
      </c>
      <c r="I11" s="3">
        <v>100096</v>
      </c>
      <c r="J11" s="6">
        <v>67.099999999999994</v>
      </c>
      <c r="K11" s="3">
        <f t="shared" si="15"/>
        <v>1281.3917050691243</v>
      </c>
      <c r="L11" s="3">
        <v>278062</v>
      </c>
      <c r="M11" s="6">
        <v>217</v>
      </c>
      <c r="N11" s="3">
        <f t="shared" si="16"/>
        <v>1291.8940052128585</v>
      </c>
      <c r="O11" s="3">
        <v>148697</v>
      </c>
      <c r="P11" s="6">
        <v>115.1</v>
      </c>
      <c r="Q11" s="3">
        <f t="shared" si="17"/>
        <v>1464.3675889328063</v>
      </c>
      <c r="R11" s="3">
        <v>148194</v>
      </c>
      <c r="S11" s="6">
        <v>101.2</v>
      </c>
      <c r="T11" s="3">
        <f t="shared" si="18"/>
        <v>1177.2464741437207</v>
      </c>
      <c r="U11" s="3">
        <v>175292</v>
      </c>
      <c r="V11" s="6">
        <v>148.9</v>
      </c>
      <c r="W11" s="3">
        <f t="shared" si="19"/>
        <v>1224.7764530551417</v>
      </c>
      <c r="X11" s="3">
        <v>164365</v>
      </c>
      <c r="Y11" s="6">
        <v>134.19999999999999</v>
      </c>
      <c r="Z11" s="3">
        <f t="shared" si="20"/>
        <v>1534.617067833698</v>
      </c>
      <c r="AA11" s="3">
        <v>280528</v>
      </c>
      <c r="AB11" s="6">
        <v>182.8</v>
      </c>
      <c r="AC11" s="3">
        <f t="shared" si="21"/>
        <v>1293.167115902965</v>
      </c>
      <c r="AD11" s="3">
        <v>191906</v>
      </c>
      <c r="AE11" s="6">
        <v>148.4</v>
      </c>
      <c r="AF11" s="3">
        <f t="shared" si="22"/>
        <v>1387.6515597410241</v>
      </c>
      <c r="AG11" s="3">
        <v>235762</v>
      </c>
      <c r="AH11" s="6">
        <v>169.9</v>
      </c>
      <c r="AI11" s="3">
        <f t="shared" si="23"/>
        <v>1370.4632152588556</v>
      </c>
      <c r="AJ11" s="3">
        <v>251480</v>
      </c>
      <c r="AK11" s="6">
        <v>183.5</v>
      </c>
      <c r="AL11" s="3">
        <f t="shared" si="24"/>
        <v>1404.9317738791424</v>
      </c>
      <c r="AM11" s="3">
        <v>360365</v>
      </c>
      <c r="AN11" s="6">
        <v>256.5</v>
      </c>
      <c r="AO11" s="3">
        <f t="shared" si="25"/>
        <v>1354.9361158432707</v>
      </c>
      <c r="AP11" s="3">
        <f t="shared" si="30"/>
        <v>2545112</v>
      </c>
      <c r="AQ11" s="6">
        <f t="shared" si="31"/>
        <v>1878.4</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7" t="s">
        <v>37</v>
      </c>
      <c r="B12" s="24"/>
      <c r="C12" s="24"/>
      <c r="D12" s="24"/>
      <c r="E12" s="3">
        <f>F12/G12</f>
        <v>1305.390686661405</v>
      </c>
      <c r="F12" s="3">
        <v>165393</v>
      </c>
      <c r="G12" s="6">
        <v>126.7</v>
      </c>
      <c r="H12" s="3">
        <f>I12/J12</f>
        <v>1195.1079136690646</v>
      </c>
      <c r="I12" s="3">
        <v>49836</v>
      </c>
      <c r="J12" s="6">
        <v>41.7</v>
      </c>
      <c r="K12" s="3">
        <f>L12/M12</f>
        <v>1285.3809141940658</v>
      </c>
      <c r="L12" s="3">
        <v>160287</v>
      </c>
      <c r="M12" s="6">
        <v>124.7</v>
      </c>
      <c r="N12" s="3">
        <f>O12/P12</f>
        <v>1258.5998013902681</v>
      </c>
      <c r="O12" s="3">
        <v>253482</v>
      </c>
      <c r="P12" s="6">
        <v>201.4</v>
      </c>
      <c r="Q12" s="3">
        <f>R12/S12</f>
        <v>1290.2844214608922</v>
      </c>
      <c r="R12" s="3">
        <v>199607</v>
      </c>
      <c r="S12" s="6">
        <v>154.69999999999999</v>
      </c>
      <c r="T12" s="3">
        <f>U12/V12</f>
        <v>1254.1524310118266</v>
      </c>
      <c r="U12" s="3">
        <v>190882</v>
      </c>
      <c r="V12" s="6">
        <v>152.19999999999999</v>
      </c>
      <c r="W12" s="3">
        <f>X12/Y12</f>
        <v>1246.488326848249</v>
      </c>
      <c r="X12" s="3">
        <v>128139</v>
      </c>
      <c r="Y12" s="6">
        <v>102.8</v>
      </c>
      <c r="Z12" s="3">
        <f>AA12/AB12</f>
        <v>1237.0727272727272</v>
      </c>
      <c r="AA12" s="3">
        <v>136078</v>
      </c>
      <c r="AB12" s="6">
        <v>110</v>
      </c>
      <c r="AC12" s="3">
        <f>AD12/AE12</f>
        <v>1415.7832988267771</v>
      </c>
      <c r="AD12" s="3">
        <v>205147</v>
      </c>
      <c r="AE12" s="6">
        <v>144.9</v>
      </c>
      <c r="AF12" s="3">
        <f>AG12/AH12</f>
        <v>1428.656346749226</v>
      </c>
      <c r="AG12" s="3">
        <v>230728</v>
      </c>
      <c r="AH12" s="6">
        <v>161.5</v>
      </c>
      <c r="AI12" s="3">
        <f>AJ12/AK12</f>
        <v>1504.2986425339366</v>
      </c>
      <c r="AJ12" s="3">
        <v>265960</v>
      </c>
      <c r="AK12" s="6">
        <v>176.8</v>
      </c>
      <c r="AL12" s="3">
        <f>AM12/AN12</f>
        <v>1546.4251893939395</v>
      </c>
      <c r="AM12" s="3">
        <v>326605</v>
      </c>
      <c r="AN12" s="6">
        <v>211.2</v>
      </c>
      <c r="AO12" s="3">
        <f t="shared" si="25"/>
        <v>1353.2389090483437</v>
      </c>
      <c r="AP12" s="3">
        <f t="shared" si="30"/>
        <v>2312144</v>
      </c>
      <c r="AQ12" s="6">
        <f t="shared" si="31"/>
        <v>1708.6000000000001</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7" t="s">
        <v>77</v>
      </c>
      <c r="B13" s="24"/>
      <c r="C13" s="24"/>
      <c r="D13" s="24"/>
      <c r="E13" s="3" t="e">
        <f t="shared" ref="E13:E66" si="32">F13/G13</f>
        <v>#DIV/0!</v>
      </c>
      <c r="F13" s="3">
        <v>0</v>
      </c>
      <c r="G13" s="6">
        <v>0</v>
      </c>
      <c r="H13" s="3" t="e">
        <f t="shared" ref="H13:H66" si="33">I13/J13</f>
        <v>#DIV/0!</v>
      </c>
      <c r="I13" s="3">
        <v>0</v>
      </c>
      <c r="J13" s="6">
        <v>0</v>
      </c>
      <c r="K13" s="3" t="e">
        <f t="shared" ref="K13:K66" si="34">L13/M13</f>
        <v>#DIV/0!</v>
      </c>
      <c r="L13" s="3">
        <v>0</v>
      </c>
      <c r="M13" s="6">
        <v>0</v>
      </c>
      <c r="N13" s="3" t="e">
        <f t="shared" ref="N13:N66" si="35">O13/P13</f>
        <v>#DIV/0!</v>
      </c>
      <c r="O13" s="3">
        <v>0</v>
      </c>
      <c r="P13" s="6">
        <v>0</v>
      </c>
      <c r="Q13" s="3" t="e">
        <f t="shared" ref="Q13:Q66" si="36">R13/S13</f>
        <v>#DIV/0!</v>
      </c>
      <c r="R13" s="3">
        <v>0</v>
      </c>
      <c r="S13" s="6">
        <v>0</v>
      </c>
      <c r="T13" s="3" t="e">
        <f t="shared" ref="T13:T66" si="37">U13/V13</f>
        <v>#DIV/0!</v>
      </c>
      <c r="U13" s="3">
        <v>0</v>
      </c>
      <c r="V13" s="6">
        <v>0</v>
      </c>
      <c r="W13" s="3" t="e">
        <f t="shared" ref="W13:W66" si="38">X13/Y13</f>
        <v>#DIV/0!</v>
      </c>
      <c r="X13" s="3">
        <v>0</v>
      </c>
      <c r="Y13" s="6">
        <v>0</v>
      </c>
      <c r="Z13" s="3" t="e">
        <f t="shared" ref="Z13:Z66" si="39">AA13/AB13</f>
        <v>#DIV/0!</v>
      </c>
      <c r="AA13" s="3">
        <v>0</v>
      </c>
      <c r="AB13" s="6">
        <v>0</v>
      </c>
      <c r="AC13" s="3" t="e">
        <f t="shared" ref="AC13:AC66" si="40">AD13/AE13</f>
        <v>#DIV/0!</v>
      </c>
      <c r="AD13" s="3">
        <v>0</v>
      </c>
      <c r="AE13" s="6">
        <v>0</v>
      </c>
      <c r="AF13" s="3" t="e">
        <f t="shared" ref="AF13:AF66" si="41">AG13/AH13</f>
        <v>#DIV/0!</v>
      </c>
      <c r="AG13" s="3">
        <v>0</v>
      </c>
      <c r="AH13" s="6">
        <v>0</v>
      </c>
      <c r="AI13" s="3" t="e">
        <f t="shared" ref="AI13:AI66" si="42">AJ13/AK13</f>
        <v>#DIV/0!</v>
      </c>
      <c r="AJ13" s="3">
        <v>0</v>
      </c>
      <c r="AK13" s="6">
        <v>0</v>
      </c>
      <c r="AL13" s="3">
        <f t="shared" ref="AL13:AL66" si="43">AM13/AN13</f>
        <v>1293.12124248497</v>
      </c>
      <c r="AM13" s="3">
        <v>258107</v>
      </c>
      <c r="AN13" s="6">
        <v>199.6</v>
      </c>
      <c r="AO13" s="3">
        <f t="shared" si="25"/>
        <v>1293.12124248497</v>
      </c>
      <c r="AP13" s="3">
        <f t="shared" si="30"/>
        <v>258107</v>
      </c>
      <c r="AQ13" s="6">
        <f t="shared" si="31"/>
        <v>199.6</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7" t="s">
        <v>78</v>
      </c>
      <c r="B14" s="24"/>
      <c r="C14" s="24"/>
      <c r="D14" s="24"/>
      <c r="E14" s="3" t="e">
        <f t="shared" si="32"/>
        <v>#DIV/0!</v>
      </c>
      <c r="F14" s="3">
        <v>0</v>
      </c>
      <c r="G14" s="6">
        <v>0</v>
      </c>
      <c r="H14" s="3" t="e">
        <f t="shared" si="33"/>
        <v>#DIV/0!</v>
      </c>
      <c r="I14" s="3">
        <v>0</v>
      </c>
      <c r="J14" s="6">
        <v>0</v>
      </c>
      <c r="K14" s="3" t="e">
        <f t="shared" si="34"/>
        <v>#DIV/0!</v>
      </c>
      <c r="L14" s="3">
        <v>0</v>
      </c>
      <c r="M14" s="6">
        <v>0</v>
      </c>
      <c r="N14" s="3" t="e">
        <f t="shared" si="35"/>
        <v>#DIV/0!</v>
      </c>
      <c r="O14" s="3">
        <v>0</v>
      </c>
      <c r="P14" s="6">
        <v>0</v>
      </c>
      <c r="Q14" s="3" t="e">
        <f t="shared" si="36"/>
        <v>#DIV/0!</v>
      </c>
      <c r="R14" s="3">
        <v>0</v>
      </c>
      <c r="S14" s="6">
        <v>0</v>
      </c>
      <c r="T14" s="3" t="e">
        <f t="shared" si="37"/>
        <v>#DIV/0!</v>
      </c>
      <c r="U14" s="3">
        <v>0</v>
      </c>
      <c r="V14" s="6">
        <v>0</v>
      </c>
      <c r="W14" s="3" t="e">
        <f t="shared" si="38"/>
        <v>#DIV/0!</v>
      </c>
      <c r="X14" s="3">
        <v>0</v>
      </c>
      <c r="Y14" s="6">
        <v>0</v>
      </c>
      <c r="Z14" s="3" t="e">
        <f t="shared" si="39"/>
        <v>#DIV/0!</v>
      </c>
      <c r="AA14" s="3">
        <v>0</v>
      </c>
      <c r="AB14" s="6">
        <v>0</v>
      </c>
      <c r="AC14" s="3" t="e">
        <f t="shared" si="40"/>
        <v>#DIV/0!</v>
      </c>
      <c r="AD14" s="3">
        <v>0</v>
      </c>
      <c r="AE14" s="6">
        <v>0</v>
      </c>
      <c r="AF14" s="3">
        <f t="shared" si="41"/>
        <v>1393.1711538461539</v>
      </c>
      <c r="AG14" s="3">
        <v>724449</v>
      </c>
      <c r="AH14" s="6">
        <v>520</v>
      </c>
      <c r="AI14" s="3" t="e">
        <f t="shared" si="42"/>
        <v>#DIV/0!</v>
      </c>
      <c r="AJ14" s="3">
        <v>0</v>
      </c>
      <c r="AK14" s="6">
        <v>0</v>
      </c>
      <c r="AL14" s="3">
        <f t="shared" si="43"/>
        <v>1475.2614015572858</v>
      </c>
      <c r="AM14" s="3">
        <v>132626</v>
      </c>
      <c r="AN14" s="6">
        <v>89.9</v>
      </c>
      <c r="AO14" s="3">
        <f t="shared" si="25"/>
        <v>1405.2713559599936</v>
      </c>
      <c r="AP14" s="3">
        <f t="shared" si="30"/>
        <v>857075</v>
      </c>
      <c r="AQ14" s="6">
        <f t="shared" si="31"/>
        <v>609.9</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7" t="s">
        <v>26</v>
      </c>
      <c r="B15" s="24"/>
      <c r="C15" s="24"/>
      <c r="D15" s="24"/>
      <c r="E15" s="3" t="e">
        <f t="shared" si="32"/>
        <v>#DIV/0!</v>
      </c>
      <c r="F15" s="3">
        <v>0</v>
      </c>
      <c r="G15" s="6">
        <v>0</v>
      </c>
      <c r="H15" s="3" t="e">
        <f t="shared" si="33"/>
        <v>#DIV/0!</v>
      </c>
      <c r="I15" s="3">
        <v>0</v>
      </c>
      <c r="J15" s="6">
        <v>0</v>
      </c>
      <c r="K15" s="3">
        <f t="shared" si="34"/>
        <v>1549.1397849462364</v>
      </c>
      <c r="L15" s="3">
        <v>57628</v>
      </c>
      <c r="M15" s="6">
        <v>37.200000000000003</v>
      </c>
      <c r="N15" s="3">
        <f t="shared" si="35"/>
        <v>1549.1397849462364</v>
      </c>
      <c r="O15" s="3">
        <v>57628</v>
      </c>
      <c r="P15" s="6">
        <v>37.200000000000003</v>
      </c>
      <c r="Q15" s="3">
        <f t="shared" si="36"/>
        <v>1549.1397849462367</v>
      </c>
      <c r="R15" s="3">
        <v>86442</v>
      </c>
      <c r="S15" s="6">
        <v>55.8</v>
      </c>
      <c r="T15" s="3">
        <f t="shared" si="37"/>
        <v>1547.7948717948718</v>
      </c>
      <c r="U15" s="3">
        <v>30182</v>
      </c>
      <c r="V15" s="6">
        <v>19.5</v>
      </c>
      <c r="W15" s="3">
        <f t="shared" si="38"/>
        <v>1549.7817715019255</v>
      </c>
      <c r="X15" s="3">
        <v>120728</v>
      </c>
      <c r="Y15" s="6">
        <v>77.900000000000006</v>
      </c>
      <c r="Z15" s="3">
        <f t="shared" si="39"/>
        <v>1547.7948717948718</v>
      </c>
      <c r="AA15" s="3">
        <v>60364</v>
      </c>
      <c r="AB15" s="6">
        <v>39</v>
      </c>
      <c r="AC15" s="3">
        <f t="shared" si="40"/>
        <v>1248.9103448275862</v>
      </c>
      <c r="AD15" s="3">
        <v>90546</v>
      </c>
      <c r="AE15" s="6">
        <v>72.5</v>
      </c>
      <c r="AF15" s="3">
        <f t="shared" si="41"/>
        <v>1320.8752735229759</v>
      </c>
      <c r="AG15" s="3">
        <v>120728</v>
      </c>
      <c r="AH15" s="6">
        <v>91.4</v>
      </c>
      <c r="AI15" s="3" t="e">
        <f t="shared" si="42"/>
        <v>#DIV/0!</v>
      </c>
      <c r="AJ15" s="3">
        <v>0</v>
      </c>
      <c r="AK15" s="6">
        <v>0</v>
      </c>
      <c r="AL15" s="3">
        <f t="shared" si="43"/>
        <v>1302.3516720604098</v>
      </c>
      <c r="AM15" s="3">
        <v>120728</v>
      </c>
      <c r="AN15" s="6">
        <v>92.7</v>
      </c>
      <c r="AO15" s="3">
        <f t="shared" si="25"/>
        <v>1423.8799694189602</v>
      </c>
      <c r="AP15" s="3">
        <f t="shared" si="30"/>
        <v>744974</v>
      </c>
      <c r="AQ15" s="6">
        <f t="shared" si="31"/>
        <v>523.20000000000005</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7" t="s">
        <v>53</v>
      </c>
      <c r="B16" s="24"/>
      <c r="C16" s="24"/>
      <c r="D16" s="24"/>
      <c r="E16" s="3" t="e">
        <f t="shared" si="32"/>
        <v>#DIV/0!</v>
      </c>
      <c r="F16" s="3">
        <v>0</v>
      </c>
      <c r="G16" s="6">
        <v>0</v>
      </c>
      <c r="H16" s="3">
        <f t="shared" si="33"/>
        <v>1000.0000000000001</v>
      </c>
      <c r="I16" s="3">
        <v>20400</v>
      </c>
      <c r="J16" s="6">
        <v>20.399999999999999</v>
      </c>
      <c r="K16" s="3">
        <f t="shared" si="34"/>
        <v>1273.5</v>
      </c>
      <c r="L16" s="3">
        <v>25470</v>
      </c>
      <c r="M16" s="6">
        <v>20</v>
      </c>
      <c r="N16" s="3" t="e">
        <f t="shared" si="35"/>
        <v>#DIV/0!</v>
      </c>
      <c r="O16" s="3">
        <v>0</v>
      </c>
      <c r="P16" s="6">
        <v>0</v>
      </c>
      <c r="Q16" s="3">
        <f t="shared" si="36"/>
        <v>1225.6737588652481</v>
      </c>
      <c r="R16" s="3">
        <v>34564</v>
      </c>
      <c r="S16" s="6">
        <v>28.2</v>
      </c>
      <c r="T16" s="3">
        <f t="shared" si="37"/>
        <v>1559.2727272727273</v>
      </c>
      <c r="U16" s="3">
        <v>8576</v>
      </c>
      <c r="V16" s="6">
        <v>5.5</v>
      </c>
      <c r="W16" s="3">
        <f t="shared" si="38"/>
        <v>1007.035175879397</v>
      </c>
      <c r="X16" s="3">
        <v>20040</v>
      </c>
      <c r="Y16" s="6">
        <v>19.899999999999999</v>
      </c>
      <c r="Z16" s="3">
        <f t="shared" si="39"/>
        <v>1558.1666666666667</v>
      </c>
      <c r="AA16" s="3">
        <v>9349</v>
      </c>
      <c r="AB16" s="6">
        <v>6</v>
      </c>
      <c r="AC16" s="3">
        <f t="shared" si="40"/>
        <v>1546.3302752293578</v>
      </c>
      <c r="AD16" s="3">
        <v>33710</v>
      </c>
      <c r="AE16" s="6">
        <v>21.8</v>
      </c>
      <c r="AF16" s="3" t="e">
        <f t="shared" si="41"/>
        <v>#DIV/0!</v>
      </c>
      <c r="AG16" s="3">
        <v>0</v>
      </c>
      <c r="AH16" s="6">
        <v>0</v>
      </c>
      <c r="AI16" s="3" t="e">
        <f t="shared" si="42"/>
        <v>#DIV/0!</v>
      </c>
      <c r="AJ16" s="3">
        <v>0</v>
      </c>
      <c r="AK16" s="6">
        <v>0</v>
      </c>
      <c r="AL16" s="3">
        <f t="shared" si="43"/>
        <v>1615.3846153846155</v>
      </c>
      <c r="AM16" s="3">
        <v>63000</v>
      </c>
      <c r="AN16" s="6">
        <v>39</v>
      </c>
      <c r="AO16" s="3">
        <f t="shared" si="25"/>
        <v>1337.7425373134326</v>
      </c>
      <c r="AP16" s="3">
        <f t="shared" si="30"/>
        <v>215109</v>
      </c>
      <c r="AQ16" s="6">
        <f t="shared" si="31"/>
        <v>160.80000000000001</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7" t="s">
        <v>36</v>
      </c>
      <c r="B17" s="24"/>
      <c r="C17" s="24"/>
      <c r="D17" s="24"/>
      <c r="E17" s="3">
        <f t="shared" si="32"/>
        <v>2867.3529411764707</v>
      </c>
      <c r="F17" s="3">
        <v>116988</v>
      </c>
      <c r="G17" s="6">
        <v>40.799999999999997</v>
      </c>
      <c r="H17" s="3" t="e">
        <f t="shared" si="33"/>
        <v>#DIV/0!</v>
      </c>
      <c r="I17" s="3">
        <v>0</v>
      </c>
      <c r="J17" s="6">
        <v>0</v>
      </c>
      <c r="K17" s="3">
        <f t="shared" si="34"/>
        <v>2829.497487437186</v>
      </c>
      <c r="L17" s="3">
        <v>56307</v>
      </c>
      <c r="M17" s="6">
        <v>19.899999999999999</v>
      </c>
      <c r="N17" s="3">
        <f t="shared" si="35"/>
        <v>3069.6411483253592</v>
      </c>
      <c r="O17" s="3">
        <v>128311</v>
      </c>
      <c r="P17" s="6">
        <v>41.8</v>
      </c>
      <c r="Q17" s="3">
        <f t="shared" si="36"/>
        <v>3070.1005025125633</v>
      </c>
      <c r="R17" s="3">
        <v>61095</v>
      </c>
      <c r="S17" s="6">
        <v>19.899999999999999</v>
      </c>
      <c r="T17" s="3">
        <f t="shared" si="37"/>
        <v>3013.1386861313867</v>
      </c>
      <c r="U17" s="3">
        <v>123840</v>
      </c>
      <c r="V17" s="6">
        <v>41.1</v>
      </c>
      <c r="W17" s="3">
        <f t="shared" si="38"/>
        <v>2388.4263959390864</v>
      </c>
      <c r="X17" s="3">
        <v>94104</v>
      </c>
      <c r="Y17" s="6">
        <v>39.4</v>
      </c>
      <c r="Z17" s="3">
        <f t="shared" si="39"/>
        <v>3126.5336658354113</v>
      </c>
      <c r="AA17" s="3">
        <v>125374</v>
      </c>
      <c r="AB17" s="6">
        <v>40.1</v>
      </c>
      <c r="AC17" s="3">
        <f t="shared" si="40"/>
        <v>2098.890876565295</v>
      </c>
      <c r="AD17" s="3">
        <v>117328</v>
      </c>
      <c r="AE17" s="6">
        <v>55.9</v>
      </c>
      <c r="AF17" s="3">
        <f t="shared" si="41"/>
        <v>2795.0377833753146</v>
      </c>
      <c r="AG17" s="3">
        <v>110963</v>
      </c>
      <c r="AH17" s="6">
        <v>39.700000000000003</v>
      </c>
      <c r="AI17" s="3">
        <f t="shared" si="42"/>
        <v>3192.9797979797977</v>
      </c>
      <c r="AJ17" s="3">
        <v>63221</v>
      </c>
      <c r="AK17" s="6">
        <v>19.8</v>
      </c>
      <c r="AL17" s="3">
        <f t="shared" si="43"/>
        <v>3028.6802030456852</v>
      </c>
      <c r="AM17" s="3">
        <v>59665</v>
      </c>
      <c r="AN17" s="6">
        <v>19.7</v>
      </c>
      <c r="AO17" s="3">
        <f t="shared" si="25"/>
        <v>2796.0751124041262</v>
      </c>
      <c r="AP17" s="3">
        <f t="shared" si="30"/>
        <v>1057196</v>
      </c>
      <c r="AQ17" s="6">
        <f t="shared" si="31"/>
        <v>378.09999999999997</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7" t="s">
        <v>55</v>
      </c>
      <c r="B18" s="24"/>
      <c r="C18" s="24"/>
      <c r="D18" s="24"/>
      <c r="E18" s="3" t="e">
        <f t="shared" si="32"/>
        <v>#DIV/0!</v>
      </c>
      <c r="F18" s="3">
        <v>0</v>
      </c>
      <c r="G18" s="6">
        <v>0</v>
      </c>
      <c r="H18" s="3">
        <f t="shared" si="33"/>
        <v>1235.9868421052631</v>
      </c>
      <c r="I18" s="3">
        <v>18787</v>
      </c>
      <c r="J18" s="6">
        <v>15.2</v>
      </c>
      <c r="K18" s="3" t="e">
        <f t="shared" si="34"/>
        <v>#DIV/0!</v>
      </c>
      <c r="L18" s="3">
        <v>0</v>
      </c>
      <c r="M18" s="6">
        <v>0</v>
      </c>
      <c r="N18" s="3">
        <f t="shared" si="35"/>
        <v>1360.3443526170799</v>
      </c>
      <c r="O18" s="3">
        <v>98761</v>
      </c>
      <c r="P18" s="6">
        <v>72.599999999999994</v>
      </c>
      <c r="Q18" s="3">
        <f t="shared" si="36"/>
        <v>1077.0430107526881</v>
      </c>
      <c r="R18" s="3">
        <v>60099</v>
      </c>
      <c r="S18" s="6">
        <v>55.8</v>
      </c>
      <c r="T18" s="3">
        <f t="shared" si="37"/>
        <v>1493.0561330561329</v>
      </c>
      <c r="U18" s="3">
        <v>71816</v>
      </c>
      <c r="V18" s="6">
        <v>48.1</v>
      </c>
      <c r="W18" s="3">
        <f t="shared" si="38"/>
        <v>1010.6224066390041</v>
      </c>
      <c r="X18" s="3">
        <v>24356</v>
      </c>
      <c r="Y18" s="6">
        <v>24.1</v>
      </c>
      <c r="Z18" s="3">
        <f t="shared" si="39"/>
        <v>1016.5619546247819</v>
      </c>
      <c r="AA18" s="3">
        <v>58249</v>
      </c>
      <c r="AB18" s="6">
        <v>57.3</v>
      </c>
      <c r="AC18" s="3" t="e">
        <f t="shared" si="40"/>
        <v>#DIV/0!</v>
      </c>
      <c r="AD18" s="3">
        <v>0</v>
      </c>
      <c r="AE18" s="6">
        <v>0</v>
      </c>
      <c r="AF18" s="3">
        <f t="shared" si="41"/>
        <v>1309.4285714285713</v>
      </c>
      <c r="AG18" s="3">
        <v>18332</v>
      </c>
      <c r="AH18" s="6">
        <v>14</v>
      </c>
      <c r="AI18" s="3" t="e">
        <f t="shared" si="42"/>
        <v>#DIV/0!</v>
      </c>
      <c r="AJ18" s="3">
        <v>0</v>
      </c>
      <c r="AK18" s="6">
        <v>0</v>
      </c>
      <c r="AL18" s="3">
        <f t="shared" si="43"/>
        <v>1501.3959390862944</v>
      </c>
      <c r="AM18" s="3">
        <v>59155</v>
      </c>
      <c r="AN18" s="6">
        <v>39.4</v>
      </c>
      <c r="AO18" s="3">
        <f t="shared" si="25"/>
        <v>1254.3797856049007</v>
      </c>
      <c r="AP18" s="3">
        <f t="shared" si="30"/>
        <v>409555</v>
      </c>
      <c r="AQ18" s="6">
        <f t="shared" si="31"/>
        <v>326.49999999999994</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7" t="s">
        <v>51</v>
      </c>
      <c r="B19" s="24"/>
      <c r="C19" s="24"/>
      <c r="D19" s="24"/>
      <c r="E19" s="3">
        <f t="shared" si="32"/>
        <v>1720.6345733041574</v>
      </c>
      <c r="F19" s="3">
        <v>78633</v>
      </c>
      <c r="G19" s="6">
        <v>45.7</v>
      </c>
      <c r="H19" s="3">
        <f t="shared" si="33"/>
        <v>1593.5897435897436</v>
      </c>
      <c r="I19" s="3">
        <v>87010</v>
      </c>
      <c r="J19" s="6">
        <v>54.6</v>
      </c>
      <c r="K19" s="3">
        <f t="shared" si="34"/>
        <v>1527.2923076923078</v>
      </c>
      <c r="L19" s="3">
        <v>49637</v>
      </c>
      <c r="M19" s="6">
        <v>32.5</v>
      </c>
      <c r="N19" s="3">
        <f t="shared" si="35"/>
        <v>2044.6575342465753</v>
      </c>
      <c r="O19" s="3">
        <v>29852</v>
      </c>
      <c r="P19" s="6">
        <v>14.6</v>
      </c>
      <c r="Q19" s="3">
        <f t="shared" si="36"/>
        <v>1608.75</v>
      </c>
      <c r="R19" s="3">
        <v>19305</v>
      </c>
      <c r="S19" s="6">
        <v>12</v>
      </c>
      <c r="T19" s="3">
        <f t="shared" si="37"/>
        <v>1119.858156028369</v>
      </c>
      <c r="U19" s="3">
        <v>47370</v>
      </c>
      <c r="V19" s="6">
        <v>42.3</v>
      </c>
      <c r="W19" s="3">
        <f t="shared" si="38"/>
        <v>2149.0338164251207</v>
      </c>
      <c r="X19" s="3">
        <v>44485</v>
      </c>
      <c r="Y19" s="6">
        <v>20.7</v>
      </c>
      <c r="Z19" s="3">
        <f t="shared" si="39"/>
        <v>1469.0338164251209</v>
      </c>
      <c r="AA19" s="3">
        <v>30409</v>
      </c>
      <c r="AB19" s="6">
        <v>20.7</v>
      </c>
      <c r="AC19" s="3">
        <f t="shared" si="40"/>
        <v>1586.2561576354678</v>
      </c>
      <c r="AD19" s="3">
        <v>32201</v>
      </c>
      <c r="AE19" s="6">
        <v>20.3</v>
      </c>
      <c r="AF19" s="3">
        <f t="shared" si="41"/>
        <v>1461.4655172413793</v>
      </c>
      <c r="AG19" s="3">
        <v>16953</v>
      </c>
      <c r="AH19" s="6">
        <v>11.6</v>
      </c>
      <c r="AI19" s="3">
        <f t="shared" si="42"/>
        <v>2066.8421052631579</v>
      </c>
      <c r="AJ19" s="3">
        <v>23562</v>
      </c>
      <c r="AK19" s="6">
        <v>11.4</v>
      </c>
      <c r="AL19" s="3">
        <f t="shared" si="43"/>
        <v>1443.3990147783252</v>
      </c>
      <c r="AM19" s="3">
        <v>58602</v>
      </c>
      <c r="AN19" s="6">
        <v>40.6</v>
      </c>
      <c r="AO19" s="3">
        <f t="shared" si="25"/>
        <v>1584.1559633027523</v>
      </c>
      <c r="AP19" s="3">
        <f t="shared" si="30"/>
        <v>518019</v>
      </c>
      <c r="AQ19" s="6">
        <f t="shared" si="31"/>
        <v>327</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7" t="s">
        <v>22</v>
      </c>
      <c r="B20" s="24"/>
      <c r="C20" s="24"/>
      <c r="D20" s="24"/>
      <c r="E20" s="3">
        <f t="shared" si="32"/>
        <v>1631.5810276679842</v>
      </c>
      <c r="F20" s="3">
        <v>41279</v>
      </c>
      <c r="G20" s="6">
        <v>25.3</v>
      </c>
      <c r="H20" s="3">
        <f t="shared" si="33"/>
        <v>1571.8269230769231</v>
      </c>
      <c r="I20" s="3">
        <v>32694</v>
      </c>
      <c r="J20" s="6">
        <v>20.8</v>
      </c>
      <c r="K20" s="3">
        <f t="shared" si="34"/>
        <v>1657.2093023255816</v>
      </c>
      <c r="L20" s="3">
        <v>28504</v>
      </c>
      <c r="M20" s="6">
        <v>17.2</v>
      </c>
      <c r="N20" s="3">
        <f t="shared" si="35"/>
        <v>1320</v>
      </c>
      <c r="O20" s="3">
        <v>6996</v>
      </c>
      <c r="P20" s="6">
        <v>5.3</v>
      </c>
      <c r="Q20" s="3">
        <f t="shared" si="36"/>
        <v>1570.1637107776262</v>
      </c>
      <c r="R20" s="3">
        <v>115093</v>
      </c>
      <c r="S20" s="6">
        <v>73.3</v>
      </c>
      <c r="T20" s="3">
        <f t="shared" si="37"/>
        <v>1555.1775147928995</v>
      </c>
      <c r="U20" s="3">
        <v>52565</v>
      </c>
      <c r="V20" s="6">
        <v>33.799999999999997</v>
      </c>
      <c r="W20" s="3">
        <f t="shared" si="38"/>
        <v>1599.8666666666666</v>
      </c>
      <c r="X20" s="3">
        <v>35997</v>
      </c>
      <c r="Y20" s="6">
        <v>22.5</v>
      </c>
      <c r="Z20" s="3">
        <f t="shared" si="39"/>
        <v>1393.1578947368421</v>
      </c>
      <c r="AA20" s="3">
        <v>21176</v>
      </c>
      <c r="AB20" s="6">
        <v>15.2</v>
      </c>
      <c r="AC20" s="3">
        <f t="shared" si="40"/>
        <v>1217.9098360655739</v>
      </c>
      <c r="AD20" s="3">
        <v>29717</v>
      </c>
      <c r="AE20" s="6">
        <v>24.4</v>
      </c>
      <c r="AF20" s="3">
        <f t="shared" si="41"/>
        <v>1495</v>
      </c>
      <c r="AG20" s="3">
        <v>11063</v>
      </c>
      <c r="AH20" s="6">
        <v>7.4</v>
      </c>
      <c r="AI20" s="3">
        <f t="shared" si="42"/>
        <v>1527.8512396694216</v>
      </c>
      <c r="AJ20" s="3">
        <v>18487</v>
      </c>
      <c r="AK20" s="6">
        <v>12.1</v>
      </c>
      <c r="AL20" s="3">
        <f t="shared" si="43"/>
        <v>1502.5249169435215</v>
      </c>
      <c r="AM20" s="3">
        <v>45226</v>
      </c>
      <c r="AN20" s="6">
        <v>30.1</v>
      </c>
      <c r="AO20" s="3">
        <f t="shared" si="25"/>
        <v>1526.7814892136394</v>
      </c>
      <c r="AP20" s="3">
        <f t="shared" si="30"/>
        <v>438797</v>
      </c>
      <c r="AQ20" s="6">
        <f t="shared" si="31"/>
        <v>287.40000000000003</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7" t="s">
        <v>50</v>
      </c>
      <c r="B21" s="24"/>
      <c r="C21" s="24"/>
      <c r="D21" s="24"/>
      <c r="E21" s="3" t="e">
        <f t="shared" si="32"/>
        <v>#DIV/0!</v>
      </c>
      <c r="F21" s="3">
        <v>0</v>
      </c>
      <c r="G21" s="6">
        <v>0</v>
      </c>
      <c r="H21" s="3">
        <f t="shared" si="33"/>
        <v>1812.9565217391305</v>
      </c>
      <c r="I21" s="3">
        <v>41698</v>
      </c>
      <c r="J21" s="6">
        <v>23</v>
      </c>
      <c r="K21" s="3">
        <f t="shared" si="34"/>
        <v>1545.3658536585365</v>
      </c>
      <c r="L21" s="3">
        <v>31680</v>
      </c>
      <c r="M21" s="6">
        <v>20.5</v>
      </c>
      <c r="N21" s="3" t="e">
        <f t="shared" si="35"/>
        <v>#DIV/0!</v>
      </c>
      <c r="O21" s="3">
        <v>0</v>
      </c>
      <c r="P21" s="6">
        <v>0</v>
      </c>
      <c r="Q21" s="3">
        <f t="shared" si="36"/>
        <v>1545.3658536585365</v>
      </c>
      <c r="R21" s="3">
        <v>31680</v>
      </c>
      <c r="S21" s="6">
        <v>20.5</v>
      </c>
      <c r="T21" s="3">
        <f t="shared" si="37"/>
        <v>1545.3658536585365</v>
      </c>
      <c r="U21" s="3">
        <v>31680</v>
      </c>
      <c r="V21" s="6">
        <v>20.5</v>
      </c>
      <c r="W21" s="3" t="e">
        <f t="shared" si="38"/>
        <v>#DIV/0!</v>
      </c>
      <c r="X21" s="3">
        <v>0</v>
      </c>
      <c r="Y21" s="6">
        <v>0</v>
      </c>
      <c r="Z21" s="3" t="e">
        <f t="shared" si="39"/>
        <v>#DIV/0!</v>
      </c>
      <c r="AA21" s="3">
        <v>0</v>
      </c>
      <c r="AB21" s="6">
        <v>0</v>
      </c>
      <c r="AC21" s="3">
        <f t="shared" si="40"/>
        <v>1309.0909090909092</v>
      </c>
      <c r="AD21" s="3">
        <v>31680</v>
      </c>
      <c r="AE21" s="6">
        <v>24.2</v>
      </c>
      <c r="AF21" s="3" t="e">
        <f t="shared" si="41"/>
        <v>#DIV/0!</v>
      </c>
      <c r="AG21" s="3">
        <v>0</v>
      </c>
      <c r="AH21" s="6">
        <v>0</v>
      </c>
      <c r="AI21" s="3" t="e">
        <f t="shared" si="42"/>
        <v>#DIV/0!</v>
      </c>
      <c r="AJ21" s="3">
        <v>0</v>
      </c>
      <c r="AK21" s="6">
        <v>0</v>
      </c>
      <c r="AL21" s="3">
        <f t="shared" si="43"/>
        <v>1489.0393013100438</v>
      </c>
      <c r="AM21" s="3">
        <v>34099</v>
      </c>
      <c r="AN21" s="6">
        <v>22.9</v>
      </c>
      <c r="AO21" s="3">
        <f t="shared" si="25"/>
        <v>1538.8829787234042</v>
      </c>
      <c r="AP21" s="3">
        <f t="shared" si="30"/>
        <v>202517</v>
      </c>
      <c r="AQ21" s="6">
        <f t="shared" si="31"/>
        <v>131.6</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7" t="s">
        <v>30</v>
      </c>
      <c r="B22" s="24"/>
      <c r="C22" s="24"/>
      <c r="D22" s="24"/>
      <c r="E22" s="3">
        <f t="shared" si="32"/>
        <v>1840.5769230769231</v>
      </c>
      <c r="F22" s="3">
        <v>57426</v>
      </c>
      <c r="G22" s="6">
        <v>31.2</v>
      </c>
      <c r="H22" s="3">
        <f t="shared" si="33"/>
        <v>1756.4406779661017</v>
      </c>
      <c r="I22" s="3">
        <v>20726</v>
      </c>
      <c r="J22" s="6">
        <v>11.8</v>
      </c>
      <c r="K22" s="3">
        <f t="shared" si="34"/>
        <v>1754.5185185185185</v>
      </c>
      <c r="L22" s="3">
        <v>23686</v>
      </c>
      <c r="M22" s="6">
        <v>13.5</v>
      </c>
      <c r="N22" s="3">
        <f t="shared" si="35"/>
        <v>2723.8461538461538</v>
      </c>
      <c r="O22" s="3">
        <v>7082</v>
      </c>
      <c r="P22" s="6">
        <v>2.6</v>
      </c>
      <c r="Q22" s="3">
        <f t="shared" si="36"/>
        <v>1740.6117647058823</v>
      </c>
      <c r="R22" s="3">
        <v>73976</v>
      </c>
      <c r="S22" s="6">
        <v>42.5</v>
      </c>
      <c r="T22" s="3">
        <f t="shared" si="37"/>
        <v>1754.5185185185185</v>
      </c>
      <c r="U22" s="3">
        <v>47372</v>
      </c>
      <c r="V22" s="6">
        <v>27</v>
      </c>
      <c r="W22" s="3">
        <f t="shared" si="38"/>
        <v>1754.5185185185185</v>
      </c>
      <c r="X22" s="3">
        <v>47372</v>
      </c>
      <c r="Y22" s="6">
        <v>27</v>
      </c>
      <c r="Z22" s="3">
        <f t="shared" si="39"/>
        <v>1754.5555555555557</v>
      </c>
      <c r="AA22" s="3">
        <v>47373</v>
      </c>
      <c r="AB22" s="6">
        <v>27</v>
      </c>
      <c r="AC22" s="3">
        <f t="shared" si="40"/>
        <v>1633.5172413793102</v>
      </c>
      <c r="AD22" s="3">
        <v>23686</v>
      </c>
      <c r="AE22" s="6">
        <v>14.5</v>
      </c>
      <c r="AF22" s="3">
        <f t="shared" si="41"/>
        <v>1627.9037800687283</v>
      </c>
      <c r="AG22" s="3">
        <v>47372</v>
      </c>
      <c r="AH22" s="6">
        <v>29.1</v>
      </c>
      <c r="AI22" s="3">
        <f t="shared" si="42"/>
        <v>1627.9037800687283</v>
      </c>
      <c r="AJ22" s="3">
        <v>47372</v>
      </c>
      <c r="AK22" s="6">
        <v>29.1</v>
      </c>
      <c r="AL22" s="3">
        <f t="shared" si="43"/>
        <v>1786.4</v>
      </c>
      <c r="AM22" s="3">
        <v>26796</v>
      </c>
      <c r="AN22" s="6">
        <v>15</v>
      </c>
      <c r="AO22" s="3">
        <f t="shared" si="25"/>
        <v>1739.6929337772847</v>
      </c>
      <c r="AP22" s="3">
        <f t="shared" si="30"/>
        <v>470239</v>
      </c>
      <c r="AQ22" s="6">
        <f t="shared" si="31"/>
        <v>270.29999999999995</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7" t="s">
        <v>69</v>
      </c>
      <c r="B23" s="24"/>
      <c r="C23" s="24"/>
      <c r="D23" s="24"/>
      <c r="E23" s="3">
        <f t="shared" si="32"/>
        <v>2257.4369747899159</v>
      </c>
      <c r="F23" s="3">
        <v>53727</v>
      </c>
      <c r="G23" s="6">
        <v>23.8</v>
      </c>
      <c r="H23" s="3">
        <f t="shared" si="33"/>
        <v>1459.2748091603055</v>
      </c>
      <c r="I23" s="3">
        <v>38233</v>
      </c>
      <c r="J23" s="6">
        <v>26.2</v>
      </c>
      <c r="K23" s="3">
        <f t="shared" si="34"/>
        <v>1969.2647058823529</v>
      </c>
      <c r="L23" s="3">
        <v>13391</v>
      </c>
      <c r="M23" s="6">
        <v>6.8</v>
      </c>
      <c r="N23" s="3">
        <f t="shared" si="35"/>
        <v>1356.25</v>
      </c>
      <c r="O23" s="3">
        <v>31465</v>
      </c>
      <c r="P23" s="6">
        <v>23.2</v>
      </c>
      <c r="Q23" s="3">
        <f t="shared" si="36"/>
        <v>2044.081632653061</v>
      </c>
      <c r="R23" s="3">
        <v>10016</v>
      </c>
      <c r="S23" s="6">
        <v>4.9000000000000004</v>
      </c>
      <c r="T23" s="3">
        <f t="shared" si="37"/>
        <v>1472.9136690647481</v>
      </c>
      <c r="U23" s="3">
        <v>40947</v>
      </c>
      <c r="V23" s="6">
        <v>27.8</v>
      </c>
      <c r="W23" s="3">
        <f t="shared" si="38"/>
        <v>1252.7350427350427</v>
      </c>
      <c r="X23" s="3">
        <v>29314</v>
      </c>
      <c r="Y23" s="6">
        <v>23.4</v>
      </c>
      <c r="Z23" s="3">
        <f t="shared" si="39"/>
        <v>2463.6363636363635</v>
      </c>
      <c r="AA23" s="3">
        <v>18970</v>
      </c>
      <c r="AB23" s="6">
        <v>7.7</v>
      </c>
      <c r="AC23" s="3">
        <f t="shared" si="40"/>
        <v>1436.4130434782608</v>
      </c>
      <c r="AD23" s="3">
        <v>39645</v>
      </c>
      <c r="AE23" s="6">
        <v>27.6</v>
      </c>
      <c r="AF23" s="3">
        <f t="shared" si="41"/>
        <v>2019.7560975609758</v>
      </c>
      <c r="AG23" s="3">
        <v>16562</v>
      </c>
      <c r="AH23" s="6">
        <v>8.1999999999999993</v>
      </c>
      <c r="AI23" s="3">
        <f t="shared" si="42"/>
        <v>2007.6923076923078</v>
      </c>
      <c r="AJ23" s="3">
        <v>7830</v>
      </c>
      <c r="AK23" s="6">
        <v>3.9</v>
      </c>
      <c r="AL23" s="3">
        <f t="shared" si="43"/>
        <v>2014.2465753424658</v>
      </c>
      <c r="AM23" s="3">
        <v>14704</v>
      </c>
      <c r="AN23" s="6">
        <v>7.3</v>
      </c>
      <c r="AO23" s="3">
        <f t="shared" si="25"/>
        <v>1649.9161425576522</v>
      </c>
      <c r="AP23" s="3">
        <f t="shared" si="30"/>
        <v>314804</v>
      </c>
      <c r="AQ23" s="6">
        <f t="shared" si="31"/>
        <v>190.79999999999998</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7" t="s">
        <v>32</v>
      </c>
      <c r="B24" s="24"/>
      <c r="C24" s="24"/>
      <c r="D24" s="24"/>
      <c r="E24" s="3">
        <f t="shared" si="32"/>
        <v>2372.7586206896553</v>
      </c>
      <c r="F24" s="3">
        <v>34405</v>
      </c>
      <c r="G24" s="6">
        <v>14.5</v>
      </c>
      <c r="H24" s="3" t="e">
        <f t="shared" si="33"/>
        <v>#DIV/0!</v>
      </c>
      <c r="I24" s="3">
        <v>0</v>
      </c>
      <c r="J24" s="6">
        <v>0</v>
      </c>
      <c r="K24" s="3" t="e">
        <f t="shared" si="34"/>
        <v>#DIV/0!</v>
      </c>
      <c r="L24" s="3">
        <v>0</v>
      </c>
      <c r="M24" s="6">
        <v>0</v>
      </c>
      <c r="N24" s="3">
        <f t="shared" si="35"/>
        <v>2702.9629629629626</v>
      </c>
      <c r="O24" s="3">
        <v>7298</v>
      </c>
      <c r="P24" s="6">
        <v>2.7</v>
      </c>
      <c r="Q24" s="3">
        <f t="shared" si="36"/>
        <v>2438.3333333333335</v>
      </c>
      <c r="R24" s="3">
        <v>5852</v>
      </c>
      <c r="S24" s="6">
        <v>2.4</v>
      </c>
      <c r="T24" s="3">
        <f t="shared" si="37"/>
        <v>2571.6438356164385</v>
      </c>
      <c r="U24" s="3">
        <v>18773</v>
      </c>
      <c r="V24" s="6">
        <v>7.3</v>
      </c>
      <c r="W24" s="3">
        <f t="shared" si="38"/>
        <v>2283.1428571428573</v>
      </c>
      <c r="X24" s="3">
        <v>7991</v>
      </c>
      <c r="Y24" s="6">
        <v>3.5</v>
      </c>
      <c r="Z24" s="3">
        <f t="shared" si="39"/>
        <v>2605.9677419354839</v>
      </c>
      <c r="AA24" s="3">
        <v>16157</v>
      </c>
      <c r="AB24" s="6">
        <v>6.2</v>
      </c>
      <c r="AC24" s="3">
        <f t="shared" si="40"/>
        <v>2467.9166666666665</v>
      </c>
      <c r="AD24" s="3">
        <v>35538</v>
      </c>
      <c r="AE24" s="6">
        <v>14.4</v>
      </c>
      <c r="AF24" s="3">
        <f t="shared" si="41"/>
        <v>2280.2564102564106</v>
      </c>
      <c r="AG24" s="3">
        <v>26679</v>
      </c>
      <c r="AH24" s="6">
        <v>11.7</v>
      </c>
      <c r="AI24" s="3">
        <f t="shared" si="42"/>
        <v>2435.3424657534247</v>
      </c>
      <c r="AJ24" s="3">
        <v>35556</v>
      </c>
      <c r="AK24" s="6">
        <v>14.6</v>
      </c>
      <c r="AL24" s="3">
        <f t="shared" si="43"/>
        <v>2160.4761904761904</v>
      </c>
      <c r="AM24" s="3">
        <v>9074</v>
      </c>
      <c r="AN24" s="6">
        <v>4.2</v>
      </c>
      <c r="AO24" s="3">
        <f t="shared" si="25"/>
        <v>2421.1411042944787</v>
      </c>
      <c r="AP24" s="3">
        <f t="shared" si="30"/>
        <v>197323</v>
      </c>
      <c r="AQ24" s="6">
        <f t="shared" si="31"/>
        <v>81.5</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7" t="s">
        <v>61</v>
      </c>
      <c r="B25" s="24"/>
      <c r="C25" s="24"/>
      <c r="D25" s="24"/>
      <c r="E25" s="3">
        <f t="shared" si="32"/>
        <v>1919.1666666666667</v>
      </c>
      <c r="F25" s="3">
        <v>4606</v>
      </c>
      <c r="G25" s="6">
        <v>2.4</v>
      </c>
      <c r="H25" s="3" t="e">
        <f t="shared" si="33"/>
        <v>#DIV/0!</v>
      </c>
      <c r="I25" s="3">
        <v>0</v>
      </c>
      <c r="J25" s="6">
        <v>0</v>
      </c>
      <c r="K25" s="3" t="e">
        <f t="shared" si="34"/>
        <v>#DIV/0!</v>
      </c>
      <c r="L25" s="3">
        <v>0</v>
      </c>
      <c r="M25" s="6">
        <v>0</v>
      </c>
      <c r="N25" s="3">
        <f t="shared" si="35"/>
        <v>2091.875</v>
      </c>
      <c r="O25" s="3">
        <v>3347</v>
      </c>
      <c r="P25" s="6">
        <v>1.6</v>
      </c>
      <c r="Q25" s="3" t="e">
        <f t="shared" si="36"/>
        <v>#DIV/0!</v>
      </c>
      <c r="R25" s="3">
        <v>0</v>
      </c>
      <c r="S25" s="6">
        <v>0</v>
      </c>
      <c r="T25" s="3" t="e">
        <f t="shared" si="37"/>
        <v>#DIV/0!</v>
      </c>
      <c r="U25" s="3">
        <v>0</v>
      </c>
      <c r="V25" s="6">
        <v>0</v>
      </c>
      <c r="W25" s="3">
        <f t="shared" si="38"/>
        <v>2626.9565217391305</v>
      </c>
      <c r="X25" s="3">
        <v>78546</v>
      </c>
      <c r="Y25" s="6">
        <v>29.9</v>
      </c>
      <c r="Z25" s="3" t="e">
        <f t="shared" si="39"/>
        <v>#DIV/0!</v>
      </c>
      <c r="AA25" s="3">
        <v>0</v>
      </c>
      <c r="AB25" s="6">
        <v>0</v>
      </c>
      <c r="AC25" s="3" t="e">
        <f t="shared" si="40"/>
        <v>#DIV/0!</v>
      </c>
      <c r="AD25" s="3">
        <v>0</v>
      </c>
      <c r="AE25" s="6">
        <v>0</v>
      </c>
      <c r="AF25" s="3">
        <f t="shared" si="41"/>
        <v>2026</v>
      </c>
      <c r="AG25" s="3">
        <v>5065</v>
      </c>
      <c r="AH25" s="6">
        <v>2.5</v>
      </c>
      <c r="AI25" s="3" t="e">
        <f t="shared" si="42"/>
        <v>#DIV/0!</v>
      </c>
      <c r="AJ25" s="3">
        <v>0</v>
      </c>
      <c r="AK25" s="6">
        <v>0</v>
      </c>
      <c r="AL25" s="3">
        <f t="shared" si="43"/>
        <v>2019.6</v>
      </c>
      <c r="AM25" s="3">
        <v>5049</v>
      </c>
      <c r="AN25" s="6">
        <v>2.5</v>
      </c>
      <c r="AO25" s="3">
        <f t="shared" si="25"/>
        <v>2483.6246786632391</v>
      </c>
      <c r="AP25" s="3">
        <f t="shared" si="30"/>
        <v>96613</v>
      </c>
      <c r="AQ25" s="6">
        <f t="shared" si="31"/>
        <v>38.9</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7" t="s">
        <v>29</v>
      </c>
      <c r="B26" s="24"/>
      <c r="C26" s="24"/>
      <c r="D26" s="24"/>
      <c r="E26" s="3" t="e">
        <f t="shared" si="32"/>
        <v>#DIV/0!</v>
      </c>
      <c r="F26" s="3">
        <v>0</v>
      </c>
      <c r="G26" s="6">
        <v>0</v>
      </c>
      <c r="H26" s="3" t="e">
        <f t="shared" si="33"/>
        <v>#DIV/0!</v>
      </c>
      <c r="I26" s="3">
        <v>0</v>
      </c>
      <c r="J26" s="6">
        <v>0</v>
      </c>
      <c r="K26" s="3">
        <f t="shared" si="34"/>
        <v>1106.4634146341464</v>
      </c>
      <c r="L26" s="3">
        <v>18146</v>
      </c>
      <c r="M26" s="6">
        <v>16.399999999999999</v>
      </c>
      <c r="N26" s="3">
        <f t="shared" si="35"/>
        <v>1982.4137931034484</v>
      </c>
      <c r="O26" s="3">
        <v>5749</v>
      </c>
      <c r="P26" s="6">
        <v>2.9</v>
      </c>
      <c r="Q26" s="3">
        <f t="shared" si="36"/>
        <v>1216.2388059701493</v>
      </c>
      <c r="R26" s="3">
        <v>40744</v>
      </c>
      <c r="S26" s="6">
        <v>33.5</v>
      </c>
      <c r="T26" s="3">
        <f t="shared" si="37"/>
        <v>1955.2380952380952</v>
      </c>
      <c r="U26" s="3">
        <v>4106</v>
      </c>
      <c r="V26" s="6">
        <v>2.1</v>
      </c>
      <c r="W26" s="3" t="e">
        <f t="shared" si="38"/>
        <v>#DIV/0!</v>
      </c>
      <c r="X26" s="3">
        <v>0</v>
      </c>
      <c r="Y26" s="6">
        <v>0</v>
      </c>
      <c r="Z26" s="3">
        <f t="shared" si="39"/>
        <v>1193.3819241982508</v>
      </c>
      <c r="AA26" s="3">
        <v>40933</v>
      </c>
      <c r="AB26" s="6">
        <v>34.299999999999997</v>
      </c>
      <c r="AC26" s="3" t="e">
        <f t="shared" si="40"/>
        <v>#DIV/0!</v>
      </c>
      <c r="AD26" s="3">
        <v>0</v>
      </c>
      <c r="AE26" s="6">
        <v>0</v>
      </c>
      <c r="AF26" s="3" t="e">
        <f t="shared" si="41"/>
        <v>#DIV/0!</v>
      </c>
      <c r="AG26" s="3">
        <v>0</v>
      </c>
      <c r="AH26" s="6">
        <v>0</v>
      </c>
      <c r="AI26" s="3" t="e">
        <f t="shared" si="42"/>
        <v>#DIV/0!</v>
      </c>
      <c r="AJ26" s="3">
        <v>0</v>
      </c>
      <c r="AK26" s="6">
        <v>0</v>
      </c>
      <c r="AL26" s="3">
        <f t="shared" si="43"/>
        <v>1857.7777777777776</v>
      </c>
      <c r="AM26" s="3">
        <v>5016</v>
      </c>
      <c r="AN26" s="6">
        <v>2.7</v>
      </c>
      <c r="AO26" s="3">
        <f t="shared" si="25"/>
        <v>1248.0304678998914</v>
      </c>
      <c r="AP26" s="3">
        <f t="shared" si="30"/>
        <v>114694</v>
      </c>
      <c r="AQ26" s="6">
        <f t="shared" si="31"/>
        <v>91.899999999999991</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7" t="s">
        <v>40</v>
      </c>
      <c r="B27" s="24"/>
      <c r="C27" s="24"/>
      <c r="D27" s="24"/>
      <c r="E27" s="3">
        <f t="shared" si="32"/>
        <v>1404.773519163763</v>
      </c>
      <c r="F27" s="3">
        <v>40317</v>
      </c>
      <c r="G27" s="6">
        <v>28.7</v>
      </c>
      <c r="H27" s="3">
        <f t="shared" si="33"/>
        <v>1193.9277108433735</v>
      </c>
      <c r="I27" s="3">
        <v>49548</v>
      </c>
      <c r="J27" s="6">
        <v>41.5</v>
      </c>
      <c r="K27" s="3">
        <f t="shared" si="34"/>
        <v>1692.0895522388059</v>
      </c>
      <c r="L27" s="3">
        <v>11337</v>
      </c>
      <c r="M27" s="6">
        <v>6.7</v>
      </c>
      <c r="N27" s="3">
        <f t="shared" si="35"/>
        <v>1628.3625730994152</v>
      </c>
      <c r="O27" s="3">
        <v>27845</v>
      </c>
      <c r="P27" s="6">
        <v>17.100000000000001</v>
      </c>
      <c r="Q27" s="3">
        <f t="shared" si="36"/>
        <v>1246.0754716981132</v>
      </c>
      <c r="R27" s="3">
        <v>33021</v>
      </c>
      <c r="S27" s="6">
        <v>26.5</v>
      </c>
      <c r="T27" s="3">
        <f t="shared" si="37"/>
        <v>1474.5070422535211</v>
      </c>
      <c r="U27" s="3">
        <v>10469</v>
      </c>
      <c r="V27" s="6">
        <v>7.1</v>
      </c>
      <c r="W27" s="3">
        <f t="shared" si="38"/>
        <v>1108.9473684210525</v>
      </c>
      <c r="X27" s="3">
        <v>6321</v>
      </c>
      <c r="Y27" s="6">
        <v>5.7</v>
      </c>
      <c r="Z27" s="3">
        <f t="shared" si="39"/>
        <v>2561.9047619047619</v>
      </c>
      <c r="AA27" s="3">
        <v>10760</v>
      </c>
      <c r="AB27" s="6">
        <v>4.2</v>
      </c>
      <c r="AC27" s="3" t="e">
        <f t="shared" si="40"/>
        <v>#DIV/0!</v>
      </c>
      <c r="AD27" s="3">
        <v>0</v>
      </c>
      <c r="AE27" s="6">
        <v>0</v>
      </c>
      <c r="AF27" s="3">
        <f t="shared" si="41"/>
        <v>1934.1935483870968</v>
      </c>
      <c r="AG27" s="3">
        <v>5996</v>
      </c>
      <c r="AH27" s="6">
        <v>3.1</v>
      </c>
      <c r="AI27" s="3">
        <f t="shared" si="42"/>
        <v>1567.9130434782608</v>
      </c>
      <c r="AJ27" s="3">
        <v>18031</v>
      </c>
      <c r="AK27" s="6">
        <v>11.5</v>
      </c>
      <c r="AL27" s="3">
        <f t="shared" si="43"/>
        <v>2061.4285714285716</v>
      </c>
      <c r="AM27" s="3">
        <v>4329</v>
      </c>
      <c r="AN27" s="6">
        <v>2.1</v>
      </c>
      <c r="AO27" s="3">
        <f t="shared" si="25"/>
        <v>1413.5797665369653</v>
      </c>
      <c r="AP27" s="3">
        <f t="shared" si="30"/>
        <v>217974</v>
      </c>
      <c r="AQ27" s="6">
        <f t="shared" si="31"/>
        <v>154.19999999999996</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7" t="s">
        <v>57</v>
      </c>
      <c r="B28" s="24"/>
      <c r="C28" s="24"/>
      <c r="D28" s="24"/>
      <c r="E28" s="3" t="e">
        <f t="shared" si="32"/>
        <v>#DIV/0!</v>
      </c>
      <c r="F28" s="3">
        <v>0</v>
      </c>
      <c r="G28" s="6">
        <v>0</v>
      </c>
      <c r="H28" s="3">
        <f t="shared" si="33"/>
        <v>1275.114503816794</v>
      </c>
      <c r="I28" s="3">
        <v>33408</v>
      </c>
      <c r="J28" s="6">
        <v>26.2</v>
      </c>
      <c r="K28" s="3">
        <f t="shared" si="34"/>
        <v>1268.9285714285716</v>
      </c>
      <c r="L28" s="3">
        <v>3553</v>
      </c>
      <c r="M28" s="6">
        <v>2.8</v>
      </c>
      <c r="N28" s="3">
        <f t="shared" si="35"/>
        <v>1537.608695652174</v>
      </c>
      <c r="O28" s="3">
        <v>7073</v>
      </c>
      <c r="P28" s="6">
        <v>4.5999999999999996</v>
      </c>
      <c r="Q28" s="3">
        <f t="shared" si="36"/>
        <v>1301.9133574007221</v>
      </c>
      <c r="R28" s="3">
        <v>36063</v>
      </c>
      <c r="S28" s="6">
        <v>27.7</v>
      </c>
      <c r="T28" s="3" t="e">
        <f t="shared" si="37"/>
        <v>#DIV/0!</v>
      </c>
      <c r="U28" s="3">
        <v>0</v>
      </c>
      <c r="V28" s="6">
        <v>0</v>
      </c>
      <c r="W28" s="3">
        <f t="shared" si="38"/>
        <v>1410</v>
      </c>
      <c r="X28" s="3">
        <v>4089</v>
      </c>
      <c r="Y28" s="6">
        <v>2.9</v>
      </c>
      <c r="Z28" s="3">
        <f t="shared" si="39"/>
        <v>1304.9377593360996</v>
      </c>
      <c r="AA28" s="3">
        <v>31449</v>
      </c>
      <c r="AB28" s="6">
        <v>24.1</v>
      </c>
      <c r="AC28" s="3">
        <f t="shared" si="40"/>
        <v>1480.5882352941178</v>
      </c>
      <c r="AD28" s="3">
        <v>2517</v>
      </c>
      <c r="AE28" s="6">
        <v>1.7</v>
      </c>
      <c r="AF28" s="3">
        <f t="shared" si="41"/>
        <v>1933.8461538461538</v>
      </c>
      <c r="AG28" s="3">
        <v>7542</v>
      </c>
      <c r="AH28" s="6">
        <v>3.9</v>
      </c>
      <c r="AI28" s="3">
        <f t="shared" si="42"/>
        <v>1517.2549019607843</v>
      </c>
      <c r="AJ28" s="3">
        <v>7738</v>
      </c>
      <c r="AK28" s="6">
        <v>5.0999999999999996</v>
      </c>
      <c r="AL28" s="3">
        <f t="shared" si="43"/>
        <v>1966.6666666666665</v>
      </c>
      <c r="AM28" s="3">
        <v>3540</v>
      </c>
      <c r="AN28" s="6">
        <v>1.8</v>
      </c>
      <c r="AO28" s="3">
        <f t="shared" si="25"/>
        <v>1358.8492063492063</v>
      </c>
      <c r="AP28" s="3">
        <f t="shared" si="30"/>
        <v>136972</v>
      </c>
      <c r="AQ28" s="6">
        <f t="shared" si="31"/>
        <v>100.80000000000001</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7" t="s">
        <v>35</v>
      </c>
      <c r="B29" s="24"/>
      <c r="C29" s="24"/>
      <c r="D29" s="24"/>
      <c r="E29" s="3" t="e">
        <f t="shared" si="32"/>
        <v>#DIV/0!</v>
      </c>
      <c r="F29" s="3">
        <v>0</v>
      </c>
      <c r="G29" s="6">
        <v>0</v>
      </c>
      <c r="H29" s="3" t="e">
        <f t="shared" si="33"/>
        <v>#DIV/0!</v>
      </c>
      <c r="I29" s="3">
        <v>0</v>
      </c>
      <c r="J29" s="6">
        <v>0</v>
      </c>
      <c r="K29" s="3" t="e">
        <f t="shared" si="34"/>
        <v>#DIV/0!</v>
      </c>
      <c r="L29" s="3">
        <v>0</v>
      </c>
      <c r="M29" s="6">
        <v>0</v>
      </c>
      <c r="N29" s="3" t="e">
        <f t="shared" si="35"/>
        <v>#DIV/0!</v>
      </c>
      <c r="O29" s="3">
        <v>0</v>
      </c>
      <c r="P29" s="6">
        <v>0</v>
      </c>
      <c r="Q29" s="3" t="e">
        <f t="shared" si="36"/>
        <v>#DIV/0!</v>
      </c>
      <c r="R29" s="3">
        <v>0</v>
      </c>
      <c r="S29" s="6">
        <v>0</v>
      </c>
      <c r="T29" s="3" t="e">
        <f t="shared" si="37"/>
        <v>#DIV/0!</v>
      </c>
      <c r="U29" s="3">
        <v>0</v>
      </c>
      <c r="V29" s="6">
        <v>0</v>
      </c>
      <c r="W29" s="3" t="e">
        <f t="shared" si="38"/>
        <v>#DIV/0!</v>
      </c>
      <c r="X29" s="3">
        <v>0</v>
      </c>
      <c r="Y29" s="6">
        <v>0</v>
      </c>
      <c r="Z29" s="3" t="e">
        <f t="shared" si="39"/>
        <v>#DIV/0!</v>
      </c>
      <c r="AA29" s="3">
        <v>0</v>
      </c>
      <c r="AB29" s="6">
        <v>0</v>
      </c>
      <c r="AC29" s="3" t="e">
        <f t="shared" si="40"/>
        <v>#DIV/0!</v>
      </c>
      <c r="AD29" s="3">
        <v>0</v>
      </c>
      <c r="AE29" s="6">
        <v>0</v>
      </c>
      <c r="AF29" s="3" t="e">
        <f t="shared" si="41"/>
        <v>#DIV/0!</v>
      </c>
      <c r="AG29" s="3">
        <v>0</v>
      </c>
      <c r="AH29" s="6">
        <v>0</v>
      </c>
      <c r="AI29" s="3" t="e">
        <f t="shared" si="42"/>
        <v>#DIV/0!</v>
      </c>
      <c r="AJ29" s="3">
        <v>0</v>
      </c>
      <c r="AK29" s="6">
        <v>0</v>
      </c>
      <c r="AL29" s="3">
        <f t="shared" si="43"/>
        <v>1566.8181818181818</v>
      </c>
      <c r="AM29" s="3">
        <v>3447</v>
      </c>
      <c r="AN29" s="6">
        <v>2.2000000000000002</v>
      </c>
      <c r="AO29" s="3">
        <f t="shared" si="25"/>
        <v>1566.8181818181818</v>
      </c>
      <c r="AP29" s="3">
        <f t="shared" si="30"/>
        <v>3447</v>
      </c>
      <c r="AQ29" s="6">
        <f t="shared" si="31"/>
        <v>2.2000000000000002</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7" t="s">
        <v>79</v>
      </c>
      <c r="B30" s="24"/>
      <c r="C30" s="24"/>
      <c r="D30" s="24"/>
      <c r="E30" s="3" t="e">
        <f t="shared" si="32"/>
        <v>#DIV/0!</v>
      </c>
      <c r="F30" s="3">
        <v>0</v>
      </c>
      <c r="G30" s="6">
        <v>0</v>
      </c>
      <c r="H30" s="3" t="e">
        <f t="shared" si="33"/>
        <v>#DIV/0!</v>
      </c>
      <c r="I30" s="3">
        <v>0</v>
      </c>
      <c r="J30" s="6">
        <v>0</v>
      </c>
      <c r="K30" s="3" t="e">
        <f t="shared" si="34"/>
        <v>#DIV/0!</v>
      </c>
      <c r="L30" s="3">
        <v>0</v>
      </c>
      <c r="M30" s="6">
        <v>0</v>
      </c>
      <c r="N30" s="3" t="e">
        <f t="shared" si="35"/>
        <v>#DIV/0!</v>
      </c>
      <c r="O30" s="3">
        <v>0</v>
      </c>
      <c r="P30" s="6">
        <v>0</v>
      </c>
      <c r="Q30" s="3" t="e">
        <f t="shared" si="36"/>
        <v>#DIV/0!</v>
      </c>
      <c r="R30" s="3">
        <v>0</v>
      </c>
      <c r="S30" s="6">
        <v>0</v>
      </c>
      <c r="T30" s="3" t="e">
        <f t="shared" si="37"/>
        <v>#DIV/0!</v>
      </c>
      <c r="U30" s="3">
        <v>0</v>
      </c>
      <c r="V30" s="6">
        <v>0</v>
      </c>
      <c r="W30" s="3" t="e">
        <f t="shared" si="38"/>
        <v>#DIV/0!</v>
      </c>
      <c r="X30" s="3">
        <v>0</v>
      </c>
      <c r="Y30" s="6">
        <v>0</v>
      </c>
      <c r="Z30" s="3" t="e">
        <f t="shared" si="39"/>
        <v>#DIV/0!</v>
      </c>
      <c r="AA30" s="3">
        <v>0</v>
      </c>
      <c r="AB30" s="6">
        <v>0</v>
      </c>
      <c r="AC30" s="3" t="e">
        <f t="shared" si="40"/>
        <v>#DIV/0!</v>
      </c>
      <c r="AD30" s="3">
        <v>0</v>
      </c>
      <c r="AE30" s="6">
        <v>0</v>
      </c>
      <c r="AF30" s="3" t="e">
        <f t="shared" si="41"/>
        <v>#DIV/0!</v>
      </c>
      <c r="AG30" s="3">
        <v>0</v>
      </c>
      <c r="AH30" s="6">
        <v>0</v>
      </c>
      <c r="AI30" s="3" t="e">
        <f t="shared" si="42"/>
        <v>#DIV/0!</v>
      </c>
      <c r="AJ30" s="3">
        <v>0</v>
      </c>
      <c r="AK30" s="6">
        <v>0</v>
      </c>
      <c r="AL30" s="3">
        <f t="shared" si="43"/>
        <v>1566.3636363636363</v>
      </c>
      <c r="AM30" s="3">
        <v>3446</v>
      </c>
      <c r="AN30" s="6">
        <v>2.2000000000000002</v>
      </c>
      <c r="AO30" s="3">
        <f t="shared" si="25"/>
        <v>1566.3636363636363</v>
      </c>
      <c r="AP30" s="3">
        <f t="shared" si="30"/>
        <v>3446</v>
      </c>
      <c r="AQ30" s="6">
        <f t="shared" si="31"/>
        <v>2.2000000000000002</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7" t="s">
        <v>68</v>
      </c>
      <c r="B31" s="24"/>
      <c r="C31" s="24"/>
      <c r="D31" s="24"/>
      <c r="E31" s="3" t="e">
        <f t="shared" si="32"/>
        <v>#DIV/0!</v>
      </c>
      <c r="F31" s="3">
        <v>0</v>
      </c>
      <c r="G31" s="6">
        <v>0</v>
      </c>
      <c r="H31" s="3" t="e">
        <f t="shared" si="33"/>
        <v>#DIV/0!</v>
      </c>
      <c r="I31" s="3">
        <v>0</v>
      </c>
      <c r="J31" s="6">
        <v>0</v>
      </c>
      <c r="K31" s="3" t="e">
        <f t="shared" si="34"/>
        <v>#DIV/0!</v>
      </c>
      <c r="L31" s="3">
        <v>0</v>
      </c>
      <c r="M31" s="6">
        <v>0</v>
      </c>
      <c r="N31" s="3" t="e">
        <f t="shared" si="35"/>
        <v>#DIV/0!</v>
      </c>
      <c r="O31" s="3">
        <v>0</v>
      </c>
      <c r="P31" s="6">
        <v>0</v>
      </c>
      <c r="Q31" s="3" t="e">
        <f t="shared" si="36"/>
        <v>#DIV/0!</v>
      </c>
      <c r="R31" s="3">
        <v>0</v>
      </c>
      <c r="S31" s="6">
        <v>0</v>
      </c>
      <c r="T31" s="3" t="e">
        <f t="shared" si="37"/>
        <v>#DIV/0!</v>
      </c>
      <c r="U31" s="3">
        <v>0</v>
      </c>
      <c r="V31" s="6">
        <v>0</v>
      </c>
      <c r="W31" s="3">
        <f t="shared" si="38"/>
        <v>1550.7984790874525</v>
      </c>
      <c r="X31" s="3">
        <v>40786</v>
      </c>
      <c r="Y31" s="6">
        <v>26.3</v>
      </c>
      <c r="Z31" s="3" t="e">
        <f t="shared" si="39"/>
        <v>#DIV/0!</v>
      </c>
      <c r="AA31" s="3">
        <v>0</v>
      </c>
      <c r="AB31" s="6">
        <v>0</v>
      </c>
      <c r="AC31" s="3" t="e">
        <f t="shared" si="40"/>
        <v>#DIV/0!</v>
      </c>
      <c r="AD31" s="3">
        <v>0</v>
      </c>
      <c r="AE31" s="6">
        <v>0</v>
      </c>
      <c r="AF31" s="3" t="e">
        <f t="shared" si="41"/>
        <v>#DIV/0!</v>
      </c>
      <c r="AG31" s="3">
        <v>0</v>
      </c>
      <c r="AH31" s="6">
        <v>0</v>
      </c>
      <c r="AI31" s="3" t="e">
        <f t="shared" si="42"/>
        <v>#DIV/0!</v>
      </c>
      <c r="AJ31" s="3">
        <v>0</v>
      </c>
      <c r="AK31" s="6">
        <v>0</v>
      </c>
      <c r="AL31" s="3">
        <f t="shared" si="43"/>
        <v>3470</v>
      </c>
      <c r="AM31" s="3">
        <v>2776</v>
      </c>
      <c r="AN31" s="6">
        <v>0.8</v>
      </c>
      <c r="AO31" s="3">
        <f t="shared" si="25"/>
        <v>1607.4538745387454</v>
      </c>
      <c r="AP31" s="3">
        <f t="shared" si="30"/>
        <v>43562</v>
      </c>
      <c r="AQ31" s="6">
        <f t="shared" si="31"/>
        <v>27.1</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7" t="s">
        <v>48</v>
      </c>
      <c r="B32" s="24"/>
      <c r="C32" s="24"/>
      <c r="D32" s="24"/>
      <c r="E32" s="3">
        <f t="shared" si="32"/>
        <v>1910</v>
      </c>
      <c r="F32" s="3">
        <v>3438</v>
      </c>
      <c r="G32" s="6">
        <v>1.8</v>
      </c>
      <c r="H32" s="3" t="e">
        <f t="shared" si="33"/>
        <v>#DIV/0!</v>
      </c>
      <c r="I32" s="3">
        <v>0</v>
      </c>
      <c r="J32" s="6">
        <v>0</v>
      </c>
      <c r="K32" s="3">
        <f t="shared" si="34"/>
        <v>2048.2352941176473</v>
      </c>
      <c r="L32" s="3">
        <v>3482</v>
      </c>
      <c r="M32" s="6">
        <v>1.7</v>
      </c>
      <c r="N32" s="3" t="e">
        <f t="shared" si="35"/>
        <v>#DIV/0!</v>
      </c>
      <c r="O32" s="3">
        <v>0</v>
      </c>
      <c r="P32" s="6">
        <v>0</v>
      </c>
      <c r="Q32" s="3">
        <f t="shared" si="36"/>
        <v>1755.2083333333335</v>
      </c>
      <c r="R32" s="3">
        <v>8425</v>
      </c>
      <c r="S32" s="6">
        <v>4.8</v>
      </c>
      <c r="T32" s="3">
        <f t="shared" si="37"/>
        <v>1804</v>
      </c>
      <c r="U32" s="3">
        <v>5412</v>
      </c>
      <c r="V32" s="6">
        <v>3</v>
      </c>
      <c r="W32" s="3" t="e">
        <f t="shared" si="38"/>
        <v>#DIV/0!</v>
      </c>
      <c r="X32" s="3">
        <v>0</v>
      </c>
      <c r="Y32" s="6">
        <v>0</v>
      </c>
      <c r="Z32" s="3" t="e">
        <f t="shared" si="39"/>
        <v>#DIV/0!</v>
      </c>
      <c r="AA32" s="3">
        <v>0</v>
      </c>
      <c r="AB32" s="6">
        <v>0</v>
      </c>
      <c r="AC32" s="3" t="e">
        <f t="shared" si="40"/>
        <v>#DIV/0!</v>
      </c>
      <c r="AD32" s="3">
        <v>0</v>
      </c>
      <c r="AE32" s="6">
        <v>0</v>
      </c>
      <c r="AF32" s="3">
        <f t="shared" si="41"/>
        <v>1716.4705882352941</v>
      </c>
      <c r="AG32" s="3">
        <v>2918</v>
      </c>
      <c r="AH32" s="6">
        <v>1.7</v>
      </c>
      <c r="AI32" s="3">
        <f t="shared" si="42"/>
        <v>1727.6811594202898</v>
      </c>
      <c r="AJ32" s="3">
        <v>11921</v>
      </c>
      <c r="AK32" s="6">
        <v>6.9</v>
      </c>
      <c r="AL32" s="3">
        <f t="shared" si="43"/>
        <v>1625.2941176470588</v>
      </c>
      <c r="AM32" s="3">
        <v>2763</v>
      </c>
      <c r="AN32" s="6">
        <v>1.7</v>
      </c>
      <c r="AO32" s="3">
        <f t="shared" si="25"/>
        <v>1775.8796296296298</v>
      </c>
      <c r="AP32" s="3">
        <f t="shared" si="30"/>
        <v>38359</v>
      </c>
      <c r="AQ32" s="6">
        <f t="shared" si="31"/>
        <v>21.599999999999998</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7" t="s">
        <v>80</v>
      </c>
      <c r="B33" s="24"/>
      <c r="C33" s="24"/>
      <c r="D33" s="24"/>
      <c r="E33" s="3" t="e">
        <f t="shared" si="32"/>
        <v>#DIV/0!</v>
      </c>
      <c r="F33" s="3">
        <v>0</v>
      </c>
      <c r="G33" s="6">
        <v>0</v>
      </c>
      <c r="H33" s="3" t="e">
        <f t="shared" si="33"/>
        <v>#DIV/0!</v>
      </c>
      <c r="I33" s="3">
        <v>0</v>
      </c>
      <c r="J33" s="6">
        <v>0</v>
      </c>
      <c r="K33" s="3">
        <f t="shared" si="34"/>
        <v>870</v>
      </c>
      <c r="L33" s="3">
        <v>2610000</v>
      </c>
      <c r="M33" s="6">
        <v>3000</v>
      </c>
      <c r="N33" s="3" t="e">
        <f t="shared" si="35"/>
        <v>#DIV/0!</v>
      </c>
      <c r="O33" s="3">
        <v>0</v>
      </c>
      <c r="P33" s="6">
        <v>0</v>
      </c>
      <c r="Q33" s="3" t="e">
        <f t="shared" si="36"/>
        <v>#DIV/0!</v>
      </c>
      <c r="R33" s="3">
        <v>0</v>
      </c>
      <c r="S33" s="6">
        <v>0</v>
      </c>
      <c r="T33" s="3" t="e">
        <f t="shared" si="37"/>
        <v>#DIV/0!</v>
      </c>
      <c r="U33" s="3">
        <v>0</v>
      </c>
      <c r="V33" s="6">
        <v>0</v>
      </c>
      <c r="W33" s="3" t="e">
        <f t="shared" si="38"/>
        <v>#DIV/0!</v>
      </c>
      <c r="X33" s="3">
        <v>0</v>
      </c>
      <c r="Y33" s="6">
        <v>0</v>
      </c>
      <c r="Z33" s="3" t="e">
        <f t="shared" si="39"/>
        <v>#DIV/0!</v>
      </c>
      <c r="AA33" s="3">
        <v>0</v>
      </c>
      <c r="AB33" s="6">
        <v>0</v>
      </c>
      <c r="AC33" s="3" t="e">
        <f t="shared" si="40"/>
        <v>#DIV/0!</v>
      </c>
      <c r="AD33" s="3">
        <v>0</v>
      </c>
      <c r="AE33" s="6">
        <v>0</v>
      </c>
      <c r="AF33" s="3" t="e">
        <f t="shared" si="41"/>
        <v>#DIV/0!</v>
      </c>
      <c r="AG33" s="3">
        <v>0</v>
      </c>
      <c r="AH33" s="6">
        <v>0</v>
      </c>
      <c r="AI33" s="3" t="e">
        <f t="shared" si="42"/>
        <v>#DIV/0!</v>
      </c>
      <c r="AJ33" s="3">
        <v>0</v>
      </c>
      <c r="AK33" s="6">
        <v>0</v>
      </c>
      <c r="AL33" s="3" t="e">
        <f t="shared" si="43"/>
        <v>#DIV/0!</v>
      </c>
      <c r="AM33" s="3">
        <v>0</v>
      </c>
      <c r="AN33" s="6">
        <v>0</v>
      </c>
      <c r="AO33" s="3">
        <f t="shared" si="25"/>
        <v>870</v>
      </c>
      <c r="AP33" s="3">
        <f t="shared" si="30"/>
        <v>2610000</v>
      </c>
      <c r="AQ33" s="6">
        <f t="shared" si="31"/>
        <v>3000</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7" t="s">
        <v>81</v>
      </c>
      <c r="B34" s="24"/>
      <c r="C34" s="24"/>
      <c r="D34" s="24"/>
      <c r="E34" s="3" t="e">
        <f t="shared" si="32"/>
        <v>#DIV/0!</v>
      </c>
      <c r="F34" s="3">
        <v>0</v>
      </c>
      <c r="G34" s="6">
        <v>0</v>
      </c>
      <c r="H34" s="3">
        <f t="shared" si="33"/>
        <v>5184</v>
      </c>
      <c r="I34" s="3">
        <v>2592</v>
      </c>
      <c r="J34" s="6">
        <v>0.5</v>
      </c>
      <c r="K34" s="3" t="e">
        <f t="shared" si="34"/>
        <v>#DIV/0!</v>
      </c>
      <c r="L34" s="3">
        <v>0</v>
      </c>
      <c r="M34" s="6">
        <v>0</v>
      </c>
      <c r="N34" s="3" t="e">
        <f t="shared" si="35"/>
        <v>#DIV/0!</v>
      </c>
      <c r="O34" s="3">
        <v>0</v>
      </c>
      <c r="P34" s="6">
        <v>0</v>
      </c>
      <c r="Q34" s="3" t="e">
        <f t="shared" si="36"/>
        <v>#DIV/0!</v>
      </c>
      <c r="R34" s="3">
        <v>0</v>
      </c>
      <c r="S34" s="6">
        <v>0</v>
      </c>
      <c r="T34" s="3" t="e">
        <f t="shared" si="37"/>
        <v>#DIV/0!</v>
      </c>
      <c r="U34" s="3">
        <v>0</v>
      </c>
      <c r="V34" s="6">
        <v>0</v>
      </c>
      <c r="W34" s="3" t="e">
        <f t="shared" si="38"/>
        <v>#DIV/0!</v>
      </c>
      <c r="X34" s="3">
        <v>0</v>
      </c>
      <c r="Y34" s="6">
        <v>0</v>
      </c>
      <c r="Z34" s="3" t="e">
        <f t="shared" si="39"/>
        <v>#DIV/0!</v>
      </c>
      <c r="AA34" s="3">
        <v>0</v>
      </c>
      <c r="AB34" s="6">
        <v>0</v>
      </c>
      <c r="AC34" s="3" t="e">
        <f t="shared" si="40"/>
        <v>#DIV/0!</v>
      </c>
      <c r="AD34" s="3">
        <v>0</v>
      </c>
      <c r="AE34" s="6">
        <v>0</v>
      </c>
      <c r="AF34" s="3" t="e">
        <f t="shared" si="41"/>
        <v>#DIV/0!</v>
      </c>
      <c r="AG34" s="3">
        <v>0</v>
      </c>
      <c r="AH34" s="6">
        <v>0</v>
      </c>
      <c r="AI34" s="3" t="e">
        <f t="shared" si="42"/>
        <v>#DIV/0!</v>
      </c>
      <c r="AJ34" s="3">
        <v>0</v>
      </c>
      <c r="AK34" s="6">
        <v>0</v>
      </c>
      <c r="AL34" s="3" t="e">
        <f t="shared" si="43"/>
        <v>#DIV/0!</v>
      </c>
      <c r="AM34" s="3">
        <v>0</v>
      </c>
      <c r="AN34" s="6">
        <v>0</v>
      </c>
      <c r="AO34" s="3">
        <f t="shared" si="25"/>
        <v>5184</v>
      </c>
      <c r="AP34" s="3">
        <f t="shared" si="30"/>
        <v>2592</v>
      </c>
      <c r="AQ34" s="6">
        <f t="shared" si="31"/>
        <v>0.5</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7" t="s">
        <v>19</v>
      </c>
      <c r="B35" s="24"/>
      <c r="C35" s="24"/>
      <c r="D35" s="24"/>
      <c r="E35" s="3" t="e">
        <f t="shared" si="32"/>
        <v>#DIV/0!</v>
      </c>
      <c r="F35" s="3">
        <v>0</v>
      </c>
      <c r="G35" s="6">
        <v>0</v>
      </c>
      <c r="H35" s="3" t="e">
        <f t="shared" si="33"/>
        <v>#DIV/0!</v>
      </c>
      <c r="I35" s="3">
        <v>0</v>
      </c>
      <c r="J35" s="6">
        <v>0</v>
      </c>
      <c r="K35" s="3" t="e">
        <f t="shared" si="34"/>
        <v>#DIV/0!</v>
      </c>
      <c r="L35" s="3">
        <v>0</v>
      </c>
      <c r="M35" s="6">
        <v>0</v>
      </c>
      <c r="N35" s="3" t="e">
        <f t="shared" si="35"/>
        <v>#DIV/0!</v>
      </c>
      <c r="O35" s="3">
        <v>0</v>
      </c>
      <c r="P35" s="6">
        <v>0</v>
      </c>
      <c r="Q35" s="3" t="e">
        <f t="shared" si="36"/>
        <v>#DIV/0!</v>
      </c>
      <c r="R35" s="3">
        <v>0</v>
      </c>
      <c r="S35" s="6">
        <v>0</v>
      </c>
      <c r="T35" s="3">
        <f t="shared" si="37"/>
        <v>1274.3421052631579</v>
      </c>
      <c r="U35" s="3">
        <v>19370</v>
      </c>
      <c r="V35" s="6">
        <v>15.2</v>
      </c>
      <c r="W35" s="3">
        <f t="shared" si="38"/>
        <v>1737.1727748691098</v>
      </c>
      <c r="X35" s="3">
        <v>33180</v>
      </c>
      <c r="Y35" s="6">
        <v>19.100000000000001</v>
      </c>
      <c r="Z35" s="3">
        <f t="shared" si="39"/>
        <v>1185.5844155844156</v>
      </c>
      <c r="AA35" s="3">
        <v>18258</v>
      </c>
      <c r="AB35" s="6">
        <v>15.4</v>
      </c>
      <c r="AC35" s="3" t="e">
        <f t="shared" si="40"/>
        <v>#DIV/0!</v>
      </c>
      <c r="AD35" s="3">
        <v>0</v>
      </c>
      <c r="AE35" s="6">
        <v>0</v>
      </c>
      <c r="AF35" s="3" t="e">
        <f t="shared" si="41"/>
        <v>#DIV/0!</v>
      </c>
      <c r="AG35" s="3">
        <v>0</v>
      </c>
      <c r="AH35" s="6">
        <v>0</v>
      </c>
      <c r="AI35" s="3" t="e">
        <f t="shared" si="42"/>
        <v>#DIV/0!</v>
      </c>
      <c r="AJ35" s="3">
        <v>0</v>
      </c>
      <c r="AK35" s="6">
        <v>0</v>
      </c>
      <c r="AL35" s="3" t="e">
        <f t="shared" si="43"/>
        <v>#DIV/0!</v>
      </c>
      <c r="AM35" s="3">
        <v>0</v>
      </c>
      <c r="AN35" s="6">
        <v>0</v>
      </c>
      <c r="AO35" s="3">
        <f t="shared" si="25"/>
        <v>1424.708249496982</v>
      </c>
      <c r="AP35" s="3">
        <f t="shared" si="30"/>
        <v>70808</v>
      </c>
      <c r="AQ35" s="6">
        <f t="shared" si="31"/>
        <v>49.699999999999996</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7" t="s">
        <v>27</v>
      </c>
      <c r="B36" s="24"/>
      <c r="C36" s="24"/>
      <c r="D36" s="24"/>
      <c r="E36" s="3" t="e">
        <f t="shared" si="32"/>
        <v>#DIV/0!</v>
      </c>
      <c r="F36" s="3">
        <v>0</v>
      </c>
      <c r="G36" s="6">
        <v>0</v>
      </c>
      <c r="H36" s="3" t="e">
        <f t="shared" si="33"/>
        <v>#DIV/0!</v>
      </c>
      <c r="I36" s="3">
        <v>0</v>
      </c>
      <c r="J36" s="6">
        <v>0</v>
      </c>
      <c r="K36" s="3" t="e">
        <f t="shared" si="34"/>
        <v>#DIV/0!</v>
      </c>
      <c r="L36" s="3">
        <v>0</v>
      </c>
      <c r="M36" s="6">
        <v>0</v>
      </c>
      <c r="N36" s="3" t="e">
        <f t="shared" si="35"/>
        <v>#DIV/0!</v>
      </c>
      <c r="O36" s="3">
        <v>0</v>
      </c>
      <c r="P36" s="6">
        <v>0</v>
      </c>
      <c r="Q36" s="3" t="e">
        <f t="shared" si="36"/>
        <v>#DIV/0!</v>
      </c>
      <c r="R36" s="3">
        <v>0</v>
      </c>
      <c r="S36" s="6">
        <v>0</v>
      </c>
      <c r="T36" s="3" t="e">
        <f t="shared" si="37"/>
        <v>#DIV/0!</v>
      </c>
      <c r="U36" s="3">
        <v>0</v>
      </c>
      <c r="V36" s="6">
        <v>0</v>
      </c>
      <c r="W36" s="3">
        <f t="shared" si="38"/>
        <v>1406.25</v>
      </c>
      <c r="X36" s="3">
        <v>4500</v>
      </c>
      <c r="Y36" s="6">
        <v>3.2</v>
      </c>
      <c r="Z36" s="3" t="e">
        <f t="shared" si="39"/>
        <v>#DIV/0!</v>
      </c>
      <c r="AA36" s="3">
        <v>0</v>
      </c>
      <c r="AB36" s="6">
        <v>0</v>
      </c>
      <c r="AC36" s="3" t="e">
        <f t="shared" si="40"/>
        <v>#DIV/0!</v>
      </c>
      <c r="AD36" s="3">
        <v>0</v>
      </c>
      <c r="AE36" s="6">
        <v>0</v>
      </c>
      <c r="AF36" s="3" t="e">
        <f t="shared" si="41"/>
        <v>#DIV/0!</v>
      </c>
      <c r="AG36" s="3">
        <v>0</v>
      </c>
      <c r="AH36" s="6">
        <v>0</v>
      </c>
      <c r="AI36" s="3" t="e">
        <f t="shared" si="42"/>
        <v>#DIV/0!</v>
      </c>
      <c r="AJ36" s="3">
        <v>0</v>
      </c>
      <c r="AK36" s="6">
        <v>0</v>
      </c>
      <c r="AL36" s="3" t="e">
        <f t="shared" si="43"/>
        <v>#DIV/0!</v>
      </c>
      <c r="AM36" s="3">
        <v>0</v>
      </c>
      <c r="AN36" s="6">
        <v>0</v>
      </c>
      <c r="AO36" s="3">
        <f t="shared" si="25"/>
        <v>1406.25</v>
      </c>
      <c r="AP36" s="3">
        <f t="shared" si="30"/>
        <v>4500</v>
      </c>
      <c r="AQ36" s="6">
        <f t="shared" si="31"/>
        <v>3.2</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7" t="s">
        <v>58</v>
      </c>
      <c r="B37" s="24"/>
      <c r="C37" s="24"/>
      <c r="D37" s="24"/>
      <c r="E37" s="3" t="e">
        <f t="shared" si="32"/>
        <v>#DIV/0!</v>
      </c>
      <c r="F37" s="3">
        <v>0</v>
      </c>
      <c r="G37" s="6">
        <v>0</v>
      </c>
      <c r="H37" s="3" t="e">
        <f t="shared" si="33"/>
        <v>#DIV/0!</v>
      </c>
      <c r="I37" s="3">
        <v>0</v>
      </c>
      <c r="J37" s="6">
        <v>0</v>
      </c>
      <c r="K37" s="3" t="e">
        <f t="shared" si="34"/>
        <v>#DIV/0!</v>
      </c>
      <c r="L37" s="3">
        <v>0</v>
      </c>
      <c r="M37" s="6">
        <v>0</v>
      </c>
      <c r="N37" s="3" t="e">
        <f t="shared" si="35"/>
        <v>#DIV/0!</v>
      </c>
      <c r="O37" s="3">
        <v>0</v>
      </c>
      <c r="P37" s="6">
        <v>0</v>
      </c>
      <c r="Q37" s="3">
        <f t="shared" si="36"/>
        <v>2556.666666666667</v>
      </c>
      <c r="R37" s="3">
        <v>3068</v>
      </c>
      <c r="S37" s="6">
        <v>1.2</v>
      </c>
      <c r="T37" s="3" t="e">
        <f t="shared" si="37"/>
        <v>#DIV/0!</v>
      </c>
      <c r="U37" s="3">
        <v>0</v>
      </c>
      <c r="V37" s="6">
        <v>0</v>
      </c>
      <c r="W37" s="3">
        <f t="shared" si="38"/>
        <v>1874.3478260869567</v>
      </c>
      <c r="X37" s="3">
        <v>4311</v>
      </c>
      <c r="Y37" s="6">
        <v>2.2999999999999998</v>
      </c>
      <c r="Z37" s="3" t="e">
        <f t="shared" si="39"/>
        <v>#DIV/0!</v>
      </c>
      <c r="AA37" s="3">
        <v>0</v>
      </c>
      <c r="AB37" s="6">
        <v>0</v>
      </c>
      <c r="AC37" s="3">
        <f t="shared" si="40"/>
        <v>1650.1041666666667</v>
      </c>
      <c r="AD37" s="3">
        <v>15841</v>
      </c>
      <c r="AE37" s="6">
        <v>9.6</v>
      </c>
      <c r="AF37" s="3">
        <f t="shared" si="41"/>
        <v>2280.4</v>
      </c>
      <c r="AG37" s="3">
        <v>5701</v>
      </c>
      <c r="AH37" s="6">
        <v>2.5</v>
      </c>
      <c r="AI37" s="3" t="e">
        <f t="shared" si="42"/>
        <v>#DIV/0!</v>
      </c>
      <c r="AJ37" s="3">
        <v>0</v>
      </c>
      <c r="AK37" s="6">
        <v>0</v>
      </c>
      <c r="AL37" s="3" t="e">
        <f t="shared" si="43"/>
        <v>#DIV/0!</v>
      </c>
      <c r="AM37" s="3">
        <v>0</v>
      </c>
      <c r="AN37" s="6">
        <v>0</v>
      </c>
      <c r="AO37" s="3">
        <f t="shared" si="25"/>
        <v>1853.9102564102564</v>
      </c>
      <c r="AP37" s="3">
        <f t="shared" si="30"/>
        <v>28921</v>
      </c>
      <c r="AQ37" s="6">
        <f t="shared" si="31"/>
        <v>15.6</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7" t="s">
        <v>59</v>
      </c>
      <c r="B38" s="24"/>
      <c r="C38" s="24"/>
      <c r="D38" s="24"/>
      <c r="E38" s="3" t="e">
        <f t="shared" si="32"/>
        <v>#DIV/0!</v>
      </c>
      <c r="F38" s="3">
        <v>0</v>
      </c>
      <c r="G38" s="6">
        <v>0</v>
      </c>
      <c r="H38" s="3" t="e">
        <f t="shared" si="33"/>
        <v>#DIV/0!</v>
      </c>
      <c r="I38" s="3">
        <v>0</v>
      </c>
      <c r="J38" s="6">
        <v>0</v>
      </c>
      <c r="K38" s="3" t="e">
        <f t="shared" si="34"/>
        <v>#DIV/0!</v>
      </c>
      <c r="L38" s="3">
        <v>0</v>
      </c>
      <c r="M38" s="6">
        <v>0</v>
      </c>
      <c r="N38" s="3" t="e">
        <f t="shared" si="35"/>
        <v>#DIV/0!</v>
      </c>
      <c r="O38" s="3">
        <v>0</v>
      </c>
      <c r="P38" s="6">
        <v>0</v>
      </c>
      <c r="Q38" s="3" t="e">
        <f t="shared" si="36"/>
        <v>#DIV/0!</v>
      </c>
      <c r="R38" s="3">
        <v>0</v>
      </c>
      <c r="S38" s="6">
        <v>0</v>
      </c>
      <c r="T38" s="3" t="e">
        <f t="shared" si="37"/>
        <v>#DIV/0!</v>
      </c>
      <c r="U38" s="3">
        <v>0</v>
      </c>
      <c r="V38" s="6">
        <v>0</v>
      </c>
      <c r="W38" s="3" t="e">
        <f t="shared" si="38"/>
        <v>#DIV/0!</v>
      </c>
      <c r="X38" s="3">
        <v>0</v>
      </c>
      <c r="Y38" s="6">
        <v>0</v>
      </c>
      <c r="Z38" s="3">
        <f t="shared" si="39"/>
        <v>1361.55</v>
      </c>
      <c r="AA38" s="3">
        <v>27231</v>
      </c>
      <c r="AB38" s="6">
        <v>20</v>
      </c>
      <c r="AC38" s="3" t="e">
        <f t="shared" si="40"/>
        <v>#DIV/0!</v>
      </c>
      <c r="AD38" s="3">
        <v>0</v>
      </c>
      <c r="AE38" s="6">
        <v>0</v>
      </c>
      <c r="AF38" s="3">
        <f t="shared" si="41"/>
        <v>1215.1099999999999</v>
      </c>
      <c r="AG38" s="3">
        <v>121511</v>
      </c>
      <c r="AH38" s="6">
        <v>100</v>
      </c>
      <c r="AI38" s="3" t="e">
        <f t="shared" si="42"/>
        <v>#DIV/0!</v>
      </c>
      <c r="AJ38" s="3">
        <v>0</v>
      </c>
      <c r="AK38" s="6">
        <v>0</v>
      </c>
      <c r="AL38" s="3" t="e">
        <f t="shared" si="43"/>
        <v>#DIV/0!</v>
      </c>
      <c r="AM38" s="3">
        <v>0</v>
      </c>
      <c r="AN38" s="6">
        <v>0</v>
      </c>
      <c r="AO38" s="3">
        <f t="shared" si="25"/>
        <v>1239.5166666666667</v>
      </c>
      <c r="AP38" s="3">
        <f t="shared" si="30"/>
        <v>148742</v>
      </c>
      <c r="AQ38" s="6">
        <f t="shared" si="31"/>
        <v>120</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7" t="s">
        <v>60</v>
      </c>
      <c r="B39" s="24"/>
      <c r="C39" s="24"/>
      <c r="D39" s="24"/>
      <c r="E39" s="3" t="e">
        <f t="shared" si="32"/>
        <v>#DIV/0!</v>
      </c>
      <c r="F39" s="3">
        <v>0</v>
      </c>
      <c r="G39" s="6">
        <v>0</v>
      </c>
      <c r="H39" s="3" t="e">
        <f t="shared" si="33"/>
        <v>#DIV/0!</v>
      </c>
      <c r="I39" s="3">
        <v>0</v>
      </c>
      <c r="J39" s="6">
        <v>0</v>
      </c>
      <c r="K39" s="3">
        <f t="shared" si="34"/>
        <v>8996.6666666666679</v>
      </c>
      <c r="L39" s="3">
        <v>2699</v>
      </c>
      <c r="M39" s="6">
        <v>0.3</v>
      </c>
      <c r="N39" s="3" t="e">
        <f t="shared" si="35"/>
        <v>#DIV/0!</v>
      </c>
      <c r="O39" s="3">
        <v>0</v>
      </c>
      <c r="P39" s="6">
        <v>0</v>
      </c>
      <c r="Q39" s="3" t="e">
        <f t="shared" si="36"/>
        <v>#DIV/0!</v>
      </c>
      <c r="R39" s="3">
        <v>0</v>
      </c>
      <c r="S39" s="6">
        <v>0</v>
      </c>
      <c r="T39" s="3" t="e">
        <f t="shared" si="37"/>
        <v>#DIV/0!</v>
      </c>
      <c r="U39" s="3">
        <v>0</v>
      </c>
      <c r="V39" s="6">
        <v>0</v>
      </c>
      <c r="W39" s="3" t="e">
        <f t="shared" si="38"/>
        <v>#DIV/0!</v>
      </c>
      <c r="X39" s="3">
        <v>0</v>
      </c>
      <c r="Y39" s="6">
        <v>0</v>
      </c>
      <c r="Z39" s="3" t="e">
        <f t="shared" si="39"/>
        <v>#DIV/0!</v>
      </c>
      <c r="AA39" s="3">
        <v>0</v>
      </c>
      <c r="AB39" s="6">
        <v>0</v>
      </c>
      <c r="AC39" s="3" t="e">
        <f t="shared" si="40"/>
        <v>#DIV/0!</v>
      </c>
      <c r="AD39" s="3">
        <v>0</v>
      </c>
      <c r="AE39" s="6">
        <v>0</v>
      </c>
      <c r="AF39" s="3" t="e">
        <f t="shared" si="41"/>
        <v>#DIV/0!</v>
      </c>
      <c r="AG39" s="3">
        <v>0</v>
      </c>
      <c r="AH39" s="6">
        <v>0</v>
      </c>
      <c r="AI39" s="3" t="e">
        <f t="shared" si="42"/>
        <v>#DIV/0!</v>
      </c>
      <c r="AJ39" s="3">
        <v>0</v>
      </c>
      <c r="AK39" s="6">
        <v>0</v>
      </c>
      <c r="AL39" s="3" t="e">
        <f t="shared" si="43"/>
        <v>#DIV/0!</v>
      </c>
      <c r="AM39" s="3">
        <v>0</v>
      </c>
      <c r="AN39" s="6">
        <v>0</v>
      </c>
      <c r="AO39" s="3">
        <f t="shared" si="25"/>
        <v>8996.6666666666679</v>
      </c>
      <c r="AP39" s="3">
        <f t="shared" si="30"/>
        <v>2699</v>
      </c>
      <c r="AQ39" s="6">
        <f t="shared" si="31"/>
        <v>0.3</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7" t="s">
        <v>54</v>
      </c>
      <c r="B40" s="24"/>
      <c r="C40" s="24"/>
      <c r="D40" s="24"/>
      <c r="E40" s="3" t="e">
        <f t="shared" si="32"/>
        <v>#DIV/0!</v>
      </c>
      <c r="F40" s="3">
        <v>0</v>
      </c>
      <c r="G40" s="6">
        <v>0</v>
      </c>
      <c r="H40" s="3" t="e">
        <f t="shared" si="33"/>
        <v>#DIV/0!</v>
      </c>
      <c r="I40" s="3">
        <v>0</v>
      </c>
      <c r="J40" s="6">
        <v>0</v>
      </c>
      <c r="K40" s="3" t="e">
        <f t="shared" si="34"/>
        <v>#DIV/0!</v>
      </c>
      <c r="L40" s="3">
        <v>0</v>
      </c>
      <c r="M40" s="6">
        <v>0</v>
      </c>
      <c r="N40" s="3" t="e">
        <f t="shared" si="35"/>
        <v>#DIV/0!</v>
      </c>
      <c r="O40" s="3">
        <v>0</v>
      </c>
      <c r="P40" s="6">
        <v>0</v>
      </c>
      <c r="Q40" s="3" t="e">
        <f t="shared" si="36"/>
        <v>#DIV/0!</v>
      </c>
      <c r="R40" s="3">
        <v>0</v>
      </c>
      <c r="S40" s="6">
        <v>0</v>
      </c>
      <c r="T40" s="3">
        <f t="shared" si="37"/>
        <v>1534.6153846153845</v>
      </c>
      <c r="U40" s="3">
        <v>7980</v>
      </c>
      <c r="V40" s="6">
        <v>5.2</v>
      </c>
      <c r="W40" s="3" t="e">
        <f t="shared" si="38"/>
        <v>#DIV/0!</v>
      </c>
      <c r="X40" s="3">
        <v>0</v>
      </c>
      <c r="Y40" s="6">
        <v>0</v>
      </c>
      <c r="Z40" s="3" t="e">
        <f t="shared" si="39"/>
        <v>#DIV/0!</v>
      </c>
      <c r="AA40" s="3">
        <v>0</v>
      </c>
      <c r="AB40" s="6">
        <v>0</v>
      </c>
      <c r="AC40" s="3">
        <f t="shared" si="40"/>
        <v>1548.3870967741934</v>
      </c>
      <c r="AD40" s="3">
        <v>9600</v>
      </c>
      <c r="AE40" s="6">
        <v>6.2</v>
      </c>
      <c r="AF40" s="3" t="e">
        <f t="shared" si="41"/>
        <v>#DIV/0!</v>
      </c>
      <c r="AG40" s="3">
        <v>0</v>
      </c>
      <c r="AH40" s="6">
        <v>0</v>
      </c>
      <c r="AI40" s="3" t="e">
        <f t="shared" si="42"/>
        <v>#DIV/0!</v>
      </c>
      <c r="AJ40" s="3">
        <v>0</v>
      </c>
      <c r="AK40" s="6">
        <v>0</v>
      </c>
      <c r="AL40" s="3" t="e">
        <f t="shared" si="43"/>
        <v>#DIV/0!</v>
      </c>
      <c r="AM40" s="3">
        <v>0</v>
      </c>
      <c r="AN40" s="6">
        <v>0</v>
      </c>
      <c r="AO40" s="3">
        <f t="shared" si="25"/>
        <v>1542.1052631578948</v>
      </c>
      <c r="AP40" s="3">
        <f t="shared" si="30"/>
        <v>17580</v>
      </c>
      <c r="AQ40" s="6">
        <f t="shared" si="31"/>
        <v>11.4</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7" t="s">
        <v>21</v>
      </c>
      <c r="B41" s="24"/>
      <c r="C41" s="24"/>
      <c r="D41" s="24"/>
      <c r="E41" s="3">
        <f t="shared" si="32"/>
        <v>1072.6344086021506</v>
      </c>
      <c r="F41" s="3">
        <v>99755</v>
      </c>
      <c r="G41" s="6">
        <v>93</v>
      </c>
      <c r="H41" s="3">
        <f t="shared" si="33"/>
        <v>1123.2160312805474</v>
      </c>
      <c r="I41" s="3">
        <v>229810</v>
      </c>
      <c r="J41" s="6">
        <v>204.6</v>
      </c>
      <c r="K41" s="3">
        <f t="shared" si="34"/>
        <v>1114.6046261430877</v>
      </c>
      <c r="L41" s="3">
        <v>207205</v>
      </c>
      <c r="M41" s="6">
        <v>185.9</v>
      </c>
      <c r="N41" s="3" t="e">
        <f t="shared" si="35"/>
        <v>#DIV/0!</v>
      </c>
      <c r="O41" s="3">
        <v>0</v>
      </c>
      <c r="P41" s="6">
        <v>0</v>
      </c>
      <c r="Q41" s="3">
        <f t="shared" si="36"/>
        <v>1208.7099644128114</v>
      </c>
      <c r="R41" s="3">
        <v>135859</v>
      </c>
      <c r="S41" s="6">
        <v>112.4</v>
      </c>
      <c r="T41" s="3" t="e">
        <f t="shared" si="37"/>
        <v>#DIV/0!</v>
      </c>
      <c r="U41" s="3">
        <v>0</v>
      </c>
      <c r="V41" s="6">
        <v>0</v>
      </c>
      <c r="W41" s="3" t="e">
        <f t="shared" si="38"/>
        <v>#DIV/0!</v>
      </c>
      <c r="X41" s="3">
        <v>0</v>
      </c>
      <c r="Y41" s="6">
        <v>0</v>
      </c>
      <c r="Z41" s="3" t="e">
        <f t="shared" si="39"/>
        <v>#DIV/0!</v>
      </c>
      <c r="AA41" s="3">
        <v>0</v>
      </c>
      <c r="AB41" s="6">
        <v>0</v>
      </c>
      <c r="AC41" s="3" t="e">
        <f t="shared" si="40"/>
        <v>#DIV/0!</v>
      </c>
      <c r="AD41" s="3">
        <v>0</v>
      </c>
      <c r="AE41" s="6">
        <v>0</v>
      </c>
      <c r="AF41" s="3" t="e">
        <f t="shared" si="41"/>
        <v>#DIV/0!</v>
      </c>
      <c r="AG41" s="3">
        <v>0</v>
      </c>
      <c r="AH41" s="6">
        <v>0</v>
      </c>
      <c r="AI41" s="3" t="e">
        <f t="shared" si="42"/>
        <v>#DIV/0!</v>
      </c>
      <c r="AJ41" s="3">
        <v>0</v>
      </c>
      <c r="AK41" s="6">
        <v>0</v>
      </c>
      <c r="AL41" s="3" t="e">
        <f t="shared" si="43"/>
        <v>#DIV/0!</v>
      </c>
      <c r="AM41" s="3">
        <v>0</v>
      </c>
      <c r="AN41" s="6">
        <v>0</v>
      </c>
      <c r="AO41" s="3">
        <f t="shared" si="25"/>
        <v>1128.7615371706663</v>
      </c>
      <c r="AP41" s="3">
        <f t="shared" si="30"/>
        <v>672629</v>
      </c>
      <c r="AQ41" s="6">
        <f t="shared" si="31"/>
        <v>595.9</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7" t="s">
        <v>18</v>
      </c>
      <c r="B42" s="24"/>
      <c r="C42" s="24"/>
      <c r="D42" s="24"/>
      <c r="E42" s="3">
        <f t="shared" si="32"/>
        <v>1892.8571428571429</v>
      </c>
      <c r="F42" s="3">
        <v>2650</v>
      </c>
      <c r="G42" s="6">
        <v>1.4</v>
      </c>
      <c r="H42" s="3" t="e">
        <f t="shared" si="33"/>
        <v>#DIV/0!</v>
      </c>
      <c r="I42" s="3">
        <v>0</v>
      </c>
      <c r="J42" s="6">
        <v>0</v>
      </c>
      <c r="K42" s="3" t="e">
        <f t="shared" si="34"/>
        <v>#DIV/0!</v>
      </c>
      <c r="L42" s="3">
        <v>0</v>
      </c>
      <c r="M42" s="6">
        <v>0</v>
      </c>
      <c r="N42" s="3" t="e">
        <f t="shared" si="35"/>
        <v>#DIV/0!</v>
      </c>
      <c r="O42" s="3">
        <v>0</v>
      </c>
      <c r="P42" s="6">
        <v>0</v>
      </c>
      <c r="Q42" s="3" t="e">
        <f t="shared" si="36"/>
        <v>#DIV/0!</v>
      </c>
      <c r="R42" s="3">
        <v>0</v>
      </c>
      <c r="S42" s="6">
        <v>0</v>
      </c>
      <c r="T42" s="3" t="e">
        <f t="shared" si="37"/>
        <v>#DIV/0!</v>
      </c>
      <c r="U42" s="3">
        <v>0</v>
      </c>
      <c r="V42" s="6">
        <v>0</v>
      </c>
      <c r="W42" s="3" t="e">
        <f t="shared" si="38"/>
        <v>#DIV/0!</v>
      </c>
      <c r="X42" s="3">
        <v>0</v>
      </c>
      <c r="Y42" s="6">
        <v>0</v>
      </c>
      <c r="Z42" s="3" t="e">
        <f t="shared" si="39"/>
        <v>#DIV/0!</v>
      </c>
      <c r="AA42" s="3">
        <v>0</v>
      </c>
      <c r="AB42" s="6">
        <v>0</v>
      </c>
      <c r="AC42" s="3" t="e">
        <f t="shared" si="40"/>
        <v>#DIV/0!</v>
      </c>
      <c r="AD42" s="3">
        <v>0</v>
      </c>
      <c r="AE42" s="6">
        <v>0</v>
      </c>
      <c r="AF42" s="3" t="e">
        <f t="shared" si="41"/>
        <v>#DIV/0!</v>
      </c>
      <c r="AG42" s="3">
        <v>0</v>
      </c>
      <c r="AH42" s="6">
        <v>0</v>
      </c>
      <c r="AI42" s="3" t="e">
        <f t="shared" si="42"/>
        <v>#DIV/0!</v>
      </c>
      <c r="AJ42" s="3">
        <v>0</v>
      </c>
      <c r="AK42" s="6">
        <v>0</v>
      </c>
      <c r="AL42" s="3" t="e">
        <f t="shared" si="43"/>
        <v>#DIV/0!</v>
      </c>
      <c r="AM42" s="3">
        <v>0</v>
      </c>
      <c r="AN42" s="6">
        <v>0</v>
      </c>
      <c r="AO42" s="3">
        <f t="shared" si="25"/>
        <v>1892.8571428571429</v>
      </c>
      <c r="AP42" s="3">
        <f t="shared" si="30"/>
        <v>2650</v>
      </c>
      <c r="AQ42" s="6">
        <f t="shared" si="31"/>
        <v>1.4</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7" t="s">
        <v>62</v>
      </c>
      <c r="B43" s="24"/>
      <c r="C43" s="24"/>
      <c r="D43" s="24"/>
      <c r="E43" s="3">
        <f t="shared" si="32"/>
        <v>945.76759608931934</v>
      </c>
      <c r="F43" s="3">
        <v>7187550</v>
      </c>
      <c r="G43" s="6">
        <v>7599.7</v>
      </c>
      <c r="H43" s="3">
        <f t="shared" si="33"/>
        <v>895.2194024253032</v>
      </c>
      <c r="I43" s="3">
        <v>3580430</v>
      </c>
      <c r="J43" s="6">
        <v>3999.5</v>
      </c>
      <c r="K43" s="3">
        <f t="shared" si="34"/>
        <v>912.48789024657015</v>
      </c>
      <c r="L43" s="3">
        <v>2919870</v>
      </c>
      <c r="M43" s="6">
        <v>3199.9</v>
      </c>
      <c r="N43" s="3" t="e">
        <f t="shared" si="35"/>
        <v>#DIV/0!</v>
      </c>
      <c r="O43" s="3">
        <v>0</v>
      </c>
      <c r="P43" s="6">
        <v>0</v>
      </c>
      <c r="Q43" s="3" t="e">
        <f t="shared" si="36"/>
        <v>#DIV/0!</v>
      </c>
      <c r="R43" s="3">
        <v>0</v>
      </c>
      <c r="S43" s="6">
        <v>0</v>
      </c>
      <c r="T43" s="3" t="e">
        <f t="shared" si="37"/>
        <v>#DIV/0!</v>
      </c>
      <c r="U43" s="3">
        <v>0</v>
      </c>
      <c r="V43" s="6">
        <v>0</v>
      </c>
      <c r="W43" s="3" t="e">
        <f t="shared" si="38"/>
        <v>#DIV/0!</v>
      </c>
      <c r="X43" s="3">
        <v>0</v>
      </c>
      <c r="Y43" s="6">
        <v>0</v>
      </c>
      <c r="Z43" s="3" t="e">
        <f t="shared" si="39"/>
        <v>#DIV/0!</v>
      </c>
      <c r="AA43" s="3">
        <v>0</v>
      </c>
      <c r="AB43" s="6">
        <v>0</v>
      </c>
      <c r="AC43" s="3" t="e">
        <f t="shared" si="40"/>
        <v>#DIV/0!</v>
      </c>
      <c r="AD43" s="3">
        <v>0</v>
      </c>
      <c r="AE43" s="6">
        <v>0</v>
      </c>
      <c r="AF43" s="3" t="e">
        <f t="shared" si="41"/>
        <v>#DIV/0!</v>
      </c>
      <c r="AG43" s="3">
        <v>0</v>
      </c>
      <c r="AH43" s="6">
        <v>0</v>
      </c>
      <c r="AI43" s="3">
        <f t="shared" si="42"/>
        <v>1171.0886487970354</v>
      </c>
      <c r="AJ43" s="3">
        <v>5972435</v>
      </c>
      <c r="AK43" s="6">
        <v>5099.8999999999996</v>
      </c>
      <c r="AL43" s="3" t="e">
        <f t="shared" si="43"/>
        <v>#DIV/0!</v>
      </c>
      <c r="AM43" s="3">
        <v>0</v>
      </c>
      <c r="AN43" s="6">
        <v>0</v>
      </c>
      <c r="AO43" s="3">
        <f t="shared" si="25"/>
        <v>988.00366852605657</v>
      </c>
      <c r="AP43" s="3">
        <f t="shared" si="30"/>
        <v>19660285</v>
      </c>
      <c r="AQ43" s="6">
        <f t="shared" si="31"/>
        <v>19899</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7" t="s">
        <v>63</v>
      </c>
      <c r="B44" s="24"/>
      <c r="C44" s="24"/>
      <c r="D44" s="24"/>
      <c r="E44" s="10" t="e">
        <f t="shared" si="32"/>
        <v>#DIV/0!</v>
      </c>
      <c r="F44" s="10">
        <v>0</v>
      </c>
      <c r="G44" s="6">
        <v>0</v>
      </c>
      <c r="H44" s="12" t="e">
        <f t="shared" si="33"/>
        <v>#DIV/0!</v>
      </c>
      <c r="I44" s="10">
        <v>0</v>
      </c>
      <c r="J44" s="6">
        <v>0</v>
      </c>
      <c r="K44" s="10" t="e">
        <f t="shared" si="34"/>
        <v>#DIV/0!</v>
      </c>
      <c r="L44" s="10">
        <v>0</v>
      </c>
      <c r="M44" s="6">
        <v>0</v>
      </c>
      <c r="N44" s="10" t="e">
        <f t="shared" si="35"/>
        <v>#DIV/0!</v>
      </c>
      <c r="O44" s="10">
        <v>0</v>
      </c>
      <c r="P44" s="6">
        <v>0</v>
      </c>
      <c r="Q44" s="12" t="e">
        <f t="shared" si="36"/>
        <v>#DIV/0!</v>
      </c>
      <c r="R44" s="10">
        <v>0</v>
      </c>
      <c r="S44" s="6">
        <v>0</v>
      </c>
      <c r="T44" s="12" t="e">
        <f t="shared" si="37"/>
        <v>#DIV/0!</v>
      </c>
      <c r="U44" s="10">
        <v>0</v>
      </c>
      <c r="V44" s="6">
        <v>0</v>
      </c>
      <c r="W44" s="10">
        <f t="shared" si="38"/>
        <v>4555.5555555555557</v>
      </c>
      <c r="X44" s="10">
        <v>24600</v>
      </c>
      <c r="Y44" s="6">
        <v>5.4</v>
      </c>
      <c r="Z44" s="10">
        <f t="shared" si="39"/>
        <v>4591.666666666667</v>
      </c>
      <c r="AA44" s="10">
        <v>5510</v>
      </c>
      <c r="AB44" s="6">
        <v>1.2</v>
      </c>
      <c r="AC44" s="10" t="e">
        <f t="shared" si="40"/>
        <v>#DIV/0!</v>
      </c>
      <c r="AD44" s="10">
        <v>0</v>
      </c>
      <c r="AE44" s="6">
        <v>0</v>
      </c>
      <c r="AF44" s="10" t="e">
        <f t="shared" si="41"/>
        <v>#DIV/0!</v>
      </c>
      <c r="AG44" s="10">
        <v>0</v>
      </c>
      <c r="AH44" s="6">
        <v>0</v>
      </c>
      <c r="AI44" s="10" t="e">
        <f t="shared" si="42"/>
        <v>#DIV/0!</v>
      </c>
      <c r="AJ44" s="10">
        <v>0</v>
      </c>
      <c r="AK44" s="6">
        <v>0</v>
      </c>
      <c r="AL44" s="10" t="e">
        <f t="shared" si="43"/>
        <v>#DIV/0!</v>
      </c>
      <c r="AM44" s="10">
        <v>0</v>
      </c>
      <c r="AN44" s="6">
        <v>0</v>
      </c>
      <c r="AO44" s="10">
        <f t="shared" si="25"/>
        <v>4562.121212121212</v>
      </c>
      <c r="AP44" s="10">
        <f t="shared" si="30"/>
        <v>30110</v>
      </c>
      <c r="AQ44" s="6">
        <f t="shared" si="31"/>
        <v>6.6000000000000005</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7" t="s">
        <v>31</v>
      </c>
      <c r="B45" s="24"/>
      <c r="C45" s="24"/>
      <c r="D45" s="24"/>
      <c r="E45" s="16" t="e">
        <f t="shared" si="32"/>
        <v>#DIV/0!</v>
      </c>
      <c r="F45" s="11">
        <v>0</v>
      </c>
      <c r="G45" s="9">
        <v>0</v>
      </c>
      <c r="H45" s="8" t="e">
        <f t="shared" si="33"/>
        <v>#DIV/0!</v>
      </c>
      <c r="I45" s="11">
        <v>0</v>
      </c>
      <c r="J45" s="9">
        <v>0</v>
      </c>
      <c r="K45" s="16" t="e">
        <f t="shared" si="34"/>
        <v>#DIV/0!</v>
      </c>
      <c r="L45" s="8">
        <v>0</v>
      </c>
      <c r="M45" s="9">
        <v>0</v>
      </c>
      <c r="N45" s="16" t="e">
        <f t="shared" si="35"/>
        <v>#DIV/0!</v>
      </c>
      <c r="O45" s="8">
        <v>0</v>
      </c>
      <c r="P45" s="9">
        <v>0</v>
      </c>
      <c r="Q45" s="8" t="e">
        <f t="shared" si="36"/>
        <v>#DIV/0!</v>
      </c>
      <c r="R45" s="11">
        <v>0</v>
      </c>
      <c r="S45" s="9">
        <v>0</v>
      </c>
      <c r="T45" s="8" t="e">
        <f t="shared" si="37"/>
        <v>#DIV/0!</v>
      </c>
      <c r="U45" s="11">
        <v>0</v>
      </c>
      <c r="V45" s="9">
        <v>0</v>
      </c>
      <c r="W45" s="11" t="e">
        <f t="shared" si="38"/>
        <v>#DIV/0!</v>
      </c>
      <c r="X45" s="11">
        <v>0</v>
      </c>
      <c r="Y45" s="9">
        <v>0</v>
      </c>
      <c r="Z45" s="11" t="e">
        <f t="shared" si="39"/>
        <v>#DIV/0!</v>
      </c>
      <c r="AA45" s="11">
        <v>0</v>
      </c>
      <c r="AB45" s="9">
        <v>0</v>
      </c>
      <c r="AC45" s="11" t="e">
        <f t="shared" si="40"/>
        <v>#DIV/0!</v>
      </c>
      <c r="AD45" s="11">
        <v>0</v>
      </c>
      <c r="AE45" s="9">
        <v>0</v>
      </c>
      <c r="AF45" s="8">
        <f t="shared" si="41"/>
        <v>2168.5714285714284</v>
      </c>
      <c r="AG45" s="11">
        <v>4554</v>
      </c>
      <c r="AH45" s="9">
        <v>2.1</v>
      </c>
      <c r="AI45" s="11" t="e">
        <f t="shared" si="42"/>
        <v>#DIV/0!</v>
      </c>
      <c r="AJ45" s="11">
        <v>0</v>
      </c>
      <c r="AK45" s="9">
        <v>0</v>
      </c>
      <c r="AL45" s="11" t="e">
        <f t="shared" si="43"/>
        <v>#DIV/0!</v>
      </c>
      <c r="AM45" s="11">
        <v>0</v>
      </c>
      <c r="AN45" s="9">
        <v>0</v>
      </c>
      <c r="AO45" s="11">
        <f t="shared" si="25"/>
        <v>2168.5714285714284</v>
      </c>
      <c r="AP45" s="8">
        <f t="shared" si="30"/>
        <v>4554</v>
      </c>
      <c r="AQ45" s="9">
        <f t="shared" si="31"/>
        <v>2.1</v>
      </c>
    </row>
    <row r="46" spans="1:67" x14ac:dyDescent="0.3">
      <c r="A46" s="7" t="s">
        <v>64</v>
      </c>
      <c r="B46" s="24"/>
      <c r="C46" s="24"/>
      <c r="D46" s="24"/>
      <c r="E46" s="8" t="e">
        <f t="shared" si="32"/>
        <v>#DIV/0!</v>
      </c>
      <c r="F46" s="8">
        <v>0</v>
      </c>
      <c r="G46" s="9">
        <v>0</v>
      </c>
      <c r="H46" s="8">
        <f t="shared" si="33"/>
        <v>1320.9917355371902</v>
      </c>
      <c r="I46" s="8">
        <v>31968</v>
      </c>
      <c r="J46" s="9">
        <v>24.2</v>
      </c>
      <c r="K46" s="8" t="e">
        <f t="shared" si="34"/>
        <v>#DIV/0!</v>
      </c>
      <c r="L46" s="8">
        <v>0</v>
      </c>
      <c r="M46" s="9">
        <v>0</v>
      </c>
      <c r="N46" s="8" t="e">
        <f t="shared" si="35"/>
        <v>#DIV/0!</v>
      </c>
      <c r="O46" s="8">
        <v>0</v>
      </c>
      <c r="P46" s="9">
        <v>0</v>
      </c>
      <c r="Q46" s="8" t="e">
        <f t="shared" si="36"/>
        <v>#DIV/0!</v>
      </c>
      <c r="R46" s="8">
        <v>0</v>
      </c>
      <c r="S46" s="9">
        <v>0</v>
      </c>
      <c r="T46" s="8" t="e">
        <f t="shared" si="37"/>
        <v>#DIV/0!</v>
      </c>
      <c r="U46" s="8">
        <v>0</v>
      </c>
      <c r="V46" s="9">
        <v>0</v>
      </c>
      <c r="W46" s="8" t="e">
        <f t="shared" si="38"/>
        <v>#DIV/0!</v>
      </c>
      <c r="X46" s="8">
        <v>0</v>
      </c>
      <c r="Y46" s="9">
        <v>0</v>
      </c>
      <c r="Z46" s="8">
        <f t="shared" si="39"/>
        <v>1547.3076923076922</v>
      </c>
      <c r="AA46" s="8">
        <v>32184</v>
      </c>
      <c r="AB46" s="9">
        <v>20.8</v>
      </c>
      <c r="AC46" s="8" t="e">
        <f t="shared" si="40"/>
        <v>#DIV/0!</v>
      </c>
      <c r="AD46" s="8">
        <v>0</v>
      </c>
      <c r="AE46" s="9">
        <v>0</v>
      </c>
      <c r="AF46" s="8" t="e">
        <f t="shared" si="41"/>
        <v>#DIV/0!</v>
      </c>
      <c r="AG46" s="8">
        <v>0</v>
      </c>
      <c r="AH46" s="9">
        <v>0</v>
      </c>
      <c r="AI46" s="8" t="e">
        <f t="shared" si="42"/>
        <v>#DIV/0!</v>
      </c>
      <c r="AJ46" s="8">
        <v>0</v>
      </c>
      <c r="AK46" s="9">
        <v>0</v>
      </c>
      <c r="AL46" s="8" t="e">
        <f t="shared" si="43"/>
        <v>#DIV/0!</v>
      </c>
      <c r="AM46" s="8">
        <v>0</v>
      </c>
      <c r="AN46" s="9">
        <v>0</v>
      </c>
      <c r="AO46" s="8">
        <f t="shared" si="25"/>
        <v>1425.6</v>
      </c>
      <c r="AP46" s="8">
        <f t="shared" si="30"/>
        <v>64152</v>
      </c>
      <c r="AQ46" s="9">
        <f t="shared" si="31"/>
        <v>45</v>
      </c>
    </row>
    <row r="47" spans="1:67" x14ac:dyDescent="0.3">
      <c r="A47" s="7" t="s">
        <v>65</v>
      </c>
      <c r="B47" s="24"/>
      <c r="C47" s="24"/>
      <c r="D47" s="24"/>
      <c r="E47" s="8">
        <f t="shared" si="32"/>
        <v>2098.75</v>
      </c>
      <c r="F47" s="8">
        <v>3358</v>
      </c>
      <c r="G47" s="9">
        <v>1.6</v>
      </c>
      <c r="H47" s="8" t="e">
        <f t="shared" si="33"/>
        <v>#DIV/0!</v>
      </c>
      <c r="I47" s="8">
        <v>0</v>
      </c>
      <c r="J47" s="9">
        <v>0</v>
      </c>
      <c r="K47" s="8" t="e">
        <f t="shared" si="34"/>
        <v>#DIV/0!</v>
      </c>
      <c r="L47" s="8">
        <v>0</v>
      </c>
      <c r="M47" s="9">
        <v>0</v>
      </c>
      <c r="N47" s="8" t="e">
        <f t="shared" si="35"/>
        <v>#DIV/0!</v>
      </c>
      <c r="O47" s="8">
        <v>0</v>
      </c>
      <c r="P47" s="9">
        <v>0</v>
      </c>
      <c r="Q47" s="8" t="e">
        <f t="shared" si="36"/>
        <v>#DIV/0!</v>
      </c>
      <c r="R47" s="8">
        <v>0</v>
      </c>
      <c r="S47" s="9">
        <v>0</v>
      </c>
      <c r="T47" s="8" t="e">
        <f t="shared" si="37"/>
        <v>#DIV/0!</v>
      </c>
      <c r="U47" s="8">
        <v>0</v>
      </c>
      <c r="V47" s="9">
        <v>0</v>
      </c>
      <c r="W47" s="8">
        <f t="shared" si="38"/>
        <v>2098.75</v>
      </c>
      <c r="X47" s="8">
        <v>3358</v>
      </c>
      <c r="Y47" s="9">
        <v>1.6</v>
      </c>
      <c r="Z47" s="8" t="e">
        <f t="shared" si="39"/>
        <v>#DIV/0!</v>
      </c>
      <c r="AA47" s="8">
        <v>0</v>
      </c>
      <c r="AB47" s="9">
        <v>0</v>
      </c>
      <c r="AC47" s="8" t="e">
        <f t="shared" si="40"/>
        <v>#DIV/0!</v>
      </c>
      <c r="AD47" s="8">
        <v>0</v>
      </c>
      <c r="AE47" s="9">
        <v>0</v>
      </c>
      <c r="AF47" s="8">
        <f t="shared" si="41"/>
        <v>2098.75</v>
      </c>
      <c r="AG47" s="8">
        <v>3358</v>
      </c>
      <c r="AH47" s="9">
        <v>1.6</v>
      </c>
      <c r="AI47" s="8" t="e">
        <f t="shared" si="42"/>
        <v>#DIV/0!</v>
      </c>
      <c r="AJ47" s="8">
        <v>0</v>
      </c>
      <c r="AK47" s="9">
        <v>0</v>
      </c>
      <c r="AL47" s="8" t="e">
        <f t="shared" si="43"/>
        <v>#DIV/0!</v>
      </c>
      <c r="AM47" s="8">
        <v>0</v>
      </c>
      <c r="AN47" s="9">
        <v>0</v>
      </c>
      <c r="AO47" s="8">
        <f t="shared" si="25"/>
        <v>2098.7499999999995</v>
      </c>
      <c r="AP47" s="8">
        <f t="shared" si="30"/>
        <v>10074</v>
      </c>
      <c r="AQ47" s="9">
        <f t="shared" si="31"/>
        <v>4.8000000000000007</v>
      </c>
    </row>
    <row r="48" spans="1:67" x14ac:dyDescent="0.3">
      <c r="A48" s="7" t="s">
        <v>82</v>
      </c>
      <c r="B48" s="24"/>
      <c r="C48" s="24"/>
      <c r="D48" s="24"/>
      <c r="E48" s="8">
        <f t="shared" si="32"/>
        <v>1168.5555555555557</v>
      </c>
      <c r="F48" s="8">
        <v>105170</v>
      </c>
      <c r="G48" s="9">
        <v>90</v>
      </c>
      <c r="H48" s="8" t="e">
        <f t="shared" si="33"/>
        <v>#DIV/0!</v>
      </c>
      <c r="I48" s="8">
        <v>0</v>
      </c>
      <c r="J48" s="9">
        <v>0</v>
      </c>
      <c r="K48" s="8" t="e">
        <f t="shared" si="34"/>
        <v>#DIV/0!</v>
      </c>
      <c r="L48" s="8">
        <v>0</v>
      </c>
      <c r="M48" s="9">
        <v>0</v>
      </c>
      <c r="N48" s="8" t="e">
        <f t="shared" si="35"/>
        <v>#DIV/0!</v>
      </c>
      <c r="O48" s="8">
        <v>0</v>
      </c>
      <c r="P48" s="9">
        <v>0</v>
      </c>
      <c r="Q48" s="8" t="e">
        <f t="shared" si="36"/>
        <v>#DIV/0!</v>
      </c>
      <c r="R48" s="8">
        <v>0</v>
      </c>
      <c r="S48" s="9">
        <v>0</v>
      </c>
      <c r="T48" s="8" t="e">
        <f t="shared" si="37"/>
        <v>#DIV/0!</v>
      </c>
      <c r="U48" s="8">
        <v>0</v>
      </c>
      <c r="V48" s="9">
        <v>0</v>
      </c>
      <c r="W48" s="8" t="e">
        <f t="shared" si="38"/>
        <v>#DIV/0!</v>
      </c>
      <c r="X48" s="8">
        <v>0</v>
      </c>
      <c r="Y48" s="9">
        <v>0</v>
      </c>
      <c r="Z48" s="8" t="e">
        <f t="shared" si="39"/>
        <v>#DIV/0!</v>
      </c>
      <c r="AA48" s="8">
        <v>0</v>
      </c>
      <c r="AB48" s="9">
        <v>0</v>
      </c>
      <c r="AC48" s="8" t="e">
        <f t="shared" si="40"/>
        <v>#DIV/0!</v>
      </c>
      <c r="AD48" s="8">
        <v>0</v>
      </c>
      <c r="AE48" s="9">
        <v>0</v>
      </c>
      <c r="AF48" s="8">
        <f t="shared" si="41"/>
        <v>1260.228664761127</v>
      </c>
      <c r="AG48" s="8">
        <v>617260</v>
      </c>
      <c r="AH48" s="9">
        <v>489.8</v>
      </c>
      <c r="AI48" s="8">
        <f t="shared" si="42"/>
        <v>1239.8619047619047</v>
      </c>
      <c r="AJ48" s="8">
        <v>260371</v>
      </c>
      <c r="AK48" s="9">
        <v>210</v>
      </c>
      <c r="AL48" s="8" t="e">
        <f t="shared" si="43"/>
        <v>#DIV/0!</v>
      </c>
      <c r="AM48" s="8">
        <v>0</v>
      </c>
      <c r="AN48" s="9">
        <v>0</v>
      </c>
      <c r="AO48" s="8">
        <f t="shared" si="25"/>
        <v>1244.3669283362876</v>
      </c>
      <c r="AP48" s="8">
        <f t="shared" si="30"/>
        <v>982801</v>
      </c>
      <c r="AQ48" s="9">
        <f t="shared" si="31"/>
        <v>789.8</v>
      </c>
    </row>
    <row r="49" spans="1:43" x14ac:dyDescent="0.3">
      <c r="A49" s="7" t="s">
        <v>83</v>
      </c>
      <c r="B49" s="24"/>
      <c r="C49" s="24"/>
      <c r="D49" s="24"/>
      <c r="E49" s="8" t="e">
        <f t="shared" si="32"/>
        <v>#DIV/0!</v>
      </c>
      <c r="F49" s="8">
        <v>0</v>
      </c>
      <c r="G49" s="9">
        <v>0</v>
      </c>
      <c r="H49" s="8">
        <f t="shared" si="33"/>
        <v>850.01044854093584</v>
      </c>
      <c r="I49" s="8">
        <v>1138929</v>
      </c>
      <c r="J49" s="9">
        <v>1339.9</v>
      </c>
      <c r="K49" s="8">
        <f t="shared" si="34"/>
        <v>892.50760040535488</v>
      </c>
      <c r="L49" s="8">
        <v>3346725</v>
      </c>
      <c r="M49" s="9">
        <v>3749.8</v>
      </c>
      <c r="N49" s="8">
        <f t="shared" si="35"/>
        <v>1566.9565217391305</v>
      </c>
      <c r="O49" s="8">
        <v>3604</v>
      </c>
      <c r="P49" s="9">
        <v>2.2999999999999998</v>
      </c>
      <c r="Q49" s="8" t="e">
        <f t="shared" si="36"/>
        <v>#DIV/0!</v>
      </c>
      <c r="R49" s="8">
        <v>0</v>
      </c>
      <c r="S49" s="9">
        <v>0</v>
      </c>
      <c r="T49" s="8" t="e">
        <f t="shared" si="37"/>
        <v>#DIV/0!</v>
      </c>
      <c r="U49" s="8">
        <v>0</v>
      </c>
      <c r="V49" s="9">
        <v>0</v>
      </c>
      <c r="W49" s="8" t="e">
        <f t="shared" si="38"/>
        <v>#DIV/0!</v>
      </c>
      <c r="X49" s="8">
        <v>0</v>
      </c>
      <c r="Y49" s="9">
        <v>0</v>
      </c>
      <c r="Z49" s="8" t="e">
        <f t="shared" si="39"/>
        <v>#DIV/0!</v>
      </c>
      <c r="AA49" s="8">
        <v>0</v>
      </c>
      <c r="AB49" s="9">
        <v>0</v>
      </c>
      <c r="AC49" s="8" t="e">
        <f t="shared" si="40"/>
        <v>#DIV/0!</v>
      </c>
      <c r="AD49" s="8">
        <v>0</v>
      </c>
      <c r="AE49" s="9">
        <v>0</v>
      </c>
      <c r="AF49" s="8" t="e">
        <f t="shared" si="41"/>
        <v>#DIV/0!</v>
      </c>
      <c r="AG49" s="8">
        <v>0</v>
      </c>
      <c r="AH49" s="9">
        <v>0</v>
      </c>
      <c r="AI49" s="8" t="e">
        <f t="shared" si="42"/>
        <v>#DIV/0!</v>
      </c>
      <c r="AJ49" s="8">
        <v>0</v>
      </c>
      <c r="AK49" s="9">
        <v>0</v>
      </c>
      <c r="AL49" s="8" t="e">
        <f t="shared" si="43"/>
        <v>#DIV/0!</v>
      </c>
      <c r="AM49" s="8">
        <v>0</v>
      </c>
      <c r="AN49" s="9">
        <v>0</v>
      </c>
      <c r="AO49" s="8">
        <f t="shared" si="25"/>
        <v>881.62961508248213</v>
      </c>
      <c r="AP49" s="8">
        <f t="shared" si="30"/>
        <v>4489258</v>
      </c>
      <c r="AQ49" s="9">
        <f t="shared" si="31"/>
        <v>5092.0000000000009</v>
      </c>
    </row>
    <row r="50" spans="1:43" x14ac:dyDescent="0.3">
      <c r="A50" s="7" t="s">
        <v>34</v>
      </c>
      <c r="B50" s="24"/>
      <c r="C50" s="24"/>
      <c r="D50" s="24"/>
      <c r="E50" s="8" t="e">
        <f t="shared" si="32"/>
        <v>#DIV/0!</v>
      </c>
      <c r="F50" s="8">
        <v>0</v>
      </c>
      <c r="G50" s="9">
        <v>0</v>
      </c>
      <c r="H50" s="8" t="e">
        <f t="shared" si="33"/>
        <v>#DIV/0!</v>
      </c>
      <c r="I50" s="8">
        <v>0</v>
      </c>
      <c r="J50" s="9">
        <v>0</v>
      </c>
      <c r="K50" s="8" t="e">
        <f t="shared" si="34"/>
        <v>#DIV/0!</v>
      </c>
      <c r="L50" s="8">
        <v>0</v>
      </c>
      <c r="M50" s="9">
        <v>0</v>
      </c>
      <c r="N50" s="8">
        <f t="shared" si="35"/>
        <v>2311.1111111111109</v>
      </c>
      <c r="O50" s="8">
        <v>6240</v>
      </c>
      <c r="P50" s="9">
        <v>2.7</v>
      </c>
      <c r="Q50" s="8" t="e">
        <f t="shared" si="36"/>
        <v>#DIV/0!</v>
      </c>
      <c r="R50" s="8">
        <v>0</v>
      </c>
      <c r="S50" s="9">
        <v>0</v>
      </c>
      <c r="T50" s="8" t="e">
        <f t="shared" si="37"/>
        <v>#DIV/0!</v>
      </c>
      <c r="U50" s="8">
        <v>0</v>
      </c>
      <c r="V50" s="9">
        <v>0</v>
      </c>
      <c r="W50" s="8" t="e">
        <f t="shared" si="38"/>
        <v>#DIV/0!</v>
      </c>
      <c r="X50" s="8">
        <v>0</v>
      </c>
      <c r="Y50" s="9">
        <v>0</v>
      </c>
      <c r="Z50" s="8" t="e">
        <f t="shared" si="39"/>
        <v>#DIV/0!</v>
      </c>
      <c r="AA50" s="8">
        <v>0</v>
      </c>
      <c r="AB50" s="9">
        <v>0</v>
      </c>
      <c r="AC50" s="8" t="e">
        <f t="shared" si="40"/>
        <v>#DIV/0!</v>
      </c>
      <c r="AD50" s="8">
        <v>0</v>
      </c>
      <c r="AE50" s="9">
        <v>0</v>
      </c>
      <c r="AF50" s="8" t="e">
        <f t="shared" si="41"/>
        <v>#DIV/0!</v>
      </c>
      <c r="AG50" s="8">
        <v>0</v>
      </c>
      <c r="AH50" s="9">
        <v>0</v>
      </c>
      <c r="AI50" s="8" t="e">
        <f t="shared" si="42"/>
        <v>#DIV/0!</v>
      </c>
      <c r="AJ50" s="8">
        <v>0</v>
      </c>
      <c r="AK50" s="9">
        <v>0</v>
      </c>
      <c r="AL50" s="8" t="e">
        <f t="shared" si="43"/>
        <v>#DIV/0!</v>
      </c>
      <c r="AM50" s="8">
        <v>0</v>
      </c>
      <c r="AN50" s="9">
        <v>0</v>
      </c>
      <c r="AO50" s="8">
        <f t="shared" si="25"/>
        <v>2311.1111111111109</v>
      </c>
      <c r="AP50" s="8">
        <f t="shared" si="30"/>
        <v>6240</v>
      </c>
      <c r="AQ50" s="9">
        <f t="shared" si="31"/>
        <v>2.7</v>
      </c>
    </row>
    <row r="51" spans="1:43" x14ac:dyDescent="0.3">
      <c r="A51" s="17" t="s">
        <v>66</v>
      </c>
      <c r="B51" s="24"/>
      <c r="C51" s="24"/>
      <c r="D51" s="24"/>
      <c r="E51" s="8" t="e">
        <f t="shared" si="32"/>
        <v>#DIV/0!</v>
      </c>
      <c r="F51" s="8">
        <v>0</v>
      </c>
      <c r="G51" s="9">
        <v>0</v>
      </c>
      <c r="H51" s="8" t="e">
        <f t="shared" si="33"/>
        <v>#DIV/0!</v>
      </c>
      <c r="I51" s="8">
        <v>0</v>
      </c>
      <c r="J51" s="9">
        <v>0</v>
      </c>
      <c r="K51" s="8">
        <f t="shared" si="34"/>
        <v>1471.6071428571429</v>
      </c>
      <c r="L51" s="8">
        <v>8241</v>
      </c>
      <c r="M51" s="9">
        <v>5.6</v>
      </c>
      <c r="N51" s="8" t="e">
        <f t="shared" si="35"/>
        <v>#DIV/0!</v>
      </c>
      <c r="O51" s="8">
        <v>0</v>
      </c>
      <c r="P51" s="9">
        <v>0</v>
      </c>
      <c r="Q51" s="8">
        <f t="shared" si="36"/>
        <v>1530.7692307692307</v>
      </c>
      <c r="R51" s="8">
        <v>3980</v>
      </c>
      <c r="S51" s="9">
        <v>2.6</v>
      </c>
      <c r="T51" s="8">
        <f t="shared" si="37"/>
        <v>1353.8461538461538</v>
      </c>
      <c r="U51" s="8">
        <v>7040</v>
      </c>
      <c r="V51" s="9">
        <v>5.2</v>
      </c>
      <c r="W51" s="8">
        <f t="shared" si="38"/>
        <v>1343.2352941176471</v>
      </c>
      <c r="X51" s="8">
        <v>4567</v>
      </c>
      <c r="Y51" s="9">
        <v>3.4</v>
      </c>
      <c r="Z51" s="8">
        <f t="shared" si="39"/>
        <v>1433.3116883116884</v>
      </c>
      <c r="AA51" s="8">
        <v>22073</v>
      </c>
      <c r="AB51" s="9">
        <v>15.4</v>
      </c>
      <c r="AC51" s="8">
        <f t="shared" si="40"/>
        <v>1558.5106382978722</v>
      </c>
      <c r="AD51" s="8">
        <v>7325</v>
      </c>
      <c r="AE51" s="9">
        <v>4.7</v>
      </c>
      <c r="AF51" s="8">
        <f t="shared" si="41"/>
        <v>1126.5306122448978</v>
      </c>
      <c r="AG51" s="8">
        <v>11040</v>
      </c>
      <c r="AH51" s="9">
        <v>9.8000000000000007</v>
      </c>
      <c r="AI51" s="8">
        <f t="shared" si="42"/>
        <v>1580</v>
      </c>
      <c r="AJ51" s="8">
        <v>4424</v>
      </c>
      <c r="AK51" s="9">
        <v>2.8</v>
      </c>
      <c r="AL51" s="8" t="e">
        <f t="shared" si="43"/>
        <v>#DIV/0!</v>
      </c>
      <c r="AM51" s="8">
        <v>0</v>
      </c>
      <c r="AN51" s="9">
        <v>0</v>
      </c>
      <c r="AO51" s="8">
        <f t="shared" si="25"/>
        <v>1387.6767676767677</v>
      </c>
      <c r="AP51" s="8">
        <f t="shared" si="30"/>
        <v>68690</v>
      </c>
      <c r="AQ51" s="9">
        <f t="shared" si="31"/>
        <v>49.5</v>
      </c>
    </row>
    <row r="52" spans="1:43" x14ac:dyDescent="0.3">
      <c r="A52" s="17" t="s">
        <v>67</v>
      </c>
      <c r="B52" s="24"/>
      <c r="C52" s="24"/>
      <c r="D52" s="24"/>
      <c r="E52" s="8">
        <f t="shared" si="32"/>
        <v>1424.2916666666667</v>
      </c>
      <c r="F52" s="8">
        <v>34183</v>
      </c>
      <c r="G52" s="9">
        <v>24</v>
      </c>
      <c r="H52" s="8">
        <f t="shared" si="33"/>
        <v>1195.9685863874345</v>
      </c>
      <c r="I52" s="8">
        <v>22843</v>
      </c>
      <c r="J52" s="9">
        <v>19.100000000000001</v>
      </c>
      <c r="K52" s="8" t="e">
        <f t="shared" si="34"/>
        <v>#DIV/0!</v>
      </c>
      <c r="L52" s="8">
        <v>0</v>
      </c>
      <c r="M52" s="9">
        <v>0</v>
      </c>
      <c r="N52" s="8">
        <f t="shared" si="35"/>
        <v>1191.2335958005249</v>
      </c>
      <c r="O52" s="8">
        <v>45386</v>
      </c>
      <c r="P52" s="9">
        <v>38.1</v>
      </c>
      <c r="Q52" s="8">
        <f t="shared" si="36"/>
        <v>1246.9945355191257</v>
      </c>
      <c r="R52" s="8">
        <v>68460</v>
      </c>
      <c r="S52" s="9">
        <v>54.9</v>
      </c>
      <c r="T52" s="8">
        <f t="shared" si="37"/>
        <v>1354.5</v>
      </c>
      <c r="U52" s="8">
        <v>132741</v>
      </c>
      <c r="V52" s="9">
        <v>98</v>
      </c>
      <c r="W52" s="8">
        <f t="shared" si="38"/>
        <v>1299.5534506089309</v>
      </c>
      <c r="X52" s="8">
        <v>96037</v>
      </c>
      <c r="Y52" s="9">
        <v>73.900000000000006</v>
      </c>
      <c r="Z52" s="8" t="e">
        <f t="shared" si="39"/>
        <v>#DIV/0!</v>
      </c>
      <c r="AA52" s="8">
        <v>0</v>
      </c>
      <c r="AB52" s="9">
        <v>0</v>
      </c>
      <c r="AC52" s="8">
        <f t="shared" si="40"/>
        <v>1413.9923954372623</v>
      </c>
      <c r="AD52" s="8">
        <v>74376</v>
      </c>
      <c r="AE52" s="9">
        <v>52.6</v>
      </c>
      <c r="AF52" s="8">
        <f t="shared" si="41"/>
        <v>1378.5062240663899</v>
      </c>
      <c r="AG52" s="8">
        <v>33222</v>
      </c>
      <c r="AH52" s="9">
        <v>24.1</v>
      </c>
      <c r="AI52" s="8">
        <f t="shared" si="42"/>
        <v>1539.702380952381</v>
      </c>
      <c r="AJ52" s="8">
        <v>25867</v>
      </c>
      <c r="AK52" s="9">
        <v>16.8</v>
      </c>
      <c r="AL52" s="8" t="e">
        <f t="shared" si="43"/>
        <v>#DIV/0!</v>
      </c>
      <c r="AM52" s="8">
        <v>0</v>
      </c>
      <c r="AN52" s="9">
        <v>0</v>
      </c>
      <c r="AO52" s="8">
        <f t="shared" si="25"/>
        <v>1327.808219178082</v>
      </c>
      <c r="AP52" s="8">
        <f t="shared" si="30"/>
        <v>533115</v>
      </c>
      <c r="AQ52" s="9">
        <f t="shared" si="31"/>
        <v>401.50000000000006</v>
      </c>
    </row>
    <row r="53" spans="1:43" x14ac:dyDescent="0.3">
      <c r="A53" s="17" t="s">
        <v>56</v>
      </c>
      <c r="B53" s="24"/>
      <c r="C53" s="24"/>
      <c r="D53" s="24"/>
      <c r="E53" s="8">
        <f t="shared" si="32"/>
        <v>1638</v>
      </c>
      <c r="F53" s="8">
        <v>3276</v>
      </c>
      <c r="G53" s="9">
        <v>2</v>
      </c>
      <c r="H53" s="8" t="e">
        <f t="shared" si="33"/>
        <v>#DIV/0!</v>
      </c>
      <c r="I53" s="8">
        <v>0</v>
      </c>
      <c r="J53" s="9">
        <v>0</v>
      </c>
      <c r="K53" s="8" t="e">
        <f t="shared" si="34"/>
        <v>#DIV/0!</v>
      </c>
      <c r="L53" s="8">
        <v>0</v>
      </c>
      <c r="M53" s="9">
        <v>0</v>
      </c>
      <c r="N53" s="8" t="e">
        <f t="shared" si="35"/>
        <v>#DIV/0!</v>
      </c>
      <c r="O53" s="8">
        <v>0</v>
      </c>
      <c r="P53" s="9">
        <v>0</v>
      </c>
      <c r="Q53" s="8" t="e">
        <f t="shared" si="36"/>
        <v>#DIV/0!</v>
      </c>
      <c r="R53" s="8">
        <v>0</v>
      </c>
      <c r="S53" s="9">
        <v>0</v>
      </c>
      <c r="T53" s="8" t="e">
        <f t="shared" si="37"/>
        <v>#DIV/0!</v>
      </c>
      <c r="U53" s="8">
        <v>0</v>
      </c>
      <c r="V53" s="9">
        <v>0</v>
      </c>
      <c r="W53" s="8" t="e">
        <f t="shared" si="38"/>
        <v>#DIV/0!</v>
      </c>
      <c r="X53" s="8">
        <v>0</v>
      </c>
      <c r="Y53" s="9">
        <v>0</v>
      </c>
      <c r="Z53" s="8">
        <f t="shared" si="39"/>
        <v>5048.484848484849</v>
      </c>
      <c r="AA53" s="8">
        <v>16660</v>
      </c>
      <c r="AB53" s="9">
        <v>3.3</v>
      </c>
      <c r="AC53" s="8" t="e">
        <f t="shared" si="40"/>
        <v>#DIV/0!</v>
      </c>
      <c r="AD53" s="8">
        <v>0</v>
      </c>
      <c r="AE53" s="9">
        <v>0</v>
      </c>
      <c r="AF53" s="8">
        <f t="shared" si="41"/>
        <v>4617.5</v>
      </c>
      <c r="AG53" s="8">
        <v>5541</v>
      </c>
      <c r="AH53" s="9">
        <v>1.2</v>
      </c>
      <c r="AI53" s="8" t="e">
        <f t="shared" si="42"/>
        <v>#DIV/0!</v>
      </c>
      <c r="AJ53" s="8">
        <v>0</v>
      </c>
      <c r="AK53" s="9">
        <v>0</v>
      </c>
      <c r="AL53" s="8" t="e">
        <f t="shared" si="43"/>
        <v>#DIV/0!</v>
      </c>
      <c r="AM53" s="8">
        <v>0</v>
      </c>
      <c r="AN53" s="9">
        <v>0</v>
      </c>
      <c r="AO53" s="8">
        <f t="shared" si="25"/>
        <v>3919.5384615384614</v>
      </c>
      <c r="AP53" s="8">
        <f t="shared" si="30"/>
        <v>25477</v>
      </c>
      <c r="AQ53" s="9">
        <f t="shared" si="31"/>
        <v>6.5</v>
      </c>
    </row>
    <row r="54" spans="1:43" x14ac:dyDescent="0.3">
      <c r="A54" s="17" t="s">
        <v>24</v>
      </c>
      <c r="B54" s="24"/>
      <c r="C54" s="24"/>
      <c r="D54" s="24"/>
      <c r="E54" s="8" t="e">
        <f t="shared" si="32"/>
        <v>#DIV/0!</v>
      </c>
      <c r="F54" s="8">
        <v>0</v>
      </c>
      <c r="G54" s="9">
        <v>0</v>
      </c>
      <c r="H54" s="8" t="e">
        <f t="shared" si="33"/>
        <v>#DIV/0!</v>
      </c>
      <c r="I54" s="8">
        <v>0</v>
      </c>
      <c r="J54" s="9">
        <v>0</v>
      </c>
      <c r="K54" s="8" t="e">
        <f t="shared" si="34"/>
        <v>#DIV/0!</v>
      </c>
      <c r="L54" s="8">
        <v>0</v>
      </c>
      <c r="M54" s="9">
        <v>0</v>
      </c>
      <c r="N54" s="8" t="e">
        <f t="shared" si="35"/>
        <v>#DIV/0!</v>
      </c>
      <c r="O54" s="8">
        <v>0</v>
      </c>
      <c r="P54" s="9">
        <v>0</v>
      </c>
      <c r="Q54" s="8" t="e">
        <f t="shared" si="36"/>
        <v>#DIV/0!</v>
      </c>
      <c r="R54" s="8">
        <v>0</v>
      </c>
      <c r="S54" s="9">
        <v>0</v>
      </c>
      <c r="T54" s="8" t="e">
        <f t="shared" si="37"/>
        <v>#DIV/0!</v>
      </c>
      <c r="U54" s="8">
        <v>0</v>
      </c>
      <c r="V54" s="9">
        <v>0</v>
      </c>
      <c r="W54" s="8" t="e">
        <f t="shared" si="38"/>
        <v>#DIV/0!</v>
      </c>
      <c r="X54" s="8">
        <v>0</v>
      </c>
      <c r="Y54" s="9">
        <v>0</v>
      </c>
      <c r="Z54" s="8" t="e">
        <f t="shared" si="39"/>
        <v>#DIV/0!</v>
      </c>
      <c r="AA54" s="8">
        <v>0</v>
      </c>
      <c r="AB54" s="9">
        <v>0</v>
      </c>
      <c r="AC54" s="8" t="e">
        <f t="shared" si="40"/>
        <v>#DIV/0!</v>
      </c>
      <c r="AD54" s="8">
        <v>0</v>
      </c>
      <c r="AE54" s="9">
        <v>0</v>
      </c>
      <c r="AF54" s="8">
        <f t="shared" si="41"/>
        <v>1394.2323651452282</v>
      </c>
      <c r="AG54" s="8">
        <v>33601</v>
      </c>
      <c r="AH54" s="9">
        <v>24.1</v>
      </c>
      <c r="AI54" s="8" t="e">
        <f t="shared" si="42"/>
        <v>#DIV/0!</v>
      </c>
      <c r="AJ54" s="8">
        <v>0</v>
      </c>
      <c r="AK54" s="9">
        <v>0</v>
      </c>
      <c r="AL54" s="8" t="e">
        <f t="shared" si="43"/>
        <v>#DIV/0!</v>
      </c>
      <c r="AM54" s="8">
        <v>0</v>
      </c>
      <c r="AN54" s="9">
        <v>0</v>
      </c>
      <c r="AO54" s="8">
        <f t="shared" si="25"/>
        <v>1394.2323651452282</v>
      </c>
      <c r="AP54" s="8">
        <f t="shared" si="30"/>
        <v>33601</v>
      </c>
      <c r="AQ54" s="9">
        <f t="shared" si="31"/>
        <v>24.1</v>
      </c>
    </row>
    <row r="55" spans="1:43" x14ac:dyDescent="0.3">
      <c r="A55" s="17" t="s">
        <v>23</v>
      </c>
      <c r="B55" s="24"/>
      <c r="C55" s="24"/>
      <c r="D55" s="24"/>
      <c r="E55" s="8" t="e">
        <f t="shared" si="32"/>
        <v>#DIV/0!</v>
      </c>
      <c r="F55" s="8">
        <v>0</v>
      </c>
      <c r="G55" s="9">
        <v>0</v>
      </c>
      <c r="H55" s="8" t="e">
        <f t="shared" si="33"/>
        <v>#DIV/0!</v>
      </c>
      <c r="I55" s="8">
        <v>0</v>
      </c>
      <c r="J55" s="9">
        <v>0</v>
      </c>
      <c r="K55" s="8">
        <f t="shared" si="34"/>
        <v>3188</v>
      </c>
      <c r="L55" s="8">
        <v>62166</v>
      </c>
      <c r="M55" s="9">
        <v>19.5</v>
      </c>
      <c r="N55" s="8" t="e">
        <f t="shared" si="35"/>
        <v>#DIV/0!</v>
      </c>
      <c r="O55" s="8">
        <v>0</v>
      </c>
      <c r="P55" s="9">
        <v>0</v>
      </c>
      <c r="Q55" s="8">
        <f t="shared" si="36"/>
        <v>2148.63813229572</v>
      </c>
      <c r="R55" s="8">
        <v>55220</v>
      </c>
      <c r="S55" s="9">
        <v>25.7</v>
      </c>
      <c r="T55" s="8" t="e">
        <f t="shared" si="37"/>
        <v>#DIV/0!</v>
      </c>
      <c r="U55" s="8">
        <v>0</v>
      </c>
      <c r="V55" s="9">
        <v>0</v>
      </c>
      <c r="W55" s="8">
        <f t="shared" si="38"/>
        <v>1820</v>
      </c>
      <c r="X55" s="8">
        <v>31304</v>
      </c>
      <c r="Y55" s="9">
        <v>17.2</v>
      </c>
      <c r="Z55" s="8" t="e">
        <f t="shared" si="39"/>
        <v>#DIV/0!</v>
      </c>
      <c r="AA55" s="8">
        <v>0</v>
      </c>
      <c r="AB55" s="9">
        <v>0</v>
      </c>
      <c r="AC55" s="8" t="e">
        <f t="shared" si="40"/>
        <v>#DIV/0!</v>
      </c>
      <c r="AD55" s="8">
        <v>0</v>
      </c>
      <c r="AE55" s="9">
        <v>0</v>
      </c>
      <c r="AF55" s="8" t="e">
        <f t="shared" si="41"/>
        <v>#DIV/0!</v>
      </c>
      <c r="AG55" s="8">
        <v>0</v>
      </c>
      <c r="AH55" s="9">
        <v>0</v>
      </c>
      <c r="AI55" s="8" t="e">
        <f t="shared" si="42"/>
        <v>#DIV/0!</v>
      </c>
      <c r="AJ55" s="8">
        <v>0</v>
      </c>
      <c r="AK55" s="9">
        <v>0</v>
      </c>
      <c r="AL55" s="8" t="e">
        <f t="shared" si="43"/>
        <v>#DIV/0!</v>
      </c>
      <c r="AM55" s="8">
        <v>0</v>
      </c>
      <c r="AN55" s="9">
        <v>0</v>
      </c>
      <c r="AO55" s="8">
        <f t="shared" si="25"/>
        <v>2382.852564102564</v>
      </c>
      <c r="AP55" s="8">
        <f t="shared" si="30"/>
        <v>148690</v>
      </c>
      <c r="AQ55" s="9">
        <f t="shared" si="31"/>
        <v>62.400000000000006</v>
      </c>
    </row>
    <row r="56" spans="1:43" x14ac:dyDescent="0.3">
      <c r="A56" s="17" t="s">
        <v>84</v>
      </c>
      <c r="B56" s="24"/>
      <c r="C56" s="24"/>
      <c r="D56" s="24"/>
      <c r="E56" s="8" t="e">
        <f t="shared" si="32"/>
        <v>#DIV/0!</v>
      </c>
      <c r="F56" s="8">
        <v>0</v>
      </c>
      <c r="G56" s="9">
        <v>0</v>
      </c>
      <c r="H56" s="8" t="e">
        <f t="shared" si="33"/>
        <v>#DIV/0!</v>
      </c>
      <c r="I56" s="8">
        <v>0</v>
      </c>
      <c r="J56" s="9">
        <v>0</v>
      </c>
      <c r="K56" s="8" t="e">
        <f t="shared" si="34"/>
        <v>#DIV/0!</v>
      </c>
      <c r="L56" s="8">
        <v>0</v>
      </c>
      <c r="M56" s="9">
        <v>0</v>
      </c>
      <c r="N56" s="8" t="e">
        <f t="shared" si="35"/>
        <v>#DIV/0!</v>
      </c>
      <c r="O56" s="8">
        <v>0</v>
      </c>
      <c r="P56" s="9">
        <v>0</v>
      </c>
      <c r="Q56" s="8" t="e">
        <f t="shared" si="36"/>
        <v>#DIV/0!</v>
      </c>
      <c r="R56" s="8">
        <v>0</v>
      </c>
      <c r="S56" s="9">
        <v>0</v>
      </c>
      <c r="T56" s="8" t="e">
        <f t="shared" si="37"/>
        <v>#DIV/0!</v>
      </c>
      <c r="U56" s="8">
        <v>0</v>
      </c>
      <c r="V56" s="9">
        <v>0</v>
      </c>
      <c r="W56" s="8" t="e">
        <f t="shared" si="38"/>
        <v>#DIV/0!</v>
      </c>
      <c r="X56" s="8">
        <v>0</v>
      </c>
      <c r="Y56" s="9">
        <v>0</v>
      </c>
      <c r="Z56" s="8">
        <f t="shared" si="39"/>
        <v>14250</v>
      </c>
      <c r="AA56" s="8">
        <v>2850</v>
      </c>
      <c r="AB56" s="9">
        <v>0.2</v>
      </c>
      <c r="AC56" s="8" t="e">
        <f t="shared" si="40"/>
        <v>#DIV/0!</v>
      </c>
      <c r="AD56" s="8">
        <v>0</v>
      </c>
      <c r="AE56" s="9">
        <v>0</v>
      </c>
      <c r="AF56" s="8" t="e">
        <f t="shared" si="41"/>
        <v>#DIV/0!</v>
      </c>
      <c r="AG56" s="8">
        <v>0</v>
      </c>
      <c r="AH56" s="9">
        <v>0</v>
      </c>
      <c r="AI56" s="8">
        <f t="shared" si="42"/>
        <v>14415</v>
      </c>
      <c r="AJ56" s="8">
        <v>2883</v>
      </c>
      <c r="AK56" s="9">
        <v>0.2</v>
      </c>
      <c r="AL56" s="8" t="e">
        <f t="shared" si="43"/>
        <v>#DIV/0!</v>
      </c>
      <c r="AM56" s="8">
        <v>0</v>
      </c>
      <c r="AN56" s="9">
        <v>0</v>
      </c>
      <c r="AO56" s="8">
        <f t="shared" si="25"/>
        <v>14332.5</v>
      </c>
      <c r="AP56" s="8">
        <f t="shared" si="30"/>
        <v>5733</v>
      </c>
      <c r="AQ56" s="9">
        <f t="shared" si="31"/>
        <v>0.4</v>
      </c>
    </row>
    <row r="57" spans="1:43" x14ac:dyDescent="0.3">
      <c r="A57" s="17" t="s">
        <v>85</v>
      </c>
      <c r="B57" s="24"/>
      <c r="C57" s="24"/>
      <c r="D57" s="24"/>
      <c r="E57" s="8" t="e">
        <f t="shared" si="32"/>
        <v>#DIV/0!</v>
      </c>
      <c r="F57" s="8">
        <v>0</v>
      </c>
      <c r="G57" s="9">
        <v>0</v>
      </c>
      <c r="H57" s="8">
        <f t="shared" si="33"/>
        <v>879.99374984374606</v>
      </c>
      <c r="I57" s="8">
        <v>3519887</v>
      </c>
      <c r="J57" s="9">
        <v>3999.9</v>
      </c>
      <c r="K57" s="8" t="e">
        <f t="shared" si="34"/>
        <v>#DIV/0!</v>
      </c>
      <c r="L57" s="8">
        <v>0</v>
      </c>
      <c r="M57" s="9">
        <v>0</v>
      </c>
      <c r="N57" s="8" t="e">
        <f t="shared" si="35"/>
        <v>#DIV/0!</v>
      </c>
      <c r="O57" s="8">
        <v>0</v>
      </c>
      <c r="P57" s="9">
        <v>0</v>
      </c>
      <c r="Q57" s="8" t="e">
        <f t="shared" si="36"/>
        <v>#DIV/0!</v>
      </c>
      <c r="R57" s="8">
        <v>0</v>
      </c>
      <c r="S57" s="9">
        <v>0</v>
      </c>
      <c r="T57" s="8" t="e">
        <f t="shared" si="37"/>
        <v>#DIV/0!</v>
      </c>
      <c r="U57" s="8">
        <v>0</v>
      </c>
      <c r="V57" s="9">
        <v>0</v>
      </c>
      <c r="W57" s="8" t="e">
        <f t="shared" si="38"/>
        <v>#DIV/0!</v>
      </c>
      <c r="X57" s="8">
        <v>0</v>
      </c>
      <c r="Y57" s="9">
        <v>0</v>
      </c>
      <c r="Z57" s="8" t="e">
        <f t="shared" si="39"/>
        <v>#DIV/0!</v>
      </c>
      <c r="AA57" s="8">
        <v>0</v>
      </c>
      <c r="AB57" s="9">
        <v>0</v>
      </c>
      <c r="AC57" s="8" t="e">
        <f t="shared" si="40"/>
        <v>#DIV/0!</v>
      </c>
      <c r="AD57" s="8">
        <v>0</v>
      </c>
      <c r="AE57" s="9">
        <v>0</v>
      </c>
      <c r="AF57" s="8" t="e">
        <f t="shared" si="41"/>
        <v>#DIV/0!</v>
      </c>
      <c r="AG57" s="8">
        <v>0</v>
      </c>
      <c r="AH57" s="9">
        <v>0</v>
      </c>
      <c r="AI57" s="8" t="e">
        <f t="shared" si="42"/>
        <v>#DIV/0!</v>
      </c>
      <c r="AJ57" s="8">
        <v>0</v>
      </c>
      <c r="AK57" s="9">
        <v>0</v>
      </c>
      <c r="AL57" s="8" t="e">
        <f t="shared" si="43"/>
        <v>#DIV/0!</v>
      </c>
      <c r="AM57" s="8">
        <v>0</v>
      </c>
      <c r="AN57" s="9">
        <v>0</v>
      </c>
      <c r="AO57" s="8">
        <f t="shared" si="25"/>
        <v>879.99374984374606</v>
      </c>
      <c r="AP57" s="8">
        <f t="shared" si="30"/>
        <v>3519887</v>
      </c>
      <c r="AQ57" s="9">
        <f t="shared" si="31"/>
        <v>3999.9</v>
      </c>
    </row>
    <row r="58" spans="1:43" x14ac:dyDescent="0.3">
      <c r="A58" s="17" t="s">
        <v>86</v>
      </c>
      <c r="B58" s="24"/>
      <c r="C58" s="24"/>
      <c r="D58" s="24"/>
      <c r="E58" s="8" t="e">
        <f t="shared" si="32"/>
        <v>#DIV/0!</v>
      </c>
      <c r="F58" s="8">
        <v>0</v>
      </c>
      <c r="G58" s="9">
        <v>0</v>
      </c>
      <c r="H58" s="8" t="e">
        <f t="shared" si="33"/>
        <v>#DIV/0!</v>
      </c>
      <c r="I58" s="8">
        <v>0</v>
      </c>
      <c r="J58" s="9">
        <v>0</v>
      </c>
      <c r="K58" s="8">
        <f t="shared" si="34"/>
        <v>5442.8571428571431</v>
      </c>
      <c r="L58" s="8">
        <v>7620</v>
      </c>
      <c r="M58" s="9">
        <v>1.4</v>
      </c>
      <c r="N58" s="8" t="e">
        <f t="shared" si="35"/>
        <v>#DIV/0!</v>
      </c>
      <c r="O58" s="8">
        <v>0</v>
      </c>
      <c r="P58" s="9">
        <v>0</v>
      </c>
      <c r="Q58" s="8" t="e">
        <f t="shared" si="36"/>
        <v>#DIV/0!</v>
      </c>
      <c r="R58" s="8">
        <v>0</v>
      </c>
      <c r="S58" s="9">
        <v>0</v>
      </c>
      <c r="T58" s="8" t="e">
        <f t="shared" si="37"/>
        <v>#DIV/0!</v>
      </c>
      <c r="U58" s="8">
        <v>0</v>
      </c>
      <c r="V58" s="9">
        <v>0</v>
      </c>
      <c r="W58" s="8" t="e">
        <f t="shared" si="38"/>
        <v>#DIV/0!</v>
      </c>
      <c r="X58" s="8">
        <v>0</v>
      </c>
      <c r="Y58" s="9">
        <v>0</v>
      </c>
      <c r="Z58" s="8" t="e">
        <f t="shared" si="39"/>
        <v>#DIV/0!</v>
      </c>
      <c r="AA58" s="8">
        <v>0</v>
      </c>
      <c r="AB58" s="9">
        <v>0</v>
      </c>
      <c r="AC58" s="8" t="e">
        <f t="shared" si="40"/>
        <v>#DIV/0!</v>
      </c>
      <c r="AD58" s="8">
        <v>0</v>
      </c>
      <c r="AE58" s="9">
        <v>0</v>
      </c>
      <c r="AF58" s="8" t="e">
        <f t="shared" si="41"/>
        <v>#DIV/0!</v>
      </c>
      <c r="AG58" s="8">
        <v>0</v>
      </c>
      <c r="AH58" s="9">
        <v>0</v>
      </c>
      <c r="AI58" s="8" t="e">
        <f t="shared" si="42"/>
        <v>#DIV/0!</v>
      </c>
      <c r="AJ58" s="8">
        <v>0</v>
      </c>
      <c r="AK58" s="9">
        <v>0</v>
      </c>
      <c r="AL58" s="8" t="e">
        <f t="shared" si="43"/>
        <v>#DIV/0!</v>
      </c>
      <c r="AM58" s="8">
        <v>0</v>
      </c>
      <c r="AN58" s="9">
        <v>0</v>
      </c>
      <c r="AO58" s="8">
        <f t="shared" si="25"/>
        <v>5442.8571428571431</v>
      </c>
      <c r="AP58" s="8">
        <f t="shared" si="30"/>
        <v>7620</v>
      </c>
      <c r="AQ58" s="9">
        <f t="shared" si="31"/>
        <v>1.4</v>
      </c>
    </row>
    <row r="59" spans="1:43" x14ac:dyDescent="0.3">
      <c r="A59" s="17" t="s">
        <v>87</v>
      </c>
      <c r="B59" s="24"/>
      <c r="C59" s="24"/>
      <c r="D59" s="24"/>
      <c r="E59" s="8" t="e">
        <f t="shared" si="32"/>
        <v>#DIV/0!</v>
      </c>
      <c r="F59" s="8">
        <v>0</v>
      </c>
      <c r="G59" s="9">
        <v>0</v>
      </c>
      <c r="H59" s="8" t="e">
        <f t="shared" si="33"/>
        <v>#DIV/0!</v>
      </c>
      <c r="I59" s="8">
        <v>0</v>
      </c>
      <c r="J59" s="9">
        <v>0</v>
      </c>
      <c r="K59" s="8" t="e">
        <f t="shared" si="34"/>
        <v>#DIV/0!</v>
      </c>
      <c r="L59" s="8">
        <v>0</v>
      </c>
      <c r="M59" s="9">
        <v>0</v>
      </c>
      <c r="N59" s="8" t="e">
        <f t="shared" si="35"/>
        <v>#DIV/0!</v>
      </c>
      <c r="O59" s="8">
        <v>0</v>
      </c>
      <c r="P59" s="9">
        <v>0</v>
      </c>
      <c r="Q59" s="8" t="e">
        <f t="shared" si="36"/>
        <v>#DIV/0!</v>
      </c>
      <c r="R59" s="8">
        <v>0</v>
      </c>
      <c r="S59" s="9">
        <v>0</v>
      </c>
      <c r="T59" s="8">
        <f t="shared" si="37"/>
        <v>898.47058823529414</v>
      </c>
      <c r="U59" s="8">
        <v>7637</v>
      </c>
      <c r="V59" s="9">
        <v>8.5</v>
      </c>
      <c r="W59" s="8">
        <f t="shared" si="38"/>
        <v>1123.5</v>
      </c>
      <c r="X59" s="8">
        <v>8988</v>
      </c>
      <c r="Y59" s="9">
        <v>8</v>
      </c>
      <c r="Z59" s="8" t="e">
        <f t="shared" si="39"/>
        <v>#DIV/0!</v>
      </c>
      <c r="AA59" s="8">
        <v>0</v>
      </c>
      <c r="AB59" s="9">
        <v>0</v>
      </c>
      <c r="AC59" s="8">
        <f t="shared" si="40"/>
        <v>1212.8</v>
      </c>
      <c r="AD59" s="8">
        <v>3032</v>
      </c>
      <c r="AE59" s="9">
        <v>2.5</v>
      </c>
      <c r="AF59" s="8" t="e">
        <f t="shared" si="41"/>
        <v>#DIV/0!</v>
      </c>
      <c r="AG59" s="8">
        <v>0</v>
      </c>
      <c r="AH59" s="9">
        <v>0</v>
      </c>
      <c r="AI59" s="8">
        <f t="shared" si="42"/>
        <v>1590.3614457831325</v>
      </c>
      <c r="AJ59" s="8">
        <v>26400</v>
      </c>
      <c r="AK59" s="9">
        <v>16.600000000000001</v>
      </c>
      <c r="AL59" s="8" t="e">
        <f t="shared" si="43"/>
        <v>#DIV/0!</v>
      </c>
      <c r="AM59" s="8">
        <v>0</v>
      </c>
      <c r="AN59" s="9">
        <v>0</v>
      </c>
      <c r="AO59" s="8">
        <f t="shared" si="25"/>
        <v>1293.7359550561798</v>
      </c>
      <c r="AP59" s="8">
        <f t="shared" si="30"/>
        <v>46057</v>
      </c>
      <c r="AQ59" s="9">
        <f t="shared" si="31"/>
        <v>35.6</v>
      </c>
    </row>
    <row r="60" spans="1:43" x14ac:dyDescent="0.3">
      <c r="A60" s="17" t="s">
        <v>88</v>
      </c>
      <c r="B60" s="24"/>
      <c r="C60" s="24"/>
      <c r="D60" s="24"/>
      <c r="E60" s="8" t="e">
        <f t="shared" si="32"/>
        <v>#DIV/0!</v>
      </c>
      <c r="F60" s="8">
        <v>0</v>
      </c>
      <c r="G60" s="9">
        <v>0</v>
      </c>
      <c r="H60" s="8" t="e">
        <f t="shared" si="33"/>
        <v>#DIV/0!</v>
      </c>
      <c r="I60" s="8">
        <v>0</v>
      </c>
      <c r="J60" s="9">
        <v>0</v>
      </c>
      <c r="K60" s="8">
        <f t="shared" si="34"/>
        <v>1113.9782383802558</v>
      </c>
      <c r="L60" s="8">
        <v>6030187</v>
      </c>
      <c r="M60" s="9">
        <v>5413.2</v>
      </c>
      <c r="N60" s="8">
        <f t="shared" si="35"/>
        <v>1113.9626601056516</v>
      </c>
      <c r="O60" s="8">
        <v>1539385</v>
      </c>
      <c r="P60" s="9">
        <v>1381.9</v>
      </c>
      <c r="Q60" s="8" t="e">
        <f t="shared" si="36"/>
        <v>#DIV/0!</v>
      </c>
      <c r="R60" s="8">
        <v>0</v>
      </c>
      <c r="S60" s="9">
        <v>0</v>
      </c>
      <c r="T60" s="8" t="e">
        <f t="shared" si="37"/>
        <v>#DIV/0!</v>
      </c>
      <c r="U60" s="8">
        <v>0</v>
      </c>
      <c r="V60" s="9">
        <v>0</v>
      </c>
      <c r="W60" s="8" t="e">
        <f t="shared" si="38"/>
        <v>#DIV/0!</v>
      </c>
      <c r="X60" s="8">
        <v>0</v>
      </c>
      <c r="Y60" s="9">
        <v>0</v>
      </c>
      <c r="Z60" s="8" t="e">
        <f t="shared" si="39"/>
        <v>#DIV/0!</v>
      </c>
      <c r="AA60" s="8">
        <v>0</v>
      </c>
      <c r="AB60" s="9">
        <v>0</v>
      </c>
      <c r="AC60" s="8" t="e">
        <f t="shared" si="40"/>
        <v>#DIV/0!</v>
      </c>
      <c r="AD60" s="8">
        <v>0</v>
      </c>
      <c r="AE60" s="9">
        <v>0</v>
      </c>
      <c r="AF60" s="8" t="e">
        <f t="shared" si="41"/>
        <v>#DIV/0!</v>
      </c>
      <c r="AG60" s="8">
        <v>0</v>
      </c>
      <c r="AH60" s="9">
        <v>0</v>
      </c>
      <c r="AI60" s="8" t="e">
        <f t="shared" si="42"/>
        <v>#DIV/0!</v>
      </c>
      <c r="AJ60" s="8">
        <v>0</v>
      </c>
      <c r="AK60" s="9">
        <v>0</v>
      </c>
      <c r="AL60" s="8" t="e">
        <f t="shared" si="43"/>
        <v>#DIV/0!</v>
      </c>
      <c r="AM60" s="8">
        <v>0</v>
      </c>
      <c r="AN60" s="9">
        <v>0</v>
      </c>
      <c r="AO60" s="8">
        <f t="shared" si="25"/>
        <v>1113.9750702712247</v>
      </c>
      <c r="AP60" s="8">
        <f t="shared" si="30"/>
        <v>7569572</v>
      </c>
      <c r="AQ60" s="9">
        <f t="shared" si="31"/>
        <v>6795.1</v>
      </c>
    </row>
    <row r="61" spans="1:43" x14ac:dyDescent="0.3">
      <c r="A61" s="17" t="s">
        <v>52</v>
      </c>
      <c r="B61" s="24"/>
      <c r="C61" s="24"/>
      <c r="D61" s="24"/>
      <c r="E61" s="8" t="e">
        <f t="shared" si="32"/>
        <v>#DIV/0!</v>
      </c>
      <c r="F61" s="8">
        <v>0</v>
      </c>
      <c r="G61" s="9">
        <v>0</v>
      </c>
      <c r="H61" s="8">
        <f t="shared" si="33"/>
        <v>1625.2770448548813</v>
      </c>
      <c r="I61" s="8">
        <v>61598</v>
      </c>
      <c r="J61" s="9">
        <v>37.9</v>
      </c>
      <c r="K61" s="8">
        <f t="shared" si="34"/>
        <v>1548.8767123287671</v>
      </c>
      <c r="L61" s="8">
        <v>113068</v>
      </c>
      <c r="M61" s="9">
        <v>73</v>
      </c>
      <c r="N61" s="8" t="e">
        <f t="shared" si="35"/>
        <v>#DIV/0!</v>
      </c>
      <c r="O61" s="8">
        <v>0</v>
      </c>
      <c r="P61" s="9">
        <v>0</v>
      </c>
      <c r="Q61" s="8" t="e">
        <f t="shared" si="36"/>
        <v>#DIV/0!</v>
      </c>
      <c r="R61" s="8">
        <v>0</v>
      </c>
      <c r="S61" s="9">
        <v>0</v>
      </c>
      <c r="T61" s="8" t="e">
        <f t="shared" si="37"/>
        <v>#DIV/0!</v>
      </c>
      <c r="U61" s="8">
        <v>0</v>
      </c>
      <c r="V61" s="9">
        <v>0</v>
      </c>
      <c r="W61" s="8">
        <f t="shared" si="38"/>
        <v>1546.9496021220159</v>
      </c>
      <c r="X61" s="8">
        <v>58320</v>
      </c>
      <c r="Y61" s="9">
        <v>37.700000000000003</v>
      </c>
      <c r="Z61" s="8">
        <f t="shared" si="39"/>
        <v>1551.063829787234</v>
      </c>
      <c r="AA61" s="8">
        <v>29160</v>
      </c>
      <c r="AB61" s="9">
        <v>18.8</v>
      </c>
      <c r="AC61" s="8">
        <f t="shared" si="40"/>
        <v>1546.9496021220159</v>
      </c>
      <c r="AD61" s="8">
        <v>58320</v>
      </c>
      <c r="AE61" s="9">
        <v>37.700000000000003</v>
      </c>
      <c r="AF61" s="8">
        <f t="shared" si="41"/>
        <v>1276.1487964989058</v>
      </c>
      <c r="AG61" s="8">
        <v>58320</v>
      </c>
      <c r="AH61" s="9">
        <v>45.7</v>
      </c>
      <c r="AI61" s="8">
        <f t="shared" si="42"/>
        <v>1568.2947019867549</v>
      </c>
      <c r="AJ61" s="8">
        <v>94725</v>
      </c>
      <c r="AK61" s="9">
        <v>60.4</v>
      </c>
      <c r="AL61" s="8" t="e">
        <f t="shared" si="43"/>
        <v>#DIV/0!</v>
      </c>
      <c r="AM61" s="8">
        <v>0</v>
      </c>
      <c r="AN61" s="9">
        <v>0</v>
      </c>
      <c r="AO61" s="8">
        <f t="shared" si="25"/>
        <v>1521.5649100257069</v>
      </c>
      <c r="AP61" s="8">
        <f t="shared" si="30"/>
        <v>473511</v>
      </c>
      <c r="AQ61" s="9">
        <f t="shared" si="31"/>
        <v>311.2</v>
      </c>
    </row>
    <row r="62" spans="1:43" x14ac:dyDescent="0.3">
      <c r="A62" s="17" t="s">
        <v>89</v>
      </c>
      <c r="B62" s="24"/>
      <c r="C62" s="24"/>
      <c r="D62" s="24"/>
      <c r="E62" s="8" t="e">
        <f t="shared" si="32"/>
        <v>#DIV/0!</v>
      </c>
      <c r="F62" s="8">
        <v>0</v>
      </c>
      <c r="G62" s="9">
        <v>0</v>
      </c>
      <c r="H62" s="8">
        <f t="shared" si="33"/>
        <v>1232.4037037037037</v>
      </c>
      <c r="I62" s="8">
        <v>665498</v>
      </c>
      <c r="J62" s="9">
        <v>540</v>
      </c>
      <c r="K62" s="8" t="e">
        <f t="shared" si="34"/>
        <v>#DIV/0!</v>
      </c>
      <c r="L62" s="8">
        <v>0</v>
      </c>
      <c r="M62" s="9">
        <v>0</v>
      </c>
      <c r="N62" s="8" t="e">
        <f t="shared" si="35"/>
        <v>#DIV/0!</v>
      </c>
      <c r="O62" s="8">
        <v>0</v>
      </c>
      <c r="P62" s="9">
        <v>0</v>
      </c>
      <c r="Q62" s="8" t="e">
        <f t="shared" si="36"/>
        <v>#DIV/0!</v>
      </c>
      <c r="R62" s="8">
        <v>0</v>
      </c>
      <c r="S62" s="9">
        <v>0</v>
      </c>
      <c r="T62" s="8" t="e">
        <f t="shared" si="37"/>
        <v>#DIV/0!</v>
      </c>
      <c r="U62" s="8">
        <v>0</v>
      </c>
      <c r="V62" s="9">
        <v>0</v>
      </c>
      <c r="W62" s="8" t="e">
        <f t="shared" si="38"/>
        <v>#DIV/0!</v>
      </c>
      <c r="X62" s="8">
        <v>0</v>
      </c>
      <c r="Y62" s="9">
        <v>0</v>
      </c>
      <c r="Z62" s="8" t="e">
        <f t="shared" si="39"/>
        <v>#DIV/0!</v>
      </c>
      <c r="AA62" s="8">
        <v>0</v>
      </c>
      <c r="AB62" s="9">
        <v>0</v>
      </c>
      <c r="AC62" s="8" t="e">
        <f t="shared" si="40"/>
        <v>#DIV/0!</v>
      </c>
      <c r="AD62" s="8">
        <v>0</v>
      </c>
      <c r="AE62" s="9">
        <v>0</v>
      </c>
      <c r="AF62" s="8" t="e">
        <f t="shared" si="41"/>
        <v>#DIV/0!</v>
      </c>
      <c r="AG62" s="8">
        <v>0</v>
      </c>
      <c r="AH62" s="9">
        <v>0</v>
      </c>
      <c r="AI62" s="8" t="e">
        <f t="shared" si="42"/>
        <v>#DIV/0!</v>
      </c>
      <c r="AJ62" s="8">
        <v>0</v>
      </c>
      <c r="AK62" s="9">
        <v>0</v>
      </c>
      <c r="AL62" s="8" t="e">
        <f t="shared" si="43"/>
        <v>#DIV/0!</v>
      </c>
      <c r="AM62" s="8">
        <v>0</v>
      </c>
      <c r="AN62" s="9">
        <v>0</v>
      </c>
      <c r="AO62" s="8">
        <f t="shared" si="25"/>
        <v>1232.4037037037037</v>
      </c>
      <c r="AP62" s="8">
        <f t="shared" si="30"/>
        <v>665498</v>
      </c>
      <c r="AQ62" s="9">
        <f t="shared" si="31"/>
        <v>540</v>
      </c>
    </row>
    <row r="63" spans="1:43" x14ac:dyDescent="0.3">
      <c r="A63" s="17" t="s">
        <v>71</v>
      </c>
      <c r="B63" s="24"/>
      <c r="C63" s="24"/>
      <c r="D63" s="24"/>
      <c r="E63" s="8">
        <f t="shared" si="32"/>
        <v>2203.7142857142858</v>
      </c>
      <c r="F63" s="8">
        <v>7713</v>
      </c>
      <c r="G63" s="9">
        <v>3.5</v>
      </c>
      <c r="H63" s="8">
        <f t="shared" si="33"/>
        <v>1741.3333333333333</v>
      </c>
      <c r="I63" s="8">
        <v>2612</v>
      </c>
      <c r="J63" s="9">
        <v>1.5</v>
      </c>
      <c r="K63" s="8">
        <f t="shared" si="34"/>
        <v>2119.2857142857142</v>
      </c>
      <c r="L63" s="8">
        <v>17802</v>
      </c>
      <c r="M63" s="9">
        <v>8.4</v>
      </c>
      <c r="N63" s="8" t="e">
        <f t="shared" si="35"/>
        <v>#DIV/0!</v>
      </c>
      <c r="O63" s="8">
        <v>0</v>
      </c>
      <c r="P63" s="9">
        <v>0</v>
      </c>
      <c r="Q63" s="8">
        <f t="shared" si="36"/>
        <v>2388.2882882882882</v>
      </c>
      <c r="R63" s="8">
        <v>26510</v>
      </c>
      <c r="S63" s="9">
        <v>11.1</v>
      </c>
      <c r="T63" s="8" t="e">
        <f t="shared" si="37"/>
        <v>#DIV/0!</v>
      </c>
      <c r="U63" s="8">
        <v>0</v>
      </c>
      <c r="V63" s="9">
        <v>0</v>
      </c>
      <c r="W63" s="8">
        <f t="shared" si="38"/>
        <v>1968.28125</v>
      </c>
      <c r="X63" s="8">
        <v>12597</v>
      </c>
      <c r="Y63" s="9">
        <v>6.4</v>
      </c>
      <c r="Z63" s="8" t="e">
        <f t="shared" si="39"/>
        <v>#DIV/0!</v>
      </c>
      <c r="AA63" s="8">
        <v>0</v>
      </c>
      <c r="AB63" s="9">
        <v>0</v>
      </c>
      <c r="AC63" s="8">
        <f t="shared" si="40"/>
        <v>2042.8571428571429</v>
      </c>
      <c r="AD63" s="8">
        <v>11440</v>
      </c>
      <c r="AE63" s="9">
        <v>5.6</v>
      </c>
      <c r="AF63" s="8" t="e">
        <f t="shared" si="41"/>
        <v>#DIV/0!</v>
      </c>
      <c r="AG63" s="8">
        <v>0</v>
      </c>
      <c r="AH63" s="9">
        <v>0</v>
      </c>
      <c r="AI63" s="8" t="e">
        <f t="shared" si="42"/>
        <v>#DIV/0!</v>
      </c>
      <c r="AJ63" s="8">
        <v>0</v>
      </c>
      <c r="AK63" s="9">
        <v>0</v>
      </c>
      <c r="AL63" s="8" t="e">
        <f t="shared" si="43"/>
        <v>#DIV/0!</v>
      </c>
      <c r="AM63" s="8">
        <v>0</v>
      </c>
      <c r="AN63" s="9">
        <v>0</v>
      </c>
      <c r="AO63" s="8">
        <f t="shared" si="25"/>
        <v>2155.4520547945203</v>
      </c>
      <c r="AP63" s="8">
        <f t="shared" si="30"/>
        <v>78674</v>
      </c>
      <c r="AQ63" s="9">
        <f t="shared" si="31"/>
        <v>36.5</v>
      </c>
    </row>
    <row r="64" spans="1:43" x14ac:dyDescent="0.3">
      <c r="A64" s="17" t="s">
        <v>90</v>
      </c>
      <c r="B64" s="24"/>
      <c r="C64" s="24"/>
      <c r="D64" s="24"/>
      <c r="E64" s="8" t="e">
        <f t="shared" si="32"/>
        <v>#DIV/0!</v>
      </c>
      <c r="F64" s="8">
        <v>0</v>
      </c>
      <c r="G64" s="9">
        <v>0</v>
      </c>
      <c r="H64" s="8" t="e">
        <f t="shared" si="33"/>
        <v>#DIV/0!</v>
      </c>
      <c r="I64" s="8">
        <v>0</v>
      </c>
      <c r="J64" s="9">
        <v>0</v>
      </c>
      <c r="K64" s="8" t="e">
        <f t="shared" si="34"/>
        <v>#DIV/0!</v>
      </c>
      <c r="L64" s="8">
        <v>0</v>
      </c>
      <c r="M64" s="9">
        <v>0</v>
      </c>
      <c r="N64" s="8" t="e">
        <f t="shared" si="35"/>
        <v>#DIV/0!</v>
      </c>
      <c r="O64" s="8">
        <v>0</v>
      </c>
      <c r="P64" s="9">
        <v>0</v>
      </c>
      <c r="Q64" s="8" t="e">
        <f t="shared" si="36"/>
        <v>#DIV/0!</v>
      </c>
      <c r="R64" s="8">
        <v>0</v>
      </c>
      <c r="S64" s="9">
        <v>0</v>
      </c>
      <c r="T64" s="8">
        <f t="shared" si="37"/>
        <v>9333.3333333333339</v>
      </c>
      <c r="U64" s="8">
        <v>8400</v>
      </c>
      <c r="V64" s="9">
        <v>0.9</v>
      </c>
      <c r="W64" s="8">
        <f t="shared" si="38"/>
        <v>10500</v>
      </c>
      <c r="X64" s="8">
        <v>8400</v>
      </c>
      <c r="Y64" s="9">
        <v>0.8</v>
      </c>
      <c r="Z64" s="8" t="e">
        <f t="shared" si="39"/>
        <v>#DIV/0!</v>
      </c>
      <c r="AA64" s="8">
        <v>0</v>
      </c>
      <c r="AB64" s="9">
        <v>0</v>
      </c>
      <c r="AC64" s="8" t="e">
        <f t="shared" si="40"/>
        <v>#DIV/0!</v>
      </c>
      <c r="AD64" s="8">
        <v>0</v>
      </c>
      <c r="AE64" s="9">
        <v>0</v>
      </c>
      <c r="AF64" s="8" t="e">
        <f t="shared" si="41"/>
        <v>#DIV/0!</v>
      </c>
      <c r="AG64" s="8">
        <v>0</v>
      </c>
      <c r="AH64" s="9">
        <v>0</v>
      </c>
      <c r="AI64" s="8">
        <f t="shared" si="42"/>
        <v>1819.7241379310344</v>
      </c>
      <c r="AJ64" s="8">
        <v>26386</v>
      </c>
      <c r="AK64" s="9">
        <v>14.5</v>
      </c>
      <c r="AL64" s="8" t="e">
        <f t="shared" si="43"/>
        <v>#DIV/0!</v>
      </c>
      <c r="AM64" s="8">
        <v>0</v>
      </c>
      <c r="AN64" s="9">
        <v>0</v>
      </c>
      <c r="AO64" s="8">
        <f t="shared" si="25"/>
        <v>2665.8024691358028</v>
      </c>
      <c r="AP64" s="8">
        <f t="shared" si="30"/>
        <v>43186</v>
      </c>
      <c r="AQ64" s="9">
        <f t="shared" si="31"/>
        <v>16.2</v>
      </c>
    </row>
    <row r="65" spans="1:43" x14ac:dyDescent="0.3">
      <c r="A65" s="17" t="s">
        <v>70</v>
      </c>
      <c r="B65" s="24"/>
      <c r="C65" s="24"/>
      <c r="D65" s="24"/>
      <c r="E65" s="8" t="e">
        <f t="shared" si="32"/>
        <v>#DIV/0!</v>
      </c>
      <c r="F65" s="8">
        <v>0</v>
      </c>
      <c r="G65" s="9">
        <v>0</v>
      </c>
      <c r="H65" s="8" t="e">
        <f t="shared" si="33"/>
        <v>#DIV/0!</v>
      </c>
      <c r="I65" s="8">
        <v>0</v>
      </c>
      <c r="J65" s="9">
        <v>0</v>
      </c>
      <c r="K65" s="8">
        <f t="shared" si="34"/>
        <v>1993.3950617283951</v>
      </c>
      <c r="L65" s="8">
        <v>32293</v>
      </c>
      <c r="M65" s="9">
        <v>16.2</v>
      </c>
      <c r="N65" s="8" t="e">
        <f t="shared" si="35"/>
        <v>#DIV/0!</v>
      </c>
      <c r="O65" s="8">
        <v>0</v>
      </c>
      <c r="P65" s="9">
        <v>0</v>
      </c>
      <c r="Q65" s="8" t="e">
        <f t="shared" si="36"/>
        <v>#DIV/0!</v>
      </c>
      <c r="R65" s="8">
        <v>0</v>
      </c>
      <c r="S65" s="9">
        <v>0</v>
      </c>
      <c r="T65" s="8">
        <f t="shared" si="37"/>
        <v>2133.333333333333</v>
      </c>
      <c r="U65" s="8">
        <v>23040</v>
      </c>
      <c r="V65" s="9">
        <v>10.8</v>
      </c>
      <c r="W65" s="8" t="e">
        <f t="shared" si="38"/>
        <v>#DIV/0!</v>
      </c>
      <c r="X65" s="8">
        <v>0</v>
      </c>
      <c r="Y65" s="9">
        <v>0</v>
      </c>
      <c r="Z65" s="8" t="e">
        <f t="shared" si="39"/>
        <v>#DIV/0!</v>
      </c>
      <c r="AA65" s="8">
        <v>0</v>
      </c>
      <c r="AB65" s="9">
        <v>0</v>
      </c>
      <c r="AC65" s="8" t="e">
        <f t="shared" si="40"/>
        <v>#DIV/0!</v>
      </c>
      <c r="AD65" s="8">
        <v>0</v>
      </c>
      <c r="AE65" s="9">
        <v>0</v>
      </c>
      <c r="AF65" s="8" t="e">
        <f t="shared" si="41"/>
        <v>#DIV/0!</v>
      </c>
      <c r="AG65" s="8">
        <v>0</v>
      </c>
      <c r="AH65" s="9">
        <v>0</v>
      </c>
      <c r="AI65" s="8">
        <f t="shared" si="42"/>
        <v>2206.8965517241381</v>
      </c>
      <c r="AJ65" s="8">
        <v>25600</v>
      </c>
      <c r="AK65" s="9">
        <v>11.6</v>
      </c>
      <c r="AL65" s="8" t="e">
        <f t="shared" si="43"/>
        <v>#DIV/0!</v>
      </c>
      <c r="AM65" s="8">
        <v>0</v>
      </c>
      <c r="AN65" s="9">
        <v>0</v>
      </c>
      <c r="AO65" s="8">
        <f t="shared" si="25"/>
        <v>2096.7098445595852</v>
      </c>
      <c r="AP65" s="8">
        <f t="shared" si="30"/>
        <v>80933</v>
      </c>
      <c r="AQ65" s="9">
        <f t="shared" si="31"/>
        <v>38.6</v>
      </c>
    </row>
    <row r="66" spans="1:43" x14ac:dyDescent="0.3">
      <c r="A66" s="18" t="s">
        <v>39</v>
      </c>
      <c r="B66" s="25"/>
      <c r="C66" s="25"/>
      <c r="D66" s="25"/>
      <c r="E66" s="15" t="e">
        <f t="shared" si="32"/>
        <v>#DIV/0!</v>
      </c>
      <c r="F66" s="13">
        <v>0</v>
      </c>
      <c r="G66" s="14">
        <v>0</v>
      </c>
      <c r="H66" s="13" t="e">
        <f t="shared" si="33"/>
        <v>#DIV/0!</v>
      </c>
      <c r="I66" s="13">
        <v>0</v>
      </c>
      <c r="J66" s="14">
        <v>0</v>
      </c>
      <c r="K66" s="13" t="e">
        <f t="shared" si="34"/>
        <v>#DIV/0!</v>
      </c>
      <c r="L66" s="13">
        <v>0</v>
      </c>
      <c r="M66" s="14">
        <v>0</v>
      </c>
      <c r="N66" s="13" t="e">
        <f t="shared" si="35"/>
        <v>#DIV/0!</v>
      </c>
      <c r="O66" s="13">
        <v>0</v>
      </c>
      <c r="P66" s="14">
        <v>0</v>
      </c>
      <c r="Q66" s="13" t="e">
        <f t="shared" si="36"/>
        <v>#DIV/0!</v>
      </c>
      <c r="R66" s="13">
        <v>0</v>
      </c>
      <c r="S66" s="14">
        <v>0</v>
      </c>
      <c r="T66" s="13" t="e">
        <f t="shared" si="37"/>
        <v>#DIV/0!</v>
      </c>
      <c r="U66" s="13">
        <v>0</v>
      </c>
      <c r="V66" s="14">
        <v>0</v>
      </c>
      <c r="W66" s="13">
        <f t="shared" si="38"/>
        <v>4583.333333333333</v>
      </c>
      <c r="X66" s="13">
        <v>16500</v>
      </c>
      <c r="Y66" s="14">
        <v>3.6</v>
      </c>
      <c r="Z66" s="13" t="e">
        <f t="shared" si="39"/>
        <v>#DIV/0!</v>
      </c>
      <c r="AA66" s="13">
        <v>0</v>
      </c>
      <c r="AB66" s="14">
        <v>0</v>
      </c>
      <c r="AC66" s="13" t="e">
        <f t="shared" si="40"/>
        <v>#DIV/0!</v>
      </c>
      <c r="AD66" s="13">
        <v>0</v>
      </c>
      <c r="AE66" s="14">
        <v>0</v>
      </c>
      <c r="AF66" s="13" t="e">
        <f t="shared" si="41"/>
        <v>#DIV/0!</v>
      </c>
      <c r="AG66" s="13">
        <v>0</v>
      </c>
      <c r="AH66" s="14">
        <v>0</v>
      </c>
      <c r="AI66" s="13">
        <f t="shared" si="42"/>
        <v>1549.0196078431375</v>
      </c>
      <c r="AJ66" s="13">
        <v>126400</v>
      </c>
      <c r="AK66" s="14">
        <v>81.599999999999994</v>
      </c>
      <c r="AL66" s="13" t="e">
        <f t="shared" si="43"/>
        <v>#DIV/0!</v>
      </c>
      <c r="AM66" s="13">
        <v>0</v>
      </c>
      <c r="AN66" s="14">
        <v>0</v>
      </c>
      <c r="AO66" s="13">
        <f t="shared" si="25"/>
        <v>1677.2300469483571</v>
      </c>
      <c r="AP66" s="13">
        <f t="shared" si="30"/>
        <v>142900</v>
      </c>
      <c r="AQ66" s="14">
        <f t="shared" si="31"/>
        <v>85.199999999999989</v>
      </c>
    </row>
    <row r="67" spans="1:43" x14ac:dyDescent="0.3">
      <c r="A67" s="1" t="s">
        <v>41</v>
      </c>
      <c r="B67" s="1"/>
    </row>
    <row r="68" spans="1:43" x14ac:dyDescent="0.3">
      <c r="A68" s="1" t="s">
        <v>72</v>
      </c>
      <c r="B68" s="1"/>
    </row>
    <row r="69" spans="1:43" x14ac:dyDescent="0.3">
      <c r="A69" s="1" t="s">
        <v>42</v>
      </c>
      <c r="B69" s="1"/>
    </row>
    <row r="70" spans="1:43" x14ac:dyDescent="0.3">
      <c r="A70" s="1" t="s">
        <v>43</v>
      </c>
      <c r="B70" s="1"/>
    </row>
    <row r="71" spans="1:43" x14ac:dyDescent="0.3">
      <c r="A71" s="1" t="s">
        <v>73</v>
      </c>
      <c r="B71" s="1"/>
    </row>
  </sheetData>
  <mergeCells count="16">
    <mergeCell ref="N1:P1"/>
    <mergeCell ref="Q1:S1"/>
    <mergeCell ref="T1:V1"/>
    <mergeCell ref="AL1:AN1"/>
    <mergeCell ref="AO1:AQ1"/>
    <mergeCell ref="W1:Y1"/>
    <mergeCell ref="Z1:AB1"/>
    <mergeCell ref="AC1:AE1"/>
    <mergeCell ref="AF1:AH1"/>
    <mergeCell ref="AI1:AK1"/>
    <mergeCell ref="E1:G1"/>
    <mergeCell ref="H1:J1"/>
    <mergeCell ref="K1:M1"/>
    <mergeCell ref="C3:C66"/>
    <mergeCell ref="D3:D66"/>
    <mergeCell ref="B3:B66"/>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2010년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2026-08-07T04:02:08Z</dcterms:modified>
</cp:coreProperties>
</file>