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AQ22" i="1" l="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2" i="1"/>
  <c r="AL21" i="1"/>
  <c r="AL20" i="1"/>
  <c r="AL19" i="1"/>
  <c r="AL18" i="1"/>
  <c r="AL17" i="1"/>
  <c r="AL16" i="1"/>
  <c r="AL15" i="1"/>
  <c r="AL14" i="1"/>
  <c r="AL13" i="1"/>
  <c r="AL12" i="1"/>
  <c r="AL11" i="1"/>
  <c r="AL10" i="1"/>
  <c r="AL9" i="1"/>
  <c r="AL8" i="1"/>
  <c r="AL7" i="1"/>
  <c r="AL6" i="1"/>
  <c r="AL5" i="1"/>
  <c r="AL4" i="1"/>
  <c r="AI22" i="1"/>
  <c r="AI21" i="1"/>
  <c r="AI20" i="1"/>
  <c r="AI19" i="1"/>
  <c r="AI18" i="1"/>
  <c r="AI17" i="1"/>
  <c r="AI16" i="1"/>
  <c r="AI15" i="1"/>
  <c r="AI14" i="1"/>
  <c r="AI13" i="1"/>
  <c r="AI12" i="1"/>
  <c r="AI11" i="1"/>
  <c r="AI10" i="1"/>
  <c r="AI9" i="1"/>
  <c r="AI8" i="1"/>
  <c r="AI7" i="1"/>
  <c r="AI6" i="1"/>
  <c r="AI5" i="1"/>
  <c r="AI4" i="1"/>
  <c r="AF22" i="1"/>
  <c r="AF21" i="1"/>
  <c r="AF20" i="1"/>
  <c r="AF19" i="1"/>
  <c r="AF18" i="1"/>
  <c r="AF17" i="1"/>
  <c r="AF16" i="1"/>
  <c r="AF15" i="1"/>
  <c r="AF14" i="1"/>
  <c r="AF13" i="1"/>
  <c r="AF12" i="1"/>
  <c r="AF11" i="1"/>
  <c r="AF10" i="1"/>
  <c r="AF9" i="1"/>
  <c r="AF8" i="1"/>
  <c r="AF7" i="1"/>
  <c r="AF6" i="1"/>
  <c r="AF5" i="1"/>
  <c r="AF4" i="1"/>
  <c r="AC22" i="1"/>
  <c r="AC21" i="1"/>
  <c r="AC20" i="1"/>
  <c r="AC19" i="1"/>
  <c r="AC18" i="1"/>
  <c r="AC17" i="1"/>
  <c r="AC16" i="1"/>
  <c r="AC15" i="1"/>
  <c r="AC14" i="1"/>
  <c r="AC13" i="1"/>
  <c r="AC12" i="1"/>
  <c r="AC11" i="1"/>
  <c r="AC10" i="1"/>
  <c r="AC9" i="1"/>
  <c r="AC8" i="1"/>
  <c r="AC7" i="1"/>
  <c r="AC6" i="1"/>
  <c r="AC5" i="1"/>
  <c r="AC4" i="1"/>
  <c r="Z22" i="1"/>
  <c r="Z21" i="1"/>
  <c r="Z20" i="1"/>
  <c r="Z19" i="1"/>
  <c r="Z18" i="1"/>
  <c r="Z17" i="1"/>
  <c r="Z16" i="1"/>
  <c r="Z15" i="1"/>
  <c r="Z14" i="1"/>
  <c r="Z13" i="1"/>
  <c r="Z12" i="1"/>
  <c r="Z11" i="1"/>
  <c r="Z10" i="1"/>
  <c r="Z9" i="1"/>
  <c r="Z8" i="1"/>
  <c r="Z7" i="1"/>
  <c r="Z6" i="1"/>
  <c r="Z5" i="1"/>
  <c r="Z4" i="1"/>
  <c r="W22" i="1"/>
  <c r="W21" i="1"/>
  <c r="W20" i="1"/>
  <c r="W19" i="1"/>
  <c r="W18" i="1"/>
  <c r="W17" i="1"/>
  <c r="W16" i="1"/>
  <c r="W15" i="1"/>
  <c r="W14" i="1"/>
  <c r="W13" i="1"/>
  <c r="W12" i="1"/>
  <c r="W11" i="1"/>
  <c r="W10" i="1"/>
  <c r="W9" i="1"/>
  <c r="W8" i="1"/>
  <c r="W7" i="1"/>
  <c r="W6" i="1"/>
  <c r="W5" i="1"/>
  <c r="W4" i="1"/>
  <c r="T22" i="1"/>
  <c r="T21" i="1"/>
  <c r="T20" i="1"/>
  <c r="T19" i="1"/>
  <c r="T18" i="1"/>
  <c r="T17" i="1"/>
  <c r="T16" i="1"/>
  <c r="T15" i="1"/>
  <c r="T14" i="1"/>
  <c r="T13" i="1"/>
  <c r="T12" i="1"/>
  <c r="T11" i="1"/>
  <c r="T10" i="1"/>
  <c r="T9" i="1"/>
  <c r="T8" i="1"/>
  <c r="T7" i="1"/>
  <c r="T6" i="1"/>
  <c r="T5" i="1"/>
  <c r="T4" i="1"/>
  <c r="Q22" i="1"/>
  <c r="Q21" i="1"/>
  <c r="Q20" i="1"/>
  <c r="Q19" i="1"/>
  <c r="Q18" i="1"/>
  <c r="Q17" i="1"/>
  <c r="Q16" i="1"/>
  <c r="Q15" i="1"/>
  <c r="Q14" i="1"/>
  <c r="Q13" i="1"/>
  <c r="Q12" i="1"/>
  <c r="Q11" i="1"/>
  <c r="Q10" i="1"/>
  <c r="Q9" i="1"/>
  <c r="Q8" i="1"/>
  <c r="Q7" i="1"/>
  <c r="Q6" i="1"/>
  <c r="Q5" i="1"/>
  <c r="Q4" i="1"/>
  <c r="N22" i="1"/>
  <c r="N21" i="1"/>
  <c r="N20" i="1"/>
  <c r="N19" i="1"/>
  <c r="N18" i="1"/>
  <c r="N17" i="1"/>
  <c r="N16" i="1"/>
  <c r="N15" i="1"/>
  <c r="N14" i="1"/>
  <c r="N13" i="1"/>
  <c r="N12" i="1"/>
  <c r="N11" i="1"/>
  <c r="N10" i="1"/>
  <c r="N9" i="1"/>
  <c r="N8" i="1"/>
  <c r="N7" i="1"/>
  <c r="N6" i="1"/>
  <c r="N5" i="1"/>
  <c r="N4" i="1"/>
  <c r="K22" i="1"/>
  <c r="K21" i="1"/>
  <c r="K20" i="1"/>
  <c r="K19" i="1"/>
  <c r="K18" i="1"/>
  <c r="K17" i="1"/>
  <c r="K16" i="1"/>
  <c r="K15" i="1"/>
  <c r="K14" i="1"/>
  <c r="K13" i="1"/>
  <c r="K12" i="1"/>
  <c r="K11" i="1"/>
  <c r="K10" i="1"/>
  <c r="K9" i="1"/>
  <c r="K8" i="1"/>
  <c r="K7" i="1"/>
  <c r="K6" i="1"/>
  <c r="K5" i="1"/>
  <c r="K4" i="1"/>
  <c r="H22" i="1"/>
  <c r="H21" i="1"/>
  <c r="H20" i="1"/>
  <c r="H19" i="1"/>
  <c r="H18" i="1"/>
  <c r="H17" i="1"/>
  <c r="H16" i="1"/>
  <c r="H15" i="1"/>
  <c r="H14" i="1"/>
  <c r="H13" i="1"/>
  <c r="H12" i="1"/>
  <c r="H11" i="1"/>
  <c r="H10" i="1"/>
  <c r="H9" i="1"/>
  <c r="H8" i="1"/>
  <c r="H7" i="1"/>
  <c r="H6" i="1"/>
  <c r="H5" i="1"/>
  <c r="H4"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3" i="1" l="1"/>
  <c r="AO4" i="1"/>
  <c r="AO12" i="1"/>
</calcChain>
</file>

<file path=xl/sharedStrings.xml><?xml version="1.0" encoding="utf-8"?>
<sst xmlns="http://schemas.openxmlformats.org/spreadsheetml/2006/main" count="84" uniqueCount="48">
  <si>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</si>
  <si>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</si>
  <si>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</si>
  <si>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</si>
  <si>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</si>
  <si>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</si>
  <si>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</si>
  <si>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</si>
  <si>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</si>
  <si>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</si>
  <si>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</si>
  <si>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</si>
  <si>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</si>
  <si>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</si>
  <si>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</si>
  <si>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</si>
  <si>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</si>
  <si>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</si>
  <si>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</si>
  <si>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Bahamas, The</t>
  </si>
  <si>
    <t>China</t>
  </si>
  <si>
    <t>El Salvador</t>
  </si>
  <si>
    <t>Guatemala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</si>
  <si>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</si>
  <si>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</si>
  <si>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</si>
  <si>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</si>
  <si>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</si>
  <si>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</si>
  <si>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</si>
  <si>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</si>
  <si>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</si>
  <si>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</si>
  <si>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</si>
  <si>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</si>
  <si>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</si>
  <si>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</si>
  <si>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</si>
  <si>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</si>
  <si>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Hong Kong</t>
  </si>
  <si>
    <t>Lebanon</t>
  </si>
  <si>
    <t>United Arab Emirates</t>
  </si>
  <si>
    <t>Barbados</t>
  </si>
  <si>
    <t>Brazil</t>
  </si>
  <si>
    <t>Iraq</t>
  </si>
  <si>
    <t>Japan</t>
  </si>
  <si>
    <t>Jordan</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</si>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</sst>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30</v>
      </c>
      <c r="B2" s="2" t="s">
        <v>37</v>
      </c>
      <c r="C2" s="2" t="s">
        <v>13</v>
      </c>
      <c r="D2" s="2" t="s">
        <v>31</v>
      </c>
      <c r="E2" s="4" t="s">
        <v>14</v>
      </c>
      <c r="F2" s="2" t="s">
        <v>31</v>
      </c>
      <c r="G2" s="5" t="s">
        <v>15</v>
      </c>
      <c r="H2" s="2" t="s">
        <v>14</v>
      </c>
      <c r="I2" s="2" t="s">
        <v>31</v>
      </c>
      <c r="J2" s="5" t="s">
        <v>15</v>
      </c>
      <c r="K2" s="2" t="s">
        <v>14</v>
      </c>
      <c r="L2" s="2" t="s">
        <v>31</v>
      </c>
      <c r="M2" s="5" t="s">
        <v>15</v>
      </c>
      <c r="N2" s="2" t="s">
        <v>14</v>
      </c>
      <c r="O2" s="2" t="s">
        <v>31</v>
      </c>
      <c r="P2" s="5" t="s">
        <v>15</v>
      </c>
      <c r="Q2" s="2" t="s">
        <v>14</v>
      </c>
      <c r="R2" s="2" t="s">
        <v>31</v>
      </c>
      <c r="S2" s="5" t="s">
        <v>15</v>
      </c>
      <c r="T2" s="2" t="s">
        <v>14</v>
      </c>
      <c r="U2" s="2" t="s">
        <v>31</v>
      </c>
      <c r="V2" s="5" t="s">
        <v>15</v>
      </c>
      <c r="W2" s="2" t="s">
        <v>14</v>
      </c>
      <c r="X2" s="2" t="s">
        <v>31</v>
      </c>
      <c r="Y2" s="5" t="s">
        <v>15</v>
      </c>
      <c r="Z2" s="2" t="s">
        <v>14</v>
      </c>
      <c r="AA2" s="2" t="s">
        <v>31</v>
      </c>
      <c r="AB2" s="5" t="s">
        <v>15</v>
      </c>
      <c r="AC2" s="2" t="s">
        <v>14</v>
      </c>
      <c r="AD2" s="2" t="s">
        <v>31</v>
      </c>
      <c r="AE2" s="5" t="s">
        <v>15</v>
      </c>
      <c r="AF2" s="2" t="s">
        <v>14</v>
      </c>
      <c r="AG2" s="2" t="s">
        <v>31</v>
      </c>
      <c r="AH2" s="5" t="s">
        <v>15</v>
      </c>
      <c r="AI2" s="2" t="s">
        <v>14</v>
      </c>
      <c r="AJ2" s="2" t="s">
        <v>31</v>
      </c>
      <c r="AK2" s="5" t="s">
        <v>15</v>
      </c>
      <c r="AL2" s="2" t="s">
        <v>14</v>
      </c>
      <c r="AM2" s="2" t="s">
        <v>31</v>
      </c>
      <c r="AN2" s="5" t="s">
        <v>15</v>
      </c>
      <c r="AO2" s="2" t="s">
        <v>14</v>
      </c>
      <c r="AP2" s="2" t="s">
        <v>33</v>
      </c>
      <c r="AQ2" s="5" t="s">
        <v>15</v>
      </c>
    </row>
    <row r="3" spans="1:67" ht="15" customHeight="1" x14ac:dyDescent="0.3">
      <c r="A3" s="9" t="s">
        <v>16</v>
      </c>
      <c r="B3" s="13" t="s">
        <v>38</v>
      </c>
      <c r="C3" s="13" t="s">
        <v>17</v>
      </c>
      <c r="D3" s="13" t="s">
        <v>32</v>
      </c>
      <c r="E3" s="7">
        <f>F3/G3</f>
        <v>809.7037037037037</v>
      </c>
      <c r="F3" s="7">
        <f>SUM(F4:F22)</f>
        <v>163965</v>
      </c>
      <c r="G3" s="8">
        <f>SUM(G4:G22)</f>
        <v>202.5</v>
      </c>
      <c r="H3" s="7">
        <f>I3/J3</f>
        <v>846.27423822714672</v>
      </c>
      <c r="I3" s="7">
        <f>SUM(I4:I22)</f>
        <v>122202</v>
      </c>
      <c r="J3" s="8">
        <f>SUM(J4:J22)</f>
        <v>144.4</v>
      </c>
      <c r="K3" s="7">
        <f>L3/M3</f>
        <v>798.2256644956874</v>
      </c>
      <c r="L3" s="7">
        <f>SUM(L4:L22)</f>
        <v>453472</v>
      </c>
      <c r="M3" s="8">
        <f>SUM(M4:M22)</f>
        <v>568.1</v>
      </c>
      <c r="N3" s="7">
        <f>O3/P3</f>
        <v>929.03479973736046</v>
      </c>
      <c r="O3" s="7">
        <f>SUM(O4:O22)</f>
        <v>141492</v>
      </c>
      <c r="P3" s="8">
        <f>SUM(P4:P22)</f>
        <v>152.30000000000001</v>
      </c>
      <c r="Q3" s="7">
        <f>R3/S3</f>
        <v>1088.8331573389653</v>
      </c>
      <c r="R3" s="7">
        <f>SUM(R4:R22)</f>
        <v>206225</v>
      </c>
      <c r="S3" s="8">
        <f>SUM(S4:S22)</f>
        <v>189.39999999999998</v>
      </c>
      <c r="T3" s="7">
        <f>U3/V3</f>
        <v>865.0876232201532</v>
      </c>
      <c r="U3" s="7">
        <f>SUM(U4:U22)</f>
        <v>157965</v>
      </c>
      <c r="V3" s="8">
        <f>SUM(V4:V22)</f>
        <v>182.60000000000002</v>
      </c>
      <c r="W3" s="7">
        <f>X3/Y3</f>
        <v>912.7358490566038</v>
      </c>
      <c r="X3" s="7">
        <f>SUM(X4:X22)</f>
        <v>183825</v>
      </c>
      <c r="Y3" s="8">
        <f>SUM(Y4:Y22)</f>
        <v>201.4</v>
      </c>
      <c r="Z3" s="7">
        <f>AA3/AB3</f>
        <v>865.45856353591159</v>
      </c>
      <c r="AA3" s="7">
        <f>SUM(AA4:AA22)</f>
        <v>78324</v>
      </c>
      <c r="AB3" s="8">
        <f>SUM(AB4:AB22)</f>
        <v>90.5</v>
      </c>
      <c r="AC3" s="7">
        <f>AD3/AE3</f>
        <v>990.77299945563425</v>
      </c>
      <c r="AD3" s="7">
        <f>SUM(AD4:AD22)</f>
        <v>182005</v>
      </c>
      <c r="AE3" s="8">
        <f>SUM(AE4:AE22)</f>
        <v>183.7</v>
      </c>
      <c r="AF3" s="7">
        <f>AG3/AH3</f>
        <v>889.71105527638201</v>
      </c>
      <c r="AG3" s="7">
        <f>SUM(AG4:AG22)</f>
        <v>212463</v>
      </c>
      <c r="AH3" s="8">
        <f>SUM(AH4:AH22)</f>
        <v>238.79999999999998</v>
      </c>
      <c r="AI3" s="7">
        <f>AJ3/AK3</f>
        <v>856.93051081454223</v>
      </c>
      <c r="AJ3" s="7">
        <f>SUM(AJ4:AJ22)</f>
        <v>186211</v>
      </c>
      <c r="AK3" s="8">
        <f>SUM(AK4:AK22)</f>
        <v>217.29999999999998</v>
      </c>
      <c r="AL3" s="7">
        <f>AM3/AN3</f>
        <v>897.00991189427305</v>
      </c>
      <c r="AM3" s="7">
        <f>SUM(AM4:AM22)</f>
        <v>325794</v>
      </c>
      <c r="AN3" s="8">
        <f>SUM(AN4:AN22)</f>
        <v>363.20000000000005</v>
      </c>
      <c r="AO3" s="7">
        <f>AP3/AQ3</f>
        <v>882.86994367639534</v>
      </c>
      <c r="AP3" s="7">
        <f>SUM(AP4:AP22)</f>
        <v>2413943</v>
      </c>
      <c r="AQ3" s="8">
        <f>SUM(AQ4:AQ22)</f>
        <v>2734.2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24</v>
      </c>
      <c r="B4" s="14"/>
      <c r="C4" s="14"/>
      <c r="D4" s="14"/>
      <c r="E4" s="3" t="e">
        <f t="shared" ref="E4:E11" si="0">F4/G4</f>
        <v>#DIV/0!</v>
      </c>
      <c r="F4" s="3">
        <v>0</v>
      </c>
      <c r="G4" s="6">
        <v>0</v>
      </c>
      <c r="H4" s="3">
        <f t="shared" ref="H4:H11" si="1">I4/J4</f>
        <v>829.91803278688531</v>
      </c>
      <c r="I4" s="3">
        <v>40500</v>
      </c>
      <c r="J4" s="6">
        <v>48.8</v>
      </c>
      <c r="K4" s="3">
        <f t="shared" ref="K4:K11" si="2">L4/M4</f>
        <v>875</v>
      </c>
      <c r="L4" s="3">
        <v>42000</v>
      </c>
      <c r="M4" s="6">
        <v>48</v>
      </c>
      <c r="N4" s="3">
        <f t="shared" ref="N4:N11" si="3">O4/P4</f>
        <v>950</v>
      </c>
      <c r="O4" s="3">
        <v>45600</v>
      </c>
      <c r="P4" s="6">
        <v>48</v>
      </c>
      <c r="Q4" s="3">
        <f t="shared" ref="Q4:Q11" si="4">R4/S4</f>
        <v>980.0613496932516</v>
      </c>
      <c r="R4" s="3">
        <v>95850</v>
      </c>
      <c r="S4" s="6">
        <v>97.8</v>
      </c>
      <c r="T4" s="3">
        <f t="shared" ref="T4:T11" si="5">U4/V4</f>
        <v>940.32921810699577</v>
      </c>
      <c r="U4" s="3">
        <v>68550</v>
      </c>
      <c r="V4" s="6">
        <v>72.900000000000006</v>
      </c>
      <c r="W4" s="3">
        <f t="shared" ref="W4:W11" si="6">X4/Y4</f>
        <v>937.5</v>
      </c>
      <c r="X4" s="3">
        <v>45000</v>
      </c>
      <c r="Y4" s="6">
        <v>48</v>
      </c>
      <c r="Z4" s="3" t="e">
        <f t="shared" ref="Z4:Z11" si="7">AA4/AB4</f>
        <v>#DIV/0!</v>
      </c>
      <c r="AA4" s="3">
        <v>0</v>
      </c>
      <c r="AB4" s="6">
        <v>0</v>
      </c>
      <c r="AC4" s="3" t="e">
        <f t="shared" ref="AC4:AC11" si="8">AD4/AE4</f>
        <v>#DIV/0!</v>
      </c>
      <c r="AD4" s="3">
        <v>0</v>
      </c>
      <c r="AE4" s="6">
        <v>0</v>
      </c>
      <c r="AF4" s="3" t="e">
        <f t="shared" ref="AF4:AF11" si="9">AG4/AH4</f>
        <v>#DIV/0!</v>
      </c>
      <c r="AG4" s="3">
        <v>0</v>
      </c>
      <c r="AH4" s="6">
        <v>0</v>
      </c>
      <c r="AI4" s="3">
        <f t="shared" ref="AI4:AI11" si="10">AJ4/AK4</f>
        <v>965.27777777777783</v>
      </c>
      <c r="AJ4" s="3">
        <v>69500</v>
      </c>
      <c r="AK4" s="6">
        <v>72</v>
      </c>
      <c r="AL4" s="3">
        <f t="shared" ref="AL4:AL11" si="11">AM4/AN4</f>
        <v>1101.875</v>
      </c>
      <c r="AM4" s="3">
        <v>105780</v>
      </c>
      <c r="AN4" s="6">
        <v>96</v>
      </c>
      <c r="AO4" s="3">
        <f t="shared" ref="AO4:AO22" si="12">AP4/AQ4</f>
        <v>964.77892756349956</v>
      </c>
      <c r="AP4" s="3">
        <f t="shared" ref="AP4:AQ4" si="13">SUM(F4,I4,L4,O4,R4,U4,X4,AA4,AD4,AG4,AJ4,AM4)</f>
        <v>512780</v>
      </c>
      <c r="AQ4" s="6">
        <f t="shared" si="13"/>
        <v>531.5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18</v>
      </c>
      <c r="B5" s="14"/>
      <c r="C5" s="14"/>
      <c r="D5" s="14"/>
      <c r="E5" s="3">
        <f t="shared" si="0"/>
        <v>1058.2866043613706</v>
      </c>
      <c r="F5" s="3">
        <v>33971</v>
      </c>
      <c r="G5" s="6">
        <v>32.1</v>
      </c>
      <c r="H5" s="3">
        <f t="shared" si="1"/>
        <v>1067.6470588235295</v>
      </c>
      <c r="I5" s="3">
        <v>9075</v>
      </c>
      <c r="J5" s="6">
        <v>8.5</v>
      </c>
      <c r="K5" s="3">
        <f t="shared" si="2"/>
        <v>849.11594695681731</v>
      </c>
      <c r="L5" s="3">
        <v>249725</v>
      </c>
      <c r="M5" s="6">
        <v>294.10000000000002</v>
      </c>
      <c r="N5" s="3">
        <f t="shared" si="3"/>
        <v>1147.7108433734938</v>
      </c>
      <c r="O5" s="3">
        <v>19052</v>
      </c>
      <c r="P5" s="6">
        <v>16.600000000000001</v>
      </c>
      <c r="Q5" s="3">
        <f t="shared" si="4"/>
        <v>1121.4263322884012</v>
      </c>
      <c r="R5" s="3">
        <v>71547</v>
      </c>
      <c r="S5" s="6">
        <v>63.8</v>
      </c>
      <c r="T5" s="3">
        <f t="shared" si="5"/>
        <v>1120.7407407407409</v>
      </c>
      <c r="U5" s="3">
        <v>9078</v>
      </c>
      <c r="V5" s="6">
        <v>8.1</v>
      </c>
      <c r="W5" s="3">
        <f t="shared" si="6"/>
        <v>879.46341463414637</v>
      </c>
      <c r="X5" s="3">
        <v>18029</v>
      </c>
      <c r="Y5" s="6">
        <v>20.5</v>
      </c>
      <c r="Z5" s="3">
        <f t="shared" si="7"/>
        <v>777.24517906336098</v>
      </c>
      <c r="AA5" s="3">
        <v>28214</v>
      </c>
      <c r="AB5" s="6">
        <v>36.299999999999997</v>
      </c>
      <c r="AC5" s="3">
        <f t="shared" si="8"/>
        <v>950.25641025641028</v>
      </c>
      <c r="AD5" s="3">
        <v>18530</v>
      </c>
      <c r="AE5" s="6">
        <v>19.5</v>
      </c>
      <c r="AF5" s="3">
        <f t="shared" si="9"/>
        <v>1271.0606060606062</v>
      </c>
      <c r="AG5" s="3">
        <v>8389</v>
      </c>
      <c r="AH5" s="6">
        <v>6.6</v>
      </c>
      <c r="AI5" s="3">
        <f t="shared" si="10"/>
        <v>1200</v>
      </c>
      <c r="AJ5" s="3">
        <v>22920</v>
      </c>
      <c r="AK5" s="6">
        <v>19.100000000000001</v>
      </c>
      <c r="AL5" s="3">
        <f t="shared" si="11"/>
        <v>890.34862385321105</v>
      </c>
      <c r="AM5" s="3">
        <v>48524</v>
      </c>
      <c r="AN5" s="6">
        <v>54.5</v>
      </c>
      <c r="AO5" s="3">
        <f t="shared" si="12"/>
        <v>926.43436260134524</v>
      </c>
      <c r="AP5" s="3">
        <f t="shared" ref="AP5:AP22" si="14">SUM(F5,I5,L5,O5,R5,U5,X5,AA5,AD5,AG5,AJ5,AM5)</f>
        <v>537054</v>
      </c>
      <c r="AQ5" s="6">
        <f t="shared" ref="AQ5:AQ22" si="15">SUM(G5,J5,M5,P5,S5,V5,Y5,AB5,AE5,AH5,AK5,AN5)</f>
        <v>579.70000000000016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39</v>
      </c>
      <c r="B6" s="14"/>
      <c r="C6" s="14"/>
      <c r="D6" s="14"/>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f t="shared" si="7"/>
        <v>719.03125</v>
      </c>
      <c r="AA6" s="3">
        <v>23009</v>
      </c>
      <c r="AB6" s="6">
        <v>32</v>
      </c>
      <c r="AC6" s="3">
        <f t="shared" si="8"/>
        <v>719.03125</v>
      </c>
      <c r="AD6" s="3">
        <v>23009</v>
      </c>
      <c r="AE6" s="6">
        <v>32</v>
      </c>
      <c r="AF6" s="3" t="e">
        <f t="shared" si="9"/>
        <v>#DIV/0!</v>
      </c>
      <c r="AG6" s="3">
        <v>0</v>
      </c>
      <c r="AH6" s="6">
        <v>0</v>
      </c>
      <c r="AI6" s="3">
        <f t="shared" si="10"/>
        <v>717.41433021806847</v>
      </c>
      <c r="AJ6" s="3">
        <v>23029</v>
      </c>
      <c r="AK6" s="6">
        <v>32.1</v>
      </c>
      <c r="AL6" s="3">
        <f t="shared" si="11"/>
        <v>718.5491419656787</v>
      </c>
      <c r="AM6" s="3">
        <v>46059</v>
      </c>
      <c r="AN6" s="6">
        <v>64.099999999999994</v>
      </c>
      <c r="AO6" s="3">
        <f t="shared" si="12"/>
        <v>718.51435705368294</v>
      </c>
      <c r="AP6" s="3">
        <f t="shared" si="14"/>
        <v>115106</v>
      </c>
      <c r="AQ6" s="6">
        <f t="shared" si="15"/>
        <v>160.19999999999999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22</v>
      </c>
      <c r="B7" s="14"/>
      <c r="C7" s="14"/>
      <c r="D7" s="14"/>
      <c r="E7" s="3">
        <f t="shared" si="0"/>
        <v>718.23038397328878</v>
      </c>
      <c r="F7" s="3">
        <v>43022</v>
      </c>
      <c r="G7" s="6">
        <v>59.9</v>
      </c>
      <c r="H7" s="3">
        <f t="shared" si="1"/>
        <v>720.46979865771812</v>
      </c>
      <c r="I7" s="3">
        <v>10735</v>
      </c>
      <c r="J7" s="6">
        <v>14.9</v>
      </c>
      <c r="K7" s="3">
        <f t="shared" si="2"/>
        <v>719.3478260869565</v>
      </c>
      <c r="L7" s="3">
        <v>19854</v>
      </c>
      <c r="M7" s="6">
        <v>27.6</v>
      </c>
      <c r="N7" s="3">
        <f t="shared" si="3"/>
        <v>716.68316831683171</v>
      </c>
      <c r="O7" s="3">
        <v>14477</v>
      </c>
      <c r="P7" s="6">
        <v>20.2</v>
      </c>
      <c r="Q7" s="3">
        <f t="shared" si="4"/>
        <v>1484.4776119402984</v>
      </c>
      <c r="R7" s="3">
        <v>9946</v>
      </c>
      <c r="S7" s="6">
        <v>6.7</v>
      </c>
      <c r="T7" s="3" t="e">
        <f t="shared" si="5"/>
        <v>#DIV/0!</v>
      </c>
      <c r="U7" s="3">
        <v>0</v>
      </c>
      <c r="V7" s="6">
        <v>0</v>
      </c>
      <c r="W7" s="3">
        <f t="shared" si="6"/>
        <v>716.92307692307702</v>
      </c>
      <c r="X7" s="3">
        <v>12116</v>
      </c>
      <c r="Y7" s="6">
        <v>16.899999999999999</v>
      </c>
      <c r="Z7" s="3">
        <f t="shared" si="7"/>
        <v>1453.7288135593219</v>
      </c>
      <c r="AA7" s="3">
        <v>8577</v>
      </c>
      <c r="AB7" s="6">
        <v>5.9</v>
      </c>
      <c r="AC7" s="3">
        <f t="shared" si="8"/>
        <v>872.24358974358972</v>
      </c>
      <c r="AD7" s="3">
        <v>27214</v>
      </c>
      <c r="AE7" s="6">
        <v>31.2</v>
      </c>
      <c r="AF7" s="3">
        <f t="shared" si="9"/>
        <v>719.07608695652175</v>
      </c>
      <c r="AG7" s="3">
        <v>26462</v>
      </c>
      <c r="AH7" s="6">
        <v>36.799999999999997</v>
      </c>
      <c r="AI7" s="3">
        <f t="shared" si="10"/>
        <v>775.42435424354244</v>
      </c>
      <c r="AJ7" s="3">
        <v>21014</v>
      </c>
      <c r="AK7" s="6">
        <v>27.1</v>
      </c>
      <c r="AL7" s="3">
        <f t="shared" si="11"/>
        <v>717.57009345794393</v>
      </c>
      <c r="AM7" s="3">
        <v>30712</v>
      </c>
      <c r="AN7" s="6">
        <v>42.8</v>
      </c>
      <c r="AO7" s="3">
        <f t="shared" si="12"/>
        <v>772.85862068965514</v>
      </c>
      <c r="AP7" s="3">
        <f t="shared" si="14"/>
        <v>224129</v>
      </c>
      <c r="AQ7" s="6">
        <f t="shared" si="15"/>
        <v>290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40</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f t="shared" si="6"/>
        <v>1044.5911949685535</v>
      </c>
      <c r="X8" s="3">
        <v>16609</v>
      </c>
      <c r="Y8" s="6">
        <v>15.9</v>
      </c>
      <c r="Z8" s="3" t="e">
        <f t="shared" si="7"/>
        <v>#DIV/0!</v>
      </c>
      <c r="AA8" s="3">
        <v>0</v>
      </c>
      <c r="AB8" s="6">
        <v>0</v>
      </c>
      <c r="AC8" s="3">
        <f t="shared" si="8"/>
        <v>1023.8095238095239</v>
      </c>
      <c r="AD8" s="3">
        <v>38700</v>
      </c>
      <c r="AE8" s="6">
        <v>37.799999999999997</v>
      </c>
      <c r="AF8" s="3">
        <f t="shared" si="9"/>
        <v>1072.4343257443081</v>
      </c>
      <c r="AG8" s="3">
        <v>61236</v>
      </c>
      <c r="AH8" s="6">
        <v>57.1</v>
      </c>
      <c r="AI8" s="3" t="e">
        <f t="shared" si="10"/>
        <v>#DIV/0!</v>
      </c>
      <c r="AJ8" s="3">
        <v>0</v>
      </c>
      <c r="AK8" s="6">
        <v>0</v>
      </c>
      <c r="AL8" s="3">
        <f t="shared" si="11"/>
        <v>1100.472440944882</v>
      </c>
      <c r="AM8" s="3">
        <v>27952</v>
      </c>
      <c r="AN8" s="6">
        <v>25.4</v>
      </c>
      <c r="AO8" s="3">
        <f t="shared" si="12"/>
        <v>1060.9177679882528</v>
      </c>
      <c r="AP8" s="3">
        <f t="shared" si="14"/>
        <v>144497</v>
      </c>
      <c r="AQ8" s="6">
        <f t="shared" si="15"/>
        <v>136.19999999999999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20</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f t="shared" si="9"/>
        <v>717.41433021806847</v>
      </c>
      <c r="AG9" s="3">
        <v>23029</v>
      </c>
      <c r="AH9" s="6">
        <v>32.1</v>
      </c>
      <c r="AI9" s="3">
        <f t="shared" si="10"/>
        <v>718.53354134165374</v>
      </c>
      <c r="AJ9" s="3">
        <v>46058</v>
      </c>
      <c r="AK9" s="6">
        <v>64.099999999999994</v>
      </c>
      <c r="AL9" s="3">
        <f t="shared" si="11"/>
        <v>717.41433021806847</v>
      </c>
      <c r="AM9" s="3">
        <v>23029</v>
      </c>
      <c r="AN9" s="6">
        <v>32.1</v>
      </c>
      <c r="AO9" s="3">
        <f t="shared" si="12"/>
        <v>717.97349961028851</v>
      </c>
      <c r="AP9" s="3">
        <f t="shared" si="14"/>
        <v>92116</v>
      </c>
      <c r="AQ9" s="6">
        <f t="shared" si="15"/>
        <v>128.29999999999998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23</v>
      </c>
      <c r="B10" s="14"/>
      <c r="C10" s="14"/>
      <c r="D10" s="14"/>
      <c r="E10" s="3" t="e">
        <f t="shared" si="0"/>
        <v>#DIV/0!</v>
      </c>
      <c r="F10" s="3">
        <v>0</v>
      </c>
      <c r="G10" s="6">
        <v>0</v>
      </c>
      <c r="H10" s="3" t="e">
        <f t="shared" si="1"/>
        <v>#DIV/0!</v>
      </c>
      <c r="I10" s="3">
        <v>0</v>
      </c>
      <c r="J10" s="6">
        <v>0</v>
      </c>
      <c r="K10" s="3">
        <f t="shared" si="2"/>
        <v>465.11627906976747</v>
      </c>
      <c r="L10" s="3">
        <v>8000</v>
      </c>
      <c r="M10" s="6">
        <v>17.2</v>
      </c>
      <c r="N10" s="3" t="e">
        <f t="shared" si="3"/>
        <v>#DIV/0!</v>
      </c>
      <c r="O10" s="3">
        <v>0</v>
      </c>
      <c r="P10" s="6">
        <v>0</v>
      </c>
      <c r="Q10" s="3" t="e">
        <f t="shared" si="4"/>
        <v>#DIV/0!</v>
      </c>
      <c r="R10" s="3">
        <v>0</v>
      </c>
      <c r="S10" s="6">
        <v>0</v>
      </c>
      <c r="T10" s="3">
        <f t="shared" si="5"/>
        <v>718.02631578947376</v>
      </c>
      <c r="U10" s="3">
        <v>10914</v>
      </c>
      <c r="V10" s="6">
        <v>15.2</v>
      </c>
      <c r="W10" s="3">
        <f t="shared" si="6"/>
        <v>928.16326530612241</v>
      </c>
      <c r="X10" s="3">
        <v>9096</v>
      </c>
      <c r="Y10" s="6">
        <v>9.8000000000000007</v>
      </c>
      <c r="Z10" s="3">
        <f t="shared" si="7"/>
        <v>959.01639344262298</v>
      </c>
      <c r="AA10" s="3">
        <v>5850</v>
      </c>
      <c r="AB10" s="6">
        <v>6.1</v>
      </c>
      <c r="AC10" s="3" t="e">
        <f t="shared" si="8"/>
        <v>#DIV/0!</v>
      </c>
      <c r="AD10" s="3">
        <v>0</v>
      </c>
      <c r="AE10" s="6">
        <v>0</v>
      </c>
      <c r="AF10" s="3">
        <f t="shared" si="9"/>
        <v>783.40314136125653</v>
      </c>
      <c r="AG10" s="3">
        <v>14963</v>
      </c>
      <c r="AH10" s="6">
        <v>19.100000000000001</v>
      </c>
      <c r="AI10" s="3" t="e">
        <f t="shared" si="10"/>
        <v>#DIV/0!</v>
      </c>
      <c r="AJ10" s="3">
        <v>0</v>
      </c>
      <c r="AK10" s="6">
        <v>0</v>
      </c>
      <c r="AL10" s="3">
        <f t="shared" si="11"/>
        <v>937.28813559322032</v>
      </c>
      <c r="AM10" s="3">
        <v>22120</v>
      </c>
      <c r="AN10" s="6">
        <v>23.6</v>
      </c>
      <c r="AO10" s="3">
        <f t="shared" si="12"/>
        <v>779.5934065934066</v>
      </c>
      <c r="AP10" s="3">
        <f t="shared" si="14"/>
        <v>70943</v>
      </c>
      <c r="AQ10" s="6">
        <f t="shared" si="15"/>
        <v>91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19</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f t="shared" si="7"/>
        <v>566.66666666666663</v>
      </c>
      <c r="AA11" s="3">
        <v>4080</v>
      </c>
      <c r="AB11" s="6">
        <v>7.2</v>
      </c>
      <c r="AC11" s="3" t="e">
        <f t="shared" si="8"/>
        <v>#DIV/0!</v>
      </c>
      <c r="AD11" s="3">
        <v>0</v>
      </c>
      <c r="AE11" s="6">
        <v>0</v>
      </c>
      <c r="AF11" s="3" t="e">
        <f t="shared" si="9"/>
        <v>#DIV/0!</v>
      </c>
      <c r="AG11" s="3">
        <v>0</v>
      </c>
      <c r="AH11" s="6">
        <v>0</v>
      </c>
      <c r="AI11" s="3" t="e">
        <f t="shared" si="10"/>
        <v>#DIV/0!</v>
      </c>
      <c r="AJ11" s="3">
        <v>0</v>
      </c>
      <c r="AK11" s="6">
        <v>0</v>
      </c>
      <c r="AL11" s="3">
        <f t="shared" si="11"/>
        <v>718.24561403508767</v>
      </c>
      <c r="AM11" s="3">
        <v>12282</v>
      </c>
      <c r="AN11" s="6">
        <v>17.100000000000001</v>
      </c>
      <c r="AO11" s="3">
        <f t="shared" si="12"/>
        <v>673.33333333333326</v>
      </c>
      <c r="AP11" s="3">
        <f t="shared" si="14"/>
        <v>16362</v>
      </c>
      <c r="AQ11" s="6">
        <f t="shared" si="15"/>
        <v>24.3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34</v>
      </c>
      <c r="B12" s="14"/>
      <c r="C12" s="14"/>
      <c r="D12" s="14"/>
      <c r="E12" s="3" t="e">
        <f>F12/G12</f>
        <v>#DIV/0!</v>
      </c>
      <c r="F12" s="3">
        <v>0</v>
      </c>
      <c r="G12" s="6">
        <v>0</v>
      </c>
      <c r="H12" s="3" t="e">
        <f>I12/J12</f>
        <v>#DIV/0!</v>
      </c>
      <c r="I12" s="3">
        <v>0</v>
      </c>
      <c r="J12" s="6">
        <v>0</v>
      </c>
      <c r="K12" s="3">
        <f>L12/M12</f>
        <v>1778.125</v>
      </c>
      <c r="L12" s="3">
        <v>2845</v>
      </c>
      <c r="M12" s="6">
        <v>1.6</v>
      </c>
      <c r="N12" s="3" t="e">
        <f>O12/P12</f>
        <v>#DIV/0!</v>
      </c>
      <c r="O12" s="3">
        <v>0</v>
      </c>
      <c r="P12" s="6">
        <v>0</v>
      </c>
      <c r="Q12" s="3">
        <f>R12/S12</f>
        <v>1439.5555555555557</v>
      </c>
      <c r="R12" s="3">
        <v>25912</v>
      </c>
      <c r="S12" s="6">
        <v>18</v>
      </c>
      <c r="T12" s="3">
        <f>U12/V12</f>
        <v>1174.2592592592594</v>
      </c>
      <c r="U12" s="3">
        <v>19023</v>
      </c>
      <c r="V12" s="6">
        <v>16.2</v>
      </c>
      <c r="W12" s="3">
        <f>X12/Y12</f>
        <v>1195.5612244897959</v>
      </c>
      <c r="X12" s="3">
        <v>23433</v>
      </c>
      <c r="Y12" s="6">
        <v>19.600000000000001</v>
      </c>
      <c r="Z12" s="3" t="e">
        <f>AA12/AB12</f>
        <v>#DIV/0!</v>
      </c>
      <c r="AA12" s="3">
        <v>0</v>
      </c>
      <c r="AB12" s="6">
        <v>0</v>
      </c>
      <c r="AC12" s="3">
        <f>AD12/AE12</f>
        <v>1118.28025477707</v>
      </c>
      <c r="AD12" s="3">
        <v>17557</v>
      </c>
      <c r="AE12" s="6">
        <v>15.7</v>
      </c>
      <c r="AF12" s="3">
        <f>AG12/AH12</f>
        <v>1098.9473684210527</v>
      </c>
      <c r="AG12" s="3">
        <v>16704</v>
      </c>
      <c r="AH12" s="6">
        <v>15.2</v>
      </c>
      <c r="AI12" s="3">
        <f>AJ12/AK12</f>
        <v>1272.4137931034484</v>
      </c>
      <c r="AJ12" s="3">
        <v>3690</v>
      </c>
      <c r="AK12" s="6">
        <v>2.9</v>
      </c>
      <c r="AL12" s="3">
        <f>AM12/AN12</f>
        <v>1228.421052631579</v>
      </c>
      <c r="AM12" s="3">
        <v>9336</v>
      </c>
      <c r="AN12" s="6">
        <v>7.6</v>
      </c>
      <c r="AO12" s="3">
        <f t="shared" si="12"/>
        <v>1224.1735537190084</v>
      </c>
      <c r="AP12" s="3">
        <f t="shared" si="14"/>
        <v>118500</v>
      </c>
      <c r="AQ12" s="6">
        <f t="shared" si="15"/>
        <v>96.8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41</v>
      </c>
      <c r="B13" s="14"/>
      <c r="C13" s="14"/>
      <c r="D13" s="14"/>
      <c r="E13" s="3">
        <f t="shared" ref="E13:E22" si="16">F13/G13</f>
        <v>787.07692307692309</v>
      </c>
      <c r="F13" s="3">
        <v>86972</v>
      </c>
      <c r="G13" s="6">
        <v>110.5</v>
      </c>
      <c r="H13" s="3">
        <f t="shared" ref="H13:H22" si="17">I13/J13</f>
        <v>836.84952978056435</v>
      </c>
      <c r="I13" s="3">
        <v>53391</v>
      </c>
      <c r="J13" s="6">
        <v>63.8</v>
      </c>
      <c r="K13" s="3">
        <f t="shared" ref="K13:K22" si="18">L13/M13</f>
        <v>718.3156127588137</v>
      </c>
      <c r="L13" s="3">
        <v>128363</v>
      </c>
      <c r="M13" s="6">
        <v>178.7</v>
      </c>
      <c r="N13" s="3">
        <f t="shared" ref="N13:N22" si="19">O13/P13</f>
        <v>923.89629629629633</v>
      </c>
      <c r="O13" s="3">
        <v>62363</v>
      </c>
      <c r="P13" s="6">
        <v>67.5</v>
      </c>
      <c r="Q13" s="3" t="e">
        <f t="shared" ref="Q13:Q22" si="20">R13/S13</f>
        <v>#DIV/0!</v>
      </c>
      <c r="R13" s="3">
        <v>0</v>
      </c>
      <c r="S13" s="6">
        <v>0</v>
      </c>
      <c r="T13" s="3" t="e">
        <f t="shared" ref="T13:T22" si="21">U13/V13</f>
        <v>#DIV/0!</v>
      </c>
      <c r="U13" s="3">
        <v>0</v>
      </c>
      <c r="V13" s="6">
        <v>0</v>
      </c>
      <c r="W13" s="3" t="e">
        <f t="shared" ref="W13:W22" si="22">X13/Y13</f>
        <v>#DIV/0!</v>
      </c>
      <c r="X13" s="3">
        <v>0</v>
      </c>
      <c r="Y13" s="6">
        <v>0</v>
      </c>
      <c r="Z13" s="3" t="e">
        <f t="shared" ref="Z13:Z22" si="23">AA13/AB13</f>
        <v>#DIV/0!</v>
      </c>
      <c r="AA13" s="3">
        <v>0</v>
      </c>
      <c r="AB13" s="6">
        <v>0</v>
      </c>
      <c r="AC13" s="3" t="e">
        <f t="shared" ref="AC13:AC22" si="24">AD13/AE13</f>
        <v>#DIV/0!</v>
      </c>
      <c r="AD13" s="3">
        <v>0</v>
      </c>
      <c r="AE13" s="6">
        <v>0</v>
      </c>
      <c r="AF13" s="3" t="e">
        <f t="shared" ref="AF13:AF22" si="25">AG13/AH13</f>
        <v>#DIV/0!</v>
      </c>
      <c r="AG13" s="3">
        <v>0</v>
      </c>
      <c r="AH13" s="6">
        <v>0</v>
      </c>
      <c r="AI13" s="3" t="e">
        <f t="shared" ref="AI13:AI22" si="26">AJ13/AK13</f>
        <v>#DIV/0!</v>
      </c>
      <c r="AJ13" s="3">
        <v>0</v>
      </c>
      <c r="AK13" s="6">
        <v>0</v>
      </c>
      <c r="AL13" s="3" t="e">
        <f t="shared" ref="AL13:AL22" si="27">AM13/AN13</f>
        <v>#DIV/0!</v>
      </c>
      <c r="AM13" s="3">
        <v>0</v>
      </c>
      <c r="AN13" s="6">
        <v>0</v>
      </c>
      <c r="AO13" s="3">
        <f t="shared" si="12"/>
        <v>787.36979785969083</v>
      </c>
      <c r="AP13" s="3">
        <f t="shared" si="14"/>
        <v>331089</v>
      </c>
      <c r="AQ13" s="6">
        <f t="shared" si="15"/>
        <v>420.5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42</v>
      </c>
      <c r="B14" s="14"/>
      <c r="C14" s="14"/>
      <c r="D14" s="14"/>
      <c r="E14" s="3" t="e">
        <f t="shared" si="16"/>
        <v>#DIV/0!</v>
      </c>
      <c r="F14" s="3">
        <v>0</v>
      </c>
      <c r="G14" s="6">
        <v>0</v>
      </c>
      <c r="H14" s="3">
        <f t="shared" si="17"/>
        <v>1478.787878787879</v>
      </c>
      <c r="I14" s="3">
        <v>4880</v>
      </c>
      <c r="J14" s="6">
        <v>3.3</v>
      </c>
      <c r="K14" s="3" t="e">
        <f t="shared" si="18"/>
        <v>#DIV/0!</v>
      </c>
      <c r="L14" s="3">
        <v>0</v>
      </c>
      <c r="M14" s="6">
        <v>0</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1478.787878787879</v>
      </c>
      <c r="AP14" s="3">
        <f t="shared" si="14"/>
        <v>4880</v>
      </c>
      <c r="AQ14" s="6">
        <f t="shared" si="15"/>
        <v>3.3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43</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f t="shared" si="21"/>
        <v>717.9487179487179</v>
      </c>
      <c r="U15" s="3">
        <v>50400</v>
      </c>
      <c r="V15" s="6">
        <v>70.2</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717.9487179487179</v>
      </c>
      <c r="AP15" s="3">
        <f t="shared" si="14"/>
        <v>50400</v>
      </c>
      <c r="AQ15" s="6">
        <f t="shared" si="15"/>
        <v>70.2</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21</v>
      </c>
      <c r="B16" s="14"/>
      <c r="C16" s="14"/>
      <c r="D16" s="14"/>
      <c r="E16" s="3" t="e">
        <f t="shared" si="16"/>
        <v>#DIV/0!</v>
      </c>
      <c r="F16" s="3">
        <v>0</v>
      </c>
      <c r="G16" s="6">
        <v>0</v>
      </c>
      <c r="H16" s="3" t="e">
        <f t="shared" si="17"/>
        <v>#DIV/0!</v>
      </c>
      <c r="I16" s="3">
        <v>0</v>
      </c>
      <c r="J16" s="6">
        <v>0</v>
      </c>
      <c r="K16" s="3">
        <f t="shared" si="18"/>
        <v>2983.3333333333335</v>
      </c>
      <c r="L16" s="3">
        <v>2685</v>
      </c>
      <c r="M16" s="6">
        <v>0.9</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f t="shared" si="23"/>
        <v>2864.6666666666665</v>
      </c>
      <c r="AA16" s="3">
        <v>8594</v>
      </c>
      <c r="AB16" s="6">
        <v>3</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2892.0512820512822</v>
      </c>
      <c r="AP16" s="3">
        <f t="shared" si="14"/>
        <v>11279</v>
      </c>
      <c r="AQ16" s="6">
        <f t="shared" si="15"/>
        <v>3.9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44</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f t="shared" si="22"/>
        <v>1231.578947368421</v>
      </c>
      <c r="X17" s="3">
        <v>21060</v>
      </c>
      <c r="Y17" s="6">
        <v>17.100000000000001</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1231.578947368421</v>
      </c>
      <c r="AP17" s="3">
        <f t="shared" si="14"/>
        <v>21060</v>
      </c>
      <c r="AQ17" s="6">
        <f t="shared" si="15"/>
        <v>17.100000000000001</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45</v>
      </c>
      <c r="B18" s="14"/>
      <c r="C18" s="14"/>
      <c r="D18" s="14"/>
      <c r="E18" s="3" t="e">
        <f t="shared" si="16"/>
        <v>#DIV/0!</v>
      </c>
      <c r="F18" s="3">
        <v>0</v>
      </c>
      <c r="G18" s="6">
        <v>0</v>
      </c>
      <c r="H18" s="3">
        <f t="shared" si="17"/>
        <v>710</v>
      </c>
      <c r="I18" s="3">
        <v>3621</v>
      </c>
      <c r="J18" s="6">
        <v>5.0999999999999996</v>
      </c>
      <c r="K18" s="3" t="e">
        <f t="shared" si="18"/>
        <v>#DIV/0!</v>
      </c>
      <c r="L18" s="3">
        <v>0</v>
      </c>
      <c r="M18" s="6">
        <v>0</v>
      </c>
      <c r="N18" s="3" t="e">
        <f t="shared" si="19"/>
        <v>#DIV/0!</v>
      </c>
      <c r="O18" s="3">
        <v>0</v>
      </c>
      <c r="P18" s="6">
        <v>0</v>
      </c>
      <c r="Q18" s="3" t="e">
        <f t="shared" si="20"/>
        <v>#DIV/0!</v>
      </c>
      <c r="R18" s="3">
        <v>0</v>
      </c>
      <c r="S18" s="6">
        <v>0</v>
      </c>
      <c r="T18" s="3" t="e">
        <f t="shared" si="21"/>
        <v>#DIV/0!</v>
      </c>
      <c r="U18" s="3">
        <v>0</v>
      </c>
      <c r="V18" s="6">
        <v>0</v>
      </c>
      <c r="W18" s="3">
        <f t="shared" si="22"/>
        <v>717.94776119402979</v>
      </c>
      <c r="X18" s="3">
        <v>38482</v>
      </c>
      <c r="Y18" s="6">
        <v>53.6</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717.25724020442931</v>
      </c>
      <c r="AP18" s="3">
        <f t="shared" si="14"/>
        <v>42103</v>
      </c>
      <c r="AQ18" s="6">
        <f t="shared" si="15"/>
        <v>58.7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46</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t="e">
        <f t="shared" si="24"/>
        <v>#DIV/0!</v>
      </c>
      <c r="AD19" s="3">
        <v>0</v>
      </c>
      <c r="AE19" s="6">
        <v>0</v>
      </c>
      <c r="AF19" s="3">
        <f t="shared" si="25"/>
        <v>718.2320441988951</v>
      </c>
      <c r="AG19" s="3">
        <v>39000</v>
      </c>
      <c r="AH19" s="6">
        <v>54.3</v>
      </c>
      <c r="AI19" s="3" t="e">
        <f t="shared" si="26"/>
        <v>#DIV/0!</v>
      </c>
      <c r="AJ19" s="3">
        <v>0</v>
      </c>
      <c r="AK19" s="6">
        <v>0</v>
      </c>
      <c r="AL19" s="3" t="e">
        <f t="shared" si="27"/>
        <v>#DIV/0!</v>
      </c>
      <c r="AM19" s="3">
        <v>0</v>
      </c>
      <c r="AN19" s="6">
        <v>0</v>
      </c>
      <c r="AO19" s="3">
        <f t="shared" si="12"/>
        <v>718.2320441988951</v>
      </c>
      <c r="AP19" s="3">
        <f t="shared" si="14"/>
        <v>39000</v>
      </c>
      <c r="AQ19" s="6">
        <f t="shared" si="15"/>
        <v>54.3</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47</v>
      </c>
      <c r="B20" s="14"/>
      <c r="C20" s="14"/>
      <c r="D20" s="14"/>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f t="shared" si="25"/>
        <v>1288.6363636363635</v>
      </c>
      <c r="AG20" s="3">
        <v>22680</v>
      </c>
      <c r="AH20" s="6">
        <v>17.600000000000001</v>
      </c>
      <c r="AI20" s="3" t="e">
        <f t="shared" si="26"/>
        <v>#DIV/0!</v>
      </c>
      <c r="AJ20" s="3">
        <v>0</v>
      </c>
      <c r="AK20" s="6">
        <v>0</v>
      </c>
      <c r="AL20" s="3" t="e">
        <f t="shared" si="27"/>
        <v>#DIV/0!</v>
      </c>
      <c r="AM20" s="3">
        <v>0</v>
      </c>
      <c r="AN20" s="6">
        <v>0</v>
      </c>
      <c r="AO20" s="3">
        <f t="shared" si="12"/>
        <v>1288.6363636363635</v>
      </c>
      <c r="AP20" s="3">
        <f t="shared" si="14"/>
        <v>22680</v>
      </c>
      <c r="AQ20" s="6">
        <f t="shared" si="15"/>
        <v>17.600000000000001</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25</v>
      </c>
      <c r="B21" s="14"/>
      <c r="C21" s="14"/>
      <c r="D21" s="14"/>
      <c r="E21" s="3" t="e">
        <f t="shared" si="16"/>
        <v>#DIV/0!</v>
      </c>
      <c r="F21" s="3">
        <v>0</v>
      </c>
      <c r="G21" s="6">
        <v>0</v>
      </c>
      <c r="H21" s="3" t="e">
        <f t="shared" si="17"/>
        <v>#DIV/0!</v>
      </c>
      <c r="I21" s="3">
        <v>0</v>
      </c>
      <c r="J21" s="6">
        <v>0</v>
      </c>
      <c r="K21" s="3" t="e">
        <f t="shared" si="18"/>
        <v>#DIV/0!</v>
      </c>
      <c r="L21" s="3">
        <v>0</v>
      </c>
      <c r="M21" s="6">
        <v>0</v>
      </c>
      <c r="N21" s="3" t="e">
        <f t="shared" si="19"/>
        <v>#DIV/0!</v>
      </c>
      <c r="O21" s="3">
        <v>0</v>
      </c>
      <c r="P21" s="6">
        <v>0</v>
      </c>
      <c r="Q21" s="3" t="e">
        <f t="shared" si="20"/>
        <v>#DIV/0!</v>
      </c>
      <c r="R21" s="3">
        <v>0</v>
      </c>
      <c r="S21" s="6">
        <v>0</v>
      </c>
      <c r="T21" s="3" t="e">
        <f t="shared" si="21"/>
        <v>#DIV/0!</v>
      </c>
      <c r="U21" s="3">
        <v>0</v>
      </c>
      <c r="V21" s="6">
        <v>0</v>
      </c>
      <c r="W21" s="3" t="e">
        <f t="shared" si="22"/>
        <v>#DIV/0!</v>
      </c>
      <c r="X21" s="3">
        <v>0</v>
      </c>
      <c r="Y21" s="6">
        <v>0</v>
      </c>
      <c r="Z21" s="3" t="e">
        <f t="shared" si="23"/>
        <v>#DIV/0!</v>
      </c>
      <c r="AA21" s="3">
        <v>0</v>
      </c>
      <c r="AB21" s="6">
        <v>0</v>
      </c>
      <c r="AC21" s="3">
        <f t="shared" si="24"/>
        <v>1267.3228346456694</v>
      </c>
      <c r="AD21" s="3">
        <v>32190</v>
      </c>
      <c r="AE21" s="6">
        <v>25.4</v>
      </c>
      <c r="AF21" s="3" t="e">
        <f t="shared" si="25"/>
        <v>#DIV/0!</v>
      </c>
      <c r="AG21" s="3">
        <v>0</v>
      </c>
      <c r="AH21" s="6">
        <v>0</v>
      </c>
      <c r="AI21" s="3" t="e">
        <f t="shared" si="26"/>
        <v>#DIV/0!</v>
      </c>
      <c r="AJ21" s="3">
        <v>0</v>
      </c>
      <c r="AK21" s="6">
        <v>0</v>
      </c>
      <c r="AL21" s="3" t="e">
        <f t="shared" si="27"/>
        <v>#DIV/0!</v>
      </c>
      <c r="AM21" s="3">
        <v>0</v>
      </c>
      <c r="AN21" s="6">
        <v>0</v>
      </c>
      <c r="AO21" s="3">
        <f t="shared" si="12"/>
        <v>1267.3228346456694</v>
      </c>
      <c r="AP21" s="3">
        <f t="shared" si="14"/>
        <v>32190</v>
      </c>
      <c r="AQ21" s="6">
        <f t="shared" si="15"/>
        <v>25.4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1" t="s">
        <v>26</v>
      </c>
      <c r="B22" s="15"/>
      <c r="C22" s="15"/>
      <c r="D22" s="15"/>
      <c r="E22" s="12" t="e">
        <f t="shared" si="16"/>
        <v>#DIV/0!</v>
      </c>
      <c r="F22" s="7">
        <v>0</v>
      </c>
      <c r="G22" s="8">
        <v>0</v>
      </c>
      <c r="H22" s="7" t="e">
        <f t="shared" si="17"/>
        <v>#DIV/0!</v>
      </c>
      <c r="I22" s="7">
        <v>0</v>
      </c>
      <c r="J22" s="8">
        <v>0</v>
      </c>
      <c r="K22" s="7" t="e">
        <f t="shared" si="18"/>
        <v>#DIV/0!</v>
      </c>
      <c r="L22" s="7">
        <v>0</v>
      </c>
      <c r="M22" s="8">
        <v>0</v>
      </c>
      <c r="N22" s="7" t="e">
        <f t="shared" si="19"/>
        <v>#DIV/0!</v>
      </c>
      <c r="O22" s="7">
        <v>0</v>
      </c>
      <c r="P22" s="8">
        <v>0</v>
      </c>
      <c r="Q22" s="7">
        <f t="shared" si="20"/>
        <v>958.0645161290322</v>
      </c>
      <c r="R22" s="7">
        <v>2970</v>
      </c>
      <c r="S22" s="8">
        <v>3.1</v>
      </c>
      <c r="T22" s="7" t="e">
        <f t="shared" si="21"/>
        <v>#DIV/0!</v>
      </c>
      <c r="U22" s="7">
        <v>0</v>
      </c>
      <c r="V22" s="8">
        <v>0</v>
      </c>
      <c r="W22" s="7" t="e">
        <f t="shared" si="22"/>
        <v>#DIV/0!</v>
      </c>
      <c r="X22" s="7">
        <v>0</v>
      </c>
      <c r="Y22" s="8">
        <v>0</v>
      </c>
      <c r="Z22" s="7" t="e">
        <f t="shared" si="23"/>
        <v>#DIV/0!</v>
      </c>
      <c r="AA22" s="7">
        <v>0</v>
      </c>
      <c r="AB22" s="8">
        <v>0</v>
      </c>
      <c r="AC22" s="7">
        <f t="shared" si="24"/>
        <v>1122.3981900452488</v>
      </c>
      <c r="AD22" s="7">
        <v>24805</v>
      </c>
      <c r="AE22" s="8">
        <v>22.1</v>
      </c>
      <c r="AF22" s="7" t="e">
        <f t="shared" si="25"/>
        <v>#DIV/0!</v>
      </c>
      <c r="AG22" s="7">
        <v>0</v>
      </c>
      <c r="AH22" s="8">
        <v>0</v>
      </c>
      <c r="AI22" s="7" t="e">
        <f t="shared" si="26"/>
        <v>#DIV/0!</v>
      </c>
      <c r="AJ22" s="7">
        <v>0</v>
      </c>
      <c r="AK22" s="8">
        <v>0</v>
      </c>
      <c r="AL22" s="7" t="e">
        <f t="shared" si="27"/>
        <v>#DIV/0!</v>
      </c>
      <c r="AM22" s="7">
        <v>0</v>
      </c>
      <c r="AN22" s="8">
        <v>0</v>
      </c>
      <c r="AO22" s="7">
        <f t="shared" si="12"/>
        <v>1102.1825396825395</v>
      </c>
      <c r="AP22" s="7">
        <f t="shared" si="14"/>
        <v>27775</v>
      </c>
      <c r="AQ22" s="8">
        <f t="shared" si="15"/>
        <v>25.200000000000003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 t="s">
        <v>27</v>
      </c>
      <c r="B23" s="1"/>
    </row>
    <row r="24" spans="1:67" x14ac:dyDescent="0.3">
      <c r="A24" s="1" t="s">
        <v>35</v>
      </c>
      <c r="B24" s="1"/>
    </row>
    <row r="25" spans="1:67" x14ac:dyDescent="0.3">
      <c r="A25" s="1" t="s">
        <v>28</v>
      </c>
      <c r="B25" s="1"/>
    </row>
    <row r="26" spans="1:67" x14ac:dyDescent="0.3">
      <c r="A26" s="1" t="s">
        <v>29</v>
      </c>
      <c r="B26" s="1"/>
    </row>
    <row r="27" spans="1:67" x14ac:dyDescent="0.3">
      <c r="A27" s="1" t="s">
        <v>36</v>
      </c>
      <c r="B27" s="1"/>
    </row>
  </sheetData>
  <mergeCells count="16">
    <mergeCell ref="B3:B22"/>
    <mergeCell ref="C3:C22"/>
    <mergeCell ref="AO1:AQ1"/>
    <mergeCell ref="W1:Y1"/>
    <mergeCell ref="Z1:AB1"/>
    <mergeCell ref="AC1:AE1"/>
    <mergeCell ref="AF1:AH1"/>
    <mergeCell ref="AI1:AK1"/>
    <mergeCell ref="D3:D22"/>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2026-08-07T07:01:33Z</dcterms:modified>
</cp:coreProperties>
</file>