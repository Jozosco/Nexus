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AQ31" i="1" l="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29" i="1"/>
  <c r="AO6" i="1"/>
  <c r="AO14" i="1"/>
  <c r="AO22" i="1"/>
  <c r="AO30" i="1"/>
  <c r="AO31" i="1"/>
  <c r="AO8" i="1"/>
  <c r="AO16" i="1"/>
  <c r="AO24" i="1"/>
  <c r="AO9" i="1"/>
  <c r="AO17" i="1"/>
  <c r="AO25" i="1"/>
  <c r="AO19" i="1"/>
  <c r="AO23" i="1"/>
  <c r="AO3" i="1" l="1"/>
  <c r="AO4" i="1"/>
  <c r="AO12" i="1"/>
</calcChain>
</file>

<file path=xl/sharedStrings.xml><?xml version="1.0" encoding="utf-8"?>
<sst xmlns="http://schemas.openxmlformats.org/spreadsheetml/2006/main" count="93" uniqueCount="57">
  <si>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</si>
  <si>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</si>
  <si>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</si>
  <si>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</si>
  <si>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</si>
  <si>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</si>
  <si>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</si>
  <si>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</si>
  <si>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</si>
  <si>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</si>
  <si>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</si>
  <si>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</si>
  <si>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</si>
  <si>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</si>
  <si>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</si>
  <si>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</si>
  <si>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</si>
  <si>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</si>
  <si>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</si>
  <si>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</si>
  <si>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</si>
  <si>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United Arab Emirates</t>
  </si>
  <si>
    <t>Bahamas, The</t>
  </si>
  <si>
    <t>Belize</t>
  </si>
  <si>
    <t>Guatemala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</si>
  <si>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</si>
  <si>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</si>
  <si>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</si>
  <si>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</si>
  <si>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</si>
  <si>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</si>
  <si>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</si>
  <si>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</si>
  <si>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</si>
  <si>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</si>
  <si>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</si>
  <si>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</si>
  <si>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</si>
  <si>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</si>
  <si>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</si>
  <si>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New Zealand(*)</t>
  </si>
  <si>
    <t>1. Data Source: U.S. Census Bureau Trade Data</t>
  </si>
  <si>
    <t>4. Product Group : Harmonized</t>
  </si>
  <si>
    <t>Product</t>
    <phoneticPr fontId="18" type="noConversion"/>
  </si>
  <si>
    <t>Suriname</t>
  </si>
  <si>
    <t>Qatar</t>
  </si>
  <si>
    <t>SOY OIL HYDRGNTD</t>
    <phoneticPr fontId="18" type="noConversion"/>
  </si>
  <si>
    <t>Jordan</t>
  </si>
  <si>
    <t>Nicaragua</t>
  </si>
  <si>
    <t>Barbados</t>
  </si>
  <si>
    <t>El Salvador</t>
  </si>
  <si>
    <t>Guyana</t>
  </si>
  <si>
    <t>French Pacific Islands(*)</t>
  </si>
  <si>
    <t>Malta</t>
  </si>
  <si>
    <t>Indonesia</t>
  </si>
  <si>
    <t>Thailand</t>
  </si>
  <si>
    <t>Turks and Caicos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</si>
</sst>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31</v>
      </c>
      <c r="B2" s="2" t="s">
        <v>43</v>
      </c>
      <c r="C2" s="2" t="s">
        <v>13</v>
      </c>
      <c r="D2" s="2" t="s">
        <v>32</v>
      </c>
      <c r="E2" s="4" t="s">
        <v>14</v>
      </c>
      <c r="F2" s="2" t="s">
        <v>32</v>
      </c>
      <c r="G2" s="5" t="s">
        <v>15</v>
      </c>
      <c r="H2" s="2" t="s">
        <v>14</v>
      </c>
      <c r="I2" s="2" t="s">
        <v>32</v>
      </c>
      <c r="J2" s="5" t="s">
        <v>15</v>
      </c>
      <c r="K2" s="2" t="s">
        <v>14</v>
      </c>
      <c r="L2" s="2" t="s">
        <v>32</v>
      </c>
      <c r="M2" s="5" t="s">
        <v>15</v>
      </c>
      <c r="N2" s="2" t="s">
        <v>14</v>
      </c>
      <c r="O2" s="2" t="s">
        <v>32</v>
      </c>
      <c r="P2" s="5" t="s">
        <v>15</v>
      </c>
      <c r="Q2" s="2" t="s">
        <v>14</v>
      </c>
      <c r="R2" s="2" t="s">
        <v>32</v>
      </c>
      <c r="S2" s="5" t="s">
        <v>15</v>
      </c>
      <c r="T2" s="2" t="s">
        <v>14</v>
      </c>
      <c r="U2" s="2" t="s">
        <v>32</v>
      </c>
      <c r="V2" s="5" t="s">
        <v>15</v>
      </c>
      <c r="W2" s="2" t="s">
        <v>14</v>
      </c>
      <c r="X2" s="2" t="s">
        <v>32</v>
      </c>
      <c r="Y2" s="5" t="s">
        <v>15</v>
      </c>
      <c r="Z2" s="2" t="s">
        <v>14</v>
      </c>
      <c r="AA2" s="2" t="s">
        <v>32</v>
      </c>
      <c r="AB2" s="5" t="s">
        <v>15</v>
      </c>
      <c r="AC2" s="2" t="s">
        <v>14</v>
      </c>
      <c r="AD2" s="2" t="s">
        <v>32</v>
      </c>
      <c r="AE2" s="5" t="s">
        <v>15</v>
      </c>
      <c r="AF2" s="2" t="s">
        <v>14</v>
      </c>
      <c r="AG2" s="2" t="s">
        <v>32</v>
      </c>
      <c r="AH2" s="5" t="s">
        <v>15</v>
      </c>
      <c r="AI2" s="2" t="s">
        <v>14</v>
      </c>
      <c r="AJ2" s="2" t="s">
        <v>32</v>
      </c>
      <c r="AK2" s="5" t="s">
        <v>15</v>
      </c>
      <c r="AL2" s="2" t="s">
        <v>14</v>
      </c>
      <c r="AM2" s="2" t="s">
        <v>32</v>
      </c>
      <c r="AN2" s="5" t="s">
        <v>15</v>
      </c>
      <c r="AO2" s="2" t="s">
        <v>14</v>
      </c>
      <c r="AP2" s="2" t="s">
        <v>34</v>
      </c>
      <c r="AQ2" s="5" t="s">
        <v>15</v>
      </c>
    </row>
    <row r="3" spans="1:67" ht="15" customHeight="1" x14ac:dyDescent="0.3">
      <c r="A3" s="7" t="s">
        <v>16</v>
      </c>
      <c r="B3" s="19" t="s">
        <v>46</v>
      </c>
      <c r="C3" s="19" t="s">
        <v>17</v>
      </c>
      <c r="D3" s="19" t="s">
        <v>33</v>
      </c>
      <c r="E3" s="10">
        <f>F3/G3</f>
        <v>1316.5633802816906</v>
      </c>
      <c r="F3" s="10">
        <f>SUM(F4:F31)</f>
        <v>280428</v>
      </c>
      <c r="G3" s="11">
        <f>SUM(G4:G31)</f>
        <v>212.99999999999994</v>
      </c>
      <c r="H3" s="10">
        <f>I3/J3</f>
        <v>1265.1057957681694</v>
      </c>
      <c r="I3" s="10">
        <f>SUM(I4:I31)</f>
        <v>275034</v>
      </c>
      <c r="J3" s="11">
        <f>SUM(J4:J31)</f>
        <v>217.39999999999998</v>
      </c>
      <c r="K3" s="10">
        <f>L3/M3</f>
        <v>1278.3490937746255</v>
      </c>
      <c r="L3" s="10">
        <f>SUM(L4:L31)</f>
        <v>324445</v>
      </c>
      <c r="M3" s="11">
        <f>SUM(M4:M31)</f>
        <v>253.8</v>
      </c>
      <c r="N3" s="10">
        <f>O3/P3</f>
        <v>1254.5993646311333</v>
      </c>
      <c r="O3" s="10">
        <f>SUM(O4:O31)</f>
        <v>355428</v>
      </c>
      <c r="P3" s="11">
        <f>SUM(P4:P31)</f>
        <v>283.29999999999995</v>
      </c>
      <c r="Q3" s="10">
        <f>R3/S3</f>
        <v>1203.21609862219</v>
      </c>
      <c r="R3" s="10">
        <f>SUM(R4:R31)</f>
        <v>331847</v>
      </c>
      <c r="S3" s="11">
        <f>SUM(S4:S31)</f>
        <v>275.8</v>
      </c>
      <c r="T3" s="10">
        <f>U3/V3</f>
        <v>1175.6346381969158</v>
      </c>
      <c r="U3" s="10">
        <f>SUM(U4:U31)</f>
        <v>396424</v>
      </c>
      <c r="V3" s="11">
        <f>SUM(V4:V31)</f>
        <v>337.2</v>
      </c>
      <c r="W3" s="10">
        <f>X3/Y3</f>
        <v>1228.6905105278338</v>
      </c>
      <c r="X3" s="10">
        <f>SUM(X4:X31)</f>
        <v>425987</v>
      </c>
      <c r="Y3" s="11">
        <f>SUM(Y4:Y31)</f>
        <v>346.70000000000005</v>
      </c>
      <c r="Z3" s="10">
        <f>AA3/AB3</f>
        <v>1202.191846522782</v>
      </c>
      <c r="AA3" s="10">
        <f>SUM(AA4:AA31)</f>
        <v>250657</v>
      </c>
      <c r="AB3" s="11">
        <f>SUM(AB4:AB31)</f>
        <v>208.49999999999997</v>
      </c>
      <c r="AC3" s="10">
        <f>AD3/AE3</f>
        <v>1110.9787075084053</v>
      </c>
      <c r="AD3" s="10">
        <f>SUM(AD4:AD31)</f>
        <v>297409</v>
      </c>
      <c r="AE3" s="11">
        <f>SUM(AE4:AE31)</f>
        <v>267.69999999999993</v>
      </c>
      <c r="AF3" s="10">
        <f>AG3/AH3</f>
        <v>1164.1943844492441</v>
      </c>
      <c r="AG3" s="10">
        <f>SUM(AG4:AG31)</f>
        <v>269511</v>
      </c>
      <c r="AH3" s="11">
        <f>SUM(AH4:AH31)</f>
        <v>231.49999999999997</v>
      </c>
      <c r="AI3" s="10">
        <f>AJ3/AK3</f>
        <v>1248.7181507748885</v>
      </c>
      <c r="AJ3" s="10">
        <f>SUM(AJ4:AJ31)</f>
        <v>475387</v>
      </c>
      <c r="AK3" s="11">
        <f>SUM(AK4:AK31)</f>
        <v>380.7</v>
      </c>
      <c r="AL3" s="10">
        <f>AM3/AN3</f>
        <v>1232.863981976908</v>
      </c>
      <c r="AM3" s="10">
        <f>SUM(AM4:AM31)</f>
        <v>437790</v>
      </c>
      <c r="AN3" s="11">
        <f>SUM(AN4:AN31)</f>
        <v>355.09999999999997</v>
      </c>
      <c r="AO3" s="10">
        <f>AP3/AQ3</f>
        <v>1222.4009849586137</v>
      </c>
      <c r="AP3" s="10">
        <f>SUM(AP4:AP31)</f>
        <v>4120347</v>
      </c>
      <c r="AQ3" s="11">
        <f>SUM(AQ4:AQ31)</f>
        <v>3370.7000000000007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21</v>
      </c>
      <c r="B4" s="20"/>
      <c r="C4" s="20"/>
      <c r="D4" s="20"/>
      <c r="E4" s="3">
        <f t="shared" ref="E4:E11" si="0">F4/G4</f>
        <v>1775.7009345794393</v>
      </c>
      <c r="F4" s="3">
        <v>38000</v>
      </c>
      <c r="G4" s="6">
        <v>21.4</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t="e">
        <f t="shared" ref="T4:T11" si="5">U4/V4</f>
        <v>#DIV/0!</v>
      </c>
      <c r="U4" s="3">
        <v>0</v>
      </c>
      <c r="V4" s="6">
        <v>0</v>
      </c>
      <c r="W4" s="3">
        <f t="shared" ref="W4:W11" si="6">X4/Y4</f>
        <v>1471.4659685863874</v>
      </c>
      <c r="X4" s="3">
        <v>28105</v>
      </c>
      <c r="Y4" s="6">
        <v>19.100000000000001</v>
      </c>
      <c r="Z4" s="3" t="e">
        <f t="shared" ref="Z4:Z11" si="7">AA4/AB4</f>
        <v>#DIV/0!</v>
      </c>
      <c r="AA4" s="3">
        <v>0</v>
      </c>
      <c r="AB4" s="6">
        <v>0</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1176.9625668449198</v>
      </c>
      <c r="AM4" s="3">
        <v>110046</v>
      </c>
      <c r="AN4" s="6">
        <v>93.5</v>
      </c>
      <c r="AO4" s="3">
        <f t="shared" ref="AO4:AO31" si="12">AP4/AQ4</f>
        <v>1314.5597014925372</v>
      </c>
      <c r="AP4" s="3">
        <f t="shared" ref="AP4" si="13">SUM(F4,I4,L4,O4,R4,U4,X4,AA4,AD4,AG4,AJ4,AM4)</f>
        <v>176151</v>
      </c>
      <c r="AQ4" s="6">
        <f t="shared" ref="AQ4" si="14">SUM(G4,J4,M4,P4,S4,V4,Y4,AB4,AE4,AH4,AK4,AN4)</f>
        <v>134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20</v>
      </c>
      <c r="B5" s="20"/>
      <c r="C5" s="20"/>
      <c r="D5" s="20"/>
      <c r="E5" s="3">
        <f t="shared" si="0"/>
        <v>1153.9152542372881</v>
      </c>
      <c r="F5" s="3">
        <v>68081</v>
      </c>
      <c r="G5" s="6">
        <v>59</v>
      </c>
      <c r="H5" s="3">
        <f t="shared" si="1"/>
        <v>1138.9936102236422</v>
      </c>
      <c r="I5" s="3">
        <v>71301</v>
      </c>
      <c r="J5" s="6">
        <v>62.6</v>
      </c>
      <c r="K5" s="3">
        <f t="shared" si="2"/>
        <v>1113.6314847942756</v>
      </c>
      <c r="L5" s="3">
        <v>62252</v>
      </c>
      <c r="M5" s="6">
        <v>55.9</v>
      </c>
      <c r="N5" s="3">
        <f t="shared" si="3"/>
        <v>1139.2020725388602</v>
      </c>
      <c r="O5" s="3">
        <v>109933</v>
      </c>
      <c r="P5" s="6">
        <v>96.5</v>
      </c>
      <c r="Q5" s="3">
        <f t="shared" si="4"/>
        <v>1190</v>
      </c>
      <c r="R5" s="3">
        <v>70329</v>
      </c>
      <c r="S5" s="6">
        <v>59.1</v>
      </c>
      <c r="T5" s="3">
        <f t="shared" si="5"/>
        <v>1128.6909871244634</v>
      </c>
      <c r="U5" s="3">
        <v>52597</v>
      </c>
      <c r="V5" s="6">
        <v>46.6</v>
      </c>
      <c r="W5" s="3">
        <f t="shared" si="6"/>
        <v>1165.641791044776</v>
      </c>
      <c r="X5" s="3">
        <v>78098</v>
      </c>
      <c r="Y5" s="6">
        <v>67</v>
      </c>
      <c r="Z5" s="3">
        <f t="shared" si="7"/>
        <v>1086.6259168704157</v>
      </c>
      <c r="AA5" s="3">
        <v>44443</v>
      </c>
      <c r="AB5" s="6">
        <v>40.9</v>
      </c>
      <c r="AC5" s="3">
        <f t="shared" si="8"/>
        <v>1068.9533678756477</v>
      </c>
      <c r="AD5" s="3">
        <v>103154</v>
      </c>
      <c r="AE5" s="6">
        <v>96.5</v>
      </c>
      <c r="AF5" s="3">
        <f t="shared" si="9"/>
        <v>1093.6951501154736</v>
      </c>
      <c r="AG5" s="3">
        <v>47357</v>
      </c>
      <c r="AH5" s="6">
        <v>43.3</v>
      </c>
      <c r="AI5" s="3">
        <f t="shared" si="10"/>
        <v>1532.8630705394191</v>
      </c>
      <c r="AJ5" s="3">
        <v>110826</v>
      </c>
      <c r="AK5" s="6">
        <v>72.3</v>
      </c>
      <c r="AL5" s="3">
        <f t="shared" si="11"/>
        <v>1671.3428120063193</v>
      </c>
      <c r="AM5" s="3">
        <v>105796</v>
      </c>
      <c r="AN5" s="6">
        <v>63.3</v>
      </c>
      <c r="AO5" s="3">
        <f t="shared" si="12"/>
        <v>1211.2280471821757</v>
      </c>
      <c r="AP5" s="3">
        <f t="shared" ref="AP5:AP31" si="15">SUM(F5,I5,L5,O5,R5,U5,X5,AA5,AD5,AG5,AJ5,AM5)</f>
        <v>924167</v>
      </c>
      <c r="AQ5" s="6">
        <f t="shared" ref="AQ5:AQ31" si="16">SUM(G5,J5,M5,P5,S5,V5,Y5,AB5,AE5,AH5,AK5,AN5)</f>
        <v>762.99999999999989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25</v>
      </c>
      <c r="B6" s="20"/>
      <c r="C6" s="20"/>
      <c r="D6" s="20"/>
      <c r="E6" s="3">
        <f t="shared" si="0"/>
        <v>1233.421052631579</v>
      </c>
      <c r="F6" s="3">
        <v>9374</v>
      </c>
      <c r="G6" s="6">
        <v>7.6</v>
      </c>
      <c r="H6" s="3">
        <f t="shared" si="1"/>
        <v>3271.2244897959181</v>
      </c>
      <c r="I6" s="3">
        <v>16029</v>
      </c>
      <c r="J6" s="6">
        <v>4.9000000000000004</v>
      </c>
      <c r="K6" s="3">
        <f t="shared" si="2"/>
        <v>1201.7543859649122</v>
      </c>
      <c r="L6" s="3">
        <v>6850</v>
      </c>
      <c r="M6" s="6">
        <v>5.7</v>
      </c>
      <c r="N6" s="3">
        <f t="shared" si="3"/>
        <v>1182.7586206896551</v>
      </c>
      <c r="O6" s="3">
        <v>3430</v>
      </c>
      <c r="P6" s="6">
        <v>2.9</v>
      </c>
      <c r="Q6" s="3">
        <f t="shared" si="4"/>
        <v>1220.7368421052631</v>
      </c>
      <c r="R6" s="3">
        <v>11597</v>
      </c>
      <c r="S6" s="6">
        <v>9.5</v>
      </c>
      <c r="T6" s="3">
        <f t="shared" si="5"/>
        <v>1240.092936802974</v>
      </c>
      <c r="U6" s="3">
        <v>66717</v>
      </c>
      <c r="V6" s="6">
        <v>53.8</v>
      </c>
      <c r="W6" s="3">
        <f t="shared" si="6"/>
        <v>1120.344827586207</v>
      </c>
      <c r="X6" s="3">
        <v>3249</v>
      </c>
      <c r="Y6" s="6">
        <v>2.9</v>
      </c>
      <c r="Z6" s="3">
        <f t="shared" si="7"/>
        <v>1176.1324041811847</v>
      </c>
      <c r="AA6" s="3">
        <v>33755</v>
      </c>
      <c r="AB6" s="6">
        <v>28.7</v>
      </c>
      <c r="AC6" s="3">
        <f t="shared" si="8"/>
        <v>1139.1358024691358</v>
      </c>
      <c r="AD6" s="3">
        <v>18454</v>
      </c>
      <c r="AE6" s="6">
        <v>16.2</v>
      </c>
      <c r="AF6" s="3">
        <f t="shared" si="9"/>
        <v>1098.2397003745318</v>
      </c>
      <c r="AG6" s="3">
        <v>29323</v>
      </c>
      <c r="AH6" s="6">
        <v>26.7</v>
      </c>
      <c r="AI6" s="3" t="e">
        <f t="shared" si="10"/>
        <v>#DIV/0!</v>
      </c>
      <c r="AJ6" s="3">
        <v>0</v>
      </c>
      <c r="AK6" s="6">
        <v>0</v>
      </c>
      <c r="AL6" s="3">
        <f t="shared" si="11"/>
        <v>1146.7346938775509</v>
      </c>
      <c r="AM6" s="3">
        <v>44952</v>
      </c>
      <c r="AN6" s="6">
        <v>39.200000000000003</v>
      </c>
      <c r="AO6" s="3">
        <f t="shared" si="12"/>
        <v>1230.3382130237255</v>
      </c>
      <c r="AP6" s="3">
        <f t="shared" si="15"/>
        <v>243730</v>
      </c>
      <c r="AQ6" s="6">
        <f t="shared" si="16"/>
        <v>198.09999999999997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37</v>
      </c>
      <c r="B7" s="20"/>
      <c r="C7" s="20"/>
      <c r="D7" s="20"/>
      <c r="E7" s="3">
        <f t="shared" si="0"/>
        <v>1194.0559440559441</v>
      </c>
      <c r="F7" s="3">
        <v>17075</v>
      </c>
      <c r="G7" s="6">
        <v>14.3</v>
      </c>
      <c r="H7" s="3" t="e">
        <f t="shared" si="1"/>
        <v>#DIV/0!</v>
      </c>
      <c r="I7" s="3">
        <v>0</v>
      </c>
      <c r="J7" s="6">
        <v>0</v>
      </c>
      <c r="K7" s="3">
        <f t="shared" si="2"/>
        <v>1156.4731182795699</v>
      </c>
      <c r="L7" s="3">
        <v>53776</v>
      </c>
      <c r="M7" s="6">
        <v>46.5</v>
      </c>
      <c r="N7" s="3" t="e">
        <f t="shared" si="3"/>
        <v>#DIV/0!</v>
      </c>
      <c r="O7" s="3">
        <v>0</v>
      </c>
      <c r="P7" s="6">
        <v>0</v>
      </c>
      <c r="Q7" s="3">
        <f t="shared" si="4"/>
        <v>1298.4824902723735</v>
      </c>
      <c r="R7" s="3">
        <v>100113</v>
      </c>
      <c r="S7" s="6">
        <v>77.099999999999994</v>
      </c>
      <c r="T7" s="3">
        <f t="shared" si="5"/>
        <v>1232.9452054794522</v>
      </c>
      <c r="U7" s="3">
        <v>54003</v>
      </c>
      <c r="V7" s="6">
        <v>43.8</v>
      </c>
      <c r="W7" s="3">
        <f t="shared" si="6"/>
        <v>1340.4956268221576</v>
      </c>
      <c r="X7" s="3">
        <v>45979</v>
      </c>
      <c r="Y7" s="6">
        <v>34.299999999999997</v>
      </c>
      <c r="Z7" s="3">
        <f t="shared" si="7"/>
        <v>1248.825857519789</v>
      </c>
      <c r="AA7" s="3">
        <v>94661</v>
      </c>
      <c r="AB7" s="6">
        <v>75.8</v>
      </c>
      <c r="AC7" s="3">
        <f t="shared" si="8"/>
        <v>1374.5029239766081</v>
      </c>
      <c r="AD7" s="3">
        <v>23504</v>
      </c>
      <c r="AE7" s="6">
        <v>17.100000000000001</v>
      </c>
      <c r="AF7" s="3">
        <f t="shared" si="9"/>
        <v>1240.8376963350784</v>
      </c>
      <c r="AG7" s="3">
        <v>23700</v>
      </c>
      <c r="AH7" s="6">
        <v>19.100000000000001</v>
      </c>
      <c r="AI7" s="3">
        <f t="shared" si="10"/>
        <v>1191.4970059880241</v>
      </c>
      <c r="AJ7" s="3">
        <v>19898</v>
      </c>
      <c r="AK7" s="6">
        <v>16.7</v>
      </c>
      <c r="AL7" s="3">
        <f t="shared" si="11"/>
        <v>1243.8650306748466</v>
      </c>
      <c r="AM7" s="3">
        <v>40550</v>
      </c>
      <c r="AN7" s="6">
        <v>32.6</v>
      </c>
      <c r="AO7" s="3">
        <f t="shared" si="12"/>
        <v>1254.3307712695466</v>
      </c>
      <c r="AP7" s="3">
        <f t="shared" si="15"/>
        <v>473259</v>
      </c>
      <c r="AQ7" s="6">
        <f t="shared" si="16"/>
        <v>377.30000000000007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24</v>
      </c>
      <c r="B8" s="20"/>
      <c r="C8" s="20"/>
      <c r="D8" s="20"/>
      <c r="E8" s="3">
        <f t="shared" si="0"/>
        <v>1226.172839506173</v>
      </c>
      <c r="F8" s="3">
        <v>19864</v>
      </c>
      <c r="G8" s="6">
        <v>16.2</v>
      </c>
      <c r="H8" s="3" t="e">
        <f t="shared" si="1"/>
        <v>#DIV/0!</v>
      </c>
      <c r="I8" s="3">
        <v>0</v>
      </c>
      <c r="J8" s="6">
        <v>0</v>
      </c>
      <c r="K8" s="3">
        <f t="shared" si="2"/>
        <v>1212.1904761904761</v>
      </c>
      <c r="L8" s="3">
        <v>12728</v>
      </c>
      <c r="M8" s="6">
        <v>10.5</v>
      </c>
      <c r="N8" s="3">
        <f t="shared" si="3"/>
        <v>1199.6491228070174</v>
      </c>
      <c r="O8" s="3">
        <v>13676</v>
      </c>
      <c r="P8" s="6">
        <v>11.4</v>
      </c>
      <c r="Q8" s="3">
        <f t="shared" si="4"/>
        <v>1220</v>
      </c>
      <c r="R8" s="3">
        <v>6954</v>
      </c>
      <c r="S8" s="6">
        <v>5.7</v>
      </c>
      <c r="T8" s="3">
        <f t="shared" si="5"/>
        <v>1166.7368421052631</v>
      </c>
      <c r="U8" s="3">
        <v>11084</v>
      </c>
      <c r="V8" s="6">
        <v>9.5</v>
      </c>
      <c r="W8" s="3">
        <f t="shared" si="6"/>
        <v>1244.3609022556391</v>
      </c>
      <c r="X8" s="3">
        <v>16550</v>
      </c>
      <c r="Y8" s="6">
        <v>13.3</v>
      </c>
      <c r="Z8" s="3">
        <f t="shared" si="7"/>
        <v>1164.3809523809523</v>
      </c>
      <c r="AA8" s="3">
        <v>12226</v>
      </c>
      <c r="AB8" s="6">
        <v>10.5</v>
      </c>
      <c r="AC8" s="3">
        <f t="shared" si="8"/>
        <v>1126.5116279069769</v>
      </c>
      <c r="AD8" s="3">
        <v>9688</v>
      </c>
      <c r="AE8" s="6">
        <v>8.6</v>
      </c>
      <c r="AF8" s="3">
        <f t="shared" si="9"/>
        <v>1086.2903225806451</v>
      </c>
      <c r="AG8" s="3">
        <v>26940</v>
      </c>
      <c r="AH8" s="6">
        <v>24.8</v>
      </c>
      <c r="AI8" s="3">
        <f t="shared" si="10"/>
        <v>1058.267716535433</v>
      </c>
      <c r="AJ8" s="3">
        <v>40320</v>
      </c>
      <c r="AK8" s="6">
        <v>38.1</v>
      </c>
      <c r="AL8" s="3">
        <f t="shared" si="11"/>
        <v>1092.6573426573425</v>
      </c>
      <c r="AM8" s="3">
        <v>31250</v>
      </c>
      <c r="AN8" s="6">
        <v>28.6</v>
      </c>
      <c r="AO8" s="3">
        <f t="shared" si="12"/>
        <v>1135.8916478555304</v>
      </c>
      <c r="AP8" s="3">
        <f t="shared" si="15"/>
        <v>201280</v>
      </c>
      <c r="AQ8" s="6">
        <f t="shared" si="16"/>
        <v>177.2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51</v>
      </c>
      <c r="B9" s="20"/>
      <c r="C9" s="20"/>
      <c r="D9" s="20"/>
      <c r="E9" s="3" t="e">
        <f t="shared" si="0"/>
        <v>#DIV/0!</v>
      </c>
      <c r="F9" s="3">
        <v>0</v>
      </c>
      <c r="G9" s="6">
        <v>0</v>
      </c>
      <c r="H9" s="3">
        <f t="shared" si="1"/>
        <v>1182.5</v>
      </c>
      <c r="I9" s="3">
        <v>28380</v>
      </c>
      <c r="J9" s="6">
        <v>24</v>
      </c>
      <c r="K9" s="3">
        <f t="shared" si="2"/>
        <v>1123.8</v>
      </c>
      <c r="L9" s="3">
        <v>22476</v>
      </c>
      <c r="M9" s="6">
        <v>20</v>
      </c>
      <c r="N9" s="3">
        <f t="shared" si="3"/>
        <v>1123.8</v>
      </c>
      <c r="O9" s="3">
        <v>22476</v>
      </c>
      <c r="P9" s="6">
        <v>20</v>
      </c>
      <c r="Q9" s="3" t="e">
        <f t="shared" si="4"/>
        <v>#DIV/0!</v>
      </c>
      <c r="R9" s="3">
        <v>0</v>
      </c>
      <c r="S9" s="6">
        <v>0</v>
      </c>
      <c r="T9" s="3" t="e">
        <f t="shared" si="5"/>
        <v>#DIV/0!</v>
      </c>
      <c r="U9" s="3">
        <v>0</v>
      </c>
      <c r="V9" s="6">
        <v>0</v>
      </c>
      <c r="W9" s="3">
        <f t="shared" si="6"/>
        <v>1198.1220657276995</v>
      </c>
      <c r="X9" s="3">
        <v>25520</v>
      </c>
      <c r="Y9" s="6">
        <v>21.3</v>
      </c>
      <c r="Z9" s="3" t="e">
        <f t="shared" si="7"/>
        <v>#DIV/0!</v>
      </c>
      <c r="AA9" s="3">
        <v>0</v>
      </c>
      <c r="AB9" s="6">
        <v>0</v>
      </c>
      <c r="AC9" s="3" t="e">
        <f t="shared" si="8"/>
        <v>#DIV/0!</v>
      </c>
      <c r="AD9" s="3">
        <v>0</v>
      </c>
      <c r="AE9" s="6">
        <v>0</v>
      </c>
      <c r="AF9" s="3" t="e">
        <f t="shared" si="9"/>
        <v>#DIV/0!</v>
      </c>
      <c r="AG9" s="3">
        <v>0</v>
      </c>
      <c r="AH9" s="6">
        <v>0</v>
      </c>
      <c r="AI9" s="3">
        <f t="shared" si="10"/>
        <v>1157.5119617224882</v>
      </c>
      <c r="AJ9" s="3">
        <v>24192</v>
      </c>
      <c r="AK9" s="6">
        <v>20.9</v>
      </c>
      <c r="AL9" s="3">
        <f t="shared" si="11"/>
        <v>1178.9473684210527</v>
      </c>
      <c r="AM9" s="3">
        <v>24640</v>
      </c>
      <c r="AN9" s="6">
        <v>20.9</v>
      </c>
      <c r="AO9" s="3">
        <f t="shared" si="12"/>
        <v>1161.9512195121952</v>
      </c>
      <c r="AP9" s="3">
        <f t="shared" si="15"/>
        <v>147684</v>
      </c>
      <c r="AQ9" s="6">
        <f t="shared" si="16"/>
        <v>127.1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53</v>
      </c>
      <c r="B10" s="20"/>
      <c r="C10" s="20"/>
      <c r="D10" s="20"/>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f t="shared" si="11"/>
        <v>969.13793103448279</v>
      </c>
      <c r="AM10" s="3">
        <v>22484</v>
      </c>
      <c r="AN10" s="6">
        <v>23.2</v>
      </c>
      <c r="AO10" s="3">
        <f t="shared" si="12"/>
        <v>969.13793103448279</v>
      </c>
      <c r="AP10" s="3">
        <f t="shared" si="15"/>
        <v>22484</v>
      </c>
      <c r="AQ10" s="6">
        <f t="shared" si="16"/>
        <v>23.2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48</v>
      </c>
      <c r="B11" s="20"/>
      <c r="C11" s="20"/>
      <c r="D11" s="20"/>
      <c r="E11" s="3" t="e">
        <f t="shared" si="0"/>
        <v>#DIV/0!</v>
      </c>
      <c r="F11" s="3">
        <v>0</v>
      </c>
      <c r="G11" s="6">
        <v>0</v>
      </c>
      <c r="H11" s="3">
        <f t="shared" si="1"/>
        <v>1444.3478260869567</v>
      </c>
      <c r="I11" s="3">
        <v>3322</v>
      </c>
      <c r="J11" s="6">
        <v>2.2999999999999998</v>
      </c>
      <c r="K11" s="3" t="e">
        <f t="shared" si="2"/>
        <v>#DIV/0!</v>
      </c>
      <c r="L11" s="3">
        <v>0</v>
      </c>
      <c r="M11" s="6">
        <v>0</v>
      </c>
      <c r="N11" s="3">
        <f t="shared" si="3"/>
        <v>1457.7777777777778</v>
      </c>
      <c r="O11" s="3">
        <v>2624</v>
      </c>
      <c r="P11" s="6">
        <v>1.8</v>
      </c>
      <c r="Q11" s="3" t="e">
        <f t="shared" si="4"/>
        <v>#DIV/0!</v>
      </c>
      <c r="R11" s="3">
        <v>0</v>
      </c>
      <c r="S11" s="6">
        <v>0</v>
      </c>
      <c r="T11" s="3" t="e">
        <f t="shared" si="5"/>
        <v>#DIV/0!</v>
      </c>
      <c r="U11" s="3">
        <v>0</v>
      </c>
      <c r="V11" s="6">
        <v>0</v>
      </c>
      <c r="W11" s="3">
        <f t="shared" si="6"/>
        <v>1252.421052631579</v>
      </c>
      <c r="X11" s="3">
        <v>23796</v>
      </c>
      <c r="Y11" s="6">
        <v>19</v>
      </c>
      <c r="Z11" s="3" t="e">
        <f t="shared" si="7"/>
        <v>#DIV/0!</v>
      </c>
      <c r="AA11" s="3">
        <v>0</v>
      </c>
      <c r="AB11" s="6">
        <v>0</v>
      </c>
      <c r="AC11" s="3">
        <f t="shared" si="8"/>
        <v>1184.2105263157894</v>
      </c>
      <c r="AD11" s="3">
        <v>6750</v>
      </c>
      <c r="AE11" s="6">
        <v>5.7</v>
      </c>
      <c r="AF11" s="3" t="e">
        <f t="shared" si="9"/>
        <v>#DIV/0!</v>
      </c>
      <c r="AG11" s="3">
        <v>0</v>
      </c>
      <c r="AH11" s="6">
        <v>0</v>
      </c>
      <c r="AI11" s="3">
        <f t="shared" si="10"/>
        <v>1179.6875</v>
      </c>
      <c r="AJ11" s="3">
        <v>30200</v>
      </c>
      <c r="AK11" s="6">
        <v>25.6</v>
      </c>
      <c r="AL11" s="3">
        <f t="shared" si="11"/>
        <v>1180.421052631579</v>
      </c>
      <c r="AM11" s="3">
        <v>22428</v>
      </c>
      <c r="AN11" s="6">
        <v>19</v>
      </c>
      <c r="AO11" s="3">
        <f t="shared" si="12"/>
        <v>1214.1689373297002</v>
      </c>
      <c r="AP11" s="3">
        <f t="shared" si="15"/>
        <v>89120</v>
      </c>
      <c r="AQ11" s="6">
        <f t="shared" si="16"/>
        <v>73.400000000000006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36</v>
      </c>
      <c r="B12" s="20"/>
      <c r="C12" s="20"/>
      <c r="D12" s="20"/>
      <c r="E12" s="3" t="e">
        <f>F12/G12</f>
        <v>#DIV/0!</v>
      </c>
      <c r="F12" s="3">
        <v>0</v>
      </c>
      <c r="G12" s="6">
        <v>0</v>
      </c>
      <c r="H12" s="3" t="e">
        <f>I12/J12</f>
        <v>#DIV/0!</v>
      </c>
      <c r="I12" s="3">
        <v>0</v>
      </c>
      <c r="J12" s="6">
        <v>0</v>
      </c>
      <c r="K12" s="3">
        <f>L12/M12</f>
        <v>1214.9532710280375</v>
      </c>
      <c r="L12" s="3">
        <v>26000</v>
      </c>
      <c r="M12" s="6">
        <v>21.4</v>
      </c>
      <c r="N12" s="3">
        <f>O12/P12</f>
        <v>1032.0689655172414</v>
      </c>
      <c r="O12" s="3">
        <v>23944</v>
      </c>
      <c r="P12" s="6">
        <v>23.2</v>
      </c>
      <c r="Q12" s="3">
        <f>R12/S12</f>
        <v>1019.4827586206897</v>
      </c>
      <c r="R12" s="3">
        <v>47304</v>
      </c>
      <c r="S12" s="6">
        <v>46.4</v>
      </c>
      <c r="T12" s="3">
        <f>U12/V12</f>
        <v>1006.2446043165468</v>
      </c>
      <c r="U12" s="3">
        <v>69934</v>
      </c>
      <c r="V12" s="6">
        <v>69.5</v>
      </c>
      <c r="W12" s="3">
        <f>X12/Y12</f>
        <v>1006.8965517241379</v>
      </c>
      <c r="X12" s="3">
        <v>23360</v>
      </c>
      <c r="Y12" s="6">
        <v>23.2</v>
      </c>
      <c r="Z12" s="3" t="e">
        <f>AA12/AB12</f>
        <v>#DIV/0!</v>
      </c>
      <c r="AA12" s="3">
        <v>0</v>
      </c>
      <c r="AB12" s="6">
        <v>0</v>
      </c>
      <c r="AC12" s="3">
        <f>AD12/AE12</f>
        <v>981.72413793103453</v>
      </c>
      <c r="AD12" s="3">
        <v>22776</v>
      </c>
      <c r="AE12" s="6">
        <v>23.2</v>
      </c>
      <c r="AF12" s="3">
        <f>AG12/AH12</f>
        <v>1051.2068965517242</v>
      </c>
      <c r="AG12" s="3">
        <v>48776</v>
      </c>
      <c r="AH12" s="6">
        <v>46.4</v>
      </c>
      <c r="AI12" s="3">
        <f>AJ12/AK12</f>
        <v>1099.1379310344828</v>
      </c>
      <c r="AJ12" s="3">
        <v>51000</v>
      </c>
      <c r="AK12" s="6">
        <v>46.4</v>
      </c>
      <c r="AL12" s="3">
        <f>AM12/AN12</f>
        <v>946.4655172413793</v>
      </c>
      <c r="AM12" s="3">
        <v>21958</v>
      </c>
      <c r="AN12" s="6">
        <v>23.2</v>
      </c>
      <c r="AO12" s="3">
        <f t="shared" si="12"/>
        <v>1037.6339423970271</v>
      </c>
      <c r="AP12" s="3">
        <f t="shared" si="15"/>
        <v>335052</v>
      </c>
      <c r="AQ12" s="6">
        <f t="shared" si="16"/>
        <v>322.89999999999998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35</v>
      </c>
      <c r="B13" s="20"/>
      <c r="C13" s="20"/>
      <c r="D13" s="20"/>
      <c r="E13" s="3">
        <f t="shared" ref="E13:E31" si="17">F13/G13</f>
        <v>2285.7142857142858</v>
      </c>
      <c r="F13" s="3">
        <v>27200</v>
      </c>
      <c r="G13" s="6">
        <v>11.9</v>
      </c>
      <c r="H13" s="3">
        <f t="shared" ref="H13:H31" si="18">I13/J13</f>
        <v>1586.4652567975829</v>
      </c>
      <c r="I13" s="3">
        <v>52512</v>
      </c>
      <c r="J13" s="6">
        <v>33.1</v>
      </c>
      <c r="K13" s="3">
        <f t="shared" ref="K13:K31" si="19">L13/M13</f>
        <v>3290.9160305343512</v>
      </c>
      <c r="L13" s="3">
        <v>43111</v>
      </c>
      <c r="M13" s="6">
        <v>13.1</v>
      </c>
      <c r="N13" s="3">
        <f t="shared" ref="N13:N31" si="20">O13/P13</f>
        <v>2266.3929618768329</v>
      </c>
      <c r="O13" s="3">
        <v>77284</v>
      </c>
      <c r="P13" s="6">
        <v>34.1</v>
      </c>
      <c r="Q13" s="3">
        <f t="shared" ref="Q13:Q31" si="21">R13/S13</f>
        <v>1246.8965517241379</v>
      </c>
      <c r="R13" s="3">
        <v>3616</v>
      </c>
      <c r="S13" s="6">
        <v>2.9</v>
      </c>
      <c r="T13" s="3">
        <f t="shared" ref="T13:T31" si="22">U13/V13</f>
        <v>1602.6114649681529</v>
      </c>
      <c r="U13" s="3">
        <v>50322</v>
      </c>
      <c r="V13" s="6">
        <v>31.4</v>
      </c>
      <c r="W13" s="3">
        <f t="shared" ref="W13:W31" si="23">X13/Y13</f>
        <v>1881.7964071856288</v>
      </c>
      <c r="X13" s="3">
        <v>31426</v>
      </c>
      <c r="Y13" s="6">
        <v>16.7</v>
      </c>
      <c r="Z13" s="3">
        <f t="shared" ref="Z13:Z31" si="24">AA13/AB13</f>
        <v>1446.0360360360362</v>
      </c>
      <c r="AA13" s="3">
        <v>16051</v>
      </c>
      <c r="AB13" s="6">
        <v>11.1</v>
      </c>
      <c r="AC13" s="3">
        <f t="shared" ref="AC13:AC31" si="25">AD13/AE13</f>
        <v>1135.2631578947369</v>
      </c>
      <c r="AD13" s="3">
        <v>6471</v>
      </c>
      <c r="AE13" s="6">
        <v>5.7</v>
      </c>
      <c r="AF13" s="3">
        <f t="shared" ref="AF13:AF31" si="26">AG13/AH13</f>
        <v>1462.8395061728395</v>
      </c>
      <c r="AG13" s="3">
        <v>11849</v>
      </c>
      <c r="AH13" s="6">
        <v>8.1</v>
      </c>
      <c r="AI13" s="3">
        <f t="shared" ref="AI13:AI31" si="27">AJ13/AK13</f>
        <v>8687.7777777777774</v>
      </c>
      <c r="AJ13" s="3">
        <v>7819</v>
      </c>
      <c r="AK13" s="6">
        <v>0.9</v>
      </c>
      <c r="AL13" s="3">
        <f t="shared" ref="AL13:AL31" si="28">AM13/AN13</f>
        <v>1175.8333333333335</v>
      </c>
      <c r="AM13" s="3">
        <v>5644</v>
      </c>
      <c r="AN13" s="6">
        <v>4.8</v>
      </c>
      <c r="AO13" s="3">
        <f t="shared" si="12"/>
        <v>1917.7502876869967</v>
      </c>
      <c r="AP13" s="3">
        <f t="shared" si="15"/>
        <v>333305</v>
      </c>
      <c r="AQ13" s="6">
        <f t="shared" si="16"/>
        <v>173.79999999999998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39</v>
      </c>
      <c r="B14" s="20"/>
      <c r="C14" s="20"/>
      <c r="D14" s="20"/>
      <c r="E14" s="3">
        <f t="shared" si="17"/>
        <v>1276.9230769230769</v>
      </c>
      <c r="F14" s="3">
        <v>3320</v>
      </c>
      <c r="G14" s="6">
        <v>2.6</v>
      </c>
      <c r="H14" s="3" t="e">
        <f t="shared" si="18"/>
        <v>#DIV/0!</v>
      </c>
      <c r="I14" s="3">
        <v>0</v>
      </c>
      <c r="J14" s="6">
        <v>0</v>
      </c>
      <c r="K14" s="3" t="e">
        <f t="shared" si="19"/>
        <v>#DIV/0!</v>
      </c>
      <c r="L14" s="3">
        <v>0</v>
      </c>
      <c r="M14" s="6">
        <v>0</v>
      </c>
      <c r="N14" s="3" t="e">
        <f t="shared" si="20"/>
        <v>#DIV/0!</v>
      </c>
      <c r="O14" s="3">
        <v>0</v>
      </c>
      <c r="P14" s="6">
        <v>0</v>
      </c>
      <c r="Q14" s="3">
        <f t="shared" si="21"/>
        <v>1196.1538461538462</v>
      </c>
      <c r="R14" s="3">
        <v>3110</v>
      </c>
      <c r="S14" s="6">
        <v>2.6</v>
      </c>
      <c r="T14" s="3" t="e">
        <f t="shared" si="22"/>
        <v>#DIV/0!</v>
      </c>
      <c r="U14" s="3">
        <v>0</v>
      </c>
      <c r="V14" s="6">
        <v>0</v>
      </c>
      <c r="W14" s="3" t="e">
        <f t="shared" si="23"/>
        <v>#DIV/0!</v>
      </c>
      <c r="X14" s="3">
        <v>0</v>
      </c>
      <c r="Y14" s="6">
        <v>0</v>
      </c>
      <c r="Z14" s="3">
        <f t="shared" si="24"/>
        <v>1316.3157894736842</v>
      </c>
      <c r="AA14" s="3">
        <v>2501</v>
      </c>
      <c r="AB14" s="6">
        <v>1.9</v>
      </c>
      <c r="AC14" s="3" t="e">
        <f t="shared" si="25"/>
        <v>#DIV/0!</v>
      </c>
      <c r="AD14" s="3">
        <v>0</v>
      </c>
      <c r="AE14" s="6">
        <v>0</v>
      </c>
      <c r="AF14" s="3">
        <f t="shared" si="26"/>
        <v>1144.75</v>
      </c>
      <c r="AG14" s="3">
        <v>4579</v>
      </c>
      <c r="AH14" s="6">
        <v>4</v>
      </c>
      <c r="AI14" s="3">
        <f t="shared" si="27"/>
        <v>1194.5</v>
      </c>
      <c r="AJ14" s="3">
        <v>4778</v>
      </c>
      <c r="AK14" s="6">
        <v>4</v>
      </c>
      <c r="AL14" s="3">
        <f t="shared" si="28"/>
        <v>1171</v>
      </c>
      <c r="AM14" s="3">
        <v>4684</v>
      </c>
      <c r="AN14" s="6">
        <v>4</v>
      </c>
      <c r="AO14" s="3">
        <f t="shared" si="12"/>
        <v>1202.7225130890051</v>
      </c>
      <c r="AP14" s="3">
        <f t="shared" si="15"/>
        <v>22972</v>
      </c>
      <c r="AQ14" s="6">
        <f t="shared" si="16"/>
        <v>19.100000000000001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19</v>
      </c>
      <c r="B15" s="20"/>
      <c r="C15" s="20"/>
      <c r="D15" s="20"/>
      <c r="E15" s="3" t="e">
        <f t="shared" si="17"/>
        <v>#DIV/0!</v>
      </c>
      <c r="F15" s="3">
        <v>0</v>
      </c>
      <c r="G15" s="6">
        <v>0</v>
      </c>
      <c r="H15" s="3" t="e">
        <f t="shared" si="18"/>
        <v>#DIV/0!</v>
      </c>
      <c r="I15" s="3">
        <v>0</v>
      </c>
      <c r="J15" s="6">
        <v>0</v>
      </c>
      <c r="K15" s="3" t="e">
        <f t="shared" si="19"/>
        <v>#DIV/0!</v>
      </c>
      <c r="L15" s="3">
        <v>0</v>
      </c>
      <c r="M15" s="6">
        <v>0</v>
      </c>
      <c r="N15" s="3" t="e">
        <f t="shared" si="20"/>
        <v>#DIV/0!</v>
      </c>
      <c r="O15" s="3">
        <v>0</v>
      </c>
      <c r="P15" s="6">
        <v>0</v>
      </c>
      <c r="Q15" s="3" t="e">
        <f t="shared" si="21"/>
        <v>#DIV/0!</v>
      </c>
      <c r="R15" s="3">
        <v>0</v>
      </c>
      <c r="S15" s="6">
        <v>0</v>
      </c>
      <c r="T15" s="3" t="e">
        <f t="shared" si="22"/>
        <v>#DIV/0!</v>
      </c>
      <c r="U15" s="3">
        <v>0</v>
      </c>
      <c r="V15" s="6">
        <v>0</v>
      </c>
      <c r="W15" s="3">
        <f t="shared" si="23"/>
        <v>1182.4137931034484</v>
      </c>
      <c r="X15" s="3">
        <v>3429</v>
      </c>
      <c r="Y15" s="6">
        <v>2.9</v>
      </c>
      <c r="Z15" s="3">
        <f t="shared" si="24"/>
        <v>1305.7142857142858</v>
      </c>
      <c r="AA15" s="3">
        <v>8226</v>
      </c>
      <c r="AB15" s="6">
        <v>6.3</v>
      </c>
      <c r="AC15" s="3">
        <f t="shared" si="25"/>
        <v>1151.7241379310346</v>
      </c>
      <c r="AD15" s="3">
        <v>10020</v>
      </c>
      <c r="AE15" s="6">
        <v>8.6999999999999993</v>
      </c>
      <c r="AF15" s="3">
        <f t="shared" si="26"/>
        <v>1218.4375</v>
      </c>
      <c r="AG15" s="3">
        <v>3899</v>
      </c>
      <c r="AH15" s="6">
        <v>3.2</v>
      </c>
      <c r="AI15" s="3">
        <f t="shared" si="27"/>
        <v>1227.9310344827586</v>
      </c>
      <c r="AJ15" s="3">
        <v>3561</v>
      </c>
      <c r="AK15" s="6">
        <v>2.9</v>
      </c>
      <c r="AL15" s="3">
        <f t="shared" si="28"/>
        <v>1199.2857142857144</v>
      </c>
      <c r="AM15" s="3">
        <v>3358</v>
      </c>
      <c r="AN15" s="6">
        <v>2.8</v>
      </c>
      <c r="AO15" s="3">
        <f t="shared" si="12"/>
        <v>1212.4253731343285</v>
      </c>
      <c r="AP15" s="3">
        <f t="shared" si="15"/>
        <v>32493</v>
      </c>
      <c r="AQ15" s="6">
        <f t="shared" si="16"/>
        <v>26.799999999999997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49</v>
      </c>
      <c r="B16" s="20"/>
      <c r="C16" s="20"/>
      <c r="D16" s="20"/>
      <c r="E16" s="3" t="e">
        <f t="shared" si="17"/>
        <v>#DIV/0!</v>
      </c>
      <c r="F16" s="3">
        <v>0</v>
      </c>
      <c r="G16" s="6">
        <v>0</v>
      </c>
      <c r="H16" s="3" t="e">
        <f t="shared" si="18"/>
        <v>#DIV/0!</v>
      </c>
      <c r="I16" s="3">
        <v>0</v>
      </c>
      <c r="J16" s="6">
        <v>0</v>
      </c>
      <c r="K16" s="3">
        <f t="shared" si="19"/>
        <v>1764.5454545454547</v>
      </c>
      <c r="L16" s="3">
        <v>5823</v>
      </c>
      <c r="M16" s="6">
        <v>3.3</v>
      </c>
      <c r="N16" s="3" t="e">
        <f t="shared" si="20"/>
        <v>#DIV/0!</v>
      </c>
      <c r="O16" s="3">
        <v>0</v>
      </c>
      <c r="P16" s="6">
        <v>0</v>
      </c>
      <c r="Q16" s="3">
        <f t="shared" si="21"/>
        <v>1933.3333333333335</v>
      </c>
      <c r="R16" s="3">
        <v>4640</v>
      </c>
      <c r="S16" s="6">
        <v>2.4</v>
      </c>
      <c r="T16" s="3" t="e">
        <f t="shared" si="22"/>
        <v>#DIV/0!</v>
      </c>
      <c r="U16" s="3">
        <v>0</v>
      </c>
      <c r="V16" s="6">
        <v>0</v>
      </c>
      <c r="W16" s="3">
        <f t="shared" si="23"/>
        <v>1847.5609756097563</v>
      </c>
      <c r="X16" s="3">
        <v>7575</v>
      </c>
      <c r="Y16" s="6">
        <v>4.0999999999999996</v>
      </c>
      <c r="Z16" s="3" t="e">
        <f t="shared" si="24"/>
        <v>#DIV/0!</v>
      </c>
      <c r="AA16" s="3">
        <v>0</v>
      </c>
      <c r="AB16" s="6">
        <v>0</v>
      </c>
      <c r="AC16" s="3" t="e">
        <f t="shared" si="25"/>
        <v>#DIV/0!</v>
      </c>
      <c r="AD16" s="3">
        <v>0</v>
      </c>
      <c r="AE16" s="6">
        <v>0</v>
      </c>
      <c r="AF16" s="3" t="e">
        <f t="shared" si="26"/>
        <v>#DIV/0!</v>
      </c>
      <c r="AG16" s="3">
        <v>0</v>
      </c>
      <c r="AH16" s="6">
        <v>0</v>
      </c>
      <c r="AI16" s="3" t="e">
        <f t="shared" si="27"/>
        <v>#DIV/0!</v>
      </c>
      <c r="AJ16" s="3">
        <v>0</v>
      </c>
      <c r="AK16" s="6">
        <v>0</v>
      </c>
      <c r="AL16" s="3" t="e">
        <f t="shared" si="28"/>
        <v>#DIV/0!</v>
      </c>
      <c r="AM16" s="3">
        <v>0</v>
      </c>
      <c r="AN16" s="6">
        <v>0</v>
      </c>
      <c r="AO16" s="3">
        <f t="shared" si="12"/>
        <v>1840.6122448979593</v>
      </c>
      <c r="AP16" s="3">
        <f t="shared" si="15"/>
        <v>18038</v>
      </c>
      <c r="AQ16" s="6">
        <f t="shared" si="16"/>
        <v>9.7999999999999989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22</v>
      </c>
      <c r="B17" s="20"/>
      <c r="C17" s="20"/>
      <c r="D17" s="20"/>
      <c r="E17" s="3">
        <f t="shared" si="17"/>
        <v>1157.1900826446281</v>
      </c>
      <c r="F17" s="3">
        <v>28004</v>
      </c>
      <c r="G17" s="6">
        <v>24.2</v>
      </c>
      <c r="H17" s="3" t="e">
        <f t="shared" si="18"/>
        <v>#DIV/0!</v>
      </c>
      <c r="I17" s="3">
        <v>0</v>
      </c>
      <c r="J17" s="6">
        <v>0</v>
      </c>
      <c r="K17" s="3" t="e">
        <f t="shared" si="19"/>
        <v>#DIV/0!</v>
      </c>
      <c r="L17" s="3">
        <v>0</v>
      </c>
      <c r="M17" s="6">
        <v>0</v>
      </c>
      <c r="N17" s="3" t="e">
        <f t="shared" si="20"/>
        <v>#DIV/0!</v>
      </c>
      <c r="O17" s="3">
        <v>0</v>
      </c>
      <c r="P17" s="6">
        <v>0</v>
      </c>
      <c r="Q17" s="3">
        <f t="shared" si="21"/>
        <v>1117.0247933884298</v>
      </c>
      <c r="R17" s="3">
        <v>13516</v>
      </c>
      <c r="S17" s="6">
        <v>12.1</v>
      </c>
      <c r="T17" s="3" t="e">
        <f t="shared" si="22"/>
        <v>#DIV/0!</v>
      </c>
      <c r="U17" s="3">
        <v>0</v>
      </c>
      <c r="V17" s="6">
        <v>0</v>
      </c>
      <c r="W17" s="3" t="e">
        <f t="shared" si="23"/>
        <v>#DIV/0!</v>
      </c>
      <c r="X17" s="3">
        <v>0</v>
      </c>
      <c r="Y17" s="6">
        <v>0</v>
      </c>
      <c r="Z17" s="3" t="e">
        <f t="shared" si="24"/>
        <v>#DIV/0!</v>
      </c>
      <c r="AA17" s="3">
        <v>0</v>
      </c>
      <c r="AB17" s="6">
        <v>0</v>
      </c>
      <c r="AC17" s="3">
        <f t="shared" si="25"/>
        <v>1063.9669421487604</v>
      </c>
      <c r="AD17" s="3">
        <v>12874</v>
      </c>
      <c r="AE17" s="6">
        <v>12.1</v>
      </c>
      <c r="AF17" s="3" t="e">
        <f t="shared" si="26"/>
        <v>#DIV/0!</v>
      </c>
      <c r="AG17" s="3">
        <v>0</v>
      </c>
      <c r="AH17" s="6">
        <v>0</v>
      </c>
      <c r="AI17" s="3" t="e">
        <f t="shared" si="27"/>
        <v>#DIV/0!</v>
      </c>
      <c r="AJ17" s="3">
        <v>0</v>
      </c>
      <c r="AK17" s="6">
        <v>0</v>
      </c>
      <c r="AL17" s="3" t="e">
        <f t="shared" si="28"/>
        <v>#DIV/0!</v>
      </c>
      <c r="AM17" s="3">
        <v>0</v>
      </c>
      <c r="AN17" s="6">
        <v>0</v>
      </c>
      <c r="AO17" s="3">
        <f t="shared" si="12"/>
        <v>1123.8429752066115</v>
      </c>
      <c r="AP17" s="3">
        <f t="shared" si="15"/>
        <v>54394</v>
      </c>
      <c r="AQ17" s="6">
        <f t="shared" si="16"/>
        <v>48.4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23</v>
      </c>
      <c r="B18" s="20"/>
      <c r="C18" s="20"/>
      <c r="D18" s="20"/>
      <c r="E18" s="3">
        <f t="shared" si="17"/>
        <v>6670</v>
      </c>
      <c r="F18" s="3">
        <v>4002</v>
      </c>
      <c r="G18" s="6">
        <v>0.6</v>
      </c>
      <c r="H18" s="3">
        <f t="shared" si="18"/>
        <v>1223.4782608695652</v>
      </c>
      <c r="I18" s="3">
        <v>8442</v>
      </c>
      <c r="J18" s="6">
        <v>6.9</v>
      </c>
      <c r="K18" s="3">
        <f t="shared" si="19"/>
        <v>1507.0940170940171</v>
      </c>
      <c r="L18" s="3">
        <v>35266</v>
      </c>
      <c r="M18" s="6">
        <v>23.4</v>
      </c>
      <c r="N18" s="3" t="e">
        <f t="shared" si="20"/>
        <v>#DIV/0!</v>
      </c>
      <c r="O18" s="3">
        <v>0</v>
      </c>
      <c r="P18" s="6">
        <v>0</v>
      </c>
      <c r="Q18" s="3">
        <f t="shared" si="21"/>
        <v>2037.6923076923076</v>
      </c>
      <c r="R18" s="3">
        <v>2649</v>
      </c>
      <c r="S18" s="6">
        <v>1.3</v>
      </c>
      <c r="T18" s="3">
        <f t="shared" si="22"/>
        <v>1592.3076923076922</v>
      </c>
      <c r="U18" s="3">
        <v>8280</v>
      </c>
      <c r="V18" s="6">
        <v>5.2</v>
      </c>
      <c r="W18" s="3">
        <f t="shared" si="23"/>
        <v>1068.3406113537119</v>
      </c>
      <c r="X18" s="3">
        <v>24465</v>
      </c>
      <c r="Y18" s="6">
        <v>22.9</v>
      </c>
      <c r="Z18" s="3">
        <f t="shared" si="24"/>
        <v>1106.4285714285716</v>
      </c>
      <c r="AA18" s="3">
        <v>6196</v>
      </c>
      <c r="AB18" s="6">
        <v>5.6</v>
      </c>
      <c r="AC18" s="3" t="e">
        <f t="shared" si="25"/>
        <v>#DIV/0!</v>
      </c>
      <c r="AD18" s="3">
        <v>0</v>
      </c>
      <c r="AE18" s="6">
        <v>0</v>
      </c>
      <c r="AF18" s="3">
        <f t="shared" si="26"/>
        <v>1703.6666666666667</v>
      </c>
      <c r="AG18" s="3">
        <v>20444</v>
      </c>
      <c r="AH18" s="6">
        <v>12</v>
      </c>
      <c r="AI18" s="3" t="e">
        <f t="shared" si="27"/>
        <v>#DIV/0!</v>
      </c>
      <c r="AJ18" s="3">
        <v>0</v>
      </c>
      <c r="AK18" s="6">
        <v>0</v>
      </c>
      <c r="AL18" s="3" t="e">
        <f t="shared" si="28"/>
        <v>#DIV/0!</v>
      </c>
      <c r="AM18" s="3">
        <v>0</v>
      </c>
      <c r="AN18" s="6">
        <v>0</v>
      </c>
      <c r="AO18" s="3">
        <f t="shared" si="12"/>
        <v>1408.7804878048782</v>
      </c>
      <c r="AP18" s="3">
        <f t="shared" si="15"/>
        <v>109744</v>
      </c>
      <c r="AQ18" s="6">
        <f t="shared" si="16"/>
        <v>77.899999999999991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18</v>
      </c>
      <c r="B19" s="20"/>
      <c r="C19" s="20"/>
      <c r="D19" s="20"/>
      <c r="E19" s="3" t="e">
        <f t="shared" si="17"/>
        <v>#DIV/0!</v>
      </c>
      <c r="F19" s="3">
        <v>0</v>
      </c>
      <c r="G19" s="6">
        <v>0</v>
      </c>
      <c r="H19" s="3" t="e">
        <f t="shared" si="18"/>
        <v>#DIV/0!</v>
      </c>
      <c r="I19" s="3">
        <v>0</v>
      </c>
      <c r="J19" s="6">
        <v>0</v>
      </c>
      <c r="K19" s="3" t="e">
        <f t="shared" si="19"/>
        <v>#DIV/0!</v>
      </c>
      <c r="L19" s="3">
        <v>0</v>
      </c>
      <c r="M19" s="6">
        <v>0</v>
      </c>
      <c r="N19" s="3">
        <f t="shared" si="20"/>
        <v>1311.9553072625699</v>
      </c>
      <c r="O19" s="3">
        <v>23484</v>
      </c>
      <c r="P19" s="6">
        <v>17.899999999999999</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t="e">
        <f t="shared" si="27"/>
        <v>#DIV/0!</v>
      </c>
      <c r="AJ19" s="3">
        <v>0</v>
      </c>
      <c r="AK19" s="6">
        <v>0</v>
      </c>
      <c r="AL19" s="3" t="e">
        <f t="shared" si="28"/>
        <v>#DIV/0!</v>
      </c>
      <c r="AM19" s="3">
        <v>0</v>
      </c>
      <c r="AN19" s="6">
        <v>0</v>
      </c>
      <c r="AO19" s="3">
        <f t="shared" si="12"/>
        <v>1311.9553072625699</v>
      </c>
      <c r="AP19" s="3">
        <f t="shared" si="15"/>
        <v>23484</v>
      </c>
      <c r="AQ19" s="6">
        <f t="shared" si="16"/>
        <v>17.899999999999999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50</v>
      </c>
      <c r="B20" s="20"/>
      <c r="C20" s="20"/>
      <c r="D20" s="20"/>
      <c r="E20" s="3" t="e">
        <f t="shared" si="17"/>
        <v>#DIV/0!</v>
      </c>
      <c r="F20" s="3">
        <v>0</v>
      </c>
      <c r="G20" s="6">
        <v>0</v>
      </c>
      <c r="H20" s="3" t="e">
        <f t="shared" si="18"/>
        <v>#DIV/0!</v>
      </c>
      <c r="I20" s="3">
        <v>0</v>
      </c>
      <c r="J20" s="6">
        <v>0</v>
      </c>
      <c r="K20" s="3">
        <f t="shared" si="19"/>
        <v>1209.3333333333333</v>
      </c>
      <c r="L20" s="3">
        <v>5442</v>
      </c>
      <c r="M20" s="6">
        <v>4.5</v>
      </c>
      <c r="N20" s="3" t="e">
        <f t="shared" si="20"/>
        <v>#DIV/0!</v>
      </c>
      <c r="O20" s="3">
        <v>0</v>
      </c>
      <c r="P20" s="6">
        <v>0</v>
      </c>
      <c r="Q20" s="3" t="e">
        <f t="shared" si="21"/>
        <v>#DIV/0!</v>
      </c>
      <c r="R20" s="3">
        <v>0</v>
      </c>
      <c r="S20" s="6">
        <v>0</v>
      </c>
      <c r="T20" s="3">
        <f t="shared" si="22"/>
        <v>1138.6046511627908</v>
      </c>
      <c r="U20" s="3">
        <v>4896</v>
      </c>
      <c r="V20" s="6">
        <v>4.3</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1174.7727272727273</v>
      </c>
      <c r="AP20" s="3">
        <f t="shared" si="15"/>
        <v>10338</v>
      </c>
      <c r="AQ20" s="6">
        <f t="shared" si="16"/>
        <v>8.8000000000000007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54</v>
      </c>
      <c r="B21" s="20"/>
      <c r="C21" s="20"/>
      <c r="D21" s="20"/>
      <c r="E21" s="3" t="e">
        <f t="shared" si="17"/>
        <v>#DIV/0!</v>
      </c>
      <c r="F21" s="3">
        <v>0</v>
      </c>
      <c r="G21" s="6">
        <v>0</v>
      </c>
      <c r="H21" s="3" t="e">
        <f t="shared" si="18"/>
        <v>#DIV/0!</v>
      </c>
      <c r="I21" s="3">
        <v>0</v>
      </c>
      <c r="J21" s="6">
        <v>0</v>
      </c>
      <c r="K21" s="3" t="e">
        <f t="shared" si="19"/>
        <v>#DIV/0!</v>
      </c>
      <c r="L21" s="3">
        <v>0</v>
      </c>
      <c r="M21" s="6">
        <v>0</v>
      </c>
      <c r="N21" s="3" t="e">
        <f t="shared" si="20"/>
        <v>#DIV/0!</v>
      </c>
      <c r="O21" s="3">
        <v>0</v>
      </c>
      <c r="P21" s="6">
        <v>0</v>
      </c>
      <c r="Q21" s="3" t="e">
        <f t="shared" si="21"/>
        <v>#DIV/0!</v>
      </c>
      <c r="R21" s="3">
        <v>0</v>
      </c>
      <c r="S21" s="6">
        <v>0</v>
      </c>
      <c r="T21" s="3" t="e">
        <f t="shared" si="22"/>
        <v>#DIV/0!</v>
      </c>
      <c r="U21" s="3">
        <v>0</v>
      </c>
      <c r="V21" s="6">
        <v>0</v>
      </c>
      <c r="W21" s="3" t="e">
        <f t="shared" si="23"/>
        <v>#DIV/0!</v>
      </c>
      <c r="X21" s="3">
        <v>0</v>
      </c>
      <c r="Y21" s="6">
        <v>0</v>
      </c>
      <c r="Z21" s="3" t="e">
        <f t="shared" si="24"/>
        <v>#DIV/0!</v>
      </c>
      <c r="AA21" s="3">
        <v>0</v>
      </c>
      <c r="AB21" s="6">
        <v>0</v>
      </c>
      <c r="AC21" s="3" t="e">
        <f t="shared" si="25"/>
        <v>#DIV/0!</v>
      </c>
      <c r="AD21" s="3">
        <v>0</v>
      </c>
      <c r="AE21" s="6">
        <v>0</v>
      </c>
      <c r="AF21" s="3" t="e">
        <f t="shared" si="26"/>
        <v>#DIV/0!</v>
      </c>
      <c r="AG21" s="3">
        <v>0</v>
      </c>
      <c r="AH21" s="6">
        <v>0</v>
      </c>
      <c r="AI21" s="3">
        <f t="shared" si="27"/>
        <v>3137.1666666666665</v>
      </c>
      <c r="AJ21" s="3">
        <v>18823</v>
      </c>
      <c r="AK21" s="6">
        <v>6</v>
      </c>
      <c r="AL21" s="3" t="e">
        <f t="shared" si="28"/>
        <v>#DIV/0!</v>
      </c>
      <c r="AM21" s="3">
        <v>0</v>
      </c>
      <c r="AN21" s="6">
        <v>0</v>
      </c>
      <c r="AO21" s="3">
        <f t="shared" si="12"/>
        <v>3137.1666666666665</v>
      </c>
      <c r="AP21" s="3">
        <f t="shared" si="15"/>
        <v>18823</v>
      </c>
      <c r="AQ21" s="6">
        <f t="shared" si="16"/>
        <v>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47</v>
      </c>
      <c r="B22" s="20"/>
      <c r="C22" s="20"/>
      <c r="D22" s="20"/>
      <c r="E22" s="3" t="e">
        <f t="shared" si="17"/>
        <v>#DIV/0!</v>
      </c>
      <c r="F22" s="3">
        <v>0</v>
      </c>
      <c r="G22" s="6">
        <v>0</v>
      </c>
      <c r="H22" s="3" t="e">
        <f t="shared" si="18"/>
        <v>#DIV/0!</v>
      </c>
      <c r="I22" s="3">
        <v>0</v>
      </c>
      <c r="J22" s="6">
        <v>0</v>
      </c>
      <c r="K22" s="3" t="e">
        <f t="shared" si="19"/>
        <v>#DIV/0!</v>
      </c>
      <c r="L22" s="3">
        <v>0</v>
      </c>
      <c r="M22" s="6">
        <v>0</v>
      </c>
      <c r="N22" s="3">
        <f t="shared" si="20"/>
        <v>1039.3700787401574</v>
      </c>
      <c r="O22" s="3">
        <v>39600</v>
      </c>
      <c r="P22" s="6">
        <v>38.1</v>
      </c>
      <c r="Q22" s="3" t="e">
        <f t="shared" si="21"/>
        <v>#DIV/0!</v>
      </c>
      <c r="R22" s="3">
        <v>0</v>
      </c>
      <c r="S22" s="6">
        <v>0</v>
      </c>
      <c r="T22" s="3" t="e">
        <f t="shared" si="22"/>
        <v>#DIV/0!</v>
      </c>
      <c r="U22" s="3">
        <v>0</v>
      </c>
      <c r="V22" s="6">
        <v>0</v>
      </c>
      <c r="W22" s="3">
        <f t="shared" si="23"/>
        <v>1039.3700787401574</v>
      </c>
      <c r="X22" s="3">
        <v>39600</v>
      </c>
      <c r="Y22" s="6">
        <v>38.1</v>
      </c>
      <c r="Z22" s="3" t="e">
        <f t="shared" si="24"/>
        <v>#DIV/0!</v>
      </c>
      <c r="AA22" s="3">
        <v>0</v>
      </c>
      <c r="AB22" s="6">
        <v>0</v>
      </c>
      <c r="AC22" s="3">
        <f t="shared" si="25"/>
        <v>1102.6178010471203</v>
      </c>
      <c r="AD22" s="3">
        <v>21060</v>
      </c>
      <c r="AE22" s="6">
        <v>19.100000000000001</v>
      </c>
      <c r="AF22" s="3" t="e">
        <f t="shared" si="26"/>
        <v>#DIV/0!</v>
      </c>
      <c r="AG22" s="3">
        <v>0</v>
      </c>
      <c r="AH22" s="6">
        <v>0</v>
      </c>
      <c r="AI22" s="3">
        <f t="shared" si="27"/>
        <v>1116.898817345598</v>
      </c>
      <c r="AJ22" s="3">
        <v>84996</v>
      </c>
      <c r="AK22" s="6">
        <v>76.099999999999994</v>
      </c>
      <c r="AL22" s="3" t="e">
        <f t="shared" si="28"/>
        <v>#DIV/0!</v>
      </c>
      <c r="AM22" s="3">
        <v>0</v>
      </c>
      <c r="AN22" s="6">
        <v>0</v>
      </c>
      <c r="AO22" s="3">
        <f t="shared" si="12"/>
        <v>1080.8401400233372</v>
      </c>
      <c r="AP22" s="3">
        <f t="shared" si="15"/>
        <v>185256</v>
      </c>
      <c r="AQ22" s="6">
        <f t="shared" si="16"/>
        <v>171.4</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38</v>
      </c>
      <c r="B23" s="20"/>
      <c r="C23" s="20"/>
      <c r="D23" s="20"/>
      <c r="E23" s="3">
        <f t="shared" si="17"/>
        <v>1210.3592814371259</v>
      </c>
      <c r="F23" s="3">
        <v>20213</v>
      </c>
      <c r="G23" s="6">
        <v>16.7</v>
      </c>
      <c r="H23" s="3">
        <f t="shared" si="18"/>
        <v>1210.3592814371259</v>
      </c>
      <c r="I23" s="3">
        <v>20213</v>
      </c>
      <c r="J23" s="6">
        <v>16.7</v>
      </c>
      <c r="K23" s="3" t="e">
        <f t="shared" si="19"/>
        <v>#DIV/0!</v>
      </c>
      <c r="L23" s="3">
        <v>0</v>
      </c>
      <c r="M23" s="6">
        <v>0</v>
      </c>
      <c r="N23" s="3" t="e">
        <f t="shared" si="20"/>
        <v>#DIV/0!</v>
      </c>
      <c r="O23" s="3">
        <v>0</v>
      </c>
      <c r="P23" s="6">
        <v>0</v>
      </c>
      <c r="Q23" s="3" t="e">
        <f t="shared" si="21"/>
        <v>#DIV/0!</v>
      </c>
      <c r="R23" s="3">
        <v>0</v>
      </c>
      <c r="S23" s="6">
        <v>0</v>
      </c>
      <c r="T23" s="3">
        <f t="shared" si="22"/>
        <v>1120.6896551724137</v>
      </c>
      <c r="U23" s="3">
        <v>26000</v>
      </c>
      <c r="V23" s="6">
        <v>23.2</v>
      </c>
      <c r="W23" s="3">
        <f t="shared" si="23"/>
        <v>1166.4921465968584</v>
      </c>
      <c r="X23" s="3">
        <v>22280</v>
      </c>
      <c r="Y23" s="6">
        <v>19.100000000000001</v>
      </c>
      <c r="Z23" s="3">
        <f t="shared" si="24"/>
        <v>1167.5392670157066</v>
      </c>
      <c r="AA23" s="3">
        <v>22300</v>
      </c>
      <c r="AB23" s="6">
        <v>19.100000000000001</v>
      </c>
      <c r="AC23" s="3">
        <f t="shared" si="25"/>
        <v>1170.6806282722512</v>
      </c>
      <c r="AD23" s="3">
        <v>22360</v>
      </c>
      <c r="AE23" s="6">
        <v>19.100000000000001</v>
      </c>
      <c r="AF23" s="3">
        <f t="shared" si="26"/>
        <v>1144.5026178010471</v>
      </c>
      <c r="AG23" s="3">
        <v>21860</v>
      </c>
      <c r="AH23" s="6">
        <v>19.100000000000001</v>
      </c>
      <c r="AI23" s="3">
        <f t="shared" si="27"/>
        <v>1150.5263157894738</v>
      </c>
      <c r="AJ23" s="3">
        <v>21860</v>
      </c>
      <c r="AK23" s="6">
        <v>19</v>
      </c>
      <c r="AL23" s="3" t="e">
        <f t="shared" si="28"/>
        <v>#DIV/0!</v>
      </c>
      <c r="AM23" s="3">
        <v>0</v>
      </c>
      <c r="AN23" s="6">
        <v>0</v>
      </c>
      <c r="AO23" s="3">
        <f t="shared" si="12"/>
        <v>1165.0394736842106</v>
      </c>
      <c r="AP23" s="3">
        <f t="shared" si="15"/>
        <v>177086</v>
      </c>
      <c r="AQ23" s="6">
        <f t="shared" si="16"/>
        <v>151.99999999999997</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44</v>
      </c>
      <c r="B24" s="20"/>
      <c r="C24" s="20"/>
      <c r="D24" s="20"/>
      <c r="E24" s="3">
        <f t="shared" si="17"/>
        <v>905.05681818181813</v>
      </c>
      <c r="F24" s="3">
        <v>15929</v>
      </c>
      <c r="G24" s="6">
        <v>17.600000000000001</v>
      </c>
      <c r="H24" s="3">
        <f t="shared" si="18"/>
        <v>905.05681818181813</v>
      </c>
      <c r="I24" s="3">
        <v>15929</v>
      </c>
      <c r="J24" s="6">
        <v>17.600000000000001</v>
      </c>
      <c r="K24" s="3">
        <f t="shared" si="19"/>
        <v>905.05681818181813</v>
      </c>
      <c r="L24" s="3">
        <v>15929</v>
      </c>
      <c r="M24" s="6">
        <v>17.600000000000001</v>
      </c>
      <c r="N24" s="3">
        <f t="shared" si="20"/>
        <v>905.05681818181813</v>
      </c>
      <c r="O24" s="3">
        <v>15929</v>
      </c>
      <c r="P24" s="6">
        <v>17.600000000000001</v>
      </c>
      <c r="Q24" s="3" t="e">
        <f t="shared" si="21"/>
        <v>#DIV/0!</v>
      </c>
      <c r="R24" s="3">
        <v>0</v>
      </c>
      <c r="S24" s="6">
        <v>0</v>
      </c>
      <c r="T24" s="3">
        <f t="shared" si="22"/>
        <v>905.05681818181813</v>
      </c>
      <c r="U24" s="3">
        <v>15929</v>
      </c>
      <c r="V24" s="6">
        <v>17.600000000000001</v>
      </c>
      <c r="W24" s="3" t="e">
        <f t="shared" si="23"/>
        <v>#DIV/0!</v>
      </c>
      <c r="X24" s="3">
        <v>0</v>
      </c>
      <c r="Y24" s="6">
        <v>0</v>
      </c>
      <c r="Z24" s="3" t="e">
        <f t="shared" si="24"/>
        <v>#DIV/0!</v>
      </c>
      <c r="AA24" s="3">
        <v>0</v>
      </c>
      <c r="AB24" s="6">
        <v>0</v>
      </c>
      <c r="AC24" s="3" t="e">
        <f t="shared" si="25"/>
        <v>#DIV/0!</v>
      </c>
      <c r="AD24" s="3">
        <v>0</v>
      </c>
      <c r="AE24" s="6">
        <v>0</v>
      </c>
      <c r="AF24" s="3" t="e">
        <f t="shared" si="26"/>
        <v>#DIV/0!</v>
      </c>
      <c r="AG24" s="3">
        <v>0</v>
      </c>
      <c r="AH24" s="6">
        <v>0</v>
      </c>
      <c r="AI24" s="3" t="e">
        <f t="shared" si="27"/>
        <v>#DIV/0!</v>
      </c>
      <c r="AJ24" s="3">
        <v>0</v>
      </c>
      <c r="AK24" s="6">
        <v>0</v>
      </c>
      <c r="AL24" s="3" t="e">
        <f t="shared" si="28"/>
        <v>#DIV/0!</v>
      </c>
      <c r="AM24" s="3">
        <v>0</v>
      </c>
      <c r="AN24" s="6">
        <v>0</v>
      </c>
      <c r="AO24" s="3">
        <f t="shared" si="12"/>
        <v>905.05681818181813</v>
      </c>
      <c r="AP24" s="3">
        <f t="shared" si="15"/>
        <v>79645</v>
      </c>
      <c r="AQ24" s="6">
        <f t="shared" si="16"/>
        <v>88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40</v>
      </c>
      <c r="B25" s="20"/>
      <c r="C25" s="20"/>
      <c r="D25" s="20"/>
      <c r="E25" s="3" t="e">
        <f t="shared" si="17"/>
        <v>#DIV/0!</v>
      </c>
      <c r="F25" s="3">
        <v>0</v>
      </c>
      <c r="G25" s="6">
        <v>0</v>
      </c>
      <c r="H25" s="3">
        <f t="shared" si="18"/>
        <v>1457.9439252336449</v>
      </c>
      <c r="I25" s="3">
        <v>15600</v>
      </c>
      <c r="J25" s="6">
        <v>10.7</v>
      </c>
      <c r="K25" s="3" t="e">
        <f t="shared" si="19"/>
        <v>#DIV/0!</v>
      </c>
      <c r="L25" s="3">
        <v>0</v>
      </c>
      <c r="M25" s="6">
        <v>0</v>
      </c>
      <c r="N25" s="3" t="e">
        <f t="shared" si="20"/>
        <v>#DIV/0!</v>
      </c>
      <c r="O25" s="3">
        <v>0</v>
      </c>
      <c r="P25" s="6">
        <v>0</v>
      </c>
      <c r="Q25" s="3" t="e">
        <f t="shared" si="21"/>
        <v>#DIV/0!</v>
      </c>
      <c r="R25" s="3">
        <v>0</v>
      </c>
      <c r="S25" s="6">
        <v>0</v>
      </c>
      <c r="T25" s="3" t="e">
        <f t="shared" si="22"/>
        <v>#DIV/0!</v>
      </c>
      <c r="U25" s="3">
        <v>0</v>
      </c>
      <c r="V25" s="6">
        <v>0</v>
      </c>
      <c r="W25" s="3" t="e">
        <f t="shared" si="23"/>
        <v>#DIV/0!</v>
      </c>
      <c r="X25" s="3">
        <v>0</v>
      </c>
      <c r="Y25" s="6">
        <v>0</v>
      </c>
      <c r="Z25" s="3" t="e">
        <f t="shared" si="24"/>
        <v>#DIV/0!</v>
      </c>
      <c r="AA25" s="3">
        <v>0</v>
      </c>
      <c r="AB25" s="6">
        <v>0</v>
      </c>
      <c r="AC25" s="3" t="e">
        <f t="shared" si="25"/>
        <v>#DIV/0!</v>
      </c>
      <c r="AD25" s="3">
        <v>0</v>
      </c>
      <c r="AE25" s="6">
        <v>0</v>
      </c>
      <c r="AF25" s="3" t="e">
        <f t="shared" si="26"/>
        <v>#DIV/0!</v>
      </c>
      <c r="AG25" s="3">
        <v>0</v>
      </c>
      <c r="AH25" s="6">
        <v>0</v>
      </c>
      <c r="AI25" s="3" t="e">
        <f t="shared" si="27"/>
        <v>#DIV/0!</v>
      </c>
      <c r="AJ25" s="3">
        <v>0</v>
      </c>
      <c r="AK25" s="6">
        <v>0</v>
      </c>
      <c r="AL25" s="3" t="e">
        <f t="shared" si="28"/>
        <v>#DIV/0!</v>
      </c>
      <c r="AM25" s="3">
        <v>0</v>
      </c>
      <c r="AN25" s="6">
        <v>0</v>
      </c>
      <c r="AO25" s="3">
        <f t="shared" si="12"/>
        <v>1457.9439252336449</v>
      </c>
      <c r="AP25" s="3">
        <f t="shared" si="15"/>
        <v>15600</v>
      </c>
      <c r="AQ25" s="6">
        <f t="shared" si="16"/>
        <v>10.7</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45</v>
      </c>
      <c r="B26" s="20"/>
      <c r="C26" s="20"/>
      <c r="D26" s="20"/>
      <c r="E26" s="3" t="e">
        <f t="shared" si="17"/>
        <v>#DIV/0!</v>
      </c>
      <c r="F26" s="3">
        <v>0</v>
      </c>
      <c r="G26" s="6">
        <v>0</v>
      </c>
      <c r="H26" s="3">
        <f t="shared" si="18"/>
        <v>1034.5794392523364</v>
      </c>
      <c r="I26" s="3">
        <v>22140</v>
      </c>
      <c r="J26" s="6">
        <v>21.4</v>
      </c>
      <c r="K26" s="3">
        <f t="shared" si="19"/>
        <v>1034.5794392523364</v>
      </c>
      <c r="L26" s="3">
        <v>22140</v>
      </c>
      <c r="M26" s="6">
        <v>21.4</v>
      </c>
      <c r="N26" s="3" t="e">
        <f t="shared" si="20"/>
        <v>#DIV/0!</v>
      </c>
      <c r="O26" s="3">
        <v>0</v>
      </c>
      <c r="P26" s="6">
        <v>0</v>
      </c>
      <c r="Q26" s="3">
        <f t="shared" si="21"/>
        <v>1212.1212121212122</v>
      </c>
      <c r="R26" s="3">
        <v>52000</v>
      </c>
      <c r="S26" s="6">
        <v>42.9</v>
      </c>
      <c r="T26" s="3">
        <f t="shared" si="22"/>
        <v>1120.6896551724137</v>
      </c>
      <c r="U26" s="3">
        <v>26000</v>
      </c>
      <c r="V26" s="6">
        <v>23.2</v>
      </c>
      <c r="W26" s="3" t="e">
        <f t="shared" si="23"/>
        <v>#DIV/0!</v>
      </c>
      <c r="X26" s="3">
        <v>0</v>
      </c>
      <c r="Y26" s="6">
        <v>0</v>
      </c>
      <c r="Z26" s="3" t="e">
        <f t="shared" si="24"/>
        <v>#DIV/0!</v>
      </c>
      <c r="AA26" s="3">
        <v>0</v>
      </c>
      <c r="AB26" s="6">
        <v>0</v>
      </c>
      <c r="AC26" s="3" t="e">
        <f t="shared" si="25"/>
        <v>#DIV/0!</v>
      </c>
      <c r="AD26" s="3">
        <v>0</v>
      </c>
      <c r="AE26" s="6">
        <v>0</v>
      </c>
      <c r="AF26" s="3" t="e">
        <f t="shared" si="26"/>
        <v>#DIV/0!</v>
      </c>
      <c r="AG26" s="3">
        <v>0</v>
      </c>
      <c r="AH26" s="6">
        <v>0</v>
      </c>
      <c r="AI26" s="3">
        <f t="shared" si="27"/>
        <v>1025.7758620689656</v>
      </c>
      <c r="AJ26" s="3">
        <v>23798</v>
      </c>
      <c r="AK26" s="6">
        <v>23.2</v>
      </c>
      <c r="AL26" s="3" t="e">
        <f t="shared" si="28"/>
        <v>#DIV/0!</v>
      </c>
      <c r="AM26" s="3">
        <v>0</v>
      </c>
      <c r="AN26" s="6">
        <v>0</v>
      </c>
      <c r="AO26" s="3">
        <f t="shared" si="12"/>
        <v>1105.8137774413324</v>
      </c>
      <c r="AP26" s="3">
        <f t="shared" si="15"/>
        <v>146078</v>
      </c>
      <c r="AQ26" s="6">
        <f t="shared" si="16"/>
        <v>132.1</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26</v>
      </c>
      <c r="B27" s="20"/>
      <c r="C27" s="20"/>
      <c r="D27" s="20"/>
      <c r="E27" s="3">
        <f t="shared" si="17"/>
        <v>1223.8805970149253</v>
      </c>
      <c r="F27" s="3">
        <v>8200</v>
      </c>
      <c r="G27" s="6">
        <v>6.7</v>
      </c>
      <c r="H27" s="3">
        <f t="shared" si="18"/>
        <v>1235.9701492537313</v>
      </c>
      <c r="I27" s="3">
        <v>8281</v>
      </c>
      <c r="J27" s="6">
        <v>6.7</v>
      </c>
      <c r="K27" s="3">
        <f t="shared" si="19"/>
        <v>1204.952380952381</v>
      </c>
      <c r="L27" s="3">
        <v>12652</v>
      </c>
      <c r="M27" s="6">
        <v>10.5</v>
      </c>
      <c r="N27" s="3">
        <f t="shared" si="20"/>
        <v>1181.7241379310344</v>
      </c>
      <c r="O27" s="3">
        <v>3427</v>
      </c>
      <c r="P27" s="6">
        <v>2.9</v>
      </c>
      <c r="Q27" s="3">
        <f t="shared" si="21"/>
        <v>1217.7611940298507</v>
      </c>
      <c r="R27" s="3">
        <v>8159</v>
      </c>
      <c r="S27" s="6">
        <v>6.7</v>
      </c>
      <c r="T27" s="3">
        <f t="shared" si="22"/>
        <v>1157.6119402985075</v>
      </c>
      <c r="U27" s="3">
        <v>7756</v>
      </c>
      <c r="V27" s="6">
        <v>6.7</v>
      </c>
      <c r="W27" s="3">
        <f t="shared" si="23"/>
        <v>1198.7</v>
      </c>
      <c r="X27" s="3">
        <v>23974</v>
      </c>
      <c r="Y27" s="6">
        <v>20</v>
      </c>
      <c r="Z27" s="3">
        <f t="shared" si="24"/>
        <v>1197.4418604651164</v>
      </c>
      <c r="AA27" s="3">
        <v>10298</v>
      </c>
      <c r="AB27" s="6">
        <v>8.6</v>
      </c>
      <c r="AC27" s="3">
        <f t="shared" si="25"/>
        <v>1139.6500000000001</v>
      </c>
      <c r="AD27" s="3">
        <v>22793</v>
      </c>
      <c r="AE27" s="6">
        <v>20</v>
      </c>
      <c r="AF27" s="3">
        <f t="shared" si="26"/>
        <v>1241.2903225806451</v>
      </c>
      <c r="AG27" s="3">
        <v>30784</v>
      </c>
      <c r="AH27" s="6">
        <v>24.8</v>
      </c>
      <c r="AI27" s="3">
        <f t="shared" si="27"/>
        <v>1164.8951048951049</v>
      </c>
      <c r="AJ27" s="3">
        <v>33316</v>
      </c>
      <c r="AK27" s="6">
        <v>28.6</v>
      </c>
      <c r="AL27" s="3" t="e">
        <f t="shared" si="28"/>
        <v>#DIV/0!</v>
      </c>
      <c r="AM27" s="3">
        <v>0</v>
      </c>
      <c r="AN27" s="6">
        <v>0</v>
      </c>
      <c r="AO27" s="3">
        <f t="shared" si="12"/>
        <v>1192.9676511954995</v>
      </c>
      <c r="AP27" s="3">
        <f t="shared" si="15"/>
        <v>169640</v>
      </c>
      <c r="AQ27" s="6">
        <f t="shared" si="16"/>
        <v>142.19999999999999</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55</v>
      </c>
      <c r="B28" s="20"/>
      <c r="C28" s="20"/>
      <c r="D28" s="20"/>
      <c r="E28" s="3">
        <f t="shared" si="17"/>
        <v>7000</v>
      </c>
      <c r="F28" s="3">
        <v>3500</v>
      </c>
      <c r="G28" s="6">
        <v>0.5</v>
      </c>
      <c r="H28" s="3" t="e">
        <f t="shared" si="18"/>
        <v>#DIV/0!</v>
      </c>
      <c r="I28" s="3">
        <v>0</v>
      </c>
      <c r="J28" s="6">
        <v>0</v>
      </c>
      <c r="K28" s="3" t="e">
        <f t="shared" si="19"/>
        <v>#DIV/0!</v>
      </c>
      <c r="L28" s="3">
        <v>0</v>
      </c>
      <c r="M28" s="6">
        <v>0</v>
      </c>
      <c r="N28" s="3" t="e">
        <f t="shared" si="20"/>
        <v>#DIV/0!</v>
      </c>
      <c r="O28" s="3">
        <v>0</v>
      </c>
      <c r="P28" s="6">
        <v>0</v>
      </c>
      <c r="Q28" s="3" t="e">
        <f t="shared" si="21"/>
        <v>#DIV/0!</v>
      </c>
      <c r="R28" s="3">
        <v>0</v>
      </c>
      <c r="S28" s="6">
        <v>0</v>
      </c>
      <c r="T28" s="3" t="e">
        <f t="shared" si="22"/>
        <v>#DIV/0!</v>
      </c>
      <c r="U28" s="3">
        <v>0</v>
      </c>
      <c r="V28" s="6">
        <v>0</v>
      </c>
      <c r="W28" s="3" t="e">
        <f t="shared" si="23"/>
        <v>#DIV/0!</v>
      </c>
      <c r="X28" s="3">
        <v>0</v>
      </c>
      <c r="Y28" s="6">
        <v>0</v>
      </c>
      <c r="Z28" s="3" t="e">
        <f t="shared" si="24"/>
        <v>#DIV/0!</v>
      </c>
      <c r="AA28" s="3">
        <v>0</v>
      </c>
      <c r="AB28" s="6">
        <v>0</v>
      </c>
      <c r="AC28" s="3" t="e">
        <f t="shared" si="25"/>
        <v>#DIV/0!</v>
      </c>
      <c r="AD28" s="3">
        <v>0</v>
      </c>
      <c r="AE28" s="6">
        <v>0</v>
      </c>
      <c r="AF28" s="3" t="e">
        <f t="shared" si="26"/>
        <v>#DIV/0!</v>
      </c>
      <c r="AG28" s="3">
        <v>0</v>
      </c>
      <c r="AH28" s="6">
        <v>0</v>
      </c>
      <c r="AI28" s="3" t="e">
        <f t="shared" si="27"/>
        <v>#DIV/0!</v>
      </c>
      <c r="AJ28" s="3">
        <v>0</v>
      </c>
      <c r="AK28" s="6">
        <v>0</v>
      </c>
      <c r="AL28" s="3" t="e">
        <f t="shared" si="28"/>
        <v>#DIV/0!</v>
      </c>
      <c r="AM28" s="3">
        <v>0</v>
      </c>
      <c r="AN28" s="6">
        <v>0</v>
      </c>
      <c r="AO28" s="3">
        <f t="shared" si="12"/>
        <v>7000</v>
      </c>
      <c r="AP28" s="3">
        <f t="shared" si="15"/>
        <v>3500</v>
      </c>
      <c r="AQ28" s="6">
        <f t="shared" si="16"/>
        <v>0.5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56</v>
      </c>
      <c r="B29" s="20"/>
      <c r="C29" s="20"/>
      <c r="D29" s="20"/>
      <c r="E29" s="3">
        <f t="shared" si="17"/>
        <v>1235.9090909090908</v>
      </c>
      <c r="F29" s="3">
        <v>2719</v>
      </c>
      <c r="G29" s="6">
        <v>2.2000000000000002</v>
      </c>
      <c r="H29" s="3" t="e">
        <f t="shared" si="18"/>
        <v>#DIV/0!</v>
      </c>
      <c r="I29" s="3">
        <v>0</v>
      </c>
      <c r="J29" s="6">
        <v>0</v>
      </c>
      <c r="K29" s="3" t="e">
        <f t="shared" si="19"/>
        <v>#DIV/0!</v>
      </c>
      <c r="L29" s="3">
        <v>0</v>
      </c>
      <c r="M29" s="6">
        <v>0</v>
      </c>
      <c r="N29" s="3" t="e">
        <f t="shared" si="20"/>
        <v>#DIV/0!</v>
      </c>
      <c r="O29" s="3">
        <v>0</v>
      </c>
      <c r="P29" s="6">
        <v>0</v>
      </c>
      <c r="Q29" s="3" t="e">
        <f t="shared" si="21"/>
        <v>#DIV/0!</v>
      </c>
      <c r="R29" s="3">
        <v>0</v>
      </c>
      <c r="S29" s="6">
        <v>0</v>
      </c>
      <c r="T29" s="3" t="e">
        <f t="shared" si="22"/>
        <v>#DIV/0!</v>
      </c>
      <c r="U29" s="3">
        <v>0</v>
      </c>
      <c r="V29" s="6">
        <v>0</v>
      </c>
      <c r="W29" s="3" t="e">
        <f t="shared" si="23"/>
        <v>#DIV/0!</v>
      </c>
      <c r="X29" s="3">
        <v>0</v>
      </c>
      <c r="Y29" s="6">
        <v>0</v>
      </c>
      <c r="Z29" s="3" t="e">
        <f t="shared" si="24"/>
        <v>#DIV/0!</v>
      </c>
      <c r="AA29" s="3">
        <v>0</v>
      </c>
      <c r="AB29" s="6">
        <v>0</v>
      </c>
      <c r="AC29" s="3" t="e">
        <f t="shared" si="25"/>
        <v>#DIV/0!</v>
      </c>
      <c r="AD29" s="3">
        <v>0</v>
      </c>
      <c r="AE29" s="6">
        <v>0</v>
      </c>
      <c r="AF29" s="3" t="e">
        <f t="shared" si="26"/>
        <v>#DIV/0!</v>
      </c>
      <c r="AG29" s="3">
        <v>0</v>
      </c>
      <c r="AH29" s="6">
        <v>0</v>
      </c>
      <c r="AI29" s="3" t="e">
        <f t="shared" si="27"/>
        <v>#DIV/0!</v>
      </c>
      <c r="AJ29" s="3">
        <v>0</v>
      </c>
      <c r="AK29" s="6">
        <v>0</v>
      </c>
      <c r="AL29" s="3" t="e">
        <f t="shared" si="28"/>
        <v>#DIV/0!</v>
      </c>
      <c r="AM29" s="3">
        <v>0</v>
      </c>
      <c r="AN29" s="6">
        <v>0</v>
      </c>
      <c r="AO29" s="3">
        <f t="shared" si="12"/>
        <v>1235.9090909090908</v>
      </c>
      <c r="AP29" s="3">
        <f t="shared" si="15"/>
        <v>2719</v>
      </c>
      <c r="AQ29" s="6">
        <f t="shared" si="16"/>
        <v>2.2000000000000002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27</v>
      </c>
      <c r="B30" s="20"/>
      <c r="C30" s="20"/>
      <c r="D30" s="20"/>
      <c r="E30" s="3">
        <f t="shared" si="17"/>
        <v>1299.7391304347825</v>
      </c>
      <c r="F30" s="3">
        <v>14947</v>
      </c>
      <c r="G30" s="6">
        <v>11.5</v>
      </c>
      <c r="H30" s="3">
        <f t="shared" si="18"/>
        <v>1227.1428571428571</v>
      </c>
      <c r="I30" s="3">
        <v>12885</v>
      </c>
      <c r="J30" s="6">
        <v>10.5</v>
      </c>
      <c r="K30" s="3" t="e">
        <f t="shared" si="19"/>
        <v>#DIV/0!</v>
      </c>
      <c r="L30" s="3">
        <v>0</v>
      </c>
      <c r="M30" s="6">
        <v>0</v>
      </c>
      <c r="N30" s="3">
        <f t="shared" si="20"/>
        <v>1161.0059171597634</v>
      </c>
      <c r="O30" s="3">
        <v>19621</v>
      </c>
      <c r="P30" s="6">
        <v>16.899999999999999</v>
      </c>
      <c r="Q30" s="3">
        <f t="shared" si="21"/>
        <v>1107.0422535211269</v>
      </c>
      <c r="R30" s="3">
        <v>7860</v>
      </c>
      <c r="S30" s="6">
        <v>7.1</v>
      </c>
      <c r="T30" s="3">
        <f t="shared" si="22"/>
        <v>1210.8333333333335</v>
      </c>
      <c r="U30" s="3">
        <v>2906</v>
      </c>
      <c r="V30" s="6">
        <v>2.4</v>
      </c>
      <c r="W30" s="3">
        <f t="shared" si="23"/>
        <v>1164.5222929936306</v>
      </c>
      <c r="X30" s="3">
        <v>18283</v>
      </c>
      <c r="Y30" s="6">
        <v>15.7</v>
      </c>
      <c r="Z30" s="3" t="e">
        <f t="shared" si="24"/>
        <v>#DIV/0!</v>
      </c>
      <c r="AA30" s="3">
        <v>0</v>
      </c>
      <c r="AB30" s="6">
        <v>0</v>
      </c>
      <c r="AC30" s="3">
        <f t="shared" si="25"/>
        <v>1114.968152866242</v>
      </c>
      <c r="AD30" s="3">
        <v>17505</v>
      </c>
      <c r="AE30" s="6">
        <v>15.7</v>
      </c>
      <c r="AF30" s="3" t="e">
        <f t="shared" si="26"/>
        <v>#DIV/0!</v>
      </c>
      <c r="AG30" s="3">
        <v>0</v>
      </c>
      <c r="AH30" s="6">
        <v>0</v>
      </c>
      <c r="AI30" s="3" t="e">
        <f t="shared" si="27"/>
        <v>#DIV/0!</v>
      </c>
      <c r="AJ30" s="3">
        <v>0</v>
      </c>
      <c r="AK30" s="6">
        <v>0</v>
      </c>
      <c r="AL30" s="3" t="e">
        <f t="shared" si="28"/>
        <v>#DIV/0!</v>
      </c>
      <c r="AM30" s="3">
        <v>0</v>
      </c>
      <c r="AN30" s="6">
        <v>0</v>
      </c>
      <c r="AO30" s="3">
        <f t="shared" si="12"/>
        <v>1178.0325814536341</v>
      </c>
      <c r="AP30" s="3">
        <f t="shared" si="15"/>
        <v>94007</v>
      </c>
      <c r="AQ30" s="6">
        <f t="shared" si="16"/>
        <v>79.8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2" t="s">
        <v>52</v>
      </c>
      <c r="B31" s="21"/>
      <c r="C31" s="21"/>
      <c r="D31" s="21"/>
      <c r="E31" s="9" t="e">
        <f t="shared" si="17"/>
        <v>#DIV/0!</v>
      </c>
      <c r="F31" s="10">
        <v>0</v>
      </c>
      <c r="G31" s="11">
        <v>0</v>
      </c>
      <c r="H31" s="10" t="e">
        <f t="shared" si="18"/>
        <v>#DIV/0!</v>
      </c>
      <c r="I31" s="10">
        <v>0</v>
      </c>
      <c r="J31" s="11">
        <v>0</v>
      </c>
      <c r="K31" s="10" t="e">
        <f t="shared" si="19"/>
        <v>#DIV/0!</v>
      </c>
      <c r="L31" s="10">
        <v>0</v>
      </c>
      <c r="M31" s="11">
        <v>0</v>
      </c>
      <c r="N31" s="10" t="e">
        <f t="shared" si="20"/>
        <v>#DIV/0!</v>
      </c>
      <c r="O31" s="10">
        <v>0</v>
      </c>
      <c r="P31" s="11">
        <v>0</v>
      </c>
      <c r="Q31" s="10" t="e">
        <f t="shared" si="21"/>
        <v>#DIV/0!</v>
      </c>
      <c r="R31" s="10">
        <v>0</v>
      </c>
      <c r="S31" s="11">
        <v>0</v>
      </c>
      <c r="T31" s="10" t="e">
        <f t="shared" si="22"/>
        <v>#DIV/0!</v>
      </c>
      <c r="U31" s="10">
        <v>0</v>
      </c>
      <c r="V31" s="11">
        <v>0</v>
      </c>
      <c r="W31" s="10">
        <f t="shared" si="23"/>
        <v>1450.4225352112676</v>
      </c>
      <c r="X31" s="10">
        <v>10298</v>
      </c>
      <c r="Y31" s="11">
        <v>7.1</v>
      </c>
      <c r="Z31" s="10" t="e">
        <f t="shared" si="24"/>
        <v>#DIV/0!</v>
      </c>
      <c r="AA31" s="10">
        <v>0</v>
      </c>
      <c r="AB31" s="11">
        <v>0</v>
      </c>
      <c r="AC31" s="10" t="e">
        <f t="shared" si="25"/>
        <v>#DIV/0!</v>
      </c>
      <c r="AD31" s="10">
        <v>0</v>
      </c>
      <c r="AE31" s="11">
        <v>0</v>
      </c>
      <c r="AF31" s="10" t="e">
        <f t="shared" si="26"/>
        <v>#DIV/0!</v>
      </c>
      <c r="AG31" s="10">
        <v>0</v>
      </c>
      <c r="AH31" s="11">
        <v>0</v>
      </c>
      <c r="AI31" s="10" t="e">
        <f t="shared" si="27"/>
        <v>#DIV/0!</v>
      </c>
      <c r="AJ31" s="10">
        <v>0</v>
      </c>
      <c r="AK31" s="11">
        <v>0</v>
      </c>
      <c r="AL31" s="10" t="e">
        <f t="shared" si="28"/>
        <v>#DIV/0!</v>
      </c>
      <c r="AM31" s="10">
        <v>0</v>
      </c>
      <c r="AN31" s="11">
        <v>0</v>
      </c>
      <c r="AO31" s="10">
        <f t="shared" si="12"/>
        <v>1450.4225352112676</v>
      </c>
      <c r="AP31" s="10">
        <f t="shared" si="15"/>
        <v>10298</v>
      </c>
      <c r="AQ31" s="11">
        <f t="shared" si="16"/>
        <v>7.1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1" t="s">
        <v>28</v>
      </c>
      <c r="B32" s="1"/>
    </row>
    <row r="33" spans="1:2" x14ac:dyDescent="0.3">
      <c r="A33" s="1" t="s">
        <v>41</v>
      </c>
      <c r="B33" s="1"/>
    </row>
    <row r="34" spans="1:2" x14ac:dyDescent="0.3">
      <c r="A34" s="1" t="s">
        <v>29</v>
      </c>
      <c r="B34" s="1"/>
    </row>
    <row r="35" spans="1:2" x14ac:dyDescent="0.3">
      <c r="A35" s="1" t="s">
        <v>30</v>
      </c>
      <c r="B35" s="1"/>
    </row>
    <row r="36" spans="1:2" x14ac:dyDescent="0.3">
      <c r="A36" s="1" t="s">
        <v>42</v>
      </c>
      <c r="B36" s="1"/>
    </row>
  </sheetData>
  <mergeCells count="16">
    <mergeCell ref="E1:G1"/>
    <mergeCell ref="H1:J1"/>
    <mergeCell ref="K1:M1"/>
    <mergeCell ref="B3:B31"/>
    <mergeCell ref="C3:C31"/>
    <mergeCell ref="D3:D31"/>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2026-08-07T09:01:31Z</dcterms:modified>
</cp:coreProperties>
</file>