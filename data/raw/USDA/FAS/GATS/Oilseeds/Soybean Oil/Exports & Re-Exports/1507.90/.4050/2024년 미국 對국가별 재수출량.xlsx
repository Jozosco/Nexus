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E4" i="1" l="1"/>
  <c r="AQ4" i="1" l="1"/>
  <c r="AP4" i="1"/>
  <c r="AN3" i="1"/>
  <c r="AM3" i="1"/>
  <c r="AK3" i="1"/>
  <c r="AJ3" i="1"/>
  <c r="AH3" i="1"/>
  <c r="AG3" i="1"/>
  <c r="AE3" i="1"/>
  <c r="AD3" i="1"/>
  <c r="AB3" i="1"/>
  <c r="AA3" i="1"/>
  <c r="Y3" i="1"/>
  <c r="X3" i="1"/>
  <c r="V3" i="1"/>
  <c r="U3" i="1"/>
  <c r="S3" i="1"/>
  <c r="R3" i="1"/>
  <c r="P3" i="1"/>
  <c r="O3" i="1"/>
  <c r="M3" i="1"/>
  <c r="L3" i="1"/>
  <c r="J3" i="1"/>
  <c r="I3" i="1"/>
  <c r="G3" i="1"/>
  <c r="F3" i="1"/>
  <c r="AQ10" i="1" l="1"/>
  <c r="AP10" i="1"/>
  <c r="AQ9" i="1"/>
  <c r="AP9" i="1"/>
  <c r="AQ8" i="1"/>
  <c r="AP8" i="1"/>
  <c r="AQ7" i="1"/>
  <c r="AP7" i="1"/>
  <c r="AQ6" i="1"/>
  <c r="AP6" i="1"/>
  <c r="AC3" i="1" l="1"/>
  <c r="Q3" i="1"/>
  <c r="AL3" i="1"/>
  <c r="AF3" i="1"/>
  <c r="W3" i="1"/>
  <c r="T3" i="1"/>
  <c r="N3" i="1"/>
  <c r="K3" i="1"/>
  <c r="H3" i="1"/>
  <c r="AP5" i="1"/>
  <c r="AP3" i="1" s="1"/>
  <c r="AL10" i="1"/>
  <c r="AL9" i="1"/>
  <c r="AL8" i="1"/>
  <c r="AL7" i="1"/>
  <c r="AL6" i="1"/>
  <c r="AL5" i="1"/>
  <c r="AL4" i="1"/>
  <c r="AI10" i="1"/>
  <c r="AI9" i="1"/>
  <c r="AI8" i="1"/>
  <c r="AI7" i="1"/>
  <c r="AI6" i="1"/>
  <c r="AI5" i="1"/>
  <c r="AI4" i="1"/>
  <c r="AF10" i="1"/>
  <c r="AF9" i="1"/>
  <c r="AF8" i="1"/>
  <c r="AF7" i="1"/>
  <c r="AF6" i="1"/>
  <c r="AF5" i="1"/>
  <c r="AF4" i="1"/>
  <c r="AC10" i="1"/>
  <c r="AC9" i="1"/>
  <c r="AC8" i="1"/>
  <c r="AC7" i="1"/>
  <c r="AC6" i="1"/>
  <c r="AC5" i="1"/>
  <c r="AC4" i="1"/>
  <c r="Z10" i="1"/>
  <c r="Z9" i="1"/>
  <c r="Z8" i="1"/>
  <c r="Z7" i="1"/>
  <c r="Z6" i="1"/>
  <c r="Z5" i="1"/>
  <c r="Z4" i="1"/>
  <c r="W10" i="1"/>
  <c r="W9" i="1"/>
  <c r="W8" i="1"/>
  <c r="W7" i="1"/>
  <c r="W6" i="1"/>
  <c r="W5" i="1"/>
  <c r="W4" i="1"/>
  <c r="T10" i="1"/>
  <c r="T9" i="1"/>
  <c r="T8" i="1"/>
  <c r="T7" i="1"/>
  <c r="T6" i="1"/>
  <c r="T5" i="1"/>
  <c r="T4" i="1"/>
  <c r="Q10" i="1"/>
  <c r="Q9" i="1"/>
  <c r="Q8" i="1"/>
  <c r="Q7" i="1"/>
  <c r="Q6" i="1"/>
  <c r="Q5" i="1"/>
  <c r="Q4" i="1"/>
  <c r="N10" i="1"/>
  <c r="N9" i="1"/>
  <c r="N8" i="1"/>
  <c r="N7" i="1"/>
  <c r="N6" i="1"/>
  <c r="N5" i="1"/>
  <c r="N4" i="1"/>
  <c r="K10" i="1"/>
  <c r="K9" i="1"/>
  <c r="K8" i="1"/>
  <c r="K7" i="1"/>
  <c r="K6" i="1"/>
  <c r="K5" i="1"/>
  <c r="K4" i="1"/>
  <c r="H10" i="1"/>
  <c r="H9" i="1"/>
  <c r="H8" i="1"/>
  <c r="H7" i="1"/>
  <c r="H6" i="1"/>
  <c r="H5" i="1"/>
  <c r="H4" i="1"/>
  <c r="E10" i="1"/>
  <c r="E9" i="1"/>
  <c r="E8" i="1"/>
  <c r="E7" i="1"/>
  <c r="E6" i="1"/>
  <c r="E5" i="1"/>
  <c r="AQ5" i="1"/>
  <c r="AI3" i="1" l="1"/>
  <c r="Z3" i="1"/>
  <c r="AO6" i="1"/>
  <c r="E3" i="1"/>
  <c r="AO9" i="1"/>
  <c r="AO10" i="1"/>
  <c r="AO5" i="1"/>
  <c r="AO7" i="1"/>
  <c r="AO8" i="1"/>
  <c r="AQ3" i="1"/>
  <c r="AO3" i="1" l="1"/>
  <c r="AO4" i="1"/>
</calcChain>
</file>

<file path=xl/sharedStrings.xml><?xml version="1.0" encoding="utf-8"?>
<sst xmlns="http://schemas.openxmlformats.org/spreadsheetml/2006/main" count="72" uniqueCount="36">
  <si>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</si>
  <si>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</si>
  <si>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</si>
  <si>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</si>
  <si>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</si>
  <si>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</si>
  <si>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</si>
  <si>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</si>
  <si>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</si>
  <si>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</si>
  <si>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</si>
  <si>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</si>
  <si>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</si>
  <si>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</si>
  <si>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</si>
  <si>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</si>
  <si>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</si>
  <si>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</si>
  <si>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</si>
  <si>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</si>
  <si>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</si>
  <si>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</si>
  <si>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</si>
  <si>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</si>
  <si>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</si>
  <si>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</si>
  <si>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Canada</t>
    <phoneticPr fontId="18" type="noConversion"/>
  </si>
  <si>
    <t>2. FAS Totals include all Agricultural commodities and FAS selected NONAG commodity items.</t>
    <phoneticPr fontId="18" type="noConversion"/>
  </si>
  <si>
    <t>Colombia</t>
    <phoneticPr fontId="18" type="noConversion"/>
  </si>
  <si>
    <t>Chile</t>
    <phoneticPr fontId="18" type="noConversion"/>
  </si>
  <si>
    <t>Hong Kong</t>
    <phoneticPr fontId="18" type="noConversion"/>
  </si>
  <si>
    <t>Mexico</t>
    <phoneticPr fontId="18" type="noConversion"/>
  </si>
  <si>
    <t>Brazil</t>
    <phoneticPr fontId="18" type="noConversion"/>
  </si>
  <si>
    <t>Bahamas, The</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</si>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</sst>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4197.802197802198</v>
      </c>
      <c r="F3" s="9">
        <f>SUM(F4:F10)</f>
        <v>38200</v>
      </c>
      <c r="G3" s="10">
        <f>SUM(G4:G10)</f>
        <v>9.1</v>
      </c>
      <c r="H3" s="9">
        <f>I3/J3</f>
        <v>2913.5802469135806</v>
      </c>
      <c r="I3" s="9">
        <f>SUM(I4:I10)</f>
        <v>47200</v>
      </c>
      <c r="J3" s="10">
        <f>SUM(J4:J10)</f>
        <v>16.2</v>
      </c>
      <c r="K3" s="9">
        <f>L3/M3</f>
        <v>1702.6623376623377</v>
      </c>
      <c r="L3" s="9">
        <f>SUM(L4:L10)</f>
        <v>131105</v>
      </c>
      <c r="M3" s="10">
        <f>SUM(M4:M10)</f>
        <v>77</v>
      </c>
      <c r="N3" s="9">
        <f>O3/P3</f>
        <v>1747.838795394154</v>
      </c>
      <c r="O3" s="9">
        <f>SUM(O4:O10)</f>
        <v>197331</v>
      </c>
      <c r="P3" s="10">
        <f>SUM(P4:P10)</f>
        <v>112.9</v>
      </c>
      <c r="Q3" s="9">
        <f>R3/S3</f>
        <v>1794.4031391986782</v>
      </c>
      <c r="R3" s="9">
        <f>SUM(R4:R10)</f>
        <v>173770</v>
      </c>
      <c r="S3" s="10">
        <f>SUM(S4:S10)</f>
        <v>96.84</v>
      </c>
      <c r="T3" s="9" t="e">
        <f>U3/V3</f>
        <v>#DIV/0!</v>
      </c>
      <c r="U3" s="9">
        <f>SUM(U4:U10)</f>
        <v>0</v>
      </c>
      <c r="V3" s="10">
        <f>SUM(V4:V10)</f>
        <v>0</v>
      </c>
      <c r="W3" s="9">
        <f>X3/Y3</f>
        <v>1778.1193255512324</v>
      </c>
      <c r="X3" s="9">
        <f>SUM(X4:X10)</f>
        <v>137093</v>
      </c>
      <c r="Y3" s="10">
        <f>SUM(Y4:Y10)</f>
        <v>77.099999999999994</v>
      </c>
      <c r="Z3" s="9">
        <f>AA3/AB3</f>
        <v>1458.95</v>
      </c>
      <c r="AA3" s="9">
        <f>SUM(AA4:AA10)</f>
        <v>29179</v>
      </c>
      <c r="AB3" s="10">
        <f>SUM(AB4:AB10)</f>
        <v>20</v>
      </c>
      <c r="AC3" s="9" t="e">
        <f>AD3/AE3</f>
        <v>#DIV/0!</v>
      </c>
      <c r="AD3" s="9">
        <f>SUM(AD4:AD10)</f>
        <v>0</v>
      </c>
      <c r="AE3" s="10">
        <f>SUM(AE4:AE10)</f>
        <v>0</v>
      </c>
      <c r="AF3" s="9">
        <f>AG3/AH3</f>
        <v>1425.4</v>
      </c>
      <c r="AG3" s="9">
        <f>SUM(AG4:AG10)</f>
        <v>28508</v>
      </c>
      <c r="AH3" s="10">
        <f>SUM(AH4:AH10)</f>
        <v>20</v>
      </c>
      <c r="AI3" s="9">
        <f>AJ3/AK3</f>
        <v>1782.2030825022664</v>
      </c>
      <c r="AJ3" s="9">
        <f>SUM(AJ4:AJ10)</f>
        <v>196577</v>
      </c>
      <c r="AK3" s="10">
        <f>SUM(AK4:AK10)</f>
        <v>110.30000000000001</v>
      </c>
      <c r="AL3" s="9">
        <f>AM3/AN3</f>
        <v>1293.05</v>
      </c>
      <c r="AM3" s="9">
        <f>SUM(AM4:AM10)</f>
        <v>25861</v>
      </c>
      <c r="AN3" s="10">
        <f>SUM(AN4:AN10)</f>
        <v>20</v>
      </c>
      <c r="AO3" s="9">
        <f>AP3/AQ3</f>
        <v>1796.1246961246964</v>
      </c>
      <c r="AP3" s="9">
        <f>SUM(AP4:AP10)</f>
        <v>1004824</v>
      </c>
      <c r="AQ3" s="10">
        <f>SUM(AQ4:AQ10)</f>
        <v>559.43999999999994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26</v>
      </c>
      <c r="B4" s="12"/>
      <c r="C4" s="12"/>
      <c r="D4" s="12"/>
      <c r="E4" s="3" t="e">
        <f t="shared" ref="E4:E10" si="0">F4/G4</f>
        <v>#DIV/0!</v>
      </c>
      <c r="F4" s="3">
        <v>0</v>
      </c>
      <c r="G4" s="6">
        <v>0</v>
      </c>
      <c r="H4" s="3" t="e">
        <f t="shared" ref="H4:H10" si="1">I4/J4</f>
        <v>#DIV/0!</v>
      </c>
      <c r="I4" s="3">
        <v>0</v>
      </c>
      <c r="J4" s="6">
        <v>0</v>
      </c>
      <c r="K4" s="3">
        <f t="shared" ref="K4:K10" si="2">L4/M4</f>
        <v>1707.3501997336884</v>
      </c>
      <c r="L4" s="3">
        <v>128222</v>
      </c>
      <c r="M4" s="6">
        <v>75.099999999999994</v>
      </c>
      <c r="N4" s="3">
        <f t="shared" ref="N4:N10" si="3">O4/P4</f>
        <v>1803.3952912019827</v>
      </c>
      <c r="O4" s="3">
        <v>145534</v>
      </c>
      <c r="P4" s="6">
        <v>80.7</v>
      </c>
      <c r="Q4" s="3">
        <f t="shared" ref="Q4:Q10" si="4">R4/S4</f>
        <v>1794.4031391986782</v>
      </c>
      <c r="R4" s="3">
        <v>173770</v>
      </c>
      <c r="S4" s="6">
        <v>96.84</v>
      </c>
      <c r="T4" s="3" t="e">
        <f t="shared" ref="T4:T10" si="5">U4/V4</f>
        <v>#DIV/0!</v>
      </c>
      <c r="U4" s="3">
        <v>0</v>
      </c>
      <c r="V4" s="6">
        <v>0</v>
      </c>
      <c r="W4" s="3">
        <f t="shared" ref="W4:W10" si="6">X4/Y4</f>
        <v>1778.1193255512324</v>
      </c>
      <c r="X4" s="3">
        <v>137093</v>
      </c>
      <c r="Y4" s="6">
        <v>77.099999999999994</v>
      </c>
      <c r="Z4" s="3">
        <f t="shared" ref="Z4:Z10" si="7">AA4/AB4</f>
        <v>1458.95</v>
      </c>
      <c r="AA4" s="3">
        <v>29179</v>
      </c>
      <c r="AB4" s="6">
        <v>20</v>
      </c>
      <c r="AC4" s="3" t="e">
        <f t="shared" ref="AC4:AC10" si="8">AD4/AE4</f>
        <v>#DIV/0!</v>
      </c>
      <c r="AD4" s="3">
        <v>0</v>
      </c>
      <c r="AE4" s="6">
        <v>0</v>
      </c>
      <c r="AF4" s="3">
        <f t="shared" ref="AF4:AF10" si="9">AG4/AH4</f>
        <v>1425.4</v>
      </c>
      <c r="AG4" s="3">
        <v>28508</v>
      </c>
      <c r="AH4" s="6">
        <v>20</v>
      </c>
      <c r="AI4" s="3">
        <f t="shared" ref="AI4:AI10" si="10">AJ4/AK4</f>
        <v>1723.5009310986964</v>
      </c>
      <c r="AJ4" s="3">
        <v>185104</v>
      </c>
      <c r="AK4" s="6">
        <v>107.4</v>
      </c>
      <c r="AL4" s="3">
        <f t="shared" ref="AL4:AL10" si="11">AM4/AN4</f>
        <v>1293.05</v>
      </c>
      <c r="AM4" s="3">
        <v>25861</v>
      </c>
      <c r="AN4" s="6">
        <v>20</v>
      </c>
      <c r="AO4" s="3">
        <f t="shared" ref="AO4:AO10" si="12">AP4/AQ4</f>
        <v>1716.3595767791769</v>
      </c>
      <c r="AP4" s="3">
        <f t="shared" ref="AP4" si="13">SUM(F4,I4,L4,O4,R4,U4,X4,AA4,AD4,AG4,AJ4,AM4)</f>
        <v>853271</v>
      </c>
      <c r="AQ4" s="6">
        <f t="shared" ref="AQ4" si="14">SUM(G4,J4,M4,P4,S4,V4,Y4,AB4,AE4,AH4,AK4,AN4)</f>
        <v>497.14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33</v>
      </c>
      <c r="B5" s="12"/>
      <c r="C5" s="12"/>
      <c r="D5" s="12"/>
      <c r="E5" s="3">
        <f t="shared" si="0"/>
        <v>4197.802197802198</v>
      </c>
      <c r="F5" s="3">
        <v>38200</v>
      </c>
      <c r="G5" s="6">
        <v>9.1</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4197.802197802198</v>
      </c>
      <c r="AP5" s="3">
        <f t="shared" ref="AP5" si="15">SUM(F5,I5,L5,O5,R5,U5,X5,AA5,AD5,AG5,AJ5,AM5)</f>
        <v>38200</v>
      </c>
      <c r="AQ5" s="6">
        <f t="shared" ref="AQ5" si="16">SUM(G5,J5,M5,P5,S5,V5,Y5,AB5,AE5,AH5,AK5,AN5)</f>
        <v>9.1</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32</v>
      </c>
      <c r="B6" s="12"/>
      <c r="C6" s="12"/>
      <c r="D6" s="12"/>
      <c r="E6" s="3" t="e">
        <f t="shared" si="0"/>
        <v>#DIV/0!</v>
      </c>
      <c r="F6" s="3">
        <v>0</v>
      </c>
      <c r="G6" s="6">
        <v>0</v>
      </c>
      <c r="H6" s="3" t="e">
        <f t="shared" si="1"/>
        <v>#DIV/0!</v>
      </c>
      <c r="I6" s="3">
        <v>0</v>
      </c>
      <c r="J6" s="6">
        <v>0</v>
      </c>
      <c r="K6" s="3">
        <f t="shared" si="2"/>
        <v>1517.3684210526317</v>
      </c>
      <c r="L6" s="3">
        <v>2883</v>
      </c>
      <c r="M6" s="6">
        <v>1.9</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1517.3684210526317</v>
      </c>
      <c r="AP6" s="3">
        <f t="shared" ref="AP6:AP10" si="17">SUM(F6,I6,L6,O6,R6,U6,X6,AA6,AD6,AG6,AJ6,AM6)</f>
        <v>2883</v>
      </c>
      <c r="AQ6" s="6">
        <f t="shared" ref="AQ6:AQ10" si="18">SUM(G6,J6,M6,P6,S6,V6,Y6,AB6,AE6,AH6,AK6,AN6)</f>
        <v>1.9</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29</v>
      </c>
      <c r="B7" s="12"/>
      <c r="C7" s="12"/>
      <c r="D7" s="12"/>
      <c r="E7" s="3" t="e">
        <f t="shared" si="0"/>
        <v>#DIV/0!</v>
      </c>
      <c r="F7" s="3">
        <v>0</v>
      </c>
      <c r="G7" s="6">
        <v>0</v>
      </c>
      <c r="H7" s="3" t="e">
        <f t="shared" si="1"/>
        <v>#DIV/0!</v>
      </c>
      <c r="I7" s="3">
        <v>0</v>
      </c>
      <c r="J7" s="6">
        <v>0</v>
      </c>
      <c r="K7" s="3" t="e">
        <f t="shared" si="2"/>
        <v>#DIV/0!</v>
      </c>
      <c r="L7" s="3">
        <v>0</v>
      </c>
      <c r="M7" s="6">
        <v>0</v>
      </c>
      <c r="N7" s="3">
        <f t="shared" si="3"/>
        <v>1553.9285714285716</v>
      </c>
      <c r="O7" s="3">
        <v>4351</v>
      </c>
      <c r="P7" s="6">
        <v>2.8</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1553.9285714285716</v>
      </c>
      <c r="AP7" s="3">
        <f t="shared" si="17"/>
        <v>4351</v>
      </c>
      <c r="AQ7" s="6">
        <f t="shared" si="18"/>
        <v>2.8</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28</v>
      </c>
      <c r="B8" s="12"/>
      <c r="C8" s="12"/>
      <c r="D8" s="12"/>
      <c r="E8" s="3" t="e">
        <f t="shared" si="0"/>
        <v>#DIV/0!</v>
      </c>
      <c r="F8" s="3">
        <v>0</v>
      </c>
      <c r="G8" s="6">
        <v>0</v>
      </c>
      <c r="H8" s="3">
        <f t="shared" si="1"/>
        <v>2913.5802469135806</v>
      </c>
      <c r="I8" s="3">
        <v>47200</v>
      </c>
      <c r="J8" s="6">
        <v>16.2</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f t="shared" si="10"/>
        <v>3956.2068965517242</v>
      </c>
      <c r="AJ8" s="3">
        <v>11473</v>
      </c>
      <c r="AK8" s="6">
        <v>2.9</v>
      </c>
      <c r="AL8" s="3" t="e">
        <f t="shared" si="11"/>
        <v>#DIV/0!</v>
      </c>
      <c r="AM8" s="3">
        <v>0</v>
      </c>
      <c r="AN8" s="6">
        <v>0</v>
      </c>
      <c r="AO8" s="3">
        <f t="shared" si="12"/>
        <v>3071.8848167539272</v>
      </c>
      <c r="AP8" s="3">
        <f t="shared" si="17"/>
        <v>58673</v>
      </c>
      <c r="AQ8" s="6">
        <f t="shared" si="18"/>
        <v>19.099999999999998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30</v>
      </c>
      <c r="B9" s="12"/>
      <c r="C9" s="12"/>
      <c r="D9" s="12"/>
      <c r="E9" s="3" t="e">
        <f t="shared" si="0"/>
        <v>#DIV/0!</v>
      </c>
      <c r="F9" s="3">
        <v>0</v>
      </c>
      <c r="G9" s="6">
        <v>0</v>
      </c>
      <c r="H9" s="3" t="e">
        <f t="shared" si="1"/>
        <v>#DIV/0!</v>
      </c>
      <c r="I9" s="3">
        <v>0</v>
      </c>
      <c r="J9" s="6">
        <v>0</v>
      </c>
      <c r="K9" s="3" t="e">
        <f t="shared" si="2"/>
        <v>#DIV/0!</v>
      </c>
      <c r="L9" s="3">
        <v>0</v>
      </c>
      <c r="M9" s="6">
        <v>0</v>
      </c>
      <c r="N9" s="3">
        <f t="shared" si="3"/>
        <v>1400.8421052631579</v>
      </c>
      <c r="O9" s="3">
        <v>26616</v>
      </c>
      <c r="P9" s="6">
        <v>19</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1400.8421052631579</v>
      </c>
      <c r="AP9" s="3">
        <f t="shared" si="17"/>
        <v>26616</v>
      </c>
      <c r="AQ9" s="6">
        <f t="shared" si="18"/>
        <v>19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1" t="s">
        <v>31</v>
      </c>
      <c r="B10" s="13"/>
      <c r="C10" s="13"/>
      <c r="D10" s="13"/>
      <c r="E10" s="8" t="e">
        <f t="shared" si="0"/>
        <v>#DIV/0!</v>
      </c>
      <c r="F10" s="9">
        <v>0</v>
      </c>
      <c r="G10" s="10">
        <v>0</v>
      </c>
      <c r="H10" s="9" t="e">
        <f t="shared" si="1"/>
        <v>#DIV/0!</v>
      </c>
      <c r="I10" s="9">
        <v>0</v>
      </c>
      <c r="J10" s="10">
        <v>0</v>
      </c>
      <c r="K10" s="9" t="e">
        <f t="shared" si="2"/>
        <v>#DIV/0!</v>
      </c>
      <c r="L10" s="9">
        <v>0</v>
      </c>
      <c r="M10" s="10">
        <v>0</v>
      </c>
      <c r="N10" s="9">
        <f t="shared" si="3"/>
        <v>2002.8846153846152</v>
      </c>
      <c r="O10" s="9">
        <v>20830</v>
      </c>
      <c r="P10" s="10">
        <v>10.4</v>
      </c>
      <c r="Q10" s="9" t="e">
        <f t="shared" si="4"/>
        <v>#DIV/0!</v>
      </c>
      <c r="R10" s="9">
        <v>0</v>
      </c>
      <c r="S10" s="10">
        <v>0</v>
      </c>
      <c r="T10" s="9" t="e">
        <f t="shared" si="5"/>
        <v>#DIV/0!</v>
      </c>
      <c r="U10" s="9">
        <v>0</v>
      </c>
      <c r="V10" s="10">
        <v>0</v>
      </c>
      <c r="W10" s="9" t="e">
        <f t="shared" si="6"/>
        <v>#DIV/0!</v>
      </c>
      <c r="X10" s="9">
        <v>0</v>
      </c>
      <c r="Y10" s="10">
        <v>0</v>
      </c>
      <c r="Z10" s="9" t="e">
        <f t="shared" si="7"/>
        <v>#DIV/0!</v>
      </c>
      <c r="AA10" s="9">
        <v>0</v>
      </c>
      <c r="AB10" s="10">
        <v>0</v>
      </c>
      <c r="AC10" s="9" t="e">
        <f t="shared" si="8"/>
        <v>#DIV/0!</v>
      </c>
      <c r="AD10" s="9">
        <v>0</v>
      </c>
      <c r="AE10" s="10">
        <v>0</v>
      </c>
      <c r="AF10" s="9" t="e">
        <f t="shared" si="9"/>
        <v>#DIV/0!</v>
      </c>
      <c r="AG10" s="9">
        <v>0</v>
      </c>
      <c r="AH10" s="10">
        <v>0</v>
      </c>
      <c r="AI10" s="9" t="e">
        <f t="shared" si="10"/>
        <v>#DIV/0!</v>
      </c>
      <c r="AJ10" s="9">
        <v>0</v>
      </c>
      <c r="AK10" s="10">
        <v>0</v>
      </c>
      <c r="AL10" s="9" t="e">
        <f t="shared" si="11"/>
        <v>#DIV/0!</v>
      </c>
      <c r="AM10" s="9">
        <v>0</v>
      </c>
      <c r="AN10" s="10">
        <v>0</v>
      </c>
      <c r="AO10" s="9">
        <f t="shared" si="12"/>
        <v>2002.8846153846152</v>
      </c>
      <c r="AP10" s="9">
        <f t="shared" si="17"/>
        <v>20830</v>
      </c>
      <c r="AQ10" s="10">
        <f t="shared" si="18"/>
        <v>10.4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x14ac:dyDescent="0.3">
      <c r="A11" s="1" t="s">
        <v>18</v>
      </c>
      <c r="B11" s="1"/>
    </row>
    <row r="12" spans="1:67" x14ac:dyDescent="0.3">
      <c r="A12" s="1" t="s">
        <v>23</v>
      </c>
      <c r="B12" s="1"/>
    </row>
    <row r="13" spans="1:67" x14ac:dyDescent="0.3">
      <c r="A13" s="1" t="s">
        <v>27</v>
      </c>
      <c r="B13" s="1"/>
    </row>
    <row r="14" spans="1:67" x14ac:dyDescent="0.3">
      <c r="A14" s="1" t="s">
        <v>34</v>
      </c>
      <c r="B14" s="1"/>
    </row>
    <row r="15" spans="1:67" x14ac:dyDescent="0.3">
      <c r="A15" s="1" t="s">
        <v>35</v>
      </c>
      <c r="B15" s="1"/>
    </row>
  </sheetData>
  <mergeCells count="16">
    <mergeCell ref="N1:P1"/>
    <mergeCell ref="Q1:S1"/>
    <mergeCell ref="T1:V1"/>
    <mergeCell ref="AL1:AN1"/>
    <mergeCell ref="AO1:AQ1"/>
    <mergeCell ref="W1:Y1"/>
    <mergeCell ref="Z1:AB1"/>
    <mergeCell ref="AC1:AE1"/>
    <mergeCell ref="AF1:AH1"/>
    <mergeCell ref="AI1:AK1"/>
    <mergeCell ref="B3:B10"/>
    <mergeCell ref="E1:G1"/>
    <mergeCell ref="H1:J1"/>
    <mergeCell ref="K1:M1"/>
    <mergeCell ref="C3:C10"/>
    <mergeCell ref="D3:D10"/>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2026-08-10T02:15:18Z</dcterms:modified>
</cp:coreProperties>
</file>