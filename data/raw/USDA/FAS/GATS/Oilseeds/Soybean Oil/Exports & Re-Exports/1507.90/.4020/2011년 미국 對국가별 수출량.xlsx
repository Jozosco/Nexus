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표백 또는 탈취 과정을 거치지 않은 대두유(.4020)\"/>
    </mc:Choice>
  </mc:AlternateContent>
  <bookViews>
    <workbookView xWindow="0" yWindow="0" windowWidth="25125" windowHeight="11640"/>
  </bookViews>
  <sheets>
    <sheet name="2011년" sheetId="1" r:id="rId1"/>
  </sheets>
  <calcPr calcId="162913"/>
</workbook>
</file>

<file path=xl/calcChain.xml><?xml version="1.0" encoding="utf-8"?>
<calcChain xmlns="http://schemas.openxmlformats.org/spreadsheetml/2006/main">
  <c r="AQ30" i="1" l="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N3" i="1"/>
  <c r="AM3" i="1"/>
  <c r="AK3" i="1"/>
  <c r="AJ3" i="1"/>
  <c r="AH3" i="1"/>
  <c r="AG3" i="1"/>
  <c r="AB3" i="1"/>
  <c r="AA3" i="1"/>
  <c r="AE3" i="1"/>
  <c r="AD3" i="1"/>
  <c r="Y3" i="1"/>
  <c r="X3" i="1"/>
  <c r="V3" i="1"/>
  <c r="U3" i="1"/>
  <c r="S3" i="1"/>
  <c r="R3" i="1"/>
  <c r="P3" i="1"/>
  <c r="O3" i="1"/>
  <c r="M3" i="1"/>
  <c r="L3" i="1"/>
  <c r="J3" i="1"/>
  <c r="I3" i="1"/>
  <c r="G3" i="1"/>
  <c r="F3" i="1"/>
  <c r="AQ4" i="1"/>
  <c r="AP4" i="1"/>
  <c r="AP3" i="1" l="1"/>
  <c r="AQ3" i="1"/>
  <c r="AC3" i="1" l="1"/>
  <c r="Q3" i="1"/>
  <c r="AL3" i="1"/>
  <c r="AF3" i="1"/>
  <c r="W3" i="1"/>
  <c r="T3" i="1"/>
  <c r="N3" i="1"/>
  <c r="K3" i="1"/>
  <c r="H3"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30" i="1"/>
  <c r="Z29" i="1"/>
  <c r="Z28" i="1"/>
  <c r="Z27" i="1"/>
  <c r="Z26" i="1"/>
  <c r="Z25" i="1"/>
  <c r="Z24" i="1"/>
  <c r="Z23" i="1"/>
  <c r="Z22" i="1"/>
  <c r="Z21" i="1"/>
  <c r="Z20" i="1"/>
  <c r="Z19" i="1"/>
  <c r="Z18" i="1"/>
  <c r="Z17" i="1"/>
  <c r="Z16" i="1"/>
  <c r="Z15" i="1"/>
  <c r="Z14" i="1"/>
  <c r="Z13" i="1"/>
  <c r="Z12" i="1"/>
  <c r="Z11" i="1"/>
  <c r="Z10" i="1"/>
  <c r="Z9" i="1"/>
  <c r="Z8" i="1"/>
  <c r="Z7" i="1"/>
  <c r="Z6" i="1"/>
  <c r="Z5" i="1"/>
  <c r="Z4" i="1"/>
  <c r="W30" i="1"/>
  <c r="W29" i="1"/>
  <c r="W28" i="1"/>
  <c r="W27" i="1"/>
  <c r="W26" i="1"/>
  <c r="W25" i="1"/>
  <c r="W24" i="1"/>
  <c r="W23" i="1"/>
  <c r="W22" i="1"/>
  <c r="W21" i="1"/>
  <c r="W20" i="1"/>
  <c r="W19" i="1"/>
  <c r="W18" i="1"/>
  <c r="W17" i="1"/>
  <c r="W16" i="1"/>
  <c r="W15" i="1"/>
  <c r="W14" i="1"/>
  <c r="W13" i="1"/>
  <c r="W12" i="1"/>
  <c r="W11" i="1"/>
  <c r="W10" i="1"/>
  <c r="W9" i="1"/>
  <c r="W8" i="1"/>
  <c r="W7" i="1"/>
  <c r="W6" i="1"/>
  <c r="W5" i="1"/>
  <c r="W4" i="1"/>
  <c r="T30" i="1"/>
  <c r="T29" i="1"/>
  <c r="T28" i="1"/>
  <c r="T27" i="1"/>
  <c r="T26" i="1"/>
  <c r="T25" i="1"/>
  <c r="T24" i="1"/>
  <c r="T23" i="1"/>
  <c r="T22" i="1"/>
  <c r="T21" i="1"/>
  <c r="T20" i="1"/>
  <c r="T19" i="1"/>
  <c r="T18" i="1"/>
  <c r="T17" i="1"/>
  <c r="T16" i="1"/>
  <c r="T15" i="1"/>
  <c r="T14" i="1"/>
  <c r="T13" i="1"/>
  <c r="T12" i="1"/>
  <c r="T11" i="1"/>
  <c r="T10" i="1"/>
  <c r="T9" i="1"/>
  <c r="T8" i="1"/>
  <c r="T7" i="1"/>
  <c r="T6" i="1"/>
  <c r="T5" i="1"/>
  <c r="T4" i="1"/>
  <c r="Q30" i="1"/>
  <c r="Q29" i="1"/>
  <c r="Q28" i="1"/>
  <c r="Q27" i="1"/>
  <c r="Q26" i="1"/>
  <c r="Q25" i="1"/>
  <c r="Q24" i="1"/>
  <c r="Q23" i="1"/>
  <c r="Q22" i="1"/>
  <c r="Q21" i="1"/>
  <c r="Q20" i="1"/>
  <c r="Q19" i="1"/>
  <c r="Q18" i="1"/>
  <c r="Q17" i="1"/>
  <c r="Q16" i="1"/>
  <c r="Q15" i="1"/>
  <c r="Q14" i="1"/>
  <c r="Q13" i="1"/>
  <c r="Q12" i="1"/>
  <c r="Q11" i="1"/>
  <c r="Q10" i="1"/>
  <c r="Q9" i="1"/>
  <c r="Q8" i="1"/>
  <c r="Q7" i="1"/>
  <c r="Q6" i="1"/>
  <c r="Q5" i="1"/>
  <c r="Q4" i="1"/>
  <c r="N30" i="1"/>
  <c r="N29" i="1"/>
  <c r="N28" i="1"/>
  <c r="N27" i="1"/>
  <c r="N26" i="1"/>
  <c r="N25" i="1"/>
  <c r="N24" i="1"/>
  <c r="N23" i="1"/>
  <c r="N22" i="1"/>
  <c r="N21" i="1"/>
  <c r="N20" i="1"/>
  <c r="N19" i="1"/>
  <c r="N18" i="1"/>
  <c r="N17" i="1"/>
  <c r="N16" i="1"/>
  <c r="N15" i="1"/>
  <c r="N14" i="1"/>
  <c r="N13" i="1"/>
  <c r="N12" i="1"/>
  <c r="N11" i="1"/>
  <c r="N10" i="1"/>
  <c r="N9" i="1"/>
  <c r="N8" i="1"/>
  <c r="N7" i="1"/>
  <c r="N6" i="1"/>
  <c r="N5" i="1"/>
  <c r="N4" i="1"/>
  <c r="K30" i="1"/>
  <c r="K29" i="1"/>
  <c r="K28" i="1"/>
  <c r="K27" i="1"/>
  <c r="K26" i="1"/>
  <c r="K25" i="1"/>
  <c r="K24" i="1"/>
  <c r="K23" i="1"/>
  <c r="K22" i="1"/>
  <c r="K21" i="1"/>
  <c r="K20" i="1"/>
  <c r="K19" i="1"/>
  <c r="K18" i="1"/>
  <c r="K17" i="1"/>
  <c r="K16" i="1"/>
  <c r="K15" i="1"/>
  <c r="K14" i="1"/>
  <c r="K13" i="1"/>
  <c r="K12" i="1"/>
  <c r="K11" i="1"/>
  <c r="K10" i="1"/>
  <c r="K9" i="1"/>
  <c r="K8" i="1"/>
  <c r="K7" i="1"/>
  <c r="K6" i="1"/>
  <c r="K5" i="1"/>
  <c r="K4" i="1"/>
  <c r="H30" i="1"/>
  <c r="H29" i="1"/>
  <c r="H28" i="1"/>
  <c r="H27" i="1"/>
  <c r="H26" i="1"/>
  <c r="H25" i="1"/>
  <c r="H24" i="1"/>
  <c r="H23" i="1"/>
  <c r="H22" i="1"/>
  <c r="H21" i="1"/>
  <c r="H20" i="1"/>
  <c r="H19" i="1"/>
  <c r="H18" i="1"/>
  <c r="H17" i="1"/>
  <c r="H16" i="1"/>
  <c r="H15" i="1"/>
  <c r="H14" i="1"/>
  <c r="H13" i="1"/>
  <c r="H12" i="1"/>
  <c r="H11" i="1"/>
  <c r="H10" i="1"/>
  <c r="H9" i="1"/>
  <c r="H8" i="1"/>
  <c r="H7" i="1"/>
  <c r="H6" i="1"/>
  <c r="H5" i="1"/>
  <c r="H4" i="1"/>
  <c r="E30" i="1"/>
  <c r="E29" i="1"/>
  <c r="E28" i="1"/>
  <c r="E27" i="1"/>
  <c r="E26" i="1"/>
  <c r="E25" i="1"/>
  <c r="E24" i="1"/>
  <c r="E23" i="1"/>
  <c r="E22" i="1"/>
  <c r="E21" i="1"/>
  <c r="E20" i="1"/>
  <c r="E19" i="1"/>
  <c r="E18" i="1"/>
  <c r="E17" i="1"/>
  <c r="E16" i="1"/>
  <c r="E15" i="1"/>
  <c r="E14" i="1"/>
  <c r="E13" i="1"/>
  <c r="E11" i="1"/>
  <c r="E10" i="1"/>
  <c r="E9" i="1"/>
  <c r="E8" i="1"/>
  <c r="E7" i="1"/>
  <c r="E6" i="1"/>
  <c r="E5" i="1"/>
  <c r="E4" i="1"/>
  <c r="E12" i="1"/>
  <c r="AI3" i="1" l="1"/>
  <c r="Z3" i="1"/>
  <c r="AO7" i="1"/>
  <c r="AO15" i="1"/>
  <c r="E3" i="1"/>
  <c r="AO10" i="1"/>
  <c r="AO18" i="1"/>
  <c r="AO26" i="1"/>
  <c r="AO11" i="1"/>
  <c r="AO27" i="1"/>
  <c r="AO20" i="1"/>
  <c r="AO28" i="1"/>
  <c r="AO5" i="1"/>
  <c r="AO13" i="1"/>
  <c r="AO21" i="1"/>
  <c r="AO29" i="1"/>
  <c r="AO6" i="1"/>
  <c r="AO14" i="1"/>
  <c r="AO22" i="1"/>
  <c r="AO30" i="1"/>
  <c r="AO8" i="1"/>
  <c r="AO16" i="1"/>
  <c r="AO24" i="1"/>
  <c r="AO9" i="1"/>
  <c r="AO17" i="1"/>
  <c r="AO25" i="1"/>
  <c r="AO19" i="1"/>
  <c r="AO23" i="1"/>
  <c r="AO3" i="1" l="1"/>
  <c r="AO4" i="1"/>
  <c r="AO12" i="1"/>
</calcChain>
</file>

<file path=xl/sharedStrings.xml><?xml version="1.0" encoding="utf-8"?>
<sst xmlns="http://schemas.openxmlformats.org/spreadsheetml/2006/main" count="92" uniqueCount="56">
  <si>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</si>
  <si>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</si>
  <si>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</si>
  <si>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</si>
  <si>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</si>
  <si>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</si>
  <si>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</si>
  <si>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</si>
  <si>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</si>
  <si>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</si>
  <si>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</si>
  <si>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</si>
  <si>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</si>
  <si>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</si>
  <si>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</si>
  <si>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</si>
  <si>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</si>
  <si>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</si>
  <si>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</si>
  <si>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Korea, South</t>
  </si>
  <si>
    <t>Mexico</t>
  </si>
  <si>
    <t>United Arab Emirates</t>
  </si>
  <si>
    <t>Bahamas, The</t>
  </si>
  <si>
    <t>El Salvador</t>
  </si>
  <si>
    <t>Guatemala</t>
  </si>
  <si>
    <t>Honduras</t>
  </si>
  <si>
    <t>Japan</t>
  </si>
  <si>
    <t>Trinidad and Tobago</t>
  </si>
  <si>
    <t>Venezuela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</si>
  <si>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</si>
  <si>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</si>
  <si>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</si>
  <si>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</si>
  <si>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</si>
  <si>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</si>
  <si>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</si>
  <si>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</si>
  <si>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Hong Kong</t>
  </si>
  <si>
    <t>Netherlands Antilles(*)</t>
  </si>
  <si>
    <t>Saudi Arabia</t>
  </si>
  <si>
    <t>Lebanon</t>
  </si>
  <si>
    <t>India</t>
  </si>
  <si>
    <t>Bermuda</t>
  </si>
  <si>
    <t>Iceland</t>
  </si>
  <si>
    <t>1. Data Source: U.S. Census Bureau Trade Data</t>
  </si>
  <si>
    <t>4. Product Group : Harmonized</t>
  </si>
  <si>
    <t>Product</t>
    <phoneticPr fontId="18" type="noConversion"/>
  </si>
  <si>
    <t>Israel(*)</t>
  </si>
  <si>
    <t>Haiti</t>
  </si>
  <si>
    <t>Nigeria</t>
  </si>
  <si>
    <t>Norway(*)</t>
  </si>
  <si>
    <t>Thailand</t>
  </si>
  <si>
    <t>SOY OIL ONC-RFND</t>
    <phoneticPr fontId="18" type="noConversion"/>
  </si>
  <si>
    <t>Ecuador</t>
  </si>
  <si>
    <t>Germany</t>
  </si>
  <si>
    <t>Sweden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</si>
</sst>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0" xfId="0" applyNumberFormat="1" applyBorder="1">
      <alignment vertical="center"/>
    </xf>
    <xf numFmtId="49" fontId="0" fillId="0" borderId="22" xfId="0" applyNumberFormat="1" applyBorder="1">
      <alignment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0" borderId="21" xfId="0" applyNumberFormat="1" applyBorder="1">
      <alignment vertical="center"/>
    </xf>
    <xf numFmtId="176" fontId="0" fillId="0" borderId="19"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35"/>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7" t="s">
        <v>0</v>
      </c>
      <c r="F1" s="18"/>
      <c r="G1" s="19"/>
      <c r="H1" s="14" t="s">
        <v>1</v>
      </c>
      <c r="I1" s="15"/>
      <c r="J1" s="16"/>
      <c r="K1" s="14" t="s">
        <v>2</v>
      </c>
      <c r="L1" s="15"/>
      <c r="M1" s="16"/>
      <c r="N1" s="14" t="s">
        <v>3</v>
      </c>
      <c r="O1" s="15"/>
      <c r="P1" s="16"/>
      <c r="Q1" s="14" t="s">
        <v>4</v>
      </c>
      <c r="R1" s="15"/>
      <c r="S1" s="16"/>
      <c r="T1" s="14" t="s">
        <v>5</v>
      </c>
      <c r="U1" s="15"/>
      <c r="V1" s="16"/>
      <c r="W1" s="14" t="s">
        <v>6</v>
      </c>
      <c r="X1" s="15"/>
      <c r="Y1" s="16"/>
      <c r="Z1" s="14" t="s">
        <v>7</v>
      </c>
      <c r="AA1" s="15"/>
      <c r="AB1" s="16"/>
      <c r="AC1" s="14" t="s">
        <v>8</v>
      </c>
      <c r="AD1" s="15"/>
      <c r="AE1" s="16"/>
      <c r="AF1" s="14" t="s">
        <v>9</v>
      </c>
      <c r="AG1" s="15"/>
      <c r="AH1" s="16"/>
      <c r="AI1" s="14" t="s">
        <v>10</v>
      </c>
      <c r="AJ1" s="15"/>
      <c r="AK1" s="16"/>
      <c r="AL1" s="14" t="s">
        <v>11</v>
      </c>
      <c r="AM1" s="15"/>
      <c r="AN1" s="16"/>
      <c r="AO1" s="14" t="s">
        <v>12</v>
      </c>
      <c r="AP1" s="15"/>
      <c r="AQ1" s="16"/>
    </row>
    <row r="2" spans="1:67" x14ac:dyDescent="0.3">
      <c r="A2" s="2" t="s">
        <v>33</v>
      </c>
      <c r="B2" s="2" t="s">
        <v>46</v>
      </c>
      <c r="C2" s="2" t="s">
        <v>13</v>
      </c>
      <c r="D2" s="2" t="s">
        <v>34</v>
      </c>
      <c r="E2" s="4" t="s">
        <v>14</v>
      </c>
      <c r="F2" s="2" t="s">
        <v>34</v>
      </c>
      <c r="G2" s="5" t="s">
        <v>15</v>
      </c>
      <c r="H2" s="2" t="s">
        <v>14</v>
      </c>
      <c r="I2" s="2" t="s">
        <v>34</v>
      </c>
      <c r="J2" s="5" t="s">
        <v>15</v>
      </c>
      <c r="K2" s="2" t="s">
        <v>14</v>
      </c>
      <c r="L2" s="2" t="s">
        <v>34</v>
      </c>
      <c r="M2" s="5" t="s">
        <v>15</v>
      </c>
      <c r="N2" s="2" t="s">
        <v>14</v>
      </c>
      <c r="O2" s="2" t="s">
        <v>34</v>
      </c>
      <c r="P2" s="5" t="s">
        <v>15</v>
      </c>
      <c r="Q2" s="2" t="s">
        <v>14</v>
      </c>
      <c r="R2" s="2" t="s">
        <v>34</v>
      </c>
      <c r="S2" s="5" t="s">
        <v>15</v>
      </c>
      <c r="T2" s="2" t="s">
        <v>14</v>
      </c>
      <c r="U2" s="2" t="s">
        <v>34</v>
      </c>
      <c r="V2" s="5" t="s">
        <v>15</v>
      </c>
      <c r="W2" s="2" t="s">
        <v>14</v>
      </c>
      <c r="X2" s="2" t="s">
        <v>34</v>
      </c>
      <c r="Y2" s="5" t="s">
        <v>15</v>
      </c>
      <c r="Z2" s="2" t="s">
        <v>14</v>
      </c>
      <c r="AA2" s="2" t="s">
        <v>34</v>
      </c>
      <c r="AB2" s="5" t="s">
        <v>15</v>
      </c>
      <c r="AC2" s="2" t="s">
        <v>14</v>
      </c>
      <c r="AD2" s="2" t="s">
        <v>34</v>
      </c>
      <c r="AE2" s="5" t="s">
        <v>15</v>
      </c>
      <c r="AF2" s="2" t="s">
        <v>14</v>
      </c>
      <c r="AG2" s="2" t="s">
        <v>34</v>
      </c>
      <c r="AH2" s="5" t="s">
        <v>15</v>
      </c>
      <c r="AI2" s="2" t="s">
        <v>14</v>
      </c>
      <c r="AJ2" s="2" t="s">
        <v>34</v>
      </c>
      <c r="AK2" s="5" t="s">
        <v>15</v>
      </c>
      <c r="AL2" s="2" t="s">
        <v>14</v>
      </c>
      <c r="AM2" s="2" t="s">
        <v>34</v>
      </c>
      <c r="AN2" s="5" t="s">
        <v>15</v>
      </c>
      <c r="AO2" s="2" t="s">
        <v>14</v>
      </c>
      <c r="AP2" s="2" t="s">
        <v>36</v>
      </c>
      <c r="AQ2" s="5" t="s">
        <v>15</v>
      </c>
    </row>
    <row r="3" spans="1:67" ht="15" customHeight="1" x14ac:dyDescent="0.3">
      <c r="A3" s="9" t="s">
        <v>16</v>
      </c>
      <c r="B3" s="11" t="s">
        <v>52</v>
      </c>
      <c r="C3" s="11" t="s">
        <v>17</v>
      </c>
      <c r="D3" s="11" t="s">
        <v>35</v>
      </c>
      <c r="E3" s="7">
        <f>F3/G3</f>
        <v>753.90967741935481</v>
      </c>
      <c r="F3" s="7">
        <f>SUM(F4:F30)</f>
        <v>58428</v>
      </c>
      <c r="G3" s="8">
        <f>SUM(G4:G30)</f>
        <v>77.5</v>
      </c>
      <c r="H3" s="7">
        <f>I3/J3</f>
        <v>1151.1962632744619</v>
      </c>
      <c r="I3" s="7">
        <f>SUM(I4:I30)</f>
        <v>4054283</v>
      </c>
      <c r="J3" s="8">
        <f>SUM(J4:J30)</f>
        <v>3521.7999999999997</v>
      </c>
      <c r="K3" s="7">
        <f>L3/M3</f>
        <v>776.33838383838383</v>
      </c>
      <c r="L3" s="7">
        <f>SUM(L4:L30)</f>
        <v>61486</v>
      </c>
      <c r="M3" s="8">
        <f>SUM(M4:M30)</f>
        <v>79.2</v>
      </c>
      <c r="N3" s="7">
        <f>O3/P3</f>
        <v>740.94419094419118</v>
      </c>
      <c r="O3" s="7">
        <f>SUM(O4:O30)</f>
        <v>844380</v>
      </c>
      <c r="P3" s="8">
        <f>SUM(P4:P30)</f>
        <v>1139.5999999999997</v>
      </c>
      <c r="Q3" s="7">
        <f>R3/S3</f>
        <v>1289.8586683417086</v>
      </c>
      <c r="R3" s="7">
        <f>SUM(R4:R30)</f>
        <v>2053455</v>
      </c>
      <c r="S3" s="8">
        <f>SUM(S4:S30)</f>
        <v>1592</v>
      </c>
      <c r="T3" s="7">
        <f>U3/V3</f>
        <v>1372.3753199142284</v>
      </c>
      <c r="U3" s="7">
        <f>SUM(U4:U30)</f>
        <v>1984043</v>
      </c>
      <c r="V3" s="8">
        <f>SUM(V4:V30)</f>
        <v>1445.7</v>
      </c>
      <c r="W3" s="7">
        <f>X3/Y3</f>
        <v>738.94869109947649</v>
      </c>
      <c r="X3" s="7">
        <f>SUM(X4:X30)</f>
        <v>705696</v>
      </c>
      <c r="Y3" s="8">
        <f>SUM(Y4:Y30)</f>
        <v>955</v>
      </c>
      <c r="Z3" s="7">
        <f>AA3/AB3</f>
        <v>895.99049128367665</v>
      </c>
      <c r="AA3" s="7">
        <f>SUM(AA4:AA30)</f>
        <v>113074</v>
      </c>
      <c r="AB3" s="8">
        <f>SUM(AB4:AB30)</f>
        <v>126.2</v>
      </c>
      <c r="AC3" s="7">
        <f>AD3/AE3</f>
        <v>741.22574385510995</v>
      </c>
      <c r="AD3" s="7">
        <f>SUM(AD4:AD30)</f>
        <v>229187</v>
      </c>
      <c r="AE3" s="8">
        <f>SUM(AE4:AE30)</f>
        <v>309.2</v>
      </c>
      <c r="AF3" s="7">
        <f>AG3/AH3</f>
        <v>824.80544747081717</v>
      </c>
      <c r="AG3" s="7">
        <f>SUM(AG4:AG30)</f>
        <v>84790</v>
      </c>
      <c r="AH3" s="8">
        <f>SUM(AH4:AH30)</f>
        <v>102.8</v>
      </c>
      <c r="AI3" s="7">
        <f>AJ3/AK3</f>
        <v>744.52163147396652</v>
      </c>
      <c r="AJ3" s="7">
        <f>SUM(AJ4:AJ30)</f>
        <v>1082460</v>
      </c>
      <c r="AK3" s="8">
        <f>SUM(AK4:AK30)</f>
        <v>1453.9</v>
      </c>
      <c r="AL3" s="7">
        <f>AM3/AN3</f>
        <v>790.86604095563132</v>
      </c>
      <c r="AM3" s="7">
        <f>SUM(AM4:AM30)</f>
        <v>185379</v>
      </c>
      <c r="AN3" s="8">
        <f>SUM(AN4:AN30)</f>
        <v>234.40000000000003</v>
      </c>
      <c r="AO3" s="7">
        <f>AP3/AQ3</f>
        <v>1037.9948900546326</v>
      </c>
      <c r="AP3" s="7">
        <f>SUM(AP4:AP30)</f>
        <v>11456661</v>
      </c>
      <c r="AQ3" s="8">
        <f>SUM(AQ4:AQ30)</f>
        <v>11037.300000000003</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0" t="s">
        <v>40</v>
      </c>
      <c r="B4" s="12"/>
      <c r="C4" s="12"/>
      <c r="D4" s="12"/>
      <c r="E4" s="3" t="e">
        <f t="shared" ref="E4:E11" si="0">F4/G4</f>
        <v>#DIV/0!</v>
      </c>
      <c r="F4" s="3">
        <v>0</v>
      </c>
      <c r="G4" s="6">
        <v>0</v>
      </c>
      <c r="H4" s="3" t="e">
        <f t="shared" ref="H4:H11" si="1">I4/J4</f>
        <v>#DIV/0!</v>
      </c>
      <c r="I4" s="3">
        <v>0</v>
      </c>
      <c r="J4" s="6">
        <v>0</v>
      </c>
      <c r="K4" s="3" t="e">
        <f t="shared" ref="K4:K11" si="2">L4/M4</f>
        <v>#DIV/0!</v>
      </c>
      <c r="L4" s="3">
        <v>0</v>
      </c>
      <c r="M4" s="6">
        <v>0</v>
      </c>
      <c r="N4" s="3" t="e">
        <f t="shared" ref="N4:N11" si="3">O4/P4</f>
        <v>#DIV/0!</v>
      </c>
      <c r="O4" s="3">
        <v>0</v>
      </c>
      <c r="P4" s="6">
        <v>0</v>
      </c>
      <c r="Q4" s="3" t="e">
        <f t="shared" ref="Q4:Q11" si="4">R4/S4</f>
        <v>#DIV/0!</v>
      </c>
      <c r="R4" s="3">
        <v>0</v>
      </c>
      <c r="S4" s="6">
        <v>0</v>
      </c>
      <c r="T4" s="3">
        <f t="shared" ref="T4:T11" si="5">U4/V4</f>
        <v>718.46590909090901</v>
      </c>
      <c r="U4" s="3">
        <v>25290</v>
      </c>
      <c r="V4" s="6">
        <v>35.200000000000003</v>
      </c>
      <c r="W4" s="3" t="e">
        <f t="shared" ref="W4:W11" si="6">X4/Y4</f>
        <v>#DIV/0!</v>
      </c>
      <c r="X4" s="3">
        <v>0</v>
      </c>
      <c r="Y4" s="6">
        <v>0</v>
      </c>
      <c r="Z4" s="3" t="e">
        <f t="shared" ref="Z4:Z11" si="7">AA4/AB4</f>
        <v>#DIV/0!</v>
      </c>
      <c r="AA4" s="3">
        <v>0</v>
      </c>
      <c r="AB4" s="6">
        <v>0</v>
      </c>
      <c r="AC4" s="3">
        <f t="shared" ref="AC4:AC11" si="8">AD4/AE4</f>
        <v>717.84119106699757</v>
      </c>
      <c r="AD4" s="3">
        <v>57858</v>
      </c>
      <c r="AE4" s="6">
        <v>80.599999999999994</v>
      </c>
      <c r="AF4" s="3" t="e">
        <f t="shared" ref="AF4:AF11" si="9">AG4/AH4</f>
        <v>#DIV/0!</v>
      </c>
      <c r="AG4" s="3">
        <v>0</v>
      </c>
      <c r="AH4" s="6">
        <v>0</v>
      </c>
      <c r="AI4" s="3" t="e">
        <f t="shared" ref="AI4:AI11" si="10">AJ4/AK4</f>
        <v>#DIV/0!</v>
      </c>
      <c r="AJ4" s="3">
        <v>0</v>
      </c>
      <c r="AK4" s="6">
        <v>0</v>
      </c>
      <c r="AL4" s="3">
        <f t="shared" ref="AL4:AL11" si="11">AM4/AN4</f>
        <v>718.14671814671817</v>
      </c>
      <c r="AM4" s="3">
        <v>55800</v>
      </c>
      <c r="AN4" s="6">
        <v>77.7</v>
      </c>
      <c r="AO4" s="3">
        <f t="shared" ref="AO4:AO30" si="12">AP4/AQ4</f>
        <v>718.07751937984494</v>
      </c>
      <c r="AP4" s="3">
        <f t="shared" ref="AP4:AQ4" si="13">SUM(F4,I4,L4,O4,R4,U4,X4,AA4,AD4,AG4,AJ4,AM4)</f>
        <v>138948</v>
      </c>
      <c r="AQ4" s="6">
        <f t="shared" si="13"/>
        <v>193.5</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9" t="s">
        <v>20</v>
      </c>
      <c r="B5" s="12"/>
      <c r="C5" s="12"/>
      <c r="D5" s="12"/>
      <c r="E5" s="3">
        <f t="shared" si="0"/>
        <v>717.17142857142858</v>
      </c>
      <c r="F5" s="3">
        <v>25101</v>
      </c>
      <c r="G5" s="6">
        <v>35</v>
      </c>
      <c r="H5" s="3">
        <f t="shared" si="1"/>
        <v>733.70805369127515</v>
      </c>
      <c r="I5" s="3">
        <v>87458</v>
      </c>
      <c r="J5" s="6">
        <v>119.2</v>
      </c>
      <c r="K5" s="3" t="e">
        <f t="shared" si="2"/>
        <v>#DIV/0!</v>
      </c>
      <c r="L5" s="3">
        <v>0</v>
      </c>
      <c r="M5" s="6">
        <v>0</v>
      </c>
      <c r="N5" s="3">
        <f t="shared" si="3"/>
        <v>723.40891522803395</v>
      </c>
      <c r="O5" s="3">
        <v>280755</v>
      </c>
      <c r="P5" s="6">
        <v>388.1</v>
      </c>
      <c r="Q5" s="3">
        <f t="shared" si="4"/>
        <v>775.20215633423174</v>
      </c>
      <c r="R5" s="3">
        <v>28760</v>
      </c>
      <c r="S5" s="6">
        <v>37.1</v>
      </c>
      <c r="T5" s="3" t="e">
        <f t="shared" si="5"/>
        <v>#DIV/0!</v>
      </c>
      <c r="U5" s="3">
        <v>0</v>
      </c>
      <c r="V5" s="6">
        <v>0</v>
      </c>
      <c r="W5" s="3">
        <f t="shared" si="6"/>
        <v>784.26911907066801</v>
      </c>
      <c r="X5" s="3">
        <v>81015</v>
      </c>
      <c r="Y5" s="6">
        <v>103.3</v>
      </c>
      <c r="Z5" s="3">
        <f t="shared" si="7"/>
        <v>794.16666666666663</v>
      </c>
      <c r="AA5" s="3">
        <v>34308</v>
      </c>
      <c r="AB5" s="6">
        <v>43.2</v>
      </c>
      <c r="AC5" s="3">
        <f t="shared" si="8"/>
        <v>728.78064516129029</v>
      </c>
      <c r="AD5" s="3">
        <v>112961</v>
      </c>
      <c r="AE5" s="6">
        <v>155</v>
      </c>
      <c r="AF5" s="3">
        <f t="shared" si="9"/>
        <v>753.13905930470355</v>
      </c>
      <c r="AG5" s="3">
        <v>73657</v>
      </c>
      <c r="AH5" s="6">
        <v>97.8</v>
      </c>
      <c r="AI5" s="3">
        <f t="shared" si="10"/>
        <v>721.85573495491712</v>
      </c>
      <c r="AJ5" s="3">
        <v>1032759</v>
      </c>
      <c r="AK5" s="6">
        <v>1430.7</v>
      </c>
      <c r="AL5" s="3">
        <f t="shared" si="11"/>
        <v>833.21100917431181</v>
      </c>
      <c r="AM5" s="3">
        <v>54492</v>
      </c>
      <c r="AN5" s="6">
        <v>65.400000000000006</v>
      </c>
      <c r="AO5" s="3">
        <f t="shared" si="12"/>
        <v>731.88378858897681</v>
      </c>
      <c r="AP5" s="3">
        <f t="shared" ref="AP5:AP30" si="14">SUM(F5,I5,L5,O5,R5,U5,X5,AA5,AD5,AG5,AJ5,AM5)</f>
        <v>1811266</v>
      </c>
      <c r="AQ5" s="6">
        <f t="shared" ref="AQ5:AQ30" si="15">SUM(G5,J5,M5,P5,S5,V5,Y5,AB5,AE5,AH5,AK5,AN5)</f>
        <v>2474.8000000000002</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9" t="s">
        <v>19</v>
      </c>
      <c r="B6" s="12"/>
      <c r="C6" s="12"/>
      <c r="D6" s="12"/>
      <c r="E6" s="3" t="e">
        <f t="shared" si="0"/>
        <v>#DIV/0!</v>
      </c>
      <c r="F6" s="3">
        <v>0</v>
      </c>
      <c r="G6" s="6">
        <v>0</v>
      </c>
      <c r="H6" s="3" t="e">
        <f t="shared" si="1"/>
        <v>#DIV/0!</v>
      </c>
      <c r="I6" s="3">
        <v>0</v>
      </c>
      <c r="J6" s="6">
        <v>0</v>
      </c>
      <c r="K6" s="3" t="e">
        <f t="shared" si="2"/>
        <v>#DIV/0!</v>
      </c>
      <c r="L6" s="3">
        <v>0</v>
      </c>
      <c r="M6" s="6">
        <v>0</v>
      </c>
      <c r="N6" s="3">
        <f t="shared" si="3"/>
        <v>718.19672131147536</v>
      </c>
      <c r="O6" s="3">
        <v>30667</v>
      </c>
      <c r="P6" s="6">
        <v>42.7</v>
      </c>
      <c r="Q6" s="3" t="e">
        <f t="shared" si="4"/>
        <v>#DIV/0!</v>
      </c>
      <c r="R6" s="3">
        <v>0</v>
      </c>
      <c r="S6" s="6">
        <v>0</v>
      </c>
      <c r="T6" s="3" t="e">
        <f t="shared" si="5"/>
        <v>#DIV/0!</v>
      </c>
      <c r="U6" s="3">
        <v>0</v>
      </c>
      <c r="V6" s="6">
        <v>0</v>
      </c>
      <c r="W6" s="3" t="e">
        <f t="shared" si="6"/>
        <v>#DIV/0!</v>
      </c>
      <c r="X6" s="3">
        <v>0</v>
      </c>
      <c r="Y6" s="6">
        <v>0</v>
      </c>
      <c r="Z6" s="3" t="e">
        <f t="shared" si="7"/>
        <v>#DIV/0!</v>
      </c>
      <c r="AA6" s="3">
        <v>0</v>
      </c>
      <c r="AB6" s="6">
        <v>0</v>
      </c>
      <c r="AC6" s="3" t="e">
        <f t="shared" si="8"/>
        <v>#DIV/0!</v>
      </c>
      <c r="AD6" s="3">
        <v>0</v>
      </c>
      <c r="AE6" s="6">
        <v>0</v>
      </c>
      <c r="AF6" s="3" t="e">
        <f t="shared" si="9"/>
        <v>#DIV/0!</v>
      </c>
      <c r="AG6" s="3">
        <v>0</v>
      </c>
      <c r="AH6" s="6">
        <v>0</v>
      </c>
      <c r="AI6" s="3" t="e">
        <f t="shared" si="10"/>
        <v>#DIV/0!</v>
      </c>
      <c r="AJ6" s="3">
        <v>0</v>
      </c>
      <c r="AK6" s="6">
        <v>0</v>
      </c>
      <c r="AL6" s="3">
        <f t="shared" si="11"/>
        <v>718.82352941176475</v>
      </c>
      <c r="AM6" s="3">
        <v>29328</v>
      </c>
      <c r="AN6" s="6">
        <v>40.799999999999997</v>
      </c>
      <c r="AO6" s="3">
        <f t="shared" si="12"/>
        <v>718.50299401197606</v>
      </c>
      <c r="AP6" s="3">
        <f t="shared" si="14"/>
        <v>59995</v>
      </c>
      <c r="AQ6" s="6">
        <f t="shared" si="15"/>
        <v>83.5</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9" t="s">
        <v>24</v>
      </c>
      <c r="B7" s="12"/>
      <c r="C7" s="12"/>
      <c r="D7" s="12"/>
      <c r="E7" s="3" t="e">
        <f t="shared" si="0"/>
        <v>#DIV/0!</v>
      </c>
      <c r="F7" s="3">
        <v>0</v>
      </c>
      <c r="G7" s="6">
        <v>0</v>
      </c>
      <c r="H7" s="3">
        <f t="shared" si="1"/>
        <v>2206.7857142857142</v>
      </c>
      <c r="I7" s="3">
        <v>6179</v>
      </c>
      <c r="J7" s="6">
        <v>2.8</v>
      </c>
      <c r="K7" s="3" t="e">
        <f t="shared" si="2"/>
        <v>#DIV/0!</v>
      </c>
      <c r="L7" s="3">
        <v>0</v>
      </c>
      <c r="M7" s="6">
        <v>0</v>
      </c>
      <c r="N7" s="3">
        <f t="shared" si="3"/>
        <v>726.85893980233607</v>
      </c>
      <c r="O7" s="3">
        <v>404497</v>
      </c>
      <c r="P7" s="6">
        <v>556.5</v>
      </c>
      <c r="Q7" s="3" t="e">
        <f t="shared" si="4"/>
        <v>#DIV/0!</v>
      </c>
      <c r="R7" s="3">
        <v>0</v>
      </c>
      <c r="S7" s="6">
        <v>0</v>
      </c>
      <c r="T7" s="3" t="e">
        <f t="shared" si="5"/>
        <v>#DIV/0!</v>
      </c>
      <c r="U7" s="3">
        <v>0</v>
      </c>
      <c r="V7" s="6">
        <v>0</v>
      </c>
      <c r="W7" s="3">
        <f t="shared" si="6"/>
        <v>725.67558357471466</v>
      </c>
      <c r="X7" s="3">
        <v>425899</v>
      </c>
      <c r="Y7" s="6">
        <v>586.9</v>
      </c>
      <c r="Z7" s="3">
        <f t="shared" si="7"/>
        <v>1946.875</v>
      </c>
      <c r="AA7" s="3">
        <v>3115</v>
      </c>
      <c r="AB7" s="6">
        <v>1.6</v>
      </c>
      <c r="AC7" s="3">
        <f t="shared" si="8"/>
        <v>822.65517241379314</v>
      </c>
      <c r="AD7" s="3">
        <v>23857</v>
      </c>
      <c r="AE7" s="6">
        <v>29</v>
      </c>
      <c r="AF7" s="3">
        <f t="shared" si="9"/>
        <v>2226.6</v>
      </c>
      <c r="AG7" s="3">
        <v>11133</v>
      </c>
      <c r="AH7" s="6">
        <v>5</v>
      </c>
      <c r="AI7" s="3">
        <f t="shared" si="10"/>
        <v>718.22429906542061</v>
      </c>
      <c r="AJ7" s="3">
        <v>15370</v>
      </c>
      <c r="AK7" s="6">
        <v>21.4</v>
      </c>
      <c r="AL7" s="3">
        <f t="shared" si="11"/>
        <v>863.61538461538464</v>
      </c>
      <c r="AM7" s="3">
        <v>22454</v>
      </c>
      <c r="AN7" s="6">
        <v>26</v>
      </c>
      <c r="AO7" s="3">
        <f t="shared" si="12"/>
        <v>742.35600390497893</v>
      </c>
      <c r="AP7" s="3">
        <f t="shared" si="14"/>
        <v>912504</v>
      </c>
      <c r="AQ7" s="6">
        <f t="shared" si="15"/>
        <v>1229.1999999999998</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9" t="s">
        <v>51</v>
      </c>
      <c r="B8" s="12"/>
      <c r="C8" s="12"/>
      <c r="D8" s="12"/>
      <c r="E8" s="3" t="e">
        <f t="shared" si="0"/>
        <v>#DIV/0!</v>
      </c>
      <c r="F8" s="3">
        <v>0</v>
      </c>
      <c r="G8" s="6">
        <v>0</v>
      </c>
      <c r="H8" s="3" t="e">
        <f t="shared" si="1"/>
        <v>#DIV/0!</v>
      </c>
      <c r="I8" s="3">
        <v>0</v>
      </c>
      <c r="J8" s="6">
        <v>0</v>
      </c>
      <c r="K8" s="3" t="e">
        <f t="shared" si="2"/>
        <v>#DIV/0!</v>
      </c>
      <c r="L8" s="3">
        <v>0</v>
      </c>
      <c r="M8" s="6">
        <v>0</v>
      </c>
      <c r="N8" s="3" t="e">
        <f t="shared" si="3"/>
        <v>#DIV/0!</v>
      </c>
      <c r="O8" s="3">
        <v>0</v>
      </c>
      <c r="P8" s="6">
        <v>0</v>
      </c>
      <c r="Q8" s="3" t="e">
        <f t="shared" si="4"/>
        <v>#DIV/0!</v>
      </c>
      <c r="R8" s="3">
        <v>0</v>
      </c>
      <c r="S8" s="6">
        <v>0</v>
      </c>
      <c r="T8" s="3" t="e">
        <f t="shared" si="5"/>
        <v>#DIV/0!</v>
      </c>
      <c r="U8" s="3">
        <v>0</v>
      </c>
      <c r="V8" s="6">
        <v>0</v>
      </c>
      <c r="W8" s="3" t="e">
        <f t="shared" si="6"/>
        <v>#DIV/0!</v>
      </c>
      <c r="X8" s="3">
        <v>0</v>
      </c>
      <c r="Y8" s="6">
        <v>0</v>
      </c>
      <c r="Z8" s="3" t="e">
        <f t="shared" si="7"/>
        <v>#DIV/0!</v>
      </c>
      <c r="AA8" s="3">
        <v>0</v>
      </c>
      <c r="AB8" s="6">
        <v>0</v>
      </c>
      <c r="AC8" s="3" t="e">
        <f t="shared" si="8"/>
        <v>#DIV/0!</v>
      </c>
      <c r="AD8" s="3">
        <v>0</v>
      </c>
      <c r="AE8" s="6">
        <v>0</v>
      </c>
      <c r="AF8" s="3" t="e">
        <f t="shared" si="9"/>
        <v>#DIV/0!</v>
      </c>
      <c r="AG8" s="3">
        <v>0</v>
      </c>
      <c r="AH8" s="6">
        <v>0</v>
      </c>
      <c r="AI8" s="3" t="e">
        <f t="shared" si="10"/>
        <v>#DIV/0!</v>
      </c>
      <c r="AJ8" s="3">
        <v>0</v>
      </c>
      <c r="AK8" s="6">
        <v>0</v>
      </c>
      <c r="AL8" s="3">
        <f t="shared" si="11"/>
        <v>717.37089201877927</v>
      </c>
      <c r="AM8" s="3">
        <v>15280</v>
      </c>
      <c r="AN8" s="6">
        <v>21.3</v>
      </c>
      <c r="AO8" s="3">
        <f t="shared" si="12"/>
        <v>717.37089201877927</v>
      </c>
      <c r="AP8" s="3">
        <f t="shared" si="14"/>
        <v>15280</v>
      </c>
      <c r="AQ8" s="6">
        <f t="shared" si="15"/>
        <v>21.3</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9" t="s">
        <v>38</v>
      </c>
      <c r="B9" s="12"/>
      <c r="C9" s="12"/>
      <c r="D9" s="12"/>
      <c r="E9" s="3" t="e">
        <f t="shared" si="0"/>
        <v>#DIV/0!</v>
      </c>
      <c r="F9" s="3">
        <v>0</v>
      </c>
      <c r="G9" s="6">
        <v>0</v>
      </c>
      <c r="H9" s="3" t="e">
        <f t="shared" si="1"/>
        <v>#DIV/0!</v>
      </c>
      <c r="I9" s="3">
        <v>0</v>
      </c>
      <c r="J9" s="6">
        <v>0</v>
      </c>
      <c r="K9" s="3" t="e">
        <f t="shared" si="2"/>
        <v>#DIV/0!</v>
      </c>
      <c r="L9" s="3">
        <v>0</v>
      </c>
      <c r="M9" s="6">
        <v>0</v>
      </c>
      <c r="N9" s="3" t="e">
        <f t="shared" si="3"/>
        <v>#DIV/0!</v>
      </c>
      <c r="O9" s="3">
        <v>0</v>
      </c>
      <c r="P9" s="6">
        <v>0</v>
      </c>
      <c r="Q9" s="3" t="e">
        <f t="shared" si="4"/>
        <v>#DIV/0!</v>
      </c>
      <c r="R9" s="3">
        <v>0</v>
      </c>
      <c r="S9" s="6">
        <v>0</v>
      </c>
      <c r="T9" s="3" t="e">
        <f t="shared" si="5"/>
        <v>#DIV/0!</v>
      </c>
      <c r="U9" s="3">
        <v>0</v>
      </c>
      <c r="V9" s="6">
        <v>0</v>
      </c>
      <c r="W9" s="3" t="e">
        <f t="shared" si="6"/>
        <v>#DIV/0!</v>
      </c>
      <c r="X9" s="3">
        <v>0</v>
      </c>
      <c r="Y9" s="6">
        <v>0</v>
      </c>
      <c r="Z9" s="3" t="e">
        <f t="shared" si="7"/>
        <v>#DIV/0!</v>
      </c>
      <c r="AA9" s="3">
        <v>0</v>
      </c>
      <c r="AB9" s="6">
        <v>0</v>
      </c>
      <c r="AC9" s="3" t="e">
        <f t="shared" si="8"/>
        <v>#DIV/0!</v>
      </c>
      <c r="AD9" s="3">
        <v>0</v>
      </c>
      <c r="AE9" s="6">
        <v>0</v>
      </c>
      <c r="AF9" s="3" t="e">
        <f t="shared" si="9"/>
        <v>#DIV/0!</v>
      </c>
      <c r="AG9" s="3">
        <v>0</v>
      </c>
      <c r="AH9" s="6">
        <v>0</v>
      </c>
      <c r="AI9" s="3" t="e">
        <f t="shared" si="10"/>
        <v>#DIV/0!</v>
      </c>
      <c r="AJ9" s="3">
        <v>0</v>
      </c>
      <c r="AK9" s="6">
        <v>0</v>
      </c>
      <c r="AL9" s="3">
        <f t="shared" si="11"/>
        <v>2507.8125</v>
      </c>
      <c r="AM9" s="3">
        <v>8025</v>
      </c>
      <c r="AN9" s="6">
        <v>3.2</v>
      </c>
      <c r="AO9" s="3">
        <f t="shared" si="12"/>
        <v>2507.8125</v>
      </c>
      <c r="AP9" s="3">
        <f t="shared" si="14"/>
        <v>8025</v>
      </c>
      <c r="AQ9" s="6">
        <f t="shared" si="15"/>
        <v>3.2</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9" t="s">
        <v>21</v>
      </c>
      <c r="B10" s="12"/>
      <c r="C10" s="12"/>
      <c r="D10" s="12"/>
      <c r="E10" s="3">
        <f t="shared" si="0"/>
        <v>716.53543307086613</v>
      </c>
      <c r="F10" s="3">
        <v>9100</v>
      </c>
      <c r="G10" s="6">
        <v>12.7</v>
      </c>
      <c r="H10" s="3" t="e">
        <f t="shared" si="1"/>
        <v>#DIV/0!</v>
      </c>
      <c r="I10" s="3">
        <v>0</v>
      </c>
      <c r="J10" s="6">
        <v>0</v>
      </c>
      <c r="K10" s="3" t="e">
        <f t="shared" si="2"/>
        <v>#DIV/0!</v>
      </c>
      <c r="L10" s="3">
        <v>0</v>
      </c>
      <c r="M10" s="6">
        <v>0</v>
      </c>
      <c r="N10" s="3" t="e">
        <f t="shared" si="3"/>
        <v>#DIV/0!</v>
      </c>
      <c r="O10" s="3">
        <v>0</v>
      </c>
      <c r="P10" s="6">
        <v>0</v>
      </c>
      <c r="Q10" s="3" t="e">
        <f t="shared" si="4"/>
        <v>#DIV/0!</v>
      </c>
      <c r="R10" s="3">
        <v>0</v>
      </c>
      <c r="S10" s="6">
        <v>0</v>
      </c>
      <c r="T10" s="3" t="e">
        <f t="shared" si="5"/>
        <v>#DIV/0!</v>
      </c>
      <c r="U10" s="3">
        <v>0</v>
      </c>
      <c r="V10" s="6">
        <v>0</v>
      </c>
      <c r="W10" s="3" t="e">
        <f t="shared" si="6"/>
        <v>#DIV/0!</v>
      </c>
      <c r="X10" s="3">
        <v>0</v>
      </c>
      <c r="Y10" s="6">
        <v>0</v>
      </c>
      <c r="Z10" s="3" t="e">
        <f t="shared" si="7"/>
        <v>#DIV/0!</v>
      </c>
      <c r="AA10" s="3">
        <v>0</v>
      </c>
      <c r="AB10" s="6">
        <v>0</v>
      </c>
      <c r="AC10" s="3" t="e">
        <f t="shared" si="8"/>
        <v>#DIV/0!</v>
      </c>
      <c r="AD10" s="3">
        <v>0</v>
      </c>
      <c r="AE10" s="6">
        <v>0</v>
      </c>
      <c r="AF10" s="3" t="e">
        <f t="shared" si="9"/>
        <v>#DIV/0!</v>
      </c>
      <c r="AG10" s="3">
        <v>0</v>
      </c>
      <c r="AH10" s="6">
        <v>0</v>
      </c>
      <c r="AI10" s="3" t="e">
        <f t="shared" si="10"/>
        <v>#DIV/0!</v>
      </c>
      <c r="AJ10" s="3">
        <v>0</v>
      </c>
      <c r="AK10" s="6">
        <v>0</v>
      </c>
      <c r="AL10" s="3" t="e">
        <f t="shared" si="11"/>
        <v>#DIV/0!</v>
      </c>
      <c r="AM10" s="3">
        <v>0</v>
      </c>
      <c r="AN10" s="6">
        <v>0</v>
      </c>
      <c r="AO10" s="3">
        <f t="shared" si="12"/>
        <v>716.53543307086613</v>
      </c>
      <c r="AP10" s="3">
        <f t="shared" si="14"/>
        <v>9100</v>
      </c>
      <c r="AQ10" s="6">
        <f t="shared" si="15"/>
        <v>12.7</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9" t="s">
        <v>42</v>
      </c>
      <c r="B11" s="12"/>
      <c r="C11" s="12"/>
      <c r="D11" s="12"/>
      <c r="E11" s="3" t="e">
        <f t="shared" si="0"/>
        <v>#DIV/0!</v>
      </c>
      <c r="F11" s="3">
        <v>0</v>
      </c>
      <c r="G11" s="6">
        <v>0</v>
      </c>
      <c r="H11" s="3">
        <f t="shared" si="1"/>
        <v>2299.2592592592591</v>
      </c>
      <c r="I11" s="3">
        <v>6208</v>
      </c>
      <c r="J11" s="6">
        <v>2.7</v>
      </c>
      <c r="K11" s="3" t="e">
        <f t="shared" si="2"/>
        <v>#DIV/0!</v>
      </c>
      <c r="L11" s="3">
        <v>0</v>
      </c>
      <c r="M11" s="6">
        <v>0</v>
      </c>
      <c r="N11" s="3" t="e">
        <f t="shared" si="3"/>
        <v>#DIV/0!</v>
      </c>
      <c r="O11" s="3">
        <v>0</v>
      </c>
      <c r="P11" s="6">
        <v>0</v>
      </c>
      <c r="Q11" s="3" t="e">
        <f t="shared" si="4"/>
        <v>#DIV/0!</v>
      </c>
      <c r="R11" s="3">
        <v>0</v>
      </c>
      <c r="S11" s="6">
        <v>0</v>
      </c>
      <c r="T11" s="3" t="e">
        <f t="shared" si="5"/>
        <v>#DIV/0!</v>
      </c>
      <c r="U11" s="3">
        <v>0</v>
      </c>
      <c r="V11" s="6">
        <v>0</v>
      </c>
      <c r="W11" s="3" t="e">
        <f t="shared" si="6"/>
        <v>#DIV/0!</v>
      </c>
      <c r="X11" s="3">
        <v>0</v>
      </c>
      <c r="Y11" s="6">
        <v>0</v>
      </c>
      <c r="Z11" s="3">
        <f t="shared" si="7"/>
        <v>1725.1428571428571</v>
      </c>
      <c r="AA11" s="3">
        <v>6038</v>
      </c>
      <c r="AB11" s="6">
        <v>3.5</v>
      </c>
      <c r="AC11" s="3" t="e">
        <f t="shared" si="8"/>
        <v>#DIV/0!</v>
      </c>
      <c r="AD11" s="3">
        <v>0</v>
      </c>
      <c r="AE11" s="6">
        <v>0</v>
      </c>
      <c r="AF11" s="3" t="e">
        <f t="shared" si="9"/>
        <v>#DIV/0!</v>
      </c>
      <c r="AG11" s="3">
        <v>0</v>
      </c>
      <c r="AH11" s="6">
        <v>0</v>
      </c>
      <c r="AI11" s="3" t="e">
        <f t="shared" si="10"/>
        <v>#DIV/0!</v>
      </c>
      <c r="AJ11" s="3">
        <v>0</v>
      </c>
      <c r="AK11" s="6">
        <v>0</v>
      </c>
      <c r="AL11" s="3" t="e">
        <f t="shared" si="11"/>
        <v>#DIV/0!</v>
      </c>
      <c r="AM11" s="3">
        <v>0</v>
      </c>
      <c r="AN11" s="6">
        <v>0</v>
      </c>
      <c r="AO11" s="3">
        <f t="shared" si="12"/>
        <v>1975.1612903225805</v>
      </c>
      <c r="AP11" s="3">
        <f t="shared" si="14"/>
        <v>12246</v>
      </c>
      <c r="AQ11" s="6">
        <f t="shared" si="15"/>
        <v>6.2</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9" t="s">
        <v>22</v>
      </c>
      <c r="B12" s="12"/>
      <c r="C12" s="12"/>
      <c r="D12" s="12"/>
      <c r="E12" s="3" t="e">
        <f>F12/G12</f>
        <v>#DIV/0!</v>
      </c>
      <c r="F12" s="3">
        <v>0</v>
      </c>
      <c r="G12" s="6">
        <v>0</v>
      </c>
      <c r="H12" s="3" t="e">
        <f>I12/J12</f>
        <v>#DIV/0!</v>
      </c>
      <c r="I12" s="3">
        <v>0</v>
      </c>
      <c r="J12" s="6">
        <v>0</v>
      </c>
      <c r="K12" s="3" t="e">
        <f>L12/M12</f>
        <v>#DIV/0!</v>
      </c>
      <c r="L12" s="3">
        <v>0</v>
      </c>
      <c r="M12" s="6">
        <v>0</v>
      </c>
      <c r="N12" s="3">
        <f>O12/P12</f>
        <v>730.24502297090351</v>
      </c>
      <c r="O12" s="3">
        <v>95370</v>
      </c>
      <c r="P12" s="6">
        <v>130.6</v>
      </c>
      <c r="Q12" s="3" t="e">
        <f>R12/S12</f>
        <v>#DIV/0!</v>
      </c>
      <c r="R12" s="3">
        <v>0</v>
      </c>
      <c r="S12" s="6">
        <v>0</v>
      </c>
      <c r="T12" s="3" t="e">
        <f>U12/V12</f>
        <v>#DIV/0!</v>
      </c>
      <c r="U12" s="3">
        <v>0</v>
      </c>
      <c r="V12" s="6">
        <v>0</v>
      </c>
      <c r="W12" s="3">
        <f>X12/Y12</f>
        <v>718.04802478698684</v>
      </c>
      <c r="X12" s="3">
        <v>92700</v>
      </c>
      <c r="Y12" s="6">
        <v>129.1</v>
      </c>
      <c r="Z12" s="3">
        <f>AA12/AB12</f>
        <v>1250</v>
      </c>
      <c r="AA12" s="3">
        <v>25000</v>
      </c>
      <c r="AB12" s="6">
        <v>20</v>
      </c>
      <c r="AC12" s="3" t="e">
        <f>AD12/AE12</f>
        <v>#DIV/0!</v>
      </c>
      <c r="AD12" s="3">
        <v>0</v>
      </c>
      <c r="AE12" s="6">
        <v>0</v>
      </c>
      <c r="AF12" s="3" t="e">
        <f>AG12/AH12</f>
        <v>#DIV/0!</v>
      </c>
      <c r="AG12" s="3">
        <v>0</v>
      </c>
      <c r="AH12" s="6">
        <v>0</v>
      </c>
      <c r="AI12" s="3">
        <f>AJ12/AK12</f>
        <v>1725.3333333333333</v>
      </c>
      <c r="AJ12" s="3">
        <v>2588</v>
      </c>
      <c r="AK12" s="6">
        <v>1.5</v>
      </c>
      <c r="AL12" s="3" t="e">
        <f>AM12/AN12</f>
        <v>#DIV/0!</v>
      </c>
      <c r="AM12" s="3">
        <v>0</v>
      </c>
      <c r="AN12" s="6">
        <v>0</v>
      </c>
      <c r="AO12" s="3">
        <f t="shared" si="12"/>
        <v>766.92034139402563</v>
      </c>
      <c r="AP12" s="3">
        <f t="shared" si="14"/>
        <v>215658</v>
      </c>
      <c r="AQ12" s="6">
        <f t="shared" si="15"/>
        <v>281.2</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9" t="s">
        <v>18</v>
      </c>
      <c r="B13" s="12"/>
      <c r="C13" s="12"/>
      <c r="D13" s="12"/>
      <c r="E13" s="3" t="e">
        <f t="shared" ref="E13:E30" si="16">F13/G13</f>
        <v>#DIV/0!</v>
      </c>
      <c r="F13" s="3">
        <v>0</v>
      </c>
      <c r="G13" s="6">
        <v>0</v>
      </c>
      <c r="H13" s="3">
        <f t="shared" ref="H13:H30" si="17">I13/J13</f>
        <v>921.1290322580644</v>
      </c>
      <c r="I13" s="3">
        <v>17133</v>
      </c>
      <c r="J13" s="6">
        <v>18.600000000000001</v>
      </c>
      <c r="K13" s="3">
        <f t="shared" ref="K13:K30" si="18">L13/M13</f>
        <v>949.68253968253975</v>
      </c>
      <c r="L13" s="3">
        <v>17949</v>
      </c>
      <c r="M13" s="6">
        <v>18.899999999999999</v>
      </c>
      <c r="N13" s="3">
        <f t="shared" ref="N13:N30" si="19">O13/P13</f>
        <v>1214.7849462365591</v>
      </c>
      <c r="O13" s="3">
        <v>22595</v>
      </c>
      <c r="P13" s="6">
        <v>18.600000000000001</v>
      </c>
      <c r="Q13" s="3" t="e">
        <f t="shared" ref="Q13:Q30" si="20">R13/S13</f>
        <v>#DIV/0!</v>
      </c>
      <c r="R13" s="3">
        <v>0</v>
      </c>
      <c r="S13" s="6">
        <v>0</v>
      </c>
      <c r="T13" s="3" t="e">
        <f t="shared" ref="T13:T30" si="21">U13/V13</f>
        <v>#DIV/0!</v>
      </c>
      <c r="U13" s="3">
        <v>0</v>
      </c>
      <c r="V13" s="6">
        <v>0</v>
      </c>
      <c r="W13" s="3">
        <f t="shared" ref="W13:W30" si="22">X13/Y13</f>
        <v>1172.4736842105262</v>
      </c>
      <c r="X13" s="3">
        <v>22277</v>
      </c>
      <c r="Y13" s="6">
        <v>19</v>
      </c>
      <c r="Z13" s="3" t="e">
        <f t="shared" ref="Z13:Z30" si="23">AA13/AB13</f>
        <v>#DIV/0!</v>
      </c>
      <c r="AA13" s="3">
        <v>0</v>
      </c>
      <c r="AB13" s="6">
        <v>0</v>
      </c>
      <c r="AC13" s="3" t="e">
        <f t="shared" ref="AC13:AC30" si="24">AD13/AE13</f>
        <v>#DIV/0!</v>
      </c>
      <c r="AD13" s="3">
        <v>0</v>
      </c>
      <c r="AE13" s="6">
        <v>0</v>
      </c>
      <c r="AF13" s="3" t="e">
        <f t="shared" ref="AF13:AF30" si="25">AG13/AH13</f>
        <v>#DIV/0!</v>
      </c>
      <c r="AG13" s="3">
        <v>0</v>
      </c>
      <c r="AH13" s="6">
        <v>0</v>
      </c>
      <c r="AI13" s="3" t="e">
        <f t="shared" ref="AI13:AI30" si="26">AJ13/AK13</f>
        <v>#DIV/0!</v>
      </c>
      <c r="AJ13" s="3">
        <v>0</v>
      </c>
      <c r="AK13" s="6">
        <v>0</v>
      </c>
      <c r="AL13" s="3" t="e">
        <f t="shared" ref="AL13:AL30" si="27">AM13/AN13</f>
        <v>#DIV/0!</v>
      </c>
      <c r="AM13" s="3">
        <v>0</v>
      </c>
      <c r="AN13" s="6">
        <v>0</v>
      </c>
      <c r="AO13" s="3">
        <f t="shared" si="12"/>
        <v>1064.6338215712385</v>
      </c>
      <c r="AP13" s="3">
        <f t="shared" si="14"/>
        <v>79954</v>
      </c>
      <c r="AQ13" s="6">
        <f t="shared" si="15"/>
        <v>75.099999999999994</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9" t="s">
        <v>53</v>
      </c>
      <c r="B14" s="12"/>
      <c r="C14" s="12"/>
      <c r="D14" s="12"/>
      <c r="E14" s="3" t="e">
        <f t="shared" si="16"/>
        <v>#DIV/0!</v>
      </c>
      <c r="F14" s="3">
        <v>0</v>
      </c>
      <c r="G14" s="6">
        <v>0</v>
      </c>
      <c r="H14" s="3" t="e">
        <f t="shared" si="17"/>
        <v>#DIV/0!</v>
      </c>
      <c r="I14" s="3">
        <v>0</v>
      </c>
      <c r="J14" s="6">
        <v>0</v>
      </c>
      <c r="K14" s="3" t="e">
        <f t="shared" si="18"/>
        <v>#DIV/0!</v>
      </c>
      <c r="L14" s="3">
        <v>0</v>
      </c>
      <c r="M14" s="6">
        <v>0</v>
      </c>
      <c r="N14" s="3" t="e">
        <f t="shared" si="19"/>
        <v>#DIV/0!</v>
      </c>
      <c r="O14" s="3">
        <v>0</v>
      </c>
      <c r="P14" s="6">
        <v>0</v>
      </c>
      <c r="Q14" s="3" t="e">
        <f t="shared" si="20"/>
        <v>#DIV/0!</v>
      </c>
      <c r="R14" s="3">
        <v>0</v>
      </c>
      <c r="S14" s="6">
        <v>0</v>
      </c>
      <c r="T14" s="3" t="e">
        <f t="shared" si="21"/>
        <v>#DIV/0!</v>
      </c>
      <c r="U14" s="3">
        <v>0</v>
      </c>
      <c r="V14" s="6">
        <v>0</v>
      </c>
      <c r="W14" s="3" t="e">
        <f t="shared" si="22"/>
        <v>#DIV/0!</v>
      </c>
      <c r="X14" s="3">
        <v>0</v>
      </c>
      <c r="Y14" s="6">
        <v>0</v>
      </c>
      <c r="Z14" s="3" t="e">
        <f t="shared" si="23"/>
        <v>#DIV/0!</v>
      </c>
      <c r="AA14" s="3">
        <v>0</v>
      </c>
      <c r="AB14" s="6">
        <v>0</v>
      </c>
      <c r="AC14" s="3">
        <f t="shared" si="24"/>
        <v>721.60919540229895</v>
      </c>
      <c r="AD14" s="3">
        <v>6278</v>
      </c>
      <c r="AE14" s="6">
        <v>8.6999999999999993</v>
      </c>
      <c r="AF14" s="3" t="e">
        <f t="shared" si="25"/>
        <v>#DIV/0!</v>
      </c>
      <c r="AG14" s="3">
        <v>0</v>
      </c>
      <c r="AH14" s="6">
        <v>0</v>
      </c>
      <c r="AI14" s="3" t="e">
        <f t="shared" si="26"/>
        <v>#DIV/0!</v>
      </c>
      <c r="AJ14" s="3">
        <v>0</v>
      </c>
      <c r="AK14" s="6">
        <v>0</v>
      </c>
      <c r="AL14" s="3" t="e">
        <f t="shared" si="27"/>
        <v>#DIV/0!</v>
      </c>
      <c r="AM14" s="3">
        <v>0</v>
      </c>
      <c r="AN14" s="6">
        <v>0</v>
      </c>
      <c r="AO14" s="3">
        <f t="shared" si="12"/>
        <v>721.60919540229895</v>
      </c>
      <c r="AP14" s="3">
        <f t="shared" si="14"/>
        <v>6278</v>
      </c>
      <c r="AQ14" s="6">
        <f t="shared" si="15"/>
        <v>8.6999999999999993</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9" t="s">
        <v>23</v>
      </c>
      <c r="B15" s="12"/>
      <c r="C15" s="12"/>
      <c r="D15" s="12"/>
      <c r="E15" s="3" t="e">
        <f t="shared" si="16"/>
        <v>#DIV/0!</v>
      </c>
      <c r="F15" s="3">
        <v>0</v>
      </c>
      <c r="G15" s="6">
        <v>0</v>
      </c>
      <c r="H15" s="3" t="e">
        <f t="shared" si="17"/>
        <v>#DIV/0!</v>
      </c>
      <c r="I15" s="3">
        <v>0</v>
      </c>
      <c r="J15" s="6">
        <v>0</v>
      </c>
      <c r="K15" s="3" t="e">
        <f t="shared" si="18"/>
        <v>#DIV/0!</v>
      </c>
      <c r="L15" s="3">
        <v>0</v>
      </c>
      <c r="M15" s="6">
        <v>0</v>
      </c>
      <c r="N15" s="3">
        <f t="shared" si="19"/>
        <v>2732.6666666666665</v>
      </c>
      <c r="O15" s="3">
        <v>4099</v>
      </c>
      <c r="P15" s="6">
        <v>1.5</v>
      </c>
      <c r="Q15" s="3" t="e">
        <f t="shared" si="20"/>
        <v>#DIV/0!</v>
      </c>
      <c r="R15" s="3">
        <v>0</v>
      </c>
      <c r="S15" s="6">
        <v>0</v>
      </c>
      <c r="T15" s="3" t="e">
        <f t="shared" si="21"/>
        <v>#DIV/0!</v>
      </c>
      <c r="U15" s="3">
        <v>0</v>
      </c>
      <c r="V15" s="6">
        <v>0</v>
      </c>
      <c r="W15" s="3" t="e">
        <f t="shared" si="22"/>
        <v>#DIV/0!</v>
      </c>
      <c r="X15" s="3">
        <v>0</v>
      </c>
      <c r="Y15" s="6">
        <v>0</v>
      </c>
      <c r="Z15" s="3" t="e">
        <f t="shared" si="23"/>
        <v>#DIV/0!</v>
      </c>
      <c r="AA15" s="3">
        <v>0</v>
      </c>
      <c r="AB15" s="6">
        <v>0</v>
      </c>
      <c r="AC15" s="3" t="e">
        <f t="shared" si="24"/>
        <v>#DIV/0!</v>
      </c>
      <c r="AD15" s="3">
        <v>0</v>
      </c>
      <c r="AE15" s="6">
        <v>0</v>
      </c>
      <c r="AF15" s="3" t="e">
        <f t="shared" si="25"/>
        <v>#DIV/0!</v>
      </c>
      <c r="AG15" s="3">
        <v>0</v>
      </c>
      <c r="AH15" s="6">
        <v>0</v>
      </c>
      <c r="AI15" s="3" t="e">
        <f t="shared" si="26"/>
        <v>#DIV/0!</v>
      </c>
      <c r="AJ15" s="3">
        <v>0</v>
      </c>
      <c r="AK15" s="6">
        <v>0</v>
      </c>
      <c r="AL15" s="3" t="e">
        <f t="shared" si="27"/>
        <v>#DIV/0!</v>
      </c>
      <c r="AM15" s="3">
        <v>0</v>
      </c>
      <c r="AN15" s="6">
        <v>0</v>
      </c>
      <c r="AO15" s="3">
        <f t="shared" si="12"/>
        <v>2732.6666666666665</v>
      </c>
      <c r="AP15" s="3">
        <f t="shared" si="14"/>
        <v>4099</v>
      </c>
      <c r="AQ15" s="6">
        <f t="shared" si="15"/>
        <v>1.5</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9" t="s">
        <v>54</v>
      </c>
      <c r="B16" s="12"/>
      <c r="C16" s="12"/>
      <c r="D16" s="12"/>
      <c r="E16" s="3">
        <f t="shared" si="16"/>
        <v>4290</v>
      </c>
      <c r="F16" s="3">
        <v>3432</v>
      </c>
      <c r="G16" s="6">
        <v>0.8</v>
      </c>
      <c r="H16" s="3">
        <f t="shared" si="17"/>
        <v>4290</v>
      </c>
      <c r="I16" s="3">
        <v>3432</v>
      </c>
      <c r="J16" s="6">
        <v>0.8</v>
      </c>
      <c r="K16" s="3" t="e">
        <f t="shared" si="18"/>
        <v>#DIV/0!</v>
      </c>
      <c r="L16" s="3">
        <v>0</v>
      </c>
      <c r="M16" s="6">
        <v>0</v>
      </c>
      <c r="N16" s="3">
        <f t="shared" si="19"/>
        <v>3998.125</v>
      </c>
      <c r="O16" s="3">
        <v>6397</v>
      </c>
      <c r="P16" s="6">
        <v>1.6</v>
      </c>
      <c r="Q16" s="3">
        <f t="shared" si="20"/>
        <v>4095</v>
      </c>
      <c r="R16" s="3">
        <v>9828</v>
      </c>
      <c r="S16" s="6">
        <v>2.4</v>
      </c>
      <c r="T16" s="3">
        <f t="shared" si="21"/>
        <v>3997.5</v>
      </c>
      <c r="U16" s="3">
        <v>6396</v>
      </c>
      <c r="V16" s="6">
        <v>1.6</v>
      </c>
      <c r="W16" s="3" t="e">
        <f t="shared" si="22"/>
        <v>#DIV/0!</v>
      </c>
      <c r="X16" s="3">
        <v>0</v>
      </c>
      <c r="Y16" s="6">
        <v>0</v>
      </c>
      <c r="Z16" s="3">
        <f t="shared" si="23"/>
        <v>720.52631578947376</v>
      </c>
      <c r="AA16" s="3">
        <v>5476</v>
      </c>
      <c r="AB16" s="6">
        <v>7.6</v>
      </c>
      <c r="AC16" s="3" t="e">
        <f t="shared" si="24"/>
        <v>#DIV/0!</v>
      </c>
      <c r="AD16" s="3">
        <v>0</v>
      </c>
      <c r="AE16" s="6">
        <v>0</v>
      </c>
      <c r="AF16" s="3" t="e">
        <f t="shared" si="25"/>
        <v>#DIV/0!</v>
      </c>
      <c r="AG16" s="3">
        <v>0</v>
      </c>
      <c r="AH16" s="6">
        <v>0</v>
      </c>
      <c r="AI16" s="3" t="e">
        <f t="shared" si="26"/>
        <v>#DIV/0!</v>
      </c>
      <c r="AJ16" s="3">
        <v>0</v>
      </c>
      <c r="AK16" s="6">
        <v>0</v>
      </c>
      <c r="AL16" s="3" t="e">
        <f t="shared" si="27"/>
        <v>#DIV/0!</v>
      </c>
      <c r="AM16" s="3">
        <v>0</v>
      </c>
      <c r="AN16" s="6">
        <v>0</v>
      </c>
      <c r="AO16" s="3">
        <f t="shared" si="12"/>
        <v>2362.22972972973</v>
      </c>
      <c r="AP16" s="3">
        <f t="shared" si="14"/>
        <v>34961</v>
      </c>
      <c r="AQ16" s="6">
        <f t="shared" si="15"/>
        <v>14.799999999999999</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9" t="s">
        <v>48</v>
      </c>
      <c r="B17" s="12"/>
      <c r="C17" s="12"/>
      <c r="D17" s="12"/>
      <c r="E17" s="3" t="e">
        <f t="shared" si="16"/>
        <v>#DIV/0!</v>
      </c>
      <c r="F17" s="3">
        <v>0</v>
      </c>
      <c r="G17" s="6">
        <v>0</v>
      </c>
      <c r="H17" s="3">
        <f t="shared" si="17"/>
        <v>1182.9921329836882</v>
      </c>
      <c r="I17" s="3">
        <v>2661614</v>
      </c>
      <c r="J17" s="6">
        <v>2249.9</v>
      </c>
      <c r="K17" s="3" t="e">
        <f t="shared" si="18"/>
        <v>#DIV/0!</v>
      </c>
      <c r="L17" s="3">
        <v>0</v>
      </c>
      <c r="M17" s="6">
        <v>0</v>
      </c>
      <c r="N17" s="3" t="e">
        <f t="shared" si="19"/>
        <v>#DIV/0!</v>
      </c>
      <c r="O17" s="3">
        <v>0</v>
      </c>
      <c r="P17" s="6">
        <v>0</v>
      </c>
      <c r="Q17" s="3" t="e">
        <f t="shared" si="20"/>
        <v>#DIV/0!</v>
      </c>
      <c r="R17" s="3">
        <v>0</v>
      </c>
      <c r="S17" s="6">
        <v>0</v>
      </c>
      <c r="T17" s="3">
        <f t="shared" si="21"/>
        <v>1385.7314216764851</v>
      </c>
      <c r="U17" s="3">
        <v>1952357</v>
      </c>
      <c r="V17" s="6">
        <v>1408.9</v>
      </c>
      <c r="W17" s="3" t="e">
        <f t="shared" si="22"/>
        <v>#DIV/0!</v>
      </c>
      <c r="X17" s="3">
        <v>0</v>
      </c>
      <c r="Y17" s="6">
        <v>0</v>
      </c>
      <c r="Z17" s="3" t="e">
        <f t="shared" si="23"/>
        <v>#DIV/0!</v>
      </c>
      <c r="AA17" s="3">
        <v>0</v>
      </c>
      <c r="AB17" s="6">
        <v>0</v>
      </c>
      <c r="AC17" s="3" t="e">
        <f t="shared" si="24"/>
        <v>#DIV/0!</v>
      </c>
      <c r="AD17" s="3">
        <v>0</v>
      </c>
      <c r="AE17" s="6">
        <v>0</v>
      </c>
      <c r="AF17" s="3" t="e">
        <f t="shared" si="25"/>
        <v>#DIV/0!</v>
      </c>
      <c r="AG17" s="3">
        <v>0</v>
      </c>
      <c r="AH17" s="6">
        <v>0</v>
      </c>
      <c r="AI17" s="3" t="e">
        <f t="shared" si="26"/>
        <v>#DIV/0!</v>
      </c>
      <c r="AJ17" s="3">
        <v>0</v>
      </c>
      <c r="AK17" s="6">
        <v>0</v>
      </c>
      <c r="AL17" s="3" t="e">
        <f t="shared" si="27"/>
        <v>#DIV/0!</v>
      </c>
      <c r="AM17" s="3">
        <v>0</v>
      </c>
      <c r="AN17" s="6">
        <v>0</v>
      </c>
      <c r="AO17" s="3">
        <f t="shared" si="12"/>
        <v>1261.0612769213949</v>
      </c>
      <c r="AP17" s="3">
        <f t="shared" si="14"/>
        <v>4613971</v>
      </c>
      <c r="AQ17" s="6">
        <f t="shared" si="15"/>
        <v>3658.8</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9" t="s">
        <v>37</v>
      </c>
      <c r="B18" s="12"/>
      <c r="C18" s="12"/>
      <c r="D18" s="12"/>
      <c r="E18" s="3" t="e">
        <f t="shared" si="16"/>
        <v>#DIV/0!</v>
      </c>
      <c r="F18" s="3">
        <v>0</v>
      </c>
      <c r="G18" s="6">
        <v>0</v>
      </c>
      <c r="H18" s="3" t="e">
        <f t="shared" si="17"/>
        <v>#DIV/0!</v>
      </c>
      <c r="I18" s="3">
        <v>0</v>
      </c>
      <c r="J18" s="6">
        <v>0</v>
      </c>
      <c r="K18" s="3" t="e">
        <f t="shared" si="18"/>
        <v>#DIV/0!</v>
      </c>
      <c r="L18" s="3">
        <v>0</v>
      </c>
      <c r="M18" s="6">
        <v>0</v>
      </c>
      <c r="N18" s="3" t="e">
        <f t="shared" si="19"/>
        <v>#DIV/0!</v>
      </c>
      <c r="O18" s="3">
        <v>0</v>
      </c>
      <c r="P18" s="6">
        <v>0</v>
      </c>
      <c r="Q18" s="3">
        <f t="shared" si="20"/>
        <v>1267.3913043478262</v>
      </c>
      <c r="R18" s="3">
        <v>2915</v>
      </c>
      <c r="S18" s="6">
        <v>2.2999999999999998</v>
      </c>
      <c r="T18" s="3" t="e">
        <f t="shared" si="21"/>
        <v>#DIV/0!</v>
      </c>
      <c r="U18" s="3">
        <v>0</v>
      </c>
      <c r="V18" s="6">
        <v>0</v>
      </c>
      <c r="W18" s="3" t="e">
        <f t="shared" si="22"/>
        <v>#DIV/0!</v>
      </c>
      <c r="X18" s="3">
        <v>0</v>
      </c>
      <c r="Y18" s="6">
        <v>0</v>
      </c>
      <c r="Z18" s="3" t="e">
        <f t="shared" si="23"/>
        <v>#DIV/0!</v>
      </c>
      <c r="AA18" s="3">
        <v>0</v>
      </c>
      <c r="AB18" s="6">
        <v>0</v>
      </c>
      <c r="AC18" s="3" t="e">
        <f t="shared" si="24"/>
        <v>#DIV/0!</v>
      </c>
      <c r="AD18" s="3">
        <v>0</v>
      </c>
      <c r="AE18" s="6">
        <v>0</v>
      </c>
      <c r="AF18" s="3" t="e">
        <f t="shared" si="25"/>
        <v>#DIV/0!</v>
      </c>
      <c r="AG18" s="3">
        <v>0</v>
      </c>
      <c r="AH18" s="6">
        <v>0</v>
      </c>
      <c r="AI18" s="3" t="e">
        <f t="shared" si="26"/>
        <v>#DIV/0!</v>
      </c>
      <c r="AJ18" s="3">
        <v>0</v>
      </c>
      <c r="AK18" s="6">
        <v>0</v>
      </c>
      <c r="AL18" s="3" t="e">
        <f t="shared" si="27"/>
        <v>#DIV/0!</v>
      </c>
      <c r="AM18" s="3">
        <v>0</v>
      </c>
      <c r="AN18" s="6">
        <v>0</v>
      </c>
      <c r="AO18" s="3">
        <f t="shared" si="12"/>
        <v>1267.3913043478262</v>
      </c>
      <c r="AP18" s="3">
        <f t="shared" si="14"/>
        <v>2915</v>
      </c>
      <c r="AQ18" s="6">
        <f t="shared" si="15"/>
        <v>2.2999999999999998</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9" t="s">
        <v>25</v>
      </c>
      <c r="B19" s="12"/>
      <c r="C19" s="12"/>
      <c r="D19" s="12"/>
      <c r="E19" s="3" t="e">
        <f t="shared" si="16"/>
        <v>#DIV/0!</v>
      </c>
      <c r="F19" s="3">
        <v>0</v>
      </c>
      <c r="G19" s="6">
        <v>0</v>
      </c>
      <c r="H19" s="3">
        <f t="shared" si="17"/>
        <v>2227.826086956522</v>
      </c>
      <c r="I19" s="3">
        <v>5124</v>
      </c>
      <c r="J19" s="6">
        <v>2.2999999999999998</v>
      </c>
      <c r="K19" s="3" t="e">
        <f t="shared" si="18"/>
        <v>#DIV/0!</v>
      </c>
      <c r="L19" s="3">
        <v>0</v>
      </c>
      <c r="M19" s="6">
        <v>0</v>
      </c>
      <c r="N19" s="3" t="e">
        <f t="shared" si="19"/>
        <v>#DIV/0!</v>
      </c>
      <c r="O19" s="3">
        <v>0</v>
      </c>
      <c r="P19" s="6">
        <v>0</v>
      </c>
      <c r="Q19" s="3">
        <f t="shared" si="20"/>
        <v>880.09523809523807</v>
      </c>
      <c r="R19" s="3">
        <v>18482</v>
      </c>
      <c r="S19" s="6">
        <v>21</v>
      </c>
      <c r="T19" s="3" t="e">
        <f t="shared" si="21"/>
        <v>#DIV/0!</v>
      </c>
      <c r="U19" s="3">
        <v>0</v>
      </c>
      <c r="V19" s="6">
        <v>0</v>
      </c>
      <c r="W19" s="3" t="e">
        <f t="shared" si="22"/>
        <v>#DIV/0!</v>
      </c>
      <c r="X19" s="3">
        <v>0</v>
      </c>
      <c r="Y19" s="6">
        <v>0</v>
      </c>
      <c r="Z19" s="3" t="e">
        <f t="shared" si="23"/>
        <v>#DIV/0!</v>
      </c>
      <c r="AA19" s="3">
        <v>0</v>
      </c>
      <c r="AB19" s="6">
        <v>0</v>
      </c>
      <c r="AC19" s="3">
        <f t="shared" si="24"/>
        <v>719.4666666666667</v>
      </c>
      <c r="AD19" s="3">
        <v>10792</v>
      </c>
      <c r="AE19" s="6">
        <v>15</v>
      </c>
      <c r="AF19" s="3" t="e">
        <f t="shared" si="25"/>
        <v>#DIV/0!</v>
      </c>
      <c r="AG19" s="3">
        <v>0</v>
      </c>
      <c r="AH19" s="6">
        <v>0</v>
      </c>
      <c r="AI19" s="3" t="e">
        <f t="shared" si="26"/>
        <v>#DIV/0!</v>
      </c>
      <c r="AJ19" s="3">
        <v>0</v>
      </c>
      <c r="AK19" s="6">
        <v>0</v>
      </c>
      <c r="AL19" s="3" t="e">
        <f t="shared" si="27"/>
        <v>#DIV/0!</v>
      </c>
      <c r="AM19" s="3">
        <v>0</v>
      </c>
      <c r="AN19" s="6">
        <v>0</v>
      </c>
      <c r="AO19" s="3">
        <f t="shared" si="12"/>
        <v>898.12010443864233</v>
      </c>
      <c r="AP19" s="3">
        <f t="shared" si="14"/>
        <v>34398</v>
      </c>
      <c r="AQ19" s="6">
        <f t="shared" si="15"/>
        <v>38.299999999999997</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9" t="s">
        <v>43</v>
      </c>
      <c r="B20" s="12"/>
      <c r="C20" s="12"/>
      <c r="D20" s="12"/>
      <c r="E20" s="3" t="e">
        <f t="shared" si="16"/>
        <v>#DIV/0!</v>
      </c>
      <c r="F20" s="3">
        <v>0</v>
      </c>
      <c r="G20" s="6">
        <v>0</v>
      </c>
      <c r="H20" s="3" t="e">
        <f t="shared" si="17"/>
        <v>#DIV/0!</v>
      </c>
      <c r="I20" s="3">
        <v>0</v>
      </c>
      <c r="J20" s="6">
        <v>0</v>
      </c>
      <c r="K20" s="3">
        <f t="shared" si="18"/>
        <v>717.60638297872333</v>
      </c>
      <c r="L20" s="3">
        <v>13491</v>
      </c>
      <c r="M20" s="6">
        <v>18.8</v>
      </c>
      <c r="N20" s="3" t="e">
        <f t="shared" si="19"/>
        <v>#DIV/0!</v>
      </c>
      <c r="O20" s="3">
        <v>0</v>
      </c>
      <c r="P20" s="6">
        <v>0</v>
      </c>
      <c r="Q20" s="3" t="e">
        <f t="shared" si="20"/>
        <v>#DIV/0!</v>
      </c>
      <c r="R20" s="3">
        <v>0</v>
      </c>
      <c r="S20" s="6">
        <v>0</v>
      </c>
      <c r="T20" s="3" t="e">
        <f t="shared" si="21"/>
        <v>#DIV/0!</v>
      </c>
      <c r="U20" s="3">
        <v>0</v>
      </c>
      <c r="V20" s="6">
        <v>0</v>
      </c>
      <c r="W20" s="3" t="e">
        <f t="shared" si="22"/>
        <v>#DIV/0!</v>
      </c>
      <c r="X20" s="3">
        <v>0</v>
      </c>
      <c r="Y20" s="6">
        <v>0</v>
      </c>
      <c r="Z20" s="3" t="e">
        <f t="shared" si="23"/>
        <v>#DIV/0!</v>
      </c>
      <c r="AA20" s="3">
        <v>0</v>
      </c>
      <c r="AB20" s="6">
        <v>0</v>
      </c>
      <c r="AC20" s="3" t="e">
        <f t="shared" si="24"/>
        <v>#DIV/0!</v>
      </c>
      <c r="AD20" s="3">
        <v>0</v>
      </c>
      <c r="AE20" s="6">
        <v>0</v>
      </c>
      <c r="AF20" s="3" t="e">
        <f t="shared" si="25"/>
        <v>#DIV/0!</v>
      </c>
      <c r="AG20" s="3">
        <v>0</v>
      </c>
      <c r="AH20" s="6">
        <v>0</v>
      </c>
      <c r="AI20" s="3" t="e">
        <f t="shared" si="26"/>
        <v>#DIV/0!</v>
      </c>
      <c r="AJ20" s="3">
        <v>0</v>
      </c>
      <c r="AK20" s="6">
        <v>0</v>
      </c>
      <c r="AL20" s="3" t="e">
        <f t="shared" si="27"/>
        <v>#DIV/0!</v>
      </c>
      <c r="AM20" s="3">
        <v>0</v>
      </c>
      <c r="AN20" s="6">
        <v>0</v>
      </c>
      <c r="AO20" s="3">
        <f t="shared" si="12"/>
        <v>717.60638297872333</v>
      </c>
      <c r="AP20" s="3">
        <f t="shared" si="14"/>
        <v>13491</v>
      </c>
      <c r="AQ20" s="6">
        <f t="shared" si="15"/>
        <v>18.8</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9" t="s">
        <v>41</v>
      </c>
      <c r="B21" s="12"/>
      <c r="C21" s="12"/>
      <c r="D21" s="12"/>
      <c r="E21" s="3">
        <f t="shared" si="16"/>
        <v>717.06896551724139</v>
      </c>
      <c r="F21" s="3">
        <v>20795</v>
      </c>
      <c r="G21" s="6">
        <v>29</v>
      </c>
      <c r="H21" s="3" t="e">
        <f t="shared" si="17"/>
        <v>#DIV/0!</v>
      </c>
      <c r="I21" s="3">
        <v>0</v>
      </c>
      <c r="J21" s="6">
        <v>0</v>
      </c>
      <c r="K21" s="3" t="e">
        <f t="shared" si="18"/>
        <v>#DIV/0!</v>
      </c>
      <c r="L21" s="3">
        <v>0</v>
      </c>
      <c r="M21" s="6">
        <v>0</v>
      </c>
      <c r="N21" s="3" t="e">
        <f t="shared" si="19"/>
        <v>#DIV/0!</v>
      </c>
      <c r="O21" s="3">
        <v>0</v>
      </c>
      <c r="P21" s="6">
        <v>0</v>
      </c>
      <c r="Q21" s="3" t="e">
        <f t="shared" si="20"/>
        <v>#DIV/0!</v>
      </c>
      <c r="R21" s="3">
        <v>0</v>
      </c>
      <c r="S21" s="6">
        <v>0</v>
      </c>
      <c r="T21" s="3" t="e">
        <f t="shared" si="21"/>
        <v>#DIV/0!</v>
      </c>
      <c r="U21" s="3">
        <v>0</v>
      </c>
      <c r="V21" s="6">
        <v>0</v>
      </c>
      <c r="W21" s="3" t="e">
        <f t="shared" si="22"/>
        <v>#DIV/0!</v>
      </c>
      <c r="X21" s="3">
        <v>0</v>
      </c>
      <c r="Y21" s="6">
        <v>0</v>
      </c>
      <c r="Z21" s="3" t="e">
        <f t="shared" si="23"/>
        <v>#DIV/0!</v>
      </c>
      <c r="AA21" s="3">
        <v>0</v>
      </c>
      <c r="AB21" s="6">
        <v>0</v>
      </c>
      <c r="AC21" s="3" t="e">
        <f t="shared" si="24"/>
        <v>#DIV/0!</v>
      </c>
      <c r="AD21" s="3">
        <v>0</v>
      </c>
      <c r="AE21" s="6">
        <v>0</v>
      </c>
      <c r="AF21" s="3" t="e">
        <f t="shared" si="25"/>
        <v>#DIV/0!</v>
      </c>
      <c r="AG21" s="3">
        <v>0</v>
      </c>
      <c r="AH21" s="6">
        <v>0</v>
      </c>
      <c r="AI21" s="3" t="e">
        <f t="shared" si="26"/>
        <v>#DIV/0!</v>
      </c>
      <c r="AJ21" s="3">
        <v>0</v>
      </c>
      <c r="AK21" s="6">
        <v>0</v>
      </c>
      <c r="AL21" s="3" t="e">
        <f t="shared" si="27"/>
        <v>#DIV/0!</v>
      </c>
      <c r="AM21" s="3">
        <v>0</v>
      </c>
      <c r="AN21" s="6">
        <v>0</v>
      </c>
      <c r="AO21" s="3">
        <f t="shared" si="12"/>
        <v>717.06896551724139</v>
      </c>
      <c r="AP21" s="3">
        <f t="shared" si="14"/>
        <v>20795</v>
      </c>
      <c r="AQ21" s="6">
        <f t="shared" si="15"/>
        <v>29</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9" t="s">
        <v>47</v>
      </c>
      <c r="B22" s="12"/>
      <c r="C22" s="12"/>
      <c r="D22" s="12"/>
      <c r="E22" s="3" t="e">
        <f t="shared" si="16"/>
        <v>#DIV/0!</v>
      </c>
      <c r="F22" s="3">
        <v>0</v>
      </c>
      <c r="G22" s="6">
        <v>0</v>
      </c>
      <c r="H22" s="3">
        <f t="shared" si="17"/>
        <v>1160</v>
      </c>
      <c r="I22" s="3">
        <v>1183200</v>
      </c>
      <c r="J22" s="6">
        <v>1020</v>
      </c>
      <c r="K22" s="3" t="e">
        <f t="shared" si="18"/>
        <v>#DIV/0!</v>
      </c>
      <c r="L22" s="3">
        <v>0</v>
      </c>
      <c r="M22" s="6">
        <v>0</v>
      </c>
      <c r="N22" s="3" t="e">
        <f t="shared" si="19"/>
        <v>#DIV/0!</v>
      </c>
      <c r="O22" s="3">
        <v>0</v>
      </c>
      <c r="P22" s="6">
        <v>0</v>
      </c>
      <c r="Q22" s="3">
        <f t="shared" si="20"/>
        <v>1315</v>
      </c>
      <c r="R22" s="3">
        <v>1972500</v>
      </c>
      <c r="S22" s="6">
        <v>1500</v>
      </c>
      <c r="T22" s="3" t="e">
        <f t="shared" si="21"/>
        <v>#DIV/0!</v>
      </c>
      <c r="U22" s="3">
        <v>0</v>
      </c>
      <c r="V22" s="6">
        <v>0</v>
      </c>
      <c r="W22" s="3" t="e">
        <f t="shared" si="22"/>
        <v>#DIV/0!</v>
      </c>
      <c r="X22" s="3">
        <v>0</v>
      </c>
      <c r="Y22" s="6">
        <v>0</v>
      </c>
      <c r="Z22" s="3" t="e">
        <f t="shared" si="23"/>
        <v>#DIV/0!</v>
      </c>
      <c r="AA22" s="3">
        <v>0</v>
      </c>
      <c r="AB22" s="6">
        <v>0</v>
      </c>
      <c r="AC22" s="3" t="e">
        <f t="shared" si="24"/>
        <v>#DIV/0!</v>
      </c>
      <c r="AD22" s="3">
        <v>0</v>
      </c>
      <c r="AE22" s="6">
        <v>0</v>
      </c>
      <c r="AF22" s="3" t="e">
        <f t="shared" si="25"/>
        <v>#DIV/0!</v>
      </c>
      <c r="AG22" s="3">
        <v>0</v>
      </c>
      <c r="AH22" s="6">
        <v>0</v>
      </c>
      <c r="AI22" s="3" t="e">
        <f t="shared" si="26"/>
        <v>#DIV/0!</v>
      </c>
      <c r="AJ22" s="3">
        <v>0</v>
      </c>
      <c r="AK22" s="6">
        <v>0</v>
      </c>
      <c r="AL22" s="3" t="e">
        <f t="shared" si="27"/>
        <v>#DIV/0!</v>
      </c>
      <c r="AM22" s="3">
        <v>0</v>
      </c>
      <c r="AN22" s="6">
        <v>0</v>
      </c>
      <c r="AO22" s="3">
        <f t="shared" si="12"/>
        <v>1252.2619047619048</v>
      </c>
      <c r="AP22" s="3">
        <f t="shared" si="14"/>
        <v>3155700</v>
      </c>
      <c r="AQ22" s="6">
        <f t="shared" si="15"/>
        <v>2520</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9" t="s">
        <v>26</v>
      </c>
      <c r="B23" s="12"/>
      <c r="C23" s="12"/>
      <c r="D23" s="12"/>
      <c r="E23" s="3" t="e">
        <f t="shared" si="16"/>
        <v>#DIV/0!</v>
      </c>
      <c r="F23" s="3">
        <v>0</v>
      </c>
      <c r="G23" s="6">
        <v>0</v>
      </c>
      <c r="H23" s="3">
        <f t="shared" si="17"/>
        <v>778.20116054158598</v>
      </c>
      <c r="I23" s="3">
        <v>40233</v>
      </c>
      <c r="J23" s="6">
        <v>51.7</v>
      </c>
      <c r="K23" s="3" t="e">
        <f t="shared" si="18"/>
        <v>#DIV/0!</v>
      </c>
      <c r="L23" s="3">
        <v>0</v>
      </c>
      <c r="M23" s="6">
        <v>0</v>
      </c>
      <c r="N23" s="3" t="e">
        <f t="shared" si="19"/>
        <v>#DIV/0!</v>
      </c>
      <c r="O23" s="3">
        <v>0</v>
      </c>
      <c r="P23" s="6">
        <v>0</v>
      </c>
      <c r="Q23" s="3">
        <f t="shared" si="20"/>
        <v>718.15068493150682</v>
      </c>
      <c r="R23" s="3">
        <v>20970</v>
      </c>
      <c r="S23" s="6">
        <v>29.2</v>
      </c>
      <c r="T23" s="3" t="e">
        <f t="shared" si="21"/>
        <v>#DIV/0!</v>
      </c>
      <c r="U23" s="3">
        <v>0</v>
      </c>
      <c r="V23" s="6">
        <v>0</v>
      </c>
      <c r="W23" s="3">
        <f t="shared" si="22"/>
        <v>718.39080459770116</v>
      </c>
      <c r="X23" s="3">
        <v>50000</v>
      </c>
      <c r="Y23" s="6">
        <v>69.599999999999994</v>
      </c>
      <c r="Z23" s="3">
        <f t="shared" si="23"/>
        <v>717.60479041916165</v>
      </c>
      <c r="AA23" s="3">
        <v>35952</v>
      </c>
      <c r="AB23" s="6">
        <v>50.1</v>
      </c>
      <c r="AC23" s="3" t="e">
        <f t="shared" si="24"/>
        <v>#DIV/0!</v>
      </c>
      <c r="AD23" s="3">
        <v>0</v>
      </c>
      <c r="AE23" s="6">
        <v>0</v>
      </c>
      <c r="AF23" s="3" t="e">
        <f t="shared" si="25"/>
        <v>#DIV/0!</v>
      </c>
      <c r="AG23" s="3">
        <v>0</v>
      </c>
      <c r="AH23" s="6">
        <v>0</v>
      </c>
      <c r="AI23" s="3" t="e">
        <f t="shared" si="26"/>
        <v>#DIV/0!</v>
      </c>
      <c r="AJ23" s="3">
        <v>0</v>
      </c>
      <c r="AK23" s="6">
        <v>0</v>
      </c>
      <c r="AL23" s="3" t="e">
        <f t="shared" si="27"/>
        <v>#DIV/0!</v>
      </c>
      <c r="AM23" s="3">
        <v>0</v>
      </c>
      <c r="AN23" s="6">
        <v>0</v>
      </c>
      <c r="AO23" s="3">
        <f t="shared" si="12"/>
        <v>733.57427716849452</v>
      </c>
      <c r="AP23" s="3">
        <f t="shared" si="14"/>
        <v>147155</v>
      </c>
      <c r="AQ23" s="6">
        <f t="shared" si="15"/>
        <v>200.6</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9" t="s">
        <v>49</v>
      </c>
      <c r="B24" s="12"/>
      <c r="C24" s="12"/>
      <c r="D24" s="12"/>
      <c r="E24" s="3" t="e">
        <f t="shared" si="16"/>
        <v>#DIV/0!</v>
      </c>
      <c r="F24" s="3">
        <v>0</v>
      </c>
      <c r="G24" s="6">
        <v>0</v>
      </c>
      <c r="H24" s="3" t="e">
        <f t="shared" si="17"/>
        <v>#DIV/0!</v>
      </c>
      <c r="I24" s="3">
        <v>0</v>
      </c>
      <c r="J24" s="6">
        <v>0</v>
      </c>
      <c r="K24" s="3" t="e">
        <f t="shared" si="18"/>
        <v>#DIV/0!</v>
      </c>
      <c r="L24" s="3">
        <v>0</v>
      </c>
      <c r="M24" s="6">
        <v>0</v>
      </c>
      <c r="N24" s="3" t="e">
        <f t="shared" si="19"/>
        <v>#DIV/0!</v>
      </c>
      <c r="O24" s="3">
        <v>0</v>
      </c>
      <c r="P24" s="6">
        <v>0</v>
      </c>
      <c r="Q24" s="3" t="e">
        <f t="shared" si="20"/>
        <v>#DIV/0!</v>
      </c>
      <c r="R24" s="3">
        <v>0</v>
      </c>
      <c r="S24" s="6">
        <v>0</v>
      </c>
      <c r="T24" s="3" t="e">
        <f t="shared" si="21"/>
        <v>#DIV/0!</v>
      </c>
      <c r="U24" s="3">
        <v>0</v>
      </c>
      <c r="V24" s="6">
        <v>0</v>
      </c>
      <c r="W24" s="3">
        <f t="shared" si="22"/>
        <v>714.28571428571422</v>
      </c>
      <c r="X24" s="3">
        <v>6000</v>
      </c>
      <c r="Y24" s="6">
        <v>8.4</v>
      </c>
      <c r="Z24" s="3" t="e">
        <f t="shared" si="23"/>
        <v>#DIV/0!</v>
      </c>
      <c r="AA24" s="3">
        <v>0</v>
      </c>
      <c r="AB24" s="6">
        <v>0</v>
      </c>
      <c r="AC24" s="3" t="e">
        <f t="shared" si="24"/>
        <v>#DIV/0!</v>
      </c>
      <c r="AD24" s="3">
        <v>0</v>
      </c>
      <c r="AE24" s="6">
        <v>0</v>
      </c>
      <c r="AF24" s="3" t="e">
        <f t="shared" si="25"/>
        <v>#DIV/0!</v>
      </c>
      <c r="AG24" s="3">
        <v>0</v>
      </c>
      <c r="AH24" s="6">
        <v>0</v>
      </c>
      <c r="AI24" s="3" t="e">
        <f t="shared" si="26"/>
        <v>#DIV/0!</v>
      </c>
      <c r="AJ24" s="3">
        <v>0</v>
      </c>
      <c r="AK24" s="6">
        <v>0</v>
      </c>
      <c r="AL24" s="3" t="e">
        <f t="shared" si="27"/>
        <v>#DIV/0!</v>
      </c>
      <c r="AM24" s="3">
        <v>0</v>
      </c>
      <c r="AN24" s="6">
        <v>0</v>
      </c>
      <c r="AO24" s="3">
        <f t="shared" si="12"/>
        <v>714.28571428571422</v>
      </c>
      <c r="AP24" s="3">
        <f t="shared" si="14"/>
        <v>6000</v>
      </c>
      <c r="AQ24" s="6">
        <f t="shared" si="15"/>
        <v>8.4</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9" t="s">
        <v>50</v>
      </c>
      <c r="B25" s="12"/>
      <c r="C25" s="12"/>
      <c r="D25" s="12"/>
      <c r="E25" s="3" t="e">
        <f t="shared" si="16"/>
        <v>#DIV/0!</v>
      </c>
      <c r="F25" s="3">
        <v>0</v>
      </c>
      <c r="G25" s="6">
        <v>0</v>
      </c>
      <c r="H25" s="3" t="e">
        <f t="shared" si="17"/>
        <v>#DIV/0!</v>
      </c>
      <c r="I25" s="3">
        <v>0</v>
      </c>
      <c r="J25" s="6">
        <v>0</v>
      </c>
      <c r="K25" s="3" t="e">
        <f t="shared" si="18"/>
        <v>#DIV/0!</v>
      </c>
      <c r="L25" s="3">
        <v>0</v>
      </c>
      <c r="M25" s="6">
        <v>0</v>
      </c>
      <c r="N25" s="3" t="e">
        <f t="shared" si="19"/>
        <v>#DIV/0!</v>
      </c>
      <c r="O25" s="3">
        <v>0</v>
      </c>
      <c r="P25" s="6">
        <v>0</v>
      </c>
      <c r="Q25" s="3" t="e">
        <f t="shared" si="20"/>
        <v>#DIV/0!</v>
      </c>
      <c r="R25" s="3">
        <v>0</v>
      </c>
      <c r="S25" s="6">
        <v>0</v>
      </c>
      <c r="T25" s="3" t="e">
        <f t="shared" si="21"/>
        <v>#DIV/0!</v>
      </c>
      <c r="U25" s="3">
        <v>0</v>
      </c>
      <c r="V25" s="6">
        <v>0</v>
      </c>
      <c r="W25" s="3" t="e">
        <f t="shared" si="22"/>
        <v>#DIV/0!</v>
      </c>
      <c r="X25" s="3">
        <v>0</v>
      </c>
      <c r="Y25" s="6">
        <v>0</v>
      </c>
      <c r="Z25" s="3" t="e">
        <f t="shared" si="23"/>
        <v>#DIV/0!</v>
      </c>
      <c r="AA25" s="3">
        <v>0</v>
      </c>
      <c r="AB25" s="6">
        <v>0</v>
      </c>
      <c r="AC25" s="3" t="e">
        <f t="shared" si="24"/>
        <v>#DIV/0!</v>
      </c>
      <c r="AD25" s="3">
        <v>0</v>
      </c>
      <c r="AE25" s="6">
        <v>0</v>
      </c>
      <c r="AF25" s="3" t="e">
        <f t="shared" si="25"/>
        <v>#DIV/0!</v>
      </c>
      <c r="AG25" s="3">
        <v>0</v>
      </c>
      <c r="AH25" s="6">
        <v>0</v>
      </c>
      <c r="AI25" s="3">
        <f t="shared" si="26"/>
        <v>105810</v>
      </c>
      <c r="AJ25" s="3">
        <v>31743</v>
      </c>
      <c r="AK25" s="6">
        <v>0.3</v>
      </c>
      <c r="AL25" s="3" t="e">
        <f t="shared" si="27"/>
        <v>#DIV/0!</v>
      </c>
      <c r="AM25" s="3">
        <v>0</v>
      </c>
      <c r="AN25" s="6">
        <v>0</v>
      </c>
      <c r="AO25" s="3">
        <f t="shared" si="12"/>
        <v>105810</v>
      </c>
      <c r="AP25" s="3">
        <f t="shared" si="14"/>
        <v>31743</v>
      </c>
      <c r="AQ25" s="6">
        <f t="shared" si="15"/>
        <v>0.3</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9" t="s">
        <v>39</v>
      </c>
      <c r="B26" s="12"/>
      <c r="C26" s="12"/>
      <c r="D26" s="12"/>
      <c r="E26" s="3" t="e">
        <f t="shared" si="16"/>
        <v>#DIV/0!</v>
      </c>
      <c r="F26" s="3">
        <v>0</v>
      </c>
      <c r="G26" s="6">
        <v>0</v>
      </c>
      <c r="H26" s="3" t="e">
        <f t="shared" si="17"/>
        <v>#DIV/0!</v>
      </c>
      <c r="I26" s="3">
        <v>0</v>
      </c>
      <c r="J26" s="6">
        <v>0</v>
      </c>
      <c r="K26" s="3" t="e">
        <f t="shared" si="18"/>
        <v>#DIV/0!</v>
      </c>
      <c r="L26" s="3">
        <v>0</v>
      </c>
      <c r="M26" s="6">
        <v>0</v>
      </c>
      <c r="N26" s="3" t="e">
        <f t="shared" si="19"/>
        <v>#DIV/0!</v>
      </c>
      <c r="O26" s="3">
        <v>0</v>
      </c>
      <c r="P26" s="6">
        <v>0</v>
      </c>
      <c r="Q26" s="3" t="e">
        <f t="shared" si="20"/>
        <v>#DIV/0!</v>
      </c>
      <c r="R26" s="3">
        <v>0</v>
      </c>
      <c r="S26" s="6">
        <v>0</v>
      </c>
      <c r="T26" s="3" t="e">
        <f t="shared" si="21"/>
        <v>#DIV/0!</v>
      </c>
      <c r="U26" s="3">
        <v>0</v>
      </c>
      <c r="V26" s="6">
        <v>0</v>
      </c>
      <c r="W26" s="3">
        <f t="shared" si="22"/>
        <v>718.47545219638232</v>
      </c>
      <c r="X26" s="3">
        <v>27805</v>
      </c>
      <c r="Y26" s="6">
        <v>38.700000000000003</v>
      </c>
      <c r="Z26" s="3" t="e">
        <f t="shared" si="23"/>
        <v>#DIV/0!</v>
      </c>
      <c r="AA26" s="3">
        <v>0</v>
      </c>
      <c r="AB26" s="6">
        <v>0</v>
      </c>
      <c r="AC26" s="3" t="e">
        <f t="shared" si="24"/>
        <v>#DIV/0!</v>
      </c>
      <c r="AD26" s="3">
        <v>0</v>
      </c>
      <c r="AE26" s="6">
        <v>0</v>
      </c>
      <c r="AF26" s="3" t="e">
        <f t="shared" si="25"/>
        <v>#DIV/0!</v>
      </c>
      <c r="AG26" s="3">
        <v>0</v>
      </c>
      <c r="AH26" s="6">
        <v>0</v>
      </c>
      <c r="AI26" s="3" t="e">
        <f t="shared" si="26"/>
        <v>#DIV/0!</v>
      </c>
      <c r="AJ26" s="3">
        <v>0</v>
      </c>
      <c r="AK26" s="6">
        <v>0</v>
      </c>
      <c r="AL26" s="3" t="e">
        <f t="shared" si="27"/>
        <v>#DIV/0!</v>
      </c>
      <c r="AM26" s="3">
        <v>0</v>
      </c>
      <c r="AN26" s="6">
        <v>0</v>
      </c>
      <c r="AO26" s="3">
        <f t="shared" si="12"/>
        <v>718.47545219638232</v>
      </c>
      <c r="AP26" s="3">
        <f t="shared" si="14"/>
        <v>27805</v>
      </c>
      <c r="AQ26" s="6">
        <f t="shared" si="15"/>
        <v>38.700000000000003</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9" t="s">
        <v>55</v>
      </c>
      <c r="B27" s="12"/>
      <c r="C27" s="12"/>
      <c r="D27" s="12"/>
      <c r="E27" s="3" t="e">
        <f t="shared" si="16"/>
        <v>#DIV/0!</v>
      </c>
      <c r="F27" s="3">
        <v>0</v>
      </c>
      <c r="G27" s="6">
        <v>0</v>
      </c>
      <c r="H27" s="3">
        <f t="shared" si="17"/>
        <v>1232.7272727272725</v>
      </c>
      <c r="I27" s="3">
        <v>2712</v>
      </c>
      <c r="J27" s="6">
        <v>2.2000000000000002</v>
      </c>
      <c r="K27" s="3" t="e">
        <f t="shared" si="18"/>
        <v>#DIV/0!</v>
      </c>
      <c r="L27" s="3">
        <v>0</v>
      </c>
      <c r="M27" s="6">
        <v>0</v>
      </c>
      <c r="N27" s="3" t="e">
        <f t="shared" si="19"/>
        <v>#DIV/0!</v>
      </c>
      <c r="O27" s="3">
        <v>0</v>
      </c>
      <c r="P27" s="6">
        <v>0</v>
      </c>
      <c r="Q27" s="3" t="e">
        <f t="shared" si="20"/>
        <v>#DIV/0!</v>
      </c>
      <c r="R27" s="3">
        <v>0</v>
      </c>
      <c r="S27" s="6">
        <v>0</v>
      </c>
      <c r="T27" s="3" t="e">
        <f t="shared" si="21"/>
        <v>#DIV/0!</v>
      </c>
      <c r="U27" s="3">
        <v>0</v>
      </c>
      <c r="V27" s="6">
        <v>0</v>
      </c>
      <c r="W27" s="3" t="e">
        <f t="shared" si="22"/>
        <v>#DIV/0!</v>
      </c>
      <c r="X27" s="3">
        <v>0</v>
      </c>
      <c r="Y27" s="6">
        <v>0</v>
      </c>
      <c r="Z27" s="3" t="e">
        <f t="shared" si="23"/>
        <v>#DIV/0!</v>
      </c>
      <c r="AA27" s="3">
        <v>0</v>
      </c>
      <c r="AB27" s="6">
        <v>0</v>
      </c>
      <c r="AC27" s="3" t="e">
        <f t="shared" si="24"/>
        <v>#DIV/0!</v>
      </c>
      <c r="AD27" s="3">
        <v>0</v>
      </c>
      <c r="AE27" s="6">
        <v>0</v>
      </c>
      <c r="AF27" s="3" t="e">
        <f t="shared" si="25"/>
        <v>#DIV/0!</v>
      </c>
      <c r="AG27" s="3">
        <v>0</v>
      </c>
      <c r="AH27" s="6">
        <v>0</v>
      </c>
      <c r="AI27" s="3" t="e">
        <f t="shared" si="26"/>
        <v>#DIV/0!</v>
      </c>
      <c r="AJ27" s="3">
        <v>0</v>
      </c>
      <c r="AK27" s="6">
        <v>0</v>
      </c>
      <c r="AL27" s="3" t="e">
        <f t="shared" si="27"/>
        <v>#DIV/0!</v>
      </c>
      <c r="AM27" s="3">
        <v>0</v>
      </c>
      <c r="AN27" s="6">
        <v>0</v>
      </c>
      <c r="AO27" s="3">
        <f t="shared" si="12"/>
        <v>1232.7272727272725</v>
      </c>
      <c r="AP27" s="3">
        <f t="shared" si="14"/>
        <v>2712</v>
      </c>
      <c r="AQ27" s="6">
        <f t="shared" si="15"/>
        <v>2.2000000000000002</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9" t="s">
        <v>27</v>
      </c>
      <c r="B28" s="12"/>
      <c r="C28" s="12"/>
      <c r="D28" s="12"/>
      <c r="E28" s="3" t="e">
        <f t="shared" si="16"/>
        <v>#DIV/0!</v>
      </c>
      <c r="F28" s="3">
        <v>0</v>
      </c>
      <c r="G28" s="6">
        <v>0</v>
      </c>
      <c r="H28" s="3">
        <f t="shared" si="17"/>
        <v>794.37984496124034</v>
      </c>
      <c r="I28" s="3">
        <v>40990</v>
      </c>
      <c r="J28" s="6">
        <v>51.6</v>
      </c>
      <c r="K28" s="3">
        <f t="shared" si="18"/>
        <v>724</v>
      </c>
      <c r="L28" s="3">
        <v>30046</v>
      </c>
      <c r="M28" s="6">
        <v>41.5</v>
      </c>
      <c r="N28" s="3" t="e">
        <f t="shared" si="19"/>
        <v>#DIV/0!</v>
      </c>
      <c r="O28" s="3">
        <v>0</v>
      </c>
      <c r="P28" s="6">
        <v>0</v>
      </c>
      <c r="Q28" s="3" t="e">
        <f t="shared" si="20"/>
        <v>#DIV/0!</v>
      </c>
      <c r="R28" s="3">
        <v>0</v>
      </c>
      <c r="S28" s="6">
        <v>0</v>
      </c>
      <c r="T28" s="3" t="e">
        <f t="shared" si="21"/>
        <v>#DIV/0!</v>
      </c>
      <c r="U28" s="3">
        <v>0</v>
      </c>
      <c r="V28" s="6">
        <v>0</v>
      </c>
      <c r="W28" s="3" t="e">
        <f t="shared" si="22"/>
        <v>#DIV/0!</v>
      </c>
      <c r="X28" s="3">
        <v>0</v>
      </c>
      <c r="Y28" s="6">
        <v>0</v>
      </c>
      <c r="Z28" s="3" t="e">
        <f t="shared" si="23"/>
        <v>#DIV/0!</v>
      </c>
      <c r="AA28" s="3">
        <v>0</v>
      </c>
      <c r="AB28" s="6">
        <v>0</v>
      </c>
      <c r="AC28" s="3" t="e">
        <f t="shared" si="24"/>
        <v>#DIV/0!</v>
      </c>
      <c r="AD28" s="3">
        <v>0</v>
      </c>
      <c r="AE28" s="6">
        <v>0</v>
      </c>
      <c r="AF28" s="3" t="e">
        <f t="shared" si="25"/>
        <v>#DIV/0!</v>
      </c>
      <c r="AG28" s="3">
        <v>0</v>
      </c>
      <c r="AH28" s="6">
        <v>0</v>
      </c>
      <c r="AI28" s="3" t="e">
        <f t="shared" si="26"/>
        <v>#DIV/0!</v>
      </c>
      <c r="AJ28" s="3">
        <v>0</v>
      </c>
      <c r="AK28" s="6">
        <v>0</v>
      </c>
      <c r="AL28" s="3" t="e">
        <f t="shared" si="27"/>
        <v>#DIV/0!</v>
      </c>
      <c r="AM28" s="3">
        <v>0</v>
      </c>
      <c r="AN28" s="6">
        <v>0</v>
      </c>
      <c r="AO28" s="3">
        <f t="shared" si="12"/>
        <v>763.00751879699249</v>
      </c>
      <c r="AP28" s="3">
        <f t="shared" si="14"/>
        <v>71036</v>
      </c>
      <c r="AQ28" s="6">
        <f t="shared" si="15"/>
        <v>93.1</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9" t="s">
        <v>28</v>
      </c>
      <c r="B29" s="12"/>
      <c r="C29" s="12"/>
      <c r="D29" s="12"/>
      <c r="E29" s="3" t="e">
        <f t="shared" si="16"/>
        <v>#DIV/0!</v>
      </c>
      <c r="F29" s="3">
        <v>0</v>
      </c>
      <c r="G29" s="6">
        <v>0</v>
      </c>
      <c r="H29" s="3" t="e">
        <f t="shared" si="17"/>
        <v>#DIV/0!</v>
      </c>
      <c r="I29" s="3">
        <v>0</v>
      </c>
      <c r="J29" s="6">
        <v>0</v>
      </c>
      <c r="K29" s="3" t="e">
        <f t="shared" si="18"/>
        <v>#DIV/0!</v>
      </c>
      <c r="L29" s="3">
        <v>0</v>
      </c>
      <c r="M29" s="6">
        <v>0</v>
      </c>
      <c r="N29" s="3" t="e">
        <f t="shared" si="19"/>
        <v>#DIV/0!</v>
      </c>
      <c r="O29" s="3">
        <v>0</v>
      </c>
      <c r="P29" s="6">
        <v>0</v>
      </c>
      <c r="Q29" s="3" t="e">
        <f t="shared" si="20"/>
        <v>#DIV/0!</v>
      </c>
      <c r="R29" s="3">
        <v>0</v>
      </c>
      <c r="S29" s="6">
        <v>0</v>
      </c>
      <c r="T29" s="3" t="e">
        <f t="shared" si="21"/>
        <v>#DIV/0!</v>
      </c>
      <c r="U29" s="3">
        <v>0</v>
      </c>
      <c r="V29" s="6">
        <v>0</v>
      </c>
      <c r="W29" s="3" t="e">
        <f t="shared" si="22"/>
        <v>#DIV/0!</v>
      </c>
      <c r="X29" s="3">
        <v>0</v>
      </c>
      <c r="Y29" s="6">
        <v>0</v>
      </c>
      <c r="Z29" s="3">
        <f t="shared" si="23"/>
        <v>15925</v>
      </c>
      <c r="AA29" s="3">
        <v>3185</v>
      </c>
      <c r="AB29" s="6">
        <v>0.2</v>
      </c>
      <c r="AC29" s="3" t="e">
        <f t="shared" si="24"/>
        <v>#DIV/0!</v>
      </c>
      <c r="AD29" s="3">
        <v>0</v>
      </c>
      <c r="AE29" s="6">
        <v>0</v>
      </c>
      <c r="AF29" s="3" t="e">
        <f t="shared" si="25"/>
        <v>#DIV/0!</v>
      </c>
      <c r="AG29" s="3">
        <v>0</v>
      </c>
      <c r="AH29" s="6">
        <v>0</v>
      </c>
      <c r="AI29" s="3" t="e">
        <f t="shared" si="26"/>
        <v>#DIV/0!</v>
      </c>
      <c r="AJ29" s="3">
        <v>0</v>
      </c>
      <c r="AK29" s="6">
        <v>0</v>
      </c>
      <c r="AL29" s="3" t="e">
        <f t="shared" si="27"/>
        <v>#DIV/0!</v>
      </c>
      <c r="AM29" s="3">
        <v>0</v>
      </c>
      <c r="AN29" s="6">
        <v>0</v>
      </c>
      <c r="AO29" s="3">
        <f t="shared" si="12"/>
        <v>15925</v>
      </c>
      <c r="AP29" s="3">
        <f t="shared" si="14"/>
        <v>3185</v>
      </c>
      <c r="AQ29" s="6">
        <f t="shared" si="15"/>
        <v>0.2</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20" t="s">
        <v>29</v>
      </c>
      <c r="B30" s="13"/>
      <c r="C30" s="13"/>
      <c r="D30" s="13"/>
      <c r="E30" s="21" t="e">
        <f t="shared" si="16"/>
        <v>#DIV/0!</v>
      </c>
      <c r="F30" s="7">
        <v>0</v>
      </c>
      <c r="G30" s="8">
        <v>0</v>
      </c>
      <c r="H30" s="7" t="e">
        <f t="shared" si="17"/>
        <v>#DIV/0!</v>
      </c>
      <c r="I30" s="7">
        <v>0</v>
      </c>
      <c r="J30" s="8">
        <v>0</v>
      </c>
      <c r="K30" s="7" t="e">
        <f t="shared" si="18"/>
        <v>#DIV/0!</v>
      </c>
      <c r="L30" s="7">
        <v>0</v>
      </c>
      <c r="M30" s="8">
        <v>0</v>
      </c>
      <c r="N30" s="7" t="e">
        <f t="shared" si="19"/>
        <v>#DIV/0!</v>
      </c>
      <c r="O30" s="7">
        <v>0</v>
      </c>
      <c r="P30" s="8">
        <v>0</v>
      </c>
      <c r="Q30" s="7" t="e">
        <f t="shared" si="20"/>
        <v>#DIV/0!</v>
      </c>
      <c r="R30" s="7">
        <v>0</v>
      </c>
      <c r="S30" s="8">
        <v>0</v>
      </c>
      <c r="T30" s="7" t="e">
        <f t="shared" si="21"/>
        <v>#DIV/0!</v>
      </c>
      <c r="U30" s="7">
        <v>0</v>
      </c>
      <c r="V30" s="8">
        <v>0</v>
      </c>
      <c r="W30" s="7" t="e">
        <f t="shared" si="22"/>
        <v>#DIV/0!</v>
      </c>
      <c r="X30" s="7">
        <v>0</v>
      </c>
      <c r="Y30" s="8">
        <v>0</v>
      </c>
      <c r="Z30" s="7" t="e">
        <f t="shared" si="23"/>
        <v>#DIV/0!</v>
      </c>
      <c r="AA30" s="7">
        <v>0</v>
      </c>
      <c r="AB30" s="8">
        <v>0</v>
      </c>
      <c r="AC30" s="7">
        <f t="shared" si="24"/>
        <v>834.49760765550241</v>
      </c>
      <c r="AD30" s="7">
        <v>17441</v>
      </c>
      <c r="AE30" s="8">
        <v>20.9</v>
      </c>
      <c r="AF30" s="7" t="e">
        <f t="shared" si="25"/>
        <v>#DIV/0!</v>
      </c>
      <c r="AG30" s="7">
        <v>0</v>
      </c>
      <c r="AH30" s="8">
        <v>0</v>
      </c>
      <c r="AI30" s="7" t="e">
        <f t="shared" si="26"/>
        <v>#DIV/0!</v>
      </c>
      <c r="AJ30" s="7">
        <v>0</v>
      </c>
      <c r="AK30" s="8">
        <v>0</v>
      </c>
      <c r="AL30" s="7" t="e">
        <f t="shared" si="27"/>
        <v>#DIV/0!</v>
      </c>
      <c r="AM30" s="7">
        <v>0</v>
      </c>
      <c r="AN30" s="8">
        <v>0</v>
      </c>
      <c r="AO30" s="7">
        <f t="shared" si="12"/>
        <v>834.49760765550241</v>
      </c>
      <c r="AP30" s="7">
        <f t="shared" si="14"/>
        <v>17441</v>
      </c>
      <c r="AQ30" s="8">
        <f t="shared" si="15"/>
        <v>20.9</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1" t="s">
        <v>30</v>
      </c>
      <c r="B31" s="1"/>
    </row>
    <row r="32" spans="1:67" x14ac:dyDescent="0.3">
      <c r="A32" s="1" t="s">
        <v>44</v>
      </c>
      <c r="B32" s="1"/>
    </row>
    <row r="33" spans="1:2" x14ac:dyDescent="0.3">
      <c r="A33" s="1" t="s">
        <v>31</v>
      </c>
      <c r="B33" s="1"/>
    </row>
    <row r="34" spans="1:2" x14ac:dyDescent="0.3">
      <c r="A34" s="1" t="s">
        <v>32</v>
      </c>
      <c r="B34" s="1"/>
    </row>
    <row r="35" spans="1:2" x14ac:dyDescent="0.3">
      <c r="A35" s="1" t="s">
        <v>45</v>
      </c>
      <c r="B35" s="1"/>
    </row>
  </sheetData>
  <mergeCells count="16">
    <mergeCell ref="B3:B30"/>
    <mergeCell ref="C3:C30"/>
    <mergeCell ref="AO1:AQ1"/>
    <mergeCell ref="W1:Y1"/>
    <mergeCell ref="Z1:AB1"/>
    <mergeCell ref="AC1:AE1"/>
    <mergeCell ref="AF1:AH1"/>
    <mergeCell ref="AI1:AK1"/>
    <mergeCell ref="D3:D30"/>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2011년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2026-08-07T05:56:08Z</dcterms:modified>
</cp:coreProperties>
</file>