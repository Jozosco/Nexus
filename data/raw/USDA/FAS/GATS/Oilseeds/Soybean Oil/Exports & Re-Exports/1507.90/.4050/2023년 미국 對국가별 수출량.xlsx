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23년" sheetId="1" r:id="rId1"/>
  </sheets>
  <calcPr calcId="162913"/>
</workbook>
</file>

<file path=xl/calcChain.xml><?xml version="1.0" encoding="utf-8"?>
<calcChain xmlns="http://schemas.openxmlformats.org/spreadsheetml/2006/main">
  <c r="AQ67" i="1" l="1"/>
  <c r="AP67" i="1"/>
  <c r="AQ66" i="1"/>
  <c r="AP66" i="1"/>
  <c r="AQ65" i="1"/>
  <c r="AP65" i="1"/>
  <c r="AQ64" i="1"/>
  <c r="AP64" i="1"/>
  <c r="AQ63" i="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K67" i="1"/>
  <c r="H67" i="1"/>
  <c r="E67" i="1"/>
  <c r="T67" i="1"/>
  <c r="Q67" i="1"/>
  <c r="N67" i="1"/>
  <c r="W67" i="1"/>
  <c r="Z67" i="1"/>
  <c r="AL67" i="1"/>
  <c r="AI67" i="1"/>
  <c r="AF67" i="1"/>
  <c r="AC67" i="1"/>
  <c r="AP4" i="1"/>
  <c r="AP3" i="1" l="1"/>
  <c r="AQ3" i="1"/>
  <c r="AO67"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<sst xmlns="http://schemas.openxmlformats.org/spreadsheetml/2006/main" count="129" uniqueCount="93">
  <si>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</si>
  <si>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</si>
  <si>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</si>
  <si>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</si>
  <si>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</si>
  <si>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</si>
  <si>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</si>
  <si>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</si>
  <si>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</si>
  <si>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</si>
  <si>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</si>
  <si>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</si>
  <si>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</si>
  <si>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</si>
  <si>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</si>
  <si>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</si>
  <si>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</si>
  <si>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</si>
  <si>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</si>
  <si>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</si>
  <si>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</si>
  <si>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</si>
  <si>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</si>
  <si>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</si>
  <si>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</si>
  <si>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</si>
  <si>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</si>
  <si>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</si>
  <si>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</si>
  <si>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</si>
  <si>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El Salvador</t>
  </si>
  <si>
    <t>Guatemala</t>
  </si>
  <si>
    <t>Honduras</t>
  </si>
  <si>
    <t>Italy(*)</t>
  </si>
  <si>
    <t>Japan</t>
  </si>
  <si>
    <t>Netherlands</t>
  </si>
  <si>
    <t>Nicaragua</t>
  </si>
  <si>
    <t>Panama</t>
  </si>
  <si>
    <t>Trinidad and Tobago</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</si>
  <si>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</si>
  <si>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</si>
  <si>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</si>
  <si>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</si>
  <si>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</si>
  <si>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</si>
  <si>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</si>
  <si>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</si>
  <si>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</si>
  <si>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</si>
  <si>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Jordan</t>
  </si>
  <si>
    <t>Netherlands Antilles(*)</t>
  </si>
  <si>
    <t>Singapore</t>
  </si>
  <si>
    <t>Saudi Arabia</t>
  </si>
  <si>
    <t>Kuwait</t>
  </si>
  <si>
    <t>Chile</t>
  </si>
  <si>
    <t>Lebanon</t>
  </si>
  <si>
    <t>Qatar</t>
  </si>
  <si>
    <t>India</t>
  </si>
  <si>
    <t>Cayman Islands</t>
  </si>
  <si>
    <t>Bermuda</t>
  </si>
  <si>
    <t>Belgium-Luxembourg(*)</t>
  </si>
  <si>
    <t>Brazil</t>
  </si>
  <si>
    <t>Iceland</t>
  </si>
  <si>
    <t>Indonesia</t>
  </si>
  <si>
    <t>Peru</t>
  </si>
  <si>
    <t>United Kingdom</t>
  </si>
  <si>
    <t>1. Data Source: U.S. Census Bureau Trade Data</t>
  </si>
  <si>
    <t>4. Product Group : Harmonized</t>
  </si>
  <si>
    <t>Product</t>
    <phoneticPr fontId="18" type="noConversion"/>
  </si>
  <si>
    <t>Spain</t>
  </si>
  <si>
    <t>Haiti</t>
  </si>
  <si>
    <t>Suriname</t>
  </si>
  <si>
    <t>Taiwan</t>
  </si>
  <si>
    <t>SOY OIL FLY-RFND</t>
    <phoneticPr fontId="18" type="noConversion"/>
  </si>
  <si>
    <t>South Africa</t>
  </si>
  <si>
    <t>Greece</t>
  </si>
  <si>
    <t>Uruguay</t>
  </si>
  <si>
    <t>Oman</t>
  </si>
  <si>
    <t>Malta</t>
  </si>
  <si>
    <t>Argentina</t>
  </si>
  <si>
    <t>New Zealand(*)</t>
  </si>
  <si>
    <t>Turks and Caicos Islands</t>
  </si>
  <si>
    <t>Denmark</t>
  </si>
  <si>
    <t>Ecuador</t>
  </si>
  <si>
    <t>Micronesia</t>
  </si>
  <si>
    <t>Georgia</t>
  </si>
  <si>
    <t>Mauritius</t>
  </si>
  <si>
    <t>Seychelles</t>
  </si>
  <si>
    <t>Slovenia</t>
  </si>
  <si>
    <t>Thailand</t>
  </si>
  <si>
    <t>Timor-Leste</t>
  </si>
  <si>
    <t>French Pacific Islands(*)</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</si>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</sst>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21" xfId="0" applyBorder="1">
      <alignment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49" fontId="0" fillId="0" borderId="23"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8" t="s">
        <v>0</v>
      </c>
      <c r="F1" s="29"/>
      <c r="G1" s="30"/>
      <c r="H1" s="25" t="s">
        <v>1</v>
      </c>
      <c r="I1" s="26"/>
      <c r="J1" s="27"/>
      <c r="K1" s="25" t="s">
        <v>2</v>
      </c>
      <c r="L1" s="26"/>
      <c r="M1" s="27"/>
      <c r="N1" s="25" t="s">
        <v>3</v>
      </c>
      <c r="O1" s="26"/>
      <c r="P1" s="27"/>
      <c r="Q1" s="25" t="s">
        <v>4</v>
      </c>
      <c r="R1" s="26"/>
      <c r="S1" s="27"/>
      <c r="T1" s="25" t="s">
        <v>5</v>
      </c>
      <c r="U1" s="26"/>
      <c r="V1" s="27"/>
      <c r="W1" s="25" t="s">
        <v>6</v>
      </c>
      <c r="X1" s="26"/>
      <c r="Y1" s="27"/>
      <c r="Z1" s="25" t="s">
        <v>7</v>
      </c>
      <c r="AA1" s="26"/>
      <c r="AB1" s="27"/>
      <c r="AC1" s="25" t="s">
        <v>8</v>
      </c>
      <c r="AD1" s="26"/>
      <c r="AE1" s="27"/>
      <c r="AF1" s="25" t="s">
        <v>9</v>
      </c>
      <c r="AG1" s="26"/>
      <c r="AH1" s="27"/>
      <c r="AI1" s="25" t="s">
        <v>10</v>
      </c>
      <c r="AJ1" s="26"/>
      <c r="AK1" s="27"/>
      <c r="AL1" s="25" t="s">
        <v>11</v>
      </c>
      <c r="AM1" s="26"/>
      <c r="AN1" s="27"/>
      <c r="AO1" s="25" t="s">
        <v>12</v>
      </c>
      <c r="AP1" s="26"/>
      <c r="AQ1" s="27"/>
    </row>
    <row r="2" spans="1:67" x14ac:dyDescent="0.3">
      <c r="A2" s="2" t="s">
        <v>43</v>
      </c>
      <c r="B2" s="2" t="s">
        <v>68</v>
      </c>
      <c r="C2" s="2" t="s">
        <v>13</v>
      </c>
      <c r="D2" s="2" t="s">
        <v>44</v>
      </c>
      <c r="E2" s="4" t="s">
        <v>14</v>
      </c>
      <c r="F2" s="2" t="s">
        <v>44</v>
      </c>
      <c r="G2" s="5" t="s">
        <v>15</v>
      </c>
      <c r="H2" s="2" t="s">
        <v>14</v>
      </c>
      <c r="I2" s="2" t="s">
        <v>44</v>
      </c>
      <c r="J2" s="5" t="s">
        <v>15</v>
      </c>
      <c r="K2" s="2" t="s">
        <v>14</v>
      </c>
      <c r="L2" s="2" t="s">
        <v>44</v>
      </c>
      <c r="M2" s="5" t="s">
        <v>15</v>
      </c>
      <c r="N2" s="2" t="s">
        <v>14</v>
      </c>
      <c r="O2" s="2" t="s">
        <v>44</v>
      </c>
      <c r="P2" s="5" t="s">
        <v>15</v>
      </c>
      <c r="Q2" s="2" t="s">
        <v>14</v>
      </c>
      <c r="R2" s="2" t="s">
        <v>44</v>
      </c>
      <c r="S2" s="5" t="s">
        <v>15</v>
      </c>
      <c r="T2" s="2" t="s">
        <v>14</v>
      </c>
      <c r="U2" s="2" t="s">
        <v>44</v>
      </c>
      <c r="V2" s="5" t="s">
        <v>15</v>
      </c>
      <c r="W2" s="2" t="s">
        <v>14</v>
      </c>
      <c r="X2" s="2" t="s">
        <v>44</v>
      </c>
      <c r="Y2" s="5" t="s">
        <v>15</v>
      </c>
      <c r="Z2" s="2" t="s">
        <v>14</v>
      </c>
      <c r="AA2" s="2" t="s">
        <v>44</v>
      </c>
      <c r="AB2" s="5" t="s">
        <v>15</v>
      </c>
      <c r="AC2" s="2" t="s">
        <v>14</v>
      </c>
      <c r="AD2" s="2" t="s">
        <v>44</v>
      </c>
      <c r="AE2" s="5" t="s">
        <v>15</v>
      </c>
      <c r="AF2" s="2" t="s">
        <v>14</v>
      </c>
      <c r="AG2" s="2" t="s">
        <v>44</v>
      </c>
      <c r="AH2" s="5" t="s">
        <v>15</v>
      </c>
      <c r="AI2" s="2" t="s">
        <v>14</v>
      </c>
      <c r="AJ2" s="2" t="s">
        <v>44</v>
      </c>
      <c r="AK2" s="5" t="s">
        <v>15</v>
      </c>
      <c r="AL2" s="2" t="s">
        <v>14</v>
      </c>
      <c r="AM2" s="2" t="s">
        <v>44</v>
      </c>
      <c r="AN2" s="5" t="s">
        <v>15</v>
      </c>
      <c r="AO2" s="2" t="s">
        <v>14</v>
      </c>
      <c r="AP2" s="2" t="s">
        <v>46</v>
      </c>
      <c r="AQ2" s="5" t="s">
        <v>15</v>
      </c>
    </row>
    <row r="3" spans="1:67" ht="15" customHeight="1" x14ac:dyDescent="0.3">
      <c r="A3" s="20" t="s">
        <v>16</v>
      </c>
      <c r="B3" s="22" t="s">
        <v>73</v>
      </c>
      <c r="C3" s="22" t="s">
        <v>17</v>
      </c>
      <c r="D3" s="22" t="s">
        <v>45</v>
      </c>
      <c r="E3" s="17">
        <f>F3/G3</f>
        <v>2085.2201348980211</v>
      </c>
      <c r="F3" s="17">
        <f>SUM(F4:F67)</f>
        <v>12953596</v>
      </c>
      <c r="G3" s="18">
        <f>SUM(G4:G67)</f>
        <v>6212.1000000000013</v>
      </c>
      <c r="H3" s="17">
        <f>I3/J3</f>
        <v>2022.2608457107024</v>
      </c>
      <c r="I3" s="17">
        <f>SUM(I4:I67)</f>
        <v>10320406</v>
      </c>
      <c r="J3" s="18">
        <f>SUM(J4:J67)</f>
        <v>5103.4000000000005</v>
      </c>
      <c r="K3" s="17">
        <f>L3/M3</f>
        <v>2173.8756031267785</v>
      </c>
      <c r="L3" s="17">
        <f>SUM(L4:L67)</f>
        <v>10317431</v>
      </c>
      <c r="M3" s="18">
        <f>SUM(M4:M67)</f>
        <v>4746.0999999999985</v>
      </c>
      <c r="N3" s="17">
        <f>O3/P3</f>
        <v>1884.1733464044742</v>
      </c>
      <c r="O3" s="17">
        <f>SUM(O4:O67)</f>
        <v>13069380</v>
      </c>
      <c r="P3" s="18">
        <f>SUM(P4:P67)</f>
        <v>6936.4000000000033</v>
      </c>
      <c r="Q3" s="17">
        <f>R3/S3</f>
        <v>1928.0812172014237</v>
      </c>
      <c r="R3" s="17">
        <f>SUM(R4:R67)</f>
        <v>10948802</v>
      </c>
      <c r="S3" s="18">
        <f>SUM(S4:S67)</f>
        <v>5678.5999999999976</v>
      </c>
      <c r="T3" s="17">
        <f>U3/V3</f>
        <v>1887.5097607174616</v>
      </c>
      <c r="U3" s="17">
        <f>SUM(U4:U67)</f>
        <v>9765598</v>
      </c>
      <c r="V3" s="18">
        <f>SUM(V4:V67)</f>
        <v>5173.7999999999984</v>
      </c>
      <c r="W3" s="17">
        <f>X3/Y3</f>
        <v>1960.9145799439816</v>
      </c>
      <c r="X3" s="17">
        <f>SUM(X4:X67)</f>
        <v>11691561</v>
      </c>
      <c r="Y3" s="18">
        <f>SUM(Y4:Y67)</f>
        <v>5962.2999999999993</v>
      </c>
      <c r="Z3" s="17">
        <f>AA3/AB3</f>
        <v>1873.9992963197526</v>
      </c>
      <c r="AA3" s="17">
        <f>SUM(AA4:AA67)</f>
        <v>13315702</v>
      </c>
      <c r="AB3" s="18">
        <f>SUM(AB4:AB67)</f>
        <v>7105.4999999999991</v>
      </c>
      <c r="AC3" s="17">
        <f>AD3/AE3</f>
        <v>1969.3702044925881</v>
      </c>
      <c r="AD3" s="17">
        <f>SUM(AD4:AD67)</f>
        <v>17017131</v>
      </c>
      <c r="AE3" s="18">
        <f>SUM(AE4:AE67)</f>
        <v>8640.8999999999978</v>
      </c>
      <c r="AF3" s="17">
        <f>AG3/AH3</f>
        <v>2012.4181590692642</v>
      </c>
      <c r="AG3" s="17">
        <f>SUM(AG4:AG67)</f>
        <v>10776298</v>
      </c>
      <c r="AH3" s="18">
        <f>SUM(AH4:AH67)</f>
        <v>5354.8999999999987</v>
      </c>
      <c r="AI3" s="17">
        <f>AJ3/AK3</f>
        <v>2005.6310643724476</v>
      </c>
      <c r="AJ3" s="17">
        <f>SUM(AJ4:AJ67)</f>
        <v>10851868</v>
      </c>
      <c r="AK3" s="18">
        <f>SUM(AK4:AK67)</f>
        <v>5410.6999999999989</v>
      </c>
      <c r="AL3" s="17">
        <f>AM3/AN3</f>
        <v>1622.4799466478951</v>
      </c>
      <c r="AM3" s="17">
        <f>SUM(AM4:AM67)</f>
        <v>8758309</v>
      </c>
      <c r="AN3" s="18">
        <f>SUM(AN4:AN67)</f>
        <v>5398.0999999999985</v>
      </c>
      <c r="AO3" s="17">
        <f>AP3/AQ3</f>
        <v>1948.9769222618202</v>
      </c>
      <c r="AP3" s="17">
        <f>SUM(AP4:AP67)</f>
        <v>139786082</v>
      </c>
      <c r="AQ3" s="18">
        <f>SUM(AQ4:AQ67)</f>
        <v>71722.799999999959</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1" t="s">
        <v>20</v>
      </c>
      <c r="B4" s="23"/>
      <c r="C4" s="23"/>
      <c r="D4" s="23"/>
      <c r="E4" s="3">
        <f t="shared" ref="E4:E11" si="0">F4/G4</f>
        <v>2105.3935136750861</v>
      </c>
      <c r="F4" s="3">
        <v>7043594</v>
      </c>
      <c r="G4" s="6">
        <v>3345.5</v>
      </c>
      <c r="H4" s="3">
        <f t="shared" ref="H4:H11" si="1">I4/J4</f>
        <v>2063.3423945160143</v>
      </c>
      <c r="I4" s="3">
        <v>5237382</v>
      </c>
      <c r="J4" s="6">
        <v>2538.3000000000002</v>
      </c>
      <c r="K4" s="3">
        <f t="shared" ref="K4:K11" si="2">L4/M4</f>
        <v>1960.6399180619881</v>
      </c>
      <c r="L4" s="3">
        <v>4402813</v>
      </c>
      <c r="M4" s="6">
        <v>2245.6</v>
      </c>
      <c r="N4" s="3">
        <f t="shared" ref="N4:N11" si="3">O4/P4</f>
        <v>1880.6101224867114</v>
      </c>
      <c r="O4" s="3">
        <v>6509920</v>
      </c>
      <c r="P4" s="6">
        <v>3461.6</v>
      </c>
      <c r="Q4" s="3">
        <f t="shared" ref="Q4:Q11" si="4">R4/S4</f>
        <v>1868.6972937141541</v>
      </c>
      <c r="R4" s="3">
        <v>6483819</v>
      </c>
      <c r="S4" s="6">
        <v>3469.7</v>
      </c>
      <c r="T4" s="3">
        <f t="shared" ref="T4:T11" si="5">U4/V4</f>
        <v>1845.2373102761883</v>
      </c>
      <c r="U4" s="3">
        <v>5932807</v>
      </c>
      <c r="V4" s="6">
        <v>3215.2</v>
      </c>
      <c r="W4" s="3">
        <f t="shared" ref="W4:W11" si="6">X4/Y4</f>
        <v>1982.4018639219041</v>
      </c>
      <c r="X4" s="3">
        <v>6721730</v>
      </c>
      <c r="Y4" s="6">
        <v>3390.7</v>
      </c>
      <c r="Z4" s="3">
        <f t="shared" ref="Z4:Z11" si="7">AA4/AB4</f>
        <v>1827.5801784715638</v>
      </c>
      <c r="AA4" s="3">
        <v>7516289</v>
      </c>
      <c r="AB4" s="6">
        <v>4112.7</v>
      </c>
      <c r="AC4" s="3">
        <f t="shared" ref="AC4:AC11" si="8">AD4/AE4</f>
        <v>1984.8572887413836</v>
      </c>
      <c r="AD4" s="3">
        <v>7774686</v>
      </c>
      <c r="AE4" s="6">
        <v>3917</v>
      </c>
      <c r="AF4" s="3">
        <f t="shared" ref="AF4:AF11" si="9">AG4/AH4</f>
        <v>1998.6408190570373</v>
      </c>
      <c r="AG4" s="3">
        <v>6871527</v>
      </c>
      <c r="AH4" s="6">
        <v>3438.1</v>
      </c>
      <c r="AI4" s="3">
        <f t="shared" ref="AI4:AI11" si="10">AJ4/AK4</f>
        <v>1946.0983071588823</v>
      </c>
      <c r="AJ4" s="3">
        <v>6679204</v>
      </c>
      <c r="AK4" s="6">
        <v>3432.1</v>
      </c>
      <c r="AL4" s="3">
        <f t="shared" ref="AL4:AL11" si="11">AM4/AN4</f>
        <v>1498.3867397998461</v>
      </c>
      <c r="AM4" s="3">
        <v>6228494</v>
      </c>
      <c r="AN4" s="6">
        <v>4156.8</v>
      </c>
      <c r="AO4" s="3">
        <f t="shared" ref="AO4:AO67" si="12">AP4/AQ4</f>
        <v>1900.6874442886503</v>
      </c>
      <c r="AP4" s="3">
        <f t="shared" ref="AP4:AQ4" si="13">SUM(F4,I4,L4,O4,R4,U4,X4,AA4,AD4,AG4,AJ4,AM4)</f>
        <v>77402265</v>
      </c>
      <c r="AQ4" s="6">
        <f t="shared" si="13"/>
        <v>40723.300000000003</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20" t="s">
        <v>25</v>
      </c>
      <c r="B5" s="23"/>
      <c r="C5" s="23"/>
      <c r="D5" s="23"/>
      <c r="E5" s="3">
        <f t="shared" si="0"/>
        <v>1651.289499787445</v>
      </c>
      <c r="F5" s="3">
        <v>2330630</v>
      </c>
      <c r="G5" s="6">
        <v>1411.4</v>
      </c>
      <c r="H5" s="3">
        <f t="shared" si="1"/>
        <v>1623.7317448116833</v>
      </c>
      <c r="I5" s="3">
        <v>2534970</v>
      </c>
      <c r="J5" s="6">
        <v>1561.2</v>
      </c>
      <c r="K5" s="3">
        <f t="shared" si="2"/>
        <v>2322.4638693011243</v>
      </c>
      <c r="L5" s="3">
        <v>3326465</v>
      </c>
      <c r="M5" s="6">
        <v>1432.3</v>
      </c>
      <c r="N5" s="3">
        <f t="shared" si="3"/>
        <v>1662.448680351906</v>
      </c>
      <c r="O5" s="3">
        <v>3628128</v>
      </c>
      <c r="P5" s="6">
        <v>2182.4</v>
      </c>
      <c r="Q5" s="3">
        <f t="shared" si="4"/>
        <v>1893.3071544871182</v>
      </c>
      <c r="R5" s="3">
        <v>1976802</v>
      </c>
      <c r="S5" s="6">
        <v>1044.0999999999999</v>
      </c>
      <c r="T5" s="3">
        <f t="shared" si="5"/>
        <v>1927.3807495741055</v>
      </c>
      <c r="U5" s="3">
        <v>905098</v>
      </c>
      <c r="V5" s="6">
        <v>469.6</v>
      </c>
      <c r="W5" s="3">
        <f t="shared" si="6"/>
        <v>1817.6711483056661</v>
      </c>
      <c r="X5" s="3">
        <v>2649801</v>
      </c>
      <c r="Y5" s="6">
        <v>1457.8</v>
      </c>
      <c r="Z5" s="3">
        <f t="shared" si="7"/>
        <v>1758.9433121019108</v>
      </c>
      <c r="AA5" s="3">
        <v>2761541</v>
      </c>
      <c r="AB5" s="6">
        <v>1570</v>
      </c>
      <c r="AC5" s="3">
        <f t="shared" si="8"/>
        <v>1900.4541999239832</v>
      </c>
      <c r="AD5" s="3">
        <v>7000133</v>
      </c>
      <c r="AE5" s="6">
        <v>3683.4</v>
      </c>
      <c r="AF5" s="3">
        <f t="shared" si="9"/>
        <v>1829.939703761961</v>
      </c>
      <c r="AG5" s="3">
        <v>1396061</v>
      </c>
      <c r="AH5" s="6">
        <v>762.9</v>
      </c>
      <c r="AI5" s="3">
        <f t="shared" si="10"/>
        <v>1976.052449168207</v>
      </c>
      <c r="AJ5" s="3">
        <v>1710471</v>
      </c>
      <c r="AK5" s="6">
        <v>865.6</v>
      </c>
      <c r="AL5" s="3">
        <f t="shared" si="11"/>
        <v>1814.7288949897049</v>
      </c>
      <c r="AM5" s="3">
        <v>528812</v>
      </c>
      <c r="AN5" s="6">
        <v>291.39999999999998</v>
      </c>
      <c r="AO5" s="3">
        <f t="shared" si="12"/>
        <v>1837.7198319398042</v>
      </c>
      <c r="AP5" s="3">
        <f t="shared" ref="AP5:AP67" si="14">SUM(F5,I5,L5,O5,R5,U5,X5,AA5,AD5,AG5,AJ5,AM5)</f>
        <v>30748912</v>
      </c>
      <c r="AQ5" s="6">
        <f t="shared" ref="AQ5:AQ67" si="15">SUM(G5,J5,M5,P5,S5,V5,Y5,AB5,AE5,AH5,AK5,AN5)</f>
        <v>16732.100000000002</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20" t="s">
        <v>53</v>
      </c>
      <c r="B6" s="23"/>
      <c r="C6" s="23"/>
      <c r="D6" s="23"/>
      <c r="E6" s="3">
        <f t="shared" si="0"/>
        <v>2398.0495759947812</v>
      </c>
      <c r="F6" s="3">
        <v>367621</v>
      </c>
      <c r="G6" s="6">
        <v>153.30000000000001</v>
      </c>
      <c r="H6" s="3">
        <f t="shared" si="1"/>
        <v>2357.5270562770561</v>
      </c>
      <c r="I6" s="3">
        <v>435671</v>
      </c>
      <c r="J6" s="6">
        <v>184.8</v>
      </c>
      <c r="K6" s="3">
        <f t="shared" si="2"/>
        <v>2315.1528384279477</v>
      </c>
      <c r="L6" s="3">
        <v>424136</v>
      </c>
      <c r="M6" s="6">
        <v>183.2</v>
      </c>
      <c r="N6" s="3">
        <f t="shared" si="3"/>
        <v>2136.2888198757764</v>
      </c>
      <c r="O6" s="3">
        <v>550308</v>
      </c>
      <c r="P6" s="6">
        <v>257.60000000000002</v>
      </c>
      <c r="Q6" s="3">
        <f t="shared" si="4"/>
        <v>2195.553319919517</v>
      </c>
      <c r="R6" s="3">
        <v>218238</v>
      </c>
      <c r="S6" s="6">
        <v>99.4</v>
      </c>
      <c r="T6" s="3">
        <f t="shared" si="5"/>
        <v>1990.3581661891117</v>
      </c>
      <c r="U6" s="3">
        <v>416781</v>
      </c>
      <c r="V6" s="6">
        <v>209.4</v>
      </c>
      <c r="W6" s="3">
        <f t="shared" si="6"/>
        <v>1989.4064443188242</v>
      </c>
      <c r="X6" s="3">
        <v>351926</v>
      </c>
      <c r="Y6" s="6">
        <v>176.9</v>
      </c>
      <c r="Z6" s="3">
        <f t="shared" si="7"/>
        <v>2183.7967289719627</v>
      </c>
      <c r="AA6" s="3">
        <v>747732</v>
      </c>
      <c r="AB6" s="6">
        <v>342.4</v>
      </c>
      <c r="AC6" s="3">
        <f t="shared" si="8"/>
        <v>2311.9101123595506</v>
      </c>
      <c r="AD6" s="3">
        <v>61728</v>
      </c>
      <c r="AE6" s="6">
        <v>26.7</v>
      </c>
      <c r="AF6" s="3">
        <f t="shared" si="9"/>
        <v>2137.0818030050082</v>
      </c>
      <c r="AG6" s="3">
        <v>640056</v>
      </c>
      <c r="AH6" s="6">
        <v>299.5</v>
      </c>
      <c r="AI6" s="3">
        <f t="shared" si="10"/>
        <v>1919.3567753001716</v>
      </c>
      <c r="AJ6" s="3">
        <v>223797</v>
      </c>
      <c r="AK6" s="6">
        <v>116.6</v>
      </c>
      <c r="AL6" s="3">
        <f t="shared" si="11"/>
        <v>1887.9656274980016</v>
      </c>
      <c r="AM6" s="3">
        <v>472369</v>
      </c>
      <c r="AN6" s="6">
        <v>250.2</v>
      </c>
      <c r="AO6" s="3">
        <f t="shared" si="12"/>
        <v>2134.9404347826089</v>
      </c>
      <c r="AP6" s="3">
        <f t="shared" si="14"/>
        <v>4910363</v>
      </c>
      <c r="AQ6" s="6">
        <f t="shared" si="15"/>
        <v>2300</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20" t="s">
        <v>28</v>
      </c>
      <c r="B7" s="23"/>
      <c r="C7" s="23"/>
      <c r="D7" s="23"/>
      <c r="E7" s="3">
        <f t="shared" si="0"/>
        <v>2672.7441197434068</v>
      </c>
      <c r="F7" s="3">
        <v>374986</v>
      </c>
      <c r="G7" s="6">
        <v>140.30000000000001</v>
      </c>
      <c r="H7" s="3">
        <f t="shared" si="1"/>
        <v>2609.3604148660329</v>
      </c>
      <c r="I7" s="3">
        <v>301903</v>
      </c>
      <c r="J7" s="6">
        <v>115.7</v>
      </c>
      <c r="K7" s="3">
        <f t="shared" si="2"/>
        <v>2737.4865900383143</v>
      </c>
      <c r="L7" s="3">
        <v>357242</v>
      </c>
      <c r="M7" s="6">
        <v>130.5</v>
      </c>
      <c r="N7" s="3">
        <f t="shared" si="3"/>
        <v>2026.2837837837837</v>
      </c>
      <c r="O7" s="3">
        <v>59978</v>
      </c>
      <c r="P7" s="6">
        <v>29.6</v>
      </c>
      <c r="Q7" s="3">
        <f t="shared" si="4"/>
        <v>2345.6148491879349</v>
      </c>
      <c r="R7" s="3">
        <v>202192</v>
      </c>
      <c r="S7" s="6">
        <v>86.2</v>
      </c>
      <c r="T7" s="3">
        <f t="shared" si="5"/>
        <v>2428.353057199211</v>
      </c>
      <c r="U7" s="3">
        <v>246235</v>
      </c>
      <c r="V7" s="6">
        <v>101.4</v>
      </c>
      <c r="W7" s="3">
        <f t="shared" si="6"/>
        <v>2419.0837282780412</v>
      </c>
      <c r="X7" s="3">
        <v>153128</v>
      </c>
      <c r="Y7" s="6">
        <v>63.3</v>
      </c>
      <c r="Z7" s="3">
        <f t="shared" si="7"/>
        <v>2583.4993270524901</v>
      </c>
      <c r="AA7" s="3">
        <v>191954</v>
      </c>
      <c r="AB7" s="6">
        <v>74.3</v>
      </c>
      <c r="AC7" s="3">
        <f t="shared" si="8"/>
        <v>2178.5277995301485</v>
      </c>
      <c r="AD7" s="3">
        <v>278198</v>
      </c>
      <c r="AE7" s="6">
        <v>127.7</v>
      </c>
      <c r="AF7" s="3">
        <f t="shared" si="9"/>
        <v>2688.3505154639174</v>
      </c>
      <c r="AG7" s="3">
        <v>365078</v>
      </c>
      <c r="AH7" s="6">
        <v>135.80000000000001</v>
      </c>
      <c r="AI7" s="3">
        <f t="shared" si="10"/>
        <v>2497.0064874884151</v>
      </c>
      <c r="AJ7" s="3">
        <v>269427</v>
      </c>
      <c r="AK7" s="6">
        <v>107.9</v>
      </c>
      <c r="AL7" s="3">
        <f t="shared" si="11"/>
        <v>2596.8493150684935</v>
      </c>
      <c r="AM7" s="3">
        <v>227484</v>
      </c>
      <c r="AN7" s="6">
        <v>87.6</v>
      </c>
      <c r="AO7" s="3">
        <f t="shared" si="12"/>
        <v>2522.5401982837625</v>
      </c>
      <c r="AP7" s="3">
        <f t="shared" si="14"/>
        <v>3027805</v>
      </c>
      <c r="AQ7" s="6">
        <f t="shared" si="15"/>
        <v>1200.3</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20" t="s">
        <v>37</v>
      </c>
      <c r="B8" s="23"/>
      <c r="C8" s="23"/>
      <c r="D8" s="23"/>
      <c r="E8" s="3">
        <f t="shared" si="0"/>
        <v>2591.0483870967741</v>
      </c>
      <c r="F8" s="3">
        <v>417677</v>
      </c>
      <c r="G8" s="6">
        <v>161.19999999999999</v>
      </c>
      <c r="H8" s="3">
        <f t="shared" si="1"/>
        <v>2380.1724137931037</v>
      </c>
      <c r="I8" s="3">
        <v>55220</v>
      </c>
      <c r="J8" s="6">
        <v>23.2</v>
      </c>
      <c r="K8" s="3">
        <f t="shared" si="2"/>
        <v>2246.4109232769829</v>
      </c>
      <c r="L8" s="3">
        <v>172749</v>
      </c>
      <c r="M8" s="6">
        <v>76.900000000000006</v>
      </c>
      <c r="N8" s="3">
        <f t="shared" si="3"/>
        <v>1501.6409266409266</v>
      </c>
      <c r="O8" s="3">
        <v>77785</v>
      </c>
      <c r="P8" s="6">
        <v>51.8</v>
      </c>
      <c r="Q8" s="3">
        <f t="shared" si="4"/>
        <v>2157.9242636746144</v>
      </c>
      <c r="R8" s="3">
        <v>153860</v>
      </c>
      <c r="S8" s="6">
        <v>71.3</v>
      </c>
      <c r="T8" s="3">
        <f t="shared" si="5"/>
        <v>2086.2325581395348</v>
      </c>
      <c r="U8" s="3">
        <v>89708</v>
      </c>
      <c r="V8" s="6">
        <v>43</v>
      </c>
      <c r="W8" s="3">
        <f t="shared" si="6"/>
        <v>1652.8514851485149</v>
      </c>
      <c r="X8" s="3">
        <v>166938</v>
      </c>
      <c r="Y8" s="6">
        <v>101</v>
      </c>
      <c r="Z8" s="3">
        <f t="shared" si="7"/>
        <v>1953.480230642504</v>
      </c>
      <c r="AA8" s="3">
        <v>474305</v>
      </c>
      <c r="AB8" s="6">
        <v>242.8</v>
      </c>
      <c r="AC8" s="3">
        <f t="shared" si="8"/>
        <v>2122.8524229074892</v>
      </c>
      <c r="AD8" s="3">
        <v>192755</v>
      </c>
      <c r="AE8" s="6">
        <v>90.8</v>
      </c>
      <c r="AF8" s="3">
        <f t="shared" si="9"/>
        <v>1963.25</v>
      </c>
      <c r="AG8" s="3">
        <v>353385</v>
      </c>
      <c r="AH8" s="6">
        <v>180</v>
      </c>
      <c r="AI8" s="3">
        <f t="shared" si="10"/>
        <v>2264.5902943516307</v>
      </c>
      <c r="AJ8" s="3">
        <v>569318</v>
      </c>
      <c r="AK8" s="6">
        <v>251.4</v>
      </c>
      <c r="AL8" s="3">
        <f t="shared" si="11"/>
        <v>1901.1382113821137</v>
      </c>
      <c r="AM8" s="3">
        <v>210456</v>
      </c>
      <c r="AN8" s="6">
        <v>110.7</v>
      </c>
      <c r="AO8" s="3">
        <f t="shared" si="12"/>
        <v>2089.7058614058824</v>
      </c>
      <c r="AP8" s="3">
        <f t="shared" si="14"/>
        <v>2934156</v>
      </c>
      <c r="AQ8" s="6">
        <f t="shared" si="15"/>
        <v>1404.1000000000001</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20" t="s">
        <v>49</v>
      </c>
      <c r="B9" s="23"/>
      <c r="C9" s="23"/>
      <c r="D9" s="23"/>
      <c r="E9" s="3">
        <f t="shared" si="0"/>
        <v>2436.496945010183</v>
      </c>
      <c r="F9" s="3">
        <v>358896</v>
      </c>
      <c r="G9" s="6">
        <v>147.30000000000001</v>
      </c>
      <c r="H9" s="3">
        <f t="shared" si="1"/>
        <v>3132.3744911804611</v>
      </c>
      <c r="I9" s="3">
        <v>230856</v>
      </c>
      <c r="J9" s="6">
        <v>73.7</v>
      </c>
      <c r="K9" s="3">
        <f t="shared" si="2"/>
        <v>2327.8017241379312</v>
      </c>
      <c r="L9" s="3">
        <v>54005</v>
      </c>
      <c r="M9" s="6">
        <v>23.2</v>
      </c>
      <c r="N9" s="3">
        <f t="shared" si="3"/>
        <v>2753.0764935790062</v>
      </c>
      <c r="O9" s="3">
        <v>493076</v>
      </c>
      <c r="P9" s="6">
        <v>179.1</v>
      </c>
      <c r="Q9" s="3">
        <f t="shared" si="4"/>
        <v>2160</v>
      </c>
      <c r="R9" s="3">
        <v>197424</v>
      </c>
      <c r="S9" s="6">
        <v>91.4</v>
      </c>
      <c r="T9" s="3">
        <f t="shared" si="5"/>
        <v>2010.5751765893037</v>
      </c>
      <c r="U9" s="3">
        <v>199248</v>
      </c>
      <c r="V9" s="6">
        <v>99.1</v>
      </c>
      <c r="W9" s="3">
        <f t="shared" si="6"/>
        <v>2062.9921259842522</v>
      </c>
      <c r="X9" s="3">
        <v>104800</v>
      </c>
      <c r="Y9" s="6">
        <v>50.8</v>
      </c>
      <c r="Z9" s="3" t="e">
        <f t="shared" si="7"/>
        <v>#DIV/0!</v>
      </c>
      <c r="AA9" s="3">
        <v>0</v>
      </c>
      <c r="AB9" s="6">
        <v>0</v>
      </c>
      <c r="AC9" s="3" t="e">
        <f t="shared" si="8"/>
        <v>#DIV/0!</v>
      </c>
      <c r="AD9" s="3">
        <v>0</v>
      </c>
      <c r="AE9" s="6">
        <v>0</v>
      </c>
      <c r="AF9" s="3">
        <f t="shared" si="9"/>
        <v>2081.9828408007625</v>
      </c>
      <c r="AG9" s="3">
        <v>218400</v>
      </c>
      <c r="AH9" s="6">
        <v>104.9</v>
      </c>
      <c r="AI9" s="3">
        <f t="shared" si="10"/>
        <v>1378.4375</v>
      </c>
      <c r="AJ9" s="3">
        <v>101453</v>
      </c>
      <c r="AK9" s="6">
        <v>73.599999999999994</v>
      </c>
      <c r="AL9" s="3">
        <f t="shared" si="11"/>
        <v>1985.4922279792745</v>
      </c>
      <c r="AM9" s="3">
        <v>191600</v>
      </c>
      <c r="AN9" s="6">
        <v>96.5</v>
      </c>
      <c r="AO9" s="3">
        <f t="shared" si="12"/>
        <v>2287.9501915708815</v>
      </c>
      <c r="AP9" s="3">
        <f t="shared" si="14"/>
        <v>2149758</v>
      </c>
      <c r="AQ9" s="6">
        <f t="shared" si="15"/>
        <v>939.59999999999991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20" t="s">
        <v>50</v>
      </c>
      <c r="B10" s="23"/>
      <c r="C10" s="23"/>
      <c r="D10" s="23"/>
      <c r="E10" s="3">
        <f t="shared" si="0"/>
        <v>2840.4291845493563</v>
      </c>
      <c r="F10" s="3">
        <v>66182</v>
      </c>
      <c r="G10" s="6">
        <v>23.3</v>
      </c>
      <c r="H10" s="3">
        <f t="shared" si="1"/>
        <v>2552.0103092783506</v>
      </c>
      <c r="I10" s="3">
        <v>99018</v>
      </c>
      <c r="J10" s="6">
        <v>38.799999999999997</v>
      </c>
      <c r="K10" s="3">
        <f t="shared" si="2"/>
        <v>2626.8783068783073</v>
      </c>
      <c r="L10" s="3">
        <v>49648</v>
      </c>
      <c r="M10" s="6">
        <v>18.899999999999999</v>
      </c>
      <c r="N10" s="3">
        <f t="shared" si="3"/>
        <v>2583.5877862595421</v>
      </c>
      <c r="O10" s="3">
        <v>33845</v>
      </c>
      <c r="P10" s="6">
        <v>13.1</v>
      </c>
      <c r="Q10" s="3">
        <f t="shared" si="4"/>
        <v>1558.5526315789475</v>
      </c>
      <c r="R10" s="3">
        <v>11845</v>
      </c>
      <c r="S10" s="6">
        <v>7.6</v>
      </c>
      <c r="T10" s="3">
        <f t="shared" si="5"/>
        <v>4461.5</v>
      </c>
      <c r="U10" s="3">
        <v>8923</v>
      </c>
      <c r="V10" s="6">
        <v>2</v>
      </c>
      <c r="W10" s="3" t="e">
        <f t="shared" si="6"/>
        <v>#DIV/0!</v>
      </c>
      <c r="X10" s="3">
        <v>0</v>
      </c>
      <c r="Y10" s="6">
        <v>0</v>
      </c>
      <c r="Z10" s="3">
        <f t="shared" si="7"/>
        <v>2535</v>
      </c>
      <c r="AA10" s="3">
        <v>5070</v>
      </c>
      <c r="AB10" s="6">
        <v>2</v>
      </c>
      <c r="AC10" s="3" t="e">
        <f t="shared" si="8"/>
        <v>#DIV/0!</v>
      </c>
      <c r="AD10" s="3">
        <v>0</v>
      </c>
      <c r="AE10" s="6">
        <v>0</v>
      </c>
      <c r="AF10" s="3">
        <f t="shared" si="9"/>
        <v>3225.8064516129029</v>
      </c>
      <c r="AG10" s="3">
        <v>10000</v>
      </c>
      <c r="AH10" s="6">
        <v>3.1</v>
      </c>
      <c r="AI10" s="3">
        <f t="shared" si="10"/>
        <v>2526.3157894736842</v>
      </c>
      <c r="AJ10" s="3">
        <v>9600</v>
      </c>
      <c r="AK10" s="6">
        <v>3.8</v>
      </c>
      <c r="AL10" s="3">
        <f t="shared" si="11"/>
        <v>1914.6812386156648</v>
      </c>
      <c r="AM10" s="3">
        <v>105116</v>
      </c>
      <c r="AN10" s="6">
        <v>54.9</v>
      </c>
      <c r="AO10" s="3">
        <f t="shared" si="12"/>
        <v>2383.5641791044782</v>
      </c>
      <c r="AP10" s="3">
        <f t="shared" si="14"/>
        <v>399247</v>
      </c>
      <c r="AQ10" s="6">
        <f t="shared" si="15"/>
        <v>167.49999999999997</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20" t="s">
        <v>63</v>
      </c>
      <c r="B11" s="23"/>
      <c r="C11" s="23"/>
      <c r="D11" s="23"/>
      <c r="E11" s="3">
        <f t="shared" si="0"/>
        <v>2472.4083769633507</v>
      </c>
      <c r="F11" s="3">
        <v>47223</v>
      </c>
      <c r="G11" s="6">
        <v>19.100000000000001</v>
      </c>
      <c r="H11" s="3" t="e">
        <f t="shared" si="1"/>
        <v>#DIV/0!</v>
      </c>
      <c r="I11" s="3">
        <v>0</v>
      </c>
      <c r="J11" s="6">
        <v>0</v>
      </c>
      <c r="K11" s="3" t="e">
        <f t="shared" si="2"/>
        <v>#DIV/0!</v>
      </c>
      <c r="L11" s="3">
        <v>0</v>
      </c>
      <c r="M11" s="6">
        <v>0</v>
      </c>
      <c r="N11" s="3">
        <f t="shared" si="3"/>
        <v>2222.7748691099473</v>
      </c>
      <c r="O11" s="3">
        <v>42455</v>
      </c>
      <c r="P11" s="6">
        <v>19.100000000000001</v>
      </c>
      <c r="Q11" s="3" t="e">
        <f t="shared" si="4"/>
        <v>#DIV/0!</v>
      </c>
      <c r="R11" s="3">
        <v>0</v>
      </c>
      <c r="S11" s="6">
        <v>0</v>
      </c>
      <c r="T11" s="3" t="e">
        <f t="shared" si="5"/>
        <v>#DIV/0!</v>
      </c>
      <c r="U11" s="3">
        <v>0</v>
      </c>
      <c r="V11" s="6">
        <v>0</v>
      </c>
      <c r="W11" s="3">
        <f t="shared" si="6"/>
        <v>2519.8540145985403</v>
      </c>
      <c r="X11" s="3">
        <v>69044</v>
      </c>
      <c r="Y11" s="6">
        <v>27.4</v>
      </c>
      <c r="Z11" s="3">
        <f t="shared" si="7"/>
        <v>2418.0104712041884</v>
      </c>
      <c r="AA11" s="3">
        <v>46184</v>
      </c>
      <c r="AB11" s="6">
        <v>19.100000000000001</v>
      </c>
      <c r="AC11" s="3" t="e">
        <f t="shared" si="8"/>
        <v>#DIV/0!</v>
      </c>
      <c r="AD11" s="3">
        <v>0</v>
      </c>
      <c r="AE11" s="6">
        <v>0</v>
      </c>
      <c r="AF11" s="3" t="e">
        <f t="shared" si="9"/>
        <v>#DIV/0!</v>
      </c>
      <c r="AG11" s="3">
        <v>0</v>
      </c>
      <c r="AH11" s="6">
        <v>0</v>
      </c>
      <c r="AI11" s="3" t="e">
        <f t="shared" si="10"/>
        <v>#DIV/0!</v>
      </c>
      <c r="AJ11" s="3">
        <v>0</v>
      </c>
      <c r="AK11" s="6">
        <v>0</v>
      </c>
      <c r="AL11" s="3">
        <f t="shared" si="11"/>
        <v>2938.0938416422287</v>
      </c>
      <c r="AM11" s="3">
        <v>100189</v>
      </c>
      <c r="AN11" s="6">
        <v>34.1</v>
      </c>
      <c r="AO11" s="3">
        <f t="shared" si="12"/>
        <v>2568.1397306397312</v>
      </c>
      <c r="AP11" s="3">
        <f t="shared" si="14"/>
        <v>305095</v>
      </c>
      <c r="AQ11" s="6">
        <f t="shared" si="15"/>
        <v>118.79999999999998</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20" t="s">
        <v>77</v>
      </c>
      <c r="B12" s="23"/>
      <c r="C12" s="23"/>
      <c r="D12" s="23"/>
      <c r="E12" s="3">
        <f>F12/G12</f>
        <v>2508.661417322835</v>
      </c>
      <c r="F12" s="3">
        <v>63720</v>
      </c>
      <c r="G12" s="6">
        <v>25.4</v>
      </c>
      <c r="H12" s="3" t="e">
        <f>I12/J12</f>
        <v>#DIV/0!</v>
      </c>
      <c r="I12" s="3">
        <v>0</v>
      </c>
      <c r="J12" s="6">
        <v>0</v>
      </c>
      <c r="K12" s="3">
        <f>L12/M12</f>
        <v>2366.3894967177243</v>
      </c>
      <c r="L12" s="3">
        <v>108144</v>
      </c>
      <c r="M12" s="6">
        <v>45.7</v>
      </c>
      <c r="N12" s="3" t="e">
        <f>O12/P12</f>
        <v>#DIV/0!</v>
      </c>
      <c r="O12" s="3">
        <v>0</v>
      </c>
      <c r="P12" s="6">
        <v>0</v>
      </c>
      <c r="Q12" s="3">
        <f>R12/S12</f>
        <v>2295.4923413566739</v>
      </c>
      <c r="R12" s="3">
        <v>104904</v>
      </c>
      <c r="S12" s="6">
        <v>45.7</v>
      </c>
      <c r="T12" s="3">
        <f>U12/V12</f>
        <v>2366.3894967177243</v>
      </c>
      <c r="U12" s="3">
        <v>108144</v>
      </c>
      <c r="V12" s="6">
        <v>45.7</v>
      </c>
      <c r="W12" s="3" t="e">
        <f>X12/Y12</f>
        <v>#DIV/0!</v>
      </c>
      <c r="X12" s="3">
        <v>0</v>
      </c>
      <c r="Y12" s="6">
        <v>0</v>
      </c>
      <c r="Z12" s="3" t="e">
        <f>AA12/AB12</f>
        <v>#DIV/0!</v>
      </c>
      <c r="AA12" s="3">
        <v>0</v>
      </c>
      <c r="AB12" s="6">
        <v>0</v>
      </c>
      <c r="AC12" s="3" t="e">
        <f>AD12/AE12</f>
        <v>#DIV/0!</v>
      </c>
      <c r="AD12" s="3">
        <v>0</v>
      </c>
      <c r="AE12" s="6">
        <v>0</v>
      </c>
      <c r="AF12" s="3" t="e">
        <f>AG12/AH12</f>
        <v>#DIV/0!</v>
      </c>
      <c r="AG12" s="3">
        <v>0</v>
      </c>
      <c r="AH12" s="6">
        <v>0</v>
      </c>
      <c r="AI12" s="3" t="e">
        <f>AJ12/AK12</f>
        <v>#DIV/0!</v>
      </c>
      <c r="AJ12" s="3">
        <v>0</v>
      </c>
      <c r="AK12" s="6">
        <v>0</v>
      </c>
      <c r="AL12" s="3">
        <f>AM12/AN12</f>
        <v>2079.6498905908097</v>
      </c>
      <c r="AM12" s="3">
        <v>95040</v>
      </c>
      <c r="AN12" s="6">
        <v>45.7</v>
      </c>
      <c r="AO12" s="3">
        <f t="shared" si="12"/>
        <v>2305.2449567723343</v>
      </c>
      <c r="AP12" s="3">
        <f t="shared" si="14"/>
        <v>479952</v>
      </c>
      <c r="AQ12" s="6">
        <f t="shared" si="15"/>
        <v>208.2</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20" t="s">
        <v>26</v>
      </c>
      <c r="B13" s="23"/>
      <c r="C13" s="23"/>
      <c r="D13" s="23"/>
      <c r="E13" s="3">
        <f t="shared" ref="E13:E67" si="16">F13/G13</f>
        <v>2406.6104868913858</v>
      </c>
      <c r="F13" s="3">
        <v>257026</v>
      </c>
      <c r="G13" s="6">
        <v>106.8</v>
      </c>
      <c r="H13" s="3">
        <f t="shared" ref="H13:H67" si="17">I13/J13</f>
        <v>2035.9744408945687</v>
      </c>
      <c r="I13" s="3">
        <v>63726</v>
      </c>
      <c r="J13" s="6">
        <v>31.3</v>
      </c>
      <c r="K13" s="3">
        <f t="shared" ref="K13:K67" si="18">L13/M13</f>
        <v>2330.9729187562689</v>
      </c>
      <c r="L13" s="3">
        <v>232398</v>
      </c>
      <c r="M13" s="6">
        <v>99.7</v>
      </c>
      <c r="N13" s="3">
        <f t="shared" ref="N13:N67" si="19">O13/P13</f>
        <v>1942.2088835534214</v>
      </c>
      <c r="O13" s="3">
        <v>323572</v>
      </c>
      <c r="P13" s="6">
        <v>166.6</v>
      </c>
      <c r="Q13" s="3">
        <f t="shared" ref="Q13:Q67" si="20">R13/S13</f>
        <v>2203.697253851306</v>
      </c>
      <c r="R13" s="3">
        <v>329012</v>
      </c>
      <c r="S13" s="6">
        <v>149.30000000000001</v>
      </c>
      <c r="T13" s="3">
        <f t="shared" ref="T13:T67" si="21">U13/V13</f>
        <v>2152.7323943661972</v>
      </c>
      <c r="U13" s="3">
        <v>382110</v>
      </c>
      <c r="V13" s="6">
        <v>177.5</v>
      </c>
      <c r="W13" s="3">
        <f t="shared" ref="W13:W67" si="22">X13/Y13</f>
        <v>1971.5165336374002</v>
      </c>
      <c r="X13" s="3">
        <v>172902</v>
      </c>
      <c r="Y13" s="6">
        <v>87.7</v>
      </c>
      <c r="Z13" s="3">
        <f t="shared" ref="Z13:Z67" si="23">AA13/AB13</f>
        <v>2240.0260078023407</v>
      </c>
      <c r="AA13" s="3">
        <v>172258</v>
      </c>
      <c r="AB13" s="6">
        <v>76.900000000000006</v>
      </c>
      <c r="AC13" s="3">
        <f t="shared" ref="AC13:AC67" si="24">AD13/AE13</f>
        <v>2175.9762140733396</v>
      </c>
      <c r="AD13" s="3">
        <v>219556</v>
      </c>
      <c r="AE13" s="6">
        <v>100.9</v>
      </c>
      <c r="AF13" s="3">
        <f t="shared" ref="AF13:AF67" si="25">AG13/AH13</f>
        <v>1819.9801980198019</v>
      </c>
      <c r="AG13" s="3">
        <v>91909</v>
      </c>
      <c r="AH13" s="6">
        <v>50.5</v>
      </c>
      <c r="AI13" s="3">
        <f t="shared" ref="AI13:AI67" si="26">AJ13/AK13</f>
        <v>2061.2055974165769</v>
      </c>
      <c r="AJ13" s="3">
        <v>191486</v>
      </c>
      <c r="AK13" s="6">
        <v>92.9</v>
      </c>
      <c r="AL13" s="3">
        <f t="shared" ref="AL13:AL67" si="27">AM13/AN13</f>
        <v>2145.4509803921569</v>
      </c>
      <c r="AM13" s="3">
        <v>54709</v>
      </c>
      <c r="AN13" s="6">
        <v>25.5</v>
      </c>
      <c r="AO13" s="3">
        <f t="shared" si="12"/>
        <v>2136.8085106382978</v>
      </c>
      <c r="AP13" s="3">
        <f t="shared" si="14"/>
        <v>2490664</v>
      </c>
      <c r="AQ13" s="6">
        <f t="shared" si="15"/>
        <v>1165.6000000000001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20" t="s">
        <v>55</v>
      </c>
      <c r="B14" s="23"/>
      <c r="C14" s="23"/>
      <c r="D14" s="23"/>
      <c r="E14" s="3" t="e">
        <f t="shared" si="16"/>
        <v>#DIV/0!</v>
      </c>
      <c r="F14" s="3">
        <v>0</v>
      </c>
      <c r="G14" s="6">
        <v>0</v>
      </c>
      <c r="H14" s="3">
        <f t="shared" si="17"/>
        <v>2311.25</v>
      </c>
      <c r="I14" s="3">
        <v>38829</v>
      </c>
      <c r="J14" s="6">
        <v>16.8</v>
      </c>
      <c r="K14" s="3">
        <f t="shared" si="18"/>
        <v>2253.7759336099584</v>
      </c>
      <c r="L14" s="3">
        <v>54316</v>
      </c>
      <c r="M14" s="6">
        <v>24.1</v>
      </c>
      <c r="N14" s="3">
        <f t="shared" si="19"/>
        <v>1707.5775656324583</v>
      </c>
      <c r="O14" s="3">
        <v>143095</v>
      </c>
      <c r="P14" s="6">
        <v>83.8</v>
      </c>
      <c r="Q14" s="3" t="e">
        <f t="shared" si="20"/>
        <v>#DIV/0!</v>
      </c>
      <c r="R14" s="3">
        <v>0</v>
      </c>
      <c r="S14" s="6">
        <v>0</v>
      </c>
      <c r="T14" s="3" t="e">
        <f t="shared" si="21"/>
        <v>#DIV/0!</v>
      </c>
      <c r="U14" s="3">
        <v>0</v>
      </c>
      <c r="V14" s="6">
        <v>0</v>
      </c>
      <c r="W14" s="3">
        <f t="shared" si="22"/>
        <v>2025.0492610837437</v>
      </c>
      <c r="X14" s="3">
        <v>82217</v>
      </c>
      <c r="Y14" s="6">
        <v>40.6</v>
      </c>
      <c r="Z14" s="3">
        <f t="shared" si="23"/>
        <v>2277.5916230366493</v>
      </c>
      <c r="AA14" s="3">
        <v>43502</v>
      </c>
      <c r="AB14" s="6">
        <v>19.100000000000001</v>
      </c>
      <c r="AC14" s="3">
        <f t="shared" si="24"/>
        <v>2231.8257261410786</v>
      </c>
      <c r="AD14" s="3">
        <v>53787</v>
      </c>
      <c r="AE14" s="6">
        <v>24.1</v>
      </c>
      <c r="AF14" s="3">
        <f t="shared" si="25"/>
        <v>1091.9708029197081</v>
      </c>
      <c r="AG14" s="3">
        <v>59840</v>
      </c>
      <c r="AH14" s="6">
        <v>54.8</v>
      </c>
      <c r="AI14" s="3">
        <f t="shared" si="26"/>
        <v>2061.7366946778711</v>
      </c>
      <c r="AJ14" s="3">
        <v>147208</v>
      </c>
      <c r="AK14" s="6">
        <v>71.400000000000006</v>
      </c>
      <c r="AL14" s="3">
        <f t="shared" si="27"/>
        <v>1970.0829875518671</v>
      </c>
      <c r="AM14" s="3">
        <v>47479</v>
      </c>
      <c r="AN14" s="6">
        <v>24.1</v>
      </c>
      <c r="AO14" s="3">
        <f t="shared" si="12"/>
        <v>1868.096432552954</v>
      </c>
      <c r="AP14" s="3">
        <f t="shared" si="14"/>
        <v>670273</v>
      </c>
      <c r="AQ14" s="6">
        <f t="shared" si="15"/>
        <v>358.80000000000007</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20" t="s">
        <v>78</v>
      </c>
      <c r="B15" s="23"/>
      <c r="C15" s="23"/>
      <c r="D15" s="23"/>
      <c r="E15" s="3" t="e">
        <f t="shared" si="16"/>
        <v>#DIV/0!</v>
      </c>
      <c r="F15" s="3">
        <v>0</v>
      </c>
      <c r="G15" s="6">
        <v>0</v>
      </c>
      <c r="H15" s="3" t="e">
        <f t="shared" si="17"/>
        <v>#DIV/0!</v>
      </c>
      <c r="I15" s="3">
        <v>0</v>
      </c>
      <c r="J15" s="6">
        <v>0</v>
      </c>
      <c r="K15" s="3">
        <f t="shared" si="18"/>
        <v>2115.591836734694</v>
      </c>
      <c r="L15" s="3">
        <v>51832</v>
      </c>
      <c r="M15" s="6">
        <v>24.5</v>
      </c>
      <c r="N15" s="3" t="e">
        <f t="shared" si="19"/>
        <v>#DIV/0!</v>
      </c>
      <c r="O15" s="3">
        <v>0</v>
      </c>
      <c r="P15" s="6">
        <v>0</v>
      </c>
      <c r="Q15" s="3" t="e">
        <f t="shared" si="20"/>
        <v>#DIV/0!</v>
      </c>
      <c r="R15" s="3">
        <v>0</v>
      </c>
      <c r="S15" s="6">
        <v>0</v>
      </c>
      <c r="T15" s="3">
        <f t="shared" si="21"/>
        <v>1737.0204081632653</v>
      </c>
      <c r="U15" s="3">
        <v>42557</v>
      </c>
      <c r="V15" s="6">
        <v>24.5</v>
      </c>
      <c r="W15" s="3" t="e">
        <f t="shared" si="22"/>
        <v>#DIV/0!</v>
      </c>
      <c r="X15" s="3">
        <v>0</v>
      </c>
      <c r="Y15" s="6">
        <v>0</v>
      </c>
      <c r="Z15" s="3" t="e">
        <f t="shared" si="23"/>
        <v>#DIV/0!</v>
      </c>
      <c r="AA15" s="3">
        <v>0</v>
      </c>
      <c r="AB15" s="6">
        <v>0</v>
      </c>
      <c r="AC15" s="3" t="e">
        <f t="shared" si="24"/>
        <v>#DIV/0!</v>
      </c>
      <c r="AD15" s="3">
        <v>0</v>
      </c>
      <c r="AE15" s="6">
        <v>0</v>
      </c>
      <c r="AF15" s="3" t="e">
        <f t="shared" si="25"/>
        <v>#DIV/0!</v>
      </c>
      <c r="AG15" s="3">
        <v>0</v>
      </c>
      <c r="AH15" s="6">
        <v>0</v>
      </c>
      <c r="AI15" s="3" t="e">
        <f t="shared" si="26"/>
        <v>#DIV/0!</v>
      </c>
      <c r="AJ15" s="3">
        <v>0</v>
      </c>
      <c r="AK15" s="6">
        <v>0</v>
      </c>
      <c r="AL15" s="3">
        <f t="shared" si="27"/>
        <v>1842.4897959183672</v>
      </c>
      <c r="AM15" s="3">
        <v>45141</v>
      </c>
      <c r="AN15" s="6">
        <v>24.5</v>
      </c>
      <c r="AO15" s="3">
        <f t="shared" si="12"/>
        <v>1898.3673469387754</v>
      </c>
      <c r="AP15" s="3">
        <f t="shared" si="14"/>
        <v>139530</v>
      </c>
      <c r="AQ15" s="6">
        <f t="shared" si="15"/>
        <v>73.5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20" t="s">
        <v>24</v>
      </c>
      <c r="B16" s="23"/>
      <c r="C16" s="23"/>
      <c r="D16" s="23"/>
      <c r="E16" s="3">
        <f t="shared" si="16"/>
        <v>2603.8590604026845</v>
      </c>
      <c r="F16" s="3">
        <v>77595</v>
      </c>
      <c r="G16" s="6">
        <v>29.8</v>
      </c>
      <c r="H16" s="3">
        <f t="shared" si="17"/>
        <v>2412.3076923076924</v>
      </c>
      <c r="I16" s="3">
        <v>3136</v>
      </c>
      <c r="J16" s="6">
        <v>1.3</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f t="shared" si="27"/>
        <v>1863.070539419087</v>
      </c>
      <c r="AM16" s="3">
        <v>44900</v>
      </c>
      <c r="AN16" s="6">
        <v>24.1</v>
      </c>
      <c r="AO16" s="3">
        <f t="shared" si="12"/>
        <v>2275.923913043478</v>
      </c>
      <c r="AP16" s="3">
        <f t="shared" si="14"/>
        <v>125631</v>
      </c>
      <c r="AQ16" s="6">
        <f t="shared" si="15"/>
        <v>55.2</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20" t="s">
        <v>57</v>
      </c>
      <c r="B17" s="23"/>
      <c r="C17" s="23"/>
      <c r="D17" s="23"/>
      <c r="E17" s="3" t="e">
        <f t="shared" si="16"/>
        <v>#DIV/0!</v>
      </c>
      <c r="F17" s="3">
        <v>0</v>
      </c>
      <c r="G17" s="6">
        <v>0</v>
      </c>
      <c r="H17" s="3">
        <f t="shared" si="17"/>
        <v>3947.9562043795622</v>
      </c>
      <c r="I17" s="3">
        <v>108174</v>
      </c>
      <c r="J17" s="6">
        <v>27.4</v>
      </c>
      <c r="K17" s="3" t="e">
        <f t="shared" si="18"/>
        <v>#DIV/0!</v>
      </c>
      <c r="L17" s="3">
        <v>0</v>
      </c>
      <c r="M17" s="6">
        <v>0</v>
      </c>
      <c r="N17" s="3">
        <f t="shared" si="19"/>
        <v>4533.1578947368425</v>
      </c>
      <c r="O17" s="3">
        <v>8613</v>
      </c>
      <c r="P17" s="6">
        <v>1.9</v>
      </c>
      <c r="Q17" s="3" t="e">
        <f t="shared" si="20"/>
        <v>#DIV/0!</v>
      </c>
      <c r="R17" s="3">
        <v>0</v>
      </c>
      <c r="S17" s="6">
        <v>0</v>
      </c>
      <c r="T17" s="3" t="e">
        <f t="shared" si="21"/>
        <v>#DIV/0!</v>
      </c>
      <c r="U17" s="3">
        <v>0</v>
      </c>
      <c r="V17" s="6">
        <v>0</v>
      </c>
      <c r="W17" s="3" t="e">
        <f t="shared" si="22"/>
        <v>#DIV/0!</v>
      </c>
      <c r="X17" s="3">
        <v>0</v>
      </c>
      <c r="Y17" s="6">
        <v>0</v>
      </c>
      <c r="Z17" s="3" t="e">
        <f t="shared" si="23"/>
        <v>#DIV/0!</v>
      </c>
      <c r="AA17" s="3">
        <v>0</v>
      </c>
      <c r="AB17" s="6">
        <v>0</v>
      </c>
      <c r="AC17" s="3" t="e">
        <f t="shared" si="24"/>
        <v>#DIV/0!</v>
      </c>
      <c r="AD17" s="3">
        <v>0</v>
      </c>
      <c r="AE17" s="6">
        <v>0</v>
      </c>
      <c r="AF17" s="3">
        <f t="shared" si="25"/>
        <v>2858.6666666666665</v>
      </c>
      <c r="AG17" s="3">
        <v>25728</v>
      </c>
      <c r="AH17" s="6">
        <v>9</v>
      </c>
      <c r="AI17" s="3" t="e">
        <f t="shared" si="26"/>
        <v>#DIV/0!</v>
      </c>
      <c r="AJ17" s="3">
        <v>0</v>
      </c>
      <c r="AK17" s="6">
        <v>0</v>
      </c>
      <c r="AL17" s="3">
        <f t="shared" si="27"/>
        <v>3051.9285714285716</v>
      </c>
      <c r="AM17" s="3">
        <v>42727</v>
      </c>
      <c r="AN17" s="6">
        <v>14</v>
      </c>
      <c r="AO17" s="3">
        <f t="shared" si="12"/>
        <v>3541.9120458891016</v>
      </c>
      <c r="AP17" s="3">
        <f t="shared" si="14"/>
        <v>185242</v>
      </c>
      <c r="AQ17" s="6">
        <f t="shared" si="15"/>
        <v>52.3</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20" t="s">
        <v>18</v>
      </c>
      <c r="B18" s="23"/>
      <c r="C18" s="23"/>
      <c r="D18" s="23"/>
      <c r="E18" s="3">
        <f t="shared" si="16"/>
        <v>1552.7358490566039</v>
      </c>
      <c r="F18" s="3">
        <v>16459</v>
      </c>
      <c r="G18" s="6">
        <v>10.6</v>
      </c>
      <c r="H18" s="3" t="e">
        <f t="shared" si="17"/>
        <v>#DIV/0!</v>
      </c>
      <c r="I18" s="3">
        <v>0</v>
      </c>
      <c r="J18" s="6">
        <v>0</v>
      </c>
      <c r="K18" s="3">
        <f t="shared" si="18"/>
        <v>2563.4080717488787</v>
      </c>
      <c r="L18" s="3">
        <v>57164</v>
      </c>
      <c r="M18" s="6">
        <v>22.3</v>
      </c>
      <c r="N18" s="3">
        <f t="shared" si="19"/>
        <v>1549.4560669456068</v>
      </c>
      <c r="O18" s="3">
        <v>37032</v>
      </c>
      <c r="P18" s="6">
        <v>23.9</v>
      </c>
      <c r="Q18" s="3" t="e">
        <f t="shared" si="20"/>
        <v>#DIV/0!</v>
      </c>
      <c r="R18" s="3">
        <v>0</v>
      </c>
      <c r="S18" s="6">
        <v>0</v>
      </c>
      <c r="T18" s="3">
        <f t="shared" si="21"/>
        <v>7263.0769230769229</v>
      </c>
      <c r="U18" s="3">
        <v>9442</v>
      </c>
      <c r="V18" s="6">
        <v>1.3</v>
      </c>
      <c r="W18" s="3">
        <f t="shared" si="22"/>
        <v>1543</v>
      </c>
      <c r="X18" s="3">
        <v>15430</v>
      </c>
      <c r="Y18" s="6">
        <v>10</v>
      </c>
      <c r="Z18" s="3">
        <f t="shared" si="23"/>
        <v>1664.078947368421</v>
      </c>
      <c r="AA18" s="3">
        <v>25294</v>
      </c>
      <c r="AB18" s="6">
        <v>15.2</v>
      </c>
      <c r="AC18" s="3">
        <f t="shared" si="24"/>
        <v>2060.6428571428573</v>
      </c>
      <c r="AD18" s="3">
        <v>28849</v>
      </c>
      <c r="AE18" s="6">
        <v>14</v>
      </c>
      <c r="AF18" s="3">
        <f t="shared" si="25"/>
        <v>1673.5555555555557</v>
      </c>
      <c r="AG18" s="3">
        <v>22593</v>
      </c>
      <c r="AH18" s="6">
        <v>13.5</v>
      </c>
      <c r="AI18" s="3">
        <f t="shared" si="26"/>
        <v>1543.2323232323231</v>
      </c>
      <c r="AJ18" s="3">
        <v>15278</v>
      </c>
      <c r="AK18" s="6">
        <v>9.9</v>
      </c>
      <c r="AL18" s="3">
        <f t="shared" si="27"/>
        <v>3001.4084507042253</v>
      </c>
      <c r="AM18" s="3">
        <v>42620</v>
      </c>
      <c r="AN18" s="6">
        <v>14.2</v>
      </c>
      <c r="AO18" s="3">
        <f t="shared" si="12"/>
        <v>2002.676056338028</v>
      </c>
      <c r="AP18" s="3">
        <f t="shared" si="14"/>
        <v>270161</v>
      </c>
      <c r="AQ18" s="6">
        <f t="shared" si="15"/>
        <v>134.9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20" t="s">
        <v>21</v>
      </c>
      <c r="B19" s="23"/>
      <c r="C19" s="23"/>
      <c r="D19" s="23"/>
      <c r="E19" s="3">
        <f t="shared" si="16"/>
        <v>3783.4782608695655</v>
      </c>
      <c r="F19" s="3">
        <v>34808</v>
      </c>
      <c r="G19" s="6">
        <v>9.1999999999999993</v>
      </c>
      <c r="H19" s="3" t="e">
        <f t="shared" si="17"/>
        <v>#DIV/0!</v>
      </c>
      <c r="I19" s="3">
        <v>0</v>
      </c>
      <c r="J19" s="6">
        <v>0</v>
      </c>
      <c r="K19" s="3">
        <f t="shared" si="18"/>
        <v>2734.166666666667</v>
      </c>
      <c r="L19" s="3">
        <v>26248</v>
      </c>
      <c r="M19" s="6">
        <v>9.6</v>
      </c>
      <c r="N19" s="3">
        <f t="shared" si="19"/>
        <v>1544.7260273972604</v>
      </c>
      <c r="O19" s="3">
        <v>22553</v>
      </c>
      <c r="P19" s="6">
        <v>14.6</v>
      </c>
      <c r="Q19" s="3">
        <f t="shared" si="20"/>
        <v>1544.7260273972604</v>
      </c>
      <c r="R19" s="3">
        <v>22553</v>
      </c>
      <c r="S19" s="6">
        <v>14.6</v>
      </c>
      <c r="T19" s="3">
        <f t="shared" si="21"/>
        <v>2519.1466666666665</v>
      </c>
      <c r="U19" s="3">
        <v>94468</v>
      </c>
      <c r="V19" s="6">
        <v>37.5</v>
      </c>
      <c r="W19" s="3">
        <f t="shared" si="22"/>
        <v>1552.5490196078433</v>
      </c>
      <c r="X19" s="3">
        <v>15836</v>
      </c>
      <c r="Y19" s="6">
        <v>10.199999999999999</v>
      </c>
      <c r="Z19" s="3">
        <f t="shared" si="23"/>
        <v>2003.1460674157302</v>
      </c>
      <c r="AA19" s="3">
        <v>71312</v>
      </c>
      <c r="AB19" s="6">
        <v>35.6</v>
      </c>
      <c r="AC19" s="3">
        <f t="shared" si="24"/>
        <v>2600.607287449393</v>
      </c>
      <c r="AD19" s="3">
        <v>64235</v>
      </c>
      <c r="AE19" s="6">
        <v>24.7</v>
      </c>
      <c r="AF19" s="3" t="e">
        <f t="shared" si="25"/>
        <v>#DIV/0!</v>
      </c>
      <c r="AG19" s="3">
        <v>0</v>
      </c>
      <c r="AH19" s="6">
        <v>0</v>
      </c>
      <c r="AI19" s="3">
        <f t="shared" si="26"/>
        <v>3011.3761467889908</v>
      </c>
      <c r="AJ19" s="3">
        <v>65648</v>
      </c>
      <c r="AK19" s="6">
        <v>21.8</v>
      </c>
      <c r="AL19" s="3">
        <f t="shared" si="27"/>
        <v>2256.7088607594937</v>
      </c>
      <c r="AM19" s="3">
        <v>35656</v>
      </c>
      <c r="AN19" s="6">
        <v>15.8</v>
      </c>
      <c r="AO19" s="3">
        <f t="shared" si="12"/>
        <v>2341.5134297520658</v>
      </c>
      <c r="AP19" s="3">
        <f t="shared" si="14"/>
        <v>453317</v>
      </c>
      <c r="AQ19" s="6">
        <f t="shared" si="15"/>
        <v>193.60000000000002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20" t="s">
        <v>32</v>
      </c>
      <c r="B20" s="23"/>
      <c r="C20" s="23"/>
      <c r="D20" s="23"/>
      <c r="E20" s="3">
        <f t="shared" si="16"/>
        <v>2452.4271844660193</v>
      </c>
      <c r="F20" s="3">
        <v>50520</v>
      </c>
      <c r="G20" s="6">
        <v>20.6</v>
      </c>
      <c r="H20" s="3">
        <f t="shared" si="17"/>
        <v>2254.4736842105262</v>
      </c>
      <c r="I20" s="3">
        <v>8567</v>
      </c>
      <c r="J20" s="6">
        <v>3.8</v>
      </c>
      <c r="K20" s="3">
        <f t="shared" si="18"/>
        <v>2077.894736842105</v>
      </c>
      <c r="L20" s="3">
        <v>23688</v>
      </c>
      <c r="M20" s="6">
        <v>11.4</v>
      </c>
      <c r="N20" s="3">
        <f t="shared" si="19"/>
        <v>1940.5263157894738</v>
      </c>
      <c r="O20" s="3">
        <v>18435</v>
      </c>
      <c r="P20" s="6">
        <v>9.5</v>
      </c>
      <c r="Q20" s="3">
        <f t="shared" si="20"/>
        <v>1897.8947368421052</v>
      </c>
      <c r="R20" s="3">
        <v>21636</v>
      </c>
      <c r="S20" s="6">
        <v>11.4</v>
      </c>
      <c r="T20" s="3">
        <f t="shared" si="21"/>
        <v>2094.5945945945946</v>
      </c>
      <c r="U20" s="3">
        <v>38750</v>
      </c>
      <c r="V20" s="6">
        <v>18.5</v>
      </c>
      <c r="W20" s="3">
        <f t="shared" si="22"/>
        <v>2335</v>
      </c>
      <c r="X20" s="3">
        <v>35492</v>
      </c>
      <c r="Y20" s="6">
        <v>15.2</v>
      </c>
      <c r="Z20" s="3">
        <f t="shared" si="23"/>
        <v>2317.3684210526317</v>
      </c>
      <c r="AA20" s="3">
        <v>35224</v>
      </c>
      <c r="AB20" s="6">
        <v>15.2</v>
      </c>
      <c r="AC20" s="3">
        <f t="shared" si="24"/>
        <v>2368.4210526315787</v>
      </c>
      <c r="AD20" s="3">
        <v>13500</v>
      </c>
      <c r="AE20" s="6">
        <v>5.7</v>
      </c>
      <c r="AF20" s="3">
        <f t="shared" si="25"/>
        <v>2268.325358851675</v>
      </c>
      <c r="AG20" s="3">
        <v>47408</v>
      </c>
      <c r="AH20" s="6">
        <v>20.9</v>
      </c>
      <c r="AI20" s="3">
        <f t="shared" si="26"/>
        <v>2015.1612903225805</v>
      </c>
      <c r="AJ20" s="3">
        <v>24988</v>
      </c>
      <c r="AK20" s="6">
        <v>12.4</v>
      </c>
      <c r="AL20" s="3">
        <f t="shared" si="27"/>
        <v>1836.6666666666665</v>
      </c>
      <c r="AM20" s="3">
        <v>31407</v>
      </c>
      <c r="AN20" s="6">
        <v>17.100000000000001</v>
      </c>
      <c r="AO20" s="3">
        <f t="shared" si="12"/>
        <v>2162.121212121212</v>
      </c>
      <c r="AP20" s="3">
        <f t="shared" si="14"/>
        <v>349615</v>
      </c>
      <c r="AQ20" s="6">
        <f t="shared" si="15"/>
        <v>161.70000000000002</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20" t="s">
        <v>31</v>
      </c>
      <c r="B21" s="23"/>
      <c r="C21" s="23"/>
      <c r="D21" s="23"/>
      <c r="E21" s="3" t="e">
        <f t="shared" si="16"/>
        <v>#DIV/0!</v>
      </c>
      <c r="F21" s="3">
        <v>0</v>
      </c>
      <c r="G21" s="6">
        <v>0</v>
      </c>
      <c r="H21" s="3">
        <f t="shared" si="17"/>
        <v>2129.4475138121547</v>
      </c>
      <c r="I21" s="3">
        <v>38543</v>
      </c>
      <c r="J21" s="6">
        <v>18.100000000000001</v>
      </c>
      <c r="K21" s="3" t="e">
        <f t="shared" si="18"/>
        <v>#DIV/0!</v>
      </c>
      <c r="L21" s="3">
        <v>0</v>
      </c>
      <c r="M21" s="6">
        <v>0</v>
      </c>
      <c r="N21" s="3">
        <f t="shared" si="19"/>
        <v>2287.5392670157066</v>
      </c>
      <c r="O21" s="3">
        <v>43692</v>
      </c>
      <c r="P21" s="6">
        <v>19.100000000000001</v>
      </c>
      <c r="Q21" s="3">
        <f t="shared" si="20"/>
        <v>1967.85</v>
      </c>
      <c r="R21" s="3">
        <v>39357</v>
      </c>
      <c r="S21" s="6">
        <v>20</v>
      </c>
      <c r="T21" s="3" t="e">
        <f t="shared" si="21"/>
        <v>#DIV/0!</v>
      </c>
      <c r="U21" s="3">
        <v>0</v>
      </c>
      <c r="V21" s="6">
        <v>0</v>
      </c>
      <c r="W21" s="3">
        <f t="shared" si="22"/>
        <v>2199.6521739130435</v>
      </c>
      <c r="X21" s="3">
        <v>50592</v>
      </c>
      <c r="Y21" s="6">
        <v>23</v>
      </c>
      <c r="Z21" s="3">
        <f t="shared" si="23"/>
        <v>2140.122199592668</v>
      </c>
      <c r="AA21" s="3">
        <v>105080</v>
      </c>
      <c r="AB21" s="6">
        <v>49.1</v>
      </c>
      <c r="AC21" s="3">
        <f t="shared" si="24"/>
        <v>2914.4680851063827</v>
      </c>
      <c r="AD21" s="3">
        <v>13698</v>
      </c>
      <c r="AE21" s="6">
        <v>4.7</v>
      </c>
      <c r="AF21" s="3">
        <f t="shared" si="25"/>
        <v>3646.7307692307691</v>
      </c>
      <c r="AG21" s="3">
        <v>18963</v>
      </c>
      <c r="AH21" s="6">
        <v>5.2</v>
      </c>
      <c r="AI21" s="3">
        <f t="shared" si="26"/>
        <v>2950.3846153846152</v>
      </c>
      <c r="AJ21" s="3">
        <v>15342</v>
      </c>
      <c r="AK21" s="6">
        <v>5.2</v>
      </c>
      <c r="AL21" s="3">
        <f t="shared" si="27"/>
        <v>2954.2718446601939</v>
      </c>
      <c r="AM21" s="3">
        <v>30429</v>
      </c>
      <c r="AN21" s="6">
        <v>10.3</v>
      </c>
      <c r="AO21" s="3">
        <f t="shared" si="12"/>
        <v>2299.2630898513253</v>
      </c>
      <c r="AP21" s="3">
        <f t="shared" si="14"/>
        <v>355696</v>
      </c>
      <c r="AQ21" s="6">
        <f t="shared" si="15"/>
        <v>154.69999999999999</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20" t="s">
        <v>74</v>
      </c>
      <c r="B22" s="23"/>
      <c r="C22" s="23"/>
      <c r="D22" s="23"/>
      <c r="E22" s="3" t="e">
        <f t="shared" si="16"/>
        <v>#DIV/0!</v>
      </c>
      <c r="F22" s="3">
        <v>0</v>
      </c>
      <c r="G22" s="6">
        <v>0</v>
      </c>
      <c r="H22" s="3" t="e">
        <f t="shared" si="17"/>
        <v>#DIV/0!</v>
      </c>
      <c r="I22" s="3">
        <v>0</v>
      </c>
      <c r="J22" s="6">
        <v>0</v>
      </c>
      <c r="K22" s="3" t="e">
        <f t="shared" si="18"/>
        <v>#DIV/0!</v>
      </c>
      <c r="L22" s="3">
        <v>0</v>
      </c>
      <c r="M22" s="6">
        <v>0</v>
      </c>
      <c r="N22" s="3" t="e">
        <f t="shared" si="19"/>
        <v>#DIV/0!</v>
      </c>
      <c r="O22" s="3">
        <v>0</v>
      </c>
      <c r="P22" s="6">
        <v>0</v>
      </c>
      <c r="Q22" s="3">
        <f t="shared" si="20"/>
        <v>1966.6666666666665</v>
      </c>
      <c r="R22" s="3">
        <v>38940</v>
      </c>
      <c r="S22" s="6">
        <v>19.8</v>
      </c>
      <c r="T22" s="3" t="e">
        <f t="shared" si="21"/>
        <v>#DIV/0!</v>
      </c>
      <c r="U22" s="3">
        <v>0</v>
      </c>
      <c r="V22" s="6">
        <v>0</v>
      </c>
      <c r="W22" s="3" t="e">
        <f t="shared" si="22"/>
        <v>#DIV/0!</v>
      </c>
      <c r="X22" s="3">
        <v>0</v>
      </c>
      <c r="Y22" s="6">
        <v>0</v>
      </c>
      <c r="Z22" s="3" t="e">
        <f t="shared" si="23"/>
        <v>#DIV/0!</v>
      </c>
      <c r="AA22" s="3">
        <v>0</v>
      </c>
      <c r="AB22" s="6">
        <v>0</v>
      </c>
      <c r="AC22" s="3" t="e">
        <f t="shared" si="24"/>
        <v>#DIV/0!</v>
      </c>
      <c r="AD22" s="3">
        <v>0</v>
      </c>
      <c r="AE22" s="6">
        <v>0</v>
      </c>
      <c r="AF22" s="3" t="e">
        <f t="shared" si="25"/>
        <v>#DIV/0!</v>
      </c>
      <c r="AG22" s="3">
        <v>0</v>
      </c>
      <c r="AH22" s="6">
        <v>0</v>
      </c>
      <c r="AI22" s="3" t="e">
        <f t="shared" si="26"/>
        <v>#DIV/0!</v>
      </c>
      <c r="AJ22" s="3">
        <v>0</v>
      </c>
      <c r="AK22" s="6">
        <v>0</v>
      </c>
      <c r="AL22" s="3">
        <f t="shared" si="27"/>
        <v>2757.4468085106382</v>
      </c>
      <c r="AM22" s="3">
        <v>25920</v>
      </c>
      <c r="AN22" s="6">
        <v>9.4</v>
      </c>
      <c r="AO22" s="3">
        <f t="shared" si="12"/>
        <v>2221.2328767123286</v>
      </c>
      <c r="AP22" s="3">
        <f t="shared" si="14"/>
        <v>64860</v>
      </c>
      <c r="AQ22" s="6">
        <f t="shared" si="15"/>
        <v>29.200000000000003</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48</v>
      </c>
      <c r="B23" s="23"/>
      <c r="C23" s="23"/>
      <c r="D23" s="23"/>
      <c r="E23" s="3">
        <f t="shared" si="16"/>
        <v>2699.8666666666668</v>
      </c>
      <c r="F23" s="3">
        <v>20249</v>
      </c>
      <c r="G23" s="6">
        <v>7.5</v>
      </c>
      <c r="H23" s="3">
        <f t="shared" si="17"/>
        <v>1595.9880239520958</v>
      </c>
      <c r="I23" s="3">
        <v>26653</v>
      </c>
      <c r="J23" s="6">
        <v>16.7</v>
      </c>
      <c r="K23" s="3">
        <f t="shared" si="18"/>
        <v>2669.1219512195121</v>
      </c>
      <c r="L23" s="3">
        <v>54717</v>
      </c>
      <c r="M23" s="6">
        <v>20.5</v>
      </c>
      <c r="N23" s="3">
        <f t="shared" si="19"/>
        <v>1265.5882352941176</v>
      </c>
      <c r="O23" s="3">
        <v>8606</v>
      </c>
      <c r="P23" s="6">
        <v>6.8</v>
      </c>
      <c r="Q23" s="3">
        <f t="shared" si="20"/>
        <v>2722.1875</v>
      </c>
      <c r="R23" s="3">
        <v>17422</v>
      </c>
      <c r="S23" s="6">
        <v>6.4</v>
      </c>
      <c r="T23" s="3">
        <f t="shared" si="21"/>
        <v>1411.3513513513512</v>
      </c>
      <c r="U23" s="3">
        <v>26110</v>
      </c>
      <c r="V23" s="6">
        <v>18.5</v>
      </c>
      <c r="W23" s="3">
        <f t="shared" si="22"/>
        <v>2443.7837837837837</v>
      </c>
      <c r="X23" s="3">
        <v>9042</v>
      </c>
      <c r="Y23" s="6">
        <v>3.7</v>
      </c>
      <c r="Z23" s="3">
        <f t="shared" si="23"/>
        <v>1835.5033557046979</v>
      </c>
      <c r="AA23" s="3">
        <v>27349</v>
      </c>
      <c r="AB23" s="6">
        <v>14.9</v>
      </c>
      <c r="AC23" s="3">
        <f t="shared" si="24"/>
        <v>2376.3880597014927</v>
      </c>
      <c r="AD23" s="3">
        <v>79609</v>
      </c>
      <c r="AE23" s="6">
        <v>33.5</v>
      </c>
      <c r="AF23" s="3" t="e">
        <f t="shared" si="25"/>
        <v>#DIV/0!</v>
      </c>
      <c r="AG23" s="3">
        <v>0</v>
      </c>
      <c r="AH23" s="6">
        <v>0</v>
      </c>
      <c r="AI23" s="3">
        <f t="shared" si="26"/>
        <v>2739.1787439613527</v>
      </c>
      <c r="AJ23" s="3">
        <v>56701</v>
      </c>
      <c r="AK23" s="6">
        <v>20.7</v>
      </c>
      <c r="AL23" s="3">
        <f t="shared" si="27"/>
        <v>2644.8453608247423</v>
      </c>
      <c r="AM23" s="3">
        <v>25655</v>
      </c>
      <c r="AN23" s="6">
        <v>9.6999999999999993</v>
      </c>
      <c r="AO23" s="3">
        <f t="shared" si="12"/>
        <v>2215.940843297672</v>
      </c>
      <c r="AP23" s="3">
        <f t="shared" si="14"/>
        <v>352113</v>
      </c>
      <c r="AQ23" s="6">
        <f t="shared" si="15"/>
        <v>158.89999999999998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20" t="s">
        <v>47</v>
      </c>
      <c r="B24" s="23"/>
      <c r="C24" s="23"/>
      <c r="D24" s="23"/>
      <c r="E24" s="3">
        <f t="shared" si="16"/>
        <v>2510.7667210440459</v>
      </c>
      <c r="F24" s="3">
        <v>153910</v>
      </c>
      <c r="G24" s="6">
        <v>61.3</v>
      </c>
      <c r="H24" s="3">
        <f t="shared" si="17"/>
        <v>2377.0883054892602</v>
      </c>
      <c r="I24" s="3">
        <v>99600</v>
      </c>
      <c r="J24" s="6">
        <v>41.9</v>
      </c>
      <c r="K24" s="3">
        <f t="shared" si="18"/>
        <v>2387.3684210526317</v>
      </c>
      <c r="L24" s="3">
        <v>27216</v>
      </c>
      <c r="M24" s="6">
        <v>11.4</v>
      </c>
      <c r="N24" s="3">
        <f t="shared" si="19"/>
        <v>2364.66472303207</v>
      </c>
      <c r="O24" s="3">
        <v>162216</v>
      </c>
      <c r="P24" s="6">
        <v>68.599999999999994</v>
      </c>
      <c r="Q24" s="3">
        <f t="shared" si="20"/>
        <v>2204.1245136186772</v>
      </c>
      <c r="R24" s="3">
        <v>113292</v>
      </c>
      <c r="S24" s="6">
        <v>51.4</v>
      </c>
      <c r="T24" s="3">
        <f t="shared" si="21"/>
        <v>2055.4285714285716</v>
      </c>
      <c r="U24" s="3">
        <v>28776</v>
      </c>
      <c r="V24" s="6">
        <v>14</v>
      </c>
      <c r="W24" s="3" t="e">
        <f t="shared" si="22"/>
        <v>#DIV/0!</v>
      </c>
      <c r="X24" s="3">
        <v>0</v>
      </c>
      <c r="Y24" s="6">
        <v>0</v>
      </c>
      <c r="Z24" s="3" t="e">
        <f t="shared" si="23"/>
        <v>#DIV/0!</v>
      </c>
      <c r="AA24" s="3">
        <v>0</v>
      </c>
      <c r="AB24" s="6">
        <v>0</v>
      </c>
      <c r="AC24" s="3">
        <f t="shared" si="24"/>
        <v>2368.1885856079407</v>
      </c>
      <c r="AD24" s="3">
        <v>95438</v>
      </c>
      <c r="AE24" s="6">
        <v>40.299999999999997</v>
      </c>
      <c r="AF24" s="3">
        <f t="shared" si="25"/>
        <v>2357.7822580645161</v>
      </c>
      <c r="AG24" s="3">
        <v>58473</v>
      </c>
      <c r="AH24" s="6">
        <v>24.8</v>
      </c>
      <c r="AI24" s="3">
        <f t="shared" si="26"/>
        <v>2054.8542024013723</v>
      </c>
      <c r="AJ24" s="3">
        <v>119798</v>
      </c>
      <c r="AK24" s="6">
        <v>58.3</v>
      </c>
      <c r="AL24" s="3">
        <f t="shared" si="27"/>
        <v>1957.8947368421052</v>
      </c>
      <c r="AM24" s="3">
        <v>22320</v>
      </c>
      <c r="AN24" s="6">
        <v>11.4</v>
      </c>
      <c r="AO24" s="3">
        <f t="shared" si="12"/>
        <v>2297.962962962963</v>
      </c>
      <c r="AP24" s="3">
        <f t="shared" si="14"/>
        <v>881039</v>
      </c>
      <c r="AQ24" s="6">
        <f t="shared" si="15"/>
        <v>383.4</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20" t="s">
        <v>79</v>
      </c>
      <c r="B25" s="23"/>
      <c r="C25" s="23"/>
      <c r="D25" s="23"/>
      <c r="E25" s="3">
        <f t="shared" si="16"/>
        <v>1557.258064516129</v>
      </c>
      <c r="F25" s="3">
        <v>9655</v>
      </c>
      <c r="G25" s="6">
        <v>6.2</v>
      </c>
      <c r="H25" s="3" t="e">
        <f t="shared" si="17"/>
        <v>#DIV/0!</v>
      </c>
      <c r="I25" s="3">
        <v>0</v>
      </c>
      <c r="J25" s="6">
        <v>0</v>
      </c>
      <c r="K25" s="3" t="e">
        <f t="shared" si="18"/>
        <v>#DIV/0!</v>
      </c>
      <c r="L25" s="3">
        <v>0</v>
      </c>
      <c r="M25" s="6">
        <v>0</v>
      </c>
      <c r="N25" s="3" t="e">
        <f t="shared" si="19"/>
        <v>#DIV/0!</v>
      </c>
      <c r="O25" s="3">
        <v>0</v>
      </c>
      <c r="P25" s="6">
        <v>0</v>
      </c>
      <c r="Q25" s="3">
        <f t="shared" si="20"/>
        <v>4567.5949367088606</v>
      </c>
      <c r="R25" s="3">
        <v>36084</v>
      </c>
      <c r="S25" s="6">
        <v>7.9</v>
      </c>
      <c r="T25" s="3" t="e">
        <f t="shared" si="21"/>
        <v>#DIV/0!</v>
      </c>
      <c r="U25" s="3">
        <v>0</v>
      </c>
      <c r="V25" s="6">
        <v>0</v>
      </c>
      <c r="W25" s="3" t="e">
        <f t="shared" si="22"/>
        <v>#DIV/0!</v>
      </c>
      <c r="X25" s="3">
        <v>0</v>
      </c>
      <c r="Y25" s="6">
        <v>0</v>
      </c>
      <c r="Z25" s="3" t="e">
        <f t="shared" si="23"/>
        <v>#DIV/0!</v>
      </c>
      <c r="AA25" s="3">
        <v>0</v>
      </c>
      <c r="AB25" s="6">
        <v>0</v>
      </c>
      <c r="AC25" s="3" t="e">
        <f t="shared" si="24"/>
        <v>#DIV/0!</v>
      </c>
      <c r="AD25" s="3">
        <v>0</v>
      </c>
      <c r="AE25" s="6">
        <v>0</v>
      </c>
      <c r="AF25" s="3">
        <f t="shared" si="25"/>
        <v>1551.7241379310344</v>
      </c>
      <c r="AG25" s="3">
        <v>9000</v>
      </c>
      <c r="AH25" s="6">
        <v>5.8</v>
      </c>
      <c r="AI25" s="3" t="e">
        <f t="shared" si="26"/>
        <v>#DIV/0!</v>
      </c>
      <c r="AJ25" s="3">
        <v>0</v>
      </c>
      <c r="AK25" s="6">
        <v>0</v>
      </c>
      <c r="AL25" s="3">
        <f t="shared" si="27"/>
        <v>1732.2834645669293</v>
      </c>
      <c r="AM25" s="3">
        <v>22000</v>
      </c>
      <c r="AN25" s="6">
        <v>12.7</v>
      </c>
      <c r="AO25" s="3">
        <f t="shared" si="12"/>
        <v>2353.9570552147238</v>
      </c>
      <c r="AP25" s="3">
        <f t="shared" si="14"/>
        <v>76739</v>
      </c>
      <c r="AQ25" s="6">
        <f t="shared" si="15"/>
        <v>32.6</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20" t="s">
        <v>61</v>
      </c>
      <c r="B26" s="23"/>
      <c r="C26" s="23"/>
      <c r="D26" s="23"/>
      <c r="E26" s="3" t="e">
        <f t="shared" si="16"/>
        <v>#DIV/0!</v>
      </c>
      <c r="F26" s="3">
        <v>0</v>
      </c>
      <c r="G26" s="6">
        <v>0</v>
      </c>
      <c r="H26" s="3" t="e">
        <f t="shared" si="17"/>
        <v>#DIV/0!</v>
      </c>
      <c r="I26" s="3">
        <v>0</v>
      </c>
      <c r="J26" s="6">
        <v>0</v>
      </c>
      <c r="K26" s="3">
        <f t="shared" si="18"/>
        <v>2835.5555555555557</v>
      </c>
      <c r="L26" s="3">
        <v>2552</v>
      </c>
      <c r="M26" s="6">
        <v>0.9</v>
      </c>
      <c r="N26" s="3" t="e">
        <f t="shared" si="19"/>
        <v>#DIV/0!</v>
      </c>
      <c r="O26" s="3">
        <v>0</v>
      </c>
      <c r="P26" s="6">
        <v>0</v>
      </c>
      <c r="Q26" s="3" t="e">
        <f t="shared" si="20"/>
        <v>#DIV/0!</v>
      </c>
      <c r="R26" s="3">
        <v>0</v>
      </c>
      <c r="S26" s="6">
        <v>0</v>
      </c>
      <c r="T26" s="3" t="e">
        <f t="shared" si="21"/>
        <v>#DIV/0!</v>
      </c>
      <c r="U26" s="3">
        <v>0</v>
      </c>
      <c r="V26" s="6">
        <v>0</v>
      </c>
      <c r="W26" s="3">
        <f t="shared" si="22"/>
        <v>3168.75</v>
      </c>
      <c r="X26" s="3">
        <v>2535</v>
      </c>
      <c r="Y26" s="6">
        <v>0.8</v>
      </c>
      <c r="Z26" s="3" t="e">
        <f t="shared" si="23"/>
        <v>#DIV/0!</v>
      </c>
      <c r="AA26" s="3">
        <v>0</v>
      </c>
      <c r="AB26" s="6">
        <v>0</v>
      </c>
      <c r="AC26" s="3" t="e">
        <f t="shared" si="24"/>
        <v>#DIV/0!</v>
      </c>
      <c r="AD26" s="3">
        <v>0</v>
      </c>
      <c r="AE26" s="6">
        <v>0</v>
      </c>
      <c r="AF26" s="3" t="e">
        <f t="shared" si="25"/>
        <v>#DIV/0!</v>
      </c>
      <c r="AG26" s="3">
        <v>0</v>
      </c>
      <c r="AH26" s="6">
        <v>0</v>
      </c>
      <c r="AI26" s="3">
        <f t="shared" si="26"/>
        <v>3348.75</v>
      </c>
      <c r="AJ26" s="3">
        <v>2679</v>
      </c>
      <c r="AK26" s="6">
        <v>0.8</v>
      </c>
      <c r="AL26" s="3">
        <f t="shared" si="27"/>
        <v>2950.5970149253731</v>
      </c>
      <c r="AM26" s="3">
        <v>19769</v>
      </c>
      <c r="AN26" s="6">
        <v>6.7</v>
      </c>
      <c r="AO26" s="3">
        <f t="shared" si="12"/>
        <v>2992.934782608696</v>
      </c>
      <c r="AP26" s="3">
        <f t="shared" si="14"/>
        <v>27535</v>
      </c>
      <c r="AQ26" s="6">
        <f t="shared" si="15"/>
        <v>9.1999999999999993</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20" t="s">
        <v>39</v>
      </c>
      <c r="B27" s="23"/>
      <c r="C27" s="23"/>
      <c r="D27" s="23"/>
      <c r="E27" s="3">
        <f t="shared" si="16"/>
        <v>2385.1111111111113</v>
      </c>
      <c r="F27" s="3">
        <v>10733</v>
      </c>
      <c r="G27" s="6">
        <v>4.5</v>
      </c>
      <c r="H27" s="3">
        <f t="shared" si="17"/>
        <v>2727.2222222222222</v>
      </c>
      <c r="I27" s="3">
        <v>34363</v>
      </c>
      <c r="J27" s="6">
        <v>12.6</v>
      </c>
      <c r="K27" s="3">
        <f t="shared" si="18"/>
        <v>3628.4297520661157</v>
      </c>
      <c r="L27" s="3">
        <v>43904</v>
      </c>
      <c r="M27" s="6">
        <v>12.1</v>
      </c>
      <c r="N27" s="3">
        <f t="shared" si="19"/>
        <v>2088</v>
      </c>
      <c r="O27" s="3">
        <v>32364</v>
      </c>
      <c r="P27" s="6">
        <v>15.5</v>
      </c>
      <c r="Q27" s="3">
        <f t="shared" si="20"/>
        <v>2272.336448598131</v>
      </c>
      <c r="R27" s="3">
        <v>24314</v>
      </c>
      <c r="S27" s="6">
        <v>10.7</v>
      </c>
      <c r="T27" s="3">
        <f t="shared" si="21"/>
        <v>3618.7234042553191</v>
      </c>
      <c r="U27" s="3">
        <v>17008</v>
      </c>
      <c r="V27" s="6">
        <v>4.7</v>
      </c>
      <c r="W27" s="3">
        <f t="shared" si="22"/>
        <v>2553.5810810810808</v>
      </c>
      <c r="X27" s="3">
        <v>37793</v>
      </c>
      <c r="Y27" s="6">
        <v>14.8</v>
      </c>
      <c r="Z27" s="3">
        <f t="shared" si="23"/>
        <v>2446.3131313131312</v>
      </c>
      <c r="AA27" s="3">
        <v>48437</v>
      </c>
      <c r="AB27" s="6">
        <v>19.8</v>
      </c>
      <c r="AC27" s="3">
        <f t="shared" si="24"/>
        <v>2035.0000000000002</v>
      </c>
      <c r="AD27" s="3">
        <v>16687</v>
      </c>
      <c r="AE27" s="6">
        <v>8.1999999999999993</v>
      </c>
      <c r="AF27" s="3">
        <f t="shared" si="25"/>
        <v>2698.7323943661972</v>
      </c>
      <c r="AG27" s="3">
        <v>19161</v>
      </c>
      <c r="AH27" s="6">
        <v>7.1</v>
      </c>
      <c r="AI27" s="3">
        <f t="shared" si="26"/>
        <v>2898.8</v>
      </c>
      <c r="AJ27" s="3">
        <v>7247</v>
      </c>
      <c r="AK27" s="6">
        <v>2.5</v>
      </c>
      <c r="AL27" s="3">
        <f t="shared" si="27"/>
        <v>2541.2307692307691</v>
      </c>
      <c r="AM27" s="3">
        <v>16518</v>
      </c>
      <c r="AN27" s="6">
        <v>6.5</v>
      </c>
      <c r="AO27" s="3">
        <f t="shared" si="12"/>
        <v>2592.6806722689075</v>
      </c>
      <c r="AP27" s="3">
        <f t="shared" si="14"/>
        <v>308529</v>
      </c>
      <c r="AQ27" s="6">
        <f t="shared" si="15"/>
        <v>119</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20" t="s">
        <v>54</v>
      </c>
      <c r="B28" s="23"/>
      <c r="C28" s="23"/>
      <c r="D28" s="23"/>
      <c r="E28" s="3">
        <f t="shared" si="16"/>
        <v>3125.5793991416308</v>
      </c>
      <c r="F28" s="3">
        <v>72826</v>
      </c>
      <c r="G28" s="6">
        <v>23.3</v>
      </c>
      <c r="H28" s="3">
        <f t="shared" si="17"/>
        <v>2844.9244444444444</v>
      </c>
      <c r="I28" s="3">
        <v>320054</v>
      </c>
      <c r="J28" s="6">
        <v>112.5</v>
      </c>
      <c r="K28" s="3">
        <f t="shared" si="18"/>
        <v>2890.9275618374559</v>
      </c>
      <c r="L28" s="3">
        <v>327253</v>
      </c>
      <c r="M28" s="6">
        <v>113.2</v>
      </c>
      <c r="N28" s="3">
        <f t="shared" si="19"/>
        <v>2499.9596774193546</v>
      </c>
      <c r="O28" s="3">
        <v>61999</v>
      </c>
      <c r="P28" s="6">
        <v>24.8</v>
      </c>
      <c r="Q28" s="3">
        <f t="shared" si="20"/>
        <v>2068.5520361990948</v>
      </c>
      <c r="R28" s="3">
        <v>91430</v>
      </c>
      <c r="S28" s="6">
        <v>44.2</v>
      </c>
      <c r="T28" s="3">
        <f t="shared" si="21"/>
        <v>2085.4956268221576</v>
      </c>
      <c r="U28" s="3">
        <v>143065</v>
      </c>
      <c r="V28" s="6">
        <v>68.599999999999994</v>
      </c>
      <c r="W28" s="3">
        <f t="shared" si="22"/>
        <v>3091.3142857142857</v>
      </c>
      <c r="X28" s="3">
        <v>54098</v>
      </c>
      <c r="Y28" s="6">
        <v>17.5</v>
      </c>
      <c r="Z28" s="3">
        <f t="shared" si="23"/>
        <v>2392.5868725868727</v>
      </c>
      <c r="AA28" s="3">
        <v>123936</v>
      </c>
      <c r="AB28" s="6">
        <v>51.8</v>
      </c>
      <c r="AC28" s="3">
        <f t="shared" si="24"/>
        <v>2147.3741794310722</v>
      </c>
      <c r="AD28" s="3">
        <v>98135</v>
      </c>
      <c r="AE28" s="6">
        <v>45.7</v>
      </c>
      <c r="AF28" s="3">
        <f t="shared" si="25"/>
        <v>2514.5254237288136</v>
      </c>
      <c r="AG28" s="3">
        <v>148357</v>
      </c>
      <c r="AH28" s="6">
        <v>59</v>
      </c>
      <c r="AI28" s="3">
        <f t="shared" si="26"/>
        <v>2391.5762925598992</v>
      </c>
      <c r="AJ28" s="3">
        <v>189652</v>
      </c>
      <c r="AK28" s="6">
        <v>79.3</v>
      </c>
      <c r="AL28" s="3">
        <f t="shared" si="27"/>
        <v>2530.612244897959</v>
      </c>
      <c r="AM28" s="3">
        <v>12400</v>
      </c>
      <c r="AN28" s="6">
        <v>4.9000000000000004</v>
      </c>
      <c r="AO28" s="3">
        <f t="shared" si="12"/>
        <v>2548.3948511166254</v>
      </c>
      <c r="AP28" s="3">
        <f t="shared" si="14"/>
        <v>1643205</v>
      </c>
      <c r="AQ28" s="6">
        <f t="shared" si="15"/>
        <v>644.79999999999995</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20" t="s">
        <v>51</v>
      </c>
      <c r="B29" s="23"/>
      <c r="C29" s="23"/>
      <c r="D29" s="23"/>
      <c r="E29" s="3" t="e">
        <f t="shared" si="16"/>
        <v>#DIV/0!</v>
      </c>
      <c r="F29" s="3">
        <v>0</v>
      </c>
      <c r="G29" s="6">
        <v>0</v>
      </c>
      <c r="H29" s="3" t="e">
        <f t="shared" si="17"/>
        <v>#DIV/0!</v>
      </c>
      <c r="I29" s="3">
        <v>0</v>
      </c>
      <c r="J29" s="6">
        <v>0</v>
      </c>
      <c r="K29" s="3" t="e">
        <f t="shared" si="18"/>
        <v>#DIV/0!</v>
      </c>
      <c r="L29" s="3">
        <v>0</v>
      </c>
      <c r="M29" s="6">
        <v>0</v>
      </c>
      <c r="N29" s="3" t="e">
        <f t="shared" si="19"/>
        <v>#DIV/0!</v>
      </c>
      <c r="O29" s="3">
        <v>0</v>
      </c>
      <c r="P29" s="6">
        <v>0</v>
      </c>
      <c r="Q29" s="3" t="e">
        <f t="shared" si="20"/>
        <v>#DIV/0!</v>
      </c>
      <c r="R29" s="3">
        <v>0</v>
      </c>
      <c r="S29" s="6">
        <v>0</v>
      </c>
      <c r="T29" s="3" t="e">
        <f t="shared" si="21"/>
        <v>#DIV/0!</v>
      </c>
      <c r="U29" s="3">
        <v>0</v>
      </c>
      <c r="V29" s="6">
        <v>0</v>
      </c>
      <c r="W29" s="3" t="e">
        <f t="shared" si="22"/>
        <v>#DIV/0!</v>
      </c>
      <c r="X29" s="3">
        <v>0</v>
      </c>
      <c r="Y29" s="6">
        <v>0</v>
      </c>
      <c r="Z29" s="3" t="e">
        <f t="shared" si="23"/>
        <v>#DIV/0!</v>
      </c>
      <c r="AA29" s="3">
        <v>0</v>
      </c>
      <c r="AB29" s="6">
        <v>0</v>
      </c>
      <c r="AC29" s="3">
        <f t="shared" si="24"/>
        <v>2852.4137931034484</v>
      </c>
      <c r="AD29" s="3">
        <v>8272</v>
      </c>
      <c r="AE29" s="6">
        <v>2.9</v>
      </c>
      <c r="AF29" s="3">
        <f t="shared" si="25"/>
        <v>2526.3157894736842</v>
      </c>
      <c r="AG29" s="3">
        <v>24000</v>
      </c>
      <c r="AH29" s="6">
        <v>9.5</v>
      </c>
      <c r="AI29" s="3">
        <f t="shared" si="26"/>
        <v>2500</v>
      </c>
      <c r="AJ29" s="3">
        <v>14000</v>
      </c>
      <c r="AK29" s="6">
        <v>5.6</v>
      </c>
      <c r="AL29" s="3">
        <f t="shared" si="27"/>
        <v>2530.612244897959</v>
      </c>
      <c r="AM29" s="3">
        <v>12400</v>
      </c>
      <c r="AN29" s="6">
        <v>4.9000000000000004</v>
      </c>
      <c r="AO29" s="3">
        <f t="shared" si="12"/>
        <v>2562.096069868996</v>
      </c>
      <c r="AP29" s="3">
        <f t="shared" si="14"/>
        <v>58672</v>
      </c>
      <c r="AQ29" s="6">
        <f t="shared" si="15"/>
        <v>22.9</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20" t="s">
        <v>19</v>
      </c>
      <c r="B30" s="23"/>
      <c r="C30" s="23"/>
      <c r="D30" s="23"/>
      <c r="E30" s="3" t="e">
        <f t="shared" si="16"/>
        <v>#DIV/0!</v>
      </c>
      <c r="F30" s="3">
        <v>0</v>
      </c>
      <c r="G30" s="6">
        <v>0</v>
      </c>
      <c r="H30" s="3">
        <f t="shared" si="17"/>
        <v>2909.090909090909</v>
      </c>
      <c r="I30" s="3">
        <v>44800</v>
      </c>
      <c r="J30" s="6">
        <v>15.4</v>
      </c>
      <c r="K30" s="3" t="e">
        <f t="shared" si="18"/>
        <v>#DIV/0!</v>
      </c>
      <c r="L30" s="3">
        <v>0</v>
      </c>
      <c r="M30" s="6">
        <v>0</v>
      </c>
      <c r="N30" s="3" t="e">
        <f t="shared" si="19"/>
        <v>#DIV/0!</v>
      </c>
      <c r="O30" s="3">
        <v>0</v>
      </c>
      <c r="P30" s="6">
        <v>0</v>
      </c>
      <c r="Q30" s="3" t="e">
        <f t="shared" si="20"/>
        <v>#DIV/0!</v>
      </c>
      <c r="R30" s="3">
        <v>0</v>
      </c>
      <c r="S30" s="6">
        <v>0</v>
      </c>
      <c r="T30" s="3" t="e">
        <f t="shared" si="21"/>
        <v>#DIV/0!</v>
      </c>
      <c r="U30" s="3">
        <v>0</v>
      </c>
      <c r="V30" s="6">
        <v>0</v>
      </c>
      <c r="W30" s="3" t="e">
        <f t="shared" si="22"/>
        <v>#DIV/0!</v>
      </c>
      <c r="X30" s="3">
        <v>0</v>
      </c>
      <c r="Y30" s="6">
        <v>0</v>
      </c>
      <c r="Z30" s="3" t="e">
        <f t="shared" si="23"/>
        <v>#DIV/0!</v>
      </c>
      <c r="AA30" s="3">
        <v>0</v>
      </c>
      <c r="AB30" s="6">
        <v>0</v>
      </c>
      <c r="AC30" s="3" t="e">
        <f t="shared" si="24"/>
        <v>#DIV/0!</v>
      </c>
      <c r="AD30" s="3">
        <v>0</v>
      </c>
      <c r="AE30" s="6">
        <v>0</v>
      </c>
      <c r="AF30" s="3">
        <f t="shared" si="25"/>
        <v>1538.4615384615386</v>
      </c>
      <c r="AG30" s="3">
        <v>6000</v>
      </c>
      <c r="AH30" s="6">
        <v>3.9</v>
      </c>
      <c r="AI30" s="3" t="e">
        <f t="shared" si="26"/>
        <v>#DIV/0!</v>
      </c>
      <c r="AJ30" s="3">
        <v>0</v>
      </c>
      <c r="AK30" s="6">
        <v>0</v>
      </c>
      <c r="AL30" s="3">
        <f t="shared" si="27"/>
        <v>1901.6393442622953</v>
      </c>
      <c r="AM30" s="3">
        <v>11600</v>
      </c>
      <c r="AN30" s="6">
        <v>6.1</v>
      </c>
      <c r="AO30" s="3">
        <f t="shared" si="12"/>
        <v>2456.6929133858271</v>
      </c>
      <c r="AP30" s="3">
        <f t="shared" si="14"/>
        <v>62400</v>
      </c>
      <c r="AQ30" s="6">
        <f t="shared" si="15"/>
        <v>25.4</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20" t="s">
        <v>22</v>
      </c>
      <c r="B31" s="23"/>
      <c r="C31" s="23"/>
      <c r="D31" s="23"/>
      <c r="E31" s="3">
        <f t="shared" si="16"/>
        <v>2426.3478260869565</v>
      </c>
      <c r="F31" s="3">
        <v>139515</v>
      </c>
      <c r="G31" s="6">
        <v>57.5</v>
      </c>
      <c r="H31" s="3">
        <f t="shared" si="17"/>
        <v>2276.7157894736843</v>
      </c>
      <c r="I31" s="3">
        <v>108144</v>
      </c>
      <c r="J31" s="6">
        <v>47.5</v>
      </c>
      <c r="K31" s="3">
        <f t="shared" si="18"/>
        <v>3146.0526315789475</v>
      </c>
      <c r="L31" s="3">
        <v>11955</v>
      </c>
      <c r="M31" s="6">
        <v>3.8</v>
      </c>
      <c r="N31" s="3">
        <f t="shared" si="19"/>
        <v>16215</v>
      </c>
      <c r="O31" s="3">
        <v>3243</v>
      </c>
      <c r="P31" s="6">
        <v>0.2</v>
      </c>
      <c r="Q31" s="3">
        <f t="shared" si="20"/>
        <v>1981.6243654822335</v>
      </c>
      <c r="R31" s="3">
        <v>312304</v>
      </c>
      <c r="S31" s="6">
        <v>157.6</v>
      </c>
      <c r="T31" s="3">
        <f t="shared" si="21"/>
        <v>1568.2106523040097</v>
      </c>
      <c r="U31" s="3">
        <v>524096</v>
      </c>
      <c r="V31" s="6">
        <v>334.2</v>
      </c>
      <c r="W31" s="3">
        <f t="shared" si="22"/>
        <v>5068.9285714285716</v>
      </c>
      <c r="X31" s="3">
        <v>14193</v>
      </c>
      <c r="Y31" s="6">
        <v>2.8</v>
      </c>
      <c r="Z31" s="3">
        <f t="shared" si="23"/>
        <v>2510.36496350365</v>
      </c>
      <c r="AA31" s="3">
        <v>137568</v>
      </c>
      <c r="AB31" s="6">
        <v>54.8</v>
      </c>
      <c r="AC31" s="3">
        <f t="shared" si="24"/>
        <v>3069.3181818181815</v>
      </c>
      <c r="AD31" s="3">
        <v>13505</v>
      </c>
      <c r="AE31" s="6">
        <v>4.4000000000000004</v>
      </c>
      <c r="AF31" s="3">
        <f t="shared" si="25"/>
        <v>2569.2857142857142</v>
      </c>
      <c r="AG31" s="3">
        <v>25179</v>
      </c>
      <c r="AH31" s="6">
        <v>9.8000000000000007</v>
      </c>
      <c r="AI31" s="3">
        <f t="shared" si="26"/>
        <v>2731.7552334943639</v>
      </c>
      <c r="AJ31" s="3">
        <v>169642</v>
      </c>
      <c r="AK31" s="6">
        <v>62.1</v>
      </c>
      <c r="AL31" s="3">
        <f t="shared" si="27"/>
        <v>1548.7671232876712</v>
      </c>
      <c r="AM31" s="3">
        <v>11306</v>
      </c>
      <c r="AN31" s="6">
        <v>7.3</v>
      </c>
      <c r="AO31" s="3">
        <f t="shared" si="12"/>
        <v>1982.0080862533698</v>
      </c>
      <c r="AP31" s="3">
        <f t="shared" si="14"/>
        <v>1470650</v>
      </c>
      <c r="AQ31" s="6">
        <f t="shared" si="15"/>
        <v>741.99999999999977</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20" t="s">
        <v>80</v>
      </c>
      <c r="B32" s="23"/>
      <c r="C32" s="23"/>
      <c r="D32" s="23"/>
      <c r="E32" s="3">
        <f t="shared" si="16"/>
        <v>1554.8148148148148</v>
      </c>
      <c r="F32" s="3">
        <v>8396</v>
      </c>
      <c r="G32" s="6">
        <v>5.4</v>
      </c>
      <c r="H32" s="3" t="e">
        <f t="shared" si="17"/>
        <v>#DIV/0!</v>
      </c>
      <c r="I32" s="3">
        <v>0</v>
      </c>
      <c r="J32" s="6">
        <v>0</v>
      </c>
      <c r="K32" s="3" t="e">
        <f t="shared" si="18"/>
        <v>#DIV/0!</v>
      </c>
      <c r="L32" s="3">
        <v>0</v>
      </c>
      <c r="M32" s="6">
        <v>0</v>
      </c>
      <c r="N32" s="3" t="e">
        <f t="shared" si="19"/>
        <v>#DIV/0!</v>
      </c>
      <c r="O32" s="3">
        <v>0</v>
      </c>
      <c r="P32" s="6">
        <v>0</v>
      </c>
      <c r="Q32" s="3" t="e">
        <f t="shared" si="20"/>
        <v>#DIV/0!</v>
      </c>
      <c r="R32" s="3">
        <v>0</v>
      </c>
      <c r="S32" s="6">
        <v>0</v>
      </c>
      <c r="T32" s="3" t="e">
        <f t="shared" si="21"/>
        <v>#DIV/0!</v>
      </c>
      <c r="U32" s="3">
        <v>0</v>
      </c>
      <c r="V32" s="6">
        <v>0</v>
      </c>
      <c r="W32" s="3" t="e">
        <f t="shared" si="22"/>
        <v>#DIV/0!</v>
      </c>
      <c r="X32" s="3">
        <v>0</v>
      </c>
      <c r="Y32" s="6">
        <v>0</v>
      </c>
      <c r="Z32" s="3" t="e">
        <f t="shared" si="23"/>
        <v>#DIV/0!</v>
      </c>
      <c r="AA32" s="3">
        <v>0</v>
      </c>
      <c r="AB32" s="6">
        <v>0</v>
      </c>
      <c r="AC32" s="3" t="e">
        <f t="shared" si="24"/>
        <v>#DIV/0!</v>
      </c>
      <c r="AD32" s="3">
        <v>0</v>
      </c>
      <c r="AE32" s="6">
        <v>0</v>
      </c>
      <c r="AF32" s="3">
        <f t="shared" si="25"/>
        <v>1529.4117647058824</v>
      </c>
      <c r="AG32" s="3">
        <v>5200</v>
      </c>
      <c r="AH32" s="6">
        <v>3.4</v>
      </c>
      <c r="AI32" s="3" t="e">
        <f t="shared" si="26"/>
        <v>#DIV/0!</v>
      </c>
      <c r="AJ32" s="3">
        <v>0</v>
      </c>
      <c r="AK32" s="6">
        <v>0</v>
      </c>
      <c r="AL32" s="3">
        <f t="shared" si="27"/>
        <v>1554.0625</v>
      </c>
      <c r="AM32" s="3">
        <v>9946</v>
      </c>
      <c r="AN32" s="6">
        <v>6.4</v>
      </c>
      <c r="AO32" s="3">
        <f t="shared" si="12"/>
        <v>1548.8157894736842</v>
      </c>
      <c r="AP32" s="3">
        <f t="shared" si="14"/>
        <v>23542</v>
      </c>
      <c r="AQ32" s="6">
        <f t="shared" si="15"/>
        <v>15.200000000000001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20" t="s">
        <v>38</v>
      </c>
      <c r="B33" s="23"/>
      <c r="C33" s="23"/>
      <c r="D33" s="23"/>
      <c r="E33" s="3">
        <f t="shared" si="16"/>
        <v>2440.7843137254904</v>
      </c>
      <c r="F33" s="3">
        <v>12448</v>
      </c>
      <c r="G33" s="6">
        <v>5.0999999999999996</v>
      </c>
      <c r="H33" s="3">
        <f t="shared" si="17"/>
        <v>2832.6139817629182</v>
      </c>
      <c r="I33" s="3">
        <v>93193</v>
      </c>
      <c r="J33" s="6">
        <v>32.9</v>
      </c>
      <c r="K33" s="3">
        <f t="shared" si="18"/>
        <v>2667.5115207373274</v>
      </c>
      <c r="L33" s="3">
        <v>57885</v>
      </c>
      <c r="M33" s="6">
        <v>21.7</v>
      </c>
      <c r="N33" s="3">
        <f t="shared" si="19"/>
        <v>2162.7314814814813</v>
      </c>
      <c r="O33" s="3">
        <v>93430</v>
      </c>
      <c r="P33" s="6">
        <v>43.2</v>
      </c>
      <c r="Q33" s="3">
        <f t="shared" si="20"/>
        <v>2152.6530612244896</v>
      </c>
      <c r="R33" s="3">
        <v>10548</v>
      </c>
      <c r="S33" s="6">
        <v>4.9000000000000004</v>
      </c>
      <c r="T33" s="3">
        <f t="shared" si="21"/>
        <v>2842.0604395604396</v>
      </c>
      <c r="U33" s="3">
        <v>103451</v>
      </c>
      <c r="V33" s="6">
        <v>36.4</v>
      </c>
      <c r="W33" s="3">
        <f t="shared" si="22"/>
        <v>2006.6937669376694</v>
      </c>
      <c r="X33" s="3">
        <v>74047</v>
      </c>
      <c r="Y33" s="6">
        <v>36.9</v>
      </c>
      <c r="Z33" s="3">
        <f t="shared" si="23"/>
        <v>2070.5581395348836</v>
      </c>
      <c r="AA33" s="3">
        <v>44517</v>
      </c>
      <c r="AB33" s="6">
        <v>21.5</v>
      </c>
      <c r="AC33" s="3">
        <f t="shared" si="24"/>
        <v>2139.8039215686276</v>
      </c>
      <c r="AD33" s="3">
        <v>10913</v>
      </c>
      <c r="AE33" s="6">
        <v>5.0999999999999996</v>
      </c>
      <c r="AF33" s="3">
        <f t="shared" si="25"/>
        <v>2302.2837370242214</v>
      </c>
      <c r="AG33" s="3">
        <v>66536</v>
      </c>
      <c r="AH33" s="6">
        <v>28.9</v>
      </c>
      <c r="AI33" s="3">
        <f t="shared" si="26"/>
        <v>2450.7116104868915</v>
      </c>
      <c r="AJ33" s="3">
        <v>65434</v>
      </c>
      <c r="AK33" s="6">
        <v>26.7</v>
      </c>
      <c r="AL33" s="3">
        <f t="shared" si="27"/>
        <v>1950.7894736842106</v>
      </c>
      <c r="AM33" s="3">
        <v>7413</v>
      </c>
      <c r="AN33" s="6">
        <v>3.8</v>
      </c>
      <c r="AO33" s="3">
        <f t="shared" si="12"/>
        <v>2395.4137027330585</v>
      </c>
      <c r="AP33" s="3">
        <f t="shared" si="14"/>
        <v>639815</v>
      </c>
      <c r="AQ33" s="6">
        <f t="shared" si="15"/>
        <v>267.10000000000002</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20" t="s">
        <v>59</v>
      </c>
      <c r="B34" s="23"/>
      <c r="C34" s="23"/>
      <c r="D34" s="23"/>
      <c r="E34" s="3" t="e">
        <f t="shared" si="16"/>
        <v>#DIV/0!</v>
      </c>
      <c r="F34" s="3">
        <v>0</v>
      </c>
      <c r="G34" s="6">
        <v>0</v>
      </c>
      <c r="H34" s="3">
        <f t="shared" si="17"/>
        <v>2533.4751773049647</v>
      </c>
      <c r="I34" s="3">
        <v>35722</v>
      </c>
      <c r="J34" s="6">
        <v>14.1</v>
      </c>
      <c r="K34" s="3">
        <f t="shared" si="18"/>
        <v>2258.0487804878053</v>
      </c>
      <c r="L34" s="3">
        <v>18516</v>
      </c>
      <c r="M34" s="6">
        <v>8.1999999999999993</v>
      </c>
      <c r="N34" s="3">
        <f t="shared" si="19"/>
        <v>1913.2867132867132</v>
      </c>
      <c r="O34" s="3">
        <v>27360</v>
      </c>
      <c r="P34" s="6">
        <v>14.3</v>
      </c>
      <c r="Q34" s="3">
        <f t="shared" si="20"/>
        <v>3485.2631578947371</v>
      </c>
      <c r="R34" s="3">
        <v>13244</v>
      </c>
      <c r="S34" s="6">
        <v>3.8</v>
      </c>
      <c r="T34" s="3">
        <f t="shared" si="21"/>
        <v>2077.894736842105</v>
      </c>
      <c r="U34" s="3">
        <v>11844</v>
      </c>
      <c r="V34" s="6">
        <v>5.7</v>
      </c>
      <c r="W34" s="3">
        <f t="shared" si="22"/>
        <v>2500.4301075268813</v>
      </c>
      <c r="X34" s="3">
        <v>23254</v>
      </c>
      <c r="Y34" s="6">
        <v>9.3000000000000007</v>
      </c>
      <c r="Z34" s="3">
        <f t="shared" si="23"/>
        <v>2147.3684210526317</v>
      </c>
      <c r="AA34" s="3">
        <v>4080</v>
      </c>
      <c r="AB34" s="6">
        <v>1.9</v>
      </c>
      <c r="AC34" s="3">
        <f t="shared" si="24"/>
        <v>2261.9428571428571</v>
      </c>
      <c r="AD34" s="3">
        <v>39584</v>
      </c>
      <c r="AE34" s="6">
        <v>17.5</v>
      </c>
      <c r="AF34" s="3">
        <f t="shared" si="25"/>
        <v>2953.04347826087</v>
      </c>
      <c r="AG34" s="3">
        <v>13584</v>
      </c>
      <c r="AH34" s="6">
        <v>4.5999999999999996</v>
      </c>
      <c r="AI34" s="3">
        <f t="shared" si="26"/>
        <v>2893.3333333333335</v>
      </c>
      <c r="AJ34" s="3">
        <v>8680</v>
      </c>
      <c r="AK34" s="6">
        <v>3</v>
      </c>
      <c r="AL34" s="3">
        <f t="shared" si="27"/>
        <v>1894.7368421052633</v>
      </c>
      <c r="AM34" s="3">
        <v>7200</v>
      </c>
      <c r="AN34" s="6">
        <v>3.8</v>
      </c>
      <c r="AO34" s="3">
        <f t="shared" si="12"/>
        <v>2355.777262180975</v>
      </c>
      <c r="AP34" s="3">
        <f t="shared" si="14"/>
        <v>203068</v>
      </c>
      <c r="AQ34" s="6">
        <f t="shared" si="15"/>
        <v>86.199999999999974</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20" t="s">
        <v>34</v>
      </c>
      <c r="B35" s="23"/>
      <c r="C35" s="23"/>
      <c r="D35" s="23"/>
      <c r="E35" s="3" t="e">
        <f t="shared" si="16"/>
        <v>#DIV/0!</v>
      </c>
      <c r="F35" s="3">
        <v>0</v>
      </c>
      <c r="G35" s="6">
        <v>0</v>
      </c>
      <c r="H35" s="3" t="e">
        <f t="shared" si="17"/>
        <v>#DIV/0!</v>
      </c>
      <c r="I35" s="3">
        <v>0</v>
      </c>
      <c r="J35" s="6">
        <v>0</v>
      </c>
      <c r="K35" s="3" t="e">
        <f t="shared" si="18"/>
        <v>#DIV/0!</v>
      </c>
      <c r="L35" s="3">
        <v>0</v>
      </c>
      <c r="M35" s="6">
        <v>0</v>
      </c>
      <c r="N35" s="3" t="e">
        <f t="shared" si="19"/>
        <v>#DIV/0!</v>
      </c>
      <c r="O35" s="3">
        <v>0</v>
      </c>
      <c r="P35" s="6">
        <v>0</v>
      </c>
      <c r="Q35" s="3">
        <f t="shared" si="20"/>
        <v>2940</v>
      </c>
      <c r="R35" s="3">
        <v>54096</v>
      </c>
      <c r="S35" s="6">
        <v>18.399999999999999</v>
      </c>
      <c r="T35" s="3">
        <f t="shared" si="21"/>
        <v>1538.4615384615386</v>
      </c>
      <c r="U35" s="3">
        <v>10000</v>
      </c>
      <c r="V35" s="6">
        <v>6.5</v>
      </c>
      <c r="W35" s="3">
        <f t="shared" si="22"/>
        <v>2941.0426540284357</v>
      </c>
      <c r="X35" s="3">
        <v>62056</v>
      </c>
      <c r="Y35" s="6">
        <v>21.1</v>
      </c>
      <c r="Z35" s="3">
        <f t="shared" si="23"/>
        <v>2910.6666666666665</v>
      </c>
      <c r="AA35" s="3">
        <v>8732</v>
      </c>
      <c r="AB35" s="6">
        <v>3</v>
      </c>
      <c r="AC35" s="3">
        <f t="shared" si="24"/>
        <v>2500</v>
      </c>
      <c r="AD35" s="3">
        <v>51000</v>
      </c>
      <c r="AE35" s="6">
        <v>20.399999999999999</v>
      </c>
      <c r="AF35" s="3" t="e">
        <f t="shared" si="25"/>
        <v>#DIV/0!</v>
      </c>
      <c r="AG35" s="3">
        <v>0</v>
      </c>
      <c r="AH35" s="6">
        <v>0</v>
      </c>
      <c r="AI35" s="3">
        <f t="shared" si="26"/>
        <v>2864.9214659685863</v>
      </c>
      <c r="AJ35" s="3">
        <v>54720</v>
      </c>
      <c r="AK35" s="6">
        <v>19.100000000000001</v>
      </c>
      <c r="AL35" s="3">
        <f t="shared" si="27"/>
        <v>2482.7586206896553</v>
      </c>
      <c r="AM35" s="3">
        <v>7200</v>
      </c>
      <c r="AN35" s="6">
        <v>2.9</v>
      </c>
      <c r="AO35" s="3">
        <f t="shared" si="12"/>
        <v>2711.2035010940917</v>
      </c>
      <c r="AP35" s="3">
        <f t="shared" si="14"/>
        <v>247804</v>
      </c>
      <c r="AQ35" s="6">
        <f t="shared" si="15"/>
        <v>91.4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20" t="s">
        <v>58</v>
      </c>
      <c r="B36" s="23"/>
      <c r="C36" s="23"/>
      <c r="D36" s="23"/>
      <c r="E36" s="3">
        <f t="shared" si="16"/>
        <v>3402.5</v>
      </c>
      <c r="F36" s="3">
        <v>2722</v>
      </c>
      <c r="G36" s="6">
        <v>0.8</v>
      </c>
      <c r="H36" s="3">
        <f t="shared" si="17"/>
        <v>2975.5555555555557</v>
      </c>
      <c r="I36" s="3">
        <v>2678</v>
      </c>
      <c r="J36" s="6">
        <v>0.9</v>
      </c>
      <c r="K36" s="3" t="e">
        <f t="shared" si="18"/>
        <v>#DIV/0!</v>
      </c>
      <c r="L36" s="3">
        <v>0</v>
      </c>
      <c r="M36" s="6">
        <v>0</v>
      </c>
      <c r="N36" s="3">
        <f t="shared" si="19"/>
        <v>2247</v>
      </c>
      <c r="O36" s="3">
        <v>4494</v>
      </c>
      <c r="P36" s="6">
        <v>2</v>
      </c>
      <c r="Q36" s="3" t="e">
        <f t="shared" si="20"/>
        <v>#DIV/0!</v>
      </c>
      <c r="R36" s="3">
        <v>0</v>
      </c>
      <c r="S36" s="6">
        <v>0</v>
      </c>
      <c r="T36" s="3">
        <f t="shared" si="21"/>
        <v>2664</v>
      </c>
      <c r="U36" s="3">
        <v>3996</v>
      </c>
      <c r="V36" s="6">
        <v>1.5</v>
      </c>
      <c r="W36" s="3" t="e">
        <f t="shared" si="22"/>
        <v>#DIV/0!</v>
      </c>
      <c r="X36" s="3">
        <v>0</v>
      </c>
      <c r="Y36" s="6">
        <v>0</v>
      </c>
      <c r="Z36" s="3">
        <f t="shared" si="23"/>
        <v>2040</v>
      </c>
      <c r="AA36" s="3">
        <v>4080</v>
      </c>
      <c r="AB36" s="6">
        <v>2</v>
      </c>
      <c r="AC36" s="3">
        <f t="shared" si="24"/>
        <v>2805.3333333333335</v>
      </c>
      <c r="AD36" s="3">
        <v>4208</v>
      </c>
      <c r="AE36" s="6">
        <v>1.5</v>
      </c>
      <c r="AF36" s="3">
        <f t="shared" si="25"/>
        <v>3180</v>
      </c>
      <c r="AG36" s="3">
        <v>2544</v>
      </c>
      <c r="AH36" s="6">
        <v>0.8</v>
      </c>
      <c r="AI36" s="3" t="e">
        <f t="shared" si="26"/>
        <v>#DIV/0!</v>
      </c>
      <c r="AJ36" s="3">
        <v>0</v>
      </c>
      <c r="AK36" s="6">
        <v>0</v>
      </c>
      <c r="AL36" s="3">
        <f t="shared" si="27"/>
        <v>3162.8571428571431</v>
      </c>
      <c r="AM36" s="3">
        <v>4428</v>
      </c>
      <c r="AN36" s="6">
        <v>1.4</v>
      </c>
      <c r="AO36" s="3">
        <f t="shared" si="12"/>
        <v>2674.3119266055046</v>
      </c>
      <c r="AP36" s="3">
        <f t="shared" si="14"/>
        <v>29150</v>
      </c>
      <c r="AQ36" s="6">
        <f t="shared" si="15"/>
        <v>10.9</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20" t="s">
        <v>70</v>
      </c>
      <c r="B37" s="23"/>
      <c r="C37" s="23"/>
      <c r="D37" s="23"/>
      <c r="E37" s="3" t="e">
        <f t="shared" si="16"/>
        <v>#DIV/0!</v>
      </c>
      <c r="F37" s="3">
        <v>0</v>
      </c>
      <c r="G37" s="6">
        <v>0</v>
      </c>
      <c r="H37" s="3" t="e">
        <f t="shared" si="17"/>
        <v>#DIV/0!</v>
      </c>
      <c r="I37" s="3">
        <v>0</v>
      </c>
      <c r="J37" s="6">
        <v>0</v>
      </c>
      <c r="K37" s="3" t="e">
        <f t="shared" si="18"/>
        <v>#DIV/0!</v>
      </c>
      <c r="L37" s="3">
        <v>0</v>
      </c>
      <c r="M37" s="6">
        <v>0</v>
      </c>
      <c r="N37" s="3" t="e">
        <f t="shared" si="19"/>
        <v>#DIV/0!</v>
      </c>
      <c r="O37" s="3">
        <v>0</v>
      </c>
      <c r="P37" s="6">
        <v>0</v>
      </c>
      <c r="Q37" s="3" t="e">
        <f t="shared" si="20"/>
        <v>#DIV/0!</v>
      </c>
      <c r="R37" s="3">
        <v>0</v>
      </c>
      <c r="S37" s="6">
        <v>0</v>
      </c>
      <c r="T37" s="3" t="e">
        <f t="shared" si="21"/>
        <v>#DIV/0!</v>
      </c>
      <c r="U37" s="3">
        <v>0</v>
      </c>
      <c r="V37" s="6">
        <v>0</v>
      </c>
      <c r="W37" s="3" t="e">
        <f t="shared" si="22"/>
        <v>#DIV/0!</v>
      </c>
      <c r="X37" s="3">
        <v>0</v>
      </c>
      <c r="Y37" s="6">
        <v>0</v>
      </c>
      <c r="Z37" s="3" t="e">
        <f t="shared" si="23"/>
        <v>#DIV/0!</v>
      </c>
      <c r="AA37" s="3">
        <v>0</v>
      </c>
      <c r="AB37" s="6">
        <v>0</v>
      </c>
      <c r="AC37" s="3" t="e">
        <f t="shared" si="24"/>
        <v>#DIV/0!</v>
      </c>
      <c r="AD37" s="3">
        <v>0</v>
      </c>
      <c r="AE37" s="6">
        <v>0</v>
      </c>
      <c r="AF37" s="3" t="e">
        <f t="shared" si="25"/>
        <v>#DIV/0!</v>
      </c>
      <c r="AG37" s="3">
        <v>0</v>
      </c>
      <c r="AH37" s="6">
        <v>0</v>
      </c>
      <c r="AI37" s="3">
        <f t="shared" si="26"/>
        <v>1703.1932773109243</v>
      </c>
      <c r="AJ37" s="3">
        <v>20268</v>
      </c>
      <c r="AK37" s="6">
        <v>11.9</v>
      </c>
      <c r="AL37" s="3">
        <f t="shared" si="27"/>
        <v>3556.666666666667</v>
      </c>
      <c r="AM37" s="3">
        <v>4268</v>
      </c>
      <c r="AN37" s="6">
        <v>1.2</v>
      </c>
      <c r="AO37" s="3">
        <f t="shared" si="12"/>
        <v>1872.9770992366414</v>
      </c>
      <c r="AP37" s="3">
        <f t="shared" si="14"/>
        <v>24536</v>
      </c>
      <c r="AQ37" s="6">
        <f t="shared" si="15"/>
        <v>13.1</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20" t="s">
        <v>81</v>
      </c>
      <c r="B38" s="23"/>
      <c r="C38" s="23"/>
      <c r="D38" s="23"/>
      <c r="E38" s="3">
        <f t="shared" si="16"/>
        <v>3270</v>
      </c>
      <c r="F38" s="3">
        <v>3270</v>
      </c>
      <c r="G38" s="6">
        <v>1</v>
      </c>
      <c r="H38" s="3">
        <f t="shared" si="17"/>
        <v>3270</v>
      </c>
      <c r="I38" s="3">
        <v>3270</v>
      </c>
      <c r="J38" s="6">
        <v>1</v>
      </c>
      <c r="K38" s="3">
        <f t="shared" si="18"/>
        <v>3170.9090909090905</v>
      </c>
      <c r="L38" s="3">
        <v>3488</v>
      </c>
      <c r="M38" s="6">
        <v>1.1000000000000001</v>
      </c>
      <c r="N38" s="3" t="e">
        <f t="shared" si="19"/>
        <v>#DIV/0!</v>
      </c>
      <c r="O38" s="3">
        <v>0</v>
      </c>
      <c r="P38" s="6">
        <v>0</v>
      </c>
      <c r="Q38" s="3">
        <f t="shared" si="20"/>
        <v>2594</v>
      </c>
      <c r="R38" s="3">
        <v>2594</v>
      </c>
      <c r="S38" s="6">
        <v>1</v>
      </c>
      <c r="T38" s="3">
        <f t="shared" si="21"/>
        <v>3126.3157894736842</v>
      </c>
      <c r="U38" s="3">
        <v>5940</v>
      </c>
      <c r="V38" s="6">
        <v>1.9</v>
      </c>
      <c r="W38" s="3" t="e">
        <f t="shared" si="22"/>
        <v>#DIV/0!</v>
      </c>
      <c r="X38" s="3">
        <v>0</v>
      </c>
      <c r="Y38" s="6">
        <v>0</v>
      </c>
      <c r="Z38" s="3">
        <f t="shared" si="23"/>
        <v>2305.2631578947371</v>
      </c>
      <c r="AA38" s="3">
        <v>4380</v>
      </c>
      <c r="AB38" s="6">
        <v>1.9</v>
      </c>
      <c r="AC38" s="3" t="e">
        <f t="shared" si="24"/>
        <v>#DIV/0!</v>
      </c>
      <c r="AD38" s="3">
        <v>0</v>
      </c>
      <c r="AE38" s="6">
        <v>0</v>
      </c>
      <c r="AF38" s="3">
        <f t="shared" si="25"/>
        <v>2592.3529411764707</v>
      </c>
      <c r="AG38" s="3">
        <v>8814</v>
      </c>
      <c r="AH38" s="6">
        <v>3.4</v>
      </c>
      <c r="AI38" s="3">
        <f t="shared" si="26"/>
        <v>2337.6</v>
      </c>
      <c r="AJ38" s="3">
        <v>5844</v>
      </c>
      <c r="AK38" s="6">
        <v>2.5</v>
      </c>
      <c r="AL38" s="3">
        <f t="shared" si="27"/>
        <v>2225.3333333333335</v>
      </c>
      <c r="AM38" s="3">
        <v>3338</v>
      </c>
      <c r="AN38" s="6">
        <v>1.5</v>
      </c>
      <c r="AO38" s="3">
        <f t="shared" si="12"/>
        <v>2675.6862745098038</v>
      </c>
      <c r="AP38" s="3">
        <f t="shared" si="14"/>
        <v>40938</v>
      </c>
      <c r="AQ38" s="6">
        <f t="shared" si="15"/>
        <v>15.3</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20" t="s">
        <v>27</v>
      </c>
      <c r="B39" s="23"/>
      <c r="C39" s="23"/>
      <c r="D39" s="23"/>
      <c r="E39" s="3">
        <f t="shared" si="16"/>
        <v>2664.166666666667</v>
      </c>
      <c r="F39" s="3">
        <v>3197</v>
      </c>
      <c r="G39" s="6">
        <v>1.2</v>
      </c>
      <c r="H39" s="3">
        <f t="shared" si="17"/>
        <v>2666.666666666667</v>
      </c>
      <c r="I39" s="3">
        <v>12800</v>
      </c>
      <c r="J39" s="6">
        <v>4.8</v>
      </c>
      <c r="K39" s="3">
        <f t="shared" si="18"/>
        <v>2512.1686746987948</v>
      </c>
      <c r="L39" s="3">
        <v>20851</v>
      </c>
      <c r="M39" s="6">
        <v>8.3000000000000007</v>
      </c>
      <c r="N39" s="3" t="e">
        <f t="shared" si="19"/>
        <v>#DIV/0!</v>
      </c>
      <c r="O39" s="3">
        <v>0</v>
      </c>
      <c r="P39" s="6">
        <v>0</v>
      </c>
      <c r="Q39" s="3">
        <f t="shared" si="20"/>
        <v>2475</v>
      </c>
      <c r="R39" s="3">
        <v>2970</v>
      </c>
      <c r="S39" s="6">
        <v>1.2</v>
      </c>
      <c r="T39" s="3">
        <f t="shared" si="21"/>
        <v>2545.7142857142858</v>
      </c>
      <c r="U39" s="3">
        <v>3564</v>
      </c>
      <c r="V39" s="6">
        <v>1.4</v>
      </c>
      <c r="W39" s="3">
        <f t="shared" si="22"/>
        <v>1655.1162790697674</v>
      </c>
      <c r="X39" s="3">
        <v>14234</v>
      </c>
      <c r="Y39" s="6">
        <v>8.6</v>
      </c>
      <c r="Z39" s="3">
        <f t="shared" si="23"/>
        <v>2168.181818181818</v>
      </c>
      <c r="AA39" s="3">
        <v>4770</v>
      </c>
      <c r="AB39" s="6">
        <v>2.2000000000000002</v>
      </c>
      <c r="AC39" s="3" t="e">
        <f t="shared" si="24"/>
        <v>#DIV/0!</v>
      </c>
      <c r="AD39" s="3">
        <v>0</v>
      </c>
      <c r="AE39" s="6">
        <v>0</v>
      </c>
      <c r="AF39" s="3">
        <f t="shared" si="25"/>
        <v>2425.9259259259256</v>
      </c>
      <c r="AG39" s="3">
        <v>6550</v>
      </c>
      <c r="AH39" s="6">
        <v>2.7</v>
      </c>
      <c r="AI39" s="3">
        <f t="shared" si="26"/>
        <v>2359.5833333333335</v>
      </c>
      <c r="AJ39" s="3">
        <v>5663</v>
      </c>
      <c r="AK39" s="6">
        <v>2.4</v>
      </c>
      <c r="AL39" s="3" t="e">
        <f t="shared" si="27"/>
        <v>#DIV/0!</v>
      </c>
      <c r="AM39" s="3">
        <v>0</v>
      </c>
      <c r="AN39" s="6">
        <v>0</v>
      </c>
      <c r="AO39" s="3">
        <f t="shared" si="12"/>
        <v>2274.3597560975613</v>
      </c>
      <c r="AP39" s="3">
        <f t="shared" si="14"/>
        <v>74599</v>
      </c>
      <c r="AQ39" s="6">
        <f t="shared" si="15"/>
        <v>32.799999999999997</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20" t="s">
        <v>60</v>
      </c>
      <c r="B40" s="23"/>
      <c r="C40" s="23"/>
      <c r="D40" s="23"/>
      <c r="E40" s="3" t="e">
        <f t="shared" si="16"/>
        <v>#DIV/0!</v>
      </c>
      <c r="F40" s="3">
        <v>0</v>
      </c>
      <c r="G40" s="6">
        <v>0</v>
      </c>
      <c r="H40" s="3">
        <f t="shared" si="17"/>
        <v>4356.666666666667</v>
      </c>
      <c r="I40" s="3">
        <v>5228</v>
      </c>
      <c r="J40" s="6">
        <v>1.2</v>
      </c>
      <c r="K40" s="3">
        <f t="shared" si="18"/>
        <v>1523.3725490196077</v>
      </c>
      <c r="L40" s="3">
        <v>38846</v>
      </c>
      <c r="M40" s="6">
        <v>25.5</v>
      </c>
      <c r="N40" s="3">
        <f t="shared" si="19"/>
        <v>2049.4444444444443</v>
      </c>
      <c r="O40" s="3">
        <v>14756</v>
      </c>
      <c r="P40" s="6">
        <v>7.2</v>
      </c>
      <c r="Q40" s="3" t="e">
        <f t="shared" si="20"/>
        <v>#DIV/0!</v>
      </c>
      <c r="R40" s="3">
        <v>0</v>
      </c>
      <c r="S40" s="6">
        <v>0</v>
      </c>
      <c r="T40" s="3" t="e">
        <f t="shared" si="21"/>
        <v>#DIV/0!</v>
      </c>
      <c r="U40" s="3">
        <v>0</v>
      </c>
      <c r="V40" s="6">
        <v>0</v>
      </c>
      <c r="W40" s="3" t="e">
        <f t="shared" si="22"/>
        <v>#DIV/0!</v>
      </c>
      <c r="X40" s="3">
        <v>0</v>
      </c>
      <c r="Y40" s="6">
        <v>0</v>
      </c>
      <c r="Z40" s="3">
        <f t="shared" si="23"/>
        <v>3993.3333333333335</v>
      </c>
      <c r="AA40" s="3">
        <v>9584</v>
      </c>
      <c r="AB40" s="6">
        <v>2.4</v>
      </c>
      <c r="AC40" s="3" t="e">
        <f t="shared" si="24"/>
        <v>#DIV/0!</v>
      </c>
      <c r="AD40" s="3">
        <v>0</v>
      </c>
      <c r="AE40" s="6">
        <v>0</v>
      </c>
      <c r="AF40" s="3" t="e">
        <f t="shared" si="25"/>
        <v>#DIV/0!</v>
      </c>
      <c r="AG40" s="3">
        <v>0</v>
      </c>
      <c r="AH40" s="6">
        <v>0</v>
      </c>
      <c r="AI40" s="3" t="e">
        <f t="shared" si="26"/>
        <v>#DIV/0!</v>
      </c>
      <c r="AJ40" s="3">
        <v>0</v>
      </c>
      <c r="AK40" s="6">
        <v>0</v>
      </c>
      <c r="AL40" s="3" t="e">
        <f t="shared" si="27"/>
        <v>#DIV/0!</v>
      </c>
      <c r="AM40" s="3">
        <v>0</v>
      </c>
      <c r="AN40" s="6">
        <v>0</v>
      </c>
      <c r="AO40" s="3">
        <f t="shared" si="12"/>
        <v>1884.6831955922867</v>
      </c>
      <c r="AP40" s="3">
        <f t="shared" si="14"/>
        <v>68414</v>
      </c>
      <c r="AQ40" s="6">
        <f t="shared" si="15"/>
        <v>36.299999999999997</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20" t="s">
        <v>29</v>
      </c>
      <c r="B41" s="23"/>
      <c r="C41" s="23"/>
      <c r="D41" s="23"/>
      <c r="E41" s="3">
        <f t="shared" si="16"/>
        <v>2900</v>
      </c>
      <c r="F41" s="3">
        <v>41760</v>
      </c>
      <c r="G41" s="6">
        <v>14.4</v>
      </c>
      <c r="H41" s="3" t="e">
        <f t="shared" si="17"/>
        <v>#DIV/0!</v>
      </c>
      <c r="I41" s="3">
        <v>0</v>
      </c>
      <c r="J41" s="6">
        <v>0</v>
      </c>
      <c r="K41" s="3">
        <f t="shared" si="18"/>
        <v>2577.7777777777778</v>
      </c>
      <c r="L41" s="3">
        <v>13920</v>
      </c>
      <c r="M41" s="6">
        <v>5.4</v>
      </c>
      <c r="N41" s="3" t="e">
        <f t="shared" si="19"/>
        <v>#DIV/0!</v>
      </c>
      <c r="O41" s="3">
        <v>0</v>
      </c>
      <c r="P41" s="6">
        <v>0</v>
      </c>
      <c r="Q41" s="3">
        <f t="shared" si="20"/>
        <v>3103.4482758620688</v>
      </c>
      <c r="R41" s="3">
        <v>9000</v>
      </c>
      <c r="S41" s="6">
        <v>2.9</v>
      </c>
      <c r="T41" s="3" t="e">
        <f t="shared" si="21"/>
        <v>#DIV/0!</v>
      </c>
      <c r="U41" s="3">
        <v>0</v>
      </c>
      <c r="V41" s="6">
        <v>0</v>
      </c>
      <c r="W41" s="3">
        <f t="shared" si="22"/>
        <v>2979.3103448275865</v>
      </c>
      <c r="X41" s="3">
        <v>8640</v>
      </c>
      <c r="Y41" s="6">
        <v>2.9</v>
      </c>
      <c r="Z41" s="3">
        <f t="shared" si="23"/>
        <v>3978.9473684210529</v>
      </c>
      <c r="AA41" s="3">
        <v>15120</v>
      </c>
      <c r="AB41" s="6">
        <v>3.8</v>
      </c>
      <c r="AC41" s="3">
        <f t="shared" si="24"/>
        <v>2979.3103448275865</v>
      </c>
      <c r="AD41" s="3">
        <v>8640</v>
      </c>
      <c r="AE41" s="6">
        <v>2.9</v>
      </c>
      <c r="AF41" s="3">
        <f t="shared" si="25"/>
        <v>3946.6666666666665</v>
      </c>
      <c r="AG41" s="3">
        <v>21312</v>
      </c>
      <c r="AH41" s="6">
        <v>5.4</v>
      </c>
      <c r="AI41" s="3" t="e">
        <f t="shared" si="26"/>
        <v>#DIV/0!</v>
      </c>
      <c r="AJ41" s="3">
        <v>0</v>
      </c>
      <c r="AK41" s="6">
        <v>0</v>
      </c>
      <c r="AL41" s="3" t="e">
        <f t="shared" si="27"/>
        <v>#DIV/0!</v>
      </c>
      <c r="AM41" s="3">
        <v>0</v>
      </c>
      <c r="AN41" s="6">
        <v>0</v>
      </c>
      <c r="AO41" s="3">
        <f t="shared" si="12"/>
        <v>3140.3713527851464</v>
      </c>
      <c r="AP41" s="3">
        <f t="shared" si="14"/>
        <v>118392</v>
      </c>
      <c r="AQ41" s="6">
        <f t="shared" si="15"/>
        <v>37.699999999999996</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20" t="s">
        <v>82</v>
      </c>
      <c r="B42" s="23"/>
      <c r="C42" s="23"/>
      <c r="D42" s="23"/>
      <c r="E42" s="3" t="e">
        <f t="shared" si="16"/>
        <v>#DIV/0!</v>
      </c>
      <c r="F42" s="3">
        <v>0</v>
      </c>
      <c r="G42" s="6">
        <v>0</v>
      </c>
      <c r="H42" s="3" t="e">
        <f t="shared" si="17"/>
        <v>#DIV/0!</v>
      </c>
      <c r="I42" s="3">
        <v>0</v>
      </c>
      <c r="J42" s="6">
        <v>0</v>
      </c>
      <c r="K42" s="3" t="e">
        <f t="shared" si="18"/>
        <v>#DIV/0!</v>
      </c>
      <c r="L42" s="3">
        <v>0</v>
      </c>
      <c r="M42" s="6">
        <v>0</v>
      </c>
      <c r="N42" s="3">
        <f t="shared" si="19"/>
        <v>2385.6213017751479</v>
      </c>
      <c r="O42" s="3">
        <v>40317</v>
      </c>
      <c r="P42" s="6">
        <v>16.899999999999999</v>
      </c>
      <c r="Q42" s="3" t="e">
        <f t="shared" si="20"/>
        <v>#DIV/0!</v>
      </c>
      <c r="R42" s="3">
        <v>0</v>
      </c>
      <c r="S42" s="6">
        <v>0</v>
      </c>
      <c r="T42" s="3" t="e">
        <f t="shared" si="21"/>
        <v>#DIV/0!</v>
      </c>
      <c r="U42" s="3">
        <v>0</v>
      </c>
      <c r="V42" s="6">
        <v>0</v>
      </c>
      <c r="W42" s="3" t="e">
        <f t="shared" si="22"/>
        <v>#DIV/0!</v>
      </c>
      <c r="X42" s="3">
        <v>0</v>
      </c>
      <c r="Y42" s="6">
        <v>0</v>
      </c>
      <c r="Z42" s="3" t="e">
        <f t="shared" si="23"/>
        <v>#DIV/0!</v>
      </c>
      <c r="AA42" s="3">
        <v>0</v>
      </c>
      <c r="AB42" s="6">
        <v>0</v>
      </c>
      <c r="AC42" s="3" t="e">
        <f t="shared" si="24"/>
        <v>#DIV/0!</v>
      </c>
      <c r="AD42" s="3">
        <v>0</v>
      </c>
      <c r="AE42" s="6">
        <v>0</v>
      </c>
      <c r="AF42" s="3" t="e">
        <f t="shared" si="25"/>
        <v>#DIV/0!</v>
      </c>
      <c r="AG42" s="3">
        <v>0</v>
      </c>
      <c r="AH42" s="6">
        <v>0</v>
      </c>
      <c r="AI42" s="3" t="e">
        <f t="shared" si="26"/>
        <v>#DIV/0!</v>
      </c>
      <c r="AJ42" s="3">
        <v>0</v>
      </c>
      <c r="AK42" s="6">
        <v>0</v>
      </c>
      <c r="AL42" s="3" t="e">
        <f t="shared" si="27"/>
        <v>#DIV/0!</v>
      </c>
      <c r="AM42" s="3">
        <v>0</v>
      </c>
      <c r="AN42" s="6">
        <v>0</v>
      </c>
      <c r="AO42" s="3">
        <f t="shared" si="12"/>
        <v>2385.6213017751479</v>
      </c>
      <c r="AP42" s="3">
        <f t="shared" si="14"/>
        <v>40317</v>
      </c>
      <c r="AQ42" s="6">
        <f t="shared" si="15"/>
        <v>16.899999999999999</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20" t="s">
        <v>83</v>
      </c>
      <c r="B43" s="23"/>
      <c r="C43" s="23"/>
      <c r="D43" s="23"/>
      <c r="E43" s="3" t="e">
        <f t="shared" si="16"/>
        <v>#DIV/0!</v>
      </c>
      <c r="F43" s="3">
        <v>0</v>
      </c>
      <c r="G43" s="6">
        <v>0</v>
      </c>
      <c r="H43" s="3" t="e">
        <f t="shared" si="17"/>
        <v>#DIV/0!</v>
      </c>
      <c r="I43" s="3">
        <v>0</v>
      </c>
      <c r="J43" s="6">
        <v>0</v>
      </c>
      <c r="K43" s="3" t="e">
        <f t="shared" si="18"/>
        <v>#DIV/0!</v>
      </c>
      <c r="L43" s="3">
        <v>0</v>
      </c>
      <c r="M43" s="6">
        <v>0</v>
      </c>
      <c r="N43" s="3" t="e">
        <f t="shared" si="19"/>
        <v>#DIV/0!</v>
      </c>
      <c r="O43" s="3">
        <v>0</v>
      </c>
      <c r="P43" s="6">
        <v>0</v>
      </c>
      <c r="Q43" s="3">
        <f t="shared" si="20"/>
        <v>2130</v>
      </c>
      <c r="R43" s="3">
        <v>4047</v>
      </c>
      <c r="S43" s="6">
        <v>1.9</v>
      </c>
      <c r="T43" s="3" t="e">
        <f t="shared" si="21"/>
        <v>#DIV/0!</v>
      </c>
      <c r="U43" s="3">
        <v>0</v>
      </c>
      <c r="V43" s="6">
        <v>0</v>
      </c>
      <c r="W43" s="3" t="e">
        <f t="shared" si="22"/>
        <v>#DIV/0!</v>
      </c>
      <c r="X43" s="3">
        <v>0</v>
      </c>
      <c r="Y43" s="6">
        <v>0</v>
      </c>
      <c r="Z43" s="3" t="e">
        <f t="shared" si="23"/>
        <v>#DIV/0!</v>
      </c>
      <c r="AA43" s="3">
        <v>0</v>
      </c>
      <c r="AB43" s="6">
        <v>0</v>
      </c>
      <c r="AC43" s="3" t="e">
        <f t="shared" si="24"/>
        <v>#DIV/0!</v>
      </c>
      <c r="AD43" s="3">
        <v>0</v>
      </c>
      <c r="AE43" s="6">
        <v>0</v>
      </c>
      <c r="AF43" s="3" t="e">
        <f t="shared" si="25"/>
        <v>#DIV/0!</v>
      </c>
      <c r="AG43" s="3">
        <v>0</v>
      </c>
      <c r="AH43" s="6">
        <v>0</v>
      </c>
      <c r="AI43" s="3" t="e">
        <f t="shared" si="26"/>
        <v>#DIV/0!</v>
      </c>
      <c r="AJ43" s="3">
        <v>0</v>
      </c>
      <c r="AK43" s="6">
        <v>0</v>
      </c>
      <c r="AL43" s="3" t="e">
        <f t="shared" si="27"/>
        <v>#DIV/0!</v>
      </c>
      <c r="AM43" s="3">
        <v>0</v>
      </c>
      <c r="AN43" s="6">
        <v>0</v>
      </c>
      <c r="AO43" s="3">
        <f t="shared" si="12"/>
        <v>2130</v>
      </c>
      <c r="AP43" s="3">
        <f t="shared" si="14"/>
        <v>4047</v>
      </c>
      <c r="AQ43" s="6">
        <f t="shared" si="15"/>
        <v>1.9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20" t="s">
        <v>30</v>
      </c>
      <c r="B44" s="23"/>
      <c r="C44" s="23"/>
      <c r="D44" s="23"/>
      <c r="E44" s="9" t="e">
        <f t="shared" si="16"/>
        <v>#DIV/0!</v>
      </c>
      <c r="F44" s="9">
        <v>0</v>
      </c>
      <c r="G44" s="6">
        <v>0</v>
      </c>
      <c r="H44" s="11" t="e">
        <f t="shared" si="17"/>
        <v>#DIV/0!</v>
      </c>
      <c r="I44" s="9">
        <v>0</v>
      </c>
      <c r="J44" s="6">
        <v>0</v>
      </c>
      <c r="K44" s="9" t="e">
        <f t="shared" si="18"/>
        <v>#DIV/0!</v>
      </c>
      <c r="L44" s="9">
        <v>0</v>
      </c>
      <c r="M44" s="6">
        <v>0</v>
      </c>
      <c r="N44" s="9">
        <f t="shared" si="19"/>
        <v>7013.6363636363631</v>
      </c>
      <c r="O44" s="9">
        <v>7715</v>
      </c>
      <c r="P44" s="6">
        <v>1.1000000000000001</v>
      </c>
      <c r="Q44" s="11" t="e">
        <f t="shared" si="20"/>
        <v>#DIV/0!</v>
      </c>
      <c r="R44" s="9">
        <v>0</v>
      </c>
      <c r="S44" s="6">
        <v>0</v>
      </c>
      <c r="T44" s="11" t="e">
        <f t="shared" si="21"/>
        <v>#DIV/0!</v>
      </c>
      <c r="U44" s="9">
        <v>0</v>
      </c>
      <c r="V44" s="6">
        <v>0</v>
      </c>
      <c r="W44" s="9" t="e">
        <f t="shared" si="22"/>
        <v>#DIV/0!</v>
      </c>
      <c r="X44" s="9">
        <v>0</v>
      </c>
      <c r="Y44" s="6">
        <v>0</v>
      </c>
      <c r="Z44" s="9">
        <f t="shared" si="23"/>
        <v>8330</v>
      </c>
      <c r="AA44" s="9">
        <v>3332</v>
      </c>
      <c r="AB44" s="6">
        <v>0.4</v>
      </c>
      <c r="AC44" s="9" t="e">
        <f t="shared" si="24"/>
        <v>#DIV/0!</v>
      </c>
      <c r="AD44" s="9">
        <v>0</v>
      </c>
      <c r="AE44" s="6">
        <v>0</v>
      </c>
      <c r="AF44" s="9" t="e">
        <f t="shared" si="25"/>
        <v>#DIV/0!</v>
      </c>
      <c r="AG44" s="9">
        <v>0</v>
      </c>
      <c r="AH44" s="6">
        <v>0</v>
      </c>
      <c r="AI44" s="9">
        <f t="shared" si="26"/>
        <v>4409.166666666667</v>
      </c>
      <c r="AJ44" s="9">
        <v>5291</v>
      </c>
      <c r="AK44" s="6">
        <v>1.2</v>
      </c>
      <c r="AL44" s="9" t="e">
        <f t="shared" si="27"/>
        <v>#DIV/0!</v>
      </c>
      <c r="AM44" s="9">
        <v>0</v>
      </c>
      <c r="AN44" s="6">
        <v>0</v>
      </c>
      <c r="AO44" s="9">
        <f t="shared" si="12"/>
        <v>6051.1111111111104</v>
      </c>
      <c r="AP44" s="9">
        <f t="shared" si="14"/>
        <v>16338</v>
      </c>
      <c r="AQ44" s="6">
        <f t="shared" si="15"/>
        <v>2.7</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20" t="s">
        <v>84</v>
      </c>
      <c r="B45" s="23"/>
      <c r="C45" s="23"/>
      <c r="D45" s="23"/>
      <c r="E45" s="10" t="e">
        <f t="shared" si="16"/>
        <v>#DIV/0!</v>
      </c>
      <c r="F45" s="10">
        <v>0</v>
      </c>
      <c r="G45" s="8">
        <v>0</v>
      </c>
      <c r="H45" s="7">
        <f t="shared" si="17"/>
        <v>4534.545454545454</v>
      </c>
      <c r="I45" s="10">
        <v>4988</v>
      </c>
      <c r="J45" s="8">
        <v>1.1000000000000001</v>
      </c>
      <c r="K45" s="15" t="e">
        <f t="shared" si="18"/>
        <v>#DIV/0!</v>
      </c>
      <c r="L45" s="7">
        <v>0</v>
      </c>
      <c r="M45" s="8">
        <v>0</v>
      </c>
      <c r="N45" s="15" t="e">
        <f t="shared" si="19"/>
        <v>#DIV/0!</v>
      </c>
      <c r="O45" s="7">
        <v>0</v>
      </c>
      <c r="P45" s="8">
        <v>0</v>
      </c>
      <c r="Q45" s="7" t="e">
        <f t="shared" si="20"/>
        <v>#DIV/0!</v>
      </c>
      <c r="R45" s="10">
        <v>0</v>
      </c>
      <c r="S45" s="8">
        <v>0</v>
      </c>
      <c r="T45" s="7" t="e">
        <f t="shared" si="21"/>
        <v>#DIV/0!</v>
      </c>
      <c r="U45" s="10">
        <v>0</v>
      </c>
      <c r="V45" s="8">
        <v>0</v>
      </c>
      <c r="W45" s="10" t="e">
        <f t="shared" si="22"/>
        <v>#DIV/0!</v>
      </c>
      <c r="X45" s="10">
        <v>0</v>
      </c>
      <c r="Y45" s="8">
        <v>0</v>
      </c>
      <c r="Z45" s="10" t="e">
        <f t="shared" si="23"/>
        <v>#DIV/0!</v>
      </c>
      <c r="AA45" s="10">
        <v>0</v>
      </c>
      <c r="AB45" s="8">
        <v>0</v>
      </c>
      <c r="AC45" s="10" t="e">
        <f t="shared" si="24"/>
        <v>#DIV/0!</v>
      </c>
      <c r="AD45" s="10">
        <v>0</v>
      </c>
      <c r="AE45" s="8">
        <v>0</v>
      </c>
      <c r="AF45" s="7" t="e">
        <f t="shared" si="25"/>
        <v>#DIV/0!</v>
      </c>
      <c r="AG45" s="10">
        <v>0</v>
      </c>
      <c r="AH45" s="8">
        <v>0</v>
      </c>
      <c r="AI45" s="10" t="e">
        <f t="shared" si="26"/>
        <v>#DIV/0!</v>
      </c>
      <c r="AJ45" s="10">
        <v>0</v>
      </c>
      <c r="AK45" s="8">
        <v>0</v>
      </c>
      <c r="AL45" s="10" t="e">
        <f t="shared" si="27"/>
        <v>#DIV/0!</v>
      </c>
      <c r="AM45" s="10">
        <v>0</v>
      </c>
      <c r="AN45" s="8">
        <v>0</v>
      </c>
      <c r="AO45" s="10">
        <f t="shared" si="12"/>
        <v>4534.545454545454</v>
      </c>
      <c r="AP45" s="7">
        <f t="shared" si="14"/>
        <v>4988</v>
      </c>
      <c r="AQ45" s="8">
        <f t="shared" si="15"/>
        <v>1.1000000000000001</v>
      </c>
    </row>
    <row r="46" spans="1:67" x14ac:dyDescent="0.3">
      <c r="A46" s="20" t="s">
        <v>85</v>
      </c>
      <c r="B46" s="23"/>
      <c r="C46" s="23"/>
      <c r="D46" s="23"/>
      <c r="E46" s="7" t="e">
        <f t="shared" si="16"/>
        <v>#DIV/0!</v>
      </c>
      <c r="F46" s="7">
        <v>0</v>
      </c>
      <c r="G46" s="8">
        <v>0</v>
      </c>
      <c r="H46" s="7" t="e">
        <f t="shared" si="17"/>
        <v>#DIV/0!</v>
      </c>
      <c r="I46" s="7">
        <v>0</v>
      </c>
      <c r="J46" s="8">
        <v>0</v>
      </c>
      <c r="K46" s="7" t="e">
        <f t="shared" si="18"/>
        <v>#DIV/0!</v>
      </c>
      <c r="L46" s="7">
        <v>0</v>
      </c>
      <c r="M46" s="8">
        <v>0</v>
      </c>
      <c r="N46" s="7" t="e">
        <f t="shared" si="19"/>
        <v>#DIV/0!</v>
      </c>
      <c r="O46" s="7">
        <v>0</v>
      </c>
      <c r="P46" s="8">
        <v>0</v>
      </c>
      <c r="Q46" s="7" t="e">
        <f t="shared" si="20"/>
        <v>#DIV/0!</v>
      </c>
      <c r="R46" s="7">
        <v>0</v>
      </c>
      <c r="S46" s="8">
        <v>0</v>
      </c>
      <c r="T46" s="7">
        <f t="shared" si="21"/>
        <v>2475.2631578947371</v>
      </c>
      <c r="U46" s="7">
        <v>4703</v>
      </c>
      <c r="V46" s="8">
        <v>1.9</v>
      </c>
      <c r="W46" s="7" t="e">
        <f t="shared" si="22"/>
        <v>#DIV/0!</v>
      </c>
      <c r="X46" s="7">
        <v>0</v>
      </c>
      <c r="Y46" s="8">
        <v>0</v>
      </c>
      <c r="Z46" s="7" t="e">
        <f t="shared" si="23"/>
        <v>#DIV/0!</v>
      </c>
      <c r="AA46" s="7">
        <v>0</v>
      </c>
      <c r="AB46" s="8">
        <v>0</v>
      </c>
      <c r="AC46" s="7" t="e">
        <f t="shared" si="24"/>
        <v>#DIV/0!</v>
      </c>
      <c r="AD46" s="7">
        <v>0</v>
      </c>
      <c r="AE46" s="8">
        <v>0</v>
      </c>
      <c r="AF46" s="7" t="e">
        <f t="shared" si="25"/>
        <v>#DIV/0!</v>
      </c>
      <c r="AG46" s="7">
        <v>0</v>
      </c>
      <c r="AH46" s="8">
        <v>0</v>
      </c>
      <c r="AI46" s="7" t="e">
        <f t="shared" si="26"/>
        <v>#DIV/0!</v>
      </c>
      <c r="AJ46" s="7">
        <v>0</v>
      </c>
      <c r="AK46" s="8">
        <v>0</v>
      </c>
      <c r="AL46" s="7" t="e">
        <f t="shared" si="27"/>
        <v>#DIV/0!</v>
      </c>
      <c r="AM46" s="7">
        <v>0</v>
      </c>
      <c r="AN46" s="8">
        <v>0</v>
      </c>
      <c r="AO46" s="7">
        <f t="shared" si="12"/>
        <v>2475.2631578947371</v>
      </c>
      <c r="AP46" s="7">
        <f t="shared" si="14"/>
        <v>4703</v>
      </c>
      <c r="AQ46" s="8">
        <f t="shared" si="15"/>
        <v>1.9</v>
      </c>
    </row>
    <row r="47" spans="1:67" x14ac:dyDescent="0.3">
      <c r="A47" s="20" t="s">
        <v>75</v>
      </c>
      <c r="B47" s="23"/>
      <c r="C47" s="23"/>
      <c r="D47" s="23"/>
      <c r="E47" s="7">
        <f t="shared" si="16"/>
        <v>1553.138686131387</v>
      </c>
      <c r="F47" s="7">
        <v>21278</v>
      </c>
      <c r="G47" s="8">
        <v>13.7</v>
      </c>
      <c r="H47" s="7" t="e">
        <f t="shared" si="17"/>
        <v>#DIV/0!</v>
      </c>
      <c r="I47" s="7">
        <v>0</v>
      </c>
      <c r="J47" s="8">
        <v>0</v>
      </c>
      <c r="K47" s="7" t="e">
        <f t="shared" si="18"/>
        <v>#DIV/0!</v>
      </c>
      <c r="L47" s="7">
        <v>0</v>
      </c>
      <c r="M47" s="8">
        <v>0</v>
      </c>
      <c r="N47" s="7" t="e">
        <f t="shared" si="19"/>
        <v>#DIV/0!</v>
      </c>
      <c r="O47" s="7">
        <v>0</v>
      </c>
      <c r="P47" s="8">
        <v>0</v>
      </c>
      <c r="Q47" s="7">
        <f t="shared" si="20"/>
        <v>1537.2727272727273</v>
      </c>
      <c r="R47" s="7">
        <v>10146</v>
      </c>
      <c r="S47" s="8">
        <v>6.6</v>
      </c>
      <c r="T47" s="7" t="e">
        <f t="shared" si="21"/>
        <v>#DIV/0!</v>
      </c>
      <c r="U47" s="7">
        <v>0</v>
      </c>
      <c r="V47" s="8">
        <v>0</v>
      </c>
      <c r="W47" s="7" t="e">
        <f t="shared" si="22"/>
        <v>#DIV/0!</v>
      </c>
      <c r="X47" s="7">
        <v>0</v>
      </c>
      <c r="Y47" s="8">
        <v>0</v>
      </c>
      <c r="Z47" s="7" t="e">
        <f t="shared" si="23"/>
        <v>#DIV/0!</v>
      </c>
      <c r="AA47" s="7">
        <v>0</v>
      </c>
      <c r="AB47" s="8">
        <v>0</v>
      </c>
      <c r="AC47" s="7" t="e">
        <f t="shared" si="24"/>
        <v>#DIV/0!</v>
      </c>
      <c r="AD47" s="7">
        <v>0</v>
      </c>
      <c r="AE47" s="8">
        <v>0</v>
      </c>
      <c r="AF47" s="7" t="e">
        <f t="shared" si="25"/>
        <v>#DIV/0!</v>
      </c>
      <c r="AG47" s="7">
        <v>0</v>
      </c>
      <c r="AH47" s="8">
        <v>0</v>
      </c>
      <c r="AI47" s="7" t="e">
        <f t="shared" si="26"/>
        <v>#DIV/0!</v>
      </c>
      <c r="AJ47" s="7">
        <v>0</v>
      </c>
      <c r="AK47" s="8">
        <v>0</v>
      </c>
      <c r="AL47" s="7" t="e">
        <f t="shared" si="27"/>
        <v>#DIV/0!</v>
      </c>
      <c r="AM47" s="7">
        <v>0</v>
      </c>
      <c r="AN47" s="8">
        <v>0</v>
      </c>
      <c r="AO47" s="7">
        <f t="shared" si="12"/>
        <v>1547.9802955665027</v>
      </c>
      <c r="AP47" s="7">
        <f t="shared" si="14"/>
        <v>31424</v>
      </c>
      <c r="AQ47" s="8">
        <f t="shared" si="15"/>
        <v>20.299999999999997</v>
      </c>
    </row>
    <row r="48" spans="1:67" x14ac:dyDescent="0.3">
      <c r="A48" s="20" t="s">
        <v>62</v>
      </c>
      <c r="B48" s="23"/>
      <c r="C48" s="23"/>
      <c r="D48" s="23"/>
      <c r="E48" s="7" t="e">
        <f t="shared" si="16"/>
        <v>#DIV/0!</v>
      </c>
      <c r="F48" s="7">
        <v>0</v>
      </c>
      <c r="G48" s="8">
        <v>0</v>
      </c>
      <c r="H48" s="7" t="e">
        <f t="shared" si="17"/>
        <v>#DIV/0!</v>
      </c>
      <c r="I48" s="7">
        <v>0</v>
      </c>
      <c r="J48" s="8">
        <v>0</v>
      </c>
      <c r="K48" s="7" t="e">
        <f t="shared" si="18"/>
        <v>#DIV/0!</v>
      </c>
      <c r="L48" s="7">
        <v>0</v>
      </c>
      <c r="M48" s="8">
        <v>0</v>
      </c>
      <c r="N48" s="7" t="e">
        <f t="shared" si="19"/>
        <v>#DIV/0!</v>
      </c>
      <c r="O48" s="7">
        <v>0</v>
      </c>
      <c r="P48" s="8">
        <v>0</v>
      </c>
      <c r="Q48" s="7" t="e">
        <f t="shared" si="20"/>
        <v>#DIV/0!</v>
      </c>
      <c r="R48" s="7">
        <v>0</v>
      </c>
      <c r="S48" s="8">
        <v>0</v>
      </c>
      <c r="T48" s="7" t="e">
        <f t="shared" si="21"/>
        <v>#DIV/0!</v>
      </c>
      <c r="U48" s="7">
        <v>0</v>
      </c>
      <c r="V48" s="8">
        <v>0</v>
      </c>
      <c r="W48" s="7" t="e">
        <f t="shared" si="22"/>
        <v>#DIV/0!</v>
      </c>
      <c r="X48" s="7">
        <v>0</v>
      </c>
      <c r="Y48" s="8">
        <v>0</v>
      </c>
      <c r="Z48" s="7" t="e">
        <f t="shared" si="23"/>
        <v>#DIV/0!</v>
      </c>
      <c r="AA48" s="7">
        <v>0</v>
      </c>
      <c r="AB48" s="8">
        <v>0</v>
      </c>
      <c r="AC48" s="7" t="e">
        <f t="shared" si="24"/>
        <v>#DIV/0!</v>
      </c>
      <c r="AD48" s="7">
        <v>0</v>
      </c>
      <c r="AE48" s="8">
        <v>0</v>
      </c>
      <c r="AF48" s="7" t="e">
        <f t="shared" si="25"/>
        <v>#DIV/0!</v>
      </c>
      <c r="AG48" s="7">
        <v>0</v>
      </c>
      <c r="AH48" s="8">
        <v>0</v>
      </c>
      <c r="AI48" s="7">
        <f t="shared" si="26"/>
        <v>2719.347826086957</v>
      </c>
      <c r="AJ48" s="7">
        <v>12509</v>
      </c>
      <c r="AK48" s="8">
        <v>4.5999999999999996</v>
      </c>
      <c r="AL48" s="7" t="e">
        <f t="shared" si="27"/>
        <v>#DIV/0!</v>
      </c>
      <c r="AM48" s="7">
        <v>0</v>
      </c>
      <c r="AN48" s="8">
        <v>0</v>
      </c>
      <c r="AO48" s="7">
        <f t="shared" si="12"/>
        <v>2719.347826086957</v>
      </c>
      <c r="AP48" s="7">
        <f t="shared" si="14"/>
        <v>12509</v>
      </c>
      <c r="AQ48" s="8">
        <f t="shared" si="15"/>
        <v>4.5999999999999996</v>
      </c>
    </row>
    <row r="49" spans="1:43" x14ac:dyDescent="0.3">
      <c r="A49" s="20" t="s">
        <v>33</v>
      </c>
      <c r="B49" s="23"/>
      <c r="C49" s="23"/>
      <c r="D49" s="23"/>
      <c r="E49" s="7" t="e">
        <f t="shared" si="16"/>
        <v>#DIV/0!</v>
      </c>
      <c r="F49" s="7">
        <v>0</v>
      </c>
      <c r="G49" s="8">
        <v>0</v>
      </c>
      <c r="H49" s="7">
        <f t="shared" si="17"/>
        <v>1558.5714285714284</v>
      </c>
      <c r="I49" s="7">
        <v>6546</v>
      </c>
      <c r="J49" s="8">
        <v>4.2</v>
      </c>
      <c r="K49" s="7" t="e">
        <f t="shared" si="18"/>
        <v>#DIV/0!</v>
      </c>
      <c r="L49" s="7">
        <v>0</v>
      </c>
      <c r="M49" s="8">
        <v>0</v>
      </c>
      <c r="N49" s="7">
        <f t="shared" si="19"/>
        <v>2336.6449511400651</v>
      </c>
      <c r="O49" s="7">
        <v>71735</v>
      </c>
      <c r="P49" s="8">
        <v>30.7</v>
      </c>
      <c r="Q49" s="7">
        <f t="shared" si="20"/>
        <v>3436.5079365079364</v>
      </c>
      <c r="R49" s="7">
        <v>21650</v>
      </c>
      <c r="S49" s="8">
        <v>6.3</v>
      </c>
      <c r="T49" s="7" t="e">
        <f t="shared" si="21"/>
        <v>#DIV/0!</v>
      </c>
      <c r="U49" s="7">
        <v>0</v>
      </c>
      <c r="V49" s="8">
        <v>0</v>
      </c>
      <c r="W49" s="7" t="e">
        <f t="shared" si="22"/>
        <v>#DIV/0!</v>
      </c>
      <c r="X49" s="7">
        <v>0</v>
      </c>
      <c r="Y49" s="8">
        <v>0</v>
      </c>
      <c r="Z49" s="7" t="e">
        <f t="shared" si="23"/>
        <v>#DIV/0!</v>
      </c>
      <c r="AA49" s="7">
        <v>0</v>
      </c>
      <c r="AB49" s="8">
        <v>0</v>
      </c>
      <c r="AC49" s="7" t="e">
        <f t="shared" si="24"/>
        <v>#DIV/0!</v>
      </c>
      <c r="AD49" s="7">
        <v>0</v>
      </c>
      <c r="AE49" s="8">
        <v>0</v>
      </c>
      <c r="AF49" s="7" t="e">
        <f t="shared" si="25"/>
        <v>#DIV/0!</v>
      </c>
      <c r="AG49" s="7">
        <v>0</v>
      </c>
      <c r="AH49" s="8">
        <v>0</v>
      </c>
      <c r="AI49" s="7" t="e">
        <f t="shared" si="26"/>
        <v>#DIV/0!</v>
      </c>
      <c r="AJ49" s="7">
        <v>0</v>
      </c>
      <c r="AK49" s="8">
        <v>0</v>
      </c>
      <c r="AL49" s="7" t="e">
        <f t="shared" si="27"/>
        <v>#DIV/0!</v>
      </c>
      <c r="AM49" s="7">
        <v>0</v>
      </c>
      <c r="AN49" s="8">
        <v>0</v>
      </c>
      <c r="AO49" s="7">
        <f t="shared" si="12"/>
        <v>2425.5097087378645</v>
      </c>
      <c r="AP49" s="7">
        <f t="shared" si="14"/>
        <v>99931</v>
      </c>
      <c r="AQ49" s="8">
        <f t="shared" si="15"/>
        <v>41.199999999999996</v>
      </c>
    </row>
    <row r="50" spans="1:43" x14ac:dyDescent="0.3">
      <c r="A50" s="20" t="s">
        <v>23</v>
      </c>
      <c r="B50" s="23"/>
      <c r="C50" s="23"/>
      <c r="D50" s="23"/>
      <c r="E50" s="7" t="e">
        <f t="shared" si="16"/>
        <v>#DIV/0!</v>
      </c>
      <c r="F50" s="7">
        <v>0</v>
      </c>
      <c r="G50" s="8">
        <v>0</v>
      </c>
      <c r="H50" s="7">
        <f t="shared" si="17"/>
        <v>3457.6470588235297</v>
      </c>
      <c r="I50" s="7">
        <v>17634</v>
      </c>
      <c r="J50" s="8">
        <v>5.0999999999999996</v>
      </c>
      <c r="K50" s="7" t="e">
        <f t="shared" si="18"/>
        <v>#DIV/0!</v>
      </c>
      <c r="L50" s="7">
        <v>0</v>
      </c>
      <c r="M50" s="8">
        <v>0</v>
      </c>
      <c r="N50" s="7">
        <f t="shared" si="19"/>
        <v>4143.8620689655172</v>
      </c>
      <c r="O50" s="7">
        <v>60086</v>
      </c>
      <c r="P50" s="8">
        <v>14.5</v>
      </c>
      <c r="Q50" s="7" t="e">
        <f t="shared" si="20"/>
        <v>#DIV/0!</v>
      </c>
      <c r="R50" s="7">
        <v>0</v>
      </c>
      <c r="S50" s="8">
        <v>0</v>
      </c>
      <c r="T50" s="7" t="e">
        <f t="shared" si="21"/>
        <v>#DIV/0!</v>
      </c>
      <c r="U50" s="7">
        <v>0</v>
      </c>
      <c r="V50" s="8">
        <v>0</v>
      </c>
      <c r="W50" s="7" t="e">
        <f t="shared" si="22"/>
        <v>#DIV/0!</v>
      </c>
      <c r="X50" s="7">
        <v>0</v>
      </c>
      <c r="Y50" s="8">
        <v>0</v>
      </c>
      <c r="Z50" s="7">
        <f t="shared" si="23"/>
        <v>1210.9000000000001</v>
      </c>
      <c r="AA50" s="7">
        <v>24218</v>
      </c>
      <c r="AB50" s="8">
        <v>20</v>
      </c>
      <c r="AC50" s="7">
        <f t="shared" si="24"/>
        <v>2585.2569169960475</v>
      </c>
      <c r="AD50" s="7">
        <v>65407</v>
      </c>
      <c r="AE50" s="8">
        <v>25.3</v>
      </c>
      <c r="AF50" s="7" t="e">
        <f t="shared" si="25"/>
        <v>#DIV/0!</v>
      </c>
      <c r="AG50" s="7">
        <v>0</v>
      </c>
      <c r="AH50" s="8">
        <v>0</v>
      </c>
      <c r="AI50" s="7" t="e">
        <f t="shared" si="26"/>
        <v>#DIV/0!</v>
      </c>
      <c r="AJ50" s="7">
        <v>0</v>
      </c>
      <c r="AK50" s="8">
        <v>0</v>
      </c>
      <c r="AL50" s="7" t="e">
        <f t="shared" si="27"/>
        <v>#DIV/0!</v>
      </c>
      <c r="AM50" s="7">
        <v>0</v>
      </c>
      <c r="AN50" s="8">
        <v>0</v>
      </c>
      <c r="AO50" s="7">
        <f t="shared" si="12"/>
        <v>2578.5053929121723</v>
      </c>
      <c r="AP50" s="7">
        <f t="shared" si="14"/>
        <v>167345</v>
      </c>
      <c r="AQ50" s="8">
        <f t="shared" si="15"/>
        <v>64.900000000000006</v>
      </c>
    </row>
    <row r="51" spans="1:43" x14ac:dyDescent="0.3">
      <c r="A51" s="19" t="s">
        <v>86</v>
      </c>
      <c r="B51" s="23"/>
      <c r="C51" s="23"/>
      <c r="D51" s="23"/>
      <c r="E51" s="7" t="e">
        <f t="shared" si="16"/>
        <v>#DIV/0!</v>
      </c>
      <c r="F51" s="7">
        <v>0</v>
      </c>
      <c r="G51" s="8">
        <v>0</v>
      </c>
      <c r="H51" s="7" t="e">
        <f t="shared" si="17"/>
        <v>#DIV/0!</v>
      </c>
      <c r="I51" s="7">
        <v>0</v>
      </c>
      <c r="J51" s="8">
        <v>0</v>
      </c>
      <c r="K51" s="7" t="e">
        <f t="shared" si="18"/>
        <v>#DIV/0!</v>
      </c>
      <c r="L51" s="7">
        <v>0</v>
      </c>
      <c r="M51" s="8">
        <v>0</v>
      </c>
      <c r="N51" s="7" t="e">
        <f t="shared" si="19"/>
        <v>#DIV/0!</v>
      </c>
      <c r="O51" s="7">
        <v>0</v>
      </c>
      <c r="P51" s="8">
        <v>0</v>
      </c>
      <c r="Q51" s="7" t="e">
        <f t="shared" si="20"/>
        <v>#DIV/0!</v>
      </c>
      <c r="R51" s="7">
        <v>0</v>
      </c>
      <c r="S51" s="8">
        <v>0</v>
      </c>
      <c r="T51" s="7" t="e">
        <f t="shared" si="21"/>
        <v>#DIV/0!</v>
      </c>
      <c r="U51" s="7">
        <v>0</v>
      </c>
      <c r="V51" s="8">
        <v>0</v>
      </c>
      <c r="W51" s="7" t="e">
        <f t="shared" si="22"/>
        <v>#DIV/0!</v>
      </c>
      <c r="X51" s="7">
        <v>0</v>
      </c>
      <c r="Y51" s="8">
        <v>0</v>
      </c>
      <c r="Z51" s="7" t="e">
        <f t="shared" si="23"/>
        <v>#DIV/0!</v>
      </c>
      <c r="AA51" s="7">
        <v>0</v>
      </c>
      <c r="AB51" s="8">
        <v>0</v>
      </c>
      <c r="AC51" s="7" t="e">
        <f t="shared" si="24"/>
        <v>#DIV/0!</v>
      </c>
      <c r="AD51" s="7">
        <v>0</v>
      </c>
      <c r="AE51" s="8">
        <v>0</v>
      </c>
      <c r="AF51" s="7">
        <f t="shared" si="25"/>
        <v>2190.4761904761904</v>
      </c>
      <c r="AG51" s="7">
        <v>9200</v>
      </c>
      <c r="AH51" s="8">
        <v>4.2</v>
      </c>
      <c r="AI51" s="7">
        <f t="shared" si="26"/>
        <v>3666.666666666667</v>
      </c>
      <c r="AJ51" s="7">
        <v>8800</v>
      </c>
      <c r="AK51" s="8">
        <v>2.4</v>
      </c>
      <c r="AL51" s="7" t="e">
        <f t="shared" si="27"/>
        <v>#DIV/0!</v>
      </c>
      <c r="AM51" s="7">
        <v>0</v>
      </c>
      <c r="AN51" s="8">
        <v>0</v>
      </c>
      <c r="AO51" s="7">
        <f t="shared" si="12"/>
        <v>2727.2727272727275</v>
      </c>
      <c r="AP51" s="7">
        <f t="shared" si="14"/>
        <v>18000</v>
      </c>
      <c r="AQ51" s="8">
        <f t="shared" si="15"/>
        <v>6.6</v>
      </c>
    </row>
    <row r="52" spans="1:43" x14ac:dyDescent="0.3">
      <c r="A52" s="19" t="s">
        <v>35</v>
      </c>
      <c r="B52" s="23"/>
      <c r="C52" s="23"/>
      <c r="D52" s="23"/>
      <c r="E52" s="7">
        <f t="shared" si="16"/>
        <v>2739.746835443038</v>
      </c>
      <c r="F52" s="7">
        <v>43288</v>
      </c>
      <c r="G52" s="8">
        <v>15.8</v>
      </c>
      <c r="H52" s="7">
        <f t="shared" si="17"/>
        <v>1544.1176470588236</v>
      </c>
      <c r="I52" s="7">
        <v>10500</v>
      </c>
      <c r="J52" s="8">
        <v>6.8</v>
      </c>
      <c r="K52" s="7" t="e">
        <f t="shared" si="18"/>
        <v>#DIV/0!</v>
      </c>
      <c r="L52" s="7">
        <v>0</v>
      </c>
      <c r="M52" s="8">
        <v>0</v>
      </c>
      <c r="N52" s="7">
        <f t="shared" si="19"/>
        <v>2753.2051282051284</v>
      </c>
      <c r="O52" s="7">
        <v>42950</v>
      </c>
      <c r="P52" s="8">
        <v>15.6</v>
      </c>
      <c r="Q52" s="7">
        <f t="shared" si="20"/>
        <v>4308.75</v>
      </c>
      <c r="R52" s="7">
        <v>6894</v>
      </c>
      <c r="S52" s="8">
        <v>1.6</v>
      </c>
      <c r="T52" s="7" t="e">
        <f t="shared" si="21"/>
        <v>#DIV/0!</v>
      </c>
      <c r="U52" s="7">
        <v>0</v>
      </c>
      <c r="V52" s="8">
        <v>0</v>
      </c>
      <c r="W52" s="7" t="e">
        <f t="shared" si="22"/>
        <v>#DIV/0!</v>
      </c>
      <c r="X52" s="7">
        <v>0</v>
      </c>
      <c r="Y52" s="8">
        <v>0</v>
      </c>
      <c r="Z52" s="7">
        <f t="shared" si="23"/>
        <v>3223.3333333333335</v>
      </c>
      <c r="AA52" s="7">
        <v>15472</v>
      </c>
      <c r="AB52" s="8">
        <v>4.8</v>
      </c>
      <c r="AC52" s="7">
        <f t="shared" si="24"/>
        <v>1977.983870967742</v>
      </c>
      <c r="AD52" s="7">
        <v>24527</v>
      </c>
      <c r="AE52" s="8">
        <v>12.4</v>
      </c>
      <c r="AF52" s="7">
        <f t="shared" si="25"/>
        <v>3400</v>
      </c>
      <c r="AG52" s="7">
        <v>5100</v>
      </c>
      <c r="AH52" s="8">
        <v>1.5</v>
      </c>
      <c r="AI52" s="7">
        <f t="shared" si="26"/>
        <v>2989.3877551020405</v>
      </c>
      <c r="AJ52" s="7">
        <v>14648</v>
      </c>
      <c r="AK52" s="8">
        <v>4.9000000000000004</v>
      </c>
      <c r="AL52" s="7" t="e">
        <f t="shared" si="27"/>
        <v>#DIV/0!</v>
      </c>
      <c r="AM52" s="7">
        <v>0</v>
      </c>
      <c r="AN52" s="8">
        <v>0</v>
      </c>
      <c r="AO52" s="7">
        <f t="shared" si="12"/>
        <v>2576.9558359621451</v>
      </c>
      <c r="AP52" s="7">
        <f t="shared" si="14"/>
        <v>163379</v>
      </c>
      <c r="AQ52" s="8">
        <f t="shared" si="15"/>
        <v>63.4</v>
      </c>
    </row>
    <row r="53" spans="1:43" x14ac:dyDescent="0.3">
      <c r="A53" s="19" t="s">
        <v>71</v>
      </c>
      <c r="B53" s="23"/>
      <c r="C53" s="23"/>
      <c r="D53" s="23"/>
      <c r="E53" s="7" t="e">
        <f t="shared" si="16"/>
        <v>#DIV/0!</v>
      </c>
      <c r="F53" s="7">
        <v>0</v>
      </c>
      <c r="G53" s="8">
        <v>0</v>
      </c>
      <c r="H53" s="7" t="e">
        <f t="shared" si="17"/>
        <v>#DIV/0!</v>
      </c>
      <c r="I53" s="7">
        <v>0</v>
      </c>
      <c r="J53" s="8">
        <v>0</v>
      </c>
      <c r="K53" s="7" t="e">
        <f t="shared" si="18"/>
        <v>#DIV/0!</v>
      </c>
      <c r="L53" s="7">
        <v>0</v>
      </c>
      <c r="M53" s="8">
        <v>0</v>
      </c>
      <c r="N53" s="7" t="e">
        <f t="shared" si="19"/>
        <v>#DIV/0!</v>
      </c>
      <c r="O53" s="7">
        <v>0</v>
      </c>
      <c r="P53" s="8">
        <v>0</v>
      </c>
      <c r="Q53" s="7" t="e">
        <f t="shared" si="20"/>
        <v>#DIV/0!</v>
      </c>
      <c r="R53" s="7">
        <v>0</v>
      </c>
      <c r="S53" s="8">
        <v>0</v>
      </c>
      <c r="T53" s="7" t="e">
        <f t="shared" si="21"/>
        <v>#DIV/0!</v>
      </c>
      <c r="U53" s="7">
        <v>0</v>
      </c>
      <c r="V53" s="8">
        <v>0</v>
      </c>
      <c r="W53" s="7" t="e">
        <f t="shared" si="22"/>
        <v>#DIV/0!</v>
      </c>
      <c r="X53" s="7">
        <v>0</v>
      </c>
      <c r="Y53" s="8">
        <v>0</v>
      </c>
      <c r="Z53" s="7">
        <f t="shared" si="23"/>
        <v>2361</v>
      </c>
      <c r="AA53" s="7">
        <v>7083</v>
      </c>
      <c r="AB53" s="8">
        <v>3</v>
      </c>
      <c r="AC53" s="7" t="e">
        <f t="shared" si="24"/>
        <v>#DIV/0!</v>
      </c>
      <c r="AD53" s="7">
        <v>0</v>
      </c>
      <c r="AE53" s="8">
        <v>0</v>
      </c>
      <c r="AF53" s="7" t="e">
        <f t="shared" si="25"/>
        <v>#DIV/0!</v>
      </c>
      <c r="AG53" s="7">
        <v>0</v>
      </c>
      <c r="AH53" s="8">
        <v>0</v>
      </c>
      <c r="AI53" s="7" t="e">
        <f t="shared" si="26"/>
        <v>#DIV/0!</v>
      </c>
      <c r="AJ53" s="7">
        <v>0</v>
      </c>
      <c r="AK53" s="8">
        <v>0</v>
      </c>
      <c r="AL53" s="7" t="e">
        <f t="shared" si="27"/>
        <v>#DIV/0!</v>
      </c>
      <c r="AM53" s="7">
        <v>0</v>
      </c>
      <c r="AN53" s="8">
        <v>0</v>
      </c>
      <c r="AO53" s="7">
        <f t="shared" si="12"/>
        <v>2361</v>
      </c>
      <c r="AP53" s="7">
        <f t="shared" si="14"/>
        <v>7083</v>
      </c>
      <c r="AQ53" s="8">
        <f t="shared" si="15"/>
        <v>3</v>
      </c>
    </row>
    <row r="54" spans="1:43" x14ac:dyDescent="0.3">
      <c r="A54" s="19" t="s">
        <v>36</v>
      </c>
      <c r="B54" s="23"/>
      <c r="C54" s="23"/>
      <c r="D54" s="23"/>
      <c r="E54" s="7" t="e">
        <f t="shared" si="16"/>
        <v>#DIV/0!</v>
      </c>
      <c r="F54" s="7">
        <v>0</v>
      </c>
      <c r="G54" s="8">
        <v>0</v>
      </c>
      <c r="H54" s="7" t="e">
        <f t="shared" si="17"/>
        <v>#DIV/0!</v>
      </c>
      <c r="I54" s="7">
        <v>0</v>
      </c>
      <c r="J54" s="8">
        <v>0</v>
      </c>
      <c r="K54" s="7" t="e">
        <f t="shared" si="18"/>
        <v>#DIV/0!</v>
      </c>
      <c r="L54" s="7">
        <v>0</v>
      </c>
      <c r="M54" s="8">
        <v>0</v>
      </c>
      <c r="N54" s="7" t="e">
        <f t="shared" si="19"/>
        <v>#DIV/0!</v>
      </c>
      <c r="O54" s="7">
        <v>0</v>
      </c>
      <c r="P54" s="8">
        <v>0</v>
      </c>
      <c r="Q54" s="7">
        <f t="shared" si="20"/>
        <v>1538.2918149466191</v>
      </c>
      <c r="R54" s="7">
        <v>86452</v>
      </c>
      <c r="S54" s="8">
        <v>56.2</v>
      </c>
      <c r="T54" s="7" t="e">
        <f t="shared" si="21"/>
        <v>#DIV/0!</v>
      </c>
      <c r="U54" s="7">
        <v>0</v>
      </c>
      <c r="V54" s="8">
        <v>0</v>
      </c>
      <c r="W54" s="7" t="e">
        <f t="shared" si="22"/>
        <v>#DIV/0!</v>
      </c>
      <c r="X54" s="7">
        <v>0</v>
      </c>
      <c r="Y54" s="8">
        <v>0</v>
      </c>
      <c r="Z54" s="7" t="e">
        <f t="shared" si="23"/>
        <v>#DIV/0!</v>
      </c>
      <c r="AA54" s="7">
        <v>0</v>
      </c>
      <c r="AB54" s="8">
        <v>0</v>
      </c>
      <c r="AC54" s="7" t="e">
        <f t="shared" si="24"/>
        <v>#DIV/0!</v>
      </c>
      <c r="AD54" s="7">
        <v>0</v>
      </c>
      <c r="AE54" s="8">
        <v>0</v>
      </c>
      <c r="AF54" s="7" t="e">
        <f t="shared" si="25"/>
        <v>#DIV/0!</v>
      </c>
      <c r="AG54" s="7">
        <v>0</v>
      </c>
      <c r="AH54" s="8">
        <v>0</v>
      </c>
      <c r="AI54" s="7" t="e">
        <f t="shared" si="26"/>
        <v>#DIV/0!</v>
      </c>
      <c r="AJ54" s="7">
        <v>0</v>
      </c>
      <c r="AK54" s="8">
        <v>0</v>
      </c>
      <c r="AL54" s="7" t="e">
        <f t="shared" si="27"/>
        <v>#DIV/0!</v>
      </c>
      <c r="AM54" s="7">
        <v>0</v>
      </c>
      <c r="AN54" s="8">
        <v>0</v>
      </c>
      <c r="AO54" s="7">
        <f t="shared" si="12"/>
        <v>1538.2918149466191</v>
      </c>
      <c r="AP54" s="7">
        <f t="shared" si="14"/>
        <v>86452</v>
      </c>
      <c r="AQ54" s="8">
        <f t="shared" si="15"/>
        <v>56.2</v>
      </c>
    </row>
    <row r="55" spans="1:43" x14ac:dyDescent="0.3">
      <c r="A55" s="19" t="s">
        <v>64</v>
      </c>
      <c r="B55" s="23"/>
      <c r="C55" s="23"/>
      <c r="D55" s="23"/>
      <c r="E55" s="7" t="e">
        <f t="shared" si="16"/>
        <v>#DIV/0!</v>
      </c>
      <c r="F55" s="7">
        <v>0</v>
      </c>
      <c r="G55" s="8">
        <v>0</v>
      </c>
      <c r="H55" s="7" t="e">
        <f t="shared" si="17"/>
        <v>#DIV/0!</v>
      </c>
      <c r="I55" s="7">
        <v>0</v>
      </c>
      <c r="J55" s="8">
        <v>0</v>
      </c>
      <c r="K55" s="7">
        <f t="shared" si="18"/>
        <v>4510.5</v>
      </c>
      <c r="L55" s="7">
        <v>9021</v>
      </c>
      <c r="M55" s="8">
        <v>2</v>
      </c>
      <c r="N55" s="7">
        <f t="shared" si="19"/>
        <v>4328.4912280701756</v>
      </c>
      <c r="O55" s="7">
        <v>123362</v>
      </c>
      <c r="P55" s="8">
        <v>28.5</v>
      </c>
      <c r="Q55" s="7" t="e">
        <f t="shared" si="20"/>
        <v>#DIV/0!</v>
      </c>
      <c r="R55" s="7">
        <v>0</v>
      </c>
      <c r="S55" s="8">
        <v>0</v>
      </c>
      <c r="T55" s="7" t="e">
        <f t="shared" si="21"/>
        <v>#DIV/0!</v>
      </c>
      <c r="U55" s="7">
        <v>0</v>
      </c>
      <c r="V55" s="8">
        <v>0</v>
      </c>
      <c r="W55" s="7">
        <f t="shared" si="22"/>
        <v>1546.4571428571428</v>
      </c>
      <c r="X55" s="7">
        <v>27063</v>
      </c>
      <c r="Y55" s="8">
        <v>17.5</v>
      </c>
      <c r="Z55" s="7">
        <f t="shared" si="23"/>
        <v>4510.666666666667</v>
      </c>
      <c r="AA55" s="7">
        <v>13532</v>
      </c>
      <c r="AB55" s="8">
        <v>3</v>
      </c>
      <c r="AC55" s="7" t="e">
        <f t="shared" si="24"/>
        <v>#DIV/0!</v>
      </c>
      <c r="AD55" s="7">
        <v>0</v>
      </c>
      <c r="AE55" s="8">
        <v>0</v>
      </c>
      <c r="AF55" s="7">
        <f t="shared" si="25"/>
        <v>2800</v>
      </c>
      <c r="AG55" s="7">
        <v>5040</v>
      </c>
      <c r="AH55" s="8">
        <v>1.8</v>
      </c>
      <c r="AI55" s="7" t="e">
        <f t="shared" si="26"/>
        <v>#DIV/0!</v>
      </c>
      <c r="AJ55" s="7">
        <v>0</v>
      </c>
      <c r="AK55" s="8">
        <v>0</v>
      </c>
      <c r="AL55" s="7" t="e">
        <f t="shared" si="27"/>
        <v>#DIV/0!</v>
      </c>
      <c r="AM55" s="7">
        <v>0</v>
      </c>
      <c r="AN55" s="8">
        <v>0</v>
      </c>
      <c r="AO55" s="7">
        <f t="shared" si="12"/>
        <v>3371.5530303030305</v>
      </c>
      <c r="AP55" s="7">
        <f t="shared" si="14"/>
        <v>178018</v>
      </c>
      <c r="AQ55" s="8">
        <f t="shared" si="15"/>
        <v>52.8</v>
      </c>
    </row>
    <row r="56" spans="1:43" x14ac:dyDescent="0.3">
      <c r="A56" s="19" t="s">
        <v>56</v>
      </c>
      <c r="B56" s="23"/>
      <c r="C56" s="23"/>
      <c r="D56" s="23"/>
      <c r="E56" s="7" t="e">
        <f t="shared" si="16"/>
        <v>#DIV/0!</v>
      </c>
      <c r="F56" s="7">
        <v>0</v>
      </c>
      <c r="G56" s="8">
        <v>0</v>
      </c>
      <c r="H56" s="7">
        <f t="shared" si="17"/>
        <v>2726.5594855305467</v>
      </c>
      <c r="I56" s="7">
        <v>84796</v>
      </c>
      <c r="J56" s="8">
        <v>31.1</v>
      </c>
      <c r="K56" s="7">
        <f t="shared" si="18"/>
        <v>2152.6903553299494</v>
      </c>
      <c r="L56" s="7">
        <v>42408</v>
      </c>
      <c r="M56" s="8">
        <v>19.7</v>
      </c>
      <c r="N56" s="7">
        <f t="shared" si="19"/>
        <v>2398.0236305048338</v>
      </c>
      <c r="O56" s="7">
        <v>223256</v>
      </c>
      <c r="P56" s="8">
        <v>93.1</v>
      </c>
      <c r="Q56" s="7">
        <f t="shared" si="20"/>
        <v>2444.4444444444443</v>
      </c>
      <c r="R56" s="7">
        <v>158400</v>
      </c>
      <c r="S56" s="8">
        <v>64.8</v>
      </c>
      <c r="T56" s="7">
        <f t="shared" si="21"/>
        <v>2568.0525164113783</v>
      </c>
      <c r="U56" s="7">
        <v>117360</v>
      </c>
      <c r="V56" s="8">
        <v>45.7</v>
      </c>
      <c r="W56" s="7">
        <f t="shared" si="22"/>
        <v>2292.9508196721308</v>
      </c>
      <c r="X56" s="7">
        <v>195818</v>
      </c>
      <c r="Y56" s="8">
        <v>85.4</v>
      </c>
      <c r="Z56" s="7">
        <f t="shared" si="23"/>
        <v>2110.5632306057387</v>
      </c>
      <c r="AA56" s="7">
        <v>198604</v>
      </c>
      <c r="AB56" s="8">
        <v>94.1</v>
      </c>
      <c r="AC56" s="7">
        <f t="shared" si="24"/>
        <v>2063.8958333333335</v>
      </c>
      <c r="AD56" s="7">
        <v>99067</v>
      </c>
      <c r="AE56" s="8">
        <v>48</v>
      </c>
      <c r="AF56" s="7" t="e">
        <f t="shared" si="25"/>
        <v>#DIV/0!</v>
      </c>
      <c r="AG56" s="7">
        <v>0</v>
      </c>
      <c r="AH56" s="8">
        <v>0</v>
      </c>
      <c r="AI56" s="7">
        <f t="shared" si="26"/>
        <v>2610.4242424242425</v>
      </c>
      <c r="AJ56" s="7">
        <v>43072</v>
      </c>
      <c r="AK56" s="8">
        <v>16.5</v>
      </c>
      <c r="AL56" s="7" t="e">
        <f t="shared" si="27"/>
        <v>#DIV/0!</v>
      </c>
      <c r="AM56" s="7">
        <v>0</v>
      </c>
      <c r="AN56" s="8">
        <v>0</v>
      </c>
      <c r="AO56" s="7">
        <f t="shared" si="12"/>
        <v>2333.0276886035313</v>
      </c>
      <c r="AP56" s="7">
        <f t="shared" si="14"/>
        <v>1162781</v>
      </c>
      <c r="AQ56" s="8">
        <f t="shared" si="15"/>
        <v>498.4</v>
      </c>
    </row>
    <row r="57" spans="1:43" x14ac:dyDescent="0.3">
      <c r="A57" s="19" t="s">
        <v>52</v>
      </c>
      <c r="B57" s="23"/>
      <c r="C57" s="23"/>
      <c r="D57" s="23"/>
      <c r="E57" s="7">
        <f t="shared" si="16"/>
        <v>2285.046480743692</v>
      </c>
      <c r="F57" s="7">
        <v>344128</v>
      </c>
      <c r="G57" s="8">
        <v>150.6</v>
      </c>
      <c r="H57" s="7">
        <f t="shared" si="17"/>
        <v>2201.5085388994307</v>
      </c>
      <c r="I57" s="7">
        <v>232039</v>
      </c>
      <c r="J57" s="8">
        <v>105.4</v>
      </c>
      <c r="K57" s="7">
        <f t="shared" si="18"/>
        <v>2188.9763779527561</v>
      </c>
      <c r="L57" s="7">
        <v>250200</v>
      </c>
      <c r="M57" s="8">
        <v>114.3</v>
      </c>
      <c r="N57" s="7">
        <f t="shared" si="19"/>
        <v>2385.8823529411766</v>
      </c>
      <c r="O57" s="7">
        <v>56784</v>
      </c>
      <c r="P57" s="8">
        <v>23.8</v>
      </c>
      <c r="Q57" s="7">
        <f t="shared" si="20"/>
        <v>6588.666666666667</v>
      </c>
      <c r="R57" s="7">
        <v>9883</v>
      </c>
      <c r="S57" s="8">
        <v>1.5</v>
      </c>
      <c r="T57" s="7">
        <f t="shared" si="21"/>
        <v>1945.6753688989786</v>
      </c>
      <c r="U57" s="7">
        <v>171414</v>
      </c>
      <c r="V57" s="8">
        <v>88.1</v>
      </c>
      <c r="W57" s="7">
        <f t="shared" si="22"/>
        <v>2022.2619047619046</v>
      </c>
      <c r="X57" s="7">
        <v>356727</v>
      </c>
      <c r="Y57" s="8">
        <v>176.4</v>
      </c>
      <c r="Z57" s="7">
        <f t="shared" si="23"/>
        <v>2075.4734537493159</v>
      </c>
      <c r="AA57" s="7">
        <v>379189</v>
      </c>
      <c r="AB57" s="8">
        <v>182.7</v>
      </c>
      <c r="AC57" s="7">
        <f t="shared" si="24"/>
        <v>1979.2978907830106</v>
      </c>
      <c r="AD57" s="7">
        <v>685035</v>
      </c>
      <c r="AE57" s="8">
        <v>346.1</v>
      </c>
      <c r="AF57" s="7">
        <f t="shared" si="25"/>
        <v>2600.1395348837209</v>
      </c>
      <c r="AG57" s="7">
        <v>55903</v>
      </c>
      <c r="AH57" s="8">
        <v>21.5</v>
      </c>
      <c r="AI57" s="7" t="e">
        <f t="shared" si="26"/>
        <v>#DIV/0!</v>
      </c>
      <c r="AJ57" s="7">
        <v>0</v>
      </c>
      <c r="AK57" s="8">
        <v>0</v>
      </c>
      <c r="AL57" s="7" t="e">
        <f t="shared" si="27"/>
        <v>#DIV/0!</v>
      </c>
      <c r="AM57" s="7">
        <v>0</v>
      </c>
      <c r="AN57" s="8">
        <v>0</v>
      </c>
      <c r="AO57" s="7">
        <f t="shared" si="12"/>
        <v>2099.555518836748</v>
      </c>
      <c r="AP57" s="7">
        <f t="shared" si="14"/>
        <v>2541302</v>
      </c>
      <c r="AQ57" s="8">
        <f t="shared" si="15"/>
        <v>1210.4000000000001</v>
      </c>
    </row>
    <row r="58" spans="1:43" x14ac:dyDescent="0.3">
      <c r="A58" s="19" t="s">
        <v>87</v>
      </c>
      <c r="B58" s="23"/>
      <c r="C58" s="23"/>
      <c r="D58" s="23"/>
      <c r="E58" s="7" t="e">
        <f t="shared" si="16"/>
        <v>#DIV/0!</v>
      </c>
      <c r="F58" s="7">
        <v>0</v>
      </c>
      <c r="G58" s="8">
        <v>0</v>
      </c>
      <c r="H58" s="7" t="e">
        <f t="shared" si="17"/>
        <v>#DIV/0!</v>
      </c>
      <c r="I58" s="7">
        <v>0</v>
      </c>
      <c r="J58" s="8">
        <v>0</v>
      </c>
      <c r="K58" s="7" t="e">
        <f t="shared" si="18"/>
        <v>#DIV/0!</v>
      </c>
      <c r="L58" s="7">
        <v>0</v>
      </c>
      <c r="M58" s="8">
        <v>0</v>
      </c>
      <c r="N58" s="7" t="e">
        <f t="shared" si="19"/>
        <v>#DIV/0!</v>
      </c>
      <c r="O58" s="7">
        <v>0</v>
      </c>
      <c r="P58" s="8">
        <v>0</v>
      </c>
      <c r="Q58" s="7" t="e">
        <f t="shared" si="20"/>
        <v>#DIV/0!</v>
      </c>
      <c r="R58" s="7">
        <v>0</v>
      </c>
      <c r="S58" s="8">
        <v>0</v>
      </c>
      <c r="T58" s="7" t="e">
        <f t="shared" si="21"/>
        <v>#DIV/0!</v>
      </c>
      <c r="U58" s="7">
        <v>0</v>
      </c>
      <c r="V58" s="8">
        <v>0</v>
      </c>
      <c r="W58" s="7" t="e">
        <f t="shared" si="22"/>
        <v>#DIV/0!</v>
      </c>
      <c r="X58" s="7">
        <v>0</v>
      </c>
      <c r="Y58" s="8">
        <v>0</v>
      </c>
      <c r="Z58" s="7" t="e">
        <f t="shared" si="23"/>
        <v>#DIV/0!</v>
      </c>
      <c r="AA58" s="7">
        <v>0</v>
      </c>
      <c r="AB58" s="8">
        <v>0</v>
      </c>
      <c r="AC58" s="7" t="e">
        <f t="shared" si="24"/>
        <v>#DIV/0!</v>
      </c>
      <c r="AD58" s="7">
        <v>0</v>
      </c>
      <c r="AE58" s="8">
        <v>0</v>
      </c>
      <c r="AF58" s="7">
        <f t="shared" si="25"/>
        <v>1473.6842105263158</v>
      </c>
      <c r="AG58" s="7">
        <v>8400</v>
      </c>
      <c r="AH58" s="8">
        <v>5.7</v>
      </c>
      <c r="AI58" s="7" t="e">
        <f t="shared" si="26"/>
        <v>#DIV/0!</v>
      </c>
      <c r="AJ58" s="7">
        <v>0</v>
      </c>
      <c r="AK58" s="8">
        <v>0</v>
      </c>
      <c r="AL58" s="7" t="e">
        <f t="shared" si="27"/>
        <v>#DIV/0!</v>
      </c>
      <c r="AM58" s="7">
        <v>0</v>
      </c>
      <c r="AN58" s="8">
        <v>0</v>
      </c>
      <c r="AO58" s="7">
        <f t="shared" si="12"/>
        <v>1473.6842105263158</v>
      </c>
      <c r="AP58" s="7">
        <f t="shared" si="14"/>
        <v>8400</v>
      </c>
      <c r="AQ58" s="8">
        <f t="shared" si="15"/>
        <v>5.7</v>
      </c>
    </row>
    <row r="59" spans="1:43" x14ac:dyDescent="0.3">
      <c r="A59" s="19" t="s">
        <v>88</v>
      </c>
      <c r="B59" s="23"/>
      <c r="C59" s="23"/>
      <c r="D59" s="23"/>
      <c r="E59" s="7" t="e">
        <f t="shared" si="16"/>
        <v>#DIV/0!</v>
      </c>
      <c r="F59" s="7">
        <v>0</v>
      </c>
      <c r="G59" s="8">
        <v>0</v>
      </c>
      <c r="H59" s="7" t="e">
        <f t="shared" si="17"/>
        <v>#DIV/0!</v>
      </c>
      <c r="I59" s="7">
        <v>0</v>
      </c>
      <c r="J59" s="8">
        <v>0</v>
      </c>
      <c r="K59" s="7">
        <f t="shared" si="18"/>
        <v>6550</v>
      </c>
      <c r="L59" s="7">
        <v>2620</v>
      </c>
      <c r="M59" s="8">
        <v>0.4</v>
      </c>
      <c r="N59" s="7" t="e">
        <f t="shared" si="19"/>
        <v>#DIV/0!</v>
      </c>
      <c r="O59" s="7">
        <v>0</v>
      </c>
      <c r="P59" s="8">
        <v>0</v>
      </c>
      <c r="Q59" s="7" t="e">
        <f t="shared" si="20"/>
        <v>#DIV/0!</v>
      </c>
      <c r="R59" s="7">
        <v>0</v>
      </c>
      <c r="S59" s="8">
        <v>0</v>
      </c>
      <c r="T59" s="7" t="e">
        <f t="shared" si="21"/>
        <v>#DIV/0!</v>
      </c>
      <c r="U59" s="7">
        <v>0</v>
      </c>
      <c r="V59" s="8">
        <v>0</v>
      </c>
      <c r="W59" s="7" t="e">
        <f t="shared" si="22"/>
        <v>#DIV/0!</v>
      </c>
      <c r="X59" s="7">
        <v>0</v>
      </c>
      <c r="Y59" s="8">
        <v>0</v>
      </c>
      <c r="Z59" s="7" t="e">
        <f t="shared" si="23"/>
        <v>#DIV/0!</v>
      </c>
      <c r="AA59" s="7">
        <v>0</v>
      </c>
      <c r="AB59" s="8">
        <v>0</v>
      </c>
      <c r="AC59" s="7" t="e">
        <f t="shared" si="24"/>
        <v>#DIV/0!</v>
      </c>
      <c r="AD59" s="7">
        <v>0</v>
      </c>
      <c r="AE59" s="8">
        <v>0</v>
      </c>
      <c r="AF59" s="7" t="e">
        <f t="shared" si="25"/>
        <v>#DIV/0!</v>
      </c>
      <c r="AG59" s="7">
        <v>0</v>
      </c>
      <c r="AH59" s="8">
        <v>0</v>
      </c>
      <c r="AI59" s="7" t="e">
        <f t="shared" si="26"/>
        <v>#DIV/0!</v>
      </c>
      <c r="AJ59" s="7">
        <v>0</v>
      </c>
      <c r="AK59" s="8">
        <v>0</v>
      </c>
      <c r="AL59" s="7" t="e">
        <f t="shared" si="27"/>
        <v>#DIV/0!</v>
      </c>
      <c r="AM59" s="7">
        <v>0</v>
      </c>
      <c r="AN59" s="8">
        <v>0</v>
      </c>
      <c r="AO59" s="7">
        <f t="shared" si="12"/>
        <v>6550</v>
      </c>
      <c r="AP59" s="7">
        <f t="shared" si="14"/>
        <v>2620</v>
      </c>
      <c r="AQ59" s="8">
        <f t="shared" si="15"/>
        <v>0.4</v>
      </c>
    </row>
    <row r="60" spans="1:43" x14ac:dyDescent="0.3">
      <c r="A60" s="19" t="s">
        <v>69</v>
      </c>
      <c r="B60" s="23"/>
      <c r="C60" s="23"/>
      <c r="D60" s="23"/>
      <c r="E60" s="7" t="e">
        <f t="shared" si="16"/>
        <v>#DIV/0!</v>
      </c>
      <c r="F60" s="7">
        <v>0</v>
      </c>
      <c r="G60" s="8">
        <v>0</v>
      </c>
      <c r="H60" s="7">
        <f t="shared" si="17"/>
        <v>1550.9420289855072</v>
      </c>
      <c r="I60" s="7">
        <v>21403</v>
      </c>
      <c r="J60" s="8">
        <v>13.8</v>
      </c>
      <c r="K60" s="7">
        <f t="shared" si="18"/>
        <v>1547.7857142857142</v>
      </c>
      <c r="L60" s="7">
        <v>43338</v>
      </c>
      <c r="M60" s="8">
        <v>28</v>
      </c>
      <c r="N60" s="7">
        <f t="shared" si="19"/>
        <v>2212.207792207792</v>
      </c>
      <c r="O60" s="7">
        <v>17034</v>
      </c>
      <c r="P60" s="8">
        <v>7.7</v>
      </c>
      <c r="Q60" s="7">
        <f t="shared" si="20"/>
        <v>2941.3333333333335</v>
      </c>
      <c r="R60" s="7">
        <v>22060</v>
      </c>
      <c r="S60" s="8">
        <v>7.5</v>
      </c>
      <c r="T60" s="7">
        <f t="shared" si="21"/>
        <v>1200</v>
      </c>
      <c r="U60" s="7">
        <v>120000</v>
      </c>
      <c r="V60" s="8">
        <v>100</v>
      </c>
      <c r="W60" s="7" t="e">
        <f t="shared" si="22"/>
        <v>#DIV/0!</v>
      </c>
      <c r="X60" s="7">
        <v>0</v>
      </c>
      <c r="Y60" s="8">
        <v>0</v>
      </c>
      <c r="Z60" s="7">
        <f t="shared" si="23"/>
        <v>1020.408163265306</v>
      </c>
      <c r="AA60" s="7">
        <v>40000</v>
      </c>
      <c r="AB60" s="8">
        <v>39.200000000000003</v>
      </c>
      <c r="AC60" s="7" t="e">
        <f t="shared" si="24"/>
        <v>#DIV/0!</v>
      </c>
      <c r="AD60" s="7">
        <v>0</v>
      </c>
      <c r="AE60" s="8">
        <v>0</v>
      </c>
      <c r="AF60" s="7" t="e">
        <f t="shared" si="25"/>
        <v>#DIV/0!</v>
      </c>
      <c r="AG60" s="7">
        <v>0</v>
      </c>
      <c r="AH60" s="8">
        <v>0</v>
      </c>
      <c r="AI60" s="7">
        <f t="shared" si="26"/>
        <v>1000</v>
      </c>
      <c r="AJ60" s="7">
        <v>20000</v>
      </c>
      <c r="AK60" s="8">
        <v>20</v>
      </c>
      <c r="AL60" s="7" t="e">
        <f t="shared" si="27"/>
        <v>#DIV/0!</v>
      </c>
      <c r="AM60" s="7">
        <v>0</v>
      </c>
      <c r="AN60" s="8">
        <v>0</v>
      </c>
      <c r="AO60" s="7">
        <f t="shared" si="12"/>
        <v>1312.8353376503239</v>
      </c>
      <c r="AP60" s="7">
        <f t="shared" si="14"/>
        <v>283835</v>
      </c>
      <c r="AQ60" s="8">
        <f t="shared" si="15"/>
        <v>216.2</v>
      </c>
    </row>
    <row r="61" spans="1:43" x14ac:dyDescent="0.3">
      <c r="A61" s="19" t="s">
        <v>89</v>
      </c>
      <c r="B61" s="23"/>
      <c r="C61" s="23"/>
      <c r="D61" s="23"/>
      <c r="E61" s="7" t="e">
        <f t="shared" si="16"/>
        <v>#DIV/0!</v>
      </c>
      <c r="F61" s="7">
        <v>0</v>
      </c>
      <c r="G61" s="8">
        <v>0</v>
      </c>
      <c r="H61" s="7" t="e">
        <f t="shared" si="17"/>
        <v>#DIV/0!</v>
      </c>
      <c r="I61" s="7">
        <v>0</v>
      </c>
      <c r="J61" s="8">
        <v>0</v>
      </c>
      <c r="K61" s="7" t="e">
        <f t="shared" si="18"/>
        <v>#DIV/0!</v>
      </c>
      <c r="L61" s="7">
        <v>0</v>
      </c>
      <c r="M61" s="8">
        <v>0</v>
      </c>
      <c r="N61" s="7" t="e">
        <f t="shared" si="19"/>
        <v>#DIV/0!</v>
      </c>
      <c r="O61" s="7">
        <v>0</v>
      </c>
      <c r="P61" s="8">
        <v>0</v>
      </c>
      <c r="Q61" s="7" t="e">
        <f t="shared" si="20"/>
        <v>#DIV/0!</v>
      </c>
      <c r="R61" s="7">
        <v>0</v>
      </c>
      <c r="S61" s="8">
        <v>0</v>
      </c>
      <c r="T61" s="7" t="e">
        <f t="shared" si="21"/>
        <v>#DIV/0!</v>
      </c>
      <c r="U61" s="7">
        <v>0</v>
      </c>
      <c r="V61" s="8">
        <v>0</v>
      </c>
      <c r="W61" s="7" t="e">
        <f t="shared" si="22"/>
        <v>#DIV/0!</v>
      </c>
      <c r="X61" s="7">
        <v>0</v>
      </c>
      <c r="Y61" s="8">
        <v>0</v>
      </c>
      <c r="Z61" s="7" t="e">
        <f t="shared" si="23"/>
        <v>#DIV/0!</v>
      </c>
      <c r="AA61" s="7">
        <v>0</v>
      </c>
      <c r="AB61" s="8">
        <v>0</v>
      </c>
      <c r="AC61" s="7" t="e">
        <f t="shared" si="24"/>
        <v>#DIV/0!</v>
      </c>
      <c r="AD61" s="7">
        <v>0</v>
      </c>
      <c r="AE61" s="8">
        <v>0</v>
      </c>
      <c r="AF61" s="7">
        <f t="shared" si="25"/>
        <v>2482.7586206896553</v>
      </c>
      <c r="AG61" s="7">
        <v>7200</v>
      </c>
      <c r="AH61" s="8">
        <v>2.9</v>
      </c>
      <c r="AI61" s="7">
        <f t="shared" si="26"/>
        <v>2500</v>
      </c>
      <c r="AJ61" s="7">
        <v>4000</v>
      </c>
      <c r="AK61" s="8">
        <v>1.6</v>
      </c>
      <c r="AL61" s="7" t="e">
        <f t="shared" si="27"/>
        <v>#DIV/0!</v>
      </c>
      <c r="AM61" s="7">
        <v>0</v>
      </c>
      <c r="AN61" s="8">
        <v>0</v>
      </c>
      <c r="AO61" s="7">
        <f t="shared" si="12"/>
        <v>2488.8888888888887</v>
      </c>
      <c r="AP61" s="7">
        <f t="shared" si="14"/>
        <v>11200</v>
      </c>
      <c r="AQ61" s="8">
        <f t="shared" si="15"/>
        <v>4.5</v>
      </c>
    </row>
    <row r="62" spans="1:43" x14ac:dyDescent="0.3">
      <c r="A62" s="19" t="s">
        <v>90</v>
      </c>
      <c r="B62" s="23"/>
      <c r="C62" s="23"/>
      <c r="D62" s="23"/>
      <c r="E62" s="7" t="e">
        <f t="shared" si="16"/>
        <v>#DIV/0!</v>
      </c>
      <c r="F62" s="7">
        <v>0</v>
      </c>
      <c r="G62" s="8">
        <v>0</v>
      </c>
      <c r="H62" s="7" t="e">
        <f t="shared" si="17"/>
        <v>#DIV/0!</v>
      </c>
      <c r="I62" s="7">
        <v>0</v>
      </c>
      <c r="J62" s="8">
        <v>0</v>
      </c>
      <c r="K62" s="7" t="e">
        <f t="shared" si="18"/>
        <v>#DIV/0!</v>
      </c>
      <c r="L62" s="7">
        <v>0</v>
      </c>
      <c r="M62" s="8">
        <v>0</v>
      </c>
      <c r="N62" s="7" t="e">
        <f t="shared" si="19"/>
        <v>#DIV/0!</v>
      </c>
      <c r="O62" s="7">
        <v>0</v>
      </c>
      <c r="P62" s="8">
        <v>0</v>
      </c>
      <c r="Q62" s="7" t="e">
        <f t="shared" si="20"/>
        <v>#DIV/0!</v>
      </c>
      <c r="R62" s="7">
        <v>0</v>
      </c>
      <c r="S62" s="8">
        <v>0</v>
      </c>
      <c r="T62" s="7" t="e">
        <f t="shared" si="21"/>
        <v>#DIV/0!</v>
      </c>
      <c r="U62" s="7">
        <v>0</v>
      </c>
      <c r="V62" s="8">
        <v>0</v>
      </c>
      <c r="W62" s="7">
        <f t="shared" si="22"/>
        <v>2020.2272727272727</v>
      </c>
      <c r="X62" s="7">
        <v>222225</v>
      </c>
      <c r="Y62" s="8">
        <v>110</v>
      </c>
      <c r="Z62" s="7" t="e">
        <f t="shared" si="23"/>
        <v>#DIV/0!</v>
      </c>
      <c r="AA62" s="7">
        <v>0</v>
      </c>
      <c r="AB62" s="8">
        <v>0</v>
      </c>
      <c r="AC62" s="7" t="e">
        <f t="shared" si="24"/>
        <v>#DIV/0!</v>
      </c>
      <c r="AD62" s="7">
        <v>0</v>
      </c>
      <c r="AE62" s="8">
        <v>0</v>
      </c>
      <c r="AF62" s="7" t="e">
        <f t="shared" si="25"/>
        <v>#DIV/0!</v>
      </c>
      <c r="AG62" s="7">
        <v>0</v>
      </c>
      <c r="AH62" s="8">
        <v>0</v>
      </c>
      <c r="AI62" s="7" t="e">
        <f t="shared" si="26"/>
        <v>#DIV/0!</v>
      </c>
      <c r="AJ62" s="7">
        <v>0</v>
      </c>
      <c r="AK62" s="8">
        <v>0</v>
      </c>
      <c r="AL62" s="7" t="e">
        <f t="shared" si="27"/>
        <v>#DIV/0!</v>
      </c>
      <c r="AM62" s="7">
        <v>0</v>
      </c>
      <c r="AN62" s="8">
        <v>0</v>
      </c>
      <c r="AO62" s="7">
        <f t="shared" si="12"/>
        <v>2020.2272727272727</v>
      </c>
      <c r="AP62" s="7">
        <f t="shared" si="14"/>
        <v>222225</v>
      </c>
      <c r="AQ62" s="8">
        <f t="shared" si="15"/>
        <v>110</v>
      </c>
    </row>
    <row r="63" spans="1:43" x14ac:dyDescent="0.3">
      <c r="A63" s="19" t="s">
        <v>72</v>
      </c>
      <c r="B63" s="23"/>
      <c r="C63" s="23"/>
      <c r="D63" s="23"/>
      <c r="E63" s="7" t="e">
        <f t="shared" si="16"/>
        <v>#DIV/0!</v>
      </c>
      <c r="F63" s="7">
        <v>0</v>
      </c>
      <c r="G63" s="8">
        <v>0</v>
      </c>
      <c r="H63" s="7" t="e">
        <f t="shared" si="17"/>
        <v>#DIV/0!</v>
      </c>
      <c r="I63" s="7">
        <v>0</v>
      </c>
      <c r="J63" s="8">
        <v>0</v>
      </c>
      <c r="K63" s="7" t="e">
        <f t="shared" si="18"/>
        <v>#DIV/0!</v>
      </c>
      <c r="L63" s="7">
        <v>0</v>
      </c>
      <c r="M63" s="8">
        <v>0</v>
      </c>
      <c r="N63" s="7">
        <f t="shared" si="19"/>
        <v>3071.4634146341468</v>
      </c>
      <c r="O63" s="7">
        <v>25186</v>
      </c>
      <c r="P63" s="8">
        <v>8.1999999999999993</v>
      </c>
      <c r="Q63" s="7" t="e">
        <f t="shared" si="20"/>
        <v>#DIV/0!</v>
      </c>
      <c r="R63" s="7">
        <v>0</v>
      </c>
      <c r="S63" s="8">
        <v>0</v>
      </c>
      <c r="T63" s="7" t="e">
        <f t="shared" si="21"/>
        <v>#DIV/0!</v>
      </c>
      <c r="U63" s="7">
        <v>0</v>
      </c>
      <c r="V63" s="8">
        <v>0</v>
      </c>
      <c r="W63" s="7" t="e">
        <f t="shared" si="22"/>
        <v>#DIV/0!</v>
      </c>
      <c r="X63" s="7">
        <v>0</v>
      </c>
      <c r="Y63" s="8">
        <v>0</v>
      </c>
      <c r="Z63" s="7" t="e">
        <f t="shared" si="23"/>
        <v>#DIV/0!</v>
      </c>
      <c r="AA63" s="7">
        <v>0</v>
      </c>
      <c r="AB63" s="8">
        <v>0</v>
      </c>
      <c r="AC63" s="7" t="e">
        <f t="shared" si="24"/>
        <v>#DIV/0!</v>
      </c>
      <c r="AD63" s="7">
        <v>0</v>
      </c>
      <c r="AE63" s="8">
        <v>0</v>
      </c>
      <c r="AF63" s="7" t="e">
        <f t="shared" si="25"/>
        <v>#DIV/0!</v>
      </c>
      <c r="AG63" s="7">
        <v>0</v>
      </c>
      <c r="AH63" s="8">
        <v>0</v>
      </c>
      <c r="AI63" s="7" t="e">
        <f t="shared" si="26"/>
        <v>#DIV/0!</v>
      </c>
      <c r="AJ63" s="7">
        <v>0</v>
      </c>
      <c r="AK63" s="8">
        <v>0</v>
      </c>
      <c r="AL63" s="7" t="e">
        <f t="shared" si="27"/>
        <v>#DIV/0!</v>
      </c>
      <c r="AM63" s="7">
        <v>0</v>
      </c>
      <c r="AN63" s="8">
        <v>0</v>
      </c>
      <c r="AO63" s="7">
        <f t="shared" si="12"/>
        <v>3071.4634146341468</v>
      </c>
      <c r="AP63" s="7">
        <f t="shared" si="14"/>
        <v>25186</v>
      </c>
      <c r="AQ63" s="8">
        <f t="shared" si="15"/>
        <v>8.1999999999999993</v>
      </c>
    </row>
    <row r="64" spans="1:43" x14ac:dyDescent="0.3">
      <c r="A64" s="19" t="s">
        <v>65</v>
      </c>
      <c r="B64" s="23"/>
      <c r="C64" s="23"/>
      <c r="D64" s="23"/>
      <c r="E64" s="7" t="e">
        <f t="shared" si="16"/>
        <v>#DIV/0!</v>
      </c>
      <c r="F64" s="7">
        <v>0</v>
      </c>
      <c r="G64" s="8">
        <v>0</v>
      </c>
      <c r="H64" s="7" t="e">
        <f t="shared" si="17"/>
        <v>#DIV/0!</v>
      </c>
      <c r="I64" s="7">
        <v>0</v>
      </c>
      <c r="J64" s="8">
        <v>0</v>
      </c>
      <c r="K64" s="7">
        <f t="shared" si="18"/>
        <v>4642.9411764705883</v>
      </c>
      <c r="L64" s="7">
        <v>7893</v>
      </c>
      <c r="M64" s="8">
        <v>1.7</v>
      </c>
      <c r="N64" s="7" t="e">
        <f t="shared" si="19"/>
        <v>#DIV/0!</v>
      </c>
      <c r="O64" s="7">
        <v>0</v>
      </c>
      <c r="P64" s="8">
        <v>0</v>
      </c>
      <c r="Q64" s="7">
        <f t="shared" si="20"/>
        <v>1548.630887185104</v>
      </c>
      <c r="R64" s="7">
        <v>141390</v>
      </c>
      <c r="S64" s="8">
        <v>91.3</v>
      </c>
      <c r="T64" s="7" t="e">
        <f t="shared" si="21"/>
        <v>#DIV/0!</v>
      </c>
      <c r="U64" s="7">
        <v>0</v>
      </c>
      <c r="V64" s="8">
        <v>0</v>
      </c>
      <c r="W64" s="7" t="e">
        <f t="shared" si="22"/>
        <v>#DIV/0!</v>
      </c>
      <c r="X64" s="7">
        <v>0</v>
      </c>
      <c r="Y64" s="8">
        <v>0</v>
      </c>
      <c r="Z64" s="7" t="e">
        <f t="shared" si="23"/>
        <v>#DIV/0!</v>
      </c>
      <c r="AA64" s="7">
        <v>0</v>
      </c>
      <c r="AB64" s="8">
        <v>0</v>
      </c>
      <c r="AC64" s="7">
        <f t="shared" si="24"/>
        <v>4356</v>
      </c>
      <c r="AD64" s="7">
        <v>4356</v>
      </c>
      <c r="AE64" s="8">
        <v>1</v>
      </c>
      <c r="AF64" s="7" t="e">
        <f t="shared" si="25"/>
        <v>#DIV/0!</v>
      </c>
      <c r="AG64" s="7">
        <v>0</v>
      </c>
      <c r="AH64" s="8">
        <v>0</v>
      </c>
      <c r="AI64" s="7" t="e">
        <f t="shared" si="26"/>
        <v>#DIV/0!</v>
      </c>
      <c r="AJ64" s="7">
        <v>0</v>
      </c>
      <c r="AK64" s="8">
        <v>0</v>
      </c>
      <c r="AL64" s="7" t="e">
        <f t="shared" si="27"/>
        <v>#DIV/0!</v>
      </c>
      <c r="AM64" s="7">
        <v>0</v>
      </c>
      <c r="AN64" s="8">
        <v>0</v>
      </c>
      <c r="AO64" s="7">
        <f t="shared" si="12"/>
        <v>1634.4574468085107</v>
      </c>
      <c r="AP64" s="7">
        <f t="shared" si="14"/>
        <v>153639</v>
      </c>
      <c r="AQ64" s="8">
        <f t="shared" si="15"/>
        <v>94</v>
      </c>
    </row>
    <row r="65" spans="1:43" x14ac:dyDescent="0.3">
      <c r="A65" s="19" t="s">
        <v>76</v>
      </c>
      <c r="B65" s="23"/>
      <c r="C65" s="23"/>
      <c r="D65" s="23"/>
      <c r="E65" s="7" t="e">
        <f t="shared" si="16"/>
        <v>#DIV/0!</v>
      </c>
      <c r="F65" s="7">
        <v>0</v>
      </c>
      <c r="G65" s="8">
        <v>0</v>
      </c>
      <c r="H65" s="7" t="e">
        <f t="shared" si="17"/>
        <v>#DIV/0!</v>
      </c>
      <c r="I65" s="7">
        <v>0</v>
      </c>
      <c r="J65" s="8">
        <v>0</v>
      </c>
      <c r="K65" s="7" t="e">
        <f t="shared" si="18"/>
        <v>#DIV/0!</v>
      </c>
      <c r="L65" s="7">
        <v>0</v>
      </c>
      <c r="M65" s="8">
        <v>0</v>
      </c>
      <c r="N65" s="7" t="e">
        <f t="shared" si="19"/>
        <v>#DIV/0!</v>
      </c>
      <c r="O65" s="7">
        <v>0</v>
      </c>
      <c r="P65" s="8">
        <v>0</v>
      </c>
      <c r="Q65" s="7" t="e">
        <f t="shared" si="20"/>
        <v>#DIV/0!</v>
      </c>
      <c r="R65" s="7">
        <v>0</v>
      </c>
      <c r="S65" s="8">
        <v>0</v>
      </c>
      <c r="T65" s="7" t="e">
        <f t="shared" si="21"/>
        <v>#DIV/0!</v>
      </c>
      <c r="U65" s="7">
        <v>0</v>
      </c>
      <c r="V65" s="8">
        <v>0</v>
      </c>
      <c r="W65" s="7" t="e">
        <f t="shared" si="22"/>
        <v>#DIV/0!</v>
      </c>
      <c r="X65" s="7">
        <v>0</v>
      </c>
      <c r="Y65" s="8">
        <v>0</v>
      </c>
      <c r="Z65" s="7" t="e">
        <f t="shared" si="23"/>
        <v>#DIV/0!</v>
      </c>
      <c r="AA65" s="7">
        <v>0</v>
      </c>
      <c r="AB65" s="8">
        <v>0</v>
      </c>
      <c r="AC65" s="7">
        <f t="shared" si="24"/>
        <v>4528.75</v>
      </c>
      <c r="AD65" s="7">
        <v>3623</v>
      </c>
      <c r="AE65" s="8">
        <v>0.8</v>
      </c>
      <c r="AF65" s="7" t="e">
        <f t="shared" si="25"/>
        <v>#DIV/0!</v>
      </c>
      <c r="AG65" s="7">
        <v>0</v>
      </c>
      <c r="AH65" s="8">
        <v>0</v>
      </c>
      <c r="AI65" s="7" t="e">
        <f t="shared" si="26"/>
        <v>#DIV/0!</v>
      </c>
      <c r="AJ65" s="7">
        <v>0</v>
      </c>
      <c r="AK65" s="8">
        <v>0</v>
      </c>
      <c r="AL65" s="7" t="e">
        <f t="shared" si="27"/>
        <v>#DIV/0!</v>
      </c>
      <c r="AM65" s="7">
        <v>0</v>
      </c>
      <c r="AN65" s="8">
        <v>0</v>
      </c>
      <c r="AO65" s="7">
        <f t="shared" si="12"/>
        <v>4528.75</v>
      </c>
      <c r="AP65" s="7">
        <f t="shared" si="14"/>
        <v>3623</v>
      </c>
      <c r="AQ65" s="8">
        <f t="shared" si="15"/>
        <v>0.8</v>
      </c>
    </row>
    <row r="66" spans="1:43" x14ac:dyDescent="0.3">
      <c r="A66" s="19" t="s">
        <v>91</v>
      </c>
      <c r="B66" s="23"/>
      <c r="C66" s="23"/>
      <c r="D66" s="23"/>
      <c r="E66" s="10" t="e">
        <f t="shared" si="16"/>
        <v>#DIV/0!</v>
      </c>
      <c r="F66" s="10">
        <v>0</v>
      </c>
      <c r="G66" s="8">
        <v>0</v>
      </c>
      <c r="H66" s="10" t="e">
        <f t="shared" si="17"/>
        <v>#DIV/0!</v>
      </c>
      <c r="I66" s="10">
        <v>0</v>
      </c>
      <c r="J66" s="8">
        <v>0</v>
      </c>
      <c r="K66" s="10" t="e">
        <f t="shared" si="18"/>
        <v>#DIV/0!</v>
      </c>
      <c r="L66" s="10">
        <v>0</v>
      </c>
      <c r="M66" s="8">
        <v>0</v>
      </c>
      <c r="N66" s="10" t="e">
        <f t="shared" si="19"/>
        <v>#DIV/0!</v>
      </c>
      <c r="O66" s="10">
        <v>0</v>
      </c>
      <c r="P66" s="8">
        <v>0</v>
      </c>
      <c r="Q66" s="10" t="e">
        <f t="shared" si="20"/>
        <v>#DIV/0!</v>
      </c>
      <c r="R66" s="10">
        <v>0</v>
      </c>
      <c r="S66" s="8">
        <v>0</v>
      </c>
      <c r="T66" s="10" t="e">
        <f t="shared" si="21"/>
        <v>#DIV/0!</v>
      </c>
      <c r="U66" s="10">
        <v>0</v>
      </c>
      <c r="V66" s="8">
        <v>0</v>
      </c>
      <c r="W66" s="10" t="e">
        <f t="shared" si="22"/>
        <v>#DIV/0!</v>
      </c>
      <c r="X66" s="10">
        <v>0</v>
      </c>
      <c r="Y66" s="8">
        <v>0</v>
      </c>
      <c r="Z66" s="10">
        <f t="shared" si="23"/>
        <v>1531.7948717948718</v>
      </c>
      <c r="AA66" s="10">
        <v>5974</v>
      </c>
      <c r="AB66" s="8">
        <v>3.9</v>
      </c>
      <c r="AC66" s="10">
        <f t="shared" si="24"/>
        <v>1538.4615384615383</v>
      </c>
      <c r="AD66" s="10">
        <v>8000</v>
      </c>
      <c r="AE66" s="8">
        <v>5.2</v>
      </c>
      <c r="AF66" s="10" t="e">
        <f t="shared" si="25"/>
        <v>#DIV/0!</v>
      </c>
      <c r="AG66" s="10">
        <v>0</v>
      </c>
      <c r="AH66" s="8">
        <v>0</v>
      </c>
      <c r="AI66" s="10" t="e">
        <f t="shared" si="26"/>
        <v>#DIV/0!</v>
      </c>
      <c r="AJ66" s="10">
        <v>0</v>
      </c>
      <c r="AK66" s="8">
        <v>0</v>
      </c>
      <c r="AL66" s="10" t="e">
        <f t="shared" si="27"/>
        <v>#DIV/0!</v>
      </c>
      <c r="AM66" s="10">
        <v>0</v>
      </c>
      <c r="AN66" s="8">
        <v>0</v>
      </c>
      <c r="AO66" s="10">
        <f t="shared" si="12"/>
        <v>1535.6043956043957</v>
      </c>
      <c r="AP66" s="10">
        <f t="shared" si="14"/>
        <v>13974</v>
      </c>
      <c r="AQ66" s="8">
        <f t="shared" si="15"/>
        <v>9.1</v>
      </c>
    </row>
    <row r="67" spans="1:43" x14ac:dyDescent="0.3">
      <c r="A67" s="16" t="s">
        <v>92</v>
      </c>
      <c r="B67" s="24"/>
      <c r="C67" s="24"/>
      <c r="D67" s="24"/>
      <c r="E67" s="14">
        <f t="shared" si="16"/>
        <v>2330.35</v>
      </c>
      <c r="F67" s="12">
        <v>559284</v>
      </c>
      <c r="G67" s="13">
        <v>240</v>
      </c>
      <c r="H67" s="12" t="e">
        <f t="shared" si="17"/>
        <v>#DIV/0!</v>
      </c>
      <c r="I67" s="12">
        <v>0</v>
      </c>
      <c r="J67" s="13">
        <v>0</v>
      </c>
      <c r="K67" s="12" t="e">
        <f t="shared" si="18"/>
        <v>#DIV/0!</v>
      </c>
      <c r="L67" s="12">
        <v>0</v>
      </c>
      <c r="M67" s="13">
        <v>0</v>
      </c>
      <c r="N67" s="12" t="e">
        <f t="shared" si="19"/>
        <v>#DIV/0!</v>
      </c>
      <c r="O67" s="12">
        <v>0</v>
      </c>
      <c r="P67" s="13">
        <v>0</v>
      </c>
      <c r="Q67" s="12" t="e">
        <f t="shared" si="20"/>
        <v>#DIV/0!</v>
      </c>
      <c r="R67" s="12">
        <v>0</v>
      </c>
      <c r="S67" s="13">
        <v>0</v>
      </c>
      <c r="T67" s="12" t="e">
        <f t="shared" si="21"/>
        <v>#DIV/0!</v>
      </c>
      <c r="U67" s="12">
        <v>0</v>
      </c>
      <c r="V67" s="13">
        <v>0</v>
      </c>
      <c r="W67" s="12" t="e">
        <f t="shared" si="22"/>
        <v>#DIV/0!</v>
      </c>
      <c r="X67" s="12">
        <v>0</v>
      </c>
      <c r="Y67" s="13">
        <v>0</v>
      </c>
      <c r="Z67" s="12" t="e">
        <f t="shared" si="23"/>
        <v>#DIV/0!</v>
      </c>
      <c r="AA67" s="12">
        <v>0</v>
      </c>
      <c r="AB67" s="13">
        <v>0</v>
      </c>
      <c r="AC67" s="12" t="e">
        <f t="shared" si="24"/>
        <v>#DIV/0!</v>
      </c>
      <c r="AD67" s="12">
        <v>0</v>
      </c>
      <c r="AE67" s="13">
        <v>0</v>
      </c>
      <c r="AF67" s="12">
        <f t="shared" si="25"/>
        <v>2139.957142857143</v>
      </c>
      <c r="AG67" s="12">
        <v>149797</v>
      </c>
      <c r="AH67" s="13">
        <v>70</v>
      </c>
      <c r="AI67" s="12" t="e">
        <f t="shared" si="26"/>
        <v>#DIV/0!</v>
      </c>
      <c r="AJ67" s="12">
        <v>0</v>
      </c>
      <c r="AK67" s="13">
        <v>0</v>
      </c>
      <c r="AL67" s="12" t="e">
        <f t="shared" si="27"/>
        <v>#DIV/0!</v>
      </c>
      <c r="AM67" s="12">
        <v>0</v>
      </c>
      <c r="AN67" s="13">
        <v>0</v>
      </c>
      <c r="AO67" s="12">
        <f t="shared" si="12"/>
        <v>2287.3580645161292</v>
      </c>
      <c r="AP67" s="12">
        <f t="shared" si="14"/>
        <v>709081</v>
      </c>
      <c r="AQ67" s="13">
        <f t="shared" si="15"/>
        <v>310</v>
      </c>
    </row>
    <row r="68" spans="1:43" x14ac:dyDescent="0.3">
      <c r="A68" s="1" t="s">
        <v>40</v>
      </c>
      <c r="B68" s="1"/>
    </row>
    <row r="69" spans="1:43" x14ac:dyDescent="0.3">
      <c r="A69" s="1" t="s">
        <v>66</v>
      </c>
      <c r="B69" s="1"/>
    </row>
    <row r="70" spans="1:43" x14ac:dyDescent="0.3">
      <c r="A70" s="1" t="s">
        <v>41</v>
      </c>
      <c r="B70" s="1"/>
    </row>
    <row r="71" spans="1:43" x14ac:dyDescent="0.3">
      <c r="A71" s="1" t="s">
        <v>42</v>
      </c>
      <c r="B71" s="1"/>
    </row>
    <row r="72" spans="1:43" x14ac:dyDescent="0.3">
      <c r="A72" s="1" t="s">
        <v>67</v>
      </c>
      <c r="B72" s="1"/>
    </row>
  </sheetData>
  <mergeCells count="16">
    <mergeCell ref="B3:B67"/>
    <mergeCell ref="C3:C67"/>
    <mergeCell ref="AO1:AQ1"/>
    <mergeCell ref="W1:Y1"/>
    <mergeCell ref="Z1:AB1"/>
    <mergeCell ref="AC1:AE1"/>
    <mergeCell ref="AF1:AH1"/>
    <mergeCell ref="AI1:AK1"/>
    <mergeCell ref="D3:D67"/>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2023년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2026-08-07T05:38:22Z</dcterms:modified>
</cp:coreProperties>
</file>