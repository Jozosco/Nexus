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U:\데이터플랫폼팀\00 데이터플랫폼팀_공유\데이터플랫폼팀(23.03~)\08 데이터 분석\00 분석과제정의서\☆구매\수입원료\대두유\데이터\외부\경제, 무역\USDA(미국 농무부)\GATS(글로벌 농산물 무역 시스템)\Oilseeds\대두유\1507.90\정제된 대두유 및 그 분획물(.4050)\"/>
    </mc:Choice>
  </mc:AlternateContent>
  <bookViews>
    <workbookView xWindow="0" yWindow="0" windowWidth="25125" windowHeight="11640"/>
  </bookViews>
  <sheets>
    <sheet name="2016년" sheetId="1" r:id="rId1"/>
  </sheets>
  <calcPr calcId="162913"/>
</workbook>
</file>

<file path=xl/calcChain.xml><?xml version="1.0" encoding="utf-8"?>
<calcChain xmlns="http://schemas.openxmlformats.org/spreadsheetml/2006/main">
  <c r="AQ70" i="1" l="1"/>
  <c r="AP70" i="1"/>
  <c r="AQ69" i="1"/>
  <c r="AP69" i="1"/>
  <c r="AQ68" i="1"/>
  <c r="AP68" i="1"/>
  <c r="AQ67" i="1"/>
  <c r="AP67" i="1"/>
  <c r="AQ66" i="1"/>
  <c r="AP66" i="1"/>
  <c r="AQ65" i="1"/>
  <c r="AP65" i="1"/>
  <c r="AQ64" i="1"/>
  <c r="AP64" i="1"/>
  <c r="AQ63" i="1"/>
  <c r="AP63" i="1"/>
  <c r="AQ62" i="1"/>
  <c r="AP62" i="1"/>
  <c r="AQ61" i="1"/>
  <c r="AP61" i="1"/>
  <c r="AQ60" i="1"/>
  <c r="AP60" i="1"/>
  <c r="AQ59" i="1"/>
  <c r="AP59" i="1"/>
  <c r="AQ58" i="1"/>
  <c r="AP58" i="1"/>
  <c r="AQ57" i="1"/>
  <c r="AP57" i="1"/>
  <c r="AQ56" i="1"/>
  <c r="AP56" i="1"/>
  <c r="AQ55" i="1"/>
  <c r="AP55" i="1"/>
  <c r="AQ54" i="1"/>
  <c r="AP54" i="1"/>
  <c r="AQ53" i="1"/>
  <c r="AP53" i="1"/>
  <c r="AQ52" i="1"/>
  <c r="AP52" i="1"/>
  <c r="AQ51" i="1"/>
  <c r="AP51" i="1"/>
  <c r="AQ50" i="1"/>
  <c r="AP50" i="1"/>
  <c r="AQ49" i="1"/>
  <c r="AP49" i="1"/>
  <c r="AQ48" i="1"/>
  <c r="AP48" i="1"/>
  <c r="AQ47" i="1"/>
  <c r="AP47" i="1"/>
  <c r="AQ46" i="1"/>
  <c r="AP46" i="1"/>
  <c r="AQ45" i="1"/>
  <c r="AP45" i="1"/>
  <c r="AQ44" i="1"/>
  <c r="AP44" i="1"/>
  <c r="AQ43" i="1"/>
  <c r="AP43" i="1"/>
  <c r="AQ42" i="1"/>
  <c r="AP42" i="1"/>
  <c r="AQ41" i="1"/>
  <c r="AP41" i="1"/>
  <c r="AQ40" i="1"/>
  <c r="AP40" i="1"/>
  <c r="AQ39" i="1"/>
  <c r="AP39" i="1"/>
  <c r="AQ38" i="1"/>
  <c r="AP38" i="1"/>
  <c r="AQ37" i="1"/>
  <c r="AP37" i="1"/>
  <c r="AQ36" i="1"/>
  <c r="AP36" i="1"/>
  <c r="AQ35" i="1"/>
  <c r="AP35" i="1"/>
  <c r="AQ34" i="1"/>
  <c r="AP34" i="1"/>
  <c r="AQ33" i="1"/>
  <c r="AP33" i="1"/>
  <c r="AQ32" i="1"/>
  <c r="AP32" i="1"/>
  <c r="AQ31" i="1"/>
  <c r="AP31" i="1"/>
  <c r="AQ30" i="1"/>
  <c r="AP30" i="1"/>
  <c r="AQ29" i="1"/>
  <c r="AP29" i="1"/>
  <c r="AQ28" i="1"/>
  <c r="AP28" i="1"/>
  <c r="AQ27" i="1"/>
  <c r="AP27" i="1"/>
  <c r="AQ26" i="1"/>
  <c r="AP26" i="1"/>
  <c r="AQ25" i="1"/>
  <c r="AP25" i="1"/>
  <c r="AQ24" i="1"/>
  <c r="AP24" i="1"/>
  <c r="AQ23" i="1"/>
  <c r="AP23" i="1"/>
  <c r="AQ22" i="1"/>
  <c r="AP22" i="1"/>
  <c r="AQ21" i="1"/>
  <c r="AP21" i="1"/>
  <c r="AQ20" i="1"/>
  <c r="AP20" i="1"/>
  <c r="AQ19" i="1"/>
  <c r="AP19" i="1"/>
  <c r="AQ18" i="1"/>
  <c r="AP18" i="1"/>
  <c r="AQ17" i="1"/>
  <c r="AP17" i="1"/>
  <c r="AQ16" i="1"/>
  <c r="AP16" i="1"/>
  <c r="AQ15" i="1"/>
  <c r="AP15" i="1"/>
  <c r="AQ14" i="1"/>
  <c r="AP14" i="1"/>
  <c r="AQ13" i="1"/>
  <c r="AP13" i="1"/>
  <c r="AQ12" i="1"/>
  <c r="AP12" i="1"/>
  <c r="AQ11" i="1"/>
  <c r="AP11" i="1"/>
  <c r="AQ10" i="1"/>
  <c r="AP10" i="1"/>
  <c r="AQ9" i="1"/>
  <c r="AP9" i="1"/>
  <c r="AQ8" i="1"/>
  <c r="AP8" i="1"/>
  <c r="AQ7" i="1"/>
  <c r="AP7" i="1"/>
  <c r="AQ6" i="1"/>
  <c r="AP6" i="1"/>
  <c r="AQ5" i="1"/>
  <c r="AP5" i="1"/>
  <c r="AN3" i="1"/>
  <c r="AM3" i="1"/>
  <c r="AK3" i="1"/>
  <c r="AJ3" i="1"/>
  <c r="AH3" i="1"/>
  <c r="AG3" i="1"/>
  <c r="AB3" i="1"/>
  <c r="AA3" i="1"/>
  <c r="AE3" i="1"/>
  <c r="AD3" i="1"/>
  <c r="Y3" i="1"/>
  <c r="X3" i="1"/>
  <c r="V3" i="1"/>
  <c r="U3" i="1"/>
  <c r="S3" i="1"/>
  <c r="R3" i="1"/>
  <c r="P3" i="1"/>
  <c r="O3" i="1"/>
  <c r="M3" i="1"/>
  <c r="L3" i="1"/>
  <c r="J3" i="1"/>
  <c r="I3" i="1"/>
  <c r="G3" i="1"/>
  <c r="F3" i="1"/>
  <c r="AO70" i="1"/>
  <c r="AO69" i="1"/>
  <c r="AO68" i="1"/>
  <c r="W70" i="1"/>
  <c r="W69" i="1"/>
  <c r="W68" i="1"/>
  <c r="AL70" i="1"/>
  <c r="AL69" i="1"/>
  <c r="AL68" i="1"/>
  <c r="AI70" i="1"/>
  <c r="AI69" i="1"/>
  <c r="AI68" i="1"/>
  <c r="AF70" i="1"/>
  <c r="AF69" i="1"/>
  <c r="AF68" i="1"/>
  <c r="AC70" i="1"/>
  <c r="AC69" i="1"/>
  <c r="AC68" i="1"/>
  <c r="Z70" i="1"/>
  <c r="Z69" i="1"/>
  <c r="Z68" i="1"/>
  <c r="T70" i="1"/>
  <c r="T69" i="1"/>
  <c r="T68" i="1"/>
  <c r="Q70" i="1"/>
  <c r="Q69" i="1"/>
  <c r="Q68" i="1"/>
  <c r="N70" i="1"/>
  <c r="N69" i="1"/>
  <c r="N68" i="1"/>
  <c r="K70" i="1"/>
  <c r="K69" i="1"/>
  <c r="K68" i="1"/>
  <c r="H70" i="1"/>
  <c r="H69" i="1"/>
  <c r="H68" i="1"/>
  <c r="E70" i="1"/>
  <c r="E69" i="1"/>
  <c r="E68" i="1"/>
  <c r="AQ4" i="1"/>
  <c r="K67" i="1"/>
  <c r="H67" i="1"/>
  <c r="E67" i="1"/>
  <c r="T67" i="1"/>
  <c r="Q67" i="1"/>
  <c r="N67" i="1"/>
  <c r="W67" i="1"/>
  <c r="Z67" i="1"/>
  <c r="AL67" i="1"/>
  <c r="AI67" i="1"/>
  <c r="AF67" i="1"/>
  <c r="AC67" i="1"/>
  <c r="AP4" i="1"/>
  <c r="AP3" i="1" l="1"/>
  <c r="AQ3" i="1"/>
  <c r="AO67" i="1"/>
  <c r="AL66" i="1"/>
  <c r="AL65" i="1"/>
  <c r="AL64" i="1"/>
  <c r="AL63" i="1"/>
  <c r="AL62" i="1"/>
  <c r="AL61" i="1"/>
  <c r="AL60" i="1"/>
  <c r="AL59" i="1"/>
  <c r="AL58" i="1"/>
  <c r="AL57" i="1"/>
  <c r="AL56" i="1"/>
  <c r="AL55" i="1"/>
  <c r="AL54" i="1"/>
  <c r="AL53" i="1"/>
  <c r="AL52" i="1"/>
  <c r="AL51" i="1"/>
  <c r="AL50" i="1"/>
  <c r="AL49" i="1"/>
  <c r="AL48" i="1"/>
  <c r="AL47" i="1"/>
  <c r="AL46" i="1"/>
  <c r="AL45" i="1"/>
  <c r="AI66" i="1"/>
  <c r="AI65" i="1"/>
  <c r="AI64" i="1"/>
  <c r="AI63" i="1"/>
  <c r="AI62" i="1"/>
  <c r="AI61" i="1"/>
  <c r="AI60" i="1"/>
  <c r="AI59" i="1"/>
  <c r="AI58" i="1"/>
  <c r="AI57" i="1"/>
  <c r="AI56" i="1"/>
  <c r="AI55" i="1"/>
  <c r="AI54" i="1"/>
  <c r="AI53" i="1"/>
  <c r="AI52" i="1"/>
  <c r="AI51" i="1"/>
  <c r="AI50" i="1"/>
  <c r="AI49" i="1"/>
  <c r="AI48" i="1"/>
  <c r="AI47" i="1"/>
  <c r="AI46" i="1"/>
  <c r="AI45" i="1"/>
  <c r="AF66" i="1"/>
  <c r="AF65" i="1"/>
  <c r="AF64" i="1"/>
  <c r="AF63" i="1"/>
  <c r="AF62" i="1"/>
  <c r="AF61" i="1"/>
  <c r="AF60" i="1"/>
  <c r="AF59" i="1"/>
  <c r="AF58" i="1"/>
  <c r="AF57" i="1"/>
  <c r="AF56" i="1"/>
  <c r="AF55" i="1"/>
  <c r="AF54" i="1"/>
  <c r="AF53" i="1"/>
  <c r="AF52" i="1"/>
  <c r="AF51" i="1"/>
  <c r="AF50" i="1"/>
  <c r="AF49" i="1"/>
  <c r="AF48" i="1"/>
  <c r="AF47" i="1"/>
  <c r="AF46" i="1"/>
  <c r="AF45" i="1"/>
  <c r="AC66" i="1"/>
  <c r="AC65" i="1"/>
  <c r="AC64" i="1"/>
  <c r="AC63" i="1"/>
  <c r="AC62" i="1"/>
  <c r="AC61" i="1"/>
  <c r="AC60" i="1"/>
  <c r="AC59" i="1"/>
  <c r="AC58" i="1"/>
  <c r="AC57" i="1"/>
  <c r="AC56" i="1"/>
  <c r="AC55" i="1"/>
  <c r="AC54" i="1"/>
  <c r="AC53" i="1"/>
  <c r="AC52" i="1"/>
  <c r="AC51" i="1"/>
  <c r="AC50" i="1"/>
  <c r="AC49" i="1"/>
  <c r="AC48" i="1"/>
  <c r="AC47" i="1"/>
  <c r="AC46" i="1"/>
  <c r="AC45" i="1"/>
  <c r="Z66" i="1"/>
  <c r="Z65" i="1"/>
  <c r="Z64" i="1"/>
  <c r="Z63" i="1"/>
  <c r="Z62" i="1"/>
  <c r="Z61" i="1"/>
  <c r="Z60" i="1"/>
  <c r="Z59" i="1"/>
  <c r="Z58" i="1"/>
  <c r="Z57" i="1"/>
  <c r="Z56" i="1"/>
  <c r="Z55" i="1"/>
  <c r="Z54" i="1"/>
  <c r="Z53" i="1"/>
  <c r="Z52" i="1"/>
  <c r="Z51" i="1"/>
  <c r="Z50" i="1"/>
  <c r="Z49" i="1"/>
  <c r="Z48" i="1"/>
  <c r="Z47" i="1"/>
  <c r="Z46" i="1"/>
  <c r="Z45" i="1"/>
  <c r="W66" i="1"/>
  <c r="W65" i="1"/>
  <c r="W64" i="1"/>
  <c r="W63" i="1"/>
  <c r="W62" i="1"/>
  <c r="W61" i="1"/>
  <c r="W60" i="1"/>
  <c r="W59" i="1"/>
  <c r="W58" i="1"/>
  <c r="W57" i="1"/>
  <c r="W56" i="1"/>
  <c r="W55" i="1"/>
  <c r="W54" i="1"/>
  <c r="W53" i="1"/>
  <c r="W52" i="1"/>
  <c r="W51" i="1"/>
  <c r="W50" i="1"/>
  <c r="W49" i="1"/>
  <c r="W48" i="1"/>
  <c r="W47" i="1"/>
  <c r="W46" i="1"/>
  <c r="W45" i="1"/>
  <c r="T66" i="1"/>
  <c r="T65" i="1"/>
  <c r="T64" i="1"/>
  <c r="T63" i="1"/>
  <c r="T62" i="1"/>
  <c r="T61" i="1"/>
  <c r="T60" i="1"/>
  <c r="T59" i="1"/>
  <c r="T58" i="1"/>
  <c r="T57" i="1"/>
  <c r="T56" i="1"/>
  <c r="T55" i="1"/>
  <c r="T54" i="1"/>
  <c r="T53" i="1"/>
  <c r="T52" i="1"/>
  <c r="T51" i="1"/>
  <c r="T50" i="1"/>
  <c r="T49" i="1"/>
  <c r="T48" i="1"/>
  <c r="T47" i="1"/>
  <c r="T46" i="1"/>
  <c r="T45" i="1"/>
  <c r="Q66" i="1"/>
  <c r="Q65" i="1"/>
  <c r="Q64" i="1"/>
  <c r="Q63" i="1"/>
  <c r="Q62" i="1"/>
  <c r="Q61" i="1"/>
  <c r="Q60" i="1"/>
  <c r="Q59" i="1"/>
  <c r="Q58" i="1"/>
  <c r="Q57" i="1"/>
  <c r="Q56" i="1"/>
  <c r="Q55" i="1"/>
  <c r="Q54" i="1"/>
  <c r="Q53" i="1"/>
  <c r="Q52" i="1"/>
  <c r="Q51" i="1"/>
  <c r="Q50" i="1"/>
  <c r="Q49" i="1"/>
  <c r="Q48" i="1"/>
  <c r="Q47" i="1"/>
  <c r="Q46" i="1"/>
  <c r="Q45" i="1"/>
  <c r="N66" i="1"/>
  <c r="N65" i="1"/>
  <c r="N64" i="1"/>
  <c r="N63" i="1"/>
  <c r="N62" i="1"/>
  <c r="N61" i="1"/>
  <c r="N60" i="1"/>
  <c r="N59" i="1"/>
  <c r="N58" i="1"/>
  <c r="N57" i="1"/>
  <c r="N56" i="1"/>
  <c r="N55" i="1"/>
  <c r="N54" i="1"/>
  <c r="N53" i="1"/>
  <c r="N52" i="1"/>
  <c r="N51" i="1"/>
  <c r="N50" i="1"/>
  <c r="N49" i="1"/>
  <c r="N48" i="1"/>
  <c r="N47" i="1"/>
  <c r="N46" i="1"/>
  <c r="N45" i="1"/>
  <c r="K66" i="1"/>
  <c r="K65" i="1"/>
  <c r="K64" i="1"/>
  <c r="K63" i="1"/>
  <c r="K62" i="1"/>
  <c r="K61" i="1"/>
  <c r="K60" i="1"/>
  <c r="K59" i="1"/>
  <c r="K58" i="1"/>
  <c r="K57" i="1"/>
  <c r="K56" i="1"/>
  <c r="K55" i="1"/>
  <c r="K54" i="1"/>
  <c r="K53" i="1"/>
  <c r="K52" i="1"/>
  <c r="K51" i="1"/>
  <c r="K50" i="1"/>
  <c r="K49" i="1"/>
  <c r="K48" i="1"/>
  <c r="K47" i="1"/>
  <c r="K46" i="1"/>
  <c r="K45" i="1"/>
  <c r="H66" i="1"/>
  <c r="H65" i="1"/>
  <c r="H64" i="1"/>
  <c r="H63" i="1"/>
  <c r="H62" i="1"/>
  <c r="H61" i="1"/>
  <c r="H60" i="1"/>
  <c r="H59" i="1"/>
  <c r="H58" i="1"/>
  <c r="H57" i="1"/>
  <c r="H56" i="1"/>
  <c r="H55" i="1"/>
  <c r="H54" i="1"/>
  <c r="H53" i="1"/>
  <c r="H52" i="1"/>
  <c r="H51" i="1"/>
  <c r="H50" i="1"/>
  <c r="H49" i="1"/>
  <c r="H48" i="1"/>
  <c r="H47" i="1"/>
  <c r="H46" i="1"/>
  <c r="H45" i="1"/>
  <c r="E66" i="1"/>
  <c r="E65" i="1"/>
  <c r="E64" i="1"/>
  <c r="E63" i="1"/>
  <c r="E62" i="1"/>
  <c r="E61" i="1"/>
  <c r="E60" i="1"/>
  <c r="E59" i="1"/>
  <c r="E58" i="1"/>
  <c r="E57" i="1"/>
  <c r="E56" i="1"/>
  <c r="E55" i="1"/>
  <c r="E54" i="1"/>
  <c r="E53" i="1"/>
  <c r="E52" i="1"/>
  <c r="E51" i="1"/>
  <c r="E50" i="1"/>
  <c r="E49" i="1"/>
  <c r="E48" i="1"/>
  <c r="E47" i="1"/>
  <c r="E46" i="1"/>
  <c r="E45" i="1"/>
  <c r="AO50" i="1" l="1"/>
  <c r="AO62" i="1"/>
  <c r="AO46" i="1"/>
  <c r="AO54" i="1"/>
  <c r="AO58" i="1"/>
  <c r="AO66" i="1"/>
  <c r="AO45" i="1"/>
  <c r="AO49" i="1"/>
  <c r="AO53" i="1"/>
  <c r="AO57" i="1"/>
  <c r="AO65" i="1"/>
  <c r="AO61" i="1"/>
  <c r="AO63" i="1"/>
  <c r="AO55" i="1"/>
  <c r="AO47" i="1"/>
  <c r="AO59" i="1"/>
  <c r="AO51" i="1"/>
  <c r="AO52" i="1"/>
  <c r="AO64" i="1"/>
  <c r="AO48" i="1"/>
  <c r="AO60" i="1"/>
  <c r="AO56" i="1"/>
  <c r="AC3" i="1"/>
  <c r="Q3" i="1"/>
  <c r="AL3" i="1"/>
  <c r="AF3" i="1"/>
  <c r="W3" i="1"/>
  <c r="T3" i="1"/>
  <c r="N3" i="1"/>
  <c r="K3" i="1"/>
  <c r="H3" i="1"/>
  <c r="N43" i="1"/>
  <c r="AL44" i="1"/>
  <c r="AL43" i="1"/>
  <c r="AL42" i="1"/>
  <c r="AL41" i="1"/>
  <c r="AL40" i="1"/>
  <c r="AL39" i="1"/>
  <c r="AL38" i="1"/>
  <c r="AL37" i="1"/>
  <c r="AL36" i="1"/>
  <c r="AL35" i="1"/>
  <c r="AL34" i="1"/>
  <c r="AL33" i="1"/>
  <c r="AL32" i="1"/>
  <c r="AL31" i="1"/>
  <c r="AL30" i="1"/>
  <c r="AL29" i="1"/>
  <c r="AL28" i="1"/>
  <c r="AL27" i="1"/>
  <c r="AL26" i="1"/>
  <c r="AL25" i="1"/>
  <c r="AL24" i="1"/>
  <c r="AL23" i="1"/>
  <c r="AL22" i="1"/>
  <c r="AL21" i="1"/>
  <c r="AL20" i="1"/>
  <c r="AL19" i="1"/>
  <c r="AL18" i="1"/>
  <c r="AL17" i="1"/>
  <c r="AL16" i="1"/>
  <c r="AL15" i="1"/>
  <c r="AL14" i="1"/>
  <c r="AL13" i="1"/>
  <c r="AL12" i="1"/>
  <c r="AL11" i="1"/>
  <c r="AL10" i="1"/>
  <c r="AL9" i="1"/>
  <c r="AL8" i="1"/>
  <c r="AL7" i="1"/>
  <c r="AL6" i="1"/>
  <c r="AL5" i="1"/>
  <c r="AL4" i="1"/>
  <c r="AI44" i="1"/>
  <c r="AI43" i="1"/>
  <c r="AI42" i="1"/>
  <c r="AI41" i="1"/>
  <c r="AI40" i="1"/>
  <c r="AI39" i="1"/>
  <c r="AI38" i="1"/>
  <c r="AI37" i="1"/>
  <c r="AI36" i="1"/>
  <c r="AI35" i="1"/>
  <c r="AI34" i="1"/>
  <c r="AI33" i="1"/>
  <c r="AI32" i="1"/>
  <c r="AI31" i="1"/>
  <c r="AI30" i="1"/>
  <c r="AI29" i="1"/>
  <c r="AI28" i="1"/>
  <c r="AI27" i="1"/>
  <c r="AI26" i="1"/>
  <c r="AI25" i="1"/>
  <c r="AI24" i="1"/>
  <c r="AI23" i="1"/>
  <c r="AI22" i="1"/>
  <c r="AI21" i="1"/>
  <c r="AI20" i="1"/>
  <c r="AI19" i="1"/>
  <c r="AI18" i="1"/>
  <c r="AI17" i="1"/>
  <c r="AI16" i="1"/>
  <c r="AI15" i="1"/>
  <c r="AI14" i="1"/>
  <c r="AI13" i="1"/>
  <c r="AI12" i="1"/>
  <c r="AI11" i="1"/>
  <c r="AI10" i="1"/>
  <c r="AI9" i="1"/>
  <c r="AI8" i="1"/>
  <c r="AI7" i="1"/>
  <c r="AI6" i="1"/>
  <c r="AI5" i="1"/>
  <c r="AI4" i="1"/>
  <c r="AF44" i="1"/>
  <c r="AF43" i="1"/>
  <c r="AF42" i="1"/>
  <c r="AF41" i="1"/>
  <c r="AF40" i="1"/>
  <c r="AF39" i="1"/>
  <c r="AF38" i="1"/>
  <c r="AF37" i="1"/>
  <c r="AF36" i="1"/>
  <c r="AF35" i="1"/>
  <c r="AF34" i="1"/>
  <c r="AF33" i="1"/>
  <c r="AF32" i="1"/>
  <c r="AF31" i="1"/>
  <c r="AF30" i="1"/>
  <c r="AF29" i="1"/>
  <c r="AF28" i="1"/>
  <c r="AF27" i="1"/>
  <c r="AF26" i="1"/>
  <c r="AF25" i="1"/>
  <c r="AF24" i="1"/>
  <c r="AF23" i="1"/>
  <c r="AF22" i="1"/>
  <c r="AF21" i="1"/>
  <c r="AF20" i="1"/>
  <c r="AF19" i="1"/>
  <c r="AF18" i="1"/>
  <c r="AF17" i="1"/>
  <c r="AF16" i="1"/>
  <c r="AF15" i="1"/>
  <c r="AF14" i="1"/>
  <c r="AF13" i="1"/>
  <c r="AF12" i="1"/>
  <c r="AF11" i="1"/>
  <c r="AF10" i="1"/>
  <c r="AF9" i="1"/>
  <c r="AF8" i="1"/>
  <c r="AF7" i="1"/>
  <c r="AF6" i="1"/>
  <c r="AF5" i="1"/>
  <c r="AF4" i="1"/>
  <c r="AC44" i="1"/>
  <c r="AC43" i="1"/>
  <c r="AC42" i="1"/>
  <c r="AC41" i="1"/>
  <c r="AC40" i="1"/>
  <c r="AC39" i="1"/>
  <c r="AC38" i="1"/>
  <c r="AC37" i="1"/>
  <c r="AC36" i="1"/>
  <c r="AC35" i="1"/>
  <c r="AC34" i="1"/>
  <c r="AC33" i="1"/>
  <c r="AC32" i="1"/>
  <c r="AC31" i="1"/>
  <c r="AC30" i="1"/>
  <c r="AC29" i="1"/>
  <c r="AC28" i="1"/>
  <c r="AC27" i="1"/>
  <c r="AC26" i="1"/>
  <c r="AC25" i="1"/>
  <c r="AC24" i="1"/>
  <c r="AC23" i="1"/>
  <c r="AC22" i="1"/>
  <c r="AC21" i="1"/>
  <c r="AC20" i="1"/>
  <c r="AC19" i="1"/>
  <c r="AC18" i="1"/>
  <c r="AC17" i="1"/>
  <c r="AC16" i="1"/>
  <c r="AC15" i="1"/>
  <c r="AC14" i="1"/>
  <c r="AC13" i="1"/>
  <c r="AC12" i="1"/>
  <c r="AC11" i="1"/>
  <c r="AC10" i="1"/>
  <c r="AC9" i="1"/>
  <c r="AC8" i="1"/>
  <c r="AC7" i="1"/>
  <c r="AC6" i="1"/>
  <c r="AC5" i="1"/>
  <c r="AC4" i="1"/>
  <c r="Z44" i="1"/>
  <c r="Z43" i="1"/>
  <c r="Z42" i="1"/>
  <c r="Z41" i="1"/>
  <c r="Z40" i="1"/>
  <c r="Z39" i="1"/>
  <c r="Z38" i="1"/>
  <c r="Z37" i="1"/>
  <c r="Z36" i="1"/>
  <c r="Z35" i="1"/>
  <c r="Z34" i="1"/>
  <c r="Z33" i="1"/>
  <c r="Z32" i="1"/>
  <c r="Z31" i="1"/>
  <c r="Z30" i="1"/>
  <c r="Z29" i="1"/>
  <c r="Z28" i="1"/>
  <c r="Z27" i="1"/>
  <c r="Z26" i="1"/>
  <c r="Z25" i="1"/>
  <c r="Z24" i="1"/>
  <c r="Z23" i="1"/>
  <c r="Z22" i="1"/>
  <c r="Z21" i="1"/>
  <c r="Z20" i="1"/>
  <c r="Z19" i="1"/>
  <c r="Z18" i="1"/>
  <c r="Z17" i="1"/>
  <c r="Z16" i="1"/>
  <c r="Z15" i="1"/>
  <c r="Z14" i="1"/>
  <c r="Z13" i="1"/>
  <c r="Z12" i="1"/>
  <c r="Z11" i="1"/>
  <c r="Z10" i="1"/>
  <c r="Z9" i="1"/>
  <c r="Z8" i="1"/>
  <c r="Z7" i="1"/>
  <c r="Z6" i="1"/>
  <c r="Z5" i="1"/>
  <c r="Z4" i="1"/>
  <c r="W44" i="1"/>
  <c r="W43" i="1"/>
  <c r="W42" i="1"/>
  <c r="W41" i="1"/>
  <c r="W40" i="1"/>
  <c r="W39" i="1"/>
  <c r="W38" i="1"/>
  <c r="W37" i="1"/>
  <c r="W36" i="1"/>
  <c r="W35" i="1"/>
  <c r="W34" i="1"/>
  <c r="W33" i="1"/>
  <c r="W32" i="1"/>
  <c r="W31" i="1"/>
  <c r="W30" i="1"/>
  <c r="W29" i="1"/>
  <c r="W28" i="1"/>
  <c r="W27" i="1"/>
  <c r="W26" i="1"/>
  <c r="W25" i="1"/>
  <c r="W24" i="1"/>
  <c r="W23" i="1"/>
  <c r="W22" i="1"/>
  <c r="W21" i="1"/>
  <c r="W20" i="1"/>
  <c r="W19" i="1"/>
  <c r="W18" i="1"/>
  <c r="W17" i="1"/>
  <c r="W16" i="1"/>
  <c r="W15" i="1"/>
  <c r="W14" i="1"/>
  <c r="W13" i="1"/>
  <c r="W12" i="1"/>
  <c r="W11" i="1"/>
  <c r="W10" i="1"/>
  <c r="W9" i="1"/>
  <c r="W8" i="1"/>
  <c r="W7" i="1"/>
  <c r="W6" i="1"/>
  <c r="W5" i="1"/>
  <c r="W4" i="1"/>
  <c r="T44" i="1"/>
  <c r="T43" i="1"/>
  <c r="T42" i="1"/>
  <c r="T41" i="1"/>
  <c r="T40" i="1"/>
  <c r="T39" i="1"/>
  <c r="T38" i="1"/>
  <c r="T37" i="1"/>
  <c r="T36" i="1"/>
  <c r="T35" i="1"/>
  <c r="T34" i="1"/>
  <c r="T33" i="1"/>
  <c r="T32" i="1"/>
  <c r="T31" i="1"/>
  <c r="T30" i="1"/>
  <c r="T29" i="1"/>
  <c r="T28" i="1"/>
  <c r="T27" i="1"/>
  <c r="T26" i="1"/>
  <c r="T25" i="1"/>
  <c r="T24" i="1"/>
  <c r="T23" i="1"/>
  <c r="T22" i="1"/>
  <c r="T21" i="1"/>
  <c r="T20" i="1"/>
  <c r="T19" i="1"/>
  <c r="T18" i="1"/>
  <c r="T17" i="1"/>
  <c r="T16" i="1"/>
  <c r="T15" i="1"/>
  <c r="T14" i="1"/>
  <c r="T13" i="1"/>
  <c r="T12" i="1"/>
  <c r="T11" i="1"/>
  <c r="T10" i="1"/>
  <c r="T9" i="1"/>
  <c r="T8" i="1"/>
  <c r="T7" i="1"/>
  <c r="T6" i="1"/>
  <c r="T5" i="1"/>
  <c r="T4" i="1"/>
  <c r="Q44" i="1"/>
  <c r="Q43" i="1"/>
  <c r="Q42" i="1"/>
  <c r="Q41" i="1"/>
  <c r="Q40" i="1"/>
  <c r="Q39" i="1"/>
  <c r="Q38" i="1"/>
  <c r="Q37" i="1"/>
  <c r="Q36" i="1"/>
  <c r="Q35" i="1"/>
  <c r="Q34" i="1"/>
  <c r="Q33" i="1"/>
  <c r="Q32" i="1"/>
  <c r="Q31" i="1"/>
  <c r="Q30" i="1"/>
  <c r="Q29" i="1"/>
  <c r="Q28" i="1"/>
  <c r="Q27" i="1"/>
  <c r="Q26" i="1"/>
  <c r="Q25" i="1"/>
  <c r="Q24" i="1"/>
  <c r="Q23" i="1"/>
  <c r="Q22" i="1"/>
  <c r="Q21" i="1"/>
  <c r="Q20" i="1"/>
  <c r="Q19" i="1"/>
  <c r="Q18" i="1"/>
  <c r="Q17" i="1"/>
  <c r="Q16" i="1"/>
  <c r="Q15" i="1"/>
  <c r="Q14" i="1"/>
  <c r="Q13" i="1"/>
  <c r="Q12" i="1"/>
  <c r="Q11" i="1"/>
  <c r="Q10" i="1"/>
  <c r="Q9" i="1"/>
  <c r="Q8" i="1"/>
  <c r="Q7" i="1"/>
  <c r="Q6" i="1"/>
  <c r="Q5" i="1"/>
  <c r="Q4" i="1"/>
  <c r="N44" i="1"/>
  <c r="N42" i="1"/>
  <c r="N41" i="1"/>
  <c r="N40" i="1"/>
  <c r="N39" i="1"/>
  <c r="N38" i="1"/>
  <c r="N37" i="1"/>
  <c r="N36" i="1"/>
  <c r="N35" i="1"/>
  <c r="N34" i="1"/>
  <c r="N33" i="1"/>
  <c r="N32" i="1"/>
  <c r="N31" i="1"/>
  <c r="N30" i="1"/>
  <c r="N29" i="1"/>
  <c r="N28" i="1"/>
  <c r="N27" i="1"/>
  <c r="N26" i="1"/>
  <c r="N25" i="1"/>
  <c r="N24" i="1"/>
  <c r="N23" i="1"/>
  <c r="N22" i="1"/>
  <c r="N21" i="1"/>
  <c r="N20" i="1"/>
  <c r="N19" i="1"/>
  <c r="N18" i="1"/>
  <c r="N17" i="1"/>
  <c r="N16" i="1"/>
  <c r="N15" i="1"/>
  <c r="N14" i="1"/>
  <c r="N13" i="1"/>
  <c r="N12" i="1"/>
  <c r="N11" i="1"/>
  <c r="N10" i="1"/>
  <c r="N9" i="1"/>
  <c r="N8" i="1"/>
  <c r="N7" i="1"/>
  <c r="N6" i="1"/>
  <c r="N5" i="1"/>
  <c r="N4" i="1"/>
  <c r="K44" i="1"/>
  <c r="K43" i="1"/>
  <c r="K42" i="1"/>
  <c r="K41" i="1"/>
  <c r="K40" i="1"/>
  <c r="K39" i="1"/>
  <c r="K38" i="1"/>
  <c r="K37" i="1"/>
  <c r="K36" i="1"/>
  <c r="K35" i="1"/>
  <c r="K34" i="1"/>
  <c r="K33" i="1"/>
  <c r="K32" i="1"/>
  <c r="K31" i="1"/>
  <c r="K30" i="1"/>
  <c r="K29" i="1"/>
  <c r="K28" i="1"/>
  <c r="K27" i="1"/>
  <c r="K26" i="1"/>
  <c r="K25" i="1"/>
  <c r="K24" i="1"/>
  <c r="K23" i="1"/>
  <c r="K22" i="1"/>
  <c r="K21" i="1"/>
  <c r="K20" i="1"/>
  <c r="K19" i="1"/>
  <c r="K18" i="1"/>
  <c r="K17" i="1"/>
  <c r="K16" i="1"/>
  <c r="K15" i="1"/>
  <c r="K14" i="1"/>
  <c r="K13" i="1"/>
  <c r="K12" i="1"/>
  <c r="K11" i="1"/>
  <c r="K10" i="1"/>
  <c r="K9" i="1"/>
  <c r="K8" i="1"/>
  <c r="K7" i="1"/>
  <c r="K6" i="1"/>
  <c r="K5" i="1"/>
  <c r="K4" i="1"/>
  <c r="H44" i="1"/>
  <c r="H43" i="1"/>
  <c r="H42" i="1"/>
  <c r="H41" i="1"/>
  <c r="H40" i="1"/>
  <c r="H39" i="1"/>
  <c r="H38" i="1"/>
  <c r="H37" i="1"/>
  <c r="H36" i="1"/>
  <c r="H35" i="1"/>
  <c r="H34" i="1"/>
  <c r="H33" i="1"/>
  <c r="H32" i="1"/>
  <c r="H31" i="1"/>
  <c r="H30" i="1"/>
  <c r="H29" i="1"/>
  <c r="H28" i="1"/>
  <c r="H27" i="1"/>
  <c r="H26" i="1"/>
  <c r="H25" i="1"/>
  <c r="H24" i="1"/>
  <c r="H23" i="1"/>
  <c r="H22" i="1"/>
  <c r="H21" i="1"/>
  <c r="H20" i="1"/>
  <c r="H19" i="1"/>
  <c r="H18" i="1"/>
  <c r="H17" i="1"/>
  <c r="H16" i="1"/>
  <c r="H15" i="1"/>
  <c r="H14" i="1"/>
  <c r="H13" i="1"/>
  <c r="H12" i="1"/>
  <c r="H11" i="1"/>
  <c r="H10" i="1"/>
  <c r="H9" i="1"/>
  <c r="H8" i="1"/>
  <c r="H7" i="1"/>
  <c r="H6" i="1"/>
  <c r="H5" i="1"/>
  <c r="H4" i="1"/>
  <c r="E44" i="1"/>
  <c r="E43" i="1"/>
  <c r="E42" i="1"/>
  <c r="E41" i="1"/>
  <c r="E40" i="1"/>
  <c r="E39" i="1"/>
  <c r="E38" i="1"/>
  <c r="E37" i="1"/>
  <c r="E36" i="1"/>
  <c r="E35" i="1"/>
  <c r="E34" i="1"/>
  <c r="E33" i="1"/>
  <c r="E32" i="1"/>
  <c r="E31" i="1"/>
  <c r="E30" i="1"/>
  <c r="E29" i="1"/>
  <c r="E28" i="1"/>
  <c r="E27" i="1"/>
  <c r="E26" i="1"/>
  <c r="E25" i="1"/>
  <c r="E24" i="1"/>
  <c r="E23" i="1"/>
  <c r="E22" i="1"/>
  <c r="E21" i="1"/>
  <c r="E20" i="1"/>
  <c r="E19" i="1"/>
  <c r="E18" i="1"/>
  <c r="E17" i="1"/>
  <c r="E16" i="1"/>
  <c r="E15" i="1"/>
  <c r="E14" i="1"/>
  <c r="E13" i="1"/>
  <c r="E11" i="1"/>
  <c r="E10" i="1"/>
  <c r="E9" i="1"/>
  <c r="E8" i="1"/>
  <c r="E7" i="1"/>
  <c r="E6" i="1"/>
  <c r="E5" i="1"/>
  <c r="E4" i="1"/>
  <c r="E12" i="1"/>
  <c r="AI3" i="1" l="1"/>
  <c r="Z3" i="1"/>
  <c r="AO7" i="1"/>
  <c r="AO15" i="1"/>
  <c r="E3" i="1"/>
  <c r="AO10" i="1"/>
  <c r="AO18" i="1"/>
  <c r="AO26" i="1"/>
  <c r="AO34" i="1"/>
  <c r="AO42" i="1"/>
  <c r="AO11" i="1"/>
  <c r="AO27" i="1"/>
  <c r="AO35" i="1"/>
  <c r="AO43" i="1"/>
  <c r="AO20" i="1"/>
  <c r="AO28" i="1"/>
  <c r="AO36" i="1"/>
  <c r="AO44" i="1"/>
  <c r="AO5" i="1"/>
  <c r="AO13" i="1"/>
  <c r="AO21" i="1"/>
  <c r="AO29" i="1"/>
  <c r="AO37" i="1"/>
  <c r="AO6" i="1"/>
  <c r="AO14" i="1"/>
  <c r="AO22" i="1"/>
  <c r="AO30" i="1"/>
  <c r="AO38" i="1"/>
  <c r="AO31" i="1"/>
  <c r="AO39" i="1"/>
  <c r="AO8" i="1"/>
  <c r="AO16" i="1"/>
  <c r="AO24" i="1"/>
  <c r="AO32" i="1"/>
  <c r="AO40" i="1"/>
  <c r="AO9" i="1"/>
  <c r="AO17" i="1"/>
  <c r="AO25" i="1"/>
  <c r="AO33" i="1"/>
  <c r="AO41" i="1"/>
  <c r="AO19" i="1"/>
  <c r="AO23" i="1"/>
  <c r="AO3" i="1" l="1"/>
  <c r="AO4" i="1"/>
  <c r="AO12" i="1"/>
</calcChain>
</file>

<file path=xl/sharedStrings.xml><?xml version="1.0" encoding="utf-8"?>
<sst xmlns="http://schemas.openxmlformats.org/spreadsheetml/2006/main" count="132" uniqueCount="96">
  <si>
    <t>January</t>
  </si>
  <si>
    <t>February</t>
  </si>
  <si>
    <t>March</t>
  </si>
  <si>
    <t>April</t>
  </si>
  <si>
    <t>May</t>
  </si>
  <si>
    <t>June</t>
  </si>
  <si>
    <t>July</t>
  </si>
  <si>
    <t>August</t>
  </si>
  <si>
    <t>September</t>
  </si>
  <si>
    <t>October</t>
  </si>
  <si>
    <t>November</t>
  </si>
  <si>
    <t>December</t>
  </si>
  <si>
    <t>Total</t>
  </si>
  <si>
    <t>Unit of Measure</t>
  </si>
  <si>
    <t>Unit Value</t>
  </si>
  <si>
    <t>Qty</t>
  </si>
  <si>
    <t>World Total</t>
  </si>
  <si>
    <t>MT</t>
  </si>
  <si>
    <t>Costa Rica</t>
  </si>
  <si>
    <t>Australia(*)</t>
  </si>
  <si>
    <t>Canada</t>
  </si>
  <si>
    <t>Colombia</t>
  </si>
  <si>
    <t>Dominican Republic</t>
  </si>
  <si>
    <t>Korea, South</t>
  </si>
  <si>
    <t>Jamaica</t>
  </si>
  <si>
    <t>Mexico</t>
  </si>
  <si>
    <t>United Arab Emirates</t>
  </si>
  <si>
    <t>Barbados</t>
  </si>
  <si>
    <t>Bahamas, The</t>
  </si>
  <si>
    <t>Belize</t>
  </si>
  <si>
    <t>China</t>
  </si>
  <si>
    <t>El Salvador</t>
  </si>
  <si>
    <t>Guatemala</t>
  </si>
  <si>
    <t>Honduras</t>
  </si>
  <si>
    <t>Italy(*)</t>
  </si>
  <si>
    <t>Japan</t>
  </si>
  <si>
    <t>Netherlands</t>
  </si>
  <si>
    <t>Nicaragua</t>
  </si>
  <si>
    <t>Panama</t>
  </si>
  <si>
    <t>Trinidad and Tobago</t>
  </si>
  <si>
    <t>Venezuela</t>
  </si>
  <si>
    <t>Leeward-Windward Islands(*)</t>
  </si>
  <si>
    <t>Notes:</t>
  </si>
  <si>
    <t>2. (*) denotes a country that is a summarization of its component countries.</t>
  </si>
  <si>
    <t>3. Users should use cautious interpretation on QUANTITY reports using mixed units of measure. QUANTITY line items will only include statistics on the units of measure that are equal to, or are able to be converted to, the assigned unit of measure of the grouped commodities.</t>
  </si>
  <si>
    <t>Country</t>
    <phoneticPr fontId="18" type="noConversion"/>
  </si>
  <si>
    <t>Value</t>
    <phoneticPr fontId="18" type="noConversion"/>
  </si>
  <si>
    <t>USD</t>
    <phoneticPr fontId="18" type="noConversion"/>
  </si>
  <si>
    <t>Value</t>
    <phoneticPr fontId="18" type="noConversion"/>
  </si>
  <si>
    <t>Bahrain</t>
  </si>
  <si>
    <t>Guyana</t>
  </si>
  <si>
    <t>Hong Kong</t>
  </si>
  <si>
    <t>Jordan</t>
  </si>
  <si>
    <t>Netherlands Antilles(*)</t>
  </si>
  <si>
    <t>Singapore</t>
  </si>
  <si>
    <t>Saudi Arabia</t>
  </si>
  <si>
    <t>Kuwait</t>
  </si>
  <si>
    <t>Chile</t>
  </si>
  <si>
    <t>Lebanon</t>
  </si>
  <si>
    <t>Qatar</t>
  </si>
  <si>
    <t>India</t>
  </si>
  <si>
    <t>Cayman Islands</t>
  </si>
  <si>
    <t>Bermuda</t>
  </si>
  <si>
    <t>Belgium-Luxembourg(*)</t>
  </si>
  <si>
    <t>Bangladesh</t>
  </si>
  <si>
    <t>Brazil</t>
  </si>
  <si>
    <t>Brunei</t>
  </si>
  <si>
    <t>Cuba</t>
  </si>
  <si>
    <t>Equatorial Guinea</t>
  </si>
  <si>
    <t>France(*)</t>
  </si>
  <si>
    <t>Iceland</t>
  </si>
  <si>
    <t>Indonesia</t>
  </si>
  <si>
    <t>Iraq</t>
  </si>
  <si>
    <t>Peru</t>
  </si>
  <si>
    <t>Philippines</t>
  </si>
  <si>
    <t>Russia</t>
  </si>
  <si>
    <t>United Kingdom</t>
  </si>
  <si>
    <t>1. Data Source: U.S. Census Bureau Trade Data</t>
  </si>
  <si>
    <t>4. Product Group : Harmonized</t>
  </si>
  <si>
    <t>Product</t>
    <phoneticPr fontId="18" type="noConversion"/>
  </si>
  <si>
    <t>Israel(*)</t>
  </si>
  <si>
    <t>Spain</t>
  </si>
  <si>
    <t>Haiti</t>
  </si>
  <si>
    <t>Malaysia</t>
  </si>
  <si>
    <t>Suriname</t>
  </si>
  <si>
    <t>Taiwan</t>
  </si>
  <si>
    <t>SOY OIL FLY-RFND</t>
    <phoneticPr fontId="18" type="noConversion"/>
  </si>
  <si>
    <t>South Africa</t>
  </si>
  <si>
    <t>French West Indies(*)</t>
  </si>
  <si>
    <t>Greece</t>
  </si>
  <si>
    <t>Uganda</t>
  </si>
  <si>
    <t>Uruguay</t>
  </si>
  <si>
    <t>Ireland</t>
  </si>
  <si>
    <t>Niger</t>
  </si>
  <si>
    <t>Libya</t>
  </si>
  <si>
    <t>Switzerland(*)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</si>
</sst>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76" formatCode="#,##0.0_);[Red]\(#,##0.0\)"/>
    <numFmt numFmtId="177" formatCode="#,##0.0_ "/>
  </numFmts>
  <fonts count="19" x14ac:knownFonts="1">
    <font>
      <sz val="11"/>
      <color theme="1"/>
      <name val="맑은 고딕"/>
      <family val="2"/>
      <charset val="129"/>
      <scheme val="minor"/>
    </font>
    <font>
      <sz val="11"/>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65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8"/>
      <name val="맑은 고딕"/>
      <family val="2"/>
      <charset val="129"/>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rgb="FFDDEBF7"/>
        <bgColor indexed="64"/>
      </patternFill>
    </fill>
  </fills>
  <borders count="2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top style="thin">
        <color indexed="64"/>
      </top>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7"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7"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7"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7"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7"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7" fillId="32" borderId="0" applyNumberFormat="0" applyBorder="0" applyAlignment="0" applyProtection="0">
      <alignment vertical="center"/>
    </xf>
  </cellStyleXfs>
  <cellXfs count="31">
    <xf numFmtId="0" fontId="0" fillId="0" borderId="0" xfId="0">
      <alignment vertical="center"/>
    </xf>
    <xf numFmtId="49" fontId="0" fillId="0" borderId="0" xfId="0" applyNumberFormat="1">
      <alignment vertical="center"/>
    </xf>
    <xf numFmtId="49" fontId="0" fillId="0" borderId="0" xfId="0" applyNumberFormat="1" applyAlignment="1">
      <alignment horizontal="center" vertical="center"/>
    </xf>
    <xf numFmtId="176" fontId="0" fillId="0" borderId="0" xfId="0" applyNumberFormat="1" applyAlignment="1">
      <alignment horizontal="center" vertical="center"/>
    </xf>
    <xf numFmtId="49" fontId="0" fillId="0" borderId="16" xfId="0" applyNumberFormat="1" applyBorder="1" applyAlignment="1">
      <alignment horizontal="center" vertical="center"/>
    </xf>
    <xf numFmtId="49" fontId="0" fillId="0" borderId="17" xfId="0" applyNumberFormat="1" applyBorder="1" applyAlignment="1">
      <alignment horizontal="center" vertical="center"/>
    </xf>
    <xf numFmtId="176" fontId="0" fillId="0" borderId="18" xfId="0" applyNumberFormat="1" applyBorder="1" applyAlignment="1">
      <alignment horizontal="center" vertical="center"/>
    </xf>
    <xf numFmtId="177" fontId="0" fillId="0" borderId="0" xfId="0" applyNumberFormat="1" applyAlignment="1">
      <alignment horizontal="center" vertical="center"/>
    </xf>
    <xf numFmtId="177" fontId="0" fillId="0" borderId="18" xfId="0" applyNumberFormat="1" applyBorder="1" applyAlignment="1">
      <alignment horizontal="center" vertical="center"/>
    </xf>
    <xf numFmtId="176" fontId="0" fillId="0" borderId="0" xfId="0" applyNumberFormat="1" applyBorder="1" applyAlignment="1">
      <alignment horizontal="center" vertical="center"/>
    </xf>
    <xf numFmtId="177" fontId="0" fillId="0" borderId="0" xfId="0" applyNumberFormat="1" applyBorder="1" applyAlignment="1">
      <alignment horizontal="center" vertical="center"/>
    </xf>
    <xf numFmtId="176" fontId="0" fillId="0" borderId="22" xfId="0" applyNumberFormat="1" applyBorder="1" applyAlignment="1">
      <alignment horizontal="center" vertical="center"/>
    </xf>
    <xf numFmtId="177" fontId="0" fillId="0" borderId="20" xfId="0" applyNumberFormat="1" applyBorder="1" applyAlignment="1">
      <alignment horizontal="center" vertical="center"/>
    </xf>
    <xf numFmtId="177" fontId="0" fillId="0" borderId="21" xfId="0" applyNumberFormat="1" applyBorder="1" applyAlignment="1">
      <alignment horizontal="center" vertical="center"/>
    </xf>
    <xf numFmtId="177" fontId="0" fillId="0" borderId="19" xfId="0" applyNumberFormat="1" applyBorder="1" applyAlignment="1">
      <alignment horizontal="center" vertical="center"/>
    </xf>
    <xf numFmtId="177" fontId="0" fillId="0" borderId="22" xfId="0" applyNumberFormat="1" applyBorder="1" applyAlignment="1">
      <alignment horizontal="center" vertical="center"/>
    </xf>
    <xf numFmtId="0" fontId="0" fillId="0" borderId="21" xfId="0" applyBorder="1">
      <alignment vertical="center"/>
    </xf>
    <xf numFmtId="176" fontId="0" fillId="0" borderId="20" xfId="0" applyNumberFormat="1" applyBorder="1" applyAlignment="1">
      <alignment horizontal="center" vertical="center"/>
    </xf>
    <xf numFmtId="176" fontId="0" fillId="0" borderId="21" xfId="0" applyNumberFormat="1" applyBorder="1" applyAlignment="1">
      <alignment horizontal="center" vertical="center"/>
    </xf>
    <xf numFmtId="49" fontId="0" fillId="0" borderId="13" xfId="0" applyNumberFormat="1" applyBorder="1" applyAlignment="1">
      <alignment horizontal="center" vertical="center"/>
    </xf>
    <xf numFmtId="49" fontId="0" fillId="0" borderId="14" xfId="0" applyNumberFormat="1" applyBorder="1" applyAlignment="1">
      <alignment horizontal="center" vertical="center"/>
    </xf>
    <xf numFmtId="49" fontId="0" fillId="0" borderId="15" xfId="0" applyNumberFormat="1" applyBorder="1" applyAlignment="1">
      <alignment horizontal="center" vertical="center"/>
    </xf>
    <xf numFmtId="49" fontId="0" fillId="34" borderId="10" xfId="0" applyNumberFormat="1" applyFill="1" applyBorder="1" applyAlignment="1">
      <alignment horizontal="center" vertical="center"/>
    </xf>
    <xf numFmtId="49" fontId="0" fillId="34" borderId="11" xfId="0" applyNumberFormat="1" applyFill="1" applyBorder="1" applyAlignment="1">
      <alignment horizontal="center" vertical="center"/>
    </xf>
    <xf numFmtId="49" fontId="0" fillId="34" borderId="12" xfId="0" applyNumberFormat="1" applyFill="1" applyBorder="1" applyAlignment="1">
      <alignment horizontal="center" vertical="center"/>
    </xf>
    <xf numFmtId="49" fontId="0" fillId="33" borderId="10" xfId="0" applyNumberFormat="1" applyFill="1" applyBorder="1" applyAlignment="1">
      <alignment horizontal="center" vertical="center"/>
    </xf>
    <xf numFmtId="49" fontId="0" fillId="33" borderId="11" xfId="0" applyNumberFormat="1" applyFill="1" applyBorder="1" applyAlignment="1">
      <alignment horizontal="center" vertical="center"/>
    </xf>
    <xf numFmtId="49" fontId="0" fillId="33" borderId="12" xfId="0" applyNumberFormat="1" applyFill="1" applyBorder="1" applyAlignment="1">
      <alignment horizontal="center" vertical="center"/>
    </xf>
    <xf numFmtId="0" fontId="0" fillId="0" borderId="0" xfId="0" applyBorder="1">
      <alignment vertical="center"/>
    </xf>
    <xf numFmtId="49" fontId="0" fillId="0" borderId="0" xfId="0" applyNumberFormat="1" applyBorder="1">
      <alignment vertical="center"/>
    </xf>
    <xf numFmtId="49" fontId="0" fillId="0" borderId="23" xfId="0" applyNumberFormat="1" applyBorder="1">
      <alignment vertical="center"/>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colors>
    <mruColors>
      <color rgb="FFDDEB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O75"/>
  <sheetViews>
    <sheetView showGridLines="0" tabSelected="1" topLeftCell="V1" workbookViewId="0">
      <pane ySplit="2" topLeftCell="A3" activePane="bottomLeft" state="frozen"/>
      <selection pane="bottomLeft" activeCell="AP4" sqref="AP4:AQ70"/>
    </sheetView>
  </sheetViews>
  <sheetFormatPr defaultRowHeight="16.5" x14ac:dyDescent="0.3"/>
  <cols>
    <col min="3" max="3" width="16" bestFit="1" customWidth="1"/>
    <col min="4" max="4" width="16" customWidth="1"/>
    <col min="5" max="5" width="9.125" bestFit="1" customWidth="1"/>
    <col min="6" max="7" width="12.5" bestFit="1" customWidth="1"/>
    <col min="8" max="8" width="9.125" bestFit="1" customWidth="1"/>
    <col min="9" max="9" width="12.5" bestFit="1" customWidth="1"/>
    <col min="10" max="11" width="9.125" bestFit="1" customWidth="1"/>
    <col min="12" max="12" width="12.5" bestFit="1" customWidth="1"/>
    <col min="13" max="14" width="9.125" bestFit="1" customWidth="1"/>
    <col min="15" max="15" width="12.5" bestFit="1" customWidth="1"/>
    <col min="16" max="16" width="9.125" bestFit="1" customWidth="1"/>
    <col min="17" max="17" width="9.875" bestFit="1" customWidth="1"/>
    <col min="18" max="18" width="12.5" bestFit="1" customWidth="1"/>
    <col min="19" max="20" width="9.125" bestFit="1" customWidth="1"/>
    <col min="21" max="21" width="12.5" bestFit="1" customWidth="1"/>
    <col min="22" max="23" width="9.125" bestFit="1" customWidth="1"/>
    <col min="24" max="24" width="12.5" bestFit="1" customWidth="1"/>
    <col min="25" max="26" width="9.125" bestFit="1" customWidth="1"/>
    <col min="27" max="27" width="12.5" bestFit="1" customWidth="1"/>
    <col min="28" max="29" width="9.125" bestFit="1" customWidth="1"/>
    <col min="30" max="30" width="11.375" bestFit="1" customWidth="1"/>
    <col min="31" max="32" width="9.125" bestFit="1" customWidth="1"/>
    <col min="33" max="33" width="12.5" bestFit="1" customWidth="1"/>
    <col min="34" max="35" width="9.125" bestFit="1" customWidth="1"/>
    <col min="36" max="36" width="12.5" bestFit="1" customWidth="1"/>
    <col min="37" max="38" width="9.125" bestFit="1" customWidth="1"/>
    <col min="39" max="39" width="11.375" bestFit="1" customWidth="1"/>
    <col min="40" max="40" width="9.125" bestFit="1" customWidth="1"/>
    <col min="41" max="41" width="10.75" bestFit="1" customWidth="1"/>
    <col min="42" max="42" width="13.625" bestFit="1" customWidth="1"/>
    <col min="43" max="43" width="12.5" bestFit="1" customWidth="1"/>
  </cols>
  <sheetData>
    <row r="1" spans="1:67" x14ac:dyDescent="0.3">
      <c r="A1" s="1"/>
      <c r="B1" s="1"/>
      <c r="C1" s="1"/>
      <c r="D1" s="1"/>
      <c r="E1" s="22" t="s">
        <v>0</v>
      </c>
      <c r="F1" s="23"/>
      <c r="G1" s="24"/>
      <c r="H1" s="25" t="s">
        <v>1</v>
      </c>
      <c r="I1" s="26"/>
      <c r="J1" s="27"/>
      <c r="K1" s="25" t="s">
        <v>2</v>
      </c>
      <c r="L1" s="26"/>
      <c r="M1" s="27"/>
      <c r="N1" s="25" t="s">
        <v>3</v>
      </c>
      <c r="O1" s="26"/>
      <c r="P1" s="27"/>
      <c r="Q1" s="25" t="s">
        <v>4</v>
      </c>
      <c r="R1" s="26"/>
      <c r="S1" s="27"/>
      <c r="T1" s="25" t="s">
        <v>5</v>
      </c>
      <c r="U1" s="26"/>
      <c r="V1" s="27"/>
      <c r="W1" s="25" t="s">
        <v>6</v>
      </c>
      <c r="X1" s="26"/>
      <c r="Y1" s="27"/>
      <c r="Z1" s="25" t="s">
        <v>7</v>
      </c>
      <c r="AA1" s="26"/>
      <c r="AB1" s="27"/>
      <c r="AC1" s="25" t="s">
        <v>8</v>
      </c>
      <c r="AD1" s="26"/>
      <c r="AE1" s="27"/>
      <c r="AF1" s="25" t="s">
        <v>9</v>
      </c>
      <c r="AG1" s="26"/>
      <c r="AH1" s="27"/>
      <c r="AI1" s="25" t="s">
        <v>10</v>
      </c>
      <c r="AJ1" s="26"/>
      <c r="AK1" s="27"/>
      <c r="AL1" s="25" t="s">
        <v>11</v>
      </c>
      <c r="AM1" s="26"/>
      <c r="AN1" s="27"/>
      <c r="AO1" s="25" t="s">
        <v>12</v>
      </c>
      <c r="AP1" s="26"/>
      <c r="AQ1" s="27"/>
    </row>
    <row r="2" spans="1:67" x14ac:dyDescent="0.3">
      <c r="A2" s="2" t="s">
        <v>45</v>
      </c>
      <c r="B2" s="2" t="s">
        <v>79</v>
      </c>
      <c r="C2" s="2" t="s">
        <v>13</v>
      </c>
      <c r="D2" s="2" t="s">
        <v>46</v>
      </c>
      <c r="E2" s="4" t="s">
        <v>14</v>
      </c>
      <c r="F2" s="2" t="s">
        <v>46</v>
      </c>
      <c r="G2" s="5" t="s">
        <v>15</v>
      </c>
      <c r="H2" s="2" t="s">
        <v>14</v>
      </c>
      <c r="I2" s="2" t="s">
        <v>46</v>
      </c>
      <c r="J2" s="5" t="s">
        <v>15</v>
      </c>
      <c r="K2" s="2" t="s">
        <v>14</v>
      </c>
      <c r="L2" s="2" t="s">
        <v>46</v>
      </c>
      <c r="M2" s="5" t="s">
        <v>15</v>
      </c>
      <c r="N2" s="2" t="s">
        <v>14</v>
      </c>
      <c r="O2" s="2" t="s">
        <v>46</v>
      </c>
      <c r="P2" s="5" t="s">
        <v>15</v>
      </c>
      <c r="Q2" s="2" t="s">
        <v>14</v>
      </c>
      <c r="R2" s="2" t="s">
        <v>46</v>
      </c>
      <c r="S2" s="5" t="s">
        <v>15</v>
      </c>
      <c r="T2" s="2" t="s">
        <v>14</v>
      </c>
      <c r="U2" s="2" t="s">
        <v>46</v>
      </c>
      <c r="V2" s="5" t="s">
        <v>15</v>
      </c>
      <c r="W2" s="2" t="s">
        <v>14</v>
      </c>
      <c r="X2" s="2" t="s">
        <v>46</v>
      </c>
      <c r="Y2" s="5" t="s">
        <v>15</v>
      </c>
      <c r="Z2" s="2" t="s">
        <v>14</v>
      </c>
      <c r="AA2" s="2" t="s">
        <v>46</v>
      </c>
      <c r="AB2" s="5" t="s">
        <v>15</v>
      </c>
      <c r="AC2" s="2" t="s">
        <v>14</v>
      </c>
      <c r="AD2" s="2" t="s">
        <v>46</v>
      </c>
      <c r="AE2" s="5" t="s">
        <v>15</v>
      </c>
      <c r="AF2" s="2" t="s">
        <v>14</v>
      </c>
      <c r="AG2" s="2" t="s">
        <v>46</v>
      </c>
      <c r="AH2" s="5" t="s">
        <v>15</v>
      </c>
      <c r="AI2" s="2" t="s">
        <v>14</v>
      </c>
      <c r="AJ2" s="2" t="s">
        <v>46</v>
      </c>
      <c r="AK2" s="5" t="s">
        <v>15</v>
      </c>
      <c r="AL2" s="2" t="s">
        <v>14</v>
      </c>
      <c r="AM2" s="2" t="s">
        <v>46</v>
      </c>
      <c r="AN2" s="5" t="s">
        <v>15</v>
      </c>
      <c r="AO2" s="2" t="s">
        <v>14</v>
      </c>
      <c r="AP2" s="2" t="s">
        <v>48</v>
      </c>
      <c r="AQ2" s="5" t="s">
        <v>15</v>
      </c>
    </row>
    <row r="3" spans="1:67" ht="15" customHeight="1" x14ac:dyDescent="0.3">
      <c r="A3" s="29" t="s">
        <v>16</v>
      </c>
      <c r="B3" s="19" t="s">
        <v>86</v>
      </c>
      <c r="C3" s="19" t="s">
        <v>17</v>
      </c>
      <c r="D3" s="19" t="s">
        <v>47</v>
      </c>
      <c r="E3" s="17">
        <f>F3/G3</f>
        <v>1026.7693816551468</v>
      </c>
      <c r="F3" s="17">
        <f>SUM(F4:F70)</f>
        <v>10992593</v>
      </c>
      <c r="G3" s="18">
        <f t="shared" ref="G3" si="0">SUM(G4:G70)</f>
        <v>10705.999999999998</v>
      </c>
      <c r="H3" s="17">
        <f>I3/J3</f>
        <v>1081.2690385279964</v>
      </c>
      <c r="I3" s="17">
        <f t="shared" ref="I3:J3" si="1">SUM(I4:I70)</f>
        <v>12828284</v>
      </c>
      <c r="J3" s="18">
        <f t="shared" si="1"/>
        <v>11864.099999999999</v>
      </c>
      <c r="K3" s="17">
        <f>L3/M3</f>
        <v>986.1993012833002</v>
      </c>
      <c r="L3" s="17">
        <f t="shared" ref="L3:M3" si="2">SUM(L4:L70)</f>
        <v>14170895</v>
      </c>
      <c r="M3" s="18">
        <f t="shared" si="2"/>
        <v>14369.200000000003</v>
      </c>
      <c r="N3" s="17">
        <f>O3/P3</f>
        <v>970.38125872141165</v>
      </c>
      <c r="O3" s="17">
        <f t="shared" ref="O3:P3" si="3">SUM(O4:O70)</f>
        <v>12308607</v>
      </c>
      <c r="P3" s="18">
        <f t="shared" si="3"/>
        <v>12684.299999999997</v>
      </c>
      <c r="Q3" s="17">
        <f>R3/S3</f>
        <v>984.27738420102946</v>
      </c>
      <c r="R3" s="17">
        <f t="shared" ref="R3:S3" si="4">SUM(R4:R70)</f>
        <v>11073219</v>
      </c>
      <c r="S3" s="18">
        <f t="shared" si="4"/>
        <v>11250.099999999999</v>
      </c>
      <c r="T3" s="17">
        <f>U3/V3</f>
        <v>968.17757306226133</v>
      </c>
      <c r="U3" s="17">
        <f t="shared" ref="U3:V3" si="5">SUM(U4:U70)</f>
        <v>12191292</v>
      </c>
      <c r="V3" s="18">
        <f t="shared" si="5"/>
        <v>12592.000000000005</v>
      </c>
      <c r="W3" s="17">
        <f>X3/Y3</f>
        <v>906.85298485609133</v>
      </c>
      <c r="X3" s="17">
        <f t="shared" ref="X3:Y3" si="6">SUM(X4:X70)</f>
        <v>17341931</v>
      </c>
      <c r="Y3" s="18">
        <f t="shared" si="6"/>
        <v>19123.199999999993</v>
      </c>
      <c r="Z3" s="17">
        <f>AA3/AB3</f>
        <v>959.75167414875671</v>
      </c>
      <c r="AA3" s="17">
        <f t="shared" ref="AA3:AB3" si="7">SUM(AA4:AA70)</f>
        <v>12870078</v>
      </c>
      <c r="AB3" s="18">
        <f t="shared" si="7"/>
        <v>13409.800000000003</v>
      </c>
      <c r="AC3" s="17">
        <f>AD3/AE3</f>
        <v>1131.264420763853</v>
      </c>
      <c r="AD3" s="17">
        <f t="shared" ref="AD3:AE3" si="8">SUM(AD4:AD70)</f>
        <v>11051209</v>
      </c>
      <c r="AE3" s="18">
        <f t="shared" si="8"/>
        <v>9768.8999999999978</v>
      </c>
      <c r="AF3" s="17">
        <f>AG3/AH3</f>
        <v>907.46191397430357</v>
      </c>
      <c r="AG3" s="17">
        <f t="shared" ref="AG3:AH3" si="9">SUM(AG4:AG70)</f>
        <v>19091093</v>
      </c>
      <c r="AH3" s="18">
        <f t="shared" si="9"/>
        <v>21037.899999999998</v>
      </c>
      <c r="AI3" s="17">
        <f>AJ3/AK3</f>
        <v>968.64129154612306</v>
      </c>
      <c r="AJ3" s="17">
        <f t="shared" ref="AJ3:AK3" si="10">SUM(AJ4:AJ70)</f>
        <v>16037697</v>
      </c>
      <c r="AK3" s="18">
        <f t="shared" si="10"/>
        <v>16556.899999999994</v>
      </c>
      <c r="AL3" s="17">
        <f>AM3/AN3</f>
        <v>1007.3042883432613</v>
      </c>
      <c r="AM3" s="17">
        <f t="shared" ref="AM3:AN3" si="11">SUM(AM4:AM70)</f>
        <v>16639861</v>
      </c>
      <c r="AN3" s="18">
        <f t="shared" si="11"/>
        <v>16519.199999999997</v>
      </c>
      <c r="AO3" s="17">
        <f>AP3/AQ3</f>
        <v>980.66393888449386</v>
      </c>
      <c r="AP3" s="17">
        <f t="shared" ref="AP3" si="12">SUM(AP4:AP70)</f>
        <v>166596759</v>
      </c>
      <c r="AQ3" s="18">
        <f t="shared" ref="AQ3" si="13">SUM(AQ4:AQ70)</f>
        <v>169881.59999999998</v>
      </c>
      <c r="AR3" s="3"/>
      <c r="AS3" s="3"/>
      <c r="AT3" s="3"/>
      <c r="AU3" s="3"/>
      <c r="AV3" s="3"/>
      <c r="AW3" s="3"/>
      <c r="AX3" s="3"/>
      <c r="AY3" s="3"/>
      <c r="AZ3" s="3"/>
      <c r="BA3" s="3"/>
      <c r="BB3" s="3"/>
      <c r="BC3" s="3"/>
      <c r="BD3" s="3"/>
      <c r="BE3" s="3"/>
      <c r="BF3" s="3"/>
      <c r="BG3" s="3"/>
      <c r="BH3" s="3"/>
      <c r="BI3" s="3"/>
      <c r="BJ3" s="3"/>
      <c r="BK3" s="3"/>
      <c r="BL3" s="3"/>
      <c r="BM3" s="3"/>
      <c r="BN3" s="3"/>
      <c r="BO3" s="3"/>
    </row>
    <row r="4" spans="1:67" ht="15" customHeight="1" x14ac:dyDescent="0.3">
      <c r="A4" s="30" t="s">
        <v>25</v>
      </c>
      <c r="B4" s="20"/>
      <c r="C4" s="20"/>
      <c r="D4" s="20"/>
      <c r="E4" s="3">
        <f t="shared" ref="E4:E11" si="14">F4/G4</f>
        <v>929.81797041534787</v>
      </c>
      <c r="F4" s="3">
        <v>7197256</v>
      </c>
      <c r="G4" s="6">
        <v>7740.5</v>
      </c>
      <c r="H4" s="3">
        <f t="shared" ref="H4:H11" si="15">I4/J4</f>
        <v>1025.3920973368095</v>
      </c>
      <c r="I4" s="3">
        <v>8612986</v>
      </c>
      <c r="J4" s="6">
        <v>8399.7000000000007</v>
      </c>
      <c r="K4" s="3">
        <f t="shared" ref="K4:K11" si="16">L4/M4</f>
        <v>903.01219976787661</v>
      </c>
      <c r="L4" s="3">
        <v>10192389</v>
      </c>
      <c r="M4" s="6">
        <v>11287.1</v>
      </c>
      <c r="N4" s="3">
        <f t="shared" ref="N4:N11" si="17">O4/P4</f>
        <v>874.07527455765717</v>
      </c>
      <c r="O4" s="3">
        <v>6876525</v>
      </c>
      <c r="P4" s="6">
        <v>7867.2</v>
      </c>
      <c r="Q4" s="3">
        <f t="shared" ref="Q4:Q11" si="18">R4/S4</f>
        <v>872.37162307416702</v>
      </c>
      <c r="R4" s="3">
        <v>6086973</v>
      </c>
      <c r="S4" s="6">
        <v>6977.5</v>
      </c>
      <c r="T4" s="3">
        <f t="shared" ref="T4:T11" si="19">U4/V4</f>
        <v>844.07534165462675</v>
      </c>
      <c r="U4" s="3">
        <v>7127541</v>
      </c>
      <c r="V4" s="6">
        <v>8444.2000000000007</v>
      </c>
      <c r="W4" s="3">
        <f t="shared" ref="W4:W11" si="20">X4/Y4</f>
        <v>865.27446872949372</v>
      </c>
      <c r="X4" s="3">
        <v>6856781</v>
      </c>
      <c r="Y4" s="6">
        <v>7924.4</v>
      </c>
      <c r="Z4" s="3">
        <f t="shared" ref="Z4:Z11" si="21">AA4/AB4</f>
        <v>829.0949935815147</v>
      </c>
      <c r="AA4" s="3">
        <v>7621207</v>
      </c>
      <c r="AB4" s="6">
        <v>9192.2000000000007</v>
      </c>
      <c r="AC4" s="3">
        <f t="shared" ref="AC4:AC11" si="22">AD4/AE4</f>
        <v>1064.369861332679</v>
      </c>
      <c r="AD4" s="3">
        <v>6938840</v>
      </c>
      <c r="AE4" s="6">
        <v>6519.2</v>
      </c>
      <c r="AF4" s="3">
        <f t="shared" ref="AF4:AF11" si="23">AG4/AH4</f>
        <v>858.45328365915134</v>
      </c>
      <c r="AG4" s="3">
        <v>8479544</v>
      </c>
      <c r="AH4" s="6">
        <v>9877.7000000000007</v>
      </c>
      <c r="AI4" s="3">
        <f t="shared" ref="AI4:AI11" si="24">AJ4/AK4</f>
        <v>898.70127917782759</v>
      </c>
      <c r="AJ4" s="3">
        <v>6575977</v>
      </c>
      <c r="AK4" s="6">
        <v>7317.2</v>
      </c>
      <c r="AL4" s="3">
        <f t="shared" ref="AL4:AL11" si="25">AM4/AN4</f>
        <v>947.16864822353818</v>
      </c>
      <c r="AM4" s="3">
        <v>8189599</v>
      </c>
      <c r="AN4" s="6">
        <v>8646.4</v>
      </c>
      <c r="AO4" s="3">
        <f t="shared" ref="AO4:AO67" si="26">AP4/AQ4</f>
        <v>905.80525843544444</v>
      </c>
      <c r="AP4" s="3">
        <f t="shared" ref="AP4:AQ67" si="27">SUM(F4,I4,L4,O4,R4,U4,X4,AA4,AD4,AG4,AJ4,AM4)</f>
        <v>90755618</v>
      </c>
      <c r="AQ4" s="6">
        <f t="shared" si="27"/>
        <v>100193.29999999999</v>
      </c>
      <c r="AR4" s="3"/>
      <c r="AS4" s="3"/>
      <c r="AT4" s="3"/>
      <c r="AU4" s="3"/>
      <c r="AV4" s="3"/>
      <c r="AW4" s="3"/>
      <c r="AX4" s="3"/>
      <c r="AY4" s="3"/>
      <c r="AZ4" s="3"/>
      <c r="BA4" s="3"/>
      <c r="BB4" s="3"/>
      <c r="BC4" s="3"/>
      <c r="BD4" s="3"/>
      <c r="BE4" s="3"/>
      <c r="BF4" s="3"/>
      <c r="BG4" s="3"/>
      <c r="BH4" s="3"/>
      <c r="BI4" s="3"/>
      <c r="BJ4" s="3"/>
      <c r="BK4" s="3"/>
      <c r="BL4" s="3"/>
      <c r="BM4" s="3"/>
      <c r="BN4" s="3"/>
      <c r="BO4" s="3"/>
    </row>
    <row r="5" spans="1:67" ht="15" customHeight="1" x14ac:dyDescent="0.3">
      <c r="A5" s="29" t="s">
        <v>94</v>
      </c>
      <c r="B5" s="20"/>
      <c r="C5" s="20"/>
      <c r="D5" s="20"/>
      <c r="E5" s="3" t="e">
        <f t="shared" si="14"/>
        <v>#DIV/0!</v>
      </c>
      <c r="F5" s="3">
        <v>0</v>
      </c>
      <c r="G5" s="6">
        <v>0</v>
      </c>
      <c r="H5" s="3" t="e">
        <f t="shared" si="15"/>
        <v>#DIV/0!</v>
      </c>
      <c r="I5" s="3">
        <v>0</v>
      </c>
      <c r="J5" s="6">
        <v>0</v>
      </c>
      <c r="K5" s="3" t="e">
        <f t="shared" si="16"/>
        <v>#DIV/0!</v>
      </c>
      <c r="L5" s="3">
        <v>0</v>
      </c>
      <c r="M5" s="6">
        <v>0</v>
      </c>
      <c r="N5" s="3" t="e">
        <f t="shared" si="17"/>
        <v>#DIV/0!</v>
      </c>
      <c r="O5" s="3">
        <v>0</v>
      </c>
      <c r="P5" s="6">
        <v>0</v>
      </c>
      <c r="Q5" s="3" t="e">
        <f t="shared" si="18"/>
        <v>#DIV/0!</v>
      </c>
      <c r="R5" s="3">
        <v>0</v>
      </c>
      <c r="S5" s="6">
        <v>0</v>
      </c>
      <c r="T5" s="3" t="e">
        <f t="shared" si="19"/>
        <v>#DIV/0!</v>
      </c>
      <c r="U5" s="3">
        <v>0</v>
      </c>
      <c r="V5" s="6">
        <v>0</v>
      </c>
      <c r="W5" s="3" t="e">
        <f t="shared" si="20"/>
        <v>#DIV/0!</v>
      </c>
      <c r="X5" s="3">
        <v>0</v>
      </c>
      <c r="Y5" s="6">
        <v>0</v>
      </c>
      <c r="Z5" s="3" t="e">
        <f t="shared" si="21"/>
        <v>#DIV/0!</v>
      </c>
      <c r="AA5" s="3">
        <v>0</v>
      </c>
      <c r="AB5" s="6">
        <v>0</v>
      </c>
      <c r="AC5" s="3" t="e">
        <f t="shared" si="22"/>
        <v>#DIV/0!</v>
      </c>
      <c r="AD5" s="3">
        <v>0</v>
      </c>
      <c r="AE5" s="6">
        <v>0</v>
      </c>
      <c r="AF5" s="3" t="e">
        <f t="shared" si="23"/>
        <v>#DIV/0!</v>
      </c>
      <c r="AG5" s="3">
        <v>0</v>
      </c>
      <c r="AH5" s="6">
        <v>0</v>
      </c>
      <c r="AI5" s="3" t="e">
        <f t="shared" si="24"/>
        <v>#DIV/0!</v>
      </c>
      <c r="AJ5" s="3">
        <v>0</v>
      </c>
      <c r="AK5" s="6">
        <v>0</v>
      </c>
      <c r="AL5" s="3">
        <f t="shared" si="25"/>
        <v>923.72691512767517</v>
      </c>
      <c r="AM5" s="3">
        <v>2770996</v>
      </c>
      <c r="AN5" s="6">
        <v>2999.8</v>
      </c>
      <c r="AO5" s="3">
        <f t="shared" si="26"/>
        <v>923.72691512767517</v>
      </c>
      <c r="AP5" s="3">
        <f t="shared" ref="AP5:AP68" si="28">SUM(F5,I5,L5,O5,R5,U5,X5,AA5,AD5,AG5,AJ5,AM5)</f>
        <v>2770996</v>
      </c>
      <c r="AQ5" s="6">
        <f t="shared" ref="AQ5:AQ68" si="29">SUM(G5,J5,M5,P5,S5,V5,Y5,AB5,AE5,AH5,AK5,AN5)</f>
        <v>2999.8</v>
      </c>
      <c r="AR5" s="3"/>
      <c r="AS5" s="3"/>
      <c r="AT5" s="3"/>
      <c r="AU5" s="3"/>
      <c r="AV5" s="3"/>
      <c r="AW5" s="3"/>
      <c r="AX5" s="3"/>
      <c r="AY5" s="3"/>
      <c r="AZ5" s="3"/>
      <c r="BA5" s="3"/>
      <c r="BB5" s="3"/>
      <c r="BC5" s="3"/>
      <c r="BD5" s="3"/>
      <c r="BE5" s="3"/>
      <c r="BF5" s="3"/>
      <c r="BG5" s="3"/>
      <c r="BH5" s="3"/>
      <c r="BI5" s="3"/>
      <c r="BJ5" s="3"/>
      <c r="BK5" s="3"/>
      <c r="BL5" s="3"/>
      <c r="BM5" s="3"/>
      <c r="BN5" s="3"/>
      <c r="BO5" s="3"/>
    </row>
    <row r="6" spans="1:67" ht="15" customHeight="1" x14ac:dyDescent="0.3">
      <c r="A6" s="29" t="s">
        <v>20</v>
      </c>
      <c r="B6" s="20"/>
      <c r="C6" s="20"/>
      <c r="D6" s="20"/>
      <c r="E6" s="3">
        <f t="shared" si="14"/>
        <v>1229.325515782049</v>
      </c>
      <c r="F6" s="3">
        <v>1394301</v>
      </c>
      <c r="G6" s="6">
        <v>1134.2</v>
      </c>
      <c r="H6" s="3">
        <f t="shared" si="15"/>
        <v>1143.570867379007</v>
      </c>
      <c r="I6" s="3">
        <v>1455537</v>
      </c>
      <c r="J6" s="6">
        <v>1272.8</v>
      </c>
      <c r="K6" s="3">
        <f t="shared" si="16"/>
        <v>1328.0801428730886</v>
      </c>
      <c r="L6" s="3">
        <v>1189827</v>
      </c>
      <c r="M6" s="6">
        <v>895.9</v>
      </c>
      <c r="N6" s="3">
        <f t="shared" si="17"/>
        <v>1031.319256609371</v>
      </c>
      <c r="O6" s="3">
        <v>1181995</v>
      </c>
      <c r="P6" s="6">
        <v>1146.0999999999999</v>
      </c>
      <c r="Q6" s="3">
        <f t="shared" si="18"/>
        <v>1135.4629948364889</v>
      </c>
      <c r="R6" s="3">
        <v>1319408</v>
      </c>
      <c r="S6" s="6">
        <v>1162</v>
      </c>
      <c r="T6" s="3">
        <f t="shared" si="19"/>
        <v>1093.4809903364605</v>
      </c>
      <c r="U6" s="3">
        <v>1550228</v>
      </c>
      <c r="V6" s="6">
        <v>1417.7</v>
      </c>
      <c r="W6" s="3">
        <f t="shared" si="20"/>
        <v>1125.9556737588653</v>
      </c>
      <c r="X6" s="3">
        <v>1270078</v>
      </c>
      <c r="Y6" s="6">
        <v>1128</v>
      </c>
      <c r="Z6" s="3">
        <f t="shared" si="21"/>
        <v>1130.9319304273138</v>
      </c>
      <c r="AA6" s="3">
        <v>2106700</v>
      </c>
      <c r="AB6" s="6">
        <v>1862.8</v>
      </c>
      <c r="AC6" s="3">
        <f t="shared" si="22"/>
        <v>1129.1410875307404</v>
      </c>
      <c r="AD6" s="3">
        <v>1239684</v>
      </c>
      <c r="AE6" s="6">
        <v>1097.9000000000001</v>
      </c>
      <c r="AF6" s="3">
        <f t="shared" si="23"/>
        <v>1090.0351636461996</v>
      </c>
      <c r="AG6" s="3">
        <v>1611944</v>
      </c>
      <c r="AH6" s="6">
        <v>1478.8</v>
      </c>
      <c r="AI6" s="3">
        <f t="shared" si="24"/>
        <v>1070.116437191909</v>
      </c>
      <c r="AJ6" s="3">
        <v>1259099</v>
      </c>
      <c r="AK6" s="6">
        <v>1176.5999999999999</v>
      </c>
      <c r="AL6" s="3">
        <f t="shared" si="25"/>
        <v>1082.3408552723222</v>
      </c>
      <c r="AM6" s="3">
        <v>1554025</v>
      </c>
      <c r="AN6" s="6">
        <v>1435.8</v>
      </c>
      <c r="AO6" s="3">
        <f t="shared" si="26"/>
        <v>1126.5222308430757</v>
      </c>
      <c r="AP6" s="3">
        <f t="shared" si="28"/>
        <v>17132826</v>
      </c>
      <c r="AQ6" s="6">
        <f t="shared" si="29"/>
        <v>15208.599999999999</v>
      </c>
      <c r="AR6" s="3"/>
      <c r="AS6" s="3"/>
      <c r="AT6" s="3"/>
      <c r="AU6" s="3"/>
      <c r="AV6" s="3"/>
      <c r="AW6" s="3"/>
      <c r="AX6" s="3"/>
      <c r="AY6" s="3"/>
      <c r="AZ6" s="3"/>
      <c r="BA6" s="3"/>
      <c r="BB6" s="3"/>
      <c r="BC6" s="3"/>
      <c r="BD6" s="3"/>
      <c r="BE6" s="3"/>
      <c r="BF6" s="3"/>
      <c r="BG6" s="3"/>
      <c r="BH6" s="3"/>
      <c r="BI6" s="3"/>
      <c r="BJ6" s="3"/>
      <c r="BK6" s="3"/>
      <c r="BL6" s="3"/>
      <c r="BM6" s="3"/>
      <c r="BN6" s="3"/>
      <c r="BO6" s="3"/>
    </row>
    <row r="7" spans="1:67" ht="15" customHeight="1" x14ac:dyDescent="0.3">
      <c r="A7" s="29" t="s">
        <v>39</v>
      </c>
      <c r="B7" s="20"/>
      <c r="C7" s="20"/>
      <c r="D7" s="20"/>
      <c r="E7" s="3">
        <f t="shared" si="14"/>
        <v>1111.4216778025243</v>
      </c>
      <c r="F7" s="3">
        <v>299417</v>
      </c>
      <c r="G7" s="6">
        <v>269.39999999999998</v>
      </c>
      <c r="H7" s="3">
        <f t="shared" si="15"/>
        <v>1054.6789594995062</v>
      </c>
      <c r="I7" s="3">
        <v>640612</v>
      </c>
      <c r="J7" s="6">
        <v>607.4</v>
      </c>
      <c r="K7" s="3">
        <f t="shared" si="16"/>
        <v>1039.5768530194759</v>
      </c>
      <c r="L7" s="3">
        <v>741946</v>
      </c>
      <c r="M7" s="6">
        <v>713.7</v>
      </c>
      <c r="N7" s="3">
        <f t="shared" si="17"/>
        <v>1122.9675196850394</v>
      </c>
      <c r="O7" s="3">
        <v>684561</v>
      </c>
      <c r="P7" s="6">
        <v>609.6</v>
      </c>
      <c r="Q7" s="3">
        <f t="shared" si="18"/>
        <v>1137.2597108023817</v>
      </c>
      <c r="R7" s="3">
        <v>802223</v>
      </c>
      <c r="S7" s="6">
        <v>705.4</v>
      </c>
      <c r="T7" s="3">
        <f t="shared" si="19"/>
        <v>1155.754481033764</v>
      </c>
      <c r="U7" s="3">
        <v>1109062</v>
      </c>
      <c r="V7" s="6">
        <v>959.6</v>
      </c>
      <c r="W7" s="3">
        <f t="shared" si="20"/>
        <v>1144.7356872132455</v>
      </c>
      <c r="X7" s="3">
        <v>573856</v>
      </c>
      <c r="Y7" s="6">
        <v>501.3</v>
      </c>
      <c r="Z7" s="3">
        <f t="shared" si="21"/>
        <v>1120.9189436727218</v>
      </c>
      <c r="AA7" s="3">
        <v>734314</v>
      </c>
      <c r="AB7" s="6">
        <v>655.1</v>
      </c>
      <c r="AC7" s="3">
        <f t="shared" si="22"/>
        <v>1091.367147270855</v>
      </c>
      <c r="AD7" s="3">
        <v>847774</v>
      </c>
      <c r="AE7" s="6">
        <v>776.8</v>
      </c>
      <c r="AF7" s="3">
        <f t="shared" si="23"/>
        <v>1106.9068812050666</v>
      </c>
      <c r="AG7" s="3">
        <v>646655</v>
      </c>
      <c r="AH7" s="6">
        <v>584.20000000000005</v>
      </c>
      <c r="AI7" s="3">
        <f t="shared" si="24"/>
        <v>1147.836583101207</v>
      </c>
      <c r="AJ7" s="3">
        <v>741732</v>
      </c>
      <c r="AK7" s="6">
        <v>646.20000000000005</v>
      </c>
      <c r="AL7" s="3">
        <f t="shared" si="25"/>
        <v>1195.5158536585366</v>
      </c>
      <c r="AM7" s="3">
        <v>980323</v>
      </c>
      <c r="AN7" s="6">
        <v>820</v>
      </c>
      <c r="AO7" s="3">
        <f t="shared" si="26"/>
        <v>1121.5201243518036</v>
      </c>
      <c r="AP7" s="3">
        <f t="shared" si="28"/>
        <v>8802475</v>
      </c>
      <c r="AQ7" s="6">
        <f t="shared" si="29"/>
        <v>7848.7</v>
      </c>
      <c r="AR7" s="3"/>
      <c r="AS7" s="3"/>
      <c r="AT7" s="3"/>
      <c r="AU7" s="3"/>
      <c r="AV7" s="3"/>
      <c r="AW7" s="3"/>
      <c r="AX7" s="3"/>
      <c r="AY7" s="3"/>
      <c r="AZ7" s="3"/>
      <c r="BA7" s="3"/>
      <c r="BB7" s="3"/>
      <c r="BC7" s="3"/>
      <c r="BD7" s="3"/>
      <c r="BE7" s="3"/>
      <c r="BF7" s="3"/>
      <c r="BG7" s="3"/>
      <c r="BH7" s="3"/>
      <c r="BI7" s="3"/>
      <c r="BJ7" s="3"/>
      <c r="BK7" s="3"/>
      <c r="BL7" s="3"/>
      <c r="BM7" s="3"/>
      <c r="BN7" s="3"/>
      <c r="BO7" s="3"/>
    </row>
    <row r="8" spans="1:67" ht="15" customHeight="1" x14ac:dyDescent="0.3">
      <c r="A8" s="29" t="s">
        <v>21</v>
      </c>
      <c r="B8" s="20"/>
      <c r="C8" s="20"/>
      <c r="D8" s="20"/>
      <c r="E8" s="3">
        <f t="shared" si="14"/>
        <v>1676.3636363636363</v>
      </c>
      <c r="F8" s="3">
        <v>105108</v>
      </c>
      <c r="G8" s="6">
        <v>62.7</v>
      </c>
      <c r="H8" s="3">
        <f t="shared" si="15"/>
        <v>1618.1458966565351</v>
      </c>
      <c r="I8" s="3">
        <v>212948</v>
      </c>
      <c r="J8" s="6">
        <v>131.6</v>
      </c>
      <c r="K8" s="3" t="e">
        <f t="shared" si="16"/>
        <v>#DIV/0!</v>
      </c>
      <c r="L8" s="3">
        <v>0</v>
      </c>
      <c r="M8" s="6">
        <v>0</v>
      </c>
      <c r="N8" s="3" t="e">
        <f t="shared" si="17"/>
        <v>#DIV/0!</v>
      </c>
      <c r="O8" s="3">
        <v>0</v>
      </c>
      <c r="P8" s="6">
        <v>0</v>
      </c>
      <c r="Q8" s="3" t="e">
        <f t="shared" si="18"/>
        <v>#DIV/0!</v>
      </c>
      <c r="R8" s="3">
        <v>0</v>
      </c>
      <c r="S8" s="6">
        <v>0</v>
      </c>
      <c r="T8" s="3">
        <f t="shared" si="19"/>
        <v>1233</v>
      </c>
      <c r="U8" s="3">
        <v>6165</v>
      </c>
      <c r="V8" s="6">
        <v>5</v>
      </c>
      <c r="W8" s="3">
        <f t="shared" si="20"/>
        <v>1110.8163265306123</v>
      </c>
      <c r="X8" s="3">
        <v>27215</v>
      </c>
      <c r="Y8" s="6">
        <v>24.5</v>
      </c>
      <c r="Z8" s="3">
        <f t="shared" si="21"/>
        <v>1943.181818181818</v>
      </c>
      <c r="AA8" s="3">
        <v>34200</v>
      </c>
      <c r="AB8" s="6">
        <v>17.600000000000001</v>
      </c>
      <c r="AC8" s="3">
        <f t="shared" si="22"/>
        <v>1909.4444444444443</v>
      </c>
      <c r="AD8" s="3">
        <v>10311</v>
      </c>
      <c r="AE8" s="6">
        <v>5.4</v>
      </c>
      <c r="AF8" s="3">
        <f t="shared" si="23"/>
        <v>2050.0826446280994</v>
      </c>
      <c r="AG8" s="3">
        <v>49612</v>
      </c>
      <c r="AH8" s="6">
        <v>24.2</v>
      </c>
      <c r="AI8" s="3">
        <f t="shared" si="24"/>
        <v>903.03233390059484</v>
      </c>
      <c r="AJ8" s="3">
        <v>5147194</v>
      </c>
      <c r="AK8" s="6">
        <v>5699.9</v>
      </c>
      <c r="AL8" s="3">
        <f t="shared" si="25"/>
        <v>878.96379275855179</v>
      </c>
      <c r="AM8" s="3">
        <v>878788</v>
      </c>
      <c r="AN8" s="6">
        <v>999.8</v>
      </c>
      <c r="AO8" s="3">
        <f t="shared" si="26"/>
        <v>928.39184013083332</v>
      </c>
      <c r="AP8" s="3">
        <f t="shared" si="28"/>
        <v>6471541</v>
      </c>
      <c r="AQ8" s="6">
        <f t="shared" si="29"/>
        <v>6970.7</v>
      </c>
      <c r="AR8" s="3"/>
      <c r="AS8" s="3"/>
      <c r="AT8" s="3"/>
      <c r="AU8" s="3"/>
      <c r="AV8" s="3"/>
      <c r="AW8" s="3"/>
      <c r="AX8" s="3"/>
      <c r="AY8" s="3"/>
      <c r="AZ8" s="3"/>
      <c r="BA8" s="3"/>
      <c r="BB8" s="3"/>
      <c r="BC8" s="3"/>
      <c r="BD8" s="3"/>
      <c r="BE8" s="3"/>
      <c r="BF8" s="3"/>
      <c r="BG8" s="3"/>
      <c r="BH8" s="3"/>
      <c r="BI8" s="3"/>
      <c r="BJ8" s="3"/>
      <c r="BK8" s="3"/>
      <c r="BL8" s="3"/>
      <c r="BM8" s="3"/>
      <c r="BN8" s="3"/>
      <c r="BO8" s="3"/>
    </row>
    <row r="9" spans="1:67" ht="15" customHeight="1" x14ac:dyDescent="0.3">
      <c r="A9" s="29" t="s">
        <v>38</v>
      </c>
      <c r="B9" s="20"/>
      <c r="C9" s="20"/>
      <c r="D9" s="20"/>
      <c r="E9" s="3">
        <f t="shared" si="14"/>
        <v>1074.272397721388</v>
      </c>
      <c r="F9" s="3">
        <v>207442</v>
      </c>
      <c r="G9" s="6">
        <v>193.1</v>
      </c>
      <c r="H9" s="3">
        <f t="shared" si="15"/>
        <v>1174.2925659472421</v>
      </c>
      <c r="I9" s="3">
        <v>440712</v>
      </c>
      <c r="J9" s="6">
        <v>375.3</v>
      </c>
      <c r="K9" s="3">
        <f t="shared" si="16"/>
        <v>1191.2666101215721</v>
      </c>
      <c r="L9" s="3">
        <v>421351</v>
      </c>
      <c r="M9" s="6">
        <v>353.7</v>
      </c>
      <c r="N9" s="3">
        <f t="shared" si="17"/>
        <v>1314.3108410617206</v>
      </c>
      <c r="O9" s="3">
        <v>410985</v>
      </c>
      <c r="P9" s="6">
        <v>312.7</v>
      </c>
      <c r="Q9" s="3">
        <f t="shared" si="18"/>
        <v>1168.5175304878051</v>
      </c>
      <c r="R9" s="3">
        <v>306619</v>
      </c>
      <c r="S9" s="6">
        <v>262.39999999999998</v>
      </c>
      <c r="T9" s="3">
        <f t="shared" si="19"/>
        <v>1134.9703966844286</v>
      </c>
      <c r="U9" s="3">
        <v>383393</v>
      </c>
      <c r="V9" s="6">
        <v>337.8</v>
      </c>
      <c r="W9" s="3">
        <f t="shared" si="20"/>
        <v>1186.3721047331319</v>
      </c>
      <c r="X9" s="3">
        <v>471227</v>
      </c>
      <c r="Y9" s="6">
        <v>397.2</v>
      </c>
      <c r="Z9" s="3">
        <f t="shared" si="21"/>
        <v>1104.4449244060474</v>
      </c>
      <c r="AA9" s="3">
        <v>255679</v>
      </c>
      <c r="AB9" s="6">
        <v>231.5</v>
      </c>
      <c r="AC9" s="3">
        <f t="shared" si="22"/>
        <v>1084.7620689655173</v>
      </c>
      <c r="AD9" s="3">
        <v>314581</v>
      </c>
      <c r="AE9" s="6">
        <v>290</v>
      </c>
      <c r="AF9" s="3">
        <f t="shared" si="23"/>
        <v>1191.5558126084441</v>
      </c>
      <c r="AG9" s="3">
        <v>412040</v>
      </c>
      <c r="AH9" s="6">
        <v>345.8</v>
      </c>
      <c r="AI9" s="3">
        <f t="shared" si="24"/>
        <v>1144.2724828204362</v>
      </c>
      <c r="AJ9" s="3">
        <v>382988</v>
      </c>
      <c r="AK9" s="6">
        <v>334.7</v>
      </c>
      <c r="AL9" s="3">
        <f t="shared" si="25"/>
        <v>1286.5115115115113</v>
      </c>
      <c r="AM9" s="3">
        <v>514090</v>
      </c>
      <c r="AN9" s="6">
        <v>399.6</v>
      </c>
      <c r="AO9" s="3">
        <f t="shared" si="26"/>
        <v>1179.2756533987167</v>
      </c>
      <c r="AP9" s="3">
        <f t="shared" si="28"/>
        <v>4521107</v>
      </c>
      <c r="AQ9" s="6">
        <f t="shared" si="29"/>
        <v>3833.7999999999997</v>
      </c>
      <c r="AR9" s="3"/>
      <c r="AS9" s="3"/>
      <c r="AT9" s="3"/>
      <c r="AU9" s="3"/>
      <c r="AV9" s="3"/>
      <c r="AW9" s="3"/>
      <c r="AX9" s="3"/>
      <c r="AY9" s="3"/>
      <c r="AZ9" s="3"/>
      <c r="BA9" s="3"/>
      <c r="BB9" s="3"/>
      <c r="BC9" s="3"/>
      <c r="BD9" s="3"/>
      <c r="BE9" s="3"/>
      <c r="BF9" s="3"/>
      <c r="BG9" s="3"/>
      <c r="BH9" s="3"/>
      <c r="BI9" s="3"/>
      <c r="BJ9" s="3"/>
      <c r="BK9" s="3"/>
      <c r="BL9" s="3"/>
      <c r="BM9" s="3"/>
      <c r="BN9" s="3"/>
      <c r="BO9" s="3"/>
    </row>
    <row r="10" spans="1:67" ht="15" customHeight="1" x14ac:dyDescent="0.3">
      <c r="A10" s="29" t="s">
        <v>28</v>
      </c>
      <c r="B10" s="20"/>
      <c r="C10" s="20"/>
      <c r="D10" s="20"/>
      <c r="E10" s="3">
        <f t="shared" si="14"/>
        <v>1373.4934497816594</v>
      </c>
      <c r="F10" s="3">
        <v>188718</v>
      </c>
      <c r="G10" s="6">
        <v>137.4</v>
      </c>
      <c r="H10" s="3">
        <f t="shared" si="15"/>
        <v>1343.5008305647839</v>
      </c>
      <c r="I10" s="3">
        <v>323515</v>
      </c>
      <c r="J10" s="6">
        <v>240.8</v>
      </c>
      <c r="K10" s="3">
        <f t="shared" si="16"/>
        <v>1618.2369146005508</v>
      </c>
      <c r="L10" s="3">
        <v>176226</v>
      </c>
      <c r="M10" s="6">
        <v>108.9</v>
      </c>
      <c r="N10" s="3">
        <f t="shared" si="17"/>
        <v>1376.2779060816013</v>
      </c>
      <c r="O10" s="3">
        <v>357557</v>
      </c>
      <c r="P10" s="6">
        <v>259.8</v>
      </c>
      <c r="Q10" s="3">
        <f t="shared" si="18"/>
        <v>1448.9750378214828</v>
      </c>
      <c r="R10" s="3">
        <v>383109</v>
      </c>
      <c r="S10" s="6">
        <v>264.39999999999998</v>
      </c>
      <c r="T10" s="3">
        <f t="shared" si="19"/>
        <v>1315.123410620793</v>
      </c>
      <c r="U10" s="3">
        <v>175832</v>
      </c>
      <c r="V10" s="6">
        <v>133.69999999999999</v>
      </c>
      <c r="W10" s="3">
        <f t="shared" si="20"/>
        <v>1272.5436598329538</v>
      </c>
      <c r="X10" s="3">
        <v>167594</v>
      </c>
      <c r="Y10" s="6">
        <v>131.69999999999999</v>
      </c>
      <c r="Z10" s="3">
        <f t="shared" si="21"/>
        <v>1788.9903846153848</v>
      </c>
      <c r="AA10" s="3">
        <v>260477</v>
      </c>
      <c r="AB10" s="6">
        <v>145.6</v>
      </c>
      <c r="AC10" s="3">
        <f t="shared" si="22"/>
        <v>1663.9240506329113</v>
      </c>
      <c r="AD10" s="3">
        <v>105160</v>
      </c>
      <c r="AE10" s="6">
        <v>63.2</v>
      </c>
      <c r="AF10" s="3">
        <f t="shared" si="23"/>
        <v>1476.311475409836</v>
      </c>
      <c r="AG10" s="3">
        <v>162099</v>
      </c>
      <c r="AH10" s="6">
        <v>109.8</v>
      </c>
      <c r="AI10" s="3">
        <f t="shared" si="24"/>
        <v>1513.4367726920093</v>
      </c>
      <c r="AJ10" s="3">
        <v>390164</v>
      </c>
      <c r="AK10" s="6">
        <v>257.8</v>
      </c>
      <c r="AL10" s="3">
        <f t="shared" si="25"/>
        <v>1652.0196759259259</v>
      </c>
      <c r="AM10" s="3">
        <v>285469</v>
      </c>
      <c r="AN10" s="6">
        <v>172.8</v>
      </c>
      <c r="AO10" s="3">
        <f t="shared" si="26"/>
        <v>1468.9372624512564</v>
      </c>
      <c r="AP10" s="3">
        <f t="shared" si="28"/>
        <v>2975920</v>
      </c>
      <c r="AQ10" s="6">
        <f t="shared" si="29"/>
        <v>2025.8999999999999</v>
      </c>
      <c r="AR10" s="3"/>
      <c r="AS10" s="3"/>
      <c r="AT10" s="3"/>
      <c r="AU10" s="3"/>
      <c r="AV10" s="3"/>
      <c r="AW10" s="3"/>
      <c r="AX10" s="3"/>
      <c r="AY10" s="3"/>
      <c r="AZ10" s="3"/>
      <c r="BA10" s="3"/>
      <c r="BB10" s="3"/>
      <c r="BC10" s="3"/>
      <c r="BD10" s="3"/>
      <c r="BE10" s="3"/>
      <c r="BF10" s="3"/>
      <c r="BG10" s="3"/>
      <c r="BH10" s="3"/>
      <c r="BI10" s="3"/>
      <c r="BJ10" s="3"/>
      <c r="BK10" s="3"/>
      <c r="BL10" s="3"/>
      <c r="BM10" s="3"/>
      <c r="BN10" s="3"/>
      <c r="BO10" s="3"/>
    </row>
    <row r="11" spans="1:67" ht="15" customHeight="1" x14ac:dyDescent="0.3">
      <c r="A11" s="29" t="s">
        <v>23</v>
      </c>
      <c r="B11" s="20"/>
      <c r="C11" s="20"/>
      <c r="D11" s="20"/>
      <c r="E11" s="3">
        <f t="shared" si="14"/>
        <v>1768.8442211055278</v>
      </c>
      <c r="F11" s="3">
        <v>70400</v>
      </c>
      <c r="G11" s="6">
        <v>39.799999999999997</v>
      </c>
      <c r="H11" s="3">
        <f t="shared" si="15"/>
        <v>1308.5603112840467</v>
      </c>
      <c r="I11" s="3">
        <v>100890</v>
      </c>
      <c r="J11" s="6">
        <v>77.099999999999994</v>
      </c>
      <c r="K11" s="3">
        <f t="shared" si="16"/>
        <v>1189.4604767879548</v>
      </c>
      <c r="L11" s="3">
        <v>94800</v>
      </c>
      <c r="M11" s="6">
        <v>79.7</v>
      </c>
      <c r="N11" s="3">
        <f t="shared" si="17"/>
        <v>1317.857713828937</v>
      </c>
      <c r="O11" s="3">
        <v>164864</v>
      </c>
      <c r="P11" s="6">
        <v>125.1</v>
      </c>
      <c r="Q11" s="3">
        <f t="shared" si="18"/>
        <v>1534.2857142857142</v>
      </c>
      <c r="R11" s="3">
        <v>3222</v>
      </c>
      <c r="S11" s="6">
        <v>2.1</v>
      </c>
      <c r="T11" s="3" t="e">
        <f t="shared" si="19"/>
        <v>#DIV/0!</v>
      </c>
      <c r="U11" s="3">
        <v>0</v>
      </c>
      <c r="V11" s="6">
        <v>0</v>
      </c>
      <c r="W11" s="3" t="e">
        <f t="shared" si="20"/>
        <v>#DIV/0!</v>
      </c>
      <c r="X11" s="3">
        <v>0</v>
      </c>
      <c r="Y11" s="6">
        <v>0</v>
      </c>
      <c r="Z11" s="3">
        <f t="shared" si="21"/>
        <v>1246.4634146341464</v>
      </c>
      <c r="AA11" s="3">
        <v>51105</v>
      </c>
      <c r="AB11" s="6">
        <v>41</v>
      </c>
      <c r="AC11" s="3">
        <f t="shared" si="22"/>
        <v>1812.9135802469136</v>
      </c>
      <c r="AD11" s="3">
        <v>146846</v>
      </c>
      <c r="AE11" s="6">
        <v>81</v>
      </c>
      <c r="AF11" s="3">
        <f t="shared" si="23"/>
        <v>1432.7236580516899</v>
      </c>
      <c r="AG11" s="3">
        <v>72066</v>
      </c>
      <c r="AH11" s="6">
        <v>50.3</v>
      </c>
      <c r="AI11" s="3">
        <f t="shared" si="24"/>
        <v>1183.773035887488</v>
      </c>
      <c r="AJ11" s="3">
        <v>122047</v>
      </c>
      <c r="AK11" s="6">
        <v>103.1</v>
      </c>
      <c r="AL11" s="3">
        <f t="shared" si="25"/>
        <v>1346.8424170616113</v>
      </c>
      <c r="AM11" s="3">
        <v>227347</v>
      </c>
      <c r="AN11" s="6">
        <v>168.8</v>
      </c>
      <c r="AO11" s="3">
        <f t="shared" si="26"/>
        <v>1371.8580729166667</v>
      </c>
      <c r="AP11" s="3">
        <f t="shared" si="28"/>
        <v>1053587</v>
      </c>
      <c r="AQ11" s="6">
        <f t="shared" si="29"/>
        <v>768</v>
      </c>
      <c r="AR11" s="3"/>
      <c r="AS11" s="3"/>
      <c r="AT11" s="3"/>
      <c r="AU11" s="3"/>
      <c r="AV11" s="3"/>
      <c r="AW11" s="3"/>
      <c r="AX11" s="3"/>
      <c r="AY11" s="3"/>
      <c r="AZ11" s="3"/>
      <c r="BA11" s="3"/>
      <c r="BB11" s="3"/>
      <c r="BC11" s="3"/>
      <c r="BD11" s="3"/>
      <c r="BE11" s="3"/>
      <c r="BF11" s="3"/>
      <c r="BG11" s="3"/>
      <c r="BH11" s="3"/>
      <c r="BI11" s="3"/>
      <c r="BJ11" s="3"/>
      <c r="BK11" s="3"/>
      <c r="BL11" s="3"/>
      <c r="BM11" s="3"/>
      <c r="BN11" s="3"/>
      <c r="BO11" s="3"/>
    </row>
    <row r="12" spans="1:67" ht="15" customHeight="1" x14ac:dyDescent="0.3">
      <c r="A12" s="29" t="s">
        <v>26</v>
      </c>
      <c r="B12" s="20"/>
      <c r="C12" s="20"/>
      <c r="D12" s="20"/>
      <c r="E12" s="3">
        <f>F12/G12</f>
        <v>1220.9758281110117</v>
      </c>
      <c r="F12" s="3">
        <v>136383</v>
      </c>
      <c r="G12" s="6">
        <v>111.7</v>
      </c>
      <c r="H12" s="3">
        <f>I12/J12</f>
        <v>1180.0153846153846</v>
      </c>
      <c r="I12" s="3">
        <v>76701</v>
      </c>
      <c r="J12" s="6">
        <v>65</v>
      </c>
      <c r="K12" s="3">
        <f>L12/M12</f>
        <v>1233.83</v>
      </c>
      <c r="L12" s="3">
        <v>123383</v>
      </c>
      <c r="M12" s="6">
        <v>100</v>
      </c>
      <c r="N12" s="3">
        <f>O12/P12</f>
        <v>1355.497685185185</v>
      </c>
      <c r="O12" s="3">
        <v>117115</v>
      </c>
      <c r="P12" s="6">
        <v>86.4</v>
      </c>
      <c r="Q12" s="3">
        <f>R12/S12</f>
        <v>1311.2084902430674</v>
      </c>
      <c r="R12" s="3">
        <v>383004</v>
      </c>
      <c r="S12" s="6">
        <v>292.10000000000002</v>
      </c>
      <c r="T12" s="3">
        <f>U12/V12</f>
        <v>1225.6560891938252</v>
      </c>
      <c r="U12" s="3">
        <v>285823</v>
      </c>
      <c r="V12" s="6">
        <v>233.2</v>
      </c>
      <c r="W12" s="3">
        <f>X12/Y12</f>
        <v>1239.6547144754315</v>
      </c>
      <c r="X12" s="3">
        <v>280038</v>
      </c>
      <c r="Y12" s="6">
        <v>225.9</v>
      </c>
      <c r="Z12" s="3">
        <f>AA12/AB12</f>
        <v>1244.3933054393306</v>
      </c>
      <c r="AA12" s="3">
        <v>148705</v>
      </c>
      <c r="AB12" s="6">
        <v>119.5</v>
      </c>
      <c r="AC12" s="3">
        <f>AD12/AE12</f>
        <v>1248.6029411764705</v>
      </c>
      <c r="AD12" s="3">
        <v>220753</v>
      </c>
      <c r="AE12" s="6">
        <v>176.8</v>
      </c>
      <c r="AF12" s="3">
        <f>AG12/AH12</f>
        <v>1287.5223347230494</v>
      </c>
      <c r="AG12" s="3">
        <v>216175</v>
      </c>
      <c r="AH12" s="6">
        <v>167.9</v>
      </c>
      <c r="AI12" s="3">
        <f>AJ12/AK12</f>
        <v>1255.6696428571427</v>
      </c>
      <c r="AJ12" s="3">
        <v>196889</v>
      </c>
      <c r="AK12" s="6">
        <v>156.80000000000001</v>
      </c>
      <c r="AL12" s="3">
        <f>AM12/AN12</f>
        <v>1293.16906747536</v>
      </c>
      <c r="AM12" s="3">
        <v>170569</v>
      </c>
      <c r="AN12" s="6">
        <v>131.9</v>
      </c>
      <c r="AO12" s="3">
        <f t="shared" si="26"/>
        <v>1261.534918594687</v>
      </c>
      <c r="AP12" s="3">
        <f t="shared" si="28"/>
        <v>2355538</v>
      </c>
      <c r="AQ12" s="6">
        <f t="shared" si="29"/>
        <v>1867.2000000000003</v>
      </c>
      <c r="AR12" s="3"/>
      <c r="AS12" s="3"/>
      <c r="AT12" s="3"/>
      <c r="AU12" s="3"/>
      <c r="AV12" s="3"/>
      <c r="AW12" s="3"/>
      <c r="AX12" s="3"/>
      <c r="AY12" s="3"/>
      <c r="AZ12" s="3"/>
      <c r="BA12" s="3"/>
      <c r="BB12" s="3"/>
      <c r="BC12" s="3"/>
      <c r="BD12" s="3"/>
      <c r="BE12" s="3"/>
      <c r="BF12" s="3"/>
      <c r="BG12" s="3"/>
      <c r="BH12" s="3"/>
      <c r="BI12" s="3"/>
      <c r="BJ12" s="3"/>
      <c r="BK12" s="3"/>
      <c r="BL12" s="3"/>
      <c r="BM12" s="3"/>
      <c r="BN12" s="3"/>
      <c r="BO12" s="3"/>
    </row>
    <row r="13" spans="1:67" ht="15" customHeight="1" x14ac:dyDescent="0.3">
      <c r="A13" s="29" t="s">
        <v>35</v>
      </c>
      <c r="B13" s="20"/>
      <c r="C13" s="20"/>
      <c r="D13" s="20"/>
      <c r="E13" s="3">
        <f t="shared" ref="E13:E70" si="30">F13/G13</f>
        <v>1484.3660531697342</v>
      </c>
      <c r="F13" s="3">
        <v>145171</v>
      </c>
      <c r="G13" s="6">
        <v>97.8</v>
      </c>
      <c r="H13" s="3">
        <f t="shared" ref="H13:H70" si="31">I13/J13</f>
        <v>1481.3165013525697</v>
      </c>
      <c r="I13" s="3">
        <v>164278</v>
      </c>
      <c r="J13" s="6">
        <v>110.9</v>
      </c>
      <c r="K13" s="3">
        <f t="shared" ref="K13:K70" si="32">L13/M13</f>
        <v>1693.1394072447861</v>
      </c>
      <c r="L13" s="3">
        <v>154245</v>
      </c>
      <c r="M13" s="6">
        <v>91.1</v>
      </c>
      <c r="N13" s="3">
        <f t="shared" ref="N13:N70" si="33">O13/P13</f>
        <v>1539.9188092016236</v>
      </c>
      <c r="O13" s="3">
        <v>113800</v>
      </c>
      <c r="P13" s="6">
        <v>73.900000000000006</v>
      </c>
      <c r="Q13" s="3">
        <f t="shared" ref="Q13:Q70" si="34">R13/S13</f>
        <v>1708.7636761487963</v>
      </c>
      <c r="R13" s="3">
        <v>156181</v>
      </c>
      <c r="S13" s="6">
        <v>91.4</v>
      </c>
      <c r="T13" s="3">
        <f t="shared" ref="T13:T70" si="35">U13/V13</f>
        <v>1711.8514644351465</v>
      </c>
      <c r="U13" s="3">
        <v>163653</v>
      </c>
      <c r="V13" s="6">
        <v>95.6</v>
      </c>
      <c r="W13" s="3">
        <f t="shared" ref="W13:W70" si="36">X13/Y13</f>
        <v>1734.1236162361622</v>
      </c>
      <c r="X13" s="3">
        <v>187979</v>
      </c>
      <c r="Y13" s="6">
        <v>108.4</v>
      </c>
      <c r="Z13" s="3">
        <f t="shared" ref="Z13:Z70" si="37">AA13/AB13</f>
        <v>1836.8647166361973</v>
      </c>
      <c r="AA13" s="3">
        <v>200953</v>
      </c>
      <c r="AB13" s="6">
        <v>109.4</v>
      </c>
      <c r="AC13" s="3">
        <f t="shared" ref="AC13:AC70" si="38">AD13/AE13</f>
        <v>1825.0240963855422</v>
      </c>
      <c r="AD13" s="3">
        <v>151477</v>
      </c>
      <c r="AE13" s="6">
        <v>83</v>
      </c>
      <c r="AF13" s="3">
        <f t="shared" ref="AF13:AF70" si="39">AG13/AH13</f>
        <v>1872.5069637883009</v>
      </c>
      <c r="AG13" s="3">
        <v>134446</v>
      </c>
      <c r="AH13" s="6">
        <v>71.8</v>
      </c>
      <c r="AI13" s="3">
        <f t="shared" ref="AI13:AI70" si="40">AJ13/AK13</f>
        <v>2051.1097708082025</v>
      </c>
      <c r="AJ13" s="3">
        <v>170037</v>
      </c>
      <c r="AK13" s="6">
        <v>82.9</v>
      </c>
      <c r="AL13" s="3">
        <f t="shared" ref="AL13:AL70" si="41">AM13/AN13</f>
        <v>1850.0413223140497</v>
      </c>
      <c r="AM13" s="3">
        <v>134313</v>
      </c>
      <c r="AN13" s="6">
        <v>72.599999999999994</v>
      </c>
      <c r="AO13" s="3">
        <f t="shared" si="26"/>
        <v>1723.4873254959593</v>
      </c>
      <c r="AP13" s="3">
        <f t="shared" si="28"/>
        <v>1876533</v>
      </c>
      <c r="AQ13" s="6">
        <f t="shared" si="29"/>
        <v>1088.7999999999997</v>
      </c>
      <c r="AR13" s="3"/>
      <c r="AS13" s="3"/>
      <c r="AT13" s="3"/>
      <c r="AU13" s="3"/>
      <c r="AV13" s="3"/>
      <c r="AW13" s="3"/>
      <c r="AX13" s="3"/>
      <c r="AY13" s="3"/>
      <c r="AZ13" s="3"/>
      <c r="BA13" s="3"/>
      <c r="BB13" s="3"/>
      <c r="BC13" s="3"/>
      <c r="BD13" s="3"/>
      <c r="BE13" s="3"/>
      <c r="BF13" s="3"/>
      <c r="BG13" s="3"/>
      <c r="BH13" s="3"/>
      <c r="BI13" s="3"/>
      <c r="BJ13" s="3"/>
      <c r="BK13" s="3"/>
      <c r="BL13" s="3"/>
      <c r="BM13" s="3"/>
      <c r="BN13" s="3"/>
      <c r="BO13" s="3"/>
    </row>
    <row r="14" spans="1:67" ht="15" customHeight="1" x14ac:dyDescent="0.3">
      <c r="A14" s="29" t="s">
        <v>55</v>
      </c>
      <c r="B14" s="20"/>
      <c r="C14" s="20"/>
      <c r="D14" s="20"/>
      <c r="E14" s="3">
        <f t="shared" si="30"/>
        <v>1245.4606365159129</v>
      </c>
      <c r="F14" s="3">
        <v>148708</v>
      </c>
      <c r="G14" s="6">
        <v>119.4</v>
      </c>
      <c r="H14" s="3" t="e">
        <f t="shared" si="31"/>
        <v>#DIV/0!</v>
      </c>
      <c r="I14" s="3">
        <v>0</v>
      </c>
      <c r="J14" s="6">
        <v>0</v>
      </c>
      <c r="K14" s="3">
        <f t="shared" si="32"/>
        <v>1108.7966804979253</v>
      </c>
      <c r="L14" s="3">
        <v>26722</v>
      </c>
      <c r="M14" s="6">
        <v>24.1</v>
      </c>
      <c r="N14" s="3">
        <f t="shared" si="33"/>
        <v>1296.4088397790053</v>
      </c>
      <c r="O14" s="3">
        <v>187720</v>
      </c>
      <c r="P14" s="6">
        <v>144.80000000000001</v>
      </c>
      <c r="Q14" s="3">
        <f t="shared" si="34"/>
        <v>1292.2279792746115</v>
      </c>
      <c r="R14" s="3">
        <v>124700</v>
      </c>
      <c r="S14" s="6">
        <v>96.5</v>
      </c>
      <c r="T14" s="3">
        <f t="shared" si="35"/>
        <v>1246.1096605744124</v>
      </c>
      <c r="U14" s="3">
        <v>143178</v>
      </c>
      <c r="V14" s="6">
        <v>114.9</v>
      </c>
      <c r="W14" s="3">
        <f t="shared" si="36"/>
        <v>1225.9781761496492</v>
      </c>
      <c r="X14" s="3">
        <v>157293</v>
      </c>
      <c r="Y14" s="6">
        <v>128.30000000000001</v>
      </c>
      <c r="Z14" s="3">
        <f t="shared" si="37"/>
        <v>1190.3867403314916</v>
      </c>
      <c r="AA14" s="3">
        <v>86184</v>
      </c>
      <c r="AB14" s="6">
        <v>72.400000000000006</v>
      </c>
      <c r="AC14" s="3">
        <f t="shared" si="38"/>
        <v>1227.8180286436393</v>
      </c>
      <c r="AD14" s="3">
        <v>145742</v>
      </c>
      <c r="AE14" s="6">
        <v>118.7</v>
      </c>
      <c r="AF14" s="3">
        <f t="shared" si="39"/>
        <v>1214.1541541541542</v>
      </c>
      <c r="AG14" s="3">
        <v>121294</v>
      </c>
      <c r="AH14" s="6">
        <v>99.9</v>
      </c>
      <c r="AI14" s="3">
        <f t="shared" si="40"/>
        <v>1217.3698146513682</v>
      </c>
      <c r="AJ14" s="3">
        <v>137928</v>
      </c>
      <c r="AK14" s="6">
        <v>113.3</v>
      </c>
      <c r="AL14" s="3">
        <f t="shared" si="41"/>
        <v>1335.7098445595855</v>
      </c>
      <c r="AM14" s="3">
        <v>128896</v>
      </c>
      <c r="AN14" s="6">
        <v>96.5</v>
      </c>
      <c r="AO14" s="3">
        <f t="shared" si="26"/>
        <v>1247.6656626506024</v>
      </c>
      <c r="AP14" s="3">
        <f t="shared" si="28"/>
        <v>1408365</v>
      </c>
      <c r="AQ14" s="6">
        <f t="shared" si="29"/>
        <v>1128.8</v>
      </c>
      <c r="AR14" s="3"/>
      <c r="AS14" s="3"/>
      <c r="AT14" s="3"/>
      <c r="AU14" s="3"/>
      <c r="AV14" s="3"/>
      <c r="AW14" s="3"/>
      <c r="AX14" s="3"/>
      <c r="AY14" s="3"/>
      <c r="AZ14" s="3"/>
      <c r="BA14" s="3"/>
      <c r="BB14" s="3"/>
      <c r="BC14" s="3"/>
      <c r="BD14" s="3"/>
      <c r="BE14" s="3"/>
      <c r="BF14" s="3"/>
      <c r="BG14" s="3"/>
      <c r="BH14" s="3"/>
      <c r="BI14" s="3"/>
      <c r="BJ14" s="3"/>
      <c r="BK14" s="3"/>
      <c r="BL14" s="3"/>
      <c r="BM14" s="3"/>
      <c r="BN14" s="3"/>
      <c r="BO14" s="3"/>
    </row>
    <row r="15" spans="1:67" ht="15" customHeight="1" x14ac:dyDescent="0.3">
      <c r="A15" s="29" t="s">
        <v>56</v>
      </c>
      <c r="B15" s="20"/>
      <c r="C15" s="20"/>
      <c r="D15" s="20"/>
      <c r="E15" s="3" t="e">
        <f t="shared" si="30"/>
        <v>#DIV/0!</v>
      </c>
      <c r="F15" s="3">
        <v>0</v>
      </c>
      <c r="G15" s="6">
        <v>0</v>
      </c>
      <c r="H15" s="3">
        <f t="shared" si="31"/>
        <v>1101.4522821576763</v>
      </c>
      <c r="I15" s="3">
        <v>26545</v>
      </c>
      <c r="J15" s="6">
        <v>24.1</v>
      </c>
      <c r="K15" s="3">
        <f t="shared" si="32"/>
        <v>1106.0087719298244</v>
      </c>
      <c r="L15" s="3">
        <v>50434</v>
      </c>
      <c r="M15" s="6">
        <v>45.6</v>
      </c>
      <c r="N15" s="3">
        <f t="shared" si="33"/>
        <v>1147.241746538871</v>
      </c>
      <c r="O15" s="3">
        <v>107726</v>
      </c>
      <c r="P15" s="6">
        <v>93.9</v>
      </c>
      <c r="Q15" s="3">
        <f t="shared" si="34"/>
        <v>1192.587064676617</v>
      </c>
      <c r="R15" s="3">
        <v>143826</v>
      </c>
      <c r="S15" s="6">
        <v>120.6</v>
      </c>
      <c r="T15" s="3">
        <f t="shared" si="35"/>
        <v>1163.3977900552486</v>
      </c>
      <c r="U15" s="3">
        <v>84230</v>
      </c>
      <c r="V15" s="6">
        <v>72.400000000000006</v>
      </c>
      <c r="W15" s="3">
        <f t="shared" si="36"/>
        <v>1155.7853810264387</v>
      </c>
      <c r="X15" s="3">
        <v>74317</v>
      </c>
      <c r="Y15" s="6">
        <v>64.3</v>
      </c>
      <c r="Z15" s="3" t="e">
        <f t="shared" si="37"/>
        <v>#DIV/0!</v>
      </c>
      <c r="AA15" s="3">
        <v>0</v>
      </c>
      <c r="AB15" s="6">
        <v>0</v>
      </c>
      <c r="AC15" s="3">
        <f t="shared" si="38"/>
        <v>1128.2553191489362</v>
      </c>
      <c r="AD15" s="3">
        <v>53028</v>
      </c>
      <c r="AE15" s="6">
        <v>47</v>
      </c>
      <c r="AF15" s="3">
        <f t="shared" si="39"/>
        <v>1187.3858921161825</v>
      </c>
      <c r="AG15" s="3">
        <v>28616</v>
      </c>
      <c r="AH15" s="6">
        <v>24.1</v>
      </c>
      <c r="AI15" s="3" t="e">
        <f t="shared" si="40"/>
        <v>#DIV/0!</v>
      </c>
      <c r="AJ15" s="3">
        <v>0</v>
      </c>
      <c r="AK15" s="6">
        <v>0</v>
      </c>
      <c r="AL15" s="3">
        <f t="shared" si="41"/>
        <v>1209.7364568081991</v>
      </c>
      <c r="AM15" s="3">
        <v>82625</v>
      </c>
      <c r="AN15" s="6">
        <v>68.3</v>
      </c>
      <c r="AO15" s="3">
        <f t="shared" si="26"/>
        <v>1162.4968766732106</v>
      </c>
      <c r="AP15" s="3">
        <f t="shared" si="28"/>
        <v>651347</v>
      </c>
      <c r="AQ15" s="6">
        <f t="shared" si="29"/>
        <v>560.30000000000007</v>
      </c>
      <c r="AR15" s="3"/>
      <c r="AS15" s="3"/>
      <c r="AT15" s="3"/>
      <c r="AU15" s="3"/>
      <c r="AV15" s="3"/>
      <c r="AW15" s="3"/>
      <c r="AX15" s="3"/>
      <c r="AY15" s="3"/>
      <c r="AZ15" s="3"/>
      <c r="BA15" s="3"/>
      <c r="BB15" s="3"/>
      <c r="BC15" s="3"/>
      <c r="BD15" s="3"/>
      <c r="BE15" s="3"/>
      <c r="BF15" s="3"/>
      <c r="BG15" s="3"/>
      <c r="BH15" s="3"/>
      <c r="BI15" s="3"/>
      <c r="BJ15" s="3"/>
      <c r="BK15" s="3"/>
      <c r="BL15" s="3"/>
      <c r="BM15" s="3"/>
      <c r="BN15" s="3"/>
      <c r="BO15" s="3"/>
    </row>
    <row r="16" spans="1:67" ht="15" customHeight="1" x14ac:dyDescent="0.3">
      <c r="A16" s="29" t="s">
        <v>33</v>
      </c>
      <c r="B16" s="20"/>
      <c r="C16" s="20"/>
      <c r="D16" s="20"/>
      <c r="E16" s="3" t="e">
        <f t="shared" si="30"/>
        <v>#DIV/0!</v>
      </c>
      <c r="F16" s="3">
        <v>0</v>
      </c>
      <c r="G16" s="6">
        <v>0</v>
      </c>
      <c r="H16" s="3">
        <f t="shared" si="31"/>
        <v>1015.3271028037383</v>
      </c>
      <c r="I16" s="3">
        <v>32592</v>
      </c>
      <c r="J16" s="6">
        <v>32.1</v>
      </c>
      <c r="K16" s="3">
        <f t="shared" si="32"/>
        <v>1580.6779661016949</v>
      </c>
      <c r="L16" s="3">
        <v>18652</v>
      </c>
      <c r="M16" s="6">
        <v>11.8</v>
      </c>
      <c r="N16" s="3">
        <f t="shared" si="33"/>
        <v>1336.3087248322147</v>
      </c>
      <c r="O16" s="3">
        <v>39822</v>
      </c>
      <c r="P16" s="6">
        <v>29.8</v>
      </c>
      <c r="Q16" s="3">
        <f t="shared" si="34"/>
        <v>1139.8453608247423</v>
      </c>
      <c r="R16" s="3">
        <v>22113</v>
      </c>
      <c r="S16" s="6">
        <v>19.399999999999999</v>
      </c>
      <c r="T16" s="3">
        <f t="shared" si="35"/>
        <v>1491.9409067753438</v>
      </c>
      <c r="U16" s="3">
        <v>292868</v>
      </c>
      <c r="V16" s="6">
        <v>196.3</v>
      </c>
      <c r="W16" s="3">
        <f t="shared" si="36"/>
        <v>1334.375</v>
      </c>
      <c r="X16" s="3">
        <v>49105</v>
      </c>
      <c r="Y16" s="6">
        <v>36.799999999999997</v>
      </c>
      <c r="Z16" s="3">
        <f t="shared" si="37"/>
        <v>2013.5294117647059</v>
      </c>
      <c r="AA16" s="3">
        <v>3423</v>
      </c>
      <c r="AB16" s="6">
        <v>1.7</v>
      </c>
      <c r="AC16" s="3">
        <f t="shared" si="38"/>
        <v>1912.9098360655739</v>
      </c>
      <c r="AD16" s="3">
        <v>46675</v>
      </c>
      <c r="AE16" s="6">
        <v>24.4</v>
      </c>
      <c r="AF16" s="3">
        <f t="shared" si="39"/>
        <v>1231.8095238095239</v>
      </c>
      <c r="AG16" s="3">
        <v>25868</v>
      </c>
      <c r="AH16" s="6">
        <v>21</v>
      </c>
      <c r="AI16" s="3">
        <f t="shared" si="40"/>
        <v>1264.8148148148148</v>
      </c>
      <c r="AJ16" s="3">
        <v>58055</v>
      </c>
      <c r="AK16" s="6">
        <v>45.9</v>
      </c>
      <c r="AL16" s="3">
        <f t="shared" si="41"/>
        <v>1354.3812709030101</v>
      </c>
      <c r="AM16" s="3">
        <v>80992</v>
      </c>
      <c r="AN16" s="6">
        <v>59.8</v>
      </c>
      <c r="AO16" s="3">
        <f t="shared" si="26"/>
        <v>1399.0918580375785</v>
      </c>
      <c r="AP16" s="3">
        <f t="shared" si="28"/>
        <v>670165</v>
      </c>
      <c r="AQ16" s="6">
        <f t="shared" si="29"/>
        <v>478.99999999999994</v>
      </c>
      <c r="AR16" s="3"/>
      <c r="AS16" s="3"/>
      <c r="AT16" s="3"/>
      <c r="AU16" s="3"/>
      <c r="AV16" s="3"/>
      <c r="AW16" s="3"/>
      <c r="AX16" s="3"/>
      <c r="AY16" s="3"/>
      <c r="AZ16" s="3"/>
      <c r="BA16" s="3"/>
      <c r="BB16" s="3"/>
      <c r="BC16" s="3"/>
      <c r="BD16" s="3"/>
      <c r="BE16" s="3"/>
      <c r="BF16" s="3"/>
      <c r="BG16" s="3"/>
      <c r="BH16" s="3"/>
      <c r="BI16" s="3"/>
      <c r="BJ16" s="3"/>
      <c r="BK16" s="3"/>
      <c r="BL16" s="3"/>
      <c r="BM16" s="3"/>
      <c r="BN16" s="3"/>
      <c r="BO16" s="3"/>
    </row>
    <row r="17" spans="1:67" ht="15" customHeight="1" x14ac:dyDescent="0.3">
      <c r="A17" s="29" t="s">
        <v>58</v>
      </c>
      <c r="B17" s="20"/>
      <c r="C17" s="20"/>
      <c r="D17" s="20"/>
      <c r="E17" s="3">
        <f t="shared" si="30"/>
        <v>1013.3208255159475</v>
      </c>
      <c r="F17" s="3">
        <v>54010</v>
      </c>
      <c r="G17" s="6">
        <v>53.3</v>
      </c>
      <c r="H17" s="3">
        <f t="shared" si="31"/>
        <v>1116.7049808429119</v>
      </c>
      <c r="I17" s="3">
        <v>174876</v>
      </c>
      <c r="J17" s="6">
        <v>156.6</v>
      </c>
      <c r="K17" s="3">
        <f t="shared" si="32"/>
        <v>1057.1572700296736</v>
      </c>
      <c r="L17" s="3">
        <v>178131</v>
      </c>
      <c r="M17" s="6">
        <v>168.5</v>
      </c>
      <c r="N17" s="3">
        <f t="shared" si="33"/>
        <v>1282.8097868981847</v>
      </c>
      <c r="O17" s="3">
        <v>325064</v>
      </c>
      <c r="P17" s="6">
        <v>253.4</v>
      </c>
      <c r="Q17" s="3">
        <f t="shared" si="34"/>
        <v>1103.4293680297399</v>
      </c>
      <c r="R17" s="3">
        <v>237458</v>
      </c>
      <c r="S17" s="6">
        <v>215.2</v>
      </c>
      <c r="T17" s="3">
        <f t="shared" si="35"/>
        <v>1080.9139072847681</v>
      </c>
      <c r="U17" s="3">
        <v>81609</v>
      </c>
      <c r="V17" s="6">
        <v>75.5</v>
      </c>
      <c r="W17" s="3">
        <f t="shared" si="36"/>
        <v>1135.5499685732245</v>
      </c>
      <c r="X17" s="3">
        <v>180666</v>
      </c>
      <c r="Y17" s="6">
        <v>159.1</v>
      </c>
      <c r="Z17" s="3">
        <f t="shared" si="37"/>
        <v>1159.436274509804</v>
      </c>
      <c r="AA17" s="3">
        <v>47305</v>
      </c>
      <c r="AB17" s="6">
        <v>40.799999999999997</v>
      </c>
      <c r="AC17" s="3">
        <f t="shared" si="38"/>
        <v>1127.3490813648293</v>
      </c>
      <c r="AD17" s="3">
        <v>42952</v>
      </c>
      <c r="AE17" s="6">
        <v>38.1</v>
      </c>
      <c r="AF17" s="3">
        <f t="shared" si="39"/>
        <v>1207.1402550091075</v>
      </c>
      <c r="AG17" s="3">
        <v>66272</v>
      </c>
      <c r="AH17" s="6">
        <v>54.9</v>
      </c>
      <c r="AI17" s="3">
        <f t="shared" si="40"/>
        <v>1149.2214285714285</v>
      </c>
      <c r="AJ17" s="3">
        <v>160891</v>
      </c>
      <c r="AK17" s="6">
        <v>140</v>
      </c>
      <c r="AL17" s="3">
        <f t="shared" si="41"/>
        <v>1107.5072886297378</v>
      </c>
      <c r="AM17" s="3">
        <v>75975</v>
      </c>
      <c r="AN17" s="6">
        <v>68.599999999999994</v>
      </c>
      <c r="AO17" s="3">
        <f t="shared" si="26"/>
        <v>1141.29845505618</v>
      </c>
      <c r="AP17" s="3">
        <f t="shared" si="28"/>
        <v>1625209</v>
      </c>
      <c r="AQ17" s="6">
        <f t="shared" si="29"/>
        <v>1423.9999999999998</v>
      </c>
      <c r="AR17" s="3"/>
      <c r="AS17" s="3"/>
      <c r="AT17" s="3"/>
      <c r="AU17" s="3"/>
      <c r="AV17" s="3"/>
      <c r="AW17" s="3"/>
      <c r="AX17" s="3"/>
      <c r="AY17" s="3"/>
      <c r="AZ17" s="3"/>
      <c r="BA17" s="3"/>
      <c r="BB17" s="3"/>
      <c r="BC17" s="3"/>
      <c r="BD17" s="3"/>
      <c r="BE17" s="3"/>
      <c r="BF17" s="3"/>
      <c r="BG17" s="3"/>
      <c r="BH17" s="3"/>
      <c r="BI17" s="3"/>
      <c r="BJ17" s="3"/>
      <c r="BK17" s="3"/>
      <c r="BL17" s="3"/>
      <c r="BM17" s="3"/>
      <c r="BN17" s="3"/>
      <c r="BO17" s="3"/>
    </row>
    <row r="18" spans="1:67" ht="15" customHeight="1" x14ac:dyDescent="0.3">
      <c r="A18" s="29" t="s">
        <v>52</v>
      </c>
      <c r="B18" s="20"/>
      <c r="C18" s="20"/>
      <c r="D18" s="20"/>
      <c r="E18" s="3">
        <f t="shared" si="30"/>
        <v>1176.024844720497</v>
      </c>
      <c r="F18" s="3">
        <v>56802</v>
      </c>
      <c r="G18" s="6">
        <v>48.3</v>
      </c>
      <c r="H18" s="3">
        <f t="shared" si="31"/>
        <v>1210.954356846473</v>
      </c>
      <c r="I18" s="3">
        <v>29184</v>
      </c>
      <c r="J18" s="6">
        <v>24.1</v>
      </c>
      <c r="K18" s="3">
        <f t="shared" si="32"/>
        <v>1250.0414937759335</v>
      </c>
      <c r="L18" s="3">
        <v>30126</v>
      </c>
      <c r="M18" s="6">
        <v>24.1</v>
      </c>
      <c r="N18" s="3">
        <f t="shared" si="33"/>
        <v>1265.1867219917012</v>
      </c>
      <c r="O18" s="3">
        <v>30491</v>
      </c>
      <c r="P18" s="6">
        <v>24.1</v>
      </c>
      <c r="Q18" s="3" t="e">
        <f t="shared" si="34"/>
        <v>#DIV/0!</v>
      </c>
      <c r="R18" s="3">
        <v>0</v>
      </c>
      <c r="S18" s="6">
        <v>0</v>
      </c>
      <c r="T18" s="3">
        <f t="shared" si="35"/>
        <v>1259.0522243713733</v>
      </c>
      <c r="U18" s="3">
        <v>65093</v>
      </c>
      <c r="V18" s="6">
        <v>51.7</v>
      </c>
      <c r="W18" s="3">
        <f t="shared" si="36"/>
        <v>1274.5341614906833</v>
      </c>
      <c r="X18" s="3">
        <v>61560</v>
      </c>
      <c r="Y18" s="6">
        <v>48.3</v>
      </c>
      <c r="Z18" s="3">
        <f t="shared" si="37"/>
        <v>1263.3195020746887</v>
      </c>
      <c r="AA18" s="3">
        <v>30446</v>
      </c>
      <c r="AB18" s="6">
        <v>24.1</v>
      </c>
      <c r="AC18" s="3">
        <f t="shared" si="38"/>
        <v>1260.7039337474121</v>
      </c>
      <c r="AD18" s="3">
        <v>60892</v>
      </c>
      <c r="AE18" s="6">
        <v>48.3</v>
      </c>
      <c r="AF18" s="3">
        <f t="shared" si="39"/>
        <v>1263.3195020746887</v>
      </c>
      <c r="AG18" s="3">
        <v>30446</v>
      </c>
      <c r="AH18" s="6">
        <v>24.1</v>
      </c>
      <c r="AI18" s="3">
        <f t="shared" si="40"/>
        <v>1263.3195020746887</v>
      </c>
      <c r="AJ18" s="3">
        <v>30446</v>
      </c>
      <c r="AK18" s="6">
        <v>24.1</v>
      </c>
      <c r="AL18" s="3">
        <f t="shared" si="41"/>
        <v>1257.2832369942196</v>
      </c>
      <c r="AM18" s="3">
        <v>65253</v>
      </c>
      <c r="AN18" s="6">
        <v>51.9</v>
      </c>
      <c r="AO18" s="3">
        <f t="shared" si="26"/>
        <v>1248.3820910709742</v>
      </c>
      <c r="AP18" s="3">
        <f t="shared" si="28"/>
        <v>490739</v>
      </c>
      <c r="AQ18" s="6">
        <f t="shared" si="29"/>
        <v>393.1</v>
      </c>
      <c r="AR18" s="3"/>
      <c r="AS18" s="3"/>
      <c r="AT18" s="3"/>
      <c r="AU18" s="3"/>
      <c r="AV18" s="3"/>
      <c r="AW18" s="3"/>
      <c r="AX18" s="3"/>
      <c r="AY18" s="3"/>
      <c r="AZ18" s="3"/>
      <c r="BA18" s="3"/>
      <c r="BB18" s="3"/>
      <c r="BC18" s="3"/>
      <c r="BD18" s="3"/>
      <c r="BE18" s="3"/>
      <c r="BF18" s="3"/>
      <c r="BG18" s="3"/>
      <c r="BH18" s="3"/>
      <c r="BI18" s="3"/>
      <c r="BJ18" s="3"/>
      <c r="BK18" s="3"/>
      <c r="BL18" s="3"/>
      <c r="BM18" s="3"/>
      <c r="BN18" s="3"/>
      <c r="BO18" s="3"/>
    </row>
    <row r="19" spans="1:67" ht="15" customHeight="1" x14ac:dyDescent="0.3">
      <c r="A19" s="29" t="s">
        <v>57</v>
      </c>
      <c r="B19" s="20"/>
      <c r="C19" s="20"/>
      <c r="D19" s="20"/>
      <c r="E19" s="3">
        <f t="shared" si="30"/>
        <v>1220.182481751825</v>
      </c>
      <c r="F19" s="3">
        <v>33433</v>
      </c>
      <c r="G19" s="6">
        <v>27.4</v>
      </c>
      <c r="H19" s="3">
        <f t="shared" si="31"/>
        <v>1480.6081081081081</v>
      </c>
      <c r="I19" s="3">
        <v>43826</v>
      </c>
      <c r="J19" s="6">
        <v>29.6</v>
      </c>
      <c r="K19" s="3">
        <f t="shared" si="32"/>
        <v>1237.5</v>
      </c>
      <c r="L19" s="3">
        <v>2970</v>
      </c>
      <c r="M19" s="6">
        <v>2.4</v>
      </c>
      <c r="N19" s="3">
        <f t="shared" si="33"/>
        <v>1241.8672199170123</v>
      </c>
      <c r="O19" s="3">
        <v>29929</v>
      </c>
      <c r="P19" s="6">
        <v>24.1</v>
      </c>
      <c r="Q19" s="3" t="e">
        <f t="shared" si="34"/>
        <v>#DIV/0!</v>
      </c>
      <c r="R19" s="3">
        <v>0</v>
      </c>
      <c r="S19" s="6">
        <v>0</v>
      </c>
      <c r="T19" s="3">
        <f t="shared" si="35"/>
        <v>1219.7925311203319</v>
      </c>
      <c r="U19" s="3">
        <v>29397</v>
      </c>
      <c r="V19" s="6">
        <v>24.1</v>
      </c>
      <c r="W19" s="3">
        <f t="shared" si="36"/>
        <v>1248.7966804979253</v>
      </c>
      <c r="X19" s="3">
        <v>30096</v>
      </c>
      <c r="Y19" s="6">
        <v>24.1</v>
      </c>
      <c r="Z19" s="3">
        <f t="shared" si="37"/>
        <v>1248.7966804979253</v>
      </c>
      <c r="AA19" s="3">
        <v>30096</v>
      </c>
      <c r="AB19" s="6">
        <v>24.1</v>
      </c>
      <c r="AC19" s="3">
        <f t="shared" si="38"/>
        <v>1704.7348484848485</v>
      </c>
      <c r="AD19" s="3">
        <v>45005</v>
      </c>
      <c r="AE19" s="6">
        <v>26.4</v>
      </c>
      <c r="AF19" s="3" t="e">
        <f t="shared" si="39"/>
        <v>#DIV/0!</v>
      </c>
      <c r="AG19" s="3">
        <v>0</v>
      </c>
      <c r="AH19" s="6">
        <v>0</v>
      </c>
      <c r="AI19" s="3">
        <f t="shared" si="40"/>
        <v>1295.4771784232364</v>
      </c>
      <c r="AJ19" s="3">
        <v>31221</v>
      </c>
      <c r="AK19" s="6">
        <v>24.1</v>
      </c>
      <c r="AL19" s="3">
        <f t="shared" si="41"/>
        <v>1621.628664495114</v>
      </c>
      <c r="AM19" s="3">
        <v>49784</v>
      </c>
      <c r="AN19" s="6">
        <v>30.7</v>
      </c>
      <c r="AO19" s="3">
        <f t="shared" si="26"/>
        <v>1374.5021097046415</v>
      </c>
      <c r="AP19" s="3">
        <f t="shared" si="28"/>
        <v>325757</v>
      </c>
      <c r="AQ19" s="6">
        <f t="shared" si="29"/>
        <v>236.99999999999997</v>
      </c>
      <c r="AR19" s="3"/>
      <c r="AS19" s="3"/>
      <c r="AT19" s="3"/>
      <c r="AU19" s="3"/>
      <c r="AV19" s="3"/>
      <c r="AW19" s="3"/>
      <c r="AX19" s="3"/>
      <c r="AY19" s="3"/>
      <c r="AZ19" s="3"/>
      <c r="BA19" s="3"/>
      <c r="BB19" s="3"/>
      <c r="BC19" s="3"/>
      <c r="BD19" s="3"/>
      <c r="BE19" s="3"/>
      <c r="BF19" s="3"/>
      <c r="BG19" s="3"/>
      <c r="BH19" s="3"/>
      <c r="BI19" s="3"/>
      <c r="BJ19" s="3"/>
      <c r="BK19" s="3"/>
      <c r="BL19" s="3"/>
      <c r="BM19" s="3"/>
      <c r="BN19" s="3"/>
      <c r="BO19" s="3"/>
    </row>
    <row r="20" spans="1:67" x14ac:dyDescent="0.3">
      <c r="A20" s="29" t="s">
        <v>53</v>
      </c>
      <c r="B20" s="20"/>
      <c r="C20" s="20"/>
      <c r="D20" s="20"/>
      <c r="E20" s="3">
        <f t="shared" si="30"/>
        <v>1551.7175572519084</v>
      </c>
      <c r="F20" s="3">
        <v>40655</v>
      </c>
      <c r="G20" s="6">
        <v>26.2</v>
      </c>
      <c r="H20" s="3">
        <f t="shared" si="31"/>
        <v>2030.9815950920245</v>
      </c>
      <c r="I20" s="3">
        <v>33105</v>
      </c>
      <c r="J20" s="6">
        <v>16.3</v>
      </c>
      <c r="K20" s="3">
        <f t="shared" si="32"/>
        <v>2116.3583815028901</v>
      </c>
      <c r="L20" s="3">
        <v>36613</v>
      </c>
      <c r="M20" s="6">
        <v>17.3</v>
      </c>
      <c r="N20" s="3">
        <f t="shared" si="33"/>
        <v>1951.3872832369941</v>
      </c>
      <c r="O20" s="3">
        <v>33759</v>
      </c>
      <c r="P20" s="6">
        <v>17.3</v>
      </c>
      <c r="Q20" s="3">
        <f t="shared" si="34"/>
        <v>2221.7307692307691</v>
      </c>
      <c r="R20" s="3">
        <v>46212</v>
      </c>
      <c r="S20" s="6">
        <v>20.8</v>
      </c>
      <c r="T20" s="3">
        <f t="shared" si="35"/>
        <v>2247.6033057851241</v>
      </c>
      <c r="U20" s="3">
        <v>27196</v>
      </c>
      <c r="V20" s="6">
        <v>12.1</v>
      </c>
      <c r="W20" s="3">
        <f t="shared" si="36"/>
        <v>1391.7424242424242</v>
      </c>
      <c r="X20" s="3">
        <v>18371</v>
      </c>
      <c r="Y20" s="6">
        <v>13.2</v>
      </c>
      <c r="Z20" s="3">
        <f t="shared" si="37"/>
        <v>1445.4477611940299</v>
      </c>
      <c r="AA20" s="3">
        <v>77476</v>
      </c>
      <c r="AB20" s="6">
        <v>53.6</v>
      </c>
      <c r="AC20" s="3">
        <f t="shared" si="38"/>
        <v>1645.1470588235295</v>
      </c>
      <c r="AD20" s="3">
        <v>11187</v>
      </c>
      <c r="AE20" s="6">
        <v>6.8</v>
      </c>
      <c r="AF20" s="3">
        <f t="shared" si="39"/>
        <v>1332.4927536231885</v>
      </c>
      <c r="AG20" s="3">
        <v>45971</v>
      </c>
      <c r="AH20" s="6">
        <v>34.5</v>
      </c>
      <c r="AI20" s="3">
        <f t="shared" si="40"/>
        <v>1932.3809523809523</v>
      </c>
      <c r="AJ20" s="3">
        <v>81160</v>
      </c>
      <c r="AK20" s="6">
        <v>42</v>
      </c>
      <c r="AL20" s="3">
        <f t="shared" si="41"/>
        <v>1730.5454545454545</v>
      </c>
      <c r="AM20" s="3">
        <v>47590</v>
      </c>
      <c r="AN20" s="6">
        <v>27.5</v>
      </c>
      <c r="AO20" s="3">
        <f t="shared" si="26"/>
        <v>1736.0744089012517</v>
      </c>
      <c r="AP20" s="3">
        <f t="shared" si="28"/>
        <v>499295</v>
      </c>
      <c r="AQ20" s="6">
        <f t="shared" si="29"/>
        <v>287.60000000000002</v>
      </c>
      <c r="AR20" s="3"/>
      <c r="AS20" s="3"/>
      <c r="AT20" s="3"/>
      <c r="AU20" s="3"/>
      <c r="AV20" s="3"/>
      <c r="AW20" s="3"/>
      <c r="AX20" s="3"/>
      <c r="AY20" s="3"/>
      <c r="AZ20" s="3"/>
      <c r="BA20" s="3"/>
      <c r="BB20" s="3"/>
      <c r="BC20" s="3"/>
      <c r="BD20" s="3"/>
      <c r="BE20" s="3"/>
      <c r="BF20" s="3"/>
      <c r="BG20" s="3"/>
      <c r="BH20" s="3"/>
      <c r="BI20" s="3"/>
      <c r="BJ20" s="3"/>
      <c r="BK20" s="3"/>
      <c r="BL20" s="3"/>
      <c r="BM20" s="3"/>
      <c r="BN20" s="3"/>
      <c r="BO20" s="3"/>
    </row>
    <row r="21" spans="1:67" x14ac:dyDescent="0.3">
      <c r="A21" s="29" t="s">
        <v>51</v>
      </c>
      <c r="B21" s="20"/>
      <c r="C21" s="20"/>
      <c r="D21" s="20"/>
      <c r="E21" s="3">
        <f t="shared" si="30"/>
        <v>1746.035781544256</v>
      </c>
      <c r="F21" s="3">
        <v>185429</v>
      </c>
      <c r="G21" s="6">
        <v>106.2</v>
      </c>
      <c r="H21" s="3">
        <f t="shared" si="31"/>
        <v>1535.916955017301</v>
      </c>
      <c r="I21" s="3">
        <v>44388</v>
      </c>
      <c r="J21" s="6">
        <v>28.9</v>
      </c>
      <c r="K21" s="3">
        <f t="shared" si="32"/>
        <v>1624.8584905660377</v>
      </c>
      <c r="L21" s="3">
        <v>68894</v>
      </c>
      <c r="M21" s="6">
        <v>42.4</v>
      </c>
      <c r="N21" s="3">
        <f t="shared" si="33"/>
        <v>1427.9310344827586</v>
      </c>
      <c r="O21" s="3">
        <v>41410</v>
      </c>
      <c r="P21" s="6">
        <v>29</v>
      </c>
      <c r="Q21" s="3">
        <f t="shared" si="34"/>
        <v>1495.5371900826447</v>
      </c>
      <c r="R21" s="3">
        <v>36192</v>
      </c>
      <c r="S21" s="6">
        <v>24.2</v>
      </c>
      <c r="T21" s="3">
        <f t="shared" si="35"/>
        <v>1621.6297117516629</v>
      </c>
      <c r="U21" s="3">
        <v>146271</v>
      </c>
      <c r="V21" s="6">
        <v>90.2</v>
      </c>
      <c r="W21" s="3">
        <f t="shared" si="36"/>
        <v>1981.0945273631839</v>
      </c>
      <c r="X21" s="3">
        <v>39820</v>
      </c>
      <c r="Y21" s="6">
        <v>20.100000000000001</v>
      </c>
      <c r="Z21" s="3">
        <f t="shared" si="37"/>
        <v>1456.3274336283187</v>
      </c>
      <c r="AA21" s="3">
        <v>164565</v>
      </c>
      <c r="AB21" s="6">
        <v>113</v>
      </c>
      <c r="AC21" s="3">
        <f t="shared" si="38"/>
        <v>1308.6153846153845</v>
      </c>
      <c r="AD21" s="3">
        <v>51036</v>
      </c>
      <c r="AE21" s="6">
        <v>39</v>
      </c>
      <c r="AF21" s="3">
        <f t="shared" si="39"/>
        <v>1404.4785276073619</v>
      </c>
      <c r="AG21" s="3">
        <v>68679</v>
      </c>
      <c r="AH21" s="6">
        <v>48.9</v>
      </c>
      <c r="AI21" s="3">
        <f t="shared" si="40"/>
        <v>1477.3046875</v>
      </c>
      <c r="AJ21" s="3">
        <v>75638</v>
      </c>
      <c r="AK21" s="6">
        <v>51.2</v>
      </c>
      <c r="AL21" s="3">
        <f t="shared" si="41"/>
        <v>1513.9310344827586</v>
      </c>
      <c r="AM21" s="3">
        <v>43904</v>
      </c>
      <c r="AN21" s="6">
        <v>29</v>
      </c>
      <c r="AO21" s="3">
        <f t="shared" si="26"/>
        <v>1553.1683009162514</v>
      </c>
      <c r="AP21" s="3">
        <f t="shared" si="28"/>
        <v>966226</v>
      </c>
      <c r="AQ21" s="6">
        <f t="shared" si="29"/>
        <v>622.1</v>
      </c>
      <c r="AR21" s="3"/>
      <c r="AS21" s="3"/>
      <c r="AT21" s="3"/>
      <c r="AU21" s="3"/>
      <c r="AV21" s="3"/>
      <c r="AW21" s="3"/>
      <c r="AX21" s="3"/>
      <c r="AY21" s="3"/>
      <c r="AZ21" s="3"/>
      <c r="BA21" s="3"/>
      <c r="BB21" s="3"/>
      <c r="BC21" s="3"/>
      <c r="BD21" s="3"/>
      <c r="BE21" s="3"/>
      <c r="BF21" s="3"/>
      <c r="BG21" s="3"/>
      <c r="BH21" s="3"/>
      <c r="BI21" s="3"/>
      <c r="BJ21" s="3"/>
      <c r="BK21" s="3"/>
      <c r="BL21" s="3"/>
      <c r="BM21" s="3"/>
      <c r="BN21" s="3"/>
      <c r="BO21" s="3"/>
    </row>
    <row r="22" spans="1:67" x14ac:dyDescent="0.3">
      <c r="A22" s="29" t="s">
        <v>50</v>
      </c>
      <c r="B22" s="20"/>
      <c r="C22" s="20"/>
      <c r="D22" s="20"/>
      <c r="E22" s="3">
        <f t="shared" si="30"/>
        <v>1466.6666666666667</v>
      </c>
      <c r="F22" s="3">
        <v>15400</v>
      </c>
      <c r="G22" s="6">
        <v>10.5</v>
      </c>
      <c r="H22" s="3">
        <f t="shared" si="31"/>
        <v>1278.1944444444443</v>
      </c>
      <c r="I22" s="3">
        <v>9203</v>
      </c>
      <c r="J22" s="6">
        <v>7.2</v>
      </c>
      <c r="K22" s="3" t="e">
        <f t="shared" si="32"/>
        <v>#DIV/0!</v>
      </c>
      <c r="L22" s="3">
        <v>0</v>
      </c>
      <c r="M22" s="6">
        <v>0</v>
      </c>
      <c r="N22" s="3">
        <f t="shared" si="33"/>
        <v>1875.3731343283582</v>
      </c>
      <c r="O22" s="3">
        <v>12565</v>
      </c>
      <c r="P22" s="6">
        <v>6.7</v>
      </c>
      <c r="Q22" s="3">
        <f t="shared" si="34"/>
        <v>1637.4038461538462</v>
      </c>
      <c r="R22" s="3">
        <v>17029</v>
      </c>
      <c r="S22" s="6">
        <v>10.4</v>
      </c>
      <c r="T22" s="3">
        <f t="shared" si="35"/>
        <v>1653.7499999999998</v>
      </c>
      <c r="U22" s="3">
        <v>14553</v>
      </c>
      <c r="V22" s="6">
        <v>8.8000000000000007</v>
      </c>
      <c r="W22" s="3">
        <f t="shared" si="36"/>
        <v>1385.625</v>
      </c>
      <c r="X22" s="3">
        <v>6651</v>
      </c>
      <c r="Y22" s="6">
        <v>4.8</v>
      </c>
      <c r="Z22" s="3" t="e">
        <f t="shared" si="37"/>
        <v>#DIV/0!</v>
      </c>
      <c r="AA22" s="3">
        <v>0</v>
      </c>
      <c r="AB22" s="6">
        <v>0</v>
      </c>
      <c r="AC22" s="3">
        <f t="shared" si="38"/>
        <v>1371</v>
      </c>
      <c r="AD22" s="3">
        <v>2742</v>
      </c>
      <c r="AE22" s="6">
        <v>2</v>
      </c>
      <c r="AF22" s="3">
        <f t="shared" si="39"/>
        <v>1339.2655367231639</v>
      </c>
      <c r="AG22" s="3">
        <v>23705</v>
      </c>
      <c r="AH22" s="6">
        <v>17.7</v>
      </c>
      <c r="AI22" s="3">
        <f t="shared" si="40"/>
        <v>1375.8730158730159</v>
      </c>
      <c r="AJ22" s="3">
        <v>17336</v>
      </c>
      <c r="AK22" s="6">
        <v>12.6</v>
      </c>
      <c r="AL22" s="3">
        <f t="shared" si="41"/>
        <v>1495.7720588235295</v>
      </c>
      <c r="AM22" s="3">
        <v>40685</v>
      </c>
      <c r="AN22" s="6">
        <v>27.2</v>
      </c>
      <c r="AO22" s="3">
        <f t="shared" si="26"/>
        <v>1481.6404077849861</v>
      </c>
      <c r="AP22" s="3">
        <f t="shared" si="28"/>
        <v>159869</v>
      </c>
      <c r="AQ22" s="6">
        <f t="shared" si="29"/>
        <v>107.89999999999999</v>
      </c>
      <c r="AR22" s="3"/>
      <c r="AS22" s="3"/>
      <c r="AT22" s="3"/>
      <c r="AU22" s="3"/>
      <c r="AV22" s="3"/>
      <c r="AW22" s="3"/>
      <c r="AX22" s="3"/>
      <c r="AY22" s="3"/>
      <c r="AZ22" s="3"/>
      <c r="BA22" s="3"/>
      <c r="BB22" s="3"/>
      <c r="BC22" s="3"/>
      <c r="BD22" s="3"/>
      <c r="BE22" s="3"/>
      <c r="BF22" s="3"/>
      <c r="BG22" s="3"/>
      <c r="BH22" s="3"/>
      <c r="BI22" s="3"/>
      <c r="BJ22" s="3"/>
      <c r="BK22" s="3"/>
      <c r="BL22" s="3"/>
      <c r="BM22" s="3"/>
      <c r="BN22" s="3"/>
      <c r="BO22" s="3"/>
    </row>
    <row r="23" spans="1:67" x14ac:dyDescent="0.3">
      <c r="A23" s="29" t="s">
        <v>74</v>
      </c>
      <c r="B23" s="20"/>
      <c r="C23" s="20"/>
      <c r="D23" s="20"/>
      <c r="E23" s="3">
        <f t="shared" si="30"/>
        <v>2178.1632653061224</v>
      </c>
      <c r="F23" s="3">
        <v>10673</v>
      </c>
      <c r="G23" s="6">
        <v>4.9000000000000004</v>
      </c>
      <c r="H23" s="3">
        <f t="shared" si="31"/>
        <v>2205.625</v>
      </c>
      <c r="I23" s="3">
        <v>3529</v>
      </c>
      <c r="J23" s="6">
        <v>1.6</v>
      </c>
      <c r="K23" s="3">
        <f t="shared" si="32"/>
        <v>1786.6666666666665</v>
      </c>
      <c r="L23" s="3">
        <v>12864</v>
      </c>
      <c r="M23" s="6">
        <v>7.2</v>
      </c>
      <c r="N23" s="3">
        <f t="shared" si="33"/>
        <v>2160.608695652174</v>
      </c>
      <c r="O23" s="3">
        <v>24847</v>
      </c>
      <c r="P23" s="6">
        <v>11.5</v>
      </c>
      <c r="Q23" s="3">
        <f t="shared" si="34"/>
        <v>2165.4430379746836</v>
      </c>
      <c r="R23" s="3">
        <v>17107</v>
      </c>
      <c r="S23" s="6">
        <v>7.9</v>
      </c>
      <c r="T23" s="3">
        <f t="shared" si="35"/>
        <v>2133.5714285714289</v>
      </c>
      <c r="U23" s="3">
        <v>11948</v>
      </c>
      <c r="V23" s="6">
        <v>5.6</v>
      </c>
      <c r="W23" s="3" t="e">
        <f t="shared" si="36"/>
        <v>#DIV/0!</v>
      </c>
      <c r="X23" s="3">
        <v>0</v>
      </c>
      <c r="Y23" s="6">
        <v>0</v>
      </c>
      <c r="Z23" s="3">
        <f t="shared" si="37"/>
        <v>2208.2558139534885</v>
      </c>
      <c r="AA23" s="3">
        <v>18991</v>
      </c>
      <c r="AB23" s="6">
        <v>8.6</v>
      </c>
      <c r="AC23" s="3">
        <f t="shared" si="38"/>
        <v>2146.5891472868216</v>
      </c>
      <c r="AD23" s="3">
        <v>27691</v>
      </c>
      <c r="AE23" s="6">
        <v>12.9</v>
      </c>
      <c r="AF23" s="3">
        <f t="shared" si="39"/>
        <v>2143.9285714285716</v>
      </c>
      <c r="AG23" s="3">
        <v>6003</v>
      </c>
      <c r="AH23" s="6">
        <v>2.8</v>
      </c>
      <c r="AI23" s="3">
        <f t="shared" si="40"/>
        <v>2149.25</v>
      </c>
      <c r="AJ23" s="3">
        <v>8597</v>
      </c>
      <c r="AK23" s="6">
        <v>4</v>
      </c>
      <c r="AL23" s="3">
        <f t="shared" si="41"/>
        <v>1497.6328502415458</v>
      </c>
      <c r="AM23" s="3">
        <v>31001</v>
      </c>
      <c r="AN23" s="6">
        <v>20.7</v>
      </c>
      <c r="AO23" s="3">
        <f t="shared" si="26"/>
        <v>1975.4960091220069</v>
      </c>
      <c r="AP23" s="3">
        <f t="shared" si="28"/>
        <v>173251</v>
      </c>
      <c r="AQ23" s="6">
        <f t="shared" si="29"/>
        <v>87.7</v>
      </c>
      <c r="AR23" s="3"/>
      <c r="AS23" s="3"/>
      <c r="AT23" s="3"/>
      <c r="AU23" s="3"/>
      <c r="AV23" s="3"/>
      <c r="AW23" s="3"/>
      <c r="AX23" s="3"/>
      <c r="AY23" s="3"/>
      <c r="AZ23" s="3"/>
      <c r="BA23" s="3"/>
      <c r="BB23" s="3"/>
      <c r="BC23" s="3"/>
      <c r="BD23" s="3"/>
      <c r="BE23" s="3"/>
      <c r="BF23" s="3"/>
      <c r="BG23" s="3"/>
      <c r="BH23" s="3"/>
      <c r="BI23" s="3"/>
      <c r="BJ23" s="3"/>
      <c r="BK23" s="3"/>
      <c r="BL23" s="3"/>
      <c r="BM23" s="3"/>
      <c r="BN23" s="3"/>
      <c r="BO23" s="3"/>
    </row>
    <row r="24" spans="1:67" x14ac:dyDescent="0.3">
      <c r="A24" s="29" t="s">
        <v>31</v>
      </c>
      <c r="B24" s="20"/>
      <c r="C24" s="20"/>
      <c r="D24" s="20"/>
      <c r="E24" s="3">
        <f t="shared" si="30"/>
        <v>2243.0612244897957</v>
      </c>
      <c r="F24" s="3">
        <v>21982</v>
      </c>
      <c r="G24" s="6">
        <v>9.8000000000000007</v>
      </c>
      <c r="H24" s="3">
        <f t="shared" si="31"/>
        <v>2200.6976744186049</v>
      </c>
      <c r="I24" s="3">
        <v>9463</v>
      </c>
      <c r="J24" s="6">
        <v>4.3</v>
      </c>
      <c r="K24" s="3">
        <f t="shared" si="32"/>
        <v>2465.8823529411766</v>
      </c>
      <c r="L24" s="3">
        <v>37728</v>
      </c>
      <c r="M24" s="6">
        <v>15.3</v>
      </c>
      <c r="N24" s="3">
        <f t="shared" si="33"/>
        <v>1961.8627450980393</v>
      </c>
      <c r="O24" s="3">
        <v>20011</v>
      </c>
      <c r="P24" s="6">
        <v>10.199999999999999</v>
      </c>
      <c r="Q24" s="3">
        <f t="shared" si="34"/>
        <v>2386.8939393939395</v>
      </c>
      <c r="R24" s="3">
        <v>31507</v>
      </c>
      <c r="S24" s="6">
        <v>13.2</v>
      </c>
      <c r="T24" s="3">
        <f t="shared" si="35"/>
        <v>2412.5862068965516</v>
      </c>
      <c r="U24" s="3">
        <v>27986</v>
      </c>
      <c r="V24" s="6">
        <v>11.6</v>
      </c>
      <c r="W24" s="3">
        <f t="shared" si="36"/>
        <v>2074.6534653465346</v>
      </c>
      <c r="X24" s="3">
        <v>20954</v>
      </c>
      <c r="Y24" s="6">
        <v>10.1</v>
      </c>
      <c r="Z24" s="3">
        <f t="shared" si="37"/>
        <v>2347.8846153846152</v>
      </c>
      <c r="AA24" s="3">
        <v>24418</v>
      </c>
      <c r="AB24" s="6">
        <v>10.4</v>
      </c>
      <c r="AC24" s="3">
        <f t="shared" si="38"/>
        <v>2610.3846153846152</v>
      </c>
      <c r="AD24" s="3">
        <v>6787</v>
      </c>
      <c r="AE24" s="6">
        <v>2.6</v>
      </c>
      <c r="AF24" s="3">
        <f t="shared" si="39"/>
        <v>2316.6480446927376</v>
      </c>
      <c r="AG24" s="3">
        <v>41468</v>
      </c>
      <c r="AH24" s="6">
        <v>17.899999999999999</v>
      </c>
      <c r="AI24" s="3">
        <f t="shared" si="40"/>
        <v>2506.5714285714284</v>
      </c>
      <c r="AJ24" s="3">
        <v>17546</v>
      </c>
      <c r="AK24" s="6">
        <v>7</v>
      </c>
      <c r="AL24" s="3">
        <f t="shared" si="41"/>
        <v>2502.6271186440677</v>
      </c>
      <c r="AM24" s="3">
        <v>29531</v>
      </c>
      <c r="AN24" s="6">
        <v>11.8</v>
      </c>
      <c r="AO24" s="3">
        <f t="shared" si="26"/>
        <v>2329.9597423510472</v>
      </c>
      <c r="AP24" s="3">
        <f t="shared" si="28"/>
        <v>289381</v>
      </c>
      <c r="AQ24" s="6">
        <f t="shared" si="29"/>
        <v>124.19999999999997</v>
      </c>
      <c r="AR24" s="3"/>
      <c r="AS24" s="3"/>
      <c r="AT24" s="3"/>
      <c r="AU24" s="3"/>
      <c r="AV24" s="3"/>
      <c r="AW24" s="3"/>
      <c r="AX24" s="3"/>
      <c r="AY24" s="3"/>
      <c r="AZ24" s="3"/>
      <c r="BA24" s="3"/>
      <c r="BB24" s="3"/>
      <c r="BC24" s="3"/>
      <c r="BD24" s="3"/>
      <c r="BE24" s="3"/>
      <c r="BF24" s="3"/>
      <c r="BG24" s="3"/>
      <c r="BH24" s="3"/>
      <c r="BI24" s="3"/>
      <c r="BJ24" s="3"/>
      <c r="BK24" s="3"/>
      <c r="BL24" s="3"/>
      <c r="BM24" s="3"/>
      <c r="BN24" s="3"/>
      <c r="BO24" s="3"/>
    </row>
    <row r="25" spans="1:67" x14ac:dyDescent="0.3">
      <c r="A25" s="29" t="s">
        <v>41</v>
      </c>
      <c r="B25" s="20"/>
      <c r="C25" s="20"/>
      <c r="D25" s="20"/>
      <c r="E25" s="3">
        <f t="shared" si="30"/>
        <v>1326.1305361305363</v>
      </c>
      <c r="F25" s="3">
        <v>56891</v>
      </c>
      <c r="G25" s="6">
        <v>42.9</v>
      </c>
      <c r="H25" s="3">
        <f t="shared" si="31"/>
        <v>1573.3333333333333</v>
      </c>
      <c r="I25" s="3">
        <v>4248</v>
      </c>
      <c r="J25" s="6">
        <v>2.7</v>
      </c>
      <c r="K25" s="3">
        <f t="shared" si="32"/>
        <v>1103.1666666666667</v>
      </c>
      <c r="L25" s="3">
        <v>13238</v>
      </c>
      <c r="M25" s="6">
        <v>12</v>
      </c>
      <c r="N25" s="3">
        <f t="shared" si="33"/>
        <v>2465.7317073170734</v>
      </c>
      <c r="O25" s="3">
        <v>20219</v>
      </c>
      <c r="P25" s="6">
        <v>8.1999999999999993</v>
      </c>
      <c r="Q25" s="3">
        <f t="shared" si="34"/>
        <v>1125</v>
      </c>
      <c r="R25" s="3">
        <v>5400</v>
      </c>
      <c r="S25" s="6">
        <v>4.8</v>
      </c>
      <c r="T25" s="3">
        <f t="shared" si="35"/>
        <v>2267.7272727272725</v>
      </c>
      <c r="U25" s="3">
        <v>9978</v>
      </c>
      <c r="V25" s="6">
        <v>4.4000000000000004</v>
      </c>
      <c r="W25" s="3">
        <f t="shared" si="36"/>
        <v>3203.4482758620688</v>
      </c>
      <c r="X25" s="3">
        <v>9290</v>
      </c>
      <c r="Y25" s="6">
        <v>2.9</v>
      </c>
      <c r="Z25" s="3">
        <f t="shared" si="37"/>
        <v>1243.0141843971633</v>
      </c>
      <c r="AA25" s="3">
        <v>35053</v>
      </c>
      <c r="AB25" s="6">
        <v>28.2</v>
      </c>
      <c r="AC25" s="3">
        <f t="shared" si="38"/>
        <v>1207.7519379844962</v>
      </c>
      <c r="AD25" s="3">
        <v>31160</v>
      </c>
      <c r="AE25" s="6">
        <v>25.8</v>
      </c>
      <c r="AF25" s="3">
        <f t="shared" si="39"/>
        <v>1627.3267326732673</v>
      </c>
      <c r="AG25" s="3">
        <v>16436</v>
      </c>
      <c r="AH25" s="6">
        <v>10.1</v>
      </c>
      <c r="AI25" s="3">
        <f t="shared" si="40"/>
        <v>1264.3560606060605</v>
      </c>
      <c r="AJ25" s="3">
        <v>100137</v>
      </c>
      <c r="AK25" s="6">
        <v>79.2</v>
      </c>
      <c r="AL25" s="3">
        <f t="shared" si="41"/>
        <v>1731.1309523809523</v>
      </c>
      <c r="AM25" s="3">
        <v>29083</v>
      </c>
      <c r="AN25" s="6">
        <v>16.8</v>
      </c>
      <c r="AO25" s="3">
        <f t="shared" si="26"/>
        <v>1391.3151260504201</v>
      </c>
      <c r="AP25" s="3">
        <f t="shared" si="28"/>
        <v>331133</v>
      </c>
      <c r="AQ25" s="6">
        <f t="shared" si="29"/>
        <v>238</v>
      </c>
      <c r="AR25" s="3"/>
      <c r="AS25" s="3"/>
      <c r="AT25" s="3"/>
      <c r="AU25" s="3"/>
      <c r="AV25" s="3"/>
      <c r="AW25" s="3"/>
      <c r="AX25" s="3"/>
      <c r="AY25" s="3"/>
      <c r="AZ25" s="3"/>
      <c r="BA25" s="3"/>
      <c r="BB25" s="3"/>
      <c r="BC25" s="3"/>
      <c r="BD25" s="3"/>
      <c r="BE25" s="3"/>
      <c r="BF25" s="3"/>
      <c r="BG25" s="3"/>
      <c r="BH25" s="3"/>
      <c r="BI25" s="3"/>
      <c r="BJ25" s="3"/>
      <c r="BK25" s="3"/>
      <c r="BL25" s="3"/>
      <c r="BM25" s="3"/>
      <c r="BN25" s="3"/>
      <c r="BO25" s="3"/>
    </row>
    <row r="26" spans="1:67" x14ac:dyDescent="0.3">
      <c r="A26" s="29" t="s">
        <v>61</v>
      </c>
      <c r="B26" s="20"/>
      <c r="C26" s="20"/>
      <c r="D26" s="20"/>
      <c r="E26" s="3">
        <f t="shared" si="30"/>
        <v>5024</v>
      </c>
      <c r="F26" s="3">
        <v>2512</v>
      </c>
      <c r="G26" s="6">
        <v>0.5</v>
      </c>
      <c r="H26" s="3">
        <f t="shared" si="31"/>
        <v>1251.2</v>
      </c>
      <c r="I26" s="3">
        <v>25024</v>
      </c>
      <c r="J26" s="6">
        <v>20</v>
      </c>
      <c r="K26" s="3" t="e">
        <f t="shared" si="32"/>
        <v>#DIV/0!</v>
      </c>
      <c r="L26" s="3">
        <v>0</v>
      </c>
      <c r="M26" s="6">
        <v>0</v>
      </c>
      <c r="N26" s="3">
        <f t="shared" si="33"/>
        <v>1328.05</v>
      </c>
      <c r="O26" s="3">
        <v>26561</v>
      </c>
      <c r="P26" s="6">
        <v>20</v>
      </c>
      <c r="Q26" s="3">
        <f t="shared" si="34"/>
        <v>1280.8</v>
      </c>
      <c r="R26" s="3">
        <v>25616</v>
      </c>
      <c r="S26" s="6">
        <v>20</v>
      </c>
      <c r="T26" s="3" t="e">
        <f t="shared" si="35"/>
        <v>#DIV/0!</v>
      </c>
      <c r="U26" s="3">
        <v>0</v>
      </c>
      <c r="V26" s="6">
        <v>0</v>
      </c>
      <c r="W26" s="3">
        <f t="shared" si="36"/>
        <v>1266.95</v>
      </c>
      <c r="X26" s="3">
        <v>25339</v>
      </c>
      <c r="Y26" s="6">
        <v>20</v>
      </c>
      <c r="Z26" s="3" t="e">
        <f t="shared" si="37"/>
        <v>#DIV/0!</v>
      </c>
      <c r="AA26" s="3">
        <v>0</v>
      </c>
      <c r="AB26" s="6">
        <v>0</v>
      </c>
      <c r="AC26" s="3">
        <f t="shared" si="38"/>
        <v>1321.75</v>
      </c>
      <c r="AD26" s="3">
        <v>26435</v>
      </c>
      <c r="AE26" s="6">
        <v>20</v>
      </c>
      <c r="AF26" s="3" t="e">
        <f t="shared" si="39"/>
        <v>#DIV/0!</v>
      </c>
      <c r="AG26" s="3">
        <v>0</v>
      </c>
      <c r="AH26" s="6">
        <v>0</v>
      </c>
      <c r="AI26" s="3" t="e">
        <f t="shared" si="40"/>
        <v>#DIV/0!</v>
      </c>
      <c r="AJ26" s="3">
        <v>0</v>
      </c>
      <c r="AK26" s="6">
        <v>0</v>
      </c>
      <c r="AL26" s="3">
        <f t="shared" si="41"/>
        <v>1386</v>
      </c>
      <c r="AM26" s="3">
        <v>27720</v>
      </c>
      <c r="AN26" s="6">
        <v>20</v>
      </c>
      <c r="AO26" s="3">
        <f t="shared" si="26"/>
        <v>1321.2199170124481</v>
      </c>
      <c r="AP26" s="3">
        <f t="shared" si="28"/>
        <v>159207</v>
      </c>
      <c r="AQ26" s="6">
        <f t="shared" si="29"/>
        <v>120.5</v>
      </c>
      <c r="AR26" s="3"/>
      <c r="AS26" s="3"/>
      <c r="AT26" s="3"/>
      <c r="AU26" s="3"/>
      <c r="AV26" s="3"/>
      <c r="AW26" s="3"/>
      <c r="AX26" s="3"/>
      <c r="AY26" s="3"/>
      <c r="AZ26" s="3"/>
      <c r="BA26" s="3"/>
      <c r="BB26" s="3"/>
      <c r="BC26" s="3"/>
      <c r="BD26" s="3"/>
      <c r="BE26" s="3"/>
      <c r="BF26" s="3"/>
      <c r="BG26" s="3"/>
      <c r="BH26" s="3"/>
      <c r="BI26" s="3"/>
      <c r="BJ26" s="3"/>
      <c r="BK26" s="3"/>
      <c r="BL26" s="3"/>
      <c r="BM26" s="3"/>
      <c r="BN26" s="3"/>
      <c r="BO26" s="3"/>
    </row>
    <row r="27" spans="1:67" x14ac:dyDescent="0.3">
      <c r="A27" s="29" t="s">
        <v>89</v>
      </c>
      <c r="B27" s="20"/>
      <c r="C27" s="20"/>
      <c r="D27" s="20"/>
      <c r="E27" s="3" t="e">
        <f t="shared" si="30"/>
        <v>#DIV/0!</v>
      </c>
      <c r="F27" s="3">
        <v>0</v>
      </c>
      <c r="G27" s="6">
        <v>0</v>
      </c>
      <c r="H27" s="3">
        <f t="shared" si="31"/>
        <v>979.42307692307691</v>
      </c>
      <c r="I27" s="3">
        <v>20372</v>
      </c>
      <c r="J27" s="6">
        <v>20.8</v>
      </c>
      <c r="K27" s="3" t="e">
        <f t="shared" si="32"/>
        <v>#DIV/0!</v>
      </c>
      <c r="L27" s="3">
        <v>0</v>
      </c>
      <c r="M27" s="6">
        <v>0</v>
      </c>
      <c r="N27" s="3">
        <f t="shared" si="33"/>
        <v>1054.2857142857142</v>
      </c>
      <c r="O27" s="3">
        <v>20664</v>
      </c>
      <c r="P27" s="6">
        <v>19.600000000000001</v>
      </c>
      <c r="Q27" s="3" t="e">
        <f t="shared" si="34"/>
        <v>#DIV/0!</v>
      </c>
      <c r="R27" s="3">
        <v>0</v>
      </c>
      <c r="S27" s="6">
        <v>0</v>
      </c>
      <c r="T27" s="3" t="e">
        <f t="shared" si="35"/>
        <v>#DIV/0!</v>
      </c>
      <c r="U27" s="3">
        <v>0</v>
      </c>
      <c r="V27" s="6">
        <v>0</v>
      </c>
      <c r="W27" s="3" t="e">
        <f t="shared" si="36"/>
        <v>#DIV/0!</v>
      </c>
      <c r="X27" s="3">
        <v>0</v>
      </c>
      <c r="Y27" s="6">
        <v>0</v>
      </c>
      <c r="Z27" s="3" t="e">
        <f t="shared" si="37"/>
        <v>#DIV/0!</v>
      </c>
      <c r="AA27" s="3">
        <v>0</v>
      </c>
      <c r="AB27" s="6">
        <v>0</v>
      </c>
      <c r="AC27" s="3" t="e">
        <f t="shared" si="38"/>
        <v>#DIV/0!</v>
      </c>
      <c r="AD27" s="3">
        <v>0</v>
      </c>
      <c r="AE27" s="6">
        <v>0</v>
      </c>
      <c r="AF27" s="3" t="e">
        <f t="shared" si="39"/>
        <v>#DIV/0!</v>
      </c>
      <c r="AG27" s="3">
        <v>0</v>
      </c>
      <c r="AH27" s="6">
        <v>0</v>
      </c>
      <c r="AI27" s="3" t="e">
        <f t="shared" si="40"/>
        <v>#DIV/0!</v>
      </c>
      <c r="AJ27" s="3">
        <v>0</v>
      </c>
      <c r="AK27" s="6">
        <v>0</v>
      </c>
      <c r="AL27" s="3">
        <f t="shared" si="41"/>
        <v>1234.2</v>
      </c>
      <c r="AM27" s="3">
        <v>24684</v>
      </c>
      <c r="AN27" s="6">
        <v>20</v>
      </c>
      <c r="AO27" s="3">
        <f t="shared" si="26"/>
        <v>1088.0794701986754</v>
      </c>
      <c r="AP27" s="3">
        <f t="shared" si="28"/>
        <v>65720</v>
      </c>
      <c r="AQ27" s="6">
        <f t="shared" si="29"/>
        <v>60.400000000000006</v>
      </c>
      <c r="AR27" s="3"/>
      <c r="AS27" s="3"/>
      <c r="AT27" s="3"/>
      <c r="AU27" s="3"/>
      <c r="AV27" s="3"/>
      <c r="AW27" s="3"/>
      <c r="AX27" s="3"/>
      <c r="AY27" s="3"/>
      <c r="AZ27" s="3"/>
      <c r="BA27" s="3"/>
      <c r="BB27" s="3"/>
      <c r="BC27" s="3"/>
      <c r="BD27" s="3"/>
      <c r="BE27" s="3"/>
      <c r="BF27" s="3"/>
      <c r="BG27" s="3"/>
      <c r="BH27" s="3"/>
      <c r="BI27" s="3"/>
      <c r="BJ27" s="3"/>
      <c r="BK27" s="3"/>
      <c r="BL27" s="3"/>
      <c r="BM27" s="3"/>
      <c r="BN27" s="3"/>
      <c r="BO27" s="3"/>
    </row>
    <row r="28" spans="1:67" x14ac:dyDescent="0.3">
      <c r="A28" s="29" t="s">
        <v>32</v>
      </c>
      <c r="B28" s="20"/>
      <c r="C28" s="20"/>
      <c r="D28" s="20"/>
      <c r="E28" s="3">
        <f t="shared" si="30"/>
        <v>1307.719298245614</v>
      </c>
      <c r="F28" s="3">
        <v>37270</v>
      </c>
      <c r="G28" s="6">
        <v>28.5</v>
      </c>
      <c r="H28" s="3">
        <f t="shared" si="31"/>
        <v>1050.1431492842537</v>
      </c>
      <c r="I28" s="3">
        <v>51352</v>
      </c>
      <c r="J28" s="6">
        <v>48.9</v>
      </c>
      <c r="K28" s="3">
        <f t="shared" si="32"/>
        <v>928.28193832599118</v>
      </c>
      <c r="L28" s="3">
        <v>21072</v>
      </c>
      <c r="M28" s="6">
        <v>22.7</v>
      </c>
      <c r="N28" s="3">
        <f t="shared" si="33"/>
        <v>905.63535911602207</v>
      </c>
      <c r="O28" s="3">
        <v>16392</v>
      </c>
      <c r="P28" s="6">
        <v>18.100000000000001</v>
      </c>
      <c r="Q28" s="3">
        <f t="shared" si="34"/>
        <v>1040.126050420168</v>
      </c>
      <c r="R28" s="3">
        <v>24755</v>
      </c>
      <c r="S28" s="6">
        <v>23.8</v>
      </c>
      <c r="T28" s="3">
        <f t="shared" si="35"/>
        <v>1020.4601226993865</v>
      </c>
      <c r="U28" s="3">
        <v>33267</v>
      </c>
      <c r="V28" s="6">
        <v>32.6</v>
      </c>
      <c r="W28" s="3">
        <f t="shared" si="36"/>
        <v>1148.0281690140846</v>
      </c>
      <c r="X28" s="3">
        <v>32604</v>
      </c>
      <c r="Y28" s="6">
        <v>28.4</v>
      </c>
      <c r="Z28" s="3">
        <f t="shared" si="37"/>
        <v>1064.8325358851675</v>
      </c>
      <c r="AA28" s="3">
        <v>44510</v>
      </c>
      <c r="AB28" s="6">
        <v>41.8</v>
      </c>
      <c r="AC28" s="3">
        <f t="shared" si="38"/>
        <v>1164.8510638297873</v>
      </c>
      <c r="AD28" s="3">
        <v>27374</v>
      </c>
      <c r="AE28" s="6">
        <v>23.5</v>
      </c>
      <c r="AF28" s="3">
        <f t="shared" si="39"/>
        <v>976.66666666666663</v>
      </c>
      <c r="AG28" s="3">
        <v>25198</v>
      </c>
      <c r="AH28" s="6">
        <v>25.8</v>
      </c>
      <c r="AI28" s="3">
        <f t="shared" si="40"/>
        <v>1185.4655870445345</v>
      </c>
      <c r="AJ28" s="3">
        <v>58562</v>
      </c>
      <c r="AK28" s="6">
        <v>49.4</v>
      </c>
      <c r="AL28" s="3">
        <f t="shared" si="41"/>
        <v>1147.9901960784314</v>
      </c>
      <c r="AM28" s="3">
        <v>23419</v>
      </c>
      <c r="AN28" s="6">
        <v>20.399999999999999</v>
      </c>
      <c r="AO28" s="3">
        <f t="shared" si="26"/>
        <v>1087.5927452596868</v>
      </c>
      <c r="AP28" s="3">
        <f t="shared" si="28"/>
        <v>395775</v>
      </c>
      <c r="AQ28" s="6">
        <f t="shared" si="29"/>
        <v>363.9</v>
      </c>
      <c r="AR28" s="3"/>
      <c r="AS28" s="3"/>
      <c r="AT28" s="3"/>
      <c r="AU28" s="3"/>
      <c r="AV28" s="3"/>
      <c r="AW28" s="3"/>
      <c r="AX28" s="3"/>
      <c r="AY28" s="3"/>
      <c r="AZ28" s="3"/>
      <c r="BA28" s="3"/>
      <c r="BB28" s="3"/>
      <c r="BC28" s="3"/>
      <c r="BD28" s="3"/>
      <c r="BE28" s="3"/>
      <c r="BF28" s="3"/>
      <c r="BG28" s="3"/>
      <c r="BH28" s="3"/>
      <c r="BI28" s="3"/>
      <c r="BJ28" s="3"/>
      <c r="BK28" s="3"/>
      <c r="BL28" s="3"/>
      <c r="BM28" s="3"/>
      <c r="BN28" s="3"/>
      <c r="BO28" s="3"/>
    </row>
    <row r="29" spans="1:67" x14ac:dyDescent="0.3">
      <c r="A29" s="29" t="s">
        <v>18</v>
      </c>
      <c r="B29" s="20"/>
      <c r="C29" s="20"/>
      <c r="D29" s="20"/>
      <c r="E29" s="3">
        <f t="shared" si="30"/>
        <v>2966.5853658536589</v>
      </c>
      <c r="F29" s="3">
        <v>12163</v>
      </c>
      <c r="G29" s="6">
        <v>4.0999999999999996</v>
      </c>
      <c r="H29" s="3" t="e">
        <f t="shared" si="31"/>
        <v>#DIV/0!</v>
      </c>
      <c r="I29" s="3">
        <v>0</v>
      </c>
      <c r="J29" s="6">
        <v>0</v>
      </c>
      <c r="K29" s="3">
        <f t="shared" si="32"/>
        <v>4596</v>
      </c>
      <c r="L29" s="3">
        <v>4596</v>
      </c>
      <c r="M29" s="6">
        <v>1</v>
      </c>
      <c r="N29" s="3">
        <f t="shared" si="33"/>
        <v>2781.655172413793</v>
      </c>
      <c r="O29" s="3">
        <v>40334</v>
      </c>
      <c r="P29" s="6">
        <v>14.5</v>
      </c>
      <c r="Q29" s="3">
        <f t="shared" si="34"/>
        <v>4371.666666666667</v>
      </c>
      <c r="R29" s="3">
        <v>5246</v>
      </c>
      <c r="S29" s="6">
        <v>1.2</v>
      </c>
      <c r="T29" s="3">
        <f t="shared" si="35"/>
        <v>3087</v>
      </c>
      <c r="U29" s="3">
        <v>3087</v>
      </c>
      <c r="V29" s="6">
        <v>1</v>
      </c>
      <c r="W29" s="3">
        <f t="shared" si="36"/>
        <v>3915.7692307692305</v>
      </c>
      <c r="X29" s="3">
        <v>10181</v>
      </c>
      <c r="Y29" s="6">
        <v>2.6</v>
      </c>
      <c r="Z29" s="3" t="e">
        <f t="shared" si="37"/>
        <v>#DIV/0!</v>
      </c>
      <c r="AA29" s="3">
        <v>0</v>
      </c>
      <c r="AB29" s="6">
        <v>0</v>
      </c>
      <c r="AC29" s="3" t="e">
        <f t="shared" si="38"/>
        <v>#DIV/0!</v>
      </c>
      <c r="AD29" s="3">
        <v>0</v>
      </c>
      <c r="AE29" s="6">
        <v>0</v>
      </c>
      <c r="AF29" s="3">
        <f t="shared" si="39"/>
        <v>2663.75</v>
      </c>
      <c r="AG29" s="3">
        <v>6393</v>
      </c>
      <c r="AH29" s="6">
        <v>2.4</v>
      </c>
      <c r="AI29" s="3">
        <f t="shared" si="40"/>
        <v>2910.5555555555557</v>
      </c>
      <c r="AJ29" s="3">
        <v>5239</v>
      </c>
      <c r="AK29" s="6">
        <v>1.8</v>
      </c>
      <c r="AL29" s="3">
        <f t="shared" si="41"/>
        <v>3859.2727272727275</v>
      </c>
      <c r="AM29" s="3">
        <v>21226</v>
      </c>
      <c r="AN29" s="6">
        <v>5.5</v>
      </c>
      <c r="AO29" s="3">
        <f t="shared" si="26"/>
        <v>3180.7917888563047</v>
      </c>
      <c r="AP29" s="3">
        <f t="shared" si="28"/>
        <v>108465</v>
      </c>
      <c r="AQ29" s="6">
        <f t="shared" si="29"/>
        <v>34.1</v>
      </c>
      <c r="AR29" s="3"/>
      <c r="AS29" s="3"/>
      <c r="AT29" s="3"/>
      <c r="AU29" s="3"/>
      <c r="AV29" s="3"/>
      <c r="AW29" s="3"/>
      <c r="AX29" s="3"/>
      <c r="AY29" s="3"/>
      <c r="AZ29" s="3"/>
      <c r="BA29" s="3"/>
      <c r="BB29" s="3"/>
      <c r="BC29" s="3"/>
      <c r="BD29" s="3"/>
      <c r="BE29" s="3"/>
      <c r="BF29" s="3"/>
      <c r="BG29" s="3"/>
      <c r="BH29" s="3"/>
      <c r="BI29" s="3"/>
      <c r="BJ29" s="3"/>
      <c r="BK29" s="3"/>
      <c r="BL29" s="3"/>
      <c r="BM29" s="3"/>
      <c r="BN29" s="3"/>
      <c r="BO29" s="3"/>
    </row>
    <row r="30" spans="1:67" x14ac:dyDescent="0.3">
      <c r="A30" s="29" t="s">
        <v>22</v>
      </c>
      <c r="B30" s="20"/>
      <c r="C30" s="20"/>
      <c r="D30" s="20"/>
      <c r="E30" s="3">
        <f t="shared" si="30"/>
        <v>2112.1621621621621</v>
      </c>
      <c r="F30" s="3">
        <v>31260</v>
      </c>
      <c r="G30" s="6">
        <v>14.8</v>
      </c>
      <c r="H30" s="3">
        <f t="shared" si="31"/>
        <v>1528.2291666666667</v>
      </c>
      <c r="I30" s="3">
        <v>29342</v>
      </c>
      <c r="J30" s="6">
        <v>19.2</v>
      </c>
      <c r="K30" s="3">
        <f t="shared" si="32"/>
        <v>1244.9496981891348</v>
      </c>
      <c r="L30" s="3">
        <v>61874</v>
      </c>
      <c r="M30" s="6">
        <v>49.7</v>
      </c>
      <c r="N30" s="3">
        <f t="shared" si="33"/>
        <v>2069.2086330935253</v>
      </c>
      <c r="O30" s="3">
        <v>28762</v>
      </c>
      <c r="P30" s="6">
        <v>13.9</v>
      </c>
      <c r="Q30" s="3">
        <f t="shared" si="34"/>
        <v>1870.5208333333335</v>
      </c>
      <c r="R30" s="3">
        <v>17957</v>
      </c>
      <c r="S30" s="6">
        <v>9.6</v>
      </c>
      <c r="T30" s="3">
        <f t="shared" si="35"/>
        <v>2234.479166666667</v>
      </c>
      <c r="U30" s="3">
        <v>21451</v>
      </c>
      <c r="V30" s="6">
        <v>9.6</v>
      </c>
      <c r="W30" s="3">
        <f t="shared" si="36"/>
        <v>1327.0714285714287</v>
      </c>
      <c r="X30" s="3">
        <v>37158</v>
      </c>
      <c r="Y30" s="6">
        <v>28</v>
      </c>
      <c r="Z30" s="3">
        <f t="shared" si="37"/>
        <v>1478.4764542936286</v>
      </c>
      <c r="AA30" s="3">
        <v>53373</v>
      </c>
      <c r="AB30" s="6">
        <v>36.1</v>
      </c>
      <c r="AC30" s="3">
        <f t="shared" si="38"/>
        <v>1417.2916666666665</v>
      </c>
      <c r="AD30" s="3">
        <v>61227</v>
      </c>
      <c r="AE30" s="6">
        <v>43.2</v>
      </c>
      <c r="AF30" s="3">
        <f t="shared" si="39"/>
        <v>2215.1020408163267</v>
      </c>
      <c r="AG30" s="3">
        <v>32562</v>
      </c>
      <c r="AH30" s="6">
        <v>14.7</v>
      </c>
      <c r="AI30" s="3">
        <f t="shared" si="40"/>
        <v>2271.7557251908397</v>
      </c>
      <c r="AJ30" s="3">
        <v>29760</v>
      </c>
      <c r="AK30" s="6">
        <v>13.1</v>
      </c>
      <c r="AL30" s="3">
        <f t="shared" si="41"/>
        <v>1080</v>
      </c>
      <c r="AM30" s="3">
        <v>20520</v>
      </c>
      <c r="AN30" s="6">
        <v>19</v>
      </c>
      <c r="AO30" s="3">
        <f t="shared" si="26"/>
        <v>1569.7526762643042</v>
      </c>
      <c r="AP30" s="3">
        <f t="shared" si="28"/>
        <v>425246</v>
      </c>
      <c r="AQ30" s="6">
        <f t="shared" si="29"/>
        <v>270.89999999999998</v>
      </c>
      <c r="AR30" s="3"/>
      <c r="AS30" s="3"/>
      <c r="AT30" s="3"/>
      <c r="AU30" s="3"/>
      <c r="AV30" s="3"/>
      <c r="AW30" s="3"/>
      <c r="AX30" s="3"/>
      <c r="AY30" s="3"/>
      <c r="AZ30" s="3"/>
      <c r="BA30" s="3"/>
      <c r="BB30" s="3"/>
      <c r="BC30" s="3"/>
      <c r="BD30" s="3"/>
      <c r="BE30" s="3"/>
      <c r="BF30" s="3"/>
      <c r="BG30" s="3"/>
      <c r="BH30" s="3"/>
      <c r="BI30" s="3"/>
      <c r="BJ30" s="3"/>
      <c r="BK30" s="3"/>
      <c r="BL30" s="3"/>
      <c r="BM30" s="3"/>
      <c r="BN30" s="3"/>
      <c r="BO30" s="3"/>
    </row>
    <row r="31" spans="1:67" x14ac:dyDescent="0.3">
      <c r="A31" s="29" t="s">
        <v>30</v>
      </c>
      <c r="B31" s="20"/>
      <c r="C31" s="20"/>
      <c r="D31" s="20"/>
      <c r="E31" s="3">
        <f t="shared" si="30"/>
        <v>1552.3026315789475</v>
      </c>
      <c r="F31" s="3">
        <v>23595</v>
      </c>
      <c r="G31" s="6">
        <v>15.2</v>
      </c>
      <c r="H31" s="3" t="e">
        <f t="shared" si="31"/>
        <v>#DIV/0!</v>
      </c>
      <c r="I31" s="3">
        <v>0</v>
      </c>
      <c r="J31" s="6">
        <v>0</v>
      </c>
      <c r="K31" s="3" t="e">
        <f t="shared" si="32"/>
        <v>#DIV/0!</v>
      </c>
      <c r="L31" s="3">
        <v>0</v>
      </c>
      <c r="M31" s="6">
        <v>0</v>
      </c>
      <c r="N31" s="3">
        <f t="shared" si="33"/>
        <v>2127.6190476190477</v>
      </c>
      <c r="O31" s="3">
        <v>4468</v>
      </c>
      <c r="P31" s="6">
        <v>2.1</v>
      </c>
      <c r="Q31" s="3">
        <f t="shared" si="34"/>
        <v>1725.3465346534654</v>
      </c>
      <c r="R31" s="3">
        <v>17426</v>
      </c>
      <c r="S31" s="6">
        <v>10.1</v>
      </c>
      <c r="T31" s="3">
        <f t="shared" si="35"/>
        <v>1914.148148148148</v>
      </c>
      <c r="U31" s="3">
        <v>25841</v>
      </c>
      <c r="V31" s="6">
        <v>13.5</v>
      </c>
      <c r="W31" s="3" t="e">
        <f t="shared" si="36"/>
        <v>#DIV/0!</v>
      </c>
      <c r="X31" s="3">
        <v>0</v>
      </c>
      <c r="Y31" s="6">
        <v>0</v>
      </c>
      <c r="Z31" s="3">
        <f t="shared" si="37"/>
        <v>1494.426523297491</v>
      </c>
      <c r="AA31" s="3">
        <v>83389</v>
      </c>
      <c r="AB31" s="6">
        <v>55.8</v>
      </c>
      <c r="AC31" s="3" t="e">
        <f t="shared" si="38"/>
        <v>#DIV/0!</v>
      </c>
      <c r="AD31" s="3">
        <v>0</v>
      </c>
      <c r="AE31" s="6">
        <v>0</v>
      </c>
      <c r="AF31" s="3">
        <f t="shared" si="39"/>
        <v>2677.0935960591132</v>
      </c>
      <c r="AG31" s="3">
        <v>54345</v>
      </c>
      <c r="AH31" s="6">
        <v>20.3</v>
      </c>
      <c r="AI31" s="3" t="e">
        <f t="shared" si="40"/>
        <v>#DIV/0!</v>
      </c>
      <c r="AJ31" s="3">
        <v>0</v>
      </c>
      <c r="AK31" s="6">
        <v>0</v>
      </c>
      <c r="AL31" s="3">
        <f t="shared" si="41"/>
        <v>944.30051813471493</v>
      </c>
      <c r="AM31" s="3">
        <v>18225</v>
      </c>
      <c r="AN31" s="6">
        <v>19.3</v>
      </c>
      <c r="AO31" s="3">
        <f t="shared" si="26"/>
        <v>1667.5641966250919</v>
      </c>
      <c r="AP31" s="3">
        <f t="shared" si="28"/>
        <v>227289</v>
      </c>
      <c r="AQ31" s="6">
        <f t="shared" si="29"/>
        <v>136.29999999999998</v>
      </c>
      <c r="AR31" s="3"/>
      <c r="AS31" s="3"/>
      <c r="AT31" s="3"/>
      <c r="AU31" s="3"/>
      <c r="AV31" s="3"/>
      <c r="AW31" s="3"/>
      <c r="AX31" s="3"/>
      <c r="AY31" s="3"/>
      <c r="AZ31" s="3"/>
      <c r="BA31" s="3"/>
      <c r="BB31" s="3"/>
      <c r="BC31" s="3"/>
      <c r="BD31" s="3"/>
      <c r="BE31" s="3"/>
      <c r="BF31" s="3"/>
      <c r="BG31" s="3"/>
      <c r="BH31" s="3"/>
      <c r="BI31" s="3"/>
      <c r="BJ31" s="3"/>
      <c r="BK31" s="3"/>
      <c r="BL31" s="3"/>
      <c r="BM31" s="3"/>
      <c r="BN31" s="3"/>
      <c r="BO31" s="3"/>
    </row>
    <row r="32" spans="1:67" x14ac:dyDescent="0.3">
      <c r="A32" s="29" t="s">
        <v>60</v>
      </c>
      <c r="B32" s="20"/>
      <c r="C32" s="20"/>
      <c r="D32" s="20"/>
      <c r="E32" s="3">
        <f t="shared" si="30"/>
        <v>2139.3333333333335</v>
      </c>
      <c r="F32" s="3">
        <v>3209</v>
      </c>
      <c r="G32" s="6">
        <v>1.5</v>
      </c>
      <c r="H32" s="3">
        <f t="shared" si="31"/>
        <v>2111.0526315789475</v>
      </c>
      <c r="I32" s="3">
        <v>4011</v>
      </c>
      <c r="J32" s="6">
        <v>1.9</v>
      </c>
      <c r="K32" s="3">
        <f t="shared" si="32"/>
        <v>1972.8205128205129</v>
      </c>
      <c r="L32" s="3">
        <v>15388</v>
      </c>
      <c r="M32" s="6">
        <v>7.8</v>
      </c>
      <c r="N32" s="3" t="e">
        <f t="shared" si="33"/>
        <v>#DIV/0!</v>
      </c>
      <c r="O32" s="3">
        <v>0</v>
      </c>
      <c r="P32" s="6">
        <v>0</v>
      </c>
      <c r="Q32" s="3">
        <f t="shared" si="34"/>
        <v>4574.6000000000004</v>
      </c>
      <c r="R32" s="3">
        <v>22873</v>
      </c>
      <c r="S32" s="6">
        <v>5</v>
      </c>
      <c r="T32" s="3">
        <f t="shared" si="35"/>
        <v>2965.3333333333335</v>
      </c>
      <c r="U32" s="3">
        <v>13344</v>
      </c>
      <c r="V32" s="6">
        <v>4.5</v>
      </c>
      <c r="W32" s="3">
        <f t="shared" si="36"/>
        <v>1550.3311258278145</v>
      </c>
      <c r="X32" s="3">
        <v>23410</v>
      </c>
      <c r="Y32" s="6">
        <v>15.1</v>
      </c>
      <c r="Z32" s="3">
        <f t="shared" si="37"/>
        <v>2188.181818181818</v>
      </c>
      <c r="AA32" s="3">
        <v>4814</v>
      </c>
      <c r="AB32" s="6">
        <v>2.2000000000000002</v>
      </c>
      <c r="AC32" s="3">
        <f t="shared" si="38"/>
        <v>4558.125</v>
      </c>
      <c r="AD32" s="3">
        <v>43758</v>
      </c>
      <c r="AE32" s="6">
        <v>9.6</v>
      </c>
      <c r="AF32" s="3">
        <f t="shared" si="39"/>
        <v>1745.8119658119658</v>
      </c>
      <c r="AG32" s="3">
        <v>40852</v>
      </c>
      <c r="AH32" s="6">
        <v>23.4</v>
      </c>
      <c r="AI32" s="3">
        <f t="shared" si="40"/>
        <v>1719.5652173913043</v>
      </c>
      <c r="AJ32" s="3">
        <v>11865</v>
      </c>
      <c r="AK32" s="6">
        <v>6.9</v>
      </c>
      <c r="AL32" s="3">
        <f t="shared" si="41"/>
        <v>1767.7777777777776</v>
      </c>
      <c r="AM32" s="3">
        <v>17501</v>
      </c>
      <c r="AN32" s="6">
        <v>9.9</v>
      </c>
      <c r="AO32" s="3">
        <f t="shared" si="26"/>
        <v>2289.5785876993164</v>
      </c>
      <c r="AP32" s="3">
        <f t="shared" si="28"/>
        <v>201025</v>
      </c>
      <c r="AQ32" s="6">
        <f t="shared" si="29"/>
        <v>87.800000000000011</v>
      </c>
      <c r="AR32" s="3"/>
      <c r="AS32" s="3"/>
      <c r="AT32" s="3"/>
      <c r="AU32" s="3"/>
      <c r="AV32" s="3"/>
      <c r="AW32" s="3"/>
      <c r="AX32" s="3"/>
      <c r="AY32" s="3"/>
      <c r="AZ32" s="3"/>
      <c r="BA32" s="3"/>
      <c r="BB32" s="3"/>
      <c r="BC32" s="3"/>
      <c r="BD32" s="3"/>
      <c r="BE32" s="3"/>
      <c r="BF32" s="3"/>
      <c r="BG32" s="3"/>
      <c r="BH32" s="3"/>
      <c r="BI32" s="3"/>
      <c r="BJ32" s="3"/>
      <c r="BK32" s="3"/>
      <c r="BL32" s="3"/>
      <c r="BM32" s="3"/>
      <c r="BN32" s="3"/>
      <c r="BO32" s="3"/>
    </row>
    <row r="33" spans="1:67" x14ac:dyDescent="0.3">
      <c r="A33" s="29" t="s">
        <v>71</v>
      </c>
      <c r="B33" s="20"/>
      <c r="C33" s="20"/>
      <c r="D33" s="20"/>
      <c r="E33" s="3" t="e">
        <f t="shared" si="30"/>
        <v>#DIV/0!</v>
      </c>
      <c r="F33" s="3">
        <v>0</v>
      </c>
      <c r="G33" s="6">
        <v>0</v>
      </c>
      <c r="H33" s="3">
        <f t="shared" si="31"/>
        <v>1387.6190476190475</v>
      </c>
      <c r="I33" s="3">
        <v>23312</v>
      </c>
      <c r="J33" s="6">
        <v>16.8</v>
      </c>
      <c r="K33" s="3">
        <f t="shared" si="32"/>
        <v>1430.2919708029199</v>
      </c>
      <c r="L33" s="3">
        <v>39190</v>
      </c>
      <c r="M33" s="6">
        <v>27.4</v>
      </c>
      <c r="N33" s="3">
        <f t="shared" si="33"/>
        <v>1697.4485596707818</v>
      </c>
      <c r="O33" s="3">
        <v>41248</v>
      </c>
      <c r="P33" s="6">
        <v>24.3</v>
      </c>
      <c r="Q33" s="3" t="e">
        <f t="shared" si="34"/>
        <v>#DIV/0!</v>
      </c>
      <c r="R33" s="3">
        <v>0</v>
      </c>
      <c r="S33" s="6">
        <v>0</v>
      </c>
      <c r="T33" s="3">
        <f t="shared" si="35"/>
        <v>1328.6111111111111</v>
      </c>
      <c r="U33" s="3">
        <v>47830</v>
      </c>
      <c r="V33" s="6">
        <v>36</v>
      </c>
      <c r="W33" s="3">
        <f t="shared" si="36"/>
        <v>2238.0952380952381</v>
      </c>
      <c r="X33" s="3">
        <v>18800</v>
      </c>
      <c r="Y33" s="6">
        <v>8.4</v>
      </c>
      <c r="Z33" s="3">
        <f t="shared" si="37"/>
        <v>1422.1791044776119</v>
      </c>
      <c r="AA33" s="3">
        <v>47643</v>
      </c>
      <c r="AB33" s="6">
        <v>33.5</v>
      </c>
      <c r="AC33" s="3" t="e">
        <f t="shared" si="38"/>
        <v>#DIV/0!</v>
      </c>
      <c r="AD33" s="3">
        <v>0</v>
      </c>
      <c r="AE33" s="6">
        <v>0</v>
      </c>
      <c r="AF33" s="3">
        <f t="shared" si="39"/>
        <v>1225.3403141361255</v>
      </c>
      <c r="AG33" s="3">
        <v>23404</v>
      </c>
      <c r="AH33" s="6">
        <v>19.100000000000001</v>
      </c>
      <c r="AI33" s="3">
        <f t="shared" si="40"/>
        <v>1462.0238095238094</v>
      </c>
      <c r="AJ33" s="3">
        <v>24562</v>
      </c>
      <c r="AK33" s="6">
        <v>16.8</v>
      </c>
      <c r="AL33" s="3">
        <f t="shared" si="41"/>
        <v>2000</v>
      </c>
      <c r="AM33" s="3">
        <v>16800</v>
      </c>
      <c r="AN33" s="6">
        <v>8.4</v>
      </c>
      <c r="AO33" s="3">
        <f t="shared" si="26"/>
        <v>1482.8998426848452</v>
      </c>
      <c r="AP33" s="3">
        <f t="shared" si="28"/>
        <v>282789</v>
      </c>
      <c r="AQ33" s="6">
        <f t="shared" si="29"/>
        <v>190.70000000000002</v>
      </c>
      <c r="AR33" s="3"/>
      <c r="AS33" s="3"/>
      <c r="AT33" s="3"/>
      <c r="AU33" s="3"/>
      <c r="AV33" s="3"/>
      <c r="AW33" s="3"/>
      <c r="AX33" s="3"/>
      <c r="AY33" s="3"/>
      <c r="AZ33" s="3"/>
      <c r="BA33" s="3"/>
      <c r="BB33" s="3"/>
      <c r="BC33" s="3"/>
      <c r="BD33" s="3"/>
      <c r="BE33" s="3"/>
      <c r="BF33" s="3"/>
      <c r="BG33" s="3"/>
      <c r="BH33" s="3"/>
      <c r="BI33" s="3"/>
      <c r="BJ33" s="3"/>
      <c r="BK33" s="3"/>
      <c r="BL33" s="3"/>
      <c r="BM33" s="3"/>
      <c r="BN33" s="3"/>
      <c r="BO33" s="3"/>
    </row>
    <row r="34" spans="1:67" x14ac:dyDescent="0.3">
      <c r="A34" s="29" t="s">
        <v>84</v>
      </c>
      <c r="B34" s="20"/>
      <c r="C34" s="20"/>
      <c r="D34" s="20"/>
      <c r="E34" s="3" t="e">
        <f t="shared" si="30"/>
        <v>#DIV/0!</v>
      </c>
      <c r="F34" s="3">
        <v>0</v>
      </c>
      <c r="G34" s="6">
        <v>0</v>
      </c>
      <c r="H34" s="3" t="e">
        <f t="shared" si="31"/>
        <v>#DIV/0!</v>
      </c>
      <c r="I34" s="3">
        <v>0</v>
      </c>
      <c r="J34" s="6">
        <v>0</v>
      </c>
      <c r="K34" s="3" t="e">
        <f t="shared" si="32"/>
        <v>#DIV/0!</v>
      </c>
      <c r="L34" s="3">
        <v>0</v>
      </c>
      <c r="M34" s="6">
        <v>0</v>
      </c>
      <c r="N34" s="3">
        <f t="shared" si="33"/>
        <v>854.095744680851</v>
      </c>
      <c r="O34" s="3">
        <v>16057</v>
      </c>
      <c r="P34" s="6">
        <v>18.8</v>
      </c>
      <c r="Q34" s="3" t="e">
        <f t="shared" si="34"/>
        <v>#DIV/0!</v>
      </c>
      <c r="R34" s="3">
        <v>0</v>
      </c>
      <c r="S34" s="6">
        <v>0</v>
      </c>
      <c r="T34" s="3" t="e">
        <f t="shared" si="35"/>
        <v>#DIV/0!</v>
      </c>
      <c r="U34" s="3">
        <v>0</v>
      </c>
      <c r="V34" s="6">
        <v>0</v>
      </c>
      <c r="W34" s="3">
        <f t="shared" si="36"/>
        <v>1547.1311475409836</v>
      </c>
      <c r="X34" s="3">
        <v>18875</v>
      </c>
      <c r="Y34" s="6">
        <v>12.2</v>
      </c>
      <c r="Z34" s="3">
        <f t="shared" si="37"/>
        <v>852.88888888888891</v>
      </c>
      <c r="AA34" s="3">
        <v>15352</v>
      </c>
      <c r="AB34" s="6">
        <v>18</v>
      </c>
      <c r="AC34" s="3">
        <f t="shared" si="38"/>
        <v>1029.0588235294117</v>
      </c>
      <c r="AD34" s="3">
        <v>17494</v>
      </c>
      <c r="AE34" s="6">
        <v>17</v>
      </c>
      <c r="AF34" s="3" t="e">
        <f t="shared" si="39"/>
        <v>#DIV/0!</v>
      </c>
      <c r="AG34" s="3">
        <v>0</v>
      </c>
      <c r="AH34" s="6">
        <v>0</v>
      </c>
      <c r="AI34" s="3" t="e">
        <f t="shared" si="40"/>
        <v>#DIV/0!</v>
      </c>
      <c r="AJ34" s="3">
        <v>0</v>
      </c>
      <c r="AK34" s="6">
        <v>0</v>
      </c>
      <c r="AL34" s="3">
        <f t="shared" si="41"/>
        <v>770.78651685393254</v>
      </c>
      <c r="AM34" s="3">
        <v>13720</v>
      </c>
      <c r="AN34" s="6">
        <v>17.8</v>
      </c>
      <c r="AO34" s="3">
        <f t="shared" si="26"/>
        <v>972.52983293556088</v>
      </c>
      <c r="AP34" s="3">
        <f t="shared" si="28"/>
        <v>81498</v>
      </c>
      <c r="AQ34" s="6">
        <f t="shared" si="29"/>
        <v>83.8</v>
      </c>
      <c r="AR34" s="3"/>
      <c r="AS34" s="3"/>
      <c r="AT34" s="3"/>
      <c r="AU34" s="3"/>
      <c r="AV34" s="3"/>
      <c r="AW34" s="3"/>
      <c r="AX34" s="3"/>
      <c r="AY34" s="3"/>
      <c r="AZ34" s="3"/>
      <c r="BA34" s="3"/>
      <c r="BB34" s="3"/>
      <c r="BC34" s="3"/>
      <c r="BD34" s="3"/>
      <c r="BE34" s="3"/>
      <c r="BF34" s="3"/>
      <c r="BG34" s="3"/>
      <c r="BH34" s="3"/>
      <c r="BI34" s="3"/>
      <c r="BJ34" s="3"/>
      <c r="BK34" s="3"/>
      <c r="BL34" s="3"/>
      <c r="BM34" s="3"/>
      <c r="BN34" s="3"/>
      <c r="BO34" s="3"/>
    </row>
    <row r="35" spans="1:67" x14ac:dyDescent="0.3">
      <c r="A35" s="29" t="s">
        <v>63</v>
      </c>
      <c r="B35" s="20"/>
      <c r="C35" s="20"/>
      <c r="D35" s="20"/>
      <c r="E35" s="3" t="e">
        <f t="shared" si="30"/>
        <v>#DIV/0!</v>
      </c>
      <c r="F35" s="3">
        <v>0</v>
      </c>
      <c r="G35" s="6">
        <v>0</v>
      </c>
      <c r="H35" s="3" t="e">
        <f t="shared" si="31"/>
        <v>#DIV/0!</v>
      </c>
      <c r="I35" s="3">
        <v>0</v>
      </c>
      <c r="J35" s="6">
        <v>0</v>
      </c>
      <c r="K35" s="3" t="e">
        <f t="shared" si="32"/>
        <v>#DIV/0!</v>
      </c>
      <c r="L35" s="3">
        <v>0</v>
      </c>
      <c r="M35" s="6">
        <v>0</v>
      </c>
      <c r="N35" s="3" t="e">
        <f t="shared" si="33"/>
        <v>#DIV/0!</v>
      </c>
      <c r="O35" s="3">
        <v>0</v>
      </c>
      <c r="P35" s="6">
        <v>0</v>
      </c>
      <c r="Q35" s="3" t="e">
        <f t="shared" si="34"/>
        <v>#DIV/0!</v>
      </c>
      <c r="R35" s="3">
        <v>0</v>
      </c>
      <c r="S35" s="6">
        <v>0</v>
      </c>
      <c r="T35" s="3" t="e">
        <f t="shared" si="35"/>
        <v>#DIV/0!</v>
      </c>
      <c r="U35" s="3">
        <v>0</v>
      </c>
      <c r="V35" s="6">
        <v>0</v>
      </c>
      <c r="W35" s="3" t="e">
        <f t="shared" si="36"/>
        <v>#DIV/0!</v>
      </c>
      <c r="X35" s="3">
        <v>0</v>
      </c>
      <c r="Y35" s="6">
        <v>0</v>
      </c>
      <c r="Z35" s="3" t="e">
        <f t="shared" si="37"/>
        <v>#DIV/0!</v>
      </c>
      <c r="AA35" s="3">
        <v>0</v>
      </c>
      <c r="AB35" s="6">
        <v>0</v>
      </c>
      <c r="AC35" s="3" t="e">
        <f t="shared" si="38"/>
        <v>#DIV/0!</v>
      </c>
      <c r="AD35" s="3">
        <v>0</v>
      </c>
      <c r="AE35" s="6">
        <v>0</v>
      </c>
      <c r="AF35" s="3">
        <f t="shared" si="39"/>
        <v>4680.8333333333339</v>
      </c>
      <c r="AG35" s="3">
        <v>5617</v>
      </c>
      <c r="AH35" s="6">
        <v>1.2</v>
      </c>
      <c r="AI35" s="3">
        <f t="shared" si="40"/>
        <v>1531.1764705882354</v>
      </c>
      <c r="AJ35" s="3">
        <v>2603</v>
      </c>
      <c r="AK35" s="6">
        <v>1.7</v>
      </c>
      <c r="AL35" s="3">
        <f t="shared" si="41"/>
        <v>1994.6969696969697</v>
      </c>
      <c r="AM35" s="3">
        <v>13165</v>
      </c>
      <c r="AN35" s="6">
        <v>6.6</v>
      </c>
      <c r="AO35" s="3">
        <f t="shared" si="26"/>
        <v>2251.0526315789475</v>
      </c>
      <c r="AP35" s="3">
        <f t="shared" si="28"/>
        <v>21385</v>
      </c>
      <c r="AQ35" s="6">
        <f t="shared" si="29"/>
        <v>9.5</v>
      </c>
      <c r="AR35" s="3"/>
      <c r="AS35" s="3"/>
      <c r="AT35" s="3"/>
      <c r="AU35" s="3"/>
      <c r="AV35" s="3"/>
      <c r="AW35" s="3"/>
      <c r="AX35" s="3"/>
      <c r="AY35" s="3"/>
      <c r="AZ35" s="3"/>
      <c r="BA35" s="3"/>
      <c r="BB35" s="3"/>
      <c r="BC35" s="3"/>
      <c r="BD35" s="3"/>
      <c r="BE35" s="3"/>
      <c r="BF35" s="3"/>
      <c r="BG35" s="3"/>
      <c r="BH35" s="3"/>
      <c r="BI35" s="3"/>
      <c r="BJ35" s="3"/>
      <c r="BK35" s="3"/>
      <c r="BL35" s="3"/>
      <c r="BM35" s="3"/>
      <c r="BN35" s="3"/>
      <c r="BO35" s="3"/>
    </row>
    <row r="36" spans="1:67" x14ac:dyDescent="0.3">
      <c r="A36" s="29" t="s">
        <v>27</v>
      </c>
      <c r="B36" s="20"/>
      <c r="C36" s="20"/>
      <c r="D36" s="20"/>
      <c r="E36" s="3">
        <f t="shared" si="30"/>
        <v>1549.4117647058824</v>
      </c>
      <c r="F36" s="3">
        <v>2634</v>
      </c>
      <c r="G36" s="6">
        <v>1.7</v>
      </c>
      <c r="H36" s="3">
        <f t="shared" si="31"/>
        <v>1570.5</v>
      </c>
      <c r="I36" s="3">
        <v>3141</v>
      </c>
      <c r="J36" s="6">
        <v>2</v>
      </c>
      <c r="K36" s="3">
        <f t="shared" si="32"/>
        <v>1091.5813953488373</v>
      </c>
      <c r="L36" s="3">
        <v>23469</v>
      </c>
      <c r="M36" s="6">
        <v>21.5</v>
      </c>
      <c r="N36" s="3" t="e">
        <f t="shared" si="33"/>
        <v>#DIV/0!</v>
      </c>
      <c r="O36" s="3">
        <v>0</v>
      </c>
      <c r="P36" s="6">
        <v>0</v>
      </c>
      <c r="Q36" s="3">
        <f t="shared" si="34"/>
        <v>1567.3170731707319</v>
      </c>
      <c r="R36" s="3">
        <v>6426</v>
      </c>
      <c r="S36" s="6">
        <v>4.0999999999999996</v>
      </c>
      <c r="T36" s="3" t="e">
        <f t="shared" si="35"/>
        <v>#DIV/0!</v>
      </c>
      <c r="U36" s="3">
        <v>0</v>
      </c>
      <c r="V36" s="6">
        <v>0</v>
      </c>
      <c r="W36" s="3" t="e">
        <f t="shared" si="36"/>
        <v>#DIV/0!</v>
      </c>
      <c r="X36" s="3">
        <v>0</v>
      </c>
      <c r="Y36" s="6">
        <v>0</v>
      </c>
      <c r="Z36" s="3" t="e">
        <f t="shared" si="37"/>
        <v>#DIV/0!</v>
      </c>
      <c r="AA36" s="3">
        <v>0</v>
      </c>
      <c r="AB36" s="6">
        <v>0</v>
      </c>
      <c r="AC36" s="3" t="e">
        <f t="shared" si="38"/>
        <v>#DIV/0!</v>
      </c>
      <c r="AD36" s="3">
        <v>0</v>
      </c>
      <c r="AE36" s="6">
        <v>0</v>
      </c>
      <c r="AF36" s="3" t="e">
        <f t="shared" si="39"/>
        <v>#DIV/0!</v>
      </c>
      <c r="AG36" s="3">
        <v>0</v>
      </c>
      <c r="AH36" s="6">
        <v>0</v>
      </c>
      <c r="AI36" s="3" t="e">
        <f t="shared" si="40"/>
        <v>#DIV/0!</v>
      </c>
      <c r="AJ36" s="3">
        <v>0</v>
      </c>
      <c r="AK36" s="6">
        <v>0</v>
      </c>
      <c r="AL36" s="3">
        <f t="shared" si="41"/>
        <v>1547.8260869565217</v>
      </c>
      <c r="AM36" s="3">
        <v>10680</v>
      </c>
      <c r="AN36" s="6">
        <v>6.9</v>
      </c>
      <c r="AO36" s="3">
        <f t="shared" si="26"/>
        <v>1280.3867403314919</v>
      </c>
      <c r="AP36" s="3">
        <f t="shared" si="28"/>
        <v>46350</v>
      </c>
      <c r="AQ36" s="6">
        <f t="shared" si="29"/>
        <v>36.199999999999996</v>
      </c>
      <c r="AR36" s="3"/>
      <c r="AS36" s="3"/>
      <c r="AT36" s="3"/>
      <c r="AU36" s="3"/>
      <c r="AV36" s="3"/>
      <c r="AW36" s="3"/>
      <c r="AX36" s="3"/>
      <c r="AY36" s="3"/>
      <c r="AZ36" s="3"/>
      <c r="BA36" s="3"/>
      <c r="BB36" s="3"/>
      <c r="BC36" s="3"/>
      <c r="BD36" s="3"/>
      <c r="BE36" s="3"/>
      <c r="BF36" s="3"/>
      <c r="BG36" s="3"/>
      <c r="BH36" s="3"/>
      <c r="BI36" s="3"/>
      <c r="BJ36" s="3"/>
      <c r="BK36" s="3"/>
      <c r="BL36" s="3"/>
      <c r="BM36" s="3"/>
      <c r="BN36" s="3"/>
      <c r="BO36" s="3"/>
    </row>
    <row r="37" spans="1:67" x14ac:dyDescent="0.3">
      <c r="A37" s="29" t="s">
        <v>29</v>
      </c>
      <c r="B37" s="20"/>
      <c r="C37" s="20"/>
      <c r="D37" s="20"/>
      <c r="E37" s="3">
        <f t="shared" si="30"/>
        <v>2457.8406169665809</v>
      </c>
      <c r="F37" s="3">
        <v>95610</v>
      </c>
      <c r="G37" s="6">
        <v>38.9</v>
      </c>
      <c r="H37" s="3" t="e">
        <f t="shared" si="31"/>
        <v>#DIV/0!</v>
      </c>
      <c r="I37" s="3">
        <v>0</v>
      </c>
      <c r="J37" s="6">
        <v>0</v>
      </c>
      <c r="K37" s="3" t="e">
        <f t="shared" si="32"/>
        <v>#DIV/0!</v>
      </c>
      <c r="L37" s="3">
        <v>0</v>
      </c>
      <c r="M37" s="6">
        <v>0</v>
      </c>
      <c r="N37" s="3">
        <f t="shared" si="33"/>
        <v>1933.3333333333333</v>
      </c>
      <c r="O37" s="3">
        <v>3480</v>
      </c>
      <c r="P37" s="6">
        <v>1.8</v>
      </c>
      <c r="Q37" s="3" t="e">
        <f t="shared" si="34"/>
        <v>#DIV/0!</v>
      </c>
      <c r="R37" s="3">
        <v>0</v>
      </c>
      <c r="S37" s="6">
        <v>0</v>
      </c>
      <c r="T37" s="3">
        <f t="shared" si="35"/>
        <v>3511.0309278350519</v>
      </c>
      <c r="U37" s="3">
        <v>34057</v>
      </c>
      <c r="V37" s="6">
        <v>9.6999999999999993</v>
      </c>
      <c r="W37" s="3">
        <f t="shared" si="36"/>
        <v>4560</v>
      </c>
      <c r="X37" s="3">
        <v>4560</v>
      </c>
      <c r="Y37" s="6">
        <v>1</v>
      </c>
      <c r="Z37" s="3">
        <f t="shared" si="37"/>
        <v>3357.0666666666666</v>
      </c>
      <c r="AA37" s="3">
        <v>50356</v>
      </c>
      <c r="AB37" s="6">
        <v>15</v>
      </c>
      <c r="AC37" s="3">
        <f t="shared" si="38"/>
        <v>3852.6315789473688</v>
      </c>
      <c r="AD37" s="3">
        <v>7320</v>
      </c>
      <c r="AE37" s="6">
        <v>1.9</v>
      </c>
      <c r="AF37" s="3">
        <f t="shared" si="39"/>
        <v>3641.796875</v>
      </c>
      <c r="AG37" s="3">
        <v>46615</v>
      </c>
      <c r="AH37" s="6">
        <v>12.8</v>
      </c>
      <c r="AI37" s="3">
        <f t="shared" si="40"/>
        <v>1548.8372093023256</v>
      </c>
      <c r="AJ37" s="3">
        <v>26640</v>
      </c>
      <c r="AK37" s="6">
        <v>17.2</v>
      </c>
      <c r="AL37" s="3">
        <f t="shared" si="41"/>
        <v>2750</v>
      </c>
      <c r="AM37" s="3">
        <v>7425</v>
      </c>
      <c r="AN37" s="6">
        <v>2.7</v>
      </c>
      <c r="AO37" s="3">
        <f t="shared" si="26"/>
        <v>2733.2970297029701</v>
      </c>
      <c r="AP37" s="3">
        <f t="shared" si="28"/>
        <v>276063</v>
      </c>
      <c r="AQ37" s="6">
        <f t="shared" si="29"/>
        <v>101</v>
      </c>
      <c r="AR37" s="3"/>
      <c r="AS37" s="3"/>
      <c r="AT37" s="3"/>
      <c r="AU37" s="3"/>
      <c r="AV37" s="3"/>
      <c r="AW37" s="3"/>
      <c r="AX37" s="3"/>
      <c r="AY37" s="3"/>
      <c r="AZ37" s="3"/>
      <c r="BA37" s="3"/>
      <c r="BB37" s="3"/>
      <c r="BC37" s="3"/>
      <c r="BD37" s="3"/>
      <c r="BE37" s="3"/>
      <c r="BF37" s="3"/>
      <c r="BG37" s="3"/>
      <c r="BH37" s="3"/>
      <c r="BI37" s="3"/>
      <c r="BJ37" s="3"/>
      <c r="BK37" s="3"/>
      <c r="BL37" s="3"/>
      <c r="BM37" s="3"/>
      <c r="BN37" s="3"/>
      <c r="BO37" s="3"/>
    </row>
    <row r="38" spans="1:67" x14ac:dyDescent="0.3">
      <c r="A38" s="29" t="s">
        <v>62</v>
      </c>
      <c r="B38" s="20"/>
      <c r="C38" s="20"/>
      <c r="D38" s="20"/>
      <c r="E38" s="3" t="e">
        <f t="shared" si="30"/>
        <v>#DIV/0!</v>
      </c>
      <c r="F38" s="3">
        <v>0</v>
      </c>
      <c r="G38" s="6">
        <v>0</v>
      </c>
      <c r="H38" s="3">
        <f t="shared" si="31"/>
        <v>1643.8356164383563</v>
      </c>
      <c r="I38" s="3">
        <v>12000</v>
      </c>
      <c r="J38" s="6">
        <v>7.3</v>
      </c>
      <c r="K38" s="3">
        <f t="shared" si="32"/>
        <v>1568.8990825688072</v>
      </c>
      <c r="L38" s="3">
        <v>17101</v>
      </c>
      <c r="M38" s="6">
        <v>10.9</v>
      </c>
      <c r="N38" s="3">
        <f t="shared" si="33"/>
        <v>2720</v>
      </c>
      <c r="O38" s="3">
        <v>12512</v>
      </c>
      <c r="P38" s="6">
        <v>4.5999999999999996</v>
      </c>
      <c r="Q38" s="3">
        <f t="shared" si="34"/>
        <v>1119.655172413793</v>
      </c>
      <c r="R38" s="3">
        <v>3247</v>
      </c>
      <c r="S38" s="6">
        <v>2.9</v>
      </c>
      <c r="T38" s="3">
        <f t="shared" si="35"/>
        <v>1948.28125</v>
      </c>
      <c r="U38" s="3">
        <v>12469</v>
      </c>
      <c r="V38" s="6">
        <v>6.4</v>
      </c>
      <c r="W38" s="3">
        <f t="shared" si="36"/>
        <v>2591.1864406779659</v>
      </c>
      <c r="X38" s="3">
        <v>15288</v>
      </c>
      <c r="Y38" s="6">
        <v>5.9</v>
      </c>
      <c r="Z38" s="3">
        <f t="shared" si="37"/>
        <v>1656.5454545454545</v>
      </c>
      <c r="AA38" s="3">
        <v>9111</v>
      </c>
      <c r="AB38" s="6">
        <v>5.5</v>
      </c>
      <c r="AC38" s="3" t="e">
        <f t="shared" si="38"/>
        <v>#DIV/0!</v>
      </c>
      <c r="AD38" s="3">
        <v>0</v>
      </c>
      <c r="AE38" s="6">
        <v>0</v>
      </c>
      <c r="AF38" s="3">
        <f t="shared" si="39"/>
        <v>1135.5263157894738</v>
      </c>
      <c r="AG38" s="3">
        <v>4315</v>
      </c>
      <c r="AH38" s="6">
        <v>3.8</v>
      </c>
      <c r="AI38" s="3">
        <f t="shared" si="40"/>
        <v>1195.5263157894738</v>
      </c>
      <c r="AJ38" s="3">
        <v>9086</v>
      </c>
      <c r="AK38" s="6">
        <v>7.6</v>
      </c>
      <c r="AL38" s="3">
        <f t="shared" si="41"/>
        <v>2889.0476190476188</v>
      </c>
      <c r="AM38" s="3">
        <v>6067</v>
      </c>
      <c r="AN38" s="6">
        <v>2.1</v>
      </c>
      <c r="AO38" s="3">
        <f t="shared" si="26"/>
        <v>1775.3684210526319</v>
      </c>
      <c r="AP38" s="3">
        <f t="shared" si="28"/>
        <v>101196</v>
      </c>
      <c r="AQ38" s="6">
        <f t="shared" si="29"/>
        <v>56.999999999999993</v>
      </c>
      <c r="AR38" s="3"/>
      <c r="AS38" s="3"/>
      <c r="AT38" s="3"/>
      <c r="AU38" s="3"/>
      <c r="AV38" s="3"/>
      <c r="AW38" s="3"/>
      <c r="AX38" s="3"/>
      <c r="AY38" s="3"/>
      <c r="AZ38" s="3"/>
      <c r="BA38" s="3"/>
      <c r="BB38" s="3"/>
      <c r="BC38" s="3"/>
      <c r="BD38" s="3"/>
      <c r="BE38" s="3"/>
      <c r="BF38" s="3"/>
      <c r="BG38" s="3"/>
      <c r="BH38" s="3"/>
      <c r="BI38" s="3"/>
      <c r="BJ38" s="3"/>
      <c r="BK38" s="3"/>
      <c r="BL38" s="3"/>
      <c r="BM38" s="3"/>
      <c r="BN38" s="3"/>
      <c r="BO38" s="3"/>
    </row>
    <row r="39" spans="1:67" x14ac:dyDescent="0.3">
      <c r="A39" s="29" t="s">
        <v>70</v>
      </c>
      <c r="B39" s="20"/>
      <c r="C39" s="20"/>
      <c r="D39" s="20"/>
      <c r="E39" s="3">
        <f t="shared" si="30"/>
        <v>2210.7407407407404</v>
      </c>
      <c r="F39" s="3">
        <v>11938</v>
      </c>
      <c r="G39" s="6">
        <v>5.4</v>
      </c>
      <c r="H39" s="3" t="e">
        <f t="shared" si="31"/>
        <v>#DIV/0!</v>
      </c>
      <c r="I39" s="3">
        <v>0</v>
      </c>
      <c r="J39" s="6">
        <v>0</v>
      </c>
      <c r="K39" s="3">
        <f t="shared" si="32"/>
        <v>2208</v>
      </c>
      <c r="L39" s="3">
        <v>3312</v>
      </c>
      <c r="M39" s="6">
        <v>1.5</v>
      </c>
      <c r="N39" s="3">
        <f t="shared" si="33"/>
        <v>2299.7435897435898</v>
      </c>
      <c r="O39" s="3">
        <v>17938</v>
      </c>
      <c r="P39" s="6">
        <v>7.8</v>
      </c>
      <c r="Q39" s="3">
        <f t="shared" si="34"/>
        <v>2421.212121212121</v>
      </c>
      <c r="R39" s="3">
        <v>23970</v>
      </c>
      <c r="S39" s="6">
        <v>9.9</v>
      </c>
      <c r="T39" s="3" t="e">
        <f t="shared" si="35"/>
        <v>#DIV/0!</v>
      </c>
      <c r="U39" s="3">
        <v>0</v>
      </c>
      <c r="V39" s="6">
        <v>0</v>
      </c>
      <c r="W39" s="3" t="e">
        <f t="shared" si="36"/>
        <v>#DIV/0!</v>
      </c>
      <c r="X39" s="3">
        <v>0</v>
      </c>
      <c r="Y39" s="6">
        <v>0</v>
      </c>
      <c r="Z39" s="3">
        <f t="shared" si="37"/>
        <v>2122.686567164179</v>
      </c>
      <c r="AA39" s="3">
        <v>14222</v>
      </c>
      <c r="AB39" s="6">
        <v>6.7</v>
      </c>
      <c r="AC39" s="3" t="e">
        <f t="shared" si="38"/>
        <v>#DIV/0!</v>
      </c>
      <c r="AD39" s="3">
        <v>0</v>
      </c>
      <c r="AE39" s="6">
        <v>0</v>
      </c>
      <c r="AF39" s="3" t="e">
        <f t="shared" si="39"/>
        <v>#DIV/0!</v>
      </c>
      <c r="AG39" s="3">
        <v>0</v>
      </c>
      <c r="AH39" s="6">
        <v>0</v>
      </c>
      <c r="AI39" s="3">
        <f t="shared" si="40"/>
        <v>2156.1764705882351</v>
      </c>
      <c r="AJ39" s="3">
        <v>14662</v>
      </c>
      <c r="AK39" s="6">
        <v>6.8</v>
      </c>
      <c r="AL39" s="3">
        <f t="shared" si="41"/>
        <v>1409.4285714285713</v>
      </c>
      <c r="AM39" s="3">
        <v>4933</v>
      </c>
      <c r="AN39" s="6">
        <v>3.5</v>
      </c>
      <c r="AO39" s="3">
        <f t="shared" si="26"/>
        <v>2186.8990384615386</v>
      </c>
      <c r="AP39" s="3">
        <f t="shared" si="28"/>
        <v>90975</v>
      </c>
      <c r="AQ39" s="6">
        <f t="shared" si="29"/>
        <v>41.6</v>
      </c>
      <c r="AR39" s="3"/>
      <c r="AS39" s="3"/>
      <c r="AT39" s="3"/>
      <c r="AU39" s="3"/>
      <c r="AV39" s="3"/>
      <c r="AW39" s="3"/>
      <c r="AX39" s="3"/>
      <c r="AY39" s="3"/>
      <c r="AZ39" s="3"/>
      <c r="BA39" s="3"/>
      <c r="BB39" s="3"/>
      <c r="BC39" s="3"/>
      <c r="BD39" s="3"/>
      <c r="BE39" s="3"/>
      <c r="BF39" s="3"/>
      <c r="BG39" s="3"/>
      <c r="BH39" s="3"/>
      <c r="BI39" s="3"/>
      <c r="BJ39" s="3"/>
      <c r="BK39" s="3"/>
      <c r="BL39" s="3"/>
      <c r="BM39" s="3"/>
      <c r="BN39" s="3"/>
      <c r="BO39" s="3"/>
    </row>
    <row r="40" spans="1:67" x14ac:dyDescent="0.3">
      <c r="A40" s="29" t="s">
        <v>75</v>
      </c>
      <c r="B40" s="20"/>
      <c r="C40" s="20"/>
      <c r="D40" s="20"/>
      <c r="E40" s="3" t="e">
        <f t="shared" si="30"/>
        <v>#DIV/0!</v>
      </c>
      <c r="F40" s="3">
        <v>0</v>
      </c>
      <c r="G40" s="6">
        <v>0</v>
      </c>
      <c r="H40" s="3" t="e">
        <f t="shared" si="31"/>
        <v>#DIV/0!</v>
      </c>
      <c r="I40" s="3">
        <v>0</v>
      </c>
      <c r="J40" s="6">
        <v>0</v>
      </c>
      <c r="K40" s="3" t="e">
        <f t="shared" si="32"/>
        <v>#DIV/0!</v>
      </c>
      <c r="L40" s="3">
        <v>0</v>
      </c>
      <c r="M40" s="6">
        <v>0</v>
      </c>
      <c r="N40" s="3" t="e">
        <f t="shared" si="33"/>
        <v>#DIV/0!</v>
      </c>
      <c r="O40" s="3">
        <v>0</v>
      </c>
      <c r="P40" s="6">
        <v>0</v>
      </c>
      <c r="Q40" s="3">
        <f t="shared" si="34"/>
        <v>3672.5</v>
      </c>
      <c r="R40" s="3">
        <v>2938</v>
      </c>
      <c r="S40" s="6">
        <v>0.8</v>
      </c>
      <c r="T40" s="3">
        <f t="shared" si="35"/>
        <v>3672.5</v>
      </c>
      <c r="U40" s="3">
        <v>2938</v>
      </c>
      <c r="V40" s="6">
        <v>0.8</v>
      </c>
      <c r="W40" s="3" t="e">
        <f t="shared" si="36"/>
        <v>#DIV/0!</v>
      </c>
      <c r="X40" s="3">
        <v>0</v>
      </c>
      <c r="Y40" s="6">
        <v>0</v>
      </c>
      <c r="Z40" s="3" t="e">
        <f t="shared" si="37"/>
        <v>#DIV/0!</v>
      </c>
      <c r="AA40" s="3">
        <v>0</v>
      </c>
      <c r="AB40" s="6">
        <v>0</v>
      </c>
      <c r="AC40" s="3" t="e">
        <f t="shared" si="38"/>
        <v>#DIV/0!</v>
      </c>
      <c r="AD40" s="3">
        <v>0</v>
      </c>
      <c r="AE40" s="6">
        <v>0</v>
      </c>
      <c r="AF40" s="3" t="e">
        <f t="shared" si="39"/>
        <v>#DIV/0!</v>
      </c>
      <c r="AG40" s="3">
        <v>0</v>
      </c>
      <c r="AH40" s="6">
        <v>0</v>
      </c>
      <c r="AI40" s="3" t="e">
        <f t="shared" si="40"/>
        <v>#DIV/0!</v>
      </c>
      <c r="AJ40" s="3">
        <v>0</v>
      </c>
      <c r="AK40" s="6">
        <v>0</v>
      </c>
      <c r="AL40" s="3">
        <f t="shared" si="41"/>
        <v>3672.5</v>
      </c>
      <c r="AM40" s="3">
        <v>2938</v>
      </c>
      <c r="AN40" s="6">
        <v>0.8</v>
      </c>
      <c r="AO40" s="3">
        <f t="shared" si="26"/>
        <v>3672.4999999999995</v>
      </c>
      <c r="AP40" s="3">
        <f t="shared" si="28"/>
        <v>8814</v>
      </c>
      <c r="AQ40" s="6">
        <f t="shared" si="29"/>
        <v>2.4000000000000004</v>
      </c>
      <c r="AR40" s="3"/>
      <c r="AS40" s="3"/>
      <c r="AT40" s="3"/>
      <c r="AU40" s="3"/>
      <c r="AV40" s="3"/>
      <c r="AW40" s="3"/>
      <c r="AX40" s="3"/>
      <c r="AY40" s="3"/>
      <c r="AZ40" s="3"/>
      <c r="BA40" s="3"/>
      <c r="BB40" s="3"/>
      <c r="BC40" s="3"/>
      <c r="BD40" s="3"/>
      <c r="BE40" s="3"/>
      <c r="BF40" s="3"/>
      <c r="BG40" s="3"/>
      <c r="BH40" s="3"/>
      <c r="BI40" s="3"/>
      <c r="BJ40" s="3"/>
      <c r="BK40" s="3"/>
      <c r="BL40" s="3"/>
      <c r="BM40" s="3"/>
      <c r="BN40" s="3"/>
      <c r="BO40" s="3"/>
    </row>
    <row r="41" spans="1:67" x14ac:dyDescent="0.3">
      <c r="A41" s="29" t="s">
        <v>19</v>
      </c>
      <c r="B41" s="20"/>
      <c r="C41" s="20"/>
      <c r="D41" s="20"/>
      <c r="E41" s="3">
        <f t="shared" si="30"/>
        <v>1624.1984732824428</v>
      </c>
      <c r="F41" s="3">
        <v>106385</v>
      </c>
      <c r="G41" s="6">
        <v>65.5</v>
      </c>
      <c r="H41" s="3">
        <f t="shared" si="31"/>
        <v>1677.4109263657956</v>
      </c>
      <c r="I41" s="3">
        <v>70619</v>
      </c>
      <c r="J41" s="6">
        <v>42.1</v>
      </c>
      <c r="K41" s="3">
        <f t="shared" si="32"/>
        <v>2094.9822485207101</v>
      </c>
      <c r="L41" s="3">
        <v>177026</v>
      </c>
      <c r="M41" s="6">
        <v>84.5</v>
      </c>
      <c r="N41" s="3">
        <f t="shared" si="33"/>
        <v>1830.5769230769231</v>
      </c>
      <c r="O41" s="3">
        <v>57114</v>
      </c>
      <c r="P41" s="6">
        <v>31.2</v>
      </c>
      <c r="Q41" s="3">
        <f t="shared" si="34"/>
        <v>1497.880870561283</v>
      </c>
      <c r="R41" s="3">
        <v>130765</v>
      </c>
      <c r="S41" s="6">
        <v>87.3</v>
      </c>
      <c r="T41" s="3">
        <f t="shared" si="35"/>
        <v>1491.0179640718563</v>
      </c>
      <c r="U41" s="3">
        <v>149400</v>
      </c>
      <c r="V41" s="6">
        <v>100.2</v>
      </c>
      <c r="W41" s="3">
        <f t="shared" si="36"/>
        <v>1506.3377192982455</v>
      </c>
      <c r="X41" s="3">
        <v>68689</v>
      </c>
      <c r="Y41" s="6">
        <v>45.6</v>
      </c>
      <c r="Z41" s="3">
        <f t="shared" si="37"/>
        <v>2452.8849557522126</v>
      </c>
      <c r="AA41" s="3">
        <v>138588</v>
      </c>
      <c r="AB41" s="6">
        <v>56.5</v>
      </c>
      <c r="AC41" s="3">
        <f t="shared" si="38"/>
        <v>2864.4607843137255</v>
      </c>
      <c r="AD41" s="3">
        <v>233740</v>
      </c>
      <c r="AE41" s="6">
        <v>81.599999999999994</v>
      </c>
      <c r="AF41" s="3" t="e">
        <f t="shared" si="39"/>
        <v>#DIV/0!</v>
      </c>
      <c r="AG41" s="3">
        <v>0</v>
      </c>
      <c r="AH41" s="6">
        <v>0</v>
      </c>
      <c r="AI41" s="3" t="e">
        <f t="shared" si="40"/>
        <v>#DIV/0!</v>
      </c>
      <c r="AJ41" s="3">
        <v>0</v>
      </c>
      <c r="AK41" s="6">
        <v>0</v>
      </c>
      <c r="AL41" s="3" t="e">
        <f t="shared" si="41"/>
        <v>#DIV/0!</v>
      </c>
      <c r="AM41" s="3">
        <v>0</v>
      </c>
      <c r="AN41" s="6">
        <v>0</v>
      </c>
      <c r="AO41" s="3">
        <f t="shared" si="26"/>
        <v>1904.6694701429774</v>
      </c>
      <c r="AP41" s="3">
        <f t="shared" si="28"/>
        <v>1132326</v>
      </c>
      <c r="AQ41" s="6">
        <f t="shared" si="29"/>
        <v>594.5</v>
      </c>
      <c r="AR41" s="3"/>
      <c r="AS41" s="3"/>
      <c r="AT41" s="3"/>
      <c r="AU41" s="3"/>
      <c r="AV41" s="3"/>
      <c r="AW41" s="3"/>
      <c r="AX41" s="3"/>
      <c r="AY41" s="3"/>
      <c r="AZ41" s="3"/>
      <c r="BA41" s="3"/>
      <c r="BB41" s="3"/>
      <c r="BC41" s="3"/>
      <c r="BD41" s="3"/>
      <c r="BE41" s="3"/>
      <c r="BF41" s="3"/>
      <c r="BG41" s="3"/>
      <c r="BH41" s="3"/>
      <c r="BI41" s="3"/>
      <c r="BJ41" s="3"/>
      <c r="BK41" s="3"/>
      <c r="BL41" s="3"/>
      <c r="BM41" s="3"/>
      <c r="BN41" s="3"/>
      <c r="BO41" s="3"/>
    </row>
    <row r="42" spans="1:67" x14ac:dyDescent="0.3">
      <c r="A42" s="29" t="s">
        <v>49</v>
      </c>
      <c r="B42" s="20"/>
      <c r="C42" s="20"/>
      <c r="D42" s="20"/>
      <c r="E42" s="3" t="e">
        <f t="shared" si="30"/>
        <v>#DIV/0!</v>
      </c>
      <c r="F42" s="3">
        <v>0</v>
      </c>
      <c r="G42" s="6">
        <v>0</v>
      </c>
      <c r="H42" s="3">
        <f t="shared" si="31"/>
        <v>1394.4</v>
      </c>
      <c r="I42" s="3">
        <v>3486</v>
      </c>
      <c r="J42" s="6">
        <v>2.5</v>
      </c>
      <c r="K42" s="3" t="e">
        <f t="shared" si="32"/>
        <v>#DIV/0!</v>
      </c>
      <c r="L42" s="3">
        <v>0</v>
      </c>
      <c r="M42" s="6">
        <v>0</v>
      </c>
      <c r="N42" s="3" t="e">
        <f t="shared" si="33"/>
        <v>#DIV/0!</v>
      </c>
      <c r="O42" s="3">
        <v>0</v>
      </c>
      <c r="P42" s="6">
        <v>0</v>
      </c>
      <c r="Q42" s="3" t="e">
        <f t="shared" si="34"/>
        <v>#DIV/0!</v>
      </c>
      <c r="R42" s="3">
        <v>0</v>
      </c>
      <c r="S42" s="6">
        <v>0</v>
      </c>
      <c r="T42" s="3">
        <f t="shared" si="35"/>
        <v>1344</v>
      </c>
      <c r="U42" s="3">
        <v>3360</v>
      </c>
      <c r="V42" s="6">
        <v>2.5</v>
      </c>
      <c r="W42" s="3" t="e">
        <f t="shared" si="36"/>
        <v>#DIV/0!</v>
      </c>
      <c r="X42" s="3">
        <v>0</v>
      </c>
      <c r="Y42" s="6">
        <v>0</v>
      </c>
      <c r="Z42" s="3" t="e">
        <f t="shared" si="37"/>
        <v>#DIV/0!</v>
      </c>
      <c r="AA42" s="3">
        <v>0</v>
      </c>
      <c r="AB42" s="6">
        <v>0</v>
      </c>
      <c r="AC42" s="3" t="e">
        <f t="shared" si="38"/>
        <v>#DIV/0!</v>
      </c>
      <c r="AD42" s="3">
        <v>0</v>
      </c>
      <c r="AE42" s="6">
        <v>0</v>
      </c>
      <c r="AF42" s="3" t="e">
        <f t="shared" si="39"/>
        <v>#DIV/0!</v>
      </c>
      <c r="AG42" s="3">
        <v>0</v>
      </c>
      <c r="AH42" s="6">
        <v>0</v>
      </c>
      <c r="AI42" s="3" t="e">
        <f t="shared" si="40"/>
        <v>#DIV/0!</v>
      </c>
      <c r="AJ42" s="3">
        <v>0</v>
      </c>
      <c r="AK42" s="6">
        <v>0</v>
      </c>
      <c r="AL42" s="3" t="e">
        <f t="shared" si="41"/>
        <v>#DIV/0!</v>
      </c>
      <c r="AM42" s="3">
        <v>0</v>
      </c>
      <c r="AN42" s="6">
        <v>0</v>
      </c>
      <c r="AO42" s="3">
        <f t="shared" si="26"/>
        <v>1369.2</v>
      </c>
      <c r="AP42" s="3">
        <f t="shared" si="28"/>
        <v>6846</v>
      </c>
      <c r="AQ42" s="6">
        <f t="shared" si="29"/>
        <v>5</v>
      </c>
      <c r="AR42" s="3"/>
      <c r="AS42" s="3"/>
      <c r="AT42" s="3"/>
      <c r="AU42" s="3"/>
      <c r="AV42" s="3"/>
      <c r="AW42" s="3"/>
      <c r="AX42" s="3"/>
      <c r="AY42" s="3"/>
      <c r="AZ42" s="3"/>
      <c r="BA42" s="3"/>
      <c r="BB42" s="3"/>
      <c r="BC42" s="3"/>
      <c r="BD42" s="3"/>
      <c r="BE42" s="3"/>
      <c r="BF42" s="3"/>
      <c r="BG42" s="3"/>
      <c r="BH42" s="3"/>
      <c r="BI42" s="3"/>
      <c r="BJ42" s="3"/>
      <c r="BK42" s="3"/>
      <c r="BL42" s="3"/>
      <c r="BM42" s="3"/>
      <c r="BN42" s="3"/>
      <c r="BO42" s="3"/>
    </row>
    <row r="43" spans="1:67" x14ac:dyDescent="0.3">
      <c r="A43" s="29" t="s">
        <v>64</v>
      </c>
      <c r="B43" s="20"/>
      <c r="C43" s="20"/>
      <c r="D43" s="20"/>
      <c r="E43" s="3" t="e">
        <f t="shared" si="30"/>
        <v>#DIV/0!</v>
      </c>
      <c r="F43" s="3">
        <v>0</v>
      </c>
      <c r="G43" s="6">
        <v>0</v>
      </c>
      <c r="H43" s="3" t="e">
        <f t="shared" si="31"/>
        <v>#DIV/0!</v>
      </c>
      <c r="I43" s="3">
        <v>0</v>
      </c>
      <c r="J43" s="6">
        <v>0</v>
      </c>
      <c r="K43" s="3" t="e">
        <f t="shared" si="32"/>
        <v>#DIV/0!</v>
      </c>
      <c r="L43" s="3">
        <v>0</v>
      </c>
      <c r="M43" s="6">
        <v>0</v>
      </c>
      <c r="N43" s="3" t="e">
        <f t="shared" si="33"/>
        <v>#DIV/0!</v>
      </c>
      <c r="O43" s="3">
        <v>0</v>
      </c>
      <c r="P43" s="6">
        <v>0</v>
      </c>
      <c r="Q43" s="3" t="e">
        <f t="shared" si="34"/>
        <v>#DIV/0!</v>
      </c>
      <c r="R43" s="3">
        <v>0</v>
      </c>
      <c r="S43" s="6">
        <v>0</v>
      </c>
      <c r="T43" s="3" t="e">
        <f t="shared" si="35"/>
        <v>#DIV/0!</v>
      </c>
      <c r="U43" s="3">
        <v>0</v>
      </c>
      <c r="V43" s="6">
        <v>0</v>
      </c>
      <c r="W43" s="3">
        <f t="shared" si="36"/>
        <v>1160.0138888888889</v>
      </c>
      <c r="X43" s="3">
        <v>417605</v>
      </c>
      <c r="Y43" s="6">
        <v>360</v>
      </c>
      <c r="Z43" s="3">
        <f t="shared" si="37"/>
        <v>1129.6090909090908</v>
      </c>
      <c r="AA43" s="3">
        <v>124257</v>
      </c>
      <c r="AB43" s="6">
        <v>110</v>
      </c>
      <c r="AC43" s="3" t="e">
        <f t="shared" si="38"/>
        <v>#DIV/0!</v>
      </c>
      <c r="AD43" s="3">
        <v>0</v>
      </c>
      <c r="AE43" s="6">
        <v>0</v>
      </c>
      <c r="AF43" s="3" t="e">
        <f t="shared" si="39"/>
        <v>#DIV/0!</v>
      </c>
      <c r="AG43" s="3">
        <v>0</v>
      </c>
      <c r="AH43" s="6">
        <v>0</v>
      </c>
      <c r="AI43" s="3" t="e">
        <f t="shared" si="40"/>
        <v>#DIV/0!</v>
      </c>
      <c r="AJ43" s="3">
        <v>0</v>
      </c>
      <c r="AK43" s="6">
        <v>0</v>
      </c>
      <c r="AL43" s="3" t="e">
        <f t="shared" si="41"/>
        <v>#DIV/0!</v>
      </c>
      <c r="AM43" s="3">
        <v>0</v>
      </c>
      <c r="AN43" s="6">
        <v>0</v>
      </c>
      <c r="AO43" s="3">
        <f t="shared" si="26"/>
        <v>1152.8978723404255</v>
      </c>
      <c r="AP43" s="3">
        <f t="shared" si="28"/>
        <v>541862</v>
      </c>
      <c r="AQ43" s="6">
        <f t="shared" si="29"/>
        <v>470</v>
      </c>
      <c r="AR43" s="3"/>
      <c r="AS43" s="3"/>
      <c r="AT43" s="3"/>
      <c r="AU43" s="3"/>
      <c r="AV43" s="3"/>
      <c r="AW43" s="3"/>
      <c r="AX43" s="3"/>
      <c r="AY43" s="3"/>
      <c r="AZ43" s="3"/>
      <c r="BA43" s="3"/>
      <c r="BB43" s="3"/>
      <c r="BC43" s="3"/>
      <c r="BD43" s="3"/>
      <c r="BE43" s="3"/>
      <c r="BF43" s="3"/>
      <c r="BG43" s="3"/>
      <c r="BH43" s="3"/>
      <c r="BI43" s="3"/>
      <c r="BJ43" s="3"/>
      <c r="BK43" s="3"/>
      <c r="BL43" s="3"/>
      <c r="BM43" s="3"/>
      <c r="BN43" s="3"/>
      <c r="BO43" s="3"/>
    </row>
    <row r="44" spans="1:67" x14ac:dyDescent="0.3">
      <c r="A44" s="29" t="s">
        <v>65</v>
      </c>
      <c r="B44" s="20"/>
      <c r="C44" s="20"/>
      <c r="D44" s="20"/>
      <c r="E44" s="9">
        <f t="shared" si="30"/>
        <v>3500</v>
      </c>
      <c r="F44" s="9">
        <v>50400</v>
      </c>
      <c r="G44" s="6">
        <v>14.4</v>
      </c>
      <c r="H44" s="11" t="e">
        <f t="shared" si="31"/>
        <v>#DIV/0!</v>
      </c>
      <c r="I44" s="9">
        <v>0</v>
      </c>
      <c r="J44" s="6">
        <v>0</v>
      </c>
      <c r="K44" s="9" t="e">
        <f t="shared" si="32"/>
        <v>#DIV/0!</v>
      </c>
      <c r="L44" s="9">
        <v>0</v>
      </c>
      <c r="M44" s="6">
        <v>0</v>
      </c>
      <c r="N44" s="9" t="e">
        <f t="shared" si="33"/>
        <v>#DIV/0!</v>
      </c>
      <c r="O44" s="9">
        <v>0</v>
      </c>
      <c r="P44" s="6">
        <v>0</v>
      </c>
      <c r="Q44" s="11" t="e">
        <f t="shared" si="34"/>
        <v>#DIV/0!</v>
      </c>
      <c r="R44" s="9">
        <v>0</v>
      </c>
      <c r="S44" s="6">
        <v>0</v>
      </c>
      <c r="T44" s="11" t="e">
        <f t="shared" si="35"/>
        <v>#DIV/0!</v>
      </c>
      <c r="U44" s="9">
        <v>0</v>
      </c>
      <c r="V44" s="6">
        <v>0</v>
      </c>
      <c r="W44" s="9" t="e">
        <f t="shared" si="36"/>
        <v>#DIV/0!</v>
      </c>
      <c r="X44" s="9">
        <v>0</v>
      </c>
      <c r="Y44" s="6">
        <v>0</v>
      </c>
      <c r="Z44" s="9" t="e">
        <f t="shared" si="37"/>
        <v>#DIV/0!</v>
      </c>
      <c r="AA44" s="9">
        <v>0</v>
      </c>
      <c r="AB44" s="6">
        <v>0</v>
      </c>
      <c r="AC44" s="9" t="e">
        <f t="shared" si="38"/>
        <v>#DIV/0!</v>
      </c>
      <c r="AD44" s="9">
        <v>0</v>
      </c>
      <c r="AE44" s="6">
        <v>0</v>
      </c>
      <c r="AF44" s="9" t="e">
        <f t="shared" si="39"/>
        <v>#DIV/0!</v>
      </c>
      <c r="AG44" s="9">
        <v>0</v>
      </c>
      <c r="AH44" s="6">
        <v>0</v>
      </c>
      <c r="AI44" s="9" t="e">
        <f t="shared" si="40"/>
        <v>#DIV/0!</v>
      </c>
      <c r="AJ44" s="9">
        <v>0</v>
      </c>
      <c r="AK44" s="6">
        <v>0</v>
      </c>
      <c r="AL44" s="9" t="e">
        <f t="shared" si="41"/>
        <v>#DIV/0!</v>
      </c>
      <c r="AM44" s="9">
        <v>0</v>
      </c>
      <c r="AN44" s="6">
        <v>0</v>
      </c>
      <c r="AO44" s="9">
        <f t="shared" si="26"/>
        <v>3500</v>
      </c>
      <c r="AP44" s="9">
        <f t="shared" si="28"/>
        <v>50400</v>
      </c>
      <c r="AQ44" s="6">
        <f t="shared" si="29"/>
        <v>14.4</v>
      </c>
      <c r="AR44" s="3"/>
      <c r="AS44" s="3"/>
      <c r="AT44" s="3"/>
      <c r="AU44" s="3"/>
      <c r="AV44" s="3"/>
      <c r="AW44" s="3"/>
      <c r="AX44" s="3"/>
      <c r="AY44" s="3"/>
      <c r="AZ44" s="3"/>
      <c r="BA44" s="3"/>
      <c r="BB44" s="3"/>
      <c r="BC44" s="3"/>
      <c r="BD44" s="3"/>
      <c r="BE44" s="3"/>
      <c r="BF44" s="3"/>
      <c r="BG44" s="3"/>
      <c r="BH44" s="3"/>
      <c r="BI44" s="3"/>
      <c r="BJ44" s="3"/>
      <c r="BK44" s="3"/>
      <c r="BL44" s="3"/>
      <c r="BM44" s="3"/>
      <c r="BN44" s="3"/>
      <c r="BO44" s="3"/>
    </row>
    <row r="45" spans="1:67" x14ac:dyDescent="0.3">
      <c r="A45" s="29" t="s">
        <v>66</v>
      </c>
      <c r="B45" s="20"/>
      <c r="C45" s="20"/>
      <c r="D45" s="20"/>
      <c r="E45" s="10" t="e">
        <f t="shared" si="30"/>
        <v>#DIV/0!</v>
      </c>
      <c r="F45" s="10">
        <v>0</v>
      </c>
      <c r="G45" s="8">
        <v>0</v>
      </c>
      <c r="H45" s="7">
        <f t="shared" si="31"/>
        <v>2259.0196078431372</v>
      </c>
      <c r="I45" s="10">
        <v>11521</v>
      </c>
      <c r="J45" s="8">
        <v>5.0999999999999996</v>
      </c>
      <c r="K45" s="15" t="e">
        <f t="shared" si="32"/>
        <v>#DIV/0!</v>
      </c>
      <c r="L45" s="7">
        <v>0</v>
      </c>
      <c r="M45" s="8">
        <v>0</v>
      </c>
      <c r="N45" s="15" t="e">
        <f t="shared" si="33"/>
        <v>#DIV/0!</v>
      </c>
      <c r="O45" s="7">
        <v>0</v>
      </c>
      <c r="P45" s="8">
        <v>0</v>
      </c>
      <c r="Q45" s="7" t="e">
        <f t="shared" si="34"/>
        <v>#DIV/0!</v>
      </c>
      <c r="R45" s="10">
        <v>0</v>
      </c>
      <c r="S45" s="8">
        <v>0</v>
      </c>
      <c r="T45" s="7" t="e">
        <f t="shared" si="35"/>
        <v>#DIV/0!</v>
      </c>
      <c r="U45" s="10">
        <v>0</v>
      </c>
      <c r="V45" s="8">
        <v>0</v>
      </c>
      <c r="W45" s="10" t="e">
        <f t="shared" si="36"/>
        <v>#DIV/0!</v>
      </c>
      <c r="X45" s="10">
        <v>0</v>
      </c>
      <c r="Y45" s="8">
        <v>0</v>
      </c>
      <c r="Z45" s="10" t="e">
        <f t="shared" si="37"/>
        <v>#DIV/0!</v>
      </c>
      <c r="AA45" s="10">
        <v>0</v>
      </c>
      <c r="AB45" s="8">
        <v>0</v>
      </c>
      <c r="AC45" s="10" t="e">
        <f t="shared" si="38"/>
        <v>#DIV/0!</v>
      </c>
      <c r="AD45" s="10">
        <v>0</v>
      </c>
      <c r="AE45" s="8">
        <v>0</v>
      </c>
      <c r="AF45" s="7">
        <f t="shared" si="39"/>
        <v>2272.3529411764707</v>
      </c>
      <c r="AG45" s="10">
        <v>11589</v>
      </c>
      <c r="AH45" s="8">
        <v>5.0999999999999996</v>
      </c>
      <c r="AI45" s="10" t="e">
        <f t="shared" si="40"/>
        <v>#DIV/0!</v>
      </c>
      <c r="AJ45" s="10">
        <v>0</v>
      </c>
      <c r="AK45" s="8">
        <v>0</v>
      </c>
      <c r="AL45" s="10" t="e">
        <f t="shared" si="41"/>
        <v>#DIV/0!</v>
      </c>
      <c r="AM45" s="10">
        <v>0</v>
      </c>
      <c r="AN45" s="8">
        <v>0</v>
      </c>
      <c r="AO45" s="10">
        <f t="shared" si="26"/>
        <v>2265.6862745098042</v>
      </c>
      <c r="AP45" s="7">
        <f t="shared" si="28"/>
        <v>23110</v>
      </c>
      <c r="AQ45" s="8">
        <f t="shared" si="29"/>
        <v>10.199999999999999</v>
      </c>
    </row>
    <row r="46" spans="1:67" x14ac:dyDescent="0.3">
      <c r="A46" s="29" t="s">
        <v>67</v>
      </c>
      <c r="B46" s="20"/>
      <c r="C46" s="20"/>
      <c r="D46" s="20"/>
      <c r="E46" s="7" t="e">
        <f t="shared" si="30"/>
        <v>#DIV/0!</v>
      </c>
      <c r="F46" s="7">
        <v>0</v>
      </c>
      <c r="G46" s="8">
        <v>0</v>
      </c>
      <c r="H46" s="7" t="e">
        <f t="shared" si="31"/>
        <v>#DIV/0!</v>
      </c>
      <c r="I46" s="7">
        <v>0</v>
      </c>
      <c r="J46" s="8">
        <v>0</v>
      </c>
      <c r="K46" s="7" t="e">
        <f t="shared" si="32"/>
        <v>#DIV/0!</v>
      </c>
      <c r="L46" s="7">
        <v>0</v>
      </c>
      <c r="M46" s="8">
        <v>0</v>
      </c>
      <c r="N46" s="7" t="e">
        <f t="shared" si="33"/>
        <v>#DIV/0!</v>
      </c>
      <c r="O46" s="7">
        <v>0</v>
      </c>
      <c r="P46" s="8">
        <v>0</v>
      </c>
      <c r="Q46" s="7" t="e">
        <f t="shared" si="34"/>
        <v>#DIV/0!</v>
      </c>
      <c r="R46" s="7">
        <v>0</v>
      </c>
      <c r="S46" s="8">
        <v>0</v>
      </c>
      <c r="T46" s="7" t="e">
        <f t="shared" si="35"/>
        <v>#DIV/0!</v>
      </c>
      <c r="U46" s="7">
        <v>0</v>
      </c>
      <c r="V46" s="8">
        <v>0</v>
      </c>
      <c r="W46" s="7">
        <f t="shared" si="36"/>
        <v>805.83</v>
      </c>
      <c r="X46" s="7">
        <v>6124308</v>
      </c>
      <c r="Y46" s="8">
        <v>7600</v>
      </c>
      <c r="Z46" s="7" t="e">
        <f t="shared" si="37"/>
        <v>#DIV/0!</v>
      </c>
      <c r="AA46" s="7">
        <v>0</v>
      </c>
      <c r="AB46" s="8">
        <v>0</v>
      </c>
      <c r="AC46" s="7" t="e">
        <f t="shared" si="38"/>
        <v>#DIV/0!</v>
      </c>
      <c r="AD46" s="7">
        <v>0</v>
      </c>
      <c r="AE46" s="8">
        <v>0</v>
      </c>
      <c r="AF46" s="7">
        <f t="shared" si="39"/>
        <v>824.36</v>
      </c>
      <c r="AG46" s="7">
        <v>6265136</v>
      </c>
      <c r="AH46" s="8">
        <v>7600</v>
      </c>
      <c r="AI46" s="7" t="e">
        <f t="shared" si="40"/>
        <v>#DIV/0!</v>
      </c>
      <c r="AJ46" s="7">
        <v>0</v>
      </c>
      <c r="AK46" s="8">
        <v>0</v>
      </c>
      <c r="AL46" s="7" t="e">
        <f t="shared" si="41"/>
        <v>#DIV/0!</v>
      </c>
      <c r="AM46" s="7">
        <v>0</v>
      </c>
      <c r="AN46" s="8">
        <v>0</v>
      </c>
      <c r="AO46" s="7">
        <f t="shared" si="26"/>
        <v>815.09500000000003</v>
      </c>
      <c r="AP46" s="7">
        <f t="shared" si="28"/>
        <v>12389444</v>
      </c>
      <c r="AQ46" s="8">
        <f t="shared" si="29"/>
        <v>15200</v>
      </c>
    </row>
    <row r="47" spans="1:67" x14ac:dyDescent="0.3">
      <c r="A47" s="29" t="s">
        <v>92</v>
      </c>
      <c r="B47" s="20"/>
      <c r="C47" s="20"/>
      <c r="D47" s="20"/>
      <c r="E47" s="7" t="e">
        <f t="shared" si="30"/>
        <v>#DIV/0!</v>
      </c>
      <c r="F47" s="7">
        <v>0</v>
      </c>
      <c r="G47" s="8">
        <v>0</v>
      </c>
      <c r="H47" s="7" t="e">
        <f t="shared" si="31"/>
        <v>#DIV/0!</v>
      </c>
      <c r="I47" s="7">
        <v>0</v>
      </c>
      <c r="J47" s="8">
        <v>0</v>
      </c>
      <c r="K47" s="7">
        <f t="shared" si="32"/>
        <v>4612.7272727272721</v>
      </c>
      <c r="L47" s="7">
        <v>5074</v>
      </c>
      <c r="M47" s="8">
        <v>1.1000000000000001</v>
      </c>
      <c r="N47" s="7" t="e">
        <f t="shared" si="33"/>
        <v>#DIV/0!</v>
      </c>
      <c r="O47" s="7">
        <v>0</v>
      </c>
      <c r="P47" s="8">
        <v>0</v>
      </c>
      <c r="Q47" s="7" t="e">
        <f t="shared" si="34"/>
        <v>#DIV/0!</v>
      </c>
      <c r="R47" s="7">
        <v>0</v>
      </c>
      <c r="S47" s="8">
        <v>0</v>
      </c>
      <c r="T47" s="7" t="e">
        <f t="shared" si="35"/>
        <v>#DIV/0!</v>
      </c>
      <c r="U47" s="7">
        <v>0</v>
      </c>
      <c r="V47" s="8">
        <v>0</v>
      </c>
      <c r="W47" s="7" t="e">
        <f t="shared" si="36"/>
        <v>#DIV/0!</v>
      </c>
      <c r="X47" s="7">
        <v>0</v>
      </c>
      <c r="Y47" s="8">
        <v>0</v>
      </c>
      <c r="Z47" s="7" t="e">
        <f t="shared" si="37"/>
        <v>#DIV/0!</v>
      </c>
      <c r="AA47" s="7">
        <v>0</v>
      </c>
      <c r="AB47" s="8">
        <v>0</v>
      </c>
      <c r="AC47" s="7" t="e">
        <f t="shared" si="38"/>
        <v>#DIV/0!</v>
      </c>
      <c r="AD47" s="7">
        <v>0</v>
      </c>
      <c r="AE47" s="8">
        <v>0</v>
      </c>
      <c r="AF47" s="7" t="e">
        <f t="shared" si="39"/>
        <v>#DIV/0!</v>
      </c>
      <c r="AG47" s="7">
        <v>0</v>
      </c>
      <c r="AH47" s="8">
        <v>0</v>
      </c>
      <c r="AI47" s="7" t="e">
        <f t="shared" si="40"/>
        <v>#DIV/0!</v>
      </c>
      <c r="AJ47" s="7">
        <v>0</v>
      </c>
      <c r="AK47" s="8">
        <v>0</v>
      </c>
      <c r="AL47" s="7" t="e">
        <f t="shared" si="41"/>
        <v>#DIV/0!</v>
      </c>
      <c r="AM47" s="7">
        <v>0</v>
      </c>
      <c r="AN47" s="8">
        <v>0</v>
      </c>
      <c r="AO47" s="7">
        <f t="shared" si="26"/>
        <v>4612.7272727272721</v>
      </c>
      <c r="AP47" s="7">
        <f t="shared" si="28"/>
        <v>5074</v>
      </c>
      <c r="AQ47" s="8">
        <f t="shared" si="29"/>
        <v>1.1000000000000001</v>
      </c>
    </row>
    <row r="48" spans="1:67" x14ac:dyDescent="0.3">
      <c r="A48" s="29" t="s">
        <v>68</v>
      </c>
      <c r="B48" s="20"/>
      <c r="C48" s="20"/>
      <c r="D48" s="20"/>
      <c r="E48" s="7" t="e">
        <f t="shared" si="30"/>
        <v>#DIV/0!</v>
      </c>
      <c r="F48" s="7">
        <v>0</v>
      </c>
      <c r="G48" s="8">
        <v>0</v>
      </c>
      <c r="H48" s="7" t="e">
        <f t="shared" si="31"/>
        <v>#DIV/0!</v>
      </c>
      <c r="I48" s="7">
        <v>0</v>
      </c>
      <c r="J48" s="8">
        <v>0</v>
      </c>
      <c r="K48" s="7" t="e">
        <f t="shared" si="32"/>
        <v>#DIV/0!</v>
      </c>
      <c r="L48" s="7">
        <v>0</v>
      </c>
      <c r="M48" s="8">
        <v>0</v>
      </c>
      <c r="N48" s="7" t="e">
        <f t="shared" si="33"/>
        <v>#DIV/0!</v>
      </c>
      <c r="O48" s="7">
        <v>0</v>
      </c>
      <c r="P48" s="8">
        <v>0</v>
      </c>
      <c r="Q48" s="7">
        <f t="shared" si="34"/>
        <v>1362.8</v>
      </c>
      <c r="R48" s="7">
        <v>3407</v>
      </c>
      <c r="S48" s="8">
        <v>2.5</v>
      </c>
      <c r="T48" s="7">
        <f t="shared" si="35"/>
        <v>1483.5185185185185</v>
      </c>
      <c r="U48" s="7">
        <v>8011</v>
      </c>
      <c r="V48" s="8">
        <v>5.4</v>
      </c>
      <c r="W48" s="7">
        <f t="shared" si="36"/>
        <v>1353.3333333333335</v>
      </c>
      <c r="X48" s="7">
        <v>4466</v>
      </c>
      <c r="Y48" s="8">
        <v>3.3</v>
      </c>
      <c r="Z48" s="7" t="e">
        <f t="shared" si="37"/>
        <v>#DIV/0!</v>
      </c>
      <c r="AA48" s="7">
        <v>0</v>
      </c>
      <c r="AB48" s="8">
        <v>0</v>
      </c>
      <c r="AC48" s="7">
        <f t="shared" si="38"/>
        <v>1347.037037037037</v>
      </c>
      <c r="AD48" s="7">
        <v>3637</v>
      </c>
      <c r="AE48" s="8">
        <v>2.7</v>
      </c>
      <c r="AF48" s="7" t="e">
        <f t="shared" si="39"/>
        <v>#DIV/0!</v>
      </c>
      <c r="AG48" s="7">
        <v>0</v>
      </c>
      <c r="AH48" s="8">
        <v>0</v>
      </c>
      <c r="AI48" s="7">
        <f t="shared" si="40"/>
        <v>1373.8709677419354</v>
      </c>
      <c r="AJ48" s="7">
        <v>4259</v>
      </c>
      <c r="AK48" s="8">
        <v>3.1</v>
      </c>
      <c r="AL48" s="7" t="e">
        <f t="shared" si="41"/>
        <v>#DIV/0!</v>
      </c>
      <c r="AM48" s="7">
        <v>0</v>
      </c>
      <c r="AN48" s="8">
        <v>0</v>
      </c>
      <c r="AO48" s="7">
        <f t="shared" si="26"/>
        <v>1398.8235294117646</v>
      </c>
      <c r="AP48" s="7">
        <f t="shared" si="28"/>
        <v>23780</v>
      </c>
      <c r="AQ48" s="8">
        <f t="shared" si="29"/>
        <v>17</v>
      </c>
    </row>
    <row r="49" spans="1:43" x14ac:dyDescent="0.3">
      <c r="A49" s="29" t="s">
        <v>69</v>
      </c>
      <c r="B49" s="20"/>
      <c r="C49" s="20"/>
      <c r="D49" s="20"/>
      <c r="E49" s="7" t="e">
        <f t="shared" si="30"/>
        <v>#DIV/0!</v>
      </c>
      <c r="F49" s="7">
        <v>0</v>
      </c>
      <c r="G49" s="8">
        <v>0</v>
      </c>
      <c r="H49" s="7" t="e">
        <f t="shared" si="31"/>
        <v>#DIV/0!</v>
      </c>
      <c r="I49" s="7">
        <v>0</v>
      </c>
      <c r="J49" s="8">
        <v>0</v>
      </c>
      <c r="K49" s="7">
        <f t="shared" si="32"/>
        <v>4200</v>
      </c>
      <c r="L49" s="7">
        <v>4200</v>
      </c>
      <c r="M49" s="8">
        <v>1</v>
      </c>
      <c r="N49" s="7" t="e">
        <f t="shared" si="33"/>
        <v>#DIV/0!</v>
      </c>
      <c r="O49" s="7">
        <v>0</v>
      </c>
      <c r="P49" s="8">
        <v>0</v>
      </c>
      <c r="Q49" s="7" t="e">
        <f t="shared" si="34"/>
        <v>#DIV/0!</v>
      </c>
      <c r="R49" s="7">
        <v>0</v>
      </c>
      <c r="S49" s="8">
        <v>0</v>
      </c>
      <c r="T49" s="7" t="e">
        <f t="shared" si="35"/>
        <v>#DIV/0!</v>
      </c>
      <c r="U49" s="7">
        <v>0</v>
      </c>
      <c r="V49" s="8">
        <v>0</v>
      </c>
      <c r="W49" s="7" t="e">
        <f t="shared" si="36"/>
        <v>#DIV/0!</v>
      </c>
      <c r="X49" s="7">
        <v>0</v>
      </c>
      <c r="Y49" s="8">
        <v>0</v>
      </c>
      <c r="Z49" s="7" t="e">
        <f t="shared" si="37"/>
        <v>#DIV/0!</v>
      </c>
      <c r="AA49" s="7">
        <v>0</v>
      </c>
      <c r="AB49" s="8">
        <v>0</v>
      </c>
      <c r="AC49" s="7" t="e">
        <f t="shared" si="38"/>
        <v>#DIV/0!</v>
      </c>
      <c r="AD49" s="7">
        <v>0</v>
      </c>
      <c r="AE49" s="8">
        <v>0</v>
      </c>
      <c r="AF49" s="7">
        <f t="shared" si="39"/>
        <v>1549.7553017944535</v>
      </c>
      <c r="AG49" s="7">
        <v>95000</v>
      </c>
      <c r="AH49" s="8">
        <v>61.3</v>
      </c>
      <c r="AI49" s="7" t="e">
        <f t="shared" si="40"/>
        <v>#DIV/0!</v>
      </c>
      <c r="AJ49" s="7">
        <v>0</v>
      </c>
      <c r="AK49" s="8">
        <v>0</v>
      </c>
      <c r="AL49" s="7" t="e">
        <f t="shared" si="41"/>
        <v>#DIV/0!</v>
      </c>
      <c r="AM49" s="7">
        <v>0</v>
      </c>
      <c r="AN49" s="8">
        <v>0</v>
      </c>
      <c r="AO49" s="7">
        <f t="shared" si="26"/>
        <v>1592.295345104334</v>
      </c>
      <c r="AP49" s="7">
        <f t="shared" si="28"/>
        <v>99200</v>
      </c>
      <c r="AQ49" s="8">
        <f t="shared" si="29"/>
        <v>62.3</v>
      </c>
    </row>
    <row r="50" spans="1:43" x14ac:dyDescent="0.3">
      <c r="A50" s="29" t="s">
        <v>82</v>
      </c>
      <c r="B50" s="20"/>
      <c r="C50" s="20"/>
      <c r="D50" s="20"/>
      <c r="E50" s="7">
        <f t="shared" si="30"/>
        <v>835.43200000000002</v>
      </c>
      <c r="F50" s="7">
        <v>208858</v>
      </c>
      <c r="G50" s="8">
        <v>250</v>
      </c>
      <c r="H50" s="7" t="e">
        <f t="shared" si="31"/>
        <v>#DIV/0!</v>
      </c>
      <c r="I50" s="7">
        <v>0</v>
      </c>
      <c r="J50" s="8">
        <v>0</v>
      </c>
      <c r="K50" s="7" t="e">
        <f t="shared" si="32"/>
        <v>#DIV/0!</v>
      </c>
      <c r="L50" s="7">
        <v>0</v>
      </c>
      <c r="M50" s="8">
        <v>0</v>
      </c>
      <c r="N50" s="7">
        <f t="shared" si="33"/>
        <v>867.81158618509448</v>
      </c>
      <c r="O50" s="7">
        <v>1098042</v>
      </c>
      <c r="P50" s="8">
        <v>1265.3</v>
      </c>
      <c r="Q50" s="7">
        <f t="shared" si="34"/>
        <v>846.02582311168499</v>
      </c>
      <c r="R50" s="7">
        <v>655247</v>
      </c>
      <c r="S50" s="8">
        <v>774.5</v>
      </c>
      <c r="T50" s="7" t="e">
        <f t="shared" si="35"/>
        <v>#DIV/0!</v>
      </c>
      <c r="U50" s="7">
        <v>0</v>
      </c>
      <c r="V50" s="8">
        <v>0</v>
      </c>
      <c r="W50" s="7">
        <f t="shared" si="36"/>
        <v>1569.5238095238094</v>
      </c>
      <c r="X50" s="7">
        <v>3296</v>
      </c>
      <c r="Y50" s="8">
        <v>2.1</v>
      </c>
      <c r="Z50" s="7">
        <f t="shared" si="37"/>
        <v>1148.7416666666666</v>
      </c>
      <c r="AA50" s="7">
        <v>275698</v>
      </c>
      <c r="AB50" s="8">
        <v>240</v>
      </c>
      <c r="AC50" s="7" t="e">
        <f t="shared" si="38"/>
        <v>#DIV/0!</v>
      </c>
      <c r="AD50" s="7">
        <v>0</v>
      </c>
      <c r="AE50" s="8">
        <v>0</v>
      </c>
      <c r="AF50" s="7">
        <f t="shared" si="39"/>
        <v>1193.6666666666667</v>
      </c>
      <c r="AG50" s="7">
        <v>179050</v>
      </c>
      <c r="AH50" s="8">
        <v>150</v>
      </c>
      <c r="AI50" s="7">
        <f t="shared" si="40"/>
        <v>1168.5685483870968</v>
      </c>
      <c r="AJ50" s="7">
        <v>57961</v>
      </c>
      <c r="AK50" s="8">
        <v>49.6</v>
      </c>
      <c r="AL50" s="7" t="e">
        <f t="shared" si="41"/>
        <v>#DIV/0!</v>
      </c>
      <c r="AM50" s="7">
        <v>0</v>
      </c>
      <c r="AN50" s="8">
        <v>0</v>
      </c>
      <c r="AO50" s="7">
        <f t="shared" si="26"/>
        <v>907.24949661358232</v>
      </c>
      <c r="AP50" s="7">
        <f t="shared" si="28"/>
        <v>2478152</v>
      </c>
      <c r="AQ50" s="8">
        <f t="shared" si="29"/>
        <v>2731.5</v>
      </c>
    </row>
    <row r="51" spans="1:43" x14ac:dyDescent="0.3">
      <c r="A51" s="28" t="s">
        <v>80</v>
      </c>
      <c r="B51" s="20"/>
      <c r="C51" s="20"/>
      <c r="D51" s="20"/>
      <c r="E51" s="7" t="e">
        <f t="shared" si="30"/>
        <v>#DIV/0!</v>
      </c>
      <c r="F51" s="7">
        <v>0</v>
      </c>
      <c r="G51" s="8">
        <v>0</v>
      </c>
      <c r="H51" s="7" t="e">
        <f t="shared" si="31"/>
        <v>#DIV/0!</v>
      </c>
      <c r="I51" s="7">
        <v>0</v>
      </c>
      <c r="J51" s="8">
        <v>0</v>
      </c>
      <c r="K51" s="7" t="e">
        <f t="shared" si="32"/>
        <v>#DIV/0!</v>
      </c>
      <c r="L51" s="7">
        <v>0</v>
      </c>
      <c r="M51" s="8">
        <v>0</v>
      </c>
      <c r="N51" s="7" t="e">
        <f t="shared" si="33"/>
        <v>#DIV/0!</v>
      </c>
      <c r="O51" s="7">
        <v>0</v>
      </c>
      <c r="P51" s="8">
        <v>0</v>
      </c>
      <c r="Q51" s="7" t="e">
        <f t="shared" si="34"/>
        <v>#DIV/0!</v>
      </c>
      <c r="R51" s="7">
        <v>0</v>
      </c>
      <c r="S51" s="8">
        <v>0</v>
      </c>
      <c r="T51" s="7" t="e">
        <f t="shared" si="35"/>
        <v>#DIV/0!</v>
      </c>
      <c r="U51" s="7">
        <v>0</v>
      </c>
      <c r="V51" s="8">
        <v>0</v>
      </c>
      <c r="W51" s="7" t="e">
        <f t="shared" si="36"/>
        <v>#DIV/0!</v>
      </c>
      <c r="X51" s="7">
        <v>0</v>
      </c>
      <c r="Y51" s="8">
        <v>0</v>
      </c>
      <c r="Z51" s="7" t="e">
        <f t="shared" si="37"/>
        <v>#DIV/0!</v>
      </c>
      <c r="AA51" s="7">
        <v>0</v>
      </c>
      <c r="AB51" s="8">
        <v>0</v>
      </c>
      <c r="AC51" s="7">
        <f t="shared" si="38"/>
        <v>1344.4444444444443</v>
      </c>
      <c r="AD51" s="7">
        <v>3630</v>
      </c>
      <c r="AE51" s="8">
        <v>2.7</v>
      </c>
      <c r="AF51" s="7" t="e">
        <f t="shared" si="39"/>
        <v>#DIV/0!</v>
      </c>
      <c r="AG51" s="7">
        <v>0</v>
      </c>
      <c r="AH51" s="8">
        <v>0</v>
      </c>
      <c r="AI51" s="7" t="e">
        <f t="shared" si="40"/>
        <v>#DIV/0!</v>
      </c>
      <c r="AJ51" s="7">
        <v>0</v>
      </c>
      <c r="AK51" s="8">
        <v>0</v>
      </c>
      <c r="AL51" s="7" t="e">
        <f t="shared" si="41"/>
        <v>#DIV/0!</v>
      </c>
      <c r="AM51" s="7">
        <v>0</v>
      </c>
      <c r="AN51" s="8">
        <v>0</v>
      </c>
      <c r="AO51" s="7">
        <f t="shared" si="26"/>
        <v>1344.4444444444443</v>
      </c>
      <c r="AP51" s="7">
        <f t="shared" si="28"/>
        <v>3630</v>
      </c>
      <c r="AQ51" s="8">
        <f t="shared" si="29"/>
        <v>2.7</v>
      </c>
    </row>
    <row r="52" spans="1:43" x14ac:dyDescent="0.3">
      <c r="A52" s="28" t="s">
        <v>34</v>
      </c>
      <c r="B52" s="20"/>
      <c r="C52" s="20"/>
      <c r="D52" s="20"/>
      <c r="E52" s="7">
        <f t="shared" si="30"/>
        <v>1213.2352941176471</v>
      </c>
      <c r="F52" s="7">
        <v>8250</v>
      </c>
      <c r="G52" s="8">
        <v>6.8</v>
      </c>
      <c r="H52" s="7">
        <f t="shared" si="31"/>
        <v>1210</v>
      </c>
      <c r="I52" s="7">
        <v>9075</v>
      </c>
      <c r="J52" s="8">
        <v>7.5</v>
      </c>
      <c r="K52" s="7">
        <f t="shared" si="32"/>
        <v>1213.2352941176471</v>
      </c>
      <c r="L52" s="7">
        <v>4125</v>
      </c>
      <c r="M52" s="8">
        <v>3.4</v>
      </c>
      <c r="N52" s="7" t="e">
        <f t="shared" si="33"/>
        <v>#DIV/0!</v>
      </c>
      <c r="O52" s="7">
        <v>0</v>
      </c>
      <c r="P52" s="8">
        <v>0</v>
      </c>
      <c r="Q52" s="7">
        <f t="shared" si="34"/>
        <v>900</v>
      </c>
      <c r="R52" s="7">
        <v>2970</v>
      </c>
      <c r="S52" s="8">
        <v>3.3</v>
      </c>
      <c r="T52" s="7" t="e">
        <f t="shared" si="35"/>
        <v>#DIV/0!</v>
      </c>
      <c r="U52" s="7">
        <v>0</v>
      </c>
      <c r="V52" s="8">
        <v>0</v>
      </c>
      <c r="W52" s="7" t="e">
        <f t="shared" si="36"/>
        <v>#DIV/0!</v>
      </c>
      <c r="X52" s="7">
        <v>0</v>
      </c>
      <c r="Y52" s="8">
        <v>0</v>
      </c>
      <c r="Z52" s="7">
        <f t="shared" si="37"/>
        <v>1452</v>
      </c>
      <c r="AA52" s="7">
        <v>3630</v>
      </c>
      <c r="AB52" s="8">
        <v>2.5</v>
      </c>
      <c r="AC52" s="7">
        <f t="shared" si="38"/>
        <v>1550.648148148148</v>
      </c>
      <c r="AD52" s="7">
        <v>16747</v>
      </c>
      <c r="AE52" s="8">
        <v>10.8</v>
      </c>
      <c r="AF52" s="7" t="e">
        <f t="shared" si="39"/>
        <v>#DIV/0!</v>
      </c>
      <c r="AG52" s="7">
        <v>0</v>
      </c>
      <c r="AH52" s="8">
        <v>0</v>
      </c>
      <c r="AI52" s="7" t="e">
        <f t="shared" si="40"/>
        <v>#DIV/0!</v>
      </c>
      <c r="AJ52" s="7">
        <v>0</v>
      </c>
      <c r="AK52" s="8">
        <v>0</v>
      </c>
      <c r="AL52" s="7" t="e">
        <f t="shared" si="41"/>
        <v>#DIV/0!</v>
      </c>
      <c r="AM52" s="7">
        <v>0</v>
      </c>
      <c r="AN52" s="8">
        <v>0</v>
      </c>
      <c r="AO52" s="7">
        <f t="shared" si="26"/>
        <v>1306.0349854227406</v>
      </c>
      <c r="AP52" s="7">
        <f t="shared" si="28"/>
        <v>44797</v>
      </c>
      <c r="AQ52" s="8">
        <f t="shared" si="29"/>
        <v>34.299999999999997</v>
      </c>
    </row>
    <row r="53" spans="1:43" x14ac:dyDescent="0.3">
      <c r="A53" s="28" t="s">
        <v>72</v>
      </c>
      <c r="B53" s="20"/>
      <c r="C53" s="20"/>
      <c r="D53" s="20"/>
      <c r="E53" s="7">
        <f t="shared" si="30"/>
        <v>1321.7821782178219</v>
      </c>
      <c r="F53" s="7">
        <v>26700</v>
      </c>
      <c r="G53" s="8">
        <v>20.2</v>
      </c>
      <c r="H53" s="7" t="e">
        <f t="shared" si="31"/>
        <v>#DIV/0!</v>
      </c>
      <c r="I53" s="7">
        <v>0</v>
      </c>
      <c r="J53" s="8">
        <v>0</v>
      </c>
      <c r="K53" s="7" t="e">
        <f t="shared" si="32"/>
        <v>#DIV/0!</v>
      </c>
      <c r="L53" s="7">
        <v>0</v>
      </c>
      <c r="M53" s="8">
        <v>0</v>
      </c>
      <c r="N53" s="7" t="e">
        <f t="shared" si="33"/>
        <v>#DIV/0!</v>
      </c>
      <c r="O53" s="7">
        <v>0</v>
      </c>
      <c r="P53" s="8">
        <v>0</v>
      </c>
      <c r="Q53" s="7" t="e">
        <f t="shared" si="34"/>
        <v>#DIV/0!</v>
      </c>
      <c r="R53" s="7">
        <v>0</v>
      </c>
      <c r="S53" s="8">
        <v>0</v>
      </c>
      <c r="T53" s="7" t="e">
        <f t="shared" si="35"/>
        <v>#DIV/0!</v>
      </c>
      <c r="U53" s="7">
        <v>0</v>
      </c>
      <c r="V53" s="8">
        <v>0</v>
      </c>
      <c r="W53" s="7" t="e">
        <f t="shared" si="36"/>
        <v>#DIV/0!</v>
      </c>
      <c r="X53" s="7">
        <v>0</v>
      </c>
      <c r="Y53" s="8">
        <v>0</v>
      </c>
      <c r="Z53" s="7" t="e">
        <f t="shared" si="37"/>
        <v>#DIV/0!</v>
      </c>
      <c r="AA53" s="7">
        <v>0</v>
      </c>
      <c r="AB53" s="8">
        <v>0</v>
      </c>
      <c r="AC53" s="7" t="e">
        <f t="shared" si="38"/>
        <v>#DIV/0!</v>
      </c>
      <c r="AD53" s="7">
        <v>0</v>
      </c>
      <c r="AE53" s="8">
        <v>0</v>
      </c>
      <c r="AF53" s="7" t="e">
        <f t="shared" si="39"/>
        <v>#DIV/0!</v>
      </c>
      <c r="AG53" s="7">
        <v>0</v>
      </c>
      <c r="AH53" s="8">
        <v>0</v>
      </c>
      <c r="AI53" s="7" t="e">
        <f t="shared" si="40"/>
        <v>#DIV/0!</v>
      </c>
      <c r="AJ53" s="7">
        <v>0</v>
      </c>
      <c r="AK53" s="8">
        <v>0</v>
      </c>
      <c r="AL53" s="7" t="e">
        <f t="shared" si="41"/>
        <v>#DIV/0!</v>
      </c>
      <c r="AM53" s="7">
        <v>0</v>
      </c>
      <c r="AN53" s="8">
        <v>0</v>
      </c>
      <c r="AO53" s="7">
        <f t="shared" si="26"/>
        <v>1321.7821782178219</v>
      </c>
      <c r="AP53" s="7">
        <f t="shared" si="28"/>
        <v>26700</v>
      </c>
      <c r="AQ53" s="8">
        <f t="shared" si="29"/>
        <v>20.2</v>
      </c>
    </row>
    <row r="54" spans="1:43" x14ac:dyDescent="0.3">
      <c r="A54" s="28" t="s">
        <v>24</v>
      </c>
      <c r="B54" s="20"/>
      <c r="C54" s="20"/>
      <c r="D54" s="20"/>
      <c r="E54" s="7" t="e">
        <f t="shared" si="30"/>
        <v>#DIV/0!</v>
      </c>
      <c r="F54" s="7">
        <v>0</v>
      </c>
      <c r="G54" s="8">
        <v>0</v>
      </c>
      <c r="H54" s="7" t="e">
        <f t="shared" si="31"/>
        <v>#DIV/0!</v>
      </c>
      <c r="I54" s="7">
        <v>0</v>
      </c>
      <c r="J54" s="8">
        <v>0</v>
      </c>
      <c r="K54" s="7">
        <f t="shared" si="32"/>
        <v>2380.9090909090905</v>
      </c>
      <c r="L54" s="7">
        <v>2619</v>
      </c>
      <c r="M54" s="8">
        <v>1.1000000000000001</v>
      </c>
      <c r="N54" s="7" t="e">
        <f t="shared" si="33"/>
        <v>#DIV/0!</v>
      </c>
      <c r="O54" s="7">
        <v>0</v>
      </c>
      <c r="P54" s="8">
        <v>0</v>
      </c>
      <c r="Q54" s="7" t="e">
        <f t="shared" si="34"/>
        <v>#DIV/0!</v>
      </c>
      <c r="R54" s="7">
        <v>0</v>
      </c>
      <c r="S54" s="8">
        <v>0</v>
      </c>
      <c r="T54" s="7" t="e">
        <f t="shared" si="35"/>
        <v>#DIV/0!</v>
      </c>
      <c r="U54" s="7">
        <v>0</v>
      </c>
      <c r="V54" s="8">
        <v>0</v>
      </c>
      <c r="W54" s="7">
        <f t="shared" si="36"/>
        <v>2621.5384615384614</v>
      </c>
      <c r="X54" s="7">
        <v>6816</v>
      </c>
      <c r="Y54" s="8">
        <v>2.6</v>
      </c>
      <c r="Z54" s="7" t="e">
        <f t="shared" si="37"/>
        <v>#DIV/0!</v>
      </c>
      <c r="AA54" s="7">
        <v>0</v>
      </c>
      <c r="AB54" s="8">
        <v>0</v>
      </c>
      <c r="AC54" s="7" t="e">
        <f t="shared" si="38"/>
        <v>#DIV/0!</v>
      </c>
      <c r="AD54" s="7">
        <v>0</v>
      </c>
      <c r="AE54" s="8">
        <v>0</v>
      </c>
      <c r="AF54" s="7">
        <f t="shared" si="39"/>
        <v>2590.8333333333335</v>
      </c>
      <c r="AG54" s="7">
        <v>3109</v>
      </c>
      <c r="AH54" s="8">
        <v>1.2</v>
      </c>
      <c r="AI54" s="7">
        <f t="shared" si="40"/>
        <v>2392.272727272727</v>
      </c>
      <c r="AJ54" s="7">
        <v>5263</v>
      </c>
      <c r="AK54" s="8">
        <v>2.2000000000000002</v>
      </c>
      <c r="AL54" s="7" t="e">
        <f t="shared" si="41"/>
        <v>#DIV/0!</v>
      </c>
      <c r="AM54" s="7">
        <v>0</v>
      </c>
      <c r="AN54" s="8">
        <v>0</v>
      </c>
      <c r="AO54" s="7">
        <f t="shared" si="26"/>
        <v>2508.0281690140841</v>
      </c>
      <c r="AP54" s="7">
        <f t="shared" si="28"/>
        <v>17807</v>
      </c>
      <c r="AQ54" s="8">
        <f t="shared" si="29"/>
        <v>7.1000000000000005</v>
      </c>
    </row>
    <row r="55" spans="1:43" x14ac:dyDescent="0.3">
      <c r="A55" s="28" t="s">
        <v>83</v>
      </c>
      <c r="B55" s="20"/>
      <c r="C55" s="20"/>
      <c r="D55" s="20"/>
      <c r="E55" s="7" t="e">
        <f t="shared" si="30"/>
        <v>#DIV/0!</v>
      </c>
      <c r="F55" s="7">
        <v>0</v>
      </c>
      <c r="G55" s="8">
        <v>0</v>
      </c>
      <c r="H55" s="7">
        <f t="shared" si="31"/>
        <v>2183.3513513513512</v>
      </c>
      <c r="I55" s="7">
        <v>80784</v>
      </c>
      <c r="J55" s="8">
        <v>37</v>
      </c>
      <c r="K55" s="7" t="e">
        <f t="shared" si="32"/>
        <v>#DIV/0!</v>
      </c>
      <c r="L55" s="7">
        <v>0</v>
      </c>
      <c r="M55" s="8">
        <v>0</v>
      </c>
      <c r="N55" s="7" t="e">
        <f t="shared" si="33"/>
        <v>#DIV/0!</v>
      </c>
      <c r="O55" s="7">
        <v>0</v>
      </c>
      <c r="P55" s="8">
        <v>0</v>
      </c>
      <c r="Q55" s="7" t="e">
        <f t="shared" si="34"/>
        <v>#DIV/0!</v>
      </c>
      <c r="R55" s="7">
        <v>0</v>
      </c>
      <c r="S55" s="8">
        <v>0</v>
      </c>
      <c r="T55" s="7" t="e">
        <f t="shared" si="35"/>
        <v>#DIV/0!</v>
      </c>
      <c r="U55" s="7">
        <v>0</v>
      </c>
      <c r="V55" s="8">
        <v>0</v>
      </c>
      <c r="W55" s="7" t="e">
        <f t="shared" si="36"/>
        <v>#DIV/0!</v>
      </c>
      <c r="X55" s="7">
        <v>0</v>
      </c>
      <c r="Y55" s="8">
        <v>0</v>
      </c>
      <c r="Z55" s="7" t="e">
        <f t="shared" si="37"/>
        <v>#DIV/0!</v>
      </c>
      <c r="AA55" s="7">
        <v>0</v>
      </c>
      <c r="AB55" s="8">
        <v>0</v>
      </c>
      <c r="AC55" s="7" t="e">
        <f t="shared" si="38"/>
        <v>#DIV/0!</v>
      </c>
      <c r="AD55" s="7">
        <v>0</v>
      </c>
      <c r="AE55" s="8">
        <v>0</v>
      </c>
      <c r="AF55" s="7" t="e">
        <f t="shared" si="39"/>
        <v>#DIV/0!</v>
      </c>
      <c r="AG55" s="7">
        <v>0</v>
      </c>
      <c r="AH55" s="8">
        <v>0</v>
      </c>
      <c r="AI55" s="7" t="e">
        <f t="shared" si="40"/>
        <v>#DIV/0!</v>
      </c>
      <c r="AJ55" s="7">
        <v>0</v>
      </c>
      <c r="AK55" s="8">
        <v>0</v>
      </c>
      <c r="AL55" s="7" t="e">
        <f t="shared" si="41"/>
        <v>#DIV/0!</v>
      </c>
      <c r="AM55" s="7">
        <v>0</v>
      </c>
      <c r="AN55" s="8">
        <v>0</v>
      </c>
      <c r="AO55" s="7">
        <f t="shared" si="26"/>
        <v>2183.3513513513512</v>
      </c>
      <c r="AP55" s="7">
        <f t="shared" si="28"/>
        <v>80784</v>
      </c>
      <c r="AQ55" s="8">
        <f t="shared" si="29"/>
        <v>37</v>
      </c>
    </row>
    <row r="56" spans="1:43" x14ac:dyDescent="0.3">
      <c r="A56" s="28" t="s">
        <v>93</v>
      </c>
      <c r="B56" s="20"/>
      <c r="C56" s="20"/>
      <c r="D56" s="20"/>
      <c r="E56" s="7" t="e">
        <f t="shared" si="30"/>
        <v>#DIV/0!</v>
      </c>
      <c r="F56" s="7">
        <v>0</v>
      </c>
      <c r="G56" s="8">
        <v>0</v>
      </c>
      <c r="H56" s="7" t="e">
        <f t="shared" si="31"/>
        <v>#DIV/0!</v>
      </c>
      <c r="I56" s="7">
        <v>0</v>
      </c>
      <c r="J56" s="8">
        <v>0</v>
      </c>
      <c r="K56" s="7" t="e">
        <f t="shared" si="32"/>
        <v>#DIV/0!</v>
      </c>
      <c r="L56" s="7">
        <v>0</v>
      </c>
      <c r="M56" s="8">
        <v>0</v>
      </c>
      <c r="N56" s="7" t="e">
        <f t="shared" si="33"/>
        <v>#DIV/0!</v>
      </c>
      <c r="O56" s="7">
        <v>0</v>
      </c>
      <c r="P56" s="8">
        <v>0</v>
      </c>
      <c r="Q56" s="7" t="e">
        <f t="shared" si="34"/>
        <v>#DIV/0!</v>
      </c>
      <c r="R56" s="7">
        <v>0</v>
      </c>
      <c r="S56" s="8">
        <v>0</v>
      </c>
      <c r="T56" s="7" t="e">
        <f t="shared" si="35"/>
        <v>#DIV/0!</v>
      </c>
      <c r="U56" s="7">
        <v>0</v>
      </c>
      <c r="V56" s="8">
        <v>0</v>
      </c>
      <c r="W56" s="7" t="e">
        <f t="shared" si="36"/>
        <v>#DIV/0!</v>
      </c>
      <c r="X56" s="7">
        <v>0</v>
      </c>
      <c r="Y56" s="8">
        <v>0</v>
      </c>
      <c r="Z56" s="7" t="e">
        <f t="shared" si="37"/>
        <v>#DIV/0!</v>
      </c>
      <c r="AA56" s="7">
        <v>0</v>
      </c>
      <c r="AB56" s="8">
        <v>0</v>
      </c>
      <c r="AC56" s="7" t="e">
        <f t="shared" si="38"/>
        <v>#DIV/0!</v>
      </c>
      <c r="AD56" s="7">
        <v>0</v>
      </c>
      <c r="AE56" s="8">
        <v>0</v>
      </c>
      <c r="AF56" s="7" t="e">
        <f t="shared" si="39"/>
        <v>#DIV/0!</v>
      </c>
      <c r="AG56" s="7">
        <v>0</v>
      </c>
      <c r="AH56" s="8">
        <v>0</v>
      </c>
      <c r="AI56" s="7">
        <f t="shared" si="40"/>
        <v>1234.1666666666667</v>
      </c>
      <c r="AJ56" s="7">
        <v>37025</v>
      </c>
      <c r="AK56" s="8">
        <v>30</v>
      </c>
      <c r="AL56" s="7" t="e">
        <f t="shared" si="41"/>
        <v>#DIV/0!</v>
      </c>
      <c r="AM56" s="7">
        <v>0</v>
      </c>
      <c r="AN56" s="8">
        <v>0</v>
      </c>
      <c r="AO56" s="7">
        <f t="shared" si="26"/>
        <v>1234.1666666666667</v>
      </c>
      <c r="AP56" s="7">
        <f t="shared" si="28"/>
        <v>37025</v>
      </c>
      <c r="AQ56" s="8">
        <f t="shared" si="29"/>
        <v>30</v>
      </c>
    </row>
    <row r="57" spans="1:43" x14ac:dyDescent="0.3">
      <c r="A57" s="28" t="s">
        <v>36</v>
      </c>
      <c r="B57" s="20"/>
      <c r="C57" s="20"/>
      <c r="D57" s="20"/>
      <c r="E57" s="7" t="e">
        <f t="shared" si="30"/>
        <v>#DIV/0!</v>
      </c>
      <c r="F57" s="7">
        <v>0</v>
      </c>
      <c r="G57" s="8">
        <v>0</v>
      </c>
      <c r="H57" s="7" t="e">
        <f t="shared" si="31"/>
        <v>#DIV/0!</v>
      </c>
      <c r="I57" s="7">
        <v>0</v>
      </c>
      <c r="J57" s="8">
        <v>0</v>
      </c>
      <c r="K57" s="7" t="e">
        <f t="shared" si="32"/>
        <v>#DIV/0!</v>
      </c>
      <c r="L57" s="7">
        <v>0</v>
      </c>
      <c r="M57" s="8">
        <v>0</v>
      </c>
      <c r="N57" s="7" t="e">
        <f t="shared" si="33"/>
        <v>#DIV/0!</v>
      </c>
      <c r="O57" s="7">
        <v>0</v>
      </c>
      <c r="P57" s="8">
        <v>0</v>
      </c>
      <c r="Q57" s="7" t="e">
        <f t="shared" si="34"/>
        <v>#DIV/0!</v>
      </c>
      <c r="R57" s="7">
        <v>0</v>
      </c>
      <c r="S57" s="8">
        <v>0</v>
      </c>
      <c r="T57" s="7" t="e">
        <f t="shared" si="35"/>
        <v>#DIV/0!</v>
      </c>
      <c r="U57" s="7">
        <v>0</v>
      </c>
      <c r="V57" s="8">
        <v>0</v>
      </c>
      <c r="W57" s="7" t="e">
        <f t="shared" si="36"/>
        <v>#DIV/0!</v>
      </c>
      <c r="X57" s="7">
        <v>0</v>
      </c>
      <c r="Y57" s="8">
        <v>0</v>
      </c>
      <c r="Z57" s="7" t="e">
        <f t="shared" si="37"/>
        <v>#DIV/0!</v>
      </c>
      <c r="AA57" s="7">
        <v>0</v>
      </c>
      <c r="AB57" s="8">
        <v>0</v>
      </c>
      <c r="AC57" s="7">
        <f t="shared" si="38"/>
        <v>1210.8196721311476</v>
      </c>
      <c r="AD57" s="7">
        <v>29544</v>
      </c>
      <c r="AE57" s="8">
        <v>24.4</v>
      </c>
      <c r="AF57" s="7" t="e">
        <f t="shared" si="39"/>
        <v>#DIV/0!</v>
      </c>
      <c r="AG57" s="7">
        <v>0</v>
      </c>
      <c r="AH57" s="8">
        <v>0</v>
      </c>
      <c r="AI57" s="7" t="e">
        <f t="shared" si="40"/>
        <v>#DIV/0!</v>
      </c>
      <c r="AJ57" s="7">
        <v>0</v>
      </c>
      <c r="AK57" s="8">
        <v>0</v>
      </c>
      <c r="AL57" s="7" t="e">
        <f t="shared" si="41"/>
        <v>#DIV/0!</v>
      </c>
      <c r="AM57" s="7">
        <v>0</v>
      </c>
      <c r="AN57" s="8">
        <v>0</v>
      </c>
      <c r="AO57" s="7">
        <f t="shared" si="26"/>
        <v>1210.8196721311476</v>
      </c>
      <c r="AP57" s="7">
        <f t="shared" si="28"/>
        <v>29544</v>
      </c>
      <c r="AQ57" s="8">
        <f t="shared" si="29"/>
        <v>24.4</v>
      </c>
    </row>
    <row r="58" spans="1:43" x14ac:dyDescent="0.3">
      <c r="A58" s="28" t="s">
        <v>37</v>
      </c>
      <c r="B58" s="20"/>
      <c r="C58" s="20"/>
      <c r="D58" s="20"/>
      <c r="E58" s="7" t="e">
        <f t="shared" si="30"/>
        <v>#DIV/0!</v>
      </c>
      <c r="F58" s="7">
        <v>0</v>
      </c>
      <c r="G58" s="8">
        <v>0</v>
      </c>
      <c r="H58" s="7" t="e">
        <f t="shared" si="31"/>
        <v>#DIV/0!</v>
      </c>
      <c r="I58" s="7">
        <v>0</v>
      </c>
      <c r="J58" s="8">
        <v>0</v>
      </c>
      <c r="K58" s="7" t="e">
        <f t="shared" si="32"/>
        <v>#DIV/0!</v>
      </c>
      <c r="L58" s="7">
        <v>0</v>
      </c>
      <c r="M58" s="8">
        <v>0</v>
      </c>
      <c r="N58" s="7">
        <f t="shared" si="33"/>
        <v>1108.3037475345168</v>
      </c>
      <c r="O58" s="7">
        <v>56191</v>
      </c>
      <c r="P58" s="8">
        <v>50.7</v>
      </c>
      <c r="Q58" s="7">
        <f t="shared" si="34"/>
        <v>1733.75</v>
      </c>
      <c r="R58" s="7">
        <v>5548</v>
      </c>
      <c r="S58" s="8">
        <v>3.2</v>
      </c>
      <c r="T58" s="7">
        <f t="shared" si="35"/>
        <v>1103.8176638176637</v>
      </c>
      <c r="U58" s="7">
        <v>38744</v>
      </c>
      <c r="V58" s="8">
        <v>35.1</v>
      </c>
      <c r="W58" s="7" t="e">
        <f t="shared" si="36"/>
        <v>#DIV/0!</v>
      </c>
      <c r="X58" s="7">
        <v>0</v>
      </c>
      <c r="Y58" s="8">
        <v>0</v>
      </c>
      <c r="Z58" s="7" t="e">
        <f t="shared" si="37"/>
        <v>#DIV/0!</v>
      </c>
      <c r="AA58" s="7">
        <v>0</v>
      </c>
      <c r="AB58" s="8">
        <v>0</v>
      </c>
      <c r="AC58" s="7" t="e">
        <f t="shared" si="38"/>
        <v>#DIV/0!</v>
      </c>
      <c r="AD58" s="7">
        <v>0</v>
      </c>
      <c r="AE58" s="8">
        <v>0</v>
      </c>
      <c r="AF58" s="7" t="e">
        <f t="shared" si="39"/>
        <v>#DIV/0!</v>
      </c>
      <c r="AG58" s="7">
        <v>0</v>
      </c>
      <c r="AH58" s="8">
        <v>0</v>
      </c>
      <c r="AI58" s="7">
        <f t="shared" si="40"/>
        <v>1584.4886363636363</v>
      </c>
      <c r="AJ58" s="7">
        <v>27887</v>
      </c>
      <c r="AK58" s="8">
        <v>17.600000000000001</v>
      </c>
      <c r="AL58" s="7" t="e">
        <f t="shared" si="41"/>
        <v>#DIV/0!</v>
      </c>
      <c r="AM58" s="7">
        <v>0</v>
      </c>
      <c r="AN58" s="8">
        <v>0</v>
      </c>
      <c r="AO58" s="7">
        <f t="shared" si="26"/>
        <v>1204.2213883677298</v>
      </c>
      <c r="AP58" s="7">
        <f t="shared" si="28"/>
        <v>128370</v>
      </c>
      <c r="AQ58" s="8">
        <f t="shared" si="29"/>
        <v>106.6</v>
      </c>
    </row>
    <row r="59" spans="1:43" x14ac:dyDescent="0.3">
      <c r="A59" s="28" t="s">
        <v>73</v>
      </c>
      <c r="B59" s="20"/>
      <c r="C59" s="20"/>
      <c r="D59" s="20"/>
      <c r="E59" s="7" t="e">
        <f t="shared" si="30"/>
        <v>#DIV/0!</v>
      </c>
      <c r="F59" s="7">
        <v>0</v>
      </c>
      <c r="G59" s="8">
        <v>0</v>
      </c>
      <c r="H59" s="7" t="e">
        <f t="shared" si="31"/>
        <v>#DIV/0!</v>
      </c>
      <c r="I59" s="7">
        <v>0</v>
      </c>
      <c r="J59" s="8">
        <v>0</v>
      </c>
      <c r="K59" s="7" t="e">
        <f t="shared" si="32"/>
        <v>#DIV/0!</v>
      </c>
      <c r="L59" s="7">
        <v>0</v>
      </c>
      <c r="M59" s="8">
        <v>0</v>
      </c>
      <c r="N59" s="7">
        <f t="shared" si="33"/>
        <v>3051.1111111111109</v>
      </c>
      <c r="O59" s="7">
        <v>2746</v>
      </c>
      <c r="P59" s="8">
        <v>0.9</v>
      </c>
      <c r="Q59" s="7" t="e">
        <f t="shared" si="34"/>
        <v>#DIV/0!</v>
      </c>
      <c r="R59" s="7">
        <v>0</v>
      </c>
      <c r="S59" s="8">
        <v>0</v>
      </c>
      <c r="T59" s="7" t="e">
        <f t="shared" si="35"/>
        <v>#DIV/0!</v>
      </c>
      <c r="U59" s="7">
        <v>0</v>
      </c>
      <c r="V59" s="8">
        <v>0</v>
      </c>
      <c r="W59" s="7" t="e">
        <f t="shared" si="36"/>
        <v>#DIV/0!</v>
      </c>
      <c r="X59" s="7">
        <v>0</v>
      </c>
      <c r="Y59" s="8">
        <v>0</v>
      </c>
      <c r="Z59" s="7" t="e">
        <f t="shared" si="37"/>
        <v>#DIV/0!</v>
      </c>
      <c r="AA59" s="7">
        <v>0</v>
      </c>
      <c r="AB59" s="8">
        <v>0</v>
      </c>
      <c r="AC59" s="7">
        <f t="shared" si="38"/>
        <v>3440.7142857142858</v>
      </c>
      <c r="AD59" s="7">
        <v>9634</v>
      </c>
      <c r="AE59" s="8">
        <v>2.8</v>
      </c>
      <c r="AF59" s="7" t="e">
        <f t="shared" si="39"/>
        <v>#DIV/0!</v>
      </c>
      <c r="AG59" s="7">
        <v>0</v>
      </c>
      <c r="AH59" s="8">
        <v>0</v>
      </c>
      <c r="AI59" s="7" t="e">
        <f t="shared" si="40"/>
        <v>#DIV/0!</v>
      </c>
      <c r="AJ59" s="7">
        <v>0</v>
      </c>
      <c r="AK59" s="8">
        <v>0</v>
      </c>
      <c r="AL59" s="7" t="e">
        <f t="shared" si="41"/>
        <v>#DIV/0!</v>
      </c>
      <c r="AM59" s="7">
        <v>0</v>
      </c>
      <c r="AN59" s="8">
        <v>0</v>
      </c>
      <c r="AO59" s="7">
        <f t="shared" si="26"/>
        <v>3345.9459459459463</v>
      </c>
      <c r="AP59" s="7">
        <f t="shared" si="28"/>
        <v>12380</v>
      </c>
      <c r="AQ59" s="8">
        <f t="shared" si="29"/>
        <v>3.6999999999999997</v>
      </c>
    </row>
    <row r="60" spans="1:43" x14ac:dyDescent="0.3">
      <c r="A60" s="28" t="s">
        <v>59</v>
      </c>
      <c r="B60" s="20"/>
      <c r="C60" s="20"/>
      <c r="D60" s="20"/>
      <c r="E60" s="7" t="e">
        <f t="shared" si="30"/>
        <v>#DIV/0!</v>
      </c>
      <c r="F60" s="7">
        <v>0</v>
      </c>
      <c r="G60" s="8">
        <v>0</v>
      </c>
      <c r="H60" s="7" t="e">
        <f t="shared" si="31"/>
        <v>#DIV/0!</v>
      </c>
      <c r="I60" s="7">
        <v>0</v>
      </c>
      <c r="J60" s="8">
        <v>0</v>
      </c>
      <c r="K60" s="7" t="e">
        <f t="shared" si="32"/>
        <v>#DIV/0!</v>
      </c>
      <c r="L60" s="7">
        <v>0</v>
      </c>
      <c r="M60" s="8">
        <v>0</v>
      </c>
      <c r="N60" s="7">
        <f t="shared" si="33"/>
        <v>1259.4409937888199</v>
      </c>
      <c r="O60" s="7">
        <v>60831</v>
      </c>
      <c r="P60" s="8">
        <v>48.3</v>
      </c>
      <c r="Q60" s="7" t="e">
        <f t="shared" si="34"/>
        <v>#DIV/0!</v>
      </c>
      <c r="R60" s="7">
        <v>0</v>
      </c>
      <c r="S60" s="8">
        <v>0</v>
      </c>
      <c r="T60" s="7">
        <f t="shared" si="35"/>
        <v>1302.4066390041494</v>
      </c>
      <c r="U60" s="7">
        <v>31388</v>
      </c>
      <c r="V60" s="8">
        <v>24.1</v>
      </c>
      <c r="W60" s="7">
        <f t="shared" si="36"/>
        <v>1302.4066390041494</v>
      </c>
      <c r="X60" s="7">
        <v>31388</v>
      </c>
      <c r="Y60" s="8">
        <v>24.1</v>
      </c>
      <c r="Z60" s="7">
        <f t="shared" si="37"/>
        <v>1302.4066390041494</v>
      </c>
      <c r="AA60" s="7">
        <v>31388</v>
      </c>
      <c r="AB60" s="8">
        <v>24.1</v>
      </c>
      <c r="AC60" s="7">
        <f t="shared" si="38"/>
        <v>1302.4066390041494</v>
      </c>
      <c r="AD60" s="7">
        <v>31388</v>
      </c>
      <c r="AE60" s="8">
        <v>24.1</v>
      </c>
      <c r="AF60" s="7" t="e">
        <f t="shared" si="39"/>
        <v>#DIV/0!</v>
      </c>
      <c r="AG60" s="7">
        <v>0</v>
      </c>
      <c r="AH60" s="8">
        <v>0</v>
      </c>
      <c r="AI60" s="7">
        <f t="shared" si="40"/>
        <v>1335.9036144578313</v>
      </c>
      <c r="AJ60" s="7">
        <v>11088</v>
      </c>
      <c r="AK60" s="8">
        <v>8.3000000000000007</v>
      </c>
      <c r="AL60" s="7" t="e">
        <f t="shared" si="41"/>
        <v>#DIV/0!</v>
      </c>
      <c r="AM60" s="7">
        <v>0</v>
      </c>
      <c r="AN60" s="8">
        <v>0</v>
      </c>
      <c r="AO60" s="7">
        <f t="shared" si="26"/>
        <v>1290.6601307189542</v>
      </c>
      <c r="AP60" s="7">
        <f t="shared" si="28"/>
        <v>197471</v>
      </c>
      <c r="AQ60" s="8">
        <f t="shared" si="29"/>
        <v>153</v>
      </c>
    </row>
    <row r="61" spans="1:43" x14ac:dyDescent="0.3">
      <c r="A61" s="28" t="s">
        <v>87</v>
      </c>
      <c r="B61" s="20"/>
      <c r="C61" s="20"/>
      <c r="D61" s="20"/>
      <c r="E61" s="7" t="e">
        <f t="shared" si="30"/>
        <v>#DIV/0!</v>
      </c>
      <c r="F61" s="7">
        <v>0</v>
      </c>
      <c r="G61" s="8">
        <v>0</v>
      </c>
      <c r="H61" s="7" t="e">
        <f t="shared" si="31"/>
        <v>#DIV/0!</v>
      </c>
      <c r="I61" s="7">
        <v>0</v>
      </c>
      <c r="J61" s="8">
        <v>0</v>
      </c>
      <c r="K61" s="7" t="e">
        <f t="shared" si="32"/>
        <v>#DIV/0!</v>
      </c>
      <c r="L61" s="7">
        <v>0</v>
      </c>
      <c r="M61" s="8">
        <v>0</v>
      </c>
      <c r="N61" s="7" t="e">
        <f t="shared" si="33"/>
        <v>#DIV/0!</v>
      </c>
      <c r="O61" s="7">
        <v>0</v>
      </c>
      <c r="P61" s="8">
        <v>0</v>
      </c>
      <c r="Q61" s="7" t="e">
        <f t="shared" si="34"/>
        <v>#DIV/0!</v>
      </c>
      <c r="R61" s="7">
        <v>0</v>
      </c>
      <c r="S61" s="8">
        <v>0</v>
      </c>
      <c r="T61" s="7" t="e">
        <f t="shared" si="35"/>
        <v>#DIV/0!</v>
      </c>
      <c r="U61" s="7">
        <v>0</v>
      </c>
      <c r="V61" s="8">
        <v>0</v>
      </c>
      <c r="W61" s="7" t="e">
        <f t="shared" si="36"/>
        <v>#DIV/0!</v>
      </c>
      <c r="X61" s="7">
        <v>0</v>
      </c>
      <c r="Y61" s="8">
        <v>0</v>
      </c>
      <c r="Z61" s="7">
        <f t="shared" si="37"/>
        <v>4089.4736842105262</v>
      </c>
      <c r="AA61" s="7">
        <v>38850</v>
      </c>
      <c r="AB61" s="8">
        <v>9.5</v>
      </c>
      <c r="AC61" s="7" t="e">
        <f t="shared" si="38"/>
        <v>#DIV/0!</v>
      </c>
      <c r="AD61" s="7">
        <v>0</v>
      </c>
      <c r="AE61" s="8">
        <v>0</v>
      </c>
      <c r="AF61" s="7" t="e">
        <f t="shared" si="39"/>
        <v>#DIV/0!</v>
      </c>
      <c r="AG61" s="7">
        <v>0</v>
      </c>
      <c r="AH61" s="8">
        <v>0</v>
      </c>
      <c r="AI61" s="7" t="e">
        <f t="shared" si="40"/>
        <v>#DIV/0!</v>
      </c>
      <c r="AJ61" s="7">
        <v>0</v>
      </c>
      <c r="AK61" s="8">
        <v>0</v>
      </c>
      <c r="AL61" s="7" t="e">
        <f t="shared" si="41"/>
        <v>#DIV/0!</v>
      </c>
      <c r="AM61" s="7">
        <v>0</v>
      </c>
      <c r="AN61" s="8">
        <v>0</v>
      </c>
      <c r="AO61" s="7">
        <f t="shared" si="26"/>
        <v>4089.4736842105262</v>
      </c>
      <c r="AP61" s="7">
        <f t="shared" si="28"/>
        <v>38850</v>
      </c>
      <c r="AQ61" s="8">
        <f t="shared" si="29"/>
        <v>9.5</v>
      </c>
    </row>
    <row r="62" spans="1:43" x14ac:dyDescent="0.3">
      <c r="A62" s="28" t="s">
        <v>54</v>
      </c>
      <c r="B62" s="20"/>
      <c r="C62" s="20"/>
      <c r="D62" s="20"/>
      <c r="E62" s="7" t="e">
        <f t="shared" si="30"/>
        <v>#DIV/0!</v>
      </c>
      <c r="F62" s="7">
        <v>0</v>
      </c>
      <c r="G62" s="8">
        <v>0</v>
      </c>
      <c r="H62" s="7" t="e">
        <f t="shared" si="31"/>
        <v>#DIV/0!</v>
      </c>
      <c r="I62" s="7">
        <v>0</v>
      </c>
      <c r="J62" s="8">
        <v>0</v>
      </c>
      <c r="K62" s="7" t="e">
        <f t="shared" si="32"/>
        <v>#DIV/0!</v>
      </c>
      <c r="L62" s="7">
        <v>0</v>
      </c>
      <c r="M62" s="8">
        <v>0</v>
      </c>
      <c r="N62" s="7">
        <f t="shared" si="33"/>
        <v>14750</v>
      </c>
      <c r="O62" s="7">
        <v>2950</v>
      </c>
      <c r="P62" s="8">
        <v>0.2</v>
      </c>
      <c r="Q62" s="7">
        <f t="shared" si="34"/>
        <v>1590.625</v>
      </c>
      <c r="R62" s="7">
        <v>2545</v>
      </c>
      <c r="S62" s="8">
        <v>1.6</v>
      </c>
      <c r="T62" s="7">
        <f t="shared" si="35"/>
        <v>1527.7777777777776</v>
      </c>
      <c r="U62" s="7">
        <v>4125</v>
      </c>
      <c r="V62" s="8">
        <v>2.7</v>
      </c>
      <c r="W62" s="7">
        <f t="shared" si="36"/>
        <v>1563.25</v>
      </c>
      <c r="X62" s="7">
        <v>6253</v>
      </c>
      <c r="Y62" s="8">
        <v>4</v>
      </c>
      <c r="Z62" s="7" t="e">
        <f t="shared" si="37"/>
        <v>#DIV/0!</v>
      </c>
      <c r="AA62" s="7">
        <v>0</v>
      </c>
      <c r="AB62" s="8">
        <v>0</v>
      </c>
      <c r="AC62" s="7">
        <f t="shared" si="38"/>
        <v>1566.1904761904761</v>
      </c>
      <c r="AD62" s="7">
        <v>3289</v>
      </c>
      <c r="AE62" s="8">
        <v>2.1</v>
      </c>
      <c r="AF62" s="7">
        <f t="shared" si="39"/>
        <v>1560.1923076923076</v>
      </c>
      <c r="AG62" s="7">
        <v>8113</v>
      </c>
      <c r="AH62" s="8">
        <v>5.2</v>
      </c>
      <c r="AI62" s="7" t="e">
        <f t="shared" si="40"/>
        <v>#DIV/0!</v>
      </c>
      <c r="AJ62" s="7">
        <v>0</v>
      </c>
      <c r="AK62" s="8">
        <v>0</v>
      </c>
      <c r="AL62" s="7" t="e">
        <f t="shared" si="41"/>
        <v>#DIV/0!</v>
      </c>
      <c r="AM62" s="7">
        <v>0</v>
      </c>
      <c r="AN62" s="8">
        <v>0</v>
      </c>
      <c r="AO62" s="7">
        <f t="shared" si="26"/>
        <v>1726.2658227848101</v>
      </c>
      <c r="AP62" s="7">
        <f t="shared" si="28"/>
        <v>27275</v>
      </c>
      <c r="AQ62" s="8">
        <f t="shared" si="29"/>
        <v>15.8</v>
      </c>
    </row>
    <row r="63" spans="1:43" x14ac:dyDescent="0.3">
      <c r="A63" s="28" t="s">
        <v>81</v>
      </c>
      <c r="B63" s="20"/>
      <c r="C63" s="20"/>
      <c r="D63" s="20"/>
      <c r="E63" s="7" t="e">
        <f t="shared" si="30"/>
        <v>#DIV/0!</v>
      </c>
      <c r="F63" s="7">
        <v>0</v>
      </c>
      <c r="G63" s="8">
        <v>0</v>
      </c>
      <c r="H63" s="7">
        <f t="shared" si="31"/>
        <v>1817.7966101694915</v>
      </c>
      <c r="I63" s="7">
        <v>10725</v>
      </c>
      <c r="J63" s="8">
        <v>5.9</v>
      </c>
      <c r="K63" s="7">
        <f t="shared" si="32"/>
        <v>1207.3170731707319</v>
      </c>
      <c r="L63" s="7">
        <v>4950</v>
      </c>
      <c r="M63" s="8">
        <v>4.0999999999999996</v>
      </c>
      <c r="N63" s="7">
        <f t="shared" si="33"/>
        <v>1366.6666666666665</v>
      </c>
      <c r="O63" s="7">
        <v>3690</v>
      </c>
      <c r="P63" s="8">
        <v>2.7</v>
      </c>
      <c r="Q63" s="7" t="e">
        <f t="shared" si="34"/>
        <v>#DIV/0!</v>
      </c>
      <c r="R63" s="7">
        <v>0</v>
      </c>
      <c r="S63" s="8">
        <v>0</v>
      </c>
      <c r="T63" s="7" t="e">
        <f t="shared" si="35"/>
        <v>#DIV/0!</v>
      </c>
      <c r="U63" s="7">
        <v>0</v>
      </c>
      <c r="V63" s="8">
        <v>0</v>
      </c>
      <c r="W63" s="7" t="e">
        <f t="shared" si="36"/>
        <v>#DIV/0!</v>
      </c>
      <c r="X63" s="7">
        <v>0</v>
      </c>
      <c r="Y63" s="8">
        <v>0</v>
      </c>
      <c r="Z63" s="7" t="e">
        <f t="shared" si="37"/>
        <v>#DIV/0!</v>
      </c>
      <c r="AA63" s="7">
        <v>0</v>
      </c>
      <c r="AB63" s="8">
        <v>0</v>
      </c>
      <c r="AC63" s="7">
        <f t="shared" si="38"/>
        <v>1414.2857142857142</v>
      </c>
      <c r="AD63" s="7">
        <v>6930</v>
      </c>
      <c r="AE63" s="8">
        <v>4.9000000000000004</v>
      </c>
      <c r="AF63" s="7" t="e">
        <f t="shared" si="39"/>
        <v>#DIV/0!</v>
      </c>
      <c r="AG63" s="7">
        <v>0</v>
      </c>
      <c r="AH63" s="8">
        <v>0</v>
      </c>
      <c r="AI63" s="7" t="e">
        <f t="shared" si="40"/>
        <v>#DIV/0!</v>
      </c>
      <c r="AJ63" s="7">
        <v>0</v>
      </c>
      <c r="AK63" s="8">
        <v>0</v>
      </c>
      <c r="AL63" s="7" t="e">
        <f t="shared" si="41"/>
        <v>#DIV/0!</v>
      </c>
      <c r="AM63" s="7">
        <v>0</v>
      </c>
      <c r="AN63" s="8">
        <v>0</v>
      </c>
      <c r="AO63" s="7">
        <f t="shared" si="26"/>
        <v>1494.0340909090908</v>
      </c>
      <c r="AP63" s="7">
        <f t="shared" si="28"/>
        <v>26295</v>
      </c>
      <c r="AQ63" s="8">
        <f t="shared" si="29"/>
        <v>17.600000000000001</v>
      </c>
    </row>
    <row r="64" spans="1:43" x14ac:dyDescent="0.3">
      <c r="A64" s="28" t="s">
        <v>95</v>
      </c>
      <c r="B64" s="20"/>
      <c r="C64" s="20"/>
      <c r="D64" s="20"/>
      <c r="E64" s="7" t="e">
        <f t="shared" si="30"/>
        <v>#DIV/0!</v>
      </c>
      <c r="F64" s="7">
        <v>0</v>
      </c>
      <c r="G64" s="8">
        <v>0</v>
      </c>
      <c r="H64" s="7" t="e">
        <f t="shared" si="31"/>
        <v>#DIV/0!</v>
      </c>
      <c r="I64" s="7">
        <v>0</v>
      </c>
      <c r="J64" s="8">
        <v>0</v>
      </c>
      <c r="K64" s="7" t="e">
        <f t="shared" si="32"/>
        <v>#DIV/0!</v>
      </c>
      <c r="L64" s="7">
        <v>0</v>
      </c>
      <c r="M64" s="8">
        <v>0</v>
      </c>
      <c r="N64" s="7">
        <f t="shared" si="33"/>
        <v>1566.4285714285716</v>
      </c>
      <c r="O64" s="7">
        <v>4386</v>
      </c>
      <c r="P64" s="8">
        <v>2.8</v>
      </c>
      <c r="Q64" s="7" t="e">
        <f t="shared" si="34"/>
        <v>#DIV/0!</v>
      </c>
      <c r="R64" s="7">
        <v>0</v>
      </c>
      <c r="S64" s="8">
        <v>0</v>
      </c>
      <c r="T64" s="7" t="e">
        <f t="shared" si="35"/>
        <v>#DIV/0!</v>
      </c>
      <c r="U64" s="7">
        <v>0</v>
      </c>
      <c r="V64" s="8">
        <v>0</v>
      </c>
      <c r="W64" s="7">
        <f t="shared" si="36"/>
        <v>1539.0769230769231</v>
      </c>
      <c r="X64" s="7">
        <v>10004</v>
      </c>
      <c r="Y64" s="8">
        <v>6.5</v>
      </c>
      <c r="Z64" s="7" t="e">
        <f t="shared" si="37"/>
        <v>#DIV/0!</v>
      </c>
      <c r="AA64" s="7">
        <v>0</v>
      </c>
      <c r="AB64" s="8">
        <v>0</v>
      </c>
      <c r="AC64" s="7" t="e">
        <f t="shared" si="38"/>
        <v>#DIV/0!</v>
      </c>
      <c r="AD64" s="7">
        <v>0</v>
      </c>
      <c r="AE64" s="8">
        <v>0</v>
      </c>
      <c r="AF64" s="7">
        <f t="shared" si="39"/>
        <v>1559.2727272727273</v>
      </c>
      <c r="AG64" s="7">
        <v>8576</v>
      </c>
      <c r="AH64" s="8">
        <v>5.5</v>
      </c>
      <c r="AI64" s="7" t="e">
        <f t="shared" si="40"/>
        <v>#DIV/0!</v>
      </c>
      <c r="AJ64" s="7">
        <v>0</v>
      </c>
      <c r="AK64" s="8">
        <v>0</v>
      </c>
      <c r="AL64" s="7" t="e">
        <f t="shared" si="41"/>
        <v>#DIV/0!</v>
      </c>
      <c r="AM64" s="7">
        <v>0</v>
      </c>
      <c r="AN64" s="8">
        <v>0</v>
      </c>
      <c r="AO64" s="7">
        <f t="shared" si="26"/>
        <v>1551.7567567567567</v>
      </c>
      <c r="AP64" s="7">
        <f t="shared" si="28"/>
        <v>22966</v>
      </c>
      <c r="AQ64" s="8">
        <f t="shared" si="29"/>
        <v>14.8</v>
      </c>
    </row>
    <row r="65" spans="1:43" x14ac:dyDescent="0.3">
      <c r="A65" s="28" t="s">
        <v>85</v>
      </c>
      <c r="B65" s="20"/>
      <c r="C65" s="20"/>
      <c r="D65" s="20"/>
      <c r="E65" s="7" t="e">
        <f t="shared" si="30"/>
        <v>#DIV/0!</v>
      </c>
      <c r="F65" s="7">
        <v>0</v>
      </c>
      <c r="G65" s="8">
        <v>0</v>
      </c>
      <c r="H65" s="7" t="e">
        <f t="shared" si="31"/>
        <v>#DIV/0!</v>
      </c>
      <c r="I65" s="7">
        <v>0</v>
      </c>
      <c r="J65" s="8">
        <v>0</v>
      </c>
      <c r="K65" s="7" t="e">
        <f t="shared" si="32"/>
        <v>#DIV/0!</v>
      </c>
      <c r="L65" s="7">
        <v>0</v>
      </c>
      <c r="M65" s="8">
        <v>0</v>
      </c>
      <c r="N65" s="7" t="e">
        <f t="shared" si="33"/>
        <v>#DIV/0!</v>
      </c>
      <c r="O65" s="7">
        <v>0</v>
      </c>
      <c r="P65" s="8">
        <v>0</v>
      </c>
      <c r="Q65" s="7" t="e">
        <f t="shared" si="34"/>
        <v>#DIV/0!</v>
      </c>
      <c r="R65" s="7">
        <v>0</v>
      </c>
      <c r="S65" s="8">
        <v>0</v>
      </c>
      <c r="T65" s="7">
        <f t="shared" si="35"/>
        <v>1924.148148148148</v>
      </c>
      <c r="U65" s="7">
        <v>25976</v>
      </c>
      <c r="V65" s="8">
        <v>13.5</v>
      </c>
      <c r="W65" s="7" t="e">
        <f t="shared" si="36"/>
        <v>#DIV/0!</v>
      </c>
      <c r="X65" s="7">
        <v>0</v>
      </c>
      <c r="Y65" s="8">
        <v>0</v>
      </c>
      <c r="Z65" s="7" t="e">
        <f t="shared" si="37"/>
        <v>#DIV/0!</v>
      </c>
      <c r="AA65" s="7">
        <v>0</v>
      </c>
      <c r="AB65" s="8">
        <v>0</v>
      </c>
      <c r="AC65" s="7" t="e">
        <f t="shared" si="38"/>
        <v>#DIV/0!</v>
      </c>
      <c r="AD65" s="7">
        <v>0</v>
      </c>
      <c r="AE65" s="8">
        <v>0</v>
      </c>
      <c r="AF65" s="7" t="e">
        <f t="shared" si="39"/>
        <v>#DIV/0!</v>
      </c>
      <c r="AG65" s="7">
        <v>0</v>
      </c>
      <c r="AH65" s="8">
        <v>0</v>
      </c>
      <c r="AI65" s="7" t="e">
        <f t="shared" si="40"/>
        <v>#DIV/0!</v>
      </c>
      <c r="AJ65" s="7">
        <v>0</v>
      </c>
      <c r="AK65" s="8">
        <v>0</v>
      </c>
      <c r="AL65" s="7" t="e">
        <f t="shared" si="41"/>
        <v>#DIV/0!</v>
      </c>
      <c r="AM65" s="7">
        <v>0</v>
      </c>
      <c r="AN65" s="8">
        <v>0</v>
      </c>
      <c r="AO65" s="7">
        <f t="shared" si="26"/>
        <v>1924.148148148148</v>
      </c>
      <c r="AP65" s="7">
        <f t="shared" si="28"/>
        <v>25976</v>
      </c>
      <c r="AQ65" s="8">
        <f t="shared" si="29"/>
        <v>13.5</v>
      </c>
    </row>
    <row r="66" spans="1:43" x14ac:dyDescent="0.3">
      <c r="A66" s="28" t="s">
        <v>90</v>
      </c>
      <c r="B66" s="20"/>
      <c r="C66" s="20"/>
      <c r="D66" s="20"/>
      <c r="E66" s="10" t="e">
        <f t="shared" si="30"/>
        <v>#DIV/0!</v>
      </c>
      <c r="F66" s="10">
        <v>0</v>
      </c>
      <c r="G66" s="8">
        <v>0</v>
      </c>
      <c r="H66" s="10" t="e">
        <f t="shared" si="31"/>
        <v>#DIV/0!</v>
      </c>
      <c r="I66" s="10">
        <v>0</v>
      </c>
      <c r="J66" s="8">
        <v>0</v>
      </c>
      <c r="K66" s="10">
        <f t="shared" si="32"/>
        <v>1377.720207253886</v>
      </c>
      <c r="L66" s="10">
        <v>106360</v>
      </c>
      <c r="M66" s="8">
        <v>77.2</v>
      </c>
      <c r="N66" s="10" t="e">
        <f t="shared" si="33"/>
        <v>#DIV/0!</v>
      </c>
      <c r="O66" s="10">
        <v>0</v>
      </c>
      <c r="P66" s="8">
        <v>0</v>
      </c>
      <c r="Q66" s="10" t="e">
        <f t="shared" si="34"/>
        <v>#DIV/0!</v>
      </c>
      <c r="R66" s="10">
        <v>0</v>
      </c>
      <c r="S66" s="8">
        <v>0</v>
      </c>
      <c r="T66" s="10" t="e">
        <f t="shared" si="35"/>
        <v>#DIV/0!</v>
      </c>
      <c r="U66" s="10">
        <v>0</v>
      </c>
      <c r="V66" s="8">
        <v>0</v>
      </c>
      <c r="W66" s="10" t="e">
        <f t="shared" si="36"/>
        <v>#DIV/0!</v>
      </c>
      <c r="X66" s="10">
        <v>0</v>
      </c>
      <c r="Y66" s="8">
        <v>0</v>
      </c>
      <c r="Z66" s="10" t="e">
        <f t="shared" si="37"/>
        <v>#DIV/0!</v>
      </c>
      <c r="AA66" s="10">
        <v>0</v>
      </c>
      <c r="AB66" s="8">
        <v>0</v>
      </c>
      <c r="AC66" s="10" t="e">
        <f t="shared" si="38"/>
        <v>#DIV/0!</v>
      </c>
      <c r="AD66" s="10">
        <v>0</v>
      </c>
      <c r="AE66" s="8">
        <v>0</v>
      </c>
      <c r="AF66" s="10" t="e">
        <f t="shared" si="39"/>
        <v>#DIV/0!</v>
      </c>
      <c r="AG66" s="10">
        <v>0</v>
      </c>
      <c r="AH66" s="8">
        <v>0</v>
      </c>
      <c r="AI66" s="10" t="e">
        <f t="shared" si="40"/>
        <v>#DIV/0!</v>
      </c>
      <c r="AJ66" s="10">
        <v>0</v>
      </c>
      <c r="AK66" s="8">
        <v>0</v>
      </c>
      <c r="AL66" s="10" t="e">
        <f t="shared" si="41"/>
        <v>#DIV/0!</v>
      </c>
      <c r="AM66" s="10">
        <v>0</v>
      </c>
      <c r="AN66" s="8">
        <v>0</v>
      </c>
      <c r="AO66" s="10">
        <f t="shared" si="26"/>
        <v>1377.720207253886</v>
      </c>
      <c r="AP66" s="10">
        <f t="shared" si="28"/>
        <v>106360</v>
      </c>
      <c r="AQ66" s="8">
        <f t="shared" si="29"/>
        <v>77.2</v>
      </c>
    </row>
    <row r="67" spans="1:43" x14ac:dyDescent="0.3">
      <c r="A67" s="28" t="s">
        <v>76</v>
      </c>
      <c r="B67" s="20"/>
      <c r="C67" s="20"/>
      <c r="D67" s="20"/>
      <c r="E67" s="10" t="e">
        <f t="shared" si="30"/>
        <v>#DIV/0!</v>
      </c>
      <c r="F67" s="10">
        <v>0</v>
      </c>
      <c r="G67" s="8">
        <v>0</v>
      </c>
      <c r="H67" s="10">
        <f t="shared" si="31"/>
        <v>1906.8711656441717</v>
      </c>
      <c r="I67" s="10">
        <v>31082</v>
      </c>
      <c r="J67" s="8">
        <v>16.3</v>
      </c>
      <c r="K67" s="10">
        <f t="shared" si="32"/>
        <v>2056.0747663551401</v>
      </c>
      <c r="L67" s="10">
        <v>110000</v>
      </c>
      <c r="M67" s="8">
        <v>53.5</v>
      </c>
      <c r="N67" s="10">
        <f t="shared" si="33"/>
        <v>4577.9310344827591</v>
      </c>
      <c r="O67" s="10">
        <v>13276</v>
      </c>
      <c r="P67" s="8">
        <v>2.9</v>
      </c>
      <c r="Q67" s="10" t="e">
        <f t="shared" si="34"/>
        <v>#DIV/0!</v>
      </c>
      <c r="R67" s="10">
        <v>0</v>
      </c>
      <c r="S67" s="8">
        <v>0</v>
      </c>
      <c r="T67" s="10" t="e">
        <f t="shared" si="35"/>
        <v>#DIV/0!</v>
      </c>
      <c r="U67" s="10">
        <v>0</v>
      </c>
      <c r="V67" s="8">
        <v>0</v>
      </c>
      <c r="W67" s="10" t="e">
        <f t="shared" si="36"/>
        <v>#DIV/0!</v>
      </c>
      <c r="X67" s="10">
        <v>0</v>
      </c>
      <c r="Y67" s="8">
        <v>0</v>
      </c>
      <c r="Z67" s="10" t="e">
        <f t="shared" si="37"/>
        <v>#DIV/0!</v>
      </c>
      <c r="AA67" s="10">
        <v>0</v>
      </c>
      <c r="AB67" s="8">
        <v>0</v>
      </c>
      <c r="AC67" s="10">
        <f t="shared" si="38"/>
        <v>4525.909090909091</v>
      </c>
      <c r="AD67" s="10">
        <v>19914</v>
      </c>
      <c r="AE67" s="8">
        <v>4.4000000000000004</v>
      </c>
      <c r="AF67" s="10" t="e">
        <f t="shared" si="39"/>
        <v>#DIV/0!</v>
      </c>
      <c r="AG67" s="10">
        <v>0</v>
      </c>
      <c r="AH67" s="8">
        <v>0</v>
      </c>
      <c r="AI67" s="10" t="e">
        <f t="shared" si="40"/>
        <v>#DIV/0!</v>
      </c>
      <c r="AJ67" s="10">
        <v>0</v>
      </c>
      <c r="AK67" s="8">
        <v>0</v>
      </c>
      <c r="AL67" s="10" t="e">
        <f t="shared" si="41"/>
        <v>#DIV/0!</v>
      </c>
      <c r="AM67" s="10">
        <v>0</v>
      </c>
      <c r="AN67" s="8">
        <v>0</v>
      </c>
      <c r="AO67" s="10">
        <f t="shared" si="26"/>
        <v>2260.3372243839167</v>
      </c>
      <c r="AP67" s="10">
        <f t="shared" si="28"/>
        <v>174272</v>
      </c>
      <c r="AQ67" s="8">
        <f t="shared" si="29"/>
        <v>77.100000000000009</v>
      </c>
    </row>
    <row r="68" spans="1:43" x14ac:dyDescent="0.3">
      <c r="A68" s="28" t="s">
        <v>91</v>
      </c>
      <c r="B68" s="20"/>
      <c r="C68" s="20"/>
      <c r="D68" s="20"/>
      <c r="E68" s="7">
        <f t="shared" si="30"/>
        <v>1210</v>
      </c>
      <c r="F68" s="7">
        <v>3630</v>
      </c>
      <c r="G68" s="8">
        <v>3</v>
      </c>
      <c r="H68" s="7">
        <f t="shared" si="31"/>
        <v>1222.2222222222222</v>
      </c>
      <c r="I68" s="7">
        <v>3300</v>
      </c>
      <c r="J68" s="8">
        <v>2.7</v>
      </c>
      <c r="K68" s="7" t="e">
        <f t="shared" si="32"/>
        <v>#DIV/0!</v>
      </c>
      <c r="L68" s="7">
        <v>0</v>
      </c>
      <c r="M68" s="8">
        <v>0</v>
      </c>
      <c r="N68" s="7" t="e">
        <f t="shared" si="33"/>
        <v>#DIV/0!</v>
      </c>
      <c r="O68" s="7">
        <v>0</v>
      </c>
      <c r="P68" s="8">
        <v>0</v>
      </c>
      <c r="Q68" s="7" t="e">
        <f t="shared" si="34"/>
        <v>#DIV/0!</v>
      </c>
      <c r="R68" s="7">
        <v>0</v>
      </c>
      <c r="S68" s="8">
        <v>0</v>
      </c>
      <c r="T68" s="7" t="e">
        <f t="shared" si="35"/>
        <v>#DIV/0!</v>
      </c>
      <c r="U68" s="7">
        <v>0</v>
      </c>
      <c r="V68" s="8">
        <v>0</v>
      </c>
      <c r="W68" s="7" t="e">
        <f t="shared" si="36"/>
        <v>#DIV/0!</v>
      </c>
      <c r="X68" s="7">
        <v>0</v>
      </c>
      <c r="Y68" s="8">
        <v>0</v>
      </c>
      <c r="Z68" s="7" t="e">
        <f t="shared" si="37"/>
        <v>#DIV/0!</v>
      </c>
      <c r="AA68" s="7">
        <v>0</v>
      </c>
      <c r="AB68" s="8">
        <v>0</v>
      </c>
      <c r="AC68" s="7" t="e">
        <f t="shared" si="38"/>
        <v>#DIV/0!</v>
      </c>
      <c r="AD68" s="7">
        <v>0</v>
      </c>
      <c r="AE68" s="8">
        <v>0</v>
      </c>
      <c r="AF68" s="7" t="e">
        <f t="shared" si="39"/>
        <v>#DIV/0!</v>
      </c>
      <c r="AG68" s="7">
        <v>0</v>
      </c>
      <c r="AH68" s="8">
        <v>0</v>
      </c>
      <c r="AI68" s="7" t="e">
        <f t="shared" si="40"/>
        <v>#DIV/0!</v>
      </c>
      <c r="AJ68" s="7">
        <v>0</v>
      </c>
      <c r="AK68" s="8">
        <v>0</v>
      </c>
      <c r="AL68" s="7" t="e">
        <f t="shared" si="41"/>
        <v>#DIV/0!</v>
      </c>
      <c r="AM68" s="7">
        <v>0</v>
      </c>
      <c r="AN68" s="8">
        <v>0</v>
      </c>
      <c r="AO68" s="7">
        <f t="shared" ref="AO68:AO70" si="42">AP68/AQ68</f>
        <v>1215.7894736842104</v>
      </c>
      <c r="AP68" s="7">
        <f t="shared" si="28"/>
        <v>6930</v>
      </c>
      <c r="AQ68" s="8">
        <f t="shared" si="29"/>
        <v>5.7</v>
      </c>
    </row>
    <row r="69" spans="1:43" x14ac:dyDescent="0.3">
      <c r="A69" s="28" t="s">
        <v>40</v>
      </c>
      <c r="B69" s="20"/>
      <c r="C69" s="20"/>
      <c r="D69" s="20"/>
      <c r="E69" s="10" t="e">
        <f t="shared" si="30"/>
        <v>#DIV/0!</v>
      </c>
      <c r="F69" s="10">
        <v>0</v>
      </c>
      <c r="G69" s="8">
        <v>0</v>
      </c>
      <c r="H69" s="10" t="e">
        <f t="shared" si="31"/>
        <v>#DIV/0!</v>
      </c>
      <c r="I69" s="10">
        <v>0</v>
      </c>
      <c r="J69" s="8">
        <v>0</v>
      </c>
      <c r="K69" s="10" t="e">
        <f t="shared" si="32"/>
        <v>#DIV/0!</v>
      </c>
      <c r="L69" s="10">
        <v>0</v>
      </c>
      <c r="M69" s="8">
        <v>0</v>
      </c>
      <c r="N69" s="10" t="e">
        <f t="shared" si="33"/>
        <v>#DIV/0!</v>
      </c>
      <c r="O69" s="10">
        <v>0</v>
      </c>
      <c r="P69" s="8">
        <v>0</v>
      </c>
      <c r="Q69" s="10" t="e">
        <f t="shared" si="34"/>
        <v>#DIV/0!</v>
      </c>
      <c r="R69" s="10">
        <v>0</v>
      </c>
      <c r="S69" s="8">
        <v>0</v>
      </c>
      <c r="T69" s="10" t="e">
        <f t="shared" si="35"/>
        <v>#DIV/0!</v>
      </c>
      <c r="U69" s="10">
        <v>0</v>
      </c>
      <c r="V69" s="8">
        <v>0</v>
      </c>
      <c r="W69" s="10" t="e">
        <f t="shared" si="36"/>
        <v>#DIV/0!</v>
      </c>
      <c r="X69" s="10">
        <v>0</v>
      </c>
      <c r="Y69" s="8">
        <v>0</v>
      </c>
      <c r="Z69" s="10">
        <f t="shared" si="37"/>
        <v>3600</v>
      </c>
      <c r="AA69" s="10">
        <v>3600</v>
      </c>
      <c r="AB69" s="8">
        <v>1</v>
      </c>
      <c r="AC69" s="10">
        <f t="shared" si="38"/>
        <v>1117.0886075949365</v>
      </c>
      <c r="AD69" s="10">
        <v>8825</v>
      </c>
      <c r="AE69" s="8">
        <v>7.9</v>
      </c>
      <c r="AF69" s="10">
        <f t="shared" si="39"/>
        <v>1110.6598984771574</v>
      </c>
      <c r="AG69" s="10">
        <v>21880</v>
      </c>
      <c r="AH69" s="8">
        <v>19.7</v>
      </c>
      <c r="AI69" s="10">
        <f t="shared" si="40"/>
        <v>1125</v>
      </c>
      <c r="AJ69" s="10">
        <v>3600</v>
      </c>
      <c r="AK69" s="8">
        <v>3.2</v>
      </c>
      <c r="AL69" s="10" t="e">
        <f t="shared" si="41"/>
        <v>#DIV/0!</v>
      </c>
      <c r="AM69" s="10">
        <v>0</v>
      </c>
      <c r="AN69" s="8">
        <v>0</v>
      </c>
      <c r="AO69" s="10">
        <f t="shared" si="42"/>
        <v>1191.9811320754716</v>
      </c>
      <c r="AP69" s="10">
        <f t="shared" ref="AP69:AP70" si="43">SUM(F69,I69,L69,O69,R69,U69,X69,AA69,AD69,AG69,AJ69,AM69)</f>
        <v>37905</v>
      </c>
      <c r="AQ69" s="8">
        <f t="shared" ref="AQ69:AQ70" si="44">SUM(G69,J69,M69,P69,S69,V69,Y69,AB69,AE69,AH69,AK69,AN69)</f>
        <v>31.8</v>
      </c>
    </row>
    <row r="70" spans="1:43" x14ac:dyDescent="0.3">
      <c r="A70" s="16" t="s">
        <v>88</v>
      </c>
      <c r="B70" s="21"/>
      <c r="C70" s="21"/>
      <c r="D70" s="21"/>
      <c r="E70" s="14" t="e">
        <f t="shared" si="30"/>
        <v>#DIV/0!</v>
      </c>
      <c r="F70" s="12">
        <v>0</v>
      </c>
      <c r="G70" s="13">
        <v>0</v>
      </c>
      <c r="H70" s="14" t="e">
        <f t="shared" si="31"/>
        <v>#DIV/0!</v>
      </c>
      <c r="I70" s="12">
        <v>0</v>
      </c>
      <c r="J70" s="13">
        <v>0</v>
      </c>
      <c r="K70" s="14" t="e">
        <f t="shared" si="32"/>
        <v>#DIV/0!</v>
      </c>
      <c r="L70" s="12">
        <v>0</v>
      </c>
      <c r="M70" s="13">
        <v>0</v>
      </c>
      <c r="N70" s="14" t="e">
        <f t="shared" si="33"/>
        <v>#DIV/0!</v>
      </c>
      <c r="O70" s="12">
        <v>0</v>
      </c>
      <c r="P70" s="13">
        <v>0</v>
      </c>
      <c r="Q70" s="14" t="e">
        <f t="shared" si="34"/>
        <v>#DIV/0!</v>
      </c>
      <c r="R70" s="12">
        <v>0</v>
      </c>
      <c r="S70" s="13">
        <v>0</v>
      </c>
      <c r="T70" s="14" t="e">
        <f t="shared" si="35"/>
        <v>#DIV/0!</v>
      </c>
      <c r="U70" s="12">
        <v>0</v>
      </c>
      <c r="V70" s="13">
        <v>0</v>
      </c>
      <c r="W70" s="14" t="e">
        <f t="shared" si="36"/>
        <v>#DIV/0!</v>
      </c>
      <c r="X70" s="12">
        <v>0</v>
      </c>
      <c r="Y70" s="13">
        <v>0</v>
      </c>
      <c r="Z70" s="14" t="e">
        <f t="shared" si="37"/>
        <v>#DIV/0!</v>
      </c>
      <c r="AA70" s="12">
        <v>0</v>
      </c>
      <c r="AB70" s="13">
        <v>0</v>
      </c>
      <c r="AC70" s="14" t="e">
        <f t="shared" si="38"/>
        <v>#DIV/0!</v>
      </c>
      <c r="AD70" s="12">
        <v>0</v>
      </c>
      <c r="AE70" s="13">
        <v>0</v>
      </c>
      <c r="AF70" s="14" t="e">
        <f t="shared" si="39"/>
        <v>#DIV/0!</v>
      </c>
      <c r="AG70" s="12">
        <v>0</v>
      </c>
      <c r="AH70" s="13">
        <v>0</v>
      </c>
      <c r="AI70" s="14">
        <f t="shared" si="40"/>
        <v>851</v>
      </c>
      <c r="AJ70" s="12">
        <v>2553</v>
      </c>
      <c r="AK70" s="13">
        <v>3</v>
      </c>
      <c r="AL70" s="14" t="e">
        <f t="shared" si="41"/>
        <v>#DIV/0!</v>
      </c>
      <c r="AM70" s="12">
        <v>0</v>
      </c>
      <c r="AN70" s="13">
        <v>0</v>
      </c>
      <c r="AO70" s="14">
        <f t="shared" si="42"/>
        <v>851</v>
      </c>
      <c r="AP70" s="12">
        <f t="shared" si="43"/>
        <v>2553</v>
      </c>
      <c r="AQ70" s="13">
        <f t="shared" si="44"/>
        <v>3</v>
      </c>
    </row>
    <row r="71" spans="1:43" x14ac:dyDescent="0.3">
      <c r="A71" s="1" t="s">
        <v>42</v>
      </c>
      <c r="B71" s="1"/>
    </row>
    <row r="72" spans="1:43" x14ac:dyDescent="0.3">
      <c r="A72" s="1" t="s">
        <v>77</v>
      </c>
      <c r="B72" s="1"/>
    </row>
    <row r="73" spans="1:43" x14ac:dyDescent="0.3">
      <c r="A73" s="1" t="s">
        <v>43</v>
      </c>
      <c r="B73" s="1"/>
    </row>
    <row r="74" spans="1:43" x14ac:dyDescent="0.3">
      <c r="A74" s="1" t="s">
        <v>44</v>
      </c>
      <c r="B74" s="1"/>
    </row>
    <row r="75" spans="1:43" x14ac:dyDescent="0.3">
      <c r="A75" s="1" t="s">
        <v>78</v>
      </c>
      <c r="B75" s="1"/>
    </row>
  </sheetData>
  <mergeCells count="16">
    <mergeCell ref="D3:D70"/>
    <mergeCell ref="N1:P1"/>
    <mergeCell ref="Q1:S1"/>
    <mergeCell ref="T1:V1"/>
    <mergeCell ref="AL1:AN1"/>
    <mergeCell ref="AO1:AQ1"/>
    <mergeCell ref="W1:Y1"/>
    <mergeCell ref="Z1:AB1"/>
    <mergeCell ref="AC1:AE1"/>
    <mergeCell ref="AF1:AH1"/>
    <mergeCell ref="AI1:AK1"/>
    <mergeCell ref="E1:G1"/>
    <mergeCell ref="H1:J1"/>
    <mergeCell ref="K1:M1"/>
    <mergeCell ref="B3:B70"/>
    <mergeCell ref="C3:C70"/>
  </mergeCells>
  <phoneticPr fontId="18"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2016년</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ds</dc:creator>
  <cp:lastModifiedBy>ds</cp:lastModifiedBy>
  <dcterms:created xsi:type="dcterms:W3CDTF">2026-06-15T09:24:56Z</dcterms:created>
  <dcterms:modified xsi:type="dcterms:W3CDTF">2026-08-07T05:09:13Z</dcterms:modified>
</cp:coreProperties>
</file>