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07.90\정제된 대두유 및 그 분획물(.4050)\"/>
    </mc:Choice>
  </mc:AlternateContent>
  <bookViews>
    <workbookView xWindow="0" yWindow="0" windowWidth="25125" windowHeight="11640"/>
  </bookViews>
  <sheets>
    <sheet name="2017년" sheetId="1" r:id="rId1"/>
  </sheets>
  <calcPr calcId="162913"/>
</workbook>
</file>

<file path=xl/calcChain.xml><?xml version="1.0" encoding="utf-8"?>
<calcChain xmlns="http://schemas.openxmlformats.org/spreadsheetml/2006/main">
  <c r="AQ60" i="1" l="1"/>
  <c r="AP60" i="1"/>
  <c r="AQ59" i="1"/>
  <c r="AP59" i="1"/>
  <c r="AQ58" i="1"/>
  <c r="AP58" i="1"/>
  <c r="AQ57" i="1"/>
  <c r="AP57" i="1"/>
  <c r="AQ56" i="1"/>
  <c r="AP56" i="1"/>
  <c r="AQ55" i="1"/>
  <c r="AP55" i="1"/>
  <c r="AQ54" i="1"/>
  <c r="AP54" i="1"/>
  <c r="AQ53" i="1"/>
  <c r="AP53" i="1"/>
  <c r="AQ52" i="1"/>
  <c r="AP52" i="1"/>
  <c r="AQ51" i="1"/>
  <c r="AP51" i="1"/>
  <c r="AQ50" i="1"/>
  <c r="AP50" i="1"/>
  <c r="AQ49" i="1"/>
  <c r="AP49" i="1"/>
  <c r="AQ48" i="1"/>
  <c r="AP48" i="1"/>
  <c r="AQ47" i="1"/>
  <c r="AP47" i="1"/>
  <c r="AQ46" i="1"/>
  <c r="AP46" i="1"/>
  <c r="AQ45" i="1"/>
  <c r="AP45" i="1"/>
  <c r="AQ44" i="1"/>
  <c r="AP44" i="1"/>
  <c r="AQ43" i="1"/>
  <c r="AP43" i="1"/>
  <c r="AQ42" i="1"/>
  <c r="AP42" i="1"/>
  <c r="AQ41" i="1"/>
  <c r="AP41" i="1"/>
  <c r="AQ40" i="1"/>
  <c r="AP40" i="1"/>
  <c r="AQ39" i="1"/>
  <c r="AP39" i="1"/>
  <c r="AQ38" i="1"/>
  <c r="AP38" i="1"/>
  <c r="AQ37" i="1"/>
  <c r="AP37" i="1"/>
  <c r="AQ36" i="1"/>
  <c r="AP36" i="1"/>
  <c r="AQ35" i="1"/>
  <c r="AP35" i="1"/>
  <c r="AQ34" i="1"/>
  <c r="AP34" i="1"/>
  <c r="AQ33" i="1"/>
  <c r="AP33" i="1"/>
  <c r="AQ32" i="1"/>
  <c r="AP32" i="1"/>
  <c r="AQ31" i="1"/>
  <c r="AP31" i="1"/>
  <c r="AQ30" i="1"/>
  <c r="AP30" i="1"/>
  <c r="AQ29" i="1"/>
  <c r="AP29" i="1"/>
  <c r="AQ28" i="1"/>
  <c r="AP28" i="1"/>
  <c r="AQ27" i="1"/>
  <c r="AP27" i="1"/>
  <c r="AQ26" i="1"/>
  <c r="AP26" i="1"/>
  <c r="AQ25" i="1"/>
  <c r="AP25" i="1"/>
  <c r="AQ24" i="1"/>
  <c r="AP24" i="1"/>
  <c r="AQ23" i="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Q5" i="1"/>
  <c r="AP5" i="1"/>
  <c r="AN3" i="1"/>
  <c r="AM3" i="1"/>
  <c r="AK3" i="1"/>
  <c r="AJ3" i="1"/>
  <c r="AH3" i="1"/>
  <c r="AG3" i="1"/>
  <c r="AB3" i="1"/>
  <c r="AA3" i="1"/>
  <c r="AE3" i="1"/>
  <c r="AD3" i="1"/>
  <c r="Y3" i="1"/>
  <c r="X3" i="1"/>
  <c r="V3" i="1"/>
  <c r="U3" i="1"/>
  <c r="S3" i="1"/>
  <c r="R3" i="1"/>
  <c r="P3" i="1"/>
  <c r="O3" i="1"/>
  <c r="M3" i="1"/>
  <c r="L3" i="1"/>
  <c r="J3" i="1"/>
  <c r="I3" i="1"/>
  <c r="G3" i="1"/>
  <c r="F3" i="1"/>
  <c r="AQ4" i="1"/>
  <c r="AP4" i="1"/>
  <c r="AP3" i="1" l="1"/>
  <c r="AQ3" i="1"/>
  <c r="AL60" i="1"/>
  <c r="AL59" i="1"/>
  <c r="AL58" i="1"/>
  <c r="AL57" i="1"/>
  <c r="AL56" i="1"/>
  <c r="AL55" i="1"/>
  <c r="AL54" i="1"/>
  <c r="AL53" i="1"/>
  <c r="AL52" i="1"/>
  <c r="AL51" i="1"/>
  <c r="AL50" i="1"/>
  <c r="AL49" i="1"/>
  <c r="AL48" i="1"/>
  <c r="AL47" i="1"/>
  <c r="AL46" i="1"/>
  <c r="AL45" i="1"/>
  <c r="AI60" i="1"/>
  <c r="AI59" i="1"/>
  <c r="AI58" i="1"/>
  <c r="AI57" i="1"/>
  <c r="AI56" i="1"/>
  <c r="AI55" i="1"/>
  <c r="AI54" i="1"/>
  <c r="AI53" i="1"/>
  <c r="AI52" i="1"/>
  <c r="AI51" i="1"/>
  <c r="AI50" i="1"/>
  <c r="AI49" i="1"/>
  <c r="AI48" i="1"/>
  <c r="AI47" i="1"/>
  <c r="AI46" i="1"/>
  <c r="AI45" i="1"/>
  <c r="AF60" i="1"/>
  <c r="AF59" i="1"/>
  <c r="AF58" i="1"/>
  <c r="AF57" i="1"/>
  <c r="AF56" i="1"/>
  <c r="AF55" i="1"/>
  <c r="AF54" i="1"/>
  <c r="AF53" i="1"/>
  <c r="AF52" i="1"/>
  <c r="AF51" i="1"/>
  <c r="AF50" i="1"/>
  <c r="AF49" i="1"/>
  <c r="AF48" i="1"/>
  <c r="AF47" i="1"/>
  <c r="AF46" i="1"/>
  <c r="AF45" i="1"/>
  <c r="AC60" i="1"/>
  <c r="AC59" i="1"/>
  <c r="AC58" i="1"/>
  <c r="AC57" i="1"/>
  <c r="AC56" i="1"/>
  <c r="AC55" i="1"/>
  <c r="AC54" i="1"/>
  <c r="AC53" i="1"/>
  <c r="AC52" i="1"/>
  <c r="AC51" i="1"/>
  <c r="AC50" i="1"/>
  <c r="AC49" i="1"/>
  <c r="AC48" i="1"/>
  <c r="AC47" i="1"/>
  <c r="AC46" i="1"/>
  <c r="AC45" i="1"/>
  <c r="Z60" i="1"/>
  <c r="Z59" i="1"/>
  <c r="Z58" i="1"/>
  <c r="Z57" i="1"/>
  <c r="Z56" i="1"/>
  <c r="Z55" i="1"/>
  <c r="Z54" i="1"/>
  <c r="Z53" i="1"/>
  <c r="Z52" i="1"/>
  <c r="Z51" i="1"/>
  <c r="Z50" i="1"/>
  <c r="Z49" i="1"/>
  <c r="Z48" i="1"/>
  <c r="Z47" i="1"/>
  <c r="Z46" i="1"/>
  <c r="Z45" i="1"/>
  <c r="W60" i="1"/>
  <c r="W59" i="1"/>
  <c r="W58" i="1"/>
  <c r="W57" i="1"/>
  <c r="W56" i="1"/>
  <c r="W55" i="1"/>
  <c r="W54" i="1"/>
  <c r="W53" i="1"/>
  <c r="W52" i="1"/>
  <c r="W51" i="1"/>
  <c r="W50" i="1"/>
  <c r="W49" i="1"/>
  <c r="W48" i="1"/>
  <c r="W47" i="1"/>
  <c r="W46" i="1"/>
  <c r="W45" i="1"/>
  <c r="T60" i="1"/>
  <c r="T59" i="1"/>
  <c r="T58" i="1"/>
  <c r="T57" i="1"/>
  <c r="T56" i="1"/>
  <c r="T55" i="1"/>
  <c r="T54" i="1"/>
  <c r="T53" i="1"/>
  <c r="T52" i="1"/>
  <c r="T51" i="1"/>
  <c r="T50" i="1"/>
  <c r="T49" i="1"/>
  <c r="T48" i="1"/>
  <c r="T47" i="1"/>
  <c r="T46" i="1"/>
  <c r="T45" i="1"/>
  <c r="Q60" i="1"/>
  <c r="Q59" i="1"/>
  <c r="Q58" i="1"/>
  <c r="Q57" i="1"/>
  <c r="Q56" i="1"/>
  <c r="Q55" i="1"/>
  <c r="Q54" i="1"/>
  <c r="Q53" i="1"/>
  <c r="Q52" i="1"/>
  <c r="Q51" i="1"/>
  <c r="Q50" i="1"/>
  <c r="Q49" i="1"/>
  <c r="Q48" i="1"/>
  <c r="Q47" i="1"/>
  <c r="Q46" i="1"/>
  <c r="Q45" i="1"/>
  <c r="N60" i="1"/>
  <c r="N59" i="1"/>
  <c r="N58" i="1"/>
  <c r="N57" i="1"/>
  <c r="N56" i="1"/>
  <c r="N55" i="1"/>
  <c r="N54" i="1"/>
  <c r="N53" i="1"/>
  <c r="N52" i="1"/>
  <c r="N51" i="1"/>
  <c r="N50" i="1"/>
  <c r="N49" i="1"/>
  <c r="N48" i="1"/>
  <c r="N47" i="1"/>
  <c r="N46" i="1"/>
  <c r="N45" i="1"/>
  <c r="K60" i="1"/>
  <c r="K59" i="1"/>
  <c r="K58" i="1"/>
  <c r="K57" i="1"/>
  <c r="K56" i="1"/>
  <c r="K55" i="1"/>
  <c r="K54" i="1"/>
  <c r="K53" i="1"/>
  <c r="K52" i="1"/>
  <c r="K51" i="1"/>
  <c r="K50" i="1"/>
  <c r="K49" i="1"/>
  <c r="K48" i="1"/>
  <c r="K47" i="1"/>
  <c r="K46" i="1"/>
  <c r="K45" i="1"/>
  <c r="H60" i="1"/>
  <c r="H59" i="1"/>
  <c r="H58" i="1"/>
  <c r="H57" i="1"/>
  <c r="H56" i="1"/>
  <c r="H55" i="1"/>
  <c r="H54" i="1"/>
  <c r="H53" i="1"/>
  <c r="H52" i="1"/>
  <c r="H51" i="1"/>
  <c r="H50" i="1"/>
  <c r="H49" i="1"/>
  <c r="H48" i="1"/>
  <c r="H47" i="1"/>
  <c r="H46" i="1"/>
  <c r="H45" i="1"/>
  <c r="E60" i="1"/>
  <c r="E59" i="1"/>
  <c r="E58" i="1"/>
  <c r="E57" i="1"/>
  <c r="E56" i="1"/>
  <c r="E55" i="1"/>
  <c r="E54" i="1"/>
  <c r="E53" i="1"/>
  <c r="E52" i="1"/>
  <c r="E51" i="1"/>
  <c r="E50" i="1"/>
  <c r="E49" i="1"/>
  <c r="E48" i="1"/>
  <c r="E47" i="1"/>
  <c r="E46" i="1"/>
  <c r="E45" i="1"/>
  <c r="AO50" i="1" l="1"/>
  <c r="AO46" i="1"/>
  <c r="AO54" i="1"/>
  <c r="AO58" i="1"/>
  <c r="AO45" i="1"/>
  <c r="AO49" i="1"/>
  <c r="AO53" i="1"/>
  <c r="AO57" i="1"/>
  <c r="AO55" i="1"/>
  <c r="AO47" i="1"/>
  <c r="AO59" i="1"/>
  <c r="AO51" i="1"/>
  <c r="AO52" i="1"/>
  <c r="AO48" i="1"/>
  <c r="AO60" i="1"/>
  <c r="AO56" i="1"/>
  <c r="AC3" i="1"/>
  <c r="Q3" i="1"/>
  <c r="AL3" i="1"/>
  <c r="AF3" i="1"/>
  <c r="W3" i="1"/>
  <c r="T3" i="1"/>
  <c r="N3" i="1"/>
  <c r="K3" i="1"/>
  <c r="H3" i="1"/>
  <c r="N43" i="1"/>
  <c r="AL44" i="1"/>
  <c r="AL43" i="1"/>
  <c r="AL42" i="1"/>
  <c r="AL41" i="1"/>
  <c r="AL40" i="1"/>
  <c r="AL39" i="1"/>
  <c r="AL38" i="1"/>
  <c r="AL37" i="1"/>
  <c r="AL36" i="1"/>
  <c r="AL35" i="1"/>
  <c r="AL34" i="1"/>
  <c r="AL33" i="1"/>
  <c r="AL32" i="1"/>
  <c r="AL31" i="1"/>
  <c r="AL30" i="1"/>
  <c r="AL29" i="1"/>
  <c r="AL28" i="1"/>
  <c r="AL27" i="1"/>
  <c r="AL26" i="1"/>
  <c r="AL25" i="1"/>
  <c r="AL24" i="1"/>
  <c r="AL23" i="1"/>
  <c r="AL22" i="1"/>
  <c r="AL21" i="1"/>
  <c r="AL20" i="1"/>
  <c r="AL19" i="1"/>
  <c r="AL18" i="1"/>
  <c r="AL17" i="1"/>
  <c r="AL16" i="1"/>
  <c r="AL15" i="1"/>
  <c r="AL14" i="1"/>
  <c r="AL13" i="1"/>
  <c r="AL12" i="1"/>
  <c r="AL11" i="1"/>
  <c r="AL10" i="1"/>
  <c r="AL9" i="1"/>
  <c r="AL8" i="1"/>
  <c r="AL7" i="1"/>
  <c r="AL6" i="1"/>
  <c r="AL5" i="1"/>
  <c r="AL4" i="1"/>
  <c r="AI44" i="1"/>
  <c r="AI43" i="1"/>
  <c r="AI42" i="1"/>
  <c r="AI41" i="1"/>
  <c r="AI40" i="1"/>
  <c r="AI39" i="1"/>
  <c r="AI38" i="1"/>
  <c r="AI37" i="1"/>
  <c r="AI36" i="1"/>
  <c r="AI35" i="1"/>
  <c r="AI34" i="1"/>
  <c r="AI33" i="1"/>
  <c r="AI32" i="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Z44" i="1"/>
  <c r="Z43" i="1"/>
  <c r="Z42" i="1"/>
  <c r="Z41" i="1"/>
  <c r="Z40" i="1"/>
  <c r="Z39" i="1"/>
  <c r="Z38" i="1"/>
  <c r="Z37" i="1"/>
  <c r="Z36" i="1"/>
  <c r="Z35" i="1"/>
  <c r="Z34" i="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Z5" i="1"/>
  <c r="Z4"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T44" i="1"/>
  <c r="T43" i="1"/>
  <c r="T42" i="1"/>
  <c r="T41" i="1"/>
  <c r="T40" i="1"/>
  <c r="T39" i="1"/>
  <c r="T38" i="1"/>
  <c r="T37"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N44"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1" i="1"/>
  <c r="E10" i="1"/>
  <c r="E9" i="1"/>
  <c r="E8" i="1"/>
  <c r="E7" i="1"/>
  <c r="E6" i="1"/>
  <c r="E5" i="1"/>
  <c r="E4" i="1"/>
  <c r="E12" i="1"/>
  <c r="AI3" i="1" l="1"/>
  <c r="Z3" i="1"/>
  <c r="AO7" i="1"/>
  <c r="AO15" i="1"/>
  <c r="E3" i="1"/>
  <c r="AO10" i="1"/>
  <c r="AO18" i="1"/>
  <c r="AO26" i="1"/>
  <c r="AO34" i="1"/>
  <c r="AO42" i="1"/>
  <c r="AO11" i="1"/>
  <c r="AO27" i="1"/>
  <c r="AO35" i="1"/>
  <c r="AO43" i="1"/>
  <c r="AO20" i="1"/>
  <c r="AO28" i="1"/>
  <c r="AO36" i="1"/>
  <c r="AO44" i="1"/>
  <c r="AO5" i="1"/>
  <c r="AO13" i="1"/>
  <c r="AO21" i="1"/>
  <c r="AO29" i="1"/>
  <c r="AO37" i="1"/>
  <c r="AO6" i="1"/>
  <c r="AO14" i="1"/>
  <c r="AO22" i="1"/>
  <c r="AO30" i="1"/>
  <c r="AO38" i="1"/>
  <c r="AO31" i="1"/>
  <c r="AO39" i="1"/>
  <c r="AO8" i="1"/>
  <c r="AO16" i="1"/>
  <c r="AO24" i="1"/>
  <c r="AO32" i="1"/>
  <c r="AO40" i="1"/>
  <c r="AO9" i="1"/>
  <c r="AO17" i="1"/>
  <c r="AO25" i="1"/>
  <c r="AO33" i="1"/>
  <c r="AO41" i="1"/>
  <c r="AO19" i="1"/>
  <c r="AO23" i="1"/>
  <c r="AO3" i="1" l="1"/>
  <c r="AO4" i="1"/>
  <c r="AO12" i="1"/>
</calcChain>
</file>

<file path=xl/sharedStrings.xml><?xml version="1.0" encoding="utf-8"?>
<sst xmlns="http://schemas.openxmlformats.org/spreadsheetml/2006/main" count="122" uniqueCount="86">
  <si>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</si>
  <si>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</si>
  <si>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</si>
  <si>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</si>
  <si>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</si>
  <si>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</si>
  <si>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</si>
  <si>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</si>
  <si>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</si>
  <si>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</si>
  <si>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</si>
  <si>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</si>
  <si>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</si>
  <si>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</si>
  <si>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</si>
  <si>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</si>
  <si>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</si>
  <si>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</si>
  <si>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Costa Rica</t>
  </si>
  <si>
    <t>Australia(*)</t>
  </si>
  <si>
    <t>Canada</t>
  </si>
  <si>
    <t>Colombia</t>
  </si>
  <si>
    <t>Dominican Republic</t>
  </si>
  <si>
    <t>Korea, South</t>
  </si>
  <si>
    <t>Jamaica</t>
  </si>
  <si>
    <t>Mexico</t>
  </si>
  <si>
    <t>United Arab Emirates</t>
  </si>
  <si>
    <t>Barbados</t>
  </si>
  <si>
    <t>Bahamas, The</t>
  </si>
  <si>
    <t>Belize</t>
  </si>
  <si>
    <t>China</t>
  </si>
  <si>
    <t>El Salvador</t>
  </si>
  <si>
    <t>Guatemala</t>
  </si>
  <si>
    <t>Honduras</t>
  </si>
  <si>
    <t>Japan</t>
  </si>
  <si>
    <t>Netherlands</t>
  </si>
  <si>
    <t>Nicaragua</t>
  </si>
  <si>
    <t>Panama</t>
  </si>
  <si>
    <t>Trinidad and Tobago</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</si>
  <si>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</si>
  <si>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</si>
  <si>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</si>
  <si>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</si>
  <si>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</si>
  <si>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</si>
  <si>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</si>
  <si>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</si>
  <si>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Bahrain</t>
  </si>
  <si>
    <t>Guyana</t>
  </si>
  <si>
    <t>Hong Kong</t>
  </si>
  <si>
    <t>Jordan</t>
  </si>
  <si>
    <t>Netherlands Antilles(*)</t>
  </si>
  <si>
    <t>Singapore</t>
  </si>
  <si>
    <t>Saudi Arabia</t>
  </si>
  <si>
    <t>Kuwait</t>
  </si>
  <si>
    <t>Chile</t>
  </si>
  <si>
    <t>Lebanon</t>
  </si>
  <si>
    <t>Congo (Kinshasa)</t>
  </si>
  <si>
    <t>Qatar</t>
  </si>
  <si>
    <t>Oman</t>
  </si>
  <si>
    <t>India</t>
  </si>
  <si>
    <t>Cayman Islands</t>
  </si>
  <si>
    <t>Bermuda</t>
  </si>
  <si>
    <t>Belgium-Luxembourg(*)</t>
  </si>
  <si>
    <t>Bangladesh</t>
  </si>
  <si>
    <t>Brazil</t>
  </si>
  <si>
    <t>Brunei</t>
  </si>
  <si>
    <t>Equatorial Guinea</t>
  </si>
  <si>
    <t>France(*)</t>
  </si>
  <si>
    <t>Iceland</t>
  </si>
  <si>
    <t>Indonesia</t>
  </si>
  <si>
    <t>Peru</t>
  </si>
  <si>
    <t>Philippines</t>
  </si>
  <si>
    <t>Russia</t>
  </si>
  <si>
    <t>United Kingdom</t>
  </si>
  <si>
    <t>1. Data Source: U.S. Census Bureau Trade Data</t>
  </si>
  <si>
    <t>4. Product Group : Harmonized</t>
  </si>
  <si>
    <t>Product</t>
    <phoneticPr fontId="18" type="noConversion"/>
  </si>
  <si>
    <t>Israel(*)</t>
  </si>
  <si>
    <t>Haiti</t>
  </si>
  <si>
    <t>Suriname</t>
  </si>
  <si>
    <t>SOY OIL FLY-RFND</t>
    <phoneticPr fontId="18" type="noConversion"/>
  </si>
  <si>
    <t>South Africa</t>
  </si>
  <si>
    <t>Greece</t>
  </si>
  <si>
    <t>Malawi</t>
  </si>
  <si>
    <t>Namibia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</si>
</sst>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Red]\(#,##0.0\)"/>
    <numFmt numFmtId="177" formatCode="#,##0.0_ "/>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31">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7" fontId="0" fillId="0" borderId="0" xfId="0" applyNumberFormat="1" applyAlignment="1">
      <alignment horizontal="center" vertical="center"/>
    </xf>
    <xf numFmtId="177" fontId="0" fillId="0" borderId="18" xfId="0" applyNumberFormat="1" applyBorder="1" applyAlignment="1">
      <alignment horizontal="center" vertical="center"/>
    </xf>
    <xf numFmtId="176" fontId="0" fillId="0" borderId="0" xfId="0" applyNumberFormat="1" applyBorder="1" applyAlignment="1">
      <alignment horizontal="center" vertical="center"/>
    </xf>
    <xf numFmtId="177" fontId="0" fillId="0" borderId="0" xfId="0" applyNumberFormat="1" applyBorder="1" applyAlignment="1">
      <alignment horizontal="center" vertical="center"/>
    </xf>
    <xf numFmtId="176" fontId="0" fillId="0" borderId="22" xfId="0" applyNumberFormat="1" applyBorder="1" applyAlignment="1">
      <alignment horizontal="center" vertical="center"/>
    </xf>
    <xf numFmtId="177" fontId="0" fillId="0" borderId="20" xfId="0" applyNumberFormat="1" applyBorder="1" applyAlignment="1">
      <alignment horizontal="center" vertical="center"/>
    </xf>
    <xf numFmtId="177" fontId="0" fillId="0" borderId="21" xfId="0" applyNumberFormat="1" applyBorder="1" applyAlignment="1">
      <alignment horizontal="center" vertical="center"/>
    </xf>
    <xf numFmtId="177" fontId="0" fillId="0" borderId="19" xfId="0" applyNumberFormat="1" applyBorder="1" applyAlignment="1">
      <alignment horizontal="center" vertical="center"/>
    </xf>
    <xf numFmtId="177" fontId="0" fillId="0" borderId="22" xfId="0" applyNumberFormat="1" applyBorder="1" applyAlignment="1">
      <alignment horizontal="center" vertical="center"/>
    </xf>
    <xf numFmtId="0" fontId="0" fillId="0" borderId="21" xfId="0" applyBorder="1">
      <alignment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0" fontId="0" fillId="0" borderId="0" xfId="0" applyBorder="1">
      <alignment vertical="center"/>
    </xf>
    <xf numFmtId="49" fontId="0" fillId="0" borderId="0" xfId="0" applyNumberFormat="1" applyBorder="1">
      <alignment vertical="center"/>
    </xf>
    <xf numFmtId="49" fontId="0" fillId="0" borderId="23" xfId="0" applyNumberFormat="1" applyBorder="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65"/>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22" t="s">
        <v>0</v>
      </c>
      <c r="F1" s="23"/>
      <c r="G1" s="24"/>
      <c r="H1" s="25" t="s">
        <v>1</v>
      </c>
      <c r="I1" s="26"/>
      <c r="J1" s="27"/>
      <c r="K1" s="25" t="s">
        <v>2</v>
      </c>
      <c r="L1" s="26"/>
      <c r="M1" s="27"/>
      <c r="N1" s="25" t="s">
        <v>3</v>
      </c>
      <c r="O1" s="26"/>
      <c r="P1" s="27"/>
      <c r="Q1" s="25" t="s">
        <v>4</v>
      </c>
      <c r="R1" s="26"/>
      <c r="S1" s="27"/>
      <c r="T1" s="25" t="s">
        <v>5</v>
      </c>
      <c r="U1" s="26"/>
      <c r="V1" s="27"/>
      <c r="W1" s="25" t="s">
        <v>6</v>
      </c>
      <c r="X1" s="26"/>
      <c r="Y1" s="27"/>
      <c r="Z1" s="25" t="s">
        <v>7</v>
      </c>
      <c r="AA1" s="26"/>
      <c r="AB1" s="27"/>
      <c r="AC1" s="25" t="s">
        <v>8</v>
      </c>
      <c r="AD1" s="26"/>
      <c r="AE1" s="27"/>
      <c r="AF1" s="25" t="s">
        <v>9</v>
      </c>
      <c r="AG1" s="26"/>
      <c r="AH1" s="27"/>
      <c r="AI1" s="25" t="s">
        <v>10</v>
      </c>
      <c r="AJ1" s="26"/>
      <c r="AK1" s="27"/>
      <c r="AL1" s="25" t="s">
        <v>11</v>
      </c>
      <c r="AM1" s="26"/>
      <c r="AN1" s="27"/>
      <c r="AO1" s="25" t="s">
        <v>12</v>
      </c>
      <c r="AP1" s="26"/>
      <c r="AQ1" s="27"/>
    </row>
    <row r="2" spans="1:67" x14ac:dyDescent="0.3">
      <c r="A2" s="2" t="s">
        <v>43</v>
      </c>
      <c r="B2" s="2" t="s">
        <v>77</v>
      </c>
      <c r="C2" s="2" t="s">
        <v>13</v>
      </c>
      <c r="D2" s="2" t="s">
        <v>44</v>
      </c>
      <c r="E2" s="4" t="s">
        <v>14</v>
      </c>
      <c r="F2" s="2" t="s">
        <v>44</v>
      </c>
      <c r="G2" s="5" t="s">
        <v>15</v>
      </c>
      <c r="H2" s="2" t="s">
        <v>14</v>
      </c>
      <c r="I2" s="2" t="s">
        <v>44</v>
      </c>
      <c r="J2" s="5" t="s">
        <v>15</v>
      </c>
      <c r="K2" s="2" t="s">
        <v>14</v>
      </c>
      <c r="L2" s="2" t="s">
        <v>44</v>
      </c>
      <c r="M2" s="5" t="s">
        <v>15</v>
      </c>
      <c r="N2" s="2" t="s">
        <v>14</v>
      </c>
      <c r="O2" s="2" t="s">
        <v>44</v>
      </c>
      <c r="P2" s="5" t="s">
        <v>15</v>
      </c>
      <c r="Q2" s="2" t="s">
        <v>14</v>
      </c>
      <c r="R2" s="2" t="s">
        <v>44</v>
      </c>
      <c r="S2" s="5" t="s">
        <v>15</v>
      </c>
      <c r="T2" s="2" t="s">
        <v>14</v>
      </c>
      <c r="U2" s="2" t="s">
        <v>44</v>
      </c>
      <c r="V2" s="5" t="s">
        <v>15</v>
      </c>
      <c r="W2" s="2" t="s">
        <v>14</v>
      </c>
      <c r="X2" s="2" t="s">
        <v>44</v>
      </c>
      <c r="Y2" s="5" t="s">
        <v>15</v>
      </c>
      <c r="Z2" s="2" t="s">
        <v>14</v>
      </c>
      <c r="AA2" s="2" t="s">
        <v>44</v>
      </c>
      <c r="AB2" s="5" t="s">
        <v>15</v>
      </c>
      <c r="AC2" s="2" t="s">
        <v>14</v>
      </c>
      <c r="AD2" s="2" t="s">
        <v>44</v>
      </c>
      <c r="AE2" s="5" t="s">
        <v>15</v>
      </c>
      <c r="AF2" s="2" t="s">
        <v>14</v>
      </c>
      <c r="AG2" s="2" t="s">
        <v>44</v>
      </c>
      <c r="AH2" s="5" t="s">
        <v>15</v>
      </c>
      <c r="AI2" s="2" t="s">
        <v>14</v>
      </c>
      <c r="AJ2" s="2" t="s">
        <v>44</v>
      </c>
      <c r="AK2" s="5" t="s">
        <v>15</v>
      </c>
      <c r="AL2" s="2" t="s">
        <v>14</v>
      </c>
      <c r="AM2" s="2" t="s">
        <v>44</v>
      </c>
      <c r="AN2" s="5" t="s">
        <v>15</v>
      </c>
      <c r="AO2" s="2" t="s">
        <v>14</v>
      </c>
      <c r="AP2" s="2" t="s">
        <v>46</v>
      </c>
      <c r="AQ2" s="5" t="s">
        <v>15</v>
      </c>
    </row>
    <row r="3" spans="1:67" ht="15" customHeight="1" x14ac:dyDescent="0.3">
      <c r="A3" s="29" t="s">
        <v>16</v>
      </c>
      <c r="B3" s="19" t="s">
        <v>81</v>
      </c>
      <c r="C3" s="19" t="s">
        <v>17</v>
      </c>
      <c r="D3" s="19" t="s">
        <v>45</v>
      </c>
      <c r="E3" s="17">
        <f>F3/G3</f>
        <v>961.01117905971262</v>
      </c>
      <c r="F3" s="17">
        <f>SUM(F4:F60)</f>
        <v>22204836</v>
      </c>
      <c r="G3" s="18">
        <f>SUM(G4:G60)</f>
        <v>23105.699999999997</v>
      </c>
      <c r="H3" s="17">
        <f>I3/J3</f>
        <v>964.98748390984088</v>
      </c>
      <c r="I3" s="17">
        <f>SUM(I4:I60)</f>
        <v>17617294</v>
      </c>
      <c r="J3" s="18">
        <f>SUM(J4:J60)</f>
        <v>18256.499999999989</v>
      </c>
      <c r="K3" s="17">
        <f>L3/M3</f>
        <v>901.13611598048021</v>
      </c>
      <c r="L3" s="17">
        <f>SUM(L4:L60)</f>
        <v>22824336</v>
      </c>
      <c r="M3" s="18">
        <f>SUM(M4:M60)</f>
        <v>25328.400000000005</v>
      </c>
      <c r="N3" s="17">
        <f>O3/P3</f>
        <v>865.33370341586192</v>
      </c>
      <c r="O3" s="17">
        <f>SUM(O4:O60)</f>
        <v>23382182</v>
      </c>
      <c r="P3" s="18">
        <f>SUM(P4:P60)</f>
        <v>27020.999999999993</v>
      </c>
      <c r="Q3" s="17">
        <f>R3/S3</f>
        <v>897.17168610086901</v>
      </c>
      <c r="R3" s="17">
        <f>SUM(R4:R60)</f>
        <v>22166690</v>
      </c>
      <c r="S3" s="18">
        <f>SUM(S4:S60)</f>
        <v>24707.3</v>
      </c>
      <c r="T3" s="17">
        <f>U3/V3</f>
        <v>976.24701870296678</v>
      </c>
      <c r="U3" s="17">
        <f>SUM(U4:U60)</f>
        <v>13712268</v>
      </c>
      <c r="V3" s="18">
        <f>SUM(V4:V60)</f>
        <v>14045.9</v>
      </c>
      <c r="W3" s="17">
        <f>X3/Y3</f>
        <v>916.62104762595584</v>
      </c>
      <c r="X3" s="17">
        <f>SUM(X4:X60)</f>
        <v>22745218</v>
      </c>
      <c r="Y3" s="18">
        <f>SUM(Y4:Y60)</f>
        <v>24814.200000000008</v>
      </c>
      <c r="Z3" s="17">
        <f>AA3/AB3</f>
        <v>970.95124651229025</v>
      </c>
      <c r="AA3" s="17">
        <f>SUM(AA4:AA60)</f>
        <v>14998381</v>
      </c>
      <c r="AB3" s="18">
        <f>SUM(AB4:AB60)</f>
        <v>15447.1</v>
      </c>
      <c r="AC3" s="17">
        <f>AD3/AE3</f>
        <v>997.15876791342134</v>
      </c>
      <c r="AD3" s="17">
        <f>SUM(AD4:AD60)</f>
        <v>16769219</v>
      </c>
      <c r="AE3" s="18">
        <f>SUM(AE4:AE60)</f>
        <v>16816.999999999993</v>
      </c>
      <c r="AF3" s="17">
        <f>AG3/AH3</f>
        <v>976.98743346666276</v>
      </c>
      <c r="AG3" s="17">
        <f>SUM(AG4:AG60)</f>
        <v>15510164</v>
      </c>
      <c r="AH3" s="18">
        <f>SUM(AH4:AH60)</f>
        <v>15875.499999999995</v>
      </c>
      <c r="AI3" s="17">
        <f>AJ3/AK3</f>
        <v>975.29109160773999</v>
      </c>
      <c r="AJ3" s="17">
        <f>SUM(AJ4:AJ60)</f>
        <v>17157711</v>
      </c>
      <c r="AK3" s="18">
        <f>SUM(AK4:AK60)</f>
        <v>17592.399999999994</v>
      </c>
      <c r="AL3" s="17">
        <f>AM3/AN3</f>
        <v>937.94250429615818</v>
      </c>
      <c r="AM3" s="17">
        <f>SUM(AM4:AM60)</f>
        <v>16101190</v>
      </c>
      <c r="AN3" s="18">
        <f>SUM(AN4:AN60)</f>
        <v>17166.5</v>
      </c>
      <c r="AO3" s="17">
        <f>AP3/AQ3</f>
        <v>937.59610704583042</v>
      </c>
      <c r="AP3" s="17">
        <f>SUM(AP4:AP60)</f>
        <v>225189489</v>
      </c>
      <c r="AQ3" s="18">
        <f>SUM(AQ4:AQ60)</f>
        <v>240177.50000000006</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30" t="s">
        <v>25</v>
      </c>
      <c r="B4" s="20"/>
      <c r="C4" s="20"/>
      <c r="D4" s="20"/>
      <c r="E4" s="3">
        <f t="shared" ref="E4:E11" si="0">F4/G4</f>
        <v>938.11871376168494</v>
      </c>
      <c r="F4" s="3">
        <v>12684866</v>
      </c>
      <c r="G4" s="6">
        <v>13521.6</v>
      </c>
      <c r="H4" s="3">
        <f t="shared" ref="H4:H11" si="1">I4/J4</f>
        <v>880.60991540184125</v>
      </c>
      <c r="I4" s="3">
        <v>8494011</v>
      </c>
      <c r="J4" s="6">
        <v>9645.6</v>
      </c>
      <c r="K4" s="3">
        <f t="shared" ref="K4:K11" si="2">L4/M4</f>
        <v>843.1674421691456</v>
      </c>
      <c r="L4" s="3">
        <v>11434278</v>
      </c>
      <c r="M4" s="6">
        <v>13561.1</v>
      </c>
      <c r="N4" s="3">
        <f t="shared" ref="N4:N11" si="3">O4/P4</f>
        <v>825.62670176531469</v>
      </c>
      <c r="O4" s="3">
        <v>8217380</v>
      </c>
      <c r="P4" s="6">
        <v>9952.9</v>
      </c>
      <c r="Q4" s="3">
        <f t="shared" ref="Q4:Q11" si="4">R4/S4</f>
        <v>826.43143291299111</v>
      </c>
      <c r="R4" s="3">
        <v>8375552</v>
      </c>
      <c r="S4" s="6">
        <v>10134.6</v>
      </c>
      <c r="T4" s="3">
        <f t="shared" ref="T4:T11" si="5">U4/V4</f>
        <v>852.23236567625793</v>
      </c>
      <c r="U4" s="3">
        <v>3995521</v>
      </c>
      <c r="V4" s="6">
        <v>4688.3</v>
      </c>
      <c r="W4" s="3">
        <f t="shared" ref="W4:W11" si="6">X4/Y4</f>
        <v>852.57997467568157</v>
      </c>
      <c r="X4" s="3">
        <v>3568644</v>
      </c>
      <c r="Y4" s="6">
        <v>4185.7</v>
      </c>
      <c r="Z4" s="3">
        <f t="shared" ref="Z4:Z11" si="7">AA4/AB4</f>
        <v>842.09755595839601</v>
      </c>
      <c r="AA4" s="3">
        <v>6549919</v>
      </c>
      <c r="AB4" s="6">
        <v>7778.1</v>
      </c>
      <c r="AC4" s="3">
        <f t="shared" ref="AC4:AC11" si="8">AD4/AE4</f>
        <v>876.7282408434537</v>
      </c>
      <c r="AD4" s="3">
        <v>9088954</v>
      </c>
      <c r="AE4" s="6">
        <v>10366.9</v>
      </c>
      <c r="AF4" s="3">
        <f t="shared" ref="AF4:AF11" si="9">AG4/AH4</f>
        <v>873.59997008749417</v>
      </c>
      <c r="AG4" s="3">
        <v>7009242</v>
      </c>
      <c r="AH4" s="6">
        <v>8023.4</v>
      </c>
      <c r="AI4" s="3">
        <f t="shared" ref="AI4:AI11" si="10">AJ4/AK4</f>
        <v>866.42852718939673</v>
      </c>
      <c r="AJ4" s="3">
        <v>8393613</v>
      </c>
      <c r="AK4" s="6">
        <v>9687.6</v>
      </c>
      <c r="AL4" s="3">
        <f t="shared" ref="AL4:AL11" si="11">AM4/AN4</f>
        <v>858.96969580210759</v>
      </c>
      <c r="AM4" s="3">
        <v>8917308</v>
      </c>
      <c r="AN4" s="6">
        <v>10381.4</v>
      </c>
      <c r="AO4" s="3">
        <f t="shared" ref="AO4:AO60" si="12">AP4/AQ4</f>
        <v>864.21609760630122</v>
      </c>
      <c r="AP4" s="3">
        <f t="shared" ref="AP4:AQ4" si="13">SUM(F4,I4,L4,O4,R4,U4,X4,AA4,AD4,AG4,AJ4,AM4)</f>
        <v>96729288</v>
      </c>
      <c r="AQ4" s="6">
        <f t="shared" si="13"/>
        <v>111927.2</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29" t="s">
        <v>21</v>
      </c>
      <c r="B5" s="20"/>
      <c r="C5" s="20"/>
      <c r="D5" s="20"/>
      <c r="E5" s="3">
        <f t="shared" si="0"/>
        <v>868.36328137401188</v>
      </c>
      <c r="F5" s="3">
        <v>5470515</v>
      </c>
      <c r="G5" s="6">
        <v>6299.8</v>
      </c>
      <c r="H5" s="3">
        <f t="shared" si="1"/>
        <v>865.20902877126059</v>
      </c>
      <c r="I5" s="3">
        <v>3810121</v>
      </c>
      <c r="J5" s="6">
        <v>4403.7</v>
      </c>
      <c r="K5" s="3">
        <f t="shared" si="2"/>
        <v>833.44293019893439</v>
      </c>
      <c r="L5" s="3">
        <v>6225652</v>
      </c>
      <c r="M5" s="6">
        <v>7469.8</v>
      </c>
      <c r="N5" s="3">
        <f t="shared" si="3"/>
        <v>792.33818545474742</v>
      </c>
      <c r="O5" s="3">
        <v>5704518</v>
      </c>
      <c r="P5" s="6">
        <v>7199.6</v>
      </c>
      <c r="Q5" s="3">
        <f t="shared" si="4"/>
        <v>848.84418162708494</v>
      </c>
      <c r="R5" s="3">
        <v>7995518</v>
      </c>
      <c r="S5" s="6">
        <v>9419.2999999999993</v>
      </c>
      <c r="T5" s="3">
        <f t="shared" si="5"/>
        <v>825.73639185762704</v>
      </c>
      <c r="U5" s="3">
        <v>3484525</v>
      </c>
      <c r="V5" s="6">
        <v>4219.8999999999996</v>
      </c>
      <c r="W5" s="3">
        <f t="shared" si="6"/>
        <v>822.62392793138758</v>
      </c>
      <c r="X5" s="3">
        <v>10282141</v>
      </c>
      <c r="Y5" s="6">
        <v>12499.2</v>
      </c>
      <c r="Z5" s="3">
        <f t="shared" si="7"/>
        <v>898.24425341057747</v>
      </c>
      <c r="AA5" s="3">
        <v>2883903</v>
      </c>
      <c r="AB5" s="6">
        <v>3210.6</v>
      </c>
      <c r="AC5" s="3">
        <f t="shared" si="8"/>
        <v>869.81995763709108</v>
      </c>
      <c r="AD5" s="3">
        <v>1478346</v>
      </c>
      <c r="AE5" s="6">
        <v>1699.6</v>
      </c>
      <c r="AF5" s="3">
        <f t="shared" si="9"/>
        <v>879.72326641606014</v>
      </c>
      <c r="AG5" s="3">
        <v>2199836</v>
      </c>
      <c r="AH5" s="6">
        <v>2500.6</v>
      </c>
      <c r="AI5" s="3">
        <f t="shared" si="10"/>
        <v>969.84933204792731</v>
      </c>
      <c r="AJ5" s="3">
        <v>3521038</v>
      </c>
      <c r="AK5" s="6">
        <v>3630.5</v>
      </c>
      <c r="AL5" s="3">
        <f t="shared" si="11"/>
        <v>853.98435835793191</v>
      </c>
      <c r="AM5" s="3">
        <v>2806278</v>
      </c>
      <c r="AN5" s="6">
        <v>3286.1</v>
      </c>
      <c r="AO5" s="3">
        <f t="shared" si="12"/>
        <v>848.47348140227564</v>
      </c>
      <c r="AP5" s="3">
        <f t="shared" ref="AP5:AP60" si="14">SUM(F5,I5,L5,O5,R5,U5,X5,AA5,AD5,AG5,AJ5,AM5)</f>
        <v>55862391</v>
      </c>
      <c r="AQ5" s="6">
        <f t="shared" ref="AQ5:AQ60" si="15">SUM(G5,J5,M5,P5,S5,V5,Y5,AB5,AE5,AH5,AK5,AN5)</f>
        <v>65838.7</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29" t="s">
        <v>20</v>
      </c>
      <c r="B6" s="20"/>
      <c r="C6" s="20"/>
      <c r="D6" s="20"/>
      <c r="E6" s="3">
        <f t="shared" si="0"/>
        <v>1094.3219638852827</v>
      </c>
      <c r="F6" s="3">
        <v>1854438</v>
      </c>
      <c r="G6" s="6">
        <v>1694.6</v>
      </c>
      <c r="H6" s="3">
        <f t="shared" si="1"/>
        <v>1144.774889454643</v>
      </c>
      <c r="I6" s="3">
        <v>1708691</v>
      </c>
      <c r="J6" s="6">
        <v>1492.6</v>
      </c>
      <c r="K6" s="3">
        <f t="shared" si="2"/>
        <v>1079.2207959749726</v>
      </c>
      <c r="L6" s="3">
        <v>1673116</v>
      </c>
      <c r="M6" s="6">
        <v>1550.3</v>
      </c>
      <c r="N6" s="3">
        <f t="shared" si="3"/>
        <v>1108.6458473549603</v>
      </c>
      <c r="O6" s="3">
        <v>1647226</v>
      </c>
      <c r="P6" s="6">
        <v>1485.8</v>
      </c>
      <c r="Q6" s="3">
        <f t="shared" si="4"/>
        <v>1099.5464349910126</v>
      </c>
      <c r="R6" s="3">
        <v>1835143</v>
      </c>
      <c r="S6" s="6">
        <v>1669</v>
      </c>
      <c r="T6" s="3">
        <f t="shared" si="5"/>
        <v>1019.4632132132133</v>
      </c>
      <c r="U6" s="3">
        <v>1901095</v>
      </c>
      <c r="V6" s="6">
        <v>1864.8</v>
      </c>
      <c r="W6" s="3">
        <f t="shared" si="6"/>
        <v>1081.8256591790521</v>
      </c>
      <c r="X6" s="3">
        <v>4156266</v>
      </c>
      <c r="Y6" s="6">
        <v>3841.9</v>
      </c>
      <c r="Z6" s="3">
        <f t="shared" si="7"/>
        <v>1251.8286281742091</v>
      </c>
      <c r="AA6" s="3">
        <v>1764828</v>
      </c>
      <c r="AB6" s="6">
        <v>1409.8</v>
      </c>
      <c r="AC6" s="3">
        <f t="shared" si="8"/>
        <v>1368.0004563084644</v>
      </c>
      <c r="AD6" s="3">
        <v>2997973</v>
      </c>
      <c r="AE6" s="6">
        <v>2191.5</v>
      </c>
      <c r="AF6" s="3">
        <f t="shared" si="9"/>
        <v>1201.4115128985018</v>
      </c>
      <c r="AG6" s="3">
        <v>2132986</v>
      </c>
      <c r="AH6" s="6">
        <v>1775.4</v>
      </c>
      <c r="AI6" s="3">
        <f t="shared" si="10"/>
        <v>1161.4755150878423</v>
      </c>
      <c r="AJ6" s="3">
        <v>1989956</v>
      </c>
      <c r="AK6" s="6">
        <v>1713.3</v>
      </c>
      <c r="AL6" s="3">
        <f t="shared" si="11"/>
        <v>1192.23115380845</v>
      </c>
      <c r="AM6" s="3">
        <v>1216195</v>
      </c>
      <c r="AN6" s="6">
        <v>1020.1</v>
      </c>
      <c r="AO6" s="3">
        <f t="shared" si="12"/>
        <v>1145.9670368647251</v>
      </c>
      <c r="AP6" s="3">
        <f t="shared" si="14"/>
        <v>24877913</v>
      </c>
      <c r="AQ6" s="6">
        <f t="shared" si="15"/>
        <v>21709.1</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29" t="s">
        <v>38</v>
      </c>
      <c r="B7" s="20"/>
      <c r="C7" s="20"/>
      <c r="D7" s="20"/>
      <c r="E7" s="3">
        <f t="shared" si="0"/>
        <v>1185.3002729754321</v>
      </c>
      <c r="F7" s="3">
        <v>260529</v>
      </c>
      <c r="G7" s="6">
        <v>219.8</v>
      </c>
      <c r="H7" s="3">
        <f t="shared" si="1"/>
        <v>1108.9111429025593</v>
      </c>
      <c r="I7" s="3">
        <v>697616</v>
      </c>
      <c r="J7" s="6">
        <v>629.1</v>
      </c>
      <c r="K7" s="3">
        <f t="shared" si="2"/>
        <v>1079.001916757941</v>
      </c>
      <c r="L7" s="3">
        <v>788103</v>
      </c>
      <c r="M7" s="6">
        <v>730.4</v>
      </c>
      <c r="N7" s="3">
        <f t="shared" si="3"/>
        <v>1022.1895389881271</v>
      </c>
      <c r="O7" s="3">
        <v>955645</v>
      </c>
      <c r="P7" s="6">
        <v>934.9</v>
      </c>
      <c r="Q7" s="3">
        <f t="shared" si="4"/>
        <v>1073.3695652173913</v>
      </c>
      <c r="R7" s="3">
        <v>622125</v>
      </c>
      <c r="S7" s="6">
        <v>579.6</v>
      </c>
      <c r="T7" s="3">
        <f t="shared" si="5"/>
        <v>1106.8763851268161</v>
      </c>
      <c r="U7" s="3">
        <v>899005</v>
      </c>
      <c r="V7" s="6">
        <v>812.2</v>
      </c>
      <c r="W7" s="3">
        <f t="shared" si="6"/>
        <v>1070.6273824650571</v>
      </c>
      <c r="X7" s="3">
        <v>674067</v>
      </c>
      <c r="Y7" s="6">
        <v>629.6</v>
      </c>
      <c r="Z7" s="3">
        <f t="shared" si="7"/>
        <v>1112.0341836074065</v>
      </c>
      <c r="AA7" s="3">
        <v>858824</v>
      </c>
      <c r="AB7" s="6">
        <v>772.3</v>
      </c>
      <c r="AC7" s="3">
        <f t="shared" si="8"/>
        <v>1105.8073612347878</v>
      </c>
      <c r="AD7" s="3">
        <v>745093</v>
      </c>
      <c r="AE7" s="6">
        <v>673.8</v>
      </c>
      <c r="AF7" s="3">
        <f t="shared" si="9"/>
        <v>1119.4359800761792</v>
      </c>
      <c r="AG7" s="3">
        <v>764127</v>
      </c>
      <c r="AH7" s="6">
        <v>682.6</v>
      </c>
      <c r="AI7" s="3">
        <f t="shared" si="10"/>
        <v>1174.7325243548112</v>
      </c>
      <c r="AJ7" s="3">
        <v>687336</v>
      </c>
      <c r="AK7" s="6">
        <v>585.1</v>
      </c>
      <c r="AL7" s="3">
        <f t="shared" si="11"/>
        <v>1158.2297551789077</v>
      </c>
      <c r="AM7" s="3">
        <v>1107036</v>
      </c>
      <c r="AN7" s="6">
        <v>955.8</v>
      </c>
      <c r="AO7" s="3">
        <f t="shared" si="12"/>
        <v>1104.1176327207136</v>
      </c>
      <c r="AP7" s="3">
        <f t="shared" si="14"/>
        <v>9059506</v>
      </c>
      <c r="AQ7" s="6">
        <f t="shared" si="15"/>
        <v>8205.2000000000007</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29" t="s">
        <v>37</v>
      </c>
      <c r="B8" s="20"/>
      <c r="C8" s="20"/>
      <c r="D8" s="20"/>
      <c r="E8" s="3">
        <f t="shared" si="0"/>
        <v>1204.7943722943721</v>
      </c>
      <c r="F8" s="3">
        <v>445292</v>
      </c>
      <c r="G8" s="6">
        <v>369.6</v>
      </c>
      <c r="H8" s="3">
        <f t="shared" si="1"/>
        <v>1245.511145272867</v>
      </c>
      <c r="I8" s="3">
        <v>324082</v>
      </c>
      <c r="J8" s="6">
        <v>260.2</v>
      </c>
      <c r="K8" s="3">
        <f t="shared" si="2"/>
        <v>1221.5286216821235</v>
      </c>
      <c r="L8" s="3">
        <v>381972</v>
      </c>
      <c r="M8" s="6">
        <v>312.7</v>
      </c>
      <c r="N8" s="3">
        <f t="shared" si="3"/>
        <v>1115.2646502835539</v>
      </c>
      <c r="O8" s="3">
        <v>235990</v>
      </c>
      <c r="P8" s="6">
        <v>211.6</v>
      </c>
      <c r="Q8" s="3">
        <f t="shared" si="4"/>
        <v>1185.9385327164573</v>
      </c>
      <c r="R8" s="3">
        <v>358865</v>
      </c>
      <c r="S8" s="6">
        <v>302.60000000000002</v>
      </c>
      <c r="T8" s="3">
        <f t="shared" si="5"/>
        <v>1078.5982104814657</v>
      </c>
      <c r="U8" s="3">
        <v>253147</v>
      </c>
      <c r="V8" s="6">
        <v>234.7</v>
      </c>
      <c r="W8" s="3">
        <f t="shared" si="6"/>
        <v>1228.3923410404623</v>
      </c>
      <c r="X8" s="3">
        <v>340019</v>
      </c>
      <c r="Y8" s="6">
        <v>276.8</v>
      </c>
      <c r="Z8" s="3">
        <f t="shared" si="7"/>
        <v>1261.6958896234551</v>
      </c>
      <c r="AA8" s="3">
        <v>438944</v>
      </c>
      <c r="AB8" s="6">
        <v>347.9</v>
      </c>
      <c r="AC8" s="3">
        <f t="shared" si="8"/>
        <v>1376.198300283286</v>
      </c>
      <c r="AD8" s="3">
        <v>242899</v>
      </c>
      <c r="AE8" s="6">
        <v>176.5</v>
      </c>
      <c r="AF8" s="3">
        <f t="shared" si="9"/>
        <v>1369.7856817145462</v>
      </c>
      <c r="AG8" s="3">
        <v>300394</v>
      </c>
      <c r="AH8" s="6">
        <v>219.3</v>
      </c>
      <c r="AI8" s="3">
        <f t="shared" si="10"/>
        <v>1215.8042839143218</v>
      </c>
      <c r="AJ8" s="3">
        <v>289483</v>
      </c>
      <c r="AK8" s="6">
        <v>238.1</v>
      </c>
      <c r="AL8" s="3">
        <f t="shared" si="11"/>
        <v>1174.1460957178842</v>
      </c>
      <c r="AM8" s="3">
        <v>233068</v>
      </c>
      <c r="AN8" s="6">
        <v>198.5</v>
      </c>
      <c r="AO8" s="3">
        <f t="shared" si="12"/>
        <v>1220.9480705097665</v>
      </c>
      <c r="AP8" s="3">
        <f t="shared" si="14"/>
        <v>3844155</v>
      </c>
      <c r="AQ8" s="6">
        <f t="shared" si="15"/>
        <v>3148.5</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29" t="s">
        <v>28</v>
      </c>
      <c r="B9" s="20"/>
      <c r="C9" s="20"/>
      <c r="D9" s="20"/>
      <c r="E9" s="3">
        <f t="shared" si="0"/>
        <v>1545.5053191489362</v>
      </c>
      <c r="F9" s="3">
        <v>116222</v>
      </c>
      <c r="G9" s="6">
        <v>75.2</v>
      </c>
      <c r="H9" s="3">
        <f t="shared" si="1"/>
        <v>1372.7269317329331</v>
      </c>
      <c r="I9" s="3">
        <v>365969</v>
      </c>
      <c r="J9" s="6">
        <v>266.60000000000002</v>
      </c>
      <c r="K9" s="3">
        <f t="shared" si="2"/>
        <v>1462.1579743008313</v>
      </c>
      <c r="L9" s="3">
        <v>386887</v>
      </c>
      <c r="M9" s="6">
        <v>264.60000000000002</v>
      </c>
      <c r="N9" s="3">
        <f t="shared" si="3"/>
        <v>1575.5533980582525</v>
      </c>
      <c r="O9" s="3">
        <v>81141</v>
      </c>
      <c r="P9" s="6">
        <v>51.5</v>
      </c>
      <c r="Q9" s="3">
        <f t="shared" si="4"/>
        <v>1443.7238979118329</v>
      </c>
      <c r="R9" s="3">
        <v>248898</v>
      </c>
      <c r="S9" s="6">
        <v>172.4</v>
      </c>
      <c r="T9" s="3">
        <f t="shared" si="5"/>
        <v>2002.9765395894428</v>
      </c>
      <c r="U9" s="3">
        <v>136603</v>
      </c>
      <c r="V9" s="6">
        <v>68.2</v>
      </c>
      <c r="W9" s="3">
        <f t="shared" si="6"/>
        <v>1435.3112244897959</v>
      </c>
      <c r="X9" s="3">
        <v>281321</v>
      </c>
      <c r="Y9" s="6">
        <v>196</v>
      </c>
      <c r="Z9" s="3">
        <f t="shared" si="7"/>
        <v>1480.59375</v>
      </c>
      <c r="AA9" s="3">
        <v>236895</v>
      </c>
      <c r="AB9" s="6">
        <v>160</v>
      </c>
      <c r="AC9" s="3">
        <f t="shared" si="8"/>
        <v>1590.0744248985113</v>
      </c>
      <c r="AD9" s="3">
        <v>235013</v>
      </c>
      <c r="AE9" s="6">
        <v>147.80000000000001</v>
      </c>
      <c r="AF9" s="3">
        <f t="shared" si="9"/>
        <v>1316.5819750719079</v>
      </c>
      <c r="AG9" s="3">
        <v>274639</v>
      </c>
      <c r="AH9" s="6">
        <v>208.6</v>
      </c>
      <c r="AI9" s="3">
        <f t="shared" si="10"/>
        <v>1355.9712230215828</v>
      </c>
      <c r="AJ9" s="3">
        <v>207328</v>
      </c>
      <c r="AK9" s="6">
        <v>152.9</v>
      </c>
      <c r="AL9" s="3">
        <f t="shared" si="11"/>
        <v>1511.2589227774174</v>
      </c>
      <c r="AM9" s="3">
        <v>232885</v>
      </c>
      <c r="AN9" s="6">
        <v>154.1</v>
      </c>
      <c r="AO9" s="3">
        <f t="shared" si="12"/>
        <v>1461.9119870691904</v>
      </c>
      <c r="AP9" s="3">
        <f t="shared" si="14"/>
        <v>2803801</v>
      </c>
      <c r="AQ9" s="6">
        <f t="shared" si="15"/>
        <v>1917.8999999999999</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29" t="s">
        <v>26</v>
      </c>
      <c r="B10" s="20"/>
      <c r="C10" s="20"/>
      <c r="D10" s="20"/>
      <c r="E10" s="3">
        <f t="shared" si="0"/>
        <v>1371.0288230584467</v>
      </c>
      <c r="F10" s="3">
        <v>342483</v>
      </c>
      <c r="G10" s="6">
        <v>249.8</v>
      </c>
      <c r="H10" s="3">
        <f t="shared" si="1"/>
        <v>1224.4202898550725</v>
      </c>
      <c r="I10" s="3">
        <v>118279</v>
      </c>
      <c r="J10" s="6">
        <v>96.6</v>
      </c>
      <c r="K10" s="3">
        <f t="shared" si="2"/>
        <v>1237.2802197802198</v>
      </c>
      <c r="L10" s="3">
        <v>135111</v>
      </c>
      <c r="M10" s="6">
        <v>109.2</v>
      </c>
      <c r="N10" s="3">
        <f t="shared" si="3"/>
        <v>1235.1813826146474</v>
      </c>
      <c r="O10" s="3">
        <v>541380</v>
      </c>
      <c r="P10" s="6">
        <v>438.3</v>
      </c>
      <c r="Q10" s="3">
        <f t="shared" si="4"/>
        <v>1344.0851735015774</v>
      </c>
      <c r="R10" s="3">
        <v>170430</v>
      </c>
      <c r="S10" s="6">
        <v>126.8</v>
      </c>
      <c r="T10" s="3">
        <f t="shared" si="5"/>
        <v>1181.6700317277184</v>
      </c>
      <c r="U10" s="3">
        <v>409685</v>
      </c>
      <c r="V10" s="6">
        <v>346.7</v>
      </c>
      <c r="W10" s="3">
        <f t="shared" si="6"/>
        <v>1219.2510801728276</v>
      </c>
      <c r="X10" s="3">
        <v>253970</v>
      </c>
      <c r="Y10" s="6">
        <v>208.3</v>
      </c>
      <c r="Z10" s="3">
        <f t="shared" si="7"/>
        <v>1183.1496678389997</v>
      </c>
      <c r="AA10" s="3">
        <v>302768</v>
      </c>
      <c r="AB10" s="6">
        <v>255.9</v>
      </c>
      <c r="AC10" s="3">
        <f t="shared" si="8"/>
        <v>1192.2942708333333</v>
      </c>
      <c r="AD10" s="3">
        <v>457841</v>
      </c>
      <c r="AE10" s="6">
        <v>384</v>
      </c>
      <c r="AF10" s="3">
        <f t="shared" si="9"/>
        <v>1277.0130869899922</v>
      </c>
      <c r="AG10" s="3">
        <v>331768</v>
      </c>
      <c r="AH10" s="6">
        <v>259.8</v>
      </c>
      <c r="AI10" s="3">
        <f t="shared" si="10"/>
        <v>1196.1862396204033</v>
      </c>
      <c r="AJ10" s="3">
        <v>403354</v>
      </c>
      <c r="AK10" s="6">
        <v>337.2</v>
      </c>
      <c r="AL10" s="3">
        <f t="shared" si="11"/>
        <v>1293.1734104046243</v>
      </c>
      <c r="AM10" s="3">
        <v>223719</v>
      </c>
      <c r="AN10" s="6">
        <v>173</v>
      </c>
      <c r="AO10" s="3">
        <f t="shared" si="12"/>
        <v>1236.1964094319401</v>
      </c>
      <c r="AP10" s="3">
        <f t="shared" si="14"/>
        <v>3690788</v>
      </c>
      <c r="AQ10" s="6">
        <f t="shared" si="15"/>
        <v>2985.6</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29" t="s">
        <v>54</v>
      </c>
      <c r="B11" s="20"/>
      <c r="C11" s="20"/>
      <c r="D11" s="20"/>
      <c r="E11" s="3">
        <f t="shared" si="0"/>
        <v>1244.2323651452282</v>
      </c>
      <c r="F11" s="3">
        <v>29986</v>
      </c>
      <c r="G11" s="6">
        <v>24.1</v>
      </c>
      <c r="H11" s="3">
        <f t="shared" si="1"/>
        <v>1243.7267080745341</v>
      </c>
      <c r="I11" s="3">
        <v>60072</v>
      </c>
      <c r="J11" s="6">
        <v>48.3</v>
      </c>
      <c r="K11" s="3">
        <f t="shared" si="2"/>
        <v>1181.3356164383563</v>
      </c>
      <c r="L11" s="3">
        <v>137980</v>
      </c>
      <c r="M11" s="6">
        <v>116.8</v>
      </c>
      <c r="N11" s="3">
        <f t="shared" si="3"/>
        <v>1167.2719298245613</v>
      </c>
      <c r="O11" s="3">
        <v>133069</v>
      </c>
      <c r="P11" s="6">
        <v>114</v>
      </c>
      <c r="Q11" s="3">
        <f t="shared" si="4"/>
        <v>1162.6808510638298</v>
      </c>
      <c r="R11" s="3">
        <v>109292</v>
      </c>
      <c r="S11" s="6">
        <v>94</v>
      </c>
      <c r="T11" s="3" t="e">
        <f t="shared" si="5"/>
        <v>#DIV/0!</v>
      </c>
      <c r="U11" s="3">
        <v>0</v>
      </c>
      <c r="V11" s="6">
        <v>0</v>
      </c>
      <c r="W11" s="3">
        <f t="shared" si="6"/>
        <v>1178.6552217453504</v>
      </c>
      <c r="X11" s="3">
        <v>82388</v>
      </c>
      <c r="Y11" s="6">
        <v>69.900000000000006</v>
      </c>
      <c r="Z11" s="3">
        <f t="shared" si="7"/>
        <v>1181.5319148936171</v>
      </c>
      <c r="AA11" s="3">
        <v>111064</v>
      </c>
      <c r="AB11" s="6">
        <v>94</v>
      </c>
      <c r="AC11" s="3">
        <f t="shared" si="8"/>
        <v>1215.2959028831563</v>
      </c>
      <c r="AD11" s="3">
        <v>80088</v>
      </c>
      <c r="AE11" s="6">
        <v>65.900000000000006</v>
      </c>
      <c r="AF11" s="3">
        <f t="shared" si="9"/>
        <v>1187.9212253829321</v>
      </c>
      <c r="AG11" s="3">
        <v>54288</v>
      </c>
      <c r="AH11" s="6">
        <v>45.7</v>
      </c>
      <c r="AI11" s="3">
        <f t="shared" si="10"/>
        <v>1216.7446808510638</v>
      </c>
      <c r="AJ11" s="3">
        <v>57187</v>
      </c>
      <c r="AK11" s="6">
        <v>47</v>
      </c>
      <c r="AL11" s="3">
        <f t="shared" si="11"/>
        <v>1218.8334268087492</v>
      </c>
      <c r="AM11" s="3">
        <v>217318</v>
      </c>
      <c r="AN11" s="6">
        <v>178.3</v>
      </c>
      <c r="AO11" s="3">
        <f t="shared" si="12"/>
        <v>1194.5790645879733</v>
      </c>
      <c r="AP11" s="3">
        <f t="shared" si="14"/>
        <v>1072732</v>
      </c>
      <c r="AQ11" s="6">
        <f t="shared" si="15"/>
        <v>898</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29" t="s">
        <v>56</v>
      </c>
      <c r="B12" s="20"/>
      <c r="C12" s="20"/>
      <c r="D12" s="20"/>
      <c r="E12" s="3">
        <f>F12/G12</f>
        <v>1227.7502691065661</v>
      </c>
      <c r="F12" s="3">
        <v>114058</v>
      </c>
      <c r="G12" s="6">
        <v>92.9</v>
      </c>
      <c r="H12" s="3">
        <f>I12/J12</f>
        <v>1232.7596899224807</v>
      </c>
      <c r="I12" s="3">
        <v>79513</v>
      </c>
      <c r="J12" s="6">
        <v>64.5</v>
      </c>
      <c r="K12" s="3">
        <f>L12/M12</f>
        <v>1089.1391391391392</v>
      </c>
      <c r="L12" s="3">
        <v>108805</v>
      </c>
      <c r="M12" s="6">
        <v>99.9</v>
      </c>
      <c r="N12" s="3">
        <f>O12/P12</f>
        <v>1107.7265500794913</v>
      </c>
      <c r="O12" s="3">
        <v>139352</v>
      </c>
      <c r="P12" s="6">
        <v>125.8</v>
      </c>
      <c r="Q12" s="3">
        <f>R12/S12</f>
        <v>1263.204172876304</v>
      </c>
      <c r="R12" s="3">
        <v>84761</v>
      </c>
      <c r="S12" s="6">
        <v>67.099999999999994</v>
      </c>
      <c r="T12" s="3">
        <f>U12/V12</f>
        <v>1254.8872180451128</v>
      </c>
      <c r="U12" s="3">
        <v>100140</v>
      </c>
      <c r="V12" s="6">
        <v>79.8</v>
      </c>
      <c r="W12" s="3">
        <f>X12/Y12</f>
        <v>1150.5007153075821</v>
      </c>
      <c r="X12" s="3">
        <v>80420</v>
      </c>
      <c r="Y12" s="6">
        <v>69.900000000000006</v>
      </c>
      <c r="Z12" s="3">
        <f>AA12/AB12</f>
        <v>1150.9242618741978</v>
      </c>
      <c r="AA12" s="3">
        <v>268971</v>
      </c>
      <c r="AB12" s="6">
        <v>233.7</v>
      </c>
      <c r="AC12" s="3">
        <f>AD12/AE12</f>
        <v>1272.7626459143969</v>
      </c>
      <c r="AD12" s="3">
        <v>163550</v>
      </c>
      <c r="AE12" s="6">
        <v>128.5</v>
      </c>
      <c r="AF12" s="3">
        <f>AG12/AH12</f>
        <v>1223.6371379897785</v>
      </c>
      <c r="AG12" s="3">
        <v>143655</v>
      </c>
      <c r="AH12" s="6">
        <v>117.4</v>
      </c>
      <c r="AI12" s="3">
        <f>AJ12/AK12</f>
        <v>1206.2378976486862</v>
      </c>
      <c r="AJ12" s="3">
        <v>87211</v>
      </c>
      <c r="AK12" s="6">
        <v>72.3</v>
      </c>
      <c r="AL12" s="3">
        <f>AM12/AN12</f>
        <v>1271.4274385408407</v>
      </c>
      <c r="AM12" s="3">
        <v>160327</v>
      </c>
      <c r="AN12" s="6">
        <v>126.1</v>
      </c>
      <c r="AO12" s="3">
        <f t="shared" si="12"/>
        <v>1197.8738555442524</v>
      </c>
      <c r="AP12" s="3">
        <f t="shared" si="14"/>
        <v>1530763</v>
      </c>
      <c r="AQ12" s="6">
        <f t="shared" si="15"/>
        <v>1277.8999999999999</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29" t="s">
        <v>53</v>
      </c>
      <c r="B13" s="20"/>
      <c r="C13" s="20"/>
      <c r="D13" s="20"/>
      <c r="E13" s="3">
        <f t="shared" ref="E13:E60" si="16">F13/G13</f>
        <v>1333.4184397163122</v>
      </c>
      <c r="F13" s="3">
        <v>94006</v>
      </c>
      <c r="G13" s="6">
        <v>70.5</v>
      </c>
      <c r="H13" s="3">
        <f t="shared" ref="H13:H60" si="17">I13/J13</f>
        <v>1314.5012977382278</v>
      </c>
      <c r="I13" s="3">
        <v>354521</v>
      </c>
      <c r="J13" s="6">
        <v>269.7</v>
      </c>
      <c r="K13" s="3">
        <f t="shared" ref="K13:K60" si="18">L13/M13</f>
        <v>1222.1513183034008</v>
      </c>
      <c r="L13" s="3">
        <v>319837</v>
      </c>
      <c r="M13" s="6">
        <v>261.7</v>
      </c>
      <c r="N13" s="3">
        <f t="shared" ref="N13:N60" si="19">O13/P13</f>
        <v>1179.9728555917482</v>
      </c>
      <c r="O13" s="3">
        <v>217351</v>
      </c>
      <c r="P13" s="6">
        <v>184.2</v>
      </c>
      <c r="Q13" s="3">
        <f t="shared" ref="Q13:Q60" si="20">R13/S13</f>
        <v>1186.8928086838534</v>
      </c>
      <c r="R13" s="3">
        <v>262422</v>
      </c>
      <c r="S13" s="6">
        <v>221.1</v>
      </c>
      <c r="T13" s="3">
        <f t="shared" ref="T13:T60" si="21">U13/V13</f>
        <v>1178.984520123839</v>
      </c>
      <c r="U13" s="3">
        <v>190406</v>
      </c>
      <c r="V13" s="6">
        <v>161.5</v>
      </c>
      <c r="W13" s="3">
        <f t="shared" ref="W13:W60" si="22">X13/Y13</f>
        <v>1172.1043864519711</v>
      </c>
      <c r="X13" s="3">
        <v>211096</v>
      </c>
      <c r="Y13" s="6">
        <v>180.1</v>
      </c>
      <c r="Z13" s="3">
        <f t="shared" ref="Z13:Z60" si="23">AA13/AB13</f>
        <v>1250.4055766793408</v>
      </c>
      <c r="AA13" s="3">
        <v>197314</v>
      </c>
      <c r="AB13" s="6">
        <v>157.80000000000001</v>
      </c>
      <c r="AC13" s="3">
        <f t="shared" ref="AC13:AC60" si="24">AD13/AE13</f>
        <v>1186.6021671826627</v>
      </c>
      <c r="AD13" s="3">
        <v>306618</v>
      </c>
      <c r="AE13" s="6">
        <v>258.39999999999998</v>
      </c>
      <c r="AF13" s="3">
        <f t="shared" ref="AF13:AF60" si="25">AG13/AH13</f>
        <v>1178.572141787319</v>
      </c>
      <c r="AG13" s="3">
        <v>236068</v>
      </c>
      <c r="AH13" s="6">
        <v>200.3</v>
      </c>
      <c r="AI13" s="3">
        <f t="shared" ref="AI13:AI60" si="26">AJ13/AK13</f>
        <v>1189.4571428571428</v>
      </c>
      <c r="AJ13" s="3">
        <v>166524</v>
      </c>
      <c r="AK13" s="6">
        <v>140</v>
      </c>
      <c r="AL13" s="3">
        <f t="shared" ref="AL13:AL60" si="27">AM13/AN13</f>
        <v>1252.9452649869679</v>
      </c>
      <c r="AM13" s="3">
        <v>144214</v>
      </c>
      <c r="AN13" s="6">
        <v>115.1</v>
      </c>
      <c r="AO13" s="3">
        <f t="shared" si="12"/>
        <v>1216.1669068636286</v>
      </c>
      <c r="AP13" s="3">
        <f t="shared" si="14"/>
        <v>2700377</v>
      </c>
      <c r="AQ13" s="6">
        <f t="shared" si="15"/>
        <v>2220.3999999999992</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29" t="s">
        <v>34</v>
      </c>
      <c r="B14" s="20"/>
      <c r="C14" s="20"/>
      <c r="D14" s="20"/>
      <c r="E14" s="3">
        <f t="shared" si="16"/>
        <v>1911.3924050632911</v>
      </c>
      <c r="F14" s="3">
        <v>90600</v>
      </c>
      <c r="G14" s="6">
        <v>47.4</v>
      </c>
      <c r="H14" s="3">
        <f t="shared" si="17"/>
        <v>1861.615566037736</v>
      </c>
      <c r="I14" s="3">
        <v>157865</v>
      </c>
      <c r="J14" s="6">
        <v>84.8</v>
      </c>
      <c r="K14" s="3">
        <f t="shared" si="18"/>
        <v>1841.2371134020618</v>
      </c>
      <c r="L14" s="3">
        <v>89300</v>
      </c>
      <c r="M14" s="6">
        <v>48.5</v>
      </c>
      <c r="N14" s="3">
        <f t="shared" si="19"/>
        <v>2100.9504132231405</v>
      </c>
      <c r="O14" s="3">
        <v>101686</v>
      </c>
      <c r="P14" s="6">
        <v>48.4</v>
      </c>
      <c r="Q14" s="3">
        <f t="shared" si="20"/>
        <v>1830.7377049180327</v>
      </c>
      <c r="R14" s="3">
        <v>156345</v>
      </c>
      <c r="S14" s="6">
        <v>85.4</v>
      </c>
      <c r="T14" s="3">
        <f t="shared" si="21"/>
        <v>2105.3002070393377</v>
      </c>
      <c r="U14" s="3">
        <v>101686</v>
      </c>
      <c r="V14" s="6">
        <v>48.3</v>
      </c>
      <c r="W14" s="3">
        <f t="shared" si="22"/>
        <v>2034.0740740740741</v>
      </c>
      <c r="X14" s="3">
        <v>137300</v>
      </c>
      <c r="Y14" s="6">
        <v>67.5</v>
      </c>
      <c r="Z14" s="3">
        <f t="shared" si="23"/>
        <v>2037.7692307692307</v>
      </c>
      <c r="AA14" s="3">
        <v>132455</v>
      </c>
      <c r="AB14" s="6">
        <v>65</v>
      </c>
      <c r="AC14" s="3">
        <f t="shared" si="24"/>
        <v>2182.1030042918455</v>
      </c>
      <c r="AD14" s="3">
        <v>101686</v>
      </c>
      <c r="AE14" s="6">
        <v>46.6</v>
      </c>
      <c r="AF14" s="3">
        <f t="shared" si="25"/>
        <v>2180.6796116504856</v>
      </c>
      <c r="AG14" s="3">
        <v>134766</v>
      </c>
      <c r="AH14" s="6">
        <v>61.8</v>
      </c>
      <c r="AI14" s="3">
        <f t="shared" si="26"/>
        <v>1948.8311688311687</v>
      </c>
      <c r="AJ14" s="3">
        <v>165066</v>
      </c>
      <c r="AK14" s="6">
        <v>84.7</v>
      </c>
      <c r="AL14" s="3">
        <f t="shared" si="27"/>
        <v>2210.5652173913045</v>
      </c>
      <c r="AM14" s="3">
        <v>101686</v>
      </c>
      <c r="AN14" s="6">
        <v>46</v>
      </c>
      <c r="AO14" s="3">
        <f t="shared" si="12"/>
        <v>2002.2344771241831</v>
      </c>
      <c r="AP14" s="3">
        <f t="shared" si="14"/>
        <v>1470441</v>
      </c>
      <c r="AQ14" s="6">
        <f t="shared" si="15"/>
        <v>734.4</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29" t="s">
        <v>33</v>
      </c>
      <c r="B15" s="20"/>
      <c r="C15" s="20"/>
      <c r="D15" s="20"/>
      <c r="E15" s="3">
        <f t="shared" si="16"/>
        <v>1333.7533156498673</v>
      </c>
      <c r="F15" s="3">
        <v>100565</v>
      </c>
      <c r="G15" s="6">
        <v>75.400000000000006</v>
      </c>
      <c r="H15" s="3">
        <f t="shared" si="17"/>
        <v>1210.8024224072674</v>
      </c>
      <c r="I15" s="3">
        <v>319894</v>
      </c>
      <c r="J15" s="6">
        <v>264.2</v>
      </c>
      <c r="K15" s="3">
        <f t="shared" si="18"/>
        <v>1235.1901565995524</v>
      </c>
      <c r="L15" s="3">
        <v>55213</v>
      </c>
      <c r="M15" s="6">
        <v>44.7</v>
      </c>
      <c r="N15" s="3">
        <f t="shared" si="19"/>
        <v>1143.9653846153847</v>
      </c>
      <c r="O15" s="3">
        <v>297431</v>
      </c>
      <c r="P15" s="6">
        <v>260</v>
      </c>
      <c r="Q15" s="3">
        <f t="shared" si="20"/>
        <v>1178.6405073325407</v>
      </c>
      <c r="R15" s="3">
        <v>297371</v>
      </c>
      <c r="S15" s="6">
        <v>252.3</v>
      </c>
      <c r="T15" s="3">
        <f t="shared" si="21"/>
        <v>976.09620076681779</v>
      </c>
      <c r="U15" s="3">
        <v>280042</v>
      </c>
      <c r="V15" s="6">
        <v>286.89999999999998</v>
      </c>
      <c r="W15" s="3">
        <f t="shared" si="22"/>
        <v>964.61323066153307</v>
      </c>
      <c r="X15" s="3">
        <v>275590</v>
      </c>
      <c r="Y15" s="6">
        <v>285.7</v>
      </c>
      <c r="Z15" s="3">
        <f t="shared" si="23"/>
        <v>976.48965517241379</v>
      </c>
      <c r="AA15" s="3">
        <v>283182</v>
      </c>
      <c r="AB15" s="6">
        <v>290</v>
      </c>
      <c r="AC15" s="3">
        <f t="shared" si="24"/>
        <v>930.04478827361561</v>
      </c>
      <c r="AD15" s="3">
        <v>228419</v>
      </c>
      <c r="AE15" s="6">
        <v>245.6</v>
      </c>
      <c r="AF15" s="3">
        <f t="shared" si="25"/>
        <v>876.09567507859629</v>
      </c>
      <c r="AG15" s="3">
        <v>1031077</v>
      </c>
      <c r="AH15" s="6">
        <v>1176.9000000000001</v>
      </c>
      <c r="AI15" s="3">
        <f t="shared" si="26"/>
        <v>975.06991869918704</v>
      </c>
      <c r="AJ15" s="3">
        <v>299834</v>
      </c>
      <c r="AK15" s="6">
        <v>307.5</v>
      </c>
      <c r="AL15" s="3">
        <f t="shared" si="27"/>
        <v>1156.3187588152327</v>
      </c>
      <c r="AM15" s="3">
        <v>81983</v>
      </c>
      <c r="AN15" s="6">
        <v>70.900000000000006</v>
      </c>
      <c r="AO15" s="3">
        <f t="shared" si="12"/>
        <v>997.33181652200778</v>
      </c>
      <c r="AP15" s="3">
        <f t="shared" si="14"/>
        <v>3550601</v>
      </c>
      <c r="AQ15" s="6">
        <f t="shared" si="15"/>
        <v>3560.1</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29" t="s">
        <v>51</v>
      </c>
      <c r="B16" s="20"/>
      <c r="C16" s="20"/>
      <c r="D16" s="20"/>
      <c r="E16" s="3">
        <f t="shared" si="16"/>
        <v>2303.1034482758623</v>
      </c>
      <c r="F16" s="3">
        <v>26716</v>
      </c>
      <c r="G16" s="6">
        <v>11.6</v>
      </c>
      <c r="H16" s="3">
        <f t="shared" si="17"/>
        <v>1771.8229166666667</v>
      </c>
      <c r="I16" s="3">
        <v>34019</v>
      </c>
      <c r="J16" s="6">
        <v>19.2</v>
      </c>
      <c r="K16" s="3">
        <f t="shared" si="18"/>
        <v>2331.7475728155337</v>
      </c>
      <c r="L16" s="3">
        <v>24017</v>
      </c>
      <c r="M16" s="6">
        <v>10.3</v>
      </c>
      <c r="N16" s="3">
        <f t="shared" si="19"/>
        <v>1914.7737556561085</v>
      </c>
      <c r="O16" s="3">
        <v>84633</v>
      </c>
      <c r="P16" s="6">
        <v>44.2</v>
      </c>
      <c r="Q16" s="3">
        <f t="shared" si="20"/>
        <v>2038.2805429864252</v>
      </c>
      <c r="R16" s="3">
        <v>45046</v>
      </c>
      <c r="S16" s="6">
        <v>22.1</v>
      </c>
      <c r="T16" s="3" t="e">
        <f t="shared" si="21"/>
        <v>#DIV/0!</v>
      </c>
      <c r="U16" s="3">
        <v>0</v>
      </c>
      <c r="V16" s="6">
        <v>0</v>
      </c>
      <c r="W16" s="3">
        <f t="shared" si="22"/>
        <v>1542.2222222222222</v>
      </c>
      <c r="X16" s="3">
        <v>38864</v>
      </c>
      <c r="Y16" s="6">
        <v>25.2</v>
      </c>
      <c r="Z16" s="3">
        <f t="shared" si="23"/>
        <v>2592.2307692307691</v>
      </c>
      <c r="AA16" s="3">
        <v>33699</v>
      </c>
      <c r="AB16" s="6">
        <v>13</v>
      </c>
      <c r="AC16" s="3">
        <f t="shared" si="24"/>
        <v>2017.1090047393363</v>
      </c>
      <c r="AD16" s="3">
        <v>42561</v>
      </c>
      <c r="AE16" s="6">
        <v>21.1</v>
      </c>
      <c r="AF16" s="3">
        <f t="shared" si="25"/>
        <v>1486.605504587156</v>
      </c>
      <c r="AG16" s="3">
        <v>32408</v>
      </c>
      <c r="AH16" s="6">
        <v>21.8</v>
      </c>
      <c r="AI16" s="3">
        <f t="shared" si="26"/>
        <v>1798.3050847457628</v>
      </c>
      <c r="AJ16" s="3">
        <v>31830</v>
      </c>
      <c r="AK16" s="6">
        <v>17.7</v>
      </c>
      <c r="AL16" s="3">
        <f t="shared" si="27"/>
        <v>1730.6772009029346</v>
      </c>
      <c r="AM16" s="3">
        <v>76669</v>
      </c>
      <c r="AN16" s="6">
        <v>44.3</v>
      </c>
      <c r="AO16" s="3">
        <f t="shared" si="12"/>
        <v>1878.0918163672654</v>
      </c>
      <c r="AP16" s="3">
        <f t="shared" si="14"/>
        <v>470462</v>
      </c>
      <c r="AQ16" s="6">
        <f t="shared" si="15"/>
        <v>250.5</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29" t="s">
        <v>50</v>
      </c>
      <c r="B17" s="20"/>
      <c r="C17" s="20"/>
      <c r="D17" s="20"/>
      <c r="E17" s="3">
        <f t="shared" si="16"/>
        <v>1389.460580912863</v>
      </c>
      <c r="F17" s="3">
        <v>33486</v>
      </c>
      <c r="G17" s="6">
        <v>24.1</v>
      </c>
      <c r="H17" s="3">
        <f t="shared" si="17"/>
        <v>1357.2614107883817</v>
      </c>
      <c r="I17" s="3">
        <v>32710</v>
      </c>
      <c r="J17" s="6">
        <v>24.1</v>
      </c>
      <c r="K17" s="3">
        <f t="shared" si="18"/>
        <v>1280.0924024640656</v>
      </c>
      <c r="L17" s="3">
        <v>124681</v>
      </c>
      <c r="M17" s="6">
        <v>97.4</v>
      </c>
      <c r="N17" s="3">
        <f t="shared" si="19"/>
        <v>1160</v>
      </c>
      <c r="O17" s="3">
        <v>29000</v>
      </c>
      <c r="P17" s="6">
        <v>25</v>
      </c>
      <c r="Q17" s="3">
        <f t="shared" si="20"/>
        <v>1173.4636264929425</v>
      </c>
      <c r="R17" s="3">
        <v>216152</v>
      </c>
      <c r="S17" s="6">
        <v>184.2</v>
      </c>
      <c r="T17" s="3">
        <f t="shared" si="21"/>
        <v>1141.925601750547</v>
      </c>
      <c r="U17" s="3">
        <v>52186</v>
      </c>
      <c r="V17" s="6">
        <v>45.7</v>
      </c>
      <c r="W17" s="3">
        <f t="shared" si="22"/>
        <v>1256.0944881889764</v>
      </c>
      <c r="X17" s="3">
        <v>79762</v>
      </c>
      <c r="Y17" s="6">
        <v>63.5</v>
      </c>
      <c r="Z17" s="3">
        <f t="shared" si="23"/>
        <v>1278.6474501108646</v>
      </c>
      <c r="AA17" s="3">
        <v>57667</v>
      </c>
      <c r="AB17" s="6">
        <v>45.1</v>
      </c>
      <c r="AC17" s="3">
        <f t="shared" si="24"/>
        <v>1183.4839650145773</v>
      </c>
      <c r="AD17" s="3">
        <v>81187</v>
      </c>
      <c r="AE17" s="6">
        <v>68.599999999999994</v>
      </c>
      <c r="AF17" s="3">
        <f t="shared" si="25"/>
        <v>1133.08533916849</v>
      </c>
      <c r="AG17" s="3">
        <v>51782</v>
      </c>
      <c r="AH17" s="6">
        <v>45.7</v>
      </c>
      <c r="AI17" s="3">
        <f t="shared" si="26"/>
        <v>1330.7883817427385</v>
      </c>
      <c r="AJ17" s="3">
        <v>32072</v>
      </c>
      <c r="AK17" s="6">
        <v>24.1</v>
      </c>
      <c r="AL17" s="3">
        <f t="shared" si="27"/>
        <v>1165.6074766355139</v>
      </c>
      <c r="AM17" s="3">
        <v>74832</v>
      </c>
      <c r="AN17" s="6">
        <v>64.2</v>
      </c>
      <c r="AO17" s="3">
        <f t="shared" si="12"/>
        <v>1216.1261767598705</v>
      </c>
      <c r="AP17" s="3">
        <f t="shared" si="14"/>
        <v>865517</v>
      </c>
      <c r="AQ17" s="6">
        <f t="shared" si="15"/>
        <v>711.70000000000016</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29" t="s">
        <v>30</v>
      </c>
      <c r="B18" s="20"/>
      <c r="C18" s="20"/>
      <c r="D18" s="20"/>
      <c r="E18" s="3">
        <f t="shared" si="16"/>
        <v>2073.333333333333</v>
      </c>
      <c r="F18" s="3">
        <v>4354</v>
      </c>
      <c r="G18" s="6">
        <v>2.1</v>
      </c>
      <c r="H18" s="3">
        <f t="shared" si="17"/>
        <v>2167.6923076923076</v>
      </c>
      <c r="I18" s="3">
        <v>5636</v>
      </c>
      <c r="J18" s="6">
        <v>2.6</v>
      </c>
      <c r="K18" s="3" t="e">
        <f t="shared" si="18"/>
        <v>#DIV/0!</v>
      </c>
      <c r="L18" s="3">
        <v>0</v>
      </c>
      <c r="M18" s="6">
        <v>0</v>
      </c>
      <c r="N18" s="3" t="e">
        <f t="shared" si="19"/>
        <v>#DIV/0!</v>
      </c>
      <c r="O18" s="3">
        <v>0</v>
      </c>
      <c r="P18" s="6">
        <v>0</v>
      </c>
      <c r="Q18" s="3" t="e">
        <f t="shared" si="20"/>
        <v>#DIV/0!</v>
      </c>
      <c r="R18" s="3">
        <v>0</v>
      </c>
      <c r="S18" s="6">
        <v>0</v>
      </c>
      <c r="T18" s="3">
        <f t="shared" si="21"/>
        <v>4109.2804154302667</v>
      </c>
      <c r="U18" s="3">
        <v>553931</v>
      </c>
      <c r="V18" s="6">
        <v>134.80000000000001</v>
      </c>
      <c r="W18" s="3">
        <f t="shared" si="22"/>
        <v>2123.8095238095239</v>
      </c>
      <c r="X18" s="3">
        <v>4460</v>
      </c>
      <c r="Y18" s="6">
        <v>2.1</v>
      </c>
      <c r="Z18" s="3">
        <f t="shared" si="23"/>
        <v>1619.957627118644</v>
      </c>
      <c r="AA18" s="3">
        <v>76462</v>
      </c>
      <c r="AB18" s="6">
        <v>47.2</v>
      </c>
      <c r="AC18" s="3">
        <f t="shared" si="24"/>
        <v>1705.851851851852</v>
      </c>
      <c r="AD18" s="3">
        <v>23029</v>
      </c>
      <c r="AE18" s="6">
        <v>13.5</v>
      </c>
      <c r="AF18" s="3" t="e">
        <f t="shared" si="25"/>
        <v>#DIV/0!</v>
      </c>
      <c r="AG18" s="3">
        <v>0</v>
      </c>
      <c r="AH18" s="6">
        <v>0</v>
      </c>
      <c r="AI18" s="3">
        <f t="shared" si="26"/>
        <v>1670.0740740740741</v>
      </c>
      <c r="AJ18" s="3">
        <v>22546</v>
      </c>
      <c r="AK18" s="6">
        <v>13.5</v>
      </c>
      <c r="AL18" s="3">
        <f t="shared" si="27"/>
        <v>1673.7128712871288</v>
      </c>
      <c r="AM18" s="3">
        <v>67618</v>
      </c>
      <c r="AN18" s="6">
        <v>40.4</v>
      </c>
      <c r="AO18" s="3">
        <f t="shared" si="12"/>
        <v>2958.7665886026543</v>
      </c>
      <c r="AP18" s="3">
        <f t="shared" si="14"/>
        <v>758036</v>
      </c>
      <c r="AQ18" s="6">
        <f t="shared" si="15"/>
        <v>256.2</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29" t="s">
        <v>23</v>
      </c>
      <c r="B19" s="20"/>
      <c r="C19" s="20"/>
      <c r="D19" s="20"/>
      <c r="E19" s="3">
        <f t="shared" si="16"/>
        <v>1220.9779179810726</v>
      </c>
      <c r="F19" s="3">
        <v>77410</v>
      </c>
      <c r="G19" s="6">
        <v>63.4</v>
      </c>
      <c r="H19" s="3">
        <f t="shared" si="17"/>
        <v>1258.9664502164501</v>
      </c>
      <c r="I19" s="3">
        <v>232657</v>
      </c>
      <c r="J19" s="6">
        <v>184.8</v>
      </c>
      <c r="K19" s="3">
        <f t="shared" si="18"/>
        <v>1365.2107728337235</v>
      </c>
      <c r="L19" s="3">
        <v>116589</v>
      </c>
      <c r="M19" s="6">
        <v>85.4</v>
      </c>
      <c r="N19" s="3">
        <f t="shared" si="19"/>
        <v>2376.3157894736842</v>
      </c>
      <c r="O19" s="3">
        <v>36120</v>
      </c>
      <c r="P19" s="6">
        <v>15.2</v>
      </c>
      <c r="Q19" s="3">
        <f t="shared" si="20"/>
        <v>1532.549504950495</v>
      </c>
      <c r="R19" s="3">
        <v>61915</v>
      </c>
      <c r="S19" s="6">
        <v>40.4</v>
      </c>
      <c r="T19" s="3">
        <f t="shared" si="21"/>
        <v>1267.258382642998</v>
      </c>
      <c r="U19" s="3">
        <v>128500</v>
      </c>
      <c r="V19" s="6">
        <v>101.4</v>
      </c>
      <c r="W19" s="3">
        <f t="shared" si="22"/>
        <v>1352.8089171974523</v>
      </c>
      <c r="X19" s="3">
        <v>212391</v>
      </c>
      <c r="Y19" s="6">
        <v>157</v>
      </c>
      <c r="Z19" s="3">
        <f t="shared" si="23"/>
        <v>1181.7350427350427</v>
      </c>
      <c r="AA19" s="3">
        <v>138263</v>
      </c>
      <c r="AB19" s="6">
        <v>117</v>
      </c>
      <c r="AC19" s="3">
        <f t="shared" si="24"/>
        <v>1224.8888888888889</v>
      </c>
      <c r="AD19" s="3">
        <v>71656</v>
      </c>
      <c r="AE19" s="6">
        <v>58.5</v>
      </c>
      <c r="AF19" s="3">
        <f t="shared" si="25"/>
        <v>1276.2536231884058</v>
      </c>
      <c r="AG19" s="3">
        <v>176123</v>
      </c>
      <c r="AH19" s="6">
        <v>138</v>
      </c>
      <c r="AI19" s="3">
        <f t="shared" si="26"/>
        <v>1575.5815602836878</v>
      </c>
      <c r="AJ19" s="3">
        <v>222157</v>
      </c>
      <c r="AK19" s="6">
        <v>141</v>
      </c>
      <c r="AL19" s="3">
        <f t="shared" si="27"/>
        <v>1265.8227848101267</v>
      </c>
      <c r="AM19" s="3">
        <v>50000</v>
      </c>
      <c r="AN19" s="6">
        <v>39.5</v>
      </c>
      <c r="AO19" s="3">
        <f t="shared" si="12"/>
        <v>1334.7766292922215</v>
      </c>
      <c r="AP19" s="3">
        <f t="shared" si="14"/>
        <v>1523781</v>
      </c>
      <c r="AQ19" s="6">
        <f t="shared" si="15"/>
        <v>1141.5999999999999</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29" t="s">
        <v>59</v>
      </c>
      <c r="B20" s="20"/>
      <c r="C20" s="20"/>
      <c r="D20" s="20"/>
      <c r="E20" s="3" t="e">
        <f t="shared" si="16"/>
        <v>#DIV/0!</v>
      </c>
      <c r="F20" s="3">
        <v>0</v>
      </c>
      <c r="G20" s="6">
        <v>0</v>
      </c>
      <c r="H20" s="3">
        <f t="shared" si="17"/>
        <v>1204.8034934497816</v>
      </c>
      <c r="I20" s="3">
        <v>27590</v>
      </c>
      <c r="J20" s="6">
        <v>22.9</v>
      </c>
      <c r="K20" s="3" t="e">
        <f t="shared" si="18"/>
        <v>#DIV/0!</v>
      </c>
      <c r="L20" s="3">
        <v>0</v>
      </c>
      <c r="M20" s="6">
        <v>0</v>
      </c>
      <c r="N20" s="3">
        <f t="shared" si="19"/>
        <v>1099.0809628008751</v>
      </c>
      <c r="O20" s="3">
        <v>50228</v>
      </c>
      <c r="P20" s="6">
        <v>45.7</v>
      </c>
      <c r="Q20" s="3" t="e">
        <f t="shared" si="20"/>
        <v>#DIV/0!</v>
      </c>
      <c r="R20" s="3">
        <v>0</v>
      </c>
      <c r="S20" s="6">
        <v>0</v>
      </c>
      <c r="T20" s="3">
        <f t="shared" si="21"/>
        <v>1329.1160220994475</v>
      </c>
      <c r="U20" s="3">
        <v>24057</v>
      </c>
      <c r="V20" s="6">
        <v>18.100000000000001</v>
      </c>
      <c r="W20" s="3" t="e">
        <f t="shared" si="22"/>
        <v>#DIV/0!</v>
      </c>
      <c r="X20" s="3">
        <v>0</v>
      </c>
      <c r="Y20" s="6">
        <v>0</v>
      </c>
      <c r="Z20" s="3" t="e">
        <f t="shared" si="23"/>
        <v>#DIV/0!</v>
      </c>
      <c r="AA20" s="3">
        <v>0</v>
      </c>
      <c r="AB20" s="6">
        <v>0</v>
      </c>
      <c r="AC20" s="3" t="e">
        <f t="shared" si="24"/>
        <v>#DIV/0!</v>
      </c>
      <c r="AD20" s="3">
        <v>0</v>
      </c>
      <c r="AE20" s="6">
        <v>0</v>
      </c>
      <c r="AF20" s="3">
        <f t="shared" si="25"/>
        <v>1187.3684210526317</v>
      </c>
      <c r="AG20" s="3">
        <v>9024</v>
      </c>
      <c r="AH20" s="6">
        <v>7.6</v>
      </c>
      <c r="AI20" s="3" t="e">
        <f t="shared" si="26"/>
        <v>#DIV/0!</v>
      </c>
      <c r="AJ20" s="3">
        <v>0</v>
      </c>
      <c r="AK20" s="6">
        <v>0</v>
      </c>
      <c r="AL20" s="3">
        <f t="shared" si="27"/>
        <v>1219.1836734693879</v>
      </c>
      <c r="AM20" s="3">
        <v>41818</v>
      </c>
      <c r="AN20" s="6">
        <v>34.299999999999997</v>
      </c>
      <c r="AO20" s="3">
        <f t="shared" si="12"/>
        <v>1187.5349922239504</v>
      </c>
      <c r="AP20" s="3">
        <f t="shared" si="14"/>
        <v>152717</v>
      </c>
      <c r="AQ20" s="6">
        <f t="shared" si="15"/>
        <v>128.59999999999997</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29" t="s">
        <v>58</v>
      </c>
      <c r="B21" s="20"/>
      <c r="C21" s="20"/>
      <c r="D21" s="20"/>
      <c r="E21" s="3">
        <f t="shared" si="16"/>
        <v>1704.375</v>
      </c>
      <c r="F21" s="3">
        <v>2727</v>
      </c>
      <c r="G21" s="6">
        <v>1.6</v>
      </c>
      <c r="H21" s="3" t="e">
        <f t="shared" si="17"/>
        <v>#DIV/0!</v>
      </c>
      <c r="I21" s="3">
        <v>0</v>
      </c>
      <c r="J21" s="6">
        <v>0</v>
      </c>
      <c r="K21" s="3">
        <f t="shared" si="18"/>
        <v>1487.875</v>
      </c>
      <c r="L21" s="3">
        <v>11903</v>
      </c>
      <c r="M21" s="6">
        <v>8</v>
      </c>
      <c r="N21" s="3">
        <f t="shared" si="19"/>
        <v>1360.414937759336</v>
      </c>
      <c r="O21" s="3">
        <v>32786</v>
      </c>
      <c r="P21" s="6">
        <v>24.1</v>
      </c>
      <c r="Q21" s="3">
        <f t="shared" si="20"/>
        <v>1285.6363636363637</v>
      </c>
      <c r="R21" s="3">
        <v>63639</v>
      </c>
      <c r="S21" s="6">
        <v>49.5</v>
      </c>
      <c r="T21" s="3">
        <f t="shared" si="21"/>
        <v>1175.2838427947599</v>
      </c>
      <c r="U21" s="3">
        <v>26914</v>
      </c>
      <c r="V21" s="6">
        <v>22.9</v>
      </c>
      <c r="W21" s="3">
        <f t="shared" si="22"/>
        <v>1270.2127659574469</v>
      </c>
      <c r="X21" s="3">
        <v>59700</v>
      </c>
      <c r="Y21" s="6">
        <v>47</v>
      </c>
      <c r="Z21" s="3">
        <f t="shared" si="23"/>
        <v>1444.7410358565737</v>
      </c>
      <c r="AA21" s="3">
        <v>36263</v>
      </c>
      <c r="AB21" s="6">
        <v>25.1</v>
      </c>
      <c r="AC21" s="3">
        <f t="shared" si="24"/>
        <v>1192.0910973084888</v>
      </c>
      <c r="AD21" s="3">
        <v>57578</v>
      </c>
      <c r="AE21" s="6">
        <v>48.3</v>
      </c>
      <c r="AF21" s="3">
        <f t="shared" si="25"/>
        <v>1270.2127659574469</v>
      </c>
      <c r="AG21" s="3">
        <v>59700</v>
      </c>
      <c r="AH21" s="6">
        <v>47</v>
      </c>
      <c r="AI21" s="3" t="e">
        <f t="shared" si="26"/>
        <v>#DIV/0!</v>
      </c>
      <c r="AJ21" s="3">
        <v>0</v>
      </c>
      <c r="AK21" s="6">
        <v>0</v>
      </c>
      <c r="AL21" s="3">
        <f t="shared" si="27"/>
        <v>1416.5917602996255</v>
      </c>
      <c r="AM21" s="3">
        <v>37823</v>
      </c>
      <c r="AN21" s="6">
        <v>26.7</v>
      </c>
      <c r="AO21" s="3">
        <f t="shared" si="12"/>
        <v>1295.9127248500999</v>
      </c>
      <c r="AP21" s="3">
        <f t="shared" si="14"/>
        <v>389033</v>
      </c>
      <c r="AQ21" s="6">
        <f t="shared" si="15"/>
        <v>300.2</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29" t="s">
        <v>22</v>
      </c>
      <c r="B22" s="20"/>
      <c r="C22" s="20"/>
      <c r="D22" s="20"/>
      <c r="E22" s="3">
        <f t="shared" si="16"/>
        <v>2143.8805970149251</v>
      </c>
      <c r="F22" s="3">
        <v>28728</v>
      </c>
      <c r="G22" s="6">
        <v>13.4</v>
      </c>
      <c r="H22" s="3">
        <f t="shared" si="17"/>
        <v>1801.3698630136987</v>
      </c>
      <c r="I22" s="3">
        <v>26300</v>
      </c>
      <c r="J22" s="6">
        <v>14.6</v>
      </c>
      <c r="K22" s="3">
        <f t="shared" si="18"/>
        <v>1393.6350777934936</v>
      </c>
      <c r="L22" s="3">
        <v>98530</v>
      </c>
      <c r="M22" s="6">
        <v>70.7</v>
      </c>
      <c r="N22" s="3">
        <f t="shared" si="19"/>
        <v>2035.2475247524753</v>
      </c>
      <c r="O22" s="3">
        <v>41112</v>
      </c>
      <c r="P22" s="6">
        <v>20.2</v>
      </c>
      <c r="Q22" s="3">
        <f t="shared" si="20"/>
        <v>2244.5238095238096</v>
      </c>
      <c r="R22" s="3">
        <v>9427</v>
      </c>
      <c r="S22" s="6">
        <v>4.2</v>
      </c>
      <c r="T22" s="3">
        <f t="shared" si="21"/>
        <v>1811.1627906976744</v>
      </c>
      <c r="U22" s="3">
        <v>62304</v>
      </c>
      <c r="V22" s="6">
        <v>34.4</v>
      </c>
      <c r="W22" s="3">
        <f t="shared" si="22"/>
        <v>858.22768150910281</v>
      </c>
      <c r="X22" s="3">
        <v>1173798</v>
      </c>
      <c r="Y22" s="6">
        <v>1367.7</v>
      </c>
      <c r="Z22" s="3">
        <f t="shared" si="23"/>
        <v>1558.1625441696112</v>
      </c>
      <c r="AA22" s="3">
        <v>44096</v>
      </c>
      <c r="AB22" s="6">
        <v>28.3</v>
      </c>
      <c r="AC22" s="3">
        <f t="shared" si="24"/>
        <v>1989.7777777777778</v>
      </c>
      <c r="AD22" s="3">
        <v>17908</v>
      </c>
      <c r="AE22" s="6">
        <v>9</v>
      </c>
      <c r="AF22" s="3">
        <f t="shared" si="25"/>
        <v>2023.1111111111111</v>
      </c>
      <c r="AG22" s="3">
        <v>9104</v>
      </c>
      <c r="AH22" s="6">
        <v>4.5</v>
      </c>
      <c r="AI22" s="3">
        <f t="shared" si="26"/>
        <v>2220.8187134502923</v>
      </c>
      <c r="AJ22" s="3">
        <v>37976</v>
      </c>
      <c r="AK22" s="6">
        <v>17.100000000000001</v>
      </c>
      <c r="AL22" s="3">
        <f t="shared" si="27"/>
        <v>1406.7537313432836</v>
      </c>
      <c r="AM22" s="3">
        <v>37701</v>
      </c>
      <c r="AN22" s="6">
        <v>26.8</v>
      </c>
      <c r="AO22" s="3">
        <f t="shared" si="12"/>
        <v>985.15364082190092</v>
      </c>
      <c r="AP22" s="3">
        <f t="shared" si="14"/>
        <v>1586984</v>
      </c>
      <c r="AQ22" s="6">
        <f t="shared" si="15"/>
        <v>1610.8999999999999</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29" t="s">
        <v>57</v>
      </c>
      <c r="B23" s="20"/>
      <c r="C23" s="20"/>
      <c r="D23" s="20"/>
      <c r="E23" s="3" t="e">
        <f t="shared" si="16"/>
        <v>#DIV/0!</v>
      </c>
      <c r="F23" s="3">
        <v>0</v>
      </c>
      <c r="G23" s="6">
        <v>0</v>
      </c>
      <c r="H23" s="3" t="e">
        <f t="shared" si="17"/>
        <v>#DIV/0!</v>
      </c>
      <c r="I23" s="3">
        <v>0</v>
      </c>
      <c r="J23" s="6">
        <v>0</v>
      </c>
      <c r="K23" s="3" t="e">
        <f t="shared" si="18"/>
        <v>#DIV/0!</v>
      </c>
      <c r="L23" s="3">
        <v>0</v>
      </c>
      <c r="M23" s="6">
        <v>0</v>
      </c>
      <c r="N23" s="3" t="e">
        <f t="shared" si="19"/>
        <v>#DIV/0!</v>
      </c>
      <c r="O23" s="3">
        <v>0</v>
      </c>
      <c r="P23" s="6">
        <v>0</v>
      </c>
      <c r="Q23" s="3" t="e">
        <f t="shared" si="20"/>
        <v>#DIV/0!</v>
      </c>
      <c r="R23" s="3">
        <v>0</v>
      </c>
      <c r="S23" s="6">
        <v>0</v>
      </c>
      <c r="T23" s="3" t="e">
        <f t="shared" si="21"/>
        <v>#DIV/0!</v>
      </c>
      <c r="U23" s="3">
        <v>0</v>
      </c>
      <c r="V23" s="6">
        <v>0</v>
      </c>
      <c r="W23" s="3" t="e">
        <f t="shared" si="22"/>
        <v>#DIV/0!</v>
      </c>
      <c r="X23" s="3">
        <v>0</v>
      </c>
      <c r="Y23" s="6">
        <v>0</v>
      </c>
      <c r="Z23" s="3" t="e">
        <f t="shared" si="23"/>
        <v>#DIV/0!</v>
      </c>
      <c r="AA23" s="3">
        <v>0</v>
      </c>
      <c r="AB23" s="6">
        <v>0</v>
      </c>
      <c r="AC23" s="3" t="e">
        <f t="shared" si="24"/>
        <v>#DIV/0!</v>
      </c>
      <c r="AD23" s="3">
        <v>0</v>
      </c>
      <c r="AE23" s="6">
        <v>0</v>
      </c>
      <c r="AF23" s="3" t="e">
        <f t="shared" si="25"/>
        <v>#DIV/0!</v>
      </c>
      <c r="AG23" s="3">
        <v>0</v>
      </c>
      <c r="AH23" s="6">
        <v>0</v>
      </c>
      <c r="AI23" s="3" t="e">
        <f t="shared" si="26"/>
        <v>#DIV/0!</v>
      </c>
      <c r="AJ23" s="3">
        <v>0</v>
      </c>
      <c r="AK23" s="6">
        <v>0</v>
      </c>
      <c r="AL23" s="3">
        <f t="shared" si="27"/>
        <v>1207.0333333333333</v>
      </c>
      <c r="AM23" s="3">
        <v>36211</v>
      </c>
      <c r="AN23" s="6">
        <v>30</v>
      </c>
      <c r="AO23" s="3">
        <f t="shared" si="12"/>
        <v>1207.0333333333333</v>
      </c>
      <c r="AP23" s="3">
        <f t="shared" si="14"/>
        <v>36211</v>
      </c>
      <c r="AQ23" s="6">
        <f t="shared" si="15"/>
        <v>30</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29" t="s">
        <v>74</v>
      </c>
      <c r="B24" s="20"/>
      <c r="C24" s="20"/>
      <c r="D24" s="20"/>
      <c r="E24" s="3">
        <f t="shared" si="16"/>
        <v>4071.3793103448279</v>
      </c>
      <c r="F24" s="3">
        <v>47228</v>
      </c>
      <c r="G24" s="6">
        <v>11.6</v>
      </c>
      <c r="H24" s="3" t="e">
        <f t="shared" si="17"/>
        <v>#DIV/0!</v>
      </c>
      <c r="I24" s="3">
        <v>0</v>
      </c>
      <c r="J24" s="6">
        <v>0</v>
      </c>
      <c r="K24" s="3">
        <f t="shared" si="18"/>
        <v>1523.0769230769231</v>
      </c>
      <c r="L24" s="3">
        <v>3960</v>
      </c>
      <c r="M24" s="6">
        <v>2.6</v>
      </c>
      <c r="N24" s="3" t="e">
        <f t="shared" si="19"/>
        <v>#DIV/0!</v>
      </c>
      <c r="O24" s="3">
        <v>0</v>
      </c>
      <c r="P24" s="6">
        <v>0</v>
      </c>
      <c r="Q24" s="3" t="e">
        <f t="shared" si="20"/>
        <v>#DIV/0!</v>
      </c>
      <c r="R24" s="3">
        <v>0</v>
      </c>
      <c r="S24" s="6">
        <v>0</v>
      </c>
      <c r="T24" s="3" t="e">
        <f t="shared" si="21"/>
        <v>#DIV/0!</v>
      </c>
      <c r="U24" s="3">
        <v>0</v>
      </c>
      <c r="V24" s="6">
        <v>0</v>
      </c>
      <c r="W24" s="3" t="e">
        <f t="shared" si="22"/>
        <v>#DIV/0!</v>
      </c>
      <c r="X24" s="3">
        <v>0</v>
      </c>
      <c r="Y24" s="6">
        <v>0</v>
      </c>
      <c r="Z24" s="3" t="e">
        <f t="shared" si="23"/>
        <v>#DIV/0!</v>
      </c>
      <c r="AA24" s="3">
        <v>0</v>
      </c>
      <c r="AB24" s="6">
        <v>0</v>
      </c>
      <c r="AC24" s="3">
        <f t="shared" si="24"/>
        <v>4550</v>
      </c>
      <c r="AD24" s="3">
        <v>2730</v>
      </c>
      <c r="AE24" s="6">
        <v>0.6</v>
      </c>
      <c r="AF24" s="3" t="e">
        <f t="shared" si="25"/>
        <v>#DIV/0!</v>
      </c>
      <c r="AG24" s="3">
        <v>0</v>
      </c>
      <c r="AH24" s="6">
        <v>0</v>
      </c>
      <c r="AI24" s="3" t="e">
        <f t="shared" si="26"/>
        <v>#DIV/0!</v>
      </c>
      <c r="AJ24" s="3">
        <v>0</v>
      </c>
      <c r="AK24" s="6">
        <v>0</v>
      </c>
      <c r="AL24" s="3">
        <f t="shared" si="27"/>
        <v>4555.4411764705883</v>
      </c>
      <c r="AM24" s="3">
        <v>30977</v>
      </c>
      <c r="AN24" s="6">
        <v>6.8</v>
      </c>
      <c r="AO24" s="3">
        <f t="shared" si="12"/>
        <v>3930.3240740740744</v>
      </c>
      <c r="AP24" s="3">
        <f t="shared" si="14"/>
        <v>84895</v>
      </c>
      <c r="AQ24" s="6">
        <f t="shared" si="15"/>
        <v>21.599999999999998</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29" t="s">
        <v>32</v>
      </c>
      <c r="B25" s="20"/>
      <c r="C25" s="20"/>
      <c r="D25" s="20"/>
      <c r="E25" s="3">
        <f t="shared" si="16"/>
        <v>1278.0612244897959</v>
      </c>
      <c r="F25" s="3">
        <v>50100</v>
      </c>
      <c r="G25" s="6">
        <v>39.200000000000003</v>
      </c>
      <c r="H25" s="3">
        <f t="shared" si="17"/>
        <v>1275.7948717948718</v>
      </c>
      <c r="I25" s="3">
        <v>49756</v>
      </c>
      <c r="J25" s="6">
        <v>39</v>
      </c>
      <c r="K25" s="3">
        <f t="shared" si="18"/>
        <v>1158.5403726708075</v>
      </c>
      <c r="L25" s="3">
        <v>186525</v>
      </c>
      <c r="M25" s="6">
        <v>161</v>
      </c>
      <c r="N25" s="3">
        <f t="shared" si="19"/>
        <v>1022.6851851851851</v>
      </c>
      <c r="O25" s="3">
        <v>22090</v>
      </c>
      <c r="P25" s="6">
        <v>21.6</v>
      </c>
      <c r="Q25" s="3">
        <f t="shared" si="20"/>
        <v>1161.4181818181819</v>
      </c>
      <c r="R25" s="3">
        <v>31939</v>
      </c>
      <c r="S25" s="6">
        <v>27.5</v>
      </c>
      <c r="T25" s="3">
        <f t="shared" si="21"/>
        <v>1439.627659574468</v>
      </c>
      <c r="U25" s="3">
        <v>27065</v>
      </c>
      <c r="V25" s="6">
        <v>18.8</v>
      </c>
      <c r="W25" s="3">
        <f t="shared" si="22"/>
        <v>1301.7845117845118</v>
      </c>
      <c r="X25" s="3">
        <v>38663</v>
      </c>
      <c r="Y25" s="6">
        <v>29.7</v>
      </c>
      <c r="Z25" s="3">
        <f t="shared" si="23"/>
        <v>1301.3364779874214</v>
      </c>
      <c r="AA25" s="3">
        <v>82765</v>
      </c>
      <c r="AB25" s="6">
        <v>63.6</v>
      </c>
      <c r="AC25" s="3">
        <f t="shared" si="24"/>
        <v>1162.2277227722773</v>
      </c>
      <c r="AD25" s="3">
        <v>23477</v>
      </c>
      <c r="AE25" s="6">
        <v>20.2</v>
      </c>
      <c r="AF25" s="3">
        <f t="shared" si="25"/>
        <v>1155.8399999999999</v>
      </c>
      <c r="AG25" s="3">
        <v>28896</v>
      </c>
      <c r="AH25" s="6">
        <v>25</v>
      </c>
      <c r="AI25" s="3">
        <f t="shared" si="26"/>
        <v>1208.7918660287082</v>
      </c>
      <c r="AJ25" s="3">
        <v>101055</v>
      </c>
      <c r="AK25" s="6">
        <v>83.6</v>
      </c>
      <c r="AL25" s="3">
        <f t="shared" si="27"/>
        <v>1020.7615894039735</v>
      </c>
      <c r="AM25" s="3">
        <v>30827</v>
      </c>
      <c r="AN25" s="6">
        <v>30.2</v>
      </c>
      <c r="AO25" s="3">
        <f t="shared" si="12"/>
        <v>1203.3571683947084</v>
      </c>
      <c r="AP25" s="3">
        <f t="shared" si="14"/>
        <v>673158</v>
      </c>
      <c r="AQ25" s="6">
        <f t="shared" si="15"/>
        <v>559.40000000000009</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29" t="s">
        <v>61</v>
      </c>
      <c r="B26" s="20"/>
      <c r="C26" s="20"/>
      <c r="D26" s="20"/>
      <c r="E26" s="3" t="e">
        <f t="shared" si="16"/>
        <v>#DIV/0!</v>
      </c>
      <c r="F26" s="3">
        <v>0</v>
      </c>
      <c r="G26" s="6">
        <v>0</v>
      </c>
      <c r="H26" s="3">
        <f t="shared" si="17"/>
        <v>1387.9</v>
      </c>
      <c r="I26" s="3">
        <v>27758</v>
      </c>
      <c r="J26" s="6">
        <v>20</v>
      </c>
      <c r="K26" s="3">
        <f t="shared" si="18"/>
        <v>1339.4</v>
      </c>
      <c r="L26" s="3">
        <v>26788</v>
      </c>
      <c r="M26" s="6">
        <v>20</v>
      </c>
      <c r="N26" s="3" t="e">
        <f t="shared" si="19"/>
        <v>#DIV/0!</v>
      </c>
      <c r="O26" s="3">
        <v>0</v>
      </c>
      <c r="P26" s="6">
        <v>0</v>
      </c>
      <c r="Q26" s="3">
        <f t="shared" si="20"/>
        <v>1279.55</v>
      </c>
      <c r="R26" s="3">
        <v>25591</v>
      </c>
      <c r="S26" s="6">
        <v>20</v>
      </c>
      <c r="T26" s="3" t="e">
        <f t="shared" si="21"/>
        <v>#DIV/0!</v>
      </c>
      <c r="U26" s="3">
        <v>0</v>
      </c>
      <c r="V26" s="6">
        <v>0</v>
      </c>
      <c r="W26" s="3">
        <f t="shared" si="22"/>
        <v>1320.5</v>
      </c>
      <c r="X26" s="3">
        <v>26410</v>
      </c>
      <c r="Y26" s="6">
        <v>20</v>
      </c>
      <c r="Z26" s="3">
        <f t="shared" si="23"/>
        <v>1377.2</v>
      </c>
      <c r="AA26" s="3">
        <v>27544</v>
      </c>
      <c r="AB26" s="6">
        <v>20</v>
      </c>
      <c r="AC26" s="3" t="e">
        <f t="shared" si="24"/>
        <v>#DIV/0!</v>
      </c>
      <c r="AD26" s="3">
        <v>0</v>
      </c>
      <c r="AE26" s="6">
        <v>0</v>
      </c>
      <c r="AF26" s="3" t="e">
        <f t="shared" si="25"/>
        <v>#DIV/0!</v>
      </c>
      <c r="AG26" s="3">
        <v>0</v>
      </c>
      <c r="AH26" s="6">
        <v>0</v>
      </c>
      <c r="AI26" s="3">
        <f t="shared" si="26"/>
        <v>1341.9</v>
      </c>
      <c r="AJ26" s="3">
        <v>26838</v>
      </c>
      <c r="AK26" s="6">
        <v>20</v>
      </c>
      <c r="AL26" s="3">
        <f t="shared" si="27"/>
        <v>1353.9380530973451</v>
      </c>
      <c r="AM26" s="3">
        <v>30599</v>
      </c>
      <c r="AN26" s="6">
        <v>22.6</v>
      </c>
      <c r="AO26" s="3">
        <f t="shared" si="12"/>
        <v>1343.1136044880786</v>
      </c>
      <c r="AP26" s="3">
        <f t="shared" si="14"/>
        <v>191528</v>
      </c>
      <c r="AQ26" s="6">
        <f t="shared" si="15"/>
        <v>142.6</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29" t="s">
        <v>49</v>
      </c>
      <c r="B27" s="20"/>
      <c r="C27" s="20"/>
      <c r="D27" s="20"/>
      <c r="E27" s="3">
        <f t="shared" si="16"/>
        <v>1372.0588235294117</v>
      </c>
      <c r="F27" s="3">
        <v>37320</v>
      </c>
      <c r="G27" s="6">
        <v>27.2</v>
      </c>
      <c r="H27" s="3">
        <f t="shared" si="17"/>
        <v>1562.1428571428571</v>
      </c>
      <c r="I27" s="3">
        <v>91854</v>
      </c>
      <c r="J27" s="6">
        <v>58.8</v>
      </c>
      <c r="K27" s="3">
        <f t="shared" si="18"/>
        <v>1429.3251533742332</v>
      </c>
      <c r="L27" s="3">
        <v>69894</v>
      </c>
      <c r="M27" s="6">
        <v>48.9</v>
      </c>
      <c r="N27" s="3">
        <f t="shared" si="19"/>
        <v>799.24165549233498</v>
      </c>
      <c r="O27" s="3">
        <v>4410695</v>
      </c>
      <c r="P27" s="6">
        <v>5518.6</v>
      </c>
      <c r="Q27" s="3">
        <f t="shared" si="20"/>
        <v>1658.0597014925372</v>
      </c>
      <c r="R27" s="3">
        <v>66654</v>
      </c>
      <c r="S27" s="6">
        <v>40.200000000000003</v>
      </c>
      <c r="T27" s="3">
        <f t="shared" si="21"/>
        <v>1528.0148883374691</v>
      </c>
      <c r="U27" s="3">
        <v>61579</v>
      </c>
      <c r="V27" s="6">
        <v>40.299999999999997</v>
      </c>
      <c r="W27" s="3" t="e">
        <f t="shared" si="22"/>
        <v>#DIV/0!</v>
      </c>
      <c r="X27" s="3">
        <v>0</v>
      </c>
      <c r="Y27" s="6">
        <v>0</v>
      </c>
      <c r="Z27" s="3">
        <f t="shared" si="23"/>
        <v>1694.2091836734692</v>
      </c>
      <c r="AA27" s="3">
        <v>66413</v>
      </c>
      <c r="AB27" s="6">
        <v>39.200000000000003</v>
      </c>
      <c r="AC27" s="3">
        <f t="shared" si="24"/>
        <v>1637.34375</v>
      </c>
      <c r="AD27" s="3">
        <v>31437</v>
      </c>
      <c r="AE27" s="6">
        <v>19.2</v>
      </c>
      <c r="AF27" s="3">
        <f t="shared" si="25"/>
        <v>1825.9493670886077</v>
      </c>
      <c r="AG27" s="3">
        <v>43275</v>
      </c>
      <c r="AH27" s="6">
        <v>23.7</v>
      </c>
      <c r="AI27" s="3">
        <f t="shared" si="26"/>
        <v>1320</v>
      </c>
      <c r="AJ27" s="3">
        <v>26400</v>
      </c>
      <c r="AK27" s="6">
        <v>20</v>
      </c>
      <c r="AL27" s="3">
        <f t="shared" si="27"/>
        <v>1320</v>
      </c>
      <c r="AM27" s="3">
        <v>26400</v>
      </c>
      <c r="AN27" s="6">
        <v>20</v>
      </c>
      <c r="AO27" s="3">
        <f t="shared" si="12"/>
        <v>842.18524273834134</v>
      </c>
      <c r="AP27" s="3">
        <f t="shared" si="14"/>
        <v>4931921</v>
      </c>
      <c r="AQ27" s="6">
        <f t="shared" si="15"/>
        <v>5856.0999999999995</v>
      </c>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
      <c r="A28" s="29" t="s">
        <v>72</v>
      </c>
      <c r="B28" s="20"/>
      <c r="C28" s="20"/>
      <c r="D28" s="20"/>
      <c r="E28" s="3">
        <f t="shared" si="16"/>
        <v>1788.6666666666667</v>
      </c>
      <c r="F28" s="3">
        <v>40245</v>
      </c>
      <c r="G28" s="6">
        <v>22.5</v>
      </c>
      <c r="H28" s="3">
        <f t="shared" si="17"/>
        <v>1880.9740259740258</v>
      </c>
      <c r="I28" s="3">
        <v>28967</v>
      </c>
      <c r="J28" s="6">
        <v>15.4</v>
      </c>
      <c r="K28" s="3">
        <f t="shared" si="18"/>
        <v>2146.5771812080538</v>
      </c>
      <c r="L28" s="3">
        <v>31984</v>
      </c>
      <c r="M28" s="6">
        <v>14.9</v>
      </c>
      <c r="N28" s="3">
        <f t="shared" si="19"/>
        <v>1730.9850746268658</v>
      </c>
      <c r="O28" s="3">
        <v>57988</v>
      </c>
      <c r="P28" s="6">
        <v>33.5</v>
      </c>
      <c r="Q28" s="3">
        <f t="shared" si="20"/>
        <v>2155.8208955223881</v>
      </c>
      <c r="R28" s="3">
        <v>14444</v>
      </c>
      <c r="S28" s="6">
        <v>6.7</v>
      </c>
      <c r="T28" s="3" t="e">
        <f t="shared" si="21"/>
        <v>#DIV/0!</v>
      </c>
      <c r="U28" s="3">
        <v>0</v>
      </c>
      <c r="V28" s="6">
        <v>0</v>
      </c>
      <c r="W28" s="3">
        <f t="shared" si="22"/>
        <v>1508.0645161290322</v>
      </c>
      <c r="X28" s="3">
        <v>9350</v>
      </c>
      <c r="Y28" s="6">
        <v>6.2</v>
      </c>
      <c r="Z28" s="3">
        <f t="shared" si="23"/>
        <v>1904.7857142857142</v>
      </c>
      <c r="AA28" s="3">
        <v>26667</v>
      </c>
      <c r="AB28" s="6">
        <v>14</v>
      </c>
      <c r="AC28" s="3">
        <f t="shared" si="24"/>
        <v>1724.5045045045047</v>
      </c>
      <c r="AD28" s="3">
        <v>19142</v>
      </c>
      <c r="AE28" s="6">
        <v>11.1</v>
      </c>
      <c r="AF28" s="3">
        <f t="shared" si="25"/>
        <v>1412.6621160409557</v>
      </c>
      <c r="AG28" s="3">
        <v>41391</v>
      </c>
      <c r="AH28" s="6">
        <v>29.3</v>
      </c>
      <c r="AI28" s="3">
        <f t="shared" si="26"/>
        <v>1716.0089686098654</v>
      </c>
      <c r="AJ28" s="3">
        <v>38267</v>
      </c>
      <c r="AK28" s="6">
        <v>22.3</v>
      </c>
      <c r="AL28" s="3">
        <f t="shared" si="27"/>
        <v>1446.8789808917197</v>
      </c>
      <c r="AM28" s="3">
        <v>22716</v>
      </c>
      <c r="AN28" s="6">
        <v>15.7</v>
      </c>
      <c r="AO28" s="3">
        <f t="shared" si="12"/>
        <v>1728.3977035490607</v>
      </c>
      <c r="AP28" s="3">
        <f t="shared" si="14"/>
        <v>331161</v>
      </c>
      <c r="AQ28" s="6">
        <f t="shared" si="15"/>
        <v>191.6</v>
      </c>
      <c r="AR28" s="3"/>
      <c r="AS28" s="3"/>
      <c r="AT28" s="3"/>
      <c r="AU28" s="3"/>
      <c r="AV28" s="3"/>
      <c r="AW28" s="3"/>
      <c r="AX28" s="3"/>
      <c r="AY28" s="3"/>
      <c r="AZ28" s="3"/>
      <c r="BA28" s="3"/>
      <c r="BB28" s="3"/>
      <c r="BC28" s="3"/>
      <c r="BD28" s="3"/>
      <c r="BE28" s="3"/>
      <c r="BF28" s="3"/>
      <c r="BG28" s="3"/>
      <c r="BH28" s="3"/>
      <c r="BI28" s="3"/>
      <c r="BJ28" s="3"/>
      <c r="BK28" s="3"/>
      <c r="BL28" s="3"/>
      <c r="BM28" s="3"/>
      <c r="BN28" s="3"/>
      <c r="BO28" s="3"/>
    </row>
    <row r="29" spans="1:67" x14ac:dyDescent="0.3">
      <c r="A29" s="29" t="s">
        <v>29</v>
      </c>
      <c r="B29" s="20"/>
      <c r="C29" s="20"/>
      <c r="D29" s="20"/>
      <c r="E29" s="3">
        <f t="shared" si="16"/>
        <v>2096.8435013262597</v>
      </c>
      <c r="F29" s="3">
        <v>79051</v>
      </c>
      <c r="G29" s="6">
        <v>37.700000000000003</v>
      </c>
      <c r="H29" s="3">
        <f t="shared" si="17"/>
        <v>2153.3159268929508</v>
      </c>
      <c r="I29" s="3">
        <v>82472</v>
      </c>
      <c r="J29" s="6">
        <v>38.299999999999997</v>
      </c>
      <c r="K29" s="3">
        <f t="shared" si="18"/>
        <v>1791.8264840182649</v>
      </c>
      <c r="L29" s="3">
        <v>39241</v>
      </c>
      <c r="M29" s="6">
        <v>21.9</v>
      </c>
      <c r="N29" s="3">
        <f t="shared" si="19"/>
        <v>1861.5337423312883</v>
      </c>
      <c r="O29" s="3">
        <v>30343</v>
      </c>
      <c r="P29" s="6">
        <v>16.3</v>
      </c>
      <c r="Q29" s="3">
        <f t="shared" si="20"/>
        <v>1960.6122448979593</v>
      </c>
      <c r="R29" s="3">
        <v>57642</v>
      </c>
      <c r="S29" s="6">
        <v>29.4</v>
      </c>
      <c r="T29" s="3">
        <f t="shared" si="21"/>
        <v>1145.5769230769231</v>
      </c>
      <c r="U29" s="3">
        <v>11914</v>
      </c>
      <c r="V29" s="6">
        <v>10.4</v>
      </c>
      <c r="W29" s="3">
        <f t="shared" si="22"/>
        <v>3668.6</v>
      </c>
      <c r="X29" s="3">
        <v>36686</v>
      </c>
      <c r="Y29" s="6">
        <v>10</v>
      </c>
      <c r="Z29" s="3">
        <f t="shared" si="23"/>
        <v>2508.9473684210529</v>
      </c>
      <c r="AA29" s="3">
        <v>19068</v>
      </c>
      <c r="AB29" s="6">
        <v>7.6</v>
      </c>
      <c r="AC29" s="3">
        <f t="shared" si="24"/>
        <v>2242.3333333333335</v>
      </c>
      <c r="AD29" s="3">
        <v>20181</v>
      </c>
      <c r="AE29" s="6">
        <v>9</v>
      </c>
      <c r="AF29" s="3">
        <f t="shared" si="25"/>
        <v>2589.6350364963505</v>
      </c>
      <c r="AG29" s="3">
        <v>70956</v>
      </c>
      <c r="AH29" s="6">
        <v>27.4</v>
      </c>
      <c r="AI29" s="3">
        <f t="shared" si="26"/>
        <v>3447.7142857142858</v>
      </c>
      <c r="AJ29" s="3">
        <v>48268</v>
      </c>
      <c r="AK29" s="6">
        <v>14</v>
      </c>
      <c r="AL29" s="3">
        <f t="shared" si="27"/>
        <v>1884.952380952381</v>
      </c>
      <c r="AM29" s="3">
        <v>19792</v>
      </c>
      <c r="AN29" s="6">
        <v>10.5</v>
      </c>
      <c r="AO29" s="3">
        <f t="shared" si="12"/>
        <v>2217.6946236559138</v>
      </c>
      <c r="AP29" s="3">
        <f t="shared" si="14"/>
        <v>515614</v>
      </c>
      <c r="AQ29" s="6">
        <f t="shared" si="15"/>
        <v>232.5</v>
      </c>
      <c r="AR29" s="3"/>
      <c r="AS29" s="3"/>
      <c r="AT29" s="3"/>
      <c r="AU29" s="3"/>
      <c r="AV29" s="3"/>
      <c r="AW29" s="3"/>
      <c r="AX29" s="3"/>
      <c r="AY29" s="3"/>
      <c r="AZ29" s="3"/>
      <c r="BA29" s="3"/>
      <c r="BB29" s="3"/>
      <c r="BC29" s="3"/>
      <c r="BD29" s="3"/>
      <c r="BE29" s="3"/>
      <c r="BF29" s="3"/>
      <c r="BG29" s="3"/>
      <c r="BH29" s="3"/>
      <c r="BI29" s="3"/>
      <c r="BJ29" s="3"/>
      <c r="BK29" s="3"/>
      <c r="BL29" s="3"/>
      <c r="BM29" s="3"/>
      <c r="BN29" s="3"/>
      <c r="BO29" s="3"/>
    </row>
    <row r="30" spans="1:67" x14ac:dyDescent="0.3">
      <c r="A30" s="29" t="s">
        <v>18</v>
      </c>
      <c r="B30" s="20"/>
      <c r="C30" s="20"/>
      <c r="D30" s="20"/>
      <c r="E30" s="3" t="e">
        <f t="shared" si="16"/>
        <v>#DIV/0!</v>
      </c>
      <c r="F30" s="3">
        <v>0</v>
      </c>
      <c r="G30" s="6">
        <v>0</v>
      </c>
      <c r="H30" s="3">
        <f t="shared" si="17"/>
        <v>4125.2380952380954</v>
      </c>
      <c r="I30" s="3">
        <v>8663</v>
      </c>
      <c r="J30" s="6">
        <v>2.1</v>
      </c>
      <c r="K30" s="3">
        <f t="shared" si="18"/>
        <v>2723.4920634920636</v>
      </c>
      <c r="L30" s="3">
        <v>17158</v>
      </c>
      <c r="M30" s="6">
        <v>6.3</v>
      </c>
      <c r="N30" s="3" t="e">
        <f t="shared" si="19"/>
        <v>#DIV/0!</v>
      </c>
      <c r="O30" s="3">
        <v>0</v>
      </c>
      <c r="P30" s="6">
        <v>0</v>
      </c>
      <c r="Q30" s="3">
        <f t="shared" si="20"/>
        <v>3866</v>
      </c>
      <c r="R30" s="3">
        <v>13531</v>
      </c>
      <c r="S30" s="6">
        <v>3.5</v>
      </c>
      <c r="T30" s="3">
        <f t="shared" si="21"/>
        <v>2352</v>
      </c>
      <c r="U30" s="3">
        <v>9408</v>
      </c>
      <c r="V30" s="6">
        <v>4</v>
      </c>
      <c r="W30" s="3" t="e">
        <f t="shared" si="22"/>
        <v>#DIV/0!</v>
      </c>
      <c r="X30" s="3">
        <v>0</v>
      </c>
      <c r="Y30" s="6">
        <v>0</v>
      </c>
      <c r="Z30" s="3">
        <f t="shared" si="23"/>
        <v>2408.4615384615386</v>
      </c>
      <c r="AA30" s="3">
        <v>6262</v>
      </c>
      <c r="AB30" s="6">
        <v>2.6</v>
      </c>
      <c r="AC30" s="3">
        <f t="shared" si="24"/>
        <v>1552.1568627450981</v>
      </c>
      <c r="AD30" s="3">
        <v>7916</v>
      </c>
      <c r="AE30" s="6">
        <v>5.0999999999999996</v>
      </c>
      <c r="AF30" s="3">
        <f t="shared" si="25"/>
        <v>1834.1176470588236</v>
      </c>
      <c r="AG30" s="3">
        <v>3118</v>
      </c>
      <c r="AH30" s="6">
        <v>1.7</v>
      </c>
      <c r="AI30" s="3">
        <f t="shared" si="26"/>
        <v>1191.4093959731542</v>
      </c>
      <c r="AJ30" s="3">
        <v>71008</v>
      </c>
      <c r="AK30" s="6">
        <v>59.6</v>
      </c>
      <c r="AL30" s="3">
        <f t="shared" si="27"/>
        <v>933.21608040201011</v>
      </c>
      <c r="AM30" s="3">
        <v>18571</v>
      </c>
      <c r="AN30" s="6">
        <v>19.899999999999999</v>
      </c>
      <c r="AO30" s="3">
        <f t="shared" si="12"/>
        <v>1485.0667938931297</v>
      </c>
      <c r="AP30" s="3">
        <f t="shared" si="14"/>
        <v>155635</v>
      </c>
      <c r="AQ30" s="6">
        <f t="shared" si="15"/>
        <v>104.80000000000001</v>
      </c>
      <c r="AR30" s="3"/>
      <c r="AS30" s="3"/>
      <c r="AT30" s="3"/>
      <c r="AU30" s="3"/>
      <c r="AV30" s="3"/>
      <c r="AW30" s="3"/>
      <c r="AX30" s="3"/>
      <c r="AY30" s="3"/>
      <c r="AZ30" s="3"/>
      <c r="BA30" s="3"/>
      <c r="BB30" s="3"/>
      <c r="BC30" s="3"/>
      <c r="BD30" s="3"/>
      <c r="BE30" s="3"/>
      <c r="BF30" s="3"/>
      <c r="BG30" s="3"/>
      <c r="BH30" s="3"/>
      <c r="BI30" s="3"/>
      <c r="BJ30" s="3"/>
      <c r="BK30" s="3"/>
      <c r="BL30" s="3"/>
      <c r="BM30" s="3"/>
      <c r="BN30" s="3"/>
      <c r="BO30" s="3"/>
    </row>
    <row r="31" spans="1:67" x14ac:dyDescent="0.3">
      <c r="A31" s="29" t="s">
        <v>31</v>
      </c>
      <c r="B31" s="20"/>
      <c r="C31" s="20"/>
      <c r="D31" s="20"/>
      <c r="E31" s="3">
        <f t="shared" si="16"/>
        <v>2192.6446280991736</v>
      </c>
      <c r="F31" s="3">
        <v>26531</v>
      </c>
      <c r="G31" s="6">
        <v>12.1</v>
      </c>
      <c r="H31" s="3">
        <f t="shared" si="17"/>
        <v>2293.4042553191489</v>
      </c>
      <c r="I31" s="3">
        <v>32337</v>
      </c>
      <c r="J31" s="6">
        <v>14.1</v>
      </c>
      <c r="K31" s="3">
        <f t="shared" si="18"/>
        <v>2286.6867469879517</v>
      </c>
      <c r="L31" s="3">
        <v>37959</v>
      </c>
      <c r="M31" s="6">
        <v>16.600000000000001</v>
      </c>
      <c r="N31" s="3">
        <f t="shared" si="19"/>
        <v>2322.5510204081629</v>
      </c>
      <c r="O31" s="3">
        <v>22761</v>
      </c>
      <c r="P31" s="6">
        <v>9.8000000000000007</v>
      </c>
      <c r="Q31" s="3" t="e">
        <f t="shared" si="20"/>
        <v>#DIV/0!</v>
      </c>
      <c r="R31" s="3">
        <v>0</v>
      </c>
      <c r="S31" s="6">
        <v>0</v>
      </c>
      <c r="T31" s="3">
        <f t="shared" si="21"/>
        <v>2665.4017857142858</v>
      </c>
      <c r="U31" s="3">
        <v>59705</v>
      </c>
      <c r="V31" s="6">
        <v>22.4</v>
      </c>
      <c r="W31" s="3">
        <f t="shared" si="22"/>
        <v>2115.1304347826085</v>
      </c>
      <c r="X31" s="3">
        <v>24324</v>
      </c>
      <c r="Y31" s="6">
        <v>11.5</v>
      </c>
      <c r="Z31" s="3">
        <f t="shared" si="23"/>
        <v>2307.8151260504201</v>
      </c>
      <c r="AA31" s="3">
        <v>27463</v>
      </c>
      <c r="AB31" s="6">
        <v>11.9</v>
      </c>
      <c r="AC31" s="3">
        <f t="shared" si="24"/>
        <v>1872.5714285714287</v>
      </c>
      <c r="AD31" s="3">
        <v>6554</v>
      </c>
      <c r="AE31" s="6">
        <v>3.5</v>
      </c>
      <c r="AF31" s="3">
        <f t="shared" si="25"/>
        <v>1932.9032258064515</v>
      </c>
      <c r="AG31" s="3">
        <v>35952</v>
      </c>
      <c r="AH31" s="6">
        <v>18.600000000000001</v>
      </c>
      <c r="AI31" s="3">
        <f t="shared" si="26"/>
        <v>1960.1818181818182</v>
      </c>
      <c r="AJ31" s="3">
        <v>10781</v>
      </c>
      <c r="AK31" s="6">
        <v>5.5</v>
      </c>
      <c r="AL31" s="3">
        <f t="shared" si="27"/>
        <v>2763.5555555555557</v>
      </c>
      <c r="AM31" s="3">
        <v>12436</v>
      </c>
      <c r="AN31" s="6">
        <v>4.5</v>
      </c>
      <c r="AO31" s="3">
        <f t="shared" si="12"/>
        <v>2274.352490421456</v>
      </c>
      <c r="AP31" s="3">
        <f t="shared" si="14"/>
        <v>296803</v>
      </c>
      <c r="AQ31" s="6">
        <f t="shared" si="15"/>
        <v>130.5</v>
      </c>
      <c r="AR31" s="3"/>
      <c r="AS31" s="3"/>
      <c r="AT31" s="3"/>
      <c r="AU31" s="3"/>
      <c r="AV31" s="3"/>
      <c r="AW31" s="3"/>
      <c r="AX31" s="3"/>
      <c r="AY31" s="3"/>
      <c r="AZ31" s="3"/>
      <c r="BA31" s="3"/>
      <c r="BB31" s="3"/>
      <c r="BC31" s="3"/>
      <c r="BD31" s="3"/>
      <c r="BE31" s="3"/>
      <c r="BF31" s="3"/>
      <c r="BG31" s="3"/>
      <c r="BH31" s="3"/>
      <c r="BI31" s="3"/>
      <c r="BJ31" s="3"/>
      <c r="BK31" s="3"/>
      <c r="BL31" s="3"/>
      <c r="BM31" s="3"/>
      <c r="BN31" s="3"/>
      <c r="BO31" s="3"/>
    </row>
    <row r="32" spans="1:67" x14ac:dyDescent="0.3">
      <c r="A32" s="29" t="s">
        <v>39</v>
      </c>
      <c r="B32" s="20"/>
      <c r="C32" s="20"/>
      <c r="D32" s="20"/>
      <c r="E32" s="3">
        <f t="shared" si="16"/>
        <v>1271.5315315315315</v>
      </c>
      <c r="F32" s="3">
        <v>28228</v>
      </c>
      <c r="G32" s="6">
        <v>22.2</v>
      </c>
      <c r="H32" s="3">
        <f t="shared" si="17"/>
        <v>2073.3962264150946</v>
      </c>
      <c r="I32" s="3">
        <v>10989</v>
      </c>
      <c r="J32" s="6">
        <v>5.3</v>
      </c>
      <c r="K32" s="3">
        <f t="shared" si="18"/>
        <v>2207.1428571428569</v>
      </c>
      <c r="L32" s="3">
        <v>4635</v>
      </c>
      <c r="M32" s="6">
        <v>2.1</v>
      </c>
      <c r="N32" s="3">
        <f t="shared" si="19"/>
        <v>3648.1578947368421</v>
      </c>
      <c r="O32" s="3">
        <v>13863</v>
      </c>
      <c r="P32" s="6">
        <v>3.8</v>
      </c>
      <c r="Q32" s="3">
        <f t="shared" si="20"/>
        <v>1452.3376623376623</v>
      </c>
      <c r="R32" s="3">
        <v>44732</v>
      </c>
      <c r="S32" s="6">
        <v>30.8</v>
      </c>
      <c r="T32" s="3">
        <f t="shared" si="21"/>
        <v>1402.9668049792531</v>
      </c>
      <c r="U32" s="3">
        <v>67623</v>
      </c>
      <c r="V32" s="6">
        <v>48.2</v>
      </c>
      <c r="W32" s="3">
        <f t="shared" si="22"/>
        <v>1641.2121212121212</v>
      </c>
      <c r="X32" s="3">
        <v>10832</v>
      </c>
      <c r="Y32" s="6">
        <v>6.6</v>
      </c>
      <c r="Z32" s="3">
        <f t="shared" si="23"/>
        <v>2000.3048780487807</v>
      </c>
      <c r="AA32" s="3">
        <v>32805</v>
      </c>
      <c r="AB32" s="6">
        <v>16.399999999999999</v>
      </c>
      <c r="AC32" s="3" t="e">
        <f t="shared" si="24"/>
        <v>#DIV/0!</v>
      </c>
      <c r="AD32" s="3">
        <v>0</v>
      </c>
      <c r="AE32" s="6">
        <v>0</v>
      </c>
      <c r="AF32" s="3">
        <f t="shared" si="25"/>
        <v>1872.3076923076924</v>
      </c>
      <c r="AG32" s="3">
        <v>17038</v>
      </c>
      <c r="AH32" s="6">
        <v>9.1</v>
      </c>
      <c r="AI32" s="3">
        <f t="shared" si="26"/>
        <v>1696.2941176470588</v>
      </c>
      <c r="AJ32" s="3">
        <v>28837</v>
      </c>
      <c r="AK32" s="6">
        <v>17</v>
      </c>
      <c r="AL32" s="3">
        <f t="shared" si="27"/>
        <v>1672.0588235294117</v>
      </c>
      <c r="AM32" s="3">
        <v>11370</v>
      </c>
      <c r="AN32" s="6">
        <v>6.8</v>
      </c>
      <c r="AO32" s="3">
        <f t="shared" si="12"/>
        <v>1609.9346405228757</v>
      </c>
      <c r="AP32" s="3">
        <f t="shared" si="14"/>
        <v>270952</v>
      </c>
      <c r="AQ32" s="6">
        <f t="shared" si="15"/>
        <v>168.3</v>
      </c>
      <c r="AR32" s="3"/>
      <c r="AS32" s="3"/>
      <c r="AT32" s="3"/>
      <c r="AU32" s="3"/>
      <c r="AV32" s="3"/>
      <c r="AW32" s="3"/>
      <c r="AX32" s="3"/>
      <c r="AY32" s="3"/>
      <c r="AZ32" s="3"/>
      <c r="BA32" s="3"/>
      <c r="BB32" s="3"/>
      <c r="BC32" s="3"/>
      <c r="BD32" s="3"/>
      <c r="BE32" s="3"/>
      <c r="BF32" s="3"/>
      <c r="BG32" s="3"/>
      <c r="BH32" s="3"/>
      <c r="BI32" s="3"/>
      <c r="BJ32" s="3"/>
      <c r="BK32" s="3"/>
      <c r="BL32" s="3"/>
      <c r="BM32" s="3"/>
      <c r="BN32" s="3"/>
      <c r="BO32" s="3"/>
    </row>
    <row r="33" spans="1:67" x14ac:dyDescent="0.3">
      <c r="A33" s="29" t="s">
        <v>69</v>
      </c>
      <c r="B33" s="20"/>
      <c r="C33" s="20"/>
      <c r="D33" s="20"/>
      <c r="E33" s="3" t="e">
        <f t="shared" si="16"/>
        <v>#DIV/0!</v>
      </c>
      <c r="F33" s="3">
        <v>0</v>
      </c>
      <c r="G33" s="6">
        <v>0</v>
      </c>
      <c r="H33" s="3">
        <f t="shared" si="17"/>
        <v>2153.5849056603774</v>
      </c>
      <c r="I33" s="3">
        <v>11414</v>
      </c>
      <c r="J33" s="6">
        <v>5.3</v>
      </c>
      <c r="K33" s="3" t="e">
        <f t="shared" si="18"/>
        <v>#DIV/0!</v>
      </c>
      <c r="L33" s="3">
        <v>0</v>
      </c>
      <c r="M33" s="6">
        <v>0</v>
      </c>
      <c r="N33" s="3" t="e">
        <f t="shared" si="19"/>
        <v>#DIV/0!</v>
      </c>
      <c r="O33" s="3">
        <v>0</v>
      </c>
      <c r="P33" s="6">
        <v>0</v>
      </c>
      <c r="Q33" s="3" t="e">
        <f t="shared" si="20"/>
        <v>#DIV/0!</v>
      </c>
      <c r="R33" s="3">
        <v>0</v>
      </c>
      <c r="S33" s="6">
        <v>0</v>
      </c>
      <c r="T33" s="3">
        <f t="shared" si="21"/>
        <v>4920</v>
      </c>
      <c r="U33" s="3">
        <v>2952</v>
      </c>
      <c r="V33" s="6">
        <v>0.6</v>
      </c>
      <c r="W33" s="3" t="e">
        <f t="shared" si="22"/>
        <v>#DIV/0!</v>
      </c>
      <c r="X33" s="3">
        <v>0</v>
      </c>
      <c r="Y33" s="6">
        <v>0</v>
      </c>
      <c r="Z33" s="3">
        <f t="shared" si="23"/>
        <v>2126.7741935483868</v>
      </c>
      <c r="AA33" s="3">
        <v>6593</v>
      </c>
      <c r="AB33" s="6">
        <v>3.1</v>
      </c>
      <c r="AC33" s="3" t="e">
        <f t="shared" si="24"/>
        <v>#DIV/0!</v>
      </c>
      <c r="AD33" s="3">
        <v>0</v>
      </c>
      <c r="AE33" s="6">
        <v>0</v>
      </c>
      <c r="AF33" s="3" t="e">
        <f t="shared" si="25"/>
        <v>#DIV/0!</v>
      </c>
      <c r="AG33" s="3">
        <v>0</v>
      </c>
      <c r="AH33" s="6">
        <v>0</v>
      </c>
      <c r="AI33" s="3" t="e">
        <f t="shared" si="26"/>
        <v>#DIV/0!</v>
      </c>
      <c r="AJ33" s="3">
        <v>0</v>
      </c>
      <c r="AK33" s="6">
        <v>0</v>
      </c>
      <c r="AL33" s="3">
        <f t="shared" si="27"/>
        <v>2698.0645161290322</v>
      </c>
      <c r="AM33" s="3">
        <v>8364</v>
      </c>
      <c r="AN33" s="6">
        <v>3.1</v>
      </c>
      <c r="AO33" s="3">
        <f t="shared" si="12"/>
        <v>2423.3884297520663</v>
      </c>
      <c r="AP33" s="3">
        <f t="shared" si="14"/>
        <v>29323</v>
      </c>
      <c r="AQ33" s="6">
        <f t="shared" si="15"/>
        <v>12.1</v>
      </c>
      <c r="AR33" s="3"/>
      <c r="AS33" s="3"/>
      <c r="AT33" s="3"/>
      <c r="AU33" s="3"/>
      <c r="AV33" s="3"/>
      <c r="AW33" s="3"/>
      <c r="AX33" s="3"/>
      <c r="AY33" s="3"/>
      <c r="AZ33" s="3"/>
      <c r="BA33" s="3"/>
      <c r="BB33" s="3"/>
      <c r="BC33" s="3"/>
      <c r="BD33" s="3"/>
      <c r="BE33" s="3"/>
      <c r="BF33" s="3"/>
      <c r="BG33" s="3"/>
      <c r="BH33" s="3"/>
      <c r="BI33" s="3"/>
      <c r="BJ33" s="3"/>
      <c r="BK33" s="3"/>
      <c r="BL33" s="3"/>
      <c r="BM33" s="3"/>
      <c r="BN33" s="3"/>
      <c r="BO33" s="3"/>
    </row>
    <row r="34" spans="1:67" x14ac:dyDescent="0.3">
      <c r="A34" s="29" t="s">
        <v>62</v>
      </c>
      <c r="B34" s="20"/>
      <c r="C34" s="20"/>
      <c r="D34" s="20"/>
      <c r="E34" s="3">
        <f t="shared" si="16"/>
        <v>1740.3896103896104</v>
      </c>
      <c r="F34" s="3">
        <v>13401</v>
      </c>
      <c r="G34" s="6">
        <v>7.7</v>
      </c>
      <c r="H34" s="3">
        <f t="shared" si="17"/>
        <v>2580</v>
      </c>
      <c r="I34" s="3">
        <v>3354</v>
      </c>
      <c r="J34" s="6">
        <v>1.3</v>
      </c>
      <c r="K34" s="3">
        <f t="shared" si="18"/>
        <v>1721.2068965517242</v>
      </c>
      <c r="L34" s="3">
        <v>19966</v>
      </c>
      <c r="M34" s="6">
        <v>11.6</v>
      </c>
      <c r="N34" s="3">
        <f t="shared" si="19"/>
        <v>967</v>
      </c>
      <c r="O34" s="3">
        <v>5802</v>
      </c>
      <c r="P34" s="6">
        <v>6</v>
      </c>
      <c r="Q34" s="3">
        <f t="shared" si="20"/>
        <v>1136.4502164502164</v>
      </c>
      <c r="R34" s="3">
        <v>26252</v>
      </c>
      <c r="S34" s="6">
        <v>23.1</v>
      </c>
      <c r="T34" s="3">
        <f t="shared" si="21"/>
        <v>1989.7014925373135</v>
      </c>
      <c r="U34" s="3">
        <v>26662</v>
      </c>
      <c r="V34" s="6">
        <v>13.4</v>
      </c>
      <c r="W34" s="3">
        <f t="shared" si="22"/>
        <v>1152.6315789473683</v>
      </c>
      <c r="X34" s="3">
        <v>13140</v>
      </c>
      <c r="Y34" s="6">
        <v>11.4</v>
      </c>
      <c r="Z34" s="3">
        <f t="shared" si="23"/>
        <v>1232.2988505747128</v>
      </c>
      <c r="AA34" s="3">
        <v>21442</v>
      </c>
      <c r="AB34" s="6">
        <v>17.399999999999999</v>
      </c>
      <c r="AC34" s="3">
        <f t="shared" si="24"/>
        <v>1168.4269662921347</v>
      </c>
      <c r="AD34" s="3">
        <v>10399</v>
      </c>
      <c r="AE34" s="6">
        <v>8.9</v>
      </c>
      <c r="AF34" s="3">
        <f t="shared" si="25"/>
        <v>1186.25</v>
      </c>
      <c r="AG34" s="3">
        <v>5694</v>
      </c>
      <c r="AH34" s="6">
        <v>4.8</v>
      </c>
      <c r="AI34" s="3">
        <f t="shared" si="26"/>
        <v>1637.1</v>
      </c>
      <c r="AJ34" s="3">
        <v>16371</v>
      </c>
      <c r="AK34" s="6">
        <v>10</v>
      </c>
      <c r="AL34" s="3">
        <f t="shared" si="27"/>
        <v>1202.2388059701493</v>
      </c>
      <c r="AM34" s="3">
        <v>8055</v>
      </c>
      <c r="AN34" s="6">
        <v>6.7</v>
      </c>
      <c r="AO34" s="3">
        <f t="shared" si="12"/>
        <v>1394.4235486508585</v>
      </c>
      <c r="AP34" s="3">
        <f t="shared" si="14"/>
        <v>170538</v>
      </c>
      <c r="AQ34" s="6">
        <f t="shared" si="15"/>
        <v>122.30000000000001</v>
      </c>
      <c r="AR34" s="3"/>
      <c r="AS34" s="3"/>
      <c r="AT34" s="3"/>
      <c r="AU34" s="3"/>
      <c r="AV34" s="3"/>
      <c r="AW34" s="3"/>
      <c r="AX34" s="3"/>
      <c r="AY34" s="3"/>
      <c r="AZ34" s="3"/>
      <c r="BA34" s="3"/>
      <c r="BB34" s="3"/>
      <c r="BC34" s="3"/>
      <c r="BD34" s="3"/>
      <c r="BE34" s="3"/>
      <c r="BF34" s="3"/>
      <c r="BG34" s="3"/>
      <c r="BH34" s="3"/>
      <c r="BI34" s="3"/>
      <c r="BJ34" s="3"/>
      <c r="BK34" s="3"/>
      <c r="BL34" s="3"/>
      <c r="BM34" s="3"/>
      <c r="BN34" s="3"/>
      <c r="BO34" s="3"/>
    </row>
    <row r="35" spans="1:67" x14ac:dyDescent="0.3">
      <c r="A35" s="29" t="s">
        <v>60</v>
      </c>
      <c r="B35" s="20"/>
      <c r="C35" s="20"/>
      <c r="D35" s="20"/>
      <c r="E35" s="3">
        <f t="shared" si="16"/>
        <v>1739.4202898550723</v>
      </c>
      <c r="F35" s="3">
        <v>12002</v>
      </c>
      <c r="G35" s="6">
        <v>6.9</v>
      </c>
      <c r="H35" s="3">
        <f t="shared" si="17"/>
        <v>2465.4576856649396</v>
      </c>
      <c r="I35" s="3">
        <v>142750</v>
      </c>
      <c r="J35" s="6">
        <v>57.9</v>
      </c>
      <c r="K35" s="3" t="e">
        <f t="shared" si="18"/>
        <v>#DIV/0!</v>
      </c>
      <c r="L35" s="3">
        <v>0</v>
      </c>
      <c r="M35" s="6">
        <v>0</v>
      </c>
      <c r="N35" s="3">
        <f t="shared" si="19"/>
        <v>1832.0740740740741</v>
      </c>
      <c r="O35" s="3">
        <v>24733</v>
      </c>
      <c r="P35" s="6">
        <v>13.5</v>
      </c>
      <c r="Q35" s="3">
        <f t="shared" si="20"/>
        <v>1601.7241379310344</v>
      </c>
      <c r="R35" s="3">
        <v>4645</v>
      </c>
      <c r="S35" s="6">
        <v>2.9</v>
      </c>
      <c r="T35" s="3">
        <f t="shared" si="21"/>
        <v>4261.4285714285716</v>
      </c>
      <c r="U35" s="3">
        <v>2983</v>
      </c>
      <c r="V35" s="6">
        <v>0.7</v>
      </c>
      <c r="W35" s="3" t="e">
        <f t="shared" si="22"/>
        <v>#DIV/0!</v>
      </c>
      <c r="X35" s="3">
        <v>0</v>
      </c>
      <c r="Y35" s="6">
        <v>0</v>
      </c>
      <c r="Z35" s="3">
        <f t="shared" si="23"/>
        <v>1958.1159420289855</v>
      </c>
      <c r="AA35" s="3">
        <v>13511</v>
      </c>
      <c r="AB35" s="6">
        <v>6.9</v>
      </c>
      <c r="AC35" s="3">
        <f t="shared" si="24"/>
        <v>2375.3658536585367</v>
      </c>
      <c r="AD35" s="3">
        <v>19478</v>
      </c>
      <c r="AE35" s="6">
        <v>8.1999999999999993</v>
      </c>
      <c r="AF35" s="3">
        <f t="shared" si="25"/>
        <v>2156.3333333333335</v>
      </c>
      <c r="AG35" s="3">
        <v>6469</v>
      </c>
      <c r="AH35" s="6">
        <v>3</v>
      </c>
      <c r="AI35" s="3">
        <f t="shared" si="26"/>
        <v>2225</v>
      </c>
      <c r="AJ35" s="3">
        <v>4450</v>
      </c>
      <c r="AK35" s="6">
        <v>2</v>
      </c>
      <c r="AL35" s="3">
        <f t="shared" si="27"/>
        <v>1791.590909090909</v>
      </c>
      <c r="AM35" s="3">
        <v>7883</v>
      </c>
      <c r="AN35" s="6">
        <v>4.4000000000000004</v>
      </c>
      <c r="AO35" s="3">
        <f t="shared" si="12"/>
        <v>2245.3383458646613</v>
      </c>
      <c r="AP35" s="3">
        <f t="shared" si="14"/>
        <v>238904</v>
      </c>
      <c r="AQ35" s="6">
        <f t="shared" si="15"/>
        <v>106.40000000000002</v>
      </c>
      <c r="AR35" s="3"/>
      <c r="AS35" s="3"/>
      <c r="AT35" s="3"/>
      <c r="AU35" s="3"/>
      <c r="AV35" s="3"/>
      <c r="AW35" s="3"/>
      <c r="AX35" s="3"/>
      <c r="AY35" s="3"/>
      <c r="AZ35" s="3"/>
      <c r="BA35" s="3"/>
      <c r="BB35" s="3"/>
      <c r="BC35" s="3"/>
      <c r="BD35" s="3"/>
      <c r="BE35" s="3"/>
      <c r="BF35" s="3"/>
      <c r="BG35" s="3"/>
      <c r="BH35" s="3"/>
      <c r="BI35" s="3"/>
      <c r="BJ35" s="3"/>
      <c r="BK35" s="3"/>
      <c r="BL35" s="3"/>
      <c r="BM35" s="3"/>
      <c r="BN35" s="3"/>
      <c r="BO35" s="3"/>
    </row>
    <row r="36" spans="1:67" x14ac:dyDescent="0.3">
      <c r="A36" s="29" t="s">
        <v>48</v>
      </c>
      <c r="B36" s="20"/>
      <c r="C36" s="20"/>
      <c r="D36" s="20"/>
      <c r="E36" s="3">
        <f t="shared" si="16"/>
        <v>1524.7933884297522</v>
      </c>
      <c r="F36" s="3">
        <v>18450</v>
      </c>
      <c r="G36" s="6">
        <v>12.1</v>
      </c>
      <c r="H36" s="3">
        <f t="shared" si="17"/>
        <v>1046.56</v>
      </c>
      <c r="I36" s="3">
        <v>13082</v>
      </c>
      <c r="J36" s="6">
        <v>12.5</v>
      </c>
      <c r="K36" s="3">
        <f t="shared" si="18"/>
        <v>1444.8739495798318</v>
      </c>
      <c r="L36" s="3">
        <v>17194</v>
      </c>
      <c r="M36" s="6">
        <v>11.9</v>
      </c>
      <c r="N36" s="3" t="e">
        <f t="shared" si="19"/>
        <v>#DIV/0!</v>
      </c>
      <c r="O36" s="3">
        <v>0</v>
      </c>
      <c r="P36" s="6">
        <v>0</v>
      </c>
      <c r="Q36" s="3">
        <f t="shared" si="20"/>
        <v>1529.0291262135922</v>
      </c>
      <c r="R36" s="3">
        <v>15749</v>
      </c>
      <c r="S36" s="6">
        <v>10.3</v>
      </c>
      <c r="T36" s="3">
        <f t="shared" si="21"/>
        <v>1499.8765432098767</v>
      </c>
      <c r="U36" s="3">
        <v>24298</v>
      </c>
      <c r="V36" s="6">
        <v>16.2</v>
      </c>
      <c r="W36" s="3">
        <f t="shared" si="22"/>
        <v>1622.686567164179</v>
      </c>
      <c r="X36" s="3">
        <v>10872</v>
      </c>
      <c r="Y36" s="6">
        <v>6.7</v>
      </c>
      <c r="Z36" s="3">
        <f t="shared" si="23"/>
        <v>1599.5522388059701</v>
      </c>
      <c r="AA36" s="3">
        <v>10717</v>
      </c>
      <c r="AB36" s="6">
        <v>6.7</v>
      </c>
      <c r="AC36" s="3">
        <f t="shared" si="24"/>
        <v>1634.4230769230769</v>
      </c>
      <c r="AD36" s="3">
        <v>8499</v>
      </c>
      <c r="AE36" s="6">
        <v>5.2</v>
      </c>
      <c r="AF36" s="3">
        <f t="shared" si="25"/>
        <v>1471.4666666666667</v>
      </c>
      <c r="AG36" s="3">
        <v>22072</v>
      </c>
      <c r="AH36" s="6">
        <v>15</v>
      </c>
      <c r="AI36" s="3">
        <f t="shared" si="26"/>
        <v>1460.3125</v>
      </c>
      <c r="AJ36" s="3">
        <v>18692</v>
      </c>
      <c r="AK36" s="6">
        <v>12.8</v>
      </c>
      <c r="AL36" s="3">
        <f t="shared" si="27"/>
        <v>2132.5925925925926</v>
      </c>
      <c r="AM36" s="3">
        <v>5758</v>
      </c>
      <c r="AN36" s="6">
        <v>2.7</v>
      </c>
      <c r="AO36" s="3">
        <f t="shared" si="12"/>
        <v>1475.3166815343443</v>
      </c>
      <c r="AP36" s="3">
        <f t="shared" si="14"/>
        <v>165383</v>
      </c>
      <c r="AQ36" s="6">
        <f t="shared" si="15"/>
        <v>112.10000000000001</v>
      </c>
      <c r="AR36" s="3"/>
      <c r="AS36" s="3"/>
      <c r="AT36" s="3"/>
      <c r="AU36" s="3"/>
      <c r="AV36" s="3"/>
      <c r="AW36" s="3"/>
      <c r="AX36" s="3"/>
      <c r="AY36" s="3"/>
      <c r="AZ36" s="3"/>
      <c r="BA36" s="3"/>
      <c r="BB36" s="3"/>
      <c r="BC36" s="3"/>
      <c r="BD36" s="3"/>
      <c r="BE36" s="3"/>
      <c r="BF36" s="3"/>
      <c r="BG36" s="3"/>
      <c r="BH36" s="3"/>
      <c r="BI36" s="3"/>
      <c r="BJ36" s="3"/>
      <c r="BK36" s="3"/>
      <c r="BL36" s="3"/>
      <c r="BM36" s="3"/>
      <c r="BN36" s="3"/>
      <c r="BO36" s="3"/>
    </row>
    <row r="37" spans="1:67" x14ac:dyDescent="0.3">
      <c r="A37" s="29" t="s">
        <v>63</v>
      </c>
      <c r="B37" s="20"/>
      <c r="C37" s="20"/>
      <c r="D37" s="20"/>
      <c r="E37" s="3" t="e">
        <f t="shared" si="16"/>
        <v>#DIV/0!</v>
      </c>
      <c r="F37" s="3">
        <v>0</v>
      </c>
      <c r="G37" s="6">
        <v>0</v>
      </c>
      <c r="H37" s="3">
        <f t="shared" si="17"/>
        <v>1560.9615384615383</v>
      </c>
      <c r="I37" s="3">
        <v>8117</v>
      </c>
      <c r="J37" s="6">
        <v>5.2</v>
      </c>
      <c r="K37" s="3" t="e">
        <f t="shared" si="18"/>
        <v>#DIV/0!</v>
      </c>
      <c r="L37" s="3">
        <v>0</v>
      </c>
      <c r="M37" s="6">
        <v>0</v>
      </c>
      <c r="N37" s="3">
        <f t="shared" si="19"/>
        <v>2752.7777777777778</v>
      </c>
      <c r="O37" s="3">
        <v>4955</v>
      </c>
      <c r="P37" s="6">
        <v>1.8</v>
      </c>
      <c r="Q37" s="3" t="e">
        <f t="shared" si="20"/>
        <v>#DIV/0!</v>
      </c>
      <c r="R37" s="3">
        <v>0</v>
      </c>
      <c r="S37" s="6">
        <v>0</v>
      </c>
      <c r="T37" s="3">
        <f t="shared" si="21"/>
        <v>1557.3076923076924</v>
      </c>
      <c r="U37" s="3">
        <v>12147</v>
      </c>
      <c r="V37" s="6">
        <v>7.8</v>
      </c>
      <c r="W37" s="3" t="e">
        <f t="shared" si="22"/>
        <v>#DIV/0!</v>
      </c>
      <c r="X37" s="3">
        <v>0</v>
      </c>
      <c r="Y37" s="6">
        <v>0</v>
      </c>
      <c r="Z37" s="3">
        <f t="shared" si="23"/>
        <v>1556.7741935483871</v>
      </c>
      <c r="AA37" s="3">
        <v>14478</v>
      </c>
      <c r="AB37" s="6">
        <v>9.3000000000000007</v>
      </c>
      <c r="AC37" s="3" t="e">
        <f t="shared" si="24"/>
        <v>#DIV/0!</v>
      </c>
      <c r="AD37" s="3">
        <v>0</v>
      </c>
      <c r="AE37" s="6">
        <v>0</v>
      </c>
      <c r="AF37" s="3">
        <f t="shared" si="25"/>
        <v>3002.7272727272725</v>
      </c>
      <c r="AG37" s="3">
        <v>3303</v>
      </c>
      <c r="AH37" s="6">
        <v>1.1000000000000001</v>
      </c>
      <c r="AI37" s="3" t="e">
        <f t="shared" si="26"/>
        <v>#DIV/0!</v>
      </c>
      <c r="AJ37" s="3">
        <v>0</v>
      </c>
      <c r="AK37" s="6">
        <v>0</v>
      </c>
      <c r="AL37" s="3">
        <f t="shared" si="27"/>
        <v>2753</v>
      </c>
      <c r="AM37" s="3">
        <v>2753</v>
      </c>
      <c r="AN37" s="6">
        <v>1</v>
      </c>
      <c r="AO37" s="3">
        <f t="shared" si="12"/>
        <v>1746.2977099236639</v>
      </c>
      <c r="AP37" s="3">
        <f t="shared" si="14"/>
        <v>45753</v>
      </c>
      <c r="AQ37" s="6">
        <f t="shared" si="15"/>
        <v>26.200000000000003</v>
      </c>
      <c r="AR37" s="3"/>
      <c r="AS37" s="3"/>
      <c r="AT37" s="3"/>
      <c r="AU37" s="3"/>
      <c r="AV37" s="3"/>
      <c r="AW37" s="3"/>
      <c r="AX37" s="3"/>
      <c r="AY37" s="3"/>
      <c r="AZ37" s="3"/>
      <c r="BA37" s="3"/>
      <c r="BB37" s="3"/>
      <c r="BC37" s="3"/>
      <c r="BD37" s="3"/>
      <c r="BE37" s="3"/>
      <c r="BF37" s="3"/>
      <c r="BG37" s="3"/>
      <c r="BH37" s="3"/>
      <c r="BI37" s="3"/>
      <c r="BJ37" s="3"/>
      <c r="BK37" s="3"/>
      <c r="BL37" s="3"/>
      <c r="BM37" s="3"/>
      <c r="BN37" s="3"/>
      <c r="BO37" s="3"/>
    </row>
    <row r="38" spans="1:67" x14ac:dyDescent="0.3">
      <c r="A38" s="29" t="s">
        <v>19</v>
      </c>
      <c r="B38" s="20"/>
      <c r="C38" s="20"/>
      <c r="D38" s="20"/>
      <c r="E38" s="3" t="e">
        <f t="shared" si="16"/>
        <v>#DIV/0!</v>
      </c>
      <c r="F38" s="3">
        <v>0</v>
      </c>
      <c r="G38" s="6">
        <v>0</v>
      </c>
      <c r="H38" s="3" t="e">
        <f t="shared" si="17"/>
        <v>#DIV/0!</v>
      </c>
      <c r="I38" s="3">
        <v>0</v>
      </c>
      <c r="J38" s="6">
        <v>0</v>
      </c>
      <c r="K38" s="3" t="e">
        <f t="shared" si="18"/>
        <v>#DIV/0!</v>
      </c>
      <c r="L38" s="3">
        <v>0</v>
      </c>
      <c r="M38" s="6">
        <v>0</v>
      </c>
      <c r="N38" s="3" t="e">
        <f t="shared" si="19"/>
        <v>#DIV/0!</v>
      </c>
      <c r="O38" s="3">
        <v>0</v>
      </c>
      <c r="P38" s="6">
        <v>0</v>
      </c>
      <c r="Q38" s="3" t="e">
        <f t="shared" si="20"/>
        <v>#DIV/0!</v>
      </c>
      <c r="R38" s="3">
        <v>0</v>
      </c>
      <c r="S38" s="6">
        <v>0</v>
      </c>
      <c r="T38" s="3">
        <f t="shared" si="21"/>
        <v>1676.9945355191255</v>
      </c>
      <c r="U38" s="3">
        <v>30689</v>
      </c>
      <c r="V38" s="6">
        <v>18.3</v>
      </c>
      <c r="W38" s="3" t="e">
        <f t="shared" si="22"/>
        <v>#DIV/0!</v>
      </c>
      <c r="X38" s="3">
        <v>0</v>
      </c>
      <c r="Y38" s="6">
        <v>0</v>
      </c>
      <c r="Z38" s="3" t="e">
        <f t="shared" si="23"/>
        <v>#DIV/0!</v>
      </c>
      <c r="AA38" s="3">
        <v>0</v>
      </c>
      <c r="AB38" s="6">
        <v>0</v>
      </c>
      <c r="AC38" s="3" t="e">
        <f t="shared" si="24"/>
        <v>#DIV/0!</v>
      </c>
      <c r="AD38" s="3">
        <v>0</v>
      </c>
      <c r="AE38" s="6">
        <v>0</v>
      </c>
      <c r="AF38" s="3" t="e">
        <f t="shared" si="25"/>
        <v>#DIV/0!</v>
      </c>
      <c r="AG38" s="3">
        <v>0</v>
      </c>
      <c r="AH38" s="6">
        <v>0</v>
      </c>
      <c r="AI38" s="3" t="e">
        <f t="shared" si="26"/>
        <v>#DIV/0!</v>
      </c>
      <c r="AJ38" s="3">
        <v>0</v>
      </c>
      <c r="AK38" s="6">
        <v>0</v>
      </c>
      <c r="AL38" s="3" t="e">
        <f t="shared" si="27"/>
        <v>#DIV/0!</v>
      </c>
      <c r="AM38" s="3">
        <v>0</v>
      </c>
      <c r="AN38" s="6">
        <v>0</v>
      </c>
      <c r="AO38" s="3">
        <f t="shared" si="12"/>
        <v>1676.9945355191255</v>
      </c>
      <c r="AP38" s="3">
        <f t="shared" si="14"/>
        <v>30689</v>
      </c>
      <c r="AQ38" s="6">
        <f t="shared" si="15"/>
        <v>18.3</v>
      </c>
      <c r="AR38" s="3"/>
      <c r="AS38" s="3"/>
      <c r="AT38" s="3"/>
      <c r="AU38" s="3"/>
      <c r="AV38" s="3"/>
      <c r="AW38" s="3"/>
      <c r="AX38" s="3"/>
      <c r="AY38" s="3"/>
      <c r="AZ38" s="3"/>
      <c r="BA38" s="3"/>
      <c r="BB38" s="3"/>
      <c r="BC38" s="3"/>
      <c r="BD38" s="3"/>
      <c r="BE38" s="3"/>
      <c r="BF38" s="3"/>
      <c r="BG38" s="3"/>
      <c r="BH38" s="3"/>
      <c r="BI38" s="3"/>
      <c r="BJ38" s="3"/>
      <c r="BK38" s="3"/>
      <c r="BL38" s="3"/>
      <c r="BM38" s="3"/>
      <c r="BN38" s="3"/>
      <c r="BO38" s="3"/>
    </row>
    <row r="39" spans="1:67" x14ac:dyDescent="0.3">
      <c r="A39" s="29" t="s">
        <v>47</v>
      </c>
      <c r="B39" s="20"/>
      <c r="C39" s="20"/>
      <c r="D39" s="20"/>
      <c r="E39" s="3">
        <f t="shared" si="16"/>
        <v>1224.375</v>
      </c>
      <c r="F39" s="3">
        <v>5877</v>
      </c>
      <c r="G39" s="6">
        <v>4.8</v>
      </c>
      <c r="H39" s="3" t="e">
        <f t="shared" si="17"/>
        <v>#DIV/0!</v>
      </c>
      <c r="I39" s="3">
        <v>0</v>
      </c>
      <c r="J39" s="6">
        <v>0</v>
      </c>
      <c r="K39" s="3">
        <f t="shared" si="18"/>
        <v>1222.2440944881891</v>
      </c>
      <c r="L39" s="3">
        <v>31045</v>
      </c>
      <c r="M39" s="6">
        <v>25.4</v>
      </c>
      <c r="N39" s="3">
        <f t="shared" si="19"/>
        <v>1194.1137855579868</v>
      </c>
      <c r="O39" s="3">
        <v>54571</v>
      </c>
      <c r="P39" s="6">
        <v>45.7</v>
      </c>
      <c r="Q39" s="3">
        <f t="shared" si="20"/>
        <v>1160.1746724890832</v>
      </c>
      <c r="R39" s="3">
        <v>26568</v>
      </c>
      <c r="S39" s="6">
        <v>22.9</v>
      </c>
      <c r="T39" s="3">
        <f t="shared" si="21"/>
        <v>1209.3646408839777</v>
      </c>
      <c r="U39" s="3">
        <v>87558</v>
      </c>
      <c r="V39" s="6">
        <v>72.400000000000006</v>
      </c>
      <c r="W39" s="3">
        <f t="shared" si="22"/>
        <v>1167.4398249452954</v>
      </c>
      <c r="X39" s="3">
        <v>53352</v>
      </c>
      <c r="Y39" s="6">
        <v>45.7</v>
      </c>
      <c r="Z39" s="3">
        <f t="shared" si="23"/>
        <v>1191.5546218487395</v>
      </c>
      <c r="AA39" s="3">
        <v>28359</v>
      </c>
      <c r="AB39" s="6">
        <v>23.8</v>
      </c>
      <c r="AC39" s="3">
        <f t="shared" si="24"/>
        <v>1213.6960985626283</v>
      </c>
      <c r="AD39" s="3">
        <v>59107</v>
      </c>
      <c r="AE39" s="6">
        <v>48.7</v>
      </c>
      <c r="AF39" s="3">
        <f t="shared" si="25"/>
        <v>1197.9039301310045</v>
      </c>
      <c r="AG39" s="3">
        <v>27432</v>
      </c>
      <c r="AH39" s="6">
        <v>22.9</v>
      </c>
      <c r="AI39" s="3">
        <f t="shared" si="26"/>
        <v>1225.2264150943397</v>
      </c>
      <c r="AJ39" s="3">
        <v>64937</v>
      </c>
      <c r="AK39" s="6">
        <v>53</v>
      </c>
      <c r="AL39" s="3" t="e">
        <f t="shared" si="27"/>
        <v>#DIV/0!</v>
      </c>
      <c r="AM39" s="3">
        <v>0</v>
      </c>
      <c r="AN39" s="6">
        <v>0</v>
      </c>
      <c r="AO39" s="3">
        <f t="shared" si="12"/>
        <v>1201.2209143169996</v>
      </c>
      <c r="AP39" s="3">
        <f t="shared" si="14"/>
        <v>438806</v>
      </c>
      <c r="AQ39" s="6">
        <f t="shared" si="15"/>
        <v>365.3</v>
      </c>
      <c r="AR39" s="3"/>
      <c r="AS39" s="3"/>
      <c r="AT39" s="3"/>
      <c r="AU39" s="3"/>
      <c r="AV39" s="3"/>
      <c r="AW39" s="3"/>
      <c r="AX39" s="3"/>
      <c r="AY39" s="3"/>
      <c r="AZ39" s="3"/>
      <c r="BA39" s="3"/>
      <c r="BB39" s="3"/>
      <c r="BC39" s="3"/>
      <c r="BD39" s="3"/>
      <c r="BE39" s="3"/>
      <c r="BF39" s="3"/>
      <c r="BG39" s="3"/>
      <c r="BH39" s="3"/>
      <c r="BI39" s="3"/>
      <c r="BJ39" s="3"/>
      <c r="BK39" s="3"/>
      <c r="BL39" s="3"/>
      <c r="BM39" s="3"/>
      <c r="BN39" s="3"/>
      <c r="BO39" s="3"/>
    </row>
    <row r="40" spans="1:67" x14ac:dyDescent="0.3">
      <c r="A40" s="29" t="s">
        <v>27</v>
      </c>
      <c r="B40" s="20"/>
      <c r="C40" s="20"/>
      <c r="D40" s="20"/>
      <c r="E40" s="3" t="e">
        <f t="shared" si="16"/>
        <v>#DIV/0!</v>
      </c>
      <c r="F40" s="3">
        <v>0</v>
      </c>
      <c r="G40" s="6">
        <v>0</v>
      </c>
      <c r="H40" s="3">
        <f t="shared" si="17"/>
        <v>1177.8139534883721</v>
      </c>
      <c r="I40" s="3">
        <v>25323</v>
      </c>
      <c r="J40" s="6">
        <v>21.5</v>
      </c>
      <c r="K40" s="3" t="e">
        <f t="shared" si="18"/>
        <v>#DIV/0!</v>
      </c>
      <c r="L40" s="3">
        <v>0</v>
      </c>
      <c r="M40" s="6">
        <v>0</v>
      </c>
      <c r="N40" s="3" t="e">
        <f t="shared" si="19"/>
        <v>#DIV/0!</v>
      </c>
      <c r="O40" s="3">
        <v>0</v>
      </c>
      <c r="P40" s="6">
        <v>0</v>
      </c>
      <c r="Q40" s="3">
        <f t="shared" si="20"/>
        <v>1095.8139534883721</v>
      </c>
      <c r="R40" s="3">
        <v>23560</v>
      </c>
      <c r="S40" s="6">
        <v>21.5</v>
      </c>
      <c r="T40" s="3">
        <f t="shared" si="21"/>
        <v>1196.8421052631579</v>
      </c>
      <c r="U40" s="3">
        <v>9096</v>
      </c>
      <c r="V40" s="6">
        <v>7.6</v>
      </c>
      <c r="W40" s="3" t="e">
        <f t="shared" si="22"/>
        <v>#DIV/0!</v>
      </c>
      <c r="X40" s="3">
        <v>0</v>
      </c>
      <c r="Y40" s="6">
        <v>0</v>
      </c>
      <c r="Z40" s="3" t="e">
        <f t="shared" si="23"/>
        <v>#DIV/0!</v>
      </c>
      <c r="AA40" s="3">
        <v>0</v>
      </c>
      <c r="AB40" s="6">
        <v>0</v>
      </c>
      <c r="AC40" s="3">
        <f t="shared" si="24"/>
        <v>1184.375</v>
      </c>
      <c r="AD40" s="3">
        <v>5685</v>
      </c>
      <c r="AE40" s="6">
        <v>4.8</v>
      </c>
      <c r="AF40" s="3" t="e">
        <f t="shared" si="25"/>
        <v>#DIV/0!</v>
      </c>
      <c r="AG40" s="3">
        <v>0</v>
      </c>
      <c r="AH40" s="6">
        <v>0</v>
      </c>
      <c r="AI40" s="3" t="e">
        <f t="shared" si="26"/>
        <v>#DIV/0!</v>
      </c>
      <c r="AJ40" s="3">
        <v>0</v>
      </c>
      <c r="AK40" s="6">
        <v>0</v>
      </c>
      <c r="AL40" s="3" t="e">
        <f t="shared" si="27"/>
        <v>#DIV/0!</v>
      </c>
      <c r="AM40" s="3">
        <v>0</v>
      </c>
      <c r="AN40" s="6">
        <v>0</v>
      </c>
      <c r="AO40" s="3">
        <f t="shared" si="12"/>
        <v>1149.1696750902527</v>
      </c>
      <c r="AP40" s="3">
        <f t="shared" si="14"/>
        <v>63664</v>
      </c>
      <c r="AQ40" s="6">
        <f t="shared" si="15"/>
        <v>55.4</v>
      </c>
      <c r="AR40" s="3"/>
      <c r="AS40" s="3"/>
      <c r="AT40" s="3"/>
      <c r="AU40" s="3"/>
      <c r="AV40" s="3"/>
      <c r="AW40" s="3"/>
      <c r="AX40" s="3"/>
      <c r="AY40" s="3"/>
      <c r="AZ40" s="3"/>
      <c r="BA40" s="3"/>
      <c r="BB40" s="3"/>
      <c r="BC40" s="3"/>
      <c r="BD40" s="3"/>
      <c r="BE40" s="3"/>
      <c r="BF40" s="3"/>
      <c r="BG40" s="3"/>
      <c r="BH40" s="3"/>
      <c r="BI40" s="3"/>
      <c r="BJ40" s="3"/>
      <c r="BK40" s="3"/>
      <c r="BL40" s="3"/>
      <c r="BM40" s="3"/>
      <c r="BN40" s="3"/>
      <c r="BO40" s="3"/>
    </row>
    <row r="41" spans="1:67" x14ac:dyDescent="0.3">
      <c r="A41" s="29" t="s">
        <v>64</v>
      </c>
      <c r="B41" s="20"/>
      <c r="C41" s="20"/>
      <c r="D41" s="20"/>
      <c r="E41" s="3" t="e">
        <f t="shared" si="16"/>
        <v>#DIV/0!</v>
      </c>
      <c r="F41" s="3">
        <v>0</v>
      </c>
      <c r="G41" s="6">
        <v>0</v>
      </c>
      <c r="H41" s="3" t="e">
        <f t="shared" si="17"/>
        <v>#DIV/0!</v>
      </c>
      <c r="I41" s="3">
        <v>0</v>
      </c>
      <c r="J41" s="6">
        <v>0</v>
      </c>
      <c r="K41" s="3" t="e">
        <f t="shared" si="18"/>
        <v>#DIV/0!</v>
      </c>
      <c r="L41" s="3">
        <v>0</v>
      </c>
      <c r="M41" s="6">
        <v>0</v>
      </c>
      <c r="N41" s="3" t="e">
        <f t="shared" si="19"/>
        <v>#DIV/0!</v>
      </c>
      <c r="O41" s="3">
        <v>0</v>
      </c>
      <c r="P41" s="6">
        <v>0</v>
      </c>
      <c r="Q41" s="3" t="e">
        <f t="shared" si="20"/>
        <v>#DIV/0!</v>
      </c>
      <c r="R41" s="3">
        <v>0</v>
      </c>
      <c r="S41" s="6">
        <v>0</v>
      </c>
      <c r="T41" s="3">
        <f t="shared" si="21"/>
        <v>1057.2722222222221</v>
      </c>
      <c r="U41" s="3">
        <v>380618</v>
      </c>
      <c r="V41" s="6">
        <v>360</v>
      </c>
      <c r="W41" s="3" t="e">
        <f t="shared" si="22"/>
        <v>#DIV/0!</v>
      </c>
      <c r="X41" s="3">
        <v>0</v>
      </c>
      <c r="Y41" s="6">
        <v>0</v>
      </c>
      <c r="Z41" s="3" t="e">
        <f t="shared" si="23"/>
        <v>#DIV/0!</v>
      </c>
      <c r="AA41" s="3">
        <v>0</v>
      </c>
      <c r="AB41" s="6">
        <v>0</v>
      </c>
      <c r="AC41" s="3" t="e">
        <f t="shared" si="24"/>
        <v>#DIV/0!</v>
      </c>
      <c r="AD41" s="3">
        <v>0</v>
      </c>
      <c r="AE41" s="6">
        <v>0</v>
      </c>
      <c r="AF41" s="3" t="e">
        <f t="shared" si="25"/>
        <v>#DIV/0!</v>
      </c>
      <c r="AG41" s="3">
        <v>0</v>
      </c>
      <c r="AH41" s="6">
        <v>0</v>
      </c>
      <c r="AI41" s="3" t="e">
        <f t="shared" si="26"/>
        <v>#DIV/0!</v>
      </c>
      <c r="AJ41" s="3">
        <v>0</v>
      </c>
      <c r="AK41" s="6">
        <v>0</v>
      </c>
      <c r="AL41" s="3" t="e">
        <f t="shared" si="27"/>
        <v>#DIV/0!</v>
      </c>
      <c r="AM41" s="3">
        <v>0</v>
      </c>
      <c r="AN41" s="6">
        <v>0</v>
      </c>
      <c r="AO41" s="3">
        <f t="shared" si="12"/>
        <v>1057.2722222222221</v>
      </c>
      <c r="AP41" s="3">
        <f t="shared" si="14"/>
        <v>380618</v>
      </c>
      <c r="AQ41" s="6">
        <f t="shared" si="15"/>
        <v>360</v>
      </c>
      <c r="AR41" s="3"/>
      <c r="AS41" s="3"/>
      <c r="AT41" s="3"/>
      <c r="AU41" s="3"/>
      <c r="AV41" s="3"/>
      <c r="AW41" s="3"/>
      <c r="AX41" s="3"/>
      <c r="AY41" s="3"/>
      <c r="AZ41" s="3"/>
      <c r="BA41" s="3"/>
      <c r="BB41" s="3"/>
      <c r="BC41" s="3"/>
      <c r="BD41" s="3"/>
      <c r="BE41" s="3"/>
      <c r="BF41" s="3"/>
      <c r="BG41" s="3"/>
      <c r="BH41" s="3"/>
      <c r="BI41" s="3"/>
      <c r="BJ41" s="3"/>
      <c r="BK41" s="3"/>
      <c r="BL41" s="3"/>
      <c r="BM41" s="3"/>
      <c r="BN41" s="3"/>
      <c r="BO41" s="3"/>
    </row>
    <row r="42" spans="1:67" x14ac:dyDescent="0.3">
      <c r="A42" s="29" t="s">
        <v>65</v>
      </c>
      <c r="B42" s="20"/>
      <c r="C42" s="20"/>
      <c r="D42" s="20"/>
      <c r="E42" s="3" t="e">
        <f t="shared" si="16"/>
        <v>#DIV/0!</v>
      </c>
      <c r="F42" s="3">
        <v>0</v>
      </c>
      <c r="G42" s="6">
        <v>0</v>
      </c>
      <c r="H42" s="3">
        <f t="shared" si="17"/>
        <v>3509.6491228070172</v>
      </c>
      <c r="I42" s="3">
        <v>60015</v>
      </c>
      <c r="J42" s="6">
        <v>17.100000000000001</v>
      </c>
      <c r="K42" s="3">
        <f t="shared" si="18"/>
        <v>3333.75</v>
      </c>
      <c r="L42" s="3">
        <v>13335</v>
      </c>
      <c r="M42" s="6">
        <v>4</v>
      </c>
      <c r="N42" s="3" t="e">
        <f t="shared" si="19"/>
        <v>#DIV/0!</v>
      </c>
      <c r="O42" s="3">
        <v>0</v>
      </c>
      <c r="P42" s="6">
        <v>0</v>
      </c>
      <c r="Q42" s="3" t="e">
        <f t="shared" si="20"/>
        <v>#DIV/0!</v>
      </c>
      <c r="R42" s="3">
        <v>0</v>
      </c>
      <c r="S42" s="6">
        <v>0</v>
      </c>
      <c r="T42" s="3" t="e">
        <f t="shared" si="21"/>
        <v>#DIV/0!</v>
      </c>
      <c r="U42" s="3">
        <v>0</v>
      </c>
      <c r="V42" s="6">
        <v>0</v>
      </c>
      <c r="W42" s="3" t="e">
        <f t="shared" si="22"/>
        <v>#DIV/0!</v>
      </c>
      <c r="X42" s="3">
        <v>0</v>
      </c>
      <c r="Y42" s="6">
        <v>0</v>
      </c>
      <c r="Z42" s="3" t="e">
        <f t="shared" si="23"/>
        <v>#DIV/0!</v>
      </c>
      <c r="AA42" s="3">
        <v>0</v>
      </c>
      <c r="AB42" s="6">
        <v>0</v>
      </c>
      <c r="AC42" s="3">
        <f t="shared" si="24"/>
        <v>3509.3567251461986</v>
      </c>
      <c r="AD42" s="3">
        <v>60010</v>
      </c>
      <c r="AE42" s="6">
        <v>17.100000000000001</v>
      </c>
      <c r="AF42" s="3" t="e">
        <f t="shared" si="25"/>
        <v>#DIV/0!</v>
      </c>
      <c r="AG42" s="3">
        <v>0</v>
      </c>
      <c r="AH42" s="6">
        <v>0</v>
      </c>
      <c r="AI42" s="3" t="e">
        <f t="shared" si="26"/>
        <v>#DIV/0!</v>
      </c>
      <c r="AJ42" s="3">
        <v>0</v>
      </c>
      <c r="AK42" s="6">
        <v>0</v>
      </c>
      <c r="AL42" s="3" t="e">
        <f t="shared" si="27"/>
        <v>#DIV/0!</v>
      </c>
      <c r="AM42" s="3">
        <v>0</v>
      </c>
      <c r="AN42" s="6">
        <v>0</v>
      </c>
      <c r="AO42" s="3">
        <f t="shared" si="12"/>
        <v>3491.0994764397901</v>
      </c>
      <c r="AP42" s="3">
        <f t="shared" si="14"/>
        <v>133360</v>
      </c>
      <c r="AQ42" s="6">
        <f t="shared" si="15"/>
        <v>38.200000000000003</v>
      </c>
      <c r="AR42" s="3"/>
      <c r="AS42" s="3"/>
      <c r="AT42" s="3"/>
      <c r="AU42" s="3"/>
      <c r="AV42" s="3"/>
      <c r="AW42" s="3"/>
      <c r="AX42" s="3"/>
      <c r="AY42" s="3"/>
      <c r="AZ42" s="3"/>
      <c r="BA42" s="3"/>
      <c r="BB42" s="3"/>
      <c r="BC42" s="3"/>
      <c r="BD42" s="3"/>
      <c r="BE42" s="3"/>
      <c r="BF42" s="3"/>
      <c r="BG42" s="3"/>
      <c r="BH42" s="3"/>
      <c r="BI42" s="3"/>
      <c r="BJ42" s="3"/>
      <c r="BK42" s="3"/>
      <c r="BL42" s="3"/>
      <c r="BM42" s="3"/>
      <c r="BN42" s="3"/>
      <c r="BO42" s="3"/>
    </row>
    <row r="43" spans="1:67" x14ac:dyDescent="0.3">
      <c r="A43" s="29" t="s">
        <v>66</v>
      </c>
      <c r="B43" s="20"/>
      <c r="C43" s="20"/>
      <c r="D43" s="20"/>
      <c r="E43" s="3" t="e">
        <f t="shared" si="16"/>
        <v>#DIV/0!</v>
      </c>
      <c r="F43" s="3">
        <v>0</v>
      </c>
      <c r="G43" s="6">
        <v>0</v>
      </c>
      <c r="H43" s="3">
        <f t="shared" si="17"/>
        <v>2357.5757575757575</v>
      </c>
      <c r="I43" s="3">
        <v>7780</v>
      </c>
      <c r="J43" s="6">
        <v>3.3</v>
      </c>
      <c r="K43" s="3" t="e">
        <f t="shared" si="18"/>
        <v>#DIV/0!</v>
      </c>
      <c r="L43" s="3">
        <v>0</v>
      </c>
      <c r="M43" s="6">
        <v>0</v>
      </c>
      <c r="N43" s="3" t="e">
        <f t="shared" si="19"/>
        <v>#DIV/0!</v>
      </c>
      <c r="O43" s="3">
        <v>0</v>
      </c>
      <c r="P43" s="6">
        <v>0</v>
      </c>
      <c r="Q43" s="3" t="e">
        <f t="shared" si="20"/>
        <v>#DIV/0!</v>
      </c>
      <c r="R43" s="3">
        <v>0</v>
      </c>
      <c r="S43" s="6">
        <v>0</v>
      </c>
      <c r="T43" s="3" t="e">
        <f t="shared" si="21"/>
        <v>#DIV/0!</v>
      </c>
      <c r="U43" s="3">
        <v>0</v>
      </c>
      <c r="V43" s="6">
        <v>0</v>
      </c>
      <c r="W43" s="3" t="e">
        <f t="shared" si="22"/>
        <v>#DIV/0!</v>
      </c>
      <c r="X43" s="3">
        <v>0</v>
      </c>
      <c r="Y43" s="6">
        <v>0</v>
      </c>
      <c r="Z43" s="3" t="e">
        <f t="shared" si="23"/>
        <v>#DIV/0!</v>
      </c>
      <c r="AA43" s="3">
        <v>0</v>
      </c>
      <c r="AB43" s="6">
        <v>0</v>
      </c>
      <c r="AC43" s="3" t="e">
        <f t="shared" si="24"/>
        <v>#DIV/0!</v>
      </c>
      <c r="AD43" s="3">
        <v>0</v>
      </c>
      <c r="AE43" s="6">
        <v>0</v>
      </c>
      <c r="AF43" s="3">
        <f t="shared" si="25"/>
        <v>2139.2832764505119</v>
      </c>
      <c r="AG43" s="3">
        <v>62681</v>
      </c>
      <c r="AH43" s="6">
        <v>29.3</v>
      </c>
      <c r="AI43" s="3" t="e">
        <f t="shared" si="26"/>
        <v>#DIV/0!</v>
      </c>
      <c r="AJ43" s="3">
        <v>0</v>
      </c>
      <c r="AK43" s="6">
        <v>0</v>
      </c>
      <c r="AL43" s="3" t="e">
        <f t="shared" si="27"/>
        <v>#DIV/0!</v>
      </c>
      <c r="AM43" s="3">
        <v>0</v>
      </c>
      <c r="AN43" s="6">
        <v>0</v>
      </c>
      <c r="AO43" s="3">
        <f t="shared" si="12"/>
        <v>2161.3803680981596</v>
      </c>
      <c r="AP43" s="3">
        <f t="shared" si="14"/>
        <v>70461</v>
      </c>
      <c r="AQ43" s="6">
        <f t="shared" si="15"/>
        <v>32.6</v>
      </c>
      <c r="AR43" s="3"/>
      <c r="AS43" s="3"/>
      <c r="AT43" s="3"/>
      <c r="AU43" s="3"/>
      <c r="AV43" s="3"/>
      <c r="AW43" s="3"/>
      <c r="AX43" s="3"/>
      <c r="AY43" s="3"/>
      <c r="AZ43" s="3"/>
      <c r="BA43" s="3"/>
      <c r="BB43" s="3"/>
      <c r="BC43" s="3"/>
      <c r="BD43" s="3"/>
      <c r="BE43" s="3"/>
      <c r="BF43" s="3"/>
      <c r="BG43" s="3"/>
      <c r="BH43" s="3"/>
      <c r="BI43" s="3"/>
      <c r="BJ43" s="3"/>
      <c r="BK43" s="3"/>
      <c r="BL43" s="3"/>
      <c r="BM43" s="3"/>
      <c r="BN43" s="3"/>
      <c r="BO43" s="3"/>
    </row>
    <row r="44" spans="1:67" x14ac:dyDescent="0.3">
      <c r="A44" s="29" t="s">
        <v>55</v>
      </c>
      <c r="B44" s="20"/>
      <c r="C44" s="20"/>
      <c r="D44" s="20"/>
      <c r="E44" s="9" t="e">
        <f t="shared" si="16"/>
        <v>#DIV/0!</v>
      </c>
      <c r="F44" s="9">
        <v>0</v>
      </c>
      <c r="G44" s="6">
        <v>0</v>
      </c>
      <c r="H44" s="11">
        <f t="shared" si="17"/>
        <v>1350.3319502074687</v>
      </c>
      <c r="I44" s="9">
        <v>32543</v>
      </c>
      <c r="J44" s="6">
        <v>24.1</v>
      </c>
      <c r="K44" s="9">
        <f t="shared" si="18"/>
        <v>1595.1162790697674</v>
      </c>
      <c r="L44" s="9">
        <v>96026</v>
      </c>
      <c r="M44" s="6">
        <v>60.2</v>
      </c>
      <c r="N44" s="9">
        <f t="shared" si="19"/>
        <v>1298.0082987551866</v>
      </c>
      <c r="O44" s="9">
        <v>31282</v>
      </c>
      <c r="P44" s="6">
        <v>24.1</v>
      </c>
      <c r="Q44" s="11">
        <f t="shared" si="20"/>
        <v>1307.4688796680498</v>
      </c>
      <c r="R44" s="9">
        <v>31510</v>
      </c>
      <c r="S44" s="6">
        <v>24.1</v>
      </c>
      <c r="T44" s="11">
        <f t="shared" si="21"/>
        <v>1315.0207468879667</v>
      </c>
      <c r="U44" s="9">
        <v>31692</v>
      </c>
      <c r="V44" s="6">
        <v>24.1</v>
      </c>
      <c r="W44" s="9">
        <f t="shared" si="22"/>
        <v>1306.4917127071822</v>
      </c>
      <c r="X44" s="9">
        <v>94590</v>
      </c>
      <c r="Y44" s="6">
        <v>72.400000000000006</v>
      </c>
      <c r="Z44" s="9">
        <f t="shared" si="23"/>
        <v>1720.2695417789757</v>
      </c>
      <c r="AA44" s="9">
        <v>63822</v>
      </c>
      <c r="AB44" s="6">
        <v>37.1</v>
      </c>
      <c r="AC44" s="9">
        <f t="shared" si="24"/>
        <v>1006.40625</v>
      </c>
      <c r="AD44" s="9">
        <v>19323</v>
      </c>
      <c r="AE44" s="6">
        <v>19.2</v>
      </c>
      <c r="AF44" s="9">
        <f t="shared" si="25"/>
        <v>1721.6565656565656</v>
      </c>
      <c r="AG44" s="9">
        <v>85222</v>
      </c>
      <c r="AH44" s="6">
        <v>49.5</v>
      </c>
      <c r="AI44" s="9">
        <f t="shared" si="26"/>
        <v>1353.9945652173915</v>
      </c>
      <c r="AJ44" s="9">
        <v>49827</v>
      </c>
      <c r="AK44" s="6">
        <v>36.799999999999997</v>
      </c>
      <c r="AL44" s="9" t="e">
        <f t="shared" si="27"/>
        <v>#DIV/0!</v>
      </c>
      <c r="AM44" s="9">
        <v>0</v>
      </c>
      <c r="AN44" s="6">
        <v>0</v>
      </c>
      <c r="AO44" s="9">
        <f t="shared" si="12"/>
        <v>1441.9725511302474</v>
      </c>
      <c r="AP44" s="9">
        <f t="shared" si="14"/>
        <v>535837</v>
      </c>
      <c r="AQ44" s="6">
        <f t="shared" si="15"/>
        <v>371.6</v>
      </c>
      <c r="AR44" s="3"/>
      <c r="AS44" s="3"/>
      <c r="AT44" s="3"/>
      <c r="AU44" s="3"/>
      <c r="AV44" s="3"/>
      <c r="AW44" s="3"/>
      <c r="AX44" s="3"/>
      <c r="AY44" s="3"/>
      <c r="AZ44" s="3"/>
      <c r="BA44" s="3"/>
      <c r="BB44" s="3"/>
      <c r="BC44" s="3"/>
      <c r="BD44" s="3"/>
      <c r="BE44" s="3"/>
      <c r="BF44" s="3"/>
      <c r="BG44" s="3"/>
      <c r="BH44" s="3"/>
      <c r="BI44" s="3"/>
      <c r="BJ44" s="3"/>
      <c r="BK44" s="3"/>
      <c r="BL44" s="3"/>
      <c r="BM44" s="3"/>
      <c r="BN44" s="3"/>
      <c r="BO44" s="3"/>
    </row>
    <row r="45" spans="1:67" x14ac:dyDescent="0.3">
      <c r="A45" s="29" t="s">
        <v>67</v>
      </c>
      <c r="B45" s="20"/>
      <c r="C45" s="20"/>
      <c r="D45" s="20"/>
      <c r="E45" s="10">
        <f t="shared" si="16"/>
        <v>1381.25</v>
      </c>
      <c r="F45" s="10">
        <v>7735</v>
      </c>
      <c r="G45" s="8">
        <v>5.6</v>
      </c>
      <c r="H45" s="7">
        <f t="shared" si="17"/>
        <v>1362.8</v>
      </c>
      <c r="I45" s="10">
        <v>3407</v>
      </c>
      <c r="J45" s="8">
        <v>2.5</v>
      </c>
      <c r="K45" s="15" t="e">
        <f t="shared" si="18"/>
        <v>#DIV/0!</v>
      </c>
      <c r="L45" s="7">
        <v>0</v>
      </c>
      <c r="M45" s="8">
        <v>0</v>
      </c>
      <c r="N45" s="15" t="e">
        <f t="shared" si="19"/>
        <v>#DIV/0!</v>
      </c>
      <c r="O45" s="7">
        <v>0</v>
      </c>
      <c r="P45" s="8">
        <v>0</v>
      </c>
      <c r="Q45" s="7" t="e">
        <f t="shared" si="20"/>
        <v>#DIV/0!</v>
      </c>
      <c r="R45" s="10">
        <v>0</v>
      </c>
      <c r="S45" s="8">
        <v>0</v>
      </c>
      <c r="T45" s="7">
        <f t="shared" si="21"/>
        <v>1415.9090909090908</v>
      </c>
      <c r="U45" s="10">
        <v>3115</v>
      </c>
      <c r="V45" s="8">
        <v>2.2000000000000002</v>
      </c>
      <c r="W45" s="10" t="e">
        <f t="shared" si="22"/>
        <v>#DIV/0!</v>
      </c>
      <c r="X45" s="10">
        <v>0</v>
      </c>
      <c r="Y45" s="8">
        <v>0</v>
      </c>
      <c r="Z45" s="10" t="e">
        <f t="shared" si="23"/>
        <v>#DIV/0!</v>
      </c>
      <c r="AA45" s="10">
        <v>0</v>
      </c>
      <c r="AB45" s="8">
        <v>0</v>
      </c>
      <c r="AC45" s="10">
        <f t="shared" si="24"/>
        <v>1378.8</v>
      </c>
      <c r="AD45" s="10">
        <v>3447</v>
      </c>
      <c r="AE45" s="8">
        <v>2.5</v>
      </c>
      <c r="AF45" s="7">
        <f t="shared" si="25"/>
        <v>1460.4545454545453</v>
      </c>
      <c r="AG45" s="10">
        <v>6426</v>
      </c>
      <c r="AH45" s="8">
        <v>4.4000000000000004</v>
      </c>
      <c r="AI45" s="10">
        <f t="shared" si="26"/>
        <v>1455.5319148936169</v>
      </c>
      <c r="AJ45" s="10">
        <v>6841</v>
      </c>
      <c r="AK45" s="8">
        <v>4.7</v>
      </c>
      <c r="AL45" s="10" t="e">
        <f t="shared" si="27"/>
        <v>#DIV/0!</v>
      </c>
      <c r="AM45" s="10">
        <v>0</v>
      </c>
      <c r="AN45" s="8">
        <v>0</v>
      </c>
      <c r="AO45" s="10">
        <f t="shared" si="12"/>
        <v>1414.2009132420089</v>
      </c>
      <c r="AP45" s="7">
        <f t="shared" si="14"/>
        <v>30971</v>
      </c>
      <c r="AQ45" s="8">
        <f t="shared" si="15"/>
        <v>21.900000000000002</v>
      </c>
    </row>
    <row r="46" spans="1:67" x14ac:dyDescent="0.3">
      <c r="A46" s="29" t="s">
        <v>68</v>
      </c>
      <c r="B46" s="20"/>
      <c r="C46" s="20"/>
      <c r="D46" s="20"/>
      <c r="E46" s="7">
        <f t="shared" si="16"/>
        <v>10833.333333333334</v>
      </c>
      <c r="F46" s="7">
        <v>3250</v>
      </c>
      <c r="G46" s="8">
        <v>0.3</v>
      </c>
      <c r="H46" s="7" t="e">
        <f t="shared" si="17"/>
        <v>#DIV/0!</v>
      </c>
      <c r="I46" s="7">
        <v>0</v>
      </c>
      <c r="J46" s="8">
        <v>0</v>
      </c>
      <c r="K46" s="7" t="e">
        <f t="shared" si="18"/>
        <v>#DIV/0!</v>
      </c>
      <c r="L46" s="7">
        <v>0</v>
      </c>
      <c r="M46" s="8">
        <v>0</v>
      </c>
      <c r="N46" s="7" t="e">
        <f t="shared" si="19"/>
        <v>#DIV/0!</v>
      </c>
      <c r="O46" s="7">
        <v>0</v>
      </c>
      <c r="P46" s="8">
        <v>0</v>
      </c>
      <c r="Q46" s="7" t="e">
        <f t="shared" si="20"/>
        <v>#DIV/0!</v>
      </c>
      <c r="R46" s="7">
        <v>0</v>
      </c>
      <c r="S46" s="8">
        <v>0</v>
      </c>
      <c r="T46" s="7" t="e">
        <f t="shared" si="21"/>
        <v>#DIV/0!</v>
      </c>
      <c r="U46" s="7">
        <v>0</v>
      </c>
      <c r="V46" s="8">
        <v>0</v>
      </c>
      <c r="W46" s="7" t="e">
        <f t="shared" si="22"/>
        <v>#DIV/0!</v>
      </c>
      <c r="X46" s="7">
        <v>0</v>
      </c>
      <c r="Y46" s="8">
        <v>0</v>
      </c>
      <c r="Z46" s="7" t="e">
        <f t="shared" si="23"/>
        <v>#DIV/0!</v>
      </c>
      <c r="AA46" s="7">
        <v>0</v>
      </c>
      <c r="AB46" s="8">
        <v>0</v>
      </c>
      <c r="AC46" s="7" t="e">
        <f t="shared" si="24"/>
        <v>#DIV/0!</v>
      </c>
      <c r="AD46" s="7">
        <v>0</v>
      </c>
      <c r="AE46" s="8">
        <v>0</v>
      </c>
      <c r="AF46" s="7" t="e">
        <f t="shared" si="25"/>
        <v>#DIV/0!</v>
      </c>
      <c r="AG46" s="7">
        <v>0</v>
      </c>
      <c r="AH46" s="8">
        <v>0</v>
      </c>
      <c r="AI46" s="7">
        <f t="shared" si="26"/>
        <v>3266.6666666666665</v>
      </c>
      <c r="AJ46" s="7">
        <v>2940</v>
      </c>
      <c r="AK46" s="8">
        <v>0.9</v>
      </c>
      <c r="AL46" s="7" t="e">
        <f t="shared" si="27"/>
        <v>#DIV/0!</v>
      </c>
      <c r="AM46" s="7">
        <v>0</v>
      </c>
      <c r="AN46" s="8">
        <v>0</v>
      </c>
      <c r="AO46" s="7">
        <f t="shared" si="12"/>
        <v>5158.3333333333339</v>
      </c>
      <c r="AP46" s="7">
        <f t="shared" si="14"/>
        <v>6190</v>
      </c>
      <c r="AQ46" s="8">
        <f t="shared" si="15"/>
        <v>1.2</v>
      </c>
    </row>
    <row r="47" spans="1:67" x14ac:dyDescent="0.3">
      <c r="A47" s="29" t="s">
        <v>83</v>
      </c>
      <c r="B47" s="20"/>
      <c r="C47" s="20"/>
      <c r="D47" s="20"/>
      <c r="E47" s="7" t="e">
        <f t="shared" si="16"/>
        <v>#DIV/0!</v>
      </c>
      <c r="F47" s="7">
        <v>0</v>
      </c>
      <c r="G47" s="8">
        <v>0</v>
      </c>
      <c r="H47" s="7" t="e">
        <f t="shared" si="17"/>
        <v>#DIV/0!</v>
      </c>
      <c r="I47" s="7">
        <v>0</v>
      </c>
      <c r="J47" s="8">
        <v>0</v>
      </c>
      <c r="K47" s="7">
        <f t="shared" si="18"/>
        <v>1220.057803468208</v>
      </c>
      <c r="L47" s="7">
        <v>21107</v>
      </c>
      <c r="M47" s="8">
        <v>17.3</v>
      </c>
      <c r="N47" s="7" t="e">
        <f t="shared" si="19"/>
        <v>#DIV/0!</v>
      </c>
      <c r="O47" s="7">
        <v>0</v>
      </c>
      <c r="P47" s="8">
        <v>0</v>
      </c>
      <c r="Q47" s="7">
        <f t="shared" si="20"/>
        <v>1276.2303664921465</v>
      </c>
      <c r="R47" s="7">
        <v>24376</v>
      </c>
      <c r="S47" s="8">
        <v>19.100000000000001</v>
      </c>
      <c r="T47" s="7" t="e">
        <f t="shared" si="21"/>
        <v>#DIV/0!</v>
      </c>
      <c r="U47" s="7">
        <v>0</v>
      </c>
      <c r="V47" s="8">
        <v>0</v>
      </c>
      <c r="W47" s="7" t="e">
        <f t="shared" si="22"/>
        <v>#DIV/0!</v>
      </c>
      <c r="X47" s="7">
        <v>0</v>
      </c>
      <c r="Y47" s="8">
        <v>0</v>
      </c>
      <c r="Z47" s="7" t="e">
        <f t="shared" si="23"/>
        <v>#DIV/0!</v>
      </c>
      <c r="AA47" s="7">
        <v>0</v>
      </c>
      <c r="AB47" s="8">
        <v>0</v>
      </c>
      <c r="AC47" s="7" t="e">
        <f t="shared" si="24"/>
        <v>#DIV/0!</v>
      </c>
      <c r="AD47" s="7">
        <v>0</v>
      </c>
      <c r="AE47" s="8">
        <v>0</v>
      </c>
      <c r="AF47" s="7">
        <f t="shared" si="25"/>
        <v>1220.5851063829787</v>
      </c>
      <c r="AG47" s="7">
        <v>22947</v>
      </c>
      <c r="AH47" s="8">
        <v>18.8</v>
      </c>
      <c r="AI47" s="7" t="e">
        <f t="shared" si="26"/>
        <v>#DIV/0!</v>
      </c>
      <c r="AJ47" s="7">
        <v>0</v>
      </c>
      <c r="AK47" s="8">
        <v>0</v>
      </c>
      <c r="AL47" s="7" t="e">
        <f t="shared" si="27"/>
        <v>#DIV/0!</v>
      </c>
      <c r="AM47" s="7">
        <v>0</v>
      </c>
      <c r="AN47" s="8">
        <v>0</v>
      </c>
      <c r="AO47" s="7">
        <f t="shared" si="12"/>
        <v>1239.6739130434783</v>
      </c>
      <c r="AP47" s="7">
        <f t="shared" si="14"/>
        <v>68430</v>
      </c>
      <c r="AQ47" s="8">
        <f t="shared" si="15"/>
        <v>55.2</v>
      </c>
    </row>
    <row r="48" spans="1:67" x14ac:dyDescent="0.3">
      <c r="A48" s="29" t="s">
        <v>79</v>
      </c>
      <c r="B48" s="20"/>
      <c r="C48" s="20"/>
      <c r="D48" s="20"/>
      <c r="E48" s="7" t="e">
        <f t="shared" si="16"/>
        <v>#DIV/0!</v>
      </c>
      <c r="F48" s="7">
        <v>0</v>
      </c>
      <c r="G48" s="8">
        <v>0</v>
      </c>
      <c r="H48" s="7" t="e">
        <f t="shared" si="17"/>
        <v>#DIV/0!</v>
      </c>
      <c r="I48" s="7">
        <v>0</v>
      </c>
      <c r="J48" s="8">
        <v>0</v>
      </c>
      <c r="K48" s="7" t="e">
        <f t="shared" si="18"/>
        <v>#DIV/0!</v>
      </c>
      <c r="L48" s="7">
        <v>0</v>
      </c>
      <c r="M48" s="8">
        <v>0</v>
      </c>
      <c r="N48" s="7">
        <f t="shared" si="19"/>
        <v>1304.1414141414141</v>
      </c>
      <c r="O48" s="7">
        <v>12911</v>
      </c>
      <c r="P48" s="8">
        <v>9.9</v>
      </c>
      <c r="Q48" s="7">
        <f t="shared" si="20"/>
        <v>843.74237423742375</v>
      </c>
      <c r="R48" s="7">
        <v>843658</v>
      </c>
      <c r="S48" s="8">
        <v>999.9</v>
      </c>
      <c r="T48" s="7">
        <f t="shared" si="21"/>
        <v>2507.3913043478265</v>
      </c>
      <c r="U48" s="7">
        <v>5767</v>
      </c>
      <c r="V48" s="8">
        <v>2.2999999999999998</v>
      </c>
      <c r="W48" s="7">
        <f t="shared" si="22"/>
        <v>1220.2805611222445</v>
      </c>
      <c r="X48" s="7">
        <v>60892</v>
      </c>
      <c r="Y48" s="8">
        <v>49.9</v>
      </c>
      <c r="Z48" s="7" t="e">
        <f t="shared" si="23"/>
        <v>#DIV/0!</v>
      </c>
      <c r="AA48" s="7">
        <v>0</v>
      </c>
      <c r="AB48" s="8">
        <v>0</v>
      </c>
      <c r="AC48" s="7" t="e">
        <f t="shared" si="24"/>
        <v>#DIV/0!</v>
      </c>
      <c r="AD48" s="7">
        <v>0</v>
      </c>
      <c r="AE48" s="8">
        <v>0</v>
      </c>
      <c r="AF48" s="7" t="e">
        <f t="shared" si="25"/>
        <v>#DIV/0!</v>
      </c>
      <c r="AG48" s="7">
        <v>0</v>
      </c>
      <c r="AH48" s="8">
        <v>0</v>
      </c>
      <c r="AI48" s="7" t="e">
        <f t="shared" si="26"/>
        <v>#DIV/0!</v>
      </c>
      <c r="AJ48" s="7">
        <v>0</v>
      </c>
      <c r="AK48" s="8">
        <v>0</v>
      </c>
      <c r="AL48" s="7" t="e">
        <f t="shared" si="27"/>
        <v>#DIV/0!</v>
      </c>
      <c r="AM48" s="7">
        <v>0</v>
      </c>
      <c r="AN48" s="8">
        <v>0</v>
      </c>
      <c r="AO48" s="7">
        <f t="shared" si="12"/>
        <v>869.32956685499062</v>
      </c>
      <c r="AP48" s="7">
        <f t="shared" si="14"/>
        <v>923228</v>
      </c>
      <c r="AQ48" s="8">
        <f t="shared" si="15"/>
        <v>1062</v>
      </c>
    </row>
    <row r="49" spans="1:43" x14ac:dyDescent="0.3">
      <c r="A49" s="29" t="s">
        <v>70</v>
      </c>
      <c r="B49" s="20"/>
      <c r="C49" s="20"/>
      <c r="D49" s="20"/>
      <c r="E49" s="7">
        <f t="shared" si="16"/>
        <v>1393.3798882681565</v>
      </c>
      <c r="F49" s="7">
        <v>49883</v>
      </c>
      <c r="G49" s="8">
        <v>35.799999999999997</v>
      </c>
      <c r="H49" s="7" t="e">
        <f t="shared" si="17"/>
        <v>#DIV/0!</v>
      </c>
      <c r="I49" s="7">
        <v>0</v>
      </c>
      <c r="J49" s="8">
        <v>0</v>
      </c>
      <c r="K49" s="7">
        <f t="shared" si="18"/>
        <v>1662.7091633466134</v>
      </c>
      <c r="L49" s="7">
        <v>41734</v>
      </c>
      <c r="M49" s="8">
        <v>25.1</v>
      </c>
      <c r="N49" s="7">
        <f t="shared" si="19"/>
        <v>1210.1047120418848</v>
      </c>
      <c r="O49" s="7">
        <v>23113</v>
      </c>
      <c r="P49" s="8">
        <v>19.100000000000001</v>
      </c>
      <c r="Q49" s="7" t="e">
        <f t="shared" si="20"/>
        <v>#DIV/0!</v>
      </c>
      <c r="R49" s="7">
        <v>0</v>
      </c>
      <c r="S49" s="8">
        <v>0</v>
      </c>
      <c r="T49" s="7">
        <f t="shared" si="21"/>
        <v>1459.2307692307691</v>
      </c>
      <c r="U49" s="7">
        <v>64498</v>
      </c>
      <c r="V49" s="8">
        <v>44.2</v>
      </c>
      <c r="W49" s="7">
        <f t="shared" si="22"/>
        <v>1432.0833333333333</v>
      </c>
      <c r="X49" s="7">
        <v>24059</v>
      </c>
      <c r="Y49" s="8">
        <v>16.8</v>
      </c>
      <c r="Z49" s="7">
        <f t="shared" si="23"/>
        <v>1252.1989528795812</v>
      </c>
      <c r="AA49" s="7">
        <v>23917</v>
      </c>
      <c r="AB49" s="8">
        <v>19.100000000000001</v>
      </c>
      <c r="AC49" s="7">
        <f t="shared" si="24"/>
        <v>1628.4860557768923</v>
      </c>
      <c r="AD49" s="7">
        <v>40875</v>
      </c>
      <c r="AE49" s="8">
        <v>25.1</v>
      </c>
      <c r="AF49" s="7">
        <f t="shared" si="25"/>
        <v>1366.0335195530727</v>
      </c>
      <c r="AG49" s="7">
        <v>48904</v>
      </c>
      <c r="AH49" s="8">
        <v>35.799999999999997</v>
      </c>
      <c r="AI49" s="7">
        <f t="shared" si="26"/>
        <v>1257.591623036649</v>
      </c>
      <c r="AJ49" s="7">
        <v>24020</v>
      </c>
      <c r="AK49" s="8">
        <v>19.100000000000001</v>
      </c>
      <c r="AL49" s="7" t="e">
        <f t="shared" si="27"/>
        <v>#DIV/0!</v>
      </c>
      <c r="AM49" s="7">
        <v>0</v>
      </c>
      <c r="AN49" s="8">
        <v>0</v>
      </c>
      <c r="AO49" s="7">
        <f t="shared" si="12"/>
        <v>1420.2540608079967</v>
      </c>
      <c r="AP49" s="7">
        <f t="shared" si="14"/>
        <v>341003</v>
      </c>
      <c r="AQ49" s="8">
        <f t="shared" si="15"/>
        <v>240.1</v>
      </c>
    </row>
    <row r="50" spans="1:43" x14ac:dyDescent="0.3">
      <c r="A50" s="29" t="s">
        <v>78</v>
      </c>
      <c r="B50" s="20"/>
      <c r="C50" s="20"/>
      <c r="D50" s="20"/>
      <c r="E50" s="7" t="e">
        <f t="shared" si="16"/>
        <v>#DIV/0!</v>
      </c>
      <c r="F50" s="7">
        <v>0</v>
      </c>
      <c r="G50" s="8">
        <v>0</v>
      </c>
      <c r="H50" s="7" t="e">
        <f t="shared" si="17"/>
        <v>#DIV/0!</v>
      </c>
      <c r="I50" s="7">
        <v>0</v>
      </c>
      <c r="J50" s="8">
        <v>0</v>
      </c>
      <c r="K50" s="7">
        <f t="shared" si="18"/>
        <v>1552.7868852459017</v>
      </c>
      <c r="L50" s="7">
        <v>9472</v>
      </c>
      <c r="M50" s="8">
        <v>6.1</v>
      </c>
      <c r="N50" s="7" t="e">
        <f t="shared" si="19"/>
        <v>#DIV/0!</v>
      </c>
      <c r="O50" s="7">
        <v>0</v>
      </c>
      <c r="P50" s="8">
        <v>0</v>
      </c>
      <c r="Q50" s="7" t="e">
        <f t="shared" si="20"/>
        <v>#DIV/0!</v>
      </c>
      <c r="R50" s="7">
        <v>0</v>
      </c>
      <c r="S50" s="8">
        <v>0</v>
      </c>
      <c r="T50" s="7" t="e">
        <f t="shared" si="21"/>
        <v>#DIV/0!</v>
      </c>
      <c r="U50" s="7">
        <v>0</v>
      </c>
      <c r="V50" s="8">
        <v>0</v>
      </c>
      <c r="W50" s="7" t="e">
        <f t="shared" si="22"/>
        <v>#DIV/0!</v>
      </c>
      <c r="X50" s="7">
        <v>0</v>
      </c>
      <c r="Y50" s="8">
        <v>0</v>
      </c>
      <c r="Z50" s="7" t="e">
        <f t="shared" si="23"/>
        <v>#DIV/0!</v>
      </c>
      <c r="AA50" s="7">
        <v>0</v>
      </c>
      <c r="AB50" s="8">
        <v>0</v>
      </c>
      <c r="AC50" s="7" t="e">
        <f t="shared" si="24"/>
        <v>#DIV/0!</v>
      </c>
      <c r="AD50" s="7">
        <v>0</v>
      </c>
      <c r="AE50" s="8">
        <v>0</v>
      </c>
      <c r="AF50" s="7" t="e">
        <f t="shared" si="25"/>
        <v>#DIV/0!</v>
      </c>
      <c r="AG50" s="7">
        <v>0</v>
      </c>
      <c r="AH50" s="8">
        <v>0</v>
      </c>
      <c r="AI50" s="7" t="e">
        <f t="shared" si="26"/>
        <v>#DIV/0!</v>
      </c>
      <c r="AJ50" s="7">
        <v>0</v>
      </c>
      <c r="AK50" s="8">
        <v>0</v>
      </c>
      <c r="AL50" s="7" t="e">
        <f t="shared" si="27"/>
        <v>#DIV/0!</v>
      </c>
      <c r="AM50" s="7">
        <v>0</v>
      </c>
      <c r="AN50" s="8">
        <v>0</v>
      </c>
      <c r="AO50" s="7">
        <f t="shared" si="12"/>
        <v>1552.7868852459017</v>
      </c>
      <c r="AP50" s="7">
        <f t="shared" si="14"/>
        <v>9472</v>
      </c>
      <c r="AQ50" s="8">
        <f t="shared" si="15"/>
        <v>6.1</v>
      </c>
    </row>
    <row r="51" spans="1:43" x14ac:dyDescent="0.3">
      <c r="A51" s="28" t="s">
        <v>24</v>
      </c>
      <c r="B51" s="20"/>
      <c r="C51" s="20"/>
      <c r="D51" s="20"/>
      <c r="E51" s="7" t="e">
        <f t="shared" si="16"/>
        <v>#DIV/0!</v>
      </c>
      <c r="F51" s="7">
        <v>0</v>
      </c>
      <c r="G51" s="8">
        <v>0</v>
      </c>
      <c r="H51" s="7">
        <f t="shared" si="17"/>
        <v>1060.1659751037344</v>
      </c>
      <c r="I51" s="7">
        <v>102200</v>
      </c>
      <c r="J51" s="8">
        <v>96.4</v>
      </c>
      <c r="K51" s="7" t="e">
        <f t="shared" si="18"/>
        <v>#DIV/0!</v>
      </c>
      <c r="L51" s="7">
        <v>0</v>
      </c>
      <c r="M51" s="8">
        <v>0</v>
      </c>
      <c r="N51" s="7">
        <f t="shared" si="19"/>
        <v>1075.030737704918</v>
      </c>
      <c r="O51" s="7">
        <v>104923</v>
      </c>
      <c r="P51" s="8">
        <v>97.6</v>
      </c>
      <c r="Q51" s="7" t="e">
        <f t="shared" si="20"/>
        <v>#DIV/0!</v>
      </c>
      <c r="R51" s="7">
        <v>0</v>
      </c>
      <c r="S51" s="8">
        <v>0</v>
      </c>
      <c r="T51" s="7">
        <f t="shared" si="21"/>
        <v>1063.1950207468878</v>
      </c>
      <c r="U51" s="7">
        <v>102492</v>
      </c>
      <c r="V51" s="8">
        <v>96.4</v>
      </c>
      <c r="W51" s="7" t="e">
        <f t="shared" si="22"/>
        <v>#DIV/0!</v>
      </c>
      <c r="X51" s="7">
        <v>0</v>
      </c>
      <c r="Y51" s="8">
        <v>0</v>
      </c>
      <c r="Z51" s="7">
        <f t="shared" si="23"/>
        <v>1137.6844262295083</v>
      </c>
      <c r="AA51" s="7">
        <v>111038</v>
      </c>
      <c r="AB51" s="8">
        <v>97.6</v>
      </c>
      <c r="AC51" s="7" t="e">
        <f t="shared" si="24"/>
        <v>#DIV/0!</v>
      </c>
      <c r="AD51" s="7">
        <v>0</v>
      </c>
      <c r="AE51" s="8">
        <v>0</v>
      </c>
      <c r="AF51" s="7">
        <f t="shared" si="25"/>
        <v>1354.2105263157896</v>
      </c>
      <c r="AG51" s="7">
        <v>2573</v>
      </c>
      <c r="AH51" s="8">
        <v>1.9</v>
      </c>
      <c r="AI51" s="7">
        <f t="shared" si="26"/>
        <v>2445.3333333333335</v>
      </c>
      <c r="AJ51" s="7">
        <v>3668</v>
      </c>
      <c r="AK51" s="8">
        <v>1.5</v>
      </c>
      <c r="AL51" s="7" t="e">
        <f t="shared" si="27"/>
        <v>#DIV/0!</v>
      </c>
      <c r="AM51" s="7">
        <v>0</v>
      </c>
      <c r="AN51" s="8">
        <v>0</v>
      </c>
      <c r="AO51" s="7">
        <f t="shared" si="12"/>
        <v>1090.6847215125192</v>
      </c>
      <c r="AP51" s="7">
        <f t="shared" si="14"/>
        <v>426894</v>
      </c>
      <c r="AQ51" s="8">
        <f t="shared" si="15"/>
        <v>391.4</v>
      </c>
    </row>
    <row r="52" spans="1:43" x14ac:dyDescent="0.3">
      <c r="A52" s="28" t="s">
        <v>84</v>
      </c>
      <c r="B52" s="20"/>
      <c r="C52" s="20"/>
      <c r="D52" s="20"/>
      <c r="E52" s="7" t="e">
        <f t="shared" si="16"/>
        <v>#DIV/0!</v>
      </c>
      <c r="F52" s="7">
        <v>0</v>
      </c>
      <c r="G52" s="8">
        <v>0</v>
      </c>
      <c r="H52" s="7" t="e">
        <f t="shared" si="17"/>
        <v>#DIV/0!</v>
      </c>
      <c r="I52" s="7">
        <v>0</v>
      </c>
      <c r="J52" s="8">
        <v>0</v>
      </c>
      <c r="K52" s="7" t="e">
        <f t="shared" si="18"/>
        <v>#DIV/0!</v>
      </c>
      <c r="L52" s="7">
        <v>0</v>
      </c>
      <c r="M52" s="8">
        <v>0</v>
      </c>
      <c r="N52" s="7" t="e">
        <f t="shared" si="19"/>
        <v>#DIV/0!</v>
      </c>
      <c r="O52" s="7">
        <v>0</v>
      </c>
      <c r="P52" s="8">
        <v>0</v>
      </c>
      <c r="Q52" s="7" t="e">
        <f t="shared" si="20"/>
        <v>#DIV/0!</v>
      </c>
      <c r="R52" s="7">
        <v>0</v>
      </c>
      <c r="S52" s="8">
        <v>0</v>
      </c>
      <c r="T52" s="7" t="e">
        <f t="shared" si="21"/>
        <v>#DIV/0!</v>
      </c>
      <c r="U52" s="7">
        <v>0</v>
      </c>
      <c r="V52" s="8">
        <v>0</v>
      </c>
      <c r="W52" s="7">
        <f t="shared" si="22"/>
        <v>1201.8057142857142</v>
      </c>
      <c r="X52" s="7">
        <v>420632</v>
      </c>
      <c r="Y52" s="8">
        <v>350</v>
      </c>
      <c r="Z52" s="7" t="e">
        <f t="shared" si="23"/>
        <v>#DIV/0!</v>
      </c>
      <c r="AA52" s="7">
        <v>0</v>
      </c>
      <c r="AB52" s="8">
        <v>0</v>
      </c>
      <c r="AC52" s="7" t="e">
        <f t="shared" si="24"/>
        <v>#DIV/0!</v>
      </c>
      <c r="AD52" s="7">
        <v>0</v>
      </c>
      <c r="AE52" s="8">
        <v>0</v>
      </c>
      <c r="AF52" s="7" t="e">
        <f t="shared" si="25"/>
        <v>#DIV/0!</v>
      </c>
      <c r="AG52" s="7">
        <v>0</v>
      </c>
      <c r="AH52" s="8">
        <v>0</v>
      </c>
      <c r="AI52" s="7" t="e">
        <f t="shared" si="26"/>
        <v>#DIV/0!</v>
      </c>
      <c r="AJ52" s="7">
        <v>0</v>
      </c>
      <c r="AK52" s="8">
        <v>0</v>
      </c>
      <c r="AL52" s="7" t="e">
        <f t="shared" si="27"/>
        <v>#DIV/0!</v>
      </c>
      <c r="AM52" s="7">
        <v>0</v>
      </c>
      <c r="AN52" s="8">
        <v>0</v>
      </c>
      <c r="AO52" s="7">
        <f t="shared" si="12"/>
        <v>1201.8057142857142</v>
      </c>
      <c r="AP52" s="7">
        <f t="shared" si="14"/>
        <v>420632</v>
      </c>
      <c r="AQ52" s="8">
        <f t="shared" si="15"/>
        <v>350</v>
      </c>
    </row>
    <row r="53" spans="1:43" x14ac:dyDescent="0.3">
      <c r="A53" s="28" t="s">
        <v>35</v>
      </c>
      <c r="B53" s="20"/>
      <c r="C53" s="20"/>
      <c r="D53" s="20"/>
      <c r="E53" s="7" t="e">
        <f t="shared" si="16"/>
        <v>#DIV/0!</v>
      </c>
      <c r="F53" s="7">
        <v>0</v>
      </c>
      <c r="G53" s="8">
        <v>0</v>
      </c>
      <c r="H53" s="7" t="e">
        <f t="shared" si="17"/>
        <v>#DIV/0!</v>
      </c>
      <c r="I53" s="7">
        <v>0</v>
      </c>
      <c r="J53" s="8">
        <v>0</v>
      </c>
      <c r="K53" s="7">
        <f t="shared" si="18"/>
        <v>2485</v>
      </c>
      <c r="L53" s="7">
        <v>22365</v>
      </c>
      <c r="M53" s="8">
        <v>9</v>
      </c>
      <c r="N53" s="7" t="e">
        <f t="shared" si="19"/>
        <v>#DIV/0!</v>
      </c>
      <c r="O53" s="7">
        <v>0</v>
      </c>
      <c r="P53" s="8">
        <v>0</v>
      </c>
      <c r="Q53" s="7" t="e">
        <f t="shared" si="20"/>
        <v>#DIV/0!</v>
      </c>
      <c r="R53" s="7">
        <v>0</v>
      </c>
      <c r="S53" s="8">
        <v>0</v>
      </c>
      <c r="T53" s="7" t="e">
        <f t="shared" si="21"/>
        <v>#DIV/0!</v>
      </c>
      <c r="U53" s="7">
        <v>0</v>
      </c>
      <c r="V53" s="8">
        <v>0</v>
      </c>
      <c r="W53" s="7">
        <f t="shared" si="22"/>
        <v>2280</v>
      </c>
      <c r="X53" s="7">
        <v>5244</v>
      </c>
      <c r="Y53" s="8">
        <v>2.2999999999999998</v>
      </c>
      <c r="Z53" s="7" t="e">
        <f t="shared" si="23"/>
        <v>#DIV/0!</v>
      </c>
      <c r="AA53" s="7">
        <v>0</v>
      </c>
      <c r="AB53" s="8">
        <v>0</v>
      </c>
      <c r="AC53" s="7" t="e">
        <f t="shared" si="24"/>
        <v>#DIV/0!</v>
      </c>
      <c r="AD53" s="7">
        <v>0</v>
      </c>
      <c r="AE53" s="8">
        <v>0</v>
      </c>
      <c r="AF53" s="7" t="e">
        <f t="shared" si="25"/>
        <v>#DIV/0!</v>
      </c>
      <c r="AG53" s="7">
        <v>0</v>
      </c>
      <c r="AH53" s="8">
        <v>0</v>
      </c>
      <c r="AI53" s="7" t="e">
        <f t="shared" si="26"/>
        <v>#DIV/0!</v>
      </c>
      <c r="AJ53" s="7">
        <v>0</v>
      </c>
      <c r="AK53" s="8">
        <v>0</v>
      </c>
      <c r="AL53" s="7" t="e">
        <f t="shared" si="27"/>
        <v>#DIV/0!</v>
      </c>
      <c r="AM53" s="7">
        <v>0</v>
      </c>
      <c r="AN53" s="8">
        <v>0</v>
      </c>
      <c r="AO53" s="7">
        <f t="shared" si="12"/>
        <v>2443.2743362831857</v>
      </c>
      <c r="AP53" s="7">
        <f t="shared" si="14"/>
        <v>27609</v>
      </c>
      <c r="AQ53" s="8">
        <f t="shared" si="15"/>
        <v>11.3</v>
      </c>
    </row>
    <row r="54" spans="1:43" x14ac:dyDescent="0.3">
      <c r="A54" s="28" t="s">
        <v>80</v>
      </c>
      <c r="B54" s="20"/>
      <c r="C54" s="20"/>
      <c r="D54" s="20"/>
      <c r="E54" s="7" t="e">
        <f t="shared" si="16"/>
        <v>#DIV/0!</v>
      </c>
      <c r="F54" s="7">
        <v>0</v>
      </c>
      <c r="G54" s="8">
        <v>0</v>
      </c>
      <c r="H54" s="7">
        <f t="shared" si="17"/>
        <v>770.78651685393254</v>
      </c>
      <c r="I54" s="7">
        <v>13720</v>
      </c>
      <c r="J54" s="8">
        <v>17.8</v>
      </c>
      <c r="K54" s="7">
        <f t="shared" si="18"/>
        <v>788.50574712643686</v>
      </c>
      <c r="L54" s="7">
        <v>13720</v>
      </c>
      <c r="M54" s="8">
        <v>17.399999999999999</v>
      </c>
      <c r="N54" s="7">
        <f t="shared" si="19"/>
        <v>770</v>
      </c>
      <c r="O54" s="7">
        <v>13475</v>
      </c>
      <c r="P54" s="8">
        <v>17.5</v>
      </c>
      <c r="Q54" s="7" t="e">
        <f t="shared" si="20"/>
        <v>#DIV/0!</v>
      </c>
      <c r="R54" s="7">
        <v>0</v>
      </c>
      <c r="S54" s="8">
        <v>0</v>
      </c>
      <c r="T54" s="7">
        <f t="shared" si="21"/>
        <v>770.78651685393254</v>
      </c>
      <c r="U54" s="7">
        <v>13720</v>
      </c>
      <c r="V54" s="8">
        <v>17.8</v>
      </c>
      <c r="W54" s="7" t="e">
        <f t="shared" si="22"/>
        <v>#DIV/0!</v>
      </c>
      <c r="X54" s="7">
        <v>0</v>
      </c>
      <c r="Y54" s="8">
        <v>0</v>
      </c>
      <c r="Z54" s="7" t="e">
        <f t="shared" si="23"/>
        <v>#DIV/0!</v>
      </c>
      <c r="AA54" s="7">
        <v>0</v>
      </c>
      <c r="AB54" s="8">
        <v>0</v>
      </c>
      <c r="AC54" s="7" t="e">
        <f t="shared" si="24"/>
        <v>#DIV/0!</v>
      </c>
      <c r="AD54" s="7">
        <v>0</v>
      </c>
      <c r="AE54" s="8">
        <v>0</v>
      </c>
      <c r="AF54" s="7" t="e">
        <f t="shared" si="25"/>
        <v>#DIV/0!</v>
      </c>
      <c r="AG54" s="7">
        <v>0</v>
      </c>
      <c r="AH54" s="8">
        <v>0</v>
      </c>
      <c r="AI54" s="7" t="e">
        <f t="shared" si="26"/>
        <v>#DIV/0!</v>
      </c>
      <c r="AJ54" s="7">
        <v>0</v>
      </c>
      <c r="AK54" s="8">
        <v>0</v>
      </c>
      <c r="AL54" s="7" t="e">
        <f t="shared" si="27"/>
        <v>#DIV/0!</v>
      </c>
      <c r="AM54" s="7">
        <v>0</v>
      </c>
      <c r="AN54" s="8">
        <v>0</v>
      </c>
      <c r="AO54" s="7">
        <f t="shared" si="12"/>
        <v>774.96453900709218</v>
      </c>
      <c r="AP54" s="7">
        <f t="shared" si="14"/>
        <v>54635</v>
      </c>
      <c r="AQ54" s="8">
        <f t="shared" si="15"/>
        <v>70.5</v>
      </c>
    </row>
    <row r="55" spans="1:43" x14ac:dyDescent="0.3">
      <c r="A55" s="28" t="s">
        <v>36</v>
      </c>
      <c r="B55" s="20"/>
      <c r="C55" s="20"/>
      <c r="D55" s="20"/>
      <c r="E55" s="7">
        <f t="shared" si="16"/>
        <v>1912.8571428571429</v>
      </c>
      <c r="F55" s="7">
        <v>2678</v>
      </c>
      <c r="G55" s="8">
        <v>1.4</v>
      </c>
      <c r="H55" s="7">
        <f t="shared" si="17"/>
        <v>1632.608695652174</v>
      </c>
      <c r="I55" s="7">
        <v>3755</v>
      </c>
      <c r="J55" s="8">
        <v>2.2999999999999998</v>
      </c>
      <c r="K55" s="7">
        <f t="shared" si="18"/>
        <v>1794.3478260869567</v>
      </c>
      <c r="L55" s="7">
        <v>8254</v>
      </c>
      <c r="M55" s="8">
        <v>4.5999999999999996</v>
      </c>
      <c r="N55" s="7" t="e">
        <f t="shared" si="19"/>
        <v>#DIV/0!</v>
      </c>
      <c r="O55" s="7">
        <v>0</v>
      </c>
      <c r="P55" s="8">
        <v>0</v>
      </c>
      <c r="Q55" s="7" t="e">
        <f t="shared" si="20"/>
        <v>#DIV/0!</v>
      </c>
      <c r="R55" s="7">
        <v>0</v>
      </c>
      <c r="S55" s="8">
        <v>0</v>
      </c>
      <c r="T55" s="7" t="e">
        <f t="shared" si="21"/>
        <v>#DIV/0!</v>
      </c>
      <c r="U55" s="7">
        <v>0</v>
      </c>
      <c r="V55" s="8">
        <v>0</v>
      </c>
      <c r="W55" s="7">
        <f t="shared" si="22"/>
        <v>2092.105263157895</v>
      </c>
      <c r="X55" s="7">
        <v>3975</v>
      </c>
      <c r="Y55" s="8">
        <v>1.9</v>
      </c>
      <c r="Z55" s="7" t="e">
        <f t="shared" si="23"/>
        <v>#DIV/0!</v>
      </c>
      <c r="AA55" s="7">
        <v>0</v>
      </c>
      <c r="AB55" s="8">
        <v>0</v>
      </c>
      <c r="AC55" s="7">
        <f t="shared" si="24"/>
        <v>1940</v>
      </c>
      <c r="AD55" s="7">
        <v>3880</v>
      </c>
      <c r="AE55" s="8">
        <v>2</v>
      </c>
      <c r="AF55" s="7">
        <f t="shared" si="25"/>
        <v>1867.0588235294117</v>
      </c>
      <c r="AG55" s="7">
        <v>6348</v>
      </c>
      <c r="AH55" s="8">
        <v>3.4</v>
      </c>
      <c r="AI55" s="7" t="e">
        <f t="shared" si="26"/>
        <v>#DIV/0!</v>
      </c>
      <c r="AJ55" s="7">
        <v>0</v>
      </c>
      <c r="AK55" s="8">
        <v>0</v>
      </c>
      <c r="AL55" s="7" t="e">
        <f t="shared" si="27"/>
        <v>#DIV/0!</v>
      </c>
      <c r="AM55" s="7">
        <v>0</v>
      </c>
      <c r="AN55" s="8">
        <v>0</v>
      </c>
      <c r="AO55" s="7">
        <f t="shared" si="12"/>
        <v>1851.9230769230769</v>
      </c>
      <c r="AP55" s="7">
        <f t="shared" si="14"/>
        <v>28890</v>
      </c>
      <c r="AQ55" s="8">
        <f t="shared" si="15"/>
        <v>15.6</v>
      </c>
    </row>
    <row r="56" spans="1:43" x14ac:dyDescent="0.3">
      <c r="A56" s="28" t="s">
        <v>71</v>
      </c>
      <c r="B56" s="20"/>
      <c r="C56" s="20"/>
      <c r="D56" s="20"/>
      <c r="E56" s="7" t="e">
        <f t="shared" si="16"/>
        <v>#DIV/0!</v>
      </c>
      <c r="F56" s="7">
        <v>0</v>
      </c>
      <c r="G56" s="8">
        <v>0</v>
      </c>
      <c r="H56" s="7" t="e">
        <f t="shared" si="17"/>
        <v>#DIV/0!</v>
      </c>
      <c r="I56" s="7">
        <v>0</v>
      </c>
      <c r="J56" s="8">
        <v>0</v>
      </c>
      <c r="K56" s="7" t="e">
        <f t="shared" si="18"/>
        <v>#DIV/0!</v>
      </c>
      <c r="L56" s="7">
        <v>0</v>
      </c>
      <c r="M56" s="8">
        <v>0</v>
      </c>
      <c r="N56" s="7">
        <f t="shared" si="19"/>
        <v>3286.25</v>
      </c>
      <c r="O56" s="7">
        <v>2629</v>
      </c>
      <c r="P56" s="8">
        <v>0.8</v>
      </c>
      <c r="Q56" s="7" t="e">
        <f t="shared" si="20"/>
        <v>#DIV/0!</v>
      </c>
      <c r="R56" s="7">
        <v>0</v>
      </c>
      <c r="S56" s="8">
        <v>0</v>
      </c>
      <c r="T56" s="7" t="e">
        <f t="shared" si="21"/>
        <v>#DIV/0!</v>
      </c>
      <c r="U56" s="7">
        <v>0</v>
      </c>
      <c r="V56" s="8">
        <v>0</v>
      </c>
      <c r="W56" s="7" t="e">
        <f t="shared" si="22"/>
        <v>#DIV/0!</v>
      </c>
      <c r="X56" s="7">
        <v>0</v>
      </c>
      <c r="Y56" s="8">
        <v>0</v>
      </c>
      <c r="Z56" s="7" t="e">
        <f t="shared" si="23"/>
        <v>#DIV/0!</v>
      </c>
      <c r="AA56" s="7">
        <v>0</v>
      </c>
      <c r="AB56" s="8">
        <v>0</v>
      </c>
      <c r="AC56" s="7">
        <f t="shared" si="24"/>
        <v>3218</v>
      </c>
      <c r="AD56" s="7">
        <v>3218</v>
      </c>
      <c r="AE56" s="8">
        <v>1</v>
      </c>
      <c r="AF56" s="7" t="e">
        <f t="shared" si="25"/>
        <v>#DIV/0!</v>
      </c>
      <c r="AG56" s="7">
        <v>0</v>
      </c>
      <c r="AH56" s="8">
        <v>0</v>
      </c>
      <c r="AI56" s="7" t="e">
        <f t="shared" si="26"/>
        <v>#DIV/0!</v>
      </c>
      <c r="AJ56" s="7">
        <v>0</v>
      </c>
      <c r="AK56" s="8">
        <v>0</v>
      </c>
      <c r="AL56" s="7" t="e">
        <f t="shared" si="27"/>
        <v>#DIV/0!</v>
      </c>
      <c r="AM56" s="7">
        <v>0</v>
      </c>
      <c r="AN56" s="8">
        <v>0</v>
      </c>
      <c r="AO56" s="7">
        <f t="shared" si="12"/>
        <v>3248.333333333333</v>
      </c>
      <c r="AP56" s="7">
        <f t="shared" si="14"/>
        <v>5847</v>
      </c>
      <c r="AQ56" s="8">
        <f t="shared" si="15"/>
        <v>1.8</v>
      </c>
    </row>
    <row r="57" spans="1:43" x14ac:dyDescent="0.3">
      <c r="A57" s="28" t="s">
        <v>73</v>
      </c>
      <c r="B57" s="20"/>
      <c r="C57" s="20"/>
      <c r="D57" s="20"/>
      <c r="E57" s="7">
        <f t="shared" si="16"/>
        <v>3456.4705882352941</v>
      </c>
      <c r="F57" s="7">
        <v>5876</v>
      </c>
      <c r="G57" s="8">
        <v>1.7</v>
      </c>
      <c r="H57" s="7">
        <f t="shared" si="17"/>
        <v>3405.454545454545</v>
      </c>
      <c r="I57" s="7">
        <v>7492</v>
      </c>
      <c r="J57" s="8">
        <v>2.2000000000000002</v>
      </c>
      <c r="K57" s="7" t="e">
        <f t="shared" si="18"/>
        <v>#DIV/0!</v>
      </c>
      <c r="L57" s="7">
        <v>0</v>
      </c>
      <c r="M57" s="8">
        <v>0</v>
      </c>
      <c r="N57" s="7" t="e">
        <f t="shared" si="19"/>
        <v>#DIV/0!</v>
      </c>
      <c r="O57" s="7">
        <v>0</v>
      </c>
      <c r="P57" s="8">
        <v>0</v>
      </c>
      <c r="Q57" s="7">
        <f t="shared" si="20"/>
        <v>3672.5</v>
      </c>
      <c r="R57" s="7">
        <v>2938</v>
      </c>
      <c r="S57" s="8">
        <v>0.8</v>
      </c>
      <c r="T57" s="7">
        <f t="shared" si="21"/>
        <v>3672.5</v>
      </c>
      <c r="U57" s="7">
        <v>2938</v>
      </c>
      <c r="V57" s="8">
        <v>0.8</v>
      </c>
      <c r="W57" s="7" t="e">
        <f t="shared" si="22"/>
        <v>#DIV/0!</v>
      </c>
      <c r="X57" s="7">
        <v>0</v>
      </c>
      <c r="Y57" s="8">
        <v>0</v>
      </c>
      <c r="Z57" s="7" t="e">
        <f t="shared" si="23"/>
        <v>#DIV/0!</v>
      </c>
      <c r="AA57" s="7">
        <v>0</v>
      </c>
      <c r="AB57" s="8">
        <v>0</v>
      </c>
      <c r="AC57" s="7" t="e">
        <f t="shared" si="24"/>
        <v>#DIV/0!</v>
      </c>
      <c r="AD57" s="7">
        <v>0</v>
      </c>
      <c r="AE57" s="8">
        <v>0</v>
      </c>
      <c r="AF57" s="7" t="e">
        <f t="shared" si="25"/>
        <v>#DIV/0!</v>
      </c>
      <c r="AG57" s="7">
        <v>0</v>
      </c>
      <c r="AH57" s="8">
        <v>0</v>
      </c>
      <c r="AI57" s="7" t="e">
        <f t="shared" si="26"/>
        <v>#DIV/0!</v>
      </c>
      <c r="AJ57" s="7">
        <v>0</v>
      </c>
      <c r="AK57" s="8">
        <v>0</v>
      </c>
      <c r="AL57" s="7" t="e">
        <f t="shared" si="27"/>
        <v>#DIV/0!</v>
      </c>
      <c r="AM57" s="7">
        <v>0</v>
      </c>
      <c r="AN57" s="8">
        <v>0</v>
      </c>
      <c r="AO57" s="7">
        <f t="shared" si="12"/>
        <v>3498.909090909091</v>
      </c>
      <c r="AP57" s="7">
        <f t="shared" si="14"/>
        <v>19244</v>
      </c>
      <c r="AQ57" s="8">
        <f t="shared" si="15"/>
        <v>5.5</v>
      </c>
    </row>
    <row r="58" spans="1:43" x14ac:dyDescent="0.3">
      <c r="A58" s="28" t="s">
        <v>82</v>
      </c>
      <c r="B58" s="20"/>
      <c r="C58" s="20"/>
      <c r="D58" s="20"/>
      <c r="E58" s="7" t="e">
        <f t="shared" si="16"/>
        <v>#DIV/0!</v>
      </c>
      <c r="F58" s="7">
        <v>0</v>
      </c>
      <c r="G58" s="8">
        <v>0</v>
      </c>
      <c r="H58" s="7" t="e">
        <f t="shared" si="17"/>
        <v>#DIV/0!</v>
      </c>
      <c r="I58" s="7">
        <v>0</v>
      </c>
      <c r="J58" s="8">
        <v>0</v>
      </c>
      <c r="K58" s="7" t="e">
        <f t="shared" si="18"/>
        <v>#DIV/0!</v>
      </c>
      <c r="L58" s="7">
        <v>0</v>
      </c>
      <c r="M58" s="8">
        <v>0</v>
      </c>
      <c r="N58" s="7" t="e">
        <f t="shared" si="19"/>
        <v>#DIV/0!</v>
      </c>
      <c r="O58" s="7">
        <v>0</v>
      </c>
      <c r="P58" s="8">
        <v>0</v>
      </c>
      <c r="Q58" s="7" t="e">
        <f t="shared" si="20"/>
        <v>#DIV/0!</v>
      </c>
      <c r="R58" s="7">
        <v>0</v>
      </c>
      <c r="S58" s="8">
        <v>0</v>
      </c>
      <c r="T58" s="7">
        <f t="shared" si="21"/>
        <v>1578.9473684210527</v>
      </c>
      <c r="U58" s="7">
        <v>24000</v>
      </c>
      <c r="V58" s="8">
        <v>15.2</v>
      </c>
      <c r="W58" s="7" t="e">
        <f t="shared" si="22"/>
        <v>#DIV/0!</v>
      </c>
      <c r="X58" s="7">
        <v>0</v>
      </c>
      <c r="Y58" s="8">
        <v>0</v>
      </c>
      <c r="Z58" s="7" t="e">
        <f t="shared" si="23"/>
        <v>#DIV/0!</v>
      </c>
      <c r="AA58" s="7">
        <v>0</v>
      </c>
      <c r="AB58" s="8">
        <v>0</v>
      </c>
      <c r="AC58" s="7" t="e">
        <f t="shared" si="24"/>
        <v>#DIV/0!</v>
      </c>
      <c r="AD58" s="7">
        <v>0</v>
      </c>
      <c r="AE58" s="8">
        <v>0</v>
      </c>
      <c r="AF58" s="7" t="e">
        <f t="shared" si="25"/>
        <v>#DIV/0!</v>
      </c>
      <c r="AG58" s="7">
        <v>0</v>
      </c>
      <c r="AH58" s="8">
        <v>0</v>
      </c>
      <c r="AI58" s="7" t="e">
        <f t="shared" si="26"/>
        <v>#DIV/0!</v>
      </c>
      <c r="AJ58" s="7">
        <v>0</v>
      </c>
      <c r="AK58" s="8">
        <v>0</v>
      </c>
      <c r="AL58" s="7" t="e">
        <f t="shared" si="27"/>
        <v>#DIV/0!</v>
      </c>
      <c r="AM58" s="7">
        <v>0</v>
      </c>
      <c r="AN58" s="8">
        <v>0</v>
      </c>
      <c r="AO58" s="7">
        <f t="shared" si="12"/>
        <v>1578.9473684210527</v>
      </c>
      <c r="AP58" s="7">
        <f t="shared" si="14"/>
        <v>24000</v>
      </c>
      <c r="AQ58" s="8">
        <f t="shared" si="15"/>
        <v>15.2</v>
      </c>
    </row>
    <row r="59" spans="1:43" x14ac:dyDescent="0.3">
      <c r="A59" s="28" t="s">
        <v>52</v>
      </c>
      <c r="B59" s="20"/>
      <c r="C59" s="20"/>
      <c r="D59" s="20"/>
      <c r="E59" s="7" t="e">
        <f t="shared" si="16"/>
        <v>#DIV/0!</v>
      </c>
      <c r="F59" s="7">
        <v>0</v>
      </c>
      <c r="G59" s="8">
        <v>0</v>
      </c>
      <c r="H59" s="7" t="e">
        <f t="shared" si="17"/>
        <v>#DIV/0!</v>
      </c>
      <c r="I59" s="7">
        <v>0</v>
      </c>
      <c r="J59" s="8">
        <v>0</v>
      </c>
      <c r="K59" s="7" t="e">
        <f t="shared" si="18"/>
        <v>#DIV/0!</v>
      </c>
      <c r="L59" s="7">
        <v>0</v>
      </c>
      <c r="M59" s="8">
        <v>0</v>
      </c>
      <c r="N59" s="7" t="e">
        <f t="shared" si="19"/>
        <v>#DIV/0!</v>
      </c>
      <c r="O59" s="7">
        <v>0</v>
      </c>
      <c r="P59" s="8">
        <v>0</v>
      </c>
      <c r="Q59" s="7" t="e">
        <f t="shared" si="20"/>
        <v>#DIV/0!</v>
      </c>
      <c r="R59" s="7">
        <v>0</v>
      </c>
      <c r="S59" s="8">
        <v>0</v>
      </c>
      <c r="T59" s="7">
        <f t="shared" si="21"/>
        <v>1506.0843373493974</v>
      </c>
      <c r="U59" s="7">
        <v>50002</v>
      </c>
      <c r="V59" s="8">
        <v>33.200000000000003</v>
      </c>
      <c r="W59" s="7" t="e">
        <f t="shared" si="22"/>
        <v>#DIV/0!</v>
      </c>
      <c r="X59" s="7">
        <v>0</v>
      </c>
      <c r="Y59" s="8">
        <v>0</v>
      </c>
      <c r="Z59" s="7" t="e">
        <f t="shared" si="23"/>
        <v>#DIV/0!</v>
      </c>
      <c r="AA59" s="7">
        <v>0</v>
      </c>
      <c r="AB59" s="8">
        <v>0</v>
      </c>
      <c r="AC59" s="7" t="e">
        <f t="shared" si="24"/>
        <v>#DIV/0!</v>
      </c>
      <c r="AD59" s="7">
        <v>0</v>
      </c>
      <c r="AE59" s="8">
        <v>0</v>
      </c>
      <c r="AF59" s="7">
        <f t="shared" si="25"/>
        <v>1283.3333333333333</v>
      </c>
      <c r="AG59" s="7">
        <v>18480</v>
      </c>
      <c r="AH59" s="8">
        <v>14.4</v>
      </c>
      <c r="AI59" s="7" t="e">
        <f t="shared" si="26"/>
        <v>#DIV/0!</v>
      </c>
      <c r="AJ59" s="7">
        <v>0</v>
      </c>
      <c r="AK59" s="8">
        <v>0</v>
      </c>
      <c r="AL59" s="7" t="e">
        <f t="shared" si="27"/>
        <v>#DIV/0!</v>
      </c>
      <c r="AM59" s="7">
        <v>0</v>
      </c>
      <c r="AN59" s="8">
        <v>0</v>
      </c>
      <c r="AO59" s="7">
        <f t="shared" si="12"/>
        <v>1438.6974789915967</v>
      </c>
      <c r="AP59" s="7">
        <f t="shared" si="14"/>
        <v>68482</v>
      </c>
      <c r="AQ59" s="8">
        <f t="shared" si="15"/>
        <v>47.6</v>
      </c>
    </row>
    <row r="60" spans="1:43" x14ac:dyDescent="0.3">
      <c r="A60" s="16" t="s">
        <v>85</v>
      </c>
      <c r="B60" s="21"/>
      <c r="C60" s="21"/>
      <c r="D60" s="21"/>
      <c r="E60" s="14" t="e">
        <f t="shared" si="16"/>
        <v>#DIV/0!</v>
      </c>
      <c r="F60" s="12">
        <v>0</v>
      </c>
      <c r="G60" s="13">
        <v>0</v>
      </c>
      <c r="H60" s="12" t="e">
        <f t="shared" si="17"/>
        <v>#DIV/0!</v>
      </c>
      <c r="I60" s="12">
        <v>0</v>
      </c>
      <c r="J60" s="13">
        <v>0</v>
      </c>
      <c r="K60" s="12" t="e">
        <f t="shared" si="18"/>
        <v>#DIV/0!</v>
      </c>
      <c r="L60" s="12">
        <v>0</v>
      </c>
      <c r="M60" s="13">
        <v>0</v>
      </c>
      <c r="N60" s="12" t="e">
        <f t="shared" si="19"/>
        <v>#DIV/0!</v>
      </c>
      <c r="O60" s="12">
        <v>0</v>
      </c>
      <c r="P60" s="13">
        <v>0</v>
      </c>
      <c r="Q60" s="12" t="e">
        <f t="shared" si="20"/>
        <v>#DIV/0!</v>
      </c>
      <c r="R60" s="12">
        <v>0</v>
      </c>
      <c r="S60" s="13">
        <v>0</v>
      </c>
      <c r="T60" s="12" t="e">
        <f t="shared" si="21"/>
        <v>#DIV/0!</v>
      </c>
      <c r="U60" s="12">
        <v>0</v>
      </c>
      <c r="V60" s="13">
        <v>0</v>
      </c>
      <c r="W60" s="12" t="e">
        <f t="shared" si="22"/>
        <v>#DIV/0!</v>
      </c>
      <c r="X60" s="12">
        <v>0</v>
      </c>
      <c r="Y60" s="13">
        <v>0</v>
      </c>
      <c r="Z60" s="12" t="e">
        <f t="shared" si="23"/>
        <v>#DIV/0!</v>
      </c>
      <c r="AA60" s="12">
        <v>0</v>
      </c>
      <c r="AB60" s="13">
        <v>0</v>
      </c>
      <c r="AC60" s="12">
        <f t="shared" si="24"/>
        <v>2308</v>
      </c>
      <c r="AD60" s="12">
        <v>3462</v>
      </c>
      <c r="AE60" s="13">
        <v>1.5</v>
      </c>
      <c r="AF60" s="12" t="e">
        <f t="shared" si="25"/>
        <v>#DIV/0!</v>
      </c>
      <c r="AG60" s="12">
        <v>0</v>
      </c>
      <c r="AH60" s="13">
        <v>0</v>
      </c>
      <c r="AI60" s="12" t="e">
        <f t="shared" si="26"/>
        <v>#DIV/0!</v>
      </c>
      <c r="AJ60" s="12">
        <v>0</v>
      </c>
      <c r="AK60" s="13">
        <v>0</v>
      </c>
      <c r="AL60" s="12" t="e">
        <f t="shared" si="27"/>
        <v>#DIV/0!</v>
      </c>
      <c r="AM60" s="12">
        <v>0</v>
      </c>
      <c r="AN60" s="13">
        <v>0</v>
      </c>
      <c r="AO60" s="12">
        <f t="shared" si="12"/>
        <v>2308</v>
      </c>
      <c r="AP60" s="12">
        <f t="shared" si="14"/>
        <v>3462</v>
      </c>
      <c r="AQ60" s="13">
        <f t="shared" si="15"/>
        <v>1.5</v>
      </c>
    </row>
    <row r="61" spans="1:43" x14ac:dyDescent="0.3">
      <c r="A61" s="1" t="s">
        <v>40</v>
      </c>
      <c r="B61" s="1"/>
    </row>
    <row r="62" spans="1:43" x14ac:dyDescent="0.3">
      <c r="A62" s="1" t="s">
        <v>75</v>
      </c>
      <c r="B62" s="1"/>
    </row>
    <row r="63" spans="1:43" x14ac:dyDescent="0.3">
      <c r="A63" s="1" t="s">
        <v>41</v>
      </c>
      <c r="B63" s="1"/>
    </row>
    <row r="64" spans="1:43" x14ac:dyDescent="0.3">
      <c r="A64" s="1" t="s">
        <v>42</v>
      </c>
      <c r="B64" s="1"/>
    </row>
    <row r="65" spans="1:2" x14ac:dyDescent="0.3">
      <c r="A65" s="1" t="s">
        <v>76</v>
      </c>
      <c r="B65" s="1"/>
    </row>
  </sheetData>
  <mergeCells count="16">
    <mergeCell ref="D3:D60"/>
    <mergeCell ref="N1:P1"/>
    <mergeCell ref="Q1:S1"/>
    <mergeCell ref="T1:V1"/>
    <mergeCell ref="AL1:AN1"/>
    <mergeCell ref="AO1:AQ1"/>
    <mergeCell ref="W1:Y1"/>
    <mergeCell ref="Z1:AB1"/>
    <mergeCell ref="AC1:AE1"/>
    <mergeCell ref="AF1:AH1"/>
    <mergeCell ref="AI1:AK1"/>
    <mergeCell ref="E1:G1"/>
    <mergeCell ref="H1:J1"/>
    <mergeCell ref="K1:M1"/>
    <mergeCell ref="B3:B60"/>
    <mergeCell ref="C3:C60"/>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2017년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2026-08-07T05:13:00Z</dcterms:modified>
</cp:coreProperties>
</file>