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6" i="1" l="1"/>
  <c r="AP6" i="1"/>
  <c r="AC3" i="1" l="1"/>
  <c r="Q3" i="1"/>
  <c r="AL3" i="1"/>
  <c r="AF3" i="1"/>
  <c r="W3" i="1"/>
  <c r="T3" i="1"/>
  <c r="N3" i="1"/>
  <c r="K3" i="1"/>
  <c r="H3" i="1"/>
  <c r="AP5" i="1"/>
  <c r="AP3" i="1" s="1"/>
  <c r="AL6" i="1"/>
  <c r="AL5" i="1"/>
  <c r="AL4" i="1"/>
  <c r="AI6" i="1"/>
  <c r="AI5" i="1"/>
  <c r="AI4" i="1"/>
  <c r="AF6" i="1"/>
  <c r="AF5" i="1"/>
  <c r="AF4" i="1"/>
  <c r="AC6" i="1"/>
  <c r="AC5" i="1"/>
  <c r="AC4" i="1"/>
  <c r="Z6" i="1"/>
  <c r="Z5" i="1"/>
  <c r="Z4" i="1"/>
  <c r="W6" i="1"/>
  <c r="W5" i="1"/>
  <c r="W4" i="1"/>
  <c r="T6" i="1"/>
  <c r="T5" i="1"/>
  <c r="T4" i="1"/>
  <c r="Q6" i="1"/>
  <c r="Q5" i="1"/>
  <c r="Q4" i="1"/>
  <c r="N6" i="1"/>
  <c r="N5" i="1"/>
  <c r="N4" i="1"/>
  <c r="K6" i="1"/>
  <c r="K5" i="1"/>
  <c r="K4" i="1"/>
  <c r="H6" i="1"/>
  <c r="H5" i="1"/>
  <c r="H4" i="1"/>
  <c r="E6" i="1"/>
  <c r="E5" i="1"/>
  <c r="AQ5" i="1"/>
  <c r="AI3" i="1" l="1"/>
  <c r="Z3" i="1"/>
  <c r="E3" i="1"/>
  <c r="AO5" i="1"/>
  <c r="AO6" i="1"/>
  <c r="AQ3" i="1"/>
  <c r="AO3" i="1" l="1"/>
  <c r="AO4" i="1"/>
</calcChain>
</file>

<file path=xl/sharedStrings.xml><?xml version="1.0" encoding="utf-8"?>
<sst xmlns="http://schemas.openxmlformats.org/spreadsheetml/2006/main" count="69" uniqueCount="33">
  <si>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</si>
  <si>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</si>
  <si>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</si>
  <si>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</si>
  <si>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</si>
  <si>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</si>
  <si>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</si>
  <si>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</si>
  <si>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</si>
  <si>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</si>
  <si>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</si>
  <si>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</si>
  <si>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</si>
  <si>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</si>
  <si>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</si>
  <si>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</si>
  <si>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</si>
  <si>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</si>
  <si>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</si>
  <si>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</si>
  <si>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</si>
  <si>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</si>
  <si>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</si>
  <si>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</si>
  <si>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</si>
  <si>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</si>
  <si>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Netherlands Antilles(*)</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</si>
  <si>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</si>
  <si>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</si>
  <si>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</si>
  <si>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</si>
  <si>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Canada</t>
    <phoneticPr fontId="18" type="noConversion"/>
  </si>
  <si>
    <t>Paraguay</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</si>
</sst>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1231.2935323383083</v>
      </c>
      <c r="F3" s="9">
        <f>SUM(F4:F6)</f>
        <v>24749</v>
      </c>
      <c r="G3" s="10">
        <f>SUM(G4:G6)</f>
        <v>20.100000000000001</v>
      </c>
      <c r="H3" s="9">
        <f>I3/J3</f>
        <v>1055.598086124402</v>
      </c>
      <c r="I3" s="9">
        <f>SUM(I4:I6)</f>
        <v>22062</v>
      </c>
      <c r="J3" s="10">
        <f>SUM(J4:J6)</f>
        <v>20.9</v>
      </c>
      <c r="K3" s="9">
        <f>L3/M3</f>
        <v>872.50292397660814</v>
      </c>
      <c r="L3" s="9">
        <f>SUM(L4:L6)</f>
        <v>74599</v>
      </c>
      <c r="M3" s="10">
        <f>SUM(M4:M6)</f>
        <v>85.5</v>
      </c>
      <c r="N3" s="9">
        <f>O3/P3</f>
        <v>1308.8888888888889</v>
      </c>
      <c r="O3" s="9">
        <f>SUM(O4:O6)</f>
        <v>3534</v>
      </c>
      <c r="P3" s="10">
        <f>SUM(P4:P6)</f>
        <v>2.7</v>
      </c>
      <c r="Q3" s="9">
        <f>R3/S3</f>
        <v>1481.2154696132595</v>
      </c>
      <c r="R3" s="9">
        <f>SUM(R4:R6)</f>
        <v>26810</v>
      </c>
      <c r="S3" s="10">
        <f>SUM(S4:S6)</f>
        <v>18.100000000000001</v>
      </c>
      <c r="T3" s="9">
        <f>U3/V3</f>
        <v>1045.3875968992249</v>
      </c>
      <c r="U3" s="9">
        <f>SUM(U4:U6)</f>
        <v>26971</v>
      </c>
      <c r="V3" s="10">
        <f>SUM(V4:V6)</f>
        <v>25.799999999999997</v>
      </c>
      <c r="W3" s="9">
        <f>X3/Y3</f>
        <v>8194.545454545454</v>
      </c>
      <c r="X3" s="9">
        <f>SUM(X4:X6)</f>
        <v>9014</v>
      </c>
      <c r="Y3" s="10">
        <f>SUM(Y4:Y6)</f>
        <v>1.1000000000000001</v>
      </c>
      <c r="Z3" s="9">
        <f>AA3/AB3</f>
        <v>1032.8640776699028</v>
      </c>
      <c r="AA3" s="9">
        <f>SUM(AA4:AA6)</f>
        <v>21277</v>
      </c>
      <c r="AB3" s="10">
        <f>SUM(AB4:AB6)</f>
        <v>20.6</v>
      </c>
      <c r="AC3" s="9">
        <f>AD3/AE3</f>
        <v>1105.5555555555554</v>
      </c>
      <c r="AD3" s="9">
        <f>SUM(AD4:AD6)</f>
        <v>23880</v>
      </c>
      <c r="AE3" s="10">
        <f>SUM(AE4:AE6)</f>
        <v>21.6</v>
      </c>
      <c r="AF3" s="9" t="e">
        <f>AG3/AH3</f>
        <v>#DIV/0!</v>
      </c>
      <c r="AG3" s="9">
        <f>SUM(AG4:AG6)</f>
        <v>0</v>
      </c>
      <c r="AH3" s="10">
        <f>SUM(AH4:AH6)</f>
        <v>0</v>
      </c>
      <c r="AI3" s="9">
        <f>AJ3/AK3</f>
        <v>1135.7258064516129</v>
      </c>
      <c r="AJ3" s="9">
        <f>SUM(AJ4:AJ6)</f>
        <v>28166</v>
      </c>
      <c r="AK3" s="10">
        <f>SUM(AK4:AK6)</f>
        <v>24.8</v>
      </c>
      <c r="AL3" s="9">
        <f>AM3/AN3</f>
        <v>1345</v>
      </c>
      <c r="AM3" s="9">
        <f>SUM(AM4:AM6)</f>
        <v>13450</v>
      </c>
      <c r="AN3" s="10">
        <f>SUM(AN4:AN6)</f>
        <v>10</v>
      </c>
      <c r="AO3" s="9">
        <f>AP3/AQ3</f>
        <v>1092.8025477707008</v>
      </c>
      <c r="AP3" s="9">
        <f>SUM(AP4:AP6)</f>
        <v>274512</v>
      </c>
      <c r="AQ3" s="10">
        <f>SUM(AQ4:AQ6)</f>
        <v>251.19999999999996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t="e">
        <f t="shared" ref="E4:E6" si="0">F4/G4</f>
        <v>#DIV/0!</v>
      </c>
      <c r="F4" s="3">
        <v>0</v>
      </c>
      <c r="G4" s="6">
        <v>0</v>
      </c>
      <c r="H4" s="3" t="e">
        <f t="shared" ref="H4:H6" si="1">I4/J4</f>
        <v>#DIV/0!</v>
      </c>
      <c r="I4" s="3">
        <v>0</v>
      </c>
      <c r="J4" s="6">
        <v>0</v>
      </c>
      <c r="K4" s="3" t="e">
        <f t="shared" ref="K4:K6" si="2">L4/M4</f>
        <v>#DIV/0!</v>
      </c>
      <c r="L4" s="3">
        <v>0</v>
      </c>
      <c r="M4" s="6">
        <v>0</v>
      </c>
      <c r="N4" s="3">
        <f t="shared" ref="N4:N6" si="3">O4/P4</f>
        <v>1308.8888888888889</v>
      </c>
      <c r="O4" s="3">
        <v>3534</v>
      </c>
      <c r="P4" s="6">
        <v>2.7</v>
      </c>
      <c r="Q4" s="3">
        <f t="shared" ref="Q4:Q6" si="4">R4/S4</f>
        <v>1280.4347826086957</v>
      </c>
      <c r="R4" s="3">
        <v>5890</v>
      </c>
      <c r="S4" s="6">
        <v>4.5999999999999996</v>
      </c>
      <c r="T4" s="3">
        <f t="shared" ref="T4:T6" si="5">U4/V4</f>
        <v>1280.4347826086957</v>
      </c>
      <c r="U4" s="3">
        <v>5890</v>
      </c>
      <c r="V4" s="6">
        <v>4.5999999999999996</v>
      </c>
      <c r="W4" s="3" t="e">
        <f t="shared" ref="W4:W6" si="6">X4/Y4</f>
        <v>#DIV/0!</v>
      </c>
      <c r="X4" s="3">
        <v>0</v>
      </c>
      <c r="Y4" s="6">
        <v>0</v>
      </c>
      <c r="Z4" s="3" t="e">
        <f t="shared" ref="Z4:Z6" si="7">AA4/AB4</f>
        <v>#DIV/0!</v>
      </c>
      <c r="AA4" s="3">
        <v>0</v>
      </c>
      <c r="AB4" s="6">
        <v>0</v>
      </c>
      <c r="AC4" s="3" t="e">
        <f t="shared" ref="AC4:AC6" si="8">AD4/AE4</f>
        <v>#DIV/0!</v>
      </c>
      <c r="AD4" s="3">
        <v>0</v>
      </c>
      <c r="AE4" s="6">
        <v>0</v>
      </c>
      <c r="AF4" s="3" t="e">
        <f t="shared" ref="AF4:AF6" si="9">AG4/AH4</f>
        <v>#DIV/0!</v>
      </c>
      <c r="AG4" s="3">
        <v>0</v>
      </c>
      <c r="AH4" s="6">
        <v>0</v>
      </c>
      <c r="AI4" s="3">
        <f t="shared" ref="AI4:AI6" si="10">AJ4/AK4</f>
        <v>1317.7777777777778</v>
      </c>
      <c r="AJ4" s="3">
        <v>4744</v>
      </c>
      <c r="AK4" s="6">
        <v>3.6</v>
      </c>
      <c r="AL4" s="3">
        <f t="shared" ref="AL4:AL6" si="11">AM4/AN4</f>
        <v>1345</v>
      </c>
      <c r="AM4" s="3">
        <v>13450</v>
      </c>
      <c r="AN4" s="6">
        <v>10</v>
      </c>
      <c r="AO4" s="3">
        <f t="shared" ref="AO4:AO6" si="12">AP4/AQ4</f>
        <v>1314.0392156862745</v>
      </c>
      <c r="AP4" s="3">
        <f t="shared" ref="AP4" si="13">SUM(F4,I4,L4,O4,R4,U4,X4,AA4,AD4,AG4,AJ4,AM4)</f>
        <v>33508</v>
      </c>
      <c r="AQ4" s="6">
        <f t="shared" ref="AQ4" si="14">SUM(G4,J4,M4,P4,S4,V4,Y4,AB4,AE4,AH4,AK4,AN4)</f>
        <v>25.5</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31</v>
      </c>
      <c r="B5" s="12"/>
      <c r="C5" s="12"/>
      <c r="D5" s="12"/>
      <c r="E5" s="3">
        <f t="shared" si="0"/>
        <v>1231.2935323383083</v>
      </c>
      <c r="F5" s="3">
        <v>24749</v>
      </c>
      <c r="G5" s="6">
        <v>20.100000000000001</v>
      </c>
      <c r="H5" s="3">
        <f t="shared" si="1"/>
        <v>1055.598086124402</v>
      </c>
      <c r="I5" s="3">
        <v>22062</v>
      </c>
      <c r="J5" s="6">
        <v>20.9</v>
      </c>
      <c r="K5" s="3">
        <f t="shared" si="2"/>
        <v>872.50292397660814</v>
      </c>
      <c r="L5" s="3">
        <v>74599</v>
      </c>
      <c r="M5" s="6">
        <v>85.5</v>
      </c>
      <c r="N5" s="3" t="e">
        <f t="shared" si="3"/>
        <v>#DIV/0!</v>
      </c>
      <c r="O5" s="3">
        <v>0</v>
      </c>
      <c r="P5" s="6">
        <v>0</v>
      </c>
      <c r="Q5" s="3" t="e">
        <f t="shared" si="4"/>
        <v>#DIV/0!</v>
      </c>
      <c r="R5" s="3">
        <v>0</v>
      </c>
      <c r="S5" s="6">
        <v>0</v>
      </c>
      <c r="T5" s="3">
        <f t="shared" si="5"/>
        <v>994.38679245283026</v>
      </c>
      <c r="U5" s="3">
        <v>21081</v>
      </c>
      <c r="V5" s="6">
        <v>21.2</v>
      </c>
      <c r="W5" s="3">
        <f t="shared" si="6"/>
        <v>8194.545454545454</v>
      </c>
      <c r="X5" s="3">
        <v>9014</v>
      </c>
      <c r="Y5" s="6">
        <v>1.1000000000000001</v>
      </c>
      <c r="Z5" s="3">
        <f t="shared" si="7"/>
        <v>1032.8640776699028</v>
      </c>
      <c r="AA5" s="3">
        <v>21277</v>
      </c>
      <c r="AB5" s="6">
        <v>20.6</v>
      </c>
      <c r="AC5" s="3">
        <f t="shared" si="8"/>
        <v>1105.5555555555554</v>
      </c>
      <c r="AD5" s="3">
        <v>23880</v>
      </c>
      <c r="AE5" s="6">
        <v>21.6</v>
      </c>
      <c r="AF5" s="3" t="e">
        <f t="shared" si="9"/>
        <v>#DIV/0!</v>
      </c>
      <c r="AG5" s="3">
        <v>0</v>
      </c>
      <c r="AH5" s="6">
        <v>0</v>
      </c>
      <c r="AI5" s="3">
        <f t="shared" si="10"/>
        <v>1104.8113207547169</v>
      </c>
      <c r="AJ5" s="3">
        <v>23422</v>
      </c>
      <c r="AK5" s="6">
        <v>21.2</v>
      </c>
      <c r="AL5" s="3" t="e">
        <f t="shared" si="11"/>
        <v>#DIV/0!</v>
      </c>
      <c r="AM5" s="3">
        <v>0</v>
      </c>
      <c r="AN5" s="6">
        <v>0</v>
      </c>
      <c r="AO5" s="3">
        <f t="shared" si="12"/>
        <v>1037.153628652215</v>
      </c>
      <c r="AP5" s="3">
        <f t="shared" ref="AP5" si="15">SUM(F5,I5,L5,O5,R5,U5,X5,AA5,AD5,AG5,AJ5,AM5)</f>
        <v>220084</v>
      </c>
      <c r="AQ5" s="6">
        <f t="shared" ref="AQ5" si="16">SUM(G5,J5,M5,P5,S5,V5,Y5,AB5,AE5,AH5,AK5,AN5)</f>
        <v>212.19999999999996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11" t="s">
        <v>32</v>
      </c>
      <c r="B6" s="13"/>
      <c r="C6" s="13"/>
      <c r="D6" s="13"/>
      <c r="E6" s="8" t="e">
        <f t="shared" si="0"/>
        <v>#DIV/0!</v>
      </c>
      <c r="F6" s="9">
        <v>0</v>
      </c>
      <c r="G6" s="10">
        <v>0</v>
      </c>
      <c r="H6" s="9" t="e">
        <f t="shared" si="1"/>
        <v>#DIV/0!</v>
      </c>
      <c r="I6" s="9">
        <v>0</v>
      </c>
      <c r="J6" s="10">
        <v>0</v>
      </c>
      <c r="K6" s="9" t="e">
        <f t="shared" si="2"/>
        <v>#DIV/0!</v>
      </c>
      <c r="L6" s="9">
        <v>0</v>
      </c>
      <c r="M6" s="10">
        <v>0</v>
      </c>
      <c r="N6" s="9" t="e">
        <f t="shared" si="3"/>
        <v>#DIV/0!</v>
      </c>
      <c r="O6" s="9">
        <v>0</v>
      </c>
      <c r="P6" s="10">
        <v>0</v>
      </c>
      <c r="Q6" s="9">
        <f t="shared" si="4"/>
        <v>1549.6296296296296</v>
      </c>
      <c r="R6" s="9">
        <v>20920</v>
      </c>
      <c r="S6" s="10">
        <v>13.5</v>
      </c>
      <c r="T6" s="9" t="e">
        <f t="shared" si="5"/>
        <v>#DIV/0!</v>
      </c>
      <c r="U6" s="9">
        <v>0</v>
      </c>
      <c r="V6" s="10">
        <v>0</v>
      </c>
      <c r="W6" s="9" t="e">
        <f t="shared" si="6"/>
        <v>#DIV/0!</v>
      </c>
      <c r="X6" s="9">
        <v>0</v>
      </c>
      <c r="Y6" s="10">
        <v>0</v>
      </c>
      <c r="Z6" s="9" t="e">
        <f t="shared" si="7"/>
        <v>#DIV/0!</v>
      </c>
      <c r="AA6" s="9">
        <v>0</v>
      </c>
      <c r="AB6" s="10">
        <v>0</v>
      </c>
      <c r="AC6" s="9" t="e">
        <f t="shared" si="8"/>
        <v>#DIV/0!</v>
      </c>
      <c r="AD6" s="9">
        <v>0</v>
      </c>
      <c r="AE6" s="10">
        <v>0</v>
      </c>
      <c r="AF6" s="9" t="e">
        <f t="shared" si="9"/>
        <v>#DIV/0!</v>
      </c>
      <c r="AG6" s="9">
        <v>0</v>
      </c>
      <c r="AH6" s="10">
        <v>0</v>
      </c>
      <c r="AI6" s="9" t="e">
        <f t="shared" si="10"/>
        <v>#DIV/0!</v>
      </c>
      <c r="AJ6" s="9">
        <v>0</v>
      </c>
      <c r="AK6" s="10">
        <v>0</v>
      </c>
      <c r="AL6" s="9" t="e">
        <f t="shared" si="11"/>
        <v>#DIV/0!</v>
      </c>
      <c r="AM6" s="9">
        <v>0</v>
      </c>
      <c r="AN6" s="10">
        <v>0</v>
      </c>
      <c r="AO6" s="9">
        <f t="shared" si="12"/>
        <v>1549.6296296296296</v>
      </c>
      <c r="AP6" s="9">
        <f t="shared" ref="AP6" si="17">SUM(F6,I6,L6,O6,R6,U6,X6,AA6,AD6,AG6,AJ6,AM6)</f>
        <v>20920</v>
      </c>
      <c r="AQ6" s="10">
        <f t="shared" ref="AQ6" si="18">SUM(G6,J6,M6,P6,S6,V6,Y6,AB6,AE6,AH6,AK6,AN6)</f>
        <v>13.5</v>
      </c>
      <c r="AR6" s="3"/>
      <c r="AS6" s="3"/>
      <c r="AT6" s="3"/>
      <c r="AU6" s="3"/>
      <c r="AV6" s="3"/>
      <c r="AW6" s="3"/>
      <c r="AX6" s="3"/>
      <c r="AY6" s="3"/>
      <c r="AZ6" s="3"/>
      <c r="BA6" s="3"/>
      <c r="BB6" s="3"/>
      <c r="BC6" s="3"/>
      <c r="BD6" s="3"/>
      <c r="BE6" s="3"/>
      <c r="BF6" s="3"/>
      <c r="BG6" s="3"/>
      <c r="BH6" s="3"/>
      <c r="BI6" s="3"/>
      <c r="BJ6" s="3"/>
      <c r="BK6" s="3"/>
      <c r="BL6" s="3"/>
      <c r="BM6" s="3"/>
      <c r="BN6" s="3"/>
      <c r="BO6" s="3"/>
    </row>
    <row r="7" spans="1:67" x14ac:dyDescent="0.3">
      <c r="A7" s="1" t="s">
        <v>18</v>
      </c>
      <c r="B7" s="1"/>
    </row>
    <row r="8" spans="1:67" x14ac:dyDescent="0.3">
      <c r="A8" s="1" t="s">
        <v>23</v>
      </c>
      <c r="B8" s="1"/>
    </row>
    <row r="9" spans="1:67" x14ac:dyDescent="0.3">
      <c r="A9" s="1" t="s">
        <v>27</v>
      </c>
      <c r="B9" s="1"/>
    </row>
    <row r="10" spans="1:67" x14ac:dyDescent="0.3">
      <c r="A10" s="1" t="s">
        <v>28</v>
      </c>
      <c r="B10" s="1"/>
    </row>
    <row r="11" spans="1:67" x14ac:dyDescent="0.3">
      <c r="A11" s="1" t="s">
        <v>29</v>
      </c>
      <c r="B11" s="1"/>
    </row>
    <row r="12" spans="1:67" x14ac:dyDescent="0.3">
      <c r="A12" s="1" t="s">
        <v>30</v>
      </c>
      <c r="B12" s="1"/>
    </row>
  </sheetData>
  <mergeCells count="16">
    <mergeCell ref="N1:P1"/>
    <mergeCell ref="Q1:S1"/>
    <mergeCell ref="T1:V1"/>
    <mergeCell ref="AL1:AN1"/>
    <mergeCell ref="AO1:AQ1"/>
    <mergeCell ref="W1:Y1"/>
    <mergeCell ref="Z1:AB1"/>
    <mergeCell ref="AC1:AE1"/>
    <mergeCell ref="AF1:AH1"/>
    <mergeCell ref="AI1:AK1"/>
    <mergeCell ref="B3:B6"/>
    <mergeCell ref="E1:G1"/>
    <mergeCell ref="H1:J1"/>
    <mergeCell ref="K1:M1"/>
    <mergeCell ref="C3:C6"/>
    <mergeCell ref="D3:D6"/>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2026-08-10T01:33:50Z</dcterms:modified>
</cp:coreProperties>
</file>