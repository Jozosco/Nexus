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Q21" i="1" l="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1" i="1"/>
  <c r="AL20" i="1"/>
  <c r="AL19" i="1"/>
  <c r="AL18" i="1"/>
  <c r="AL17" i="1"/>
  <c r="AL16" i="1"/>
  <c r="AL15" i="1"/>
  <c r="AL14" i="1"/>
  <c r="AL13" i="1"/>
  <c r="AL12" i="1"/>
  <c r="AL11" i="1"/>
  <c r="AL10" i="1"/>
  <c r="AL9" i="1"/>
  <c r="AL8" i="1"/>
  <c r="AL7" i="1"/>
  <c r="AL6" i="1"/>
  <c r="AL5" i="1"/>
  <c r="AL4" i="1"/>
  <c r="AI21" i="1"/>
  <c r="AI20" i="1"/>
  <c r="AI19" i="1"/>
  <c r="AI18" i="1"/>
  <c r="AI17" i="1"/>
  <c r="AI16" i="1"/>
  <c r="AI15" i="1"/>
  <c r="AI14" i="1"/>
  <c r="AI13" i="1"/>
  <c r="AI12" i="1"/>
  <c r="AI11" i="1"/>
  <c r="AI10" i="1"/>
  <c r="AI9" i="1"/>
  <c r="AI8" i="1"/>
  <c r="AI7" i="1"/>
  <c r="AI6" i="1"/>
  <c r="AI5" i="1"/>
  <c r="AI4" i="1"/>
  <c r="AF21" i="1"/>
  <c r="AF20" i="1"/>
  <c r="AF19" i="1"/>
  <c r="AF18" i="1"/>
  <c r="AF17" i="1"/>
  <c r="AF16" i="1"/>
  <c r="AF15" i="1"/>
  <c r="AF14" i="1"/>
  <c r="AF13" i="1"/>
  <c r="AF12" i="1"/>
  <c r="AF11" i="1"/>
  <c r="AF10" i="1"/>
  <c r="AF9" i="1"/>
  <c r="AF8" i="1"/>
  <c r="AF7" i="1"/>
  <c r="AF6" i="1"/>
  <c r="AF5" i="1"/>
  <c r="AF4" i="1"/>
  <c r="AC21" i="1"/>
  <c r="AC20" i="1"/>
  <c r="AC19" i="1"/>
  <c r="AC18" i="1"/>
  <c r="AC17" i="1"/>
  <c r="AC16" i="1"/>
  <c r="AC15" i="1"/>
  <c r="AC14" i="1"/>
  <c r="AC13" i="1"/>
  <c r="AC12" i="1"/>
  <c r="AC11" i="1"/>
  <c r="AC10" i="1"/>
  <c r="AC9" i="1"/>
  <c r="AC8" i="1"/>
  <c r="AC7" i="1"/>
  <c r="AC6" i="1"/>
  <c r="AC5" i="1"/>
  <c r="AC4" i="1"/>
  <c r="Z21" i="1"/>
  <c r="Z20" i="1"/>
  <c r="Z19" i="1"/>
  <c r="Z18" i="1"/>
  <c r="Z17" i="1"/>
  <c r="Z16" i="1"/>
  <c r="Z15" i="1"/>
  <c r="Z14" i="1"/>
  <c r="Z13" i="1"/>
  <c r="Z12" i="1"/>
  <c r="Z11" i="1"/>
  <c r="Z10" i="1"/>
  <c r="Z9" i="1"/>
  <c r="Z8" i="1"/>
  <c r="Z7" i="1"/>
  <c r="Z6" i="1"/>
  <c r="Z5" i="1"/>
  <c r="Z4" i="1"/>
  <c r="W21" i="1"/>
  <c r="W20" i="1"/>
  <c r="W19" i="1"/>
  <c r="W18" i="1"/>
  <c r="W17" i="1"/>
  <c r="W16" i="1"/>
  <c r="W15" i="1"/>
  <c r="W14" i="1"/>
  <c r="W13" i="1"/>
  <c r="W12" i="1"/>
  <c r="W11" i="1"/>
  <c r="W10" i="1"/>
  <c r="W9" i="1"/>
  <c r="W8" i="1"/>
  <c r="W7" i="1"/>
  <c r="W6" i="1"/>
  <c r="W5" i="1"/>
  <c r="W4" i="1"/>
  <c r="T21" i="1"/>
  <c r="T20" i="1"/>
  <c r="T19" i="1"/>
  <c r="T18" i="1"/>
  <c r="T17" i="1"/>
  <c r="T16" i="1"/>
  <c r="T15" i="1"/>
  <c r="T14" i="1"/>
  <c r="T13" i="1"/>
  <c r="T12" i="1"/>
  <c r="T11" i="1"/>
  <c r="T10" i="1"/>
  <c r="T9" i="1"/>
  <c r="T8" i="1"/>
  <c r="T7" i="1"/>
  <c r="T6" i="1"/>
  <c r="T5" i="1"/>
  <c r="T4" i="1"/>
  <c r="Q21" i="1"/>
  <c r="Q20" i="1"/>
  <c r="Q19" i="1"/>
  <c r="Q18" i="1"/>
  <c r="Q17" i="1"/>
  <c r="Q16" i="1"/>
  <c r="Q15" i="1"/>
  <c r="Q14" i="1"/>
  <c r="Q13" i="1"/>
  <c r="Q12" i="1"/>
  <c r="Q11" i="1"/>
  <c r="Q10" i="1"/>
  <c r="Q9" i="1"/>
  <c r="Q8" i="1"/>
  <c r="Q7" i="1"/>
  <c r="Q6" i="1"/>
  <c r="Q5" i="1"/>
  <c r="Q4" i="1"/>
  <c r="N21" i="1"/>
  <c r="N20" i="1"/>
  <c r="N19" i="1"/>
  <c r="N18" i="1"/>
  <c r="N17" i="1"/>
  <c r="N16" i="1"/>
  <c r="N15" i="1"/>
  <c r="N14" i="1"/>
  <c r="N13" i="1"/>
  <c r="N12" i="1"/>
  <c r="N11" i="1"/>
  <c r="N10" i="1"/>
  <c r="N9" i="1"/>
  <c r="N8" i="1"/>
  <c r="N7" i="1"/>
  <c r="N6" i="1"/>
  <c r="N5" i="1"/>
  <c r="N4" i="1"/>
  <c r="K21" i="1"/>
  <c r="K20" i="1"/>
  <c r="K19" i="1"/>
  <c r="K18" i="1"/>
  <c r="K17" i="1"/>
  <c r="K16" i="1"/>
  <c r="K15" i="1"/>
  <c r="K14" i="1"/>
  <c r="K13" i="1"/>
  <c r="K12" i="1"/>
  <c r="K11" i="1"/>
  <c r="K10" i="1"/>
  <c r="K9" i="1"/>
  <c r="K8" i="1"/>
  <c r="K7" i="1"/>
  <c r="K6" i="1"/>
  <c r="K5" i="1"/>
  <c r="K4" i="1"/>
  <c r="H21" i="1"/>
  <c r="H20" i="1"/>
  <c r="H19" i="1"/>
  <c r="H18" i="1"/>
  <c r="H17" i="1"/>
  <c r="H16" i="1"/>
  <c r="H15" i="1"/>
  <c r="H14" i="1"/>
  <c r="H13" i="1"/>
  <c r="H12" i="1"/>
  <c r="H11" i="1"/>
  <c r="H10" i="1"/>
  <c r="H9" i="1"/>
  <c r="H8" i="1"/>
  <c r="H7" i="1"/>
  <c r="H6" i="1"/>
  <c r="H5" i="1"/>
  <c r="H4"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8" i="1"/>
  <c r="AO16" i="1"/>
  <c r="AO9" i="1"/>
  <c r="AO17" i="1"/>
  <c r="AO19" i="1"/>
  <c r="AO3" i="1" l="1"/>
  <c r="AO4" i="1"/>
  <c r="AO12" i="1"/>
</calcChain>
</file>

<file path=xl/sharedStrings.xml><?xml version="1.0" encoding="utf-8"?>
<sst xmlns="http://schemas.openxmlformats.org/spreadsheetml/2006/main" count="83" uniqueCount="47">
  <si>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</si>
  <si>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</si>
  <si>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</si>
  <si>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</si>
  <si>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</si>
  <si>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</si>
  <si>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</si>
  <si>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</si>
  <si>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</si>
  <si>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</si>
  <si>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</si>
  <si>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</si>
  <si>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</si>
  <si>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</si>
  <si>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</si>
  <si>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</si>
  <si>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</si>
  <si>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</si>
  <si>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</si>
  <si>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Guatemala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</si>
  <si>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</si>
  <si>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</si>
  <si>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</si>
  <si>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</si>
  <si>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</si>
  <si>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</si>
  <si>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</si>
  <si>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</si>
  <si>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</si>
  <si>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</si>
  <si>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</si>
  <si>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</si>
  <si>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</si>
  <si>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</si>
  <si>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</si>
  <si>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United Arab Emirates</t>
  </si>
  <si>
    <t>Costa Rica</t>
  </si>
  <si>
    <t>Dominican Republic</t>
  </si>
  <si>
    <t>Honduras</t>
  </si>
  <si>
    <t>Argentina</t>
  </si>
  <si>
    <t>Belgium-Luxembourg(*)</t>
  </si>
  <si>
    <t>Colombia</t>
  </si>
  <si>
    <t>Ecuador</t>
  </si>
  <si>
    <t>Italy(*)</t>
  </si>
  <si>
    <t>Jamaica</t>
  </si>
  <si>
    <t>Peru</t>
  </si>
  <si>
    <t>Saudi Arabia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</si>
</sst>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26</v>
      </c>
      <c r="B2" s="2" t="s">
        <v>33</v>
      </c>
      <c r="C2" s="2" t="s">
        <v>13</v>
      </c>
      <c r="D2" s="2" t="s">
        <v>27</v>
      </c>
      <c r="E2" s="4" t="s">
        <v>14</v>
      </c>
      <c r="F2" s="2" t="s">
        <v>27</v>
      </c>
      <c r="G2" s="5" t="s">
        <v>15</v>
      </c>
      <c r="H2" s="2" t="s">
        <v>14</v>
      </c>
      <c r="I2" s="2" t="s">
        <v>27</v>
      </c>
      <c r="J2" s="5" t="s">
        <v>15</v>
      </c>
      <c r="K2" s="2" t="s">
        <v>14</v>
      </c>
      <c r="L2" s="2" t="s">
        <v>27</v>
      </c>
      <c r="M2" s="5" t="s">
        <v>15</v>
      </c>
      <c r="N2" s="2" t="s">
        <v>14</v>
      </c>
      <c r="O2" s="2" t="s">
        <v>27</v>
      </c>
      <c r="P2" s="5" t="s">
        <v>15</v>
      </c>
      <c r="Q2" s="2" t="s">
        <v>14</v>
      </c>
      <c r="R2" s="2" t="s">
        <v>27</v>
      </c>
      <c r="S2" s="5" t="s">
        <v>15</v>
      </c>
      <c r="T2" s="2" t="s">
        <v>14</v>
      </c>
      <c r="U2" s="2" t="s">
        <v>27</v>
      </c>
      <c r="V2" s="5" t="s">
        <v>15</v>
      </c>
      <c r="W2" s="2" t="s">
        <v>14</v>
      </c>
      <c r="X2" s="2" t="s">
        <v>27</v>
      </c>
      <c r="Y2" s="5" t="s">
        <v>15</v>
      </c>
      <c r="Z2" s="2" t="s">
        <v>14</v>
      </c>
      <c r="AA2" s="2" t="s">
        <v>27</v>
      </c>
      <c r="AB2" s="5" t="s">
        <v>15</v>
      </c>
      <c r="AC2" s="2" t="s">
        <v>14</v>
      </c>
      <c r="AD2" s="2" t="s">
        <v>27</v>
      </c>
      <c r="AE2" s="5" t="s">
        <v>15</v>
      </c>
      <c r="AF2" s="2" t="s">
        <v>14</v>
      </c>
      <c r="AG2" s="2" t="s">
        <v>27</v>
      </c>
      <c r="AH2" s="5" t="s">
        <v>15</v>
      </c>
      <c r="AI2" s="2" t="s">
        <v>14</v>
      </c>
      <c r="AJ2" s="2" t="s">
        <v>27</v>
      </c>
      <c r="AK2" s="5" t="s">
        <v>15</v>
      </c>
      <c r="AL2" s="2" t="s">
        <v>14</v>
      </c>
      <c r="AM2" s="2" t="s">
        <v>27</v>
      </c>
      <c r="AN2" s="5" t="s">
        <v>15</v>
      </c>
      <c r="AO2" s="2" t="s">
        <v>14</v>
      </c>
      <c r="AP2" s="2" t="s">
        <v>29</v>
      </c>
      <c r="AQ2" s="5" t="s">
        <v>15</v>
      </c>
    </row>
    <row r="3" spans="1:67" ht="15" customHeight="1" x14ac:dyDescent="0.3">
      <c r="A3" s="9" t="s">
        <v>16</v>
      </c>
      <c r="B3" s="13" t="s">
        <v>34</v>
      </c>
      <c r="C3" s="13" t="s">
        <v>17</v>
      </c>
      <c r="D3" s="13" t="s">
        <v>28</v>
      </c>
      <c r="E3" s="7">
        <f>F3/G3</f>
        <v>789.87878787878788</v>
      </c>
      <c r="F3" s="7">
        <f>SUM(F4:F21)</f>
        <v>39099</v>
      </c>
      <c r="G3" s="8">
        <f>SUM(G4:G21)</f>
        <v>49.5</v>
      </c>
      <c r="H3" s="7">
        <f>I3/J3</f>
        <v>756.23595505617982</v>
      </c>
      <c r="I3" s="7">
        <f>SUM(I4:I21)</f>
        <v>40383</v>
      </c>
      <c r="J3" s="8">
        <f>SUM(J4:J21)</f>
        <v>53.4</v>
      </c>
      <c r="K3" s="7">
        <f>L3/M3</f>
        <v>749.22974767596281</v>
      </c>
      <c r="L3" s="7">
        <f>SUM(L4:L21)</f>
        <v>112834</v>
      </c>
      <c r="M3" s="8">
        <f>SUM(M4:M21)</f>
        <v>150.6</v>
      </c>
      <c r="N3" s="7">
        <f>O3/P3</f>
        <v>756.75138999205717</v>
      </c>
      <c r="O3" s="7">
        <f>SUM(O4:O21)</f>
        <v>95275</v>
      </c>
      <c r="P3" s="8">
        <f>SUM(P4:P21)</f>
        <v>125.9</v>
      </c>
      <c r="Q3" s="7">
        <f>R3/S3</f>
        <v>878.12587412587413</v>
      </c>
      <c r="R3" s="7">
        <f>SUM(R4:R21)</f>
        <v>125572</v>
      </c>
      <c r="S3" s="8">
        <f>SUM(S4:S21)</f>
        <v>143</v>
      </c>
      <c r="T3" s="7">
        <f>U3/V3</f>
        <v>932.62481089258711</v>
      </c>
      <c r="U3" s="7">
        <f>SUM(U4:U21)</f>
        <v>123293</v>
      </c>
      <c r="V3" s="8">
        <f>SUM(V4:V21)</f>
        <v>132.19999999999999</v>
      </c>
      <c r="W3" s="7">
        <f>X3/Y3</f>
        <v>912.85556780595368</v>
      </c>
      <c r="X3" s="7">
        <f>SUM(X4:X21)</f>
        <v>165592</v>
      </c>
      <c r="Y3" s="8">
        <f>SUM(Y4:Y21)</f>
        <v>181.4</v>
      </c>
      <c r="Z3" s="7">
        <f>AA3/AB3</f>
        <v>1294.6252676659528</v>
      </c>
      <c r="AA3" s="7">
        <f>SUM(AA4:AA21)</f>
        <v>241836</v>
      </c>
      <c r="AB3" s="8">
        <f>SUM(AB4:AB21)</f>
        <v>186.8</v>
      </c>
      <c r="AC3" s="7">
        <f>AD3/AE3</f>
        <v>1042.8658125421441</v>
      </c>
      <c r="AD3" s="7">
        <f>SUM(AD4:AD21)</f>
        <v>309314</v>
      </c>
      <c r="AE3" s="8">
        <f>SUM(AE4:AE21)</f>
        <v>296.60000000000002</v>
      </c>
      <c r="AF3" s="7">
        <f>AG3/AH3</f>
        <v>909.63862928348908</v>
      </c>
      <c r="AG3" s="7">
        <f>SUM(AG4:AG21)</f>
        <v>291994</v>
      </c>
      <c r="AH3" s="8">
        <f>SUM(AH4:AH21)</f>
        <v>321</v>
      </c>
      <c r="AI3" s="7">
        <f>AJ3/AK3</f>
        <v>1133.3333333333333</v>
      </c>
      <c r="AJ3" s="7">
        <f>SUM(AJ4:AJ21)</f>
        <v>234260</v>
      </c>
      <c r="AK3" s="8">
        <f>SUM(AK4:AK21)</f>
        <v>206.70000000000002</v>
      </c>
      <c r="AL3" s="7">
        <f>AM3/AN3</f>
        <v>1201.3971291866028</v>
      </c>
      <c r="AM3" s="7">
        <f>SUM(AM4:AM21)</f>
        <v>627730</v>
      </c>
      <c r="AN3" s="8">
        <f>SUM(AN4:AN21)</f>
        <v>522.5</v>
      </c>
      <c r="AO3" s="7">
        <f>AP3/AQ3</f>
        <v>1015.8600607697502</v>
      </c>
      <c r="AP3" s="7">
        <f>SUM(AP4:AP21)</f>
        <v>2407182</v>
      </c>
      <c r="AQ3" s="8">
        <f>SUM(AQ4:AQ21)</f>
        <v>2369.6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36</v>
      </c>
      <c r="B4" s="14"/>
      <c r="C4" s="14"/>
      <c r="D4" s="14"/>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f t="shared" ref="Q4:Q11" si="4">R4/S4</f>
        <v>2550</v>
      </c>
      <c r="R4" s="3">
        <v>5355</v>
      </c>
      <c r="S4" s="6">
        <v>2.1</v>
      </c>
      <c r="T4" s="3" t="e">
        <f t="shared" ref="T4:T11" si="5">U4/V4</f>
        <v>#DIV/0!</v>
      </c>
      <c r="U4" s="3">
        <v>0</v>
      </c>
      <c r="V4" s="6">
        <v>0</v>
      </c>
      <c r="W4" s="3" t="e">
        <f t="shared" ref="W4:W11" si="6">X4/Y4</f>
        <v>#DIV/0!</v>
      </c>
      <c r="X4" s="3">
        <v>0</v>
      </c>
      <c r="Y4" s="6">
        <v>0</v>
      </c>
      <c r="Z4" s="3" t="e">
        <f t="shared" ref="Z4:Z11" si="7">AA4/AB4</f>
        <v>#DIV/0!</v>
      </c>
      <c r="AA4" s="3">
        <v>0</v>
      </c>
      <c r="AB4" s="6">
        <v>0</v>
      </c>
      <c r="AC4" s="3" t="e">
        <f t="shared" ref="AC4:AC11" si="8">AD4/AE4</f>
        <v>#DIV/0!</v>
      </c>
      <c r="AD4" s="3">
        <v>0</v>
      </c>
      <c r="AE4" s="6">
        <v>0</v>
      </c>
      <c r="AF4" s="3" t="e">
        <f t="shared" ref="AF4:AF11" si="9">AG4/AH4</f>
        <v>#DIV/0!</v>
      </c>
      <c r="AG4" s="3">
        <v>0</v>
      </c>
      <c r="AH4" s="6">
        <v>0</v>
      </c>
      <c r="AI4" s="3">
        <f t="shared" ref="AI4:AI11" si="10">AJ4/AK4</f>
        <v>718.62831858407071</v>
      </c>
      <c r="AJ4" s="3">
        <v>16241</v>
      </c>
      <c r="AK4" s="6">
        <v>22.6</v>
      </c>
      <c r="AL4" s="3">
        <f t="shared" ref="AL4:AL11" si="11">AM4/AN4</f>
        <v>1697.3019517795638</v>
      </c>
      <c r="AM4" s="3">
        <v>147835</v>
      </c>
      <c r="AN4" s="6">
        <v>87.1</v>
      </c>
      <c r="AO4" s="3">
        <f t="shared" ref="AO4:AO21" si="12">AP4/AQ4</f>
        <v>1515.4830053667263</v>
      </c>
      <c r="AP4" s="3">
        <f t="shared" ref="AP4:AQ4" si="13">SUM(F4,I4,L4,O4,R4,U4,X4,AA4,AD4,AG4,AJ4,AM4)</f>
        <v>169431</v>
      </c>
      <c r="AQ4" s="6">
        <f t="shared" si="13"/>
        <v>111.8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20</v>
      </c>
      <c r="B5" s="14"/>
      <c r="C5" s="14"/>
      <c r="D5" s="14"/>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1989.6831683168316</v>
      </c>
      <c r="AA5" s="3">
        <v>100479</v>
      </c>
      <c r="AB5" s="6">
        <v>50.5</v>
      </c>
      <c r="AC5" s="3">
        <f t="shared" si="8"/>
        <v>2052.0175438596489</v>
      </c>
      <c r="AD5" s="3">
        <v>23393</v>
      </c>
      <c r="AE5" s="6">
        <v>11.4</v>
      </c>
      <c r="AF5" s="3">
        <f t="shared" si="9"/>
        <v>2055.7894736842104</v>
      </c>
      <c r="AG5" s="3">
        <v>3906</v>
      </c>
      <c r="AH5" s="6">
        <v>1.9</v>
      </c>
      <c r="AI5" s="3">
        <f t="shared" si="10"/>
        <v>1216.2173913043478</v>
      </c>
      <c r="AJ5" s="3">
        <v>55946</v>
      </c>
      <c r="AK5" s="6">
        <v>46</v>
      </c>
      <c r="AL5" s="3">
        <f t="shared" si="11"/>
        <v>1814.1142020497805</v>
      </c>
      <c r="AM5" s="3">
        <v>123904</v>
      </c>
      <c r="AN5" s="6">
        <v>68.3</v>
      </c>
      <c r="AO5" s="3">
        <f t="shared" si="12"/>
        <v>1727.2768107804604</v>
      </c>
      <c r="AP5" s="3">
        <f t="shared" ref="AP5:AP21" si="14">SUM(F5,I5,L5,O5,R5,U5,X5,AA5,AD5,AG5,AJ5,AM5)</f>
        <v>307628</v>
      </c>
      <c r="AQ5" s="6">
        <f t="shared" ref="AQ5:AQ21" si="15">SUM(G5,J5,M5,P5,S5,V5,Y5,AB5,AE5,AH5,AK5,AN5)</f>
        <v>178.1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18</v>
      </c>
      <c r="B6" s="14"/>
      <c r="C6" s="14"/>
      <c r="D6" s="14"/>
      <c r="E6" s="3">
        <f t="shared" si="0"/>
        <v>789.87878787878788</v>
      </c>
      <c r="F6" s="3">
        <v>39099</v>
      </c>
      <c r="G6" s="6">
        <v>49.5</v>
      </c>
      <c r="H6" s="3">
        <f t="shared" si="1"/>
        <v>808.16593886462886</v>
      </c>
      <c r="I6" s="3">
        <v>18507</v>
      </c>
      <c r="J6" s="6">
        <v>22.9</v>
      </c>
      <c r="K6" s="3">
        <f t="shared" si="2"/>
        <v>769.17171717171721</v>
      </c>
      <c r="L6" s="3">
        <v>38074</v>
      </c>
      <c r="M6" s="6">
        <v>49.5</v>
      </c>
      <c r="N6" s="3">
        <f t="shared" si="3"/>
        <v>756.75138999205717</v>
      </c>
      <c r="O6" s="3">
        <v>95275</v>
      </c>
      <c r="P6" s="6">
        <v>125.9</v>
      </c>
      <c r="Q6" s="3">
        <f t="shared" si="4"/>
        <v>871.93211488250654</v>
      </c>
      <c r="R6" s="3">
        <v>66790</v>
      </c>
      <c r="S6" s="6">
        <v>76.599999999999994</v>
      </c>
      <c r="T6" s="3">
        <f t="shared" si="5"/>
        <v>805.0344827586207</v>
      </c>
      <c r="U6" s="3">
        <v>23346</v>
      </c>
      <c r="V6" s="6">
        <v>29</v>
      </c>
      <c r="W6" s="3">
        <f t="shared" si="6"/>
        <v>875.16046213093705</v>
      </c>
      <c r="X6" s="3">
        <v>68175</v>
      </c>
      <c r="Y6" s="6">
        <v>77.900000000000006</v>
      </c>
      <c r="Z6" s="3">
        <f t="shared" si="7"/>
        <v>1008.6474164133739</v>
      </c>
      <c r="AA6" s="3">
        <v>66369</v>
      </c>
      <c r="AB6" s="6">
        <v>65.8</v>
      </c>
      <c r="AC6" s="3">
        <f t="shared" si="8"/>
        <v>771.51484135107466</v>
      </c>
      <c r="AD6" s="3">
        <v>75377</v>
      </c>
      <c r="AE6" s="6">
        <v>97.7</v>
      </c>
      <c r="AF6" s="3">
        <f t="shared" si="9"/>
        <v>812.25783475783476</v>
      </c>
      <c r="AG6" s="3">
        <v>114041</v>
      </c>
      <c r="AH6" s="6">
        <v>140.4</v>
      </c>
      <c r="AI6" s="3">
        <f t="shared" si="10"/>
        <v>774.36906377204878</v>
      </c>
      <c r="AJ6" s="3">
        <v>57071</v>
      </c>
      <c r="AK6" s="6">
        <v>73.7</v>
      </c>
      <c r="AL6" s="3">
        <f t="shared" si="11"/>
        <v>785.79259259259254</v>
      </c>
      <c r="AM6" s="3">
        <v>106082</v>
      </c>
      <c r="AN6" s="6">
        <v>135</v>
      </c>
      <c r="AO6" s="3">
        <f t="shared" si="12"/>
        <v>813.86375675389343</v>
      </c>
      <c r="AP6" s="3">
        <f t="shared" si="14"/>
        <v>768206</v>
      </c>
      <c r="AQ6" s="6">
        <f t="shared" si="15"/>
        <v>943.9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30</v>
      </c>
      <c r="B7" s="14"/>
      <c r="C7" s="14"/>
      <c r="D7" s="14"/>
      <c r="E7" s="3" t="e">
        <f t="shared" si="0"/>
        <v>#DIV/0!</v>
      </c>
      <c r="F7" s="3">
        <v>0</v>
      </c>
      <c r="G7" s="6">
        <v>0</v>
      </c>
      <c r="H7" s="3" t="e">
        <f t="shared" si="1"/>
        <v>#DIV/0!</v>
      </c>
      <c r="I7" s="3">
        <v>0</v>
      </c>
      <c r="J7" s="6">
        <v>0</v>
      </c>
      <c r="K7" s="3">
        <f t="shared" si="2"/>
        <v>719.2622950819673</v>
      </c>
      <c r="L7" s="3">
        <v>17550</v>
      </c>
      <c r="M7" s="6">
        <v>24.4</v>
      </c>
      <c r="N7" s="3" t="e">
        <f t="shared" si="3"/>
        <v>#DIV/0!</v>
      </c>
      <c r="O7" s="3">
        <v>0</v>
      </c>
      <c r="P7" s="6">
        <v>0</v>
      </c>
      <c r="Q7" s="3" t="e">
        <f t="shared" si="4"/>
        <v>#DIV/0!</v>
      </c>
      <c r="R7" s="3">
        <v>0</v>
      </c>
      <c r="S7" s="6">
        <v>0</v>
      </c>
      <c r="T7" s="3">
        <f t="shared" si="5"/>
        <v>717.49419953596282</v>
      </c>
      <c r="U7" s="3">
        <v>30924</v>
      </c>
      <c r="V7" s="6">
        <v>43.1</v>
      </c>
      <c r="W7" s="3">
        <f t="shared" si="6"/>
        <v>1119.1186440677966</v>
      </c>
      <c r="X7" s="3">
        <v>33014</v>
      </c>
      <c r="Y7" s="6">
        <v>29.5</v>
      </c>
      <c r="Z7" s="3">
        <f t="shared" si="7"/>
        <v>2129.5620437956204</v>
      </c>
      <c r="AA7" s="3">
        <v>29175</v>
      </c>
      <c r="AB7" s="6">
        <v>13.7</v>
      </c>
      <c r="AC7" s="3">
        <f t="shared" si="8"/>
        <v>1131.5398550724638</v>
      </c>
      <c r="AD7" s="3">
        <v>62461</v>
      </c>
      <c r="AE7" s="6">
        <v>55.2</v>
      </c>
      <c r="AF7" s="3">
        <f t="shared" si="9"/>
        <v>2055.7894736842104</v>
      </c>
      <c r="AG7" s="3">
        <v>7812</v>
      </c>
      <c r="AH7" s="6">
        <v>3.8</v>
      </c>
      <c r="AI7" s="3">
        <f t="shared" si="10"/>
        <v>1264.0401146131805</v>
      </c>
      <c r="AJ7" s="3">
        <v>44115</v>
      </c>
      <c r="AK7" s="6">
        <v>34.9</v>
      </c>
      <c r="AL7" s="3">
        <f t="shared" si="11"/>
        <v>772.86995515695071</v>
      </c>
      <c r="AM7" s="3">
        <v>86175</v>
      </c>
      <c r="AN7" s="6">
        <v>111.5</v>
      </c>
      <c r="AO7" s="3">
        <f t="shared" si="12"/>
        <v>984.58082885162912</v>
      </c>
      <c r="AP7" s="3">
        <f t="shared" si="14"/>
        <v>311226</v>
      </c>
      <c r="AQ7" s="6">
        <f t="shared" si="15"/>
        <v>316.10000000000002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21</v>
      </c>
      <c r="B8" s="14"/>
      <c r="C8" s="14"/>
      <c r="D8" s="14"/>
      <c r="E8" s="3" t="e">
        <f t="shared" si="0"/>
        <v>#DIV/0!</v>
      </c>
      <c r="F8" s="3">
        <v>0</v>
      </c>
      <c r="G8" s="6">
        <v>0</v>
      </c>
      <c r="H8" s="3" t="e">
        <f t="shared" si="1"/>
        <v>#DIV/0!</v>
      </c>
      <c r="I8" s="3">
        <v>0</v>
      </c>
      <c r="J8" s="6">
        <v>0</v>
      </c>
      <c r="K8" s="3">
        <f t="shared" si="2"/>
        <v>717.60259179265665</v>
      </c>
      <c r="L8" s="3">
        <v>33225</v>
      </c>
      <c r="M8" s="6">
        <v>46.3</v>
      </c>
      <c r="N8" s="3" t="e">
        <f t="shared" si="3"/>
        <v>#DIV/0!</v>
      </c>
      <c r="O8" s="3">
        <v>0</v>
      </c>
      <c r="P8" s="6">
        <v>0</v>
      </c>
      <c r="Q8" s="3">
        <f t="shared" si="4"/>
        <v>1005.5696202531645</v>
      </c>
      <c r="R8" s="3">
        <v>15888</v>
      </c>
      <c r="S8" s="6">
        <v>15.8</v>
      </c>
      <c r="T8" s="3">
        <f t="shared" si="5"/>
        <v>1949.3333333333333</v>
      </c>
      <c r="U8" s="3">
        <v>40936</v>
      </c>
      <c r="V8" s="6">
        <v>21</v>
      </c>
      <c r="W8" s="3">
        <f t="shared" si="6"/>
        <v>1974.3283582089553</v>
      </c>
      <c r="X8" s="3">
        <v>13228</v>
      </c>
      <c r="Y8" s="6">
        <v>6.7</v>
      </c>
      <c r="Z8" s="3" t="e">
        <f t="shared" si="7"/>
        <v>#DIV/0!</v>
      </c>
      <c r="AA8" s="3">
        <v>0</v>
      </c>
      <c r="AB8" s="6">
        <v>0</v>
      </c>
      <c r="AC8" s="3">
        <f t="shared" si="8"/>
        <v>2032.7083333333335</v>
      </c>
      <c r="AD8" s="3">
        <v>9757</v>
      </c>
      <c r="AE8" s="6">
        <v>4.8</v>
      </c>
      <c r="AF8" s="3">
        <f t="shared" si="9"/>
        <v>2054.2105263157896</v>
      </c>
      <c r="AG8" s="3">
        <v>7806</v>
      </c>
      <c r="AH8" s="6">
        <v>3.8</v>
      </c>
      <c r="AI8" s="3">
        <f t="shared" si="10"/>
        <v>2065.1750972762648</v>
      </c>
      <c r="AJ8" s="3">
        <v>53075</v>
      </c>
      <c r="AK8" s="6">
        <v>25.7</v>
      </c>
      <c r="AL8" s="3">
        <f t="shared" si="11"/>
        <v>981.89655172413791</v>
      </c>
      <c r="AM8" s="3">
        <v>85425</v>
      </c>
      <c r="AN8" s="6">
        <v>87</v>
      </c>
      <c r="AO8" s="3">
        <f t="shared" si="12"/>
        <v>1228.5172903837044</v>
      </c>
      <c r="AP8" s="3">
        <f t="shared" si="14"/>
        <v>259340</v>
      </c>
      <c r="AQ8" s="6">
        <f t="shared" si="15"/>
        <v>211.1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37</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f t="shared" si="11"/>
        <v>2322.6027397260277</v>
      </c>
      <c r="AM9" s="3">
        <v>50865</v>
      </c>
      <c r="AN9" s="6">
        <v>21.9</v>
      </c>
      <c r="AO9" s="3">
        <f t="shared" si="12"/>
        <v>2322.6027397260277</v>
      </c>
      <c r="AP9" s="3">
        <f t="shared" si="14"/>
        <v>50865</v>
      </c>
      <c r="AQ9" s="6">
        <f t="shared" si="15"/>
        <v>21.9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19</v>
      </c>
      <c r="B10" s="14"/>
      <c r="C10" s="14"/>
      <c r="D10" s="14"/>
      <c r="E10" s="3" t="e">
        <f t="shared" si="0"/>
        <v>#DIV/0!</v>
      </c>
      <c r="F10" s="3">
        <v>0</v>
      </c>
      <c r="G10" s="6">
        <v>0</v>
      </c>
      <c r="H10" s="3">
        <f t="shared" si="1"/>
        <v>717.24590163934431</v>
      </c>
      <c r="I10" s="3">
        <v>21876</v>
      </c>
      <c r="J10" s="6">
        <v>30.5</v>
      </c>
      <c r="K10" s="3">
        <f t="shared" si="2"/>
        <v>717.80303030303037</v>
      </c>
      <c r="L10" s="3">
        <v>18950</v>
      </c>
      <c r="M10" s="6">
        <v>26.4</v>
      </c>
      <c r="N10" s="3" t="e">
        <f t="shared" si="3"/>
        <v>#DIV/0!</v>
      </c>
      <c r="O10" s="3">
        <v>0</v>
      </c>
      <c r="P10" s="6">
        <v>0</v>
      </c>
      <c r="Q10" s="3">
        <f t="shared" si="4"/>
        <v>719.16666666666663</v>
      </c>
      <c r="R10" s="3">
        <v>19849</v>
      </c>
      <c r="S10" s="6">
        <v>27.6</v>
      </c>
      <c r="T10" s="3">
        <f t="shared" si="5"/>
        <v>718.3375959079284</v>
      </c>
      <c r="U10" s="3">
        <v>28087</v>
      </c>
      <c r="V10" s="6">
        <v>39.1</v>
      </c>
      <c r="W10" s="3">
        <f t="shared" si="6"/>
        <v>717.78452200303479</v>
      </c>
      <c r="X10" s="3">
        <v>47302</v>
      </c>
      <c r="Y10" s="6">
        <v>65.900000000000006</v>
      </c>
      <c r="Z10" s="3">
        <f t="shared" si="7"/>
        <v>2818.3333333333335</v>
      </c>
      <c r="AA10" s="3">
        <v>6764</v>
      </c>
      <c r="AB10" s="6">
        <v>2.4</v>
      </c>
      <c r="AC10" s="3" t="e">
        <f t="shared" si="8"/>
        <v>#DIV/0!</v>
      </c>
      <c r="AD10" s="3">
        <v>0</v>
      </c>
      <c r="AE10" s="6">
        <v>0</v>
      </c>
      <c r="AF10" s="3">
        <f t="shared" si="9"/>
        <v>970.99502487562177</v>
      </c>
      <c r="AG10" s="3">
        <v>19517</v>
      </c>
      <c r="AH10" s="6">
        <v>20.100000000000001</v>
      </c>
      <c r="AI10" s="3">
        <f t="shared" si="10"/>
        <v>2055.7894736842104</v>
      </c>
      <c r="AJ10" s="3">
        <v>7812</v>
      </c>
      <c r="AK10" s="6">
        <v>3.8</v>
      </c>
      <c r="AL10" s="3">
        <f t="shared" si="11"/>
        <v>2314.651162790698</v>
      </c>
      <c r="AM10" s="3">
        <v>19906</v>
      </c>
      <c r="AN10" s="6">
        <v>8.6</v>
      </c>
      <c r="AO10" s="3">
        <f t="shared" si="12"/>
        <v>846.9830659536542</v>
      </c>
      <c r="AP10" s="3">
        <f t="shared" si="14"/>
        <v>190063</v>
      </c>
      <c r="AQ10" s="6">
        <f t="shared" si="15"/>
        <v>224.4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38</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f t="shared" si="8"/>
        <v>2016.5517241379312</v>
      </c>
      <c r="AD11" s="3">
        <v>5848</v>
      </c>
      <c r="AE11" s="6">
        <v>2.9</v>
      </c>
      <c r="AF11" s="3" t="e">
        <f t="shared" si="9"/>
        <v>#DIV/0!</v>
      </c>
      <c r="AG11" s="3">
        <v>0</v>
      </c>
      <c r="AH11" s="6">
        <v>0</v>
      </c>
      <c r="AI11" s="3" t="e">
        <f t="shared" si="10"/>
        <v>#DIV/0!</v>
      </c>
      <c r="AJ11" s="3">
        <v>0</v>
      </c>
      <c r="AK11" s="6">
        <v>0</v>
      </c>
      <c r="AL11" s="3">
        <f t="shared" si="11"/>
        <v>2329.4736842105262</v>
      </c>
      <c r="AM11" s="3">
        <v>4426</v>
      </c>
      <c r="AN11" s="6">
        <v>1.9</v>
      </c>
      <c r="AO11" s="3">
        <f t="shared" si="12"/>
        <v>2140.416666666667</v>
      </c>
      <c r="AP11" s="3">
        <f t="shared" si="14"/>
        <v>10274</v>
      </c>
      <c r="AQ11" s="6">
        <f t="shared" si="15"/>
        <v>4.8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22</v>
      </c>
      <c r="B12" s="14"/>
      <c r="C12" s="14"/>
      <c r="D12" s="14"/>
      <c r="E12" s="3" t="e">
        <f>F12/G12</f>
        <v>#DIV/0!</v>
      </c>
      <c r="F12" s="3">
        <v>0</v>
      </c>
      <c r="G12" s="6">
        <v>0</v>
      </c>
      <c r="H12" s="3" t="e">
        <f>I12/J12</f>
        <v>#DIV/0!</v>
      </c>
      <c r="I12" s="3">
        <v>0</v>
      </c>
      <c r="J12" s="6">
        <v>0</v>
      </c>
      <c r="K12" s="3">
        <f>L12/M12</f>
        <v>1258.75</v>
      </c>
      <c r="L12" s="3">
        <v>5035</v>
      </c>
      <c r="M12" s="6">
        <v>4</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f>AM12/AN12</f>
        <v>2593.3333333333335</v>
      </c>
      <c r="AM12" s="3">
        <v>3112</v>
      </c>
      <c r="AN12" s="6">
        <v>1.2</v>
      </c>
      <c r="AO12" s="3">
        <f t="shared" si="12"/>
        <v>1566.7307692307693</v>
      </c>
      <c r="AP12" s="3">
        <f t="shared" si="14"/>
        <v>8147</v>
      </c>
      <c r="AQ12" s="6">
        <f t="shared" si="15"/>
        <v>5.2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35</v>
      </c>
      <c r="B13" s="14"/>
      <c r="C13" s="14"/>
      <c r="D13" s="14"/>
      <c r="E13" s="3" t="e">
        <f t="shared" ref="E13:E21" si="16">F13/G13</f>
        <v>#DIV/0!</v>
      </c>
      <c r="F13" s="3">
        <v>0</v>
      </c>
      <c r="G13" s="6">
        <v>0</v>
      </c>
      <c r="H13" s="3" t="e">
        <f t="shared" ref="H13:H21" si="17">I13/J13</f>
        <v>#DIV/0!</v>
      </c>
      <c r="I13" s="3">
        <v>0</v>
      </c>
      <c r="J13" s="6">
        <v>0</v>
      </c>
      <c r="K13" s="3" t="e">
        <f t="shared" ref="K13:K21" si="18">L13/M13</f>
        <v>#DIV/0!</v>
      </c>
      <c r="L13" s="3">
        <v>0</v>
      </c>
      <c r="M13" s="6">
        <v>0</v>
      </c>
      <c r="N13" s="3" t="e">
        <f t="shared" ref="N13:N21" si="19">O13/P13</f>
        <v>#DIV/0!</v>
      </c>
      <c r="O13" s="3">
        <v>0</v>
      </c>
      <c r="P13" s="6">
        <v>0</v>
      </c>
      <c r="Q13" s="3" t="e">
        <f t="shared" ref="Q13:Q21" si="20">R13/S13</f>
        <v>#DIV/0!</v>
      </c>
      <c r="R13" s="3">
        <v>0</v>
      </c>
      <c r="S13" s="6">
        <v>0</v>
      </c>
      <c r="T13" s="3" t="e">
        <f t="shared" ref="T13:T21" si="21">U13/V13</f>
        <v>#DIV/0!</v>
      </c>
      <c r="U13" s="3">
        <v>0</v>
      </c>
      <c r="V13" s="6">
        <v>0</v>
      </c>
      <c r="W13" s="3" t="e">
        <f t="shared" ref="W13:W21" si="22">X13/Y13</f>
        <v>#DIV/0!</v>
      </c>
      <c r="X13" s="3">
        <v>0</v>
      </c>
      <c r="Y13" s="6">
        <v>0</v>
      </c>
      <c r="Z13" s="3" t="e">
        <f t="shared" ref="Z13:Z21" si="23">AA13/AB13</f>
        <v>#DIV/0!</v>
      </c>
      <c r="AA13" s="3">
        <v>0</v>
      </c>
      <c r="AB13" s="6">
        <v>0</v>
      </c>
      <c r="AC13" s="3">
        <f t="shared" ref="AC13:AC21" si="24">AD13/AE13</f>
        <v>718.34961997828452</v>
      </c>
      <c r="AD13" s="3">
        <v>66160</v>
      </c>
      <c r="AE13" s="6">
        <v>92.1</v>
      </c>
      <c r="AF13" s="3" t="e">
        <f t="shared" ref="AF13:AF21" si="25">AG13/AH13</f>
        <v>#DIV/0!</v>
      </c>
      <c r="AG13" s="3">
        <v>0</v>
      </c>
      <c r="AH13" s="6">
        <v>0</v>
      </c>
      <c r="AI13" s="3" t="e">
        <f t="shared" ref="AI13:AI21" si="26">AJ13/AK13</f>
        <v>#DIV/0!</v>
      </c>
      <c r="AJ13" s="3">
        <v>0</v>
      </c>
      <c r="AK13" s="6">
        <v>0</v>
      </c>
      <c r="AL13" s="3" t="e">
        <f t="shared" ref="AL13:AL21" si="27">AM13/AN13</f>
        <v>#DIV/0!</v>
      </c>
      <c r="AM13" s="3">
        <v>0</v>
      </c>
      <c r="AN13" s="6">
        <v>0</v>
      </c>
      <c r="AO13" s="3">
        <f t="shared" si="12"/>
        <v>718.34961997828452</v>
      </c>
      <c r="AP13" s="3">
        <f t="shared" si="14"/>
        <v>66160</v>
      </c>
      <c r="AQ13" s="6">
        <f t="shared" si="15"/>
        <v>92.1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39</v>
      </c>
      <c r="B14" s="14"/>
      <c r="C14" s="14"/>
      <c r="D14" s="14"/>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f t="shared" si="20"/>
        <v>716.75392670157066</v>
      </c>
      <c r="R14" s="3">
        <v>13690</v>
      </c>
      <c r="S14" s="6">
        <v>19.100000000000001</v>
      </c>
      <c r="T14" s="3" t="e">
        <f t="shared" si="21"/>
        <v>#DIV/0!</v>
      </c>
      <c r="U14" s="3">
        <v>0</v>
      </c>
      <c r="V14" s="6">
        <v>0</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716.75392670157066</v>
      </c>
      <c r="AP14" s="3">
        <f t="shared" si="14"/>
        <v>13690</v>
      </c>
      <c r="AQ14" s="6">
        <f t="shared" si="15"/>
        <v>19.100000000000001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40</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t="e">
        <f t="shared" si="21"/>
        <v>#DIV/0!</v>
      </c>
      <c r="U15" s="3">
        <v>0</v>
      </c>
      <c r="V15" s="6">
        <v>0</v>
      </c>
      <c r="W15" s="3">
        <f t="shared" si="22"/>
        <v>2766.4285714285716</v>
      </c>
      <c r="X15" s="3">
        <v>3873</v>
      </c>
      <c r="Y15" s="6">
        <v>1.4</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2766.4285714285716</v>
      </c>
      <c r="AP15" s="3">
        <f t="shared" si="14"/>
        <v>3873</v>
      </c>
      <c r="AQ15" s="6">
        <f t="shared" si="15"/>
        <v>1.4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41</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f t="shared" si="24"/>
        <v>2044.5608108108106</v>
      </c>
      <c r="AD16" s="3">
        <v>60519</v>
      </c>
      <c r="AE16" s="6">
        <v>29.6</v>
      </c>
      <c r="AF16" s="3">
        <f t="shared" si="25"/>
        <v>1196.7295597484276</v>
      </c>
      <c r="AG16" s="3">
        <v>76112</v>
      </c>
      <c r="AH16" s="6">
        <v>63.6</v>
      </c>
      <c r="AI16" s="3" t="e">
        <f t="shared" si="26"/>
        <v>#DIV/0!</v>
      </c>
      <c r="AJ16" s="3">
        <v>0</v>
      </c>
      <c r="AK16" s="6">
        <v>0</v>
      </c>
      <c r="AL16" s="3" t="e">
        <f t="shared" si="27"/>
        <v>#DIV/0!</v>
      </c>
      <c r="AM16" s="3">
        <v>0</v>
      </c>
      <c r="AN16" s="6">
        <v>0</v>
      </c>
      <c r="AO16" s="3">
        <f t="shared" si="12"/>
        <v>1465.9978540772531</v>
      </c>
      <c r="AP16" s="3">
        <f t="shared" si="14"/>
        <v>136631</v>
      </c>
      <c r="AQ16" s="6">
        <f t="shared" si="15"/>
        <v>93.2</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42</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f t="shared" si="23"/>
        <v>717.88413098236765</v>
      </c>
      <c r="AA17" s="3">
        <v>28500</v>
      </c>
      <c r="AB17" s="6">
        <v>39.700000000000003</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717.88413098236765</v>
      </c>
      <c r="AP17" s="3">
        <f t="shared" si="14"/>
        <v>28500</v>
      </c>
      <c r="AQ17" s="6">
        <f t="shared" si="15"/>
        <v>39.700000000000003</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43</v>
      </c>
      <c r="B18" s="14"/>
      <c r="C18" s="14"/>
      <c r="D18" s="14"/>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f t="shared" si="20"/>
        <v>2222.2222222222222</v>
      </c>
      <c r="R18" s="3">
        <v>4000</v>
      </c>
      <c r="S18" s="6">
        <v>1.8</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2222.2222222222222</v>
      </c>
      <c r="AP18" s="3">
        <f t="shared" si="14"/>
        <v>4000</v>
      </c>
      <c r="AQ18" s="6">
        <f t="shared" si="15"/>
        <v>1.8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44</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f t="shared" si="24"/>
        <v>1999.6551724137933</v>
      </c>
      <c r="AD19" s="3">
        <v>5799</v>
      </c>
      <c r="AE19" s="6">
        <v>2.9</v>
      </c>
      <c r="AF19" s="3" t="e">
        <f t="shared" si="25"/>
        <v>#DIV/0!</v>
      </c>
      <c r="AG19" s="3">
        <v>0</v>
      </c>
      <c r="AH19" s="6">
        <v>0</v>
      </c>
      <c r="AI19" s="3" t="e">
        <f t="shared" si="26"/>
        <v>#DIV/0!</v>
      </c>
      <c r="AJ19" s="3">
        <v>0</v>
      </c>
      <c r="AK19" s="6">
        <v>0</v>
      </c>
      <c r="AL19" s="3" t="e">
        <f t="shared" si="27"/>
        <v>#DIV/0!</v>
      </c>
      <c r="AM19" s="3">
        <v>0</v>
      </c>
      <c r="AN19" s="6">
        <v>0</v>
      </c>
      <c r="AO19" s="3">
        <f t="shared" si="12"/>
        <v>1999.6551724137933</v>
      </c>
      <c r="AP19" s="3">
        <f t="shared" si="14"/>
        <v>5799</v>
      </c>
      <c r="AQ19" s="6">
        <f t="shared" si="15"/>
        <v>2.9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45</v>
      </c>
      <c r="B20" s="14"/>
      <c r="C20" s="14"/>
      <c r="D20" s="14"/>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t="e">
        <f t="shared" si="21"/>
        <v>#DIV/0!</v>
      </c>
      <c r="U20" s="3">
        <v>0</v>
      </c>
      <c r="V20" s="6">
        <v>0</v>
      </c>
      <c r="W20" s="3" t="e">
        <f t="shared" si="22"/>
        <v>#DIV/0!</v>
      </c>
      <c r="X20" s="3">
        <v>0</v>
      </c>
      <c r="Y20" s="6">
        <v>0</v>
      </c>
      <c r="Z20" s="3">
        <f t="shared" si="23"/>
        <v>717.61904761904771</v>
      </c>
      <c r="AA20" s="3">
        <v>10549</v>
      </c>
      <c r="AB20" s="6">
        <v>14.7</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717.61904761904771</v>
      </c>
      <c r="AP20" s="3">
        <f t="shared" si="14"/>
        <v>10549</v>
      </c>
      <c r="AQ20" s="6">
        <f t="shared" si="15"/>
        <v>14.7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1" t="s">
        <v>46</v>
      </c>
      <c r="B21" s="15"/>
      <c r="C21" s="15"/>
      <c r="D21" s="15"/>
      <c r="E21" s="12" t="e">
        <f t="shared" si="16"/>
        <v>#DIV/0!</v>
      </c>
      <c r="F21" s="7">
        <v>0</v>
      </c>
      <c r="G21" s="8">
        <v>0</v>
      </c>
      <c r="H21" s="7" t="e">
        <f t="shared" si="17"/>
        <v>#DIV/0!</v>
      </c>
      <c r="I21" s="7">
        <v>0</v>
      </c>
      <c r="J21" s="8">
        <v>0</v>
      </c>
      <c r="K21" s="7" t="e">
        <f t="shared" si="18"/>
        <v>#DIV/0!</v>
      </c>
      <c r="L21" s="7">
        <v>0</v>
      </c>
      <c r="M21" s="8">
        <v>0</v>
      </c>
      <c r="N21" s="7" t="e">
        <f t="shared" si="19"/>
        <v>#DIV/0!</v>
      </c>
      <c r="O21" s="7">
        <v>0</v>
      </c>
      <c r="P21" s="8">
        <v>0</v>
      </c>
      <c r="Q21" s="7" t="e">
        <f t="shared" si="20"/>
        <v>#DIV/0!</v>
      </c>
      <c r="R21" s="7">
        <v>0</v>
      </c>
      <c r="S21" s="8">
        <v>0</v>
      </c>
      <c r="T21" s="7" t="e">
        <f t="shared" si="21"/>
        <v>#DIV/0!</v>
      </c>
      <c r="U21" s="7">
        <v>0</v>
      </c>
      <c r="V21" s="8">
        <v>0</v>
      </c>
      <c r="W21" s="7" t="e">
        <f t="shared" si="22"/>
        <v>#DIV/0!</v>
      </c>
      <c r="X21" s="7">
        <v>0</v>
      </c>
      <c r="Y21" s="8">
        <v>0</v>
      </c>
      <c r="Z21" s="7" t="e">
        <f t="shared" si="23"/>
        <v>#DIV/0!</v>
      </c>
      <c r="AA21" s="7">
        <v>0</v>
      </c>
      <c r="AB21" s="8">
        <v>0</v>
      </c>
      <c r="AC21" s="7" t="e">
        <f t="shared" si="24"/>
        <v>#DIV/0!</v>
      </c>
      <c r="AD21" s="7">
        <v>0</v>
      </c>
      <c r="AE21" s="8">
        <v>0</v>
      </c>
      <c r="AF21" s="7">
        <f t="shared" si="25"/>
        <v>718.53546910755142</v>
      </c>
      <c r="AG21" s="7">
        <v>62800</v>
      </c>
      <c r="AH21" s="8">
        <v>87.4</v>
      </c>
      <c r="AI21" s="7" t="e">
        <f t="shared" si="26"/>
        <v>#DIV/0!</v>
      </c>
      <c r="AJ21" s="7">
        <v>0</v>
      </c>
      <c r="AK21" s="8">
        <v>0</v>
      </c>
      <c r="AL21" s="7" t="e">
        <f t="shared" si="27"/>
        <v>#DIV/0!</v>
      </c>
      <c r="AM21" s="7">
        <v>0</v>
      </c>
      <c r="AN21" s="8">
        <v>0</v>
      </c>
      <c r="AO21" s="7">
        <f t="shared" si="12"/>
        <v>718.53546910755142</v>
      </c>
      <c r="AP21" s="7">
        <f t="shared" si="14"/>
        <v>62800</v>
      </c>
      <c r="AQ21" s="8">
        <f t="shared" si="15"/>
        <v>87.4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 t="s">
        <v>23</v>
      </c>
      <c r="B22" s="1"/>
    </row>
    <row r="23" spans="1:67" x14ac:dyDescent="0.3">
      <c r="A23" s="1" t="s">
        <v>31</v>
      </c>
      <c r="B23" s="1"/>
    </row>
    <row r="24" spans="1:67" x14ac:dyDescent="0.3">
      <c r="A24" s="1" t="s">
        <v>24</v>
      </c>
      <c r="B24" s="1"/>
    </row>
    <row r="25" spans="1:67" x14ac:dyDescent="0.3">
      <c r="A25" s="1" t="s">
        <v>25</v>
      </c>
      <c r="B25" s="1"/>
    </row>
    <row r="26" spans="1:67" x14ac:dyDescent="0.3">
      <c r="A26" s="1" t="s">
        <v>32</v>
      </c>
      <c r="B26" s="1"/>
    </row>
  </sheetData>
  <mergeCells count="16">
    <mergeCell ref="B3:B21"/>
    <mergeCell ref="C3:C21"/>
    <mergeCell ref="AO1:AQ1"/>
    <mergeCell ref="W1:Y1"/>
    <mergeCell ref="Z1:AB1"/>
    <mergeCell ref="AC1:AE1"/>
    <mergeCell ref="AF1:AH1"/>
    <mergeCell ref="AI1:AK1"/>
    <mergeCell ref="D3:D2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2026-08-07T07:09:20Z</dcterms:modified>
</cp:coreProperties>
</file>