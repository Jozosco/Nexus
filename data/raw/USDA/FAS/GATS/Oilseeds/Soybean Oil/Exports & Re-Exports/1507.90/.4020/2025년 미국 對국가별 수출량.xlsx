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Q20" i="1" l="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0" i="1"/>
  <c r="AL19" i="1"/>
  <c r="AL18" i="1"/>
  <c r="AL17" i="1"/>
  <c r="AL16" i="1"/>
  <c r="AL15" i="1"/>
  <c r="AL14" i="1"/>
  <c r="AL13" i="1"/>
  <c r="AL12" i="1"/>
  <c r="AL11" i="1"/>
  <c r="AL10" i="1"/>
  <c r="AL9" i="1"/>
  <c r="AL8" i="1"/>
  <c r="AL7" i="1"/>
  <c r="AL6" i="1"/>
  <c r="AL5" i="1"/>
  <c r="AL4" i="1"/>
  <c r="AI20" i="1"/>
  <c r="AI19" i="1"/>
  <c r="AI18" i="1"/>
  <c r="AI17" i="1"/>
  <c r="AI16" i="1"/>
  <c r="AI15" i="1"/>
  <c r="AI14" i="1"/>
  <c r="AI13" i="1"/>
  <c r="AI12" i="1"/>
  <c r="AI11" i="1"/>
  <c r="AI10" i="1"/>
  <c r="AI9" i="1"/>
  <c r="AI8" i="1"/>
  <c r="AI7" i="1"/>
  <c r="AI6" i="1"/>
  <c r="AI5" i="1"/>
  <c r="AI4" i="1"/>
  <c r="AF20" i="1"/>
  <c r="AF19" i="1"/>
  <c r="AF18" i="1"/>
  <c r="AF17" i="1"/>
  <c r="AF16" i="1"/>
  <c r="AF15" i="1"/>
  <c r="AF14" i="1"/>
  <c r="AF13" i="1"/>
  <c r="AF12" i="1"/>
  <c r="AF11" i="1"/>
  <c r="AF10" i="1"/>
  <c r="AF9" i="1"/>
  <c r="AF8" i="1"/>
  <c r="AF7" i="1"/>
  <c r="AF6" i="1"/>
  <c r="AF5" i="1"/>
  <c r="AF4" i="1"/>
  <c r="AC20" i="1"/>
  <c r="AC19" i="1"/>
  <c r="AC18" i="1"/>
  <c r="AC17" i="1"/>
  <c r="AC16" i="1"/>
  <c r="AC15" i="1"/>
  <c r="AC14" i="1"/>
  <c r="AC13" i="1"/>
  <c r="AC12" i="1"/>
  <c r="AC11" i="1"/>
  <c r="AC10" i="1"/>
  <c r="AC9" i="1"/>
  <c r="AC8" i="1"/>
  <c r="AC7" i="1"/>
  <c r="AC6" i="1"/>
  <c r="AC5" i="1"/>
  <c r="AC4" i="1"/>
  <c r="Z20" i="1"/>
  <c r="Z19" i="1"/>
  <c r="Z18" i="1"/>
  <c r="Z17" i="1"/>
  <c r="Z16" i="1"/>
  <c r="Z15" i="1"/>
  <c r="Z14" i="1"/>
  <c r="Z13" i="1"/>
  <c r="Z12" i="1"/>
  <c r="Z11" i="1"/>
  <c r="Z10" i="1"/>
  <c r="Z9" i="1"/>
  <c r="Z8" i="1"/>
  <c r="Z7" i="1"/>
  <c r="Z6" i="1"/>
  <c r="Z5" i="1"/>
  <c r="Z4" i="1"/>
  <c r="W20" i="1"/>
  <c r="W19" i="1"/>
  <c r="W18" i="1"/>
  <c r="W17" i="1"/>
  <c r="W16" i="1"/>
  <c r="W15" i="1"/>
  <c r="W14" i="1"/>
  <c r="W13" i="1"/>
  <c r="W12" i="1"/>
  <c r="W11" i="1"/>
  <c r="W10" i="1"/>
  <c r="W9" i="1"/>
  <c r="W8" i="1"/>
  <c r="W7" i="1"/>
  <c r="W6" i="1"/>
  <c r="W5" i="1"/>
  <c r="W4" i="1"/>
  <c r="T20" i="1"/>
  <c r="T19" i="1"/>
  <c r="T18" i="1"/>
  <c r="T17" i="1"/>
  <c r="T16" i="1"/>
  <c r="T15" i="1"/>
  <c r="T14" i="1"/>
  <c r="T13" i="1"/>
  <c r="T12" i="1"/>
  <c r="T11" i="1"/>
  <c r="T10" i="1"/>
  <c r="T9" i="1"/>
  <c r="T8" i="1"/>
  <c r="T7" i="1"/>
  <c r="T6" i="1"/>
  <c r="T5" i="1"/>
  <c r="T4" i="1"/>
  <c r="Q20" i="1"/>
  <c r="Q19" i="1"/>
  <c r="Q18" i="1"/>
  <c r="Q17" i="1"/>
  <c r="Q16" i="1"/>
  <c r="Q15" i="1"/>
  <c r="Q14" i="1"/>
  <c r="Q13" i="1"/>
  <c r="Q12" i="1"/>
  <c r="Q11" i="1"/>
  <c r="Q10" i="1"/>
  <c r="Q9" i="1"/>
  <c r="Q8" i="1"/>
  <c r="Q7" i="1"/>
  <c r="Q6" i="1"/>
  <c r="Q5" i="1"/>
  <c r="Q4" i="1"/>
  <c r="N20" i="1"/>
  <c r="N19" i="1"/>
  <c r="N18" i="1"/>
  <c r="N17" i="1"/>
  <c r="N16" i="1"/>
  <c r="N15" i="1"/>
  <c r="N14" i="1"/>
  <c r="N13" i="1"/>
  <c r="N12" i="1"/>
  <c r="N11" i="1"/>
  <c r="N10" i="1"/>
  <c r="N9" i="1"/>
  <c r="N8" i="1"/>
  <c r="N7" i="1"/>
  <c r="N6" i="1"/>
  <c r="N5" i="1"/>
  <c r="N4" i="1"/>
  <c r="K20" i="1"/>
  <c r="K19" i="1"/>
  <c r="K18" i="1"/>
  <c r="K17" i="1"/>
  <c r="K16" i="1"/>
  <c r="K15" i="1"/>
  <c r="K14" i="1"/>
  <c r="K13" i="1"/>
  <c r="K12" i="1"/>
  <c r="K11" i="1"/>
  <c r="K10" i="1"/>
  <c r="K9" i="1"/>
  <c r="K8" i="1"/>
  <c r="K7" i="1"/>
  <c r="K6" i="1"/>
  <c r="K5" i="1"/>
  <c r="K4" i="1"/>
  <c r="H20" i="1"/>
  <c r="H19" i="1"/>
  <c r="H18" i="1"/>
  <c r="H17" i="1"/>
  <c r="H16" i="1"/>
  <c r="H15" i="1"/>
  <c r="H14" i="1"/>
  <c r="H13" i="1"/>
  <c r="H12" i="1"/>
  <c r="H11" i="1"/>
  <c r="H10" i="1"/>
  <c r="H9" i="1"/>
  <c r="H8" i="1"/>
  <c r="H7" i="1"/>
  <c r="H6" i="1"/>
  <c r="H5" i="1"/>
  <c r="H4"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6" i="1"/>
  <c r="AO14" i="1"/>
  <c r="AO8" i="1"/>
  <c r="AO16" i="1"/>
  <c r="AO9" i="1"/>
  <c r="AO17" i="1"/>
  <c r="AO19" i="1"/>
  <c r="AO3" i="1" l="1"/>
  <c r="AO4" i="1"/>
  <c r="AO12" i="1"/>
</calcChain>
</file>

<file path=xl/sharedStrings.xml><?xml version="1.0" encoding="utf-8"?>
<sst xmlns="http://schemas.openxmlformats.org/spreadsheetml/2006/main" count="82" uniqueCount="46">
  <si>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</si>
  <si>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</si>
  <si>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</si>
  <si>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</si>
  <si>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</si>
  <si>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</si>
  <si>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</si>
  <si>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</si>
  <si>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</si>
  <si>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</si>
  <si>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</si>
  <si>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</si>
  <si>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</si>
  <si>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</si>
  <si>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</si>
  <si>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</si>
  <si>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</si>
  <si>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</si>
  <si>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</si>
  <si>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Mexico</t>
  </si>
  <si>
    <t>Bahamas, The</t>
  </si>
  <si>
    <t>El Salvador</t>
  </si>
  <si>
    <t>Guatemala</t>
  </si>
  <si>
    <t>Honduras</t>
  </si>
  <si>
    <t>Panama</t>
  </si>
  <si>
    <t>Trinidad and Tobago</t>
  </si>
  <si>
    <t>Venezuela</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</si>
  <si>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</si>
  <si>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</si>
  <si>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</si>
  <si>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</si>
  <si>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</si>
  <si>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</si>
  <si>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</si>
  <si>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</si>
  <si>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</si>
  <si>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1. Data Source: U.S. Census Bureau Trade Data</t>
  </si>
  <si>
    <t>4. Product Group : Harmonized</t>
  </si>
  <si>
    <t>Product</t>
    <phoneticPr fontId="18" type="noConversion"/>
  </si>
  <si>
    <t>SOY OIL ONC-RFND</t>
    <phoneticPr fontId="18" type="noConversion"/>
  </si>
  <si>
    <t>Guyana</t>
  </si>
  <si>
    <t>Bermuda</t>
  </si>
  <si>
    <t>Belize</t>
  </si>
  <si>
    <t>India</t>
  </si>
  <si>
    <t>Nicaragua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</si>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</sst>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30</v>
      </c>
      <c r="B2" s="2" t="s">
        <v>38</v>
      </c>
      <c r="C2" s="2" t="s">
        <v>13</v>
      </c>
      <c r="D2" s="2" t="s">
        <v>31</v>
      </c>
      <c r="E2" s="4" t="s">
        <v>14</v>
      </c>
      <c r="F2" s="2" t="s">
        <v>31</v>
      </c>
      <c r="G2" s="5" t="s">
        <v>15</v>
      </c>
      <c r="H2" s="2" t="s">
        <v>14</v>
      </c>
      <c r="I2" s="2" t="s">
        <v>31</v>
      </c>
      <c r="J2" s="5" t="s">
        <v>15</v>
      </c>
      <c r="K2" s="2" t="s">
        <v>14</v>
      </c>
      <c r="L2" s="2" t="s">
        <v>31</v>
      </c>
      <c r="M2" s="5" t="s">
        <v>15</v>
      </c>
      <c r="N2" s="2" t="s">
        <v>14</v>
      </c>
      <c r="O2" s="2" t="s">
        <v>31</v>
      </c>
      <c r="P2" s="5" t="s">
        <v>15</v>
      </c>
      <c r="Q2" s="2" t="s">
        <v>14</v>
      </c>
      <c r="R2" s="2" t="s">
        <v>31</v>
      </c>
      <c r="S2" s="5" t="s">
        <v>15</v>
      </c>
      <c r="T2" s="2" t="s">
        <v>14</v>
      </c>
      <c r="U2" s="2" t="s">
        <v>31</v>
      </c>
      <c r="V2" s="5" t="s">
        <v>15</v>
      </c>
      <c r="W2" s="2" t="s">
        <v>14</v>
      </c>
      <c r="X2" s="2" t="s">
        <v>31</v>
      </c>
      <c r="Y2" s="5" t="s">
        <v>15</v>
      </c>
      <c r="Z2" s="2" t="s">
        <v>14</v>
      </c>
      <c r="AA2" s="2" t="s">
        <v>31</v>
      </c>
      <c r="AB2" s="5" t="s">
        <v>15</v>
      </c>
      <c r="AC2" s="2" t="s">
        <v>14</v>
      </c>
      <c r="AD2" s="2" t="s">
        <v>31</v>
      </c>
      <c r="AE2" s="5" t="s">
        <v>15</v>
      </c>
      <c r="AF2" s="2" t="s">
        <v>14</v>
      </c>
      <c r="AG2" s="2" t="s">
        <v>31</v>
      </c>
      <c r="AH2" s="5" t="s">
        <v>15</v>
      </c>
      <c r="AI2" s="2" t="s">
        <v>14</v>
      </c>
      <c r="AJ2" s="2" t="s">
        <v>31</v>
      </c>
      <c r="AK2" s="5" t="s">
        <v>15</v>
      </c>
      <c r="AL2" s="2" t="s">
        <v>14</v>
      </c>
      <c r="AM2" s="2" t="s">
        <v>31</v>
      </c>
      <c r="AN2" s="5" t="s">
        <v>15</v>
      </c>
      <c r="AO2" s="2" t="s">
        <v>14</v>
      </c>
      <c r="AP2" s="2" t="s">
        <v>33</v>
      </c>
      <c r="AQ2" s="5" t="s">
        <v>15</v>
      </c>
    </row>
    <row r="3" spans="1:67" ht="15" customHeight="1" x14ac:dyDescent="0.3">
      <c r="A3" s="9" t="s">
        <v>16</v>
      </c>
      <c r="B3" s="13" t="s">
        <v>39</v>
      </c>
      <c r="C3" s="13" t="s">
        <v>17</v>
      </c>
      <c r="D3" s="13" t="s">
        <v>32</v>
      </c>
      <c r="E3" s="7">
        <f>F3/G3</f>
        <v>1018.2362173827743</v>
      </c>
      <c r="F3" s="7">
        <f>SUM(F4:F20)</f>
        <v>3113970</v>
      </c>
      <c r="G3" s="8">
        <f>SUM(G4:G20)</f>
        <v>3058.2</v>
      </c>
      <c r="H3" s="7">
        <f>I3/J3</f>
        <v>1244.5833333333333</v>
      </c>
      <c r="I3" s="7">
        <f>SUM(I4:I20)</f>
        <v>65714</v>
      </c>
      <c r="J3" s="8">
        <f>SUM(J4:J20)</f>
        <v>52.800000000000004</v>
      </c>
      <c r="K3" s="7">
        <f>L3/M3</f>
        <v>1081.5306122448978</v>
      </c>
      <c r="L3" s="7">
        <f>SUM(L4:L20)</f>
        <v>21198</v>
      </c>
      <c r="M3" s="8">
        <f>SUM(M4:M20)</f>
        <v>19.600000000000001</v>
      </c>
      <c r="N3" s="7">
        <f>O3/P3</f>
        <v>833.62033898305083</v>
      </c>
      <c r="O3" s="7">
        <f>SUM(O4:O20)</f>
        <v>122959</v>
      </c>
      <c r="P3" s="8">
        <f>SUM(P4:P20)</f>
        <v>147.5</v>
      </c>
      <c r="Q3" s="7">
        <f>R3/S3</f>
        <v>919.48201438848923</v>
      </c>
      <c r="R3" s="7">
        <f>SUM(R4:R20)</f>
        <v>63904</v>
      </c>
      <c r="S3" s="8">
        <f>SUM(S4:S20)</f>
        <v>69.5</v>
      </c>
      <c r="T3" s="7">
        <f>U3/V3</f>
        <v>1074.4800000000002</v>
      </c>
      <c r="U3" s="7">
        <f>SUM(U4:U20)</f>
        <v>5775330</v>
      </c>
      <c r="V3" s="8">
        <f>SUM(V4:V20)</f>
        <v>5374.9999999999991</v>
      </c>
      <c r="W3" s="7">
        <f>X3/Y3</f>
        <v>860.04976235934521</v>
      </c>
      <c r="X3" s="7">
        <f>SUM(X4:X20)</f>
        <v>4234369</v>
      </c>
      <c r="Y3" s="8">
        <f>SUM(Y4:Y20)</f>
        <v>4923.3999999999996</v>
      </c>
      <c r="Z3" s="7">
        <f>AA3/AB3</f>
        <v>806.33369330453559</v>
      </c>
      <c r="AA3" s="7">
        <f>SUM(AA4:AA20)</f>
        <v>149333</v>
      </c>
      <c r="AB3" s="8">
        <f>SUM(AB4:AB20)</f>
        <v>185.20000000000002</v>
      </c>
      <c r="AC3" s="7">
        <f>AD3/AE3</f>
        <v>1404.6108663729808</v>
      </c>
      <c r="AD3" s="7">
        <f>SUM(AD4:AD20)</f>
        <v>95654</v>
      </c>
      <c r="AE3" s="8">
        <f>SUM(AE4:AE20)</f>
        <v>68.100000000000009</v>
      </c>
      <c r="AF3" s="7">
        <f>AG3/AH3</f>
        <v>1648.2097186700767</v>
      </c>
      <c r="AG3" s="7">
        <f>SUM(AG4:AG20)</f>
        <v>64445</v>
      </c>
      <c r="AH3" s="8">
        <f>SUM(AH4:AH20)</f>
        <v>39.1</v>
      </c>
      <c r="AI3" s="7">
        <f>AJ3/AK3</f>
        <v>1026.7838939857288</v>
      </c>
      <c r="AJ3" s="7">
        <f>SUM(AJ4:AJ20)</f>
        <v>201455</v>
      </c>
      <c r="AK3" s="8">
        <f>SUM(AK4:AK20)</f>
        <v>196.20000000000002</v>
      </c>
      <c r="AL3" s="7">
        <f>AM3/AN3</f>
        <v>1859.7802197802198</v>
      </c>
      <c r="AM3" s="7">
        <f>SUM(AM4:AM20)</f>
        <v>33848</v>
      </c>
      <c r="AN3" s="8">
        <f>SUM(AN4:AN20)</f>
        <v>18.2</v>
      </c>
      <c r="AO3" s="7">
        <f>AP3/AQ3</f>
        <v>985.11806850941116</v>
      </c>
      <c r="AP3" s="7">
        <f>SUM(AP4:AP20)</f>
        <v>13942179</v>
      </c>
      <c r="AQ3" s="8">
        <f>SUM(AQ4:AQ20)</f>
        <v>14152.800000000007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22</v>
      </c>
      <c r="B4" s="14"/>
      <c r="C4" s="14"/>
      <c r="D4" s="14"/>
      <c r="E4" s="3">
        <f t="shared" ref="E4:E11" si="0">F4/G4</f>
        <v>2206.8421052631579</v>
      </c>
      <c r="F4" s="3">
        <v>4193</v>
      </c>
      <c r="G4" s="6">
        <v>1.9</v>
      </c>
      <c r="H4" s="3">
        <f t="shared" ref="H4:H11" si="1">I4/J4</f>
        <v>2166.5789473684213</v>
      </c>
      <c r="I4" s="3">
        <v>8233</v>
      </c>
      <c r="J4" s="6">
        <v>3.8</v>
      </c>
      <c r="K4" s="3">
        <f t="shared" ref="K4:K11" si="2">L4/M4</f>
        <v>2182.4137931034484</v>
      </c>
      <c r="L4" s="3">
        <v>6329</v>
      </c>
      <c r="M4" s="6">
        <v>2.9</v>
      </c>
      <c r="N4" s="3">
        <f t="shared" ref="N4:N11" si="3">O4/P4</f>
        <v>718.08510638297878</v>
      </c>
      <c r="O4" s="3">
        <v>40500</v>
      </c>
      <c r="P4" s="6">
        <v>56.4</v>
      </c>
      <c r="Q4" s="3" t="e">
        <f t="shared" ref="Q4:Q11" si="4">R4/S4</f>
        <v>#DIV/0!</v>
      </c>
      <c r="R4" s="3">
        <v>0</v>
      </c>
      <c r="S4" s="6">
        <v>0</v>
      </c>
      <c r="T4" s="3">
        <f t="shared" ref="T4:T11" si="5">U4/V4</f>
        <v>718.18329278183296</v>
      </c>
      <c r="U4" s="3">
        <v>88552</v>
      </c>
      <c r="V4" s="6">
        <v>123.3</v>
      </c>
      <c r="W4" s="3">
        <f t="shared" ref="W4:W11" si="6">X4/Y4</f>
        <v>2186.6279069767443</v>
      </c>
      <c r="X4" s="3">
        <v>18805</v>
      </c>
      <c r="Y4" s="6">
        <v>8.6</v>
      </c>
      <c r="Z4" s="3">
        <f t="shared" ref="Z4:Z11" si="7">AA4/AB4</f>
        <v>718.5567010309278</v>
      </c>
      <c r="AA4" s="3">
        <v>20910</v>
      </c>
      <c r="AB4" s="6">
        <v>29.1</v>
      </c>
      <c r="AC4" s="3">
        <f t="shared" ref="AC4:AC11" si="8">AD4/AE4</f>
        <v>2413.541666666667</v>
      </c>
      <c r="AD4" s="3">
        <v>11585</v>
      </c>
      <c r="AE4" s="6">
        <v>4.8</v>
      </c>
      <c r="AF4" s="3">
        <f t="shared" ref="AF4:AF11" si="9">AG4/AH4</f>
        <v>2445.6578947368421</v>
      </c>
      <c r="AG4" s="3">
        <v>18587</v>
      </c>
      <c r="AH4" s="6">
        <v>7.6</v>
      </c>
      <c r="AI4" s="3">
        <f t="shared" ref="AI4:AI11" si="10">AJ4/AK4</f>
        <v>2450.4385964912281</v>
      </c>
      <c r="AJ4" s="3">
        <v>27935</v>
      </c>
      <c r="AK4" s="6">
        <v>11.4</v>
      </c>
      <c r="AL4" s="3">
        <f t="shared" ref="AL4:AL11" si="11">AM4/AN4</f>
        <v>2428.75</v>
      </c>
      <c r="AM4" s="3">
        <v>11658</v>
      </c>
      <c r="AN4" s="6">
        <v>4.8</v>
      </c>
      <c r="AO4" s="3">
        <f t="shared" ref="AO4:AO20" si="12">AP4/AQ4</f>
        <v>1010.553809897879</v>
      </c>
      <c r="AP4" s="3">
        <f t="shared" ref="AP4:AQ4" si="13">SUM(F4,I4,L4,O4,R4,U4,X4,AA4,AD4,AG4,AJ4,AM4)</f>
        <v>257287</v>
      </c>
      <c r="AQ4" s="6">
        <f t="shared" si="13"/>
        <v>254.60000000000002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24</v>
      </c>
      <c r="B5" s="14"/>
      <c r="C5" s="14"/>
      <c r="D5" s="14"/>
      <c r="E5" s="3">
        <f t="shared" si="0"/>
        <v>2193.75</v>
      </c>
      <c r="F5" s="3">
        <v>10530</v>
      </c>
      <c r="G5" s="6">
        <v>4.8</v>
      </c>
      <c r="H5" s="3">
        <f t="shared" si="1"/>
        <v>2181.5789473684208</v>
      </c>
      <c r="I5" s="3">
        <v>12435</v>
      </c>
      <c r="J5" s="6">
        <v>5.7</v>
      </c>
      <c r="K5" s="3">
        <f t="shared" si="2"/>
        <v>2238.9473684210529</v>
      </c>
      <c r="L5" s="3">
        <v>4254</v>
      </c>
      <c r="M5" s="6">
        <v>1.9</v>
      </c>
      <c r="N5" s="3">
        <f t="shared" si="3"/>
        <v>2223.6842105263158</v>
      </c>
      <c r="O5" s="3">
        <v>16900</v>
      </c>
      <c r="P5" s="6">
        <v>7.6</v>
      </c>
      <c r="Q5" s="3">
        <f t="shared" si="4"/>
        <v>775.72631578947369</v>
      </c>
      <c r="R5" s="3">
        <v>36847</v>
      </c>
      <c r="S5" s="6">
        <v>47.5</v>
      </c>
      <c r="T5" s="3" t="e">
        <f t="shared" si="5"/>
        <v>#DIV/0!</v>
      </c>
      <c r="U5" s="3">
        <v>0</v>
      </c>
      <c r="V5" s="6">
        <v>0</v>
      </c>
      <c r="W5" s="3">
        <f t="shared" si="6"/>
        <v>2156.2068965517242</v>
      </c>
      <c r="X5" s="3">
        <v>6253</v>
      </c>
      <c r="Y5" s="6">
        <v>2.9</v>
      </c>
      <c r="Z5" s="3">
        <f t="shared" si="7"/>
        <v>718.38627700127063</v>
      </c>
      <c r="AA5" s="3">
        <v>56537</v>
      </c>
      <c r="AB5" s="6">
        <v>78.7</v>
      </c>
      <c r="AC5" s="3">
        <f t="shared" si="8"/>
        <v>1205.7434944237918</v>
      </c>
      <c r="AD5" s="3">
        <v>64869</v>
      </c>
      <c r="AE5" s="6">
        <v>53.8</v>
      </c>
      <c r="AF5" s="3" t="e">
        <f t="shared" si="9"/>
        <v>#DIV/0!</v>
      </c>
      <c r="AG5" s="3">
        <v>0</v>
      </c>
      <c r="AH5" s="6">
        <v>0</v>
      </c>
      <c r="AI5" s="3">
        <f t="shared" si="10"/>
        <v>946.15869017632235</v>
      </c>
      <c r="AJ5" s="3">
        <v>75125</v>
      </c>
      <c r="AK5" s="6">
        <v>79.400000000000006</v>
      </c>
      <c r="AL5" s="3">
        <f t="shared" si="11"/>
        <v>2454.2105263157896</v>
      </c>
      <c r="AM5" s="3">
        <v>9326</v>
      </c>
      <c r="AN5" s="6">
        <v>3.8</v>
      </c>
      <c r="AO5" s="3">
        <f t="shared" si="12"/>
        <v>1024.3830828381681</v>
      </c>
      <c r="AP5" s="3">
        <f t="shared" ref="AP5:AP20" si="14">SUM(F5,I5,L5,O5,R5,U5,X5,AA5,AD5,AG5,AJ5,AM5)</f>
        <v>293076</v>
      </c>
      <c r="AQ5" s="6">
        <f t="shared" ref="AQ5:AQ20" si="15">SUM(G5,J5,M5,P5,S5,V5,Y5,AB5,AE5,AH5,AK5,AN5)</f>
        <v>286.10000000000008</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14"/>
      <c r="C6" s="14"/>
      <c r="D6" s="14"/>
      <c r="E6" s="3">
        <f t="shared" si="0"/>
        <v>1015.6470588235294</v>
      </c>
      <c r="F6" s="3">
        <v>3099247</v>
      </c>
      <c r="G6" s="6">
        <v>3051.5</v>
      </c>
      <c r="H6" s="3" t="e">
        <f t="shared" si="1"/>
        <v>#DIV/0!</v>
      </c>
      <c r="I6" s="3">
        <v>0</v>
      </c>
      <c r="J6" s="6">
        <v>0</v>
      </c>
      <c r="K6" s="3" t="e">
        <f t="shared" si="2"/>
        <v>#DIV/0!</v>
      </c>
      <c r="L6" s="3">
        <v>0</v>
      </c>
      <c r="M6" s="6">
        <v>0</v>
      </c>
      <c r="N6" s="3" t="e">
        <f t="shared" si="3"/>
        <v>#DIV/0!</v>
      </c>
      <c r="O6" s="3">
        <v>0</v>
      </c>
      <c r="P6" s="6">
        <v>0</v>
      </c>
      <c r="Q6" s="3" t="e">
        <f t="shared" si="4"/>
        <v>#DIV/0!</v>
      </c>
      <c r="R6" s="3">
        <v>0</v>
      </c>
      <c r="S6" s="6">
        <v>0</v>
      </c>
      <c r="T6" s="3">
        <f t="shared" si="5"/>
        <v>1080.2803328117247</v>
      </c>
      <c r="U6" s="3">
        <v>5660885</v>
      </c>
      <c r="V6" s="6">
        <v>5240.2</v>
      </c>
      <c r="W6" s="3">
        <f t="shared" si="6"/>
        <v>858.22439926840036</v>
      </c>
      <c r="X6" s="3">
        <v>4082316</v>
      </c>
      <c r="Y6" s="6">
        <v>4756.7</v>
      </c>
      <c r="Z6" s="3" t="e">
        <f t="shared" si="7"/>
        <v>#DIV/0!</v>
      </c>
      <c r="AA6" s="3">
        <v>0</v>
      </c>
      <c r="AB6" s="6">
        <v>0</v>
      </c>
      <c r="AC6" s="3">
        <f t="shared" si="8"/>
        <v>1732.6315789473683</v>
      </c>
      <c r="AD6" s="3">
        <v>9876</v>
      </c>
      <c r="AE6" s="6">
        <v>5.7</v>
      </c>
      <c r="AF6" s="3">
        <f t="shared" si="9"/>
        <v>1736.5517241379312</v>
      </c>
      <c r="AG6" s="3">
        <v>5036</v>
      </c>
      <c r="AH6" s="6">
        <v>2.9</v>
      </c>
      <c r="AI6" s="3">
        <f t="shared" si="10"/>
        <v>787.84226190476193</v>
      </c>
      <c r="AJ6" s="3">
        <v>52943</v>
      </c>
      <c r="AK6" s="6">
        <v>67.2</v>
      </c>
      <c r="AL6" s="3">
        <f t="shared" si="11"/>
        <v>1647.2413793103449</v>
      </c>
      <c r="AM6" s="3">
        <v>4777</v>
      </c>
      <c r="AN6" s="6">
        <v>2.9</v>
      </c>
      <c r="AO6" s="3">
        <f t="shared" si="12"/>
        <v>983.84867944938321</v>
      </c>
      <c r="AP6" s="3">
        <f t="shared" si="14"/>
        <v>12915080</v>
      </c>
      <c r="AQ6" s="6">
        <f t="shared" si="15"/>
        <v>13127.100000000002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25</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f t="shared" si="4"/>
        <v>2176.8421052631579</v>
      </c>
      <c r="R7" s="3">
        <v>4136</v>
      </c>
      <c r="S7" s="6">
        <v>1.9</v>
      </c>
      <c r="T7" s="3">
        <f t="shared" si="5"/>
        <v>2208.9655172413795</v>
      </c>
      <c r="U7" s="3">
        <v>6406</v>
      </c>
      <c r="V7" s="6">
        <v>2.9</v>
      </c>
      <c r="W7" s="3" t="e">
        <f t="shared" si="6"/>
        <v>#DIV/0!</v>
      </c>
      <c r="X7" s="3">
        <v>0</v>
      </c>
      <c r="Y7" s="6">
        <v>0</v>
      </c>
      <c r="Z7" s="3">
        <f t="shared" si="7"/>
        <v>2201.0526315789475</v>
      </c>
      <c r="AA7" s="3">
        <v>4182</v>
      </c>
      <c r="AB7" s="6">
        <v>1.9</v>
      </c>
      <c r="AC7" s="3">
        <f t="shared" si="8"/>
        <v>2458.9473684210529</v>
      </c>
      <c r="AD7" s="3">
        <v>4672</v>
      </c>
      <c r="AE7" s="6">
        <v>1.9</v>
      </c>
      <c r="AF7" s="3">
        <f t="shared" si="9"/>
        <v>2441.8421052631579</v>
      </c>
      <c r="AG7" s="3">
        <v>18558</v>
      </c>
      <c r="AH7" s="6">
        <v>7.6</v>
      </c>
      <c r="AI7" s="3">
        <f t="shared" si="10"/>
        <v>2446.8421052631579</v>
      </c>
      <c r="AJ7" s="3">
        <v>4649</v>
      </c>
      <c r="AK7" s="6">
        <v>1.9</v>
      </c>
      <c r="AL7" s="3">
        <f t="shared" si="11"/>
        <v>2454.2105263157896</v>
      </c>
      <c r="AM7" s="3">
        <v>4663</v>
      </c>
      <c r="AN7" s="6">
        <v>1.9</v>
      </c>
      <c r="AO7" s="3">
        <f t="shared" si="12"/>
        <v>2363.3000000000006</v>
      </c>
      <c r="AP7" s="3">
        <f t="shared" si="14"/>
        <v>47266</v>
      </c>
      <c r="AQ7" s="6">
        <f t="shared" si="15"/>
        <v>19.999999999999996</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41</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f t="shared" si="11"/>
        <v>713.33333333333337</v>
      </c>
      <c r="AM8" s="3">
        <v>3424</v>
      </c>
      <c r="AN8" s="6">
        <v>4.8</v>
      </c>
      <c r="AO8" s="3">
        <f t="shared" si="12"/>
        <v>713.33333333333337</v>
      </c>
      <c r="AP8" s="3">
        <f t="shared" si="14"/>
        <v>3424</v>
      </c>
      <c r="AQ8" s="6">
        <f t="shared" si="15"/>
        <v>4.8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20</v>
      </c>
      <c r="B9" s="14"/>
      <c r="C9" s="14"/>
      <c r="D9" s="14"/>
      <c r="E9" s="3" t="e">
        <f t="shared" si="0"/>
        <v>#DIV/0!</v>
      </c>
      <c r="F9" s="3">
        <v>0</v>
      </c>
      <c r="G9" s="6">
        <v>0</v>
      </c>
      <c r="H9" s="3">
        <f t="shared" si="1"/>
        <v>1869.4594594594594</v>
      </c>
      <c r="I9" s="3">
        <v>6917</v>
      </c>
      <c r="J9" s="6">
        <v>3.7</v>
      </c>
      <c r="K9" s="3" t="e">
        <f t="shared" si="2"/>
        <v>#DIV/0!</v>
      </c>
      <c r="L9" s="3">
        <v>0</v>
      </c>
      <c r="M9" s="6">
        <v>0</v>
      </c>
      <c r="N9" s="3" t="e">
        <f t="shared" si="3"/>
        <v>#DIV/0!</v>
      </c>
      <c r="O9" s="3">
        <v>0</v>
      </c>
      <c r="P9" s="6">
        <v>0</v>
      </c>
      <c r="Q9" s="3">
        <f t="shared" si="4"/>
        <v>2255.2631578947371</v>
      </c>
      <c r="R9" s="3">
        <v>4285</v>
      </c>
      <c r="S9" s="6">
        <v>1.9</v>
      </c>
      <c r="T9" s="3" t="e">
        <f t="shared" si="5"/>
        <v>#DIV/0!</v>
      </c>
      <c r="U9" s="3">
        <v>0</v>
      </c>
      <c r="V9" s="6">
        <v>0</v>
      </c>
      <c r="W9" s="3" t="e">
        <f t="shared" si="6"/>
        <v>#DIV/0!</v>
      </c>
      <c r="X9" s="3">
        <v>0</v>
      </c>
      <c r="Y9" s="6">
        <v>0</v>
      </c>
      <c r="Z9" s="3" t="e">
        <f t="shared" si="7"/>
        <v>#DIV/0!</v>
      </c>
      <c r="AA9" s="3">
        <v>0</v>
      </c>
      <c r="AB9" s="6">
        <v>0</v>
      </c>
      <c r="AC9" s="3" t="e">
        <f t="shared" si="8"/>
        <v>#DIV/0!</v>
      </c>
      <c r="AD9" s="3">
        <v>0</v>
      </c>
      <c r="AE9" s="6">
        <v>0</v>
      </c>
      <c r="AF9" s="3">
        <f t="shared" si="9"/>
        <v>2010</v>
      </c>
      <c r="AG9" s="3">
        <v>6030</v>
      </c>
      <c r="AH9" s="6">
        <v>3</v>
      </c>
      <c r="AI9" s="3" t="e">
        <f t="shared" si="10"/>
        <v>#DIV/0!</v>
      </c>
      <c r="AJ9" s="3">
        <v>0</v>
      </c>
      <c r="AK9" s="6">
        <v>0</v>
      </c>
      <c r="AL9" s="3" t="e">
        <f t="shared" si="11"/>
        <v>#DIV/0!</v>
      </c>
      <c r="AM9" s="3">
        <v>0</v>
      </c>
      <c r="AN9" s="6">
        <v>0</v>
      </c>
      <c r="AO9" s="3">
        <f t="shared" si="12"/>
        <v>2003.7209302325582</v>
      </c>
      <c r="AP9" s="3">
        <f t="shared" si="14"/>
        <v>17232</v>
      </c>
      <c r="AQ9" s="6">
        <f t="shared" si="15"/>
        <v>8.6</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42</v>
      </c>
      <c r="B10" s="14"/>
      <c r="C10" s="14"/>
      <c r="D10" s="14"/>
      <c r="E10" s="3" t="e">
        <f t="shared" si="0"/>
        <v>#DIV/0!</v>
      </c>
      <c r="F10" s="3">
        <v>0</v>
      </c>
      <c r="G10" s="6">
        <v>0</v>
      </c>
      <c r="H10" s="3" t="e">
        <f t="shared" si="1"/>
        <v>#DIV/0!</v>
      </c>
      <c r="I10" s="3">
        <v>0</v>
      </c>
      <c r="J10" s="6">
        <v>0</v>
      </c>
      <c r="K10" s="3" t="e">
        <f t="shared" si="2"/>
        <v>#DIV/0!</v>
      </c>
      <c r="L10" s="3">
        <v>0</v>
      </c>
      <c r="M10" s="6">
        <v>0</v>
      </c>
      <c r="N10" s="3">
        <f t="shared" si="3"/>
        <v>719.03345724907069</v>
      </c>
      <c r="O10" s="3">
        <v>19342</v>
      </c>
      <c r="P10" s="6">
        <v>26.9</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f t="shared" si="10"/>
        <v>2979.3103448275865</v>
      </c>
      <c r="AJ10" s="3">
        <v>8640</v>
      </c>
      <c r="AK10" s="6">
        <v>2.9</v>
      </c>
      <c r="AL10" s="3" t="e">
        <f t="shared" si="11"/>
        <v>#DIV/0!</v>
      </c>
      <c r="AM10" s="3">
        <v>0</v>
      </c>
      <c r="AN10" s="6">
        <v>0</v>
      </c>
      <c r="AO10" s="3">
        <f t="shared" si="12"/>
        <v>938.99328859060415</v>
      </c>
      <c r="AP10" s="3">
        <f t="shared" si="14"/>
        <v>27982</v>
      </c>
      <c r="AQ10" s="6">
        <f t="shared" si="15"/>
        <v>29.799999999999997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18</v>
      </c>
      <c r="B11" s="14"/>
      <c r="C11" s="14"/>
      <c r="D11" s="14"/>
      <c r="E11" s="3" t="e">
        <f t="shared" si="0"/>
        <v>#DIV/0!</v>
      </c>
      <c r="F11" s="3">
        <v>0</v>
      </c>
      <c r="G11" s="6">
        <v>0</v>
      </c>
      <c r="H11" s="3">
        <f t="shared" si="1"/>
        <v>2158.9473684210529</v>
      </c>
      <c r="I11" s="3">
        <v>4102</v>
      </c>
      <c r="J11" s="6">
        <v>1.9</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f t="shared" si="8"/>
        <v>2448.4210526315792</v>
      </c>
      <c r="AD11" s="3">
        <v>4652</v>
      </c>
      <c r="AE11" s="6">
        <v>1.9</v>
      </c>
      <c r="AF11" s="3">
        <f t="shared" si="9"/>
        <v>2445.2631578947371</v>
      </c>
      <c r="AG11" s="3">
        <v>4646</v>
      </c>
      <c r="AH11" s="6">
        <v>1.9</v>
      </c>
      <c r="AI11" s="3" t="e">
        <f t="shared" si="10"/>
        <v>#DIV/0!</v>
      </c>
      <c r="AJ11" s="3">
        <v>0</v>
      </c>
      <c r="AK11" s="6">
        <v>0</v>
      </c>
      <c r="AL11" s="3" t="e">
        <f t="shared" si="11"/>
        <v>#DIV/0!</v>
      </c>
      <c r="AM11" s="3">
        <v>0</v>
      </c>
      <c r="AN11" s="6">
        <v>0</v>
      </c>
      <c r="AO11" s="3">
        <f t="shared" si="12"/>
        <v>2350.8771929824566</v>
      </c>
      <c r="AP11" s="3">
        <f t="shared" si="14"/>
        <v>13400</v>
      </c>
      <c r="AQ11" s="6">
        <f t="shared" si="15"/>
        <v>5.6999999999999993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21</v>
      </c>
      <c r="B12" s="14"/>
      <c r="C12" s="14"/>
      <c r="D12" s="14"/>
      <c r="E12" s="3" t="e">
        <f>F12/G12</f>
        <v>#DIV/0!</v>
      </c>
      <c r="F12" s="3">
        <v>0</v>
      </c>
      <c r="G12" s="6">
        <v>0</v>
      </c>
      <c r="H12" s="3">
        <f>I12/J12</f>
        <v>719.75155279503099</v>
      </c>
      <c r="I12" s="3">
        <v>11588</v>
      </c>
      <c r="J12" s="6">
        <v>16.100000000000001</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719.75155279503099</v>
      </c>
      <c r="AP12" s="3">
        <f t="shared" si="14"/>
        <v>11588</v>
      </c>
      <c r="AQ12" s="6">
        <f t="shared" si="15"/>
        <v>16.100000000000001</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40</v>
      </c>
      <c r="B13" s="14"/>
      <c r="C13" s="14"/>
      <c r="D13" s="14"/>
      <c r="E13" s="3" t="e">
        <f t="shared" ref="E13:E20" si="16">F13/G13</f>
        <v>#DIV/0!</v>
      </c>
      <c r="F13" s="3">
        <v>0</v>
      </c>
      <c r="G13" s="6">
        <v>0</v>
      </c>
      <c r="H13" s="3" t="e">
        <f t="shared" ref="H13:H20" si="17">I13/J13</f>
        <v>#DIV/0!</v>
      </c>
      <c r="I13" s="3">
        <v>0</v>
      </c>
      <c r="J13" s="6">
        <v>0</v>
      </c>
      <c r="K13" s="3" t="e">
        <f t="shared" ref="K13:K20" si="18">L13/M13</f>
        <v>#DIV/0!</v>
      </c>
      <c r="L13" s="3">
        <v>0</v>
      </c>
      <c r="M13" s="6">
        <v>0</v>
      </c>
      <c r="N13" s="3">
        <f t="shared" ref="N13:N20" si="19">O13/P13</f>
        <v>719.25</v>
      </c>
      <c r="O13" s="3">
        <v>23016</v>
      </c>
      <c r="P13" s="6">
        <v>32</v>
      </c>
      <c r="Q13" s="3" t="e">
        <f t="shared" ref="Q13:Q20" si="20">R13/S13</f>
        <v>#DIV/0!</v>
      </c>
      <c r="R13" s="3">
        <v>0</v>
      </c>
      <c r="S13" s="6">
        <v>0</v>
      </c>
      <c r="T13" s="3" t="e">
        <f t="shared" ref="T13:T20" si="21">U13/V13</f>
        <v>#DIV/0!</v>
      </c>
      <c r="U13" s="3">
        <v>0</v>
      </c>
      <c r="V13" s="6">
        <v>0</v>
      </c>
      <c r="W13" s="3" t="e">
        <f t="shared" ref="W13:W20" si="22">X13/Y13</f>
        <v>#DIV/0!</v>
      </c>
      <c r="X13" s="3">
        <v>0</v>
      </c>
      <c r="Y13" s="6">
        <v>0</v>
      </c>
      <c r="Z13" s="3" t="e">
        <f t="shared" ref="Z13:Z20" si="23">AA13/AB13</f>
        <v>#DIV/0!</v>
      </c>
      <c r="AA13" s="3">
        <v>0</v>
      </c>
      <c r="AB13" s="6">
        <v>0</v>
      </c>
      <c r="AC13" s="3" t="e">
        <f t="shared" ref="AC13:AC20" si="24">AD13/AE13</f>
        <v>#DIV/0!</v>
      </c>
      <c r="AD13" s="3">
        <v>0</v>
      </c>
      <c r="AE13" s="6">
        <v>0</v>
      </c>
      <c r="AF13" s="3" t="e">
        <f t="shared" ref="AF13:AF20" si="25">AG13/AH13</f>
        <v>#DIV/0!</v>
      </c>
      <c r="AG13" s="3">
        <v>0</v>
      </c>
      <c r="AH13" s="6">
        <v>0</v>
      </c>
      <c r="AI13" s="3" t="e">
        <f t="shared" ref="AI13:AI20" si="26">AJ13/AK13</f>
        <v>#DIV/0!</v>
      </c>
      <c r="AJ13" s="3">
        <v>0</v>
      </c>
      <c r="AK13" s="6">
        <v>0</v>
      </c>
      <c r="AL13" s="3" t="e">
        <f t="shared" ref="AL13:AL20" si="27">AM13/AN13</f>
        <v>#DIV/0!</v>
      </c>
      <c r="AM13" s="3">
        <v>0</v>
      </c>
      <c r="AN13" s="6">
        <v>0</v>
      </c>
      <c r="AO13" s="3">
        <f t="shared" si="12"/>
        <v>719.25</v>
      </c>
      <c r="AP13" s="3">
        <f t="shared" si="14"/>
        <v>23016</v>
      </c>
      <c r="AQ13" s="6">
        <f t="shared" si="15"/>
        <v>32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23</v>
      </c>
      <c r="B14" s="14"/>
      <c r="C14" s="14"/>
      <c r="D14" s="14"/>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f t="shared" si="21"/>
        <v>2271.5789473684213</v>
      </c>
      <c r="U14" s="3">
        <v>4316</v>
      </c>
      <c r="V14" s="6">
        <v>1.9</v>
      </c>
      <c r="W14" s="3" t="e">
        <f t="shared" si="22"/>
        <v>#DIV/0!</v>
      </c>
      <c r="X14" s="3">
        <v>0</v>
      </c>
      <c r="Y14" s="6">
        <v>0</v>
      </c>
      <c r="Z14" s="3" t="e">
        <f t="shared" si="23"/>
        <v>#DIV/0!</v>
      </c>
      <c r="AA14" s="3">
        <v>0</v>
      </c>
      <c r="AB14" s="6">
        <v>0</v>
      </c>
      <c r="AC14" s="3" t="e">
        <f t="shared" si="24"/>
        <v>#DIV/0!</v>
      </c>
      <c r="AD14" s="3">
        <v>0</v>
      </c>
      <c r="AE14" s="6">
        <v>0</v>
      </c>
      <c r="AF14" s="3" t="e">
        <f t="shared" si="25"/>
        <v>#DIV/0!</v>
      </c>
      <c r="AG14" s="3">
        <v>0</v>
      </c>
      <c r="AH14" s="6">
        <v>0</v>
      </c>
      <c r="AI14" s="3">
        <f t="shared" si="26"/>
        <v>2421.25</v>
      </c>
      <c r="AJ14" s="3">
        <v>11622</v>
      </c>
      <c r="AK14" s="6">
        <v>4.8</v>
      </c>
      <c r="AL14" s="3" t="e">
        <f t="shared" si="27"/>
        <v>#DIV/0!</v>
      </c>
      <c r="AM14" s="3">
        <v>0</v>
      </c>
      <c r="AN14" s="6">
        <v>0</v>
      </c>
      <c r="AO14" s="3">
        <f t="shared" si="12"/>
        <v>2378.8059701492539</v>
      </c>
      <c r="AP14" s="3">
        <f t="shared" si="14"/>
        <v>15938</v>
      </c>
      <c r="AQ14" s="6">
        <f t="shared" si="15"/>
        <v>6.6999999999999993</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43</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f t="shared" si="26"/>
        <v>718.21678321678314</v>
      </c>
      <c r="AJ15" s="3">
        <v>20541</v>
      </c>
      <c r="AK15" s="6">
        <v>28.6</v>
      </c>
      <c r="AL15" s="3" t="e">
        <f t="shared" si="27"/>
        <v>#DIV/0!</v>
      </c>
      <c r="AM15" s="3">
        <v>0</v>
      </c>
      <c r="AN15" s="6">
        <v>0</v>
      </c>
      <c r="AO15" s="3">
        <f t="shared" si="12"/>
        <v>718.21678321678314</v>
      </c>
      <c r="AP15" s="3">
        <f t="shared" si="14"/>
        <v>20541</v>
      </c>
      <c r="AQ15" s="6">
        <f t="shared" si="15"/>
        <v>28.6</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35</v>
      </c>
      <c r="B16" s="14"/>
      <c r="C16" s="14"/>
      <c r="D16" s="14"/>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f t="shared" si="22"/>
        <v>718.11023622047253</v>
      </c>
      <c r="X16" s="3">
        <v>100320</v>
      </c>
      <c r="Y16" s="6">
        <v>139.69999999999999</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718.11023622047253</v>
      </c>
      <c r="AP16" s="3">
        <f t="shared" si="14"/>
        <v>100320</v>
      </c>
      <c r="AQ16" s="6">
        <f t="shared" si="15"/>
        <v>139.69999999999999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34</v>
      </c>
      <c r="B17" s="14"/>
      <c r="C17" s="14"/>
      <c r="D17" s="14"/>
      <c r="E17" s="3" t="e">
        <f t="shared" si="16"/>
        <v>#DIV/0!</v>
      </c>
      <c r="F17" s="3">
        <v>0</v>
      </c>
      <c r="G17" s="6">
        <v>0</v>
      </c>
      <c r="H17" s="3">
        <f t="shared" si="17"/>
        <v>1038.8425925925926</v>
      </c>
      <c r="I17" s="3">
        <v>22439</v>
      </c>
      <c r="J17" s="6">
        <v>21.6</v>
      </c>
      <c r="K17" s="3">
        <f t="shared" si="18"/>
        <v>717.22972972972968</v>
      </c>
      <c r="L17" s="3">
        <v>10615</v>
      </c>
      <c r="M17" s="6">
        <v>14.8</v>
      </c>
      <c r="N17" s="3">
        <f t="shared" si="19"/>
        <v>943.130081300813</v>
      </c>
      <c r="O17" s="3">
        <v>23201</v>
      </c>
      <c r="P17" s="6">
        <v>24.6</v>
      </c>
      <c r="Q17" s="3">
        <f t="shared" si="20"/>
        <v>1023.956043956044</v>
      </c>
      <c r="R17" s="3">
        <v>18636</v>
      </c>
      <c r="S17" s="6">
        <v>18.2</v>
      </c>
      <c r="T17" s="3">
        <f t="shared" si="21"/>
        <v>2264.3283582089553</v>
      </c>
      <c r="U17" s="3">
        <v>15171</v>
      </c>
      <c r="V17" s="6">
        <v>6.7</v>
      </c>
      <c r="W17" s="3">
        <f t="shared" si="22"/>
        <v>2198.2894736842104</v>
      </c>
      <c r="X17" s="3">
        <v>16707</v>
      </c>
      <c r="Y17" s="6">
        <v>7.6</v>
      </c>
      <c r="Z17" s="3">
        <f t="shared" si="23"/>
        <v>1111.0945273631839</v>
      </c>
      <c r="AA17" s="3">
        <v>22333</v>
      </c>
      <c r="AB17" s="6">
        <v>20.100000000000001</v>
      </c>
      <c r="AC17" s="3" t="e">
        <f t="shared" si="24"/>
        <v>#DIV/0!</v>
      </c>
      <c r="AD17" s="3">
        <v>0</v>
      </c>
      <c r="AE17" s="6">
        <v>0</v>
      </c>
      <c r="AF17" s="3">
        <f t="shared" si="25"/>
        <v>719.75155279503099</v>
      </c>
      <c r="AG17" s="3">
        <v>11588</v>
      </c>
      <c r="AH17" s="6">
        <v>16.100000000000001</v>
      </c>
      <c r="AI17" s="3" t="e">
        <f t="shared" si="26"/>
        <v>#DIV/0!</v>
      </c>
      <c r="AJ17" s="3">
        <v>0</v>
      </c>
      <c r="AK17" s="6">
        <v>0</v>
      </c>
      <c r="AL17" s="3" t="e">
        <f t="shared" si="27"/>
        <v>#DIV/0!</v>
      </c>
      <c r="AM17" s="3">
        <v>0</v>
      </c>
      <c r="AN17" s="6">
        <v>0</v>
      </c>
      <c r="AO17" s="3">
        <f t="shared" si="12"/>
        <v>1084.7340015420202</v>
      </c>
      <c r="AP17" s="3">
        <f t="shared" si="14"/>
        <v>140690</v>
      </c>
      <c r="AQ17" s="6">
        <f t="shared" si="15"/>
        <v>129.69999999999999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44</v>
      </c>
      <c r="B18" s="14"/>
      <c r="C18" s="14"/>
      <c r="D18" s="14"/>
      <c r="E18" s="3" t="e">
        <f t="shared" si="16"/>
        <v>#DIV/0!</v>
      </c>
      <c r="F18" s="3">
        <v>0</v>
      </c>
      <c r="G18" s="6">
        <v>0</v>
      </c>
      <c r="H18" s="3" t="e">
        <f t="shared" si="17"/>
        <v>#DIV/0!</v>
      </c>
      <c r="I18" s="3">
        <v>0</v>
      </c>
      <c r="J18" s="6">
        <v>0</v>
      </c>
      <c r="K18" s="3" t="e">
        <f t="shared" si="18"/>
        <v>#DIV/0!</v>
      </c>
      <c r="L18" s="3">
        <v>0</v>
      </c>
      <c r="M18" s="6">
        <v>0</v>
      </c>
      <c r="N18" s="3" t="e">
        <f t="shared" si="19"/>
        <v>#DIV/0!</v>
      </c>
      <c r="O18" s="3">
        <v>0</v>
      </c>
      <c r="P18" s="6">
        <v>0</v>
      </c>
      <c r="Q18" s="3" t="e">
        <f t="shared" si="20"/>
        <v>#DIV/0!</v>
      </c>
      <c r="R18" s="3">
        <v>0</v>
      </c>
      <c r="S18" s="6">
        <v>0</v>
      </c>
      <c r="T18" s="3" t="e">
        <f t="shared" si="21"/>
        <v>#DIV/0!</v>
      </c>
      <c r="U18" s="3">
        <v>0</v>
      </c>
      <c r="V18" s="6">
        <v>0</v>
      </c>
      <c r="W18" s="3" t="e">
        <f t="shared" si="22"/>
        <v>#DIV/0!</v>
      </c>
      <c r="X18" s="3">
        <v>0</v>
      </c>
      <c r="Y18" s="6">
        <v>0</v>
      </c>
      <c r="Z18" s="3">
        <f t="shared" si="23"/>
        <v>717.72151898734182</v>
      </c>
      <c r="AA18" s="3">
        <v>34020</v>
      </c>
      <c r="AB18" s="6">
        <v>47.4</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717.72151898734182</v>
      </c>
      <c r="AP18" s="3">
        <f t="shared" si="14"/>
        <v>34020</v>
      </c>
      <c r="AQ18" s="6">
        <f t="shared" si="15"/>
        <v>47.4</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26</v>
      </c>
      <c r="B19" s="14"/>
      <c r="C19" s="14"/>
      <c r="D19" s="14"/>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f t="shared" si="23"/>
        <v>724.7619047619047</v>
      </c>
      <c r="AA19" s="3">
        <v>3044</v>
      </c>
      <c r="AB19" s="6">
        <v>4.2</v>
      </c>
      <c r="AC19" s="3" t="e">
        <f t="shared" si="24"/>
        <v>#DIV/0!</v>
      </c>
      <c r="AD19" s="3">
        <v>0</v>
      </c>
      <c r="AE19" s="6">
        <v>0</v>
      </c>
      <c r="AF19" s="3" t="e">
        <f t="shared" si="25"/>
        <v>#DIV/0!</v>
      </c>
      <c r="AG19" s="3">
        <v>0</v>
      </c>
      <c r="AH19" s="6">
        <v>0</v>
      </c>
      <c r="AI19" s="3" t="e">
        <f t="shared" si="26"/>
        <v>#DIV/0!</v>
      </c>
      <c r="AJ19" s="3">
        <v>0</v>
      </c>
      <c r="AK19" s="6">
        <v>0</v>
      </c>
      <c r="AL19" s="3" t="e">
        <f t="shared" si="27"/>
        <v>#DIV/0!</v>
      </c>
      <c r="AM19" s="3">
        <v>0</v>
      </c>
      <c r="AN19" s="6">
        <v>0</v>
      </c>
      <c r="AO19" s="3">
        <f t="shared" si="12"/>
        <v>724.7619047619047</v>
      </c>
      <c r="AP19" s="3">
        <f t="shared" si="14"/>
        <v>3044</v>
      </c>
      <c r="AQ19" s="6">
        <f t="shared" si="15"/>
        <v>4.2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11" t="s">
        <v>45</v>
      </c>
      <c r="B20" s="15"/>
      <c r="C20" s="15"/>
      <c r="D20" s="15"/>
      <c r="E20" s="12" t="e">
        <f t="shared" si="16"/>
        <v>#DIV/0!</v>
      </c>
      <c r="F20" s="7">
        <v>0</v>
      </c>
      <c r="G20" s="8">
        <v>0</v>
      </c>
      <c r="H20" s="7" t="e">
        <f t="shared" si="17"/>
        <v>#DIV/0!</v>
      </c>
      <c r="I20" s="7">
        <v>0</v>
      </c>
      <c r="J20" s="8">
        <v>0</v>
      </c>
      <c r="K20" s="7" t="e">
        <f t="shared" si="18"/>
        <v>#DIV/0!</v>
      </c>
      <c r="L20" s="7">
        <v>0</v>
      </c>
      <c r="M20" s="8">
        <v>0</v>
      </c>
      <c r="N20" s="7" t="e">
        <f t="shared" si="19"/>
        <v>#DIV/0!</v>
      </c>
      <c r="O20" s="7">
        <v>0</v>
      </c>
      <c r="P20" s="8">
        <v>0</v>
      </c>
      <c r="Q20" s="7" t="e">
        <f t="shared" si="20"/>
        <v>#DIV/0!</v>
      </c>
      <c r="R20" s="7">
        <v>0</v>
      </c>
      <c r="S20" s="8">
        <v>0</v>
      </c>
      <c r="T20" s="7" t="e">
        <f t="shared" si="21"/>
        <v>#DIV/0!</v>
      </c>
      <c r="U20" s="7">
        <v>0</v>
      </c>
      <c r="V20" s="8">
        <v>0</v>
      </c>
      <c r="W20" s="7">
        <f t="shared" si="22"/>
        <v>1261.7721518987341</v>
      </c>
      <c r="X20" s="7">
        <v>9968</v>
      </c>
      <c r="Y20" s="8">
        <v>7.9</v>
      </c>
      <c r="Z20" s="7">
        <f t="shared" si="23"/>
        <v>2186.0526315789475</v>
      </c>
      <c r="AA20" s="7">
        <v>8307</v>
      </c>
      <c r="AB20" s="8">
        <v>3.8</v>
      </c>
      <c r="AC20" s="7" t="e">
        <f t="shared" si="24"/>
        <v>#DIV/0!</v>
      </c>
      <c r="AD20" s="7">
        <v>0</v>
      </c>
      <c r="AE20" s="8">
        <v>0</v>
      </c>
      <c r="AF20" s="7" t="e">
        <f t="shared" si="25"/>
        <v>#DIV/0!</v>
      </c>
      <c r="AG20" s="7">
        <v>0</v>
      </c>
      <c r="AH20" s="8">
        <v>0</v>
      </c>
      <c r="AI20" s="7" t="e">
        <f t="shared" si="26"/>
        <v>#DIV/0!</v>
      </c>
      <c r="AJ20" s="7">
        <v>0</v>
      </c>
      <c r="AK20" s="8">
        <v>0</v>
      </c>
      <c r="AL20" s="7" t="e">
        <f t="shared" si="27"/>
        <v>#DIV/0!</v>
      </c>
      <c r="AM20" s="7">
        <v>0</v>
      </c>
      <c r="AN20" s="8">
        <v>0</v>
      </c>
      <c r="AO20" s="7">
        <f t="shared" si="12"/>
        <v>1561.965811965812</v>
      </c>
      <c r="AP20" s="7">
        <f t="shared" si="14"/>
        <v>18275</v>
      </c>
      <c r="AQ20" s="8">
        <f t="shared" si="15"/>
        <v>11.7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 t="s">
        <v>27</v>
      </c>
      <c r="B21" s="1"/>
    </row>
    <row r="22" spans="1:67" x14ac:dyDescent="0.3">
      <c r="A22" s="1" t="s">
        <v>36</v>
      </c>
      <c r="B22" s="1"/>
    </row>
    <row r="23" spans="1:67" x14ac:dyDescent="0.3">
      <c r="A23" s="1" t="s">
        <v>28</v>
      </c>
      <c r="B23" s="1"/>
    </row>
    <row r="24" spans="1:67" x14ac:dyDescent="0.3">
      <c r="A24" s="1" t="s">
        <v>29</v>
      </c>
      <c r="B24" s="1"/>
    </row>
    <row r="25" spans="1:67" x14ac:dyDescent="0.3">
      <c r="A25" s="1" t="s">
        <v>37</v>
      </c>
      <c r="B25" s="1"/>
    </row>
  </sheetData>
  <mergeCells count="16">
    <mergeCell ref="B3:B20"/>
    <mergeCell ref="C3:C20"/>
    <mergeCell ref="AO1:AQ1"/>
    <mergeCell ref="W1:Y1"/>
    <mergeCell ref="Z1:AB1"/>
    <mergeCell ref="AC1:AE1"/>
    <mergeCell ref="AF1:AH1"/>
    <mergeCell ref="AI1:AK1"/>
    <mergeCell ref="D3:D20"/>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2026-08-07T07:19:07Z</dcterms:modified>
</cp:coreProperties>
</file>