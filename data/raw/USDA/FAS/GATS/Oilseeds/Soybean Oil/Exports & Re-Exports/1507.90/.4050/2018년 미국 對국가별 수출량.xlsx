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18년" sheetId="1" r:id="rId1"/>
  </sheets>
  <calcPr calcId="162913"/>
</workbook>
</file>

<file path=xl/calcChain.xml><?xml version="1.0" encoding="utf-8"?>
<calcChain xmlns="http://schemas.openxmlformats.org/spreadsheetml/2006/main">
  <c r="AQ66" i="1" l="1"/>
  <c r="AP66" i="1"/>
  <c r="AQ65" i="1"/>
  <c r="AP65" i="1"/>
  <c r="AQ64" i="1"/>
  <c r="AP64" i="1"/>
  <c r="AQ63" i="1"/>
  <c r="AP63" i="1"/>
  <c r="AQ62" i="1"/>
  <c r="AP62"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Q4" i="1"/>
  <c r="AN3" i="1" l="1"/>
  <c r="AM3" i="1"/>
  <c r="AK3" i="1"/>
  <c r="AJ3" i="1"/>
  <c r="AH3" i="1"/>
  <c r="AG3" i="1"/>
  <c r="AB3" i="1"/>
  <c r="AA3" i="1"/>
  <c r="AE3" i="1"/>
  <c r="AD3" i="1"/>
  <c r="Y3" i="1"/>
  <c r="X3" i="1"/>
  <c r="V3" i="1"/>
  <c r="U3" i="1"/>
  <c r="S3" i="1"/>
  <c r="R3" i="1"/>
  <c r="P3" i="1"/>
  <c r="O3" i="1"/>
  <c r="M3" i="1"/>
  <c r="L3" i="1"/>
  <c r="J3" i="1"/>
  <c r="I3" i="1"/>
  <c r="G3" i="1"/>
  <c r="F3" i="1"/>
  <c r="AP4" i="1"/>
  <c r="AP3" i="1" l="1"/>
  <c r="AQ3" i="1"/>
  <c r="AL66" i="1"/>
  <c r="AL65" i="1"/>
  <c r="AL64" i="1"/>
  <c r="AL63" i="1"/>
  <c r="AL62" i="1"/>
  <c r="AL61" i="1"/>
  <c r="AL60" i="1"/>
  <c r="AL59" i="1"/>
  <c r="AL58" i="1"/>
  <c r="AL57" i="1"/>
  <c r="AL56" i="1"/>
  <c r="AL55" i="1"/>
  <c r="AL54" i="1"/>
  <c r="AL53" i="1"/>
  <c r="AL52" i="1"/>
  <c r="AL51" i="1"/>
  <c r="AL50" i="1"/>
  <c r="AL49" i="1"/>
  <c r="AL48" i="1"/>
  <c r="AL47" i="1"/>
  <c r="AL46" i="1"/>
  <c r="AL45" i="1"/>
  <c r="AI66" i="1"/>
  <c r="AI65" i="1"/>
  <c r="AI64" i="1"/>
  <c r="AI63" i="1"/>
  <c r="AI62" i="1"/>
  <c r="AI61" i="1"/>
  <c r="AI60" i="1"/>
  <c r="AI59" i="1"/>
  <c r="AI58" i="1"/>
  <c r="AI57" i="1"/>
  <c r="AI56" i="1"/>
  <c r="AI55" i="1"/>
  <c r="AI54" i="1"/>
  <c r="AI53" i="1"/>
  <c r="AI52" i="1"/>
  <c r="AI51" i="1"/>
  <c r="AI50" i="1"/>
  <c r="AI49" i="1"/>
  <c r="AI48" i="1"/>
  <c r="AI47" i="1"/>
  <c r="AI46" i="1"/>
  <c r="AI45" i="1"/>
  <c r="AF66" i="1"/>
  <c r="AF65" i="1"/>
  <c r="AF64" i="1"/>
  <c r="AF63" i="1"/>
  <c r="AF62" i="1"/>
  <c r="AF61" i="1"/>
  <c r="AF60" i="1"/>
  <c r="AF59" i="1"/>
  <c r="AF58" i="1"/>
  <c r="AF57" i="1"/>
  <c r="AF56" i="1"/>
  <c r="AF55" i="1"/>
  <c r="AF54" i="1"/>
  <c r="AF53" i="1"/>
  <c r="AF52" i="1"/>
  <c r="AF51" i="1"/>
  <c r="AF50" i="1"/>
  <c r="AF49" i="1"/>
  <c r="AF48" i="1"/>
  <c r="AF47" i="1"/>
  <c r="AF46" i="1"/>
  <c r="AF45" i="1"/>
  <c r="AC66" i="1"/>
  <c r="AC65" i="1"/>
  <c r="AC64" i="1"/>
  <c r="AC63" i="1"/>
  <c r="AC62" i="1"/>
  <c r="AC61" i="1"/>
  <c r="AC60" i="1"/>
  <c r="AC59" i="1"/>
  <c r="AC58" i="1"/>
  <c r="AC57" i="1"/>
  <c r="AC56" i="1"/>
  <c r="AC55" i="1"/>
  <c r="AC54" i="1"/>
  <c r="AC53" i="1"/>
  <c r="AC52" i="1"/>
  <c r="AC51" i="1"/>
  <c r="AC50" i="1"/>
  <c r="AC49" i="1"/>
  <c r="AC48" i="1"/>
  <c r="AC47" i="1"/>
  <c r="AC46" i="1"/>
  <c r="AC45" i="1"/>
  <c r="Z66" i="1"/>
  <c r="Z65" i="1"/>
  <c r="Z64" i="1"/>
  <c r="Z63" i="1"/>
  <c r="Z62" i="1"/>
  <c r="Z61" i="1"/>
  <c r="Z60" i="1"/>
  <c r="Z59" i="1"/>
  <c r="Z58" i="1"/>
  <c r="Z57" i="1"/>
  <c r="Z56" i="1"/>
  <c r="Z55" i="1"/>
  <c r="Z54" i="1"/>
  <c r="Z53" i="1"/>
  <c r="Z52" i="1"/>
  <c r="Z51" i="1"/>
  <c r="Z50" i="1"/>
  <c r="Z49" i="1"/>
  <c r="Z48" i="1"/>
  <c r="Z47" i="1"/>
  <c r="Z46" i="1"/>
  <c r="Z45" i="1"/>
  <c r="W66" i="1"/>
  <c r="W65" i="1"/>
  <c r="W64" i="1"/>
  <c r="W63" i="1"/>
  <c r="W62" i="1"/>
  <c r="W61" i="1"/>
  <c r="W60" i="1"/>
  <c r="W59" i="1"/>
  <c r="W58" i="1"/>
  <c r="W57" i="1"/>
  <c r="W56" i="1"/>
  <c r="W55" i="1"/>
  <c r="W54" i="1"/>
  <c r="W53" i="1"/>
  <c r="W52" i="1"/>
  <c r="W51" i="1"/>
  <c r="W50" i="1"/>
  <c r="W49" i="1"/>
  <c r="W48" i="1"/>
  <c r="W47" i="1"/>
  <c r="W46" i="1"/>
  <c r="W45" i="1"/>
  <c r="T66" i="1"/>
  <c r="T65" i="1"/>
  <c r="T64" i="1"/>
  <c r="T63" i="1"/>
  <c r="T62" i="1"/>
  <c r="T61" i="1"/>
  <c r="T60" i="1"/>
  <c r="T59" i="1"/>
  <c r="T58" i="1"/>
  <c r="T57" i="1"/>
  <c r="T56" i="1"/>
  <c r="T55" i="1"/>
  <c r="T54" i="1"/>
  <c r="T53" i="1"/>
  <c r="T52" i="1"/>
  <c r="T51" i="1"/>
  <c r="T50" i="1"/>
  <c r="T49" i="1"/>
  <c r="T48" i="1"/>
  <c r="T47" i="1"/>
  <c r="T46" i="1"/>
  <c r="T45" i="1"/>
  <c r="Q66" i="1"/>
  <c r="Q65" i="1"/>
  <c r="Q64" i="1"/>
  <c r="Q63" i="1"/>
  <c r="Q62" i="1"/>
  <c r="Q61" i="1"/>
  <c r="Q60" i="1"/>
  <c r="Q59" i="1"/>
  <c r="Q58" i="1"/>
  <c r="Q57" i="1"/>
  <c r="Q56" i="1"/>
  <c r="Q55" i="1"/>
  <c r="Q54" i="1"/>
  <c r="Q53" i="1"/>
  <c r="Q52" i="1"/>
  <c r="Q51" i="1"/>
  <c r="Q50" i="1"/>
  <c r="Q49" i="1"/>
  <c r="Q48" i="1"/>
  <c r="Q47" i="1"/>
  <c r="Q46" i="1"/>
  <c r="Q45" i="1"/>
  <c r="N66" i="1"/>
  <c r="N65" i="1"/>
  <c r="N64" i="1"/>
  <c r="N63" i="1"/>
  <c r="N62" i="1"/>
  <c r="N61" i="1"/>
  <c r="N60" i="1"/>
  <c r="N59" i="1"/>
  <c r="N58" i="1"/>
  <c r="N57" i="1"/>
  <c r="N56" i="1"/>
  <c r="N55" i="1"/>
  <c r="N54" i="1"/>
  <c r="N53" i="1"/>
  <c r="N52" i="1"/>
  <c r="N51" i="1"/>
  <c r="N50" i="1"/>
  <c r="N49" i="1"/>
  <c r="N48" i="1"/>
  <c r="N47" i="1"/>
  <c r="N46" i="1"/>
  <c r="N45" i="1"/>
  <c r="K66" i="1"/>
  <c r="K65" i="1"/>
  <c r="K64" i="1"/>
  <c r="K63" i="1"/>
  <c r="K62" i="1"/>
  <c r="K61" i="1"/>
  <c r="K60" i="1"/>
  <c r="K59" i="1"/>
  <c r="K58" i="1"/>
  <c r="K57" i="1"/>
  <c r="K56" i="1"/>
  <c r="K55" i="1"/>
  <c r="K54" i="1"/>
  <c r="K53" i="1"/>
  <c r="K52" i="1"/>
  <c r="K51" i="1"/>
  <c r="K50" i="1"/>
  <c r="K49" i="1"/>
  <c r="K48" i="1"/>
  <c r="K47" i="1"/>
  <c r="K46" i="1"/>
  <c r="K45" i="1"/>
  <c r="H66" i="1"/>
  <c r="H65" i="1"/>
  <c r="H64" i="1"/>
  <c r="H63" i="1"/>
  <c r="H62" i="1"/>
  <c r="H61" i="1"/>
  <c r="H60" i="1"/>
  <c r="H59" i="1"/>
  <c r="H58" i="1"/>
  <c r="H57" i="1"/>
  <c r="H56" i="1"/>
  <c r="H55" i="1"/>
  <c r="H54" i="1"/>
  <c r="H53" i="1"/>
  <c r="H52" i="1"/>
  <c r="H51" i="1"/>
  <c r="H50" i="1"/>
  <c r="H49" i="1"/>
  <c r="H48" i="1"/>
  <c r="H47" i="1"/>
  <c r="H46" i="1"/>
  <c r="H45" i="1"/>
  <c r="E66" i="1"/>
  <c r="E65" i="1"/>
  <c r="E64" i="1"/>
  <c r="E63" i="1"/>
  <c r="E62" i="1"/>
  <c r="E61" i="1"/>
  <c r="E60" i="1"/>
  <c r="E59" i="1"/>
  <c r="E58" i="1"/>
  <c r="E57" i="1"/>
  <c r="E56" i="1"/>
  <c r="E55" i="1"/>
  <c r="E54" i="1"/>
  <c r="E53" i="1"/>
  <c r="E52" i="1"/>
  <c r="E51" i="1"/>
  <c r="E50" i="1"/>
  <c r="E49" i="1"/>
  <c r="E48" i="1"/>
  <c r="E47" i="1"/>
  <c r="E46" i="1"/>
  <c r="E45" i="1"/>
  <c r="AO50" i="1" l="1"/>
  <c r="AO62" i="1"/>
  <c r="AO46" i="1"/>
  <c r="AO54" i="1"/>
  <c r="AO58" i="1"/>
  <c r="AO66" i="1"/>
  <c r="AO45" i="1"/>
  <c r="AO49" i="1"/>
  <c r="AO53" i="1"/>
  <c r="AO57" i="1"/>
  <c r="AO65" i="1"/>
  <c r="AO61" i="1"/>
  <c r="AO63" i="1"/>
  <c r="AO55" i="1"/>
  <c r="AO47" i="1"/>
  <c r="AO59" i="1"/>
  <c r="AO51" i="1"/>
  <c r="AO52" i="1"/>
  <c r="AO64" i="1"/>
  <c r="AO48" i="1"/>
  <c r="AO60" i="1"/>
  <c r="AO56"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<sst xmlns="http://schemas.openxmlformats.org/spreadsheetml/2006/main" count="128" uniqueCount="92">
  <si>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</si>
  <si>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</si>
  <si>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</si>
  <si>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</si>
  <si>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</si>
  <si>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</si>
  <si>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</si>
  <si>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</si>
  <si>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</si>
  <si>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</si>
  <si>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</si>
  <si>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</si>
  <si>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</si>
  <si>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</si>
  <si>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</si>
  <si>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</si>
  <si>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</si>
  <si>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</si>
  <si>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</si>
  <si>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</si>
  <si>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</si>
  <si>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</si>
  <si>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</si>
  <si>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</si>
  <si>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</si>
  <si>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</si>
  <si>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</si>
  <si>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</si>
  <si>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</si>
  <si>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</si>
  <si>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</si>
  <si>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El Salvador</t>
  </si>
  <si>
    <t>Guatemala</t>
  </si>
  <si>
    <t>Honduras</t>
  </si>
  <si>
    <t>Italy(*)</t>
  </si>
  <si>
    <t>Japan</t>
  </si>
  <si>
    <t>Netherlands</t>
  </si>
  <si>
    <t>Nicaragua</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</si>
  <si>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</si>
  <si>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</si>
  <si>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</si>
  <si>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</si>
  <si>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</si>
  <si>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</si>
  <si>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</si>
  <si>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</si>
  <si>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</si>
  <si>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</si>
  <si>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</si>
  <si>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</si>
  <si>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</si>
  <si>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</si>
  <si>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</si>
  <si>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Singapore</t>
  </si>
  <si>
    <t>Saudi Arabia</t>
  </si>
  <si>
    <t>Kuwait</t>
  </si>
  <si>
    <t>Chile</t>
  </si>
  <si>
    <t>Lebanon</t>
  </si>
  <si>
    <t>Qatar</t>
  </si>
  <si>
    <t>India</t>
  </si>
  <si>
    <t>Cayman Islands</t>
  </si>
  <si>
    <t>Bermuda</t>
  </si>
  <si>
    <t>Belgium-Luxembourg(*)</t>
  </si>
  <si>
    <t>Bangladesh</t>
  </si>
  <si>
    <t>Brazil</t>
  </si>
  <si>
    <t>Brunei</t>
  </si>
  <si>
    <t>Cuba</t>
  </si>
  <si>
    <t>Equatorial Guinea</t>
  </si>
  <si>
    <t>France(*)</t>
  </si>
  <si>
    <t>Iceland</t>
  </si>
  <si>
    <t>Indonesia</t>
  </si>
  <si>
    <t>Iraq</t>
  </si>
  <si>
    <t>Peru</t>
  </si>
  <si>
    <t>Philippines</t>
  </si>
  <si>
    <t>Russia</t>
  </si>
  <si>
    <t>United Kingdom</t>
  </si>
  <si>
    <t>1. Data Source: U.S. Census Bureau Trade Data</t>
  </si>
  <si>
    <t>4. Product Group : Harmonized</t>
  </si>
  <si>
    <t>Product</t>
    <phoneticPr fontId="18" type="noConversion"/>
  </si>
  <si>
    <t>SOY OIL FLY-RFND</t>
    <phoneticPr fontId="18" type="noConversion"/>
  </si>
  <si>
    <t>Congo (Kinshasa)</t>
  </si>
  <si>
    <t>Oman</t>
  </si>
  <si>
    <t>Denmark</t>
  </si>
  <si>
    <t>Ecuador</t>
  </si>
  <si>
    <t>Egypt</t>
  </si>
  <si>
    <t>Hungary</t>
  </si>
  <si>
    <t>Norway(*)</t>
  </si>
  <si>
    <t>New Zealand(*)</t>
  </si>
  <si>
    <t>Marshall Islands</t>
  </si>
  <si>
    <t>Turks and Caicos Islands</t>
  </si>
  <si>
    <t>Ukraine</t>
  </si>
  <si>
    <t>French Pacific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</si>
</sst>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21" xfId="0"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0" fontId="0" fillId="0" borderId="0" xfId="0" applyBorder="1">
      <alignment vertical="center"/>
    </xf>
    <xf numFmtId="49" fontId="0" fillId="0" borderId="0" xfId="0" applyNumberFormat="1" applyBorder="1">
      <alignment vertical="center"/>
    </xf>
    <xf numFmtId="49" fontId="0" fillId="0" borderId="23"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1"/>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8" t="s">
        <v>0</v>
      </c>
      <c r="F1" s="29"/>
      <c r="G1" s="30"/>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44</v>
      </c>
      <c r="B2" s="2" t="s">
        <v>78</v>
      </c>
      <c r="C2" s="2" t="s">
        <v>13</v>
      </c>
      <c r="D2" s="2" t="s">
        <v>45</v>
      </c>
      <c r="E2" s="4" t="s">
        <v>14</v>
      </c>
      <c r="F2" s="2" t="s">
        <v>45</v>
      </c>
      <c r="G2" s="5" t="s">
        <v>15</v>
      </c>
      <c r="H2" s="2" t="s">
        <v>14</v>
      </c>
      <c r="I2" s="2" t="s">
        <v>45</v>
      </c>
      <c r="J2" s="5" t="s">
        <v>15</v>
      </c>
      <c r="K2" s="2" t="s">
        <v>14</v>
      </c>
      <c r="L2" s="2" t="s">
        <v>45</v>
      </c>
      <c r="M2" s="5" t="s">
        <v>15</v>
      </c>
      <c r="N2" s="2" t="s">
        <v>14</v>
      </c>
      <c r="O2" s="2" t="s">
        <v>45</v>
      </c>
      <c r="P2" s="5" t="s">
        <v>15</v>
      </c>
      <c r="Q2" s="2" t="s">
        <v>14</v>
      </c>
      <c r="R2" s="2" t="s">
        <v>45</v>
      </c>
      <c r="S2" s="5" t="s">
        <v>15</v>
      </c>
      <c r="T2" s="2" t="s">
        <v>14</v>
      </c>
      <c r="U2" s="2" t="s">
        <v>45</v>
      </c>
      <c r="V2" s="5" t="s">
        <v>15</v>
      </c>
      <c r="W2" s="2" t="s">
        <v>14</v>
      </c>
      <c r="X2" s="2" t="s">
        <v>45</v>
      </c>
      <c r="Y2" s="5" t="s">
        <v>15</v>
      </c>
      <c r="Z2" s="2" t="s">
        <v>14</v>
      </c>
      <c r="AA2" s="2" t="s">
        <v>45</v>
      </c>
      <c r="AB2" s="5" t="s">
        <v>15</v>
      </c>
      <c r="AC2" s="2" t="s">
        <v>14</v>
      </c>
      <c r="AD2" s="2" t="s">
        <v>45</v>
      </c>
      <c r="AE2" s="5" t="s">
        <v>15</v>
      </c>
      <c r="AF2" s="2" t="s">
        <v>14</v>
      </c>
      <c r="AG2" s="2" t="s">
        <v>45</v>
      </c>
      <c r="AH2" s="5" t="s">
        <v>15</v>
      </c>
      <c r="AI2" s="2" t="s">
        <v>14</v>
      </c>
      <c r="AJ2" s="2" t="s">
        <v>45</v>
      </c>
      <c r="AK2" s="5" t="s">
        <v>15</v>
      </c>
      <c r="AL2" s="2" t="s">
        <v>14</v>
      </c>
      <c r="AM2" s="2" t="s">
        <v>45</v>
      </c>
      <c r="AN2" s="5" t="s">
        <v>15</v>
      </c>
      <c r="AO2" s="2" t="s">
        <v>14</v>
      </c>
      <c r="AP2" s="2" t="s">
        <v>47</v>
      </c>
      <c r="AQ2" s="5" t="s">
        <v>15</v>
      </c>
    </row>
    <row r="3" spans="1:67" ht="15" customHeight="1" x14ac:dyDescent="0.3">
      <c r="A3" s="20" t="s">
        <v>16</v>
      </c>
      <c r="B3" s="22" t="s">
        <v>79</v>
      </c>
      <c r="C3" s="22" t="s">
        <v>17</v>
      </c>
      <c r="D3" s="22" t="s">
        <v>46</v>
      </c>
      <c r="E3" s="17">
        <f>F3/G3</f>
        <v>971.83823529411723</v>
      </c>
      <c r="F3" s="17">
        <f>SUM(F4:F66)</f>
        <v>13283085</v>
      </c>
      <c r="G3" s="18">
        <f>SUM(G4:G66)</f>
        <v>13668.000000000005</v>
      </c>
      <c r="H3" s="17">
        <f>I3/J3</f>
        <v>963.53989155693273</v>
      </c>
      <c r="I3" s="17">
        <f>SUM(I4:I66)</f>
        <v>12439300</v>
      </c>
      <c r="J3" s="18">
        <f>SUM(J4:J66)</f>
        <v>12909.999999999998</v>
      </c>
      <c r="K3" s="17">
        <f>L3/M3</f>
        <v>914.71448735141837</v>
      </c>
      <c r="L3" s="17">
        <f>SUM(L4:L66)</f>
        <v>25987313</v>
      </c>
      <c r="M3" s="18">
        <f>SUM(M4:M66)</f>
        <v>28410.3</v>
      </c>
      <c r="N3" s="17">
        <f>O3/P3</f>
        <v>932.78522766673245</v>
      </c>
      <c r="O3" s="17">
        <f>SUM(O4:O66)</f>
        <v>19908062</v>
      </c>
      <c r="P3" s="18">
        <f>SUM(P4:P66)</f>
        <v>21342.599999999995</v>
      </c>
      <c r="Q3" s="17">
        <f>R3/S3</f>
        <v>914.10510742745691</v>
      </c>
      <c r="R3" s="17">
        <f>SUM(R4:R66)</f>
        <v>21749120</v>
      </c>
      <c r="S3" s="18">
        <f>SUM(S4:S66)</f>
        <v>23792.800000000003</v>
      </c>
      <c r="T3" s="17">
        <f>U3/V3</f>
        <v>954.06032312914829</v>
      </c>
      <c r="U3" s="17">
        <f>SUM(U4:U66)</f>
        <v>15654508</v>
      </c>
      <c r="V3" s="18">
        <f>SUM(V4:V66)</f>
        <v>16408.299999999996</v>
      </c>
      <c r="W3" s="17">
        <f>X3/Y3</f>
        <v>1032.1799416180149</v>
      </c>
      <c r="X3" s="17">
        <f>SUM(X4:X66)</f>
        <v>17821206</v>
      </c>
      <c r="Y3" s="18">
        <f>SUM(Y4:Y66)</f>
        <v>17265.600000000002</v>
      </c>
      <c r="Z3" s="17">
        <f>AA3/AB3</f>
        <v>1178.7048249056324</v>
      </c>
      <c r="AA3" s="17">
        <f>SUM(AA4:AA66)</f>
        <v>18923163</v>
      </c>
      <c r="AB3" s="18">
        <f>SUM(AB4:AB66)</f>
        <v>16054.199999999997</v>
      </c>
      <c r="AC3" s="17">
        <f>AD3/AE3</f>
        <v>1092.4788172556871</v>
      </c>
      <c r="AD3" s="17">
        <f>SUM(AD4:AD66)</f>
        <v>14402039</v>
      </c>
      <c r="AE3" s="18">
        <f>SUM(AE4:AE66)</f>
        <v>13182.900000000003</v>
      </c>
      <c r="AF3" s="17">
        <f>AG3/AH3</f>
        <v>1131.2665883908398</v>
      </c>
      <c r="AG3" s="17">
        <f>SUM(AG4:AG66)</f>
        <v>11465500</v>
      </c>
      <c r="AH3" s="18">
        <f>SUM(AH4:AH66)</f>
        <v>10135.099999999999</v>
      </c>
      <c r="AI3" s="17">
        <f>AJ3/AK3</f>
        <v>1137.0606559175164</v>
      </c>
      <c r="AJ3" s="17">
        <f>SUM(AJ4:AJ66)</f>
        <v>10366582</v>
      </c>
      <c r="AK3" s="18">
        <f>SUM(AK4:AK66)</f>
        <v>9117.0000000000018</v>
      </c>
      <c r="AL3" s="17">
        <f>AM3/AN3</f>
        <v>1077.461314590083</v>
      </c>
      <c r="AM3" s="17">
        <f>SUM(AM4:AM66)</f>
        <v>9810824</v>
      </c>
      <c r="AN3" s="18">
        <f>SUM(AN4:AN66)</f>
        <v>9105.5</v>
      </c>
      <c r="AO3" s="17">
        <f>AP3/AQ3</f>
        <v>1002.186096305859</v>
      </c>
      <c r="AP3" s="17">
        <f>SUM(AP4:AP66)</f>
        <v>191810702</v>
      </c>
      <c r="AQ3" s="18">
        <f>SUM(AQ4:AQ66)</f>
        <v>191392.30000000013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21" t="s">
        <v>25</v>
      </c>
      <c r="B4" s="23"/>
      <c r="C4" s="23"/>
      <c r="D4" s="23"/>
      <c r="E4" s="3">
        <f t="shared" ref="E4:E11" si="0">F4/G4</f>
        <v>857.25893692795762</v>
      </c>
      <c r="F4" s="3">
        <v>7052755</v>
      </c>
      <c r="G4" s="6">
        <v>8227.1</v>
      </c>
      <c r="H4" s="3">
        <f t="shared" ref="H4:H11" si="1">I4/J4</f>
        <v>834.93526080646541</v>
      </c>
      <c r="I4" s="3">
        <v>5868092</v>
      </c>
      <c r="J4" s="6">
        <v>7028.2</v>
      </c>
      <c r="K4" s="3">
        <f t="shared" ref="K4:K11" si="2">L4/M4</f>
        <v>820.04735858359982</v>
      </c>
      <c r="L4" s="3">
        <v>7151387</v>
      </c>
      <c r="M4" s="6">
        <v>8720.7000000000007</v>
      </c>
      <c r="N4" s="3">
        <f t="shared" ref="N4:N11" si="3">O4/P4</f>
        <v>894.82237752056483</v>
      </c>
      <c r="O4" s="3">
        <v>7375305</v>
      </c>
      <c r="P4" s="6">
        <v>8242.2000000000007</v>
      </c>
      <c r="Q4" s="3">
        <f t="shared" ref="Q4:Q11" si="4">R4/S4</f>
        <v>844.50619681508431</v>
      </c>
      <c r="R4" s="3">
        <v>7175178</v>
      </c>
      <c r="S4" s="6">
        <v>8496.2999999999993</v>
      </c>
      <c r="T4" s="3">
        <f t="shared" ref="T4:T11" si="5">U4/V4</f>
        <v>859.01883957935763</v>
      </c>
      <c r="U4" s="3">
        <v>8462710</v>
      </c>
      <c r="V4" s="6">
        <v>9851.6</v>
      </c>
      <c r="W4" s="3">
        <f t="shared" ref="W4:W11" si="6">X4/Y4</f>
        <v>1138.7101505619567</v>
      </c>
      <c r="X4" s="3">
        <v>6443733</v>
      </c>
      <c r="Y4" s="6">
        <v>5658.8</v>
      </c>
      <c r="Z4" s="3">
        <f t="shared" ref="Z4:Z11" si="7">AA4/AB4</f>
        <v>1331.0425302603217</v>
      </c>
      <c r="AA4" s="3">
        <v>9633021</v>
      </c>
      <c r="AB4" s="6">
        <v>7237.2</v>
      </c>
      <c r="AC4" s="3">
        <f t="shared" ref="AC4:AC11" si="8">AD4/AE4</f>
        <v>1189.9645566816193</v>
      </c>
      <c r="AD4" s="3">
        <v>4297438</v>
      </c>
      <c r="AE4" s="6">
        <v>3611.4</v>
      </c>
      <c r="AF4" s="3">
        <f t="shared" ref="AF4:AF11" si="9">AG4/AH4</f>
        <v>1308.4393568682278</v>
      </c>
      <c r="AG4" s="3">
        <v>3743445</v>
      </c>
      <c r="AH4" s="6">
        <v>2861</v>
      </c>
      <c r="AI4" s="3">
        <f t="shared" ref="AI4:AI11" si="10">AJ4/AK4</f>
        <v>1059.4506542100623</v>
      </c>
      <c r="AJ4" s="3">
        <v>4445349</v>
      </c>
      <c r="AK4" s="6">
        <v>4195.8999999999996</v>
      </c>
      <c r="AL4" s="3">
        <f t="shared" ref="AL4:AL11" si="11">AM4/AN4</f>
        <v>981.22490252903276</v>
      </c>
      <c r="AM4" s="3">
        <v>4706249</v>
      </c>
      <c r="AN4" s="6">
        <v>4796.3</v>
      </c>
      <c r="AO4" s="3">
        <f t="shared" ref="AO4:AO66" si="12">AP4/AQ4</f>
        <v>967.41232054551881</v>
      </c>
      <c r="AP4" s="3">
        <f t="shared" ref="AP4:AQ4" si="13">SUM(F4,I4,L4,O4,R4,U4,X4,AA4,AD4,AG4,AJ4,AM4)</f>
        <v>76354662</v>
      </c>
      <c r="AQ4" s="6">
        <f t="shared" ref="AQ4:AQ66" si="14">SUM(G4,J4,M4,P4,S4,V4,Y4,AB4,AE4,AH4,AK4,AN4)</f>
        <v>78926.7</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20" t="s">
        <v>20</v>
      </c>
      <c r="B5" s="23"/>
      <c r="C5" s="23"/>
      <c r="D5" s="23"/>
      <c r="E5" s="3">
        <f t="shared" si="0"/>
        <v>1102.8769360743452</v>
      </c>
      <c r="F5" s="3">
        <v>1958158</v>
      </c>
      <c r="G5" s="6">
        <v>1775.5</v>
      </c>
      <c r="H5" s="3">
        <f t="shared" si="1"/>
        <v>1127.7262977262978</v>
      </c>
      <c r="I5" s="3">
        <v>1577238</v>
      </c>
      <c r="J5" s="6">
        <v>1398.6</v>
      </c>
      <c r="K5" s="3">
        <f t="shared" si="2"/>
        <v>1118.5658536585365</v>
      </c>
      <c r="L5" s="3">
        <v>1834448</v>
      </c>
      <c r="M5" s="6">
        <v>1640</v>
      </c>
      <c r="N5" s="3">
        <f t="shared" si="3"/>
        <v>1080.5101551255398</v>
      </c>
      <c r="O5" s="3">
        <v>1351286</v>
      </c>
      <c r="P5" s="6">
        <v>1250.5999999999999</v>
      </c>
      <c r="Q5" s="3">
        <f t="shared" si="4"/>
        <v>1060.6623417390394</v>
      </c>
      <c r="R5" s="3">
        <v>2027350</v>
      </c>
      <c r="S5" s="6">
        <v>1911.4</v>
      </c>
      <c r="T5" s="3">
        <f t="shared" si="5"/>
        <v>1204.2239885865688</v>
      </c>
      <c r="U5" s="3">
        <v>1181705</v>
      </c>
      <c r="V5" s="6">
        <v>981.3</v>
      </c>
      <c r="W5" s="3">
        <f t="shared" si="6"/>
        <v>1109.2897727272727</v>
      </c>
      <c r="X5" s="3">
        <v>1952350</v>
      </c>
      <c r="Y5" s="6">
        <v>1760</v>
      </c>
      <c r="Z5" s="3">
        <f t="shared" si="7"/>
        <v>1286.1961074156195</v>
      </c>
      <c r="AA5" s="3">
        <v>1566201</v>
      </c>
      <c r="AB5" s="6">
        <v>1217.7</v>
      </c>
      <c r="AC5" s="3">
        <f t="shared" si="8"/>
        <v>1211.5954847537139</v>
      </c>
      <c r="AD5" s="3">
        <v>2479409</v>
      </c>
      <c r="AE5" s="6">
        <v>2046.4</v>
      </c>
      <c r="AF5" s="3">
        <f t="shared" si="9"/>
        <v>1138.5190955011092</v>
      </c>
      <c r="AG5" s="3">
        <v>2411725</v>
      </c>
      <c r="AH5" s="6">
        <v>2118.3000000000002</v>
      </c>
      <c r="AI5" s="3">
        <f t="shared" si="10"/>
        <v>1112.6827910429297</v>
      </c>
      <c r="AJ5" s="3">
        <v>1798763</v>
      </c>
      <c r="AK5" s="6">
        <v>1616.6</v>
      </c>
      <c r="AL5" s="3">
        <f t="shared" si="11"/>
        <v>1114.2451551160379</v>
      </c>
      <c r="AM5" s="3">
        <v>1397152</v>
      </c>
      <c r="AN5" s="6">
        <v>1253.9000000000001</v>
      </c>
      <c r="AO5" s="3">
        <f t="shared" si="12"/>
        <v>1135.236922979605</v>
      </c>
      <c r="AP5" s="3">
        <f t="shared" ref="AP5:AQ66" si="15">SUM(F5,I5,L5,O5,R5,U5,X5,AA5,AD5,AG5,AJ5,AM5)</f>
        <v>21535785</v>
      </c>
      <c r="AQ5" s="6">
        <f t="shared" si="14"/>
        <v>18970.3</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20" t="s">
        <v>39</v>
      </c>
      <c r="B6" s="23"/>
      <c r="C6" s="23"/>
      <c r="D6" s="23"/>
      <c r="E6" s="3">
        <f t="shared" si="0"/>
        <v>1200.7372400756144</v>
      </c>
      <c r="F6" s="3">
        <v>444633</v>
      </c>
      <c r="G6" s="6">
        <v>370.3</v>
      </c>
      <c r="H6" s="3">
        <f t="shared" si="1"/>
        <v>1120.1953433307024</v>
      </c>
      <c r="I6" s="3">
        <v>567715</v>
      </c>
      <c r="J6" s="6">
        <v>506.8</v>
      </c>
      <c r="K6" s="3">
        <f t="shared" si="2"/>
        <v>1109.0283212222841</v>
      </c>
      <c r="L6" s="3">
        <v>1190431</v>
      </c>
      <c r="M6" s="6">
        <v>1073.4000000000001</v>
      </c>
      <c r="N6" s="3">
        <f t="shared" si="3"/>
        <v>1106.9106137580668</v>
      </c>
      <c r="O6" s="3">
        <v>806163</v>
      </c>
      <c r="P6" s="6">
        <v>728.3</v>
      </c>
      <c r="Q6" s="3">
        <f t="shared" si="4"/>
        <v>1101.5306358381504</v>
      </c>
      <c r="R6" s="3">
        <v>952824</v>
      </c>
      <c r="S6" s="6">
        <v>865</v>
      </c>
      <c r="T6" s="3">
        <f t="shared" si="5"/>
        <v>1101.4996213077504</v>
      </c>
      <c r="U6" s="3">
        <v>436304</v>
      </c>
      <c r="V6" s="6">
        <v>396.1</v>
      </c>
      <c r="W6" s="3">
        <f t="shared" si="6"/>
        <v>1068.7876386687797</v>
      </c>
      <c r="X6" s="3">
        <v>809286</v>
      </c>
      <c r="Y6" s="6">
        <v>757.2</v>
      </c>
      <c r="Z6" s="3">
        <f t="shared" si="7"/>
        <v>1095.5523727680704</v>
      </c>
      <c r="AA6" s="3">
        <v>1147372</v>
      </c>
      <c r="AB6" s="6">
        <v>1047.3</v>
      </c>
      <c r="AC6" s="3">
        <f t="shared" si="8"/>
        <v>1045.0310030395137</v>
      </c>
      <c r="AD6" s="3">
        <v>859538</v>
      </c>
      <c r="AE6" s="6">
        <v>822.5</v>
      </c>
      <c r="AF6" s="3">
        <f t="shared" si="9"/>
        <v>1036.473087818697</v>
      </c>
      <c r="AG6" s="3">
        <v>658575</v>
      </c>
      <c r="AH6" s="6">
        <v>635.4</v>
      </c>
      <c r="AI6" s="3">
        <f t="shared" si="10"/>
        <v>1057.0128326996198</v>
      </c>
      <c r="AJ6" s="3">
        <v>889582</v>
      </c>
      <c r="AK6" s="6">
        <v>841.6</v>
      </c>
      <c r="AL6" s="3">
        <f t="shared" si="11"/>
        <v>1088.5558761804828</v>
      </c>
      <c r="AM6" s="3">
        <v>829915</v>
      </c>
      <c r="AN6" s="6">
        <v>762.4</v>
      </c>
      <c r="AO6" s="3">
        <f t="shared" si="12"/>
        <v>1089.2585989575643</v>
      </c>
      <c r="AP6" s="3">
        <f t="shared" si="15"/>
        <v>9592338</v>
      </c>
      <c r="AQ6" s="6">
        <f t="shared" si="14"/>
        <v>8806.3000000000011</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20" t="s">
        <v>54</v>
      </c>
      <c r="B7" s="23"/>
      <c r="C7" s="23"/>
      <c r="D7" s="23"/>
      <c r="E7" s="3">
        <f t="shared" si="0"/>
        <v>1207.286307053942</v>
      </c>
      <c r="F7" s="3">
        <v>145478</v>
      </c>
      <c r="G7" s="6">
        <v>120.5</v>
      </c>
      <c r="H7" s="3">
        <f t="shared" si="1"/>
        <v>1240.3354519774011</v>
      </c>
      <c r="I7" s="3">
        <v>351263</v>
      </c>
      <c r="J7" s="6">
        <v>283.2</v>
      </c>
      <c r="K7" s="3">
        <f t="shared" si="2"/>
        <v>1158.141060688901</v>
      </c>
      <c r="L7" s="3">
        <v>211824</v>
      </c>
      <c r="M7" s="6">
        <v>182.9</v>
      </c>
      <c r="N7" s="3">
        <f t="shared" si="3"/>
        <v>1161.9979481918442</v>
      </c>
      <c r="O7" s="3">
        <v>453063</v>
      </c>
      <c r="P7" s="6">
        <v>389.9</v>
      </c>
      <c r="Q7" s="3">
        <f t="shared" si="4"/>
        <v>1172.1173594132028</v>
      </c>
      <c r="R7" s="3">
        <v>239698</v>
      </c>
      <c r="S7" s="6">
        <v>204.5</v>
      </c>
      <c r="T7" s="3">
        <f t="shared" si="5"/>
        <v>1168.7730061349694</v>
      </c>
      <c r="U7" s="3">
        <v>342918</v>
      </c>
      <c r="V7" s="6">
        <v>293.39999999999998</v>
      </c>
      <c r="W7" s="3">
        <f t="shared" si="6"/>
        <v>1155.9191043698088</v>
      </c>
      <c r="X7" s="3">
        <v>320074</v>
      </c>
      <c r="Y7" s="6">
        <v>276.89999999999998</v>
      </c>
      <c r="Z7" s="3">
        <f t="shared" si="7"/>
        <v>1141.9180590524147</v>
      </c>
      <c r="AA7" s="3">
        <v>498904</v>
      </c>
      <c r="AB7" s="6">
        <v>436.9</v>
      </c>
      <c r="AC7" s="3">
        <f t="shared" si="8"/>
        <v>1139.6908212560386</v>
      </c>
      <c r="AD7" s="3">
        <v>235916</v>
      </c>
      <c r="AE7" s="6">
        <v>207</v>
      </c>
      <c r="AF7" s="3">
        <f t="shared" si="9"/>
        <v>1130.5850191361399</v>
      </c>
      <c r="AG7" s="3">
        <v>206784</v>
      </c>
      <c r="AH7" s="6">
        <v>182.9</v>
      </c>
      <c r="AI7" s="3">
        <f t="shared" si="10"/>
        <v>1129.3013100436681</v>
      </c>
      <c r="AJ7" s="3">
        <v>284471</v>
      </c>
      <c r="AK7" s="6">
        <v>251.9</v>
      </c>
      <c r="AL7" s="3">
        <f t="shared" si="11"/>
        <v>1115.3679876479671</v>
      </c>
      <c r="AM7" s="3">
        <v>433432</v>
      </c>
      <c r="AN7" s="6">
        <v>388.6</v>
      </c>
      <c r="AO7" s="3">
        <f t="shared" si="12"/>
        <v>1156.9704219225748</v>
      </c>
      <c r="AP7" s="3">
        <f t="shared" si="15"/>
        <v>3723825</v>
      </c>
      <c r="AQ7" s="6">
        <f t="shared" si="14"/>
        <v>3218.6000000000004</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20" t="s">
        <v>26</v>
      </c>
      <c r="B8" s="23"/>
      <c r="C8" s="23"/>
      <c r="D8" s="23"/>
      <c r="E8" s="3">
        <f t="shared" si="0"/>
        <v>1224.9254944459494</v>
      </c>
      <c r="F8" s="3">
        <v>452120</v>
      </c>
      <c r="G8" s="6">
        <v>369.1</v>
      </c>
      <c r="H8" s="3">
        <f t="shared" si="1"/>
        <v>1206.737089201878</v>
      </c>
      <c r="I8" s="3">
        <v>308442</v>
      </c>
      <c r="J8" s="6">
        <v>255.6</v>
      </c>
      <c r="K8" s="3">
        <f t="shared" si="2"/>
        <v>1210.207753266224</v>
      </c>
      <c r="L8" s="3">
        <v>565046</v>
      </c>
      <c r="M8" s="6">
        <v>466.9</v>
      </c>
      <c r="N8" s="3">
        <f t="shared" si="3"/>
        <v>1143.5307802433788</v>
      </c>
      <c r="O8" s="3">
        <v>639005</v>
      </c>
      <c r="P8" s="6">
        <v>558.79999999999995</v>
      </c>
      <c r="Q8" s="3">
        <f t="shared" si="4"/>
        <v>1275.8098443416072</v>
      </c>
      <c r="R8" s="3">
        <v>303260</v>
      </c>
      <c r="S8" s="6">
        <v>237.7</v>
      </c>
      <c r="T8" s="3">
        <f t="shared" si="5"/>
        <v>1256.165561287153</v>
      </c>
      <c r="U8" s="3">
        <v>511385</v>
      </c>
      <c r="V8" s="6">
        <v>407.1</v>
      </c>
      <c r="W8" s="3">
        <f t="shared" si="6"/>
        <v>1196.7978412412863</v>
      </c>
      <c r="X8" s="3">
        <v>532216</v>
      </c>
      <c r="Y8" s="6">
        <v>444.7</v>
      </c>
      <c r="Z8" s="3">
        <f t="shared" si="7"/>
        <v>1178.4664948453608</v>
      </c>
      <c r="AA8" s="3">
        <v>640143</v>
      </c>
      <c r="AB8" s="6">
        <v>543.20000000000005</v>
      </c>
      <c r="AC8" s="3">
        <f t="shared" si="8"/>
        <v>1319.5356835769562</v>
      </c>
      <c r="AD8" s="3">
        <v>306924</v>
      </c>
      <c r="AE8" s="6">
        <v>232.6</v>
      </c>
      <c r="AF8" s="3">
        <f t="shared" si="9"/>
        <v>1187.5021026072329</v>
      </c>
      <c r="AG8" s="3">
        <v>141194</v>
      </c>
      <c r="AH8" s="6">
        <v>118.9</v>
      </c>
      <c r="AI8" s="3">
        <f t="shared" si="10"/>
        <v>1147.9633084577113</v>
      </c>
      <c r="AJ8" s="3">
        <v>369185</v>
      </c>
      <c r="AK8" s="6">
        <v>321.60000000000002</v>
      </c>
      <c r="AL8" s="3">
        <f t="shared" si="11"/>
        <v>1143.0335861321778</v>
      </c>
      <c r="AM8" s="3">
        <v>316506</v>
      </c>
      <c r="AN8" s="6">
        <v>276.89999999999998</v>
      </c>
      <c r="AO8" s="3">
        <f t="shared" si="12"/>
        <v>1201.3479483121118</v>
      </c>
      <c r="AP8" s="3">
        <f t="shared" si="15"/>
        <v>5085426</v>
      </c>
      <c r="AQ8" s="6">
        <f t="shared" si="14"/>
        <v>4233.0999999999995</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20" t="s">
        <v>28</v>
      </c>
      <c r="B9" s="23"/>
      <c r="C9" s="23"/>
      <c r="D9" s="23"/>
      <c r="E9" s="3">
        <f t="shared" si="0"/>
        <v>1437.2882588149762</v>
      </c>
      <c r="F9" s="3">
        <v>395398</v>
      </c>
      <c r="G9" s="6">
        <v>275.10000000000002</v>
      </c>
      <c r="H9" s="3">
        <f t="shared" si="1"/>
        <v>1576.7883211678832</v>
      </c>
      <c r="I9" s="3">
        <v>151214</v>
      </c>
      <c r="J9" s="6">
        <v>95.9</v>
      </c>
      <c r="K9" s="3">
        <f t="shared" si="2"/>
        <v>1592.110922467459</v>
      </c>
      <c r="L9" s="3">
        <v>281326</v>
      </c>
      <c r="M9" s="6">
        <v>176.7</v>
      </c>
      <c r="N9" s="3">
        <f t="shared" si="3"/>
        <v>1609.7044917257683</v>
      </c>
      <c r="O9" s="3">
        <v>272362</v>
      </c>
      <c r="P9" s="6">
        <v>169.2</v>
      </c>
      <c r="Q9" s="3">
        <f t="shared" si="4"/>
        <v>1399.1846522781775</v>
      </c>
      <c r="R9" s="3">
        <v>291730</v>
      </c>
      <c r="S9" s="6">
        <v>208.5</v>
      </c>
      <c r="T9" s="3">
        <f t="shared" si="5"/>
        <v>1476.2128325508609</v>
      </c>
      <c r="U9" s="3">
        <v>282990</v>
      </c>
      <c r="V9" s="6">
        <v>191.7</v>
      </c>
      <c r="W9" s="3">
        <f t="shared" si="6"/>
        <v>1382.4704956726987</v>
      </c>
      <c r="X9" s="3">
        <v>175712</v>
      </c>
      <c r="Y9" s="6">
        <v>127.1</v>
      </c>
      <c r="Z9" s="3">
        <f t="shared" si="7"/>
        <v>1811.5644654088051</v>
      </c>
      <c r="AA9" s="3">
        <v>230431</v>
      </c>
      <c r="AB9" s="6">
        <v>127.2</v>
      </c>
      <c r="AC9" s="3">
        <f t="shared" si="8"/>
        <v>1455.4093170511082</v>
      </c>
      <c r="AD9" s="3">
        <v>321791</v>
      </c>
      <c r="AE9" s="6">
        <v>221.1</v>
      </c>
      <c r="AF9" s="3">
        <f t="shared" si="9"/>
        <v>1427.8612716763007</v>
      </c>
      <c r="AG9" s="3">
        <v>148212</v>
      </c>
      <c r="AH9" s="6">
        <v>103.8</v>
      </c>
      <c r="AI9" s="3">
        <f t="shared" si="10"/>
        <v>1494.0978348035285</v>
      </c>
      <c r="AJ9" s="3">
        <v>186314</v>
      </c>
      <c r="AK9" s="6">
        <v>124.7</v>
      </c>
      <c r="AL9" s="3">
        <f t="shared" si="11"/>
        <v>1475.6091496767779</v>
      </c>
      <c r="AM9" s="3">
        <v>296745</v>
      </c>
      <c r="AN9" s="6">
        <v>201.1</v>
      </c>
      <c r="AO9" s="3">
        <f t="shared" si="12"/>
        <v>1500.5316255378073</v>
      </c>
      <c r="AP9" s="3">
        <f t="shared" si="15"/>
        <v>3034225</v>
      </c>
      <c r="AQ9" s="6">
        <f t="shared" si="14"/>
        <v>2022.1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20" t="s">
        <v>38</v>
      </c>
      <c r="B10" s="23"/>
      <c r="C10" s="23"/>
      <c r="D10" s="23"/>
      <c r="E10" s="3">
        <f t="shared" si="0"/>
        <v>1293.3381871132144</v>
      </c>
      <c r="F10" s="3">
        <v>355280</v>
      </c>
      <c r="G10" s="6">
        <v>274.7</v>
      </c>
      <c r="H10" s="3">
        <f t="shared" si="1"/>
        <v>1243.8673469387754</v>
      </c>
      <c r="I10" s="3">
        <v>487596</v>
      </c>
      <c r="J10" s="6">
        <v>392</v>
      </c>
      <c r="K10" s="3">
        <f t="shared" si="2"/>
        <v>1363.4724292101341</v>
      </c>
      <c r="L10" s="3">
        <v>640423</v>
      </c>
      <c r="M10" s="6">
        <v>469.7</v>
      </c>
      <c r="N10" s="3">
        <f t="shared" si="3"/>
        <v>1192.9541643376187</v>
      </c>
      <c r="O10" s="3">
        <v>426839</v>
      </c>
      <c r="P10" s="6">
        <v>357.8</v>
      </c>
      <c r="Q10" s="3">
        <f t="shared" si="4"/>
        <v>1279.9894403379092</v>
      </c>
      <c r="R10" s="3">
        <v>242430</v>
      </c>
      <c r="S10" s="6">
        <v>189.4</v>
      </c>
      <c r="T10" s="3">
        <f t="shared" si="5"/>
        <v>1128.2384823848238</v>
      </c>
      <c r="U10" s="3">
        <v>249792</v>
      </c>
      <c r="V10" s="6">
        <v>221.4</v>
      </c>
      <c r="W10" s="3">
        <f t="shared" si="6"/>
        <v>1152.9844559585492</v>
      </c>
      <c r="X10" s="3">
        <v>222526</v>
      </c>
      <c r="Y10" s="6">
        <v>193</v>
      </c>
      <c r="Z10" s="3">
        <f t="shared" si="7"/>
        <v>1125.6670382757338</v>
      </c>
      <c r="AA10" s="3">
        <v>302917</v>
      </c>
      <c r="AB10" s="6">
        <v>269.10000000000002</v>
      </c>
      <c r="AC10" s="3">
        <f t="shared" si="8"/>
        <v>1160.547619047619</v>
      </c>
      <c r="AD10" s="3">
        <v>438687</v>
      </c>
      <c r="AE10" s="6">
        <v>378</v>
      </c>
      <c r="AF10" s="3">
        <f t="shared" si="9"/>
        <v>1262.2637559808613</v>
      </c>
      <c r="AG10" s="3">
        <v>422101</v>
      </c>
      <c r="AH10" s="6">
        <v>334.4</v>
      </c>
      <c r="AI10" s="3">
        <f t="shared" si="10"/>
        <v>1138.4414864115363</v>
      </c>
      <c r="AJ10" s="3">
        <v>205261</v>
      </c>
      <c r="AK10" s="6">
        <v>180.3</v>
      </c>
      <c r="AL10" s="3">
        <f t="shared" si="11"/>
        <v>1203.6017316017317</v>
      </c>
      <c r="AM10" s="3">
        <v>278032</v>
      </c>
      <c r="AN10" s="6">
        <v>231</v>
      </c>
      <c r="AO10" s="3">
        <f t="shared" si="12"/>
        <v>1223.7550131774951</v>
      </c>
      <c r="AP10" s="3">
        <f t="shared" si="15"/>
        <v>4271884</v>
      </c>
      <c r="AQ10" s="6">
        <f t="shared" si="14"/>
        <v>3490.8</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0" t="s">
        <v>24</v>
      </c>
      <c r="B11" s="23"/>
      <c r="C11" s="23"/>
      <c r="D11" s="23"/>
      <c r="E11" s="3">
        <f t="shared" si="0"/>
        <v>1090.4564315352698</v>
      </c>
      <c r="F11" s="3">
        <v>105120</v>
      </c>
      <c r="G11" s="6">
        <v>96.4</v>
      </c>
      <c r="H11" s="3">
        <f t="shared" si="1"/>
        <v>2973.3333333333335</v>
      </c>
      <c r="I11" s="3">
        <v>2676</v>
      </c>
      <c r="J11" s="6">
        <v>0.9</v>
      </c>
      <c r="K11" s="3">
        <f t="shared" si="2"/>
        <v>1112.655771195097</v>
      </c>
      <c r="L11" s="3">
        <v>108929</v>
      </c>
      <c r="M11" s="6">
        <v>97.9</v>
      </c>
      <c r="N11" s="3">
        <f t="shared" si="3"/>
        <v>2428.5714285714289</v>
      </c>
      <c r="O11" s="3">
        <v>3400</v>
      </c>
      <c r="P11" s="6">
        <v>1.4</v>
      </c>
      <c r="Q11" s="3">
        <f t="shared" si="4"/>
        <v>2530</v>
      </c>
      <c r="R11" s="3">
        <v>3795</v>
      </c>
      <c r="S11" s="6">
        <v>1.5</v>
      </c>
      <c r="T11" s="3">
        <f t="shared" si="5"/>
        <v>1110.3001364256481</v>
      </c>
      <c r="U11" s="3">
        <v>162770</v>
      </c>
      <c r="V11" s="6">
        <v>146.6</v>
      </c>
      <c r="W11" s="3">
        <f t="shared" si="6"/>
        <v>1103.9520547945206</v>
      </c>
      <c r="X11" s="3">
        <v>161177</v>
      </c>
      <c r="Y11" s="6">
        <v>146</v>
      </c>
      <c r="Z11" s="3">
        <f t="shared" si="7"/>
        <v>2343.8461538461538</v>
      </c>
      <c r="AA11" s="3">
        <v>3047</v>
      </c>
      <c r="AB11" s="6">
        <v>1.3</v>
      </c>
      <c r="AC11" s="3">
        <f t="shared" si="8"/>
        <v>1055.1215644820297</v>
      </c>
      <c r="AD11" s="3">
        <v>199629</v>
      </c>
      <c r="AE11" s="6">
        <v>189.2</v>
      </c>
      <c r="AF11" s="3">
        <f t="shared" si="9"/>
        <v>998.60262008733628</v>
      </c>
      <c r="AG11" s="3">
        <v>45736</v>
      </c>
      <c r="AH11" s="6">
        <v>45.8</v>
      </c>
      <c r="AI11" s="3">
        <f t="shared" si="10"/>
        <v>2359</v>
      </c>
      <c r="AJ11" s="3">
        <v>4718</v>
      </c>
      <c r="AK11" s="6">
        <v>2</v>
      </c>
      <c r="AL11" s="3">
        <f t="shared" si="11"/>
        <v>1057.9045643153527</v>
      </c>
      <c r="AM11" s="3">
        <v>203964</v>
      </c>
      <c r="AN11" s="6">
        <v>192.8</v>
      </c>
      <c r="AO11" s="3">
        <f t="shared" si="12"/>
        <v>1090.2158819700587</v>
      </c>
      <c r="AP11" s="3">
        <f t="shared" si="15"/>
        <v>1004961</v>
      </c>
      <c r="AQ11" s="6">
        <f t="shared" si="14"/>
        <v>921.8</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20" t="s">
        <v>55</v>
      </c>
      <c r="B12" s="23"/>
      <c r="C12" s="23"/>
      <c r="D12" s="23"/>
      <c r="E12" s="3">
        <f>F12/G12</f>
        <v>1259.0226628895184</v>
      </c>
      <c r="F12" s="3">
        <v>88887</v>
      </c>
      <c r="G12" s="6">
        <v>70.599999999999994</v>
      </c>
      <c r="H12" s="3">
        <f>I12/J12</f>
        <v>1180.2432045779685</v>
      </c>
      <c r="I12" s="3">
        <v>82499</v>
      </c>
      <c r="J12" s="6">
        <v>69.900000000000006</v>
      </c>
      <c r="K12" s="3">
        <f>L12/M12</f>
        <v>1417.071531445031</v>
      </c>
      <c r="L12" s="3">
        <v>295176</v>
      </c>
      <c r="M12" s="6">
        <v>208.3</v>
      </c>
      <c r="N12" s="3">
        <f>O12/P12</f>
        <v>1262.3251417769377</v>
      </c>
      <c r="O12" s="3">
        <v>133554</v>
      </c>
      <c r="P12" s="6">
        <v>105.8</v>
      </c>
      <c r="Q12" s="3">
        <f>R12/S12</f>
        <v>1161.698606271777</v>
      </c>
      <c r="R12" s="3">
        <v>266726</v>
      </c>
      <c r="S12" s="6">
        <v>229.6</v>
      </c>
      <c r="T12" s="3">
        <f>U12/V12</f>
        <v>1137.9731379731379</v>
      </c>
      <c r="U12" s="3">
        <v>186400</v>
      </c>
      <c r="V12" s="6">
        <v>163.80000000000001</v>
      </c>
      <c r="W12" s="3">
        <f>X12/Y12</f>
        <v>1169.0660966787241</v>
      </c>
      <c r="X12" s="3">
        <v>355513</v>
      </c>
      <c r="Y12" s="6">
        <v>304.10000000000002</v>
      </c>
      <c r="Z12" s="3">
        <f>AA12/AB12</f>
        <v>1136.9017632241812</v>
      </c>
      <c r="AA12" s="3">
        <v>90270</v>
      </c>
      <c r="AB12" s="6">
        <v>79.400000000000006</v>
      </c>
      <c r="AC12" s="3">
        <f>AD12/AE12</f>
        <v>1188.0434782608695</v>
      </c>
      <c r="AD12" s="3">
        <v>147555</v>
      </c>
      <c r="AE12" s="6">
        <v>124.2</v>
      </c>
      <c r="AF12" s="3">
        <f>AG12/AH12</f>
        <v>1123.4893617021276</v>
      </c>
      <c r="AG12" s="3">
        <v>52804</v>
      </c>
      <c r="AH12" s="6">
        <v>47</v>
      </c>
      <c r="AI12" s="3">
        <f>AJ12/AK12</f>
        <v>1141.9058050383353</v>
      </c>
      <c r="AJ12" s="3">
        <v>104256</v>
      </c>
      <c r="AK12" s="6">
        <v>91.3</v>
      </c>
      <c r="AL12" s="3">
        <f>AM12/AN12</f>
        <v>1161.5835777126099</v>
      </c>
      <c r="AM12" s="3">
        <v>198050</v>
      </c>
      <c r="AN12" s="6">
        <v>170.5</v>
      </c>
      <c r="AO12" s="3">
        <f t="shared" si="12"/>
        <v>1202.5773505557224</v>
      </c>
      <c r="AP12" s="3">
        <f t="shared" si="15"/>
        <v>2001690</v>
      </c>
      <c r="AQ12" s="6">
        <f t="shared" si="14"/>
        <v>1664.5</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20" t="s">
        <v>56</v>
      </c>
      <c r="B13" s="23"/>
      <c r="C13" s="23"/>
      <c r="D13" s="23"/>
      <c r="E13" s="3">
        <f t="shared" ref="E13:E66" si="16">F13/G13</f>
        <v>1882.7875243664719</v>
      </c>
      <c r="F13" s="3">
        <v>96587</v>
      </c>
      <c r="G13" s="6">
        <v>51.3</v>
      </c>
      <c r="H13" s="3" t="e">
        <f t="shared" ref="H13:H66" si="17">I13/J13</f>
        <v>#DIV/0!</v>
      </c>
      <c r="I13" s="3">
        <v>0</v>
      </c>
      <c r="J13" s="6">
        <v>0</v>
      </c>
      <c r="K13" s="3">
        <f t="shared" ref="K13:K66" si="18">L13/M13</f>
        <v>1503.378787878788</v>
      </c>
      <c r="L13" s="3">
        <v>99223</v>
      </c>
      <c r="M13" s="6">
        <v>66</v>
      </c>
      <c r="N13" s="3">
        <f t="shared" ref="N13:N66" si="19">O13/P13</f>
        <v>1357.3084886128365</v>
      </c>
      <c r="O13" s="3">
        <v>65558</v>
      </c>
      <c r="P13" s="6">
        <v>48.3</v>
      </c>
      <c r="Q13" s="3">
        <f t="shared" ref="Q13:Q66" si="20">R13/S13</f>
        <v>1460.3793626707131</v>
      </c>
      <c r="R13" s="3">
        <v>96239</v>
      </c>
      <c r="S13" s="6">
        <v>65.900000000000006</v>
      </c>
      <c r="T13" s="3">
        <f t="shared" ref="T13:T66" si="21">U13/V13</f>
        <v>1406.306818181818</v>
      </c>
      <c r="U13" s="3">
        <v>49502</v>
      </c>
      <c r="V13" s="6">
        <v>35.200000000000003</v>
      </c>
      <c r="W13" s="3">
        <f t="shared" ref="W13:W66" si="22">X13/Y13</f>
        <v>1261.4107883817426</v>
      </c>
      <c r="X13" s="3">
        <v>30400</v>
      </c>
      <c r="Y13" s="6">
        <v>24.1</v>
      </c>
      <c r="Z13" s="3" t="e">
        <f t="shared" ref="Z13:Z66" si="23">AA13/AB13</f>
        <v>#DIV/0!</v>
      </c>
      <c r="AA13" s="3">
        <v>0</v>
      </c>
      <c r="AB13" s="6">
        <v>0</v>
      </c>
      <c r="AC13" s="3">
        <f t="shared" ref="AC13:AC66" si="24">AD13/AE13</f>
        <v>1488.7590361445782</v>
      </c>
      <c r="AD13" s="3">
        <v>123567</v>
      </c>
      <c r="AE13" s="6">
        <v>83</v>
      </c>
      <c r="AF13" s="3">
        <f t="shared" ref="AF13:AF66" si="25">AG13/AH13</f>
        <v>1454.698795180723</v>
      </c>
      <c r="AG13" s="3">
        <v>60370</v>
      </c>
      <c r="AH13" s="6">
        <v>41.5</v>
      </c>
      <c r="AI13" s="3">
        <f t="shared" ref="AI13:AI66" si="26">AJ13/AK13</f>
        <v>1720.8229988726043</v>
      </c>
      <c r="AJ13" s="3">
        <v>152637</v>
      </c>
      <c r="AK13" s="6">
        <v>88.7</v>
      </c>
      <c r="AL13" s="3">
        <f t="shared" ref="AL13:AL66" si="27">AM13/AN13</f>
        <v>1568.115095913261</v>
      </c>
      <c r="AM13" s="3">
        <v>188017</v>
      </c>
      <c r="AN13" s="6">
        <v>119.9</v>
      </c>
      <c r="AO13" s="3">
        <f t="shared" si="12"/>
        <v>1542.0740503285783</v>
      </c>
      <c r="AP13" s="3">
        <f t="shared" si="15"/>
        <v>962100</v>
      </c>
      <c r="AQ13" s="6">
        <f t="shared" si="14"/>
        <v>623.9</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20" t="s">
        <v>57</v>
      </c>
      <c r="B14" s="23"/>
      <c r="C14" s="23"/>
      <c r="D14" s="23"/>
      <c r="E14" s="3">
        <f t="shared" si="16"/>
        <v>1177.1565802113353</v>
      </c>
      <c r="F14" s="3">
        <v>122542</v>
      </c>
      <c r="G14" s="6">
        <v>104.1</v>
      </c>
      <c r="H14" s="3">
        <f t="shared" si="17"/>
        <v>1181.6363636363637</v>
      </c>
      <c r="I14" s="3">
        <v>19497</v>
      </c>
      <c r="J14" s="6">
        <v>16.5</v>
      </c>
      <c r="K14" s="3">
        <f t="shared" si="18"/>
        <v>1186.9628099173553</v>
      </c>
      <c r="L14" s="3">
        <v>114898</v>
      </c>
      <c r="M14" s="6">
        <v>96.8</v>
      </c>
      <c r="N14" s="3">
        <f t="shared" si="19"/>
        <v>1169.5114656031906</v>
      </c>
      <c r="O14" s="3">
        <v>117302</v>
      </c>
      <c r="P14" s="6">
        <v>100.3</v>
      </c>
      <c r="Q14" s="3">
        <f t="shared" si="20"/>
        <v>1026.5999999999999</v>
      </c>
      <c r="R14" s="3">
        <v>20532</v>
      </c>
      <c r="S14" s="6">
        <v>20</v>
      </c>
      <c r="T14" s="3">
        <f t="shared" si="21"/>
        <v>1161.262910798122</v>
      </c>
      <c r="U14" s="3">
        <v>247349</v>
      </c>
      <c r="V14" s="6">
        <v>213</v>
      </c>
      <c r="W14" s="3">
        <f t="shared" si="22"/>
        <v>1149.4550173010382</v>
      </c>
      <c r="X14" s="3">
        <v>132877</v>
      </c>
      <c r="Y14" s="6">
        <v>115.6</v>
      </c>
      <c r="Z14" s="3">
        <f t="shared" si="23"/>
        <v>1105.2094522019336</v>
      </c>
      <c r="AA14" s="3">
        <v>102895</v>
      </c>
      <c r="AB14" s="6">
        <v>93.1</v>
      </c>
      <c r="AC14" s="3">
        <f t="shared" si="24"/>
        <v>1731.7416829745596</v>
      </c>
      <c r="AD14" s="3">
        <v>88492</v>
      </c>
      <c r="AE14" s="6">
        <v>51.1</v>
      </c>
      <c r="AF14" s="3">
        <f t="shared" si="25"/>
        <v>1166.3040446304044</v>
      </c>
      <c r="AG14" s="3">
        <v>167248</v>
      </c>
      <c r="AH14" s="6">
        <v>143.4</v>
      </c>
      <c r="AI14" s="3">
        <f t="shared" si="26"/>
        <v>1128.9213483146068</v>
      </c>
      <c r="AJ14" s="3">
        <v>150711</v>
      </c>
      <c r="AK14" s="6">
        <v>133.5</v>
      </c>
      <c r="AL14" s="3">
        <f t="shared" si="27"/>
        <v>1083.5763622409822</v>
      </c>
      <c r="AM14" s="3">
        <v>141190</v>
      </c>
      <c r="AN14" s="6">
        <v>130.30000000000001</v>
      </c>
      <c r="AO14" s="3">
        <f t="shared" si="12"/>
        <v>1170.6766855547344</v>
      </c>
      <c r="AP14" s="3">
        <f t="shared" si="15"/>
        <v>1425533</v>
      </c>
      <c r="AQ14" s="6">
        <f t="shared" si="14"/>
        <v>1217.7</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20" t="s">
        <v>33</v>
      </c>
      <c r="B15" s="23"/>
      <c r="C15" s="23"/>
      <c r="D15" s="23"/>
      <c r="E15" s="3">
        <f t="shared" si="16"/>
        <v>1268.8210818307907</v>
      </c>
      <c r="F15" s="3">
        <v>91482</v>
      </c>
      <c r="G15" s="6">
        <v>72.099999999999994</v>
      </c>
      <c r="H15" s="3">
        <f t="shared" si="17"/>
        <v>925.38947085683583</v>
      </c>
      <c r="I15" s="3">
        <v>689045</v>
      </c>
      <c r="J15" s="6">
        <v>744.6</v>
      </c>
      <c r="K15" s="3">
        <f t="shared" si="18"/>
        <v>939.43011166730844</v>
      </c>
      <c r="L15" s="3">
        <v>243970</v>
      </c>
      <c r="M15" s="6">
        <v>259.7</v>
      </c>
      <c r="N15" s="3">
        <f t="shared" si="19"/>
        <v>996.55069582504973</v>
      </c>
      <c r="O15" s="3">
        <v>100253</v>
      </c>
      <c r="P15" s="6">
        <v>100.6</v>
      </c>
      <c r="Q15" s="3">
        <f t="shared" si="20"/>
        <v>1045.2233591215374</v>
      </c>
      <c r="R15" s="3">
        <v>418821</v>
      </c>
      <c r="S15" s="6">
        <v>400.7</v>
      </c>
      <c r="T15" s="3">
        <f t="shared" si="21"/>
        <v>983.0364372469636</v>
      </c>
      <c r="U15" s="3">
        <v>291372</v>
      </c>
      <c r="V15" s="6">
        <v>296.39999999999998</v>
      </c>
      <c r="W15" s="3">
        <f t="shared" si="22"/>
        <v>1008.8712629652226</v>
      </c>
      <c r="X15" s="3">
        <v>165354</v>
      </c>
      <c r="Y15" s="6">
        <v>163.9</v>
      </c>
      <c r="Z15" s="3">
        <f t="shared" si="23"/>
        <v>979.45809248554906</v>
      </c>
      <c r="AA15" s="3">
        <v>271114</v>
      </c>
      <c r="AB15" s="6">
        <v>276.8</v>
      </c>
      <c r="AC15" s="3">
        <f t="shared" si="24"/>
        <v>985.157866808172</v>
      </c>
      <c r="AD15" s="3">
        <v>371306</v>
      </c>
      <c r="AE15" s="6">
        <v>376.9</v>
      </c>
      <c r="AF15" s="3">
        <f t="shared" si="25"/>
        <v>875.58320373250399</v>
      </c>
      <c r="AG15" s="3">
        <v>957100</v>
      </c>
      <c r="AH15" s="6">
        <v>1093.0999999999999</v>
      </c>
      <c r="AI15" s="3">
        <f t="shared" si="26"/>
        <v>983.77777777777783</v>
      </c>
      <c r="AJ15" s="3">
        <v>203642</v>
      </c>
      <c r="AK15" s="6">
        <v>207</v>
      </c>
      <c r="AL15" s="3">
        <f t="shared" si="27"/>
        <v>1176.5023255813953</v>
      </c>
      <c r="AM15" s="3">
        <v>126474</v>
      </c>
      <c r="AN15" s="6">
        <v>107.5</v>
      </c>
      <c r="AO15" s="3">
        <f t="shared" si="12"/>
        <v>958.68392164515888</v>
      </c>
      <c r="AP15" s="3">
        <f t="shared" si="15"/>
        <v>3929933</v>
      </c>
      <c r="AQ15" s="6">
        <f t="shared" si="14"/>
        <v>4099.3</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20" t="s">
        <v>23</v>
      </c>
      <c r="B16" s="23"/>
      <c r="C16" s="23"/>
      <c r="D16" s="23"/>
      <c r="E16" s="3">
        <f t="shared" si="16"/>
        <v>1250</v>
      </c>
      <c r="F16" s="3">
        <v>50000</v>
      </c>
      <c r="G16" s="6">
        <v>40</v>
      </c>
      <c r="H16" s="3">
        <f t="shared" si="17"/>
        <v>1250</v>
      </c>
      <c r="I16" s="3">
        <v>25000</v>
      </c>
      <c r="J16" s="6">
        <v>20</v>
      </c>
      <c r="K16" s="3">
        <f t="shared" si="18"/>
        <v>1238.1007751937984</v>
      </c>
      <c r="L16" s="3">
        <v>31943</v>
      </c>
      <c r="M16" s="6">
        <v>25.8</v>
      </c>
      <c r="N16" s="3">
        <f t="shared" si="19"/>
        <v>1257.4379344587885</v>
      </c>
      <c r="O16" s="3">
        <v>126624</v>
      </c>
      <c r="P16" s="6">
        <v>100.7</v>
      </c>
      <c r="Q16" s="3">
        <f t="shared" si="20"/>
        <v>1466.5960099750623</v>
      </c>
      <c r="R16" s="3">
        <v>117621</v>
      </c>
      <c r="S16" s="6">
        <v>80.2</v>
      </c>
      <c r="T16" s="3">
        <f t="shared" si="21"/>
        <v>1239.3877551020407</v>
      </c>
      <c r="U16" s="3">
        <v>48584</v>
      </c>
      <c r="V16" s="6">
        <v>39.200000000000003</v>
      </c>
      <c r="W16" s="3" t="e">
        <f t="shared" si="22"/>
        <v>#DIV/0!</v>
      </c>
      <c r="X16" s="3">
        <v>0</v>
      </c>
      <c r="Y16" s="6">
        <v>0</v>
      </c>
      <c r="Z16" s="3">
        <f t="shared" si="23"/>
        <v>1256.281407035176</v>
      </c>
      <c r="AA16" s="3">
        <v>25000</v>
      </c>
      <c r="AB16" s="6">
        <v>19.899999999999999</v>
      </c>
      <c r="AC16" s="3">
        <f t="shared" si="24"/>
        <v>15725</v>
      </c>
      <c r="AD16" s="3">
        <v>3145</v>
      </c>
      <c r="AE16" s="6">
        <v>0.2</v>
      </c>
      <c r="AF16" s="3">
        <f t="shared" si="25"/>
        <v>1146.1957868649317</v>
      </c>
      <c r="AG16" s="3">
        <v>92498</v>
      </c>
      <c r="AH16" s="6">
        <v>80.7</v>
      </c>
      <c r="AI16" s="3">
        <f t="shared" si="26"/>
        <v>2376.3157894736842</v>
      </c>
      <c r="AJ16" s="3">
        <v>36120</v>
      </c>
      <c r="AK16" s="6">
        <v>15.2</v>
      </c>
      <c r="AL16" s="3">
        <f t="shared" si="27"/>
        <v>1208.1753312945975</v>
      </c>
      <c r="AM16" s="3">
        <v>118522</v>
      </c>
      <c r="AN16" s="6">
        <v>98.1</v>
      </c>
      <c r="AO16" s="3">
        <f t="shared" si="12"/>
        <v>1298.1865384615387</v>
      </c>
      <c r="AP16" s="3">
        <f t="shared" si="15"/>
        <v>675057</v>
      </c>
      <c r="AQ16" s="6">
        <f t="shared" si="14"/>
        <v>519.99999999999989</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20" t="s">
        <v>31</v>
      </c>
      <c r="B17" s="23"/>
      <c r="C17" s="23"/>
      <c r="D17" s="23"/>
      <c r="E17" s="3">
        <f t="shared" si="16"/>
        <v>2414.2424242424245</v>
      </c>
      <c r="F17" s="3">
        <v>15934</v>
      </c>
      <c r="G17" s="6">
        <v>6.6</v>
      </c>
      <c r="H17" s="3">
        <f t="shared" si="17"/>
        <v>2445.929203539823</v>
      </c>
      <c r="I17" s="3">
        <v>55278</v>
      </c>
      <c r="J17" s="6">
        <v>22.6</v>
      </c>
      <c r="K17" s="3">
        <f t="shared" si="18"/>
        <v>2734.4262295081967</v>
      </c>
      <c r="L17" s="3">
        <v>33360</v>
      </c>
      <c r="M17" s="6">
        <v>12.2</v>
      </c>
      <c r="N17" s="3">
        <f t="shared" si="19"/>
        <v>2701.2621359223299</v>
      </c>
      <c r="O17" s="3">
        <v>27823</v>
      </c>
      <c r="P17" s="6">
        <v>10.3</v>
      </c>
      <c r="Q17" s="3">
        <f t="shared" si="20"/>
        <v>2300.1595744680849</v>
      </c>
      <c r="R17" s="3">
        <v>43243</v>
      </c>
      <c r="S17" s="6">
        <v>18.8</v>
      </c>
      <c r="T17" s="3">
        <f t="shared" si="21"/>
        <v>1445.7777777777778</v>
      </c>
      <c r="U17" s="3">
        <v>39036</v>
      </c>
      <c r="V17" s="6">
        <v>27</v>
      </c>
      <c r="W17" s="3">
        <f t="shared" si="22"/>
        <v>1910.3680981595091</v>
      </c>
      <c r="X17" s="3">
        <v>31139</v>
      </c>
      <c r="Y17" s="6">
        <v>16.3</v>
      </c>
      <c r="Z17" s="3">
        <f t="shared" si="23"/>
        <v>2628.9189189189187</v>
      </c>
      <c r="AA17" s="3">
        <v>48635</v>
      </c>
      <c r="AB17" s="6">
        <v>18.5</v>
      </c>
      <c r="AC17" s="3">
        <f t="shared" si="24"/>
        <v>2406.7415730337079</v>
      </c>
      <c r="AD17" s="3">
        <v>21420</v>
      </c>
      <c r="AE17" s="6">
        <v>8.9</v>
      </c>
      <c r="AF17" s="3">
        <f t="shared" si="25"/>
        <v>2029.2307692307693</v>
      </c>
      <c r="AG17" s="3">
        <v>15828</v>
      </c>
      <c r="AH17" s="6">
        <v>7.8</v>
      </c>
      <c r="AI17" s="3">
        <f t="shared" si="26"/>
        <v>2295.8549222797928</v>
      </c>
      <c r="AJ17" s="3">
        <v>44310</v>
      </c>
      <c r="AK17" s="6">
        <v>19.3</v>
      </c>
      <c r="AL17" s="3">
        <f t="shared" si="27"/>
        <v>2511.6438356164385</v>
      </c>
      <c r="AM17" s="3">
        <v>55005</v>
      </c>
      <c r="AN17" s="6">
        <v>21.9</v>
      </c>
      <c r="AO17" s="3">
        <f t="shared" si="12"/>
        <v>2266.0935856992633</v>
      </c>
      <c r="AP17" s="3">
        <f t="shared" si="15"/>
        <v>431011</v>
      </c>
      <c r="AQ17" s="6">
        <f t="shared" si="14"/>
        <v>190.20000000000005</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0" t="s">
        <v>35</v>
      </c>
      <c r="B18" s="23"/>
      <c r="C18" s="23"/>
      <c r="D18" s="23"/>
      <c r="E18" s="3">
        <f t="shared" si="16"/>
        <v>2196.2419006479481</v>
      </c>
      <c r="F18" s="3">
        <v>101686</v>
      </c>
      <c r="G18" s="6">
        <v>46.3</v>
      </c>
      <c r="H18" s="3">
        <f t="shared" si="17"/>
        <v>2200.9956709956709</v>
      </c>
      <c r="I18" s="3">
        <v>101686</v>
      </c>
      <c r="J18" s="6">
        <v>46.2</v>
      </c>
      <c r="K18" s="3">
        <f t="shared" si="18"/>
        <v>2239.6630565583637</v>
      </c>
      <c r="L18" s="3">
        <v>186116</v>
      </c>
      <c r="M18" s="6">
        <v>83.1</v>
      </c>
      <c r="N18" s="3">
        <f t="shared" si="19"/>
        <v>2123.2227488151661</v>
      </c>
      <c r="O18" s="3">
        <v>134400</v>
      </c>
      <c r="P18" s="6">
        <v>63.3</v>
      </c>
      <c r="Q18" s="3">
        <f t="shared" si="20"/>
        <v>2200.9956709956709</v>
      </c>
      <c r="R18" s="3">
        <v>101686</v>
      </c>
      <c r="S18" s="6">
        <v>46.2</v>
      </c>
      <c r="T18" s="3">
        <f t="shared" si="21"/>
        <v>2210.5652173913045</v>
      </c>
      <c r="U18" s="3">
        <v>101686</v>
      </c>
      <c r="V18" s="6">
        <v>46</v>
      </c>
      <c r="W18" s="3">
        <f t="shared" si="22"/>
        <v>2080.6166666666668</v>
      </c>
      <c r="X18" s="3">
        <v>124837</v>
      </c>
      <c r="Y18" s="6">
        <v>60</v>
      </c>
      <c r="Z18" s="3">
        <f t="shared" si="23"/>
        <v>2375.1091703056768</v>
      </c>
      <c r="AA18" s="3">
        <v>54390</v>
      </c>
      <c r="AB18" s="6">
        <v>22.9</v>
      </c>
      <c r="AC18" s="3">
        <f t="shared" si="24"/>
        <v>2185.9743589743589</v>
      </c>
      <c r="AD18" s="3">
        <v>85253</v>
      </c>
      <c r="AE18" s="6">
        <v>39</v>
      </c>
      <c r="AF18" s="3">
        <f t="shared" si="25"/>
        <v>2157.6346604215455</v>
      </c>
      <c r="AG18" s="3">
        <v>92131</v>
      </c>
      <c r="AH18" s="6">
        <v>42.7</v>
      </c>
      <c r="AI18" s="3">
        <f t="shared" si="26"/>
        <v>2275.732217573222</v>
      </c>
      <c r="AJ18" s="3">
        <v>54390</v>
      </c>
      <c r="AK18" s="6">
        <v>23.9</v>
      </c>
      <c r="AL18" s="3">
        <f t="shared" si="27"/>
        <v>2294.9367088607596</v>
      </c>
      <c r="AM18" s="3">
        <v>54390</v>
      </c>
      <c r="AN18" s="6">
        <v>23.7</v>
      </c>
      <c r="AO18" s="3">
        <f t="shared" si="12"/>
        <v>2195.1978648996874</v>
      </c>
      <c r="AP18" s="3">
        <f t="shared" si="15"/>
        <v>1192651</v>
      </c>
      <c r="AQ18" s="6">
        <f t="shared" si="14"/>
        <v>543.29999999999995</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20" t="s">
        <v>51</v>
      </c>
      <c r="B19" s="23"/>
      <c r="C19" s="23"/>
      <c r="D19" s="23"/>
      <c r="E19" s="3">
        <f t="shared" si="16"/>
        <v>1080.7777777777778</v>
      </c>
      <c r="F19" s="3">
        <v>116724</v>
      </c>
      <c r="G19" s="6">
        <v>108</v>
      </c>
      <c r="H19" s="3">
        <f t="shared" si="17"/>
        <v>1170.5908096280086</v>
      </c>
      <c r="I19" s="3">
        <v>106992</v>
      </c>
      <c r="J19" s="6">
        <v>91.4</v>
      </c>
      <c r="K19" s="3">
        <f t="shared" si="18"/>
        <v>1188.3885209713023</v>
      </c>
      <c r="L19" s="3">
        <v>161502</v>
      </c>
      <c r="M19" s="6">
        <v>135.9</v>
      </c>
      <c r="N19" s="3">
        <f t="shared" si="19"/>
        <v>1178.0184581976114</v>
      </c>
      <c r="O19" s="3">
        <v>216991</v>
      </c>
      <c r="P19" s="6">
        <v>184.2</v>
      </c>
      <c r="Q19" s="3">
        <f t="shared" si="20"/>
        <v>1155.3038674033151</v>
      </c>
      <c r="R19" s="3">
        <v>230021</v>
      </c>
      <c r="S19" s="6">
        <v>199.1</v>
      </c>
      <c r="T19" s="3">
        <f t="shared" si="21"/>
        <v>1120.8506787330316</v>
      </c>
      <c r="U19" s="3">
        <v>123854</v>
      </c>
      <c r="V19" s="6">
        <v>110.5</v>
      </c>
      <c r="W19" s="3">
        <f t="shared" si="22"/>
        <v>1162.5097868638538</v>
      </c>
      <c r="X19" s="3">
        <v>267261</v>
      </c>
      <c r="Y19" s="6">
        <v>229.9</v>
      </c>
      <c r="Z19" s="3">
        <f t="shared" si="23"/>
        <v>1148.2239720034995</v>
      </c>
      <c r="AA19" s="3">
        <v>131242</v>
      </c>
      <c r="AB19" s="6">
        <v>114.3</v>
      </c>
      <c r="AC19" s="3">
        <f t="shared" si="24"/>
        <v>1177.7595155709344</v>
      </c>
      <c r="AD19" s="3">
        <v>136149</v>
      </c>
      <c r="AE19" s="6">
        <v>115.6</v>
      </c>
      <c r="AF19" s="3">
        <f t="shared" si="25"/>
        <v>1108.0235988200591</v>
      </c>
      <c r="AG19" s="3">
        <v>150248</v>
      </c>
      <c r="AH19" s="6">
        <v>135.6</v>
      </c>
      <c r="AI19" s="3">
        <f t="shared" si="26"/>
        <v>1097.6384839650148</v>
      </c>
      <c r="AJ19" s="3">
        <v>75298</v>
      </c>
      <c r="AK19" s="6">
        <v>68.599999999999994</v>
      </c>
      <c r="AL19" s="3">
        <f t="shared" si="27"/>
        <v>1118.5995623632384</v>
      </c>
      <c r="AM19" s="3">
        <v>51120</v>
      </c>
      <c r="AN19" s="6">
        <v>45.7</v>
      </c>
      <c r="AO19" s="3">
        <f t="shared" si="12"/>
        <v>1148.5586171042373</v>
      </c>
      <c r="AP19" s="3">
        <f t="shared" si="15"/>
        <v>1767402</v>
      </c>
      <c r="AQ19" s="6">
        <f t="shared" si="14"/>
        <v>1538.7999999999997</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20" t="s">
        <v>32</v>
      </c>
      <c r="B20" s="23"/>
      <c r="C20" s="23"/>
      <c r="D20" s="23"/>
      <c r="E20" s="3">
        <f t="shared" si="16"/>
        <v>1007.0901639344263</v>
      </c>
      <c r="F20" s="3">
        <v>24573</v>
      </c>
      <c r="G20" s="6">
        <v>24.4</v>
      </c>
      <c r="H20" s="3">
        <f t="shared" si="17"/>
        <v>1072.6753246753246</v>
      </c>
      <c r="I20" s="3">
        <v>82596</v>
      </c>
      <c r="J20" s="6">
        <v>77</v>
      </c>
      <c r="K20" s="3">
        <f t="shared" si="18"/>
        <v>1114.4137931034484</v>
      </c>
      <c r="L20" s="3">
        <v>32318</v>
      </c>
      <c r="M20" s="6">
        <v>29</v>
      </c>
      <c r="N20" s="3">
        <f t="shared" si="19"/>
        <v>1201.0431654676258</v>
      </c>
      <c r="O20" s="3">
        <v>33389</v>
      </c>
      <c r="P20" s="6">
        <v>27.8</v>
      </c>
      <c r="Q20" s="3">
        <f t="shared" si="20"/>
        <v>1394.8514851485149</v>
      </c>
      <c r="R20" s="3">
        <v>28176</v>
      </c>
      <c r="S20" s="6">
        <v>20.2</v>
      </c>
      <c r="T20" s="3">
        <f t="shared" si="21"/>
        <v>1159.1914893617022</v>
      </c>
      <c r="U20" s="3">
        <v>54482</v>
      </c>
      <c r="V20" s="6">
        <v>47</v>
      </c>
      <c r="W20" s="3">
        <f t="shared" si="22"/>
        <v>1176.7549668874171</v>
      </c>
      <c r="X20" s="3">
        <v>35538</v>
      </c>
      <c r="Y20" s="6">
        <v>30.2</v>
      </c>
      <c r="Z20" s="3">
        <f t="shared" si="23"/>
        <v>1085.7614213197969</v>
      </c>
      <c r="AA20" s="3">
        <v>42779</v>
      </c>
      <c r="AB20" s="6">
        <v>39.4</v>
      </c>
      <c r="AC20" s="3">
        <f t="shared" si="24"/>
        <v>1213.6593059936909</v>
      </c>
      <c r="AD20" s="3">
        <v>38473</v>
      </c>
      <c r="AE20" s="6">
        <v>31.7</v>
      </c>
      <c r="AF20" s="3">
        <f t="shared" si="25"/>
        <v>1192.0993227990971</v>
      </c>
      <c r="AG20" s="3">
        <v>52810</v>
      </c>
      <c r="AH20" s="6">
        <v>44.3</v>
      </c>
      <c r="AI20" s="3">
        <f t="shared" si="26"/>
        <v>1153.4843205574914</v>
      </c>
      <c r="AJ20" s="3">
        <v>33105</v>
      </c>
      <c r="AK20" s="6">
        <v>28.7</v>
      </c>
      <c r="AL20" s="3">
        <f t="shared" si="27"/>
        <v>1248.2857142857142</v>
      </c>
      <c r="AM20" s="3">
        <v>48059</v>
      </c>
      <c r="AN20" s="6">
        <v>38.5</v>
      </c>
      <c r="AO20" s="3">
        <f t="shared" si="12"/>
        <v>1155.4039251483341</v>
      </c>
      <c r="AP20" s="3">
        <f t="shared" si="15"/>
        <v>506298</v>
      </c>
      <c r="AQ20" s="6">
        <f t="shared" si="14"/>
        <v>438.2</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20" t="s">
        <v>29</v>
      </c>
      <c r="B21" s="23"/>
      <c r="C21" s="23"/>
      <c r="D21" s="23"/>
      <c r="E21" s="3">
        <f t="shared" si="16"/>
        <v>2093.9403973509934</v>
      </c>
      <c r="F21" s="3">
        <v>63237</v>
      </c>
      <c r="G21" s="6">
        <v>30.2</v>
      </c>
      <c r="H21" s="3">
        <f t="shared" si="17"/>
        <v>2049.2537313432836</v>
      </c>
      <c r="I21" s="3">
        <v>27460</v>
      </c>
      <c r="J21" s="6">
        <v>13.4</v>
      </c>
      <c r="K21" s="3">
        <f t="shared" si="18"/>
        <v>1748.5087719298244</v>
      </c>
      <c r="L21" s="3">
        <v>79732</v>
      </c>
      <c r="M21" s="6">
        <v>45.6</v>
      </c>
      <c r="N21" s="3">
        <f t="shared" si="19"/>
        <v>2726.09375</v>
      </c>
      <c r="O21" s="3">
        <v>17447</v>
      </c>
      <c r="P21" s="6">
        <v>6.4</v>
      </c>
      <c r="Q21" s="3">
        <f t="shared" si="20"/>
        <v>2623.939393939394</v>
      </c>
      <c r="R21" s="3">
        <v>43295</v>
      </c>
      <c r="S21" s="6">
        <v>16.5</v>
      </c>
      <c r="T21" s="3" t="e">
        <f t="shared" si="21"/>
        <v>#DIV/0!</v>
      </c>
      <c r="U21" s="3">
        <v>0</v>
      </c>
      <c r="V21" s="6">
        <v>0</v>
      </c>
      <c r="W21" s="3">
        <f t="shared" si="22"/>
        <v>3015.6923076923076</v>
      </c>
      <c r="X21" s="3">
        <v>58806</v>
      </c>
      <c r="Y21" s="6">
        <v>19.5</v>
      </c>
      <c r="Z21" s="3">
        <f t="shared" si="23"/>
        <v>1934.2723004694835</v>
      </c>
      <c r="AA21" s="3">
        <v>41200</v>
      </c>
      <c r="AB21" s="6">
        <v>21.3</v>
      </c>
      <c r="AC21" s="3">
        <f t="shared" si="24"/>
        <v>2370.5555555555557</v>
      </c>
      <c r="AD21" s="3">
        <v>76806</v>
      </c>
      <c r="AE21" s="6">
        <v>32.4</v>
      </c>
      <c r="AF21" s="3">
        <f t="shared" si="25"/>
        <v>1740.5857740585775</v>
      </c>
      <c r="AG21" s="3">
        <v>83200</v>
      </c>
      <c r="AH21" s="6">
        <v>47.8</v>
      </c>
      <c r="AI21" s="3">
        <f t="shared" si="26"/>
        <v>2558.268398268398</v>
      </c>
      <c r="AJ21" s="3">
        <v>59096</v>
      </c>
      <c r="AK21" s="6">
        <v>23.1</v>
      </c>
      <c r="AL21" s="3">
        <f t="shared" si="27"/>
        <v>1546.2948207171314</v>
      </c>
      <c r="AM21" s="3">
        <v>38812</v>
      </c>
      <c r="AN21" s="6">
        <v>25.1</v>
      </c>
      <c r="AO21" s="3">
        <f t="shared" si="12"/>
        <v>2094.1734802701735</v>
      </c>
      <c r="AP21" s="3">
        <f t="shared" si="15"/>
        <v>589091</v>
      </c>
      <c r="AQ21" s="6">
        <f t="shared" si="14"/>
        <v>281.30000000000007</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20" t="s">
        <v>80</v>
      </c>
      <c r="B22" s="23"/>
      <c r="C22" s="23"/>
      <c r="D22" s="23"/>
      <c r="E22" s="3" t="e">
        <f t="shared" si="16"/>
        <v>#DIV/0!</v>
      </c>
      <c r="F22" s="3">
        <v>0</v>
      </c>
      <c r="G22" s="6">
        <v>0</v>
      </c>
      <c r="H22" s="3" t="e">
        <f t="shared" si="17"/>
        <v>#DIV/0!</v>
      </c>
      <c r="I22" s="3">
        <v>0</v>
      </c>
      <c r="J22" s="6">
        <v>0</v>
      </c>
      <c r="K22" s="3" t="e">
        <f t="shared" si="18"/>
        <v>#DIV/0!</v>
      </c>
      <c r="L22" s="3">
        <v>0</v>
      </c>
      <c r="M22" s="6">
        <v>0</v>
      </c>
      <c r="N22" s="3" t="e">
        <f t="shared" si="19"/>
        <v>#DIV/0!</v>
      </c>
      <c r="O22" s="3">
        <v>0</v>
      </c>
      <c r="P22" s="6">
        <v>0</v>
      </c>
      <c r="Q22" s="3" t="e">
        <f t="shared" si="20"/>
        <v>#DIV/0!</v>
      </c>
      <c r="R22" s="3">
        <v>0</v>
      </c>
      <c r="S22" s="6">
        <v>0</v>
      </c>
      <c r="T22" s="3">
        <f t="shared" si="21"/>
        <v>1092.8499999999999</v>
      </c>
      <c r="U22" s="3">
        <v>21857</v>
      </c>
      <c r="V22" s="6">
        <v>20</v>
      </c>
      <c r="W22" s="3" t="e">
        <f t="shared" si="22"/>
        <v>#DIV/0!</v>
      </c>
      <c r="X22" s="3">
        <v>0</v>
      </c>
      <c r="Y22" s="6">
        <v>0</v>
      </c>
      <c r="Z22" s="3" t="e">
        <f t="shared" si="23"/>
        <v>#DIV/0!</v>
      </c>
      <c r="AA22" s="3">
        <v>0</v>
      </c>
      <c r="AB22" s="6">
        <v>0</v>
      </c>
      <c r="AC22" s="3" t="e">
        <f t="shared" si="24"/>
        <v>#DIV/0!</v>
      </c>
      <c r="AD22" s="3">
        <v>0</v>
      </c>
      <c r="AE22" s="6">
        <v>0</v>
      </c>
      <c r="AF22" s="3" t="e">
        <f t="shared" si="25"/>
        <v>#DIV/0!</v>
      </c>
      <c r="AG22" s="3">
        <v>0</v>
      </c>
      <c r="AH22" s="6">
        <v>0</v>
      </c>
      <c r="AI22" s="3" t="e">
        <f t="shared" si="26"/>
        <v>#DIV/0!</v>
      </c>
      <c r="AJ22" s="3">
        <v>0</v>
      </c>
      <c r="AK22" s="6">
        <v>0</v>
      </c>
      <c r="AL22" s="3">
        <f t="shared" si="27"/>
        <v>1141.5333333333333</v>
      </c>
      <c r="AM22" s="3">
        <v>34246</v>
      </c>
      <c r="AN22" s="6">
        <v>30</v>
      </c>
      <c r="AO22" s="3">
        <f t="shared" si="12"/>
        <v>1122.06</v>
      </c>
      <c r="AP22" s="3">
        <f t="shared" si="15"/>
        <v>56103</v>
      </c>
      <c r="AQ22" s="6">
        <f t="shared" si="14"/>
        <v>50</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0" t="s">
        <v>48</v>
      </c>
      <c r="B23" s="23"/>
      <c r="C23" s="23"/>
      <c r="D23" s="23"/>
      <c r="E23" s="3">
        <f t="shared" si="16"/>
        <v>1212.3905723905725</v>
      </c>
      <c r="F23" s="3">
        <v>36008</v>
      </c>
      <c r="G23" s="6">
        <v>29.7</v>
      </c>
      <c r="H23" s="3">
        <f t="shared" si="17"/>
        <v>1228.1113801452786</v>
      </c>
      <c r="I23" s="3">
        <v>50721</v>
      </c>
      <c r="J23" s="6">
        <v>41.3</v>
      </c>
      <c r="K23" s="3" t="e">
        <f t="shared" si="18"/>
        <v>#DIV/0!</v>
      </c>
      <c r="L23" s="3">
        <v>0</v>
      </c>
      <c r="M23" s="6">
        <v>0</v>
      </c>
      <c r="N23" s="3">
        <f t="shared" si="19"/>
        <v>1192.5745856353592</v>
      </c>
      <c r="O23" s="3">
        <v>107928</v>
      </c>
      <c r="P23" s="6">
        <v>90.5</v>
      </c>
      <c r="Q23" s="3">
        <f t="shared" si="20"/>
        <v>1163.2251908396947</v>
      </c>
      <c r="R23" s="3">
        <v>60953</v>
      </c>
      <c r="S23" s="6">
        <v>52.4</v>
      </c>
      <c r="T23" s="3">
        <f t="shared" si="21"/>
        <v>1164.5812807881773</v>
      </c>
      <c r="U23" s="3">
        <v>23641</v>
      </c>
      <c r="V23" s="6">
        <v>20.3</v>
      </c>
      <c r="W23" s="3">
        <f t="shared" si="22"/>
        <v>1099.9416909620993</v>
      </c>
      <c r="X23" s="3">
        <v>37728</v>
      </c>
      <c r="Y23" s="6">
        <v>34.299999999999997</v>
      </c>
      <c r="Z23" s="3">
        <f t="shared" si="23"/>
        <v>1241.0537634408602</v>
      </c>
      <c r="AA23" s="3">
        <v>57709</v>
      </c>
      <c r="AB23" s="6">
        <v>46.5</v>
      </c>
      <c r="AC23" s="3">
        <f t="shared" si="24"/>
        <v>1286.055979643766</v>
      </c>
      <c r="AD23" s="3">
        <v>50542</v>
      </c>
      <c r="AE23" s="6">
        <v>39.299999999999997</v>
      </c>
      <c r="AF23" s="3">
        <f t="shared" si="25"/>
        <v>1185.5497382198953</v>
      </c>
      <c r="AG23" s="3">
        <v>22644</v>
      </c>
      <c r="AH23" s="6">
        <v>19.100000000000001</v>
      </c>
      <c r="AI23" s="3" t="e">
        <f t="shared" si="26"/>
        <v>#DIV/0!</v>
      </c>
      <c r="AJ23" s="3">
        <v>0</v>
      </c>
      <c r="AK23" s="6">
        <v>0</v>
      </c>
      <c r="AL23" s="3">
        <f t="shared" si="27"/>
        <v>1159.6309963099629</v>
      </c>
      <c r="AM23" s="3">
        <v>31426</v>
      </c>
      <c r="AN23" s="6">
        <v>27.1</v>
      </c>
      <c r="AO23" s="3">
        <f t="shared" si="12"/>
        <v>1196.7540574282145</v>
      </c>
      <c r="AP23" s="3">
        <f t="shared" si="15"/>
        <v>479300</v>
      </c>
      <c r="AQ23" s="6">
        <f t="shared" si="14"/>
        <v>400.50000000000006</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20" t="s">
        <v>52</v>
      </c>
      <c r="B24" s="23"/>
      <c r="C24" s="23"/>
      <c r="D24" s="23"/>
      <c r="E24" s="3">
        <f t="shared" si="16"/>
        <v>2254.3915343915346</v>
      </c>
      <c r="F24" s="3">
        <v>42608</v>
      </c>
      <c r="G24" s="6">
        <v>18.899999999999999</v>
      </c>
      <c r="H24" s="3">
        <f t="shared" si="17"/>
        <v>2658.9795918367345</v>
      </c>
      <c r="I24" s="3">
        <v>13029</v>
      </c>
      <c r="J24" s="6">
        <v>4.9000000000000004</v>
      </c>
      <c r="K24" s="3">
        <f t="shared" si="18"/>
        <v>2351.2592592592591</v>
      </c>
      <c r="L24" s="3">
        <v>31742</v>
      </c>
      <c r="M24" s="6">
        <v>13.5</v>
      </c>
      <c r="N24" s="3">
        <f t="shared" si="19"/>
        <v>2414.7761194029849</v>
      </c>
      <c r="O24" s="3">
        <v>32358</v>
      </c>
      <c r="P24" s="6">
        <v>13.4</v>
      </c>
      <c r="Q24" s="3" t="e">
        <f t="shared" si="20"/>
        <v>#DIV/0!</v>
      </c>
      <c r="R24" s="3">
        <v>0</v>
      </c>
      <c r="S24" s="6">
        <v>0</v>
      </c>
      <c r="T24" s="3">
        <f t="shared" si="21"/>
        <v>2133.7423312883434</v>
      </c>
      <c r="U24" s="3">
        <v>69560</v>
      </c>
      <c r="V24" s="6">
        <v>32.6</v>
      </c>
      <c r="W24" s="3">
        <f t="shared" si="22"/>
        <v>2487.19696969697</v>
      </c>
      <c r="X24" s="3">
        <v>32831</v>
      </c>
      <c r="Y24" s="6">
        <v>13.2</v>
      </c>
      <c r="Z24" s="3">
        <f t="shared" si="23"/>
        <v>2009.1794871794871</v>
      </c>
      <c r="AA24" s="3">
        <v>39179</v>
      </c>
      <c r="AB24" s="6">
        <v>19.5</v>
      </c>
      <c r="AC24" s="3">
        <f t="shared" si="24"/>
        <v>2287.5595238095239</v>
      </c>
      <c r="AD24" s="3">
        <v>76862</v>
      </c>
      <c r="AE24" s="6">
        <v>33.6</v>
      </c>
      <c r="AF24" s="3">
        <f t="shared" si="25"/>
        <v>2251.4285714285716</v>
      </c>
      <c r="AG24" s="3">
        <v>7880</v>
      </c>
      <c r="AH24" s="6">
        <v>3.5</v>
      </c>
      <c r="AI24" s="3">
        <f t="shared" si="26"/>
        <v>2609.3333333333335</v>
      </c>
      <c r="AJ24" s="3">
        <v>3914</v>
      </c>
      <c r="AK24" s="6">
        <v>1.5</v>
      </c>
      <c r="AL24" s="3">
        <f t="shared" si="27"/>
        <v>2366.5891472868216</v>
      </c>
      <c r="AM24" s="3">
        <v>30529</v>
      </c>
      <c r="AN24" s="6">
        <v>12.9</v>
      </c>
      <c r="AO24" s="3">
        <f t="shared" si="12"/>
        <v>2271.5940298507462</v>
      </c>
      <c r="AP24" s="3">
        <f t="shared" si="15"/>
        <v>380492</v>
      </c>
      <c r="AQ24" s="6">
        <f t="shared" si="14"/>
        <v>167.5</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20" t="s">
        <v>50</v>
      </c>
      <c r="B25" s="23"/>
      <c r="C25" s="23"/>
      <c r="D25" s="23"/>
      <c r="E25" s="3">
        <f t="shared" si="16"/>
        <v>1340</v>
      </c>
      <c r="F25" s="3">
        <v>26800</v>
      </c>
      <c r="G25" s="6">
        <v>20</v>
      </c>
      <c r="H25" s="3">
        <f t="shared" si="17"/>
        <v>2195.0537634408602</v>
      </c>
      <c r="I25" s="3">
        <v>20414</v>
      </c>
      <c r="J25" s="6">
        <v>9.3000000000000007</v>
      </c>
      <c r="K25" s="3">
        <f t="shared" si="18"/>
        <v>1305</v>
      </c>
      <c r="L25" s="3">
        <v>26100</v>
      </c>
      <c r="M25" s="6">
        <v>20</v>
      </c>
      <c r="N25" s="3" t="e">
        <f t="shared" si="19"/>
        <v>#DIV/0!</v>
      </c>
      <c r="O25" s="3">
        <v>0</v>
      </c>
      <c r="P25" s="6">
        <v>0</v>
      </c>
      <c r="Q25" s="3">
        <f t="shared" si="20"/>
        <v>1644.5454545454545</v>
      </c>
      <c r="R25" s="3">
        <v>50652</v>
      </c>
      <c r="S25" s="6">
        <v>30.8</v>
      </c>
      <c r="T25" s="3">
        <f t="shared" si="21"/>
        <v>1430</v>
      </c>
      <c r="U25" s="3">
        <v>28600</v>
      </c>
      <c r="V25" s="6">
        <v>20</v>
      </c>
      <c r="W25" s="3" t="e">
        <f t="shared" si="22"/>
        <v>#DIV/0!</v>
      </c>
      <c r="X25" s="3">
        <v>0</v>
      </c>
      <c r="Y25" s="6">
        <v>0</v>
      </c>
      <c r="Z25" s="3">
        <f t="shared" si="23"/>
        <v>1543.0739299610896</v>
      </c>
      <c r="AA25" s="3">
        <v>39657</v>
      </c>
      <c r="AB25" s="6">
        <v>25.7</v>
      </c>
      <c r="AC25" s="3">
        <f t="shared" si="24"/>
        <v>1520</v>
      </c>
      <c r="AD25" s="3">
        <v>30400</v>
      </c>
      <c r="AE25" s="6">
        <v>20</v>
      </c>
      <c r="AF25" s="3">
        <f t="shared" si="25"/>
        <v>2239.3269230769229</v>
      </c>
      <c r="AG25" s="3">
        <v>23289</v>
      </c>
      <c r="AH25" s="6">
        <v>10.4</v>
      </c>
      <c r="AI25" s="3">
        <f t="shared" si="26"/>
        <v>2256.0204081632651</v>
      </c>
      <c r="AJ25" s="3">
        <v>22109</v>
      </c>
      <c r="AK25" s="6">
        <v>9.8000000000000007</v>
      </c>
      <c r="AL25" s="3">
        <f t="shared" si="27"/>
        <v>1520</v>
      </c>
      <c r="AM25" s="3">
        <v>30400</v>
      </c>
      <c r="AN25" s="6">
        <v>20</v>
      </c>
      <c r="AO25" s="3">
        <f t="shared" si="12"/>
        <v>1604.4139784946235</v>
      </c>
      <c r="AP25" s="3">
        <f t="shared" si="15"/>
        <v>298421</v>
      </c>
      <c r="AQ25" s="6">
        <f t="shared" si="14"/>
        <v>186.00000000000003</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20" t="s">
        <v>18</v>
      </c>
      <c r="B26" s="23"/>
      <c r="C26" s="23"/>
      <c r="D26" s="23"/>
      <c r="E26" s="3">
        <f t="shared" si="16"/>
        <v>1149.7428958051421</v>
      </c>
      <c r="F26" s="3">
        <v>84966</v>
      </c>
      <c r="G26" s="6">
        <v>73.900000000000006</v>
      </c>
      <c r="H26" s="3">
        <f t="shared" si="17"/>
        <v>971.75150992234683</v>
      </c>
      <c r="I26" s="3">
        <v>112626</v>
      </c>
      <c r="J26" s="6">
        <v>115.9</v>
      </c>
      <c r="K26" s="3">
        <f t="shared" si="18"/>
        <v>1438.962962962963</v>
      </c>
      <c r="L26" s="3">
        <v>38852</v>
      </c>
      <c r="M26" s="6">
        <v>27</v>
      </c>
      <c r="N26" s="3">
        <f t="shared" si="19"/>
        <v>1021.4429109159347</v>
      </c>
      <c r="O26" s="3">
        <v>81409</v>
      </c>
      <c r="P26" s="6">
        <v>79.7</v>
      </c>
      <c r="Q26" s="3">
        <f t="shared" si="20"/>
        <v>1016.1421319796954</v>
      </c>
      <c r="R26" s="3">
        <v>60054</v>
      </c>
      <c r="S26" s="6">
        <v>59.1</v>
      </c>
      <c r="T26" s="3">
        <f t="shared" si="21"/>
        <v>1034.1951710261569</v>
      </c>
      <c r="U26" s="3">
        <v>102799</v>
      </c>
      <c r="V26" s="6">
        <v>99.4</v>
      </c>
      <c r="W26" s="3">
        <f t="shared" si="22"/>
        <v>961.23188405797111</v>
      </c>
      <c r="X26" s="3">
        <v>92855</v>
      </c>
      <c r="Y26" s="6">
        <v>96.6</v>
      </c>
      <c r="Z26" s="3">
        <f t="shared" si="23"/>
        <v>1085.9726295210166</v>
      </c>
      <c r="AA26" s="3">
        <v>111095</v>
      </c>
      <c r="AB26" s="6">
        <v>102.3</v>
      </c>
      <c r="AC26" s="3">
        <f t="shared" si="24"/>
        <v>890.10362694300511</v>
      </c>
      <c r="AD26" s="3">
        <v>68716</v>
      </c>
      <c r="AE26" s="6">
        <v>77.2</v>
      </c>
      <c r="AF26" s="3">
        <f t="shared" si="25"/>
        <v>1014.3765281173595</v>
      </c>
      <c r="AG26" s="3">
        <v>41488</v>
      </c>
      <c r="AH26" s="6">
        <v>40.9</v>
      </c>
      <c r="AI26" s="3">
        <f t="shared" si="26"/>
        <v>1097.9710144927535</v>
      </c>
      <c r="AJ26" s="3">
        <v>189400</v>
      </c>
      <c r="AK26" s="6">
        <v>172.5</v>
      </c>
      <c r="AL26" s="3">
        <f t="shared" si="27"/>
        <v>3567.25</v>
      </c>
      <c r="AM26" s="3">
        <v>28538</v>
      </c>
      <c r="AN26" s="6">
        <v>8</v>
      </c>
      <c r="AO26" s="3">
        <f t="shared" si="12"/>
        <v>1063.3049868766404</v>
      </c>
      <c r="AP26" s="3">
        <f t="shared" si="15"/>
        <v>1012798</v>
      </c>
      <c r="AQ26" s="6">
        <f t="shared" si="14"/>
        <v>952.5</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20" t="s">
        <v>22</v>
      </c>
      <c r="B27" s="23"/>
      <c r="C27" s="23"/>
      <c r="D27" s="23"/>
      <c r="E27" s="3">
        <f t="shared" si="16"/>
        <v>1991.9078947368423</v>
      </c>
      <c r="F27" s="3">
        <v>30277</v>
      </c>
      <c r="G27" s="6">
        <v>15.2</v>
      </c>
      <c r="H27" s="3">
        <f t="shared" si="17"/>
        <v>1858.1690140845071</v>
      </c>
      <c r="I27" s="3">
        <v>13193</v>
      </c>
      <c r="J27" s="6">
        <v>7.1</v>
      </c>
      <c r="K27" s="3">
        <f t="shared" si="18"/>
        <v>1868.3221476510066</v>
      </c>
      <c r="L27" s="3">
        <v>83514</v>
      </c>
      <c r="M27" s="6">
        <v>44.7</v>
      </c>
      <c r="N27" s="3">
        <f t="shared" si="19"/>
        <v>1845.6872037914691</v>
      </c>
      <c r="O27" s="3">
        <v>38944</v>
      </c>
      <c r="P27" s="6">
        <v>21.1</v>
      </c>
      <c r="Q27" s="3">
        <f t="shared" si="20"/>
        <v>3319.5384615384614</v>
      </c>
      <c r="R27" s="3">
        <v>151039</v>
      </c>
      <c r="S27" s="6">
        <v>45.5</v>
      </c>
      <c r="T27" s="3">
        <f t="shared" si="21"/>
        <v>1860.3496503496503</v>
      </c>
      <c r="U27" s="3">
        <v>26603</v>
      </c>
      <c r="V27" s="6">
        <v>14.3</v>
      </c>
      <c r="W27" s="3">
        <f t="shared" si="22"/>
        <v>1853.5416666666667</v>
      </c>
      <c r="X27" s="3">
        <v>8897</v>
      </c>
      <c r="Y27" s="6">
        <v>4.8</v>
      </c>
      <c r="Z27" s="3">
        <f t="shared" si="23"/>
        <v>1440.4651162790697</v>
      </c>
      <c r="AA27" s="3">
        <v>30970</v>
      </c>
      <c r="AB27" s="6">
        <v>21.5</v>
      </c>
      <c r="AC27" s="3">
        <f t="shared" si="24"/>
        <v>1485.4674220963175</v>
      </c>
      <c r="AD27" s="3">
        <v>52437</v>
      </c>
      <c r="AE27" s="6">
        <v>35.299999999999997</v>
      </c>
      <c r="AF27" s="3">
        <f t="shared" si="25"/>
        <v>1347.8333333333333</v>
      </c>
      <c r="AG27" s="3">
        <v>24261</v>
      </c>
      <c r="AH27" s="6">
        <v>18</v>
      </c>
      <c r="AI27" s="3">
        <f t="shared" si="26"/>
        <v>1892.2727272727275</v>
      </c>
      <c r="AJ27" s="3">
        <v>49956</v>
      </c>
      <c r="AK27" s="6">
        <v>26.4</v>
      </c>
      <c r="AL27" s="3">
        <f t="shared" si="27"/>
        <v>1428.5185185185187</v>
      </c>
      <c r="AM27" s="3">
        <v>26999</v>
      </c>
      <c r="AN27" s="6">
        <v>18.899999999999999</v>
      </c>
      <c r="AO27" s="3">
        <f t="shared" si="12"/>
        <v>1968.8049853372434</v>
      </c>
      <c r="AP27" s="3">
        <f t="shared" si="15"/>
        <v>537090</v>
      </c>
      <c r="AQ27" s="6">
        <f t="shared" si="14"/>
        <v>272.8</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20" t="s">
        <v>58</v>
      </c>
      <c r="B28" s="23"/>
      <c r="C28" s="23"/>
      <c r="D28" s="23"/>
      <c r="E28" s="3">
        <f t="shared" si="16"/>
        <v>1260.168776371308</v>
      </c>
      <c r="F28" s="3">
        <v>29866</v>
      </c>
      <c r="G28" s="6">
        <v>23.7</v>
      </c>
      <c r="H28" s="3">
        <f t="shared" si="17"/>
        <v>1269.742198100407</v>
      </c>
      <c r="I28" s="3">
        <v>93580</v>
      </c>
      <c r="J28" s="6">
        <v>73.7</v>
      </c>
      <c r="K28" s="3">
        <f t="shared" si="18"/>
        <v>1429.7925311203319</v>
      </c>
      <c r="L28" s="3">
        <v>34458</v>
      </c>
      <c r="M28" s="6">
        <v>24.1</v>
      </c>
      <c r="N28" s="3">
        <f t="shared" si="19"/>
        <v>1268.8538681948426</v>
      </c>
      <c r="O28" s="3">
        <v>88566</v>
      </c>
      <c r="P28" s="6">
        <v>69.8</v>
      </c>
      <c r="Q28" s="3">
        <f t="shared" si="20"/>
        <v>1305.9848484848485</v>
      </c>
      <c r="R28" s="3">
        <v>103434</v>
      </c>
      <c r="S28" s="6">
        <v>79.2</v>
      </c>
      <c r="T28" s="3">
        <f t="shared" si="21"/>
        <v>1200.2097902097901</v>
      </c>
      <c r="U28" s="3">
        <v>68652</v>
      </c>
      <c r="V28" s="6">
        <v>57.2</v>
      </c>
      <c r="W28" s="3">
        <f t="shared" si="22"/>
        <v>1233.352435530086</v>
      </c>
      <c r="X28" s="3">
        <v>86088</v>
      </c>
      <c r="Y28" s="6">
        <v>69.8</v>
      </c>
      <c r="Z28" s="3">
        <f t="shared" si="23"/>
        <v>1340.3324808184143</v>
      </c>
      <c r="AA28" s="3">
        <v>104814</v>
      </c>
      <c r="AB28" s="6">
        <v>78.2</v>
      </c>
      <c r="AC28" s="3">
        <f t="shared" si="24"/>
        <v>1170.0836320191158</v>
      </c>
      <c r="AD28" s="3">
        <v>97936</v>
      </c>
      <c r="AE28" s="6">
        <v>83.7</v>
      </c>
      <c r="AF28" s="3">
        <f t="shared" si="25"/>
        <v>1542.2996515679442</v>
      </c>
      <c r="AG28" s="3">
        <v>44264</v>
      </c>
      <c r="AH28" s="6">
        <v>28.7</v>
      </c>
      <c r="AI28" s="3">
        <f t="shared" si="26"/>
        <v>1237.8477905073648</v>
      </c>
      <c r="AJ28" s="3">
        <v>151265</v>
      </c>
      <c r="AK28" s="6">
        <v>122.2</v>
      </c>
      <c r="AL28" s="3">
        <f t="shared" si="27"/>
        <v>1175.8951965065503</v>
      </c>
      <c r="AM28" s="3">
        <v>26928</v>
      </c>
      <c r="AN28" s="6">
        <v>22.9</v>
      </c>
      <c r="AO28" s="3">
        <f t="shared" si="12"/>
        <v>1268.2092198581558</v>
      </c>
      <c r="AP28" s="3">
        <f t="shared" si="15"/>
        <v>929851</v>
      </c>
      <c r="AQ28" s="6">
        <f t="shared" si="14"/>
        <v>733.2</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20" t="s">
        <v>81</v>
      </c>
      <c r="B29" s="23"/>
      <c r="C29" s="23"/>
      <c r="D29" s="23"/>
      <c r="E29" s="3">
        <f t="shared" si="16"/>
        <v>1271.328320802005</v>
      </c>
      <c r="F29" s="3">
        <v>50726</v>
      </c>
      <c r="G29" s="6">
        <v>39.9</v>
      </c>
      <c r="H29" s="3" t="e">
        <f t="shared" si="17"/>
        <v>#DIV/0!</v>
      </c>
      <c r="I29" s="3">
        <v>0</v>
      </c>
      <c r="J29" s="6">
        <v>0</v>
      </c>
      <c r="K29" s="3">
        <f t="shared" si="18"/>
        <v>1153.8864628820961</v>
      </c>
      <c r="L29" s="3">
        <v>26424</v>
      </c>
      <c r="M29" s="6">
        <v>22.9</v>
      </c>
      <c r="N29" s="3">
        <f t="shared" si="19"/>
        <v>1180.7874015748032</v>
      </c>
      <c r="O29" s="3">
        <v>29992</v>
      </c>
      <c r="P29" s="6">
        <v>25.4</v>
      </c>
      <c r="Q29" s="3">
        <f t="shared" si="20"/>
        <v>1241.8564356435645</v>
      </c>
      <c r="R29" s="3">
        <v>50171</v>
      </c>
      <c r="S29" s="6">
        <v>40.4</v>
      </c>
      <c r="T29" s="3">
        <f t="shared" si="21"/>
        <v>1128.0525164113785</v>
      </c>
      <c r="U29" s="3">
        <v>51552</v>
      </c>
      <c r="V29" s="6">
        <v>45.7</v>
      </c>
      <c r="W29" s="3">
        <f t="shared" si="22"/>
        <v>1135.0218340611355</v>
      </c>
      <c r="X29" s="3">
        <v>25992</v>
      </c>
      <c r="Y29" s="6">
        <v>22.9</v>
      </c>
      <c r="Z29" s="3" t="e">
        <f t="shared" si="23"/>
        <v>#DIV/0!</v>
      </c>
      <c r="AA29" s="3">
        <v>0</v>
      </c>
      <c r="AB29" s="6">
        <v>0</v>
      </c>
      <c r="AC29" s="3">
        <f t="shared" si="24"/>
        <v>1204.2201834862385</v>
      </c>
      <c r="AD29" s="3">
        <v>78756</v>
      </c>
      <c r="AE29" s="6">
        <v>65.400000000000006</v>
      </c>
      <c r="AF29" s="3" t="e">
        <f t="shared" si="25"/>
        <v>#DIV/0!</v>
      </c>
      <c r="AG29" s="3">
        <v>0</v>
      </c>
      <c r="AH29" s="6">
        <v>0</v>
      </c>
      <c r="AI29" s="3">
        <f t="shared" si="26"/>
        <v>1131.8777292576419</v>
      </c>
      <c r="AJ29" s="3">
        <v>25920</v>
      </c>
      <c r="AK29" s="6">
        <v>22.9</v>
      </c>
      <c r="AL29" s="3">
        <f t="shared" si="27"/>
        <v>1153.8864628820961</v>
      </c>
      <c r="AM29" s="3">
        <v>26424</v>
      </c>
      <c r="AN29" s="6">
        <v>22.9</v>
      </c>
      <c r="AO29" s="3">
        <f t="shared" si="12"/>
        <v>1186.6309987029833</v>
      </c>
      <c r="AP29" s="3">
        <f t="shared" si="15"/>
        <v>365957</v>
      </c>
      <c r="AQ29" s="6">
        <f t="shared" si="14"/>
        <v>308.39999999999998</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0" t="s">
        <v>40</v>
      </c>
      <c r="B30" s="23"/>
      <c r="C30" s="23"/>
      <c r="D30" s="23"/>
      <c r="E30" s="3">
        <f t="shared" si="16"/>
        <v>1476.328125</v>
      </c>
      <c r="F30" s="3">
        <v>37794</v>
      </c>
      <c r="G30" s="6">
        <v>25.6</v>
      </c>
      <c r="H30" s="3">
        <f t="shared" si="17"/>
        <v>2012.5806451612902</v>
      </c>
      <c r="I30" s="3">
        <v>6239</v>
      </c>
      <c r="J30" s="6">
        <v>3.1</v>
      </c>
      <c r="K30" s="3">
        <f t="shared" si="18"/>
        <v>1856.4423076923076</v>
      </c>
      <c r="L30" s="3">
        <v>19307</v>
      </c>
      <c r="M30" s="6">
        <v>10.4</v>
      </c>
      <c r="N30" s="3">
        <f t="shared" si="19"/>
        <v>1428.0633802816901</v>
      </c>
      <c r="O30" s="3">
        <v>40557</v>
      </c>
      <c r="P30" s="6">
        <v>28.4</v>
      </c>
      <c r="Q30" s="3">
        <f t="shared" si="20"/>
        <v>1303.3678756476684</v>
      </c>
      <c r="R30" s="3">
        <v>25155</v>
      </c>
      <c r="S30" s="6">
        <v>19.3</v>
      </c>
      <c r="T30" s="3">
        <f t="shared" si="21"/>
        <v>1349.441489361702</v>
      </c>
      <c r="U30" s="3">
        <v>50739</v>
      </c>
      <c r="V30" s="6">
        <v>37.6</v>
      </c>
      <c r="W30" s="3">
        <f t="shared" si="22"/>
        <v>1500.5882352941176</v>
      </c>
      <c r="X30" s="3">
        <v>12755</v>
      </c>
      <c r="Y30" s="6">
        <v>8.5</v>
      </c>
      <c r="Z30" s="3">
        <f t="shared" si="23"/>
        <v>1222.6666666666667</v>
      </c>
      <c r="AA30" s="3">
        <v>49518</v>
      </c>
      <c r="AB30" s="6">
        <v>40.5</v>
      </c>
      <c r="AC30" s="3" t="e">
        <f t="shared" si="24"/>
        <v>#DIV/0!</v>
      </c>
      <c r="AD30" s="3">
        <v>0</v>
      </c>
      <c r="AE30" s="6">
        <v>0</v>
      </c>
      <c r="AF30" s="3">
        <f t="shared" si="25"/>
        <v>1198.90625</v>
      </c>
      <c r="AG30" s="3">
        <v>7673</v>
      </c>
      <c r="AH30" s="6">
        <v>6.4</v>
      </c>
      <c r="AI30" s="3">
        <f t="shared" si="26"/>
        <v>2382.0689655172414</v>
      </c>
      <c r="AJ30" s="3">
        <v>13816</v>
      </c>
      <c r="AK30" s="6">
        <v>5.8</v>
      </c>
      <c r="AL30" s="3">
        <f t="shared" si="27"/>
        <v>1719.6923076923076</v>
      </c>
      <c r="AM30" s="3">
        <v>22356</v>
      </c>
      <c r="AN30" s="6">
        <v>13</v>
      </c>
      <c r="AO30" s="3">
        <f t="shared" si="12"/>
        <v>1439.622356495468</v>
      </c>
      <c r="AP30" s="3">
        <f t="shared" si="15"/>
        <v>285909</v>
      </c>
      <c r="AQ30" s="6">
        <f t="shared" si="14"/>
        <v>198.60000000000002</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20" t="s">
        <v>19</v>
      </c>
      <c r="B31" s="23"/>
      <c r="C31" s="23"/>
      <c r="D31" s="23"/>
      <c r="E31" s="3" t="e">
        <f t="shared" si="16"/>
        <v>#DIV/0!</v>
      </c>
      <c r="F31" s="3">
        <v>0</v>
      </c>
      <c r="G31" s="6">
        <v>0</v>
      </c>
      <c r="H31" s="3" t="e">
        <f t="shared" si="17"/>
        <v>#DIV/0!</v>
      </c>
      <c r="I31" s="3">
        <v>0</v>
      </c>
      <c r="J31" s="6">
        <v>0</v>
      </c>
      <c r="K31" s="3" t="e">
        <f t="shared" si="18"/>
        <v>#DIV/0!</v>
      </c>
      <c r="L31" s="3">
        <v>0</v>
      </c>
      <c r="M31" s="6">
        <v>0</v>
      </c>
      <c r="N31" s="3" t="e">
        <f t="shared" si="19"/>
        <v>#DIV/0!</v>
      </c>
      <c r="O31" s="3">
        <v>0</v>
      </c>
      <c r="P31" s="6">
        <v>0</v>
      </c>
      <c r="Q31" s="3" t="e">
        <f t="shared" si="20"/>
        <v>#DIV/0!</v>
      </c>
      <c r="R31" s="3">
        <v>0</v>
      </c>
      <c r="S31" s="6">
        <v>0</v>
      </c>
      <c r="T31" s="3" t="e">
        <f t="shared" si="21"/>
        <v>#DIV/0!</v>
      </c>
      <c r="U31" s="3">
        <v>0</v>
      </c>
      <c r="V31" s="6">
        <v>0</v>
      </c>
      <c r="W31" s="3" t="e">
        <f t="shared" si="22"/>
        <v>#DIV/0!</v>
      </c>
      <c r="X31" s="3">
        <v>0</v>
      </c>
      <c r="Y31" s="6">
        <v>0</v>
      </c>
      <c r="Z31" s="3" t="e">
        <f t="shared" si="23"/>
        <v>#DIV/0!</v>
      </c>
      <c r="AA31" s="3">
        <v>0</v>
      </c>
      <c r="AB31" s="6">
        <v>0</v>
      </c>
      <c r="AC31" s="3">
        <f t="shared" si="24"/>
        <v>1724.4736842105265</v>
      </c>
      <c r="AD31" s="3">
        <v>6553</v>
      </c>
      <c r="AE31" s="6">
        <v>3.8</v>
      </c>
      <c r="AF31" s="3" t="e">
        <f t="shared" si="25"/>
        <v>#DIV/0!</v>
      </c>
      <c r="AG31" s="3">
        <v>0</v>
      </c>
      <c r="AH31" s="6">
        <v>0</v>
      </c>
      <c r="AI31" s="3" t="e">
        <f t="shared" si="26"/>
        <v>#DIV/0!</v>
      </c>
      <c r="AJ31" s="3">
        <v>0</v>
      </c>
      <c r="AK31" s="6">
        <v>0</v>
      </c>
      <c r="AL31" s="3">
        <f t="shared" si="27"/>
        <v>1422.012987012987</v>
      </c>
      <c r="AM31" s="3">
        <v>21899</v>
      </c>
      <c r="AN31" s="6">
        <v>15.4</v>
      </c>
      <c r="AO31" s="3">
        <f t="shared" si="12"/>
        <v>1481.875</v>
      </c>
      <c r="AP31" s="3">
        <f t="shared" si="15"/>
        <v>28452</v>
      </c>
      <c r="AQ31" s="6">
        <f t="shared" si="14"/>
        <v>19.2</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20" t="s">
        <v>59</v>
      </c>
      <c r="B32" s="23"/>
      <c r="C32" s="23"/>
      <c r="D32" s="23"/>
      <c r="E32" s="3">
        <f t="shared" si="16"/>
        <v>1378.695652173913</v>
      </c>
      <c r="F32" s="3">
        <v>22197</v>
      </c>
      <c r="G32" s="6">
        <v>16.100000000000001</v>
      </c>
      <c r="H32" s="3">
        <f t="shared" si="17"/>
        <v>1844.3918918918919</v>
      </c>
      <c r="I32" s="3">
        <v>27297</v>
      </c>
      <c r="J32" s="6">
        <v>14.8</v>
      </c>
      <c r="K32" s="3">
        <f t="shared" si="18"/>
        <v>1281.0382513661202</v>
      </c>
      <c r="L32" s="3">
        <v>23443</v>
      </c>
      <c r="M32" s="6">
        <v>18.3</v>
      </c>
      <c r="N32" s="3">
        <f t="shared" si="19"/>
        <v>1962.3529411764705</v>
      </c>
      <c r="O32" s="3">
        <v>23352</v>
      </c>
      <c r="P32" s="6">
        <v>11.9</v>
      </c>
      <c r="Q32" s="3">
        <f t="shared" si="20"/>
        <v>1958.018018018018</v>
      </c>
      <c r="R32" s="3">
        <v>21734</v>
      </c>
      <c r="S32" s="6">
        <v>11.1</v>
      </c>
      <c r="T32" s="3">
        <f t="shared" si="21"/>
        <v>1844.3243243243242</v>
      </c>
      <c r="U32" s="3">
        <v>13648</v>
      </c>
      <c r="V32" s="6">
        <v>7.4</v>
      </c>
      <c r="W32" s="3">
        <f t="shared" si="22"/>
        <v>1591.3793103448277</v>
      </c>
      <c r="X32" s="3">
        <v>4615</v>
      </c>
      <c r="Y32" s="6">
        <v>2.9</v>
      </c>
      <c r="Z32" s="3">
        <f t="shared" si="23"/>
        <v>2067.878787878788</v>
      </c>
      <c r="AA32" s="3">
        <v>27296</v>
      </c>
      <c r="AB32" s="6">
        <v>13.2</v>
      </c>
      <c r="AC32" s="3" t="e">
        <f t="shared" si="24"/>
        <v>#DIV/0!</v>
      </c>
      <c r="AD32" s="3">
        <v>0</v>
      </c>
      <c r="AE32" s="6">
        <v>0</v>
      </c>
      <c r="AF32" s="3" t="e">
        <f t="shared" si="25"/>
        <v>#DIV/0!</v>
      </c>
      <c r="AG32" s="3">
        <v>0</v>
      </c>
      <c r="AH32" s="6">
        <v>0</v>
      </c>
      <c r="AI32" s="3" t="e">
        <f t="shared" si="26"/>
        <v>#DIV/0!</v>
      </c>
      <c r="AJ32" s="3">
        <v>0</v>
      </c>
      <c r="AK32" s="6">
        <v>0</v>
      </c>
      <c r="AL32" s="3">
        <f t="shared" si="27"/>
        <v>1687.1653543307089</v>
      </c>
      <c r="AM32" s="3">
        <v>21427</v>
      </c>
      <c r="AN32" s="6">
        <v>12.7</v>
      </c>
      <c r="AO32" s="3">
        <f t="shared" si="12"/>
        <v>1706.7250922509222</v>
      </c>
      <c r="AP32" s="3">
        <f t="shared" si="15"/>
        <v>185009</v>
      </c>
      <c r="AQ32" s="6">
        <f t="shared" si="14"/>
        <v>108.40000000000002</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20" t="s">
        <v>49</v>
      </c>
      <c r="B33" s="23"/>
      <c r="C33" s="23"/>
      <c r="D33" s="23"/>
      <c r="E33" s="3">
        <f t="shared" si="16"/>
        <v>1185.933734939759</v>
      </c>
      <c r="F33" s="3">
        <v>39373</v>
      </c>
      <c r="G33" s="6">
        <v>33.200000000000003</v>
      </c>
      <c r="H33" s="3">
        <f t="shared" si="17"/>
        <v>1443.578947368421</v>
      </c>
      <c r="I33" s="3">
        <v>13714</v>
      </c>
      <c r="J33" s="6">
        <v>9.5</v>
      </c>
      <c r="K33" s="3">
        <f t="shared" si="18"/>
        <v>1345.3711790393013</v>
      </c>
      <c r="L33" s="3">
        <v>30809</v>
      </c>
      <c r="M33" s="6">
        <v>22.9</v>
      </c>
      <c r="N33" s="3">
        <f t="shared" si="19"/>
        <v>1585.4761904761904</v>
      </c>
      <c r="O33" s="3">
        <v>13318</v>
      </c>
      <c r="P33" s="6">
        <v>8.4</v>
      </c>
      <c r="Q33" s="3">
        <f t="shared" si="20"/>
        <v>1726.4556962025315</v>
      </c>
      <c r="R33" s="3">
        <v>13639</v>
      </c>
      <c r="S33" s="6">
        <v>7.9</v>
      </c>
      <c r="T33" s="3">
        <f t="shared" si="21"/>
        <v>1814.6153846153848</v>
      </c>
      <c r="U33" s="3">
        <v>14154</v>
      </c>
      <c r="V33" s="6">
        <v>7.8</v>
      </c>
      <c r="W33" s="3">
        <f t="shared" si="22"/>
        <v>1615.5714285714287</v>
      </c>
      <c r="X33" s="3">
        <v>11309</v>
      </c>
      <c r="Y33" s="6">
        <v>7</v>
      </c>
      <c r="Z33" s="3">
        <f t="shared" si="23"/>
        <v>1590.2290076335878</v>
      </c>
      <c r="AA33" s="3">
        <v>20832</v>
      </c>
      <c r="AB33" s="6">
        <v>13.1</v>
      </c>
      <c r="AC33" s="3">
        <f t="shared" si="24"/>
        <v>1683.1081081081081</v>
      </c>
      <c r="AD33" s="3">
        <v>12455</v>
      </c>
      <c r="AE33" s="6">
        <v>7.4</v>
      </c>
      <c r="AF33" s="3">
        <f t="shared" si="25"/>
        <v>1624.2063492063492</v>
      </c>
      <c r="AG33" s="3">
        <v>20465</v>
      </c>
      <c r="AH33" s="6">
        <v>12.6</v>
      </c>
      <c r="AI33" s="3">
        <f t="shared" si="26"/>
        <v>1444.8292682926829</v>
      </c>
      <c r="AJ33" s="3">
        <v>29619</v>
      </c>
      <c r="AK33" s="6">
        <v>20.5</v>
      </c>
      <c r="AL33" s="3">
        <f t="shared" si="27"/>
        <v>1728.913043478261</v>
      </c>
      <c r="AM33" s="3">
        <v>15906</v>
      </c>
      <c r="AN33" s="6">
        <v>9.1999999999999993</v>
      </c>
      <c r="AO33" s="3">
        <f t="shared" si="12"/>
        <v>1477.0721003134797</v>
      </c>
      <c r="AP33" s="3">
        <f t="shared" si="15"/>
        <v>235593</v>
      </c>
      <c r="AQ33" s="6">
        <f t="shared" si="14"/>
        <v>159.5</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0" t="s">
        <v>37</v>
      </c>
      <c r="B34" s="23"/>
      <c r="C34" s="23"/>
      <c r="D34" s="23"/>
      <c r="E34" s="3" t="e">
        <f t="shared" si="16"/>
        <v>#DIV/0!</v>
      </c>
      <c r="F34" s="3">
        <v>0</v>
      </c>
      <c r="G34" s="6">
        <v>0</v>
      </c>
      <c r="H34" s="3" t="e">
        <f t="shared" si="17"/>
        <v>#DIV/0!</v>
      </c>
      <c r="I34" s="3">
        <v>0</v>
      </c>
      <c r="J34" s="6">
        <v>0</v>
      </c>
      <c r="K34" s="3">
        <f t="shared" si="18"/>
        <v>1256.8502415458938</v>
      </c>
      <c r="L34" s="3">
        <v>130084</v>
      </c>
      <c r="M34" s="6">
        <v>103.5</v>
      </c>
      <c r="N34" s="3">
        <f t="shared" si="19"/>
        <v>1710.5555555555554</v>
      </c>
      <c r="O34" s="3">
        <v>3079</v>
      </c>
      <c r="P34" s="6">
        <v>1.8</v>
      </c>
      <c r="Q34" s="3" t="e">
        <f t="shared" si="20"/>
        <v>#DIV/0!</v>
      </c>
      <c r="R34" s="3">
        <v>0</v>
      </c>
      <c r="S34" s="6">
        <v>0</v>
      </c>
      <c r="T34" s="3" t="e">
        <f t="shared" si="21"/>
        <v>#DIV/0!</v>
      </c>
      <c r="U34" s="3">
        <v>0</v>
      </c>
      <c r="V34" s="6">
        <v>0</v>
      </c>
      <c r="W34" s="3" t="e">
        <f t="shared" si="22"/>
        <v>#DIV/0!</v>
      </c>
      <c r="X34" s="3">
        <v>0</v>
      </c>
      <c r="Y34" s="6">
        <v>0</v>
      </c>
      <c r="Z34" s="3" t="e">
        <f t="shared" si="23"/>
        <v>#DIV/0!</v>
      </c>
      <c r="AA34" s="3">
        <v>0</v>
      </c>
      <c r="AB34" s="6">
        <v>0</v>
      </c>
      <c r="AC34" s="3" t="e">
        <f t="shared" si="24"/>
        <v>#DIV/0!</v>
      </c>
      <c r="AD34" s="3">
        <v>0</v>
      </c>
      <c r="AE34" s="6">
        <v>0</v>
      </c>
      <c r="AF34" s="3">
        <f t="shared" si="25"/>
        <v>3240</v>
      </c>
      <c r="AG34" s="3">
        <v>13608</v>
      </c>
      <c r="AH34" s="6">
        <v>4.2</v>
      </c>
      <c r="AI34" s="3" t="e">
        <f t="shared" si="26"/>
        <v>#DIV/0!</v>
      </c>
      <c r="AJ34" s="3">
        <v>0</v>
      </c>
      <c r="AK34" s="6">
        <v>0</v>
      </c>
      <c r="AL34" s="3">
        <f t="shared" si="27"/>
        <v>1744.1860465116281</v>
      </c>
      <c r="AM34" s="3">
        <v>7500</v>
      </c>
      <c r="AN34" s="6">
        <v>4.3</v>
      </c>
      <c r="AO34" s="3">
        <f t="shared" si="12"/>
        <v>1355.6326889279437</v>
      </c>
      <c r="AP34" s="3">
        <f t="shared" si="15"/>
        <v>154271</v>
      </c>
      <c r="AQ34" s="6">
        <f t="shared" si="14"/>
        <v>113.8</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20" t="s">
        <v>60</v>
      </c>
      <c r="B35" s="23"/>
      <c r="C35" s="23"/>
      <c r="D35" s="23"/>
      <c r="E35" s="3">
        <f t="shared" si="16"/>
        <v>1346.3</v>
      </c>
      <c r="F35" s="3">
        <v>26926</v>
      </c>
      <c r="G35" s="6">
        <v>20</v>
      </c>
      <c r="H35" s="3">
        <f t="shared" si="17"/>
        <v>1343.15</v>
      </c>
      <c r="I35" s="3">
        <v>26863</v>
      </c>
      <c r="J35" s="6">
        <v>20</v>
      </c>
      <c r="K35" s="3" t="e">
        <f t="shared" si="18"/>
        <v>#DIV/0!</v>
      </c>
      <c r="L35" s="3">
        <v>0</v>
      </c>
      <c r="M35" s="6">
        <v>0</v>
      </c>
      <c r="N35" s="3">
        <f t="shared" si="19"/>
        <v>1333.1</v>
      </c>
      <c r="O35" s="3">
        <v>26662</v>
      </c>
      <c r="P35" s="6">
        <v>20</v>
      </c>
      <c r="Q35" s="3">
        <f t="shared" si="20"/>
        <v>1295.9000000000001</v>
      </c>
      <c r="R35" s="3">
        <v>25918</v>
      </c>
      <c r="S35" s="6">
        <v>20</v>
      </c>
      <c r="T35" s="3" t="e">
        <f t="shared" si="21"/>
        <v>#DIV/0!</v>
      </c>
      <c r="U35" s="3">
        <v>0</v>
      </c>
      <c r="V35" s="6">
        <v>0</v>
      </c>
      <c r="W35" s="3">
        <f t="shared" si="22"/>
        <v>1293.4000000000001</v>
      </c>
      <c r="X35" s="3">
        <v>25868</v>
      </c>
      <c r="Y35" s="6">
        <v>20</v>
      </c>
      <c r="Z35" s="3">
        <f t="shared" si="23"/>
        <v>1224.6666666666667</v>
      </c>
      <c r="AA35" s="3">
        <v>29392</v>
      </c>
      <c r="AB35" s="6">
        <v>24</v>
      </c>
      <c r="AC35" s="3" t="e">
        <f t="shared" si="24"/>
        <v>#DIV/0!</v>
      </c>
      <c r="AD35" s="3">
        <v>0</v>
      </c>
      <c r="AE35" s="6">
        <v>0</v>
      </c>
      <c r="AF35" s="3">
        <f t="shared" si="25"/>
        <v>1286.45</v>
      </c>
      <c r="AG35" s="3">
        <v>25729</v>
      </c>
      <c r="AH35" s="6">
        <v>20</v>
      </c>
      <c r="AI35" s="3">
        <f t="shared" si="26"/>
        <v>1299.05</v>
      </c>
      <c r="AJ35" s="3">
        <v>51962</v>
      </c>
      <c r="AK35" s="6">
        <v>40</v>
      </c>
      <c r="AL35" s="3">
        <f t="shared" si="27"/>
        <v>1153</v>
      </c>
      <c r="AM35" s="3">
        <v>4612</v>
      </c>
      <c r="AN35" s="6">
        <v>4</v>
      </c>
      <c r="AO35" s="3">
        <f t="shared" si="12"/>
        <v>1297.5106382978724</v>
      </c>
      <c r="AP35" s="3">
        <f t="shared" si="15"/>
        <v>243932</v>
      </c>
      <c r="AQ35" s="6">
        <f t="shared" si="14"/>
        <v>188</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0" t="s">
        <v>27</v>
      </c>
      <c r="B36" s="23"/>
      <c r="C36" s="23"/>
      <c r="D36" s="23"/>
      <c r="E36" s="3" t="e">
        <f t="shared" si="16"/>
        <v>#DIV/0!</v>
      </c>
      <c r="F36" s="3">
        <v>0</v>
      </c>
      <c r="G36" s="6">
        <v>0</v>
      </c>
      <c r="H36" s="3" t="e">
        <f t="shared" si="17"/>
        <v>#DIV/0!</v>
      </c>
      <c r="I36" s="3">
        <v>0</v>
      </c>
      <c r="J36" s="6">
        <v>0</v>
      </c>
      <c r="K36" s="3" t="e">
        <f t="shared" si="18"/>
        <v>#DIV/0!</v>
      </c>
      <c r="L36" s="3">
        <v>0</v>
      </c>
      <c r="M36" s="6">
        <v>0</v>
      </c>
      <c r="N36" s="3" t="e">
        <f t="shared" si="19"/>
        <v>#DIV/0!</v>
      </c>
      <c r="O36" s="3">
        <v>0</v>
      </c>
      <c r="P36" s="6">
        <v>0</v>
      </c>
      <c r="Q36" s="3" t="e">
        <f t="shared" si="20"/>
        <v>#DIV/0!</v>
      </c>
      <c r="R36" s="3">
        <v>0</v>
      </c>
      <c r="S36" s="6">
        <v>0</v>
      </c>
      <c r="T36" s="3" t="e">
        <f t="shared" si="21"/>
        <v>#DIV/0!</v>
      </c>
      <c r="U36" s="3">
        <v>0</v>
      </c>
      <c r="V36" s="6">
        <v>0</v>
      </c>
      <c r="W36" s="3">
        <f t="shared" si="22"/>
        <v>1049.1162790697674</v>
      </c>
      <c r="X36" s="3">
        <v>22556</v>
      </c>
      <c r="Y36" s="6">
        <v>21.5</v>
      </c>
      <c r="Z36" s="3">
        <f t="shared" si="23"/>
        <v>1049.1162790697674</v>
      </c>
      <c r="AA36" s="3">
        <v>22556</v>
      </c>
      <c r="AB36" s="6">
        <v>21.5</v>
      </c>
      <c r="AC36" s="3" t="e">
        <f t="shared" si="24"/>
        <v>#DIV/0!</v>
      </c>
      <c r="AD36" s="3">
        <v>0</v>
      </c>
      <c r="AE36" s="6">
        <v>0</v>
      </c>
      <c r="AF36" s="3" t="e">
        <f t="shared" si="25"/>
        <v>#DIV/0!</v>
      </c>
      <c r="AG36" s="3">
        <v>0</v>
      </c>
      <c r="AH36" s="6">
        <v>0</v>
      </c>
      <c r="AI36" s="3" t="e">
        <f t="shared" si="26"/>
        <v>#DIV/0!</v>
      </c>
      <c r="AJ36" s="3">
        <v>0</v>
      </c>
      <c r="AK36" s="6">
        <v>0</v>
      </c>
      <c r="AL36" s="3" t="e">
        <f t="shared" si="27"/>
        <v>#DIV/0!</v>
      </c>
      <c r="AM36" s="3">
        <v>0</v>
      </c>
      <c r="AN36" s="6">
        <v>0</v>
      </c>
      <c r="AO36" s="3">
        <f t="shared" si="12"/>
        <v>1049.1162790697674</v>
      </c>
      <c r="AP36" s="3">
        <f t="shared" si="15"/>
        <v>45112</v>
      </c>
      <c r="AQ36" s="6">
        <f t="shared" si="14"/>
        <v>43</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20" t="s">
        <v>61</v>
      </c>
      <c r="B37" s="23"/>
      <c r="C37" s="23"/>
      <c r="D37" s="23"/>
      <c r="E37" s="3">
        <f t="shared" si="16"/>
        <v>1238.8271604938273</v>
      </c>
      <c r="F37" s="3">
        <v>20069</v>
      </c>
      <c r="G37" s="6">
        <v>16.2</v>
      </c>
      <c r="H37" s="3">
        <f t="shared" si="17"/>
        <v>1852.6356589147285</v>
      </c>
      <c r="I37" s="3">
        <v>23899</v>
      </c>
      <c r="J37" s="6">
        <v>12.9</v>
      </c>
      <c r="K37" s="3">
        <f t="shared" si="18"/>
        <v>1406.590909090909</v>
      </c>
      <c r="L37" s="3">
        <v>12378</v>
      </c>
      <c r="M37" s="6">
        <v>8.8000000000000007</v>
      </c>
      <c r="N37" s="3">
        <f t="shared" si="19"/>
        <v>1268.1395348837209</v>
      </c>
      <c r="O37" s="3">
        <v>10906</v>
      </c>
      <c r="P37" s="6">
        <v>8.6</v>
      </c>
      <c r="Q37" s="3">
        <f t="shared" si="20"/>
        <v>1746.2790697674418</v>
      </c>
      <c r="R37" s="3">
        <v>22527</v>
      </c>
      <c r="S37" s="6">
        <v>12.9</v>
      </c>
      <c r="T37" s="3">
        <f t="shared" si="21"/>
        <v>1489.2105263157896</v>
      </c>
      <c r="U37" s="3">
        <v>11318</v>
      </c>
      <c r="V37" s="6">
        <v>7.6</v>
      </c>
      <c r="W37" s="3">
        <f t="shared" si="22"/>
        <v>1073.7301587301588</v>
      </c>
      <c r="X37" s="3">
        <v>13529</v>
      </c>
      <c r="Y37" s="6">
        <v>12.6</v>
      </c>
      <c r="Z37" s="3" t="e">
        <f t="shared" si="23"/>
        <v>#DIV/0!</v>
      </c>
      <c r="AA37" s="3">
        <v>0</v>
      </c>
      <c r="AB37" s="6">
        <v>0</v>
      </c>
      <c r="AC37" s="3" t="e">
        <f t="shared" si="24"/>
        <v>#DIV/0!</v>
      </c>
      <c r="AD37" s="3">
        <v>0</v>
      </c>
      <c r="AE37" s="6">
        <v>0</v>
      </c>
      <c r="AF37" s="3" t="e">
        <f t="shared" si="25"/>
        <v>#DIV/0!</v>
      </c>
      <c r="AG37" s="3">
        <v>0</v>
      </c>
      <c r="AH37" s="6">
        <v>0</v>
      </c>
      <c r="AI37" s="3">
        <f t="shared" si="26"/>
        <v>2124.6666666666665</v>
      </c>
      <c r="AJ37" s="3">
        <v>6374</v>
      </c>
      <c r="AK37" s="6">
        <v>3</v>
      </c>
      <c r="AL37" s="3" t="e">
        <f t="shared" si="27"/>
        <v>#DIV/0!</v>
      </c>
      <c r="AM37" s="3">
        <v>0</v>
      </c>
      <c r="AN37" s="6">
        <v>0</v>
      </c>
      <c r="AO37" s="3">
        <f t="shared" si="12"/>
        <v>1464.8910411622278</v>
      </c>
      <c r="AP37" s="3">
        <f t="shared" si="15"/>
        <v>121000</v>
      </c>
      <c r="AQ37" s="6">
        <f t="shared" si="14"/>
        <v>82.6</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20" t="s">
        <v>62</v>
      </c>
      <c r="B38" s="23"/>
      <c r="C38" s="23"/>
      <c r="D38" s="23"/>
      <c r="E38" s="3" t="e">
        <f t="shared" si="16"/>
        <v>#DIV/0!</v>
      </c>
      <c r="F38" s="3">
        <v>0</v>
      </c>
      <c r="G38" s="6">
        <v>0</v>
      </c>
      <c r="H38" s="3" t="e">
        <f t="shared" si="17"/>
        <v>#DIV/0!</v>
      </c>
      <c r="I38" s="3">
        <v>0</v>
      </c>
      <c r="J38" s="6">
        <v>0</v>
      </c>
      <c r="K38" s="3" t="e">
        <f t="shared" si="18"/>
        <v>#DIV/0!</v>
      </c>
      <c r="L38" s="3">
        <v>0</v>
      </c>
      <c r="M38" s="6">
        <v>0</v>
      </c>
      <c r="N38" s="3" t="e">
        <f t="shared" si="19"/>
        <v>#DIV/0!</v>
      </c>
      <c r="O38" s="3">
        <v>0</v>
      </c>
      <c r="P38" s="6">
        <v>0</v>
      </c>
      <c r="Q38" s="3" t="e">
        <f t="shared" si="20"/>
        <v>#DIV/0!</v>
      </c>
      <c r="R38" s="3">
        <v>0</v>
      </c>
      <c r="S38" s="6">
        <v>0</v>
      </c>
      <c r="T38" s="3" t="e">
        <f t="shared" si="21"/>
        <v>#DIV/0!</v>
      </c>
      <c r="U38" s="3">
        <v>0</v>
      </c>
      <c r="V38" s="6">
        <v>0</v>
      </c>
      <c r="W38" s="3" t="e">
        <f t="shared" si="22"/>
        <v>#DIV/0!</v>
      </c>
      <c r="X38" s="3">
        <v>0</v>
      </c>
      <c r="Y38" s="6">
        <v>0</v>
      </c>
      <c r="Z38" s="3" t="e">
        <f t="shared" si="23"/>
        <v>#DIV/0!</v>
      </c>
      <c r="AA38" s="3">
        <v>0</v>
      </c>
      <c r="AB38" s="6">
        <v>0</v>
      </c>
      <c r="AC38" s="3" t="e">
        <f t="shared" si="24"/>
        <v>#DIV/0!</v>
      </c>
      <c r="AD38" s="3">
        <v>0</v>
      </c>
      <c r="AE38" s="6">
        <v>0</v>
      </c>
      <c r="AF38" s="3">
        <f t="shared" si="25"/>
        <v>1744.1935483870968</v>
      </c>
      <c r="AG38" s="3">
        <v>5407</v>
      </c>
      <c r="AH38" s="6">
        <v>3.1</v>
      </c>
      <c r="AI38" s="3" t="e">
        <f t="shared" si="26"/>
        <v>#DIV/0!</v>
      </c>
      <c r="AJ38" s="3">
        <v>0</v>
      </c>
      <c r="AK38" s="6">
        <v>0</v>
      </c>
      <c r="AL38" s="3" t="e">
        <f t="shared" si="27"/>
        <v>#DIV/0!</v>
      </c>
      <c r="AM38" s="3">
        <v>0</v>
      </c>
      <c r="AN38" s="6">
        <v>0</v>
      </c>
      <c r="AO38" s="3">
        <f t="shared" si="12"/>
        <v>1744.1935483870968</v>
      </c>
      <c r="AP38" s="3">
        <f t="shared" si="15"/>
        <v>5407</v>
      </c>
      <c r="AQ38" s="6">
        <f t="shared" si="14"/>
        <v>3.1</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20" t="s">
        <v>63</v>
      </c>
      <c r="B39" s="23"/>
      <c r="C39" s="23"/>
      <c r="D39" s="23"/>
      <c r="E39" s="3" t="e">
        <f t="shared" si="16"/>
        <v>#DIV/0!</v>
      </c>
      <c r="F39" s="3">
        <v>0</v>
      </c>
      <c r="G39" s="6">
        <v>0</v>
      </c>
      <c r="H39" s="3" t="e">
        <f t="shared" si="17"/>
        <v>#DIV/0!</v>
      </c>
      <c r="I39" s="3">
        <v>0</v>
      </c>
      <c r="J39" s="6">
        <v>0</v>
      </c>
      <c r="K39" s="3" t="e">
        <f t="shared" si="18"/>
        <v>#DIV/0!</v>
      </c>
      <c r="L39" s="3">
        <v>0</v>
      </c>
      <c r="M39" s="6">
        <v>0</v>
      </c>
      <c r="N39" s="3" t="e">
        <f t="shared" si="19"/>
        <v>#DIV/0!</v>
      </c>
      <c r="O39" s="3">
        <v>0</v>
      </c>
      <c r="P39" s="6">
        <v>0</v>
      </c>
      <c r="Q39" s="3" t="e">
        <f t="shared" si="20"/>
        <v>#DIV/0!</v>
      </c>
      <c r="R39" s="3">
        <v>0</v>
      </c>
      <c r="S39" s="6">
        <v>0</v>
      </c>
      <c r="T39" s="3" t="e">
        <f t="shared" si="21"/>
        <v>#DIV/0!</v>
      </c>
      <c r="U39" s="3">
        <v>0</v>
      </c>
      <c r="V39" s="6">
        <v>0</v>
      </c>
      <c r="W39" s="3" t="e">
        <f t="shared" si="22"/>
        <v>#DIV/0!</v>
      </c>
      <c r="X39" s="3">
        <v>0</v>
      </c>
      <c r="Y39" s="6">
        <v>0</v>
      </c>
      <c r="Z39" s="3">
        <f t="shared" si="23"/>
        <v>1101.8258064516128</v>
      </c>
      <c r="AA39" s="3">
        <v>341566</v>
      </c>
      <c r="AB39" s="6">
        <v>310</v>
      </c>
      <c r="AC39" s="3" t="e">
        <f t="shared" si="24"/>
        <v>#DIV/0!</v>
      </c>
      <c r="AD39" s="3">
        <v>0</v>
      </c>
      <c r="AE39" s="6">
        <v>0</v>
      </c>
      <c r="AF39" s="3" t="e">
        <f t="shared" si="25"/>
        <v>#DIV/0!</v>
      </c>
      <c r="AG39" s="3">
        <v>0</v>
      </c>
      <c r="AH39" s="6">
        <v>0</v>
      </c>
      <c r="AI39" s="3" t="e">
        <f t="shared" si="26"/>
        <v>#DIV/0!</v>
      </c>
      <c r="AJ39" s="3">
        <v>0</v>
      </c>
      <c r="AK39" s="6">
        <v>0</v>
      </c>
      <c r="AL39" s="3" t="e">
        <f t="shared" si="27"/>
        <v>#DIV/0!</v>
      </c>
      <c r="AM39" s="3">
        <v>0</v>
      </c>
      <c r="AN39" s="6">
        <v>0</v>
      </c>
      <c r="AO39" s="3">
        <f t="shared" si="12"/>
        <v>1101.8258064516128</v>
      </c>
      <c r="AP39" s="3">
        <f t="shared" si="15"/>
        <v>341566</v>
      </c>
      <c r="AQ39" s="6">
        <f t="shared" si="14"/>
        <v>310</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20" t="s">
        <v>64</v>
      </c>
      <c r="B40" s="23"/>
      <c r="C40" s="23"/>
      <c r="D40" s="23"/>
      <c r="E40" s="3" t="e">
        <f t="shared" si="16"/>
        <v>#DIV/0!</v>
      </c>
      <c r="F40" s="3">
        <v>0</v>
      </c>
      <c r="G40" s="6">
        <v>0</v>
      </c>
      <c r="H40" s="3" t="e">
        <f t="shared" si="17"/>
        <v>#DIV/0!</v>
      </c>
      <c r="I40" s="3">
        <v>0</v>
      </c>
      <c r="J40" s="6">
        <v>0</v>
      </c>
      <c r="K40" s="3" t="e">
        <f t="shared" si="18"/>
        <v>#DIV/0!</v>
      </c>
      <c r="L40" s="3">
        <v>0</v>
      </c>
      <c r="M40" s="6">
        <v>0</v>
      </c>
      <c r="N40" s="3" t="e">
        <f t="shared" si="19"/>
        <v>#DIV/0!</v>
      </c>
      <c r="O40" s="3">
        <v>0</v>
      </c>
      <c r="P40" s="6">
        <v>0</v>
      </c>
      <c r="Q40" s="3" t="e">
        <f t="shared" si="20"/>
        <v>#DIV/0!</v>
      </c>
      <c r="R40" s="3">
        <v>0</v>
      </c>
      <c r="S40" s="6">
        <v>0</v>
      </c>
      <c r="T40" s="3" t="e">
        <f t="shared" si="21"/>
        <v>#DIV/0!</v>
      </c>
      <c r="U40" s="3">
        <v>0</v>
      </c>
      <c r="V40" s="6">
        <v>0</v>
      </c>
      <c r="W40" s="3" t="e">
        <f t="shared" si="22"/>
        <v>#DIV/0!</v>
      </c>
      <c r="X40" s="3">
        <v>0</v>
      </c>
      <c r="Y40" s="6">
        <v>0</v>
      </c>
      <c r="Z40" s="3" t="e">
        <f t="shared" si="23"/>
        <v>#DIV/0!</v>
      </c>
      <c r="AA40" s="3">
        <v>0</v>
      </c>
      <c r="AB40" s="6">
        <v>0</v>
      </c>
      <c r="AC40" s="3" t="e">
        <f t="shared" si="24"/>
        <v>#DIV/0!</v>
      </c>
      <c r="AD40" s="3">
        <v>0</v>
      </c>
      <c r="AE40" s="6">
        <v>0</v>
      </c>
      <c r="AF40" s="3" t="e">
        <f t="shared" si="25"/>
        <v>#DIV/0!</v>
      </c>
      <c r="AG40" s="3">
        <v>0</v>
      </c>
      <c r="AH40" s="6">
        <v>0</v>
      </c>
      <c r="AI40" s="3">
        <f t="shared" si="26"/>
        <v>3509.2105263157896</v>
      </c>
      <c r="AJ40" s="3">
        <v>53340</v>
      </c>
      <c r="AK40" s="6">
        <v>15.2</v>
      </c>
      <c r="AL40" s="3" t="e">
        <f t="shared" si="27"/>
        <v>#DIV/0!</v>
      </c>
      <c r="AM40" s="3">
        <v>0</v>
      </c>
      <c r="AN40" s="6">
        <v>0</v>
      </c>
      <c r="AO40" s="3">
        <f t="shared" si="12"/>
        <v>3509.2105263157896</v>
      </c>
      <c r="AP40" s="3">
        <f t="shared" si="15"/>
        <v>53340</v>
      </c>
      <c r="AQ40" s="6">
        <f t="shared" si="14"/>
        <v>15.2</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20" t="s">
        <v>65</v>
      </c>
      <c r="B41" s="23"/>
      <c r="C41" s="23"/>
      <c r="D41" s="23"/>
      <c r="E41" s="3">
        <f t="shared" si="16"/>
        <v>2285.3846153846152</v>
      </c>
      <c r="F41" s="3">
        <v>8913</v>
      </c>
      <c r="G41" s="6">
        <v>3.9</v>
      </c>
      <c r="H41" s="3" t="e">
        <f t="shared" si="17"/>
        <v>#DIV/0!</v>
      </c>
      <c r="I41" s="3">
        <v>0</v>
      </c>
      <c r="J41" s="6">
        <v>0</v>
      </c>
      <c r="K41" s="3" t="e">
        <f t="shared" si="18"/>
        <v>#DIV/0!</v>
      </c>
      <c r="L41" s="3">
        <v>0</v>
      </c>
      <c r="M41" s="6">
        <v>0</v>
      </c>
      <c r="N41" s="3" t="e">
        <f t="shared" si="19"/>
        <v>#DIV/0!</v>
      </c>
      <c r="O41" s="3">
        <v>0</v>
      </c>
      <c r="P41" s="6">
        <v>0</v>
      </c>
      <c r="Q41" s="3" t="e">
        <f t="shared" si="20"/>
        <v>#DIV/0!</v>
      </c>
      <c r="R41" s="3">
        <v>0</v>
      </c>
      <c r="S41" s="6">
        <v>0</v>
      </c>
      <c r="T41" s="3">
        <f t="shared" si="21"/>
        <v>2399.5833333333335</v>
      </c>
      <c r="U41" s="3">
        <v>11518</v>
      </c>
      <c r="V41" s="6">
        <v>4.8</v>
      </c>
      <c r="W41" s="3" t="e">
        <f t="shared" si="22"/>
        <v>#DIV/0!</v>
      </c>
      <c r="X41" s="3">
        <v>0</v>
      </c>
      <c r="Y41" s="6">
        <v>0</v>
      </c>
      <c r="Z41" s="3" t="e">
        <f t="shared" si="23"/>
        <v>#DIV/0!</v>
      </c>
      <c r="AA41" s="3">
        <v>0</v>
      </c>
      <c r="AB41" s="6">
        <v>0</v>
      </c>
      <c r="AC41" s="3" t="e">
        <f t="shared" si="24"/>
        <v>#DIV/0!</v>
      </c>
      <c r="AD41" s="3">
        <v>0</v>
      </c>
      <c r="AE41" s="6">
        <v>0</v>
      </c>
      <c r="AF41" s="3" t="e">
        <f t="shared" si="25"/>
        <v>#DIV/0!</v>
      </c>
      <c r="AG41" s="3">
        <v>0</v>
      </c>
      <c r="AH41" s="6">
        <v>0</v>
      </c>
      <c r="AI41" s="3" t="e">
        <f t="shared" si="26"/>
        <v>#DIV/0!</v>
      </c>
      <c r="AJ41" s="3">
        <v>0</v>
      </c>
      <c r="AK41" s="6">
        <v>0</v>
      </c>
      <c r="AL41" s="3" t="e">
        <f t="shared" si="27"/>
        <v>#DIV/0!</v>
      </c>
      <c r="AM41" s="3">
        <v>0</v>
      </c>
      <c r="AN41" s="6">
        <v>0</v>
      </c>
      <c r="AO41" s="3">
        <f t="shared" si="12"/>
        <v>2348.3908045977014</v>
      </c>
      <c r="AP41" s="3">
        <f t="shared" si="15"/>
        <v>20431</v>
      </c>
      <c r="AQ41" s="6">
        <f t="shared" si="14"/>
        <v>8.6999999999999993</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20" t="s">
        <v>30</v>
      </c>
      <c r="B42" s="23"/>
      <c r="C42" s="23"/>
      <c r="D42" s="23"/>
      <c r="E42" s="3">
        <f t="shared" si="16"/>
        <v>1948.733031674208</v>
      </c>
      <c r="F42" s="3">
        <v>86134</v>
      </c>
      <c r="G42" s="6">
        <v>44.2</v>
      </c>
      <c r="H42" s="3">
        <f t="shared" si="17"/>
        <v>1650.1324503311259</v>
      </c>
      <c r="I42" s="3">
        <v>99668</v>
      </c>
      <c r="J42" s="6">
        <v>60.4</v>
      </c>
      <c r="K42" s="3">
        <f t="shared" si="18"/>
        <v>1476.7370007535797</v>
      </c>
      <c r="L42" s="3">
        <v>195963</v>
      </c>
      <c r="M42" s="6">
        <v>132.69999999999999</v>
      </c>
      <c r="N42" s="3">
        <f t="shared" si="19"/>
        <v>1486.0720720720722</v>
      </c>
      <c r="O42" s="3">
        <v>164954</v>
      </c>
      <c r="P42" s="6">
        <v>111</v>
      </c>
      <c r="Q42" s="3">
        <f t="shared" si="20"/>
        <v>2087.2972972972971</v>
      </c>
      <c r="R42" s="3">
        <v>247136</v>
      </c>
      <c r="S42" s="6">
        <v>118.4</v>
      </c>
      <c r="T42" s="3">
        <f t="shared" si="21"/>
        <v>1573.5166994106091</v>
      </c>
      <c r="U42" s="3">
        <v>80092</v>
      </c>
      <c r="V42" s="6">
        <v>50.9</v>
      </c>
      <c r="W42" s="3">
        <f t="shared" si="22"/>
        <v>2548.5598923283983</v>
      </c>
      <c r="X42" s="3">
        <v>189358</v>
      </c>
      <c r="Y42" s="6">
        <v>74.3</v>
      </c>
      <c r="Z42" s="3">
        <f t="shared" si="23"/>
        <v>1610.2435723951285</v>
      </c>
      <c r="AA42" s="3">
        <v>118997</v>
      </c>
      <c r="AB42" s="6">
        <v>73.900000000000006</v>
      </c>
      <c r="AC42" s="3">
        <f t="shared" si="24"/>
        <v>2323.1683168316831</v>
      </c>
      <c r="AD42" s="3">
        <v>234640</v>
      </c>
      <c r="AE42" s="6">
        <v>101</v>
      </c>
      <c r="AF42" s="3">
        <f t="shared" si="25"/>
        <v>2260.6976744186049</v>
      </c>
      <c r="AG42" s="3">
        <v>77768</v>
      </c>
      <c r="AH42" s="6">
        <v>34.4</v>
      </c>
      <c r="AI42" s="3">
        <f t="shared" si="26"/>
        <v>1430.9240506329113</v>
      </c>
      <c r="AJ42" s="3">
        <v>113043</v>
      </c>
      <c r="AK42" s="6">
        <v>79</v>
      </c>
      <c r="AL42" s="3" t="e">
        <f t="shared" si="27"/>
        <v>#DIV/0!</v>
      </c>
      <c r="AM42" s="3">
        <v>0</v>
      </c>
      <c r="AN42" s="6">
        <v>0</v>
      </c>
      <c r="AO42" s="3">
        <f t="shared" si="12"/>
        <v>1826.5769143376508</v>
      </c>
      <c r="AP42" s="3">
        <f t="shared" si="15"/>
        <v>1607753</v>
      </c>
      <c r="AQ42" s="6">
        <f t="shared" si="14"/>
        <v>880.19999999999982</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20" t="s">
        <v>21</v>
      </c>
      <c r="B43" s="23"/>
      <c r="C43" s="23"/>
      <c r="D43" s="23"/>
      <c r="E43" s="3">
        <f t="shared" si="16"/>
        <v>852.50833333333333</v>
      </c>
      <c r="F43" s="3">
        <v>1023010</v>
      </c>
      <c r="G43" s="6">
        <v>1200</v>
      </c>
      <c r="H43" s="3">
        <f t="shared" si="17"/>
        <v>938.17269217269222</v>
      </c>
      <c r="I43" s="3">
        <v>1336427</v>
      </c>
      <c r="J43" s="6">
        <v>1424.5</v>
      </c>
      <c r="K43" s="3">
        <f t="shared" si="18"/>
        <v>818.81167058225913</v>
      </c>
      <c r="L43" s="3">
        <v>5158186</v>
      </c>
      <c r="M43" s="6">
        <v>6299.6</v>
      </c>
      <c r="N43" s="3">
        <f t="shared" si="19"/>
        <v>823.31683404498926</v>
      </c>
      <c r="O43" s="3">
        <v>6902853</v>
      </c>
      <c r="P43" s="6">
        <v>8384.2000000000007</v>
      </c>
      <c r="Q43" s="3">
        <f t="shared" si="20"/>
        <v>819.08934964944308</v>
      </c>
      <c r="R43" s="3">
        <v>8212927</v>
      </c>
      <c r="S43" s="6">
        <v>10026.9</v>
      </c>
      <c r="T43" s="3">
        <f t="shared" si="21"/>
        <v>845.60126582278485</v>
      </c>
      <c r="U43" s="3">
        <v>1923912</v>
      </c>
      <c r="V43" s="6">
        <v>2275.1999999999998</v>
      </c>
      <c r="W43" s="3">
        <f t="shared" si="22"/>
        <v>825.21811848828463</v>
      </c>
      <c r="X43" s="3">
        <v>5378029</v>
      </c>
      <c r="Y43" s="6">
        <v>6517.1</v>
      </c>
      <c r="Z43" s="3">
        <f t="shared" si="23"/>
        <v>827.09108770397859</v>
      </c>
      <c r="AA43" s="3">
        <v>3030958</v>
      </c>
      <c r="AB43" s="6">
        <v>3664.6</v>
      </c>
      <c r="AC43" s="3">
        <f t="shared" si="24"/>
        <v>823.61280974483657</v>
      </c>
      <c r="AD43" s="3">
        <v>3353669</v>
      </c>
      <c r="AE43" s="6">
        <v>4071.9</v>
      </c>
      <c r="AF43" s="3">
        <f t="shared" si="25"/>
        <v>854.93421052631584</v>
      </c>
      <c r="AG43" s="3">
        <v>1546405</v>
      </c>
      <c r="AH43" s="6">
        <v>1808.8</v>
      </c>
      <c r="AI43" s="3" t="e">
        <f t="shared" si="26"/>
        <v>#DIV/0!</v>
      </c>
      <c r="AJ43" s="3">
        <v>0</v>
      </c>
      <c r="AK43" s="6">
        <v>0</v>
      </c>
      <c r="AL43" s="3" t="e">
        <f t="shared" si="27"/>
        <v>#DIV/0!</v>
      </c>
      <c r="AM43" s="3">
        <v>0</v>
      </c>
      <c r="AN43" s="6">
        <v>0</v>
      </c>
      <c r="AO43" s="3">
        <f t="shared" si="12"/>
        <v>829.07936452330466</v>
      </c>
      <c r="AP43" s="3">
        <f t="shared" si="15"/>
        <v>37866376</v>
      </c>
      <c r="AQ43" s="6">
        <f t="shared" si="14"/>
        <v>45672.80000000001</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20" t="s">
        <v>66</v>
      </c>
      <c r="B44" s="23"/>
      <c r="C44" s="23"/>
      <c r="D44" s="23"/>
      <c r="E44" s="9" t="e">
        <f t="shared" si="16"/>
        <v>#DIV/0!</v>
      </c>
      <c r="F44" s="9">
        <v>0</v>
      </c>
      <c r="G44" s="6">
        <v>0</v>
      </c>
      <c r="H44" s="11" t="e">
        <f t="shared" si="17"/>
        <v>#DIV/0!</v>
      </c>
      <c r="I44" s="9">
        <v>0</v>
      </c>
      <c r="J44" s="6">
        <v>0</v>
      </c>
      <c r="K44" s="9">
        <f t="shared" si="18"/>
        <v>850.96</v>
      </c>
      <c r="L44" s="9">
        <v>6467296</v>
      </c>
      <c r="M44" s="6">
        <v>7600</v>
      </c>
      <c r="N44" s="9" t="e">
        <f t="shared" si="19"/>
        <v>#DIV/0!</v>
      </c>
      <c r="O44" s="9">
        <v>0</v>
      </c>
      <c r="P44" s="6">
        <v>0</v>
      </c>
      <c r="Q44" s="11" t="e">
        <f t="shared" si="20"/>
        <v>#DIV/0!</v>
      </c>
      <c r="R44" s="9">
        <v>0</v>
      </c>
      <c r="S44" s="6">
        <v>0</v>
      </c>
      <c r="T44" s="11" t="e">
        <f t="shared" si="21"/>
        <v>#DIV/0!</v>
      </c>
      <c r="U44" s="9">
        <v>0</v>
      </c>
      <c r="V44" s="6">
        <v>0</v>
      </c>
      <c r="W44" s="9" t="e">
        <f t="shared" si="22"/>
        <v>#DIV/0!</v>
      </c>
      <c r="X44" s="9">
        <v>0</v>
      </c>
      <c r="Y44" s="6">
        <v>0</v>
      </c>
      <c r="Z44" s="9" t="e">
        <f t="shared" si="23"/>
        <v>#DIV/0!</v>
      </c>
      <c r="AA44" s="9">
        <v>0</v>
      </c>
      <c r="AB44" s="6">
        <v>0</v>
      </c>
      <c r="AC44" s="9" t="e">
        <f t="shared" si="24"/>
        <v>#DIV/0!</v>
      </c>
      <c r="AD44" s="9">
        <v>0</v>
      </c>
      <c r="AE44" s="6">
        <v>0</v>
      </c>
      <c r="AF44" s="9" t="e">
        <f t="shared" si="25"/>
        <v>#DIV/0!</v>
      </c>
      <c r="AG44" s="9">
        <v>0</v>
      </c>
      <c r="AH44" s="6">
        <v>0</v>
      </c>
      <c r="AI44" s="9" t="e">
        <f t="shared" si="26"/>
        <v>#DIV/0!</v>
      </c>
      <c r="AJ44" s="9">
        <v>0</v>
      </c>
      <c r="AK44" s="6">
        <v>0</v>
      </c>
      <c r="AL44" s="9" t="e">
        <f t="shared" si="27"/>
        <v>#DIV/0!</v>
      </c>
      <c r="AM44" s="9">
        <v>0</v>
      </c>
      <c r="AN44" s="6">
        <v>0</v>
      </c>
      <c r="AO44" s="9">
        <f t="shared" si="12"/>
        <v>850.96</v>
      </c>
      <c r="AP44" s="9">
        <f t="shared" si="15"/>
        <v>6467296</v>
      </c>
      <c r="AQ44" s="6">
        <f t="shared" si="14"/>
        <v>7600</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20" t="s">
        <v>82</v>
      </c>
      <c r="B45" s="23"/>
      <c r="C45" s="23"/>
      <c r="D45" s="23"/>
      <c r="E45" s="10" t="e">
        <f t="shared" si="16"/>
        <v>#DIV/0!</v>
      </c>
      <c r="F45" s="10">
        <v>0</v>
      </c>
      <c r="G45" s="8">
        <v>0</v>
      </c>
      <c r="H45" s="7" t="e">
        <f t="shared" si="17"/>
        <v>#DIV/0!</v>
      </c>
      <c r="I45" s="10">
        <v>0</v>
      </c>
      <c r="J45" s="8">
        <v>0</v>
      </c>
      <c r="K45" s="15" t="e">
        <f t="shared" si="18"/>
        <v>#DIV/0!</v>
      </c>
      <c r="L45" s="7">
        <v>0</v>
      </c>
      <c r="M45" s="8">
        <v>0</v>
      </c>
      <c r="N45" s="15" t="e">
        <f t="shared" si="19"/>
        <v>#DIV/0!</v>
      </c>
      <c r="O45" s="7">
        <v>0</v>
      </c>
      <c r="P45" s="8">
        <v>0</v>
      </c>
      <c r="Q45" s="7" t="e">
        <f t="shared" si="20"/>
        <v>#DIV/0!</v>
      </c>
      <c r="R45" s="10">
        <v>0</v>
      </c>
      <c r="S45" s="8">
        <v>0</v>
      </c>
      <c r="T45" s="7" t="e">
        <f t="shared" si="21"/>
        <v>#DIV/0!</v>
      </c>
      <c r="U45" s="10">
        <v>0</v>
      </c>
      <c r="V45" s="8">
        <v>0</v>
      </c>
      <c r="W45" s="10" t="e">
        <f t="shared" si="22"/>
        <v>#DIV/0!</v>
      </c>
      <c r="X45" s="10">
        <v>0</v>
      </c>
      <c r="Y45" s="8">
        <v>0</v>
      </c>
      <c r="Z45" s="10" t="e">
        <f t="shared" si="23"/>
        <v>#DIV/0!</v>
      </c>
      <c r="AA45" s="10">
        <v>0</v>
      </c>
      <c r="AB45" s="8">
        <v>0</v>
      </c>
      <c r="AC45" s="10" t="e">
        <f t="shared" si="24"/>
        <v>#DIV/0!</v>
      </c>
      <c r="AD45" s="10">
        <v>0</v>
      </c>
      <c r="AE45" s="8">
        <v>0</v>
      </c>
      <c r="AF45" s="7">
        <f t="shared" si="25"/>
        <v>2758.6206896551726</v>
      </c>
      <c r="AG45" s="10">
        <v>40000</v>
      </c>
      <c r="AH45" s="8">
        <v>14.5</v>
      </c>
      <c r="AI45" s="10" t="e">
        <f t="shared" si="26"/>
        <v>#DIV/0!</v>
      </c>
      <c r="AJ45" s="10">
        <v>0</v>
      </c>
      <c r="AK45" s="8">
        <v>0</v>
      </c>
      <c r="AL45" s="10" t="e">
        <f t="shared" si="27"/>
        <v>#DIV/0!</v>
      </c>
      <c r="AM45" s="10">
        <v>0</v>
      </c>
      <c r="AN45" s="8">
        <v>0</v>
      </c>
      <c r="AO45" s="10">
        <f t="shared" si="12"/>
        <v>2758.6206896551726</v>
      </c>
      <c r="AP45" s="7">
        <f t="shared" si="15"/>
        <v>40000</v>
      </c>
      <c r="AQ45" s="8">
        <f t="shared" si="14"/>
        <v>14.5</v>
      </c>
    </row>
    <row r="46" spans="1:67" x14ac:dyDescent="0.3">
      <c r="A46" s="20" t="s">
        <v>83</v>
      </c>
      <c r="B46" s="23"/>
      <c r="C46" s="23"/>
      <c r="D46" s="23"/>
      <c r="E46" s="7" t="e">
        <f t="shared" si="16"/>
        <v>#DIV/0!</v>
      </c>
      <c r="F46" s="7">
        <v>0</v>
      </c>
      <c r="G46" s="8">
        <v>0</v>
      </c>
      <c r="H46" s="7" t="e">
        <f t="shared" si="17"/>
        <v>#DIV/0!</v>
      </c>
      <c r="I46" s="7">
        <v>0</v>
      </c>
      <c r="J46" s="8">
        <v>0</v>
      </c>
      <c r="K46" s="7" t="e">
        <f t="shared" si="18"/>
        <v>#DIV/0!</v>
      </c>
      <c r="L46" s="7">
        <v>0</v>
      </c>
      <c r="M46" s="8">
        <v>0</v>
      </c>
      <c r="N46" s="7" t="e">
        <f t="shared" si="19"/>
        <v>#DIV/0!</v>
      </c>
      <c r="O46" s="7">
        <v>0</v>
      </c>
      <c r="P46" s="8">
        <v>0</v>
      </c>
      <c r="Q46" s="7" t="e">
        <f t="shared" si="20"/>
        <v>#DIV/0!</v>
      </c>
      <c r="R46" s="7">
        <v>0</v>
      </c>
      <c r="S46" s="8">
        <v>0</v>
      </c>
      <c r="T46" s="7" t="e">
        <f t="shared" si="21"/>
        <v>#DIV/0!</v>
      </c>
      <c r="U46" s="7">
        <v>0</v>
      </c>
      <c r="V46" s="8">
        <v>0</v>
      </c>
      <c r="W46" s="7" t="e">
        <f t="shared" si="22"/>
        <v>#DIV/0!</v>
      </c>
      <c r="X46" s="7">
        <v>0</v>
      </c>
      <c r="Y46" s="8">
        <v>0</v>
      </c>
      <c r="Z46" s="7" t="e">
        <f t="shared" si="23"/>
        <v>#DIV/0!</v>
      </c>
      <c r="AA46" s="7">
        <v>0</v>
      </c>
      <c r="AB46" s="8">
        <v>0</v>
      </c>
      <c r="AC46" s="7">
        <f t="shared" si="24"/>
        <v>3307.272727272727</v>
      </c>
      <c r="AD46" s="7">
        <v>3638</v>
      </c>
      <c r="AE46" s="8">
        <v>1.1000000000000001</v>
      </c>
      <c r="AF46" s="7" t="e">
        <f t="shared" si="25"/>
        <v>#DIV/0!</v>
      </c>
      <c r="AG46" s="7">
        <v>0</v>
      </c>
      <c r="AH46" s="8">
        <v>0</v>
      </c>
      <c r="AI46" s="7" t="e">
        <f t="shared" si="26"/>
        <v>#DIV/0!</v>
      </c>
      <c r="AJ46" s="7">
        <v>0</v>
      </c>
      <c r="AK46" s="8">
        <v>0</v>
      </c>
      <c r="AL46" s="7" t="e">
        <f t="shared" si="27"/>
        <v>#DIV/0!</v>
      </c>
      <c r="AM46" s="7">
        <v>0</v>
      </c>
      <c r="AN46" s="8">
        <v>0</v>
      </c>
      <c r="AO46" s="7">
        <f t="shared" si="12"/>
        <v>3307.272727272727</v>
      </c>
      <c r="AP46" s="7">
        <f t="shared" si="15"/>
        <v>3638</v>
      </c>
      <c r="AQ46" s="8">
        <f t="shared" si="14"/>
        <v>1.1000000000000001</v>
      </c>
    </row>
    <row r="47" spans="1:67" x14ac:dyDescent="0.3">
      <c r="A47" s="20" t="s">
        <v>84</v>
      </c>
      <c r="B47" s="23"/>
      <c r="C47" s="23"/>
      <c r="D47" s="23"/>
      <c r="E47" s="7" t="e">
        <f t="shared" si="16"/>
        <v>#DIV/0!</v>
      </c>
      <c r="F47" s="7">
        <v>0</v>
      </c>
      <c r="G47" s="8">
        <v>0</v>
      </c>
      <c r="H47" s="7" t="e">
        <f t="shared" si="17"/>
        <v>#DIV/0!</v>
      </c>
      <c r="I47" s="7">
        <v>0</v>
      </c>
      <c r="J47" s="8">
        <v>0</v>
      </c>
      <c r="K47" s="7" t="e">
        <f t="shared" si="18"/>
        <v>#DIV/0!</v>
      </c>
      <c r="L47" s="7">
        <v>0</v>
      </c>
      <c r="M47" s="8">
        <v>0</v>
      </c>
      <c r="N47" s="7" t="e">
        <f t="shared" si="19"/>
        <v>#DIV/0!</v>
      </c>
      <c r="O47" s="7">
        <v>0</v>
      </c>
      <c r="P47" s="8">
        <v>0</v>
      </c>
      <c r="Q47" s="7" t="e">
        <f t="shared" si="20"/>
        <v>#DIV/0!</v>
      </c>
      <c r="R47" s="7">
        <v>0</v>
      </c>
      <c r="S47" s="8">
        <v>0</v>
      </c>
      <c r="T47" s="7" t="e">
        <f t="shared" si="21"/>
        <v>#DIV/0!</v>
      </c>
      <c r="U47" s="7">
        <v>0</v>
      </c>
      <c r="V47" s="8">
        <v>0</v>
      </c>
      <c r="W47" s="7" t="e">
        <f t="shared" si="22"/>
        <v>#DIV/0!</v>
      </c>
      <c r="X47" s="7">
        <v>0</v>
      </c>
      <c r="Y47" s="8">
        <v>0</v>
      </c>
      <c r="Z47" s="7" t="e">
        <f t="shared" si="23"/>
        <v>#DIV/0!</v>
      </c>
      <c r="AA47" s="7">
        <v>0</v>
      </c>
      <c r="AB47" s="8">
        <v>0</v>
      </c>
      <c r="AC47" s="7" t="e">
        <f t="shared" si="24"/>
        <v>#DIV/0!</v>
      </c>
      <c r="AD47" s="7">
        <v>0</v>
      </c>
      <c r="AE47" s="8">
        <v>0</v>
      </c>
      <c r="AF47" s="7">
        <f t="shared" si="25"/>
        <v>4937.1428571428578</v>
      </c>
      <c r="AG47" s="7">
        <v>3456</v>
      </c>
      <c r="AH47" s="8">
        <v>0.7</v>
      </c>
      <c r="AI47" s="7" t="e">
        <f t="shared" si="26"/>
        <v>#DIV/0!</v>
      </c>
      <c r="AJ47" s="7">
        <v>0</v>
      </c>
      <c r="AK47" s="8">
        <v>0</v>
      </c>
      <c r="AL47" s="7" t="e">
        <f t="shared" si="27"/>
        <v>#DIV/0!</v>
      </c>
      <c r="AM47" s="7">
        <v>0</v>
      </c>
      <c r="AN47" s="8">
        <v>0</v>
      </c>
      <c r="AO47" s="7">
        <f t="shared" si="12"/>
        <v>4937.1428571428578</v>
      </c>
      <c r="AP47" s="7">
        <f t="shared" si="15"/>
        <v>3456</v>
      </c>
      <c r="AQ47" s="8">
        <f t="shared" si="14"/>
        <v>0.7</v>
      </c>
    </row>
    <row r="48" spans="1:67" x14ac:dyDescent="0.3">
      <c r="A48" s="20" t="s">
        <v>67</v>
      </c>
      <c r="B48" s="23"/>
      <c r="C48" s="23"/>
      <c r="D48" s="23"/>
      <c r="E48" s="7" t="e">
        <f t="shared" si="16"/>
        <v>#DIV/0!</v>
      </c>
      <c r="F48" s="7">
        <v>0</v>
      </c>
      <c r="G48" s="8">
        <v>0</v>
      </c>
      <c r="H48" s="7" t="e">
        <f t="shared" si="17"/>
        <v>#DIV/0!</v>
      </c>
      <c r="I48" s="7">
        <v>0</v>
      </c>
      <c r="J48" s="8">
        <v>0</v>
      </c>
      <c r="K48" s="7">
        <f t="shared" si="18"/>
        <v>1634.4444444444443</v>
      </c>
      <c r="L48" s="7">
        <v>2942</v>
      </c>
      <c r="M48" s="8">
        <v>1.8</v>
      </c>
      <c r="N48" s="7" t="e">
        <f t="shared" si="19"/>
        <v>#DIV/0!</v>
      </c>
      <c r="O48" s="7">
        <v>0</v>
      </c>
      <c r="P48" s="8">
        <v>0</v>
      </c>
      <c r="Q48" s="7" t="e">
        <f t="shared" si="20"/>
        <v>#DIV/0!</v>
      </c>
      <c r="R48" s="7">
        <v>0</v>
      </c>
      <c r="S48" s="8">
        <v>0</v>
      </c>
      <c r="T48" s="7" t="e">
        <f t="shared" si="21"/>
        <v>#DIV/0!</v>
      </c>
      <c r="U48" s="7">
        <v>0</v>
      </c>
      <c r="V48" s="8">
        <v>0</v>
      </c>
      <c r="W48" s="7">
        <f t="shared" si="22"/>
        <v>1384.0740740740739</v>
      </c>
      <c r="X48" s="7">
        <v>7474</v>
      </c>
      <c r="Y48" s="8">
        <v>5.4</v>
      </c>
      <c r="Z48" s="7">
        <f t="shared" si="23"/>
        <v>1376.6666666666667</v>
      </c>
      <c r="AA48" s="7">
        <v>3304</v>
      </c>
      <c r="AB48" s="8">
        <v>2.4</v>
      </c>
      <c r="AC48" s="7">
        <f t="shared" si="24"/>
        <v>1373.6363636363635</v>
      </c>
      <c r="AD48" s="7">
        <v>3022</v>
      </c>
      <c r="AE48" s="8">
        <v>2.2000000000000002</v>
      </c>
      <c r="AF48" s="7">
        <f t="shared" si="25"/>
        <v>1370.5</v>
      </c>
      <c r="AG48" s="7">
        <v>2741</v>
      </c>
      <c r="AH48" s="8">
        <v>2</v>
      </c>
      <c r="AI48" s="7">
        <f t="shared" si="26"/>
        <v>1368.9473684210527</v>
      </c>
      <c r="AJ48" s="7">
        <v>2601</v>
      </c>
      <c r="AK48" s="8">
        <v>1.9</v>
      </c>
      <c r="AL48" s="7" t="e">
        <f t="shared" si="27"/>
        <v>#DIV/0!</v>
      </c>
      <c r="AM48" s="7">
        <v>0</v>
      </c>
      <c r="AN48" s="8">
        <v>0</v>
      </c>
      <c r="AO48" s="7">
        <f t="shared" si="12"/>
        <v>1406.624203821656</v>
      </c>
      <c r="AP48" s="7">
        <f t="shared" si="15"/>
        <v>22084</v>
      </c>
      <c r="AQ48" s="8">
        <f t="shared" si="14"/>
        <v>15.700000000000001</v>
      </c>
    </row>
    <row r="49" spans="1:43" x14ac:dyDescent="0.3">
      <c r="A49" s="20" t="s">
        <v>68</v>
      </c>
      <c r="B49" s="23"/>
      <c r="C49" s="23"/>
      <c r="D49" s="23"/>
      <c r="E49" s="7" t="e">
        <f t="shared" si="16"/>
        <v>#DIV/0!</v>
      </c>
      <c r="F49" s="7">
        <v>0</v>
      </c>
      <c r="G49" s="8">
        <v>0</v>
      </c>
      <c r="H49" s="7" t="e">
        <f t="shared" si="17"/>
        <v>#DIV/0!</v>
      </c>
      <c r="I49" s="7">
        <v>0</v>
      </c>
      <c r="J49" s="8">
        <v>0</v>
      </c>
      <c r="K49" s="7" t="e">
        <f t="shared" si="18"/>
        <v>#DIV/0!</v>
      </c>
      <c r="L49" s="7">
        <v>0</v>
      </c>
      <c r="M49" s="8">
        <v>0</v>
      </c>
      <c r="N49" s="7" t="e">
        <f t="shared" si="19"/>
        <v>#DIV/0!</v>
      </c>
      <c r="O49" s="7">
        <v>0</v>
      </c>
      <c r="P49" s="8">
        <v>0</v>
      </c>
      <c r="Q49" s="7">
        <f t="shared" si="20"/>
        <v>4740</v>
      </c>
      <c r="R49" s="7">
        <v>5688</v>
      </c>
      <c r="S49" s="8">
        <v>1.2</v>
      </c>
      <c r="T49" s="7" t="e">
        <f t="shared" si="21"/>
        <v>#DIV/0!</v>
      </c>
      <c r="U49" s="7">
        <v>0</v>
      </c>
      <c r="V49" s="8">
        <v>0</v>
      </c>
      <c r="W49" s="7" t="e">
        <f t="shared" si="22"/>
        <v>#DIV/0!</v>
      </c>
      <c r="X49" s="7">
        <v>0</v>
      </c>
      <c r="Y49" s="8">
        <v>0</v>
      </c>
      <c r="Z49" s="7" t="e">
        <f t="shared" si="23"/>
        <v>#DIV/0!</v>
      </c>
      <c r="AA49" s="7">
        <v>0</v>
      </c>
      <c r="AB49" s="8">
        <v>0</v>
      </c>
      <c r="AC49" s="7" t="e">
        <f t="shared" si="24"/>
        <v>#DIV/0!</v>
      </c>
      <c r="AD49" s="7">
        <v>0</v>
      </c>
      <c r="AE49" s="8">
        <v>0</v>
      </c>
      <c r="AF49" s="7" t="e">
        <f t="shared" si="25"/>
        <v>#DIV/0!</v>
      </c>
      <c r="AG49" s="7">
        <v>0</v>
      </c>
      <c r="AH49" s="8">
        <v>0</v>
      </c>
      <c r="AI49" s="7" t="e">
        <f t="shared" si="26"/>
        <v>#DIV/0!</v>
      </c>
      <c r="AJ49" s="7">
        <v>0</v>
      </c>
      <c r="AK49" s="8">
        <v>0</v>
      </c>
      <c r="AL49" s="7" t="e">
        <f t="shared" si="27"/>
        <v>#DIV/0!</v>
      </c>
      <c r="AM49" s="7">
        <v>0</v>
      </c>
      <c r="AN49" s="8">
        <v>0</v>
      </c>
      <c r="AO49" s="7">
        <f t="shared" si="12"/>
        <v>4740</v>
      </c>
      <c r="AP49" s="7">
        <f t="shared" si="15"/>
        <v>5688</v>
      </c>
      <c r="AQ49" s="8">
        <f t="shared" si="14"/>
        <v>1.2</v>
      </c>
    </row>
    <row r="50" spans="1:43" x14ac:dyDescent="0.3">
      <c r="A50" s="20" t="s">
        <v>85</v>
      </c>
      <c r="B50" s="23"/>
      <c r="C50" s="23"/>
      <c r="D50" s="23"/>
      <c r="E50" s="7" t="e">
        <f t="shared" si="16"/>
        <v>#DIV/0!</v>
      </c>
      <c r="F50" s="7">
        <v>0</v>
      </c>
      <c r="G50" s="8">
        <v>0</v>
      </c>
      <c r="H50" s="7" t="e">
        <f t="shared" si="17"/>
        <v>#DIV/0!</v>
      </c>
      <c r="I50" s="7">
        <v>0</v>
      </c>
      <c r="J50" s="8">
        <v>0</v>
      </c>
      <c r="K50" s="7">
        <f t="shared" si="18"/>
        <v>1609.1629955947137</v>
      </c>
      <c r="L50" s="7">
        <v>365280</v>
      </c>
      <c r="M50" s="8">
        <v>227</v>
      </c>
      <c r="N50" s="7" t="e">
        <f t="shared" si="19"/>
        <v>#DIV/0!</v>
      </c>
      <c r="O50" s="7">
        <v>0</v>
      </c>
      <c r="P50" s="8">
        <v>0</v>
      </c>
      <c r="Q50" s="7" t="e">
        <f t="shared" si="20"/>
        <v>#DIV/0!</v>
      </c>
      <c r="R50" s="7">
        <v>0</v>
      </c>
      <c r="S50" s="8">
        <v>0</v>
      </c>
      <c r="T50" s="7" t="e">
        <f t="shared" si="21"/>
        <v>#DIV/0!</v>
      </c>
      <c r="U50" s="7">
        <v>0</v>
      </c>
      <c r="V50" s="8">
        <v>0</v>
      </c>
      <c r="W50" s="7" t="e">
        <f t="shared" si="22"/>
        <v>#DIV/0!</v>
      </c>
      <c r="X50" s="7">
        <v>0</v>
      </c>
      <c r="Y50" s="8">
        <v>0</v>
      </c>
      <c r="Z50" s="7" t="e">
        <f t="shared" si="23"/>
        <v>#DIV/0!</v>
      </c>
      <c r="AA50" s="7">
        <v>0</v>
      </c>
      <c r="AB50" s="8">
        <v>0</v>
      </c>
      <c r="AC50" s="7" t="e">
        <f t="shared" si="24"/>
        <v>#DIV/0!</v>
      </c>
      <c r="AD50" s="7">
        <v>0</v>
      </c>
      <c r="AE50" s="8">
        <v>0</v>
      </c>
      <c r="AF50" s="7" t="e">
        <f t="shared" si="25"/>
        <v>#DIV/0!</v>
      </c>
      <c r="AG50" s="7">
        <v>0</v>
      </c>
      <c r="AH50" s="8">
        <v>0</v>
      </c>
      <c r="AI50" s="7" t="e">
        <f t="shared" si="26"/>
        <v>#DIV/0!</v>
      </c>
      <c r="AJ50" s="7">
        <v>0</v>
      </c>
      <c r="AK50" s="8">
        <v>0</v>
      </c>
      <c r="AL50" s="7" t="e">
        <f t="shared" si="27"/>
        <v>#DIV/0!</v>
      </c>
      <c r="AM50" s="7">
        <v>0</v>
      </c>
      <c r="AN50" s="8">
        <v>0</v>
      </c>
      <c r="AO50" s="7">
        <f t="shared" si="12"/>
        <v>1609.1629955947137</v>
      </c>
      <c r="AP50" s="7">
        <f t="shared" si="15"/>
        <v>365280</v>
      </c>
      <c r="AQ50" s="8">
        <f t="shared" si="14"/>
        <v>227</v>
      </c>
    </row>
    <row r="51" spans="1:43" x14ac:dyDescent="0.3">
      <c r="A51" s="19" t="s">
        <v>69</v>
      </c>
      <c r="B51" s="23"/>
      <c r="C51" s="23"/>
      <c r="D51" s="23"/>
      <c r="E51" s="7" t="e">
        <f t="shared" si="16"/>
        <v>#DIV/0!</v>
      </c>
      <c r="F51" s="7">
        <v>0</v>
      </c>
      <c r="G51" s="8">
        <v>0</v>
      </c>
      <c r="H51" s="7" t="e">
        <f t="shared" si="17"/>
        <v>#DIV/0!</v>
      </c>
      <c r="I51" s="7">
        <v>0</v>
      </c>
      <c r="J51" s="8">
        <v>0</v>
      </c>
      <c r="K51" s="7">
        <f t="shared" si="18"/>
        <v>2550.5555555555557</v>
      </c>
      <c r="L51" s="7">
        <v>4591</v>
      </c>
      <c r="M51" s="8">
        <v>1.8</v>
      </c>
      <c r="N51" s="7" t="e">
        <f t="shared" si="19"/>
        <v>#DIV/0!</v>
      </c>
      <c r="O51" s="7">
        <v>0</v>
      </c>
      <c r="P51" s="8">
        <v>0</v>
      </c>
      <c r="Q51" s="7">
        <f t="shared" si="20"/>
        <v>3353.333333333333</v>
      </c>
      <c r="R51" s="7">
        <v>3018</v>
      </c>
      <c r="S51" s="8">
        <v>0.9</v>
      </c>
      <c r="T51" s="7">
        <f t="shared" si="21"/>
        <v>2915</v>
      </c>
      <c r="U51" s="7">
        <v>4081</v>
      </c>
      <c r="V51" s="8">
        <v>1.4</v>
      </c>
      <c r="W51" s="7" t="e">
        <f t="shared" si="22"/>
        <v>#DIV/0!</v>
      </c>
      <c r="X51" s="7">
        <v>0</v>
      </c>
      <c r="Y51" s="8">
        <v>0</v>
      </c>
      <c r="Z51" s="7" t="e">
        <f t="shared" si="23"/>
        <v>#DIV/0!</v>
      </c>
      <c r="AA51" s="7">
        <v>0</v>
      </c>
      <c r="AB51" s="8">
        <v>0</v>
      </c>
      <c r="AC51" s="7">
        <f t="shared" si="24"/>
        <v>2137.1428571428569</v>
      </c>
      <c r="AD51" s="7">
        <v>4488</v>
      </c>
      <c r="AE51" s="8">
        <v>2.1</v>
      </c>
      <c r="AF51" s="7" t="e">
        <f t="shared" si="25"/>
        <v>#DIV/0!</v>
      </c>
      <c r="AG51" s="7">
        <v>0</v>
      </c>
      <c r="AH51" s="8">
        <v>0</v>
      </c>
      <c r="AI51" s="7" t="e">
        <f t="shared" si="26"/>
        <v>#DIV/0!</v>
      </c>
      <c r="AJ51" s="7">
        <v>0</v>
      </c>
      <c r="AK51" s="8">
        <v>0</v>
      </c>
      <c r="AL51" s="7" t="e">
        <f t="shared" si="27"/>
        <v>#DIV/0!</v>
      </c>
      <c r="AM51" s="7">
        <v>0</v>
      </c>
      <c r="AN51" s="8">
        <v>0</v>
      </c>
      <c r="AO51" s="7">
        <f t="shared" si="12"/>
        <v>2609.3548387096776</v>
      </c>
      <c r="AP51" s="7">
        <f t="shared" si="15"/>
        <v>16178</v>
      </c>
      <c r="AQ51" s="8">
        <f t="shared" si="14"/>
        <v>6.1999999999999993</v>
      </c>
    </row>
    <row r="52" spans="1:43" x14ac:dyDescent="0.3">
      <c r="A52" s="19" t="s">
        <v>70</v>
      </c>
      <c r="B52" s="23"/>
      <c r="C52" s="23"/>
      <c r="D52" s="23"/>
      <c r="E52" s="7" t="e">
        <f t="shared" si="16"/>
        <v>#DIV/0!</v>
      </c>
      <c r="F52" s="7">
        <v>0</v>
      </c>
      <c r="G52" s="8">
        <v>0</v>
      </c>
      <c r="H52" s="7">
        <f t="shared" si="17"/>
        <v>1828.4374999999998</v>
      </c>
      <c r="I52" s="7">
        <v>64361</v>
      </c>
      <c r="J52" s="8">
        <v>35.200000000000003</v>
      </c>
      <c r="K52" s="7">
        <f t="shared" si="18"/>
        <v>1241.2041884816754</v>
      </c>
      <c r="L52" s="7">
        <v>23707</v>
      </c>
      <c r="M52" s="8">
        <v>19.100000000000001</v>
      </c>
      <c r="N52" s="7" t="e">
        <f t="shared" si="19"/>
        <v>#DIV/0!</v>
      </c>
      <c r="O52" s="7">
        <v>0</v>
      </c>
      <c r="P52" s="8">
        <v>0</v>
      </c>
      <c r="Q52" s="7">
        <f t="shared" si="20"/>
        <v>2238.0952380952381</v>
      </c>
      <c r="R52" s="7">
        <v>18800</v>
      </c>
      <c r="S52" s="8">
        <v>8.4</v>
      </c>
      <c r="T52" s="7">
        <f t="shared" si="21"/>
        <v>1463.2738095238094</v>
      </c>
      <c r="U52" s="7">
        <v>24583</v>
      </c>
      <c r="V52" s="8">
        <v>16.8</v>
      </c>
      <c r="W52" s="7">
        <f t="shared" si="22"/>
        <v>1254.4502617801047</v>
      </c>
      <c r="X52" s="7">
        <v>23960</v>
      </c>
      <c r="Y52" s="8">
        <v>19.100000000000001</v>
      </c>
      <c r="Z52" s="7">
        <f t="shared" si="23"/>
        <v>2238.0952380952381</v>
      </c>
      <c r="AA52" s="7">
        <v>37600</v>
      </c>
      <c r="AB52" s="8">
        <v>16.8</v>
      </c>
      <c r="AC52" s="7">
        <f t="shared" si="24"/>
        <v>1320.3072625698326</v>
      </c>
      <c r="AD52" s="7">
        <v>47267</v>
      </c>
      <c r="AE52" s="8">
        <v>35.799999999999997</v>
      </c>
      <c r="AF52" s="7" t="e">
        <f t="shared" si="25"/>
        <v>#DIV/0!</v>
      </c>
      <c r="AG52" s="7">
        <v>0</v>
      </c>
      <c r="AH52" s="8">
        <v>0</v>
      </c>
      <c r="AI52" s="7">
        <f t="shared" si="26"/>
        <v>1164.3979057591623</v>
      </c>
      <c r="AJ52" s="7">
        <v>22240</v>
      </c>
      <c r="AK52" s="8">
        <v>19.100000000000001</v>
      </c>
      <c r="AL52" s="7" t="e">
        <f t="shared" si="27"/>
        <v>#DIV/0!</v>
      </c>
      <c r="AM52" s="7">
        <v>0</v>
      </c>
      <c r="AN52" s="8">
        <v>0</v>
      </c>
      <c r="AO52" s="7">
        <f t="shared" si="12"/>
        <v>1541.5032295948329</v>
      </c>
      <c r="AP52" s="7">
        <f t="shared" si="15"/>
        <v>262518</v>
      </c>
      <c r="AQ52" s="8">
        <f t="shared" si="14"/>
        <v>170.29999999999998</v>
      </c>
    </row>
    <row r="53" spans="1:43" x14ac:dyDescent="0.3">
      <c r="A53" s="19" t="s">
        <v>34</v>
      </c>
      <c r="B53" s="23"/>
      <c r="C53" s="23"/>
      <c r="D53" s="23"/>
      <c r="E53" s="7" t="e">
        <f t="shared" si="16"/>
        <v>#DIV/0!</v>
      </c>
      <c r="F53" s="7">
        <v>0</v>
      </c>
      <c r="G53" s="8">
        <v>0</v>
      </c>
      <c r="H53" s="7" t="e">
        <f t="shared" si="17"/>
        <v>#DIV/0!</v>
      </c>
      <c r="I53" s="7">
        <v>0</v>
      </c>
      <c r="J53" s="8">
        <v>0</v>
      </c>
      <c r="K53" s="7" t="e">
        <f t="shared" si="18"/>
        <v>#DIV/0!</v>
      </c>
      <c r="L53" s="7">
        <v>0</v>
      </c>
      <c r="M53" s="8">
        <v>0</v>
      </c>
      <c r="N53" s="7" t="e">
        <f t="shared" si="19"/>
        <v>#DIV/0!</v>
      </c>
      <c r="O53" s="7">
        <v>0</v>
      </c>
      <c r="P53" s="8">
        <v>0</v>
      </c>
      <c r="Q53" s="7">
        <f t="shared" si="20"/>
        <v>1541.818181818182</v>
      </c>
      <c r="R53" s="7">
        <v>5088</v>
      </c>
      <c r="S53" s="8">
        <v>3.3</v>
      </c>
      <c r="T53" s="7">
        <f t="shared" si="21"/>
        <v>2466.6666666666665</v>
      </c>
      <c r="U53" s="7">
        <v>11100</v>
      </c>
      <c r="V53" s="8">
        <v>4.5</v>
      </c>
      <c r="W53" s="7">
        <f t="shared" si="22"/>
        <v>15540</v>
      </c>
      <c r="X53" s="7">
        <v>7770</v>
      </c>
      <c r="Y53" s="8">
        <v>0.5</v>
      </c>
      <c r="Z53" s="7" t="e">
        <f t="shared" si="23"/>
        <v>#DIV/0!</v>
      </c>
      <c r="AA53" s="7">
        <v>0</v>
      </c>
      <c r="AB53" s="8">
        <v>0</v>
      </c>
      <c r="AC53" s="7">
        <f t="shared" si="24"/>
        <v>5203.125</v>
      </c>
      <c r="AD53" s="7">
        <v>8325</v>
      </c>
      <c r="AE53" s="8">
        <v>1.6</v>
      </c>
      <c r="AF53" s="7" t="e">
        <f t="shared" si="25"/>
        <v>#DIV/0!</v>
      </c>
      <c r="AG53" s="7">
        <v>0</v>
      </c>
      <c r="AH53" s="8">
        <v>0</v>
      </c>
      <c r="AI53" s="7" t="e">
        <f t="shared" si="26"/>
        <v>#DIV/0!</v>
      </c>
      <c r="AJ53" s="7">
        <v>0</v>
      </c>
      <c r="AK53" s="8">
        <v>0</v>
      </c>
      <c r="AL53" s="7" t="e">
        <f t="shared" si="27"/>
        <v>#DIV/0!</v>
      </c>
      <c r="AM53" s="7">
        <v>0</v>
      </c>
      <c r="AN53" s="8">
        <v>0</v>
      </c>
      <c r="AO53" s="7">
        <f t="shared" si="12"/>
        <v>3260.909090909091</v>
      </c>
      <c r="AP53" s="7">
        <f t="shared" si="15"/>
        <v>32283</v>
      </c>
      <c r="AQ53" s="8">
        <f t="shared" si="14"/>
        <v>9.9</v>
      </c>
    </row>
    <row r="54" spans="1:43" x14ac:dyDescent="0.3">
      <c r="A54" s="19" t="s">
        <v>71</v>
      </c>
      <c r="B54" s="23"/>
      <c r="C54" s="23"/>
      <c r="D54" s="23"/>
      <c r="E54" s="7" t="e">
        <f t="shared" si="16"/>
        <v>#DIV/0!</v>
      </c>
      <c r="F54" s="7">
        <v>0</v>
      </c>
      <c r="G54" s="8">
        <v>0</v>
      </c>
      <c r="H54" s="7" t="e">
        <f t="shared" si="17"/>
        <v>#DIV/0!</v>
      </c>
      <c r="I54" s="7">
        <v>0</v>
      </c>
      <c r="J54" s="8">
        <v>0</v>
      </c>
      <c r="K54" s="7" t="e">
        <f t="shared" si="18"/>
        <v>#DIV/0!</v>
      </c>
      <c r="L54" s="7">
        <v>0</v>
      </c>
      <c r="M54" s="8">
        <v>0</v>
      </c>
      <c r="N54" s="7" t="e">
        <f t="shared" si="19"/>
        <v>#DIV/0!</v>
      </c>
      <c r="O54" s="7">
        <v>0</v>
      </c>
      <c r="P54" s="8">
        <v>0</v>
      </c>
      <c r="Q54" s="7" t="e">
        <f t="shared" si="20"/>
        <v>#DIV/0!</v>
      </c>
      <c r="R54" s="7">
        <v>0</v>
      </c>
      <c r="S54" s="8">
        <v>0</v>
      </c>
      <c r="T54" s="7" t="e">
        <f t="shared" si="21"/>
        <v>#DIV/0!</v>
      </c>
      <c r="U54" s="7">
        <v>0</v>
      </c>
      <c r="V54" s="8">
        <v>0</v>
      </c>
      <c r="W54" s="7" t="e">
        <f t="shared" si="22"/>
        <v>#DIV/0!</v>
      </c>
      <c r="X54" s="7">
        <v>0</v>
      </c>
      <c r="Y54" s="8">
        <v>0</v>
      </c>
      <c r="Z54" s="7" t="e">
        <f t="shared" si="23"/>
        <v>#DIV/0!</v>
      </c>
      <c r="AA54" s="7">
        <v>0</v>
      </c>
      <c r="AB54" s="8">
        <v>0</v>
      </c>
      <c r="AC54" s="7" t="e">
        <f t="shared" si="24"/>
        <v>#DIV/0!</v>
      </c>
      <c r="AD54" s="7">
        <v>0</v>
      </c>
      <c r="AE54" s="8">
        <v>0</v>
      </c>
      <c r="AF54" s="7" t="e">
        <f t="shared" si="25"/>
        <v>#DIV/0!</v>
      </c>
      <c r="AG54" s="7">
        <v>0</v>
      </c>
      <c r="AH54" s="8">
        <v>0</v>
      </c>
      <c r="AI54" s="7">
        <f t="shared" si="26"/>
        <v>1373.6929460580911</v>
      </c>
      <c r="AJ54" s="7">
        <v>33106</v>
      </c>
      <c r="AK54" s="8">
        <v>24.1</v>
      </c>
      <c r="AL54" s="7" t="e">
        <f t="shared" si="27"/>
        <v>#DIV/0!</v>
      </c>
      <c r="AM54" s="7">
        <v>0</v>
      </c>
      <c r="AN54" s="8">
        <v>0</v>
      </c>
      <c r="AO54" s="7">
        <f t="shared" si="12"/>
        <v>1373.6929460580911</v>
      </c>
      <c r="AP54" s="7">
        <f t="shared" si="15"/>
        <v>33106</v>
      </c>
      <c r="AQ54" s="8">
        <f t="shared" si="14"/>
        <v>24.1</v>
      </c>
    </row>
    <row r="55" spans="1:43" x14ac:dyDescent="0.3">
      <c r="A55" s="19" t="s">
        <v>36</v>
      </c>
      <c r="B55" s="23"/>
      <c r="C55" s="23"/>
      <c r="D55" s="23"/>
      <c r="E55" s="7" t="e">
        <f t="shared" si="16"/>
        <v>#DIV/0!</v>
      </c>
      <c r="F55" s="7">
        <v>0</v>
      </c>
      <c r="G55" s="8">
        <v>0</v>
      </c>
      <c r="H55" s="7">
        <f t="shared" si="17"/>
        <v>2347.272727272727</v>
      </c>
      <c r="I55" s="7">
        <v>5164</v>
      </c>
      <c r="J55" s="8">
        <v>2.2000000000000002</v>
      </c>
      <c r="K55" s="7">
        <f t="shared" si="18"/>
        <v>3640</v>
      </c>
      <c r="L55" s="7">
        <v>2912</v>
      </c>
      <c r="M55" s="8">
        <v>0.8</v>
      </c>
      <c r="N55" s="7" t="e">
        <f t="shared" si="19"/>
        <v>#DIV/0!</v>
      </c>
      <c r="O55" s="7">
        <v>0</v>
      </c>
      <c r="P55" s="8">
        <v>0</v>
      </c>
      <c r="Q55" s="7">
        <f t="shared" si="20"/>
        <v>3386.2962962962961</v>
      </c>
      <c r="R55" s="7">
        <v>9143</v>
      </c>
      <c r="S55" s="8">
        <v>2.7</v>
      </c>
      <c r="T55" s="7" t="e">
        <f t="shared" si="21"/>
        <v>#DIV/0!</v>
      </c>
      <c r="U55" s="7">
        <v>0</v>
      </c>
      <c r="V55" s="8">
        <v>0</v>
      </c>
      <c r="W55" s="7">
        <f t="shared" si="22"/>
        <v>22200</v>
      </c>
      <c r="X55" s="7">
        <v>4440</v>
      </c>
      <c r="Y55" s="8">
        <v>0.2</v>
      </c>
      <c r="Z55" s="7" t="e">
        <f t="shared" si="23"/>
        <v>#DIV/0!</v>
      </c>
      <c r="AA55" s="7">
        <v>0</v>
      </c>
      <c r="AB55" s="8">
        <v>0</v>
      </c>
      <c r="AC55" s="7" t="e">
        <f t="shared" si="24"/>
        <v>#DIV/0!</v>
      </c>
      <c r="AD55" s="7">
        <v>0</v>
      </c>
      <c r="AE55" s="8">
        <v>0</v>
      </c>
      <c r="AF55" s="7" t="e">
        <f t="shared" si="25"/>
        <v>#DIV/0!</v>
      </c>
      <c r="AG55" s="7">
        <v>0</v>
      </c>
      <c r="AH55" s="8">
        <v>0</v>
      </c>
      <c r="AI55" s="7">
        <f t="shared" si="26"/>
        <v>2346.1538461538462</v>
      </c>
      <c r="AJ55" s="7">
        <v>6100</v>
      </c>
      <c r="AK55" s="8">
        <v>2.6</v>
      </c>
      <c r="AL55" s="7" t="e">
        <f t="shared" si="27"/>
        <v>#DIV/0!</v>
      </c>
      <c r="AM55" s="7">
        <v>0</v>
      </c>
      <c r="AN55" s="8">
        <v>0</v>
      </c>
      <c r="AO55" s="7">
        <f t="shared" si="12"/>
        <v>3265.7647058823532</v>
      </c>
      <c r="AP55" s="7">
        <f t="shared" si="15"/>
        <v>27759</v>
      </c>
      <c r="AQ55" s="8">
        <f t="shared" si="14"/>
        <v>8.5</v>
      </c>
    </row>
    <row r="56" spans="1:43" x14ac:dyDescent="0.3">
      <c r="A56" s="19" t="s">
        <v>86</v>
      </c>
      <c r="B56" s="23"/>
      <c r="C56" s="23"/>
      <c r="D56" s="23"/>
      <c r="E56" s="7" t="e">
        <f t="shared" si="16"/>
        <v>#DIV/0!</v>
      </c>
      <c r="F56" s="7">
        <v>0</v>
      </c>
      <c r="G56" s="8">
        <v>0</v>
      </c>
      <c r="H56" s="7" t="e">
        <f t="shared" si="17"/>
        <v>#DIV/0!</v>
      </c>
      <c r="I56" s="7">
        <v>0</v>
      </c>
      <c r="J56" s="8">
        <v>0</v>
      </c>
      <c r="K56" s="7" t="e">
        <f t="shared" si="18"/>
        <v>#DIV/0!</v>
      </c>
      <c r="L56" s="7">
        <v>0</v>
      </c>
      <c r="M56" s="8">
        <v>0</v>
      </c>
      <c r="N56" s="7" t="e">
        <f t="shared" si="19"/>
        <v>#DIV/0!</v>
      </c>
      <c r="O56" s="7">
        <v>0</v>
      </c>
      <c r="P56" s="8">
        <v>0</v>
      </c>
      <c r="Q56" s="7" t="e">
        <f t="shared" si="20"/>
        <v>#DIV/0!</v>
      </c>
      <c r="R56" s="7">
        <v>0</v>
      </c>
      <c r="S56" s="8">
        <v>0</v>
      </c>
      <c r="T56" s="7" t="e">
        <f t="shared" si="21"/>
        <v>#DIV/0!</v>
      </c>
      <c r="U56" s="7">
        <v>0</v>
      </c>
      <c r="V56" s="8">
        <v>0</v>
      </c>
      <c r="W56" s="7" t="e">
        <f t="shared" si="22"/>
        <v>#DIV/0!</v>
      </c>
      <c r="X56" s="7">
        <v>0</v>
      </c>
      <c r="Y56" s="8">
        <v>0</v>
      </c>
      <c r="Z56" s="7" t="e">
        <f t="shared" si="23"/>
        <v>#DIV/0!</v>
      </c>
      <c r="AA56" s="7">
        <v>0</v>
      </c>
      <c r="AB56" s="8">
        <v>0</v>
      </c>
      <c r="AC56" s="7">
        <f t="shared" si="24"/>
        <v>7860.0000000000009</v>
      </c>
      <c r="AD56" s="7">
        <v>5502</v>
      </c>
      <c r="AE56" s="8">
        <v>0.7</v>
      </c>
      <c r="AF56" s="7" t="e">
        <f t="shared" si="25"/>
        <v>#DIV/0!</v>
      </c>
      <c r="AG56" s="7">
        <v>0</v>
      </c>
      <c r="AH56" s="8">
        <v>0</v>
      </c>
      <c r="AI56" s="7" t="e">
        <f t="shared" si="26"/>
        <v>#DIV/0!</v>
      </c>
      <c r="AJ56" s="7">
        <v>0</v>
      </c>
      <c r="AK56" s="8">
        <v>0</v>
      </c>
      <c r="AL56" s="7" t="e">
        <f t="shared" si="27"/>
        <v>#DIV/0!</v>
      </c>
      <c r="AM56" s="7">
        <v>0</v>
      </c>
      <c r="AN56" s="8">
        <v>0</v>
      </c>
      <c r="AO56" s="7">
        <f t="shared" si="12"/>
        <v>7860.0000000000009</v>
      </c>
      <c r="AP56" s="7">
        <f t="shared" si="15"/>
        <v>5502</v>
      </c>
      <c r="AQ56" s="8">
        <f t="shared" si="14"/>
        <v>0.7</v>
      </c>
    </row>
    <row r="57" spans="1:43" x14ac:dyDescent="0.3">
      <c r="A57" s="19" t="s">
        <v>87</v>
      </c>
      <c r="B57" s="23"/>
      <c r="C57" s="23"/>
      <c r="D57" s="23"/>
      <c r="E57" s="7" t="e">
        <f t="shared" si="16"/>
        <v>#DIV/0!</v>
      </c>
      <c r="F57" s="7">
        <v>0</v>
      </c>
      <c r="G57" s="8">
        <v>0</v>
      </c>
      <c r="H57" s="7" t="e">
        <f t="shared" si="17"/>
        <v>#DIV/0!</v>
      </c>
      <c r="I57" s="7">
        <v>0</v>
      </c>
      <c r="J57" s="8">
        <v>0</v>
      </c>
      <c r="K57" s="7" t="e">
        <f t="shared" si="18"/>
        <v>#DIV/0!</v>
      </c>
      <c r="L57" s="7">
        <v>0</v>
      </c>
      <c r="M57" s="8">
        <v>0</v>
      </c>
      <c r="N57" s="7" t="e">
        <f t="shared" si="19"/>
        <v>#DIV/0!</v>
      </c>
      <c r="O57" s="7">
        <v>0</v>
      </c>
      <c r="P57" s="8">
        <v>0</v>
      </c>
      <c r="Q57" s="7" t="e">
        <f t="shared" si="20"/>
        <v>#DIV/0!</v>
      </c>
      <c r="R57" s="7">
        <v>0</v>
      </c>
      <c r="S57" s="8">
        <v>0</v>
      </c>
      <c r="T57" s="7" t="e">
        <f t="shared" si="21"/>
        <v>#DIV/0!</v>
      </c>
      <c r="U57" s="7">
        <v>0</v>
      </c>
      <c r="V57" s="8">
        <v>0</v>
      </c>
      <c r="W57" s="7" t="e">
        <f t="shared" si="22"/>
        <v>#DIV/0!</v>
      </c>
      <c r="X57" s="7">
        <v>0</v>
      </c>
      <c r="Y57" s="8">
        <v>0</v>
      </c>
      <c r="Z57" s="7" t="e">
        <f t="shared" si="23"/>
        <v>#DIV/0!</v>
      </c>
      <c r="AA57" s="7">
        <v>0</v>
      </c>
      <c r="AB57" s="8">
        <v>0</v>
      </c>
      <c r="AC57" s="7" t="e">
        <f t="shared" si="24"/>
        <v>#DIV/0!</v>
      </c>
      <c r="AD57" s="7">
        <v>0</v>
      </c>
      <c r="AE57" s="8">
        <v>0</v>
      </c>
      <c r="AF57" s="7" t="e">
        <f t="shared" si="25"/>
        <v>#DIV/0!</v>
      </c>
      <c r="AG57" s="7">
        <v>0</v>
      </c>
      <c r="AH57" s="8">
        <v>0</v>
      </c>
      <c r="AI57" s="7">
        <f t="shared" si="26"/>
        <v>1546.875</v>
      </c>
      <c r="AJ57" s="7">
        <v>19800</v>
      </c>
      <c r="AK57" s="8">
        <v>12.8</v>
      </c>
      <c r="AL57" s="7" t="e">
        <f t="shared" si="27"/>
        <v>#DIV/0!</v>
      </c>
      <c r="AM57" s="7">
        <v>0</v>
      </c>
      <c r="AN57" s="8">
        <v>0</v>
      </c>
      <c r="AO57" s="7">
        <f t="shared" si="12"/>
        <v>1546.875</v>
      </c>
      <c r="AP57" s="7">
        <f t="shared" si="15"/>
        <v>19800</v>
      </c>
      <c r="AQ57" s="8">
        <f t="shared" si="14"/>
        <v>12.8</v>
      </c>
    </row>
    <row r="58" spans="1:43" x14ac:dyDescent="0.3">
      <c r="A58" s="19" t="s">
        <v>72</v>
      </c>
      <c r="B58" s="23"/>
      <c r="C58" s="23"/>
      <c r="D58" s="23"/>
      <c r="E58" s="7">
        <f t="shared" si="16"/>
        <v>1562.8205128205129</v>
      </c>
      <c r="F58" s="7">
        <v>6095</v>
      </c>
      <c r="G58" s="8">
        <v>3.9</v>
      </c>
      <c r="H58" s="7" t="e">
        <f t="shared" si="17"/>
        <v>#DIV/0!</v>
      </c>
      <c r="I58" s="7">
        <v>0</v>
      </c>
      <c r="J58" s="8">
        <v>0</v>
      </c>
      <c r="K58" s="7" t="e">
        <f t="shared" si="18"/>
        <v>#DIV/0!</v>
      </c>
      <c r="L58" s="7">
        <v>0</v>
      </c>
      <c r="M58" s="8">
        <v>0</v>
      </c>
      <c r="N58" s="7" t="e">
        <f t="shared" si="19"/>
        <v>#DIV/0!</v>
      </c>
      <c r="O58" s="7">
        <v>0</v>
      </c>
      <c r="P58" s="8">
        <v>0</v>
      </c>
      <c r="Q58" s="7" t="e">
        <f t="shared" si="20"/>
        <v>#DIV/0!</v>
      </c>
      <c r="R58" s="7">
        <v>0</v>
      </c>
      <c r="S58" s="8">
        <v>0</v>
      </c>
      <c r="T58" s="7" t="e">
        <f t="shared" si="21"/>
        <v>#DIV/0!</v>
      </c>
      <c r="U58" s="7">
        <v>0</v>
      </c>
      <c r="V58" s="8">
        <v>0</v>
      </c>
      <c r="W58" s="7" t="e">
        <f t="shared" si="22"/>
        <v>#DIV/0!</v>
      </c>
      <c r="X58" s="7">
        <v>0</v>
      </c>
      <c r="Y58" s="8">
        <v>0</v>
      </c>
      <c r="Z58" s="7" t="e">
        <f t="shared" si="23"/>
        <v>#DIV/0!</v>
      </c>
      <c r="AA58" s="7">
        <v>0</v>
      </c>
      <c r="AB58" s="8">
        <v>0</v>
      </c>
      <c r="AC58" s="7" t="e">
        <f t="shared" si="24"/>
        <v>#DIV/0!</v>
      </c>
      <c r="AD58" s="7">
        <v>0</v>
      </c>
      <c r="AE58" s="8">
        <v>0</v>
      </c>
      <c r="AF58" s="7" t="e">
        <f t="shared" si="25"/>
        <v>#DIV/0!</v>
      </c>
      <c r="AG58" s="7">
        <v>0</v>
      </c>
      <c r="AH58" s="8">
        <v>0</v>
      </c>
      <c r="AI58" s="7" t="e">
        <f t="shared" si="26"/>
        <v>#DIV/0!</v>
      </c>
      <c r="AJ58" s="7">
        <v>0</v>
      </c>
      <c r="AK58" s="8">
        <v>0</v>
      </c>
      <c r="AL58" s="7" t="e">
        <f t="shared" si="27"/>
        <v>#DIV/0!</v>
      </c>
      <c r="AM58" s="7">
        <v>0</v>
      </c>
      <c r="AN58" s="8">
        <v>0</v>
      </c>
      <c r="AO58" s="7">
        <f t="shared" si="12"/>
        <v>1562.8205128205129</v>
      </c>
      <c r="AP58" s="7">
        <f t="shared" si="15"/>
        <v>6095</v>
      </c>
      <c r="AQ58" s="8">
        <f t="shared" si="14"/>
        <v>3.9</v>
      </c>
    </row>
    <row r="59" spans="1:43" x14ac:dyDescent="0.3">
      <c r="A59" s="19" t="s">
        <v>88</v>
      </c>
      <c r="B59" s="23"/>
      <c r="C59" s="23"/>
      <c r="D59" s="23"/>
      <c r="E59" s="7">
        <f t="shared" si="16"/>
        <v>1046.5151515151515</v>
      </c>
      <c r="F59" s="7">
        <v>6907</v>
      </c>
      <c r="G59" s="8">
        <v>6.6</v>
      </c>
      <c r="H59" s="7" t="e">
        <f t="shared" si="17"/>
        <v>#DIV/0!</v>
      </c>
      <c r="I59" s="7">
        <v>0</v>
      </c>
      <c r="J59" s="8">
        <v>0</v>
      </c>
      <c r="K59" s="7" t="e">
        <f t="shared" si="18"/>
        <v>#DIV/0!</v>
      </c>
      <c r="L59" s="7">
        <v>0</v>
      </c>
      <c r="M59" s="8">
        <v>0</v>
      </c>
      <c r="N59" s="7" t="e">
        <f t="shared" si="19"/>
        <v>#DIV/0!</v>
      </c>
      <c r="O59" s="7">
        <v>0</v>
      </c>
      <c r="P59" s="8">
        <v>0</v>
      </c>
      <c r="Q59" s="7" t="e">
        <f t="shared" si="20"/>
        <v>#DIV/0!</v>
      </c>
      <c r="R59" s="7">
        <v>0</v>
      </c>
      <c r="S59" s="8">
        <v>0</v>
      </c>
      <c r="T59" s="7" t="e">
        <f t="shared" si="21"/>
        <v>#DIV/0!</v>
      </c>
      <c r="U59" s="7">
        <v>0</v>
      </c>
      <c r="V59" s="8">
        <v>0</v>
      </c>
      <c r="W59" s="7" t="e">
        <f t="shared" si="22"/>
        <v>#DIV/0!</v>
      </c>
      <c r="X59" s="7">
        <v>0</v>
      </c>
      <c r="Y59" s="8">
        <v>0</v>
      </c>
      <c r="Z59" s="7" t="e">
        <f t="shared" si="23"/>
        <v>#DIV/0!</v>
      </c>
      <c r="AA59" s="7">
        <v>0</v>
      </c>
      <c r="AB59" s="8">
        <v>0</v>
      </c>
      <c r="AC59" s="7" t="e">
        <f t="shared" si="24"/>
        <v>#DIV/0!</v>
      </c>
      <c r="AD59" s="7">
        <v>0</v>
      </c>
      <c r="AE59" s="8">
        <v>0</v>
      </c>
      <c r="AF59" s="7" t="e">
        <f t="shared" si="25"/>
        <v>#DIV/0!</v>
      </c>
      <c r="AG59" s="7">
        <v>0</v>
      </c>
      <c r="AH59" s="8">
        <v>0</v>
      </c>
      <c r="AI59" s="7">
        <f t="shared" si="26"/>
        <v>1270</v>
      </c>
      <c r="AJ59" s="7">
        <v>3810</v>
      </c>
      <c r="AK59" s="8">
        <v>3</v>
      </c>
      <c r="AL59" s="7" t="e">
        <f t="shared" si="27"/>
        <v>#DIV/0!</v>
      </c>
      <c r="AM59" s="7">
        <v>0</v>
      </c>
      <c r="AN59" s="8">
        <v>0</v>
      </c>
      <c r="AO59" s="7">
        <f t="shared" si="12"/>
        <v>1116.3541666666667</v>
      </c>
      <c r="AP59" s="7">
        <f t="shared" si="15"/>
        <v>10717</v>
      </c>
      <c r="AQ59" s="8">
        <f t="shared" si="14"/>
        <v>9.6</v>
      </c>
    </row>
    <row r="60" spans="1:43" x14ac:dyDescent="0.3">
      <c r="A60" s="19" t="s">
        <v>73</v>
      </c>
      <c r="B60" s="23"/>
      <c r="C60" s="23"/>
      <c r="D60" s="23"/>
      <c r="E60" s="7">
        <f t="shared" si="16"/>
        <v>2239.0625</v>
      </c>
      <c r="F60" s="7">
        <v>7165</v>
      </c>
      <c r="G60" s="8">
        <v>3.2</v>
      </c>
      <c r="H60" s="7">
        <f t="shared" si="17"/>
        <v>2259.6875</v>
      </c>
      <c r="I60" s="7">
        <v>21693</v>
      </c>
      <c r="J60" s="8">
        <v>9.6</v>
      </c>
      <c r="K60" s="7">
        <f t="shared" si="18"/>
        <v>2186.855670103093</v>
      </c>
      <c r="L60" s="7">
        <v>42425</v>
      </c>
      <c r="M60" s="8">
        <v>19.399999999999999</v>
      </c>
      <c r="N60" s="7">
        <f t="shared" si="19"/>
        <v>1885.3333333333333</v>
      </c>
      <c r="O60" s="7">
        <v>42420</v>
      </c>
      <c r="P60" s="8">
        <v>22.5</v>
      </c>
      <c r="Q60" s="7">
        <f t="shared" si="20"/>
        <v>1525.1307189542483</v>
      </c>
      <c r="R60" s="7">
        <v>46669</v>
      </c>
      <c r="S60" s="8">
        <v>30.6</v>
      </c>
      <c r="T60" s="7">
        <f t="shared" si="21"/>
        <v>2300</v>
      </c>
      <c r="U60" s="7">
        <v>3910</v>
      </c>
      <c r="V60" s="8">
        <v>1.7</v>
      </c>
      <c r="W60" s="7">
        <f t="shared" si="22"/>
        <v>2201.4035087719299</v>
      </c>
      <c r="X60" s="7">
        <v>12548</v>
      </c>
      <c r="Y60" s="8">
        <v>5.7</v>
      </c>
      <c r="Z60" s="7">
        <f t="shared" si="23"/>
        <v>2202.1621621621621</v>
      </c>
      <c r="AA60" s="7">
        <v>16296</v>
      </c>
      <c r="AB60" s="8">
        <v>7.4</v>
      </c>
      <c r="AC60" s="7">
        <f t="shared" si="24"/>
        <v>2222.0833333333335</v>
      </c>
      <c r="AD60" s="7">
        <v>5333</v>
      </c>
      <c r="AE60" s="8">
        <v>2.4</v>
      </c>
      <c r="AF60" s="7">
        <f t="shared" si="25"/>
        <v>2332.6666666666665</v>
      </c>
      <c r="AG60" s="7">
        <v>17495</v>
      </c>
      <c r="AH60" s="8">
        <v>7.5</v>
      </c>
      <c r="AI60" s="7">
        <f t="shared" si="26"/>
        <v>2244.2574257425745</v>
      </c>
      <c r="AJ60" s="7">
        <v>22667</v>
      </c>
      <c r="AK60" s="8">
        <v>10.1</v>
      </c>
      <c r="AL60" s="7" t="e">
        <f t="shared" si="27"/>
        <v>#DIV/0!</v>
      </c>
      <c r="AM60" s="7">
        <v>0</v>
      </c>
      <c r="AN60" s="8">
        <v>0</v>
      </c>
      <c r="AO60" s="7">
        <f t="shared" si="12"/>
        <v>1986.852622814321</v>
      </c>
      <c r="AP60" s="7">
        <f t="shared" si="15"/>
        <v>238621</v>
      </c>
      <c r="AQ60" s="8">
        <f t="shared" si="14"/>
        <v>120.10000000000002</v>
      </c>
    </row>
    <row r="61" spans="1:43" x14ac:dyDescent="0.3">
      <c r="A61" s="19" t="s">
        <v>74</v>
      </c>
      <c r="B61" s="23"/>
      <c r="C61" s="23"/>
      <c r="D61" s="23"/>
      <c r="E61" s="7" t="e">
        <f t="shared" si="16"/>
        <v>#DIV/0!</v>
      </c>
      <c r="F61" s="7">
        <v>0</v>
      </c>
      <c r="G61" s="8">
        <v>0</v>
      </c>
      <c r="H61" s="7">
        <f t="shared" si="17"/>
        <v>3591.1111111111109</v>
      </c>
      <c r="I61" s="7">
        <v>3232</v>
      </c>
      <c r="J61" s="8">
        <v>0.9</v>
      </c>
      <c r="K61" s="7">
        <f t="shared" si="18"/>
        <v>3462.8571428571431</v>
      </c>
      <c r="L61" s="7">
        <v>4848</v>
      </c>
      <c r="M61" s="8">
        <v>1.4</v>
      </c>
      <c r="N61" s="7" t="e">
        <f t="shared" si="19"/>
        <v>#DIV/0!</v>
      </c>
      <c r="O61" s="7">
        <v>0</v>
      </c>
      <c r="P61" s="8">
        <v>0</v>
      </c>
      <c r="Q61" s="7" t="e">
        <f t="shared" si="20"/>
        <v>#DIV/0!</v>
      </c>
      <c r="R61" s="7">
        <v>0</v>
      </c>
      <c r="S61" s="8">
        <v>0</v>
      </c>
      <c r="T61" s="7" t="e">
        <f t="shared" si="21"/>
        <v>#DIV/0!</v>
      </c>
      <c r="U61" s="7">
        <v>0</v>
      </c>
      <c r="V61" s="8">
        <v>0</v>
      </c>
      <c r="W61" s="7" t="e">
        <f t="shared" si="22"/>
        <v>#DIV/0!</v>
      </c>
      <c r="X61" s="7">
        <v>0</v>
      </c>
      <c r="Y61" s="8">
        <v>0</v>
      </c>
      <c r="Z61" s="7">
        <f t="shared" si="23"/>
        <v>4197.1428571428578</v>
      </c>
      <c r="AA61" s="7">
        <v>2938</v>
      </c>
      <c r="AB61" s="8">
        <v>0.7</v>
      </c>
      <c r="AC61" s="7" t="e">
        <f t="shared" si="24"/>
        <v>#DIV/0!</v>
      </c>
      <c r="AD61" s="7">
        <v>0</v>
      </c>
      <c r="AE61" s="8">
        <v>0</v>
      </c>
      <c r="AF61" s="7">
        <f t="shared" si="25"/>
        <v>4353.333333333333</v>
      </c>
      <c r="AG61" s="7">
        <v>3918</v>
      </c>
      <c r="AH61" s="8">
        <v>0.9</v>
      </c>
      <c r="AI61" s="7" t="e">
        <f t="shared" si="26"/>
        <v>#DIV/0!</v>
      </c>
      <c r="AJ61" s="7">
        <v>0</v>
      </c>
      <c r="AK61" s="8">
        <v>0</v>
      </c>
      <c r="AL61" s="7" t="e">
        <f t="shared" si="27"/>
        <v>#DIV/0!</v>
      </c>
      <c r="AM61" s="7">
        <v>0</v>
      </c>
      <c r="AN61" s="8">
        <v>0</v>
      </c>
      <c r="AO61" s="7">
        <f t="shared" si="12"/>
        <v>3829.7435897435898</v>
      </c>
      <c r="AP61" s="7">
        <f t="shared" si="15"/>
        <v>14936</v>
      </c>
      <c r="AQ61" s="8">
        <f t="shared" si="14"/>
        <v>3.9</v>
      </c>
    </row>
    <row r="62" spans="1:43" x14ac:dyDescent="0.3">
      <c r="A62" s="19" t="s">
        <v>53</v>
      </c>
      <c r="B62" s="23"/>
      <c r="C62" s="23"/>
      <c r="D62" s="23"/>
      <c r="E62" s="7">
        <f t="shared" si="16"/>
        <v>1281.5533980582522</v>
      </c>
      <c r="F62" s="7">
        <v>13200</v>
      </c>
      <c r="G62" s="8">
        <v>10.3</v>
      </c>
      <c r="H62" s="7">
        <f t="shared" si="17"/>
        <v>1521.578947368421</v>
      </c>
      <c r="I62" s="7">
        <v>2891</v>
      </c>
      <c r="J62" s="8">
        <v>1.9</v>
      </c>
      <c r="K62" s="7" t="e">
        <f t="shared" si="18"/>
        <v>#DIV/0!</v>
      </c>
      <c r="L62" s="7">
        <v>0</v>
      </c>
      <c r="M62" s="8">
        <v>0</v>
      </c>
      <c r="N62" s="7" t="e">
        <f t="shared" si="19"/>
        <v>#DIV/0!</v>
      </c>
      <c r="O62" s="7">
        <v>0</v>
      </c>
      <c r="P62" s="8">
        <v>0</v>
      </c>
      <c r="Q62" s="7">
        <f t="shared" si="20"/>
        <v>1237.8640776699028</v>
      </c>
      <c r="R62" s="7">
        <v>12750</v>
      </c>
      <c r="S62" s="8">
        <v>10.3</v>
      </c>
      <c r="T62" s="7">
        <f t="shared" si="21"/>
        <v>2067.6923076923076</v>
      </c>
      <c r="U62" s="7">
        <v>2688</v>
      </c>
      <c r="V62" s="8">
        <v>1.3</v>
      </c>
      <c r="W62" s="7" t="e">
        <f t="shared" si="22"/>
        <v>#DIV/0!</v>
      </c>
      <c r="X62" s="7">
        <v>0</v>
      </c>
      <c r="Y62" s="8">
        <v>0</v>
      </c>
      <c r="Z62" s="7">
        <f t="shared" si="23"/>
        <v>1293.4782608695652</v>
      </c>
      <c r="AA62" s="7">
        <v>8925</v>
      </c>
      <c r="AB62" s="8">
        <v>6.9</v>
      </c>
      <c r="AC62" s="7" t="e">
        <f t="shared" si="24"/>
        <v>#DIV/0!</v>
      </c>
      <c r="AD62" s="7">
        <v>0</v>
      </c>
      <c r="AE62" s="8">
        <v>0</v>
      </c>
      <c r="AF62" s="7" t="e">
        <f t="shared" si="25"/>
        <v>#DIV/0!</v>
      </c>
      <c r="AG62" s="7">
        <v>0</v>
      </c>
      <c r="AH62" s="8">
        <v>0</v>
      </c>
      <c r="AI62" s="7">
        <f t="shared" si="26"/>
        <v>1362.1782178217823</v>
      </c>
      <c r="AJ62" s="7">
        <v>13758</v>
      </c>
      <c r="AK62" s="8">
        <v>10.1</v>
      </c>
      <c r="AL62" s="7" t="e">
        <f t="shared" si="27"/>
        <v>#DIV/0!</v>
      </c>
      <c r="AM62" s="7">
        <v>0</v>
      </c>
      <c r="AN62" s="8">
        <v>0</v>
      </c>
      <c r="AO62" s="7">
        <f t="shared" si="12"/>
        <v>1328.7254901960782</v>
      </c>
      <c r="AP62" s="7">
        <f t="shared" si="15"/>
        <v>54212</v>
      </c>
      <c r="AQ62" s="8">
        <f t="shared" si="14"/>
        <v>40.800000000000004</v>
      </c>
    </row>
    <row r="63" spans="1:43" x14ac:dyDescent="0.3">
      <c r="A63" s="19" t="s">
        <v>89</v>
      </c>
      <c r="B63" s="23"/>
      <c r="C63" s="23"/>
      <c r="D63" s="23"/>
      <c r="E63" s="7">
        <f t="shared" si="16"/>
        <v>2880.8333333333335</v>
      </c>
      <c r="F63" s="7">
        <v>3457</v>
      </c>
      <c r="G63" s="8">
        <v>1.2</v>
      </c>
      <c r="H63" s="7" t="e">
        <f t="shared" si="17"/>
        <v>#DIV/0!</v>
      </c>
      <c r="I63" s="7">
        <v>0</v>
      </c>
      <c r="J63" s="8">
        <v>0</v>
      </c>
      <c r="K63" s="7" t="e">
        <f t="shared" si="18"/>
        <v>#DIV/0!</v>
      </c>
      <c r="L63" s="7">
        <v>0</v>
      </c>
      <c r="M63" s="8">
        <v>0</v>
      </c>
      <c r="N63" s="7" t="e">
        <f t="shared" si="19"/>
        <v>#DIV/0!</v>
      </c>
      <c r="O63" s="7">
        <v>0</v>
      </c>
      <c r="P63" s="8">
        <v>0</v>
      </c>
      <c r="Q63" s="7" t="e">
        <f t="shared" si="20"/>
        <v>#DIV/0!</v>
      </c>
      <c r="R63" s="7">
        <v>0</v>
      </c>
      <c r="S63" s="8">
        <v>0</v>
      </c>
      <c r="T63" s="7" t="e">
        <f t="shared" si="21"/>
        <v>#DIV/0!</v>
      </c>
      <c r="U63" s="7">
        <v>0</v>
      </c>
      <c r="V63" s="8">
        <v>0</v>
      </c>
      <c r="W63" s="7" t="e">
        <f t="shared" si="22"/>
        <v>#DIV/0!</v>
      </c>
      <c r="X63" s="7">
        <v>0</v>
      </c>
      <c r="Y63" s="8">
        <v>0</v>
      </c>
      <c r="Z63" s="7" t="e">
        <f t="shared" si="23"/>
        <v>#DIV/0!</v>
      </c>
      <c r="AA63" s="7">
        <v>0</v>
      </c>
      <c r="AB63" s="8">
        <v>0</v>
      </c>
      <c r="AC63" s="7" t="e">
        <f t="shared" si="24"/>
        <v>#DIV/0!</v>
      </c>
      <c r="AD63" s="7">
        <v>0</v>
      </c>
      <c r="AE63" s="8">
        <v>0</v>
      </c>
      <c r="AF63" s="7" t="e">
        <f t="shared" si="25"/>
        <v>#DIV/0!</v>
      </c>
      <c r="AG63" s="7">
        <v>0</v>
      </c>
      <c r="AH63" s="8">
        <v>0</v>
      </c>
      <c r="AI63" s="7" t="e">
        <f t="shared" si="26"/>
        <v>#DIV/0!</v>
      </c>
      <c r="AJ63" s="7">
        <v>0</v>
      </c>
      <c r="AK63" s="8">
        <v>0</v>
      </c>
      <c r="AL63" s="7" t="e">
        <f t="shared" si="27"/>
        <v>#DIV/0!</v>
      </c>
      <c r="AM63" s="7">
        <v>0</v>
      </c>
      <c r="AN63" s="8">
        <v>0</v>
      </c>
      <c r="AO63" s="7">
        <f t="shared" si="12"/>
        <v>2880.8333333333335</v>
      </c>
      <c r="AP63" s="7">
        <f t="shared" si="15"/>
        <v>3457</v>
      </c>
      <c r="AQ63" s="8">
        <f t="shared" si="14"/>
        <v>1.2</v>
      </c>
    </row>
    <row r="64" spans="1:43" x14ac:dyDescent="0.3">
      <c r="A64" s="19" t="s">
        <v>75</v>
      </c>
      <c r="B64" s="23"/>
      <c r="C64" s="23"/>
      <c r="D64" s="23"/>
      <c r="E64" s="7" t="e">
        <f t="shared" si="16"/>
        <v>#DIV/0!</v>
      </c>
      <c r="F64" s="7">
        <v>0</v>
      </c>
      <c r="G64" s="8">
        <v>0</v>
      </c>
      <c r="H64" s="7" t="e">
        <f t="shared" si="17"/>
        <v>#DIV/0!</v>
      </c>
      <c r="I64" s="7">
        <v>0</v>
      </c>
      <c r="J64" s="8">
        <v>0</v>
      </c>
      <c r="K64" s="7" t="e">
        <f t="shared" si="18"/>
        <v>#DIV/0!</v>
      </c>
      <c r="L64" s="7">
        <v>0</v>
      </c>
      <c r="M64" s="8">
        <v>0</v>
      </c>
      <c r="N64" s="7" t="e">
        <f t="shared" si="19"/>
        <v>#DIV/0!</v>
      </c>
      <c r="O64" s="7">
        <v>0</v>
      </c>
      <c r="P64" s="8">
        <v>0</v>
      </c>
      <c r="Q64" s="7" t="e">
        <f t="shared" si="20"/>
        <v>#DIV/0!</v>
      </c>
      <c r="R64" s="7">
        <v>0</v>
      </c>
      <c r="S64" s="8">
        <v>0</v>
      </c>
      <c r="T64" s="7">
        <f t="shared" si="21"/>
        <v>1561.0684161199624</v>
      </c>
      <c r="U64" s="7">
        <v>333132</v>
      </c>
      <c r="V64" s="8">
        <v>213.4</v>
      </c>
      <c r="W64" s="7">
        <f t="shared" si="22"/>
        <v>2002.6315789473686</v>
      </c>
      <c r="X64" s="7">
        <v>3805</v>
      </c>
      <c r="Y64" s="8">
        <v>1.9</v>
      </c>
      <c r="Z64" s="7" t="e">
        <f t="shared" si="23"/>
        <v>#DIV/0!</v>
      </c>
      <c r="AA64" s="7">
        <v>0</v>
      </c>
      <c r="AB64" s="8">
        <v>0</v>
      </c>
      <c r="AC64" s="7" t="e">
        <f t="shared" si="24"/>
        <v>#DIV/0!</v>
      </c>
      <c r="AD64" s="7">
        <v>0</v>
      </c>
      <c r="AE64" s="8">
        <v>0</v>
      </c>
      <c r="AF64" s="7" t="e">
        <f t="shared" si="25"/>
        <v>#DIV/0!</v>
      </c>
      <c r="AG64" s="7">
        <v>0</v>
      </c>
      <c r="AH64" s="8">
        <v>0</v>
      </c>
      <c r="AI64" s="7">
        <f t="shared" si="26"/>
        <v>1548.7312900926584</v>
      </c>
      <c r="AJ64" s="7">
        <v>434574</v>
      </c>
      <c r="AK64" s="8">
        <v>280.60000000000002</v>
      </c>
      <c r="AL64" s="7" t="e">
        <f t="shared" si="27"/>
        <v>#DIV/0!</v>
      </c>
      <c r="AM64" s="7">
        <v>0</v>
      </c>
      <c r="AN64" s="8">
        <v>0</v>
      </c>
      <c r="AO64" s="7">
        <f t="shared" si="12"/>
        <v>1555.7793910062512</v>
      </c>
      <c r="AP64" s="7">
        <f t="shared" si="15"/>
        <v>771511</v>
      </c>
      <c r="AQ64" s="8">
        <f t="shared" si="14"/>
        <v>495.90000000000003</v>
      </c>
    </row>
    <row r="65" spans="1:43" x14ac:dyDescent="0.3">
      <c r="A65" s="19" t="s">
        <v>90</v>
      </c>
      <c r="B65" s="23"/>
      <c r="C65" s="23"/>
      <c r="D65" s="23"/>
      <c r="E65" s="7" t="e">
        <f t="shared" si="16"/>
        <v>#DIV/0!</v>
      </c>
      <c r="F65" s="7">
        <v>0</v>
      </c>
      <c r="G65" s="8">
        <v>0</v>
      </c>
      <c r="H65" s="7" t="e">
        <f t="shared" si="17"/>
        <v>#DIV/0!</v>
      </c>
      <c r="I65" s="7">
        <v>0</v>
      </c>
      <c r="J65" s="8">
        <v>0</v>
      </c>
      <c r="K65" s="7" t="e">
        <f t="shared" si="18"/>
        <v>#DIV/0!</v>
      </c>
      <c r="L65" s="7">
        <v>0</v>
      </c>
      <c r="M65" s="8">
        <v>0</v>
      </c>
      <c r="N65" s="7" t="e">
        <f t="shared" si="19"/>
        <v>#DIV/0!</v>
      </c>
      <c r="O65" s="7">
        <v>0</v>
      </c>
      <c r="P65" s="8">
        <v>0</v>
      </c>
      <c r="Q65" s="7" t="e">
        <f t="shared" si="20"/>
        <v>#DIV/0!</v>
      </c>
      <c r="R65" s="7">
        <v>0</v>
      </c>
      <c r="S65" s="8">
        <v>0</v>
      </c>
      <c r="T65" s="7">
        <f t="shared" si="21"/>
        <v>3209.090909090909</v>
      </c>
      <c r="U65" s="7">
        <v>3530</v>
      </c>
      <c r="V65" s="8">
        <v>1.1000000000000001</v>
      </c>
      <c r="W65" s="7" t="e">
        <f t="shared" si="22"/>
        <v>#DIV/0!</v>
      </c>
      <c r="X65" s="7">
        <v>0</v>
      </c>
      <c r="Y65" s="8">
        <v>0</v>
      </c>
      <c r="Z65" s="7" t="e">
        <f t="shared" si="23"/>
        <v>#DIV/0!</v>
      </c>
      <c r="AA65" s="7">
        <v>0</v>
      </c>
      <c r="AB65" s="8">
        <v>0</v>
      </c>
      <c r="AC65" s="7" t="e">
        <f t="shared" si="24"/>
        <v>#DIV/0!</v>
      </c>
      <c r="AD65" s="7">
        <v>0</v>
      </c>
      <c r="AE65" s="8">
        <v>0</v>
      </c>
      <c r="AF65" s="7" t="e">
        <f t="shared" si="25"/>
        <v>#DIV/0!</v>
      </c>
      <c r="AG65" s="7">
        <v>0</v>
      </c>
      <c r="AH65" s="8">
        <v>0</v>
      </c>
      <c r="AI65" s="7" t="e">
        <f t="shared" si="26"/>
        <v>#DIV/0!</v>
      </c>
      <c r="AJ65" s="7">
        <v>0</v>
      </c>
      <c r="AK65" s="8">
        <v>0</v>
      </c>
      <c r="AL65" s="7" t="e">
        <f t="shared" si="27"/>
        <v>#DIV/0!</v>
      </c>
      <c r="AM65" s="7">
        <v>0</v>
      </c>
      <c r="AN65" s="8">
        <v>0</v>
      </c>
      <c r="AO65" s="7">
        <f t="shared" si="12"/>
        <v>3209.090909090909</v>
      </c>
      <c r="AP65" s="7">
        <f t="shared" si="15"/>
        <v>3530</v>
      </c>
      <c r="AQ65" s="8">
        <f t="shared" si="14"/>
        <v>1.1000000000000001</v>
      </c>
    </row>
    <row r="66" spans="1:43" x14ac:dyDescent="0.3">
      <c r="A66" s="16" t="s">
        <v>91</v>
      </c>
      <c r="B66" s="24"/>
      <c r="C66" s="24"/>
      <c r="D66" s="24"/>
      <c r="E66" s="14" t="e">
        <f t="shared" si="16"/>
        <v>#DIV/0!</v>
      </c>
      <c r="F66" s="12">
        <v>0</v>
      </c>
      <c r="G66" s="13">
        <v>0</v>
      </c>
      <c r="H66" s="12" t="e">
        <f t="shared" si="17"/>
        <v>#DIV/0!</v>
      </c>
      <c r="I66" s="12">
        <v>0</v>
      </c>
      <c r="J66" s="13">
        <v>0</v>
      </c>
      <c r="K66" s="12" t="e">
        <f t="shared" si="18"/>
        <v>#DIV/0!</v>
      </c>
      <c r="L66" s="12">
        <v>0</v>
      </c>
      <c r="M66" s="13">
        <v>0</v>
      </c>
      <c r="N66" s="12" t="e">
        <f t="shared" si="19"/>
        <v>#DIV/0!</v>
      </c>
      <c r="O66" s="12">
        <v>0</v>
      </c>
      <c r="P66" s="13">
        <v>0</v>
      </c>
      <c r="Q66" s="12" t="e">
        <f t="shared" si="20"/>
        <v>#DIV/0!</v>
      </c>
      <c r="R66" s="12">
        <v>0</v>
      </c>
      <c r="S66" s="13">
        <v>0</v>
      </c>
      <c r="T66" s="12" t="e">
        <f t="shared" si="21"/>
        <v>#DIV/0!</v>
      </c>
      <c r="U66" s="12">
        <v>0</v>
      </c>
      <c r="V66" s="13">
        <v>0</v>
      </c>
      <c r="W66" s="12" t="e">
        <f t="shared" si="22"/>
        <v>#DIV/0!</v>
      </c>
      <c r="X66" s="12">
        <v>0</v>
      </c>
      <c r="Y66" s="13">
        <v>0</v>
      </c>
      <c r="Z66" s="12" t="e">
        <f t="shared" si="23"/>
        <v>#DIV/0!</v>
      </c>
      <c r="AA66" s="12">
        <v>0</v>
      </c>
      <c r="AB66" s="13">
        <v>0</v>
      </c>
      <c r="AC66" s="12">
        <f t="shared" si="24"/>
        <v>1102.9411764705883</v>
      </c>
      <c r="AD66" s="12">
        <v>30000</v>
      </c>
      <c r="AE66" s="13">
        <v>27.2</v>
      </c>
      <c r="AF66" s="12">
        <f t="shared" si="25"/>
        <v>2333.3333333333335</v>
      </c>
      <c r="AG66" s="12">
        <v>35000</v>
      </c>
      <c r="AH66" s="13">
        <v>15</v>
      </c>
      <c r="AI66" s="12" t="e">
        <f t="shared" si="26"/>
        <v>#DIV/0!</v>
      </c>
      <c r="AJ66" s="12">
        <v>0</v>
      </c>
      <c r="AK66" s="13">
        <v>0</v>
      </c>
      <c r="AL66" s="12" t="e">
        <f t="shared" si="27"/>
        <v>#DIV/0!</v>
      </c>
      <c r="AM66" s="12">
        <v>0</v>
      </c>
      <c r="AN66" s="13">
        <v>0</v>
      </c>
      <c r="AO66" s="12">
        <f t="shared" si="12"/>
        <v>1540.2843601895734</v>
      </c>
      <c r="AP66" s="12">
        <f t="shared" si="15"/>
        <v>65000</v>
      </c>
      <c r="AQ66" s="13">
        <f t="shared" si="14"/>
        <v>42.2</v>
      </c>
    </row>
    <row r="67" spans="1:43" x14ac:dyDescent="0.3">
      <c r="A67" s="1" t="s">
        <v>41</v>
      </c>
      <c r="B67" s="1"/>
    </row>
    <row r="68" spans="1:43" x14ac:dyDescent="0.3">
      <c r="A68" s="1" t="s">
        <v>76</v>
      </c>
      <c r="B68" s="1"/>
    </row>
    <row r="69" spans="1:43" x14ac:dyDescent="0.3">
      <c r="A69" s="1" t="s">
        <v>42</v>
      </c>
      <c r="B69" s="1"/>
    </row>
    <row r="70" spans="1:43" x14ac:dyDescent="0.3">
      <c r="A70" s="1" t="s">
        <v>43</v>
      </c>
      <c r="B70" s="1"/>
    </row>
    <row r="71" spans="1:43" x14ac:dyDescent="0.3">
      <c r="A71" s="1" t="s">
        <v>77</v>
      </c>
      <c r="B71" s="1"/>
    </row>
  </sheetData>
  <mergeCells count="16">
    <mergeCell ref="B3:B66"/>
    <mergeCell ref="C3:C66"/>
    <mergeCell ref="AO1:AQ1"/>
    <mergeCell ref="W1:Y1"/>
    <mergeCell ref="Z1:AB1"/>
    <mergeCell ref="AC1:AE1"/>
    <mergeCell ref="AF1:AH1"/>
    <mergeCell ref="AI1:AK1"/>
    <mergeCell ref="D3:D66"/>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2018년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2026-08-07T05:17:50Z</dcterms:modified>
</cp:coreProperties>
</file>