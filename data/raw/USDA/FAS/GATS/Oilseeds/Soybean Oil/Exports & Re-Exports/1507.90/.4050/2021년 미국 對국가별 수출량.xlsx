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07.90\정제된 대두유 및 그 분획물(.4050)\"/>
    </mc:Choice>
  </mc:AlternateContent>
  <bookViews>
    <workbookView xWindow="0" yWindow="0" windowWidth="25125" windowHeight="11640"/>
  </bookViews>
  <sheets>
    <sheet name="2021년" sheetId="1" r:id="rId1"/>
  </sheets>
  <calcPr calcId="162913"/>
</workbook>
</file>

<file path=xl/calcChain.xml><?xml version="1.0" encoding="utf-8"?>
<calcChain xmlns="http://schemas.openxmlformats.org/spreadsheetml/2006/main">
  <c r="AQ57" i="1" l="1"/>
  <c r="AP57" i="1"/>
  <c r="AQ56" i="1"/>
  <c r="AP56" i="1"/>
  <c r="AQ55" i="1"/>
  <c r="AP55" i="1"/>
  <c r="AQ54" i="1"/>
  <c r="AP54" i="1"/>
  <c r="AQ53" i="1"/>
  <c r="AP53" i="1"/>
  <c r="AQ52" i="1"/>
  <c r="AP52" i="1"/>
  <c r="AQ51" i="1"/>
  <c r="AP51" i="1"/>
  <c r="AQ50" i="1"/>
  <c r="AP50" i="1"/>
  <c r="AQ49" i="1"/>
  <c r="AP49" i="1"/>
  <c r="AQ48" i="1"/>
  <c r="AP48" i="1"/>
  <c r="AQ47" i="1"/>
  <c r="AP47" i="1"/>
  <c r="AQ46" i="1"/>
  <c r="AP46" i="1"/>
  <c r="AQ45" i="1"/>
  <c r="AP45" i="1"/>
  <c r="AQ44" i="1"/>
  <c r="AP44" i="1"/>
  <c r="AQ43" i="1"/>
  <c r="AP43" i="1"/>
  <c r="AQ42" i="1"/>
  <c r="AP42" i="1"/>
  <c r="AQ41" i="1"/>
  <c r="AP41" i="1"/>
  <c r="AQ40" i="1"/>
  <c r="AP40" i="1"/>
  <c r="AQ39" i="1"/>
  <c r="AP39" i="1"/>
  <c r="AQ38" i="1"/>
  <c r="AP38" i="1"/>
  <c r="AQ37" i="1"/>
  <c r="AP37" i="1"/>
  <c r="AQ36" i="1"/>
  <c r="AP36" i="1"/>
  <c r="AQ35" i="1"/>
  <c r="AP35" i="1"/>
  <c r="AQ34" i="1"/>
  <c r="AP34" i="1"/>
  <c r="AQ33" i="1"/>
  <c r="AP33" i="1"/>
  <c r="AQ32" i="1"/>
  <c r="AP32" i="1"/>
  <c r="AQ31" i="1"/>
  <c r="AP31" i="1"/>
  <c r="AQ30" i="1"/>
  <c r="AP30" i="1"/>
  <c r="AQ29" i="1"/>
  <c r="AP29" i="1"/>
  <c r="AQ28" i="1"/>
  <c r="AP28" i="1"/>
  <c r="AQ27" i="1"/>
  <c r="AP27" i="1"/>
  <c r="AQ26" i="1"/>
  <c r="AP26" i="1"/>
  <c r="AQ25" i="1"/>
  <c r="AP25" i="1"/>
  <c r="AQ24" i="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Q5" i="1"/>
  <c r="AP5" i="1"/>
  <c r="AQ4" i="1"/>
  <c r="AN3" i="1" l="1"/>
  <c r="AM3" i="1"/>
  <c r="AK3" i="1"/>
  <c r="AJ3" i="1"/>
  <c r="AH3" i="1"/>
  <c r="AG3" i="1"/>
  <c r="AB3" i="1"/>
  <c r="AA3" i="1"/>
  <c r="AE3" i="1"/>
  <c r="AD3" i="1"/>
  <c r="Y3" i="1"/>
  <c r="X3" i="1"/>
  <c r="V3" i="1"/>
  <c r="U3" i="1"/>
  <c r="S3" i="1"/>
  <c r="R3" i="1"/>
  <c r="P3" i="1"/>
  <c r="O3" i="1"/>
  <c r="M3" i="1"/>
  <c r="L3" i="1"/>
  <c r="J3" i="1"/>
  <c r="I3" i="1"/>
  <c r="G3" i="1"/>
  <c r="F3" i="1"/>
  <c r="AP4" i="1"/>
  <c r="AP3" i="1" l="1"/>
  <c r="AQ3" i="1"/>
  <c r="AL57" i="1"/>
  <c r="AL56" i="1"/>
  <c r="AL55" i="1"/>
  <c r="AL54" i="1"/>
  <c r="AL53" i="1"/>
  <c r="AL52" i="1"/>
  <c r="AL51" i="1"/>
  <c r="AL50" i="1"/>
  <c r="AL49" i="1"/>
  <c r="AL48" i="1"/>
  <c r="AL47" i="1"/>
  <c r="AL46" i="1"/>
  <c r="AL45" i="1"/>
  <c r="AI57" i="1"/>
  <c r="AI56" i="1"/>
  <c r="AI55" i="1"/>
  <c r="AI54" i="1"/>
  <c r="AI53" i="1"/>
  <c r="AI52" i="1"/>
  <c r="AI51" i="1"/>
  <c r="AI50" i="1"/>
  <c r="AI49" i="1"/>
  <c r="AI48" i="1"/>
  <c r="AI47" i="1"/>
  <c r="AI46" i="1"/>
  <c r="AI45" i="1"/>
  <c r="AF57" i="1"/>
  <c r="AF56" i="1"/>
  <c r="AF55" i="1"/>
  <c r="AF54" i="1"/>
  <c r="AF53" i="1"/>
  <c r="AF52" i="1"/>
  <c r="AF51" i="1"/>
  <c r="AF50" i="1"/>
  <c r="AF49" i="1"/>
  <c r="AF48" i="1"/>
  <c r="AF47" i="1"/>
  <c r="AF46" i="1"/>
  <c r="AF45" i="1"/>
  <c r="AC57" i="1"/>
  <c r="AC56" i="1"/>
  <c r="AC55" i="1"/>
  <c r="AC54" i="1"/>
  <c r="AC53" i="1"/>
  <c r="AC52" i="1"/>
  <c r="AC51" i="1"/>
  <c r="AC50" i="1"/>
  <c r="AC49" i="1"/>
  <c r="AC48" i="1"/>
  <c r="AC47" i="1"/>
  <c r="AC46" i="1"/>
  <c r="AC45" i="1"/>
  <c r="Z57" i="1"/>
  <c r="Z56" i="1"/>
  <c r="Z55" i="1"/>
  <c r="Z54" i="1"/>
  <c r="Z53" i="1"/>
  <c r="Z52" i="1"/>
  <c r="Z51" i="1"/>
  <c r="Z50" i="1"/>
  <c r="Z49" i="1"/>
  <c r="Z48" i="1"/>
  <c r="Z47" i="1"/>
  <c r="Z46" i="1"/>
  <c r="Z45" i="1"/>
  <c r="W57" i="1"/>
  <c r="W56" i="1"/>
  <c r="W55" i="1"/>
  <c r="W54" i="1"/>
  <c r="W53" i="1"/>
  <c r="W52" i="1"/>
  <c r="W51" i="1"/>
  <c r="W50" i="1"/>
  <c r="W49" i="1"/>
  <c r="W48" i="1"/>
  <c r="W47" i="1"/>
  <c r="W46" i="1"/>
  <c r="W45" i="1"/>
  <c r="T57" i="1"/>
  <c r="T56" i="1"/>
  <c r="T55" i="1"/>
  <c r="T54" i="1"/>
  <c r="T53" i="1"/>
  <c r="T52" i="1"/>
  <c r="T51" i="1"/>
  <c r="T50" i="1"/>
  <c r="T49" i="1"/>
  <c r="T48" i="1"/>
  <c r="T47" i="1"/>
  <c r="T46" i="1"/>
  <c r="T45" i="1"/>
  <c r="Q57" i="1"/>
  <c r="Q56" i="1"/>
  <c r="Q55" i="1"/>
  <c r="Q54" i="1"/>
  <c r="Q53" i="1"/>
  <c r="Q52" i="1"/>
  <c r="Q51" i="1"/>
  <c r="Q50" i="1"/>
  <c r="Q49" i="1"/>
  <c r="Q48" i="1"/>
  <c r="Q47" i="1"/>
  <c r="Q46" i="1"/>
  <c r="Q45" i="1"/>
  <c r="N57" i="1"/>
  <c r="N56" i="1"/>
  <c r="N55" i="1"/>
  <c r="N54" i="1"/>
  <c r="N53" i="1"/>
  <c r="N52" i="1"/>
  <c r="N51" i="1"/>
  <c r="N50" i="1"/>
  <c r="N49" i="1"/>
  <c r="N48" i="1"/>
  <c r="N47" i="1"/>
  <c r="N46" i="1"/>
  <c r="N45" i="1"/>
  <c r="K57" i="1"/>
  <c r="K56" i="1"/>
  <c r="K55" i="1"/>
  <c r="K54" i="1"/>
  <c r="K53" i="1"/>
  <c r="K52" i="1"/>
  <c r="K51" i="1"/>
  <c r="K50" i="1"/>
  <c r="K49" i="1"/>
  <c r="K48" i="1"/>
  <c r="K47" i="1"/>
  <c r="K46" i="1"/>
  <c r="K45" i="1"/>
  <c r="H57" i="1"/>
  <c r="H56" i="1"/>
  <c r="H55" i="1"/>
  <c r="H54" i="1"/>
  <c r="H53" i="1"/>
  <c r="H52" i="1"/>
  <c r="H51" i="1"/>
  <c r="H50" i="1"/>
  <c r="H49" i="1"/>
  <c r="H48" i="1"/>
  <c r="H47" i="1"/>
  <c r="H46" i="1"/>
  <c r="H45" i="1"/>
  <c r="E57" i="1"/>
  <c r="E56" i="1"/>
  <c r="E55" i="1"/>
  <c r="E54" i="1"/>
  <c r="E53" i="1"/>
  <c r="E52" i="1"/>
  <c r="E51" i="1"/>
  <c r="E50" i="1"/>
  <c r="E49" i="1"/>
  <c r="E48" i="1"/>
  <c r="E47" i="1"/>
  <c r="E46" i="1"/>
  <c r="E45" i="1"/>
  <c r="AO50" i="1" l="1"/>
  <c r="AO46" i="1"/>
  <c r="AO54" i="1"/>
  <c r="AO45" i="1"/>
  <c r="AO49" i="1"/>
  <c r="AO53" i="1"/>
  <c r="AO57" i="1"/>
  <c r="AO55" i="1"/>
  <c r="AO47" i="1"/>
  <c r="AO51" i="1"/>
  <c r="AO52" i="1"/>
  <c r="AO48" i="1"/>
  <c r="AO56" i="1"/>
  <c r="AC3" i="1"/>
  <c r="Q3" i="1"/>
  <c r="AL3" i="1"/>
  <c r="AF3" i="1"/>
  <c r="W3" i="1"/>
  <c r="T3" i="1"/>
  <c r="N3" i="1"/>
  <c r="K3" i="1"/>
  <c r="H3" i="1"/>
  <c r="N43" i="1"/>
  <c r="AL44" i="1"/>
  <c r="AL43" i="1"/>
  <c r="AL42" i="1"/>
  <c r="AL41" i="1"/>
  <c r="AL40" i="1"/>
  <c r="AL39" i="1"/>
  <c r="AL38" i="1"/>
  <c r="AL37" i="1"/>
  <c r="AL36" i="1"/>
  <c r="AL35" i="1"/>
  <c r="AL34" i="1"/>
  <c r="AL33" i="1"/>
  <c r="AL32" i="1"/>
  <c r="AL31"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44" i="1"/>
  <c r="AI43" i="1"/>
  <c r="AI42" i="1"/>
  <c r="AI41" i="1"/>
  <c r="AI40" i="1"/>
  <c r="AI39" i="1"/>
  <c r="AI38" i="1"/>
  <c r="AI37" i="1"/>
  <c r="AI36" i="1"/>
  <c r="AI35"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Z44" i="1"/>
  <c r="Z43" i="1"/>
  <c r="Z42" i="1"/>
  <c r="Z41" i="1"/>
  <c r="Z40" i="1"/>
  <c r="Z39" i="1"/>
  <c r="Z38" i="1"/>
  <c r="Z37" i="1"/>
  <c r="Z36" i="1"/>
  <c r="Z3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N44"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1" i="1"/>
  <c r="E10" i="1"/>
  <c r="E9" i="1"/>
  <c r="E8" i="1"/>
  <c r="E7" i="1"/>
  <c r="E6" i="1"/>
  <c r="E5" i="1"/>
  <c r="E4" i="1"/>
  <c r="E12" i="1"/>
  <c r="AI3" i="1" l="1"/>
  <c r="Z3" i="1"/>
  <c r="AO7" i="1"/>
  <c r="AO15" i="1"/>
  <c r="E3" i="1"/>
  <c r="AO10" i="1"/>
  <c r="AO18" i="1"/>
  <c r="AO26" i="1"/>
  <c r="AO34" i="1"/>
  <c r="AO42" i="1"/>
  <c r="AO11" i="1"/>
  <c r="AO27" i="1"/>
  <c r="AO35" i="1"/>
  <c r="AO43" i="1"/>
  <c r="AO20" i="1"/>
  <c r="AO28" i="1"/>
  <c r="AO36" i="1"/>
  <c r="AO44" i="1"/>
  <c r="AO5" i="1"/>
  <c r="AO13" i="1"/>
  <c r="AO21" i="1"/>
  <c r="AO29" i="1"/>
  <c r="AO37" i="1"/>
  <c r="AO6" i="1"/>
  <c r="AO14" i="1"/>
  <c r="AO22" i="1"/>
  <c r="AO30" i="1"/>
  <c r="AO38" i="1"/>
  <c r="AO31" i="1"/>
  <c r="AO39" i="1"/>
  <c r="AO8" i="1"/>
  <c r="AO16" i="1"/>
  <c r="AO24" i="1"/>
  <c r="AO32" i="1"/>
  <c r="AO40" i="1"/>
  <c r="AO9" i="1"/>
  <c r="AO17" i="1"/>
  <c r="AO25" i="1"/>
  <c r="AO33" i="1"/>
  <c r="AO41" i="1"/>
  <c r="AO19" i="1"/>
  <c r="AO23" i="1"/>
  <c r="AO3" i="1" l="1"/>
  <c r="AO4" i="1"/>
  <c r="AO12" i="1"/>
</calcChain>
</file>

<file path=xl/sharedStrings.xml><?xml version="1.0" encoding="utf-8"?>
<sst xmlns="http://schemas.openxmlformats.org/spreadsheetml/2006/main" count="119" uniqueCount="83">
  <si>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</si>
  <si>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</si>
  <si>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</si>
  <si>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</si>
  <si>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</si>
  <si>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</si>
  <si>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</si>
  <si>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</si>
  <si>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</si>
  <si>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</si>
  <si>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</si>
  <si>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</si>
  <si>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</si>
  <si>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</si>
  <si>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</si>
  <si>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</si>
  <si>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</si>
  <si>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</si>
  <si>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Costa Rica</t>
  </si>
  <si>
    <t>Australia(*)</t>
  </si>
  <si>
    <t>Canada</t>
  </si>
  <si>
    <t>Colombia</t>
  </si>
  <si>
    <t>Dominican Republic</t>
  </si>
  <si>
    <t>Korea, South</t>
  </si>
  <si>
    <t>Jamaica</t>
  </si>
  <si>
    <t>Mexico</t>
  </si>
  <si>
    <t>United Arab Emirates</t>
  </si>
  <si>
    <t>Barbados</t>
  </si>
  <si>
    <t>Bahamas, The</t>
  </si>
  <si>
    <t>Belize</t>
  </si>
  <si>
    <t>China</t>
  </si>
  <si>
    <t>El Salvador</t>
  </si>
  <si>
    <t>Guatemala</t>
  </si>
  <si>
    <t>Honduras</t>
  </si>
  <si>
    <t>Italy(*)</t>
  </si>
  <si>
    <t>Japan</t>
  </si>
  <si>
    <t>Netherlands</t>
  </si>
  <si>
    <t>Nicaragua</t>
  </si>
  <si>
    <t>Panama</t>
  </si>
  <si>
    <t>Trinidad and Tobago</t>
  </si>
  <si>
    <t>Venezuela</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</si>
  <si>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</si>
  <si>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</si>
  <si>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</si>
  <si>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</si>
  <si>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</si>
  <si>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</si>
  <si>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</si>
  <si>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</si>
  <si>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Bahrain</t>
  </si>
  <si>
    <t>Guyana</t>
  </si>
  <si>
    <t>Hong Kong</t>
  </si>
  <si>
    <t>Jordan</t>
  </si>
  <si>
    <t>Netherlands Antilles(*)</t>
  </si>
  <si>
    <t>Singapore</t>
  </si>
  <si>
    <t>Saudi Arabia</t>
  </si>
  <si>
    <t>Kuwait</t>
  </si>
  <si>
    <t>Chile</t>
  </si>
  <si>
    <t>Lebanon</t>
  </si>
  <si>
    <t>Qatar</t>
  </si>
  <si>
    <t>India</t>
  </si>
  <si>
    <t>Cayman Islands</t>
  </si>
  <si>
    <t>Bermuda</t>
  </si>
  <si>
    <t>Belgium-Luxembourg(*)</t>
  </si>
  <si>
    <t>Equatorial Guinea</t>
  </si>
  <si>
    <t>Indonesia</t>
  </si>
  <si>
    <t>Peru</t>
  </si>
  <si>
    <t>Russia</t>
  </si>
  <si>
    <t>1. Data Source: U.S. Census Bureau Trade Data</t>
  </si>
  <si>
    <t>4. Product Group : Harmonized</t>
  </si>
  <si>
    <t>Product</t>
    <phoneticPr fontId="18" type="noConversion"/>
  </si>
  <si>
    <t>Israel(*)</t>
  </si>
  <si>
    <t>Spain</t>
  </si>
  <si>
    <t>Haiti</t>
  </si>
  <si>
    <t>Malaysia</t>
  </si>
  <si>
    <t>SOY OIL FLY-RFND</t>
    <phoneticPr fontId="18" type="noConversion"/>
  </si>
  <si>
    <t>Greece</t>
  </si>
  <si>
    <t>Niger</t>
  </si>
  <si>
    <t>Oman</t>
  </si>
  <si>
    <t>Turks and Caicos Islands</t>
  </si>
  <si>
    <t>Argentina</t>
  </si>
  <si>
    <t>Timor-Leste</t>
  </si>
  <si>
    <t>Zimbabwe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</si>
</sst>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0_ "/>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31">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7" fontId="0" fillId="0" borderId="0" xfId="0" applyNumberFormat="1" applyAlignment="1">
      <alignment horizontal="center" vertical="center"/>
    </xf>
    <xf numFmtId="177" fontId="0" fillId="0" borderId="18" xfId="0" applyNumberFormat="1" applyBorder="1" applyAlignment="1">
      <alignment horizontal="center" vertical="center"/>
    </xf>
    <xf numFmtId="176" fontId="0" fillId="0" borderId="0" xfId="0" applyNumberFormat="1" applyBorder="1" applyAlignment="1">
      <alignment horizontal="center" vertical="center"/>
    </xf>
    <xf numFmtId="177" fontId="0" fillId="0" borderId="0" xfId="0" applyNumberFormat="1" applyBorder="1" applyAlignment="1">
      <alignment horizontal="center" vertical="center"/>
    </xf>
    <xf numFmtId="176" fontId="0" fillId="0" borderId="22" xfId="0" applyNumberFormat="1" applyBorder="1" applyAlignment="1">
      <alignment horizontal="center" vertical="center"/>
    </xf>
    <xf numFmtId="177" fontId="0" fillId="0" borderId="20" xfId="0" applyNumberFormat="1" applyBorder="1" applyAlignment="1">
      <alignment horizontal="center" vertical="center"/>
    </xf>
    <xf numFmtId="177" fontId="0" fillId="0" borderId="21" xfId="0" applyNumberFormat="1" applyBorder="1" applyAlignment="1">
      <alignment horizontal="center" vertical="center"/>
    </xf>
    <xf numFmtId="177" fontId="0" fillId="0" borderId="19" xfId="0" applyNumberFormat="1" applyBorder="1" applyAlignment="1">
      <alignment horizontal="center" vertical="center"/>
    </xf>
    <xf numFmtId="177" fontId="0" fillId="0" borderId="22" xfId="0" applyNumberFormat="1" applyBorder="1" applyAlignment="1">
      <alignment horizontal="center" vertical="center"/>
    </xf>
    <xf numFmtId="0" fontId="0" fillId="0" borderId="21" xfId="0" applyBorder="1">
      <alignment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0" fontId="0" fillId="0" borderId="0" xfId="0" applyBorder="1">
      <alignment vertical="center"/>
    </xf>
    <xf numFmtId="49" fontId="0" fillId="0" borderId="0" xfId="0" applyNumberFormat="1" applyBorder="1">
      <alignment vertical="center"/>
    </xf>
    <xf numFmtId="49" fontId="0" fillId="0" borderId="23" xfId="0" applyNumberFormat="1" applyBorder="1">
      <alignment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62"/>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28" t="s">
        <v>0</v>
      </c>
      <c r="F1" s="29"/>
      <c r="G1" s="30"/>
      <c r="H1" s="25" t="s">
        <v>1</v>
      </c>
      <c r="I1" s="26"/>
      <c r="J1" s="27"/>
      <c r="K1" s="25" t="s">
        <v>2</v>
      </c>
      <c r="L1" s="26"/>
      <c r="M1" s="27"/>
      <c r="N1" s="25" t="s">
        <v>3</v>
      </c>
      <c r="O1" s="26"/>
      <c r="P1" s="27"/>
      <c r="Q1" s="25" t="s">
        <v>4</v>
      </c>
      <c r="R1" s="26"/>
      <c r="S1" s="27"/>
      <c r="T1" s="25" t="s">
        <v>5</v>
      </c>
      <c r="U1" s="26"/>
      <c r="V1" s="27"/>
      <c r="W1" s="25" t="s">
        <v>6</v>
      </c>
      <c r="X1" s="26"/>
      <c r="Y1" s="27"/>
      <c r="Z1" s="25" t="s">
        <v>7</v>
      </c>
      <c r="AA1" s="26"/>
      <c r="AB1" s="27"/>
      <c r="AC1" s="25" t="s">
        <v>8</v>
      </c>
      <c r="AD1" s="26"/>
      <c r="AE1" s="27"/>
      <c r="AF1" s="25" t="s">
        <v>9</v>
      </c>
      <c r="AG1" s="26"/>
      <c r="AH1" s="27"/>
      <c r="AI1" s="25" t="s">
        <v>10</v>
      </c>
      <c r="AJ1" s="26"/>
      <c r="AK1" s="27"/>
      <c r="AL1" s="25" t="s">
        <v>11</v>
      </c>
      <c r="AM1" s="26"/>
      <c r="AN1" s="27"/>
      <c r="AO1" s="25" t="s">
        <v>12</v>
      </c>
      <c r="AP1" s="26"/>
      <c r="AQ1" s="27"/>
    </row>
    <row r="2" spans="1:67" x14ac:dyDescent="0.3">
      <c r="A2" s="2" t="s">
        <v>45</v>
      </c>
      <c r="B2" s="2" t="s">
        <v>70</v>
      </c>
      <c r="C2" s="2" t="s">
        <v>13</v>
      </c>
      <c r="D2" s="2" t="s">
        <v>46</v>
      </c>
      <c r="E2" s="4" t="s">
        <v>14</v>
      </c>
      <c r="F2" s="2" t="s">
        <v>46</v>
      </c>
      <c r="G2" s="5" t="s">
        <v>15</v>
      </c>
      <c r="H2" s="2" t="s">
        <v>14</v>
      </c>
      <c r="I2" s="2" t="s">
        <v>46</v>
      </c>
      <c r="J2" s="5" t="s">
        <v>15</v>
      </c>
      <c r="K2" s="2" t="s">
        <v>14</v>
      </c>
      <c r="L2" s="2" t="s">
        <v>46</v>
      </c>
      <c r="M2" s="5" t="s">
        <v>15</v>
      </c>
      <c r="N2" s="2" t="s">
        <v>14</v>
      </c>
      <c r="O2" s="2" t="s">
        <v>46</v>
      </c>
      <c r="P2" s="5" t="s">
        <v>15</v>
      </c>
      <c r="Q2" s="2" t="s">
        <v>14</v>
      </c>
      <c r="R2" s="2" t="s">
        <v>46</v>
      </c>
      <c r="S2" s="5" t="s">
        <v>15</v>
      </c>
      <c r="T2" s="2" t="s">
        <v>14</v>
      </c>
      <c r="U2" s="2" t="s">
        <v>46</v>
      </c>
      <c r="V2" s="5" t="s">
        <v>15</v>
      </c>
      <c r="W2" s="2" t="s">
        <v>14</v>
      </c>
      <c r="X2" s="2" t="s">
        <v>46</v>
      </c>
      <c r="Y2" s="5" t="s">
        <v>15</v>
      </c>
      <c r="Z2" s="2" t="s">
        <v>14</v>
      </c>
      <c r="AA2" s="2" t="s">
        <v>46</v>
      </c>
      <c r="AB2" s="5" t="s">
        <v>15</v>
      </c>
      <c r="AC2" s="2" t="s">
        <v>14</v>
      </c>
      <c r="AD2" s="2" t="s">
        <v>46</v>
      </c>
      <c r="AE2" s="5" t="s">
        <v>15</v>
      </c>
      <c r="AF2" s="2" t="s">
        <v>14</v>
      </c>
      <c r="AG2" s="2" t="s">
        <v>46</v>
      </c>
      <c r="AH2" s="5" t="s">
        <v>15</v>
      </c>
      <c r="AI2" s="2" t="s">
        <v>14</v>
      </c>
      <c r="AJ2" s="2" t="s">
        <v>46</v>
      </c>
      <c r="AK2" s="5" t="s">
        <v>15</v>
      </c>
      <c r="AL2" s="2" t="s">
        <v>14</v>
      </c>
      <c r="AM2" s="2" t="s">
        <v>46</v>
      </c>
      <c r="AN2" s="5" t="s">
        <v>15</v>
      </c>
      <c r="AO2" s="2" t="s">
        <v>14</v>
      </c>
      <c r="AP2" s="2" t="s">
        <v>48</v>
      </c>
      <c r="AQ2" s="5" t="s">
        <v>15</v>
      </c>
    </row>
    <row r="3" spans="1:67" ht="15" customHeight="1" x14ac:dyDescent="0.3">
      <c r="A3" s="20" t="s">
        <v>16</v>
      </c>
      <c r="B3" s="22" t="s">
        <v>75</v>
      </c>
      <c r="C3" s="22" t="s">
        <v>17</v>
      </c>
      <c r="D3" s="22" t="s">
        <v>47</v>
      </c>
      <c r="E3" s="17">
        <f>F3/G3</f>
        <v>1169.6164691263625</v>
      </c>
      <c r="F3" s="17">
        <f>SUM(F4:F57)</f>
        <v>14683833</v>
      </c>
      <c r="G3" s="18">
        <f>SUM(G4:G57)</f>
        <v>12554.399999999996</v>
      </c>
      <c r="H3" s="17">
        <f>I3/J3</f>
        <v>1186.2607162102584</v>
      </c>
      <c r="I3" s="17">
        <f>SUM(I4:I57)</f>
        <v>14529084</v>
      </c>
      <c r="J3" s="18">
        <f>SUM(J4:J57)</f>
        <v>12247.8</v>
      </c>
      <c r="K3" s="17">
        <f>L3/M3</f>
        <v>1328.3522617695589</v>
      </c>
      <c r="L3" s="17">
        <f>SUM(L4:L57)</f>
        <v>12398043</v>
      </c>
      <c r="M3" s="18">
        <f>SUM(M4:M57)</f>
        <v>9333.4</v>
      </c>
      <c r="N3" s="17">
        <f>O3/P3</f>
        <v>1424.5549613650264</v>
      </c>
      <c r="O3" s="17">
        <f>SUM(O4:O57)</f>
        <v>12573407</v>
      </c>
      <c r="P3" s="18">
        <f>SUM(P4:P57)</f>
        <v>8826.2000000000025</v>
      </c>
      <c r="Q3" s="17">
        <f>R3/S3</f>
        <v>1555.7117666126419</v>
      </c>
      <c r="R3" s="17">
        <f>SUM(R4:R57)</f>
        <v>11998427</v>
      </c>
      <c r="S3" s="18">
        <f>SUM(S4:S57)</f>
        <v>7712.4999999999991</v>
      </c>
      <c r="T3" s="17">
        <f>U3/V3</f>
        <v>1749.7875119031421</v>
      </c>
      <c r="U3" s="17">
        <f>SUM(U4:U57)</f>
        <v>12862688</v>
      </c>
      <c r="V3" s="18">
        <f>SUM(V4:V57)</f>
        <v>7351.0000000000018</v>
      </c>
      <c r="W3" s="17">
        <f>X3/Y3</f>
        <v>1736.8266064403324</v>
      </c>
      <c r="X3" s="17">
        <f>SUM(X4:X57)</f>
        <v>11919841</v>
      </c>
      <c r="Y3" s="18">
        <f>SUM(Y4:Y57)</f>
        <v>6862.9999999999991</v>
      </c>
      <c r="Z3" s="17">
        <f>AA3/AB3</f>
        <v>1951.3413394157583</v>
      </c>
      <c r="AA3" s="17">
        <f>SUM(AA4:AA57)</f>
        <v>14201472</v>
      </c>
      <c r="AB3" s="18">
        <f>SUM(AB4:AB57)</f>
        <v>7277.7999999999975</v>
      </c>
      <c r="AC3" s="17">
        <f>AD3/AE3</f>
        <v>1852.5187884308807</v>
      </c>
      <c r="AD3" s="17">
        <f>SUM(AD4:AD57)</f>
        <v>13015056</v>
      </c>
      <c r="AE3" s="18">
        <f>SUM(AE4:AE57)</f>
        <v>7025.6000000000022</v>
      </c>
      <c r="AF3" s="17">
        <f>AG3/AH3</f>
        <v>1753.9506094126896</v>
      </c>
      <c r="AG3" s="17">
        <f>SUM(AG4:AG57)</f>
        <v>16505903</v>
      </c>
      <c r="AH3" s="18">
        <f>SUM(AH4:AH57)</f>
        <v>9410.7000000000007</v>
      </c>
      <c r="AI3" s="17">
        <f>AJ3/AK3</f>
        <v>1816.7883633268473</v>
      </c>
      <c r="AJ3" s="17">
        <f>SUM(AJ4:AJ57)</f>
        <v>17929521</v>
      </c>
      <c r="AK3" s="18">
        <f>SUM(AK4:AK57)</f>
        <v>9868.8000000000047</v>
      </c>
      <c r="AL3" s="17">
        <f>AM3/AN3</f>
        <v>1757.2516050919567</v>
      </c>
      <c r="AM3" s="17">
        <f>SUM(AM4:AM57)</f>
        <v>20609574</v>
      </c>
      <c r="AN3" s="18">
        <f>SUM(AN4:AN57)</f>
        <v>11728.300000000003</v>
      </c>
      <c r="AO3" s="17">
        <f>AP3/AQ3</f>
        <v>1571.9386113367118</v>
      </c>
      <c r="AP3" s="17">
        <f>SUM(AP4:AP57)</f>
        <v>173226849</v>
      </c>
      <c r="AQ3" s="18">
        <f>SUM(AQ4:AQ57)</f>
        <v>110199.50000000001</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21" t="s">
        <v>25</v>
      </c>
      <c r="B4" s="23"/>
      <c r="C4" s="23"/>
      <c r="D4" s="23"/>
      <c r="E4" s="3">
        <f t="shared" ref="E4:E11" si="0">F4/G4</f>
        <v>1018.791886677498</v>
      </c>
      <c r="F4" s="3">
        <v>4013225</v>
      </c>
      <c r="G4" s="6">
        <v>3939.2</v>
      </c>
      <c r="H4" s="3">
        <f t="shared" ref="H4:H11" si="1">I4/J4</f>
        <v>1126.5416071144989</v>
      </c>
      <c r="I4" s="3">
        <v>2837533</v>
      </c>
      <c r="J4" s="6">
        <v>2518.8000000000002</v>
      </c>
      <c r="K4" s="3">
        <f t="shared" ref="K4:K11" si="2">L4/M4</f>
        <v>1221.9756466604222</v>
      </c>
      <c r="L4" s="3">
        <v>5087940</v>
      </c>
      <c r="M4" s="6">
        <v>4163.7</v>
      </c>
      <c r="N4" s="3">
        <f t="shared" ref="N4:N11" si="3">O4/P4</f>
        <v>1405.7046269621965</v>
      </c>
      <c r="O4" s="3">
        <v>4781926</v>
      </c>
      <c r="P4" s="6">
        <v>3401.8</v>
      </c>
      <c r="Q4" s="3">
        <f t="shared" ref="Q4:Q11" si="4">R4/S4</f>
        <v>1394.7603671756076</v>
      </c>
      <c r="R4" s="3">
        <v>3023701</v>
      </c>
      <c r="S4" s="6">
        <v>2167.9</v>
      </c>
      <c r="T4" s="3">
        <f t="shared" ref="T4:T11" si="5">U4/V4</f>
        <v>1632.8829029385574</v>
      </c>
      <c r="U4" s="3">
        <v>2200473</v>
      </c>
      <c r="V4" s="6">
        <v>1347.6</v>
      </c>
      <c r="W4" s="3">
        <f t="shared" ref="W4:W11" si="6">X4/Y4</f>
        <v>1492.9591456600024</v>
      </c>
      <c r="X4" s="3">
        <v>3606840</v>
      </c>
      <c r="Y4" s="6">
        <v>2415.9</v>
      </c>
      <c r="Z4" s="3">
        <f t="shared" ref="Z4:Z11" si="7">AA4/AB4</f>
        <v>1744.4002020045064</v>
      </c>
      <c r="AA4" s="3">
        <v>4490435</v>
      </c>
      <c r="AB4" s="6">
        <v>2574.1999999999998</v>
      </c>
      <c r="AC4" s="3">
        <f t="shared" ref="AC4:AC11" si="8">AD4/AE4</f>
        <v>1672.9533527696792</v>
      </c>
      <c r="AD4" s="3">
        <v>5164407</v>
      </c>
      <c r="AE4" s="6">
        <v>3087</v>
      </c>
      <c r="AF4" s="3">
        <f t="shared" ref="AF4:AF11" si="9">AG4/AH4</f>
        <v>1533.3852449151523</v>
      </c>
      <c r="AG4" s="3">
        <v>6370449</v>
      </c>
      <c r="AH4" s="6">
        <v>4154.5</v>
      </c>
      <c r="AI4" s="3">
        <f t="shared" ref="AI4:AI11" si="10">AJ4/AK4</f>
        <v>1623.1731516214236</v>
      </c>
      <c r="AJ4" s="3">
        <v>7312882</v>
      </c>
      <c r="AK4" s="6">
        <v>4505.3</v>
      </c>
      <c r="AL4" s="3">
        <f t="shared" ref="AL4:AL11" si="11">AM4/AN4</f>
        <v>1624.1881440825962</v>
      </c>
      <c r="AM4" s="3">
        <v>8463482</v>
      </c>
      <c r="AN4" s="6">
        <v>5210.8999999999996</v>
      </c>
      <c r="AO4" s="3">
        <f t="shared" ref="AO4:AO57" si="12">AP4/AQ4</f>
        <v>1452.4674828043801</v>
      </c>
      <c r="AP4" s="3">
        <f t="shared" ref="AP4" si="13">SUM(F4,I4,L4,O4,R4,U4,X4,AA4,AD4,AG4,AJ4,AM4)</f>
        <v>57353293</v>
      </c>
      <c r="AQ4" s="6">
        <f t="shared" ref="AQ4:AQ57" si="14">SUM(G4,J4,M4,P4,S4,V4,Y4,AB4,AE4,AH4,AK4,AN4)</f>
        <v>39486.800000000003</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20" t="s">
        <v>20</v>
      </c>
      <c r="B5" s="23"/>
      <c r="C5" s="23"/>
      <c r="D5" s="23"/>
      <c r="E5" s="3">
        <f t="shared" si="0"/>
        <v>1334.8634117988956</v>
      </c>
      <c r="F5" s="3">
        <v>2755959</v>
      </c>
      <c r="G5" s="6">
        <v>2064.6</v>
      </c>
      <c r="H5" s="3">
        <f t="shared" si="1"/>
        <v>1231.639986932375</v>
      </c>
      <c r="I5" s="3">
        <v>2262030</v>
      </c>
      <c r="J5" s="6">
        <v>1836.6</v>
      </c>
      <c r="K5" s="3">
        <f t="shared" si="2"/>
        <v>1387.0984001753231</v>
      </c>
      <c r="L5" s="3">
        <v>3164665</v>
      </c>
      <c r="M5" s="6">
        <v>2281.5</v>
      </c>
      <c r="N5" s="3">
        <f t="shared" si="3"/>
        <v>1386.5549406663624</v>
      </c>
      <c r="O5" s="3">
        <v>4860707</v>
      </c>
      <c r="P5" s="6">
        <v>3505.6</v>
      </c>
      <c r="Q5" s="3">
        <f t="shared" si="4"/>
        <v>1596.8051328710819</v>
      </c>
      <c r="R5" s="3">
        <v>5089497</v>
      </c>
      <c r="S5" s="6">
        <v>3187.3</v>
      </c>
      <c r="T5" s="3">
        <f t="shared" si="5"/>
        <v>1729.2125187076326</v>
      </c>
      <c r="U5" s="3">
        <v>7856850</v>
      </c>
      <c r="V5" s="6">
        <v>4543.6000000000004</v>
      </c>
      <c r="W5" s="3">
        <f t="shared" si="6"/>
        <v>1809.9853135555882</v>
      </c>
      <c r="X5" s="3">
        <v>6162095</v>
      </c>
      <c r="Y5" s="6">
        <v>3404.5</v>
      </c>
      <c r="Z5" s="3">
        <f t="shared" si="7"/>
        <v>1984.0437909541313</v>
      </c>
      <c r="AA5" s="3">
        <v>6207081</v>
      </c>
      <c r="AB5" s="6">
        <v>3128.5</v>
      </c>
      <c r="AC5" s="3">
        <f t="shared" si="8"/>
        <v>1878.7502750275028</v>
      </c>
      <c r="AD5" s="3">
        <v>5123352</v>
      </c>
      <c r="AE5" s="6">
        <v>2727</v>
      </c>
      <c r="AF5" s="3">
        <f t="shared" si="9"/>
        <v>1820.4921203143645</v>
      </c>
      <c r="AG5" s="3">
        <v>4424342</v>
      </c>
      <c r="AH5" s="6">
        <v>2430.3000000000002</v>
      </c>
      <c r="AI5" s="3">
        <f t="shared" si="10"/>
        <v>1854.5675940586596</v>
      </c>
      <c r="AJ5" s="3">
        <v>4919426</v>
      </c>
      <c r="AK5" s="6">
        <v>2652.6</v>
      </c>
      <c r="AL5" s="3">
        <f t="shared" si="11"/>
        <v>1806.438931432403</v>
      </c>
      <c r="AM5" s="3">
        <v>5118906</v>
      </c>
      <c r="AN5" s="6">
        <v>2833.7</v>
      </c>
      <c r="AO5" s="3">
        <f t="shared" si="12"/>
        <v>1674.9116944831455</v>
      </c>
      <c r="AP5" s="3">
        <f t="shared" ref="AP5:AP57" si="15">SUM(F5,I5,L5,O5,R5,U5,X5,AA5,AD5,AG5,AJ5,AM5)</f>
        <v>57944910</v>
      </c>
      <c r="AQ5" s="6">
        <f t="shared" si="14"/>
        <v>34595.799999999996</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20" t="s">
        <v>21</v>
      </c>
      <c r="B6" s="23"/>
      <c r="C6" s="23"/>
      <c r="D6" s="23"/>
      <c r="E6" s="3">
        <f t="shared" si="0"/>
        <v>1124.7374737473747</v>
      </c>
      <c r="F6" s="3">
        <v>2249250</v>
      </c>
      <c r="G6" s="6">
        <v>1999.8</v>
      </c>
      <c r="H6" s="3" t="e">
        <f t="shared" si="1"/>
        <v>#DIV/0!</v>
      </c>
      <c r="I6" s="3">
        <v>0</v>
      </c>
      <c r="J6" s="6">
        <v>0</v>
      </c>
      <c r="K6" s="3" t="e">
        <f t="shared" si="2"/>
        <v>#DIV/0!</v>
      </c>
      <c r="L6" s="3">
        <v>0</v>
      </c>
      <c r="M6" s="6">
        <v>0</v>
      </c>
      <c r="N6" s="3">
        <f t="shared" si="3"/>
        <v>1950.6521739130437</v>
      </c>
      <c r="O6" s="3">
        <v>8973</v>
      </c>
      <c r="P6" s="6">
        <v>4.5999999999999996</v>
      </c>
      <c r="Q6" s="3" t="e">
        <f t="shared" si="4"/>
        <v>#DIV/0!</v>
      </c>
      <c r="R6" s="3">
        <v>0</v>
      </c>
      <c r="S6" s="6">
        <v>0</v>
      </c>
      <c r="T6" s="3" t="e">
        <f t="shared" si="5"/>
        <v>#DIV/0!</v>
      </c>
      <c r="U6" s="3">
        <v>0</v>
      </c>
      <c r="V6" s="6">
        <v>0</v>
      </c>
      <c r="W6" s="3" t="e">
        <f t="shared" si="6"/>
        <v>#DIV/0!</v>
      </c>
      <c r="X6" s="3">
        <v>0</v>
      </c>
      <c r="Y6" s="6">
        <v>0</v>
      </c>
      <c r="Z6" s="3">
        <f t="shared" si="7"/>
        <v>5257.1428571428578</v>
      </c>
      <c r="AA6" s="3">
        <v>3680</v>
      </c>
      <c r="AB6" s="6">
        <v>0.7</v>
      </c>
      <c r="AC6" s="3">
        <f t="shared" si="8"/>
        <v>12446.666666666668</v>
      </c>
      <c r="AD6" s="3">
        <v>7468</v>
      </c>
      <c r="AE6" s="6">
        <v>0.6</v>
      </c>
      <c r="AF6" s="3">
        <f t="shared" si="9"/>
        <v>2872.9281767955799</v>
      </c>
      <c r="AG6" s="3">
        <v>52000</v>
      </c>
      <c r="AH6" s="6">
        <v>18.100000000000001</v>
      </c>
      <c r="AI6" s="3">
        <f t="shared" si="10"/>
        <v>2857.1428571428573</v>
      </c>
      <c r="AJ6" s="3">
        <v>26000</v>
      </c>
      <c r="AK6" s="6">
        <v>9.1</v>
      </c>
      <c r="AL6" s="3">
        <f t="shared" si="11"/>
        <v>1314.1058117290058</v>
      </c>
      <c r="AM6" s="3">
        <v>1992053</v>
      </c>
      <c r="AN6" s="6">
        <v>1515.9</v>
      </c>
      <c r="AO6" s="3">
        <f t="shared" si="12"/>
        <v>1222.7862939585214</v>
      </c>
      <c r="AP6" s="3">
        <f t="shared" si="15"/>
        <v>4339424</v>
      </c>
      <c r="AQ6" s="6">
        <f t="shared" si="14"/>
        <v>3548.7999999999997</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20" t="s">
        <v>55</v>
      </c>
      <c r="B7" s="23"/>
      <c r="C7" s="23"/>
      <c r="D7" s="23"/>
      <c r="E7" s="3">
        <f t="shared" si="0"/>
        <v>1320.3046478323135</v>
      </c>
      <c r="F7" s="3">
        <v>1014126</v>
      </c>
      <c r="G7" s="6">
        <v>768.1</v>
      </c>
      <c r="H7" s="3">
        <f t="shared" si="1"/>
        <v>1299.3272292993631</v>
      </c>
      <c r="I7" s="3">
        <v>326391</v>
      </c>
      <c r="J7" s="6">
        <v>251.2</v>
      </c>
      <c r="K7" s="3">
        <f t="shared" si="2"/>
        <v>1291.5791805094132</v>
      </c>
      <c r="L7" s="3">
        <v>583148</v>
      </c>
      <c r="M7" s="6">
        <v>451.5</v>
      </c>
      <c r="N7" s="3">
        <f t="shared" si="3"/>
        <v>1519.9283154121863</v>
      </c>
      <c r="O7" s="3">
        <v>127218</v>
      </c>
      <c r="P7" s="6">
        <v>83.7</v>
      </c>
      <c r="Q7" s="3">
        <f t="shared" si="4"/>
        <v>1393.0753564154786</v>
      </c>
      <c r="R7" s="3">
        <v>205200</v>
      </c>
      <c r="S7" s="6">
        <v>147.30000000000001</v>
      </c>
      <c r="T7" s="3">
        <f t="shared" si="5"/>
        <v>1271.6595744680851</v>
      </c>
      <c r="U7" s="3">
        <v>29884</v>
      </c>
      <c r="V7" s="6">
        <v>23.5</v>
      </c>
      <c r="W7" s="3">
        <f t="shared" si="6"/>
        <v>1588.4915254237287</v>
      </c>
      <c r="X7" s="3">
        <v>93721</v>
      </c>
      <c r="Y7" s="6">
        <v>59</v>
      </c>
      <c r="Z7" s="3">
        <f t="shared" si="7"/>
        <v>2700.4149715215622</v>
      </c>
      <c r="AA7" s="3">
        <v>331881</v>
      </c>
      <c r="AB7" s="6">
        <v>122.9</v>
      </c>
      <c r="AC7" s="3">
        <f t="shared" si="8"/>
        <v>2445.9221311475412</v>
      </c>
      <c r="AD7" s="3">
        <v>477444</v>
      </c>
      <c r="AE7" s="6">
        <v>195.2</v>
      </c>
      <c r="AF7" s="3">
        <f t="shared" si="9"/>
        <v>2767.0896464646462</v>
      </c>
      <c r="AG7" s="3">
        <v>438307</v>
      </c>
      <c r="AH7" s="6">
        <v>158.4</v>
      </c>
      <c r="AI7" s="3">
        <f t="shared" si="10"/>
        <v>2308.4166417240344</v>
      </c>
      <c r="AJ7" s="3">
        <v>771242</v>
      </c>
      <c r="AK7" s="6">
        <v>334.1</v>
      </c>
      <c r="AL7" s="3">
        <f t="shared" si="11"/>
        <v>2355.5585536967083</v>
      </c>
      <c r="AM7" s="3">
        <v>1309455</v>
      </c>
      <c r="AN7" s="6">
        <v>555.9</v>
      </c>
      <c r="AO7" s="3">
        <f t="shared" si="12"/>
        <v>1811.6087977656466</v>
      </c>
      <c r="AP7" s="3">
        <f t="shared" si="15"/>
        <v>5708017</v>
      </c>
      <c r="AQ7" s="6">
        <f t="shared" si="14"/>
        <v>3150.8</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20" t="s">
        <v>57</v>
      </c>
      <c r="B8" s="23"/>
      <c r="C8" s="23"/>
      <c r="D8" s="23"/>
      <c r="E8" s="3">
        <f t="shared" si="0"/>
        <v>1485.4736842105262</v>
      </c>
      <c r="F8" s="3">
        <v>28224</v>
      </c>
      <c r="G8" s="6">
        <v>19</v>
      </c>
      <c r="H8" s="3">
        <f t="shared" si="1"/>
        <v>1575.1166965888688</v>
      </c>
      <c r="I8" s="3">
        <v>87734</v>
      </c>
      <c r="J8" s="6">
        <v>55.7</v>
      </c>
      <c r="K8" s="3">
        <f t="shared" si="2"/>
        <v>1633.5558583106265</v>
      </c>
      <c r="L8" s="3">
        <v>119903</v>
      </c>
      <c r="M8" s="6">
        <v>73.400000000000006</v>
      </c>
      <c r="N8" s="3">
        <f t="shared" si="3"/>
        <v>1809.360119047619</v>
      </c>
      <c r="O8" s="3">
        <v>121589</v>
      </c>
      <c r="P8" s="6">
        <v>67.2</v>
      </c>
      <c r="Q8" s="3">
        <f t="shared" si="4"/>
        <v>1938.4892086330935</v>
      </c>
      <c r="R8" s="3">
        <v>269450</v>
      </c>
      <c r="S8" s="6">
        <v>139</v>
      </c>
      <c r="T8" s="3">
        <f t="shared" si="5"/>
        <v>2500.6109324758841</v>
      </c>
      <c r="U8" s="3">
        <v>155538</v>
      </c>
      <c r="V8" s="6">
        <v>62.2</v>
      </c>
      <c r="W8" s="3">
        <f t="shared" si="6"/>
        <v>2502.0601503759399</v>
      </c>
      <c r="X8" s="3">
        <v>166387</v>
      </c>
      <c r="Y8" s="6">
        <v>66.5</v>
      </c>
      <c r="Z8" s="3">
        <f t="shared" si="7"/>
        <v>2288.3404255319151</v>
      </c>
      <c r="AA8" s="3">
        <v>107552</v>
      </c>
      <c r="AB8" s="6">
        <v>47</v>
      </c>
      <c r="AC8" s="3">
        <f t="shared" si="8"/>
        <v>2580.8074534161487</v>
      </c>
      <c r="AD8" s="3">
        <v>332408</v>
      </c>
      <c r="AE8" s="6">
        <v>128.80000000000001</v>
      </c>
      <c r="AF8" s="3">
        <f t="shared" si="9"/>
        <v>2398.2342233009708</v>
      </c>
      <c r="AG8" s="3">
        <v>395229</v>
      </c>
      <c r="AH8" s="6">
        <v>164.8</v>
      </c>
      <c r="AI8" s="3">
        <f t="shared" si="10"/>
        <v>2212.9118329466355</v>
      </c>
      <c r="AJ8" s="3">
        <v>190753</v>
      </c>
      <c r="AK8" s="6">
        <v>86.2</v>
      </c>
      <c r="AL8" s="3">
        <f t="shared" si="11"/>
        <v>2337.1804207119744</v>
      </c>
      <c r="AM8" s="3">
        <v>577751</v>
      </c>
      <c r="AN8" s="6">
        <v>247.2</v>
      </c>
      <c r="AO8" s="3">
        <f t="shared" si="12"/>
        <v>2206.1521175453759</v>
      </c>
      <c r="AP8" s="3">
        <f t="shared" si="15"/>
        <v>2552518</v>
      </c>
      <c r="AQ8" s="6">
        <f t="shared" si="14"/>
        <v>1157</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20" t="s">
        <v>26</v>
      </c>
      <c r="B9" s="23"/>
      <c r="C9" s="23"/>
      <c r="D9" s="23"/>
      <c r="E9" s="3">
        <f t="shared" si="0"/>
        <v>1242.5201938610662</v>
      </c>
      <c r="F9" s="3">
        <v>538384</v>
      </c>
      <c r="G9" s="6">
        <v>433.3</v>
      </c>
      <c r="H9" s="3">
        <f t="shared" si="1"/>
        <v>1438.9331436699858</v>
      </c>
      <c r="I9" s="3">
        <v>101157</v>
      </c>
      <c r="J9" s="6">
        <v>70.3</v>
      </c>
      <c r="K9" s="3">
        <f t="shared" si="2"/>
        <v>1307.4126637554587</v>
      </c>
      <c r="L9" s="3">
        <v>479036</v>
      </c>
      <c r="M9" s="6">
        <v>366.4</v>
      </c>
      <c r="N9" s="3">
        <f t="shared" si="3"/>
        <v>1631.804347826087</v>
      </c>
      <c r="O9" s="3">
        <v>75063</v>
      </c>
      <c r="P9" s="6">
        <v>46</v>
      </c>
      <c r="Q9" s="3">
        <f t="shared" si="4"/>
        <v>1544.7858823529411</v>
      </c>
      <c r="R9" s="3">
        <v>328267</v>
      </c>
      <c r="S9" s="6">
        <v>212.5</v>
      </c>
      <c r="T9" s="3">
        <f t="shared" si="5"/>
        <v>1267.8048780487804</v>
      </c>
      <c r="U9" s="3">
        <v>88366</v>
      </c>
      <c r="V9" s="6">
        <v>69.7</v>
      </c>
      <c r="W9" s="3">
        <f t="shared" si="6"/>
        <v>2199.3391373169766</v>
      </c>
      <c r="X9" s="3">
        <v>555773</v>
      </c>
      <c r="Y9" s="6">
        <v>252.7</v>
      </c>
      <c r="Z9" s="3">
        <f t="shared" si="7"/>
        <v>2276.3481781376518</v>
      </c>
      <c r="AA9" s="3">
        <v>562258</v>
      </c>
      <c r="AB9" s="6">
        <v>247</v>
      </c>
      <c r="AC9" s="3">
        <f t="shared" si="8"/>
        <v>2091.7885264341958</v>
      </c>
      <c r="AD9" s="3">
        <v>371920</v>
      </c>
      <c r="AE9" s="6">
        <v>177.8</v>
      </c>
      <c r="AF9" s="3">
        <f t="shared" si="9"/>
        <v>2268.9652283200671</v>
      </c>
      <c r="AG9" s="3">
        <v>541602</v>
      </c>
      <c r="AH9" s="6">
        <v>238.7</v>
      </c>
      <c r="AI9" s="3">
        <f t="shared" si="10"/>
        <v>2154.0497904855806</v>
      </c>
      <c r="AJ9" s="3">
        <v>873898</v>
      </c>
      <c r="AK9" s="6">
        <v>405.7</v>
      </c>
      <c r="AL9" s="3">
        <f t="shared" si="11"/>
        <v>2301.3743637204998</v>
      </c>
      <c r="AM9" s="3">
        <v>497327</v>
      </c>
      <c r="AN9" s="6">
        <v>216.1</v>
      </c>
      <c r="AO9" s="3">
        <f t="shared" si="12"/>
        <v>1832.1215554418538</v>
      </c>
      <c r="AP9" s="3">
        <f t="shared" si="15"/>
        <v>5013051</v>
      </c>
      <c r="AQ9" s="6">
        <f t="shared" si="14"/>
        <v>2736.2</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20" t="s">
        <v>38</v>
      </c>
      <c r="B10" s="23"/>
      <c r="C10" s="23"/>
      <c r="D10" s="23"/>
      <c r="E10" s="3">
        <f t="shared" si="0"/>
        <v>1239.0417457305502</v>
      </c>
      <c r="F10" s="3">
        <v>130595</v>
      </c>
      <c r="G10" s="6">
        <v>105.4</v>
      </c>
      <c r="H10" s="3">
        <f t="shared" si="1"/>
        <v>1657.989247311828</v>
      </c>
      <c r="I10" s="3">
        <v>154193</v>
      </c>
      <c r="J10" s="6">
        <v>93</v>
      </c>
      <c r="K10" s="3">
        <f t="shared" si="2"/>
        <v>1502.3050458715595</v>
      </c>
      <c r="L10" s="3">
        <v>131001</v>
      </c>
      <c r="M10" s="6">
        <v>87.2</v>
      </c>
      <c r="N10" s="3">
        <f t="shared" si="3"/>
        <v>1354.0248833592534</v>
      </c>
      <c r="O10" s="3">
        <v>435319</v>
      </c>
      <c r="P10" s="6">
        <v>321.5</v>
      </c>
      <c r="Q10" s="3">
        <f t="shared" si="4"/>
        <v>1861.698662012798</v>
      </c>
      <c r="R10" s="3">
        <v>320026</v>
      </c>
      <c r="S10" s="6">
        <v>171.9</v>
      </c>
      <c r="T10" s="3">
        <f t="shared" si="5"/>
        <v>1867.5777511961724</v>
      </c>
      <c r="U10" s="3">
        <v>312259</v>
      </c>
      <c r="V10" s="6">
        <v>167.2</v>
      </c>
      <c r="W10" s="3">
        <f t="shared" si="6"/>
        <v>2045.1955307262572</v>
      </c>
      <c r="X10" s="3">
        <v>73218</v>
      </c>
      <c r="Y10" s="6">
        <v>35.799999999999997</v>
      </c>
      <c r="Z10" s="3">
        <f t="shared" si="7"/>
        <v>1868.3426339285716</v>
      </c>
      <c r="AA10" s="3">
        <v>334807</v>
      </c>
      <c r="AB10" s="6">
        <v>179.2</v>
      </c>
      <c r="AC10" s="3">
        <f t="shared" si="8"/>
        <v>1675.957894736842</v>
      </c>
      <c r="AD10" s="3">
        <v>159216</v>
      </c>
      <c r="AE10" s="6">
        <v>95</v>
      </c>
      <c r="AF10" s="3">
        <f t="shared" si="9"/>
        <v>2436.4077669902913</v>
      </c>
      <c r="AG10" s="3">
        <v>25095</v>
      </c>
      <c r="AH10" s="6">
        <v>10.3</v>
      </c>
      <c r="AI10" s="3">
        <f t="shared" si="10"/>
        <v>2008.9202387411826</v>
      </c>
      <c r="AJ10" s="3">
        <v>370244</v>
      </c>
      <c r="AK10" s="6">
        <v>184.3</v>
      </c>
      <c r="AL10" s="3">
        <f t="shared" si="11"/>
        <v>2134.8220064724919</v>
      </c>
      <c r="AM10" s="3">
        <v>461762</v>
      </c>
      <c r="AN10" s="6">
        <v>216.3</v>
      </c>
      <c r="AO10" s="3">
        <f t="shared" si="12"/>
        <v>1744.1875112470759</v>
      </c>
      <c r="AP10" s="3">
        <f t="shared" si="15"/>
        <v>2907735</v>
      </c>
      <c r="AQ10" s="6">
        <f t="shared" si="14"/>
        <v>1667.1</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20" t="s">
        <v>52</v>
      </c>
      <c r="B11" s="23"/>
      <c r="C11" s="23"/>
      <c r="D11" s="23"/>
      <c r="E11" s="3">
        <f t="shared" si="0"/>
        <v>1146.122448979592</v>
      </c>
      <c r="F11" s="3">
        <v>78624</v>
      </c>
      <c r="G11" s="6">
        <v>68.599999999999994</v>
      </c>
      <c r="H11" s="3">
        <f t="shared" si="1"/>
        <v>1445.4715025906735</v>
      </c>
      <c r="I11" s="3">
        <v>139488</v>
      </c>
      <c r="J11" s="6">
        <v>96.5</v>
      </c>
      <c r="K11" s="3">
        <f t="shared" si="2"/>
        <v>1990.9844559585492</v>
      </c>
      <c r="L11" s="3">
        <v>192130</v>
      </c>
      <c r="M11" s="6">
        <v>96.5</v>
      </c>
      <c r="N11" s="3">
        <f t="shared" si="3"/>
        <v>1826.7716535433071</v>
      </c>
      <c r="O11" s="3">
        <v>46400</v>
      </c>
      <c r="P11" s="6">
        <v>25.4</v>
      </c>
      <c r="Q11" s="3">
        <f t="shared" si="4"/>
        <v>1539.2560175054703</v>
      </c>
      <c r="R11" s="3">
        <v>70344</v>
      </c>
      <c r="S11" s="6">
        <v>45.7</v>
      </c>
      <c r="T11" s="3">
        <f t="shared" si="5"/>
        <v>2030.5032822757109</v>
      </c>
      <c r="U11" s="3">
        <v>92794</v>
      </c>
      <c r="V11" s="6">
        <v>45.7</v>
      </c>
      <c r="W11" s="3">
        <f t="shared" si="6"/>
        <v>2692.9133858267719</v>
      </c>
      <c r="X11" s="3">
        <v>68400</v>
      </c>
      <c r="Y11" s="6">
        <v>25.4</v>
      </c>
      <c r="Z11" s="3">
        <f t="shared" si="7"/>
        <v>2575.3424657534247</v>
      </c>
      <c r="AA11" s="3">
        <v>169200</v>
      </c>
      <c r="AB11" s="6">
        <v>65.7</v>
      </c>
      <c r="AC11" s="3">
        <f t="shared" si="8"/>
        <v>2581.1533052039385</v>
      </c>
      <c r="AD11" s="3">
        <v>183520</v>
      </c>
      <c r="AE11" s="6">
        <v>71.099999999999994</v>
      </c>
      <c r="AF11" s="3">
        <f t="shared" si="9"/>
        <v>2452.8413284132844</v>
      </c>
      <c r="AG11" s="3">
        <v>398832</v>
      </c>
      <c r="AH11" s="6">
        <v>162.6</v>
      </c>
      <c r="AI11" s="3">
        <f t="shared" si="10"/>
        <v>2413.3083411433927</v>
      </c>
      <c r="AJ11" s="3">
        <v>515000</v>
      </c>
      <c r="AK11" s="6">
        <v>213.4</v>
      </c>
      <c r="AL11" s="3">
        <f t="shared" si="11"/>
        <v>2479.9073537927043</v>
      </c>
      <c r="AM11" s="3">
        <v>428280</v>
      </c>
      <c r="AN11" s="6">
        <v>172.7</v>
      </c>
      <c r="AO11" s="3">
        <f t="shared" si="12"/>
        <v>2187.6544569907282</v>
      </c>
      <c r="AP11" s="3">
        <f t="shared" si="15"/>
        <v>2383012</v>
      </c>
      <c r="AQ11" s="6">
        <f t="shared" si="14"/>
        <v>1089.3</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20" t="s">
        <v>39</v>
      </c>
      <c r="B12" s="23"/>
      <c r="C12" s="23"/>
      <c r="D12" s="23"/>
      <c r="E12" s="3">
        <f>F12/G12</f>
        <v>1175.2153443766347</v>
      </c>
      <c r="F12" s="3">
        <v>673986</v>
      </c>
      <c r="G12" s="6">
        <v>573.5</v>
      </c>
      <c r="H12" s="3">
        <f>I12/J12</f>
        <v>1144.4177983241837</v>
      </c>
      <c r="I12" s="3">
        <v>396083</v>
      </c>
      <c r="J12" s="6">
        <v>346.1</v>
      </c>
      <c r="K12" s="3">
        <f>L12/M12</f>
        <v>1504.4556922597726</v>
      </c>
      <c r="L12" s="3">
        <v>966011</v>
      </c>
      <c r="M12" s="6">
        <v>642.1</v>
      </c>
      <c r="N12" s="3">
        <f>O12/P12</f>
        <v>1711.049545587804</v>
      </c>
      <c r="O12" s="3">
        <v>583639</v>
      </c>
      <c r="P12" s="6">
        <v>341.1</v>
      </c>
      <c r="Q12" s="3">
        <f>R12/S12</f>
        <v>1637.1158743633277</v>
      </c>
      <c r="R12" s="3">
        <v>771409</v>
      </c>
      <c r="S12" s="6">
        <v>471.2</v>
      </c>
      <c r="T12" s="3">
        <f>U12/V12</f>
        <v>1733.464566929134</v>
      </c>
      <c r="U12" s="3">
        <v>396270</v>
      </c>
      <c r="V12" s="6">
        <v>228.6</v>
      </c>
      <c r="W12" s="3">
        <f>X12/Y12</f>
        <v>1899.4160583941607</v>
      </c>
      <c r="X12" s="3">
        <v>338286</v>
      </c>
      <c r="Y12" s="6">
        <v>178.1</v>
      </c>
      <c r="Z12" s="3">
        <f>AA12/AB12</f>
        <v>2357.9111405835542</v>
      </c>
      <c r="AA12" s="3">
        <v>355573</v>
      </c>
      <c r="AB12" s="6">
        <v>150.80000000000001</v>
      </c>
      <c r="AC12" s="3">
        <f>AD12/AE12</f>
        <v>2021.1332417582419</v>
      </c>
      <c r="AD12" s="3">
        <v>294277</v>
      </c>
      <c r="AE12" s="6">
        <v>145.6</v>
      </c>
      <c r="AF12" s="3">
        <f>AG12/AH12</f>
        <v>2008.0593803786574</v>
      </c>
      <c r="AG12" s="3">
        <v>466673</v>
      </c>
      <c r="AH12" s="6">
        <v>232.4</v>
      </c>
      <c r="AI12" s="3">
        <f>AJ12/AK12</f>
        <v>2016.9080949482652</v>
      </c>
      <c r="AJ12" s="3">
        <v>331378</v>
      </c>
      <c r="AK12" s="6">
        <v>164.3</v>
      </c>
      <c r="AL12" s="3">
        <f>AM12/AN12</f>
        <v>2045.5208333333333</v>
      </c>
      <c r="AM12" s="3">
        <v>392740</v>
      </c>
      <c r="AN12" s="6">
        <v>192</v>
      </c>
      <c r="AO12" s="3">
        <f t="shared" si="12"/>
        <v>1627.564242457308</v>
      </c>
      <c r="AP12" s="3">
        <f t="shared" si="15"/>
        <v>5966325</v>
      </c>
      <c r="AQ12" s="6">
        <f t="shared" si="14"/>
        <v>3665.8</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20" t="s">
        <v>28</v>
      </c>
      <c r="B13" s="23"/>
      <c r="C13" s="23"/>
      <c r="D13" s="23"/>
      <c r="E13" s="3">
        <f t="shared" ref="E13:E57" si="16">F13/G13</f>
        <v>1879.0078328981724</v>
      </c>
      <c r="F13" s="3">
        <v>143932</v>
      </c>
      <c r="G13" s="6">
        <v>76.599999999999994</v>
      </c>
      <c r="H13" s="3">
        <f t="shared" ref="H13:H57" si="17">I13/J13</f>
        <v>1572.3760523854069</v>
      </c>
      <c r="I13" s="3">
        <v>168087</v>
      </c>
      <c r="J13" s="6">
        <v>106.9</v>
      </c>
      <c r="K13" s="3">
        <f t="shared" ref="K13:K57" si="18">L13/M13</f>
        <v>1458.2620817843867</v>
      </c>
      <c r="L13" s="3">
        <v>156909</v>
      </c>
      <c r="M13" s="6">
        <v>107.6</v>
      </c>
      <c r="N13" s="3">
        <f t="shared" ref="N13:N57" si="19">O13/P13</f>
        <v>1516.5904505716207</v>
      </c>
      <c r="O13" s="3">
        <v>225517</v>
      </c>
      <c r="P13" s="6">
        <v>148.69999999999999</v>
      </c>
      <c r="Q13" s="3">
        <f t="shared" ref="Q13:Q57" si="20">R13/S13</f>
        <v>2075.9823677581862</v>
      </c>
      <c r="R13" s="3">
        <v>329666</v>
      </c>
      <c r="S13" s="6">
        <v>158.80000000000001</v>
      </c>
      <c r="T13" s="3">
        <f t="shared" ref="T13:T57" si="21">U13/V13</f>
        <v>2118.7184661957622</v>
      </c>
      <c r="U13" s="3">
        <v>209965</v>
      </c>
      <c r="V13" s="6">
        <v>99.1</v>
      </c>
      <c r="W13" s="3">
        <f t="shared" ref="W13:W57" si="22">X13/Y13</f>
        <v>1891.4216478190631</v>
      </c>
      <c r="X13" s="3">
        <v>117079</v>
      </c>
      <c r="Y13" s="6">
        <v>61.9</v>
      </c>
      <c r="Z13" s="3">
        <f t="shared" ref="Z13:Z57" si="23">AA13/AB13</f>
        <v>2142.4937500000001</v>
      </c>
      <c r="AA13" s="3">
        <v>342799</v>
      </c>
      <c r="AB13" s="6">
        <v>160</v>
      </c>
      <c r="AC13" s="3">
        <f t="shared" ref="AC13:AC57" si="24">AD13/AE13</f>
        <v>2019.4955156950673</v>
      </c>
      <c r="AD13" s="3">
        <v>180139</v>
      </c>
      <c r="AE13" s="6">
        <v>89.2</v>
      </c>
      <c r="AF13" s="3">
        <f t="shared" ref="AF13:AF57" si="25">AG13/AH13</f>
        <v>2285.2839268527428</v>
      </c>
      <c r="AG13" s="3">
        <v>474882</v>
      </c>
      <c r="AH13" s="6">
        <v>207.8</v>
      </c>
      <c r="AI13" s="3">
        <f t="shared" ref="AI13:AI57" si="26">AJ13/AK13</f>
        <v>2463.2739938080499</v>
      </c>
      <c r="AJ13" s="3">
        <v>318255</v>
      </c>
      <c r="AK13" s="6">
        <v>129.19999999999999</v>
      </c>
      <c r="AL13" s="3">
        <f t="shared" ref="AL13:AL57" si="27">AM13/AN13</f>
        <v>2220.9718309859154</v>
      </c>
      <c r="AM13" s="3">
        <v>315378</v>
      </c>
      <c r="AN13" s="6">
        <v>142</v>
      </c>
      <c r="AO13" s="3">
        <f t="shared" si="12"/>
        <v>2004.7103105256081</v>
      </c>
      <c r="AP13" s="3">
        <f t="shared" si="15"/>
        <v>2982608</v>
      </c>
      <c r="AQ13" s="6">
        <f t="shared" si="14"/>
        <v>1487.8000000000002</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20" t="s">
        <v>56</v>
      </c>
      <c r="B14" s="23"/>
      <c r="C14" s="23"/>
      <c r="D14" s="23"/>
      <c r="E14" s="3">
        <f t="shared" si="16"/>
        <v>1306.2992125984251</v>
      </c>
      <c r="F14" s="3">
        <v>398160</v>
      </c>
      <c r="G14" s="6">
        <v>304.8</v>
      </c>
      <c r="H14" s="3">
        <f t="shared" si="17"/>
        <v>1284.1509433962265</v>
      </c>
      <c r="I14" s="3">
        <v>285852</v>
      </c>
      <c r="J14" s="6">
        <v>222.6</v>
      </c>
      <c r="K14" s="3">
        <f t="shared" si="18"/>
        <v>1336.7446808510638</v>
      </c>
      <c r="L14" s="3">
        <v>251308</v>
      </c>
      <c r="M14" s="6">
        <v>188</v>
      </c>
      <c r="N14" s="3">
        <f t="shared" si="19"/>
        <v>1147.2654867256638</v>
      </c>
      <c r="O14" s="3">
        <v>129641</v>
      </c>
      <c r="P14" s="6">
        <v>113</v>
      </c>
      <c r="Q14" s="3">
        <f t="shared" si="20"/>
        <v>1395.4229074889868</v>
      </c>
      <c r="R14" s="3">
        <v>316761</v>
      </c>
      <c r="S14" s="6">
        <v>227</v>
      </c>
      <c r="T14" s="3">
        <f t="shared" si="21"/>
        <v>1518.6443148688047</v>
      </c>
      <c r="U14" s="3">
        <v>104179</v>
      </c>
      <c r="V14" s="6">
        <v>68.599999999999994</v>
      </c>
      <c r="W14" s="3">
        <f t="shared" si="22"/>
        <v>1665.9153175591532</v>
      </c>
      <c r="X14" s="3">
        <v>133773</v>
      </c>
      <c r="Y14" s="6">
        <v>80.3</v>
      </c>
      <c r="Z14" s="3" t="e">
        <f t="shared" si="23"/>
        <v>#DIV/0!</v>
      </c>
      <c r="AA14" s="3">
        <v>0</v>
      </c>
      <c r="AB14" s="6">
        <v>0</v>
      </c>
      <c r="AC14" s="3">
        <f t="shared" si="24"/>
        <v>2582.8129032258066</v>
      </c>
      <c r="AD14" s="3">
        <v>200168</v>
      </c>
      <c r="AE14" s="6">
        <v>77.5</v>
      </c>
      <c r="AF14" s="3">
        <f t="shared" si="25"/>
        <v>2120.1961523953223</v>
      </c>
      <c r="AG14" s="3">
        <v>562064</v>
      </c>
      <c r="AH14" s="6">
        <v>265.10000000000002</v>
      </c>
      <c r="AI14" s="3">
        <f t="shared" si="26"/>
        <v>2148.5794655414911</v>
      </c>
      <c r="AJ14" s="3">
        <v>152764</v>
      </c>
      <c r="AK14" s="6">
        <v>71.099999999999994</v>
      </c>
      <c r="AL14" s="3">
        <f t="shared" si="27"/>
        <v>2495.634249471459</v>
      </c>
      <c r="AM14" s="3">
        <v>236087</v>
      </c>
      <c r="AN14" s="6">
        <v>94.6</v>
      </c>
      <c r="AO14" s="3">
        <f t="shared" si="12"/>
        <v>1617.8658180544203</v>
      </c>
      <c r="AP14" s="3">
        <f t="shared" si="15"/>
        <v>2770757</v>
      </c>
      <c r="AQ14" s="6">
        <f t="shared" si="14"/>
        <v>1712.6</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20" t="s">
        <v>59</v>
      </c>
      <c r="B15" s="23"/>
      <c r="C15" s="23"/>
      <c r="D15" s="23"/>
      <c r="E15" s="3">
        <f t="shared" si="16"/>
        <v>1395.7894736842106</v>
      </c>
      <c r="F15" s="3">
        <v>90168</v>
      </c>
      <c r="G15" s="6">
        <v>64.599999999999994</v>
      </c>
      <c r="H15" s="3">
        <f t="shared" si="17"/>
        <v>1220.0262467191601</v>
      </c>
      <c r="I15" s="3">
        <v>46483</v>
      </c>
      <c r="J15" s="6">
        <v>38.1</v>
      </c>
      <c r="K15" s="3">
        <f t="shared" si="18"/>
        <v>1588.5260115606936</v>
      </c>
      <c r="L15" s="3">
        <v>109926</v>
      </c>
      <c r="M15" s="6">
        <v>69.2</v>
      </c>
      <c r="N15" s="3" t="e">
        <f t="shared" si="19"/>
        <v>#DIV/0!</v>
      </c>
      <c r="O15" s="3">
        <v>0</v>
      </c>
      <c r="P15" s="6">
        <v>0</v>
      </c>
      <c r="Q15" s="3">
        <f t="shared" si="20"/>
        <v>2226.6141732283463</v>
      </c>
      <c r="R15" s="3">
        <v>141390</v>
      </c>
      <c r="S15" s="6">
        <v>63.5</v>
      </c>
      <c r="T15" s="3">
        <f t="shared" si="21"/>
        <v>1138.165938864629</v>
      </c>
      <c r="U15" s="3">
        <v>26064</v>
      </c>
      <c r="V15" s="6">
        <v>22.9</v>
      </c>
      <c r="W15" s="3">
        <f t="shared" si="22"/>
        <v>1474.585152838428</v>
      </c>
      <c r="X15" s="3">
        <v>33768</v>
      </c>
      <c r="Y15" s="6">
        <v>22.9</v>
      </c>
      <c r="Z15" s="3">
        <f t="shared" si="23"/>
        <v>1896.6666666666665</v>
      </c>
      <c r="AA15" s="3">
        <v>163872</v>
      </c>
      <c r="AB15" s="6">
        <v>86.4</v>
      </c>
      <c r="AC15" s="3" t="e">
        <f t="shared" si="24"/>
        <v>#DIV/0!</v>
      </c>
      <c r="AD15" s="3">
        <v>0</v>
      </c>
      <c r="AE15" s="6">
        <v>0</v>
      </c>
      <c r="AF15" s="3">
        <f t="shared" si="25"/>
        <v>2526.8166089965398</v>
      </c>
      <c r="AG15" s="3">
        <v>146050</v>
      </c>
      <c r="AH15" s="6">
        <v>57.8</v>
      </c>
      <c r="AI15" s="3">
        <f t="shared" si="26"/>
        <v>2252.9540481400436</v>
      </c>
      <c r="AJ15" s="3">
        <v>205920</v>
      </c>
      <c r="AK15" s="6">
        <v>91.4</v>
      </c>
      <c r="AL15" s="3">
        <f t="shared" si="27"/>
        <v>2283.3815350389318</v>
      </c>
      <c r="AM15" s="3">
        <v>205276</v>
      </c>
      <c r="AN15" s="6">
        <v>89.9</v>
      </c>
      <c r="AO15" s="3">
        <f t="shared" si="12"/>
        <v>1926.6804021757048</v>
      </c>
      <c r="AP15" s="3">
        <f t="shared" si="15"/>
        <v>1168917</v>
      </c>
      <c r="AQ15" s="6">
        <f t="shared" si="14"/>
        <v>606.69999999999993</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20" t="s">
        <v>49</v>
      </c>
      <c r="B16" s="23"/>
      <c r="C16" s="23"/>
      <c r="D16" s="23"/>
      <c r="E16" s="3">
        <f t="shared" si="16"/>
        <v>1247.0270270270271</v>
      </c>
      <c r="F16" s="3">
        <v>106122</v>
      </c>
      <c r="G16" s="6">
        <v>85.1</v>
      </c>
      <c r="H16" s="3" t="e">
        <f t="shared" si="17"/>
        <v>#DIV/0!</v>
      </c>
      <c r="I16" s="3">
        <v>0</v>
      </c>
      <c r="J16" s="6">
        <v>0</v>
      </c>
      <c r="K16" s="3">
        <f t="shared" si="18"/>
        <v>1121.6438356164383</v>
      </c>
      <c r="L16" s="3">
        <v>16376</v>
      </c>
      <c r="M16" s="6">
        <v>14.6</v>
      </c>
      <c r="N16" s="3" t="e">
        <f t="shared" si="19"/>
        <v>#DIV/0!</v>
      </c>
      <c r="O16" s="3">
        <v>0</v>
      </c>
      <c r="P16" s="6">
        <v>0</v>
      </c>
      <c r="Q16" s="3">
        <f t="shared" si="20"/>
        <v>1536.7413793103449</v>
      </c>
      <c r="R16" s="3">
        <v>267393</v>
      </c>
      <c r="S16" s="6">
        <v>174</v>
      </c>
      <c r="T16" s="3">
        <f t="shared" si="21"/>
        <v>1600.7002188183806</v>
      </c>
      <c r="U16" s="3">
        <v>73152</v>
      </c>
      <c r="V16" s="6">
        <v>45.7</v>
      </c>
      <c r="W16" s="3">
        <f t="shared" si="22"/>
        <v>2301.8518518518517</v>
      </c>
      <c r="X16" s="3">
        <v>74580</v>
      </c>
      <c r="Y16" s="6">
        <v>32.4</v>
      </c>
      <c r="Z16" s="3" t="e">
        <f t="shared" si="23"/>
        <v>#DIV/0!</v>
      </c>
      <c r="AA16" s="3">
        <v>0</v>
      </c>
      <c r="AB16" s="6">
        <v>0</v>
      </c>
      <c r="AC16" s="3" t="e">
        <f t="shared" si="24"/>
        <v>#DIV/0!</v>
      </c>
      <c r="AD16" s="3">
        <v>0</v>
      </c>
      <c r="AE16" s="6">
        <v>0</v>
      </c>
      <c r="AF16" s="3">
        <f t="shared" si="25"/>
        <v>1477.1428571428571</v>
      </c>
      <c r="AG16" s="3">
        <v>31020</v>
      </c>
      <c r="AH16" s="6">
        <v>21</v>
      </c>
      <c r="AI16" s="3">
        <f t="shared" si="26"/>
        <v>2404.2013129102843</v>
      </c>
      <c r="AJ16" s="3">
        <v>109872</v>
      </c>
      <c r="AK16" s="6">
        <v>45.7</v>
      </c>
      <c r="AL16" s="3">
        <f t="shared" si="27"/>
        <v>2341.5034965034965</v>
      </c>
      <c r="AM16" s="3">
        <v>133934</v>
      </c>
      <c r="AN16" s="6">
        <v>57.2</v>
      </c>
      <c r="AO16" s="3">
        <f t="shared" si="12"/>
        <v>1707.9020391002734</v>
      </c>
      <c r="AP16" s="3">
        <f t="shared" si="15"/>
        <v>812449</v>
      </c>
      <c r="AQ16" s="6">
        <f t="shared" si="14"/>
        <v>475.69999999999993</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20" t="s">
        <v>58</v>
      </c>
      <c r="B17" s="23"/>
      <c r="C17" s="23"/>
      <c r="D17" s="23"/>
      <c r="E17" s="3">
        <f t="shared" si="16"/>
        <v>1303.4957020057307</v>
      </c>
      <c r="F17" s="3">
        <v>45492</v>
      </c>
      <c r="G17" s="6">
        <v>34.9</v>
      </c>
      <c r="H17" s="3" t="e">
        <f t="shared" si="17"/>
        <v>#DIV/0!</v>
      </c>
      <c r="I17" s="3">
        <v>0</v>
      </c>
      <c r="J17" s="6">
        <v>0</v>
      </c>
      <c r="K17" s="3">
        <f t="shared" si="18"/>
        <v>1537.4672489082971</v>
      </c>
      <c r="L17" s="3">
        <v>35208</v>
      </c>
      <c r="M17" s="6">
        <v>22.9</v>
      </c>
      <c r="N17" s="3">
        <f t="shared" si="19"/>
        <v>1622.3580786026203</v>
      </c>
      <c r="O17" s="3">
        <v>37152</v>
      </c>
      <c r="P17" s="6">
        <v>22.9</v>
      </c>
      <c r="Q17" s="3">
        <f t="shared" si="20"/>
        <v>1622.3580786026203</v>
      </c>
      <c r="R17" s="3">
        <v>37152</v>
      </c>
      <c r="S17" s="6">
        <v>22.9</v>
      </c>
      <c r="T17" s="3" t="e">
        <f t="shared" si="21"/>
        <v>#DIV/0!</v>
      </c>
      <c r="U17" s="3">
        <v>0</v>
      </c>
      <c r="V17" s="6">
        <v>0</v>
      </c>
      <c r="W17" s="3" t="e">
        <f t="shared" si="22"/>
        <v>#DIV/0!</v>
      </c>
      <c r="X17" s="3">
        <v>0</v>
      </c>
      <c r="Y17" s="6">
        <v>0</v>
      </c>
      <c r="Z17" s="3" t="e">
        <f t="shared" si="23"/>
        <v>#DIV/0!</v>
      </c>
      <c r="AA17" s="3">
        <v>0</v>
      </c>
      <c r="AB17" s="6">
        <v>0</v>
      </c>
      <c r="AC17" s="3" t="e">
        <f t="shared" si="24"/>
        <v>#DIV/0!</v>
      </c>
      <c r="AD17" s="3">
        <v>0</v>
      </c>
      <c r="AE17" s="6">
        <v>0</v>
      </c>
      <c r="AF17" s="3" t="e">
        <f t="shared" si="25"/>
        <v>#DIV/0!</v>
      </c>
      <c r="AG17" s="3">
        <v>0</v>
      </c>
      <c r="AH17" s="6">
        <v>0</v>
      </c>
      <c r="AI17" s="3" t="e">
        <f t="shared" si="26"/>
        <v>#DIV/0!</v>
      </c>
      <c r="AJ17" s="3">
        <v>0</v>
      </c>
      <c r="AK17" s="6">
        <v>0</v>
      </c>
      <c r="AL17" s="3">
        <f t="shared" si="27"/>
        <v>2385.8792650918635</v>
      </c>
      <c r="AM17" s="3">
        <v>90902</v>
      </c>
      <c r="AN17" s="6">
        <v>38.1</v>
      </c>
      <c r="AO17" s="3">
        <f t="shared" si="12"/>
        <v>1735.3987297106564</v>
      </c>
      <c r="AP17" s="3">
        <f t="shared" si="15"/>
        <v>245906</v>
      </c>
      <c r="AQ17" s="6">
        <f t="shared" si="14"/>
        <v>141.69999999999999</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20" t="s">
        <v>32</v>
      </c>
      <c r="B18" s="23"/>
      <c r="C18" s="23"/>
      <c r="D18" s="23"/>
      <c r="E18" s="3">
        <f t="shared" si="16"/>
        <v>897.57281553398059</v>
      </c>
      <c r="F18" s="3">
        <v>27735</v>
      </c>
      <c r="G18" s="6">
        <v>30.9</v>
      </c>
      <c r="H18" s="3">
        <f t="shared" si="17"/>
        <v>1432.384</v>
      </c>
      <c r="I18" s="3">
        <v>89524</v>
      </c>
      <c r="J18" s="6">
        <v>62.5</v>
      </c>
      <c r="K18" s="3">
        <f t="shared" si="18"/>
        <v>885.42586750788644</v>
      </c>
      <c r="L18" s="3">
        <v>28068</v>
      </c>
      <c r="M18" s="6">
        <v>31.7</v>
      </c>
      <c r="N18" s="3">
        <f t="shared" si="19"/>
        <v>1306.9855072463768</v>
      </c>
      <c r="O18" s="3">
        <v>45091</v>
      </c>
      <c r="P18" s="6">
        <v>34.5</v>
      </c>
      <c r="Q18" s="3">
        <f t="shared" si="20"/>
        <v>1603.9915966386554</v>
      </c>
      <c r="R18" s="3">
        <v>38175</v>
      </c>
      <c r="S18" s="6">
        <v>23.8</v>
      </c>
      <c r="T18" s="3">
        <f t="shared" si="21"/>
        <v>1409.2372881355932</v>
      </c>
      <c r="U18" s="3">
        <v>33258</v>
      </c>
      <c r="V18" s="6">
        <v>23.6</v>
      </c>
      <c r="W18" s="3">
        <f t="shared" si="22"/>
        <v>1568.4668192219679</v>
      </c>
      <c r="X18" s="3">
        <v>68542</v>
      </c>
      <c r="Y18" s="6">
        <v>43.7</v>
      </c>
      <c r="Z18" s="3">
        <f t="shared" si="23"/>
        <v>1543.1519274376417</v>
      </c>
      <c r="AA18" s="3">
        <v>68053</v>
      </c>
      <c r="AB18" s="6">
        <v>44.1</v>
      </c>
      <c r="AC18" s="3">
        <f t="shared" si="24"/>
        <v>1461.0602409638554</v>
      </c>
      <c r="AD18" s="3">
        <v>60634</v>
      </c>
      <c r="AE18" s="6">
        <v>41.5</v>
      </c>
      <c r="AF18" s="3">
        <f t="shared" si="25"/>
        <v>1602.7851458885941</v>
      </c>
      <c r="AG18" s="3">
        <v>60425</v>
      </c>
      <c r="AH18" s="6">
        <v>37.700000000000003</v>
      </c>
      <c r="AI18" s="3">
        <f t="shared" si="26"/>
        <v>1549.1560102301789</v>
      </c>
      <c r="AJ18" s="3">
        <v>60572</v>
      </c>
      <c r="AK18" s="6">
        <v>39.1</v>
      </c>
      <c r="AL18" s="3">
        <f t="shared" si="27"/>
        <v>2198.835227272727</v>
      </c>
      <c r="AM18" s="3">
        <v>77399</v>
      </c>
      <c r="AN18" s="6">
        <v>35.200000000000003</v>
      </c>
      <c r="AO18" s="3">
        <f t="shared" si="12"/>
        <v>1466.598260093687</v>
      </c>
      <c r="AP18" s="3">
        <f t="shared" si="15"/>
        <v>657476</v>
      </c>
      <c r="AQ18" s="6">
        <f t="shared" si="14"/>
        <v>448.30000000000007</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20" t="s">
        <v>23</v>
      </c>
      <c r="B19" s="23"/>
      <c r="C19" s="23"/>
      <c r="D19" s="23"/>
      <c r="E19" s="3">
        <f t="shared" si="16"/>
        <v>1548.9721627408992</v>
      </c>
      <c r="F19" s="3">
        <v>289348</v>
      </c>
      <c r="G19" s="6">
        <v>186.8</v>
      </c>
      <c r="H19" s="3">
        <f t="shared" si="17"/>
        <v>2085.2793296089385</v>
      </c>
      <c r="I19" s="3">
        <v>74653</v>
      </c>
      <c r="J19" s="6">
        <v>35.799999999999997</v>
      </c>
      <c r="K19" s="3">
        <f t="shared" si="18"/>
        <v>1506.1651077673851</v>
      </c>
      <c r="L19" s="3">
        <v>370366</v>
      </c>
      <c r="M19" s="6">
        <v>245.9</v>
      </c>
      <c r="N19" s="3">
        <f t="shared" si="19"/>
        <v>3142.8571428571427</v>
      </c>
      <c r="O19" s="3">
        <v>66000</v>
      </c>
      <c r="P19" s="6">
        <v>21</v>
      </c>
      <c r="Q19" s="3" t="e">
        <f t="shared" si="20"/>
        <v>#DIV/0!</v>
      </c>
      <c r="R19" s="3">
        <v>0</v>
      </c>
      <c r="S19" s="6">
        <v>0</v>
      </c>
      <c r="T19" s="3">
        <f t="shared" si="21"/>
        <v>3399.2753623188405</v>
      </c>
      <c r="U19" s="3">
        <v>23455</v>
      </c>
      <c r="V19" s="6">
        <v>6.9</v>
      </c>
      <c r="W19" s="3" t="e">
        <f t="shared" si="22"/>
        <v>#DIV/0!</v>
      </c>
      <c r="X19" s="3">
        <v>0</v>
      </c>
      <c r="Y19" s="6">
        <v>0</v>
      </c>
      <c r="Z19" s="3">
        <f t="shared" si="23"/>
        <v>3205.086956521739</v>
      </c>
      <c r="AA19" s="3">
        <v>73717</v>
      </c>
      <c r="AB19" s="6">
        <v>23</v>
      </c>
      <c r="AC19" s="3" t="e">
        <f t="shared" si="24"/>
        <v>#DIV/0!</v>
      </c>
      <c r="AD19" s="3">
        <v>0</v>
      </c>
      <c r="AE19" s="6">
        <v>0</v>
      </c>
      <c r="AF19" s="3">
        <f t="shared" si="25"/>
        <v>3192.1186440677966</v>
      </c>
      <c r="AG19" s="3">
        <v>75334</v>
      </c>
      <c r="AH19" s="6">
        <v>23.6</v>
      </c>
      <c r="AI19" s="3">
        <f t="shared" si="26"/>
        <v>3386.2068965517242</v>
      </c>
      <c r="AJ19" s="3">
        <v>78560</v>
      </c>
      <c r="AK19" s="6">
        <v>23.2</v>
      </c>
      <c r="AL19" s="3">
        <f t="shared" si="27"/>
        <v>3474.536082474227</v>
      </c>
      <c r="AM19" s="3">
        <v>67406</v>
      </c>
      <c r="AN19" s="6">
        <v>19.399999999999999</v>
      </c>
      <c r="AO19" s="3">
        <f t="shared" si="12"/>
        <v>1910.5857240437158</v>
      </c>
      <c r="AP19" s="3">
        <f t="shared" si="15"/>
        <v>1118839</v>
      </c>
      <c r="AQ19" s="6">
        <f t="shared" si="14"/>
        <v>585.6</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20" t="s">
        <v>66</v>
      </c>
      <c r="B20" s="23"/>
      <c r="C20" s="23"/>
      <c r="D20" s="23"/>
      <c r="E20" s="3" t="e">
        <f t="shared" si="16"/>
        <v>#DIV/0!</v>
      </c>
      <c r="F20" s="3">
        <v>0</v>
      </c>
      <c r="G20" s="6">
        <v>0</v>
      </c>
      <c r="H20" s="3">
        <f t="shared" si="17"/>
        <v>2344.848484848485</v>
      </c>
      <c r="I20" s="3">
        <v>7738</v>
      </c>
      <c r="J20" s="6">
        <v>3.3</v>
      </c>
      <c r="K20" s="3" t="e">
        <f t="shared" si="18"/>
        <v>#DIV/0!</v>
      </c>
      <c r="L20" s="3">
        <v>0</v>
      </c>
      <c r="M20" s="6">
        <v>0</v>
      </c>
      <c r="N20" s="3" t="e">
        <f t="shared" si="19"/>
        <v>#DIV/0!</v>
      </c>
      <c r="O20" s="3">
        <v>0</v>
      </c>
      <c r="P20" s="6">
        <v>0</v>
      </c>
      <c r="Q20" s="3">
        <f t="shared" si="20"/>
        <v>2052.1621621621621</v>
      </c>
      <c r="R20" s="3">
        <v>7593</v>
      </c>
      <c r="S20" s="6">
        <v>3.7</v>
      </c>
      <c r="T20" s="3" t="e">
        <f t="shared" si="21"/>
        <v>#DIV/0!</v>
      </c>
      <c r="U20" s="3">
        <v>0</v>
      </c>
      <c r="V20" s="6">
        <v>0</v>
      </c>
      <c r="W20" s="3" t="e">
        <f t="shared" si="22"/>
        <v>#DIV/0!</v>
      </c>
      <c r="X20" s="3">
        <v>0</v>
      </c>
      <c r="Y20" s="6">
        <v>0</v>
      </c>
      <c r="Z20" s="3" t="e">
        <f t="shared" si="23"/>
        <v>#DIV/0!</v>
      </c>
      <c r="AA20" s="3">
        <v>0</v>
      </c>
      <c r="AB20" s="6">
        <v>0</v>
      </c>
      <c r="AC20" s="3" t="e">
        <f t="shared" si="24"/>
        <v>#DIV/0!</v>
      </c>
      <c r="AD20" s="3">
        <v>0</v>
      </c>
      <c r="AE20" s="6">
        <v>0</v>
      </c>
      <c r="AF20" s="3" t="e">
        <f t="shared" si="25"/>
        <v>#DIV/0!</v>
      </c>
      <c r="AG20" s="3">
        <v>0</v>
      </c>
      <c r="AH20" s="6">
        <v>0</v>
      </c>
      <c r="AI20" s="3" t="e">
        <f t="shared" si="26"/>
        <v>#DIV/0!</v>
      </c>
      <c r="AJ20" s="3">
        <v>0</v>
      </c>
      <c r="AK20" s="6">
        <v>0</v>
      </c>
      <c r="AL20" s="3">
        <f t="shared" si="27"/>
        <v>3169.2857142857142</v>
      </c>
      <c r="AM20" s="3">
        <v>53244</v>
      </c>
      <c r="AN20" s="6">
        <v>16.8</v>
      </c>
      <c r="AO20" s="3">
        <f t="shared" si="12"/>
        <v>2881.3025210084033</v>
      </c>
      <c r="AP20" s="3">
        <f t="shared" si="15"/>
        <v>68575</v>
      </c>
      <c r="AQ20" s="6">
        <f t="shared" si="14"/>
        <v>23.8</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20" t="s">
        <v>60</v>
      </c>
      <c r="B21" s="23"/>
      <c r="C21" s="23"/>
      <c r="D21" s="23"/>
      <c r="E21" s="3" t="e">
        <f t="shared" si="16"/>
        <v>#DIV/0!</v>
      </c>
      <c r="F21" s="3">
        <v>0</v>
      </c>
      <c r="G21" s="6">
        <v>0</v>
      </c>
      <c r="H21" s="3" t="e">
        <f t="shared" si="17"/>
        <v>#DIV/0!</v>
      </c>
      <c r="I21" s="3">
        <v>0</v>
      </c>
      <c r="J21" s="6">
        <v>0</v>
      </c>
      <c r="K21" s="3" t="e">
        <f t="shared" si="18"/>
        <v>#DIV/0!</v>
      </c>
      <c r="L21" s="3">
        <v>0</v>
      </c>
      <c r="M21" s="6">
        <v>0</v>
      </c>
      <c r="N21" s="3">
        <f t="shared" si="19"/>
        <v>2067</v>
      </c>
      <c r="O21" s="3">
        <v>4134</v>
      </c>
      <c r="P21" s="6">
        <v>2</v>
      </c>
      <c r="Q21" s="3">
        <f t="shared" si="20"/>
        <v>2082.5</v>
      </c>
      <c r="R21" s="3">
        <v>15827</v>
      </c>
      <c r="S21" s="6">
        <v>7.6</v>
      </c>
      <c r="T21" s="3" t="e">
        <f t="shared" si="21"/>
        <v>#DIV/0!</v>
      </c>
      <c r="U21" s="3">
        <v>0</v>
      </c>
      <c r="V21" s="6">
        <v>0</v>
      </c>
      <c r="W21" s="3">
        <f t="shared" si="22"/>
        <v>1560.4651162790699</v>
      </c>
      <c r="X21" s="3">
        <v>6710</v>
      </c>
      <c r="Y21" s="6">
        <v>4.3</v>
      </c>
      <c r="Z21" s="3">
        <f t="shared" si="23"/>
        <v>1943.9226519337014</v>
      </c>
      <c r="AA21" s="3">
        <v>35185</v>
      </c>
      <c r="AB21" s="6">
        <v>18.100000000000001</v>
      </c>
      <c r="AC21" s="3" t="e">
        <f t="shared" si="24"/>
        <v>#DIV/0!</v>
      </c>
      <c r="AD21" s="3">
        <v>0</v>
      </c>
      <c r="AE21" s="6">
        <v>0</v>
      </c>
      <c r="AF21" s="3">
        <f t="shared" si="25"/>
        <v>3186.019417475728</v>
      </c>
      <c r="AG21" s="3">
        <v>32816</v>
      </c>
      <c r="AH21" s="6">
        <v>10.3</v>
      </c>
      <c r="AI21" s="3" t="e">
        <f t="shared" si="26"/>
        <v>#DIV/0!</v>
      </c>
      <c r="AJ21" s="3">
        <v>0</v>
      </c>
      <c r="AK21" s="6">
        <v>0</v>
      </c>
      <c r="AL21" s="3">
        <f t="shared" si="27"/>
        <v>3661.9708029197081</v>
      </c>
      <c r="AM21" s="3">
        <v>50169</v>
      </c>
      <c r="AN21" s="6">
        <v>13.7</v>
      </c>
      <c r="AO21" s="3">
        <f t="shared" si="12"/>
        <v>2586.4464285714284</v>
      </c>
      <c r="AP21" s="3">
        <f t="shared" si="15"/>
        <v>144841</v>
      </c>
      <c r="AQ21" s="6">
        <f t="shared" si="14"/>
        <v>56</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20" t="s">
        <v>35</v>
      </c>
      <c r="B22" s="23"/>
      <c r="C22" s="23"/>
      <c r="D22" s="23"/>
      <c r="E22" s="3" t="e">
        <f t="shared" si="16"/>
        <v>#DIV/0!</v>
      </c>
      <c r="F22" s="3">
        <v>0</v>
      </c>
      <c r="G22" s="6">
        <v>0</v>
      </c>
      <c r="H22" s="3">
        <f t="shared" si="17"/>
        <v>2455.229357798165</v>
      </c>
      <c r="I22" s="3">
        <v>80286</v>
      </c>
      <c r="J22" s="6">
        <v>32.700000000000003</v>
      </c>
      <c r="K22" s="3">
        <f t="shared" si="18"/>
        <v>3290.5154639175262</v>
      </c>
      <c r="L22" s="3">
        <v>63836</v>
      </c>
      <c r="M22" s="6">
        <v>19.399999999999999</v>
      </c>
      <c r="N22" s="3">
        <f t="shared" si="19"/>
        <v>2673.0263157894738</v>
      </c>
      <c r="O22" s="3">
        <v>60945</v>
      </c>
      <c r="P22" s="6">
        <v>22.8</v>
      </c>
      <c r="Q22" s="3" t="e">
        <f t="shared" si="20"/>
        <v>#DIV/0!</v>
      </c>
      <c r="R22" s="3">
        <v>0</v>
      </c>
      <c r="S22" s="6">
        <v>0</v>
      </c>
      <c r="T22" s="3">
        <f t="shared" si="21"/>
        <v>3190.8376963350784</v>
      </c>
      <c r="U22" s="3">
        <v>60945</v>
      </c>
      <c r="V22" s="6">
        <v>19.100000000000001</v>
      </c>
      <c r="W22" s="3">
        <f t="shared" si="22"/>
        <v>3207.6315789473683</v>
      </c>
      <c r="X22" s="3">
        <v>60945</v>
      </c>
      <c r="Y22" s="6">
        <v>19</v>
      </c>
      <c r="Z22" s="3">
        <f t="shared" si="23"/>
        <v>3096.7010309278353</v>
      </c>
      <c r="AA22" s="3">
        <v>60076</v>
      </c>
      <c r="AB22" s="6">
        <v>19.399999999999999</v>
      </c>
      <c r="AC22" s="3" t="e">
        <f t="shared" si="24"/>
        <v>#DIV/0!</v>
      </c>
      <c r="AD22" s="3">
        <v>0</v>
      </c>
      <c r="AE22" s="6">
        <v>0</v>
      </c>
      <c r="AF22" s="3">
        <f t="shared" si="25"/>
        <v>4690</v>
      </c>
      <c r="AG22" s="3">
        <v>7035</v>
      </c>
      <c r="AH22" s="6">
        <v>1.5</v>
      </c>
      <c r="AI22" s="3">
        <f t="shared" si="26"/>
        <v>3172.2619047619046</v>
      </c>
      <c r="AJ22" s="3">
        <v>106588</v>
      </c>
      <c r="AK22" s="6">
        <v>33.6</v>
      </c>
      <c r="AL22" s="3">
        <f t="shared" si="27"/>
        <v>2536.6091954022991</v>
      </c>
      <c r="AM22" s="3">
        <v>44137</v>
      </c>
      <c r="AN22" s="6">
        <v>17.399999999999999</v>
      </c>
      <c r="AO22" s="3">
        <f t="shared" si="12"/>
        <v>2946.4196863169282</v>
      </c>
      <c r="AP22" s="3">
        <f t="shared" si="15"/>
        <v>544793</v>
      </c>
      <c r="AQ22" s="6">
        <f t="shared" si="14"/>
        <v>184.9</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20" t="s">
        <v>62</v>
      </c>
      <c r="B23" s="23"/>
      <c r="C23" s="23"/>
      <c r="D23" s="23"/>
      <c r="E23" s="3">
        <f t="shared" si="16"/>
        <v>1256.8965517241379</v>
      </c>
      <c r="F23" s="3">
        <v>3645</v>
      </c>
      <c r="G23" s="6">
        <v>2.9</v>
      </c>
      <c r="H23" s="3">
        <f t="shared" si="17"/>
        <v>1971.0344827586207</v>
      </c>
      <c r="I23" s="3">
        <v>5716</v>
      </c>
      <c r="J23" s="6">
        <v>2.9</v>
      </c>
      <c r="K23" s="3">
        <f t="shared" si="18"/>
        <v>1832.6315789473686</v>
      </c>
      <c r="L23" s="3">
        <v>3482</v>
      </c>
      <c r="M23" s="6">
        <v>1.9</v>
      </c>
      <c r="N23" s="3">
        <f t="shared" si="19"/>
        <v>1993.4782608695655</v>
      </c>
      <c r="O23" s="3">
        <v>9170</v>
      </c>
      <c r="P23" s="6">
        <v>4.5999999999999996</v>
      </c>
      <c r="Q23" s="3">
        <f t="shared" si="20"/>
        <v>2086.363636363636</v>
      </c>
      <c r="R23" s="3">
        <v>4590</v>
      </c>
      <c r="S23" s="6">
        <v>2.2000000000000002</v>
      </c>
      <c r="T23" s="3">
        <f t="shared" si="21"/>
        <v>2102.105263157895</v>
      </c>
      <c r="U23" s="3">
        <v>7988</v>
      </c>
      <c r="V23" s="6">
        <v>3.8</v>
      </c>
      <c r="W23" s="3">
        <f t="shared" si="22"/>
        <v>2336.8421052631579</v>
      </c>
      <c r="X23" s="3">
        <v>4440</v>
      </c>
      <c r="Y23" s="6">
        <v>1.9</v>
      </c>
      <c r="Z23" s="3">
        <f t="shared" si="23"/>
        <v>2400</v>
      </c>
      <c r="AA23" s="3">
        <v>4560</v>
      </c>
      <c r="AB23" s="6">
        <v>1.9</v>
      </c>
      <c r="AC23" s="3">
        <f t="shared" si="24"/>
        <v>2079.5</v>
      </c>
      <c r="AD23" s="3">
        <v>4159</v>
      </c>
      <c r="AE23" s="6">
        <v>2</v>
      </c>
      <c r="AF23" s="3" t="e">
        <f t="shared" si="25"/>
        <v>#DIV/0!</v>
      </c>
      <c r="AG23" s="3">
        <v>0</v>
      </c>
      <c r="AH23" s="6">
        <v>0</v>
      </c>
      <c r="AI23" s="3">
        <f t="shared" si="26"/>
        <v>2099.9242424242425</v>
      </c>
      <c r="AJ23" s="3">
        <v>27719</v>
      </c>
      <c r="AK23" s="6">
        <v>13.2</v>
      </c>
      <c r="AL23" s="3">
        <f t="shared" si="27"/>
        <v>2178.030303030303</v>
      </c>
      <c r="AM23" s="3">
        <v>28750</v>
      </c>
      <c r="AN23" s="6">
        <v>13.2</v>
      </c>
      <c r="AO23" s="3">
        <f t="shared" si="12"/>
        <v>2063.7425742574255</v>
      </c>
      <c r="AP23" s="3">
        <f t="shared" si="15"/>
        <v>104219</v>
      </c>
      <c r="AQ23" s="6">
        <f t="shared" si="14"/>
        <v>50.5</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20" t="s">
        <v>53</v>
      </c>
      <c r="B24" s="23"/>
      <c r="C24" s="23"/>
      <c r="D24" s="23"/>
      <c r="E24" s="3">
        <f t="shared" si="16"/>
        <v>1716.9642857142858</v>
      </c>
      <c r="F24" s="3">
        <v>19230</v>
      </c>
      <c r="G24" s="6">
        <v>11.2</v>
      </c>
      <c r="H24" s="3">
        <f t="shared" si="17"/>
        <v>1559.2592592592591</v>
      </c>
      <c r="I24" s="3">
        <v>4210</v>
      </c>
      <c r="J24" s="6">
        <v>2.7</v>
      </c>
      <c r="K24" s="3">
        <f t="shared" si="18"/>
        <v>1596.4925373134329</v>
      </c>
      <c r="L24" s="3">
        <v>21393</v>
      </c>
      <c r="M24" s="6">
        <v>13.4</v>
      </c>
      <c r="N24" s="3">
        <f t="shared" si="19"/>
        <v>2468.75</v>
      </c>
      <c r="O24" s="3">
        <v>11850</v>
      </c>
      <c r="P24" s="6">
        <v>4.8</v>
      </c>
      <c r="Q24" s="3">
        <f t="shared" si="20"/>
        <v>2131.1627906976746</v>
      </c>
      <c r="R24" s="3">
        <v>45820</v>
      </c>
      <c r="S24" s="6">
        <v>21.5</v>
      </c>
      <c r="T24" s="3">
        <f t="shared" si="21"/>
        <v>2045.8805031446541</v>
      </c>
      <c r="U24" s="3">
        <v>65059</v>
      </c>
      <c r="V24" s="6">
        <v>31.8</v>
      </c>
      <c r="W24" s="3">
        <f t="shared" si="22"/>
        <v>1919.0607734806629</v>
      </c>
      <c r="X24" s="3">
        <v>34735</v>
      </c>
      <c r="Y24" s="6">
        <v>18.100000000000001</v>
      </c>
      <c r="Z24" s="3">
        <f t="shared" si="23"/>
        <v>2694.0588235294117</v>
      </c>
      <c r="AA24" s="3">
        <v>45799</v>
      </c>
      <c r="AB24" s="6">
        <v>17</v>
      </c>
      <c r="AC24" s="3">
        <f t="shared" si="24"/>
        <v>2123.2673267326732</v>
      </c>
      <c r="AD24" s="3">
        <v>21445</v>
      </c>
      <c r="AE24" s="6">
        <v>10.1</v>
      </c>
      <c r="AF24" s="3">
        <f t="shared" si="25"/>
        <v>2940.3846153846152</v>
      </c>
      <c r="AG24" s="3">
        <v>30580</v>
      </c>
      <c r="AH24" s="6">
        <v>10.4</v>
      </c>
      <c r="AI24" s="3">
        <f t="shared" si="26"/>
        <v>1664.051282051282</v>
      </c>
      <c r="AJ24" s="3">
        <v>32449</v>
      </c>
      <c r="AK24" s="6">
        <v>19.5</v>
      </c>
      <c r="AL24" s="3">
        <f t="shared" si="27"/>
        <v>1740.1834862385319</v>
      </c>
      <c r="AM24" s="3">
        <v>18968</v>
      </c>
      <c r="AN24" s="6">
        <v>10.9</v>
      </c>
      <c r="AO24" s="3">
        <f t="shared" si="12"/>
        <v>2050.9801633605598</v>
      </c>
      <c r="AP24" s="3">
        <f t="shared" si="15"/>
        <v>351538</v>
      </c>
      <c r="AQ24" s="6">
        <f t="shared" si="14"/>
        <v>171.4</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20" t="s">
        <v>50</v>
      </c>
      <c r="B25" s="23"/>
      <c r="C25" s="23"/>
      <c r="D25" s="23"/>
      <c r="E25" s="3">
        <f t="shared" si="16"/>
        <v>1544.6370967741934</v>
      </c>
      <c r="F25" s="3">
        <v>38307</v>
      </c>
      <c r="G25" s="6">
        <v>24.8</v>
      </c>
      <c r="H25" s="3">
        <f t="shared" si="17"/>
        <v>1351.7391304347827</v>
      </c>
      <c r="I25" s="3">
        <v>3109</v>
      </c>
      <c r="J25" s="6">
        <v>2.2999999999999998</v>
      </c>
      <c r="K25" s="3">
        <f t="shared" si="18"/>
        <v>1543.5398230088495</v>
      </c>
      <c r="L25" s="3">
        <v>17442</v>
      </c>
      <c r="M25" s="6">
        <v>11.3</v>
      </c>
      <c r="N25" s="3">
        <f t="shared" si="19"/>
        <v>1453.015873015873</v>
      </c>
      <c r="O25" s="3">
        <v>9154</v>
      </c>
      <c r="P25" s="6">
        <v>6.3</v>
      </c>
      <c r="Q25" s="3">
        <f t="shared" si="20"/>
        <v>1698.8</v>
      </c>
      <c r="R25" s="3">
        <v>16988</v>
      </c>
      <c r="S25" s="6">
        <v>10</v>
      </c>
      <c r="T25" s="3">
        <f t="shared" si="21"/>
        <v>2207.0048309178746</v>
      </c>
      <c r="U25" s="3">
        <v>45685</v>
      </c>
      <c r="V25" s="6">
        <v>20.7</v>
      </c>
      <c r="W25" s="3">
        <f t="shared" si="22"/>
        <v>1692.6582278481012</v>
      </c>
      <c r="X25" s="3">
        <v>13372</v>
      </c>
      <c r="Y25" s="6">
        <v>7.9</v>
      </c>
      <c r="Z25" s="3">
        <f t="shared" si="23"/>
        <v>1323.6734693877549</v>
      </c>
      <c r="AA25" s="3">
        <v>6486</v>
      </c>
      <c r="AB25" s="6">
        <v>4.9000000000000004</v>
      </c>
      <c r="AC25" s="3">
        <f t="shared" si="24"/>
        <v>1534.4394618834081</v>
      </c>
      <c r="AD25" s="3">
        <v>34218</v>
      </c>
      <c r="AE25" s="6">
        <v>22.3</v>
      </c>
      <c r="AF25" s="3">
        <f t="shared" si="25"/>
        <v>1997.802197802198</v>
      </c>
      <c r="AG25" s="3">
        <v>36360</v>
      </c>
      <c r="AH25" s="6">
        <v>18.2</v>
      </c>
      <c r="AI25" s="3">
        <f t="shared" si="26"/>
        <v>1465.2</v>
      </c>
      <c r="AJ25" s="3">
        <v>3663</v>
      </c>
      <c r="AK25" s="6">
        <v>2.5</v>
      </c>
      <c r="AL25" s="3">
        <f t="shared" si="27"/>
        <v>2165.373134328358</v>
      </c>
      <c r="AM25" s="3">
        <v>14508</v>
      </c>
      <c r="AN25" s="6">
        <v>6.7</v>
      </c>
      <c r="AO25" s="3">
        <f t="shared" si="12"/>
        <v>1735.2574329224074</v>
      </c>
      <c r="AP25" s="3">
        <f t="shared" si="15"/>
        <v>239292</v>
      </c>
      <c r="AQ25" s="6">
        <f t="shared" si="14"/>
        <v>137.9</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20" t="s">
        <v>33</v>
      </c>
      <c r="B26" s="23"/>
      <c r="C26" s="23"/>
      <c r="D26" s="23"/>
      <c r="E26" s="3">
        <f t="shared" si="16"/>
        <v>1345.3309481216459</v>
      </c>
      <c r="F26" s="3">
        <v>75204</v>
      </c>
      <c r="G26" s="6">
        <v>55.9</v>
      </c>
      <c r="H26" s="3">
        <f t="shared" si="17"/>
        <v>1453.6888888888889</v>
      </c>
      <c r="I26" s="3">
        <v>98124</v>
      </c>
      <c r="J26" s="6">
        <v>67.5</v>
      </c>
      <c r="K26" s="3">
        <f t="shared" si="18"/>
        <v>1253.141402271837</v>
      </c>
      <c r="L26" s="3">
        <v>319927</v>
      </c>
      <c r="M26" s="6">
        <v>255.3</v>
      </c>
      <c r="N26" s="3">
        <f t="shared" si="19"/>
        <v>1324.3540819518298</v>
      </c>
      <c r="O26" s="3">
        <v>423396</v>
      </c>
      <c r="P26" s="6">
        <v>319.7</v>
      </c>
      <c r="Q26" s="3">
        <f t="shared" si="20"/>
        <v>1434.4</v>
      </c>
      <c r="R26" s="3">
        <v>408804</v>
      </c>
      <c r="S26" s="6">
        <v>285</v>
      </c>
      <c r="T26" s="3">
        <f t="shared" si="21"/>
        <v>2371.3778705636746</v>
      </c>
      <c r="U26" s="3">
        <v>227178</v>
      </c>
      <c r="V26" s="6">
        <v>95.8</v>
      </c>
      <c r="W26" s="3">
        <f t="shared" si="22"/>
        <v>3054.5137614678897</v>
      </c>
      <c r="X26" s="3">
        <v>166471</v>
      </c>
      <c r="Y26" s="6">
        <v>54.5</v>
      </c>
      <c r="Z26" s="3">
        <f t="shared" si="23"/>
        <v>2612.3279648609077</v>
      </c>
      <c r="AA26" s="3">
        <v>178422</v>
      </c>
      <c r="AB26" s="6">
        <v>68.3</v>
      </c>
      <c r="AC26" s="3">
        <f t="shared" si="24"/>
        <v>2587.2106824925813</v>
      </c>
      <c r="AD26" s="3">
        <v>174378</v>
      </c>
      <c r="AE26" s="6">
        <v>67.400000000000006</v>
      </c>
      <c r="AF26" s="3">
        <f t="shared" si="25"/>
        <v>1539.448636099826</v>
      </c>
      <c r="AG26" s="3">
        <v>1591482</v>
      </c>
      <c r="AH26" s="6">
        <v>1033.8</v>
      </c>
      <c r="AI26" s="3">
        <f t="shared" si="26"/>
        <v>2273.3271028037384</v>
      </c>
      <c r="AJ26" s="3">
        <v>121623</v>
      </c>
      <c r="AK26" s="6">
        <v>53.5</v>
      </c>
      <c r="AL26" s="3">
        <f t="shared" si="27"/>
        <v>2313.125</v>
      </c>
      <c r="AM26" s="3">
        <v>11103</v>
      </c>
      <c r="AN26" s="6">
        <v>4.8</v>
      </c>
      <c r="AO26" s="3">
        <f t="shared" si="12"/>
        <v>1607.500317594749</v>
      </c>
      <c r="AP26" s="3">
        <f t="shared" si="15"/>
        <v>3796112</v>
      </c>
      <c r="AQ26" s="6">
        <f t="shared" si="14"/>
        <v>2361.5</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20" t="s">
        <v>41</v>
      </c>
      <c r="B27" s="23"/>
      <c r="C27" s="23"/>
      <c r="D27" s="23"/>
      <c r="E27" s="3" t="e">
        <f t="shared" si="16"/>
        <v>#DIV/0!</v>
      </c>
      <c r="F27" s="3">
        <v>0</v>
      </c>
      <c r="G27" s="6">
        <v>0</v>
      </c>
      <c r="H27" s="3" t="e">
        <f t="shared" si="17"/>
        <v>#DIV/0!</v>
      </c>
      <c r="I27" s="3">
        <v>0</v>
      </c>
      <c r="J27" s="6">
        <v>0</v>
      </c>
      <c r="K27" s="3">
        <f t="shared" si="18"/>
        <v>1635.5076923076922</v>
      </c>
      <c r="L27" s="3">
        <v>53154</v>
      </c>
      <c r="M27" s="6">
        <v>32.5</v>
      </c>
      <c r="N27" s="3" t="e">
        <f t="shared" si="19"/>
        <v>#DIV/0!</v>
      </c>
      <c r="O27" s="3">
        <v>0</v>
      </c>
      <c r="P27" s="6">
        <v>0</v>
      </c>
      <c r="Q27" s="3">
        <f t="shared" si="20"/>
        <v>3280</v>
      </c>
      <c r="R27" s="3">
        <v>9840</v>
      </c>
      <c r="S27" s="6">
        <v>3</v>
      </c>
      <c r="T27" s="3">
        <f t="shared" si="21"/>
        <v>5400</v>
      </c>
      <c r="U27" s="3">
        <v>2700</v>
      </c>
      <c r="V27" s="6">
        <v>0.5</v>
      </c>
      <c r="W27" s="3">
        <f t="shared" si="22"/>
        <v>2033.75</v>
      </c>
      <c r="X27" s="3">
        <v>3254</v>
      </c>
      <c r="Y27" s="6">
        <v>1.6</v>
      </c>
      <c r="Z27" s="3">
        <f t="shared" si="23"/>
        <v>2790</v>
      </c>
      <c r="AA27" s="3">
        <v>4185</v>
      </c>
      <c r="AB27" s="6">
        <v>1.5</v>
      </c>
      <c r="AC27" s="3">
        <f t="shared" si="24"/>
        <v>2016.1538461538462</v>
      </c>
      <c r="AD27" s="3">
        <v>41936</v>
      </c>
      <c r="AE27" s="6">
        <v>20.8</v>
      </c>
      <c r="AF27" s="3" t="e">
        <f t="shared" si="25"/>
        <v>#DIV/0!</v>
      </c>
      <c r="AG27" s="3">
        <v>0</v>
      </c>
      <c r="AH27" s="6">
        <v>0</v>
      </c>
      <c r="AI27" s="3">
        <f t="shared" si="26"/>
        <v>2396.4516129032259</v>
      </c>
      <c r="AJ27" s="3">
        <v>52003</v>
      </c>
      <c r="AK27" s="6">
        <v>21.7</v>
      </c>
      <c r="AL27" s="3">
        <f t="shared" si="27"/>
        <v>2416.0975609756101</v>
      </c>
      <c r="AM27" s="3">
        <v>9906</v>
      </c>
      <c r="AN27" s="6">
        <v>4.0999999999999996</v>
      </c>
      <c r="AO27" s="3">
        <f t="shared" si="12"/>
        <v>2065.0875145857644</v>
      </c>
      <c r="AP27" s="3">
        <f t="shared" si="15"/>
        <v>176978</v>
      </c>
      <c r="AQ27" s="6">
        <f t="shared" si="14"/>
        <v>85.7</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20" t="s">
        <v>64</v>
      </c>
      <c r="B28" s="23"/>
      <c r="C28" s="23"/>
      <c r="D28" s="23"/>
      <c r="E28" s="3" t="e">
        <f t="shared" si="16"/>
        <v>#DIV/0!</v>
      </c>
      <c r="F28" s="3">
        <v>0</v>
      </c>
      <c r="G28" s="6">
        <v>0</v>
      </c>
      <c r="H28" s="3">
        <f t="shared" si="17"/>
        <v>1849</v>
      </c>
      <c r="I28" s="3">
        <v>3698</v>
      </c>
      <c r="J28" s="6">
        <v>2</v>
      </c>
      <c r="K28" s="3">
        <f t="shared" si="18"/>
        <v>1812.9411764705883</v>
      </c>
      <c r="L28" s="3">
        <v>3082</v>
      </c>
      <c r="M28" s="6">
        <v>1.7</v>
      </c>
      <c r="N28" s="3">
        <f t="shared" si="19"/>
        <v>1812.9411764705883</v>
      </c>
      <c r="O28" s="3">
        <v>3082</v>
      </c>
      <c r="P28" s="6">
        <v>1.7</v>
      </c>
      <c r="Q28" s="3">
        <f t="shared" si="20"/>
        <v>1952</v>
      </c>
      <c r="R28" s="3">
        <v>2928</v>
      </c>
      <c r="S28" s="6">
        <v>1.5</v>
      </c>
      <c r="T28" s="3">
        <f t="shared" si="21"/>
        <v>2390.454545454545</v>
      </c>
      <c r="U28" s="3">
        <v>5259</v>
      </c>
      <c r="V28" s="6">
        <v>2.2000000000000002</v>
      </c>
      <c r="W28" s="3" t="e">
        <f t="shared" si="22"/>
        <v>#DIV/0!</v>
      </c>
      <c r="X28" s="3">
        <v>0</v>
      </c>
      <c r="Y28" s="6">
        <v>0</v>
      </c>
      <c r="Z28" s="3" t="e">
        <f t="shared" si="23"/>
        <v>#DIV/0!</v>
      </c>
      <c r="AA28" s="3">
        <v>0</v>
      </c>
      <c r="AB28" s="6">
        <v>0</v>
      </c>
      <c r="AC28" s="3">
        <f t="shared" si="24"/>
        <v>2864.9999999999995</v>
      </c>
      <c r="AD28" s="3">
        <v>6303</v>
      </c>
      <c r="AE28" s="6">
        <v>2.2000000000000002</v>
      </c>
      <c r="AF28" s="3">
        <f t="shared" si="25"/>
        <v>2876.2222222222222</v>
      </c>
      <c r="AG28" s="3">
        <v>12943</v>
      </c>
      <c r="AH28" s="6">
        <v>4.5</v>
      </c>
      <c r="AI28" s="3" t="e">
        <f t="shared" si="26"/>
        <v>#DIV/0!</v>
      </c>
      <c r="AJ28" s="3">
        <v>0</v>
      </c>
      <c r="AK28" s="6">
        <v>0</v>
      </c>
      <c r="AL28" s="3">
        <f t="shared" si="27"/>
        <v>3226.25</v>
      </c>
      <c r="AM28" s="3">
        <v>7743</v>
      </c>
      <c r="AN28" s="6">
        <v>2.4</v>
      </c>
      <c r="AO28" s="3">
        <f t="shared" si="12"/>
        <v>2474.6153846153848</v>
      </c>
      <c r="AP28" s="3">
        <f t="shared" si="15"/>
        <v>45038</v>
      </c>
      <c r="AQ28" s="6">
        <f t="shared" si="14"/>
        <v>18.2</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20" t="s">
        <v>27</v>
      </c>
      <c r="B29" s="23"/>
      <c r="C29" s="23"/>
      <c r="D29" s="23"/>
      <c r="E29" s="3" t="e">
        <f t="shared" si="16"/>
        <v>#DIV/0!</v>
      </c>
      <c r="F29" s="3">
        <v>0</v>
      </c>
      <c r="G29" s="6">
        <v>0</v>
      </c>
      <c r="H29" s="3" t="e">
        <f t="shared" si="17"/>
        <v>#DIV/0!</v>
      </c>
      <c r="I29" s="3">
        <v>0</v>
      </c>
      <c r="J29" s="6">
        <v>0</v>
      </c>
      <c r="K29" s="3" t="e">
        <f t="shared" si="18"/>
        <v>#DIV/0!</v>
      </c>
      <c r="L29" s="3">
        <v>0</v>
      </c>
      <c r="M29" s="6">
        <v>0</v>
      </c>
      <c r="N29" s="3" t="e">
        <f t="shared" si="19"/>
        <v>#DIV/0!</v>
      </c>
      <c r="O29" s="3">
        <v>0</v>
      </c>
      <c r="P29" s="6">
        <v>0</v>
      </c>
      <c r="Q29" s="3" t="e">
        <f t="shared" si="20"/>
        <v>#DIV/0!</v>
      </c>
      <c r="R29" s="3">
        <v>0</v>
      </c>
      <c r="S29" s="6">
        <v>0</v>
      </c>
      <c r="T29" s="3" t="e">
        <f t="shared" si="21"/>
        <v>#DIV/0!</v>
      </c>
      <c r="U29" s="3">
        <v>0</v>
      </c>
      <c r="V29" s="6">
        <v>0</v>
      </c>
      <c r="W29" s="3" t="e">
        <f t="shared" si="22"/>
        <v>#DIV/0!</v>
      </c>
      <c r="X29" s="3">
        <v>0</v>
      </c>
      <c r="Y29" s="6">
        <v>0</v>
      </c>
      <c r="Z29" s="3" t="e">
        <f t="shared" si="23"/>
        <v>#DIV/0!</v>
      </c>
      <c r="AA29" s="3">
        <v>0</v>
      </c>
      <c r="AB29" s="6">
        <v>0</v>
      </c>
      <c r="AC29" s="3">
        <f t="shared" si="24"/>
        <v>2501.875</v>
      </c>
      <c r="AD29" s="3">
        <v>4003</v>
      </c>
      <c r="AE29" s="6">
        <v>1.6</v>
      </c>
      <c r="AF29" s="3">
        <f t="shared" si="25"/>
        <v>2590</v>
      </c>
      <c r="AG29" s="3">
        <v>4403</v>
      </c>
      <c r="AH29" s="6">
        <v>1.7</v>
      </c>
      <c r="AI29" s="3">
        <f t="shared" si="26"/>
        <v>2423.125</v>
      </c>
      <c r="AJ29" s="3">
        <v>7754</v>
      </c>
      <c r="AK29" s="6">
        <v>3.2</v>
      </c>
      <c r="AL29" s="3">
        <f t="shared" si="27"/>
        <v>2423.3333333333335</v>
      </c>
      <c r="AM29" s="3">
        <v>2908</v>
      </c>
      <c r="AN29" s="6">
        <v>1.2</v>
      </c>
      <c r="AO29" s="3">
        <f t="shared" si="12"/>
        <v>2476.3636363636365</v>
      </c>
      <c r="AP29" s="3">
        <f t="shared" si="15"/>
        <v>19068</v>
      </c>
      <c r="AQ29" s="6">
        <f t="shared" si="14"/>
        <v>7.7</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20" t="s">
        <v>80</v>
      </c>
      <c r="B30" s="23"/>
      <c r="C30" s="23"/>
      <c r="D30" s="23"/>
      <c r="E30" s="3" t="e">
        <f t="shared" si="16"/>
        <v>#DIV/0!</v>
      </c>
      <c r="F30" s="3">
        <v>0</v>
      </c>
      <c r="G30" s="6">
        <v>0</v>
      </c>
      <c r="H30" s="3">
        <f t="shared" si="17"/>
        <v>1939.4117647058824</v>
      </c>
      <c r="I30" s="3">
        <v>3297</v>
      </c>
      <c r="J30" s="6">
        <v>1.7</v>
      </c>
      <c r="K30" s="3" t="e">
        <f t="shared" si="18"/>
        <v>#DIV/0!</v>
      </c>
      <c r="L30" s="3">
        <v>0</v>
      </c>
      <c r="M30" s="6">
        <v>0</v>
      </c>
      <c r="N30" s="3">
        <f t="shared" si="19"/>
        <v>1927.8947368421054</v>
      </c>
      <c r="O30" s="3">
        <v>3663</v>
      </c>
      <c r="P30" s="6">
        <v>1.9</v>
      </c>
      <c r="Q30" s="3" t="e">
        <f t="shared" si="20"/>
        <v>#DIV/0!</v>
      </c>
      <c r="R30" s="3">
        <v>0</v>
      </c>
      <c r="S30" s="6">
        <v>0</v>
      </c>
      <c r="T30" s="3" t="e">
        <f t="shared" si="21"/>
        <v>#DIV/0!</v>
      </c>
      <c r="U30" s="3">
        <v>0</v>
      </c>
      <c r="V30" s="6">
        <v>0</v>
      </c>
      <c r="W30" s="3" t="e">
        <f t="shared" si="22"/>
        <v>#DIV/0!</v>
      </c>
      <c r="X30" s="3">
        <v>0</v>
      </c>
      <c r="Y30" s="6">
        <v>0</v>
      </c>
      <c r="Z30" s="3" t="e">
        <f t="shared" si="23"/>
        <v>#DIV/0!</v>
      </c>
      <c r="AA30" s="3">
        <v>0</v>
      </c>
      <c r="AB30" s="6">
        <v>0</v>
      </c>
      <c r="AC30" s="3" t="e">
        <f t="shared" si="24"/>
        <v>#DIV/0!</v>
      </c>
      <c r="AD30" s="3">
        <v>0</v>
      </c>
      <c r="AE30" s="6">
        <v>0</v>
      </c>
      <c r="AF30" s="3" t="e">
        <f t="shared" si="25"/>
        <v>#DIV/0!</v>
      </c>
      <c r="AG30" s="3">
        <v>0</v>
      </c>
      <c r="AH30" s="6">
        <v>0</v>
      </c>
      <c r="AI30" s="3" t="e">
        <f t="shared" si="26"/>
        <v>#DIV/0!</v>
      </c>
      <c r="AJ30" s="3">
        <v>0</v>
      </c>
      <c r="AK30" s="6">
        <v>0</v>
      </c>
      <c r="AL30" s="3" t="e">
        <f t="shared" si="27"/>
        <v>#DIV/0!</v>
      </c>
      <c r="AM30" s="3">
        <v>0</v>
      </c>
      <c r="AN30" s="6">
        <v>0</v>
      </c>
      <c r="AO30" s="3">
        <f t="shared" si="12"/>
        <v>1933.3333333333335</v>
      </c>
      <c r="AP30" s="3">
        <f t="shared" si="15"/>
        <v>6960</v>
      </c>
      <c r="AQ30" s="6">
        <f t="shared" si="14"/>
        <v>3.5999999999999996</v>
      </c>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x14ac:dyDescent="0.3">
      <c r="A31" s="20" t="s">
        <v>19</v>
      </c>
      <c r="B31" s="23"/>
      <c r="C31" s="23"/>
      <c r="D31" s="23"/>
      <c r="E31" s="3" t="e">
        <f t="shared" si="16"/>
        <v>#DIV/0!</v>
      </c>
      <c r="F31" s="3">
        <v>0</v>
      </c>
      <c r="G31" s="6">
        <v>0</v>
      </c>
      <c r="H31" s="3">
        <f t="shared" si="17"/>
        <v>1677.9274611398964</v>
      </c>
      <c r="I31" s="3">
        <v>32384</v>
      </c>
      <c r="J31" s="6">
        <v>19.3</v>
      </c>
      <c r="K31" s="3" t="e">
        <f t="shared" si="18"/>
        <v>#DIV/0!</v>
      </c>
      <c r="L31" s="3">
        <v>0</v>
      </c>
      <c r="M31" s="6">
        <v>0</v>
      </c>
      <c r="N31" s="3" t="e">
        <f t="shared" si="19"/>
        <v>#DIV/0!</v>
      </c>
      <c r="O31" s="3">
        <v>0</v>
      </c>
      <c r="P31" s="6">
        <v>0</v>
      </c>
      <c r="Q31" s="3">
        <f t="shared" si="20"/>
        <v>1977</v>
      </c>
      <c r="R31" s="3">
        <v>3954</v>
      </c>
      <c r="S31" s="6">
        <v>2</v>
      </c>
      <c r="T31" s="3" t="e">
        <f t="shared" si="21"/>
        <v>#DIV/0!</v>
      </c>
      <c r="U31" s="3">
        <v>0</v>
      </c>
      <c r="V31" s="6">
        <v>0</v>
      </c>
      <c r="W31" s="3" t="e">
        <f t="shared" si="22"/>
        <v>#DIV/0!</v>
      </c>
      <c r="X31" s="3">
        <v>0</v>
      </c>
      <c r="Y31" s="6">
        <v>0</v>
      </c>
      <c r="Z31" s="3" t="e">
        <f t="shared" si="23"/>
        <v>#DIV/0!</v>
      </c>
      <c r="AA31" s="3">
        <v>0</v>
      </c>
      <c r="AB31" s="6">
        <v>0</v>
      </c>
      <c r="AC31" s="3" t="e">
        <f t="shared" si="24"/>
        <v>#DIV/0!</v>
      </c>
      <c r="AD31" s="3">
        <v>0</v>
      </c>
      <c r="AE31" s="6">
        <v>0</v>
      </c>
      <c r="AF31" s="3" t="e">
        <f t="shared" si="25"/>
        <v>#DIV/0!</v>
      </c>
      <c r="AG31" s="3">
        <v>0</v>
      </c>
      <c r="AH31" s="6">
        <v>0</v>
      </c>
      <c r="AI31" s="3">
        <f t="shared" si="26"/>
        <v>2411.25</v>
      </c>
      <c r="AJ31" s="3">
        <v>19290</v>
      </c>
      <c r="AK31" s="6">
        <v>8</v>
      </c>
      <c r="AL31" s="3" t="e">
        <f t="shared" si="27"/>
        <v>#DIV/0!</v>
      </c>
      <c r="AM31" s="3">
        <v>0</v>
      </c>
      <c r="AN31" s="6">
        <v>0</v>
      </c>
      <c r="AO31" s="3">
        <f t="shared" si="12"/>
        <v>1898.5665529010239</v>
      </c>
      <c r="AP31" s="3">
        <f t="shared" si="15"/>
        <v>55628</v>
      </c>
      <c r="AQ31" s="6">
        <f t="shared" si="14"/>
        <v>29.3</v>
      </c>
      <c r="AR31" s="3"/>
      <c r="AS31" s="3"/>
      <c r="AT31" s="3"/>
      <c r="AU31" s="3"/>
      <c r="AV31" s="3"/>
      <c r="AW31" s="3"/>
      <c r="AX31" s="3"/>
      <c r="AY31" s="3"/>
      <c r="AZ31" s="3"/>
      <c r="BA31" s="3"/>
      <c r="BB31" s="3"/>
      <c r="BC31" s="3"/>
      <c r="BD31" s="3"/>
      <c r="BE31" s="3"/>
      <c r="BF31" s="3"/>
      <c r="BG31" s="3"/>
      <c r="BH31" s="3"/>
      <c r="BI31" s="3"/>
      <c r="BJ31" s="3"/>
      <c r="BK31" s="3"/>
      <c r="BL31" s="3"/>
      <c r="BM31" s="3"/>
      <c r="BN31" s="3"/>
      <c r="BO31" s="3"/>
    </row>
    <row r="32" spans="1:67" x14ac:dyDescent="0.3">
      <c r="A32" s="20" t="s">
        <v>63</v>
      </c>
      <c r="B32" s="23"/>
      <c r="C32" s="23"/>
      <c r="D32" s="23"/>
      <c r="E32" s="3" t="e">
        <f t="shared" si="16"/>
        <v>#DIV/0!</v>
      </c>
      <c r="F32" s="3">
        <v>0</v>
      </c>
      <c r="G32" s="6">
        <v>0</v>
      </c>
      <c r="H32" s="3" t="e">
        <f t="shared" si="17"/>
        <v>#DIV/0!</v>
      </c>
      <c r="I32" s="3">
        <v>0</v>
      </c>
      <c r="J32" s="6">
        <v>0</v>
      </c>
      <c r="K32" s="3" t="e">
        <f t="shared" si="18"/>
        <v>#DIV/0!</v>
      </c>
      <c r="L32" s="3">
        <v>0</v>
      </c>
      <c r="M32" s="6">
        <v>0</v>
      </c>
      <c r="N32" s="3" t="e">
        <f t="shared" si="19"/>
        <v>#DIV/0!</v>
      </c>
      <c r="O32" s="3">
        <v>0</v>
      </c>
      <c r="P32" s="6">
        <v>0</v>
      </c>
      <c r="Q32" s="3">
        <f t="shared" si="20"/>
        <v>1888.0952380952381</v>
      </c>
      <c r="R32" s="3">
        <v>3965</v>
      </c>
      <c r="S32" s="6">
        <v>2.1</v>
      </c>
      <c r="T32" s="3" t="e">
        <f t="shared" si="21"/>
        <v>#DIV/0!</v>
      </c>
      <c r="U32" s="3">
        <v>0</v>
      </c>
      <c r="V32" s="6">
        <v>0</v>
      </c>
      <c r="W32" s="3" t="e">
        <f t="shared" si="22"/>
        <v>#DIV/0!</v>
      </c>
      <c r="X32" s="3">
        <v>0</v>
      </c>
      <c r="Y32" s="6">
        <v>0</v>
      </c>
      <c r="Z32" s="3" t="e">
        <f t="shared" si="23"/>
        <v>#DIV/0!</v>
      </c>
      <c r="AA32" s="3">
        <v>0</v>
      </c>
      <c r="AB32" s="6">
        <v>0</v>
      </c>
      <c r="AC32" s="3" t="e">
        <f t="shared" si="24"/>
        <v>#DIV/0!</v>
      </c>
      <c r="AD32" s="3">
        <v>0</v>
      </c>
      <c r="AE32" s="6">
        <v>0</v>
      </c>
      <c r="AF32" s="3" t="e">
        <f t="shared" si="25"/>
        <v>#DIV/0!</v>
      </c>
      <c r="AG32" s="3">
        <v>0</v>
      </c>
      <c r="AH32" s="6">
        <v>0</v>
      </c>
      <c r="AI32" s="3" t="e">
        <f t="shared" si="26"/>
        <v>#DIV/0!</v>
      </c>
      <c r="AJ32" s="3">
        <v>0</v>
      </c>
      <c r="AK32" s="6">
        <v>0</v>
      </c>
      <c r="AL32" s="3" t="e">
        <f t="shared" si="27"/>
        <v>#DIV/0!</v>
      </c>
      <c r="AM32" s="3">
        <v>0</v>
      </c>
      <c r="AN32" s="6">
        <v>0</v>
      </c>
      <c r="AO32" s="3">
        <f t="shared" si="12"/>
        <v>1888.0952380952381</v>
      </c>
      <c r="AP32" s="3">
        <f t="shared" si="15"/>
        <v>3965</v>
      </c>
      <c r="AQ32" s="6">
        <f t="shared" si="14"/>
        <v>2.1</v>
      </c>
      <c r="AR32" s="3"/>
      <c r="AS32" s="3"/>
      <c r="AT32" s="3"/>
      <c r="AU32" s="3"/>
      <c r="AV32" s="3"/>
      <c r="AW32" s="3"/>
      <c r="AX32" s="3"/>
      <c r="AY32" s="3"/>
      <c r="AZ32" s="3"/>
      <c r="BA32" s="3"/>
      <c r="BB32" s="3"/>
      <c r="BC32" s="3"/>
      <c r="BD32" s="3"/>
      <c r="BE32" s="3"/>
      <c r="BF32" s="3"/>
      <c r="BG32" s="3"/>
      <c r="BH32" s="3"/>
      <c r="BI32" s="3"/>
      <c r="BJ32" s="3"/>
      <c r="BK32" s="3"/>
      <c r="BL32" s="3"/>
      <c r="BM32" s="3"/>
      <c r="BN32" s="3"/>
      <c r="BO32" s="3"/>
    </row>
    <row r="33" spans="1:67" x14ac:dyDescent="0.3">
      <c r="A33" s="20" t="s">
        <v>29</v>
      </c>
      <c r="B33" s="23"/>
      <c r="C33" s="23"/>
      <c r="D33" s="23"/>
      <c r="E33" s="3" t="e">
        <f t="shared" si="16"/>
        <v>#DIV/0!</v>
      </c>
      <c r="F33" s="3">
        <v>0</v>
      </c>
      <c r="G33" s="6">
        <v>0</v>
      </c>
      <c r="H33" s="3" t="e">
        <f t="shared" si="17"/>
        <v>#DIV/0!</v>
      </c>
      <c r="I33" s="3">
        <v>0</v>
      </c>
      <c r="J33" s="6">
        <v>0</v>
      </c>
      <c r="K33" s="3" t="e">
        <f t="shared" si="18"/>
        <v>#DIV/0!</v>
      </c>
      <c r="L33" s="3">
        <v>0</v>
      </c>
      <c r="M33" s="6">
        <v>0</v>
      </c>
      <c r="N33" s="3">
        <f t="shared" si="19"/>
        <v>1793.6111111111111</v>
      </c>
      <c r="O33" s="3">
        <v>6457</v>
      </c>
      <c r="P33" s="6">
        <v>3.6</v>
      </c>
      <c r="Q33" s="3">
        <f t="shared" si="20"/>
        <v>2589.4736842105262</v>
      </c>
      <c r="R33" s="3">
        <v>14760</v>
      </c>
      <c r="S33" s="6">
        <v>5.7</v>
      </c>
      <c r="T33" s="3">
        <f t="shared" si="21"/>
        <v>2000.7818930041151</v>
      </c>
      <c r="U33" s="3">
        <v>48619</v>
      </c>
      <c r="V33" s="6">
        <v>24.3</v>
      </c>
      <c r="W33" s="3" t="e">
        <f t="shared" si="22"/>
        <v>#DIV/0!</v>
      </c>
      <c r="X33" s="3">
        <v>0</v>
      </c>
      <c r="Y33" s="6">
        <v>0</v>
      </c>
      <c r="Z33" s="3" t="e">
        <f t="shared" si="23"/>
        <v>#DIV/0!</v>
      </c>
      <c r="AA33" s="3">
        <v>0</v>
      </c>
      <c r="AB33" s="6">
        <v>0</v>
      </c>
      <c r="AC33" s="3" t="e">
        <f t="shared" si="24"/>
        <v>#DIV/0!</v>
      </c>
      <c r="AD33" s="3">
        <v>0</v>
      </c>
      <c r="AE33" s="6">
        <v>0</v>
      </c>
      <c r="AF33" s="3" t="e">
        <f t="shared" si="25"/>
        <v>#DIV/0!</v>
      </c>
      <c r="AG33" s="3">
        <v>0</v>
      </c>
      <c r="AH33" s="6">
        <v>0</v>
      </c>
      <c r="AI33" s="3">
        <f t="shared" si="26"/>
        <v>2980.7692307692305</v>
      </c>
      <c r="AJ33" s="3">
        <v>3875</v>
      </c>
      <c r="AK33" s="6">
        <v>1.3</v>
      </c>
      <c r="AL33" s="3" t="e">
        <f t="shared" si="27"/>
        <v>#DIV/0!</v>
      </c>
      <c r="AM33" s="3">
        <v>0</v>
      </c>
      <c r="AN33" s="6">
        <v>0</v>
      </c>
      <c r="AO33" s="3">
        <f t="shared" si="12"/>
        <v>2112.0630372492838</v>
      </c>
      <c r="AP33" s="3">
        <f t="shared" si="15"/>
        <v>73711</v>
      </c>
      <c r="AQ33" s="6">
        <f t="shared" si="14"/>
        <v>34.9</v>
      </c>
      <c r="AR33" s="3"/>
      <c r="AS33" s="3"/>
      <c r="AT33" s="3"/>
      <c r="AU33" s="3"/>
      <c r="AV33" s="3"/>
      <c r="AW33" s="3"/>
      <c r="AX33" s="3"/>
      <c r="AY33" s="3"/>
      <c r="AZ33" s="3"/>
      <c r="BA33" s="3"/>
      <c r="BB33" s="3"/>
      <c r="BC33" s="3"/>
      <c r="BD33" s="3"/>
      <c r="BE33" s="3"/>
      <c r="BF33" s="3"/>
      <c r="BG33" s="3"/>
      <c r="BH33" s="3"/>
      <c r="BI33" s="3"/>
      <c r="BJ33" s="3"/>
      <c r="BK33" s="3"/>
      <c r="BL33" s="3"/>
      <c r="BM33" s="3"/>
      <c r="BN33" s="3"/>
      <c r="BO33" s="3"/>
    </row>
    <row r="34" spans="1:67" x14ac:dyDescent="0.3">
      <c r="A34" s="20" t="s">
        <v>30</v>
      </c>
      <c r="B34" s="23"/>
      <c r="C34" s="23"/>
      <c r="D34" s="23"/>
      <c r="E34" s="3" t="e">
        <f t="shared" si="16"/>
        <v>#DIV/0!</v>
      </c>
      <c r="F34" s="3">
        <v>0</v>
      </c>
      <c r="G34" s="6">
        <v>0</v>
      </c>
      <c r="H34" s="3" t="e">
        <f t="shared" si="17"/>
        <v>#DIV/0!</v>
      </c>
      <c r="I34" s="3">
        <v>0</v>
      </c>
      <c r="J34" s="6">
        <v>0</v>
      </c>
      <c r="K34" s="3" t="e">
        <f t="shared" si="18"/>
        <v>#DIV/0!</v>
      </c>
      <c r="L34" s="3">
        <v>0</v>
      </c>
      <c r="M34" s="6">
        <v>0</v>
      </c>
      <c r="N34" s="3">
        <f t="shared" si="19"/>
        <v>2783.3333333333335</v>
      </c>
      <c r="O34" s="3">
        <v>3340</v>
      </c>
      <c r="P34" s="6">
        <v>1.2</v>
      </c>
      <c r="Q34" s="3" t="e">
        <f t="shared" si="20"/>
        <v>#DIV/0!</v>
      </c>
      <c r="R34" s="3">
        <v>0</v>
      </c>
      <c r="S34" s="6">
        <v>0</v>
      </c>
      <c r="T34" s="3" t="e">
        <f t="shared" si="21"/>
        <v>#DIV/0!</v>
      </c>
      <c r="U34" s="3">
        <v>0</v>
      </c>
      <c r="V34" s="6">
        <v>0</v>
      </c>
      <c r="W34" s="3" t="e">
        <f t="shared" si="22"/>
        <v>#DIV/0!</v>
      </c>
      <c r="X34" s="3">
        <v>0</v>
      </c>
      <c r="Y34" s="6">
        <v>0</v>
      </c>
      <c r="Z34" s="3" t="e">
        <f t="shared" si="23"/>
        <v>#DIV/0!</v>
      </c>
      <c r="AA34" s="3">
        <v>0</v>
      </c>
      <c r="AB34" s="6">
        <v>0</v>
      </c>
      <c r="AC34" s="3" t="e">
        <f t="shared" si="24"/>
        <v>#DIV/0!</v>
      </c>
      <c r="AD34" s="3">
        <v>0</v>
      </c>
      <c r="AE34" s="6">
        <v>0</v>
      </c>
      <c r="AF34" s="3" t="e">
        <f t="shared" si="25"/>
        <v>#DIV/0!</v>
      </c>
      <c r="AG34" s="3">
        <v>0</v>
      </c>
      <c r="AH34" s="6">
        <v>0</v>
      </c>
      <c r="AI34" s="3" t="e">
        <f t="shared" si="26"/>
        <v>#DIV/0!</v>
      </c>
      <c r="AJ34" s="3">
        <v>0</v>
      </c>
      <c r="AK34" s="6">
        <v>0</v>
      </c>
      <c r="AL34" s="3" t="e">
        <f t="shared" si="27"/>
        <v>#DIV/0!</v>
      </c>
      <c r="AM34" s="3">
        <v>0</v>
      </c>
      <c r="AN34" s="6">
        <v>0</v>
      </c>
      <c r="AO34" s="3">
        <f t="shared" si="12"/>
        <v>2783.3333333333335</v>
      </c>
      <c r="AP34" s="3">
        <f t="shared" si="15"/>
        <v>3340</v>
      </c>
      <c r="AQ34" s="6">
        <f t="shared" si="14"/>
        <v>1.2</v>
      </c>
      <c r="AR34" s="3"/>
      <c r="AS34" s="3"/>
      <c r="AT34" s="3"/>
      <c r="AU34" s="3"/>
      <c r="AV34" s="3"/>
      <c r="AW34" s="3"/>
      <c r="AX34" s="3"/>
      <c r="AY34" s="3"/>
      <c r="AZ34" s="3"/>
      <c r="BA34" s="3"/>
      <c r="BB34" s="3"/>
      <c r="BC34" s="3"/>
      <c r="BD34" s="3"/>
      <c r="BE34" s="3"/>
      <c r="BF34" s="3"/>
      <c r="BG34" s="3"/>
      <c r="BH34" s="3"/>
      <c r="BI34" s="3"/>
      <c r="BJ34" s="3"/>
      <c r="BK34" s="3"/>
      <c r="BL34" s="3"/>
      <c r="BM34" s="3"/>
      <c r="BN34" s="3"/>
      <c r="BO34" s="3"/>
    </row>
    <row r="35" spans="1:67" x14ac:dyDescent="0.3">
      <c r="A35" s="20" t="s">
        <v>61</v>
      </c>
      <c r="B35" s="23"/>
      <c r="C35" s="23"/>
      <c r="D35" s="23"/>
      <c r="E35" s="3">
        <f t="shared" si="16"/>
        <v>1617.2</v>
      </c>
      <c r="F35" s="3">
        <v>32344</v>
      </c>
      <c r="G35" s="6">
        <v>20</v>
      </c>
      <c r="H35" s="3">
        <f t="shared" si="17"/>
        <v>1747.6</v>
      </c>
      <c r="I35" s="3">
        <v>34952</v>
      </c>
      <c r="J35" s="6">
        <v>20</v>
      </c>
      <c r="K35" s="3" t="e">
        <f t="shared" si="18"/>
        <v>#DIV/0!</v>
      </c>
      <c r="L35" s="3">
        <v>0</v>
      </c>
      <c r="M35" s="6">
        <v>0</v>
      </c>
      <c r="N35" s="3">
        <f t="shared" si="19"/>
        <v>2098.4259259259256</v>
      </c>
      <c r="O35" s="3">
        <v>45326</v>
      </c>
      <c r="P35" s="6">
        <v>21.6</v>
      </c>
      <c r="Q35" s="3" t="e">
        <f t="shared" si="20"/>
        <v>#DIV/0!</v>
      </c>
      <c r="R35" s="3">
        <v>0</v>
      </c>
      <c r="S35" s="6">
        <v>0</v>
      </c>
      <c r="T35" s="3">
        <f t="shared" si="21"/>
        <v>2156.3333333333335</v>
      </c>
      <c r="U35" s="3">
        <v>12938</v>
      </c>
      <c r="V35" s="6">
        <v>6</v>
      </c>
      <c r="W35" s="3" t="e">
        <f t="shared" si="22"/>
        <v>#DIV/0!</v>
      </c>
      <c r="X35" s="3">
        <v>0</v>
      </c>
      <c r="Y35" s="6">
        <v>0</v>
      </c>
      <c r="Z35" s="3" t="e">
        <f t="shared" si="23"/>
        <v>#DIV/0!</v>
      </c>
      <c r="AA35" s="3">
        <v>0</v>
      </c>
      <c r="AB35" s="6">
        <v>0</v>
      </c>
      <c r="AC35" s="3" t="e">
        <f t="shared" si="24"/>
        <v>#DIV/0!</v>
      </c>
      <c r="AD35" s="3">
        <v>0</v>
      </c>
      <c r="AE35" s="6">
        <v>0</v>
      </c>
      <c r="AF35" s="3" t="e">
        <f t="shared" si="25"/>
        <v>#DIV/0!</v>
      </c>
      <c r="AG35" s="3">
        <v>0</v>
      </c>
      <c r="AH35" s="6">
        <v>0</v>
      </c>
      <c r="AI35" s="3" t="e">
        <f t="shared" si="26"/>
        <v>#DIV/0!</v>
      </c>
      <c r="AJ35" s="3">
        <v>0</v>
      </c>
      <c r="AK35" s="6">
        <v>0</v>
      </c>
      <c r="AL35" s="3" t="e">
        <f t="shared" si="27"/>
        <v>#DIV/0!</v>
      </c>
      <c r="AM35" s="3">
        <v>0</v>
      </c>
      <c r="AN35" s="6">
        <v>0</v>
      </c>
      <c r="AO35" s="3">
        <f t="shared" si="12"/>
        <v>1857.3964497041422</v>
      </c>
      <c r="AP35" s="3">
        <f t="shared" si="15"/>
        <v>125560</v>
      </c>
      <c r="AQ35" s="6">
        <f t="shared" si="14"/>
        <v>67.599999999999994</v>
      </c>
      <c r="AR35" s="3"/>
      <c r="AS35" s="3"/>
      <c r="AT35" s="3"/>
      <c r="AU35" s="3"/>
      <c r="AV35" s="3"/>
      <c r="AW35" s="3"/>
      <c r="AX35" s="3"/>
      <c r="AY35" s="3"/>
      <c r="AZ35" s="3"/>
      <c r="BA35" s="3"/>
      <c r="BB35" s="3"/>
      <c r="BC35" s="3"/>
      <c r="BD35" s="3"/>
      <c r="BE35" s="3"/>
      <c r="BF35" s="3"/>
      <c r="BG35" s="3"/>
      <c r="BH35" s="3"/>
      <c r="BI35" s="3"/>
      <c r="BJ35" s="3"/>
      <c r="BK35" s="3"/>
      <c r="BL35" s="3"/>
      <c r="BM35" s="3"/>
      <c r="BN35" s="3"/>
      <c r="BO35" s="3"/>
    </row>
    <row r="36" spans="1:67" x14ac:dyDescent="0.3">
      <c r="A36" s="20" t="s">
        <v>18</v>
      </c>
      <c r="B36" s="23"/>
      <c r="C36" s="23"/>
      <c r="D36" s="23"/>
      <c r="E36" s="3">
        <f t="shared" si="16"/>
        <v>1265.0930232558139</v>
      </c>
      <c r="F36" s="3">
        <v>54399</v>
      </c>
      <c r="G36" s="6">
        <v>43</v>
      </c>
      <c r="H36" s="3">
        <f t="shared" si="17"/>
        <v>1078.238341968912</v>
      </c>
      <c r="I36" s="3">
        <v>20810</v>
      </c>
      <c r="J36" s="6">
        <v>19.3</v>
      </c>
      <c r="K36" s="3">
        <f t="shared" si="18"/>
        <v>1362.5183374083131</v>
      </c>
      <c r="L36" s="3">
        <v>55727</v>
      </c>
      <c r="M36" s="6">
        <v>40.9</v>
      </c>
      <c r="N36" s="3">
        <f t="shared" si="19"/>
        <v>1201.4701492537313</v>
      </c>
      <c r="O36" s="3">
        <v>160997</v>
      </c>
      <c r="P36" s="6">
        <v>134</v>
      </c>
      <c r="Q36" s="3">
        <f t="shared" si="20"/>
        <v>1396.25</v>
      </c>
      <c r="R36" s="3">
        <v>55850</v>
      </c>
      <c r="S36" s="6">
        <v>40</v>
      </c>
      <c r="T36" s="3">
        <f t="shared" si="21"/>
        <v>3189.9152542372881</v>
      </c>
      <c r="U36" s="3">
        <v>37641</v>
      </c>
      <c r="V36" s="6">
        <v>11.8</v>
      </c>
      <c r="W36" s="3" t="e">
        <f t="shared" si="22"/>
        <v>#DIV/0!</v>
      </c>
      <c r="X36" s="3">
        <v>0</v>
      </c>
      <c r="Y36" s="6">
        <v>0</v>
      </c>
      <c r="Z36" s="3">
        <f t="shared" si="23"/>
        <v>6029.333333333333</v>
      </c>
      <c r="AA36" s="3">
        <v>9044</v>
      </c>
      <c r="AB36" s="6">
        <v>1.5</v>
      </c>
      <c r="AC36" s="3">
        <f t="shared" si="24"/>
        <v>3732.0481927710839</v>
      </c>
      <c r="AD36" s="3">
        <v>30976</v>
      </c>
      <c r="AE36" s="6">
        <v>8.3000000000000007</v>
      </c>
      <c r="AF36" s="3">
        <f t="shared" si="25"/>
        <v>4445.4838709677415</v>
      </c>
      <c r="AG36" s="3">
        <v>27562</v>
      </c>
      <c r="AH36" s="6">
        <v>6.2</v>
      </c>
      <c r="AI36" s="3">
        <f t="shared" si="26"/>
        <v>6152.8571428571431</v>
      </c>
      <c r="AJ36" s="3">
        <v>4307</v>
      </c>
      <c r="AK36" s="6">
        <v>0.7</v>
      </c>
      <c r="AL36" s="3" t="e">
        <f t="shared" si="27"/>
        <v>#DIV/0!</v>
      </c>
      <c r="AM36" s="3">
        <v>0</v>
      </c>
      <c r="AN36" s="6">
        <v>0</v>
      </c>
      <c r="AO36" s="3">
        <f t="shared" si="12"/>
        <v>1495.9535492312725</v>
      </c>
      <c r="AP36" s="3">
        <f t="shared" si="15"/>
        <v>457313</v>
      </c>
      <c r="AQ36" s="6">
        <f t="shared" si="14"/>
        <v>305.7</v>
      </c>
      <c r="AR36" s="3"/>
      <c r="AS36" s="3"/>
      <c r="AT36" s="3"/>
      <c r="AU36" s="3"/>
      <c r="AV36" s="3"/>
      <c r="AW36" s="3"/>
      <c r="AX36" s="3"/>
      <c r="AY36" s="3"/>
      <c r="AZ36" s="3"/>
      <c r="BA36" s="3"/>
      <c r="BB36" s="3"/>
      <c r="BC36" s="3"/>
      <c r="BD36" s="3"/>
      <c r="BE36" s="3"/>
      <c r="BF36" s="3"/>
      <c r="BG36" s="3"/>
      <c r="BH36" s="3"/>
      <c r="BI36" s="3"/>
      <c r="BJ36" s="3"/>
      <c r="BK36" s="3"/>
      <c r="BL36" s="3"/>
      <c r="BM36" s="3"/>
      <c r="BN36" s="3"/>
      <c r="BO36" s="3"/>
    </row>
    <row r="37" spans="1:67" x14ac:dyDescent="0.3">
      <c r="A37" s="20" t="s">
        <v>22</v>
      </c>
      <c r="B37" s="23"/>
      <c r="C37" s="23"/>
      <c r="D37" s="23"/>
      <c r="E37" s="3" t="e">
        <f t="shared" si="16"/>
        <v>#DIV/0!</v>
      </c>
      <c r="F37" s="3">
        <v>0</v>
      </c>
      <c r="G37" s="6">
        <v>0</v>
      </c>
      <c r="H37" s="3">
        <f t="shared" si="17"/>
        <v>1120.5114466634195</v>
      </c>
      <c r="I37" s="3">
        <v>690123</v>
      </c>
      <c r="J37" s="6">
        <v>615.9</v>
      </c>
      <c r="K37" s="3">
        <f t="shared" si="18"/>
        <v>1552.5</v>
      </c>
      <c r="L37" s="3">
        <v>21735</v>
      </c>
      <c r="M37" s="6">
        <v>14</v>
      </c>
      <c r="N37" s="3">
        <f t="shared" si="19"/>
        <v>1733.8277511961724</v>
      </c>
      <c r="O37" s="3">
        <v>36237</v>
      </c>
      <c r="P37" s="6">
        <v>20.9</v>
      </c>
      <c r="Q37" s="3" t="e">
        <f t="shared" si="20"/>
        <v>#DIV/0!</v>
      </c>
      <c r="R37" s="3">
        <v>0</v>
      </c>
      <c r="S37" s="6">
        <v>0</v>
      </c>
      <c r="T37" s="3">
        <f t="shared" si="21"/>
        <v>1439.0184049079753</v>
      </c>
      <c r="U37" s="3">
        <v>23456</v>
      </c>
      <c r="V37" s="6">
        <v>16.3</v>
      </c>
      <c r="W37" s="3" t="e">
        <f t="shared" si="22"/>
        <v>#DIV/0!</v>
      </c>
      <c r="X37" s="3">
        <v>0</v>
      </c>
      <c r="Y37" s="6">
        <v>0</v>
      </c>
      <c r="Z37" s="3">
        <f t="shared" si="23"/>
        <v>2542.105263157895</v>
      </c>
      <c r="AA37" s="3">
        <v>4830</v>
      </c>
      <c r="AB37" s="6">
        <v>1.9</v>
      </c>
      <c r="AC37" s="3">
        <f t="shared" si="24"/>
        <v>2366.782608695652</v>
      </c>
      <c r="AD37" s="3">
        <v>54436</v>
      </c>
      <c r="AE37" s="6">
        <v>23</v>
      </c>
      <c r="AF37" s="3" t="e">
        <f t="shared" si="25"/>
        <v>#DIV/0!</v>
      </c>
      <c r="AG37" s="3">
        <v>0</v>
      </c>
      <c r="AH37" s="6">
        <v>0</v>
      </c>
      <c r="AI37" s="3">
        <f t="shared" si="26"/>
        <v>1685.2040533037202</v>
      </c>
      <c r="AJ37" s="3">
        <v>1214021</v>
      </c>
      <c r="AK37" s="6">
        <v>720.4</v>
      </c>
      <c r="AL37" s="3" t="e">
        <f t="shared" si="27"/>
        <v>#DIV/0!</v>
      </c>
      <c r="AM37" s="3">
        <v>0</v>
      </c>
      <c r="AN37" s="6">
        <v>0</v>
      </c>
      <c r="AO37" s="3">
        <f t="shared" si="12"/>
        <v>1447.7754177286888</v>
      </c>
      <c r="AP37" s="3">
        <f t="shared" si="15"/>
        <v>2044838</v>
      </c>
      <c r="AQ37" s="6">
        <f t="shared" si="14"/>
        <v>1412.3999999999999</v>
      </c>
      <c r="AR37" s="3"/>
      <c r="AS37" s="3"/>
      <c r="AT37" s="3"/>
      <c r="AU37" s="3"/>
      <c r="AV37" s="3"/>
      <c r="AW37" s="3"/>
      <c r="AX37" s="3"/>
      <c r="AY37" s="3"/>
      <c r="AZ37" s="3"/>
      <c r="BA37" s="3"/>
      <c r="BB37" s="3"/>
      <c r="BC37" s="3"/>
      <c r="BD37" s="3"/>
      <c r="BE37" s="3"/>
      <c r="BF37" s="3"/>
      <c r="BG37" s="3"/>
      <c r="BH37" s="3"/>
      <c r="BI37" s="3"/>
      <c r="BJ37" s="3"/>
      <c r="BK37" s="3"/>
      <c r="BL37" s="3"/>
      <c r="BM37" s="3"/>
      <c r="BN37" s="3"/>
      <c r="BO37" s="3"/>
    </row>
    <row r="38" spans="1:67" x14ac:dyDescent="0.3">
      <c r="A38" s="20" t="s">
        <v>31</v>
      </c>
      <c r="B38" s="23"/>
      <c r="C38" s="23"/>
      <c r="D38" s="23"/>
      <c r="E38" s="3" t="e">
        <f t="shared" si="16"/>
        <v>#DIV/0!</v>
      </c>
      <c r="F38" s="3">
        <v>0</v>
      </c>
      <c r="G38" s="6">
        <v>0</v>
      </c>
      <c r="H38" s="3" t="e">
        <f t="shared" si="17"/>
        <v>#DIV/0!</v>
      </c>
      <c r="I38" s="3">
        <v>0</v>
      </c>
      <c r="J38" s="6">
        <v>0</v>
      </c>
      <c r="K38" s="3" t="e">
        <f t="shared" si="18"/>
        <v>#DIV/0!</v>
      </c>
      <c r="L38" s="3">
        <v>0</v>
      </c>
      <c r="M38" s="6">
        <v>0</v>
      </c>
      <c r="N38" s="3">
        <f t="shared" si="19"/>
        <v>2418.6666666666665</v>
      </c>
      <c r="O38" s="3">
        <v>3628</v>
      </c>
      <c r="P38" s="6">
        <v>1.5</v>
      </c>
      <c r="Q38" s="3" t="e">
        <f t="shared" si="20"/>
        <v>#DIV/0!</v>
      </c>
      <c r="R38" s="3">
        <v>0</v>
      </c>
      <c r="S38" s="6">
        <v>0</v>
      </c>
      <c r="T38" s="3" t="e">
        <f t="shared" si="21"/>
        <v>#DIV/0!</v>
      </c>
      <c r="U38" s="3">
        <v>0</v>
      </c>
      <c r="V38" s="6">
        <v>0</v>
      </c>
      <c r="W38" s="3" t="e">
        <f t="shared" si="22"/>
        <v>#DIV/0!</v>
      </c>
      <c r="X38" s="3">
        <v>0</v>
      </c>
      <c r="Y38" s="6">
        <v>0</v>
      </c>
      <c r="Z38" s="3" t="e">
        <f t="shared" si="23"/>
        <v>#DIV/0!</v>
      </c>
      <c r="AA38" s="3">
        <v>0</v>
      </c>
      <c r="AB38" s="6">
        <v>0</v>
      </c>
      <c r="AC38" s="3" t="e">
        <f t="shared" si="24"/>
        <v>#DIV/0!</v>
      </c>
      <c r="AD38" s="3">
        <v>0</v>
      </c>
      <c r="AE38" s="6">
        <v>0</v>
      </c>
      <c r="AF38" s="3" t="e">
        <f t="shared" si="25"/>
        <v>#DIV/0!</v>
      </c>
      <c r="AG38" s="3">
        <v>0</v>
      </c>
      <c r="AH38" s="6">
        <v>0</v>
      </c>
      <c r="AI38" s="3" t="e">
        <f t="shared" si="26"/>
        <v>#DIV/0!</v>
      </c>
      <c r="AJ38" s="3">
        <v>0</v>
      </c>
      <c r="AK38" s="6">
        <v>0</v>
      </c>
      <c r="AL38" s="3" t="e">
        <f t="shared" si="27"/>
        <v>#DIV/0!</v>
      </c>
      <c r="AM38" s="3">
        <v>0</v>
      </c>
      <c r="AN38" s="6">
        <v>0</v>
      </c>
      <c r="AO38" s="3">
        <f t="shared" si="12"/>
        <v>2418.6666666666665</v>
      </c>
      <c r="AP38" s="3">
        <f t="shared" si="15"/>
        <v>3628</v>
      </c>
      <c r="AQ38" s="6">
        <f t="shared" si="14"/>
        <v>1.5</v>
      </c>
      <c r="AR38" s="3"/>
      <c r="AS38" s="3"/>
      <c r="AT38" s="3"/>
      <c r="AU38" s="3"/>
      <c r="AV38" s="3"/>
      <c r="AW38" s="3"/>
      <c r="AX38" s="3"/>
      <c r="AY38" s="3"/>
      <c r="AZ38" s="3"/>
      <c r="BA38" s="3"/>
      <c r="BB38" s="3"/>
      <c r="BC38" s="3"/>
      <c r="BD38" s="3"/>
      <c r="BE38" s="3"/>
      <c r="BF38" s="3"/>
      <c r="BG38" s="3"/>
      <c r="BH38" s="3"/>
      <c r="BI38" s="3"/>
      <c r="BJ38" s="3"/>
      <c r="BK38" s="3"/>
      <c r="BL38" s="3"/>
      <c r="BM38" s="3"/>
      <c r="BN38" s="3"/>
      <c r="BO38" s="3"/>
    </row>
    <row r="39" spans="1:67" x14ac:dyDescent="0.3">
      <c r="A39" s="20" t="s">
        <v>76</v>
      </c>
      <c r="B39" s="23"/>
      <c r="C39" s="23"/>
      <c r="D39" s="23"/>
      <c r="E39" s="3" t="e">
        <f t="shared" si="16"/>
        <v>#DIV/0!</v>
      </c>
      <c r="F39" s="3">
        <v>0</v>
      </c>
      <c r="G39" s="6">
        <v>0</v>
      </c>
      <c r="H39" s="3" t="e">
        <f t="shared" si="17"/>
        <v>#DIV/0!</v>
      </c>
      <c r="I39" s="3">
        <v>0</v>
      </c>
      <c r="J39" s="6">
        <v>0</v>
      </c>
      <c r="K39" s="3" t="e">
        <f t="shared" si="18"/>
        <v>#DIV/0!</v>
      </c>
      <c r="L39" s="3">
        <v>0</v>
      </c>
      <c r="M39" s="6">
        <v>0</v>
      </c>
      <c r="N39" s="3" t="e">
        <f t="shared" si="19"/>
        <v>#DIV/0!</v>
      </c>
      <c r="O39" s="3">
        <v>0</v>
      </c>
      <c r="P39" s="6">
        <v>0</v>
      </c>
      <c r="Q39" s="3" t="e">
        <f t="shared" si="20"/>
        <v>#DIV/0!</v>
      </c>
      <c r="R39" s="3">
        <v>0</v>
      </c>
      <c r="S39" s="6">
        <v>0</v>
      </c>
      <c r="T39" s="3">
        <f t="shared" si="21"/>
        <v>1553.8461538461538</v>
      </c>
      <c r="U39" s="3">
        <v>4040</v>
      </c>
      <c r="V39" s="6">
        <v>2.6</v>
      </c>
      <c r="W39" s="3">
        <f t="shared" si="22"/>
        <v>1549.079754601227</v>
      </c>
      <c r="X39" s="3">
        <v>25250</v>
      </c>
      <c r="Y39" s="6">
        <v>16.3</v>
      </c>
      <c r="Z39" s="3">
        <f t="shared" si="23"/>
        <v>11362.5</v>
      </c>
      <c r="AA39" s="3">
        <v>4545</v>
      </c>
      <c r="AB39" s="6">
        <v>0.4</v>
      </c>
      <c r="AC39" s="3">
        <f t="shared" si="24"/>
        <v>7088.8888888888887</v>
      </c>
      <c r="AD39" s="3">
        <v>19140</v>
      </c>
      <c r="AE39" s="6">
        <v>2.7</v>
      </c>
      <c r="AF39" s="3" t="e">
        <f t="shared" si="25"/>
        <v>#DIV/0!</v>
      </c>
      <c r="AG39" s="3">
        <v>0</v>
      </c>
      <c r="AH39" s="6">
        <v>0</v>
      </c>
      <c r="AI39" s="3" t="e">
        <f t="shared" si="26"/>
        <v>#DIV/0!</v>
      </c>
      <c r="AJ39" s="3">
        <v>0</v>
      </c>
      <c r="AK39" s="6">
        <v>0</v>
      </c>
      <c r="AL39" s="3" t="e">
        <f t="shared" si="27"/>
        <v>#DIV/0!</v>
      </c>
      <c r="AM39" s="3">
        <v>0</v>
      </c>
      <c r="AN39" s="6">
        <v>0</v>
      </c>
      <c r="AO39" s="3">
        <f t="shared" si="12"/>
        <v>2407.9545454545455</v>
      </c>
      <c r="AP39" s="3">
        <f t="shared" si="15"/>
        <v>52975</v>
      </c>
      <c r="AQ39" s="6">
        <f t="shared" si="14"/>
        <v>22</v>
      </c>
      <c r="AR39" s="3"/>
      <c r="AS39" s="3"/>
      <c r="AT39" s="3"/>
      <c r="AU39" s="3"/>
      <c r="AV39" s="3"/>
      <c r="AW39" s="3"/>
      <c r="AX39" s="3"/>
      <c r="AY39" s="3"/>
      <c r="AZ39" s="3"/>
      <c r="BA39" s="3"/>
      <c r="BB39" s="3"/>
      <c r="BC39" s="3"/>
      <c r="BD39" s="3"/>
      <c r="BE39" s="3"/>
      <c r="BF39" s="3"/>
      <c r="BG39" s="3"/>
      <c r="BH39" s="3"/>
      <c r="BI39" s="3"/>
      <c r="BJ39" s="3"/>
      <c r="BK39" s="3"/>
      <c r="BL39" s="3"/>
      <c r="BM39" s="3"/>
      <c r="BN39" s="3"/>
      <c r="BO39" s="3"/>
    </row>
    <row r="40" spans="1:67" x14ac:dyDescent="0.3">
      <c r="A40" s="20" t="s">
        <v>73</v>
      </c>
      <c r="B40" s="23"/>
      <c r="C40" s="23"/>
      <c r="D40" s="23"/>
      <c r="E40" s="3">
        <f t="shared" si="16"/>
        <v>1119.9335826670106</v>
      </c>
      <c r="F40" s="3">
        <v>1736793</v>
      </c>
      <c r="G40" s="6">
        <v>1550.8</v>
      </c>
      <c r="H40" s="3">
        <f t="shared" si="17"/>
        <v>1488.1889763779529</v>
      </c>
      <c r="I40" s="3">
        <v>75600</v>
      </c>
      <c r="J40" s="6">
        <v>50.8</v>
      </c>
      <c r="K40" s="3" t="e">
        <f t="shared" si="18"/>
        <v>#DIV/0!</v>
      </c>
      <c r="L40" s="3">
        <v>0</v>
      </c>
      <c r="M40" s="6">
        <v>0</v>
      </c>
      <c r="N40" s="3" t="e">
        <f t="shared" si="19"/>
        <v>#DIV/0!</v>
      </c>
      <c r="O40" s="3">
        <v>0</v>
      </c>
      <c r="P40" s="6">
        <v>0</v>
      </c>
      <c r="Q40" s="3">
        <f t="shared" si="20"/>
        <v>2271.2820512820513</v>
      </c>
      <c r="R40" s="3">
        <v>8858</v>
      </c>
      <c r="S40" s="6">
        <v>3.9</v>
      </c>
      <c r="T40" s="3" t="e">
        <f t="shared" si="21"/>
        <v>#DIV/0!</v>
      </c>
      <c r="U40" s="3">
        <v>0</v>
      </c>
      <c r="V40" s="6">
        <v>0</v>
      </c>
      <c r="W40" s="3" t="e">
        <f t="shared" si="22"/>
        <v>#DIV/0!</v>
      </c>
      <c r="X40" s="3">
        <v>0</v>
      </c>
      <c r="Y40" s="6">
        <v>0</v>
      </c>
      <c r="Z40" s="3" t="e">
        <f t="shared" si="23"/>
        <v>#DIV/0!</v>
      </c>
      <c r="AA40" s="3">
        <v>0</v>
      </c>
      <c r="AB40" s="6">
        <v>0</v>
      </c>
      <c r="AC40" s="3" t="e">
        <f t="shared" si="24"/>
        <v>#DIV/0!</v>
      </c>
      <c r="AD40" s="3">
        <v>0</v>
      </c>
      <c r="AE40" s="6">
        <v>0</v>
      </c>
      <c r="AF40" s="3" t="e">
        <f t="shared" si="25"/>
        <v>#DIV/0!</v>
      </c>
      <c r="AG40" s="3">
        <v>0</v>
      </c>
      <c r="AH40" s="6">
        <v>0</v>
      </c>
      <c r="AI40" s="3" t="e">
        <f t="shared" si="26"/>
        <v>#DIV/0!</v>
      </c>
      <c r="AJ40" s="3">
        <v>0</v>
      </c>
      <c r="AK40" s="6">
        <v>0</v>
      </c>
      <c r="AL40" s="3" t="e">
        <f t="shared" si="27"/>
        <v>#DIV/0!</v>
      </c>
      <c r="AM40" s="3">
        <v>0</v>
      </c>
      <c r="AN40" s="6">
        <v>0</v>
      </c>
      <c r="AO40" s="3">
        <f t="shared" si="12"/>
        <v>1134.3824353783868</v>
      </c>
      <c r="AP40" s="3">
        <f t="shared" si="15"/>
        <v>1821251</v>
      </c>
      <c r="AQ40" s="6">
        <f t="shared" si="14"/>
        <v>1605.5</v>
      </c>
      <c r="AR40" s="3"/>
      <c r="AS40" s="3"/>
      <c r="AT40" s="3"/>
      <c r="AU40" s="3"/>
      <c r="AV40" s="3"/>
      <c r="AW40" s="3"/>
      <c r="AX40" s="3"/>
      <c r="AY40" s="3"/>
      <c r="AZ40" s="3"/>
      <c r="BA40" s="3"/>
      <c r="BB40" s="3"/>
      <c r="BC40" s="3"/>
      <c r="BD40" s="3"/>
      <c r="BE40" s="3"/>
      <c r="BF40" s="3"/>
      <c r="BG40" s="3"/>
      <c r="BH40" s="3"/>
      <c r="BI40" s="3"/>
      <c r="BJ40" s="3"/>
      <c r="BK40" s="3"/>
      <c r="BL40" s="3"/>
      <c r="BM40" s="3"/>
      <c r="BN40" s="3"/>
      <c r="BO40" s="3"/>
    </row>
    <row r="41" spans="1:67" x14ac:dyDescent="0.3">
      <c r="A41" s="20" t="s">
        <v>51</v>
      </c>
      <c r="B41" s="23"/>
      <c r="C41" s="23"/>
      <c r="D41" s="23"/>
      <c r="E41" s="3">
        <f t="shared" si="16"/>
        <v>1877.3809523809525</v>
      </c>
      <c r="F41" s="3">
        <v>70965</v>
      </c>
      <c r="G41" s="6">
        <v>37.799999999999997</v>
      </c>
      <c r="H41" s="3">
        <f t="shared" si="17"/>
        <v>1144.8260300155741</v>
      </c>
      <c r="I41" s="3">
        <v>6468725</v>
      </c>
      <c r="J41" s="6">
        <v>5650.4</v>
      </c>
      <c r="K41" s="3">
        <f t="shared" si="18"/>
        <v>1688.5925925925926</v>
      </c>
      <c r="L41" s="3">
        <v>22796</v>
      </c>
      <c r="M41" s="6">
        <v>13.5</v>
      </c>
      <c r="N41" s="3">
        <f t="shared" si="19"/>
        <v>1967.4074074074074</v>
      </c>
      <c r="O41" s="3">
        <v>47808</v>
      </c>
      <c r="P41" s="6">
        <v>24.3</v>
      </c>
      <c r="Q41" s="3">
        <f t="shared" si="20"/>
        <v>1694.8698884758364</v>
      </c>
      <c r="R41" s="3">
        <v>45592</v>
      </c>
      <c r="S41" s="6">
        <v>26.9</v>
      </c>
      <c r="T41" s="3" t="e">
        <f t="shared" si="21"/>
        <v>#DIV/0!</v>
      </c>
      <c r="U41" s="3">
        <v>0</v>
      </c>
      <c r="V41" s="6">
        <v>0</v>
      </c>
      <c r="W41" s="3">
        <f t="shared" si="22"/>
        <v>1868.954248366013</v>
      </c>
      <c r="X41" s="3">
        <v>28595</v>
      </c>
      <c r="Y41" s="6">
        <v>15.3</v>
      </c>
      <c r="Z41" s="3">
        <f t="shared" si="23"/>
        <v>1830.185873605948</v>
      </c>
      <c r="AA41" s="3">
        <v>49232</v>
      </c>
      <c r="AB41" s="6">
        <v>26.9</v>
      </c>
      <c r="AC41" s="3" t="e">
        <f t="shared" si="24"/>
        <v>#DIV/0!</v>
      </c>
      <c r="AD41" s="3">
        <v>0</v>
      </c>
      <c r="AE41" s="6">
        <v>0</v>
      </c>
      <c r="AF41" s="3">
        <f t="shared" si="25"/>
        <v>1918.2003710575141</v>
      </c>
      <c r="AG41" s="3">
        <v>103391</v>
      </c>
      <c r="AH41" s="6">
        <v>53.9</v>
      </c>
      <c r="AI41" s="3">
        <f t="shared" si="26"/>
        <v>2846.5060240963853</v>
      </c>
      <c r="AJ41" s="3">
        <v>23626</v>
      </c>
      <c r="AK41" s="6">
        <v>8.3000000000000007</v>
      </c>
      <c r="AL41" s="3" t="e">
        <f t="shared" si="27"/>
        <v>#DIV/0!</v>
      </c>
      <c r="AM41" s="3">
        <v>0</v>
      </c>
      <c r="AN41" s="6">
        <v>0</v>
      </c>
      <c r="AO41" s="3">
        <f t="shared" si="12"/>
        <v>1171.3127208782205</v>
      </c>
      <c r="AP41" s="3">
        <f t="shared" si="15"/>
        <v>6860730</v>
      </c>
      <c r="AQ41" s="6">
        <f t="shared" si="14"/>
        <v>5857.2999999999993</v>
      </c>
      <c r="AR41" s="3"/>
      <c r="AS41" s="3"/>
      <c r="AT41" s="3"/>
      <c r="AU41" s="3"/>
      <c r="AV41" s="3"/>
      <c r="AW41" s="3"/>
      <c r="AX41" s="3"/>
      <c r="AY41" s="3"/>
      <c r="AZ41" s="3"/>
      <c r="BA41" s="3"/>
      <c r="BB41" s="3"/>
      <c r="BC41" s="3"/>
      <c r="BD41" s="3"/>
      <c r="BE41" s="3"/>
      <c r="BF41" s="3"/>
      <c r="BG41" s="3"/>
      <c r="BH41" s="3"/>
      <c r="BI41" s="3"/>
      <c r="BJ41" s="3"/>
      <c r="BK41" s="3"/>
      <c r="BL41" s="3"/>
      <c r="BM41" s="3"/>
      <c r="BN41" s="3"/>
      <c r="BO41" s="3"/>
    </row>
    <row r="42" spans="1:67" x14ac:dyDescent="0.3">
      <c r="A42" s="20" t="s">
        <v>65</v>
      </c>
      <c r="B42" s="23"/>
      <c r="C42" s="23"/>
      <c r="D42" s="23"/>
      <c r="E42" s="3" t="e">
        <f t="shared" si="16"/>
        <v>#DIV/0!</v>
      </c>
      <c r="F42" s="3">
        <v>0</v>
      </c>
      <c r="G42" s="6">
        <v>0</v>
      </c>
      <c r="H42" s="3" t="e">
        <f t="shared" si="17"/>
        <v>#DIV/0!</v>
      </c>
      <c r="I42" s="3">
        <v>0</v>
      </c>
      <c r="J42" s="6">
        <v>0</v>
      </c>
      <c r="K42" s="3">
        <f t="shared" si="18"/>
        <v>2086.9565217391305</v>
      </c>
      <c r="L42" s="3">
        <v>9600</v>
      </c>
      <c r="M42" s="6">
        <v>4.5999999999999996</v>
      </c>
      <c r="N42" s="3">
        <f t="shared" si="19"/>
        <v>1970.7329842931936</v>
      </c>
      <c r="O42" s="3">
        <v>37641</v>
      </c>
      <c r="P42" s="6">
        <v>19.100000000000001</v>
      </c>
      <c r="Q42" s="3">
        <f t="shared" si="20"/>
        <v>2374.1071428571427</v>
      </c>
      <c r="R42" s="3">
        <v>39885</v>
      </c>
      <c r="S42" s="6">
        <v>16.8</v>
      </c>
      <c r="T42" s="3" t="e">
        <f t="shared" si="21"/>
        <v>#DIV/0!</v>
      </c>
      <c r="U42" s="3">
        <v>0</v>
      </c>
      <c r="V42" s="6">
        <v>0</v>
      </c>
      <c r="W42" s="3" t="e">
        <f t="shared" si="22"/>
        <v>#DIV/0!</v>
      </c>
      <c r="X42" s="3">
        <v>0</v>
      </c>
      <c r="Y42" s="6">
        <v>0</v>
      </c>
      <c r="Z42" s="3">
        <f t="shared" si="23"/>
        <v>2746.6492146596856</v>
      </c>
      <c r="AA42" s="3">
        <v>52461</v>
      </c>
      <c r="AB42" s="6">
        <v>19.100000000000001</v>
      </c>
      <c r="AC42" s="3">
        <f t="shared" si="24"/>
        <v>2719.633507853403</v>
      </c>
      <c r="AD42" s="3">
        <v>51945</v>
      </c>
      <c r="AE42" s="6">
        <v>19.100000000000001</v>
      </c>
      <c r="AF42" s="3">
        <f t="shared" si="25"/>
        <v>3038.2142857142858</v>
      </c>
      <c r="AG42" s="3">
        <v>51042</v>
      </c>
      <c r="AH42" s="6">
        <v>16.8</v>
      </c>
      <c r="AI42" s="3">
        <f t="shared" si="26"/>
        <v>2689.2553191489365</v>
      </c>
      <c r="AJ42" s="3">
        <v>75837</v>
      </c>
      <c r="AK42" s="6">
        <v>28.2</v>
      </c>
      <c r="AL42" s="3" t="e">
        <f t="shared" si="27"/>
        <v>#DIV/0!</v>
      </c>
      <c r="AM42" s="3">
        <v>0</v>
      </c>
      <c r="AN42" s="6">
        <v>0</v>
      </c>
      <c r="AO42" s="3">
        <f t="shared" si="12"/>
        <v>2574.0582053354892</v>
      </c>
      <c r="AP42" s="3">
        <f t="shared" si="15"/>
        <v>318411</v>
      </c>
      <c r="AQ42" s="6">
        <f t="shared" si="14"/>
        <v>123.7</v>
      </c>
      <c r="AR42" s="3"/>
      <c r="AS42" s="3"/>
      <c r="AT42" s="3"/>
      <c r="AU42" s="3"/>
      <c r="AV42" s="3"/>
      <c r="AW42" s="3"/>
      <c r="AX42" s="3"/>
      <c r="AY42" s="3"/>
      <c r="AZ42" s="3"/>
      <c r="BA42" s="3"/>
      <c r="BB42" s="3"/>
      <c r="BC42" s="3"/>
      <c r="BD42" s="3"/>
      <c r="BE42" s="3"/>
      <c r="BF42" s="3"/>
      <c r="BG42" s="3"/>
      <c r="BH42" s="3"/>
      <c r="BI42" s="3"/>
      <c r="BJ42" s="3"/>
      <c r="BK42" s="3"/>
      <c r="BL42" s="3"/>
      <c r="BM42" s="3"/>
      <c r="BN42" s="3"/>
      <c r="BO42" s="3"/>
    </row>
    <row r="43" spans="1:67" x14ac:dyDescent="0.3">
      <c r="A43" s="20" t="s">
        <v>71</v>
      </c>
      <c r="B43" s="23"/>
      <c r="C43" s="23"/>
      <c r="D43" s="23"/>
      <c r="E43" s="3" t="e">
        <f t="shared" si="16"/>
        <v>#DIV/0!</v>
      </c>
      <c r="F43" s="3">
        <v>0</v>
      </c>
      <c r="G43" s="6">
        <v>0</v>
      </c>
      <c r="H43" s="3" t="e">
        <f t="shared" si="17"/>
        <v>#DIV/0!</v>
      </c>
      <c r="I43" s="3">
        <v>0</v>
      </c>
      <c r="J43" s="6">
        <v>0</v>
      </c>
      <c r="K43" s="3" t="e">
        <f t="shared" si="18"/>
        <v>#DIV/0!</v>
      </c>
      <c r="L43" s="3">
        <v>0</v>
      </c>
      <c r="M43" s="6">
        <v>0</v>
      </c>
      <c r="N43" s="3">
        <f t="shared" si="19"/>
        <v>1636.2068965517242</v>
      </c>
      <c r="O43" s="3">
        <v>37960</v>
      </c>
      <c r="P43" s="6">
        <v>23.2</v>
      </c>
      <c r="Q43" s="3" t="e">
        <f t="shared" si="20"/>
        <v>#DIV/0!</v>
      </c>
      <c r="R43" s="3">
        <v>0</v>
      </c>
      <c r="S43" s="6">
        <v>0</v>
      </c>
      <c r="T43" s="3" t="e">
        <f t="shared" si="21"/>
        <v>#DIV/0!</v>
      </c>
      <c r="U43" s="3">
        <v>0</v>
      </c>
      <c r="V43" s="6">
        <v>0</v>
      </c>
      <c r="W43" s="3" t="e">
        <f t="shared" si="22"/>
        <v>#DIV/0!</v>
      </c>
      <c r="X43" s="3">
        <v>0</v>
      </c>
      <c r="Y43" s="6">
        <v>0</v>
      </c>
      <c r="Z43" s="3" t="e">
        <f t="shared" si="23"/>
        <v>#DIV/0!</v>
      </c>
      <c r="AA43" s="3">
        <v>0</v>
      </c>
      <c r="AB43" s="6">
        <v>0</v>
      </c>
      <c r="AC43" s="3" t="e">
        <f t="shared" si="24"/>
        <v>#DIV/0!</v>
      </c>
      <c r="AD43" s="3">
        <v>0</v>
      </c>
      <c r="AE43" s="6">
        <v>0</v>
      </c>
      <c r="AF43" s="3" t="e">
        <f t="shared" si="25"/>
        <v>#DIV/0!</v>
      </c>
      <c r="AG43" s="3">
        <v>0</v>
      </c>
      <c r="AH43" s="6">
        <v>0</v>
      </c>
      <c r="AI43" s="3" t="e">
        <f t="shared" si="26"/>
        <v>#DIV/0!</v>
      </c>
      <c r="AJ43" s="3">
        <v>0</v>
      </c>
      <c r="AK43" s="6">
        <v>0</v>
      </c>
      <c r="AL43" s="3" t="e">
        <f t="shared" si="27"/>
        <v>#DIV/0!</v>
      </c>
      <c r="AM43" s="3">
        <v>0</v>
      </c>
      <c r="AN43" s="6">
        <v>0</v>
      </c>
      <c r="AO43" s="3">
        <f t="shared" si="12"/>
        <v>1636.2068965517242</v>
      </c>
      <c r="AP43" s="3">
        <f t="shared" si="15"/>
        <v>37960</v>
      </c>
      <c r="AQ43" s="6">
        <f t="shared" si="14"/>
        <v>23.2</v>
      </c>
      <c r="AR43" s="3"/>
      <c r="AS43" s="3"/>
      <c r="AT43" s="3"/>
      <c r="AU43" s="3"/>
      <c r="AV43" s="3"/>
      <c r="AW43" s="3"/>
      <c r="AX43" s="3"/>
      <c r="AY43" s="3"/>
      <c r="AZ43" s="3"/>
      <c r="BA43" s="3"/>
      <c r="BB43" s="3"/>
      <c r="BC43" s="3"/>
      <c r="BD43" s="3"/>
      <c r="BE43" s="3"/>
      <c r="BF43" s="3"/>
      <c r="BG43" s="3"/>
      <c r="BH43" s="3"/>
      <c r="BI43" s="3"/>
      <c r="BJ43" s="3"/>
      <c r="BK43" s="3"/>
      <c r="BL43" s="3"/>
      <c r="BM43" s="3"/>
      <c r="BN43" s="3"/>
      <c r="BO43" s="3"/>
    </row>
    <row r="44" spans="1:67" x14ac:dyDescent="0.3">
      <c r="A44" s="20" t="s">
        <v>34</v>
      </c>
      <c r="B44" s="23"/>
      <c r="C44" s="23"/>
      <c r="D44" s="23"/>
      <c r="E44" s="9" t="e">
        <f t="shared" si="16"/>
        <v>#DIV/0!</v>
      </c>
      <c r="F44" s="9">
        <v>0</v>
      </c>
      <c r="G44" s="6">
        <v>0</v>
      </c>
      <c r="H44" s="11" t="e">
        <f t="shared" si="17"/>
        <v>#DIV/0!</v>
      </c>
      <c r="I44" s="9">
        <v>0</v>
      </c>
      <c r="J44" s="6">
        <v>0</v>
      </c>
      <c r="K44" s="9" t="e">
        <f t="shared" si="18"/>
        <v>#DIV/0!</v>
      </c>
      <c r="L44" s="9">
        <v>0</v>
      </c>
      <c r="M44" s="6">
        <v>0</v>
      </c>
      <c r="N44" s="9" t="e">
        <f t="shared" si="19"/>
        <v>#DIV/0!</v>
      </c>
      <c r="O44" s="9">
        <v>0</v>
      </c>
      <c r="P44" s="6">
        <v>0</v>
      </c>
      <c r="Q44" s="11">
        <f t="shared" si="20"/>
        <v>3128.5714285714289</v>
      </c>
      <c r="R44" s="9">
        <v>4380</v>
      </c>
      <c r="S44" s="6">
        <v>1.4</v>
      </c>
      <c r="T44" s="11" t="e">
        <f t="shared" si="21"/>
        <v>#DIV/0!</v>
      </c>
      <c r="U44" s="9">
        <v>0</v>
      </c>
      <c r="V44" s="6">
        <v>0</v>
      </c>
      <c r="W44" s="9">
        <f t="shared" si="22"/>
        <v>1546.4114832535886</v>
      </c>
      <c r="X44" s="9">
        <v>32320</v>
      </c>
      <c r="Y44" s="6">
        <v>20.9</v>
      </c>
      <c r="Z44" s="9">
        <f t="shared" si="23"/>
        <v>1144.3910256410256</v>
      </c>
      <c r="AA44" s="9">
        <v>35705</v>
      </c>
      <c r="AB44" s="6">
        <v>31.2</v>
      </c>
      <c r="AC44" s="9">
        <f t="shared" si="24"/>
        <v>1553.8461538461538</v>
      </c>
      <c r="AD44" s="9">
        <v>14140</v>
      </c>
      <c r="AE44" s="6">
        <v>9.1</v>
      </c>
      <c r="AF44" s="9" t="e">
        <f t="shared" si="25"/>
        <v>#DIV/0!</v>
      </c>
      <c r="AG44" s="9">
        <v>0</v>
      </c>
      <c r="AH44" s="6">
        <v>0</v>
      </c>
      <c r="AI44" s="9" t="e">
        <f t="shared" si="26"/>
        <v>#DIV/0!</v>
      </c>
      <c r="AJ44" s="9">
        <v>0</v>
      </c>
      <c r="AK44" s="6">
        <v>0</v>
      </c>
      <c r="AL44" s="9" t="e">
        <f t="shared" si="27"/>
        <v>#DIV/0!</v>
      </c>
      <c r="AM44" s="9">
        <v>0</v>
      </c>
      <c r="AN44" s="6">
        <v>0</v>
      </c>
      <c r="AO44" s="9">
        <f t="shared" si="12"/>
        <v>1382.5079872204471</v>
      </c>
      <c r="AP44" s="9">
        <f t="shared" si="15"/>
        <v>86545</v>
      </c>
      <c r="AQ44" s="6">
        <f t="shared" si="14"/>
        <v>62.6</v>
      </c>
      <c r="AR44" s="3"/>
      <c r="AS44" s="3"/>
      <c r="AT44" s="3"/>
      <c r="AU44" s="3"/>
      <c r="AV44" s="3"/>
      <c r="AW44" s="3"/>
      <c r="AX44" s="3"/>
      <c r="AY44" s="3"/>
      <c r="AZ44" s="3"/>
      <c r="BA44" s="3"/>
      <c r="BB44" s="3"/>
      <c r="BC44" s="3"/>
      <c r="BD44" s="3"/>
      <c r="BE44" s="3"/>
      <c r="BF44" s="3"/>
      <c r="BG44" s="3"/>
      <c r="BH44" s="3"/>
      <c r="BI44" s="3"/>
      <c r="BJ44" s="3"/>
      <c r="BK44" s="3"/>
      <c r="BL44" s="3"/>
      <c r="BM44" s="3"/>
      <c r="BN44" s="3"/>
      <c r="BO44" s="3"/>
    </row>
    <row r="45" spans="1:67" x14ac:dyDescent="0.3">
      <c r="A45" s="20" t="s">
        <v>24</v>
      </c>
      <c r="B45" s="23"/>
      <c r="C45" s="23"/>
      <c r="D45" s="23"/>
      <c r="E45" s="10">
        <f t="shared" si="16"/>
        <v>1288.3402489626556</v>
      </c>
      <c r="F45" s="10">
        <v>31049</v>
      </c>
      <c r="G45" s="8">
        <v>24.1</v>
      </c>
      <c r="H45" s="7" t="e">
        <f t="shared" si="17"/>
        <v>#DIV/0!</v>
      </c>
      <c r="I45" s="10">
        <v>0</v>
      </c>
      <c r="J45" s="8">
        <v>0</v>
      </c>
      <c r="K45" s="15" t="e">
        <f t="shared" si="18"/>
        <v>#DIV/0!</v>
      </c>
      <c r="L45" s="7">
        <v>0</v>
      </c>
      <c r="M45" s="8">
        <v>0</v>
      </c>
      <c r="N45" s="15">
        <f t="shared" si="19"/>
        <v>1795.9080962800874</v>
      </c>
      <c r="O45" s="7">
        <v>82073</v>
      </c>
      <c r="P45" s="8">
        <v>45.7</v>
      </c>
      <c r="Q45" s="7">
        <f t="shared" si="20"/>
        <v>2131.369294605809</v>
      </c>
      <c r="R45" s="10">
        <v>51366</v>
      </c>
      <c r="S45" s="8">
        <v>24.1</v>
      </c>
      <c r="T45" s="7" t="e">
        <f t="shared" si="21"/>
        <v>#DIV/0!</v>
      </c>
      <c r="U45" s="10">
        <v>0</v>
      </c>
      <c r="V45" s="8">
        <v>0</v>
      </c>
      <c r="W45" s="10">
        <f t="shared" si="22"/>
        <v>2128.0912863070539</v>
      </c>
      <c r="X45" s="10">
        <v>51287</v>
      </c>
      <c r="Y45" s="8">
        <v>24.1</v>
      </c>
      <c r="Z45" s="10">
        <f t="shared" si="23"/>
        <v>2133.294117647059</v>
      </c>
      <c r="AA45" s="10">
        <v>54399</v>
      </c>
      <c r="AB45" s="8">
        <v>25.5</v>
      </c>
      <c r="AC45" s="10" t="e">
        <f t="shared" si="24"/>
        <v>#DIV/0!</v>
      </c>
      <c r="AD45" s="10">
        <v>0</v>
      </c>
      <c r="AE45" s="8">
        <v>0</v>
      </c>
      <c r="AF45" s="7">
        <f t="shared" si="25"/>
        <v>2497.5933609958506</v>
      </c>
      <c r="AG45" s="10">
        <v>60192</v>
      </c>
      <c r="AH45" s="8">
        <v>24.1</v>
      </c>
      <c r="AI45" s="10" t="e">
        <f t="shared" si="26"/>
        <v>#DIV/0!</v>
      </c>
      <c r="AJ45" s="10">
        <v>0</v>
      </c>
      <c r="AK45" s="8">
        <v>0</v>
      </c>
      <c r="AL45" s="10" t="e">
        <f t="shared" si="27"/>
        <v>#DIV/0!</v>
      </c>
      <c r="AM45" s="10">
        <v>0</v>
      </c>
      <c r="AN45" s="8">
        <v>0</v>
      </c>
      <c r="AO45" s="10">
        <f t="shared" si="12"/>
        <v>1971.1575178997614</v>
      </c>
      <c r="AP45" s="7">
        <f t="shared" si="15"/>
        <v>330366</v>
      </c>
      <c r="AQ45" s="8">
        <f t="shared" si="14"/>
        <v>167.6</v>
      </c>
    </row>
    <row r="46" spans="1:67" x14ac:dyDescent="0.3">
      <c r="A46" s="20" t="s">
        <v>78</v>
      </c>
      <c r="B46" s="23"/>
      <c r="C46" s="23"/>
      <c r="D46" s="23"/>
      <c r="E46" s="7">
        <f t="shared" si="16"/>
        <v>1343.7979094076654</v>
      </c>
      <c r="F46" s="7">
        <v>38567</v>
      </c>
      <c r="G46" s="8">
        <v>28.7</v>
      </c>
      <c r="H46" s="7">
        <f t="shared" si="17"/>
        <v>1358.2532751091703</v>
      </c>
      <c r="I46" s="7">
        <v>31104</v>
      </c>
      <c r="J46" s="8">
        <v>22.9</v>
      </c>
      <c r="K46" s="7">
        <f t="shared" si="18"/>
        <v>1376.0662251655629</v>
      </c>
      <c r="L46" s="7">
        <v>103893</v>
      </c>
      <c r="M46" s="8">
        <v>75.5</v>
      </c>
      <c r="N46" s="7" t="e">
        <f t="shared" si="19"/>
        <v>#DIV/0!</v>
      </c>
      <c r="O46" s="7">
        <v>0</v>
      </c>
      <c r="P46" s="8">
        <v>0</v>
      </c>
      <c r="Q46" s="7">
        <f t="shared" si="20"/>
        <v>1392.8384279475983</v>
      </c>
      <c r="R46" s="7">
        <v>31896</v>
      </c>
      <c r="S46" s="8">
        <v>22.9</v>
      </c>
      <c r="T46" s="7">
        <f t="shared" si="21"/>
        <v>1575.9610027855153</v>
      </c>
      <c r="U46" s="7">
        <v>113154</v>
      </c>
      <c r="V46" s="8">
        <v>71.8</v>
      </c>
      <c r="W46" s="7" t="e">
        <f t="shared" si="22"/>
        <v>#DIV/0!</v>
      </c>
      <c r="X46" s="7">
        <v>0</v>
      </c>
      <c r="Y46" s="8">
        <v>0</v>
      </c>
      <c r="Z46" s="7" t="e">
        <f t="shared" si="23"/>
        <v>#DIV/0!</v>
      </c>
      <c r="AA46" s="7">
        <v>0</v>
      </c>
      <c r="AB46" s="8">
        <v>0</v>
      </c>
      <c r="AC46" s="7" t="e">
        <f t="shared" si="24"/>
        <v>#DIV/0!</v>
      </c>
      <c r="AD46" s="7">
        <v>0</v>
      </c>
      <c r="AE46" s="8">
        <v>0</v>
      </c>
      <c r="AF46" s="7">
        <f t="shared" si="25"/>
        <v>2169.4323144104806</v>
      </c>
      <c r="AG46" s="7">
        <v>49680</v>
      </c>
      <c r="AH46" s="8">
        <v>22.9</v>
      </c>
      <c r="AI46" s="7" t="e">
        <f t="shared" si="26"/>
        <v>#DIV/0!</v>
      </c>
      <c r="AJ46" s="7">
        <v>0</v>
      </c>
      <c r="AK46" s="8">
        <v>0</v>
      </c>
      <c r="AL46" s="7" t="e">
        <f t="shared" si="27"/>
        <v>#DIV/0!</v>
      </c>
      <c r="AM46" s="7">
        <v>0</v>
      </c>
      <c r="AN46" s="8">
        <v>0</v>
      </c>
      <c r="AO46" s="7">
        <f t="shared" si="12"/>
        <v>1505.0837760523088</v>
      </c>
      <c r="AP46" s="7">
        <f t="shared" si="15"/>
        <v>368294</v>
      </c>
      <c r="AQ46" s="8">
        <f t="shared" si="14"/>
        <v>244.70000000000002</v>
      </c>
    </row>
    <row r="47" spans="1:67" x14ac:dyDescent="0.3">
      <c r="A47" s="20" t="s">
        <v>74</v>
      </c>
      <c r="B47" s="23"/>
      <c r="C47" s="23"/>
      <c r="D47" s="23"/>
      <c r="E47" s="7" t="e">
        <f t="shared" si="16"/>
        <v>#DIV/0!</v>
      </c>
      <c r="F47" s="7">
        <v>0</v>
      </c>
      <c r="G47" s="8">
        <v>0</v>
      </c>
      <c r="H47" s="7" t="e">
        <f t="shared" si="17"/>
        <v>#DIV/0!</v>
      </c>
      <c r="I47" s="7">
        <v>0</v>
      </c>
      <c r="J47" s="8">
        <v>0</v>
      </c>
      <c r="K47" s="7" t="e">
        <f t="shared" si="18"/>
        <v>#DIV/0!</v>
      </c>
      <c r="L47" s="7">
        <v>0</v>
      </c>
      <c r="M47" s="8">
        <v>0</v>
      </c>
      <c r="N47" s="7" t="e">
        <f t="shared" si="19"/>
        <v>#DIV/0!</v>
      </c>
      <c r="O47" s="7">
        <v>0</v>
      </c>
      <c r="P47" s="8">
        <v>0</v>
      </c>
      <c r="Q47" s="7" t="e">
        <f t="shared" si="20"/>
        <v>#DIV/0!</v>
      </c>
      <c r="R47" s="7">
        <v>0</v>
      </c>
      <c r="S47" s="8">
        <v>0</v>
      </c>
      <c r="T47" s="7">
        <f t="shared" si="21"/>
        <v>2254.7368421052633</v>
      </c>
      <c r="U47" s="7">
        <v>4284</v>
      </c>
      <c r="V47" s="8">
        <v>1.9</v>
      </c>
      <c r="W47" s="7" t="e">
        <f t="shared" si="22"/>
        <v>#DIV/0!</v>
      </c>
      <c r="X47" s="7">
        <v>0</v>
      </c>
      <c r="Y47" s="8">
        <v>0</v>
      </c>
      <c r="Z47" s="7" t="e">
        <f t="shared" si="23"/>
        <v>#DIV/0!</v>
      </c>
      <c r="AA47" s="7">
        <v>0</v>
      </c>
      <c r="AB47" s="8">
        <v>0</v>
      </c>
      <c r="AC47" s="7" t="e">
        <f t="shared" si="24"/>
        <v>#DIV/0!</v>
      </c>
      <c r="AD47" s="7">
        <v>0</v>
      </c>
      <c r="AE47" s="8">
        <v>0</v>
      </c>
      <c r="AF47" s="7">
        <f t="shared" si="25"/>
        <v>1547.5510204081631</v>
      </c>
      <c r="AG47" s="7">
        <v>15166</v>
      </c>
      <c r="AH47" s="8">
        <v>9.8000000000000007</v>
      </c>
      <c r="AI47" s="7" t="e">
        <f t="shared" si="26"/>
        <v>#DIV/0!</v>
      </c>
      <c r="AJ47" s="7">
        <v>0</v>
      </c>
      <c r="AK47" s="8">
        <v>0</v>
      </c>
      <c r="AL47" s="7" t="e">
        <f t="shared" si="27"/>
        <v>#DIV/0!</v>
      </c>
      <c r="AM47" s="7">
        <v>0</v>
      </c>
      <c r="AN47" s="8">
        <v>0</v>
      </c>
      <c r="AO47" s="7">
        <f t="shared" si="12"/>
        <v>1662.3931623931621</v>
      </c>
      <c r="AP47" s="7">
        <f t="shared" si="15"/>
        <v>19450</v>
      </c>
      <c r="AQ47" s="8">
        <f t="shared" si="14"/>
        <v>11.700000000000001</v>
      </c>
    </row>
    <row r="48" spans="1:67" x14ac:dyDescent="0.3">
      <c r="A48" s="20" t="s">
        <v>77</v>
      </c>
      <c r="B48" s="23"/>
      <c r="C48" s="23"/>
      <c r="D48" s="23"/>
      <c r="E48" s="7" t="e">
        <f t="shared" si="16"/>
        <v>#DIV/0!</v>
      </c>
      <c r="F48" s="7">
        <v>0</v>
      </c>
      <c r="G48" s="8">
        <v>0</v>
      </c>
      <c r="H48" s="7" t="e">
        <f t="shared" si="17"/>
        <v>#DIV/0!</v>
      </c>
      <c r="I48" s="7">
        <v>0</v>
      </c>
      <c r="J48" s="8">
        <v>0</v>
      </c>
      <c r="K48" s="7" t="e">
        <f t="shared" si="18"/>
        <v>#DIV/0!</v>
      </c>
      <c r="L48" s="7">
        <v>0</v>
      </c>
      <c r="M48" s="8">
        <v>0</v>
      </c>
      <c r="N48" s="7" t="e">
        <f t="shared" si="19"/>
        <v>#DIV/0!</v>
      </c>
      <c r="O48" s="7">
        <v>0</v>
      </c>
      <c r="P48" s="8">
        <v>0</v>
      </c>
      <c r="Q48" s="7" t="e">
        <f t="shared" si="20"/>
        <v>#DIV/0!</v>
      </c>
      <c r="R48" s="7">
        <v>0</v>
      </c>
      <c r="S48" s="8">
        <v>0</v>
      </c>
      <c r="T48" s="7" t="e">
        <f t="shared" si="21"/>
        <v>#DIV/0!</v>
      </c>
      <c r="U48" s="7">
        <v>0</v>
      </c>
      <c r="V48" s="8">
        <v>0</v>
      </c>
      <c r="W48" s="7" t="e">
        <f t="shared" si="22"/>
        <v>#DIV/0!</v>
      </c>
      <c r="X48" s="7">
        <v>0</v>
      </c>
      <c r="Y48" s="8">
        <v>0</v>
      </c>
      <c r="Z48" s="7">
        <f t="shared" si="23"/>
        <v>2107.9642857142858</v>
      </c>
      <c r="AA48" s="7">
        <v>295115</v>
      </c>
      <c r="AB48" s="8">
        <v>140</v>
      </c>
      <c r="AC48" s="7" t="e">
        <f t="shared" si="24"/>
        <v>#DIV/0!</v>
      </c>
      <c r="AD48" s="7">
        <v>0</v>
      </c>
      <c r="AE48" s="8">
        <v>0</v>
      </c>
      <c r="AF48" s="7" t="e">
        <f t="shared" si="25"/>
        <v>#DIV/0!</v>
      </c>
      <c r="AG48" s="7">
        <v>0</v>
      </c>
      <c r="AH48" s="8">
        <v>0</v>
      </c>
      <c r="AI48" s="7" t="e">
        <f t="shared" si="26"/>
        <v>#DIV/0!</v>
      </c>
      <c r="AJ48" s="7">
        <v>0</v>
      </c>
      <c r="AK48" s="8">
        <v>0</v>
      </c>
      <c r="AL48" s="7" t="e">
        <f t="shared" si="27"/>
        <v>#DIV/0!</v>
      </c>
      <c r="AM48" s="7">
        <v>0</v>
      </c>
      <c r="AN48" s="8">
        <v>0</v>
      </c>
      <c r="AO48" s="7">
        <f t="shared" si="12"/>
        <v>2107.9642857142858</v>
      </c>
      <c r="AP48" s="7">
        <f t="shared" si="15"/>
        <v>295115</v>
      </c>
      <c r="AQ48" s="8">
        <f t="shared" si="14"/>
        <v>140</v>
      </c>
    </row>
    <row r="49" spans="1:43" x14ac:dyDescent="0.3">
      <c r="A49" s="20" t="s">
        <v>36</v>
      </c>
      <c r="B49" s="23"/>
      <c r="C49" s="23"/>
      <c r="D49" s="23"/>
      <c r="E49" s="7" t="e">
        <f t="shared" si="16"/>
        <v>#DIV/0!</v>
      </c>
      <c r="F49" s="7">
        <v>0</v>
      </c>
      <c r="G49" s="8">
        <v>0</v>
      </c>
      <c r="H49" s="7" t="e">
        <f t="shared" si="17"/>
        <v>#DIV/0!</v>
      </c>
      <c r="I49" s="7">
        <v>0</v>
      </c>
      <c r="J49" s="8">
        <v>0</v>
      </c>
      <c r="K49" s="7" t="e">
        <f t="shared" si="18"/>
        <v>#DIV/0!</v>
      </c>
      <c r="L49" s="7">
        <v>0</v>
      </c>
      <c r="M49" s="8">
        <v>0</v>
      </c>
      <c r="N49" s="7" t="e">
        <f t="shared" si="19"/>
        <v>#DIV/0!</v>
      </c>
      <c r="O49" s="7">
        <v>0</v>
      </c>
      <c r="P49" s="8">
        <v>0</v>
      </c>
      <c r="Q49" s="7" t="e">
        <f t="shared" si="20"/>
        <v>#DIV/0!</v>
      </c>
      <c r="R49" s="7">
        <v>0</v>
      </c>
      <c r="S49" s="8">
        <v>0</v>
      </c>
      <c r="T49" s="7">
        <f t="shared" si="21"/>
        <v>2692</v>
      </c>
      <c r="U49" s="7">
        <v>5384</v>
      </c>
      <c r="V49" s="8">
        <v>2</v>
      </c>
      <c r="W49" s="7" t="e">
        <f t="shared" si="22"/>
        <v>#DIV/0!</v>
      </c>
      <c r="X49" s="7">
        <v>0</v>
      </c>
      <c r="Y49" s="8">
        <v>0</v>
      </c>
      <c r="Z49" s="7" t="e">
        <f t="shared" si="23"/>
        <v>#DIV/0!</v>
      </c>
      <c r="AA49" s="7">
        <v>0</v>
      </c>
      <c r="AB49" s="8">
        <v>0</v>
      </c>
      <c r="AC49" s="7" t="e">
        <f t="shared" si="24"/>
        <v>#DIV/0!</v>
      </c>
      <c r="AD49" s="7">
        <v>0</v>
      </c>
      <c r="AE49" s="8">
        <v>0</v>
      </c>
      <c r="AF49" s="7" t="e">
        <f t="shared" si="25"/>
        <v>#DIV/0!</v>
      </c>
      <c r="AG49" s="7">
        <v>0</v>
      </c>
      <c r="AH49" s="8">
        <v>0</v>
      </c>
      <c r="AI49" s="7" t="e">
        <f t="shared" si="26"/>
        <v>#DIV/0!</v>
      </c>
      <c r="AJ49" s="7">
        <v>0</v>
      </c>
      <c r="AK49" s="8">
        <v>0</v>
      </c>
      <c r="AL49" s="7" t="e">
        <f t="shared" si="27"/>
        <v>#DIV/0!</v>
      </c>
      <c r="AM49" s="7">
        <v>0</v>
      </c>
      <c r="AN49" s="8">
        <v>0</v>
      </c>
      <c r="AO49" s="7">
        <f t="shared" si="12"/>
        <v>2692</v>
      </c>
      <c r="AP49" s="7">
        <f t="shared" si="15"/>
        <v>5384</v>
      </c>
      <c r="AQ49" s="8">
        <f t="shared" si="14"/>
        <v>2</v>
      </c>
    </row>
    <row r="50" spans="1:43" x14ac:dyDescent="0.3">
      <c r="A50" s="20" t="s">
        <v>37</v>
      </c>
      <c r="B50" s="23"/>
      <c r="C50" s="23"/>
      <c r="D50" s="23"/>
      <c r="E50" s="7" t="e">
        <f t="shared" si="16"/>
        <v>#DIV/0!</v>
      </c>
      <c r="F50" s="7">
        <v>0</v>
      </c>
      <c r="G50" s="8">
        <v>0</v>
      </c>
      <c r="H50" s="7" t="e">
        <f t="shared" si="17"/>
        <v>#DIV/0!</v>
      </c>
      <c r="I50" s="7">
        <v>0</v>
      </c>
      <c r="J50" s="8">
        <v>0</v>
      </c>
      <c r="K50" s="7" t="e">
        <f t="shared" si="18"/>
        <v>#DIV/0!</v>
      </c>
      <c r="L50" s="7">
        <v>0</v>
      </c>
      <c r="M50" s="8">
        <v>0</v>
      </c>
      <c r="N50" s="7">
        <f t="shared" si="19"/>
        <v>2467.1428571428573</v>
      </c>
      <c r="O50" s="7">
        <v>6908</v>
      </c>
      <c r="P50" s="8">
        <v>2.8</v>
      </c>
      <c r="Q50" s="7" t="e">
        <f t="shared" si="20"/>
        <v>#DIV/0!</v>
      </c>
      <c r="R50" s="7">
        <v>0</v>
      </c>
      <c r="S50" s="8">
        <v>0</v>
      </c>
      <c r="T50" s="7" t="e">
        <f t="shared" si="21"/>
        <v>#DIV/0!</v>
      </c>
      <c r="U50" s="7">
        <v>0</v>
      </c>
      <c r="V50" s="8">
        <v>0</v>
      </c>
      <c r="W50" s="7" t="e">
        <f t="shared" si="22"/>
        <v>#DIV/0!</v>
      </c>
      <c r="X50" s="7">
        <v>0</v>
      </c>
      <c r="Y50" s="8">
        <v>0</v>
      </c>
      <c r="Z50" s="7" t="e">
        <f t="shared" si="23"/>
        <v>#DIV/0!</v>
      </c>
      <c r="AA50" s="7">
        <v>0</v>
      </c>
      <c r="AB50" s="8">
        <v>0</v>
      </c>
      <c r="AC50" s="7" t="e">
        <f t="shared" si="24"/>
        <v>#DIV/0!</v>
      </c>
      <c r="AD50" s="7">
        <v>0</v>
      </c>
      <c r="AE50" s="8">
        <v>0</v>
      </c>
      <c r="AF50" s="7" t="e">
        <f t="shared" si="25"/>
        <v>#DIV/0!</v>
      </c>
      <c r="AG50" s="7">
        <v>0</v>
      </c>
      <c r="AH50" s="8">
        <v>0</v>
      </c>
      <c r="AI50" s="7" t="e">
        <f t="shared" si="26"/>
        <v>#DIV/0!</v>
      </c>
      <c r="AJ50" s="7">
        <v>0</v>
      </c>
      <c r="AK50" s="8">
        <v>0</v>
      </c>
      <c r="AL50" s="7" t="e">
        <f t="shared" si="27"/>
        <v>#DIV/0!</v>
      </c>
      <c r="AM50" s="7">
        <v>0</v>
      </c>
      <c r="AN50" s="8">
        <v>0</v>
      </c>
      <c r="AO50" s="7">
        <f t="shared" si="12"/>
        <v>2467.1428571428573</v>
      </c>
      <c r="AP50" s="7">
        <f t="shared" si="15"/>
        <v>6908</v>
      </c>
      <c r="AQ50" s="8">
        <f t="shared" si="14"/>
        <v>2.8</v>
      </c>
    </row>
    <row r="51" spans="1:43" x14ac:dyDescent="0.3">
      <c r="A51" s="19" t="s">
        <v>67</v>
      </c>
      <c r="B51" s="23"/>
      <c r="C51" s="23"/>
      <c r="D51" s="23"/>
      <c r="E51" s="7" t="e">
        <f t="shared" si="16"/>
        <v>#DIV/0!</v>
      </c>
      <c r="F51" s="7">
        <v>0</v>
      </c>
      <c r="G51" s="8">
        <v>0</v>
      </c>
      <c r="H51" s="7" t="e">
        <f t="shared" si="17"/>
        <v>#DIV/0!</v>
      </c>
      <c r="I51" s="7">
        <v>0</v>
      </c>
      <c r="J51" s="8">
        <v>0</v>
      </c>
      <c r="K51" s="7" t="e">
        <f t="shared" si="18"/>
        <v>#DIV/0!</v>
      </c>
      <c r="L51" s="7">
        <v>0</v>
      </c>
      <c r="M51" s="8">
        <v>0</v>
      </c>
      <c r="N51" s="7">
        <f t="shared" si="19"/>
        <v>4197.1428571428578</v>
      </c>
      <c r="O51" s="7">
        <v>2938</v>
      </c>
      <c r="P51" s="8">
        <v>0.7</v>
      </c>
      <c r="Q51" s="7" t="e">
        <f t="shared" si="20"/>
        <v>#DIV/0!</v>
      </c>
      <c r="R51" s="7">
        <v>0</v>
      </c>
      <c r="S51" s="8">
        <v>0</v>
      </c>
      <c r="T51" s="7" t="e">
        <f t="shared" si="21"/>
        <v>#DIV/0!</v>
      </c>
      <c r="U51" s="7">
        <v>0</v>
      </c>
      <c r="V51" s="8">
        <v>0</v>
      </c>
      <c r="W51" s="7" t="e">
        <f t="shared" si="22"/>
        <v>#DIV/0!</v>
      </c>
      <c r="X51" s="7">
        <v>0</v>
      </c>
      <c r="Y51" s="8">
        <v>0</v>
      </c>
      <c r="Z51" s="7">
        <f t="shared" si="23"/>
        <v>4197.1428571428578</v>
      </c>
      <c r="AA51" s="7">
        <v>2938</v>
      </c>
      <c r="AB51" s="8">
        <v>0.7</v>
      </c>
      <c r="AC51" s="7">
        <f t="shared" si="24"/>
        <v>4320</v>
      </c>
      <c r="AD51" s="7">
        <v>3024</v>
      </c>
      <c r="AE51" s="8">
        <v>0.7</v>
      </c>
      <c r="AF51" s="7">
        <f t="shared" si="25"/>
        <v>1551.6296296296296</v>
      </c>
      <c r="AG51" s="7">
        <v>20947</v>
      </c>
      <c r="AH51" s="8">
        <v>13.5</v>
      </c>
      <c r="AI51" s="7" t="e">
        <f t="shared" si="26"/>
        <v>#DIV/0!</v>
      </c>
      <c r="AJ51" s="7">
        <v>0</v>
      </c>
      <c r="AK51" s="8">
        <v>0</v>
      </c>
      <c r="AL51" s="7" t="e">
        <f t="shared" si="27"/>
        <v>#DIV/0!</v>
      </c>
      <c r="AM51" s="7">
        <v>0</v>
      </c>
      <c r="AN51" s="8">
        <v>0</v>
      </c>
      <c r="AO51" s="7">
        <f t="shared" si="12"/>
        <v>1913.2692307692307</v>
      </c>
      <c r="AP51" s="7">
        <f t="shared" si="15"/>
        <v>29847</v>
      </c>
      <c r="AQ51" s="8">
        <f t="shared" si="14"/>
        <v>15.6</v>
      </c>
    </row>
    <row r="52" spans="1:43" x14ac:dyDescent="0.3">
      <c r="A52" s="19" t="s">
        <v>54</v>
      </c>
      <c r="B52" s="23"/>
      <c r="C52" s="23"/>
      <c r="D52" s="23"/>
      <c r="E52" s="7" t="e">
        <f t="shared" si="16"/>
        <v>#DIV/0!</v>
      </c>
      <c r="F52" s="7">
        <v>0</v>
      </c>
      <c r="G52" s="8">
        <v>0</v>
      </c>
      <c r="H52" s="7" t="e">
        <f t="shared" si="17"/>
        <v>#DIV/0!</v>
      </c>
      <c r="I52" s="7">
        <v>0</v>
      </c>
      <c r="J52" s="8">
        <v>0</v>
      </c>
      <c r="K52" s="7">
        <f t="shared" si="18"/>
        <v>1386.25</v>
      </c>
      <c r="L52" s="7">
        <v>9981</v>
      </c>
      <c r="M52" s="8">
        <v>7.2</v>
      </c>
      <c r="N52" s="7">
        <f t="shared" si="19"/>
        <v>1521.4285714285713</v>
      </c>
      <c r="O52" s="7">
        <v>14910</v>
      </c>
      <c r="P52" s="8">
        <v>9.8000000000000007</v>
      </c>
      <c r="Q52" s="7" t="e">
        <f t="shared" si="20"/>
        <v>#DIV/0!</v>
      </c>
      <c r="R52" s="7">
        <v>0</v>
      </c>
      <c r="S52" s="8">
        <v>0</v>
      </c>
      <c r="T52" s="7" t="e">
        <f t="shared" si="21"/>
        <v>#DIV/0!</v>
      </c>
      <c r="U52" s="7">
        <v>0</v>
      </c>
      <c r="V52" s="8">
        <v>0</v>
      </c>
      <c r="W52" s="7" t="e">
        <f t="shared" si="22"/>
        <v>#DIV/0!</v>
      </c>
      <c r="X52" s="7">
        <v>0</v>
      </c>
      <c r="Y52" s="8">
        <v>0</v>
      </c>
      <c r="Z52" s="7" t="e">
        <f t="shared" si="23"/>
        <v>#DIV/0!</v>
      </c>
      <c r="AA52" s="7">
        <v>0</v>
      </c>
      <c r="AB52" s="8">
        <v>0</v>
      </c>
      <c r="AC52" s="7" t="e">
        <f t="shared" si="24"/>
        <v>#DIV/0!</v>
      </c>
      <c r="AD52" s="7">
        <v>0</v>
      </c>
      <c r="AE52" s="8">
        <v>0</v>
      </c>
      <c r="AF52" s="7" t="e">
        <f t="shared" si="25"/>
        <v>#DIV/0!</v>
      </c>
      <c r="AG52" s="7">
        <v>0</v>
      </c>
      <c r="AH52" s="8">
        <v>0</v>
      </c>
      <c r="AI52" s="7" t="e">
        <f t="shared" si="26"/>
        <v>#DIV/0!</v>
      </c>
      <c r="AJ52" s="7">
        <v>0</v>
      </c>
      <c r="AK52" s="8">
        <v>0</v>
      </c>
      <c r="AL52" s="7" t="e">
        <f t="shared" si="27"/>
        <v>#DIV/0!</v>
      </c>
      <c r="AM52" s="7">
        <v>0</v>
      </c>
      <c r="AN52" s="8">
        <v>0</v>
      </c>
      <c r="AO52" s="7">
        <f t="shared" si="12"/>
        <v>1464.1764705882354</v>
      </c>
      <c r="AP52" s="7">
        <f t="shared" si="15"/>
        <v>24891</v>
      </c>
      <c r="AQ52" s="8">
        <f t="shared" si="14"/>
        <v>17</v>
      </c>
    </row>
    <row r="53" spans="1:43" x14ac:dyDescent="0.3">
      <c r="A53" s="19" t="s">
        <v>72</v>
      </c>
      <c r="B53" s="23"/>
      <c r="C53" s="23"/>
      <c r="D53" s="23"/>
      <c r="E53" s="7" t="e">
        <f t="shared" si="16"/>
        <v>#DIV/0!</v>
      </c>
      <c r="F53" s="7">
        <v>0</v>
      </c>
      <c r="G53" s="8">
        <v>0</v>
      </c>
      <c r="H53" s="7" t="e">
        <f t="shared" si="17"/>
        <v>#DIV/0!</v>
      </c>
      <c r="I53" s="7">
        <v>0</v>
      </c>
      <c r="J53" s="8">
        <v>0</v>
      </c>
      <c r="K53" s="7" t="e">
        <f t="shared" si="18"/>
        <v>#DIV/0!</v>
      </c>
      <c r="L53" s="7">
        <v>0</v>
      </c>
      <c r="M53" s="8">
        <v>0</v>
      </c>
      <c r="N53" s="7" t="e">
        <f t="shared" si="19"/>
        <v>#DIV/0!</v>
      </c>
      <c r="O53" s="7">
        <v>0</v>
      </c>
      <c r="P53" s="8">
        <v>0</v>
      </c>
      <c r="Q53" s="7">
        <f t="shared" si="20"/>
        <v>881.4432989690722</v>
      </c>
      <c r="R53" s="7">
        <v>17100</v>
      </c>
      <c r="S53" s="8">
        <v>19.399999999999999</v>
      </c>
      <c r="T53" s="7" t="e">
        <f t="shared" si="21"/>
        <v>#DIV/0!</v>
      </c>
      <c r="U53" s="7">
        <v>0</v>
      </c>
      <c r="V53" s="8">
        <v>0</v>
      </c>
      <c r="W53" s="7" t="e">
        <f t="shared" si="22"/>
        <v>#DIV/0!</v>
      </c>
      <c r="X53" s="7">
        <v>0</v>
      </c>
      <c r="Y53" s="8">
        <v>0</v>
      </c>
      <c r="Z53" s="7" t="e">
        <f t="shared" si="23"/>
        <v>#DIV/0!</v>
      </c>
      <c r="AA53" s="7">
        <v>0</v>
      </c>
      <c r="AB53" s="8">
        <v>0</v>
      </c>
      <c r="AC53" s="7" t="e">
        <f t="shared" si="24"/>
        <v>#DIV/0!</v>
      </c>
      <c r="AD53" s="7">
        <v>0</v>
      </c>
      <c r="AE53" s="8">
        <v>0</v>
      </c>
      <c r="AF53" s="7" t="e">
        <f t="shared" si="25"/>
        <v>#DIV/0!</v>
      </c>
      <c r="AG53" s="7">
        <v>0</v>
      </c>
      <c r="AH53" s="8">
        <v>0</v>
      </c>
      <c r="AI53" s="7" t="e">
        <f t="shared" si="26"/>
        <v>#DIV/0!</v>
      </c>
      <c r="AJ53" s="7">
        <v>0</v>
      </c>
      <c r="AK53" s="8">
        <v>0</v>
      </c>
      <c r="AL53" s="7" t="e">
        <f t="shared" si="27"/>
        <v>#DIV/0!</v>
      </c>
      <c r="AM53" s="7">
        <v>0</v>
      </c>
      <c r="AN53" s="8">
        <v>0</v>
      </c>
      <c r="AO53" s="7">
        <f t="shared" si="12"/>
        <v>881.4432989690722</v>
      </c>
      <c r="AP53" s="7">
        <f t="shared" si="15"/>
        <v>17100</v>
      </c>
      <c r="AQ53" s="8">
        <f t="shared" si="14"/>
        <v>19.399999999999999</v>
      </c>
    </row>
    <row r="54" spans="1:43" x14ac:dyDescent="0.3">
      <c r="A54" s="19" t="s">
        <v>79</v>
      </c>
      <c r="B54" s="23"/>
      <c r="C54" s="23"/>
      <c r="D54" s="23"/>
      <c r="E54" s="7" t="e">
        <f t="shared" si="16"/>
        <v>#DIV/0!</v>
      </c>
      <c r="F54" s="7">
        <v>0</v>
      </c>
      <c r="G54" s="8">
        <v>0</v>
      </c>
      <c r="H54" s="7" t="e">
        <f t="shared" si="17"/>
        <v>#DIV/0!</v>
      </c>
      <c r="I54" s="7">
        <v>0</v>
      </c>
      <c r="J54" s="8">
        <v>0</v>
      </c>
      <c r="K54" s="7" t="e">
        <f t="shared" si="18"/>
        <v>#DIV/0!</v>
      </c>
      <c r="L54" s="7">
        <v>0</v>
      </c>
      <c r="M54" s="8">
        <v>0</v>
      </c>
      <c r="N54" s="7">
        <f t="shared" si="19"/>
        <v>1801.25</v>
      </c>
      <c r="O54" s="7">
        <v>7205</v>
      </c>
      <c r="P54" s="8">
        <v>4</v>
      </c>
      <c r="Q54" s="7" t="e">
        <f t="shared" si="20"/>
        <v>#DIV/0!</v>
      </c>
      <c r="R54" s="7">
        <v>0</v>
      </c>
      <c r="S54" s="8">
        <v>0</v>
      </c>
      <c r="T54" s="7">
        <f t="shared" si="21"/>
        <v>1560</v>
      </c>
      <c r="U54" s="7">
        <v>8580</v>
      </c>
      <c r="V54" s="8">
        <v>5.5</v>
      </c>
      <c r="W54" s="7" t="e">
        <f t="shared" si="22"/>
        <v>#DIV/0!</v>
      </c>
      <c r="X54" s="7">
        <v>0</v>
      </c>
      <c r="Y54" s="8">
        <v>0</v>
      </c>
      <c r="Z54" s="7" t="e">
        <f t="shared" si="23"/>
        <v>#DIV/0!</v>
      </c>
      <c r="AA54" s="7">
        <v>0</v>
      </c>
      <c r="AB54" s="8">
        <v>0</v>
      </c>
      <c r="AC54" s="7" t="e">
        <f t="shared" si="24"/>
        <v>#DIV/0!</v>
      </c>
      <c r="AD54" s="7">
        <v>0</v>
      </c>
      <c r="AE54" s="8">
        <v>0</v>
      </c>
      <c r="AF54" s="7" t="e">
        <f t="shared" si="25"/>
        <v>#DIV/0!</v>
      </c>
      <c r="AG54" s="7">
        <v>0</v>
      </c>
      <c r="AH54" s="8">
        <v>0</v>
      </c>
      <c r="AI54" s="7" t="e">
        <f t="shared" si="26"/>
        <v>#DIV/0!</v>
      </c>
      <c r="AJ54" s="7">
        <v>0</v>
      </c>
      <c r="AK54" s="8">
        <v>0</v>
      </c>
      <c r="AL54" s="7" t="e">
        <f t="shared" si="27"/>
        <v>#DIV/0!</v>
      </c>
      <c r="AM54" s="7">
        <v>0</v>
      </c>
      <c r="AN54" s="8">
        <v>0</v>
      </c>
      <c r="AO54" s="7">
        <f t="shared" si="12"/>
        <v>1661.578947368421</v>
      </c>
      <c r="AP54" s="7">
        <f t="shared" si="15"/>
        <v>15785</v>
      </c>
      <c r="AQ54" s="8">
        <f t="shared" si="14"/>
        <v>9.5</v>
      </c>
    </row>
    <row r="55" spans="1:43" x14ac:dyDescent="0.3">
      <c r="A55" s="19" t="s">
        <v>81</v>
      </c>
      <c r="B55" s="23"/>
      <c r="C55" s="23"/>
      <c r="D55" s="23"/>
      <c r="E55" s="7" t="e">
        <f t="shared" si="16"/>
        <v>#DIV/0!</v>
      </c>
      <c r="F55" s="7">
        <v>0</v>
      </c>
      <c r="G55" s="8">
        <v>0</v>
      </c>
      <c r="H55" s="7" t="e">
        <f t="shared" si="17"/>
        <v>#DIV/0!</v>
      </c>
      <c r="I55" s="7">
        <v>0</v>
      </c>
      <c r="J55" s="8">
        <v>0</v>
      </c>
      <c r="K55" s="7" t="e">
        <f t="shared" si="18"/>
        <v>#DIV/0!</v>
      </c>
      <c r="L55" s="7">
        <v>0</v>
      </c>
      <c r="M55" s="8">
        <v>0</v>
      </c>
      <c r="N55" s="7" t="e">
        <f t="shared" si="19"/>
        <v>#DIV/0!</v>
      </c>
      <c r="O55" s="7">
        <v>0</v>
      </c>
      <c r="P55" s="8">
        <v>0</v>
      </c>
      <c r="Q55" s="7" t="e">
        <f t="shared" si="20"/>
        <v>#DIV/0!</v>
      </c>
      <c r="R55" s="7">
        <v>0</v>
      </c>
      <c r="S55" s="8">
        <v>0</v>
      </c>
      <c r="T55" s="7" t="e">
        <f t="shared" si="21"/>
        <v>#DIV/0!</v>
      </c>
      <c r="U55" s="7">
        <v>0</v>
      </c>
      <c r="V55" s="8">
        <v>0</v>
      </c>
      <c r="W55" s="7" t="e">
        <f t="shared" si="22"/>
        <v>#DIV/0!</v>
      </c>
      <c r="X55" s="7">
        <v>0</v>
      </c>
      <c r="Y55" s="8">
        <v>0</v>
      </c>
      <c r="Z55" s="7">
        <f t="shared" si="23"/>
        <v>2108.3142857142857</v>
      </c>
      <c r="AA55" s="7">
        <v>147582</v>
      </c>
      <c r="AB55" s="8">
        <v>70</v>
      </c>
      <c r="AC55" s="7" t="e">
        <f t="shared" si="24"/>
        <v>#DIV/0!</v>
      </c>
      <c r="AD55" s="7">
        <v>0</v>
      </c>
      <c r="AE55" s="8">
        <v>0</v>
      </c>
      <c r="AF55" s="7" t="e">
        <f t="shared" si="25"/>
        <v>#DIV/0!</v>
      </c>
      <c r="AG55" s="7">
        <v>0</v>
      </c>
      <c r="AH55" s="8">
        <v>0</v>
      </c>
      <c r="AI55" s="7" t="e">
        <f t="shared" si="26"/>
        <v>#DIV/0!</v>
      </c>
      <c r="AJ55" s="7">
        <v>0</v>
      </c>
      <c r="AK55" s="8">
        <v>0</v>
      </c>
      <c r="AL55" s="7" t="e">
        <f t="shared" si="27"/>
        <v>#DIV/0!</v>
      </c>
      <c r="AM55" s="7">
        <v>0</v>
      </c>
      <c r="AN55" s="8">
        <v>0</v>
      </c>
      <c r="AO55" s="7">
        <f t="shared" si="12"/>
        <v>2108.3142857142857</v>
      </c>
      <c r="AP55" s="7">
        <f t="shared" si="15"/>
        <v>147582</v>
      </c>
      <c r="AQ55" s="8">
        <f t="shared" si="14"/>
        <v>70</v>
      </c>
    </row>
    <row r="56" spans="1:43" x14ac:dyDescent="0.3">
      <c r="A56" s="19" t="s">
        <v>40</v>
      </c>
      <c r="B56" s="23"/>
      <c r="C56" s="23"/>
      <c r="D56" s="23"/>
      <c r="E56" s="7" t="e">
        <f t="shared" si="16"/>
        <v>#DIV/0!</v>
      </c>
      <c r="F56" s="7">
        <v>0</v>
      </c>
      <c r="G56" s="8">
        <v>0</v>
      </c>
      <c r="H56" s="7" t="e">
        <f t="shared" si="17"/>
        <v>#DIV/0!</v>
      </c>
      <c r="I56" s="7">
        <v>0</v>
      </c>
      <c r="J56" s="8">
        <v>0</v>
      </c>
      <c r="K56" s="7" t="e">
        <f t="shared" si="18"/>
        <v>#DIV/0!</v>
      </c>
      <c r="L56" s="7">
        <v>0</v>
      </c>
      <c r="M56" s="8">
        <v>0</v>
      </c>
      <c r="N56" s="7">
        <f t="shared" si="19"/>
        <v>796.15384615384619</v>
      </c>
      <c r="O56" s="7">
        <v>10350</v>
      </c>
      <c r="P56" s="8">
        <v>13</v>
      </c>
      <c r="Q56" s="7" t="e">
        <f t="shared" si="20"/>
        <v>#DIV/0!</v>
      </c>
      <c r="R56" s="7">
        <v>0</v>
      </c>
      <c r="S56" s="8">
        <v>0</v>
      </c>
      <c r="T56" s="7" t="e">
        <f t="shared" si="21"/>
        <v>#DIV/0!</v>
      </c>
      <c r="U56" s="7">
        <v>0</v>
      </c>
      <c r="V56" s="8">
        <v>0</v>
      </c>
      <c r="W56" s="7" t="e">
        <f t="shared" si="22"/>
        <v>#DIV/0!</v>
      </c>
      <c r="X56" s="7">
        <v>0</v>
      </c>
      <c r="Y56" s="8">
        <v>0</v>
      </c>
      <c r="Z56" s="7" t="e">
        <f t="shared" si="23"/>
        <v>#DIV/0!</v>
      </c>
      <c r="AA56" s="7">
        <v>0</v>
      </c>
      <c r="AB56" s="8">
        <v>0</v>
      </c>
      <c r="AC56" s="7" t="e">
        <f t="shared" si="24"/>
        <v>#DIV/0!</v>
      </c>
      <c r="AD56" s="7">
        <v>0</v>
      </c>
      <c r="AE56" s="8">
        <v>0</v>
      </c>
      <c r="AF56" s="7" t="e">
        <f t="shared" si="25"/>
        <v>#DIV/0!</v>
      </c>
      <c r="AG56" s="7">
        <v>0</v>
      </c>
      <c r="AH56" s="8">
        <v>0</v>
      </c>
      <c r="AI56" s="7" t="e">
        <f t="shared" si="26"/>
        <v>#DIV/0!</v>
      </c>
      <c r="AJ56" s="7">
        <v>0</v>
      </c>
      <c r="AK56" s="8">
        <v>0</v>
      </c>
      <c r="AL56" s="7" t="e">
        <f t="shared" si="27"/>
        <v>#DIV/0!</v>
      </c>
      <c r="AM56" s="7">
        <v>0</v>
      </c>
      <c r="AN56" s="8">
        <v>0</v>
      </c>
      <c r="AO56" s="7">
        <f t="shared" si="12"/>
        <v>796.15384615384619</v>
      </c>
      <c r="AP56" s="7">
        <f t="shared" si="15"/>
        <v>10350</v>
      </c>
      <c r="AQ56" s="8">
        <f t="shared" si="14"/>
        <v>13</v>
      </c>
    </row>
    <row r="57" spans="1:43" x14ac:dyDescent="0.3">
      <c r="A57" s="16" t="s">
        <v>82</v>
      </c>
      <c r="B57" s="24"/>
      <c r="C57" s="24"/>
      <c r="D57" s="24"/>
      <c r="E57" s="14" t="e">
        <f t="shared" si="16"/>
        <v>#DIV/0!</v>
      </c>
      <c r="F57" s="12">
        <v>0</v>
      </c>
      <c r="G57" s="13">
        <v>0</v>
      </c>
      <c r="H57" s="12" t="e">
        <f t="shared" si="17"/>
        <v>#DIV/0!</v>
      </c>
      <c r="I57" s="12">
        <v>0</v>
      </c>
      <c r="J57" s="13">
        <v>0</v>
      </c>
      <c r="K57" s="12" t="e">
        <f t="shared" si="18"/>
        <v>#DIV/0!</v>
      </c>
      <c r="L57" s="12">
        <v>0</v>
      </c>
      <c r="M57" s="13">
        <v>0</v>
      </c>
      <c r="N57" s="12" t="e">
        <f t="shared" si="19"/>
        <v>#DIV/0!</v>
      </c>
      <c r="O57" s="12">
        <v>0</v>
      </c>
      <c r="P57" s="13">
        <v>0</v>
      </c>
      <c r="Q57" s="12" t="e">
        <f t="shared" si="20"/>
        <v>#DIV/0!</v>
      </c>
      <c r="R57" s="12">
        <v>0</v>
      </c>
      <c r="S57" s="13">
        <v>0</v>
      </c>
      <c r="T57" s="12">
        <f t="shared" si="21"/>
        <v>2097.3964285714287</v>
      </c>
      <c r="U57" s="12">
        <v>587271</v>
      </c>
      <c r="V57" s="13">
        <v>280</v>
      </c>
      <c r="W57" s="12" t="e">
        <f t="shared" si="22"/>
        <v>#DIV/0!</v>
      </c>
      <c r="X57" s="12">
        <v>0</v>
      </c>
      <c r="Y57" s="13">
        <v>0</v>
      </c>
      <c r="Z57" s="12" t="e">
        <f t="shared" si="23"/>
        <v>#DIV/0!</v>
      </c>
      <c r="AA57" s="12">
        <v>0</v>
      </c>
      <c r="AB57" s="13">
        <v>0</v>
      </c>
      <c r="AC57" s="12" t="e">
        <f t="shared" si="24"/>
        <v>#DIV/0!</v>
      </c>
      <c r="AD57" s="12">
        <v>0</v>
      </c>
      <c r="AE57" s="13">
        <v>0</v>
      </c>
      <c r="AF57" s="12" t="e">
        <f t="shared" si="25"/>
        <v>#DIV/0!</v>
      </c>
      <c r="AG57" s="12">
        <v>0</v>
      </c>
      <c r="AH57" s="13">
        <v>0</v>
      </c>
      <c r="AI57" s="12" t="e">
        <f t="shared" si="26"/>
        <v>#DIV/0!</v>
      </c>
      <c r="AJ57" s="12">
        <v>0</v>
      </c>
      <c r="AK57" s="13">
        <v>0</v>
      </c>
      <c r="AL57" s="12" t="e">
        <f t="shared" si="27"/>
        <v>#DIV/0!</v>
      </c>
      <c r="AM57" s="12">
        <v>0</v>
      </c>
      <c r="AN57" s="13">
        <v>0</v>
      </c>
      <c r="AO57" s="12">
        <f t="shared" si="12"/>
        <v>2097.3964285714287</v>
      </c>
      <c r="AP57" s="12">
        <f t="shared" si="15"/>
        <v>587271</v>
      </c>
      <c r="AQ57" s="13">
        <f t="shared" si="14"/>
        <v>280</v>
      </c>
    </row>
    <row r="58" spans="1:43" x14ac:dyDescent="0.3">
      <c r="A58" s="1" t="s">
        <v>42</v>
      </c>
      <c r="B58" s="1"/>
    </row>
    <row r="59" spans="1:43" x14ac:dyDescent="0.3">
      <c r="A59" s="1" t="s">
        <v>68</v>
      </c>
      <c r="B59" s="1"/>
    </row>
    <row r="60" spans="1:43" x14ac:dyDescent="0.3">
      <c r="A60" s="1" t="s">
        <v>43</v>
      </c>
      <c r="B60" s="1"/>
    </row>
    <row r="61" spans="1:43" x14ac:dyDescent="0.3">
      <c r="A61" s="1" t="s">
        <v>44</v>
      </c>
      <c r="B61" s="1"/>
    </row>
    <row r="62" spans="1:43" x14ac:dyDescent="0.3">
      <c r="A62" s="1" t="s">
        <v>69</v>
      </c>
      <c r="B62" s="1"/>
    </row>
  </sheetData>
  <mergeCells count="16">
    <mergeCell ref="B3:B57"/>
    <mergeCell ref="C3:C57"/>
    <mergeCell ref="AO1:AQ1"/>
    <mergeCell ref="W1:Y1"/>
    <mergeCell ref="Z1:AB1"/>
    <mergeCell ref="AC1:AE1"/>
    <mergeCell ref="AF1:AH1"/>
    <mergeCell ref="AI1:AK1"/>
    <mergeCell ref="D3:D57"/>
    <mergeCell ref="N1:P1"/>
    <mergeCell ref="Q1:S1"/>
    <mergeCell ref="T1:V1"/>
    <mergeCell ref="AL1:AN1"/>
    <mergeCell ref="E1:G1"/>
    <mergeCell ref="H1:J1"/>
    <mergeCell ref="K1:M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2021년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2026-08-07T05:29:37Z</dcterms:modified>
</cp:coreProperties>
</file>