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AQ30" i="1" l="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0" i="1"/>
  <c r="Z29" i="1"/>
  <c r="Z28" i="1"/>
  <c r="Z27" i="1"/>
  <c r="Z26" i="1"/>
  <c r="Z25" i="1"/>
  <c r="Z24" i="1"/>
  <c r="Z23" i="1"/>
  <c r="Z22" i="1"/>
  <c r="Z21" i="1"/>
  <c r="Z20" i="1"/>
  <c r="Z19" i="1"/>
  <c r="Z18" i="1"/>
  <c r="Z17" i="1"/>
  <c r="Z16" i="1"/>
  <c r="Z15" i="1"/>
  <c r="Z14" i="1"/>
  <c r="Z13" i="1"/>
  <c r="Z12" i="1"/>
  <c r="Z11" i="1"/>
  <c r="Z10" i="1"/>
  <c r="Z9" i="1"/>
  <c r="Z8" i="1"/>
  <c r="Z7" i="1"/>
  <c r="Z6" i="1"/>
  <c r="Z5" i="1"/>
  <c r="Z4" i="1"/>
  <c r="W30" i="1"/>
  <c r="W29" i="1"/>
  <c r="W28" i="1"/>
  <c r="W27" i="1"/>
  <c r="W26" i="1"/>
  <c r="W25" i="1"/>
  <c r="W24" i="1"/>
  <c r="W23" i="1"/>
  <c r="W22" i="1"/>
  <c r="W21" i="1"/>
  <c r="W20" i="1"/>
  <c r="W19" i="1"/>
  <c r="W18" i="1"/>
  <c r="W17" i="1"/>
  <c r="W16" i="1"/>
  <c r="W15" i="1"/>
  <c r="W14" i="1"/>
  <c r="W13" i="1"/>
  <c r="W12" i="1"/>
  <c r="W11" i="1"/>
  <c r="W10" i="1"/>
  <c r="W9" i="1"/>
  <c r="W8" i="1"/>
  <c r="W7" i="1"/>
  <c r="W6" i="1"/>
  <c r="W5" i="1"/>
  <c r="W4" i="1"/>
  <c r="T30" i="1"/>
  <c r="T29" i="1"/>
  <c r="T28" i="1"/>
  <c r="T27" i="1"/>
  <c r="T26" i="1"/>
  <c r="T25" i="1"/>
  <c r="T24" i="1"/>
  <c r="T23" i="1"/>
  <c r="T22" i="1"/>
  <c r="T21" i="1"/>
  <c r="T20" i="1"/>
  <c r="T19" i="1"/>
  <c r="T18" i="1"/>
  <c r="T17" i="1"/>
  <c r="T16" i="1"/>
  <c r="T15" i="1"/>
  <c r="T14" i="1"/>
  <c r="T13" i="1"/>
  <c r="T12" i="1"/>
  <c r="T11" i="1"/>
  <c r="T10" i="1"/>
  <c r="T9" i="1"/>
  <c r="T8" i="1"/>
  <c r="T7" i="1"/>
  <c r="T6" i="1"/>
  <c r="T5" i="1"/>
  <c r="T4" i="1"/>
  <c r="Q30" i="1"/>
  <c r="Q29" i="1"/>
  <c r="Q28" i="1"/>
  <c r="Q27" i="1"/>
  <c r="Q26" i="1"/>
  <c r="Q25" i="1"/>
  <c r="Q24" i="1"/>
  <c r="Q23" i="1"/>
  <c r="Q22" i="1"/>
  <c r="Q21" i="1"/>
  <c r="Q20" i="1"/>
  <c r="Q19" i="1"/>
  <c r="Q18" i="1"/>
  <c r="Q17" i="1"/>
  <c r="Q16" i="1"/>
  <c r="Q15" i="1"/>
  <c r="Q14" i="1"/>
  <c r="Q13" i="1"/>
  <c r="Q12" i="1"/>
  <c r="Q11" i="1"/>
  <c r="Q10" i="1"/>
  <c r="Q9" i="1"/>
  <c r="Q8" i="1"/>
  <c r="Q7" i="1"/>
  <c r="Q6" i="1"/>
  <c r="Q5" i="1"/>
  <c r="Q4" i="1"/>
  <c r="N30" i="1"/>
  <c r="N29" i="1"/>
  <c r="N28" i="1"/>
  <c r="N27" i="1"/>
  <c r="N26" i="1"/>
  <c r="N25" i="1"/>
  <c r="N24" i="1"/>
  <c r="N23" i="1"/>
  <c r="N22" i="1"/>
  <c r="N21" i="1"/>
  <c r="N20" i="1"/>
  <c r="N19" i="1"/>
  <c r="N18" i="1"/>
  <c r="N17" i="1"/>
  <c r="N16" i="1"/>
  <c r="N15" i="1"/>
  <c r="N14" i="1"/>
  <c r="N13" i="1"/>
  <c r="N12" i="1"/>
  <c r="N11" i="1"/>
  <c r="N10" i="1"/>
  <c r="N9" i="1"/>
  <c r="N8" i="1"/>
  <c r="N7" i="1"/>
  <c r="N6" i="1"/>
  <c r="N5" i="1"/>
  <c r="N4" i="1"/>
  <c r="K30" i="1"/>
  <c r="K29" i="1"/>
  <c r="K28" i="1"/>
  <c r="K27" i="1"/>
  <c r="K26" i="1"/>
  <c r="K25" i="1"/>
  <c r="K24" i="1"/>
  <c r="K23" i="1"/>
  <c r="K22" i="1"/>
  <c r="K21" i="1"/>
  <c r="K20" i="1"/>
  <c r="K19" i="1"/>
  <c r="K18" i="1"/>
  <c r="K17" i="1"/>
  <c r="K16" i="1"/>
  <c r="K15" i="1"/>
  <c r="K14" i="1"/>
  <c r="K13" i="1"/>
  <c r="K12" i="1"/>
  <c r="K11" i="1"/>
  <c r="K10" i="1"/>
  <c r="K9" i="1"/>
  <c r="K8" i="1"/>
  <c r="K7" i="1"/>
  <c r="K6" i="1"/>
  <c r="K5" i="1"/>
  <c r="K4" i="1"/>
  <c r="H30" i="1"/>
  <c r="H29" i="1"/>
  <c r="H28" i="1"/>
  <c r="H27" i="1"/>
  <c r="H26" i="1"/>
  <c r="H25" i="1"/>
  <c r="H24" i="1"/>
  <c r="H23" i="1"/>
  <c r="H22" i="1"/>
  <c r="H21" i="1"/>
  <c r="H20" i="1"/>
  <c r="H19" i="1"/>
  <c r="H18" i="1"/>
  <c r="H17" i="1"/>
  <c r="H16" i="1"/>
  <c r="H15" i="1"/>
  <c r="H14" i="1"/>
  <c r="H13" i="1"/>
  <c r="H12" i="1"/>
  <c r="H11" i="1"/>
  <c r="H10" i="1"/>
  <c r="H9" i="1"/>
  <c r="H8" i="1"/>
  <c r="H7" i="1"/>
  <c r="H6" i="1"/>
  <c r="H5" i="1"/>
  <c r="H4"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11" i="1"/>
  <c r="AO27" i="1"/>
  <c r="AO20" i="1"/>
  <c r="AO28" i="1"/>
  <c r="AO5" i="1"/>
  <c r="AO13" i="1"/>
  <c r="AO21" i="1"/>
  <c r="AO29" i="1"/>
  <c r="AO6" i="1"/>
  <c r="AO14" i="1"/>
  <c r="AO22" i="1"/>
  <c r="AO30" i="1"/>
  <c r="AO8" i="1"/>
  <c r="AO16" i="1"/>
  <c r="AO24" i="1"/>
  <c r="AO9" i="1"/>
  <c r="AO17" i="1"/>
  <c r="AO25" i="1"/>
  <c r="AO19" i="1"/>
  <c r="AO23" i="1"/>
  <c r="AO3" i="1" l="1"/>
  <c r="AO4" i="1"/>
  <c r="AO12" i="1"/>
</calcChain>
</file>

<file path=xl/sharedStrings.xml><?xml version="1.0" encoding="utf-8"?>
<sst xmlns="http://schemas.openxmlformats.org/spreadsheetml/2006/main" count="92" uniqueCount="56">
  <si>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</si>
  <si>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</si>
  <si>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</si>
  <si>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</si>
  <si>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</si>
  <si>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</si>
  <si>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</si>
  <si>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</si>
  <si>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</si>
  <si>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</si>
  <si>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</si>
  <si>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</si>
  <si>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</si>
  <si>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</si>
  <si>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</si>
  <si>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</si>
  <si>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</si>
  <si>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</si>
  <si>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Jamaica</t>
  </si>
  <si>
    <t>Mexico</t>
  </si>
  <si>
    <t>United Arab Emirates</t>
  </si>
  <si>
    <t>Bahamas, The</t>
  </si>
  <si>
    <t>Belize</t>
  </si>
  <si>
    <t>Guatemala</t>
  </si>
  <si>
    <t>Honduras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</si>
  <si>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</si>
  <si>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</si>
  <si>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</si>
  <si>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</si>
  <si>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</si>
  <si>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</si>
  <si>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</si>
  <si>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</si>
  <si>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</si>
  <si>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</si>
  <si>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</si>
  <si>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</si>
  <si>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</si>
  <si>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</si>
  <si>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</si>
  <si>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New Zealand(*)</t>
  </si>
  <si>
    <t>United Kingdom</t>
  </si>
  <si>
    <t>1. Data Source: U.S. Census Bureau Trade Data</t>
  </si>
  <si>
    <t>4. Product Group : Harmonized</t>
  </si>
  <si>
    <t>Product</t>
    <phoneticPr fontId="18" type="noConversion"/>
  </si>
  <si>
    <t>Qatar</t>
  </si>
  <si>
    <t>SOY OIL HYDRGNTD</t>
    <phoneticPr fontId="18" type="noConversion"/>
  </si>
  <si>
    <t>Jordan</t>
  </si>
  <si>
    <t>Barbados</t>
  </si>
  <si>
    <t>Guyana</t>
  </si>
  <si>
    <t>Bahrain</t>
  </si>
  <si>
    <t>Malta</t>
  </si>
  <si>
    <t>Bermuda</t>
  </si>
  <si>
    <t>Hungary</t>
  </si>
  <si>
    <t>Korea, South</t>
  </si>
  <si>
    <t>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</si>
</sst>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31</v>
      </c>
      <c r="B2" s="2" t="s">
        <v>44</v>
      </c>
      <c r="C2" s="2" t="s">
        <v>13</v>
      </c>
      <c r="D2" s="2" t="s">
        <v>32</v>
      </c>
      <c r="E2" s="4" t="s">
        <v>14</v>
      </c>
      <c r="F2" s="2" t="s">
        <v>32</v>
      </c>
      <c r="G2" s="5" t="s">
        <v>15</v>
      </c>
      <c r="H2" s="2" t="s">
        <v>14</v>
      </c>
      <c r="I2" s="2" t="s">
        <v>32</v>
      </c>
      <c r="J2" s="5" t="s">
        <v>15</v>
      </c>
      <c r="K2" s="2" t="s">
        <v>14</v>
      </c>
      <c r="L2" s="2" t="s">
        <v>32</v>
      </c>
      <c r="M2" s="5" t="s">
        <v>15</v>
      </c>
      <c r="N2" s="2" t="s">
        <v>14</v>
      </c>
      <c r="O2" s="2" t="s">
        <v>32</v>
      </c>
      <c r="P2" s="5" t="s">
        <v>15</v>
      </c>
      <c r="Q2" s="2" t="s">
        <v>14</v>
      </c>
      <c r="R2" s="2" t="s">
        <v>32</v>
      </c>
      <c r="S2" s="5" t="s">
        <v>15</v>
      </c>
      <c r="T2" s="2" t="s">
        <v>14</v>
      </c>
      <c r="U2" s="2" t="s">
        <v>32</v>
      </c>
      <c r="V2" s="5" t="s">
        <v>15</v>
      </c>
      <c r="W2" s="2" t="s">
        <v>14</v>
      </c>
      <c r="X2" s="2" t="s">
        <v>32</v>
      </c>
      <c r="Y2" s="5" t="s">
        <v>15</v>
      </c>
      <c r="Z2" s="2" t="s">
        <v>14</v>
      </c>
      <c r="AA2" s="2" t="s">
        <v>32</v>
      </c>
      <c r="AB2" s="5" t="s">
        <v>15</v>
      </c>
      <c r="AC2" s="2" t="s">
        <v>14</v>
      </c>
      <c r="AD2" s="2" t="s">
        <v>32</v>
      </c>
      <c r="AE2" s="5" t="s">
        <v>15</v>
      </c>
      <c r="AF2" s="2" t="s">
        <v>14</v>
      </c>
      <c r="AG2" s="2" t="s">
        <v>32</v>
      </c>
      <c r="AH2" s="5" t="s">
        <v>15</v>
      </c>
      <c r="AI2" s="2" t="s">
        <v>14</v>
      </c>
      <c r="AJ2" s="2" t="s">
        <v>32</v>
      </c>
      <c r="AK2" s="5" t="s">
        <v>15</v>
      </c>
      <c r="AL2" s="2" t="s">
        <v>14</v>
      </c>
      <c r="AM2" s="2" t="s">
        <v>32</v>
      </c>
      <c r="AN2" s="5" t="s">
        <v>15</v>
      </c>
      <c r="AO2" s="2" t="s">
        <v>14</v>
      </c>
      <c r="AP2" s="2" t="s">
        <v>34</v>
      </c>
      <c r="AQ2" s="5" t="s">
        <v>15</v>
      </c>
    </row>
    <row r="3" spans="1:67" ht="15" customHeight="1" x14ac:dyDescent="0.3">
      <c r="A3" s="7" t="s">
        <v>16</v>
      </c>
      <c r="B3" s="19" t="s">
        <v>46</v>
      </c>
      <c r="C3" s="19" t="s">
        <v>17</v>
      </c>
      <c r="D3" s="19" t="s">
        <v>33</v>
      </c>
      <c r="E3" s="10">
        <f>F3/G3</f>
        <v>1140.7700205338808</v>
      </c>
      <c r="F3" s="10">
        <f>SUM(F4:F30)</f>
        <v>222222</v>
      </c>
      <c r="G3" s="11">
        <f>SUM(G4:G30)</f>
        <v>194.8</v>
      </c>
      <c r="H3" s="10">
        <f>I3/J3</f>
        <v>1073.9057507987222</v>
      </c>
      <c r="I3" s="10">
        <f>SUM(I4:I30)</f>
        <v>268906</v>
      </c>
      <c r="J3" s="11">
        <f>SUM(J4:J30)</f>
        <v>250.39999999999995</v>
      </c>
      <c r="K3" s="10">
        <f>L3/M3</f>
        <v>1294.6076249814569</v>
      </c>
      <c r="L3" s="10">
        <f>SUM(L4:L30)</f>
        <v>872695</v>
      </c>
      <c r="M3" s="11">
        <f>SUM(M4:M30)</f>
        <v>674.09999999999991</v>
      </c>
      <c r="N3" s="10">
        <f>O3/P3</f>
        <v>1128.9154411764707</v>
      </c>
      <c r="O3" s="10">
        <f>SUM(O4:O30)</f>
        <v>429891</v>
      </c>
      <c r="P3" s="11">
        <f>SUM(P4:P30)</f>
        <v>380.79999999999995</v>
      </c>
      <c r="Q3" s="10">
        <f>R3/S3</f>
        <v>1155.2544188537761</v>
      </c>
      <c r="R3" s="10">
        <f>SUM(R4:R30)</f>
        <v>431372</v>
      </c>
      <c r="S3" s="11">
        <f>SUM(S4:S30)</f>
        <v>373.40000000000003</v>
      </c>
      <c r="T3" s="10">
        <f>U3/V3</f>
        <v>1163.9619473978737</v>
      </c>
      <c r="U3" s="10">
        <f>SUM(U4:U30)</f>
        <v>416000</v>
      </c>
      <c r="V3" s="11">
        <f>SUM(V4:V30)</f>
        <v>357.4</v>
      </c>
      <c r="W3" s="10">
        <f>X3/Y3</f>
        <v>1113.1476014760149</v>
      </c>
      <c r="X3" s="10">
        <f>SUM(X4:X30)</f>
        <v>301663</v>
      </c>
      <c r="Y3" s="11">
        <f>SUM(Y4:Y30)</f>
        <v>271</v>
      </c>
      <c r="Z3" s="10">
        <f>AA3/AB3</f>
        <v>1092.5420645748068</v>
      </c>
      <c r="AA3" s="10">
        <f>SUM(AA4:AA30)</f>
        <v>240250</v>
      </c>
      <c r="AB3" s="11">
        <f>SUM(AB4:AB30)</f>
        <v>219.89999999999998</v>
      </c>
      <c r="AC3" s="10">
        <f>AD3/AE3</f>
        <v>1119.6363636363637</v>
      </c>
      <c r="AD3" s="10">
        <f>SUM(AD4:AD30)</f>
        <v>252478</v>
      </c>
      <c r="AE3" s="11">
        <f>SUM(AE4:AE30)</f>
        <v>225.5</v>
      </c>
      <c r="AF3" s="10">
        <f>AG3/AH3</f>
        <v>1278.9099526066352</v>
      </c>
      <c r="AG3" s="10">
        <f>SUM(AG4:AG30)</f>
        <v>350805</v>
      </c>
      <c r="AH3" s="11">
        <f>SUM(AH4:AH30)</f>
        <v>274.29999999999995</v>
      </c>
      <c r="AI3" s="10">
        <f>AJ3/AK3</f>
        <v>1123.9016963897345</v>
      </c>
      <c r="AJ3" s="10">
        <f>SUM(AJ4:AJ30)</f>
        <v>258385</v>
      </c>
      <c r="AK3" s="11">
        <f>SUM(AK4:AK30)</f>
        <v>229.90000000000003</v>
      </c>
      <c r="AL3" s="10">
        <f>AM3/AN3</f>
        <v>1111.0330578512396</v>
      </c>
      <c r="AM3" s="10">
        <f>SUM(AM4:AM30)</f>
        <v>188209</v>
      </c>
      <c r="AN3" s="11">
        <f>SUM(AN4:AN30)</f>
        <v>169.4</v>
      </c>
      <c r="AO3" s="10">
        <f>AP3/AQ3</f>
        <v>1169.012124057555</v>
      </c>
      <c r="AP3" s="10">
        <f>SUM(AP4:AP30)</f>
        <v>4232876</v>
      </c>
      <c r="AQ3" s="11">
        <f>SUM(AQ4:AQ30)</f>
        <v>3620.8999999999996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19</v>
      </c>
      <c r="B4" s="20"/>
      <c r="C4" s="20"/>
      <c r="D4" s="20"/>
      <c r="E4" s="3">
        <f t="shared" ref="E4:E11" si="0">F4/G4</f>
        <v>1067.5342465753424</v>
      </c>
      <c r="F4" s="3">
        <v>62344</v>
      </c>
      <c r="G4" s="6">
        <v>58.4</v>
      </c>
      <c r="H4" s="3">
        <f t="shared" ref="H4:H11" si="1">I4/J4</f>
        <v>1030.3536345776031</v>
      </c>
      <c r="I4" s="3">
        <v>104890</v>
      </c>
      <c r="J4" s="6">
        <v>101.8</v>
      </c>
      <c r="K4" s="3">
        <f t="shared" ref="K4:K11" si="2">L4/M4</f>
        <v>1019.2661691542288</v>
      </c>
      <c r="L4" s="3">
        <v>81949</v>
      </c>
      <c r="M4" s="6">
        <v>80.400000000000006</v>
      </c>
      <c r="N4" s="3">
        <f t="shared" ref="N4:N11" si="3">O4/P4</f>
        <v>1062.2595419847328</v>
      </c>
      <c r="O4" s="3">
        <v>69578</v>
      </c>
      <c r="P4" s="6">
        <v>65.5</v>
      </c>
      <c r="Q4" s="3">
        <f t="shared" ref="Q4:Q11" si="4">R4/S4</f>
        <v>1044.8</v>
      </c>
      <c r="R4" s="3">
        <v>130600</v>
      </c>
      <c r="S4" s="6">
        <v>125</v>
      </c>
      <c r="T4" s="3">
        <f t="shared" ref="T4:T11" si="5">U4/V4</f>
        <v>1119.7677419354839</v>
      </c>
      <c r="U4" s="3">
        <v>86782</v>
      </c>
      <c r="V4" s="6">
        <v>77.5</v>
      </c>
      <c r="W4" s="3">
        <f t="shared" ref="W4:W11" si="6">X4/Y4</f>
        <v>1063.7260677466861</v>
      </c>
      <c r="X4" s="3">
        <v>72227</v>
      </c>
      <c r="Y4" s="6">
        <v>67.900000000000006</v>
      </c>
      <c r="Z4" s="3">
        <f t="shared" ref="Z4:Z11" si="7">AA4/AB4</f>
        <v>1106.627140974967</v>
      </c>
      <c r="AA4" s="3">
        <v>83993</v>
      </c>
      <c r="AB4" s="6">
        <v>75.900000000000006</v>
      </c>
      <c r="AC4" s="3">
        <f t="shared" ref="AC4:AC11" si="8">AD4/AE4</f>
        <v>1094.1074523396881</v>
      </c>
      <c r="AD4" s="3">
        <v>63130</v>
      </c>
      <c r="AE4" s="6">
        <v>57.7</v>
      </c>
      <c r="AF4" s="3">
        <f t="shared" ref="AF4:AF11" si="9">AG4/AH4</f>
        <v>1135.9383753501399</v>
      </c>
      <c r="AG4" s="3">
        <v>81106</v>
      </c>
      <c r="AH4" s="6">
        <v>71.400000000000006</v>
      </c>
      <c r="AI4" s="3">
        <f t="shared" ref="AI4:AI11" si="10">AJ4/AK4</f>
        <v>1051.1585365853657</v>
      </c>
      <c r="AJ4" s="3">
        <v>51717</v>
      </c>
      <c r="AK4" s="6">
        <v>49.2</v>
      </c>
      <c r="AL4" s="3">
        <f t="shared" ref="AL4:AL11" si="11">AM4/AN4</f>
        <v>1067.8684531059685</v>
      </c>
      <c r="AM4" s="3">
        <v>87672</v>
      </c>
      <c r="AN4" s="6">
        <v>82.1</v>
      </c>
      <c r="AO4" s="3">
        <f t="shared" ref="AO4:AO30" si="12">AP4/AQ4</f>
        <v>1069.2243645924627</v>
      </c>
      <c r="AP4" s="3">
        <f t="shared" ref="AP4" si="13">SUM(F4,I4,L4,O4,R4,U4,X4,AA4,AD4,AG4,AJ4,AM4)</f>
        <v>975988</v>
      </c>
      <c r="AQ4" s="6">
        <f t="shared" ref="AQ4" si="14">SUM(G4,J4,M4,P4,S4,V4,Y4,AB4,AE4,AH4,AK4,AN4)</f>
        <v>912.80000000000007</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23</v>
      </c>
      <c r="B5" s="20"/>
      <c r="C5" s="20"/>
      <c r="D5" s="20"/>
      <c r="E5" s="3">
        <f t="shared" si="0"/>
        <v>1055.1181102362204</v>
      </c>
      <c r="F5" s="3">
        <v>40200</v>
      </c>
      <c r="G5" s="6">
        <v>38.1</v>
      </c>
      <c r="H5" s="3">
        <f t="shared" si="1"/>
        <v>1052.3560209424083</v>
      </c>
      <c r="I5" s="3">
        <v>20100</v>
      </c>
      <c r="J5" s="6">
        <v>19.100000000000001</v>
      </c>
      <c r="K5" s="3">
        <f t="shared" si="2"/>
        <v>1011.131221719457</v>
      </c>
      <c r="L5" s="3">
        <v>67038</v>
      </c>
      <c r="M5" s="6">
        <v>66.3</v>
      </c>
      <c r="N5" s="3">
        <f t="shared" si="3"/>
        <v>1097.5409836065573</v>
      </c>
      <c r="O5" s="3">
        <v>66950</v>
      </c>
      <c r="P5" s="6">
        <v>61</v>
      </c>
      <c r="Q5" s="3">
        <f t="shared" si="4"/>
        <v>1104.9784172661871</v>
      </c>
      <c r="R5" s="3">
        <v>76796</v>
      </c>
      <c r="S5" s="6">
        <v>69.5</v>
      </c>
      <c r="T5" s="3">
        <f t="shared" si="5"/>
        <v>1086.3113897596656</v>
      </c>
      <c r="U5" s="3">
        <v>103960</v>
      </c>
      <c r="V5" s="6">
        <v>95.7</v>
      </c>
      <c r="W5" s="3">
        <f t="shared" si="6"/>
        <v>1092.1001615508885</v>
      </c>
      <c r="X5" s="3">
        <v>67601</v>
      </c>
      <c r="Y5" s="6">
        <v>61.9</v>
      </c>
      <c r="Z5" s="3">
        <f t="shared" si="7"/>
        <v>1085.8563535911603</v>
      </c>
      <c r="AA5" s="3">
        <v>58962</v>
      </c>
      <c r="AB5" s="6">
        <v>54.3</v>
      </c>
      <c r="AC5" s="3">
        <f t="shared" si="8"/>
        <v>1076.3120567375886</v>
      </c>
      <c r="AD5" s="3">
        <v>75880</v>
      </c>
      <c r="AE5" s="6">
        <v>70.5</v>
      </c>
      <c r="AF5" s="3">
        <f t="shared" si="9"/>
        <v>1061.0256410256411</v>
      </c>
      <c r="AG5" s="3">
        <v>45518</v>
      </c>
      <c r="AH5" s="6">
        <v>42.9</v>
      </c>
      <c r="AI5" s="3">
        <f t="shared" si="10"/>
        <v>1066.6203703703704</v>
      </c>
      <c r="AJ5" s="3">
        <v>69117</v>
      </c>
      <c r="AK5" s="6">
        <v>64.8</v>
      </c>
      <c r="AL5" s="3">
        <f t="shared" si="11"/>
        <v>1090.3625954198474</v>
      </c>
      <c r="AM5" s="3">
        <v>57135</v>
      </c>
      <c r="AN5" s="6">
        <v>52.4</v>
      </c>
      <c r="AO5" s="3">
        <f t="shared" si="12"/>
        <v>1075.7458722182341</v>
      </c>
      <c r="AP5" s="3">
        <f t="shared" ref="AP5:AP30" si="15">SUM(F5,I5,L5,O5,R5,U5,X5,AA5,AD5,AG5,AJ5,AM5)</f>
        <v>749257</v>
      </c>
      <c r="AQ5" s="6">
        <f t="shared" ref="AQ5:AQ30" si="16">SUM(G5,J5,M5,P5,S5,V5,Y5,AB5,AE5,AH5,AK5,AN5)</f>
        <v>696.49999999999989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37</v>
      </c>
      <c r="B6" s="20"/>
      <c r="C6" s="20"/>
      <c r="D6" s="20"/>
      <c r="E6" s="3">
        <f t="shared" si="0"/>
        <v>1192.2516556291391</v>
      </c>
      <c r="F6" s="3">
        <v>18003</v>
      </c>
      <c r="G6" s="6">
        <v>15.1</v>
      </c>
      <c r="H6" s="3" t="e">
        <f t="shared" si="1"/>
        <v>#DIV/0!</v>
      </c>
      <c r="I6" s="3">
        <v>0</v>
      </c>
      <c r="J6" s="6">
        <v>0</v>
      </c>
      <c r="K6" s="3">
        <f t="shared" si="2"/>
        <v>1257.3109243697479</v>
      </c>
      <c r="L6" s="3">
        <v>104734</v>
      </c>
      <c r="M6" s="6">
        <v>83.3</v>
      </c>
      <c r="N6" s="3">
        <f t="shared" si="3"/>
        <v>1451.3274336283184</v>
      </c>
      <c r="O6" s="3">
        <v>16400</v>
      </c>
      <c r="P6" s="6">
        <v>11.3</v>
      </c>
      <c r="Q6" s="3" t="e">
        <f t="shared" si="4"/>
        <v>#DIV/0!</v>
      </c>
      <c r="R6" s="3">
        <v>0</v>
      </c>
      <c r="S6" s="6">
        <v>0</v>
      </c>
      <c r="T6" s="3">
        <f t="shared" si="5"/>
        <v>1162.303664921466</v>
      </c>
      <c r="U6" s="3">
        <v>22200</v>
      </c>
      <c r="V6" s="6">
        <v>19.100000000000001</v>
      </c>
      <c r="W6" s="3">
        <f t="shared" si="6"/>
        <v>3127.3333333333335</v>
      </c>
      <c r="X6" s="3">
        <v>4691</v>
      </c>
      <c r="Y6" s="6">
        <v>1.5</v>
      </c>
      <c r="Z6" s="3" t="e">
        <f t="shared" si="7"/>
        <v>#DIV/0!</v>
      </c>
      <c r="AA6" s="3">
        <v>0</v>
      </c>
      <c r="AB6" s="6">
        <v>0</v>
      </c>
      <c r="AC6" s="3">
        <f t="shared" si="8"/>
        <v>1246.098003629764</v>
      </c>
      <c r="AD6" s="3">
        <v>68660</v>
      </c>
      <c r="AE6" s="6">
        <v>55.1</v>
      </c>
      <c r="AF6" s="3">
        <f t="shared" si="9"/>
        <v>1309.0027700831024</v>
      </c>
      <c r="AG6" s="3">
        <v>47255</v>
      </c>
      <c r="AH6" s="6">
        <v>36.1</v>
      </c>
      <c r="AI6" s="3" t="e">
        <f t="shared" si="10"/>
        <v>#DIV/0!</v>
      </c>
      <c r="AJ6" s="3">
        <v>0</v>
      </c>
      <c r="AK6" s="6">
        <v>0</v>
      </c>
      <c r="AL6" s="3">
        <f t="shared" si="11"/>
        <v>1275.4891304347827</v>
      </c>
      <c r="AM6" s="3">
        <v>23469</v>
      </c>
      <c r="AN6" s="6">
        <v>18.399999999999999</v>
      </c>
      <c r="AO6" s="3">
        <f t="shared" si="12"/>
        <v>1273.0804501875782</v>
      </c>
      <c r="AP6" s="3">
        <f t="shared" si="15"/>
        <v>305412</v>
      </c>
      <c r="AQ6" s="6">
        <f t="shared" si="16"/>
        <v>239.89999999999998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22</v>
      </c>
      <c r="B7" s="20"/>
      <c r="C7" s="20"/>
      <c r="D7" s="20"/>
      <c r="E7" s="3" t="e">
        <f t="shared" si="0"/>
        <v>#DIV/0!</v>
      </c>
      <c r="F7" s="3">
        <v>0</v>
      </c>
      <c r="G7" s="6">
        <v>0</v>
      </c>
      <c r="H7" s="3">
        <f t="shared" si="1"/>
        <v>1097.3684210526317</v>
      </c>
      <c r="I7" s="3">
        <v>4170</v>
      </c>
      <c r="J7" s="6">
        <v>3.8</v>
      </c>
      <c r="K7" s="3">
        <f t="shared" si="2"/>
        <v>1112</v>
      </c>
      <c r="L7" s="3">
        <v>3336</v>
      </c>
      <c r="M7" s="6">
        <v>3</v>
      </c>
      <c r="N7" s="3">
        <f t="shared" si="3"/>
        <v>1280.7954545454545</v>
      </c>
      <c r="O7" s="3">
        <v>11271</v>
      </c>
      <c r="P7" s="6">
        <v>8.8000000000000007</v>
      </c>
      <c r="Q7" s="3" t="e">
        <f t="shared" si="4"/>
        <v>#DIV/0!</v>
      </c>
      <c r="R7" s="3">
        <v>0</v>
      </c>
      <c r="S7" s="6">
        <v>0</v>
      </c>
      <c r="T7" s="3" t="e">
        <f t="shared" si="5"/>
        <v>#DIV/0!</v>
      </c>
      <c r="U7" s="3">
        <v>0</v>
      </c>
      <c r="V7" s="6">
        <v>0</v>
      </c>
      <c r="W7" s="3">
        <f t="shared" si="6"/>
        <v>1064.7857142857142</v>
      </c>
      <c r="X7" s="3">
        <v>14907</v>
      </c>
      <c r="Y7" s="6">
        <v>14</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f t="shared" si="11"/>
        <v>1217.3</v>
      </c>
      <c r="AM7" s="3">
        <v>12173</v>
      </c>
      <c r="AN7" s="6">
        <v>10</v>
      </c>
      <c r="AO7" s="3">
        <f t="shared" si="12"/>
        <v>1158.0050505050506</v>
      </c>
      <c r="AP7" s="3">
        <f t="shared" si="15"/>
        <v>45857</v>
      </c>
      <c r="AQ7" s="6">
        <f t="shared" si="16"/>
        <v>39.6</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18</v>
      </c>
      <c r="B8" s="20"/>
      <c r="C8" s="20"/>
      <c r="D8" s="20"/>
      <c r="E8" s="3">
        <f t="shared" si="0"/>
        <v>1216.2790697674418</v>
      </c>
      <c r="F8" s="3">
        <v>5230</v>
      </c>
      <c r="G8" s="6">
        <v>4.3</v>
      </c>
      <c r="H8" s="3">
        <f t="shared" si="1"/>
        <v>1203.191489361702</v>
      </c>
      <c r="I8" s="3">
        <v>5655</v>
      </c>
      <c r="J8" s="6">
        <v>4.7</v>
      </c>
      <c r="K8" s="3">
        <f t="shared" si="2"/>
        <v>1162.3214285714287</v>
      </c>
      <c r="L8" s="3">
        <v>6509</v>
      </c>
      <c r="M8" s="6">
        <v>5.6</v>
      </c>
      <c r="N8" s="3">
        <f t="shared" si="3"/>
        <v>1227.1739130434783</v>
      </c>
      <c r="O8" s="3">
        <v>5645</v>
      </c>
      <c r="P8" s="6">
        <v>4.5999999999999996</v>
      </c>
      <c r="Q8" s="3">
        <f t="shared" si="4"/>
        <v>1197</v>
      </c>
      <c r="R8" s="3">
        <v>4788</v>
      </c>
      <c r="S8" s="6">
        <v>4</v>
      </c>
      <c r="T8" s="3">
        <f t="shared" si="5"/>
        <v>1228.75</v>
      </c>
      <c r="U8" s="3">
        <v>2949</v>
      </c>
      <c r="V8" s="6">
        <v>2.4</v>
      </c>
      <c r="W8" s="3">
        <f t="shared" si="6"/>
        <v>1178.148148148148</v>
      </c>
      <c r="X8" s="3">
        <v>3181</v>
      </c>
      <c r="Y8" s="6">
        <v>2.7</v>
      </c>
      <c r="Z8" s="3">
        <f t="shared" si="7"/>
        <v>1179.2424242424242</v>
      </c>
      <c r="AA8" s="3">
        <v>7783</v>
      </c>
      <c r="AB8" s="6">
        <v>6.6</v>
      </c>
      <c r="AC8" s="3">
        <f t="shared" si="8"/>
        <v>1131.4285714285716</v>
      </c>
      <c r="AD8" s="3">
        <v>7128</v>
      </c>
      <c r="AE8" s="6">
        <v>6.3</v>
      </c>
      <c r="AF8" s="3" t="e">
        <f t="shared" si="9"/>
        <v>#DIV/0!</v>
      </c>
      <c r="AG8" s="3">
        <v>0</v>
      </c>
      <c r="AH8" s="6">
        <v>0</v>
      </c>
      <c r="AI8" s="3">
        <f t="shared" si="10"/>
        <v>1184.2307692307693</v>
      </c>
      <c r="AJ8" s="3">
        <v>9237</v>
      </c>
      <c r="AK8" s="6">
        <v>7.8</v>
      </c>
      <c r="AL8" s="3">
        <f t="shared" si="11"/>
        <v>1203.3333333333333</v>
      </c>
      <c r="AM8" s="3">
        <v>4332</v>
      </c>
      <c r="AN8" s="6">
        <v>3.6</v>
      </c>
      <c r="AO8" s="3">
        <f t="shared" si="12"/>
        <v>1187.0152091254754</v>
      </c>
      <c r="AP8" s="3">
        <f t="shared" si="15"/>
        <v>62437</v>
      </c>
      <c r="AQ8" s="6">
        <f t="shared" si="16"/>
        <v>52.599999999999994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25</v>
      </c>
      <c r="B9" s="20"/>
      <c r="C9" s="20"/>
      <c r="D9" s="20"/>
      <c r="E9" s="3">
        <f t="shared" si="0"/>
        <v>1157.2413793103449</v>
      </c>
      <c r="F9" s="3">
        <v>3356</v>
      </c>
      <c r="G9" s="6">
        <v>2.9</v>
      </c>
      <c r="H9" s="3">
        <f t="shared" si="1"/>
        <v>1139.3103448275863</v>
      </c>
      <c r="I9" s="3">
        <v>3304</v>
      </c>
      <c r="J9" s="6">
        <v>2.9</v>
      </c>
      <c r="K9" s="3">
        <f t="shared" si="2"/>
        <v>1179.1578947368421</v>
      </c>
      <c r="L9" s="3">
        <v>11202</v>
      </c>
      <c r="M9" s="6">
        <v>9.5</v>
      </c>
      <c r="N9" s="3">
        <f t="shared" si="3"/>
        <v>1169.8127340823971</v>
      </c>
      <c r="O9" s="3">
        <v>31234</v>
      </c>
      <c r="P9" s="6">
        <v>26.7</v>
      </c>
      <c r="Q9" s="3">
        <f t="shared" si="4"/>
        <v>1176.6917293233082</v>
      </c>
      <c r="R9" s="3">
        <v>15650</v>
      </c>
      <c r="S9" s="6">
        <v>13.3</v>
      </c>
      <c r="T9" s="3">
        <f t="shared" si="5"/>
        <v>1173.8020833333335</v>
      </c>
      <c r="U9" s="3">
        <v>45074</v>
      </c>
      <c r="V9" s="6">
        <v>38.4</v>
      </c>
      <c r="W9" s="3">
        <f t="shared" si="6"/>
        <v>1155.3508771929824</v>
      </c>
      <c r="X9" s="3">
        <v>13171</v>
      </c>
      <c r="Y9" s="6">
        <v>11.4</v>
      </c>
      <c r="Z9" s="3" t="e">
        <f t="shared" si="7"/>
        <v>#DIV/0!</v>
      </c>
      <c r="AA9" s="3">
        <v>0</v>
      </c>
      <c r="AB9" s="6">
        <v>0</v>
      </c>
      <c r="AC9" s="3">
        <f t="shared" si="8"/>
        <v>1201.8421052631579</v>
      </c>
      <c r="AD9" s="3">
        <v>4567</v>
      </c>
      <c r="AE9" s="6">
        <v>3.8</v>
      </c>
      <c r="AF9" s="3">
        <f t="shared" si="9"/>
        <v>1205.9649122807018</v>
      </c>
      <c r="AG9" s="3">
        <v>6874</v>
      </c>
      <c r="AH9" s="6">
        <v>5.7</v>
      </c>
      <c r="AI9" s="3" t="e">
        <f t="shared" si="10"/>
        <v>#DIV/0!</v>
      </c>
      <c r="AJ9" s="3">
        <v>0</v>
      </c>
      <c r="AK9" s="6">
        <v>0</v>
      </c>
      <c r="AL9" s="3">
        <f t="shared" si="11"/>
        <v>1182.0689655172414</v>
      </c>
      <c r="AM9" s="3">
        <v>3428</v>
      </c>
      <c r="AN9" s="6">
        <v>2.9</v>
      </c>
      <c r="AO9" s="3">
        <f t="shared" si="12"/>
        <v>1173.2765957446809</v>
      </c>
      <c r="AP9" s="3">
        <f t="shared" si="15"/>
        <v>137860</v>
      </c>
      <c r="AQ9" s="6">
        <f t="shared" si="16"/>
        <v>117.5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20</v>
      </c>
      <c r="B10" s="20"/>
      <c r="C10" s="20"/>
      <c r="D10" s="20"/>
      <c r="E10" s="3">
        <f t="shared" si="0"/>
        <v>933.87931034482756</v>
      </c>
      <c r="F10" s="3">
        <v>21666</v>
      </c>
      <c r="G10" s="6">
        <v>23.2</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933.87931034482756</v>
      </c>
      <c r="AP10" s="3">
        <f t="shared" si="15"/>
        <v>21666</v>
      </c>
      <c r="AQ10" s="6">
        <f t="shared" si="16"/>
        <v>23.2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50</v>
      </c>
      <c r="B11" s="20"/>
      <c r="C11" s="20"/>
      <c r="D11" s="20"/>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f t="shared" si="10"/>
        <v>991.59482758620697</v>
      </c>
      <c r="AJ11" s="3">
        <v>23005</v>
      </c>
      <c r="AK11" s="6">
        <v>23.2</v>
      </c>
      <c r="AL11" s="3" t="e">
        <f t="shared" si="11"/>
        <v>#DIV/0!</v>
      </c>
      <c r="AM11" s="3">
        <v>0</v>
      </c>
      <c r="AN11" s="6">
        <v>0</v>
      </c>
      <c r="AO11" s="3">
        <f t="shared" si="12"/>
        <v>991.59482758620697</v>
      </c>
      <c r="AP11" s="3">
        <f t="shared" si="15"/>
        <v>23005</v>
      </c>
      <c r="AQ11" s="6">
        <f t="shared" si="16"/>
        <v>23.2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48</v>
      </c>
      <c r="B12" s="20"/>
      <c r="C12" s="20"/>
      <c r="D12" s="20"/>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f>AA12/AB12</f>
        <v>1036.0975609756097</v>
      </c>
      <c r="AA12" s="3">
        <v>12744</v>
      </c>
      <c r="AB12" s="6">
        <v>12.3</v>
      </c>
      <c r="AC12" s="3" t="e">
        <f>AD12/AE12</f>
        <v>#DIV/0!</v>
      </c>
      <c r="AD12" s="3">
        <v>0</v>
      </c>
      <c r="AE12" s="6">
        <v>0</v>
      </c>
      <c r="AF12" s="3" t="e">
        <f>AG12/AH12</f>
        <v>#DIV/0!</v>
      </c>
      <c r="AG12" s="3">
        <v>0</v>
      </c>
      <c r="AH12" s="6">
        <v>0</v>
      </c>
      <c r="AI12" s="3" t="e">
        <f>AJ12/AK12</f>
        <v>#DIV/0!</v>
      </c>
      <c r="AJ12" s="3">
        <v>0</v>
      </c>
      <c r="AK12" s="6">
        <v>0</v>
      </c>
      <c r="AL12" s="3" t="e">
        <f>AM12/AN12</f>
        <v>#DIV/0!</v>
      </c>
      <c r="AM12" s="3">
        <v>0</v>
      </c>
      <c r="AN12" s="6">
        <v>0</v>
      </c>
      <c r="AO12" s="3">
        <f t="shared" si="12"/>
        <v>1036.0975609756097</v>
      </c>
      <c r="AP12" s="3">
        <f t="shared" si="15"/>
        <v>12744</v>
      </c>
      <c r="AQ12" s="6">
        <f t="shared" si="16"/>
        <v>12.3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52</v>
      </c>
      <c r="B13" s="20"/>
      <c r="C13" s="20"/>
      <c r="D13" s="20"/>
      <c r="E13" s="3">
        <f t="shared" ref="E13:E30" si="17">F13/G13</f>
        <v>2055.217391304348</v>
      </c>
      <c r="F13" s="3">
        <v>4727</v>
      </c>
      <c r="G13" s="6">
        <v>2.2999999999999998</v>
      </c>
      <c r="H13" s="3">
        <f t="shared" ref="H13:H30" si="18">I13/J13</f>
        <v>6525</v>
      </c>
      <c r="I13" s="3">
        <v>7830</v>
      </c>
      <c r="J13" s="6">
        <v>1.2</v>
      </c>
      <c r="K13" s="3">
        <f t="shared" ref="K13:K30" si="19">L13/M13</f>
        <v>1051.578947368421</v>
      </c>
      <c r="L13" s="3">
        <v>13986</v>
      </c>
      <c r="M13" s="6">
        <v>13.3</v>
      </c>
      <c r="N13" s="3" t="e">
        <f t="shared" ref="N13:N30" si="20">O13/P13</f>
        <v>#DIV/0!</v>
      </c>
      <c r="O13" s="3">
        <v>0</v>
      </c>
      <c r="P13" s="6">
        <v>0</v>
      </c>
      <c r="Q13" s="3" t="e">
        <f t="shared" ref="Q13:Q30" si="21">R13/S13</f>
        <v>#DIV/0!</v>
      </c>
      <c r="R13" s="3">
        <v>0</v>
      </c>
      <c r="S13" s="6">
        <v>0</v>
      </c>
      <c r="T13" s="3" t="e">
        <f t="shared" ref="T13:T30" si="22">U13/V13</f>
        <v>#DIV/0!</v>
      </c>
      <c r="U13" s="3">
        <v>0</v>
      </c>
      <c r="V13" s="6">
        <v>0</v>
      </c>
      <c r="W13" s="3" t="e">
        <f t="shared" ref="W13:W30" si="23">X13/Y13</f>
        <v>#DIV/0!</v>
      </c>
      <c r="X13" s="3">
        <v>0</v>
      </c>
      <c r="Y13" s="6">
        <v>0</v>
      </c>
      <c r="Z13" s="3">
        <f t="shared" ref="Z13:Z30" si="24">AA13/AB13</f>
        <v>918</v>
      </c>
      <c r="AA13" s="3">
        <v>2754</v>
      </c>
      <c r="AB13" s="6">
        <v>3</v>
      </c>
      <c r="AC13" s="3" t="e">
        <f t="shared" ref="AC13:AC30" si="25">AD13/AE13</f>
        <v>#DIV/0!</v>
      </c>
      <c r="AD13" s="3">
        <v>0</v>
      </c>
      <c r="AE13" s="6">
        <v>0</v>
      </c>
      <c r="AF13" s="3" t="e">
        <f t="shared" ref="AF13:AF30" si="26">AG13/AH13</f>
        <v>#DIV/0!</v>
      </c>
      <c r="AG13" s="3">
        <v>0</v>
      </c>
      <c r="AH13" s="6">
        <v>0</v>
      </c>
      <c r="AI13" s="3" t="e">
        <f t="shared" ref="AI13:AI30" si="27">AJ13/AK13</f>
        <v>#DIV/0!</v>
      </c>
      <c r="AJ13" s="3">
        <v>0</v>
      </c>
      <c r="AK13" s="6">
        <v>0</v>
      </c>
      <c r="AL13" s="3" t="e">
        <f t="shared" ref="AL13:AL30" si="28">AM13/AN13</f>
        <v>#DIV/0!</v>
      </c>
      <c r="AM13" s="3">
        <v>0</v>
      </c>
      <c r="AN13" s="6">
        <v>0</v>
      </c>
      <c r="AO13" s="3">
        <f t="shared" si="12"/>
        <v>1479.6464646464647</v>
      </c>
      <c r="AP13" s="3">
        <f t="shared" si="15"/>
        <v>29297</v>
      </c>
      <c r="AQ13" s="6">
        <f t="shared" si="16"/>
        <v>19.8</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21</v>
      </c>
      <c r="B14" s="20"/>
      <c r="C14" s="20"/>
      <c r="D14" s="20"/>
      <c r="E14" s="3">
        <f t="shared" si="17"/>
        <v>1337.5316455696202</v>
      </c>
      <c r="F14" s="3">
        <v>21133</v>
      </c>
      <c r="G14" s="6">
        <v>15.8</v>
      </c>
      <c r="H14" s="3">
        <f t="shared" si="18"/>
        <v>1107.6859504132233</v>
      </c>
      <c r="I14" s="3">
        <v>13403</v>
      </c>
      <c r="J14" s="6">
        <v>12.1</v>
      </c>
      <c r="K14" s="3">
        <f t="shared" si="19"/>
        <v>1542.9936305732485</v>
      </c>
      <c r="L14" s="3">
        <v>24225</v>
      </c>
      <c r="M14" s="6">
        <v>15.7</v>
      </c>
      <c r="N14" s="3" t="e">
        <f t="shared" si="20"/>
        <v>#DIV/0!</v>
      </c>
      <c r="O14" s="3">
        <v>0</v>
      </c>
      <c r="P14" s="6">
        <v>0</v>
      </c>
      <c r="Q14" s="3">
        <f t="shared" si="21"/>
        <v>1091.5702479338843</v>
      </c>
      <c r="R14" s="3">
        <v>13208</v>
      </c>
      <c r="S14" s="6">
        <v>12.1</v>
      </c>
      <c r="T14" s="3" t="e">
        <f t="shared" si="22"/>
        <v>#DIV/0!</v>
      </c>
      <c r="U14" s="3">
        <v>0</v>
      </c>
      <c r="V14" s="6">
        <v>0</v>
      </c>
      <c r="W14" s="3" t="e">
        <f t="shared" si="23"/>
        <v>#DIV/0!</v>
      </c>
      <c r="X14" s="3">
        <v>0</v>
      </c>
      <c r="Y14" s="6">
        <v>0</v>
      </c>
      <c r="Z14" s="3" t="e">
        <f t="shared" si="24"/>
        <v>#DIV/0!</v>
      </c>
      <c r="AA14" s="3">
        <v>0</v>
      </c>
      <c r="AB14" s="6">
        <v>0</v>
      </c>
      <c r="AC14" s="3" t="e">
        <f t="shared" si="25"/>
        <v>#DIV/0!</v>
      </c>
      <c r="AD14" s="3">
        <v>0</v>
      </c>
      <c r="AE14" s="6">
        <v>0</v>
      </c>
      <c r="AF14" s="3">
        <f t="shared" si="26"/>
        <v>1121.4876033057851</v>
      </c>
      <c r="AG14" s="3">
        <v>13570</v>
      </c>
      <c r="AH14" s="6">
        <v>12.1</v>
      </c>
      <c r="AI14" s="3" t="e">
        <f t="shared" si="27"/>
        <v>#DIV/0!</v>
      </c>
      <c r="AJ14" s="3">
        <v>0</v>
      </c>
      <c r="AK14" s="6">
        <v>0</v>
      </c>
      <c r="AL14" s="3" t="e">
        <f t="shared" si="28"/>
        <v>#DIV/0!</v>
      </c>
      <c r="AM14" s="3">
        <v>0</v>
      </c>
      <c r="AN14" s="6">
        <v>0</v>
      </c>
      <c r="AO14" s="3">
        <f t="shared" si="12"/>
        <v>1261.6371681415931</v>
      </c>
      <c r="AP14" s="3">
        <f t="shared" si="15"/>
        <v>85539</v>
      </c>
      <c r="AQ14" s="6">
        <f t="shared" si="16"/>
        <v>67.8</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39</v>
      </c>
      <c r="B15" s="20"/>
      <c r="C15" s="20"/>
      <c r="D15" s="20"/>
      <c r="E15" s="3">
        <f t="shared" si="17"/>
        <v>1155</v>
      </c>
      <c r="F15" s="3">
        <v>4620</v>
      </c>
      <c r="G15" s="6">
        <v>4</v>
      </c>
      <c r="H15" s="3" t="e">
        <f t="shared" si="18"/>
        <v>#DIV/0!</v>
      </c>
      <c r="I15" s="3">
        <v>0</v>
      </c>
      <c r="J15" s="6">
        <v>0</v>
      </c>
      <c r="K15" s="3">
        <f t="shared" si="19"/>
        <v>1190.8695652173913</v>
      </c>
      <c r="L15" s="3">
        <v>8217</v>
      </c>
      <c r="M15" s="6">
        <v>6.9</v>
      </c>
      <c r="N15" s="3">
        <f t="shared" si="20"/>
        <v>1133.25</v>
      </c>
      <c r="O15" s="3">
        <v>4533</v>
      </c>
      <c r="P15" s="6">
        <v>4</v>
      </c>
      <c r="Q15" s="3">
        <f t="shared" si="21"/>
        <v>1055</v>
      </c>
      <c r="R15" s="3">
        <v>5697</v>
      </c>
      <c r="S15" s="6">
        <v>5.4</v>
      </c>
      <c r="T15" s="3" t="e">
        <f t="shared" si="22"/>
        <v>#DIV/0!</v>
      </c>
      <c r="U15" s="3">
        <v>0</v>
      </c>
      <c r="V15" s="6">
        <v>0</v>
      </c>
      <c r="W15" s="3" t="e">
        <f t="shared" si="23"/>
        <v>#DIV/0!</v>
      </c>
      <c r="X15" s="3">
        <v>0</v>
      </c>
      <c r="Y15" s="6">
        <v>0</v>
      </c>
      <c r="Z15" s="3">
        <f t="shared" si="24"/>
        <v>1170.6060606060605</v>
      </c>
      <c r="AA15" s="3">
        <v>11589</v>
      </c>
      <c r="AB15" s="6">
        <v>9.9</v>
      </c>
      <c r="AC15" s="3" t="e">
        <f t="shared" si="25"/>
        <v>#DIV/0!</v>
      </c>
      <c r="AD15" s="3">
        <v>0</v>
      </c>
      <c r="AE15" s="6">
        <v>0</v>
      </c>
      <c r="AF15" s="3">
        <f t="shared" si="26"/>
        <v>1211.1864406779659</v>
      </c>
      <c r="AG15" s="3">
        <v>7146</v>
      </c>
      <c r="AH15" s="6">
        <v>5.9</v>
      </c>
      <c r="AI15" s="3">
        <f t="shared" si="27"/>
        <v>1218.7341772151899</v>
      </c>
      <c r="AJ15" s="3">
        <v>9628</v>
      </c>
      <c r="AK15" s="6">
        <v>7.9</v>
      </c>
      <c r="AL15" s="3" t="e">
        <f t="shared" si="28"/>
        <v>#DIV/0!</v>
      </c>
      <c r="AM15" s="3">
        <v>0</v>
      </c>
      <c r="AN15" s="6">
        <v>0</v>
      </c>
      <c r="AO15" s="3">
        <f t="shared" si="12"/>
        <v>1168.8636363636363</v>
      </c>
      <c r="AP15" s="3">
        <f t="shared" si="15"/>
        <v>51430</v>
      </c>
      <c r="AQ15" s="6">
        <f t="shared" si="16"/>
        <v>44</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49</v>
      </c>
      <c r="B16" s="20"/>
      <c r="C16" s="20"/>
      <c r="D16" s="20"/>
      <c r="E16" s="3" t="e">
        <f t="shared" si="17"/>
        <v>#DIV/0!</v>
      </c>
      <c r="F16" s="3">
        <v>0</v>
      </c>
      <c r="G16" s="6">
        <v>0</v>
      </c>
      <c r="H16" s="3" t="e">
        <f t="shared" si="18"/>
        <v>#DIV/0!</v>
      </c>
      <c r="I16" s="3">
        <v>0</v>
      </c>
      <c r="J16" s="6">
        <v>0</v>
      </c>
      <c r="K16" s="3" t="e">
        <f t="shared" si="19"/>
        <v>#DIV/0!</v>
      </c>
      <c r="L16" s="3">
        <v>0</v>
      </c>
      <c r="M16" s="6">
        <v>0</v>
      </c>
      <c r="N16" s="3" t="e">
        <f t="shared" si="20"/>
        <v>#DIV/0!</v>
      </c>
      <c r="O16" s="3">
        <v>0</v>
      </c>
      <c r="P16" s="6">
        <v>0</v>
      </c>
      <c r="Q16" s="3" t="e">
        <f t="shared" si="21"/>
        <v>#DIV/0!</v>
      </c>
      <c r="R16" s="3">
        <v>0</v>
      </c>
      <c r="S16" s="6">
        <v>0</v>
      </c>
      <c r="T16" s="3" t="e">
        <f t="shared" si="22"/>
        <v>#DIV/0!</v>
      </c>
      <c r="U16" s="3">
        <v>0</v>
      </c>
      <c r="V16" s="6">
        <v>0</v>
      </c>
      <c r="W16" s="3" t="e">
        <f t="shared" si="23"/>
        <v>#DIV/0!</v>
      </c>
      <c r="X16" s="3">
        <v>0</v>
      </c>
      <c r="Y16" s="6">
        <v>0</v>
      </c>
      <c r="Z16" s="3" t="e">
        <f t="shared" si="24"/>
        <v>#DIV/0!</v>
      </c>
      <c r="AA16" s="3">
        <v>0</v>
      </c>
      <c r="AB16" s="6">
        <v>0</v>
      </c>
      <c r="AC16" s="3" t="e">
        <f t="shared" si="25"/>
        <v>#DIV/0!</v>
      </c>
      <c r="AD16" s="3">
        <v>0</v>
      </c>
      <c r="AE16" s="6">
        <v>0</v>
      </c>
      <c r="AF16" s="3" t="e">
        <f t="shared" si="26"/>
        <v>#DIV/0!</v>
      </c>
      <c r="AG16" s="3">
        <v>0</v>
      </c>
      <c r="AH16" s="6">
        <v>0</v>
      </c>
      <c r="AI16" s="3">
        <f t="shared" si="27"/>
        <v>1565.6441717791411</v>
      </c>
      <c r="AJ16" s="3">
        <v>25520</v>
      </c>
      <c r="AK16" s="6">
        <v>16.3</v>
      </c>
      <c r="AL16" s="3" t="e">
        <f t="shared" si="28"/>
        <v>#DIV/0!</v>
      </c>
      <c r="AM16" s="3">
        <v>0</v>
      </c>
      <c r="AN16" s="6">
        <v>0</v>
      </c>
      <c r="AO16" s="3">
        <f t="shared" si="12"/>
        <v>1565.6441717791411</v>
      </c>
      <c r="AP16" s="3">
        <f t="shared" si="15"/>
        <v>25520</v>
      </c>
      <c r="AQ16" s="6">
        <f t="shared" si="16"/>
        <v>16.3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24</v>
      </c>
      <c r="B17" s="20"/>
      <c r="C17" s="20"/>
      <c r="D17" s="20"/>
      <c r="E17" s="3" t="e">
        <f t="shared" si="17"/>
        <v>#DIV/0!</v>
      </c>
      <c r="F17" s="3">
        <v>0</v>
      </c>
      <c r="G17" s="6">
        <v>0</v>
      </c>
      <c r="H17" s="3" t="e">
        <f t="shared" si="18"/>
        <v>#DIV/0!</v>
      </c>
      <c r="I17" s="3">
        <v>0</v>
      </c>
      <c r="J17" s="6">
        <v>0</v>
      </c>
      <c r="K17" s="3" t="e">
        <f t="shared" si="19"/>
        <v>#DIV/0!</v>
      </c>
      <c r="L17" s="3">
        <v>0</v>
      </c>
      <c r="M17" s="6">
        <v>0</v>
      </c>
      <c r="N17" s="3" t="e">
        <f t="shared" si="20"/>
        <v>#DIV/0!</v>
      </c>
      <c r="O17" s="3">
        <v>0</v>
      </c>
      <c r="P17" s="6">
        <v>0</v>
      </c>
      <c r="Q17" s="3" t="e">
        <f t="shared" si="21"/>
        <v>#DIV/0!</v>
      </c>
      <c r="R17" s="3">
        <v>0</v>
      </c>
      <c r="S17" s="6">
        <v>0</v>
      </c>
      <c r="T17" s="3">
        <f t="shared" si="22"/>
        <v>1042.1052631578948</v>
      </c>
      <c r="U17" s="3">
        <v>3960</v>
      </c>
      <c r="V17" s="6">
        <v>3.8</v>
      </c>
      <c r="W17" s="3" t="e">
        <f t="shared" si="23"/>
        <v>#DIV/0!</v>
      </c>
      <c r="X17" s="3">
        <v>0</v>
      </c>
      <c r="Y17" s="6">
        <v>0</v>
      </c>
      <c r="Z17" s="3" t="e">
        <f t="shared" si="24"/>
        <v>#DIV/0!</v>
      </c>
      <c r="AA17" s="3">
        <v>0</v>
      </c>
      <c r="AB17" s="6">
        <v>0</v>
      </c>
      <c r="AC17" s="3" t="e">
        <f t="shared" si="25"/>
        <v>#DIV/0!</v>
      </c>
      <c r="AD17" s="3">
        <v>0</v>
      </c>
      <c r="AE17" s="6">
        <v>0</v>
      </c>
      <c r="AF17" s="3" t="e">
        <f t="shared" si="26"/>
        <v>#DIV/0!</v>
      </c>
      <c r="AG17" s="3">
        <v>0</v>
      </c>
      <c r="AH17" s="6">
        <v>0</v>
      </c>
      <c r="AI17" s="3" t="e">
        <f t="shared" si="27"/>
        <v>#DIV/0!</v>
      </c>
      <c r="AJ17" s="3">
        <v>0</v>
      </c>
      <c r="AK17" s="6">
        <v>0</v>
      </c>
      <c r="AL17" s="3" t="e">
        <f t="shared" si="28"/>
        <v>#DIV/0!</v>
      </c>
      <c r="AM17" s="3">
        <v>0</v>
      </c>
      <c r="AN17" s="6">
        <v>0</v>
      </c>
      <c r="AO17" s="3">
        <f t="shared" si="12"/>
        <v>1042.1052631578948</v>
      </c>
      <c r="AP17" s="3">
        <f t="shared" si="15"/>
        <v>3960</v>
      </c>
      <c r="AQ17" s="6">
        <f t="shared" si="16"/>
        <v>3.8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53</v>
      </c>
      <c r="B18" s="20"/>
      <c r="C18" s="20"/>
      <c r="D18" s="20"/>
      <c r="E18" s="3" t="e">
        <f t="shared" si="17"/>
        <v>#DIV/0!</v>
      </c>
      <c r="F18" s="3">
        <v>0</v>
      </c>
      <c r="G18" s="6">
        <v>0</v>
      </c>
      <c r="H18" s="3" t="e">
        <f t="shared" si="18"/>
        <v>#DIV/0!</v>
      </c>
      <c r="I18" s="3">
        <v>0</v>
      </c>
      <c r="J18" s="6">
        <v>0</v>
      </c>
      <c r="K18" s="3" t="e">
        <f t="shared" si="19"/>
        <v>#DIV/0!</v>
      </c>
      <c r="L18" s="3">
        <v>0</v>
      </c>
      <c r="M18" s="6">
        <v>0</v>
      </c>
      <c r="N18" s="3" t="e">
        <f t="shared" si="20"/>
        <v>#DIV/0!</v>
      </c>
      <c r="O18" s="3">
        <v>0</v>
      </c>
      <c r="P18" s="6">
        <v>0</v>
      </c>
      <c r="Q18" s="3" t="e">
        <f t="shared" si="21"/>
        <v>#DIV/0!</v>
      </c>
      <c r="R18" s="3">
        <v>0</v>
      </c>
      <c r="S18" s="6">
        <v>0</v>
      </c>
      <c r="T18" s="3" t="e">
        <f t="shared" si="22"/>
        <v>#DIV/0!</v>
      </c>
      <c r="U18" s="3">
        <v>0</v>
      </c>
      <c r="V18" s="6">
        <v>0</v>
      </c>
      <c r="W18" s="3" t="e">
        <f t="shared" si="23"/>
        <v>#DIV/0!</v>
      </c>
      <c r="X18" s="3">
        <v>0</v>
      </c>
      <c r="Y18" s="6">
        <v>0</v>
      </c>
      <c r="Z18" s="3" t="e">
        <f t="shared" si="24"/>
        <v>#DIV/0!</v>
      </c>
      <c r="AA18" s="3">
        <v>0</v>
      </c>
      <c r="AB18" s="6">
        <v>0</v>
      </c>
      <c r="AC18" s="3" t="e">
        <f t="shared" si="25"/>
        <v>#DIV/0!</v>
      </c>
      <c r="AD18" s="3">
        <v>0</v>
      </c>
      <c r="AE18" s="6">
        <v>0</v>
      </c>
      <c r="AF18" s="3">
        <f t="shared" si="26"/>
        <v>1447.7272727272727</v>
      </c>
      <c r="AG18" s="3">
        <v>9555</v>
      </c>
      <c r="AH18" s="6">
        <v>6.6</v>
      </c>
      <c r="AI18" s="3" t="e">
        <f t="shared" si="27"/>
        <v>#DIV/0!</v>
      </c>
      <c r="AJ18" s="3">
        <v>0</v>
      </c>
      <c r="AK18" s="6">
        <v>0</v>
      </c>
      <c r="AL18" s="3" t="e">
        <f t="shared" si="28"/>
        <v>#DIV/0!</v>
      </c>
      <c r="AM18" s="3">
        <v>0</v>
      </c>
      <c r="AN18" s="6">
        <v>0</v>
      </c>
      <c r="AO18" s="3">
        <f t="shared" si="12"/>
        <v>1447.7272727272727</v>
      </c>
      <c r="AP18" s="3">
        <f t="shared" si="15"/>
        <v>9555</v>
      </c>
      <c r="AQ18" s="6">
        <f t="shared" si="16"/>
        <v>6.6</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47</v>
      </c>
      <c r="B19" s="20"/>
      <c r="C19" s="20"/>
      <c r="D19" s="20"/>
      <c r="E19" s="3" t="e">
        <f t="shared" si="17"/>
        <v>#DIV/0!</v>
      </c>
      <c r="F19" s="3">
        <v>0</v>
      </c>
      <c r="G19" s="6">
        <v>0</v>
      </c>
      <c r="H19" s="3">
        <f t="shared" si="18"/>
        <v>1006.5089722675367</v>
      </c>
      <c r="I19" s="3">
        <v>61699</v>
      </c>
      <c r="J19" s="6">
        <v>61.3</v>
      </c>
      <c r="K19" s="3" t="e">
        <f t="shared" si="19"/>
        <v>#DIV/0!</v>
      </c>
      <c r="L19" s="3">
        <v>0</v>
      </c>
      <c r="M19" s="6">
        <v>0</v>
      </c>
      <c r="N19" s="3" t="e">
        <f t="shared" si="20"/>
        <v>#DIV/0!</v>
      </c>
      <c r="O19" s="3">
        <v>0</v>
      </c>
      <c r="P19" s="6">
        <v>0</v>
      </c>
      <c r="Q19" s="3">
        <f t="shared" si="21"/>
        <v>1082.4137931034484</v>
      </c>
      <c r="R19" s="3">
        <v>25112</v>
      </c>
      <c r="S19" s="6">
        <v>23.2</v>
      </c>
      <c r="T19" s="3" t="e">
        <f t="shared" si="22"/>
        <v>#DIV/0!</v>
      </c>
      <c r="U19" s="3">
        <v>0</v>
      </c>
      <c r="V19" s="6">
        <v>0</v>
      </c>
      <c r="W19" s="3" t="e">
        <f t="shared" si="23"/>
        <v>#DIV/0!</v>
      </c>
      <c r="X19" s="3">
        <v>0</v>
      </c>
      <c r="Y19" s="6">
        <v>0</v>
      </c>
      <c r="Z19" s="3" t="e">
        <f t="shared" si="24"/>
        <v>#DIV/0!</v>
      </c>
      <c r="AA19" s="3">
        <v>0</v>
      </c>
      <c r="AB19" s="6">
        <v>0</v>
      </c>
      <c r="AC19" s="3" t="e">
        <f t="shared" si="25"/>
        <v>#DIV/0!</v>
      </c>
      <c r="AD19" s="3">
        <v>0</v>
      </c>
      <c r="AE19" s="6">
        <v>0</v>
      </c>
      <c r="AF19" s="3">
        <f t="shared" si="26"/>
        <v>1099.3965517241379</v>
      </c>
      <c r="AG19" s="3">
        <v>25506</v>
      </c>
      <c r="AH19" s="6">
        <v>23.2</v>
      </c>
      <c r="AI19" s="3" t="e">
        <f t="shared" si="27"/>
        <v>#DIV/0!</v>
      </c>
      <c r="AJ19" s="3">
        <v>0</v>
      </c>
      <c r="AK19" s="6">
        <v>0</v>
      </c>
      <c r="AL19" s="3" t="e">
        <f t="shared" si="28"/>
        <v>#DIV/0!</v>
      </c>
      <c r="AM19" s="3">
        <v>0</v>
      </c>
      <c r="AN19" s="6">
        <v>0</v>
      </c>
      <c r="AO19" s="3">
        <f t="shared" si="12"/>
        <v>1042.8690807799442</v>
      </c>
      <c r="AP19" s="3">
        <f t="shared" si="15"/>
        <v>112317</v>
      </c>
      <c r="AQ19" s="6">
        <f t="shared" si="16"/>
        <v>107.7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54</v>
      </c>
      <c r="B20" s="20"/>
      <c r="C20" s="20"/>
      <c r="D20" s="20"/>
      <c r="E20" s="3" t="e">
        <f t="shared" si="17"/>
        <v>#DIV/0!</v>
      </c>
      <c r="F20" s="3">
        <v>0</v>
      </c>
      <c r="G20" s="6">
        <v>0</v>
      </c>
      <c r="H20" s="3" t="e">
        <f t="shared" si="18"/>
        <v>#DIV/0!</v>
      </c>
      <c r="I20" s="3">
        <v>0</v>
      </c>
      <c r="J20" s="6">
        <v>0</v>
      </c>
      <c r="K20" s="3" t="e">
        <f t="shared" si="19"/>
        <v>#DIV/0!</v>
      </c>
      <c r="L20" s="3">
        <v>0</v>
      </c>
      <c r="M20" s="6">
        <v>0</v>
      </c>
      <c r="N20" s="3" t="e">
        <f t="shared" si="20"/>
        <v>#DIV/0!</v>
      </c>
      <c r="O20" s="3">
        <v>0</v>
      </c>
      <c r="P20" s="6">
        <v>0</v>
      </c>
      <c r="Q20" s="3">
        <f t="shared" si="21"/>
        <v>4804.090909090909</v>
      </c>
      <c r="R20" s="3">
        <v>10569</v>
      </c>
      <c r="S20" s="6">
        <v>2.2000000000000002</v>
      </c>
      <c r="T20" s="3" t="e">
        <f t="shared" si="22"/>
        <v>#DIV/0!</v>
      </c>
      <c r="U20" s="3">
        <v>0</v>
      </c>
      <c r="V20" s="6">
        <v>0</v>
      </c>
      <c r="W20" s="3" t="e">
        <f t="shared" si="23"/>
        <v>#DIV/0!</v>
      </c>
      <c r="X20" s="3">
        <v>0</v>
      </c>
      <c r="Y20" s="6">
        <v>0</v>
      </c>
      <c r="Z20" s="3" t="e">
        <f t="shared" si="24"/>
        <v>#DIV/0!</v>
      </c>
      <c r="AA20" s="3">
        <v>0</v>
      </c>
      <c r="AB20" s="6">
        <v>0</v>
      </c>
      <c r="AC20" s="3" t="e">
        <f t="shared" si="25"/>
        <v>#DIV/0!</v>
      </c>
      <c r="AD20" s="3">
        <v>0</v>
      </c>
      <c r="AE20" s="6">
        <v>0</v>
      </c>
      <c r="AF20" s="3">
        <f t="shared" si="26"/>
        <v>2429.772727272727</v>
      </c>
      <c r="AG20" s="3">
        <v>42764</v>
      </c>
      <c r="AH20" s="6">
        <v>17.600000000000001</v>
      </c>
      <c r="AI20" s="3" t="e">
        <f t="shared" si="27"/>
        <v>#DIV/0!</v>
      </c>
      <c r="AJ20" s="3">
        <v>0</v>
      </c>
      <c r="AK20" s="6">
        <v>0</v>
      </c>
      <c r="AL20" s="3" t="e">
        <f t="shared" si="28"/>
        <v>#DIV/0!</v>
      </c>
      <c r="AM20" s="3">
        <v>0</v>
      </c>
      <c r="AN20" s="6">
        <v>0</v>
      </c>
      <c r="AO20" s="3">
        <f t="shared" si="12"/>
        <v>2693.5858585858587</v>
      </c>
      <c r="AP20" s="3">
        <f t="shared" si="15"/>
        <v>53333</v>
      </c>
      <c r="AQ20" s="6">
        <f t="shared" si="16"/>
        <v>19.8</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38</v>
      </c>
      <c r="B21" s="20"/>
      <c r="C21" s="20"/>
      <c r="D21" s="20"/>
      <c r="E21" s="3">
        <f t="shared" si="17"/>
        <v>1361.2565445026178</v>
      </c>
      <c r="F21" s="3">
        <v>26000</v>
      </c>
      <c r="G21" s="6">
        <v>19.100000000000001</v>
      </c>
      <c r="H21" s="3">
        <f t="shared" si="18"/>
        <v>1105.7591623036649</v>
      </c>
      <c r="I21" s="3">
        <v>21120</v>
      </c>
      <c r="J21" s="6">
        <v>19.100000000000001</v>
      </c>
      <c r="K21" s="3" t="e">
        <f t="shared" si="19"/>
        <v>#DIV/0!</v>
      </c>
      <c r="L21" s="3">
        <v>0</v>
      </c>
      <c r="M21" s="6">
        <v>0</v>
      </c>
      <c r="N21" s="3">
        <f t="shared" si="20"/>
        <v>1083.7696335078533</v>
      </c>
      <c r="O21" s="3">
        <v>20700</v>
      </c>
      <c r="P21" s="6">
        <v>19.100000000000001</v>
      </c>
      <c r="Q21" s="3">
        <f t="shared" si="21"/>
        <v>1102.6246719160104</v>
      </c>
      <c r="R21" s="3">
        <v>42010</v>
      </c>
      <c r="S21" s="6">
        <v>38.1</v>
      </c>
      <c r="T21" s="3">
        <f t="shared" si="22"/>
        <v>1097.9057591623036</v>
      </c>
      <c r="U21" s="3">
        <v>20970</v>
      </c>
      <c r="V21" s="6">
        <v>19.100000000000001</v>
      </c>
      <c r="W21" s="3" t="e">
        <f t="shared" si="23"/>
        <v>#DIV/0!</v>
      </c>
      <c r="X21" s="3">
        <v>0</v>
      </c>
      <c r="Y21" s="6">
        <v>0</v>
      </c>
      <c r="Z21" s="3" t="e">
        <f t="shared" si="24"/>
        <v>#DIV/0!</v>
      </c>
      <c r="AA21" s="3">
        <v>0</v>
      </c>
      <c r="AB21" s="6">
        <v>0</v>
      </c>
      <c r="AC21" s="3" t="e">
        <f t="shared" si="25"/>
        <v>#DIV/0!</v>
      </c>
      <c r="AD21" s="3">
        <v>0</v>
      </c>
      <c r="AE21" s="6">
        <v>0</v>
      </c>
      <c r="AF21" s="3" t="e">
        <f t="shared" si="26"/>
        <v>#DIV/0!</v>
      </c>
      <c r="AG21" s="3">
        <v>0</v>
      </c>
      <c r="AH21" s="6">
        <v>0</v>
      </c>
      <c r="AI21" s="3" t="e">
        <f t="shared" si="27"/>
        <v>#DIV/0!</v>
      </c>
      <c r="AJ21" s="3">
        <v>0</v>
      </c>
      <c r="AK21" s="6">
        <v>0</v>
      </c>
      <c r="AL21" s="3" t="e">
        <f t="shared" si="28"/>
        <v>#DIV/0!</v>
      </c>
      <c r="AM21" s="3">
        <v>0</v>
      </c>
      <c r="AN21" s="6">
        <v>0</v>
      </c>
      <c r="AO21" s="3">
        <f t="shared" si="12"/>
        <v>1142.35807860262</v>
      </c>
      <c r="AP21" s="3">
        <f t="shared" si="15"/>
        <v>130800</v>
      </c>
      <c r="AQ21" s="6">
        <f t="shared" si="16"/>
        <v>114.5</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51</v>
      </c>
      <c r="B22" s="20"/>
      <c r="C22" s="20"/>
      <c r="D22" s="20"/>
      <c r="E22" s="3" t="e">
        <f t="shared" si="17"/>
        <v>#DIV/0!</v>
      </c>
      <c r="F22" s="3">
        <v>0</v>
      </c>
      <c r="G22" s="6">
        <v>0</v>
      </c>
      <c r="H22" s="3" t="e">
        <f t="shared" si="18"/>
        <v>#DIV/0!</v>
      </c>
      <c r="I22" s="3">
        <v>0</v>
      </c>
      <c r="J22" s="6">
        <v>0</v>
      </c>
      <c r="K22" s="3" t="e">
        <f t="shared" si="19"/>
        <v>#DIV/0!</v>
      </c>
      <c r="L22" s="3">
        <v>0</v>
      </c>
      <c r="M22" s="6">
        <v>0</v>
      </c>
      <c r="N22" s="3">
        <f t="shared" si="20"/>
        <v>970.90909090909088</v>
      </c>
      <c r="O22" s="3">
        <v>21360</v>
      </c>
      <c r="P22" s="6">
        <v>22</v>
      </c>
      <c r="Q22" s="3" t="e">
        <f t="shared" si="21"/>
        <v>#DIV/0!</v>
      </c>
      <c r="R22" s="3">
        <v>0</v>
      </c>
      <c r="S22" s="6">
        <v>0</v>
      </c>
      <c r="T22" s="3" t="e">
        <f t="shared" si="22"/>
        <v>#DIV/0!</v>
      </c>
      <c r="U22" s="3">
        <v>0</v>
      </c>
      <c r="V22" s="6">
        <v>0</v>
      </c>
      <c r="W22" s="3" t="e">
        <f t="shared" si="23"/>
        <v>#DIV/0!</v>
      </c>
      <c r="X22" s="3">
        <v>0</v>
      </c>
      <c r="Y22" s="6">
        <v>0</v>
      </c>
      <c r="Z22" s="3" t="e">
        <f t="shared" si="24"/>
        <v>#DIV/0!</v>
      </c>
      <c r="AA22" s="3">
        <v>0</v>
      </c>
      <c r="AB22" s="6">
        <v>0</v>
      </c>
      <c r="AC22" s="3" t="e">
        <f t="shared" si="25"/>
        <v>#DIV/0!</v>
      </c>
      <c r="AD22" s="3">
        <v>0</v>
      </c>
      <c r="AE22" s="6">
        <v>0</v>
      </c>
      <c r="AF22" s="3" t="e">
        <f t="shared" si="26"/>
        <v>#DIV/0!</v>
      </c>
      <c r="AG22" s="3">
        <v>0</v>
      </c>
      <c r="AH22" s="6">
        <v>0</v>
      </c>
      <c r="AI22" s="3" t="e">
        <f t="shared" si="27"/>
        <v>#DIV/0!</v>
      </c>
      <c r="AJ22" s="3">
        <v>0</v>
      </c>
      <c r="AK22" s="6">
        <v>0</v>
      </c>
      <c r="AL22" s="3" t="e">
        <f t="shared" si="28"/>
        <v>#DIV/0!</v>
      </c>
      <c r="AM22" s="3">
        <v>0</v>
      </c>
      <c r="AN22" s="6">
        <v>0</v>
      </c>
      <c r="AO22" s="3">
        <f t="shared" si="12"/>
        <v>970.90909090909088</v>
      </c>
      <c r="AP22" s="3">
        <f t="shared" si="15"/>
        <v>21360</v>
      </c>
      <c r="AQ22" s="6">
        <f t="shared" si="16"/>
        <v>22</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55</v>
      </c>
      <c r="B23" s="20"/>
      <c r="C23" s="20"/>
      <c r="D23" s="20"/>
      <c r="E23" s="3" t="e">
        <f t="shared" si="17"/>
        <v>#DIV/0!</v>
      </c>
      <c r="F23" s="3">
        <v>0</v>
      </c>
      <c r="G23" s="6">
        <v>0</v>
      </c>
      <c r="H23" s="3" t="e">
        <f t="shared" si="18"/>
        <v>#DIV/0!</v>
      </c>
      <c r="I23" s="3">
        <v>0</v>
      </c>
      <c r="J23" s="6">
        <v>0</v>
      </c>
      <c r="K23" s="3" t="e">
        <f t="shared" si="19"/>
        <v>#DIV/0!</v>
      </c>
      <c r="L23" s="3">
        <v>0</v>
      </c>
      <c r="M23" s="6">
        <v>0</v>
      </c>
      <c r="N23" s="3" t="e">
        <f t="shared" si="20"/>
        <v>#DIV/0!</v>
      </c>
      <c r="O23" s="3">
        <v>0</v>
      </c>
      <c r="P23" s="6">
        <v>0</v>
      </c>
      <c r="Q23" s="3" t="e">
        <f t="shared" si="21"/>
        <v>#DIV/0!</v>
      </c>
      <c r="R23" s="3">
        <v>0</v>
      </c>
      <c r="S23" s="6">
        <v>0</v>
      </c>
      <c r="T23" s="3" t="e">
        <f t="shared" si="22"/>
        <v>#DIV/0!</v>
      </c>
      <c r="U23" s="3">
        <v>0</v>
      </c>
      <c r="V23" s="6">
        <v>0</v>
      </c>
      <c r="W23" s="3" t="e">
        <f t="shared" si="23"/>
        <v>#DIV/0!</v>
      </c>
      <c r="X23" s="3">
        <v>0</v>
      </c>
      <c r="Y23" s="6">
        <v>0</v>
      </c>
      <c r="Z23" s="3">
        <f t="shared" si="24"/>
        <v>981.72413793103453</v>
      </c>
      <c r="AA23" s="3">
        <v>22776</v>
      </c>
      <c r="AB23" s="6">
        <v>23.2</v>
      </c>
      <c r="AC23" s="3" t="e">
        <f t="shared" si="25"/>
        <v>#DIV/0!</v>
      </c>
      <c r="AD23" s="3">
        <v>0</v>
      </c>
      <c r="AE23" s="6">
        <v>0</v>
      </c>
      <c r="AF23" s="3" t="e">
        <f t="shared" si="26"/>
        <v>#DIV/0!</v>
      </c>
      <c r="AG23" s="3">
        <v>0</v>
      </c>
      <c r="AH23" s="6">
        <v>0</v>
      </c>
      <c r="AI23" s="3" t="e">
        <f t="shared" si="27"/>
        <v>#DIV/0!</v>
      </c>
      <c r="AJ23" s="3">
        <v>0</v>
      </c>
      <c r="AK23" s="6">
        <v>0</v>
      </c>
      <c r="AL23" s="3" t="e">
        <f t="shared" si="28"/>
        <v>#DIV/0!</v>
      </c>
      <c r="AM23" s="3">
        <v>0</v>
      </c>
      <c r="AN23" s="6">
        <v>0</v>
      </c>
      <c r="AO23" s="3">
        <f t="shared" si="12"/>
        <v>981.72413793103453</v>
      </c>
      <c r="AP23" s="3">
        <f t="shared" si="15"/>
        <v>22776</v>
      </c>
      <c r="AQ23" s="6">
        <f t="shared" si="16"/>
        <v>23.2</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35</v>
      </c>
      <c r="B24" s="20"/>
      <c r="C24" s="20"/>
      <c r="D24" s="20"/>
      <c r="E24" s="3">
        <f t="shared" si="17"/>
        <v>1288.1896551724137</v>
      </c>
      <c r="F24" s="3">
        <v>14943</v>
      </c>
      <c r="G24" s="6">
        <v>11.6</v>
      </c>
      <c r="H24" s="3" t="e">
        <f t="shared" si="18"/>
        <v>#DIV/0!</v>
      </c>
      <c r="I24" s="3">
        <v>0</v>
      </c>
      <c r="J24" s="6">
        <v>0</v>
      </c>
      <c r="K24" s="3">
        <f t="shared" si="19"/>
        <v>1232.9493087557605</v>
      </c>
      <c r="L24" s="3">
        <v>26755</v>
      </c>
      <c r="M24" s="6">
        <v>21.7</v>
      </c>
      <c r="N24" s="3">
        <f t="shared" si="20"/>
        <v>1158.046875</v>
      </c>
      <c r="O24" s="3">
        <v>59292</v>
      </c>
      <c r="P24" s="6">
        <v>51.2</v>
      </c>
      <c r="Q24" s="3">
        <f t="shared" si="21"/>
        <v>1183.1578947368421</v>
      </c>
      <c r="R24" s="3">
        <v>8992</v>
      </c>
      <c r="S24" s="6">
        <v>7.6</v>
      </c>
      <c r="T24" s="3">
        <f t="shared" si="22"/>
        <v>1153.7719298245613</v>
      </c>
      <c r="U24" s="3">
        <v>13153</v>
      </c>
      <c r="V24" s="6">
        <v>11.4</v>
      </c>
      <c r="W24" s="3">
        <f t="shared" si="23"/>
        <v>1165.2631578947369</v>
      </c>
      <c r="X24" s="3">
        <v>11070</v>
      </c>
      <c r="Y24" s="6">
        <v>9.5</v>
      </c>
      <c r="Z24" s="3">
        <f t="shared" si="24"/>
        <v>1216.25</v>
      </c>
      <c r="AA24" s="3">
        <v>5838</v>
      </c>
      <c r="AB24" s="6">
        <v>4.8</v>
      </c>
      <c r="AC24" s="3">
        <f t="shared" si="25"/>
        <v>1156.1666666666667</v>
      </c>
      <c r="AD24" s="3">
        <v>6937</v>
      </c>
      <c r="AE24" s="6">
        <v>6</v>
      </c>
      <c r="AF24" s="3">
        <f t="shared" si="26"/>
        <v>1175.1219512195123</v>
      </c>
      <c r="AG24" s="3">
        <v>4818</v>
      </c>
      <c r="AH24" s="6">
        <v>4.0999999999999996</v>
      </c>
      <c r="AI24" s="3">
        <f t="shared" si="27"/>
        <v>1189.1666666666667</v>
      </c>
      <c r="AJ24" s="3">
        <v>5708</v>
      </c>
      <c r="AK24" s="6">
        <v>4.8</v>
      </c>
      <c r="AL24" s="3" t="e">
        <f t="shared" si="28"/>
        <v>#DIV/0!</v>
      </c>
      <c r="AM24" s="3">
        <v>0</v>
      </c>
      <c r="AN24" s="6">
        <v>0</v>
      </c>
      <c r="AO24" s="3">
        <f t="shared" si="12"/>
        <v>1186.9329314242655</v>
      </c>
      <c r="AP24" s="3">
        <f t="shared" si="15"/>
        <v>157506</v>
      </c>
      <c r="AQ24" s="6">
        <f t="shared" si="16"/>
        <v>132.69999999999999</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40</v>
      </c>
      <c r="B25" s="20"/>
      <c r="C25" s="20"/>
      <c r="D25" s="20"/>
      <c r="E25" s="3" t="e">
        <f t="shared" si="17"/>
        <v>#DIV/0!</v>
      </c>
      <c r="F25" s="3">
        <v>0</v>
      </c>
      <c r="G25" s="6">
        <v>0</v>
      </c>
      <c r="H25" s="3" t="e">
        <f t="shared" si="18"/>
        <v>#DIV/0!</v>
      </c>
      <c r="I25" s="3">
        <v>0</v>
      </c>
      <c r="J25" s="6">
        <v>0</v>
      </c>
      <c r="K25" s="3">
        <f t="shared" si="19"/>
        <v>1456.0993788819876</v>
      </c>
      <c r="L25" s="3">
        <v>351648</v>
      </c>
      <c r="M25" s="6">
        <v>241.5</v>
      </c>
      <c r="N25" s="3" t="e">
        <f t="shared" si="20"/>
        <v>#DIV/0!</v>
      </c>
      <c r="O25" s="3">
        <v>0</v>
      </c>
      <c r="P25" s="6">
        <v>0</v>
      </c>
      <c r="Q25" s="3" t="e">
        <f t="shared" si="21"/>
        <v>#DIV/0!</v>
      </c>
      <c r="R25" s="3">
        <v>0</v>
      </c>
      <c r="S25" s="6">
        <v>0</v>
      </c>
      <c r="T25" s="3" t="e">
        <f t="shared" si="22"/>
        <v>#DIV/0!</v>
      </c>
      <c r="U25" s="3">
        <v>0</v>
      </c>
      <c r="V25" s="6">
        <v>0</v>
      </c>
      <c r="W25" s="3" t="e">
        <f t="shared" si="23"/>
        <v>#DIV/0!</v>
      </c>
      <c r="X25" s="3">
        <v>0</v>
      </c>
      <c r="Y25" s="6">
        <v>0</v>
      </c>
      <c r="Z25" s="3" t="e">
        <f t="shared" si="24"/>
        <v>#DIV/0!</v>
      </c>
      <c r="AA25" s="3">
        <v>0</v>
      </c>
      <c r="AB25" s="6">
        <v>0</v>
      </c>
      <c r="AC25" s="3" t="e">
        <f t="shared" si="25"/>
        <v>#DIV/0!</v>
      </c>
      <c r="AD25" s="3">
        <v>0</v>
      </c>
      <c r="AE25" s="6">
        <v>0</v>
      </c>
      <c r="AF25" s="3" t="e">
        <f t="shared" si="26"/>
        <v>#DIV/0!</v>
      </c>
      <c r="AG25" s="3">
        <v>0</v>
      </c>
      <c r="AH25" s="6">
        <v>0</v>
      </c>
      <c r="AI25" s="3" t="e">
        <f t="shared" si="27"/>
        <v>#DIV/0!</v>
      </c>
      <c r="AJ25" s="3">
        <v>0</v>
      </c>
      <c r="AK25" s="6">
        <v>0</v>
      </c>
      <c r="AL25" s="3" t="e">
        <f t="shared" si="28"/>
        <v>#DIV/0!</v>
      </c>
      <c r="AM25" s="3">
        <v>0</v>
      </c>
      <c r="AN25" s="6">
        <v>0</v>
      </c>
      <c r="AO25" s="3">
        <f t="shared" si="12"/>
        <v>1456.0993788819876</v>
      </c>
      <c r="AP25" s="3">
        <f t="shared" si="15"/>
        <v>351648</v>
      </c>
      <c r="AQ25" s="6">
        <f t="shared" si="16"/>
        <v>241.5</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45</v>
      </c>
      <c r="B26" s="20"/>
      <c r="C26" s="20"/>
      <c r="D26" s="20"/>
      <c r="E26" s="3" t="e">
        <f t="shared" si="17"/>
        <v>#DIV/0!</v>
      </c>
      <c r="F26" s="3">
        <v>0</v>
      </c>
      <c r="G26" s="6">
        <v>0</v>
      </c>
      <c r="H26" s="3" t="e">
        <f t="shared" si="18"/>
        <v>#DIV/0!</v>
      </c>
      <c r="I26" s="3">
        <v>0</v>
      </c>
      <c r="J26" s="6">
        <v>0</v>
      </c>
      <c r="K26" s="3">
        <f t="shared" si="19"/>
        <v>996.20689655172418</v>
      </c>
      <c r="L26" s="3">
        <v>23112</v>
      </c>
      <c r="M26" s="6">
        <v>23.2</v>
      </c>
      <c r="N26" s="3" t="e">
        <f t="shared" si="20"/>
        <v>#DIV/0!</v>
      </c>
      <c r="O26" s="3">
        <v>0</v>
      </c>
      <c r="P26" s="6">
        <v>0</v>
      </c>
      <c r="Q26" s="3" t="e">
        <f t="shared" si="21"/>
        <v>#DIV/0!</v>
      </c>
      <c r="R26" s="3">
        <v>0</v>
      </c>
      <c r="S26" s="6">
        <v>0</v>
      </c>
      <c r="T26" s="3">
        <f t="shared" si="22"/>
        <v>928.23275862068965</v>
      </c>
      <c r="U26" s="3">
        <v>21535</v>
      </c>
      <c r="V26" s="6">
        <v>23.2</v>
      </c>
      <c r="W26" s="3">
        <f t="shared" si="23"/>
        <v>934.52586206896558</v>
      </c>
      <c r="X26" s="3">
        <v>21681</v>
      </c>
      <c r="Y26" s="6">
        <v>23.2</v>
      </c>
      <c r="Z26" s="3">
        <f t="shared" si="24"/>
        <v>1120.6896551724137</v>
      </c>
      <c r="AA26" s="3">
        <v>26000</v>
      </c>
      <c r="AB26" s="6">
        <v>23.2</v>
      </c>
      <c r="AC26" s="3" t="e">
        <f t="shared" si="25"/>
        <v>#DIV/0!</v>
      </c>
      <c r="AD26" s="3">
        <v>0</v>
      </c>
      <c r="AE26" s="6">
        <v>0</v>
      </c>
      <c r="AF26" s="3" t="e">
        <f t="shared" si="26"/>
        <v>#DIV/0!</v>
      </c>
      <c r="AG26" s="3">
        <v>0</v>
      </c>
      <c r="AH26" s="6">
        <v>0</v>
      </c>
      <c r="AI26" s="3" t="e">
        <f t="shared" si="27"/>
        <v>#DIV/0!</v>
      </c>
      <c r="AJ26" s="3">
        <v>0</v>
      </c>
      <c r="AK26" s="6">
        <v>0</v>
      </c>
      <c r="AL26" s="3" t="e">
        <f t="shared" si="28"/>
        <v>#DIV/0!</v>
      </c>
      <c r="AM26" s="3">
        <v>0</v>
      </c>
      <c r="AN26" s="6">
        <v>0</v>
      </c>
      <c r="AO26" s="3">
        <f t="shared" si="12"/>
        <v>994.91379310344826</v>
      </c>
      <c r="AP26" s="3">
        <f t="shared" si="15"/>
        <v>92328</v>
      </c>
      <c r="AQ26" s="6">
        <f t="shared" si="16"/>
        <v>92.8</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36</v>
      </c>
      <c r="B27" s="20"/>
      <c r="C27" s="20"/>
      <c r="D27" s="20"/>
      <c r="E27" s="3" t="e">
        <f t="shared" si="17"/>
        <v>#DIV/0!</v>
      </c>
      <c r="F27" s="3">
        <v>0</v>
      </c>
      <c r="G27" s="6">
        <v>0</v>
      </c>
      <c r="H27" s="3">
        <f t="shared" si="18"/>
        <v>981.72413793103453</v>
      </c>
      <c r="I27" s="3">
        <v>22776</v>
      </c>
      <c r="J27" s="6">
        <v>23.2</v>
      </c>
      <c r="K27" s="3">
        <f t="shared" si="19"/>
        <v>1527.5538656527249</v>
      </c>
      <c r="L27" s="3">
        <v>120524</v>
      </c>
      <c r="M27" s="6">
        <v>78.900000000000006</v>
      </c>
      <c r="N27" s="3">
        <f t="shared" si="20"/>
        <v>1051.2068965517242</v>
      </c>
      <c r="O27" s="3">
        <v>48776</v>
      </c>
      <c r="P27" s="6">
        <v>46.4</v>
      </c>
      <c r="Q27" s="3">
        <f t="shared" si="21"/>
        <v>1336.6906474820144</v>
      </c>
      <c r="R27" s="3">
        <v>92900</v>
      </c>
      <c r="S27" s="6">
        <v>69.5</v>
      </c>
      <c r="T27" s="3">
        <f t="shared" si="22"/>
        <v>1535.5450236966824</v>
      </c>
      <c r="U27" s="3">
        <v>64800</v>
      </c>
      <c r="V27" s="6">
        <v>42.2</v>
      </c>
      <c r="W27" s="3">
        <f t="shared" si="23"/>
        <v>1169.5999999999999</v>
      </c>
      <c r="X27" s="3">
        <v>52632</v>
      </c>
      <c r="Y27" s="6">
        <v>45</v>
      </c>
      <c r="Z27" s="3" t="e">
        <f t="shared" si="24"/>
        <v>#DIV/0!</v>
      </c>
      <c r="AA27" s="3">
        <v>0</v>
      </c>
      <c r="AB27" s="6">
        <v>0</v>
      </c>
      <c r="AC27" s="3">
        <f t="shared" si="25"/>
        <v>981.72413793103453</v>
      </c>
      <c r="AD27" s="3">
        <v>22776</v>
      </c>
      <c r="AE27" s="6">
        <v>23.2</v>
      </c>
      <c r="AF27" s="3">
        <f t="shared" si="26"/>
        <v>981.72413793103453</v>
      </c>
      <c r="AG27" s="3">
        <v>22776</v>
      </c>
      <c r="AH27" s="6">
        <v>23.2</v>
      </c>
      <c r="AI27" s="3">
        <f t="shared" si="27"/>
        <v>1142.2413793103449</v>
      </c>
      <c r="AJ27" s="3">
        <v>53000</v>
      </c>
      <c r="AK27" s="6">
        <v>46.4</v>
      </c>
      <c r="AL27" s="3" t="e">
        <f t="shared" si="28"/>
        <v>#DIV/0!</v>
      </c>
      <c r="AM27" s="3">
        <v>0</v>
      </c>
      <c r="AN27" s="6">
        <v>0</v>
      </c>
      <c r="AO27" s="3">
        <f t="shared" si="12"/>
        <v>1258.6934673366836</v>
      </c>
      <c r="AP27" s="3">
        <f t="shared" si="15"/>
        <v>500960</v>
      </c>
      <c r="AQ27" s="6">
        <f t="shared" si="16"/>
        <v>397.99999999999994</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26</v>
      </c>
      <c r="B28" s="20"/>
      <c r="C28" s="20"/>
      <c r="D28" s="20"/>
      <c r="E28" s="3" t="e">
        <f t="shared" si="17"/>
        <v>#DIV/0!</v>
      </c>
      <c r="F28" s="3">
        <v>0</v>
      </c>
      <c r="G28" s="6">
        <v>0</v>
      </c>
      <c r="H28" s="3" t="e">
        <f t="shared" si="18"/>
        <v>#DIV/0!</v>
      </c>
      <c r="I28" s="3">
        <v>0</v>
      </c>
      <c r="J28" s="6">
        <v>0</v>
      </c>
      <c r="K28" s="3">
        <f t="shared" si="19"/>
        <v>1187.9032258064515</v>
      </c>
      <c r="L28" s="3">
        <v>29460</v>
      </c>
      <c r="M28" s="6">
        <v>24.8</v>
      </c>
      <c r="N28" s="3">
        <f t="shared" si="20"/>
        <v>1191.8093385214008</v>
      </c>
      <c r="O28" s="3">
        <v>61259</v>
      </c>
      <c r="P28" s="6">
        <v>51.4</v>
      </c>
      <c r="Q28" s="3" t="e">
        <f t="shared" si="21"/>
        <v>#DIV/0!</v>
      </c>
      <c r="R28" s="3">
        <v>0</v>
      </c>
      <c r="S28" s="6">
        <v>0</v>
      </c>
      <c r="T28" s="3">
        <f t="shared" si="22"/>
        <v>1153.8499999999999</v>
      </c>
      <c r="U28" s="3">
        <v>23077</v>
      </c>
      <c r="V28" s="6">
        <v>20</v>
      </c>
      <c r="W28" s="3">
        <f t="shared" si="23"/>
        <v>1157.132867132867</v>
      </c>
      <c r="X28" s="3">
        <v>33094</v>
      </c>
      <c r="Y28" s="6">
        <v>28.6</v>
      </c>
      <c r="Z28" s="3">
        <f t="shared" si="24"/>
        <v>1165.8208955223881</v>
      </c>
      <c r="AA28" s="3">
        <v>7811</v>
      </c>
      <c r="AB28" s="6">
        <v>6.7</v>
      </c>
      <c r="AC28" s="3">
        <f t="shared" si="25"/>
        <v>1172.4137931034484</v>
      </c>
      <c r="AD28" s="3">
        <v>3400</v>
      </c>
      <c r="AE28" s="6">
        <v>2.9</v>
      </c>
      <c r="AF28" s="3">
        <f t="shared" si="26"/>
        <v>1201.578947368421</v>
      </c>
      <c r="AG28" s="3">
        <v>20547</v>
      </c>
      <c r="AH28" s="6">
        <v>17.100000000000001</v>
      </c>
      <c r="AI28" s="3">
        <f t="shared" si="27"/>
        <v>1205.578947368421</v>
      </c>
      <c r="AJ28" s="3">
        <v>11453</v>
      </c>
      <c r="AK28" s="6">
        <v>9.5</v>
      </c>
      <c r="AL28" s="3" t="e">
        <f t="shared" si="28"/>
        <v>#DIV/0!</v>
      </c>
      <c r="AM28" s="3">
        <v>0</v>
      </c>
      <c r="AN28" s="6">
        <v>0</v>
      </c>
      <c r="AO28" s="3">
        <f t="shared" si="12"/>
        <v>1180.7515527950311</v>
      </c>
      <c r="AP28" s="3">
        <f t="shared" si="15"/>
        <v>190101</v>
      </c>
      <c r="AQ28" s="6">
        <f t="shared" si="16"/>
        <v>161</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41</v>
      </c>
      <c r="B29" s="20"/>
      <c r="C29" s="20"/>
      <c r="D29" s="20"/>
      <c r="E29" s="3" t="e">
        <f t="shared" si="17"/>
        <v>#DIV/0!</v>
      </c>
      <c r="F29" s="3">
        <v>0</v>
      </c>
      <c r="G29" s="6">
        <v>0</v>
      </c>
      <c r="H29" s="3" t="e">
        <f t="shared" si="18"/>
        <v>#DIV/0!</v>
      </c>
      <c r="I29" s="3">
        <v>0</v>
      </c>
      <c r="J29" s="6">
        <v>0</v>
      </c>
      <c r="K29" s="3" t="e">
        <f t="shared" si="19"/>
        <v>#DIV/0!</v>
      </c>
      <c r="L29" s="3">
        <v>0</v>
      </c>
      <c r="M29" s="6">
        <v>0</v>
      </c>
      <c r="N29" s="3" t="e">
        <f t="shared" si="20"/>
        <v>#DIV/0!</v>
      </c>
      <c r="O29" s="3">
        <v>0</v>
      </c>
      <c r="P29" s="6">
        <v>0</v>
      </c>
      <c r="Q29" s="3" t="e">
        <f t="shared" si="21"/>
        <v>#DIV/0!</v>
      </c>
      <c r="R29" s="3">
        <v>0</v>
      </c>
      <c r="S29" s="6">
        <v>0</v>
      </c>
      <c r="T29" s="3" t="e">
        <f t="shared" si="22"/>
        <v>#DIV/0!</v>
      </c>
      <c r="U29" s="3">
        <v>0</v>
      </c>
      <c r="V29" s="6">
        <v>0</v>
      </c>
      <c r="W29" s="3" t="e">
        <f t="shared" si="23"/>
        <v>#DIV/0!</v>
      </c>
      <c r="X29" s="3">
        <v>0</v>
      </c>
      <c r="Y29" s="6">
        <v>0</v>
      </c>
      <c r="Z29" s="3" t="e">
        <f t="shared" si="24"/>
        <v>#DIV/0!</v>
      </c>
      <c r="AA29" s="3">
        <v>0</v>
      </c>
      <c r="AB29" s="6">
        <v>0</v>
      </c>
      <c r="AC29" s="3" t="e">
        <f t="shared" si="25"/>
        <v>#DIV/0!</v>
      </c>
      <c r="AD29" s="3">
        <v>0</v>
      </c>
      <c r="AE29" s="6">
        <v>0</v>
      </c>
      <c r="AF29" s="3">
        <f t="shared" si="26"/>
        <v>2502.439024390244</v>
      </c>
      <c r="AG29" s="3">
        <v>20520</v>
      </c>
      <c r="AH29" s="6">
        <v>8.1999999999999993</v>
      </c>
      <c r="AI29" s="3" t="e">
        <f t="shared" si="27"/>
        <v>#DIV/0!</v>
      </c>
      <c r="AJ29" s="3">
        <v>0</v>
      </c>
      <c r="AK29" s="6">
        <v>0</v>
      </c>
      <c r="AL29" s="3" t="e">
        <f t="shared" si="28"/>
        <v>#DIV/0!</v>
      </c>
      <c r="AM29" s="3">
        <v>0</v>
      </c>
      <c r="AN29" s="6">
        <v>0</v>
      </c>
      <c r="AO29" s="3">
        <f t="shared" si="12"/>
        <v>2502.439024390244</v>
      </c>
      <c r="AP29" s="3">
        <f t="shared" si="15"/>
        <v>20520</v>
      </c>
      <c r="AQ29" s="6">
        <f t="shared" si="16"/>
        <v>8.1999999999999993</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12" t="s">
        <v>27</v>
      </c>
      <c r="B30" s="21"/>
      <c r="C30" s="21"/>
      <c r="D30" s="21"/>
      <c r="E30" s="9" t="e">
        <f t="shared" si="17"/>
        <v>#DIV/0!</v>
      </c>
      <c r="F30" s="10">
        <v>0</v>
      </c>
      <c r="G30" s="11">
        <v>0</v>
      </c>
      <c r="H30" s="10">
        <f t="shared" si="18"/>
        <v>3299.166666666667</v>
      </c>
      <c r="I30" s="10">
        <v>3959</v>
      </c>
      <c r="J30" s="11">
        <v>1.2</v>
      </c>
      <c r="K30" s="10" t="e">
        <f t="shared" si="19"/>
        <v>#DIV/0!</v>
      </c>
      <c r="L30" s="10">
        <v>0</v>
      </c>
      <c r="M30" s="11">
        <v>0</v>
      </c>
      <c r="N30" s="10">
        <f t="shared" si="20"/>
        <v>1465.1136363636363</v>
      </c>
      <c r="O30" s="10">
        <v>12893</v>
      </c>
      <c r="P30" s="11">
        <v>8.8000000000000007</v>
      </c>
      <c r="Q30" s="10">
        <f t="shared" si="21"/>
        <v>1442.8571428571429</v>
      </c>
      <c r="R30" s="10">
        <v>5050</v>
      </c>
      <c r="S30" s="11">
        <v>3.5</v>
      </c>
      <c r="T30" s="10">
        <f t="shared" si="22"/>
        <v>1639.1304347826087</v>
      </c>
      <c r="U30" s="10">
        <v>7540</v>
      </c>
      <c r="V30" s="11">
        <v>4.5999999999999996</v>
      </c>
      <c r="W30" s="10">
        <f t="shared" si="23"/>
        <v>1397.7358490566039</v>
      </c>
      <c r="X30" s="10">
        <v>7408</v>
      </c>
      <c r="Y30" s="11">
        <v>5.3</v>
      </c>
      <c r="Z30" s="10" t="e">
        <f t="shared" si="24"/>
        <v>#DIV/0!</v>
      </c>
      <c r="AA30" s="10">
        <v>0</v>
      </c>
      <c r="AB30" s="11">
        <v>0</v>
      </c>
      <c r="AC30" s="10" t="e">
        <f t="shared" si="25"/>
        <v>#DIV/0!</v>
      </c>
      <c r="AD30" s="10">
        <v>0</v>
      </c>
      <c r="AE30" s="11">
        <v>0</v>
      </c>
      <c r="AF30" s="10">
        <f t="shared" si="26"/>
        <v>14250</v>
      </c>
      <c r="AG30" s="10">
        <v>2850</v>
      </c>
      <c r="AH30" s="11">
        <v>0.2</v>
      </c>
      <c r="AI30" s="10" t="e">
        <f t="shared" si="27"/>
        <v>#DIV/0!</v>
      </c>
      <c r="AJ30" s="10">
        <v>0</v>
      </c>
      <c r="AK30" s="11">
        <v>0</v>
      </c>
      <c r="AL30" s="10" t="e">
        <f t="shared" si="28"/>
        <v>#DIV/0!</v>
      </c>
      <c r="AM30" s="10">
        <v>0</v>
      </c>
      <c r="AN30" s="11">
        <v>0</v>
      </c>
      <c r="AO30" s="10">
        <f t="shared" si="12"/>
        <v>1682.2033898305083</v>
      </c>
      <c r="AP30" s="10">
        <f t="shared" si="15"/>
        <v>39700</v>
      </c>
      <c r="AQ30" s="11">
        <f t="shared" si="16"/>
        <v>23.6</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1" t="s">
        <v>28</v>
      </c>
      <c r="B31" s="1"/>
    </row>
    <row r="32" spans="1:67" x14ac:dyDescent="0.3">
      <c r="A32" s="1" t="s">
        <v>42</v>
      </c>
      <c r="B32" s="1"/>
    </row>
    <row r="33" spans="1:2" x14ac:dyDescent="0.3">
      <c r="A33" s="1" t="s">
        <v>29</v>
      </c>
      <c r="B33" s="1"/>
    </row>
    <row r="34" spans="1:2" x14ac:dyDescent="0.3">
      <c r="A34" s="1" t="s">
        <v>30</v>
      </c>
      <c r="B34" s="1"/>
    </row>
    <row r="35" spans="1:2" x14ac:dyDescent="0.3">
      <c r="A35" s="1" t="s">
        <v>43</v>
      </c>
      <c r="B35" s="1"/>
    </row>
  </sheetData>
  <mergeCells count="16">
    <mergeCell ref="E1:G1"/>
    <mergeCell ref="H1:J1"/>
    <mergeCell ref="K1:M1"/>
    <mergeCell ref="B3:B30"/>
    <mergeCell ref="C3:C30"/>
    <mergeCell ref="D3:D30"/>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2026-08-07T09:25:57Z</dcterms:modified>
</cp:coreProperties>
</file>