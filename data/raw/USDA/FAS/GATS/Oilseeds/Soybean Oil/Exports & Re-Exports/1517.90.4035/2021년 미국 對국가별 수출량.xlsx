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17.90.4035\"/>
    </mc:Choice>
  </mc:AlternateContent>
  <bookViews>
    <workbookView xWindow="0" yWindow="0" windowWidth="25125" windowHeight="11640"/>
  </bookViews>
  <sheets>
    <sheet name="2021년" sheetId="1" r:id="rId1"/>
  </sheets>
  <calcPr calcId="162913"/>
</workbook>
</file>

<file path=xl/calcChain.xml><?xml version="1.0" encoding="utf-8"?>
<calcChain xmlns="http://schemas.openxmlformats.org/spreadsheetml/2006/main">
  <c r="AQ26" i="1" l="1"/>
  <c r="AP26" i="1"/>
  <c r="AQ25" i="1"/>
  <c r="AP25" i="1"/>
  <c r="AQ24" i="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Q5" i="1"/>
  <c r="AP5" i="1"/>
  <c r="AN3" i="1"/>
  <c r="AM3" i="1"/>
  <c r="AK3" i="1"/>
  <c r="AJ3" i="1"/>
  <c r="AH3" i="1"/>
  <c r="AG3" i="1"/>
  <c r="AE3" i="1"/>
  <c r="AD3" i="1"/>
  <c r="AB3" i="1"/>
  <c r="AA3" i="1"/>
  <c r="Y3" i="1"/>
  <c r="X3" i="1"/>
  <c r="V3" i="1"/>
  <c r="U3" i="1"/>
  <c r="S3" i="1"/>
  <c r="R3" i="1"/>
  <c r="P3" i="1"/>
  <c r="O3" i="1"/>
  <c r="M3" i="1"/>
  <c r="L3" i="1"/>
  <c r="J3" i="1"/>
  <c r="I3" i="1"/>
  <c r="G3" i="1"/>
  <c r="F3" i="1"/>
  <c r="AQ4" i="1" l="1"/>
  <c r="AP4" i="1"/>
  <c r="AC3" i="1" l="1"/>
  <c r="Q3" i="1"/>
  <c r="AL3" i="1"/>
  <c r="AF3" i="1"/>
  <c r="W3" i="1"/>
  <c r="T3" i="1"/>
  <c r="N3" i="1"/>
  <c r="K3" i="1"/>
  <c r="H3" i="1"/>
  <c r="AP3" i="1"/>
  <c r="AL26" i="1"/>
  <c r="AL25" i="1"/>
  <c r="AL24" i="1"/>
  <c r="AL23" i="1"/>
  <c r="AL22" i="1"/>
  <c r="AL21" i="1"/>
  <c r="AL20" i="1"/>
  <c r="AL19" i="1"/>
  <c r="AL18" i="1"/>
  <c r="AL17" i="1"/>
  <c r="AL16" i="1"/>
  <c r="AL15" i="1"/>
  <c r="AL14" i="1"/>
  <c r="AL13" i="1"/>
  <c r="AL12" i="1"/>
  <c r="AL11" i="1"/>
  <c r="AL10" i="1"/>
  <c r="AL9" i="1"/>
  <c r="AL8" i="1"/>
  <c r="AL7" i="1"/>
  <c r="AL6" i="1"/>
  <c r="AL5" i="1"/>
  <c r="AL4" i="1"/>
  <c r="AI26" i="1"/>
  <c r="AI25" i="1"/>
  <c r="AI24" i="1"/>
  <c r="AI23" i="1"/>
  <c r="AI22" i="1"/>
  <c r="AI21" i="1"/>
  <c r="AI20" i="1"/>
  <c r="AI19" i="1"/>
  <c r="AI18" i="1"/>
  <c r="AI17" i="1"/>
  <c r="AI16" i="1"/>
  <c r="AI15" i="1"/>
  <c r="AI14" i="1"/>
  <c r="AI13" i="1"/>
  <c r="AI12" i="1"/>
  <c r="AI11" i="1"/>
  <c r="AI10" i="1"/>
  <c r="AI9" i="1"/>
  <c r="AI8" i="1"/>
  <c r="AI7" i="1"/>
  <c r="AI6" i="1"/>
  <c r="AI5" i="1"/>
  <c r="AI4" i="1"/>
  <c r="AF26" i="1"/>
  <c r="AF25" i="1"/>
  <c r="AF24" i="1"/>
  <c r="AF23" i="1"/>
  <c r="AF22" i="1"/>
  <c r="AF21" i="1"/>
  <c r="AF20" i="1"/>
  <c r="AF19" i="1"/>
  <c r="AF18" i="1"/>
  <c r="AF17" i="1"/>
  <c r="AF16" i="1"/>
  <c r="AF15" i="1"/>
  <c r="AF14" i="1"/>
  <c r="AF13" i="1"/>
  <c r="AF12" i="1"/>
  <c r="AF11" i="1"/>
  <c r="AF10" i="1"/>
  <c r="AF9" i="1"/>
  <c r="AF8" i="1"/>
  <c r="AF7" i="1"/>
  <c r="AF6" i="1"/>
  <c r="AF5" i="1"/>
  <c r="AF4" i="1"/>
  <c r="AC26" i="1"/>
  <c r="AC25" i="1"/>
  <c r="AC24" i="1"/>
  <c r="AC23" i="1"/>
  <c r="AC22" i="1"/>
  <c r="AC21" i="1"/>
  <c r="AC20" i="1"/>
  <c r="AC19" i="1"/>
  <c r="AC18" i="1"/>
  <c r="AC17" i="1"/>
  <c r="AC16" i="1"/>
  <c r="AC15" i="1"/>
  <c r="AC14" i="1"/>
  <c r="AC13" i="1"/>
  <c r="AC12" i="1"/>
  <c r="AC11" i="1"/>
  <c r="AC10" i="1"/>
  <c r="AC9" i="1"/>
  <c r="AC8" i="1"/>
  <c r="AC7" i="1"/>
  <c r="AC6" i="1"/>
  <c r="AC5" i="1"/>
  <c r="AC4" i="1"/>
  <c r="Z26" i="1"/>
  <c r="Z25" i="1"/>
  <c r="Z24" i="1"/>
  <c r="Z23" i="1"/>
  <c r="Z22" i="1"/>
  <c r="Z21" i="1"/>
  <c r="Z20" i="1"/>
  <c r="Z19" i="1"/>
  <c r="Z18" i="1"/>
  <c r="Z17" i="1"/>
  <c r="Z16" i="1"/>
  <c r="Z15" i="1"/>
  <c r="Z14" i="1"/>
  <c r="Z13" i="1"/>
  <c r="Z12" i="1"/>
  <c r="Z11" i="1"/>
  <c r="Z10" i="1"/>
  <c r="Z9" i="1"/>
  <c r="Z8" i="1"/>
  <c r="Z7" i="1"/>
  <c r="Z6" i="1"/>
  <c r="Z5" i="1"/>
  <c r="Z4" i="1"/>
  <c r="W26" i="1"/>
  <c r="W25" i="1"/>
  <c r="W24" i="1"/>
  <c r="W23" i="1"/>
  <c r="W22" i="1"/>
  <c r="W21" i="1"/>
  <c r="W20" i="1"/>
  <c r="W19" i="1"/>
  <c r="W18" i="1"/>
  <c r="W17" i="1"/>
  <c r="W16" i="1"/>
  <c r="W15" i="1"/>
  <c r="W14" i="1"/>
  <c r="W13" i="1"/>
  <c r="W12" i="1"/>
  <c r="W11" i="1"/>
  <c r="W10" i="1"/>
  <c r="W9" i="1"/>
  <c r="W8" i="1"/>
  <c r="W7" i="1"/>
  <c r="W6" i="1"/>
  <c r="W5" i="1"/>
  <c r="W4" i="1"/>
  <c r="T26" i="1"/>
  <c r="T25" i="1"/>
  <c r="T24" i="1"/>
  <c r="T23" i="1"/>
  <c r="T22" i="1"/>
  <c r="T21" i="1"/>
  <c r="T20" i="1"/>
  <c r="T19" i="1"/>
  <c r="T18" i="1"/>
  <c r="T17" i="1"/>
  <c r="T16" i="1"/>
  <c r="T15" i="1"/>
  <c r="T14" i="1"/>
  <c r="T13" i="1"/>
  <c r="T12" i="1"/>
  <c r="T11" i="1"/>
  <c r="T10" i="1"/>
  <c r="T9" i="1"/>
  <c r="T8" i="1"/>
  <c r="T7" i="1"/>
  <c r="T6" i="1"/>
  <c r="T5" i="1"/>
  <c r="T4" i="1"/>
  <c r="Q26" i="1"/>
  <c r="Q25" i="1"/>
  <c r="Q24" i="1"/>
  <c r="Q23" i="1"/>
  <c r="Q22" i="1"/>
  <c r="Q21" i="1"/>
  <c r="Q20" i="1"/>
  <c r="Q19" i="1"/>
  <c r="Q18" i="1"/>
  <c r="Q17" i="1"/>
  <c r="Q16" i="1"/>
  <c r="Q15" i="1"/>
  <c r="Q14" i="1"/>
  <c r="Q13" i="1"/>
  <c r="Q12" i="1"/>
  <c r="Q11" i="1"/>
  <c r="Q10" i="1"/>
  <c r="Q9" i="1"/>
  <c r="Q8" i="1"/>
  <c r="Q7" i="1"/>
  <c r="Q6" i="1"/>
  <c r="Q5" i="1"/>
  <c r="Q4" i="1"/>
  <c r="N26" i="1"/>
  <c r="N25" i="1"/>
  <c r="N24" i="1"/>
  <c r="N23" i="1"/>
  <c r="N22" i="1"/>
  <c r="N21" i="1"/>
  <c r="N20" i="1"/>
  <c r="N19" i="1"/>
  <c r="N18" i="1"/>
  <c r="N17" i="1"/>
  <c r="N16" i="1"/>
  <c r="N15" i="1"/>
  <c r="N14" i="1"/>
  <c r="N13" i="1"/>
  <c r="N12" i="1"/>
  <c r="N11" i="1"/>
  <c r="N10" i="1"/>
  <c r="N9" i="1"/>
  <c r="N8" i="1"/>
  <c r="N7" i="1"/>
  <c r="N6" i="1"/>
  <c r="N5" i="1"/>
  <c r="N4" i="1"/>
  <c r="K26" i="1"/>
  <c r="K25" i="1"/>
  <c r="K24" i="1"/>
  <c r="K23" i="1"/>
  <c r="K22" i="1"/>
  <c r="K21" i="1"/>
  <c r="K20" i="1"/>
  <c r="K19" i="1"/>
  <c r="K18" i="1"/>
  <c r="K17" i="1"/>
  <c r="K16" i="1"/>
  <c r="K15" i="1"/>
  <c r="K14" i="1"/>
  <c r="K13" i="1"/>
  <c r="K12" i="1"/>
  <c r="K11" i="1"/>
  <c r="K10" i="1"/>
  <c r="K9" i="1"/>
  <c r="K8" i="1"/>
  <c r="K7" i="1"/>
  <c r="K6" i="1"/>
  <c r="K5" i="1"/>
  <c r="K4" i="1"/>
  <c r="H26" i="1"/>
  <c r="H25" i="1"/>
  <c r="H24" i="1"/>
  <c r="H23" i="1"/>
  <c r="H22" i="1"/>
  <c r="H21" i="1"/>
  <c r="H20" i="1"/>
  <c r="H19" i="1"/>
  <c r="H18" i="1"/>
  <c r="H17" i="1"/>
  <c r="H16" i="1"/>
  <c r="H15" i="1"/>
  <c r="H14" i="1"/>
  <c r="H13" i="1"/>
  <c r="H12" i="1"/>
  <c r="H11" i="1"/>
  <c r="H10" i="1"/>
  <c r="H9" i="1"/>
  <c r="H8" i="1"/>
  <c r="H7" i="1"/>
  <c r="H6" i="1"/>
  <c r="H5" i="1"/>
  <c r="H4" i="1"/>
  <c r="E26" i="1"/>
  <c r="E25" i="1"/>
  <c r="E24" i="1"/>
  <c r="E23" i="1"/>
  <c r="E22" i="1"/>
  <c r="E21" i="1"/>
  <c r="E20" i="1"/>
  <c r="E19" i="1"/>
  <c r="E18" i="1"/>
  <c r="E17" i="1"/>
  <c r="E16" i="1"/>
  <c r="E15" i="1"/>
  <c r="E14" i="1"/>
  <c r="E13" i="1"/>
  <c r="E11" i="1"/>
  <c r="E10" i="1"/>
  <c r="E9" i="1"/>
  <c r="E8" i="1"/>
  <c r="E7" i="1"/>
  <c r="E6" i="1"/>
  <c r="E5" i="1"/>
  <c r="E4" i="1"/>
  <c r="E12" i="1"/>
  <c r="AQ3" i="1"/>
  <c r="AI3" i="1" l="1"/>
  <c r="Z3" i="1"/>
  <c r="AO7" i="1"/>
  <c r="AO15" i="1"/>
  <c r="E3" i="1"/>
  <c r="AO10" i="1"/>
  <c r="AO18" i="1"/>
  <c r="AO26" i="1"/>
  <c r="AO11" i="1"/>
  <c r="AO20" i="1"/>
  <c r="AO5" i="1"/>
  <c r="AO13" i="1"/>
  <c r="AO21" i="1"/>
  <c r="AO6" i="1"/>
  <c r="AO14" i="1"/>
  <c r="AO22" i="1"/>
  <c r="AO8" i="1"/>
  <c r="AO16" i="1"/>
  <c r="AO24" i="1"/>
  <c r="AO9" i="1"/>
  <c r="AO17" i="1"/>
  <c r="AO25" i="1"/>
  <c r="AO19" i="1"/>
  <c r="AO23" i="1"/>
  <c r="AO3" i="1" l="1"/>
  <c r="AO4" i="1"/>
  <c r="AO12" i="1"/>
</calcChain>
</file>

<file path=xl/sharedStrings.xml><?xml version="1.0" encoding="utf-8"?>
<sst xmlns="http://schemas.openxmlformats.org/spreadsheetml/2006/main" count="88" uniqueCount="52">
  <si>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</si>
  <si>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</si>
  <si>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</si>
  <si>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</si>
  <si>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</si>
  <si>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</si>
  <si>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</si>
  <si>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</si>
  <si>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</si>
  <si>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</si>
  <si>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</si>
  <si>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</si>
  <si>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</si>
  <si>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</si>
  <si>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</si>
  <si>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</si>
  <si>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</si>
  <si>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</si>
  <si>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Dominican Republic</t>
  </si>
  <si>
    <t>Jamaica</t>
  </si>
  <si>
    <t>Mexico</t>
  </si>
  <si>
    <t>Bahamas, The</t>
  </si>
  <si>
    <t>Belize</t>
  </si>
  <si>
    <t>Guatemala</t>
  </si>
  <si>
    <t>Honduras</t>
  </si>
  <si>
    <t>Panama</t>
  </si>
  <si>
    <t>Trinidad and Tobago</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</si>
  <si>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</si>
  <si>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</si>
  <si>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</si>
  <si>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</si>
  <si>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</si>
  <si>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</si>
  <si>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</si>
  <si>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</si>
  <si>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Netherlands Antilles(*)</t>
  </si>
  <si>
    <t>Kuwait</t>
  </si>
  <si>
    <t>Lebanon</t>
  </si>
  <si>
    <t>New Zealand(*)</t>
  </si>
  <si>
    <t>1. Data Source: U.S. Census Bureau Trade Data</t>
  </si>
  <si>
    <t>4. Product Group : Harmonized</t>
  </si>
  <si>
    <t>Product</t>
    <phoneticPr fontId="18" type="noConversion"/>
  </si>
  <si>
    <t>SOY OIL HYDRGNTD</t>
    <phoneticPr fontId="18" type="noConversion"/>
  </si>
  <si>
    <t>Jordan</t>
  </si>
  <si>
    <t>Nicaragua</t>
  </si>
  <si>
    <t>Haiti</t>
  </si>
  <si>
    <t>Turks and Caicos Islands</t>
  </si>
  <si>
    <t>Bermuda</t>
  </si>
  <si>
    <t>Argentina</t>
  </si>
  <si>
    <t>Colombia</t>
  </si>
  <si>
    <t>Australia(*)</t>
  </si>
  <si>
    <t>Israel(*)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</si>
</sst>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49" fontId="0" fillId="0" borderId="17"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31"/>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6" t="s">
        <v>0</v>
      </c>
      <c r="F1" s="17"/>
      <c r="G1" s="18"/>
      <c r="H1" s="13" t="s">
        <v>1</v>
      </c>
      <c r="I1" s="14"/>
      <c r="J1" s="15"/>
      <c r="K1" s="13" t="s">
        <v>2</v>
      </c>
      <c r="L1" s="14"/>
      <c r="M1" s="15"/>
      <c r="N1" s="13" t="s">
        <v>3</v>
      </c>
      <c r="O1" s="14"/>
      <c r="P1" s="15"/>
      <c r="Q1" s="13" t="s">
        <v>4</v>
      </c>
      <c r="R1" s="14"/>
      <c r="S1" s="15"/>
      <c r="T1" s="13" t="s">
        <v>5</v>
      </c>
      <c r="U1" s="14"/>
      <c r="V1" s="15"/>
      <c r="W1" s="13" t="s">
        <v>6</v>
      </c>
      <c r="X1" s="14"/>
      <c r="Y1" s="15"/>
      <c r="Z1" s="13" t="s">
        <v>7</v>
      </c>
      <c r="AA1" s="14"/>
      <c r="AB1" s="15"/>
      <c r="AC1" s="13" t="s">
        <v>8</v>
      </c>
      <c r="AD1" s="14"/>
      <c r="AE1" s="15"/>
      <c r="AF1" s="13" t="s">
        <v>9</v>
      </c>
      <c r="AG1" s="14"/>
      <c r="AH1" s="15"/>
      <c r="AI1" s="13" t="s">
        <v>10</v>
      </c>
      <c r="AJ1" s="14"/>
      <c r="AK1" s="15"/>
      <c r="AL1" s="13" t="s">
        <v>11</v>
      </c>
      <c r="AM1" s="14"/>
      <c r="AN1" s="15"/>
      <c r="AO1" s="13" t="s">
        <v>12</v>
      </c>
      <c r="AP1" s="14"/>
      <c r="AQ1" s="15"/>
    </row>
    <row r="2" spans="1:67" x14ac:dyDescent="0.3">
      <c r="A2" s="2" t="s">
        <v>31</v>
      </c>
      <c r="B2" s="2" t="s">
        <v>41</v>
      </c>
      <c r="C2" s="2" t="s">
        <v>13</v>
      </c>
      <c r="D2" s="2" t="s">
        <v>32</v>
      </c>
      <c r="E2" s="4" t="s">
        <v>14</v>
      </c>
      <c r="F2" s="2" t="s">
        <v>32</v>
      </c>
      <c r="G2" s="5" t="s">
        <v>15</v>
      </c>
      <c r="H2" s="2" t="s">
        <v>14</v>
      </c>
      <c r="I2" s="2" t="s">
        <v>32</v>
      </c>
      <c r="J2" s="5" t="s">
        <v>15</v>
      </c>
      <c r="K2" s="2" t="s">
        <v>14</v>
      </c>
      <c r="L2" s="2" t="s">
        <v>32</v>
      </c>
      <c r="M2" s="5" t="s">
        <v>15</v>
      </c>
      <c r="N2" s="2" t="s">
        <v>14</v>
      </c>
      <c r="O2" s="2" t="s">
        <v>32</v>
      </c>
      <c r="P2" s="5" t="s">
        <v>15</v>
      </c>
      <c r="Q2" s="2" t="s">
        <v>14</v>
      </c>
      <c r="R2" s="2" t="s">
        <v>32</v>
      </c>
      <c r="S2" s="5" t="s">
        <v>15</v>
      </c>
      <c r="T2" s="2" t="s">
        <v>14</v>
      </c>
      <c r="U2" s="2" t="s">
        <v>32</v>
      </c>
      <c r="V2" s="5" t="s">
        <v>15</v>
      </c>
      <c r="W2" s="2" t="s">
        <v>14</v>
      </c>
      <c r="X2" s="2" t="s">
        <v>32</v>
      </c>
      <c r="Y2" s="5" t="s">
        <v>15</v>
      </c>
      <c r="Z2" s="2" t="s">
        <v>14</v>
      </c>
      <c r="AA2" s="2" t="s">
        <v>32</v>
      </c>
      <c r="AB2" s="5" t="s">
        <v>15</v>
      </c>
      <c r="AC2" s="2" t="s">
        <v>14</v>
      </c>
      <c r="AD2" s="2" t="s">
        <v>32</v>
      </c>
      <c r="AE2" s="5" t="s">
        <v>15</v>
      </c>
      <c r="AF2" s="2" t="s">
        <v>14</v>
      </c>
      <c r="AG2" s="2" t="s">
        <v>32</v>
      </c>
      <c r="AH2" s="5" t="s">
        <v>15</v>
      </c>
      <c r="AI2" s="2" t="s">
        <v>14</v>
      </c>
      <c r="AJ2" s="2" t="s">
        <v>32</v>
      </c>
      <c r="AK2" s="5" t="s">
        <v>15</v>
      </c>
      <c r="AL2" s="2" t="s">
        <v>14</v>
      </c>
      <c r="AM2" s="2" t="s">
        <v>32</v>
      </c>
      <c r="AN2" s="5" t="s">
        <v>15</v>
      </c>
      <c r="AO2" s="2" t="s">
        <v>14</v>
      </c>
      <c r="AP2" s="2" t="s">
        <v>34</v>
      </c>
      <c r="AQ2" s="5" t="s">
        <v>15</v>
      </c>
    </row>
    <row r="3" spans="1:67" ht="15" customHeight="1" x14ac:dyDescent="0.3">
      <c r="A3" s="7" t="s">
        <v>16</v>
      </c>
      <c r="B3" s="19" t="s">
        <v>42</v>
      </c>
      <c r="C3" s="19" t="s">
        <v>17</v>
      </c>
      <c r="D3" s="19" t="s">
        <v>33</v>
      </c>
      <c r="E3" s="10">
        <f>F3/G3</f>
        <v>1358.2773109243699</v>
      </c>
      <c r="F3" s="10">
        <f>SUM(F4:F26)</f>
        <v>355597</v>
      </c>
      <c r="G3" s="11">
        <f>SUM(G4:G26)</f>
        <v>261.79999999999995</v>
      </c>
      <c r="H3" s="10">
        <f>I3/J3</f>
        <v>1522.9038112522687</v>
      </c>
      <c r="I3" s="10">
        <f>SUM(I4:I26)</f>
        <v>587384</v>
      </c>
      <c r="J3" s="11">
        <f>SUM(J4:J26)</f>
        <v>385.7</v>
      </c>
      <c r="K3" s="10">
        <f>L3/M3</f>
        <v>1323.1357713324928</v>
      </c>
      <c r="L3" s="10">
        <f>SUM(L4:L26)</f>
        <v>629548</v>
      </c>
      <c r="M3" s="11">
        <f>SUM(M4:M26)</f>
        <v>475.79999999999995</v>
      </c>
      <c r="N3" s="10">
        <f>O3/P3</f>
        <v>1749.9551952208237</v>
      </c>
      <c r="O3" s="10">
        <f>SUM(O4:O26)</f>
        <v>820204</v>
      </c>
      <c r="P3" s="11">
        <f>SUM(P4:P26)</f>
        <v>468.69999999999993</v>
      </c>
      <c r="Q3" s="10">
        <f>R3/S3</f>
        <v>1868.6639801611902</v>
      </c>
      <c r="R3" s="10">
        <f>SUM(R4:R26)</f>
        <v>602831</v>
      </c>
      <c r="S3" s="11">
        <f>SUM(S4:S26)</f>
        <v>322.60000000000002</v>
      </c>
      <c r="T3" s="10">
        <f>U3/V3</f>
        <v>2145.4463243873979</v>
      </c>
      <c r="U3" s="10">
        <f>SUM(U4:U26)</f>
        <v>735459</v>
      </c>
      <c r="V3" s="11">
        <f>SUM(V4:V26)</f>
        <v>342.8</v>
      </c>
      <c r="W3" s="10">
        <f>X3/Y3</f>
        <v>1983.4352744030159</v>
      </c>
      <c r="X3" s="10">
        <f>SUM(X4:X26)</f>
        <v>473446</v>
      </c>
      <c r="Y3" s="11">
        <f>SUM(Y4:Y26)</f>
        <v>238.70000000000005</v>
      </c>
      <c r="Z3" s="10">
        <f>AA3/AB3</f>
        <v>2060.5012531328316</v>
      </c>
      <c r="AA3" s="10">
        <f>SUM(AA4:AA26)</f>
        <v>411070</v>
      </c>
      <c r="AB3" s="11">
        <f>SUM(AB4:AB26)</f>
        <v>199.50000000000006</v>
      </c>
      <c r="AC3" s="10">
        <f>AD3/AE3</f>
        <v>2138.1862348178133</v>
      </c>
      <c r="AD3" s="10">
        <f>SUM(AD4:AD26)</f>
        <v>528132</v>
      </c>
      <c r="AE3" s="11">
        <f>SUM(AE4:AE26)</f>
        <v>247.00000000000003</v>
      </c>
      <c r="AF3" s="10">
        <f>AG3/AH3</f>
        <v>2128.6221979223624</v>
      </c>
      <c r="AG3" s="10">
        <f>SUM(AG4:AG26)</f>
        <v>389325</v>
      </c>
      <c r="AH3" s="11">
        <f>SUM(AH4:AH26)</f>
        <v>182.89999999999998</v>
      </c>
      <c r="AI3" s="10">
        <f>AJ3/AK3</f>
        <v>2059.6706961233845</v>
      </c>
      <c r="AJ3" s="10">
        <f>SUM(AJ4:AJ26)</f>
        <v>494115</v>
      </c>
      <c r="AK3" s="11">
        <f>SUM(AK4:AK26)</f>
        <v>239.90000000000003</v>
      </c>
      <c r="AL3" s="10">
        <f>AM3/AN3</f>
        <v>1754.9312820512823</v>
      </c>
      <c r="AM3" s="10">
        <f>SUM(AM4:AM26)</f>
        <v>855529</v>
      </c>
      <c r="AN3" s="11">
        <f>SUM(AN4:AN26)</f>
        <v>487.49999999999994</v>
      </c>
      <c r="AO3" s="10">
        <f>AP3/AQ3</f>
        <v>1786.3531365984063</v>
      </c>
      <c r="AP3" s="10">
        <f>SUM(AP4:AP26)</f>
        <v>6882640</v>
      </c>
      <c r="AQ3" s="11">
        <f>SUM(AQ4:AQ26)</f>
        <v>3852.9</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8" t="s">
        <v>23</v>
      </c>
      <c r="B4" s="20"/>
      <c r="C4" s="20"/>
      <c r="D4" s="20"/>
      <c r="E4" s="3">
        <f t="shared" ref="E4:E11" si="0">F4/G4</f>
        <v>1311.2707182320444</v>
      </c>
      <c r="F4" s="3">
        <v>142404</v>
      </c>
      <c r="G4" s="6">
        <v>108.6</v>
      </c>
      <c r="H4" s="3">
        <f t="shared" ref="H4:H11" si="1">I4/J4</f>
        <v>1422.4612736660929</v>
      </c>
      <c r="I4" s="3">
        <v>247935</v>
      </c>
      <c r="J4" s="6">
        <v>174.3</v>
      </c>
      <c r="K4" s="3">
        <f t="shared" ref="K4:K11" si="2">L4/M4</f>
        <v>1109.455690508322</v>
      </c>
      <c r="L4" s="3">
        <v>246632</v>
      </c>
      <c r="M4" s="6">
        <v>222.3</v>
      </c>
      <c r="N4" s="3">
        <f t="shared" ref="N4:N11" si="3">O4/P4</f>
        <v>1765.9893522626442</v>
      </c>
      <c r="O4" s="3">
        <v>398054</v>
      </c>
      <c r="P4" s="6">
        <v>225.4</v>
      </c>
      <c r="Q4" s="3">
        <f t="shared" ref="Q4:Q11" si="4">R4/S4</f>
        <v>1776.5079365079364</v>
      </c>
      <c r="R4" s="3">
        <v>145496</v>
      </c>
      <c r="S4" s="6">
        <v>81.900000000000006</v>
      </c>
      <c r="T4" s="3">
        <f t="shared" ref="T4:T11" si="5">U4/V4</f>
        <v>2067.2475247524753</v>
      </c>
      <c r="U4" s="3">
        <v>208792</v>
      </c>
      <c r="V4" s="6">
        <v>101</v>
      </c>
      <c r="W4" s="3">
        <f t="shared" ref="W4:W11" si="6">X4/Y4</f>
        <v>2007.1508903467666</v>
      </c>
      <c r="X4" s="3">
        <v>214163</v>
      </c>
      <c r="Y4" s="6">
        <v>106.7</v>
      </c>
      <c r="Z4" s="3">
        <f t="shared" ref="Z4:Z11" si="7">AA4/AB4</f>
        <v>1919.5804195804194</v>
      </c>
      <c r="AA4" s="3">
        <v>109800</v>
      </c>
      <c r="AB4" s="6">
        <v>57.2</v>
      </c>
      <c r="AC4" s="3">
        <f t="shared" ref="AC4:AC11" si="8">AD4/AE4</f>
        <v>1921.259842519685</v>
      </c>
      <c r="AD4" s="3">
        <v>73200</v>
      </c>
      <c r="AE4" s="6">
        <v>38.1</v>
      </c>
      <c r="AF4" s="3">
        <f t="shared" ref="AF4:AF11" si="9">AG4/AH4</f>
        <v>1921.259842519685</v>
      </c>
      <c r="AG4" s="3">
        <v>73200</v>
      </c>
      <c r="AH4" s="6">
        <v>38.1</v>
      </c>
      <c r="AI4" s="3">
        <f t="shared" ref="AI4:AI11" si="10">AJ4/AK4</f>
        <v>1916.2303664921465</v>
      </c>
      <c r="AJ4" s="3">
        <v>36600</v>
      </c>
      <c r="AK4" s="6">
        <v>19.100000000000001</v>
      </c>
      <c r="AL4" s="3">
        <f t="shared" ref="AL4:AL11" si="11">AM4/AN4</f>
        <v>1508.7503837887627</v>
      </c>
      <c r="AM4" s="3">
        <v>491400</v>
      </c>
      <c r="AN4" s="6">
        <v>325.7</v>
      </c>
      <c r="AO4" s="3">
        <f t="shared" ref="AO4:AO26" si="12">AP4/AQ4</f>
        <v>1593.4837159636947</v>
      </c>
      <c r="AP4" s="3">
        <f t="shared" ref="AP4" si="13">SUM(F4,I4,L4,O4,R4,U4,X4,AA4,AD4,AG4,AJ4,AM4)</f>
        <v>2387676</v>
      </c>
      <c r="AQ4" s="6">
        <f t="shared" ref="AQ4" si="14">SUM(G4,J4,M4,P4,S4,V4,Y4,AB4,AE4,AH4,AK4,AN4)</f>
        <v>1498.3999999999999</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20</v>
      </c>
      <c r="B5" s="20"/>
      <c r="C5" s="20"/>
      <c r="D5" s="20"/>
      <c r="E5" s="3">
        <f t="shared" si="0"/>
        <v>1375.6320000000001</v>
      </c>
      <c r="F5" s="3">
        <v>85977</v>
      </c>
      <c r="G5" s="6">
        <v>62.5</v>
      </c>
      <c r="H5" s="3">
        <f t="shared" si="1"/>
        <v>1612.1337579617834</v>
      </c>
      <c r="I5" s="3">
        <v>50621</v>
      </c>
      <c r="J5" s="6">
        <v>31.4</v>
      </c>
      <c r="K5" s="3">
        <f t="shared" si="2"/>
        <v>1421.4093959731542</v>
      </c>
      <c r="L5" s="3">
        <v>63537</v>
      </c>
      <c r="M5" s="6">
        <v>44.7</v>
      </c>
      <c r="N5" s="3">
        <f t="shared" si="3"/>
        <v>1497.4397031539888</v>
      </c>
      <c r="O5" s="3">
        <v>161424</v>
      </c>
      <c r="P5" s="6">
        <v>107.8</v>
      </c>
      <c r="Q5" s="3">
        <f t="shared" si="4"/>
        <v>1782.8667953667955</v>
      </c>
      <c r="R5" s="3">
        <v>184705</v>
      </c>
      <c r="S5" s="6">
        <v>103.6</v>
      </c>
      <c r="T5" s="3">
        <f t="shared" si="5"/>
        <v>1836.8849206349207</v>
      </c>
      <c r="U5" s="3">
        <v>92579</v>
      </c>
      <c r="V5" s="6">
        <v>50.4</v>
      </c>
      <c r="W5" s="3">
        <f t="shared" si="6"/>
        <v>1782.6147959183672</v>
      </c>
      <c r="X5" s="3">
        <v>139757</v>
      </c>
      <c r="Y5" s="6">
        <v>78.400000000000006</v>
      </c>
      <c r="Z5" s="3">
        <f t="shared" si="7"/>
        <v>1891.5913757700205</v>
      </c>
      <c r="AA5" s="3">
        <v>184241</v>
      </c>
      <c r="AB5" s="6">
        <v>97.4</v>
      </c>
      <c r="AC5" s="3">
        <f t="shared" si="8"/>
        <v>2143.3413461538462</v>
      </c>
      <c r="AD5" s="3">
        <v>356652</v>
      </c>
      <c r="AE5" s="6">
        <v>166.4</v>
      </c>
      <c r="AF5" s="3">
        <f t="shared" si="9"/>
        <v>2150.6907545164718</v>
      </c>
      <c r="AG5" s="3">
        <v>202380</v>
      </c>
      <c r="AH5" s="6">
        <v>94.1</v>
      </c>
      <c r="AI5" s="3">
        <f t="shared" si="10"/>
        <v>1970.9250764525991</v>
      </c>
      <c r="AJ5" s="3">
        <v>257797</v>
      </c>
      <c r="AK5" s="6">
        <v>130.80000000000001</v>
      </c>
      <c r="AL5" s="3">
        <f t="shared" si="11"/>
        <v>2328.9385474860337</v>
      </c>
      <c r="AM5" s="3">
        <v>208440</v>
      </c>
      <c r="AN5" s="6">
        <v>89.5</v>
      </c>
      <c r="AO5" s="3">
        <f t="shared" si="12"/>
        <v>1880.898770104068</v>
      </c>
      <c r="AP5" s="3">
        <f t="shared" ref="AP5:AP26" si="15">SUM(F5,I5,L5,O5,R5,U5,X5,AA5,AD5,AG5,AJ5,AM5)</f>
        <v>1988110</v>
      </c>
      <c r="AQ5" s="6">
        <f t="shared" ref="AQ5:AQ26" si="16">SUM(G5,J5,M5,P5,S5,V5,Y5,AB5,AE5,AH5,AK5,AN5)</f>
        <v>1057</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37</v>
      </c>
      <c r="B6" s="20"/>
      <c r="C6" s="20"/>
      <c r="D6" s="20"/>
      <c r="E6" s="3" t="e">
        <f t="shared" si="0"/>
        <v>#DIV/0!</v>
      </c>
      <c r="F6" s="3">
        <v>0</v>
      </c>
      <c r="G6" s="6">
        <v>0</v>
      </c>
      <c r="H6" s="3" t="e">
        <f t="shared" si="1"/>
        <v>#DIV/0!</v>
      </c>
      <c r="I6" s="3">
        <v>0</v>
      </c>
      <c r="J6" s="6">
        <v>0</v>
      </c>
      <c r="K6" s="3" t="e">
        <f t="shared" si="2"/>
        <v>#DIV/0!</v>
      </c>
      <c r="L6" s="3">
        <v>0</v>
      </c>
      <c r="M6" s="6">
        <v>0</v>
      </c>
      <c r="N6" s="3" t="e">
        <f t="shared" si="3"/>
        <v>#DIV/0!</v>
      </c>
      <c r="O6" s="3">
        <v>0</v>
      </c>
      <c r="P6" s="6">
        <v>0</v>
      </c>
      <c r="Q6" s="3" t="e">
        <f t="shared" si="4"/>
        <v>#DIV/0!</v>
      </c>
      <c r="R6" s="3">
        <v>0</v>
      </c>
      <c r="S6" s="6">
        <v>0</v>
      </c>
      <c r="T6" s="3" t="e">
        <f t="shared" si="5"/>
        <v>#DIV/0!</v>
      </c>
      <c r="U6" s="3">
        <v>0</v>
      </c>
      <c r="V6" s="6">
        <v>0</v>
      </c>
      <c r="W6" s="3" t="e">
        <f t="shared" si="6"/>
        <v>#DIV/0!</v>
      </c>
      <c r="X6" s="3">
        <v>0</v>
      </c>
      <c r="Y6" s="6">
        <v>0</v>
      </c>
      <c r="Z6" s="3" t="e">
        <f t="shared" si="7"/>
        <v>#DIV/0!</v>
      </c>
      <c r="AA6" s="3">
        <v>0</v>
      </c>
      <c r="AB6" s="6">
        <v>0</v>
      </c>
      <c r="AC6" s="3" t="e">
        <f t="shared" si="8"/>
        <v>#DIV/0!</v>
      </c>
      <c r="AD6" s="3">
        <v>0</v>
      </c>
      <c r="AE6" s="6">
        <v>0</v>
      </c>
      <c r="AF6" s="3">
        <f t="shared" si="9"/>
        <v>2218.75</v>
      </c>
      <c r="AG6" s="3">
        <v>12425</v>
      </c>
      <c r="AH6" s="6">
        <v>5.6</v>
      </c>
      <c r="AI6" s="3" t="e">
        <f t="shared" si="10"/>
        <v>#DIV/0!</v>
      </c>
      <c r="AJ6" s="3">
        <v>0</v>
      </c>
      <c r="AK6" s="6">
        <v>0</v>
      </c>
      <c r="AL6" s="3">
        <f t="shared" si="11"/>
        <v>2324.9214659685863</v>
      </c>
      <c r="AM6" s="3">
        <v>44406</v>
      </c>
      <c r="AN6" s="6">
        <v>19.100000000000001</v>
      </c>
      <c r="AO6" s="3">
        <f t="shared" si="12"/>
        <v>2300.8502024291497</v>
      </c>
      <c r="AP6" s="3">
        <f t="shared" si="15"/>
        <v>56831</v>
      </c>
      <c r="AQ6" s="6">
        <f t="shared" si="16"/>
        <v>24.700000000000003</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7" t="s">
        <v>21</v>
      </c>
      <c r="B7" s="20"/>
      <c r="C7" s="20"/>
      <c r="D7" s="20"/>
      <c r="E7" s="3">
        <f t="shared" si="0"/>
        <v>1500</v>
      </c>
      <c r="F7" s="3">
        <v>7200</v>
      </c>
      <c r="G7" s="6">
        <v>4.8</v>
      </c>
      <c r="H7" s="3" t="e">
        <f t="shared" si="1"/>
        <v>#DIV/0!</v>
      </c>
      <c r="I7" s="3">
        <v>0</v>
      </c>
      <c r="J7" s="6">
        <v>0</v>
      </c>
      <c r="K7" s="3">
        <f t="shared" si="2"/>
        <v>9320</v>
      </c>
      <c r="L7" s="3">
        <v>4660</v>
      </c>
      <c r="M7" s="6">
        <v>0.5</v>
      </c>
      <c r="N7" s="3">
        <f t="shared" si="3"/>
        <v>1521.611570247934</v>
      </c>
      <c r="O7" s="3">
        <v>36823</v>
      </c>
      <c r="P7" s="6">
        <v>24.2</v>
      </c>
      <c r="Q7" s="3">
        <f t="shared" si="4"/>
        <v>2112.439024390244</v>
      </c>
      <c r="R7" s="3">
        <v>8661</v>
      </c>
      <c r="S7" s="6">
        <v>4.0999999999999996</v>
      </c>
      <c r="T7" s="3" t="e">
        <f t="shared" si="5"/>
        <v>#DIV/0!</v>
      </c>
      <c r="U7" s="3">
        <v>0</v>
      </c>
      <c r="V7" s="6">
        <v>0</v>
      </c>
      <c r="W7" s="3">
        <f t="shared" si="6"/>
        <v>2192.9032258064512</v>
      </c>
      <c r="X7" s="3">
        <v>40788</v>
      </c>
      <c r="Y7" s="6">
        <v>18.600000000000001</v>
      </c>
      <c r="Z7" s="3">
        <f t="shared" si="7"/>
        <v>2499.2481203007519</v>
      </c>
      <c r="AA7" s="3">
        <v>33240</v>
      </c>
      <c r="AB7" s="6">
        <v>13.3</v>
      </c>
      <c r="AC7" s="3" t="e">
        <f t="shared" si="8"/>
        <v>#DIV/0!</v>
      </c>
      <c r="AD7" s="3">
        <v>0</v>
      </c>
      <c r="AE7" s="6">
        <v>0</v>
      </c>
      <c r="AF7" s="3">
        <f t="shared" si="9"/>
        <v>1103.2231404958677</v>
      </c>
      <c r="AG7" s="3">
        <v>13349</v>
      </c>
      <c r="AH7" s="6">
        <v>12.1</v>
      </c>
      <c r="AI7" s="3" t="e">
        <f t="shared" si="10"/>
        <v>#DIV/0!</v>
      </c>
      <c r="AJ7" s="3">
        <v>0</v>
      </c>
      <c r="AK7" s="6">
        <v>0</v>
      </c>
      <c r="AL7" s="3">
        <f t="shared" si="11"/>
        <v>1837.2972972972973</v>
      </c>
      <c r="AM7" s="3">
        <v>40788</v>
      </c>
      <c r="AN7" s="6">
        <v>22.2</v>
      </c>
      <c r="AO7" s="3">
        <f t="shared" si="12"/>
        <v>1858.8076152304609</v>
      </c>
      <c r="AP7" s="3">
        <f t="shared" si="15"/>
        <v>185509</v>
      </c>
      <c r="AQ7" s="6">
        <f t="shared" si="16"/>
        <v>99.8</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7" t="s">
        <v>24</v>
      </c>
      <c r="B8" s="20"/>
      <c r="C8" s="20"/>
      <c r="D8" s="20"/>
      <c r="E8" s="3" t="e">
        <f t="shared" si="0"/>
        <v>#DIV/0!</v>
      </c>
      <c r="F8" s="3">
        <v>0</v>
      </c>
      <c r="G8" s="6">
        <v>0</v>
      </c>
      <c r="H8" s="3">
        <f t="shared" si="1"/>
        <v>1496.875</v>
      </c>
      <c r="I8" s="3">
        <v>7185</v>
      </c>
      <c r="J8" s="6">
        <v>4.8</v>
      </c>
      <c r="K8" s="3" t="e">
        <f t="shared" si="2"/>
        <v>#DIV/0!</v>
      </c>
      <c r="L8" s="3">
        <v>0</v>
      </c>
      <c r="M8" s="6">
        <v>0</v>
      </c>
      <c r="N8" s="3" t="e">
        <f t="shared" si="3"/>
        <v>#DIV/0!</v>
      </c>
      <c r="O8" s="3">
        <v>0</v>
      </c>
      <c r="P8" s="6">
        <v>0</v>
      </c>
      <c r="Q8" s="3">
        <f t="shared" si="4"/>
        <v>1892</v>
      </c>
      <c r="R8" s="3">
        <v>39732</v>
      </c>
      <c r="S8" s="6">
        <v>21</v>
      </c>
      <c r="T8" s="3" t="e">
        <f t="shared" si="5"/>
        <v>#DIV/0!</v>
      </c>
      <c r="U8" s="3">
        <v>0</v>
      </c>
      <c r="V8" s="6">
        <v>0</v>
      </c>
      <c r="W8" s="3" t="e">
        <f t="shared" si="6"/>
        <v>#DIV/0!</v>
      </c>
      <c r="X8" s="3">
        <v>0</v>
      </c>
      <c r="Y8" s="6">
        <v>0</v>
      </c>
      <c r="Z8" s="3" t="e">
        <f t="shared" si="7"/>
        <v>#DIV/0!</v>
      </c>
      <c r="AA8" s="3">
        <v>0</v>
      </c>
      <c r="AB8" s="6">
        <v>0</v>
      </c>
      <c r="AC8" s="3">
        <f t="shared" si="8"/>
        <v>2297.2027972027972</v>
      </c>
      <c r="AD8" s="3">
        <v>32850</v>
      </c>
      <c r="AE8" s="6">
        <v>14.3</v>
      </c>
      <c r="AF8" s="3" t="e">
        <f t="shared" si="9"/>
        <v>#DIV/0!</v>
      </c>
      <c r="AG8" s="3">
        <v>0</v>
      </c>
      <c r="AH8" s="6">
        <v>0</v>
      </c>
      <c r="AI8" s="3" t="e">
        <f t="shared" si="10"/>
        <v>#DIV/0!</v>
      </c>
      <c r="AJ8" s="3">
        <v>0</v>
      </c>
      <c r="AK8" s="6">
        <v>0</v>
      </c>
      <c r="AL8" s="3">
        <f t="shared" si="11"/>
        <v>2206.1111111111113</v>
      </c>
      <c r="AM8" s="3">
        <v>39710</v>
      </c>
      <c r="AN8" s="6">
        <v>18</v>
      </c>
      <c r="AO8" s="3">
        <f t="shared" si="12"/>
        <v>2056.4027538726332</v>
      </c>
      <c r="AP8" s="3">
        <f t="shared" si="15"/>
        <v>119477</v>
      </c>
      <c r="AQ8" s="6">
        <f t="shared" si="16"/>
        <v>58.1</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7" t="s">
        <v>19</v>
      </c>
      <c r="B9" s="20"/>
      <c r="C9" s="20"/>
      <c r="D9" s="20"/>
      <c r="E9" s="3">
        <f t="shared" si="0"/>
        <v>1184.375</v>
      </c>
      <c r="F9" s="3">
        <v>5685</v>
      </c>
      <c r="G9" s="6">
        <v>4.8</v>
      </c>
      <c r="H9" s="3">
        <f t="shared" si="1"/>
        <v>1323.913043478261</v>
      </c>
      <c r="I9" s="3">
        <v>6090</v>
      </c>
      <c r="J9" s="6">
        <v>4.5999999999999996</v>
      </c>
      <c r="K9" s="3">
        <f t="shared" si="2"/>
        <v>1459.375</v>
      </c>
      <c r="L9" s="3">
        <v>7005</v>
      </c>
      <c r="M9" s="6">
        <v>4.8</v>
      </c>
      <c r="N9" s="3">
        <f t="shared" si="3"/>
        <v>1512.5</v>
      </c>
      <c r="O9" s="3">
        <v>4840</v>
      </c>
      <c r="P9" s="6">
        <v>3.2</v>
      </c>
      <c r="Q9" s="3">
        <f t="shared" si="4"/>
        <v>1718.75</v>
      </c>
      <c r="R9" s="3">
        <v>5500</v>
      </c>
      <c r="S9" s="6">
        <v>3.2</v>
      </c>
      <c r="T9" s="3" t="e">
        <f t="shared" si="5"/>
        <v>#DIV/0!</v>
      </c>
      <c r="U9" s="3">
        <v>0</v>
      </c>
      <c r="V9" s="6">
        <v>0</v>
      </c>
      <c r="W9" s="3" t="e">
        <f t="shared" si="6"/>
        <v>#DIV/0!</v>
      </c>
      <c r="X9" s="3">
        <v>0</v>
      </c>
      <c r="Y9" s="6">
        <v>0</v>
      </c>
      <c r="Z9" s="3">
        <f t="shared" si="7"/>
        <v>1955.6962025316454</v>
      </c>
      <c r="AA9" s="3">
        <v>15450</v>
      </c>
      <c r="AB9" s="6">
        <v>7.9</v>
      </c>
      <c r="AC9" s="3" t="e">
        <f t="shared" si="8"/>
        <v>#DIV/0!</v>
      </c>
      <c r="AD9" s="3">
        <v>0</v>
      </c>
      <c r="AE9" s="6">
        <v>0</v>
      </c>
      <c r="AF9" s="3" t="e">
        <f t="shared" si="9"/>
        <v>#DIV/0!</v>
      </c>
      <c r="AG9" s="3">
        <v>0</v>
      </c>
      <c r="AH9" s="6">
        <v>0</v>
      </c>
      <c r="AI9" s="3">
        <f t="shared" si="10"/>
        <v>2103.125</v>
      </c>
      <c r="AJ9" s="3">
        <v>6730</v>
      </c>
      <c r="AK9" s="6">
        <v>3.2</v>
      </c>
      <c r="AL9" s="3">
        <f t="shared" si="11"/>
        <v>2236.7857142857142</v>
      </c>
      <c r="AM9" s="3">
        <v>18789</v>
      </c>
      <c r="AN9" s="6">
        <v>8.4</v>
      </c>
      <c r="AO9" s="3">
        <f t="shared" si="12"/>
        <v>1747.85536159601</v>
      </c>
      <c r="AP9" s="3">
        <f t="shared" si="15"/>
        <v>70089</v>
      </c>
      <c r="AQ9" s="6">
        <f t="shared" si="16"/>
        <v>40.1</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7" t="s">
        <v>35</v>
      </c>
      <c r="B10" s="20"/>
      <c r="C10" s="20"/>
      <c r="D10" s="20"/>
      <c r="E10" s="3">
        <f t="shared" si="0"/>
        <v>1431.4925373134329</v>
      </c>
      <c r="F10" s="3">
        <v>9591</v>
      </c>
      <c r="G10" s="6">
        <v>6.7</v>
      </c>
      <c r="H10" s="3">
        <f t="shared" si="1"/>
        <v>1537.5</v>
      </c>
      <c r="I10" s="3">
        <v>21525</v>
      </c>
      <c r="J10" s="6">
        <v>14</v>
      </c>
      <c r="K10" s="3">
        <f t="shared" si="2"/>
        <v>1600.0952380952381</v>
      </c>
      <c r="L10" s="3">
        <v>16801</v>
      </c>
      <c r="M10" s="6">
        <v>10.5</v>
      </c>
      <c r="N10" s="3">
        <f t="shared" si="3"/>
        <v>1811.25</v>
      </c>
      <c r="O10" s="3">
        <v>11592</v>
      </c>
      <c r="P10" s="6">
        <v>6.4</v>
      </c>
      <c r="Q10" s="3">
        <f t="shared" si="4"/>
        <v>2183.7373737373737</v>
      </c>
      <c r="R10" s="3">
        <v>21619</v>
      </c>
      <c r="S10" s="6">
        <v>9.9</v>
      </c>
      <c r="T10" s="3">
        <f t="shared" si="5"/>
        <v>2655.8823529411766</v>
      </c>
      <c r="U10" s="3">
        <v>18060</v>
      </c>
      <c r="V10" s="6">
        <v>6.8</v>
      </c>
      <c r="W10" s="3">
        <f t="shared" si="6"/>
        <v>2687.5</v>
      </c>
      <c r="X10" s="3">
        <v>6450</v>
      </c>
      <c r="Y10" s="6">
        <v>2.4</v>
      </c>
      <c r="Z10" s="3">
        <f t="shared" si="7"/>
        <v>2652.6315789473683</v>
      </c>
      <c r="AA10" s="3">
        <v>5040</v>
      </c>
      <c r="AB10" s="6">
        <v>1.9</v>
      </c>
      <c r="AC10" s="3">
        <f t="shared" si="8"/>
        <v>2652.6315789473683</v>
      </c>
      <c r="AD10" s="3">
        <v>5040</v>
      </c>
      <c r="AE10" s="6">
        <v>1.9</v>
      </c>
      <c r="AF10" s="3">
        <f t="shared" si="9"/>
        <v>2520</v>
      </c>
      <c r="AG10" s="3">
        <v>2520</v>
      </c>
      <c r="AH10" s="6">
        <v>1</v>
      </c>
      <c r="AI10" s="3">
        <f t="shared" si="10"/>
        <v>2309.4573643410854</v>
      </c>
      <c r="AJ10" s="3">
        <v>59584</v>
      </c>
      <c r="AK10" s="6">
        <v>25.8</v>
      </c>
      <c r="AL10" s="3">
        <f t="shared" si="11"/>
        <v>2368.4210526315792</v>
      </c>
      <c r="AM10" s="3">
        <v>4500</v>
      </c>
      <c r="AN10" s="6">
        <v>1.9</v>
      </c>
      <c r="AO10" s="3">
        <f t="shared" si="12"/>
        <v>2043.9686098654709</v>
      </c>
      <c r="AP10" s="3">
        <f t="shared" si="15"/>
        <v>182322</v>
      </c>
      <c r="AQ10" s="6">
        <f t="shared" si="16"/>
        <v>89.2</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7" t="s">
        <v>27</v>
      </c>
      <c r="B11" s="20"/>
      <c r="C11" s="20"/>
      <c r="D11" s="20"/>
      <c r="E11" s="3">
        <f t="shared" si="0"/>
        <v>1226.5104166666667</v>
      </c>
      <c r="F11" s="3">
        <v>23549</v>
      </c>
      <c r="G11" s="6">
        <v>19.2</v>
      </c>
      <c r="H11" s="3">
        <f t="shared" si="1"/>
        <v>1431</v>
      </c>
      <c r="I11" s="3">
        <v>17172</v>
      </c>
      <c r="J11" s="6">
        <v>12</v>
      </c>
      <c r="K11" s="3">
        <f t="shared" si="2"/>
        <v>1540.379746835443</v>
      </c>
      <c r="L11" s="3">
        <v>12169</v>
      </c>
      <c r="M11" s="6">
        <v>7.9</v>
      </c>
      <c r="N11" s="3">
        <f t="shared" si="3"/>
        <v>1925.2898550724638</v>
      </c>
      <c r="O11" s="3">
        <v>53138</v>
      </c>
      <c r="P11" s="6">
        <v>27.6</v>
      </c>
      <c r="Q11" s="3">
        <f t="shared" si="4"/>
        <v>2305</v>
      </c>
      <c r="R11" s="3">
        <v>40568</v>
      </c>
      <c r="S11" s="6">
        <v>17.600000000000001</v>
      </c>
      <c r="T11" s="3">
        <f t="shared" si="5"/>
        <v>2770.5343511450383</v>
      </c>
      <c r="U11" s="3">
        <v>36294</v>
      </c>
      <c r="V11" s="6">
        <v>13.1</v>
      </c>
      <c r="W11" s="3">
        <f t="shared" si="6"/>
        <v>2850.1960784313728</v>
      </c>
      <c r="X11" s="3">
        <v>14536</v>
      </c>
      <c r="Y11" s="6">
        <v>5.0999999999999996</v>
      </c>
      <c r="Z11" s="3">
        <f t="shared" si="7"/>
        <v>2793</v>
      </c>
      <c r="AA11" s="3">
        <v>2793</v>
      </c>
      <c r="AB11" s="6">
        <v>1</v>
      </c>
      <c r="AC11" s="3">
        <f t="shared" si="8"/>
        <v>2334</v>
      </c>
      <c r="AD11" s="3">
        <v>4668</v>
      </c>
      <c r="AE11" s="6">
        <v>2</v>
      </c>
      <c r="AF11" s="3">
        <f t="shared" si="9"/>
        <v>2277.2093023255816</v>
      </c>
      <c r="AG11" s="3">
        <v>9792</v>
      </c>
      <c r="AH11" s="6">
        <v>4.3</v>
      </c>
      <c r="AI11" s="3" t="e">
        <f t="shared" si="10"/>
        <v>#DIV/0!</v>
      </c>
      <c r="AJ11" s="3">
        <v>0</v>
      </c>
      <c r="AK11" s="6">
        <v>0</v>
      </c>
      <c r="AL11" s="3">
        <f t="shared" si="11"/>
        <v>2250</v>
      </c>
      <c r="AM11" s="3">
        <v>4500</v>
      </c>
      <c r="AN11" s="6">
        <v>2</v>
      </c>
      <c r="AO11" s="3">
        <f t="shared" si="12"/>
        <v>1960.4561717352415</v>
      </c>
      <c r="AP11" s="3">
        <f t="shared" si="15"/>
        <v>219179</v>
      </c>
      <c r="AQ11" s="6">
        <f t="shared" si="16"/>
        <v>111.8</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7" t="s">
        <v>18</v>
      </c>
      <c r="B12" s="20"/>
      <c r="C12" s="20"/>
      <c r="D12" s="20"/>
      <c r="E12" s="3" t="e">
        <f>F12/G12</f>
        <v>#DIV/0!</v>
      </c>
      <c r="F12" s="3">
        <v>0</v>
      </c>
      <c r="G12" s="6">
        <v>0</v>
      </c>
      <c r="H12" s="3" t="e">
        <f>I12/J12</f>
        <v>#DIV/0!</v>
      </c>
      <c r="I12" s="3">
        <v>0</v>
      </c>
      <c r="J12" s="6">
        <v>0</v>
      </c>
      <c r="K12" s="3" t="e">
        <f>L12/M12</f>
        <v>#DIV/0!</v>
      </c>
      <c r="L12" s="3">
        <v>0</v>
      </c>
      <c r="M12" s="6">
        <v>0</v>
      </c>
      <c r="N12" s="3" t="e">
        <f>O12/P12</f>
        <v>#DIV/0!</v>
      </c>
      <c r="O12" s="3">
        <v>0</v>
      </c>
      <c r="P12" s="6">
        <v>0</v>
      </c>
      <c r="Q12" s="3">
        <f>R12/S12</f>
        <v>2031.5384615384614</v>
      </c>
      <c r="R12" s="3">
        <v>2641</v>
      </c>
      <c r="S12" s="6">
        <v>1.3</v>
      </c>
      <c r="T12" s="3" t="e">
        <f>U12/V12</f>
        <v>#DIV/0!</v>
      </c>
      <c r="U12" s="3">
        <v>0</v>
      </c>
      <c r="V12" s="6">
        <v>0</v>
      </c>
      <c r="W12" s="3" t="e">
        <f>X12/Y12</f>
        <v>#DIV/0!</v>
      </c>
      <c r="X12" s="3">
        <v>0</v>
      </c>
      <c r="Y12" s="6">
        <v>0</v>
      </c>
      <c r="Z12" s="3" t="e">
        <f>AA12/AB12</f>
        <v>#DIV/0!</v>
      </c>
      <c r="AA12" s="3">
        <v>0</v>
      </c>
      <c r="AB12" s="6">
        <v>0</v>
      </c>
      <c r="AC12" s="3">
        <f>AD12/AE12</f>
        <v>2293.0864197530864</v>
      </c>
      <c r="AD12" s="3">
        <v>55722</v>
      </c>
      <c r="AE12" s="6">
        <v>24.3</v>
      </c>
      <c r="AF12" s="3" t="e">
        <f>AG12/AH12</f>
        <v>#DIV/0!</v>
      </c>
      <c r="AG12" s="3">
        <v>0</v>
      </c>
      <c r="AH12" s="6">
        <v>0</v>
      </c>
      <c r="AI12" s="3" t="e">
        <f>AJ12/AK12</f>
        <v>#DIV/0!</v>
      </c>
      <c r="AJ12" s="3">
        <v>0</v>
      </c>
      <c r="AK12" s="6">
        <v>0</v>
      </c>
      <c r="AL12" s="3">
        <f>AM12/AN12</f>
        <v>4280</v>
      </c>
      <c r="AM12" s="3">
        <v>2996</v>
      </c>
      <c r="AN12" s="6">
        <v>0.7</v>
      </c>
      <c r="AO12" s="3">
        <f t="shared" si="12"/>
        <v>2333.041825095057</v>
      </c>
      <c r="AP12" s="3">
        <f t="shared" si="15"/>
        <v>61359</v>
      </c>
      <c r="AQ12" s="6">
        <f t="shared" si="16"/>
        <v>26.3</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7" t="s">
        <v>48</v>
      </c>
      <c r="B13" s="20"/>
      <c r="C13" s="20"/>
      <c r="D13" s="20"/>
      <c r="E13" s="3" t="e">
        <f t="shared" ref="E13:E26" si="17">F13/G13</f>
        <v>#DIV/0!</v>
      </c>
      <c r="F13" s="3">
        <v>0</v>
      </c>
      <c r="G13" s="6">
        <v>0</v>
      </c>
      <c r="H13" s="3" t="e">
        <f t="shared" ref="H13:H26" si="18">I13/J13</f>
        <v>#DIV/0!</v>
      </c>
      <c r="I13" s="3">
        <v>0</v>
      </c>
      <c r="J13" s="6">
        <v>0</v>
      </c>
      <c r="K13" s="3" t="e">
        <f t="shared" ref="K13:K26" si="19">L13/M13</f>
        <v>#DIV/0!</v>
      </c>
      <c r="L13" s="3">
        <v>0</v>
      </c>
      <c r="M13" s="6">
        <v>0</v>
      </c>
      <c r="N13" s="3" t="e">
        <f t="shared" ref="N13:N26" si="20">O13/P13</f>
        <v>#DIV/0!</v>
      </c>
      <c r="O13" s="3">
        <v>0</v>
      </c>
      <c r="P13" s="6">
        <v>0</v>
      </c>
      <c r="Q13" s="3">
        <f t="shared" ref="Q13:Q26" si="21">R13/S13</f>
        <v>1459.3103448275863</v>
      </c>
      <c r="R13" s="3">
        <v>21160</v>
      </c>
      <c r="S13" s="6">
        <v>14.5</v>
      </c>
      <c r="T13" s="3" t="e">
        <f t="shared" ref="T13:T26" si="22">U13/V13</f>
        <v>#DIV/0!</v>
      </c>
      <c r="U13" s="3">
        <v>0</v>
      </c>
      <c r="V13" s="6">
        <v>0</v>
      </c>
      <c r="W13" s="3" t="e">
        <f t="shared" ref="W13:W26" si="23">X13/Y13</f>
        <v>#DIV/0!</v>
      </c>
      <c r="X13" s="3">
        <v>0</v>
      </c>
      <c r="Y13" s="6">
        <v>0</v>
      </c>
      <c r="Z13" s="3" t="e">
        <f t="shared" ref="Z13:Z26" si="24">AA13/AB13</f>
        <v>#DIV/0!</v>
      </c>
      <c r="AA13" s="3">
        <v>0</v>
      </c>
      <c r="AB13" s="6">
        <v>0</v>
      </c>
      <c r="AC13" s="3" t="e">
        <f t="shared" ref="AC13:AC26" si="25">AD13/AE13</f>
        <v>#DIV/0!</v>
      </c>
      <c r="AD13" s="3">
        <v>0</v>
      </c>
      <c r="AE13" s="6">
        <v>0</v>
      </c>
      <c r="AF13" s="3" t="e">
        <f t="shared" ref="AF13:AF26" si="26">AG13/AH13</f>
        <v>#DIV/0!</v>
      </c>
      <c r="AG13" s="3">
        <v>0</v>
      </c>
      <c r="AH13" s="6">
        <v>0</v>
      </c>
      <c r="AI13" s="3" t="e">
        <f t="shared" ref="AI13:AI26" si="27">AJ13/AK13</f>
        <v>#DIV/0!</v>
      </c>
      <c r="AJ13" s="3">
        <v>0</v>
      </c>
      <c r="AK13" s="6">
        <v>0</v>
      </c>
      <c r="AL13" s="3" t="e">
        <f t="shared" ref="AL13:AL26" si="28">AM13/AN13</f>
        <v>#DIV/0!</v>
      </c>
      <c r="AM13" s="3">
        <v>0</v>
      </c>
      <c r="AN13" s="6">
        <v>0</v>
      </c>
      <c r="AO13" s="3">
        <f t="shared" si="12"/>
        <v>1459.3103448275863</v>
      </c>
      <c r="AP13" s="3">
        <f t="shared" si="15"/>
        <v>21160</v>
      </c>
      <c r="AQ13" s="6">
        <f t="shared" si="16"/>
        <v>14.5</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7" t="s">
        <v>50</v>
      </c>
      <c r="B14" s="20"/>
      <c r="C14" s="20"/>
      <c r="D14" s="20"/>
      <c r="E14" s="3" t="e">
        <f t="shared" si="17"/>
        <v>#DIV/0!</v>
      </c>
      <c r="F14" s="3">
        <v>0</v>
      </c>
      <c r="G14" s="6">
        <v>0</v>
      </c>
      <c r="H14" s="3" t="e">
        <f t="shared" si="18"/>
        <v>#DIV/0!</v>
      </c>
      <c r="I14" s="3">
        <v>0</v>
      </c>
      <c r="J14" s="6">
        <v>0</v>
      </c>
      <c r="K14" s="3">
        <f t="shared" si="19"/>
        <v>1941.2987012987012</v>
      </c>
      <c r="L14" s="3">
        <v>29896</v>
      </c>
      <c r="M14" s="6">
        <v>15.4</v>
      </c>
      <c r="N14" s="3" t="e">
        <f t="shared" si="20"/>
        <v>#DIV/0!</v>
      </c>
      <c r="O14" s="3">
        <v>0</v>
      </c>
      <c r="P14" s="6">
        <v>0</v>
      </c>
      <c r="Q14" s="3" t="e">
        <f t="shared" si="21"/>
        <v>#DIV/0!</v>
      </c>
      <c r="R14" s="3">
        <v>0</v>
      </c>
      <c r="S14" s="6">
        <v>0</v>
      </c>
      <c r="T14" s="3" t="e">
        <f t="shared" si="22"/>
        <v>#DIV/0!</v>
      </c>
      <c r="U14" s="3">
        <v>0</v>
      </c>
      <c r="V14" s="6">
        <v>0</v>
      </c>
      <c r="W14" s="3" t="e">
        <f t="shared" si="23"/>
        <v>#DIV/0!</v>
      </c>
      <c r="X14" s="3">
        <v>0</v>
      </c>
      <c r="Y14" s="6">
        <v>0</v>
      </c>
      <c r="Z14" s="3">
        <f t="shared" si="24"/>
        <v>8670</v>
      </c>
      <c r="AA14" s="3">
        <v>8670</v>
      </c>
      <c r="AB14" s="6">
        <v>1</v>
      </c>
      <c r="AC14" s="3" t="e">
        <f t="shared" si="25"/>
        <v>#DIV/0!</v>
      </c>
      <c r="AD14" s="3">
        <v>0</v>
      </c>
      <c r="AE14" s="6">
        <v>0</v>
      </c>
      <c r="AF14" s="3" t="e">
        <f t="shared" si="26"/>
        <v>#DIV/0!</v>
      </c>
      <c r="AG14" s="3">
        <v>0</v>
      </c>
      <c r="AH14" s="6">
        <v>0</v>
      </c>
      <c r="AI14" s="3" t="e">
        <f t="shared" si="27"/>
        <v>#DIV/0!</v>
      </c>
      <c r="AJ14" s="3">
        <v>0</v>
      </c>
      <c r="AK14" s="6">
        <v>0</v>
      </c>
      <c r="AL14" s="3" t="e">
        <f t="shared" si="28"/>
        <v>#DIV/0!</v>
      </c>
      <c r="AM14" s="3">
        <v>0</v>
      </c>
      <c r="AN14" s="6">
        <v>0</v>
      </c>
      <c r="AO14" s="3">
        <f t="shared" si="12"/>
        <v>2351.5853658536589</v>
      </c>
      <c r="AP14" s="3">
        <f t="shared" si="15"/>
        <v>38566</v>
      </c>
      <c r="AQ14" s="6">
        <f t="shared" si="16"/>
        <v>16.399999999999999</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7" t="s">
        <v>47</v>
      </c>
      <c r="B15" s="20"/>
      <c r="C15" s="20"/>
      <c r="D15" s="20"/>
      <c r="E15" s="3" t="e">
        <f t="shared" si="17"/>
        <v>#DIV/0!</v>
      </c>
      <c r="F15" s="3">
        <v>0</v>
      </c>
      <c r="G15" s="6">
        <v>0</v>
      </c>
      <c r="H15" s="3" t="e">
        <f t="shared" si="18"/>
        <v>#DIV/0!</v>
      </c>
      <c r="I15" s="3">
        <v>0</v>
      </c>
      <c r="J15" s="6">
        <v>0</v>
      </c>
      <c r="K15" s="3">
        <f t="shared" si="19"/>
        <v>1584.7368421052631</v>
      </c>
      <c r="L15" s="3">
        <v>3011</v>
      </c>
      <c r="M15" s="6">
        <v>1.9</v>
      </c>
      <c r="N15" s="3" t="e">
        <f t="shared" si="20"/>
        <v>#DIV/0!</v>
      </c>
      <c r="O15" s="3">
        <v>0</v>
      </c>
      <c r="P15" s="6">
        <v>0</v>
      </c>
      <c r="Q15" s="3" t="e">
        <f t="shared" si="21"/>
        <v>#DIV/0!</v>
      </c>
      <c r="R15" s="3">
        <v>0</v>
      </c>
      <c r="S15" s="6">
        <v>0</v>
      </c>
      <c r="T15" s="3">
        <f t="shared" si="22"/>
        <v>1528.8888888888887</v>
      </c>
      <c r="U15" s="3">
        <v>33024</v>
      </c>
      <c r="V15" s="6">
        <v>21.6</v>
      </c>
      <c r="W15" s="3" t="e">
        <f t="shared" si="23"/>
        <v>#DIV/0!</v>
      </c>
      <c r="X15" s="3">
        <v>0</v>
      </c>
      <c r="Y15" s="6">
        <v>0</v>
      </c>
      <c r="Z15" s="3" t="e">
        <f t="shared" si="24"/>
        <v>#DIV/0!</v>
      </c>
      <c r="AA15" s="3">
        <v>0</v>
      </c>
      <c r="AB15" s="6">
        <v>0</v>
      </c>
      <c r="AC15" s="3" t="e">
        <f t="shared" si="25"/>
        <v>#DIV/0!</v>
      </c>
      <c r="AD15" s="3">
        <v>0</v>
      </c>
      <c r="AE15" s="6">
        <v>0</v>
      </c>
      <c r="AF15" s="3" t="e">
        <f t="shared" si="26"/>
        <v>#DIV/0!</v>
      </c>
      <c r="AG15" s="3">
        <v>0</v>
      </c>
      <c r="AH15" s="6">
        <v>0</v>
      </c>
      <c r="AI15" s="3" t="e">
        <f t="shared" si="27"/>
        <v>#DIV/0!</v>
      </c>
      <c r="AJ15" s="3">
        <v>0</v>
      </c>
      <c r="AK15" s="6">
        <v>0</v>
      </c>
      <c r="AL15" s="3" t="e">
        <f t="shared" si="28"/>
        <v>#DIV/0!</v>
      </c>
      <c r="AM15" s="3">
        <v>0</v>
      </c>
      <c r="AN15" s="6">
        <v>0</v>
      </c>
      <c r="AO15" s="3">
        <f t="shared" si="12"/>
        <v>1533.4042553191489</v>
      </c>
      <c r="AP15" s="3">
        <f t="shared" si="15"/>
        <v>36035</v>
      </c>
      <c r="AQ15" s="6">
        <f t="shared" si="16"/>
        <v>23.5</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7" t="s">
        <v>22</v>
      </c>
      <c r="B16" s="20"/>
      <c r="C16" s="20"/>
      <c r="D16" s="20"/>
      <c r="E16" s="3" t="e">
        <f t="shared" si="17"/>
        <v>#DIV/0!</v>
      </c>
      <c r="F16" s="3">
        <v>0</v>
      </c>
      <c r="G16" s="6">
        <v>0</v>
      </c>
      <c r="H16" s="3" t="e">
        <f t="shared" si="18"/>
        <v>#DIV/0!</v>
      </c>
      <c r="I16" s="3">
        <v>0</v>
      </c>
      <c r="J16" s="6">
        <v>0</v>
      </c>
      <c r="K16" s="3" t="e">
        <f t="shared" si="19"/>
        <v>#DIV/0!</v>
      </c>
      <c r="L16" s="3">
        <v>0</v>
      </c>
      <c r="M16" s="6">
        <v>0</v>
      </c>
      <c r="N16" s="3">
        <f t="shared" si="20"/>
        <v>2406.3157894736842</v>
      </c>
      <c r="O16" s="3">
        <v>4572</v>
      </c>
      <c r="P16" s="6">
        <v>1.9</v>
      </c>
      <c r="Q16" s="3" t="e">
        <f t="shared" si="21"/>
        <v>#DIV/0!</v>
      </c>
      <c r="R16" s="3">
        <v>0</v>
      </c>
      <c r="S16" s="6">
        <v>0</v>
      </c>
      <c r="T16" s="3" t="e">
        <f t="shared" si="22"/>
        <v>#DIV/0!</v>
      </c>
      <c r="U16" s="3">
        <v>0</v>
      </c>
      <c r="V16" s="6">
        <v>0</v>
      </c>
      <c r="W16" s="3">
        <f t="shared" si="23"/>
        <v>2064.4444444444443</v>
      </c>
      <c r="X16" s="3">
        <v>3716</v>
      </c>
      <c r="Y16" s="6">
        <v>1.8</v>
      </c>
      <c r="Z16" s="3" t="e">
        <f t="shared" si="24"/>
        <v>#DIV/0!</v>
      </c>
      <c r="AA16" s="3">
        <v>0</v>
      </c>
      <c r="AB16" s="6">
        <v>0</v>
      </c>
      <c r="AC16" s="3" t="e">
        <f t="shared" si="25"/>
        <v>#DIV/0!</v>
      </c>
      <c r="AD16" s="3">
        <v>0</v>
      </c>
      <c r="AE16" s="6">
        <v>0</v>
      </c>
      <c r="AF16" s="3" t="e">
        <f t="shared" si="26"/>
        <v>#DIV/0!</v>
      </c>
      <c r="AG16" s="3">
        <v>0</v>
      </c>
      <c r="AH16" s="6">
        <v>0</v>
      </c>
      <c r="AI16" s="3" t="e">
        <f t="shared" si="27"/>
        <v>#DIV/0!</v>
      </c>
      <c r="AJ16" s="3">
        <v>0</v>
      </c>
      <c r="AK16" s="6">
        <v>0</v>
      </c>
      <c r="AL16" s="3" t="e">
        <f t="shared" si="28"/>
        <v>#DIV/0!</v>
      </c>
      <c r="AM16" s="3">
        <v>0</v>
      </c>
      <c r="AN16" s="6">
        <v>0</v>
      </c>
      <c r="AO16" s="3">
        <f t="shared" si="12"/>
        <v>2240</v>
      </c>
      <c r="AP16" s="3">
        <f t="shared" si="15"/>
        <v>8288</v>
      </c>
      <c r="AQ16" s="6">
        <f t="shared" si="16"/>
        <v>3.7</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7" t="s">
        <v>49</v>
      </c>
      <c r="B17" s="20"/>
      <c r="C17" s="20"/>
      <c r="D17" s="20"/>
      <c r="E17" s="3">
        <f t="shared" si="17"/>
        <v>1437.5675675675675</v>
      </c>
      <c r="F17" s="3">
        <v>5319</v>
      </c>
      <c r="G17" s="6">
        <v>3.7</v>
      </c>
      <c r="H17" s="3">
        <f t="shared" si="18"/>
        <v>1468.9285714285716</v>
      </c>
      <c r="I17" s="3">
        <v>8226</v>
      </c>
      <c r="J17" s="6">
        <v>5.6</v>
      </c>
      <c r="K17" s="3" t="e">
        <f t="shared" si="19"/>
        <v>#DIV/0!</v>
      </c>
      <c r="L17" s="3">
        <v>0</v>
      </c>
      <c r="M17" s="6">
        <v>0</v>
      </c>
      <c r="N17" s="3" t="e">
        <f t="shared" si="20"/>
        <v>#DIV/0!</v>
      </c>
      <c r="O17" s="3">
        <v>0</v>
      </c>
      <c r="P17" s="6">
        <v>0</v>
      </c>
      <c r="Q17" s="3" t="e">
        <f t="shared" si="21"/>
        <v>#DIV/0!</v>
      </c>
      <c r="R17" s="3">
        <v>0</v>
      </c>
      <c r="S17" s="6">
        <v>0</v>
      </c>
      <c r="T17" s="3" t="e">
        <f t="shared" si="22"/>
        <v>#DIV/0!</v>
      </c>
      <c r="U17" s="3">
        <v>0</v>
      </c>
      <c r="V17" s="6">
        <v>0</v>
      </c>
      <c r="W17" s="3" t="e">
        <f t="shared" si="23"/>
        <v>#DIV/0!</v>
      </c>
      <c r="X17" s="3">
        <v>0</v>
      </c>
      <c r="Y17" s="6">
        <v>0</v>
      </c>
      <c r="Z17" s="3">
        <f t="shared" si="24"/>
        <v>2595.2307692307691</v>
      </c>
      <c r="AA17" s="3">
        <v>33738</v>
      </c>
      <c r="AB17" s="6">
        <v>13</v>
      </c>
      <c r="AC17" s="3" t="e">
        <f t="shared" si="25"/>
        <v>#DIV/0!</v>
      </c>
      <c r="AD17" s="3">
        <v>0</v>
      </c>
      <c r="AE17" s="6">
        <v>0</v>
      </c>
      <c r="AF17" s="3" t="e">
        <f t="shared" si="26"/>
        <v>#DIV/0!</v>
      </c>
      <c r="AG17" s="3">
        <v>0</v>
      </c>
      <c r="AH17" s="6">
        <v>0</v>
      </c>
      <c r="AI17" s="3" t="e">
        <f t="shared" si="27"/>
        <v>#DIV/0!</v>
      </c>
      <c r="AJ17" s="3">
        <v>0</v>
      </c>
      <c r="AK17" s="6">
        <v>0</v>
      </c>
      <c r="AL17" s="3" t="e">
        <f t="shared" si="28"/>
        <v>#DIV/0!</v>
      </c>
      <c r="AM17" s="3">
        <v>0</v>
      </c>
      <c r="AN17" s="6">
        <v>0</v>
      </c>
      <c r="AO17" s="3">
        <f t="shared" si="12"/>
        <v>2120.3139013452915</v>
      </c>
      <c r="AP17" s="3">
        <f t="shared" si="15"/>
        <v>47283</v>
      </c>
      <c r="AQ17" s="6">
        <f t="shared" si="16"/>
        <v>22.3</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7" t="s">
        <v>45</v>
      </c>
      <c r="B18" s="20"/>
      <c r="C18" s="20"/>
      <c r="D18" s="20"/>
      <c r="E18" s="3">
        <f t="shared" si="17"/>
        <v>1411.3793103448277</v>
      </c>
      <c r="F18" s="3">
        <v>4093</v>
      </c>
      <c r="G18" s="6">
        <v>2.9</v>
      </c>
      <c r="H18" s="3">
        <f t="shared" si="18"/>
        <v>1449.4736842105265</v>
      </c>
      <c r="I18" s="3">
        <v>5508</v>
      </c>
      <c r="J18" s="6">
        <v>3.8</v>
      </c>
      <c r="K18" s="3" t="e">
        <f t="shared" si="19"/>
        <v>#DIV/0!</v>
      </c>
      <c r="L18" s="3">
        <v>0</v>
      </c>
      <c r="M18" s="6">
        <v>0</v>
      </c>
      <c r="N18" s="3" t="e">
        <f t="shared" si="20"/>
        <v>#DIV/0!</v>
      </c>
      <c r="O18" s="3">
        <v>0</v>
      </c>
      <c r="P18" s="6">
        <v>0</v>
      </c>
      <c r="Q18" s="3" t="e">
        <f t="shared" si="21"/>
        <v>#DIV/0!</v>
      </c>
      <c r="R18" s="3">
        <v>0</v>
      </c>
      <c r="S18" s="6">
        <v>0</v>
      </c>
      <c r="T18" s="3">
        <f t="shared" si="22"/>
        <v>2736</v>
      </c>
      <c r="U18" s="3">
        <v>25992</v>
      </c>
      <c r="V18" s="6">
        <v>9.5</v>
      </c>
      <c r="W18" s="3" t="e">
        <f t="shared" si="23"/>
        <v>#DIV/0!</v>
      </c>
      <c r="X18" s="3">
        <v>0</v>
      </c>
      <c r="Y18" s="6">
        <v>0</v>
      </c>
      <c r="Z18" s="3" t="e">
        <f t="shared" si="24"/>
        <v>#DIV/0!</v>
      </c>
      <c r="AA18" s="3">
        <v>0</v>
      </c>
      <c r="AB18" s="6">
        <v>0</v>
      </c>
      <c r="AC18" s="3" t="e">
        <f t="shared" si="25"/>
        <v>#DIV/0!</v>
      </c>
      <c r="AD18" s="3">
        <v>0</v>
      </c>
      <c r="AE18" s="6">
        <v>0</v>
      </c>
      <c r="AF18" s="3" t="e">
        <f t="shared" si="26"/>
        <v>#DIV/0!</v>
      </c>
      <c r="AG18" s="3">
        <v>0</v>
      </c>
      <c r="AH18" s="6">
        <v>0</v>
      </c>
      <c r="AI18" s="3">
        <f t="shared" si="27"/>
        <v>2280</v>
      </c>
      <c r="AJ18" s="3">
        <v>8664</v>
      </c>
      <c r="AK18" s="6">
        <v>3.8</v>
      </c>
      <c r="AL18" s="3" t="e">
        <f t="shared" si="28"/>
        <v>#DIV/0!</v>
      </c>
      <c r="AM18" s="3">
        <v>0</v>
      </c>
      <c r="AN18" s="6">
        <v>0</v>
      </c>
      <c r="AO18" s="3">
        <f t="shared" si="12"/>
        <v>2212.85</v>
      </c>
      <c r="AP18" s="3">
        <f t="shared" si="15"/>
        <v>44257</v>
      </c>
      <c r="AQ18" s="6">
        <f t="shared" si="16"/>
        <v>20</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7" t="s">
        <v>51</v>
      </c>
      <c r="B19" s="20"/>
      <c r="C19" s="20"/>
      <c r="D19" s="20"/>
      <c r="E19" s="3" t="e">
        <f t="shared" si="17"/>
        <v>#DIV/0!</v>
      </c>
      <c r="F19" s="3">
        <v>0</v>
      </c>
      <c r="G19" s="6">
        <v>0</v>
      </c>
      <c r="H19" s="3">
        <f t="shared" si="18"/>
        <v>1456.2690839694658</v>
      </c>
      <c r="I19" s="3">
        <v>152617</v>
      </c>
      <c r="J19" s="6">
        <v>104.8</v>
      </c>
      <c r="K19" s="3" t="e">
        <f t="shared" si="19"/>
        <v>#DIV/0!</v>
      </c>
      <c r="L19" s="3">
        <v>0</v>
      </c>
      <c r="M19" s="6">
        <v>0</v>
      </c>
      <c r="N19" s="3" t="e">
        <f t="shared" si="20"/>
        <v>#DIV/0!</v>
      </c>
      <c r="O19" s="3">
        <v>0</v>
      </c>
      <c r="P19" s="6">
        <v>0</v>
      </c>
      <c r="Q19" s="3" t="e">
        <f t="shared" si="21"/>
        <v>#DIV/0!</v>
      </c>
      <c r="R19" s="3">
        <v>0</v>
      </c>
      <c r="S19" s="6">
        <v>0</v>
      </c>
      <c r="T19" s="3" t="e">
        <f t="shared" si="22"/>
        <v>#DIV/0!</v>
      </c>
      <c r="U19" s="3">
        <v>0</v>
      </c>
      <c r="V19" s="6">
        <v>0</v>
      </c>
      <c r="W19" s="3" t="e">
        <f t="shared" si="23"/>
        <v>#DIV/0!</v>
      </c>
      <c r="X19" s="3">
        <v>0</v>
      </c>
      <c r="Y19" s="6">
        <v>0</v>
      </c>
      <c r="Z19" s="3" t="e">
        <f t="shared" si="24"/>
        <v>#DIV/0!</v>
      </c>
      <c r="AA19" s="3">
        <v>0</v>
      </c>
      <c r="AB19" s="6">
        <v>0</v>
      </c>
      <c r="AC19" s="3" t="e">
        <f t="shared" si="25"/>
        <v>#DIV/0!</v>
      </c>
      <c r="AD19" s="3">
        <v>0</v>
      </c>
      <c r="AE19" s="6">
        <v>0</v>
      </c>
      <c r="AF19" s="3" t="e">
        <f t="shared" si="26"/>
        <v>#DIV/0!</v>
      </c>
      <c r="AG19" s="3">
        <v>0</v>
      </c>
      <c r="AH19" s="6">
        <v>0</v>
      </c>
      <c r="AI19" s="3" t="e">
        <f t="shared" si="27"/>
        <v>#DIV/0!</v>
      </c>
      <c r="AJ19" s="3">
        <v>0</v>
      </c>
      <c r="AK19" s="6">
        <v>0</v>
      </c>
      <c r="AL19" s="3" t="e">
        <f t="shared" si="28"/>
        <v>#DIV/0!</v>
      </c>
      <c r="AM19" s="3">
        <v>0</v>
      </c>
      <c r="AN19" s="6">
        <v>0</v>
      </c>
      <c r="AO19" s="3">
        <f t="shared" si="12"/>
        <v>1456.2690839694658</v>
      </c>
      <c r="AP19" s="3">
        <f t="shared" si="15"/>
        <v>152617</v>
      </c>
      <c r="AQ19" s="6">
        <f t="shared" si="16"/>
        <v>104.8</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7" t="s">
        <v>43</v>
      </c>
      <c r="B20" s="20"/>
      <c r="C20" s="20"/>
      <c r="D20" s="20"/>
      <c r="E20" s="3" t="e">
        <f t="shared" si="17"/>
        <v>#DIV/0!</v>
      </c>
      <c r="F20" s="3">
        <v>0</v>
      </c>
      <c r="G20" s="6">
        <v>0</v>
      </c>
      <c r="H20" s="3" t="e">
        <f t="shared" si="18"/>
        <v>#DIV/0!</v>
      </c>
      <c r="I20" s="3">
        <v>0</v>
      </c>
      <c r="J20" s="6">
        <v>0</v>
      </c>
      <c r="K20" s="3">
        <f t="shared" si="19"/>
        <v>1416.579223504722</v>
      </c>
      <c r="L20" s="3">
        <v>135000</v>
      </c>
      <c r="M20" s="6">
        <v>95.3</v>
      </c>
      <c r="N20" s="3" t="e">
        <f t="shared" si="20"/>
        <v>#DIV/0!</v>
      </c>
      <c r="O20" s="3">
        <v>0</v>
      </c>
      <c r="P20" s="6">
        <v>0</v>
      </c>
      <c r="Q20" s="3" t="e">
        <f t="shared" si="21"/>
        <v>#DIV/0!</v>
      </c>
      <c r="R20" s="3">
        <v>0</v>
      </c>
      <c r="S20" s="6">
        <v>0</v>
      </c>
      <c r="T20" s="3" t="e">
        <f t="shared" si="22"/>
        <v>#DIV/0!</v>
      </c>
      <c r="U20" s="3">
        <v>0</v>
      </c>
      <c r="V20" s="6">
        <v>0</v>
      </c>
      <c r="W20" s="3" t="e">
        <f t="shared" si="23"/>
        <v>#DIV/0!</v>
      </c>
      <c r="X20" s="3">
        <v>0</v>
      </c>
      <c r="Y20" s="6">
        <v>0</v>
      </c>
      <c r="Z20" s="3" t="e">
        <f t="shared" si="24"/>
        <v>#DIV/0!</v>
      </c>
      <c r="AA20" s="3">
        <v>0</v>
      </c>
      <c r="AB20" s="6">
        <v>0</v>
      </c>
      <c r="AC20" s="3" t="e">
        <f t="shared" si="25"/>
        <v>#DIV/0!</v>
      </c>
      <c r="AD20" s="3">
        <v>0</v>
      </c>
      <c r="AE20" s="6">
        <v>0</v>
      </c>
      <c r="AF20" s="3" t="e">
        <f t="shared" si="26"/>
        <v>#DIV/0!</v>
      </c>
      <c r="AG20" s="3">
        <v>0</v>
      </c>
      <c r="AH20" s="6">
        <v>0</v>
      </c>
      <c r="AI20" s="3">
        <f t="shared" si="27"/>
        <v>2180.7692307692305</v>
      </c>
      <c r="AJ20" s="3">
        <v>124740</v>
      </c>
      <c r="AK20" s="6">
        <v>57.2</v>
      </c>
      <c r="AL20" s="3" t="e">
        <f t="shared" si="28"/>
        <v>#DIV/0!</v>
      </c>
      <c r="AM20" s="3">
        <v>0</v>
      </c>
      <c r="AN20" s="6">
        <v>0</v>
      </c>
      <c r="AO20" s="3">
        <f t="shared" si="12"/>
        <v>1703.2131147540983</v>
      </c>
      <c r="AP20" s="3">
        <f t="shared" si="15"/>
        <v>259740</v>
      </c>
      <c r="AQ20" s="6">
        <f t="shared" si="16"/>
        <v>152.5</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7" t="s">
        <v>36</v>
      </c>
      <c r="B21" s="20"/>
      <c r="C21" s="20"/>
      <c r="D21" s="20"/>
      <c r="E21" s="3">
        <f t="shared" si="17"/>
        <v>1477.1653543307086</v>
      </c>
      <c r="F21" s="3">
        <v>56280</v>
      </c>
      <c r="G21" s="6">
        <v>38.1</v>
      </c>
      <c r="H21" s="3" t="e">
        <f t="shared" si="18"/>
        <v>#DIV/0!</v>
      </c>
      <c r="I21" s="3">
        <v>0</v>
      </c>
      <c r="J21" s="6">
        <v>0</v>
      </c>
      <c r="K21" s="3">
        <f t="shared" si="19"/>
        <v>1469.9742268041239</v>
      </c>
      <c r="L21" s="3">
        <v>57035</v>
      </c>
      <c r="M21" s="6">
        <v>38.799999999999997</v>
      </c>
      <c r="N21" s="3" t="e">
        <f t="shared" si="20"/>
        <v>#DIV/0!</v>
      </c>
      <c r="O21" s="3">
        <v>0</v>
      </c>
      <c r="P21" s="6">
        <v>0</v>
      </c>
      <c r="Q21" s="3">
        <f t="shared" si="21"/>
        <v>1412.5</v>
      </c>
      <c r="R21" s="3">
        <v>26555</v>
      </c>
      <c r="S21" s="6">
        <v>18.8</v>
      </c>
      <c r="T21" s="3">
        <f t="shared" si="22"/>
        <v>1654.4326241134752</v>
      </c>
      <c r="U21" s="3">
        <v>93310</v>
      </c>
      <c r="V21" s="6">
        <v>56.4</v>
      </c>
      <c r="W21" s="3" t="e">
        <f t="shared" si="23"/>
        <v>#DIV/0!</v>
      </c>
      <c r="X21" s="3">
        <v>0</v>
      </c>
      <c r="Y21" s="6">
        <v>0</v>
      </c>
      <c r="Z21" s="3" t="e">
        <f t="shared" si="24"/>
        <v>#DIV/0!</v>
      </c>
      <c r="AA21" s="3">
        <v>0</v>
      </c>
      <c r="AB21" s="6">
        <v>0</v>
      </c>
      <c r="AC21" s="3" t="e">
        <f t="shared" si="25"/>
        <v>#DIV/0!</v>
      </c>
      <c r="AD21" s="3">
        <v>0</v>
      </c>
      <c r="AE21" s="6">
        <v>0</v>
      </c>
      <c r="AF21" s="3">
        <f t="shared" si="26"/>
        <v>2654.95</v>
      </c>
      <c r="AG21" s="3">
        <v>53099</v>
      </c>
      <c r="AH21" s="6">
        <v>20</v>
      </c>
      <c r="AI21" s="3" t="e">
        <f t="shared" si="27"/>
        <v>#DIV/0!</v>
      </c>
      <c r="AJ21" s="3">
        <v>0</v>
      </c>
      <c r="AK21" s="6">
        <v>0</v>
      </c>
      <c r="AL21" s="3" t="e">
        <f t="shared" si="28"/>
        <v>#DIV/0!</v>
      </c>
      <c r="AM21" s="3">
        <v>0</v>
      </c>
      <c r="AN21" s="6">
        <v>0</v>
      </c>
      <c r="AO21" s="3">
        <f t="shared" si="12"/>
        <v>1663.4456711214411</v>
      </c>
      <c r="AP21" s="3">
        <f t="shared" si="15"/>
        <v>286279</v>
      </c>
      <c r="AQ21" s="6">
        <f t="shared" si="16"/>
        <v>172.1</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7" t="s">
        <v>44</v>
      </c>
      <c r="B22" s="20"/>
      <c r="C22" s="20"/>
      <c r="D22" s="20"/>
      <c r="E22" s="3" t="e">
        <f t="shared" si="17"/>
        <v>#DIV/0!</v>
      </c>
      <c r="F22" s="3">
        <v>0</v>
      </c>
      <c r="G22" s="6">
        <v>0</v>
      </c>
      <c r="H22" s="3" t="e">
        <f t="shared" si="18"/>
        <v>#DIV/0!</v>
      </c>
      <c r="I22" s="3">
        <v>0</v>
      </c>
      <c r="J22" s="6">
        <v>0</v>
      </c>
      <c r="K22" s="3" t="e">
        <f t="shared" si="19"/>
        <v>#DIV/0!</v>
      </c>
      <c r="L22" s="3">
        <v>0</v>
      </c>
      <c r="M22" s="6">
        <v>0</v>
      </c>
      <c r="N22" s="3" t="e">
        <f t="shared" si="20"/>
        <v>#DIV/0!</v>
      </c>
      <c r="O22" s="3">
        <v>0</v>
      </c>
      <c r="P22" s="6">
        <v>0</v>
      </c>
      <c r="Q22" s="3" t="e">
        <f t="shared" si="21"/>
        <v>#DIV/0!</v>
      </c>
      <c r="R22" s="3">
        <v>0</v>
      </c>
      <c r="S22" s="6">
        <v>0</v>
      </c>
      <c r="T22" s="3">
        <f t="shared" si="22"/>
        <v>2821.304347826087</v>
      </c>
      <c r="U22" s="3">
        <v>6489</v>
      </c>
      <c r="V22" s="6">
        <v>2.2999999999999998</v>
      </c>
      <c r="W22" s="3" t="e">
        <f t="shared" si="23"/>
        <v>#DIV/0!</v>
      </c>
      <c r="X22" s="3">
        <v>0</v>
      </c>
      <c r="Y22" s="6">
        <v>0</v>
      </c>
      <c r="Z22" s="3" t="e">
        <f t="shared" si="24"/>
        <v>#DIV/0!</v>
      </c>
      <c r="AA22" s="3">
        <v>0</v>
      </c>
      <c r="AB22" s="6">
        <v>0</v>
      </c>
      <c r="AC22" s="3" t="e">
        <f t="shared" si="25"/>
        <v>#DIV/0!</v>
      </c>
      <c r="AD22" s="3">
        <v>0</v>
      </c>
      <c r="AE22" s="6">
        <v>0</v>
      </c>
      <c r="AF22" s="3" t="e">
        <f t="shared" si="26"/>
        <v>#DIV/0!</v>
      </c>
      <c r="AG22" s="3">
        <v>0</v>
      </c>
      <c r="AH22" s="6">
        <v>0</v>
      </c>
      <c r="AI22" s="3" t="e">
        <f t="shared" si="27"/>
        <v>#DIV/0!</v>
      </c>
      <c r="AJ22" s="3">
        <v>0</v>
      </c>
      <c r="AK22" s="6">
        <v>0</v>
      </c>
      <c r="AL22" s="3" t="e">
        <f t="shared" si="28"/>
        <v>#DIV/0!</v>
      </c>
      <c r="AM22" s="3">
        <v>0</v>
      </c>
      <c r="AN22" s="6">
        <v>0</v>
      </c>
      <c r="AO22" s="3">
        <f t="shared" si="12"/>
        <v>2821.304347826087</v>
      </c>
      <c r="AP22" s="3">
        <f t="shared" si="15"/>
        <v>6489</v>
      </c>
      <c r="AQ22" s="6">
        <f t="shared" si="16"/>
        <v>2.2999999999999998</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7" t="s">
        <v>38</v>
      </c>
      <c r="B23" s="20"/>
      <c r="C23" s="20"/>
      <c r="D23" s="20"/>
      <c r="E23" s="3" t="e">
        <f t="shared" si="17"/>
        <v>#DIV/0!</v>
      </c>
      <c r="F23" s="3">
        <v>0</v>
      </c>
      <c r="G23" s="6">
        <v>0</v>
      </c>
      <c r="H23" s="3">
        <f t="shared" si="18"/>
        <v>2630.1376146788989</v>
      </c>
      <c r="I23" s="3">
        <v>57337</v>
      </c>
      <c r="J23" s="6">
        <v>21.8</v>
      </c>
      <c r="K23" s="3" t="e">
        <f t="shared" si="19"/>
        <v>#DIV/0!</v>
      </c>
      <c r="L23" s="3">
        <v>0</v>
      </c>
      <c r="M23" s="6">
        <v>0</v>
      </c>
      <c r="N23" s="3" t="e">
        <f t="shared" si="20"/>
        <v>#DIV/0!</v>
      </c>
      <c r="O23" s="3">
        <v>0</v>
      </c>
      <c r="P23" s="6">
        <v>0</v>
      </c>
      <c r="Q23" s="3" t="e">
        <f t="shared" si="21"/>
        <v>#DIV/0!</v>
      </c>
      <c r="R23" s="3">
        <v>0</v>
      </c>
      <c r="S23" s="6">
        <v>0</v>
      </c>
      <c r="T23" s="3" t="e">
        <f t="shared" si="22"/>
        <v>#DIV/0!</v>
      </c>
      <c r="U23" s="3">
        <v>0</v>
      </c>
      <c r="V23" s="6">
        <v>0</v>
      </c>
      <c r="W23" s="3" t="e">
        <f t="shared" si="23"/>
        <v>#DIV/0!</v>
      </c>
      <c r="X23" s="3">
        <v>0</v>
      </c>
      <c r="Y23" s="6">
        <v>0</v>
      </c>
      <c r="Z23" s="3" t="e">
        <f t="shared" si="24"/>
        <v>#DIV/0!</v>
      </c>
      <c r="AA23" s="3">
        <v>0</v>
      </c>
      <c r="AB23" s="6">
        <v>0</v>
      </c>
      <c r="AC23" s="3" t="e">
        <f t="shared" si="25"/>
        <v>#DIV/0!</v>
      </c>
      <c r="AD23" s="3">
        <v>0</v>
      </c>
      <c r="AE23" s="6">
        <v>0</v>
      </c>
      <c r="AF23" s="3" t="e">
        <f t="shared" si="26"/>
        <v>#DIV/0!</v>
      </c>
      <c r="AG23" s="3">
        <v>0</v>
      </c>
      <c r="AH23" s="6">
        <v>0</v>
      </c>
      <c r="AI23" s="3" t="e">
        <f t="shared" si="27"/>
        <v>#DIV/0!</v>
      </c>
      <c r="AJ23" s="3">
        <v>0</v>
      </c>
      <c r="AK23" s="6">
        <v>0</v>
      </c>
      <c r="AL23" s="3" t="e">
        <f t="shared" si="28"/>
        <v>#DIV/0!</v>
      </c>
      <c r="AM23" s="3">
        <v>0</v>
      </c>
      <c r="AN23" s="6">
        <v>0</v>
      </c>
      <c r="AO23" s="3">
        <f t="shared" si="12"/>
        <v>2630.1376146788989</v>
      </c>
      <c r="AP23" s="3">
        <f t="shared" si="15"/>
        <v>57337</v>
      </c>
      <c r="AQ23" s="6">
        <f t="shared" si="16"/>
        <v>21.8</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7" t="s">
        <v>25</v>
      </c>
      <c r="B24" s="20"/>
      <c r="C24" s="20"/>
      <c r="D24" s="20"/>
      <c r="E24" s="3">
        <f t="shared" si="17"/>
        <v>1476.0952380952381</v>
      </c>
      <c r="F24" s="3">
        <v>15499</v>
      </c>
      <c r="G24" s="6">
        <v>10.5</v>
      </c>
      <c r="H24" s="3">
        <f t="shared" si="18"/>
        <v>1518.8059701492537</v>
      </c>
      <c r="I24" s="3">
        <v>10176</v>
      </c>
      <c r="J24" s="6">
        <v>6.7</v>
      </c>
      <c r="K24" s="3">
        <f t="shared" si="19"/>
        <v>1589.2307692307693</v>
      </c>
      <c r="L24" s="3">
        <v>47518</v>
      </c>
      <c r="M24" s="6">
        <v>29.9</v>
      </c>
      <c r="N24" s="3">
        <f t="shared" si="20"/>
        <v>2129.4831460674159</v>
      </c>
      <c r="O24" s="3">
        <v>94762</v>
      </c>
      <c r="P24" s="6">
        <v>44.5</v>
      </c>
      <c r="Q24" s="3">
        <f t="shared" si="21"/>
        <v>2309.0883977900548</v>
      </c>
      <c r="R24" s="3">
        <v>83589</v>
      </c>
      <c r="S24" s="6">
        <v>36.200000000000003</v>
      </c>
      <c r="T24" s="3">
        <f t="shared" si="22"/>
        <v>2717.3558897243111</v>
      </c>
      <c r="U24" s="3">
        <v>216845</v>
      </c>
      <c r="V24" s="6">
        <v>79.8</v>
      </c>
      <c r="W24" s="3">
        <f t="shared" si="23"/>
        <v>2701.9548872180449</v>
      </c>
      <c r="X24" s="3">
        <v>35936</v>
      </c>
      <c r="Y24" s="6">
        <v>13.3</v>
      </c>
      <c r="Z24" s="3" t="e">
        <f t="shared" si="24"/>
        <v>#DIV/0!</v>
      </c>
      <c r="AA24" s="3">
        <v>0</v>
      </c>
      <c r="AB24" s="6">
        <v>0</v>
      </c>
      <c r="AC24" s="3" t="e">
        <f t="shared" si="25"/>
        <v>#DIV/0!</v>
      </c>
      <c r="AD24" s="3">
        <v>0</v>
      </c>
      <c r="AE24" s="6">
        <v>0</v>
      </c>
      <c r="AF24" s="3">
        <f t="shared" si="26"/>
        <v>2929.8701298701299</v>
      </c>
      <c r="AG24" s="3">
        <v>22560</v>
      </c>
      <c r="AH24" s="6">
        <v>7.7</v>
      </c>
      <c r="AI24" s="3" t="e">
        <f t="shared" si="27"/>
        <v>#DIV/0!</v>
      </c>
      <c r="AJ24" s="3">
        <v>0</v>
      </c>
      <c r="AK24" s="6">
        <v>0</v>
      </c>
      <c r="AL24" s="3" t="e">
        <f t="shared" si="28"/>
        <v>#DIV/0!</v>
      </c>
      <c r="AM24" s="3">
        <v>0</v>
      </c>
      <c r="AN24" s="6">
        <v>0</v>
      </c>
      <c r="AO24" s="3">
        <f t="shared" si="12"/>
        <v>2304.8337707786527</v>
      </c>
      <c r="AP24" s="3">
        <f t="shared" si="15"/>
        <v>526885</v>
      </c>
      <c r="AQ24" s="6">
        <f t="shared" si="16"/>
        <v>228.6</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7" t="s">
        <v>26</v>
      </c>
      <c r="B25" s="20"/>
      <c r="C25" s="20"/>
      <c r="D25" s="20"/>
      <c r="E25" s="3" t="e">
        <f t="shared" si="17"/>
        <v>#DIV/0!</v>
      </c>
      <c r="F25" s="3">
        <v>0</v>
      </c>
      <c r="G25" s="6">
        <v>0</v>
      </c>
      <c r="H25" s="3">
        <f t="shared" si="18"/>
        <v>1574.7368421052631</v>
      </c>
      <c r="I25" s="3">
        <v>2992</v>
      </c>
      <c r="J25" s="6">
        <v>1.9</v>
      </c>
      <c r="K25" s="3">
        <f t="shared" si="19"/>
        <v>1653.6842105263158</v>
      </c>
      <c r="L25" s="3">
        <v>6284</v>
      </c>
      <c r="M25" s="6">
        <v>3.8</v>
      </c>
      <c r="N25" s="3">
        <f t="shared" si="20"/>
        <v>1985.5234657039712</v>
      </c>
      <c r="O25" s="3">
        <v>54999</v>
      </c>
      <c r="P25" s="6">
        <v>27.7</v>
      </c>
      <c r="Q25" s="3">
        <f t="shared" si="21"/>
        <v>2144.2105263157896</v>
      </c>
      <c r="R25" s="3">
        <v>12222</v>
      </c>
      <c r="S25" s="6">
        <v>5.7</v>
      </c>
      <c r="T25" s="3">
        <f t="shared" si="22"/>
        <v>2144.2105263157896</v>
      </c>
      <c r="U25" s="3">
        <v>4074</v>
      </c>
      <c r="V25" s="6">
        <v>1.9</v>
      </c>
      <c r="W25" s="3" t="e">
        <f t="shared" si="23"/>
        <v>#DIV/0!</v>
      </c>
      <c r="X25" s="3">
        <v>0</v>
      </c>
      <c r="Y25" s="6">
        <v>0</v>
      </c>
      <c r="Z25" s="3" t="e">
        <f t="shared" si="24"/>
        <v>#DIV/0!</v>
      </c>
      <c r="AA25" s="3">
        <v>0</v>
      </c>
      <c r="AB25" s="6">
        <v>0</v>
      </c>
      <c r="AC25" s="3" t="e">
        <f t="shared" si="25"/>
        <v>#DIV/0!</v>
      </c>
      <c r="AD25" s="3">
        <v>0</v>
      </c>
      <c r="AE25" s="6">
        <v>0</v>
      </c>
      <c r="AF25" s="3" t="e">
        <f t="shared" si="26"/>
        <v>#DIV/0!</v>
      </c>
      <c r="AG25" s="3">
        <v>0</v>
      </c>
      <c r="AH25" s="6">
        <v>0</v>
      </c>
      <c r="AI25" s="3" t="e">
        <f t="shared" si="27"/>
        <v>#DIV/0!</v>
      </c>
      <c r="AJ25" s="3">
        <v>0</v>
      </c>
      <c r="AK25" s="6">
        <v>0</v>
      </c>
      <c r="AL25" s="3" t="e">
        <f t="shared" si="28"/>
        <v>#DIV/0!</v>
      </c>
      <c r="AM25" s="3">
        <v>0</v>
      </c>
      <c r="AN25" s="6">
        <v>0</v>
      </c>
      <c r="AO25" s="3">
        <f t="shared" si="12"/>
        <v>1965.1463414634147</v>
      </c>
      <c r="AP25" s="3">
        <f t="shared" si="15"/>
        <v>80571</v>
      </c>
      <c r="AQ25" s="6">
        <f t="shared" si="16"/>
        <v>41</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12" t="s">
        <v>46</v>
      </c>
      <c r="B26" s="21"/>
      <c r="C26" s="21"/>
      <c r="D26" s="21"/>
      <c r="E26" s="9" t="e">
        <f t="shared" si="17"/>
        <v>#DIV/0!</v>
      </c>
      <c r="F26" s="10">
        <v>0</v>
      </c>
      <c r="G26" s="11">
        <v>0</v>
      </c>
      <c r="H26" s="10" t="e">
        <f t="shared" si="18"/>
        <v>#DIV/0!</v>
      </c>
      <c r="I26" s="10">
        <v>0</v>
      </c>
      <c r="J26" s="11">
        <v>0</v>
      </c>
      <c r="K26" s="10" t="e">
        <f t="shared" si="19"/>
        <v>#DIV/0!</v>
      </c>
      <c r="L26" s="10">
        <v>0</v>
      </c>
      <c r="M26" s="11">
        <v>0</v>
      </c>
      <c r="N26" s="10" t="e">
        <f t="shared" si="20"/>
        <v>#DIV/0!</v>
      </c>
      <c r="O26" s="10">
        <v>0</v>
      </c>
      <c r="P26" s="11">
        <v>0</v>
      </c>
      <c r="Q26" s="10">
        <f t="shared" si="21"/>
        <v>2163.125</v>
      </c>
      <c r="R26" s="10">
        <v>10383</v>
      </c>
      <c r="S26" s="11">
        <v>4.8</v>
      </c>
      <c r="T26" s="10" t="e">
        <f t="shared" si="22"/>
        <v>#DIV/0!</v>
      </c>
      <c r="U26" s="10">
        <v>0</v>
      </c>
      <c r="V26" s="11">
        <v>0</v>
      </c>
      <c r="W26" s="10">
        <f t="shared" si="23"/>
        <v>1459.6774193548388</v>
      </c>
      <c r="X26" s="10">
        <v>18100</v>
      </c>
      <c r="Y26" s="11">
        <v>12.4</v>
      </c>
      <c r="Z26" s="10">
        <f t="shared" si="24"/>
        <v>2661.4705882352941</v>
      </c>
      <c r="AA26" s="10">
        <v>18098</v>
      </c>
      <c r="AB26" s="11">
        <v>6.8</v>
      </c>
      <c r="AC26" s="10" t="e">
        <f t="shared" si="25"/>
        <v>#DIV/0!</v>
      </c>
      <c r="AD26" s="10">
        <v>0</v>
      </c>
      <c r="AE26" s="11">
        <v>0</v>
      </c>
      <c r="AF26" s="10" t="e">
        <f t="shared" si="26"/>
        <v>#DIV/0!</v>
      </c>
      <c r="AG26" s="10">
        <v>0</v>
      </c>
      <c r="AH26" s="11">
        <v>0</v>
      </c>
      <c r="AI26" s="10" t="e">
        <f t="shared" si="27"/>
        <v>#DIV/0!</v>
      </c>
      <c r="AJ26" s="10">
        <v>0</v>
      </c>
      <c r="AK26" s="11">
        <v>0</v>
      </c>
      <c r="AL26" s="10" t="e">
        <f t="shared" si="28"/>
        <v>#DIV/0!</v>
      </c>
      <c r="AM26" s="10">
        <v>0</v>
      </c>
      <c r="AN26" s="11">
        <v>0</v>
      </c>
      <c r="AO26" s="10">
        <f t="shared" si="12"/>
        <v>1940.875</v>
      </c>
      <c r="AP26" s="10">
        <f t="shared" si="15"/>
        <v>46581</v>
      </c>
      <c r="AQ26" s="11">
        <f t="shared" si="16"/>
        <v>24</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1" t="s">
        <v>28</v>
      </c>
      <c r="B27" s="1"/>
    </row>
    <row r="28" spans="1:67" x14ac:dyDescent="0.3">
      <c r="A28" s="1" t="s">
        <v>39</v>
      </c>
      <c r="B28" s="1"/>
    </row>
    <row r="29" spans="1:67" x14ac:dyDescent="0.3">
      <c r="A29" s="1" t="s">
        <v>29</v>
      </c>
      <c r="B29" s="1"/>
    </row>
    <row r="30" spans="1:67" x14ac:dyDescent="0.3">
      <c r="A30" s="1" t="s">
        <v>30</v>
      </c>
      <c r="B30" s="1"/>
    </row>
    <row r="31" spans="1:67" x14ac:dyDescent="0.3">
      <c r="A31" s="1" t="s">
        <v>40</v>
      </c>
      <c r="B31" s="1"/>
    </row>
  </sheetData>
  <mergeCells count="16">
    <mergeCell ref="E1:G1"/>
    <mergeCell ref="H1:J1"/>
    <mergeCell ref="K1:M1"/>
    <mergeCell ref="B3:B26"/>
    <mergeCell ref="C3:C26"/>
    <mergeCell ref="D3:D26"/>
    <mergeCell ref="N1:P1"/>
    <mergeCell ref="Q1:S1"/>
    <mergeCell ref="T1:V1"/>
    <mergeCell ref="AL1:AN1"/>
    <mergeCell ref="AO1:AQ1"/>
    <mergeCell ref="W1:Y1"/>
    <mergeCell ref="Z1:AB1"/>
    <mergeCell ref="AC1:AE1"/>
    <mergeCell ref="AF1:AH1"/>
    <mergeCell ref="AI1:AK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2021년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2026-08-07T09:36:44Z</dcterms:modified>
</cp:coreProperties>
</file>