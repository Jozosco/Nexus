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Q21" i="1" l="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1" i="1"/>
  <c r="AL20" i="1"/>
  <c r="AL19" i="1"/>
  <c r="AL18" i="1"/>
  <c r="AL17" i="1"/>
  <c r="AL16" i="1"/>
  <c r="AL15" i="1"/>
  <c r="AL14" i="1"/>
  <c r="AL13" i="1"/>
  <c r="AL12" i="1"/>
  <c r="AL11" i="1"/>
  <c r="AL10" i="1"/>
  <c r="AL9" i="1"/>
  <c r="AL8" i="1"/>
  <c r="AL7" i="1"/>
  <c r="AL6" i="1"/>
  <c r="AL5" i="1"/>
  <c r="AL4" i="1"/>
  <c r="AI21" i="1"/>
  <c r="AI20" i="1"/>
  <c r="AI19" i="1"/>
  <c r="AI18" i="1"/>
  <c r="AI17" i="1"/>
  <c r="AI16" i="1"/>
  <c r="AI15" i="1"/>
  <c r="AI14" i="1"/>
  <c r="AI13" i="1"/>
  <c r="AI12" i="1"/>
  <c r="AI11" i="1"/>
  <c r="AI10" i="1"/>
  <c r="AI9" i="1"/>
  <c r="AI8" i="1"/>
  <c r="AI7" i="1"/>
  <c r="AI6" i="1"/>
  <c r="AI5" i="1"/>
  <c r="AI4" i="1"/>
  <c r="AF21" i="1"/>
  <c r="AF20" i="1"/>
  <c r="AF19" i="1"/>
  <c r="AF18" i="1"/>
  <c r="AF17" i="1"/>
  <c r="AF16" i="1"/>
  <c r="AF15" i="1"/>
  <c r="AF14" i="1"/>
  <c r="AF13" i="1"/>
  <c r="AF12" i="1"/>
  <c r="AF11" i="1"/>
  <c r="AF10" i="1"/>
  <c r="AF9" i="1"/>
  <c r="AF8" i="1"/>
  <c r="AF7" i="1"/>
  <c r="AF6" i="1"/>
  <c r="AF5" i="1"/>
  <c r="AF4" i="1"/>
  <c r="AC21" i="1"/>
  <c r="AC20" i="1"/>
  <c r="AC19" i="1"/>
  <c r="AC18" i="1"/>
  <c r="AC17" i="1"/>
  <c r="AC16" i="1"/>
  <c r="AC15" i="1"/>
  <c r="AC14" i="1"/>
  <c r="AC13" i="1"/>
  <c r="AC12" i="1"/>
  <c r="AC11" i="1"/>
  <c r="AC10" i="1"/>
  <c r="AC9" i="1"/>
  <c r="AC8" i="1"/>
  <c r="AC7" i="1"/>
  <c r="AC6" i="1"/>
  <c r="AC5" i="1"/>
  <c r="AC4" i="1"/>
  <c r="Z21" i="1"/>
  <c r="Z20" i="1"/>
  <c r="Z19" i="1"/>
  <c r="Z18" i="1"/>
  <c r="Z17" i="1"/>
  <c r="Z16" i="1"/>
  <c r="Z15" i="1"/>
  <c r="Z14" i="1"/>
  <c r="Z13" i="1"/>
  <c r="Z12" i="1"/>
  <c r="Z11" i="1"/>
  <c r="Z10" i="1"/>
  <c r="Z9" i="1"/>
  <c r="Z8" i="1"/>
  <c r="Z7" i="1"/>
  <c r="Z6" i="1"/>
  <c r="Z5" i="1"/>
  <c r="Z4" i="1"/>
  <c r="W21" i="1"/>
  <c r="W20" i="1"/>
  <c r="W19" i="1"/>
  <c r="W18" i="1"/>
  <c r="W17" i="1"/>
  <c r="W16" i="1"/>
  <c r="W15" i="1"/>
  <c r="W14" i="1"/>
  <c r="W13" i="1"/>
  <c r="W12" i="1"/>
  <c r="W11" i="1"/>
  <c r="W10" i="1"/>
  <c r="W9" i="1"/>
  <c r="W8" i="1"/>
  <c r="W7" i="1"/>
  <c r="W6" i="1"/>
  <c r="W5" i="1"/>
  <c r="W4" i="1"/>
  <c r="T21" i="1"/>
  <c r="T20" i="1"/>
  <c r="T19" i="1"/>
  <c r="T18" i="1"/>
  <c r="T17" i="1"/>
  <c r="T16" i="1"/>
  <c r="T15" i="1"/>
  <c r="T14" i="1"/>
  <c r="T13" i="1"/>
  <c r="T12" i="1"/>
  <c r="T11" i="1"/>
  <c r="T10" i="1"/>
  <c r="T9" i="1"/>
  <c r="T8" i="1"/>
  <c r="T7" i="1"/>
  <c r="T6" i="1"/>
  <c r="T5" i="1"/>
  <c r="T4" i="1"/>
  <c r="Q21" i="1"/>
  <c r="Q20" i="1"/>
  <c r="Q19" i="1"/>
  <c r="Q18" i="1"/>
  <c r="Q17" i="1"/>
  <c r="Q16" i="1"/>
  <c r="Q15" i="1"/>
  <c r="Q14" i="1"/>
  <c r="Q13" i="1"/>
  <c r="Q12" i="1"/>
  <c r="Q11" i="1"/>
  <c r="Q10" i="1"/>
  <c r="Q9" i="1"/>
  <c r="Q8" i="1"/>
  <c r="Q7" i="1"/>
  <c r="Q6" i="1"/>
  <c r="Q5" i="1"/>
  <c r="Q4" i="1"/>
  <c r="N21" i="1"/>
  <c r="N20" i="1"/>
  <c r="N19" i="1"/>
  <c r="N18" i="1"/>
  <c r="N17" i="1"/>
  <c r="N16" i="1"/>
  <c r="N15" i="1"/>
  <c r="N14" i="1"/>
  <c r="N13" i="1"/>
  <c r="N12" i="1"/>
  <c r="N11" i="1"/>
  <c r="N10" i="1"/>
  <c r="N9" i="1"/>
  <c r="N8" i="1"/>
  <c r="N7" i="1"/>
  <c r="N6" i="1"/>
  <c r="N5" i="1"/>
  <c r="N4" i="1"/>
  <c r="K21" i="1"/>
  <c r="K20" i="1"/>
  <c r="K19" i="1"/>
  <c r="K18" i="1"/>
  <c r="K17" i="1"/>
  <c r="K16" i="1"/>
  <c r="K15" i="1"/>
  <c r="K14" i="1"/>
  <c r="K13" i="1"/>
  <c r="K12" i="1"/>
  <c r="K11" i="1"/>
  <c r="K10" i="1"/>
  <c r="K9" i="1"/>
  <c r="K8" i="1"/>
  <c r="K7" i="1"/>
  <c r="K6" i="1"/>
  <c r="K5" i="1"/>
  <c r="K4" i="1"/>
  <c r="H21" i="1"/>
  <c r="H20" i="1"/>
  <c r="H19" i="1"/>
  <c r="H18" i="1"/>
  <c r="H17" i="1"/>
  <c r="H16" i="1"/>
  <c r="H15" i="1"/>
  <c r="H14" i="1"/>
  <c r="H13" i="1"/>
  <c r="H12" i="1"/>
  <c r="H11" i="1"/>
  <c r="H10" i="1"/>
  <c r="H9" i="1"/>
  <c r="H8" i="1"/>
  <c r="H7" i="1"/>
  <c r="H6" i="1"/>
  <c r="H5" i="1"/>
  <c r="H4"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8" i="1"/>
  <c r="AO16" i="1"/>
  <c r="AO9" i="1"/>
  <c r="AO17" i="1"/>
  <c r="AO19" i="1"/>
  <c r="AO3" i="1" l="1"/>
  <c r="AO4" i="1"/>
  <c r="AO12" i="1"/>
</calcChain>
</file>

<file path=xl/sharedStrings.xml><?xml version="1.0" encoding="utf-8"?>
<sst xmlns="http://schemas.openxmlformats.org/spreadsheetml/2006/main" count="83" uniqueCount="47">
  <si>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</si>
  <si>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</si>
  <si>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</si>
  <si>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</si>
  <si>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</si>
  <si>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</si>
  <si>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</si>
  <si>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</si>
  <si>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</si>
  <si>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</si>
  <si>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</si>
  <si>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</si>
  <si>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</si>
  <si>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</si>
  <si>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</si>
  <si>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</si>
  <si>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</si>
  <si>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</si>
  <si>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</si>
  <si>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Dominican Republic</t>
  </si>
  <si>
    <t>Mexico</t>
  </si>
  <si>
    <t>Bahamas, The</t>
  </si>
  <si>
    <t>El Salvador</t>
  </si>
  <si>
    <t>Guatemala</t>
  </si>
  <si>
    <t>Honduras</t>
  </si>
  <si>
    <t>Italy(*)</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</si>
  <si>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</si>
  <si>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</si>
  <si>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</si>
  <si>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</si>
  <si>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</si>
  <si>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</si>
  <si>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</si>
  <si>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</si>
  <si>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</si>
  <si>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</si>
  <si>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</si>
  <si>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</si>
  <si>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Chile</t>
  </si>
  <si>
    <t>1. Data Source: U.S. Census Bureau Trade Data</t>
  </si>
  <si>
    <t>4. Product Group : Harmonized</t>
  </si>
  <si>
    <t>Product</t>
    <phoneticPr fontId="18" type="noConversion"/>
  </si>
  <si>
    <t>SOY OIL ONC-RFND</t>
    <phoneticPr fontId="18" type="noConversion"/>
  </si>
  <si>
    <t>United Arab Emirates</t>
  </si>
  <si>
    <t>Jamaica</t>
  </si>
  <si>
    <t>Lebanon</t>
  </si>
  <si>
    <t>Qatar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</si>
</sst>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6"/>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32</v>
      </c>
      <c r="B2" s="2" t="s">
        <v>41</v>
      </c>
      <c r="C2" s="2" t="s">
        <v>13</v>
      </c>
      <c r="D2" s="2" t="s">
        <v>33</v>
      </c>
      <c r="E2" s="4" t="s">
        <v>14</v>
      </c>
      <c r="F2" s="2" t="s">
        <v>33</v>
      </c>
      <c r="G2" s="5" t="s">
        <v>15</v>
      </c>
      <c r="H2" s="2" t="s">
        <v>14</v>
      </c>
      <c r="I2" s="2" t="s">
        <v>33</v>
      </c>
      <c r="J2" s="5" t="s">
        <v>15</v>
      </c>
      <c r="K2" s="2" t="s">
        <v>14</v>
      </c>
      <c r="L2" s="2" t="s">
        <v>33</v>
      </c>
      <c r="M2" s="5" t="s">
        <v>15</v>
      </c>
      <c r="N2" s="2" t="s">
        <v>14</v>
      </c>
      <c r="O2" s="2" t="s">
        <v>33</v>
      </c>
      <c r="P2" s="5" t="s">
        <v>15</v>
      </c>
      <c r="Q2" s="2" t="s">
        <v>14</v>
      </c>
      <c r="R2" s="2" t="s">
        <v>33</v>
      </c>
      <c r="S2" s="5" t="s">
        <v>15</v>
      </c>
      <c r="T2" s="2" t="s">
        <v>14</v>
      </c>
      <c r="U2" s="2" t="s">
        <v>33</v>
      </c>
      <c r="V2" s="5" t="s">
        <v>15</v>
      </c>
      <c r="W2" s="2" t="s">
        <v>14</v>
      </c>
      <c r="X2" s="2" t="s">
        <v>33</v>
      </c>
      <c r="Y2" s="5" t="s">
        <v>15</v>
      </c>
      <c r="Z2" s="2" t="s">
        <v>14</v>
      </c>
      <c r="AA2" s="2" t="s">
        <v>33</v>
      </c>
      <c r="AB2" s="5" t="s">
        <v>15</v>
      </c>
      <c r="AC2" s="2" t="s">
        <v>14</v>
      </c>
      <c r="AD2" s="2" t="s">
        <v>33</v>
      </c>
      <c r="AE2" s="5" t="s">
        <v>15</v>
      </c>
      <c r="AF2" s="2" t="s">
        <v>14</v>
      </c>
      <c r="AG2" s="2" t="s">
        <v>33</v>
      </c>
      <c r="AH2" s="5" t="s">
        <v>15</v>
      </c>
      <c r="AI2" s="2" t="s">
        <v>14</v>
      </c>
      <c r="AJ2" s="2" t="s">
        <v>33</v>
      </c>
      <c r="AK2" s="5" t="s">
        <v>15</v>
      </c>
      <c r="AL2" s="2" t="s">
        <v>14</v>
      </c>
      <c r="AM2" s="2" t="s">
        <v>33</v>
      </c>
      <c r="AN2" s="5" t="s">
        <v>15</v>
      </c>
      <c r="AO2" s="2" t="s">
        <v>14</v>
      </c>
      <c r="AP2" s="2" t="s">
        <v>35</v>
      </c>
      <c r="AQ2" s="5" t="s">
        <v>15</v>
      </c>
    </row>
    <row r="3" spans="1:67" ht="15" customHeight="1" x14ac:dyDescent="0.3">
      <c r="A3" s="9" t="s">
        <v>16</v>
      </c>
      <c r="B3" s="13" t="s">
        <v>42</v>
      </c>
      <c r="C3" s="13" t="s">
        <v>17</v>
      </c>
      <c r="D3" s="13" t="s">
        <v>34</v>
      </c>
      <c r="E3" s="7">
        <f>F3/G3</f>
        <v>1380.0034435261709</v>
      </c>
      <c r="F3" s="7">
        <f>SUM(F4:F21)</f>
        <v>400753</v>
      </c>
      <c r="G3" s="8">
        <f>SUM(G4:G21)</f>
        <v>290.39999999999998</v>
      </c>
      <c r="H3" s="7">
        <f>I3/J3</f>
        <v>1890.6648575305292</v>
      </c>
      <c r="I3" s="7">
        <f>SUM(I4:I21)</f>
        <v>139342</v>
      </c>
      <c r="J3" s="8">
        <f>SUM(J4:J21)</f>
        <v>73.7</v>
      </c>
      <c r="K3" s="7">
        <f>L3/M3</f>
        <v>1198.3819628647213</v>
      </c>
      <c r="L3" s="7">
        <f>SUM(L4:L21)</f>
        <v>225895</v>
      </c>
      <c r="M3" s="8">
        <f>SUM(M4:M21)</f>
        <v>188.50000000000003</v>
      </c>
      <c r="N3" s="7">
        <f>O3/P3</f>
        <v>1326.2324273664478</v>
      </c>
      <c r="O3" s="7">
        <f>SUM(O4:O21)</f>
        <v>141509</v>
      </c>
      <c r="P3" s="8">
        <f>SUM(P4:P21)</f>
        <v>106.7</v>
      </c>
      <c r="Q3" s="7">
        <f>R3/S3</f>
        <v>1109.0402621722844</v>
      </c>
      <c r="R3" s="7">
        <f>SUM(R4:R21)</f>
        <v>236891</v>
      </c>
      <c r="S3" s="8">
        <f>SUM(S4:S21)</f>
        <v>213.60000000000005</v>
      </c>
      <c r="T3" s="7">
        <f>U3/V3</f>
        <v>880.05620848237095</v>
      </c>
      <c r="U3" s="7">
        <f>SUM(U4:U21)</f>
        <v>172227</v>
      </c>
      <c r="V3" s="8">
        <f>SUM(V4:V21)</f>
        <v>195.70000000000002</v>
      </c>
      <c r="W3" s="7">
        <f>X3/Y3</f>
        <v>770.17884517118046</v>
      </c>
      <c r="X3" s="7">
        <f>SUM(X4:X21)</f>
        <v>150724</v>
      </c>
      <c r="Y3" s="8">
        <f>SUM(Y4:Y21)</f>
        <v>195.7</v>
      </c>
      <c r="Z3" s="7">
        <f>AA3/AB3</f>
        <v>1205.128805620609</v>
      </c>
      <c r="AA3" s="7">
        <f>SUM(AA4:AA21)</f>
        <v>154377</v>
      </c>
      <c r="AB3" s="8">
        <f>SUM(AB4:AB21)</f>
        <v>128.1</v>
      </c>
      <c r="AC3" s="7">
        <f>AD3/AE3</f>
        <v>992.9673721340389</v>
      </c>
      <c r="AD3" s="7">
        <f>SUM(AD4:AD21)</f>
        <v>225205</v>
      </c>
      <c r="AE3" s="8">
        <f>SUM(AE4:AE21)</f>
        <v>226.79999999999998</v>
      </c>
      <c r="AF3" s="7">
        <f>AG3/AH3</f>
        <v>1041.2971078001754</v>
      </c>
      <c r="AG3" s="7">
        <f>SUM(AG4:AG21)</f>
        <v>118812</v>
      </c>
      <c r="AH3" s="8">
        <f>SUM(AH4:AH21)</f>
        <v>114.1</v>
      </c>
      <c r="AI3" s="7">
        <f>AJ3/AK3</f>
        <v>815.81081081081072</v>
      </c>
      <c r="AJ3" s="7">
        <f>SUM(AJ4:AJ21)</f>
        <v>199221</v>
      </c>
      <c r="AK3" s="8">
        <f>SUM(AK4:AK21)</f>
        <v>244.20000000000002</v>
      </c>
      <c r="AL3" s="7">
        <f>AM3/AN3</f>
        <v>1242.0558375634519</v>
      </c>
      <c r="AM3" s="7">
        <f>SUM(AM4:AM21)</f>
        <v>48937</v>
      </c>
      <c r="AN3" s="8">
        <f>SUM(AN4:AN21)</f>
        <v>39.4</v>
      </c>
      <c r="AO3" s="7">
        <f>AP3/AQ3</f>
        <v>1097.6711785413258</v>
      </c>
      <c r="AP3" s="7">
        <f>SUM(AP4:AP21)</f>
        <v>2213893</v>
      </c>
      <c r="AQ3" s="8">
        <f>SUM(AQ4:AQ21)</f>
        <v>2016.8999999999999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36</v>
      </c>
      <c r="B4" s="14"/>
      <c r="C4" s="14"/>
      <c r="D4" s="14"/>
      <c r="E4" s="3">
        <f t="shared" ref="E4:E11" si="0">F4/G4</f>
        <v>1172.8238341968911</v>
      </c>
      <c r="F4" s="3">
        <v>45271</v>
      </c>
      <c r="G4" s="6">
        <v>38.6</v>
      </c>
      <c r="H4" s="3">
        <f t="shared" ref="H4:H11" si="1">I4/J4</f>
        <v>2835.0526315789475</v>
      </c>
      <c r="I4" s="3">
        <v>26933</v>
      </c>
      <c r="J4" s="6">
        <v>9.5</v>
      </c>
      <c r="K4" s="3">
        <f t="shared" ref="K4:K11" si="2">L4/M4</f>
        <v>1026.0204081632653</v>
      </c>
      <c r="L4" s="3">
        <v>80440</v>
      </c>
      <c r="M4" s="6">
        <v>78.400000000000006</v>
      </c>
      <c r="N4" s="3">
        <f t="shared" ref="N4:N11" si="3">O4/P4</f>
        <v>2720</v>
      </c>
      <c r="O4" s="3">
        <v>20672</v>
      </c>
      <c r="P4" s="6">
        <v>7.6</v>
      </c>
      <c r="Q4" s="3">
        <f t="shared" ref="Q4:Q11" si="4">R4/S4</f>
        <v>950.44025157232704</v>
      </c>
      <c r="R4" s="3">
        <v>15112</v>
      </c>
      <c r="S4" s="6">
        <v>15.9</v>
      </c>
      <c r="T4" s="3">
        <f t="shared" ref="T4:T11" si="5">U4/V4</f>
        <v>717.77202072538853</v>
      </c>
      <c r="U4" s="3">
        <v>27706</v>
      </c>
      <c r="V4" s="6">
        <v>38.6</v>
      </c>
      <c r="W4" s="3" t="e">
        <f t="shared" ref="W4:W11" si="6">X4/Y4</f>
        <v>#DIV/0!</v>
      </c>
      <c r="X4" s="3">
        <v>0</v>
      </c>
      <c r="Y4" s="6">
        <v>0</v>
      </c>
      <c r="Z4" s="3">
        <f t="shared" ref="Z4:Z11" si="7">AA4/AB4</f>
        <v>2542.1904761904761</v>
      </c>
      <c r="AA4" s="3">
        <v>26693</v>
      </c>
      <c r="AB4" s="6">
        <v>10.5</v>
      </c>
      <c r="AC4" s="3">
        <f t="shared" ref="AC4:AC11" si="8">AD4/AE4</f>
        <v>844.38030560271648</v>
      </c>
      <c r="AD4" s="3">
        <v>49734</v>
      </c>
      <c r="AE4" s="6">
        <v>58.9</v>
      </c>
      <c r="AF4" s="3">
        <f t="shared" ref="AF4:AF11" si="9">AG4/AH4</f>
        <v>2403.6842105263158</v>
      </c>
      <c r="AG4" s="3">
        <v>4567</v>
      </c>
      <c r="AH4" s="6">
        <v>1.9</v>
      </c>
      <c r="AI4" s="3">
        <f t="shared" ref="AI4:AI11" si="10">AJ4/AK4</f>
        <v>721.42857142857144</v>
      </c>
      <c r="AJ4" s="3">
        <v>2525</v>
      </c>
      <c r="AK4" s="6">
        <v>3.5</v>
      </c>
      <c r="AL4" s="3">
        <f t="shared" ref="AL4:AL11" si="11">AM4/AN4</f>
        <v>870.66666666666663</v>
      </c>
      <c r="AM4" s="3">
        <v>27426</v>
      </c>
      <c r="AN4" s="6">
        <v>31.5</v>
      </c>
      <c r="AO4" s="3">
        <f t="shared" ref="AO4:AO21" si="12">AP4/AQ4</f>
        <v>1109.1183452017633</v>
      </c>
      <c r="AP4" s="3">
        <f t="shared" ref="AP4:AQ4" si="13">SUM(F4,I4,L4,O4,R4,U4,X4,AA4,AD4,AG4,AJ4,AM4)</f>
        <v>327079</v>
      </c>
      <c r="AQ4" s="6">
        <f t="shared" si="13"/>
        <v>294.89999999999998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20</v>
      </c>
      <c r="B5" s="14"/>
      <c r="C5" s="14"/>
      <c r="D5" s="14"/>
      <c r="E5" s="3">
        <f t="shared" si="0"/>
        <v>4116.25</v>
      </c>
      <c r="F5" s="3">
        <v>3293</v>
      </c>
      <c r="G5" s="6">
        <v>0.8</v>
      </c>
      <c r="H5" s="3" t="e">
        <f t="shared" si="1"/>
        <v>#DIV/0!</v>
      </c>
      <c r="I5" s="3">
        <v>0</v>
      </c>
      <c r="J5" s="6">
        <v>0</v>
      </c>
      <c r="K5" s="3">
        <f t="shared" si="2"/>
        <v>718.49710982658962</v>
      </c>
      <c r="L5" s="3">
        <v>12430</v>
      </c>
      <c r="M5" s="6">
        <v>17.3</v>
      </c>
      <c r="N5" s="3" t="e">
        <f t="shared" si="3"/>
        <v>#DIV/0!</v>
      </c>
      <c r="O5" s="3">
        <v>0</v>
      </c>
      <c r="P5" s="6">
        <v>0</v>
      </c>
      <c r="Q5" s="3">
        <f t="shared" si="4"/>
        <v>718.07197943444737</v>
      </c>
      <c r="R5" s="3">
        <v>27933</v>
      </c>
      <c r="S5" s="6">
        <v>38.9</v>
      </c>
      <c r="T5" s="3">
        <f t="shared" si="5"/>
        <v>4116.25</v>
      </c>
      <c r="U5" s="3">
        <v>3293</v>
      </c>
      <c r="V5" s="6">
        <v>0.8</v>
      </c>
      <c r="W5" s="3">
        <f t="shared" si="6"/>
        <v>718.33333333333337</v>
      </c>
      <c r="X5" s="3">
        <v>11637</v>
      </c>
      <c r="Y5" s="6">
        <v>16.2</v>
      </c>
      <c r="Z5" s="3" t="e">
        <f t="shared" si="7"/>
        <v>#DIV/0!</v>
      </c>
      <c r="AA5" s="3">
        <v>0</v>
      </c>
      <c r="AB5" s="6">
        <v>0</v>
      </c>
      <c r="AC5" s="3">
        <f t="shared" si="8"/>
        <v>1022.2085889570552</v>
      </c>
      <c r="AD5" s="3">
        <v>33324</v>
      </c>
      <c r="AE5" s="6">
        <v>32.6</v>
      </c>
      <c r="AF5" s="3" t="e">
        <f t="shared" si="9"/>
        <v>#DIV/0!</v>
      </c>
      <c r="AG5" s="3">
        <v>0</v>
      </c>
      <c r="AH5" s="6">
        <v>0</v>
      </c>
      <c r="AI5" s="3" t="e">
        <f t="shared" si="10"/>
        <v>#DIV/0!</v>
      </c>
      <c r="AJ5" s="3">
        <v>0</v>
      </c>
      <c r="AK5" s="6">
        <v>0</v>
      </c>
      <c r="AL5" s="3">
        <f t="shared" si="11"/>
        <v>3251.6129032258063</v>
      </c>
      <c r="AM5" s="3">
        <v>10080</v>
      </c>
      <c r="AN5" s="6">
        <v>3.1</v>
      </c>
      <c r="AO5" s="3">
        <f t="shared" si="12"/>
        <v>929.71741112123982</v>
      </c>
      <c r="AP5" s="3">
        <f t="shared" ref="AP5:AP21" si="14">SUM(F5,I5,L5,O5,R5,U5,X5,AA5,AD5,AG5,AJ5,AM5)</f>
        <v>101990</v>
      </c>
      <c r="AQ5" s="6">
        <f t="shared" ref="AQ5:AQ21" si="15">SUM(G5,J5,M5,P5,S5,V5,Y5,AB5,AE5,AH5,AK5,AN5)</f>
        <v>109.69999999999999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26</v>
      </c>
      <c r="B6" s="14"/>
      <c r="C6" s="14"/>
      <c r="D6" s="14"/>
      <c r="E6" s="3">
        <f t="shared" si="0"/>
        <v>1203.4464555052791</v>
      </c>
      <c r="F6" s="3">
        <v>159577</v>
      </c>
      <c r="G6" s="6">
        <v>132.6</v>
      </c>
      <c r="H6" s="3">
        <f t="shared" si="1"/>
        <v>2785.8620689655172</v>
      </c>
      <c r="I6" s="3">
        <v>8079</v>
      </c>
      <c r="J6" s="6">
        <v>2.9</v>
      </c>
      <c r="K6" s="3">
        <f t="shared" si="2"/>
        <v>1146.063829787234</v>
      </c>
      <c r="L6" s="3">
        <v>43092</v>
      </c>
      <c r="M6" s="6">
        <v>37.6</v>
      </c>
      <c r="N6" s="3">
        <f t="shared" si="3"/>
        <v>1193.9857651245552</v>
      </c>
      <c r="O6" s="3">
        <v>67102</v>
      </c>
      <c r="P6" s="6">
        <v>56.2</v>
      </c>
      <c r="Q6" s="3">
        <f t="shared" si="4"/>
        <v>2631.4925373134329</v>
      </c>
      <c r="R6" s="3">
        <v>17631</v>
      </c>
      <c r="S6" s="6">
        <v>6.7</v>
      </c>
      <c r="T6" s="3">
        <f t="shared" si="5"/>
        <v>2599.4186046511627</v>
      </c>
      <c r="U6" s="3">
        <v>22355</v>
      </c>
      <c r="V6" s="6">
        <v>8.6</v>
      </c>
      <c r="W6" s="3">
        <f t="shared" si="6"/>
        <v>2547.105263157895</v>
      </c>
      <c r="X6" s="3">
        <v>9679</v>
      </c>
      <c r="Y6" s="6">
        <v>3.8</v>
      </c>
      <c r="Z6" s="3">
        <f t="shared" si="7"/>
        <v>1453.391304347826</v>
      </c>
      <c r="AA6" s="3">
        <v>50142</v>
      </c>
      <c r="AB6" s="6">
        <v>34.5</v>
      </c>
      <c r="AC6" s="3">
        <f t="shared" si="8"/>
        <v>1172.891304347826</v>
      </c>
      <c r="AD6" s="3">
        <v>53953</v>
      </c>
      <c r="AE6" s="6">
        <v>46</v>
      </c>
      <c r="AF6" s="3">
        <f t="shared" si="9"/>
        <v>1615.0294117647059</v>
      </c>
      <c r="AG6" s="3">
        <v>54911</v>
      </c>
      <c r="AH6" s="6">
        <v>34</v>
      </c>
      <c r="AI6" s="3">
        <f t="shared" si="10"/>
        <v>2369.5833333333335</v>
      </c>
      <c r="AJ6" s="3">
        <v>11374</v>
      </c>
      <c r="AK6" s="6">
        <v>4.8</v>
      </c>
      <c r="AL6" s="3">
        <f t="shared" si="11"/>
        <v>2364.8275862068967</v>
      </c>
      <c r="AM6" s="3">
        <v>6858</v>
      </c>
      <c r="AN6" s="6">
        <v>2.9</v>
      </c>
      <c r="AO6" s="3">
        <f t="shared" si="12"/>
        <v>1361.9886670264436</v>
      </c>
      <c r="AP6" s="3">
        <f t="shared" si="14"/>
        <v>504753</v>
      </c>
      <c r="AQ6" s="6">
        <f t="shared" si="15"/>
        <v>370.59999999999997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23</v>
      </c>
      <c r="B7" s="14"/>
      <c r="C7" s="14"/>
      <c r="D7" s="14"/>
      <c r="E7" s="3">
        <f t="shared" si="0"/>
        <v>2814.4705882352941</v>
      </c>
      <c r="F7" s="3">
        <v>23923</v>
      </c>
      <c r="G7" s="6">
        <v>8.5</v>
      </c>
      <c r="H7" s="3">
        <f t="shared" si="1"/>
        <v>2834.9473684210525</v>
      </c>
      <c r="I7" s="3">
        <v>26932</v>
      </c>
      <c r="J7" s="6">
        <v>9.5</v>
      </c>
      <c r="K7" s="3">
        <f t="shared" si="2"/>
        <v>2821.3333333333335</v>
      </c>
      <c r="L7" s="3">
        <v>29624</v>
      </c>
      <c r="M7" s="6">
        <v>10.5</v>
      </c>
      <c r="N7" s="3">
        <f t="shared" si="3"/>
        <v>1275.7971014492755</v>
      </c>
      <c r="O7" s="3">
        <v>26409</v>
      </c>
      <c r="P7" s="6">
        <v>20.7</v>
      </c>
      <c r="Q7" s="3">
        <f t="shared" si="4"/>
        <v>2638.8571428571427</v>
      </c>
      <c r="R7" s="3">
        <v>55416</v>
      </c>
      <c r="S7" s="6">
        <v>21</v>
      </c>
      <c r="T7" s="3">
        <f t="shared" si="5"/>
        <v>2651.5789473684213</v>
      </c>
      <c r="U7" s="3">
        <v>5038</v>
      </c>
      <c r="V7" s="6">
        <v>1.9</v>
      </c>
      <c r="W7" s="3" t="e">
        <f t="shared" si="6"/>
        <v>#DIV/0!</v>
      </c>
      <c r="X7" s="3">
        <v>0</v>
      </c>
      <c r="Y7" s="6">
        <v>0</v>
      </c>
      <c r="Z7" s="3" t="e">
        <f t="shared" si="7"/>
        <v>#DIV/0!</v>
      </c>
      <c r="AA7" s="3">
        <v>0</v>
      </c>
      <c r="AB7" s="6">
        <v>0</v>
      </c>
      <c r="AC7" s="3">
        <f t="shared" si="8"/>
        <v>2394.7761194029849</v>
      </c>
      <c r="AD7" s="3">
        <v>16045</v>
      </c>
      <c r="AE7" s="6">
        <v>6.7</v>
      </c>
      <c r="AF7" s="3" t="e">
        <f t="shared" si="9"/>
        <v>#DIV/0!</v>
      </c>
      <c r="AG7" s="3">
        <v>0</v>
      </c>
      <c r="AH7" s="6">
        <v>0</v>
      </c>
      <c r="AI7" s="3">
        <f t="shared" si="10"/>
        <v>2401.0526315789475</v>
      </c>
      <c r="AJ7" s="3">
        <v>9124</v>
      </c>
      <c r="AK7" s="6">
        <v>3.8</v>
      </c>
      <c r="AL7" s="3">
        <f t="shared" si="11"/>
        <v>2406.8421052631579</v>
      </c>
      <c r="AM7" s="3">
        <v>4573</v>
      </c>
      <c r="AN7" s="6">
        <v>1.9</v>
      </c>
      <c r="AO7" s="3">
        <f t="shared" si="12"/>
        <v>2332.3550295857985</v>
      </c>
      <c r="AP7" s="3">
        <f t="shared" si="14"/>
        <v>197084</v>
      </c>
      <c r="AQ7" s="6">
        <f t="shared" si="15"/>
        <v>84.500000000000014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43</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f t="shared" si="4"/>
        <v>718.52791878172593</v>
      </c>
      <c r="R8" s="3">
        <v>56620</v>
      </c>
      <c r="S8" s="6">
        <v>78.8</v>
      </c>
      <c r="T8" s="3">
        <f t="shared" si="5"/>
        <v>717.84107946026984</v>
      </c>
      <c r="U8" s="3">
        <v>47880</v>
      </c>
      <c r="V8" s="6">
        <v>66.7</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718.21305841924402</v>
      </c>
      <c r="AP8" s="3">
        <f t="shared" si="14"/>
        <v>104500</v>
      </c>
      <c r="AQ8" s="6">
        <f t="shared" si="15"/>
        <v>145.5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21</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f t="shared" si="10"/>
        <v>717.93187347931871</v>
      </c>
      <c r="AJ9" s="3">
        <v>29507</v>
      </c>
      <c r="AK9" s="6">
        <v>41.1</v>
      </c>
      <c r="AL9" s="3" t="e">
        <f t="shared" si="11"/>
        <v>#DIV/0!</v>
      </c>
      <c r="AM9" s="3">
        <v>0</v>
      </c>
      <c r="AN9" s="6">
        <v>0</v>
      </c>
      <c r="AO9" s="3">
        <f t="shared" si="12"/>
        <v>717.93187347931871</v>
      </c>
      <c r="AP9" s="3">
        <f t="shared" si="14"/>
        <v>29507</v>
      </c>
      <c r="AQ9" s="6">
        <f t="shared" si="15"/>
        <v>41.1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38</v>
      </c>
      <c r="B10" s="14"/>
      <c r="C10" s="14"/>
      <c r="D10" s="14"/>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f t="shared" si="6"/>
        <v>717.72486772486775</v>
      </c>
      <c r="X10" s="3">
        <v>54260</v>
      </c>
      <c r="Y10" s="6">
        <v>75.599999999999994</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717.72486772486775</v>
      </c>
      <c r="AP10" s="3">
        <f t="shared" si="14"/>
        <v>54260</v>
      </c>
      <c r="AQ10" s="6">
        <f t="shared" si="15"/>
        <v>75.599999999999994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18</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f t="shared" si="5"/>
        <v>717.79816513761466</v>
      </c>
      <c r="U11" s="3">
        <v>15648</v>
      </c>
      <c r="V11" s="6">
        <v>21.8</v>
      </c>
      <c r="W11" s="3" t="e">
        <f t="shared" si="6"/>
        <v>#DIV/0!</v>
      </c>
      <c r="X11" s="3">
        <v>0</v>
      </c>
      <c r="Y11" s="6">
        <v>0</v>
      </c>
      <c r="Z11" s="3">
        <f t="shared" si="7"/>
        <v>715.26315789473688</v>
      </c>
      <c r="AA11" s="3">
        <v>2718</v>
      </c>
      <c r="AB11" s="6">
        <v>3.8</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717.421875</v>
      </c>
      <c r="AP11" s="3">
        <f t="shared" si="14"/>
        <v>18366</v>
      </c>
      <c r="AQ11" s="6">
        <f t="shared" si="15"/>
        <v>25.6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19</v>
      </c>
      <c r="B12" s="14"/>
      <c r="C12" s="14"/>
      <c r="D12" s="14"/>
      <c r="E12" s="3">
        <f>F12/G12</f>
        <v>2823.5789473684213</v>
      </c>
      <c r="F12" s="3">
        <v>26824</v>
      </c>
      <c r="G12" s="6">
        <v>9.5</v>
      </c>
      <c r="H12" s="3">
        <f>I12/J12</f>
        <v>2834.8421052631579</v>
      </c>
      <c r="I12" s="3">
        <v>26931</v>
      </c>
      <c r="J12" s="6">
        <v>9.5</v>
      </c>
      <c r="K12" s="3">
        <f>L12/M12</f>
        <v>2834.7368421052633</v>
      </c>
      <c r="L12" s="3">
        <v>10772</v>
      </c>
      <c r="M12" s="6">
        <v>3.8</v>
      </c>
      <c r="N12" s="3">
        <f>O12/P12</f>
        <v>2697.105263157895</v>
      </c>
      <c r="O12" s="3">
        <v>10249</v>
      </c>
      <c r="P12" s="6">
        <v>3.8</v>
      </c>
      <c r="Q12" s="3">
        <f>R12/S12</f>
        <v>2605.8620689655172</v>
      </c>
      <c r="R12" s="3">
        <v>7557</v>
      </c>
      <c r="S12" s="6">
        <v>2.9</v>
      </c>
      <c r="T12" s="3">
        <f>U12/V12</f>
        <v>2519</v>
      </c>
      <c r="U12" s="3">
        <v>2519</v>
      </c>
      <c r="V12" s="6">
        <v>1</v>
      </c>
      <c r="W12" s="3" t="e">
        <f>X12/Y12</f>
        <v>#DIV/0!</v>
      </c>
      <c r="X12" s="3">
        <v>0</v>
      </c>
      <c r="Y12" s="6">
        <v>0</v>
      </c>
      <c r="Z12" s="3" t="e">
        <f>AA12/AB12</f>
        <v>#DIV/0!</v>
      </c>
      <c r="AA12" s="3">
        <v>0</v>
      </c>
      <c r="AB12" s="6">
        <v>0</v>
      </c>
      <c r="AC12" s="3">
        <f>AD12/AE12</f>
        <v>2414.7368421052633</v>
      </c>
      <c r="AD12" s="3">
        <v>4588</v>
      </c>
      <c r="AE12" s="6">
        <v>1.9</v>
      </c>
      <c r="AF12" s="3">
        <f>AG12/AH12</f>
        <v>718.0551053484603</v>
      </c>
      <c r="AG12" s="3">
        <v>44304</v>
      </c>
      <c r="AH12" s="6">
        <v>61.7</v>
      </c>
      <c r="AI12" s="3">
        <f>AJ12/AK12</f>
        <v>781.19760479041918</v>
      </c>
      <c r="AJ12" s="3">
        <v>39138</v>
      </c>
      <c r="AK12" s="6">
        <v>50.1</v>
      </c>
      <c r="AL12" s="3" t="e">
        <f>AM12/AN12</f>
        <v>#DIV/0!</v>
      </c>
      <c r="AM12" s="3">
        <v>0</v>
      </c>
      <c r="AN12" s="6">
        <v>0</v>
      </c>
      <c r="AO12" s="3">
        <f t="shared" si="12"/>
        <v>1198.9042995839113</v>
      </c>
      <c r="AP12" s="3">
        <f t="shared" si="14"/>
        <v>172882</v>
      </c>
      <c r="AQ12" s="6">
        <f t="shared" si="15"/>
        <v>144.19999999999999</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22</v>
      </c>
      <c r="B13" s="14"/>
      <c r="C13" s="14"/>
      <c r="D13" s="14"/>
      <c r="E13" s="3">
        <f t="shared" ref="E13:E21" si="16">F13/G13</f>
        <v>2695</v>
      </c>
      <c r="F13" s="3">
        <v>2695</v>
      </c>
      <c r="G13" s="6">
        <v>1</v>
      </c>
      <c r="H13" s="3" t="e">
        <f t="shared" ref="H13:H21" si="17">I13/J13</f>
        <v>#DIV/0!</v>
      </c>
      <c r="I13" s="3">
        <v>0</v>
      </c>
      <c r="J13" s="6">
        <v>0</v>
      </c>
      <c r="K13" s="3" t="e">
        <f t="shared" ref="K13:K21" si="18">L13/M13</f>
        <v>#DIV/0!</v>
      </c>
      <c r="L13" s="3">
        <v>0</v>
      </c>
      <c r="M13" s="6">
        <v>0</v>
      </c>
      <c r="N13" s="3" t="e">
        <f t="shared" ref="N13:N21" si="19">O13/P13</f>
        <v>#DIV/0!</v>
      </c>
      <c r="O13" s="3">
        <v>0</v>
      </c>
      <c r="P13" s="6">
        <v>0</v>
      </c>
      <c r="Q13" s="3" t="e">
        <f t="shared" ref="Q13:Q21" si="20">R13/S13</f>
        <v>#DIV/0!</v>
      </c>
      <c r="R13" s="3">
        <v>0</v>
      </c>
      <c r="S13" s="6">
        <v>0</v>
      </c>
      <c r="T13" s="3" t="e">
        <f t="shared" ref="T13:T21" si="21">U13/V13</f>
        <v>#DIV/0!</v>
      </c>
      <c r="U13" s="3">
        <v>0</v>
      </c>
      <c r="V13" s="6">
        <v>0</v>
      </c>
      <c r="W13" s="3" t="e">
        <f t="shared" ref="W13:W21" si="22">X13/Y13</f>
        <v>#DIV/0!</v>
      </c>
      <c r="X13" s="3">
        <v>0</v>
      </c>
      <c r="Y13" s="6">
        <v>0</v>
      </c>
      <c r="Z13" s="3" t="e">
        <f t="shared" ref="Z13:Z21" si="23">AA13/AB13</f>
        <v>#DIV/0!</v>
      </c>
      <c r="AA13" s="3">
        <v>0</v>
      </c>
      <c r="AB13" s="6">
        <v>0</v>
      </c>
      <c r="AC13" s="3" t="e">
        <f t="shared" ref="AC13:AC21" si="24">AD13/AE13</f>
        <v>#DIV/0!</v>
      </c>
      <c r="AD13" s="3">
        <v>0</v>
      </c>
      <c r="AE13" s="6">
        <v>0</v>
      </c>
      <c r="AF13" s="3" t="e">
        <f t="shared" ref="AF13:AF21" si="25">AG13/AH13</f>
        <v>#DIV/0!</v>
      </c>
      <c r="AG13" s="3">
        <v>0</v>
      </c>
      <c r="AH13" s="6">
        <v>0</v>
      </c>
      <c r="AI13" s="3" t="e">
        <f t="shared" ref="AI13:AI21" si="26">AJ13/AK13</f>
        <v>#DIV/0!</v>
      </c>
      <c r="AJ13" s="3">
        <v>0</v>
      </c>
      <c r="AK13" s="6">
        <v>0</v>
      </c>
      <c r="AL13" s="3" t="e">
        <f t="shared" ref="AL13:AL21" si="27">AM13/AN13</f>
        <v>#DIV/0!</v>
      </c>
      <c r="AM13" s="3">
        <v>0</v>
      </c>
      <c r="AN13" s="6">
        <v>0</v>
      </c>
      <c r="AO13" s="3">
        <f t="shared" si="12"/>
        <v>2695</v>
      </c>
      <c r="AP13" s="3">
        <f t="shared" si="14"/>
        <v>2695</v>
      </c>
      <c r="AQ13" s="6">
        <f t="shared" si="15"/>
        <v>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24</v>
      </c>
      <c r="B14" s="14"/>
      <c r="C14" s="14"/>
      <c r="D14" s="14"/>
      <c r="E14" s="3">
        <f t="shared" si="16"/>
        <v>2780.8333333333335</v>
      </c>
      <c r="F14" s="3">
        <v>13348</v>
      </c>
      <c r="G14" s="6">
        <v>4.8</v>
      </c>
      <c r="H14" s="3" t="e">
        <f t="shared" si="17"/>
        <v>#DIV/0!</v>
      </c>
      <c r="I14" s="3">
        <v>0</v>
      </c>
      <c r="J14" s="6">
        <v>0</v>
      </c>
      <c r="K14" s="3">
        <f t="shared" si="18"/>
        <v>2834.7368421052633</v>
      </c>
      <c r="L14" s="3">
        <v>5386</v>
      </c>
      <c r="M14" s="6">
        <v>1.9</v>
      </c>
      <c r="N14" s="3">
        <f t="shared" si="19"/>
        <v>2743.1578947368421</v>
      </c>
      <c r="O14" s="3">
        <v>5212</v>
      </c>
      <c r="P14" s="6">
        <v>1.9</v>
      </c>
      <c r="Q14" s="3">
        <f t="shared" si="20"/>
        <v>2623.9583333333335</v>
      </c>
      <c r="R14" s="3">
        <v>12595</v>
      </c>
      <c r="S14" s="6">
        <v>4.8</v>
      </c>
      <c r="T14" s="3" t="e">
        <f t="shared" si="21"/>
        <v>#DIV/0!</v>
      </c>
      <c r="U14" s="3">
        <v>0</v>
      </c>
      <c r="V14" s="6">
        <v>0</v>
      </c>
      <c r="W14" s="3" t="e">
        <f t="shared" si="22"/>
        <v>#DIV/0!</v>
      </c>
      <c r="X14" s="3">
        <v>0</v>
      </c>
      <c r="Y14" s="6">
        <v>0</v>
      </c>
      <c r="Z14" s="3">
        <f t="shared" si="23"/>
        <v>2551.0526315789475</v>
      </c>
      <c r="AA14" s="3">
        <v>4847</v>
      </c>
      <c r="AB14" s="6">
        <v>1.9</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2705.0980392156866</v>
      </c>
      <c r="AP14" s="3">
        <f t="shared" si="14"/>
        <v>41388</v>
      </c>
      <c r="AQ14" s="6">
        <f t="shared" si="15"/>
        <v>15.299999999999999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25</v>
      </c>
      <c r="B15" s="14"/>
      <c r="C15" s="14"/>
      <c r="D15" s="14"/>
      <c r="E15" s="3" t="e">
        <f t="shared" si="16"/>
        <v>#DIV/0!</v>
      </c>
      <c r="F15" s="3">
        <v>0</v>
      </c>
      <c r="G15" s="6">
        <v>0</v>
      </c>
      <c r="H15" s="3" t="e">
        <f t="shared" si="17"/>
        <v>#DIV/0!</v>
      </c>
      <c r="I15" s="3">
        <v>0</v>
      </c>
      <c r="J15" s="6">
        <v>0</v>
      </c>
      <c r="K15" s="3">
        <f t="shared" si="18"/>
        <v>719.41176470588232</v>
      </c>
      <c r="L15" s="3">
        <v>12230</v>
      </c>
      <c r="M15" s="6">
        <v>17</v>
      </c>
      <c r="N15" s="3" t="e">
        <f t="shared" si="19"/>
        <v>#DIV/0!</v>
      </c>
      <c r="O15" s="3">
        <v>0</v>
      </c>
      <c r="P15" s="6">
        <v>0</v>
      </c>
      <c r="Q15" s="3">
        <f t="shared" si="20"/>
        <v>718.125</v>
      </c>
      <c r="R15" s="3">
        <v>14937</v>
      </c>
      <c r="S15" s="6">
        <v>20.8</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718.70370370370381</v>
      </c>
      <c r="AP15" s="3">
        <f t="shared" si="14"/>
        <v>27167</v>
      </c>
      <c r="AQ15" s="6">
        <f t="shared" si="15"/>
        <v>37.799999999999997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44</v>
      </c>
      <c r="B16" s="14"/>
      <c r="C16" s="14"/>
      <c r="D16" s="14"/>
      <c r="E16" s="3">
        <f t="shared" si="16"/>
        <v>2835.7894736842109</v>
      </c>
      <c r="F16" s="3">
        <v>5388</v>
      </c>
      <c r="G16" s="6">
        <v>1.9</v>
      </c>
      <c r="H16" s="3">
        <f t="shared" si="17"/>
        <v>2693</v>
      </c>
      <c r="I16" s="3">
        <v>2693</v>
      </c>
      <c r="J16" s="6">
        <v>1</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2786.5517241379312</v>
      </c>
      <c r="AP16" s="3">
        <f t="shared" si="14"/>
        <v>8081</v>
      </c>
      <c r="AQ16" s="6">
        <f t="shared" si="15"/>
        <v>2.9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37</v>
      </c>
      <c r="B17" s="14"/>
      <c r="C17" s="14"/>
      <c r="D17" s="14"/>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t="e">
        <f t="shared" si="21"/>
        <v>#DIV/0!</v>
      </c>
      <c r="U17" s="3">
        <v>0</v>
      </c>
      <c r="V17" s="6">
        <v>0</v>
      </c>
      <c r="W17" s="3">
        <f t="shared" si="22"/>
        <v>718.30065359477123</v>
      </c>
      <c r="X17" s="3">
        <v>54950</v>
      </c>
      <c r="Y17" s="6">
        <v>76.5</v>
      </c>
      <c r="Z17" s="3">
        <f t="shared" si="23"/>
        <v>718.17002881844371</v>
      </c>
      <c r="AA17" s="3">
        <v>49841</v>
      </c>
      <c r="AB17" s="6">
        <v>69.400000000000006</v>
      </c>
      <c r="AC17" s="3">
        <f t="shared" si="24"/>
        <v>717.76</v>
      </c>
      <c r="AD17" s="3">
        <v>53832</v>
      </c>
      <c r="AE17" s="6">
        <v>75</v>
      </c>
      <c r="AF17" s="3" t="e">
        <f t="shared" si="25"/>
        <v>#DIV/0!</v>
      </c>
      <c r="AG17" s="3">
        <v>0</v>
      </c>
      <c r="AH17" s="6">
        <v>0</v>
      </c>
      <c r="AI17" s="3">
        <f t="shared" si="26"/>
        <v>718.09004092769442</v>
      </c>
      <c r="AJ17" s="3">
        <v>52636</v>
      </c>
      <c r="AK17" s="6">
        <v>73.3</v>
      </c>
      <c r="AL17" s="3" t="e">
        <f t="shared" si="27"/>
        <v>#DIV/0!</v>
      </c>
      <c r="AM17" s="3">
        <v>0</v>
      </c>
      <c r="AN17" s="6">
        <v>0</v>
      </c>
      <c r="AO17" s="3">
        <f t="shared" si="12"/>
        <v>718.07953772943574</v>
      </c>
      <c r="AP17" s="3">
        <f t="shared" si="14"/>
        <v>211259</v>
      </c>
      <c r="AQ17" s="6">
        <f t="shared" si="15"/>
        <v>294.2</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45</v>
      </c>
      <c r="B18" s="14"/>
      <c r="C18" s="14"/>
      <c r="D18" s="14"/>
      <c r="E18" s="3" t="e">
        <f t="shared" si="16"/>
        <v>#DIV/0!</v>
      </c>
      <c r="F18" s="3">
        <v>0</v>
      </c>
      <c r="G18" s="6">
        <v>0</v>
      </c>
      <c r="H18" s="3" t="e">
        <f t="shared" si="17"/>
        <v>#DIV/0!</v>
      </c>
      <c r="I18" s="3">
        <v>0</v>
      </c>
      <c r="J18" s="6">
        <v>0</v>
      </c>
      <c r="K18" s="3" t="e">
        <f t="shared" si="18"/>
        <v>#DIV/0!</v>
      </c>
      <c r="L18" s="3">
        <v>0</v>
      </c>
      <c r="M18" s="6">
        <v>0</v>
      </c>
      <c r="N18" s="3" t="e">
        <f t="shared" si="19"/>
        <v>#DIV/0!</v>
      </c>
      <c r="O18" s="3">
        <v>0</v>
      </c>
      <c r="P18" s="6">
        <v>0</v>
      </c>
      <c r="Q18" s="3" t="e">
        <f t="shared" si="20"/>
        <v>#DIV/0!</v>
      </c>
      <c r="R18" s="3">
        <v>0</v>
      </c>
      <c r="S18" s="6">
        <v>0</v>
      </c>
      <c r="T18" s="3">
        <f t="shared" si="21"/>
        <v>718.32380952380947</v>
      </c>
      <c r="U18" s="3">
        <v>37712</v>
      </c>
      <c r="V18" s="6">
        <v>52.5</v>
      </c>
      <c r="W18" s="3" t="e">
        <f t="shared" si="22"/>
        <v>#DIV/0!</v>
      </c>
      <c r="X18" s="3">
        <v>0</v>
      </c>
      <c r="Y18" s="6">
        <v>0</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718.32380952380947</v>
      </c>
      <c r="AP18" s="3">
        <f t="shared" si="14"/>
        <v>37712</v>
      </c>
      <c r="AQ18" s="6">
        <f t="shared" si="15"/>
        <v>52.5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46</v>
      </c>
      <c r="B19" s="14"/>
      <c r="C19" s="14"/>
      <c r="D19" s="14"/>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f t="shared" si="23"/>
        <v>2430.7692307692305</v>
      </c>
      <c r="AA19" s="3">
        <v>3160</v>
      </c>
      <c r="AB19" s="6">
        <v>1.3</v>
      </c>
      <c r="AC19" s="3" t="e">
        <f t="shared" si="24"/>
        <v>#DIV/0!</v>
      </c>
      <c r="AD19" s="3">
        <v>0</v>
      </c>
      <c r="AE19" s="6">
        <v>0</v>
      </c>
      <c r="AF19" s="3" t="e">
        <f t="shared" si="25"/>
        <v>#DIV/0!</v>
      </c>
      <c r="AG19" s="3">
        <v>0</v>
      </c>
      <c r="AH19" s="6">
        <v>0</v>
      </c>
      <c r="AI19" s="3" t="e">
        <f t="shared" si="26"/>
        <v>#DIV/0!</v>
      </c>
      <c r="AJ19" s="3">
        <v>0</v>
      </c>
      <c r="AK19" s="6">
        <v>0</v>
      </c>
      <c r="AL19" s="3" t="e">
        <f t="shared" si="27"/>
        <v>#DIV/0!</v>
      </c>
      <c r="AM19" s="3">
        <v>0</v>
      </c>
      <c r="AN19" s="6">
        <v>0</v>
      </c>
      <c r="AO19" s="3">
        <f t="shared" si="12"/>
        <v>2430.7692307692305</v>
      </c>
      <c r="AP19" s="3">
        <f t="shared" si="14"/>
        <v>3160</v>
      </c>
      <c r="AQ19" s="6">
        <f t="shared" si="15"/>
        <v>1.3</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27</v>
      </c>
      <c r="B20" s="14"/>
      <c r="C20" s="14"/>
      <c r="D20" s="14"/>
      <c r="E20" s="3">
        <f t="shared" si="16"/>
        <v>1391.1254851228978</v>
      </c>
      <c r="F20" s="3">
        <v>107534</v>
      </c>
      <c r="G20" s="6">
        <v>77.3</v>
      </c>
      <c r="H20" s="3">
        <f t="shared" si="17"/>
        <v>1381.1721611721612</v>
      </c>
      <c r="I20" s="3">
        <v>37706</v>
      </c>
      <c r="J20" s="6">
        <v>27.3</v>
      </c>
      <c r="K20" s="3">
        <f t="shared" si="18"/>
        <v>2835</v>
      </c>
      <c r="L20" s="3">
        <v>21546</v>
      </c>
      <c r="M20" s="6">
        <v>7.6</v>
      </c>
      <c r="N20" s="3" t="e">
        <f t="shared" si="19"/>
        <v>#DIV/0!</v>
      </c>
      <c r="O20" s="3">
        <v>0</v>
      </c>
      <c r="P20" s="6">
        <v>0</v>
      </c>
      <c r="Q20" s="3">
        <f t="shared" si="20"/>
        <v>2623.9583333333335</v>
      </c>
      <c r="R20" s="3">
        <v>12595</v>
      </c>
      <c r="S20" s="6">
        <v>4.8</v>
      </c>
      <c r="T20" s="3">
        <f t="shared" si="21"/>
        <v>2651.5789473684213</v>
      </c>
      <c r="U20" s="3">
        <v>10076</v>
      </c>
      <c r="V20" s="6">
        <v>3.8</v>
      </c>
      <c r="W20" s="3" t="e">
        <f t="shared" si="22"/>
        <v>#DIV/0!</v>
      </c>
      <c r="X20" s="3">
        <v>0</v>
      </c>
      <c r="Y20" s="6">
        <v>0</v>
      </c>
      <c r="Z20" s="3">
        <f t="shared" si="23"/>
        <v>2533.7313432835822</v>
      </c>
      <c r="AA20" s="3">
        <v>16976</v>
      </c>
      <c r="AB20" s="6">
        <v>6.7</v>
      </c>
      <c r="AC20" s="3">
        <f t="shared" si="24"/>
        <v>2408.5964912280701</v>
      </c>
      <c r="AD20" s="3">
        <v>13729</v>
      </c>
      <c r="AE20" s="6">
        <v>5.7</v>
      </c>
      <c r="AF20" s="3">
        <f t="shared" si="25"/>
        <v>2404.2105263157896</v>
      </c>
      <c r="AG20" s="3">
        <v>4568</v>
      </c>
      <c r="AH20" s="6">
        <v>1.9</v>
      </c>
      <c r="AI20" s="3">
        <f t="shared" si="26"/>
        <v>812.38165680473378</v>
      </c>
      <c r="AJ20" s="3">
        <v>54917</v>
      </c>
      <c r="AK20" s="6">
        <v>67.599999999999994</v>
      </c>
      <c r="AL20" s="3" t="e">
        <f t="shared" si="27"/>
        <v>#DIV/0!</v>
      </c>
      <c r="AM20" s="3">
        <v>0</v>
      </c>
      <c r="AN20" s="6">
        <v>0</v>
      </c>
      <c r="AO20" s="3">
        <f t="shared" si="12"/>
        <v>1379.6102614701531</v>
      </c>
      <c r="AP20" s="3">
        <f t="shared" si="14"/>
        <v>279647</v>
      </c>
      <c r="AQ20" s="6">
        <f t="shared" si="15"/>
        <v>202.7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1" t="s">
        <v>28</v>
      </c>
      <c r="B21" s="15"/>
      <c r="C21" s="15"/>
      <c r="D21" s="15"/>
      <c r="E21" s="12">
        <f t="shared" si="16"/>
        <v>837.66233766233768</v>
      </c>
      <c r="F21" s="7">
        <v>12900</v>
      </c>
      <c r="G21" s="8">
        <v>15.4</v>
      </c>
      <c r="H21" s="7">
        <f t="shared" si="17"/>
        <v>719.14285714285711</v>
      </c>
      <c r="I21" s="7">
        <v>10068</v>
      </c>
      <c r="J21" s="8">
        <v>14</v>
      </c>
      <c r="K21" s="7">
        <f t="shared" si="18"/>
        <v>720.48611111111109</v>
      </c>
      <c r="L21" s="7">
        <v>10375</v>
      </c>
      <c r="M21" s="8">
        <v>14.4</v>
      </c>
      <c r="N21" s="7">
        <f t="shared" si="19"/>
        <v>719.09090909090912</v>
      </c>
      <c r="O21" s="7">
        <v>11865</v>
      </c>
      <c r="P21" s="8">
        <v>16.5</v>
      </c>
      <c r="Q21" s="7">
        <f t="shared" si="20"/>
        <v>868.15789473684208</v>
      </c>
      <c r="R21" s="7">
        <v>16495</v>
      </c>
      <c r="S21" s="8">
        <v>19</v>
      </c>
      <c r="T21" s="7" t="e">
        <f t="shared" si="21"/>
        <v>#DIV/0!</v>
      </c>
      <c r="U21" s="7">
        <v>0</v>
      </c>
      <c r="V21" s="8">
        <v>0</v>
      </c>
      <c r="W21" s="7">
        <f t="shared" si="22"/>
        <v>855.84745762711862</v>
      </c>
      <c r="X21" s="7">
        <v>20198</v>
      </c>
      <c r="Y21" s="8">
        <v>23.6</v>
      </c>
      <c r="Z21" s="7" t="e">
        <f t="shared" si="23"/>
        <v>#DIV/0!</v>
      </c>
      <c r="AA21" s="7">
        <v>0</v>
      </c>
      <c r="AB21" s="8">
        <v>0</v>
      </c>
      <c r="AC21" s="7" t="e">
        <f t="shared" si="24"/>
        <v>#DIV/0!</v>
      </c>
      <c r="AD21" s="7">
        <v>0</v>
      </c>
      <c r="AE21" s="8">
        <v>0</v>
      </c>
      <c r="AF21" s="7">
        <f t="shared" si="25"/>
        <v>716.57534246575347</v>
      </c>
      <c r="AG21" s="7">
        <v>10462</v>
      </c>
      <c r="AH21" s="8">
        <v>14.6</v>
      </c>
      <c r="AI21" s="7" t="e">
        <f t="shared" si="26"/>
        <v>#DIV/0!</v>
      </c>
      <c r="AJ21" s="7">
        <v>0</v>
      </c>
      <c r="AK21" s="8">
        <v>0</v>
      </c>
      <c r="AL21" s="7" t="e">
        <f t="shared" si="27"/>
        <v>#DIV/0!</v>
      </c>
      <c r="AM21" s="7">
        <v>0</v>
      </c>
      <c r="AN21" s="8">
        <v>0</v>
      </c>
      <c r="AO21" s="7">
        <f t="shared" si="12"/>
        <v>786.06808510638302</v>
      </c>
      <c r="AP21" s="7">
        <f t="shared" si="14"/>
        <v>92363</v>
      </c>
      <c r="AQ21" s="8">
        <f t="shared" si="15"/>
        <v>117.5</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 t="s">
        <v>29</v>
      </c>
      <c r="B22" s="1"/>
    </row>
    <row r="23" spans="1:67" x14ac:dyDescent="0.3">
      <c r="A23" s="1" t="s">
        <v>39</v>
      </c>
      <c r="B23" s="1"/>
    </row>
    <row r="24" spans="1:67" x14ac:dyDescent="0.3">
      <c r="A24" s="1" t="s">
        <v>30</v>
      </c>
      <c r="B24" s="1"/>
    </row>
    <row r="25" spans="1:67" x14ac:dyDescent="0.3">
      <c r="A25" s="1" t="s">
        <v>31</v>
      </c>
      <c r="B25" s="1"/>
    </row>
    <row r="26" spans="1:67" x14ac:dyDescent="0.3">
      <c r="A26" s="1" t="s">
        <v>40</v>
      </c>
      <c r="B26" s="1"/>
    </row>
  </sheetData>
  <mergeCells count="16">
    <mergeCell ref="B3:B21"/>
    <mergeCell ref="C3:C21"/>
    <mergeCell ref="AO1:AQ1"/>
    <mergeCell ref="W1:Y1"/>
    <mergeCell ref="Z1:AB1"/>
    <mergeCell ref="AC1:AE1"/>
    <mergeCell ref="AF1:AH1"/>
    <mergeCell ref="AI1:AK1"/>
    <mergeCell ref="D3:D21"/>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2026-08-07T07:14:37Z</dcterms:modified>
</cp:coreProperties>
</file>