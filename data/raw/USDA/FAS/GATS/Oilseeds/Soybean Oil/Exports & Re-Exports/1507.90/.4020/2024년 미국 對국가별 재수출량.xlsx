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AQ8" i="1" l="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8" i="1"/>
  <c r="AL7" i="1"/>
  <c r="AL6" i="1"/>
  <c r="AL5" i="1"/>
  <c r="AL4" i="1"/>
  <c r="AI8" i="1"/>
  <c r="AI7" i="1"/>
  <c r="AI6" i="1"/>
  <c r="AI5" i="1"/>
  <c r="AI4" i="1"/>
  <c r="AF8" i="1"/>
  <c r="AF7" i="1"/>
  <c r="AF6" i="1"/>
  <c r="AF5" i="1"/>
  <c r="AF4" i="1"/>
  <c r="AC8" i="1"/>
  <c r="AC7" i="1"/>
  <c r="AC6" i="1"/>
  <c r="AC5" i="1"/>
  <c r="AC4" i="1"/>
  <c r="Z8" i="1"/>
  <c r="Z7" i="1"/>
  <c r="Z6" i="1"/>
  <c r="Z5" i="1"/>
  <c r="Z4" i="1"/>
  <c r="W8" i="1"/>
  <c r="W7" i="1"/>
  <c r="W6" i="1"/>
  <c r="W5" i="1"/>
  <c r="W4" i="1"/>
  <c r="T8" i="1"/>
  <c r="T7" i="1"/>
  <c r="T6" i="1"/>
  <c r="T5" i="1"/>
  <c r="T4" i="1"/>
  <c r="Q8" i="1"/>
  <c r="Q7" i="1"/>
  <c r="Q6" i="1"/>
  <c r="Q5" i="1"/>
  <c r="Q4" i="1"/>
  <c r="N8" i="1"/>
  <c r="N7" i="1"/>
  <c r="N6" i="1"/>
  <c r="N5" i="1"/>
  <c r="N4" i="1"/>
  <c r="K8" i="1"/>
  <c r="K7" i="1"/>
  <c r="K6" i="1"/>
  <c r="K5" i="1"/>
  <c r="K4" i="1"/>
  <c r="H8" i="1"/>
  <c r="H7" i="1"/>
  <c r="H6" i="1"/>
  <c r="H5" i="1"/>
  <c r="H4" i="1"/>
  <c r="E8" i="1"/>
  <c r="E7" i="1"/>
  <c r="E6" i="1"/>
  <c r="E5" i="1"/>
  <c r="E4" i="1"/>
  <c r="AI3" i="1" l="1"/>
  <c r="Z3" i="1"/>
  <c r="AO7" i="1"/>
  <c r="E3" i="1"/>
  <c r="AO5" i="1"/>
  <c r="AO6" i="1"/>
  <c r="AO8" i="1"/>
  <c r="AO3" i="1" l="1"/>
  <c r="AO4" i="1"/>
</calcChain>
</file>

<file path=xl/sharedStrings.xml><?xml version="1.0" encoding="utf-8"?>
<sst xmlns="http://schemas.openxmlformats.org/spreadsheetml/2006/main" count="71" uniqueCount="35">
  <si>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</si>
  <si>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</si>
  <si>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</si>
  <si>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</si>
  <si>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</si>
  <si>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</si>
  <si>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</si>
  <si>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</si>
  <si>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</si>
  <si>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</si>
  <si>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</si>
  <si>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</si>
  <si>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</si>
  <si>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</si>
  <si>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</si>
  <si>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</si>
  <si>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</si>
  <si>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</si>
  <si>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El Salvador</t>
  </si>
  <si>
    <t>Notes: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</si>
  <si>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</si>
  <si>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</si>
  <si>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</si>
  <si>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</si>
  <si>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</si>
  <si>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</si>
  <si>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Product</t>
    <phoneticPr fontId="18" type="noConversion"/>
  </si>
  <si>
    <t>SOY OIL ONC-RFND</t>
    <phoneticPr fontId="18" type="noConversion"/>
  </si>
  <si>
    <t>Nicaragua</t>
  </si>
  <si>
    <t>2. FAS Totals include all Agricultural commodities and FAS selected NONAG commodity items.</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</si>
  <si>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</si>
  <si>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</si>
  <si>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</si>
  <si>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Guatemala</t>
    <phoneticPr fontId="18" type="noConversion"/>
  </si>
  <si>
    <t>Honduras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</si>
</sst>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20</v>
      </c>
      <c r="B2" s="2" t="s">
        <v>26</v>
      </c>
      <c r="C2" s="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9" t="s">
        <v>16</v>
      </c>
      <c r="B3" s="13" t="s">
        <v>27</v>
      </c>
      <c r="C3" s="13" t="s">
        <v>17</v>
      </c>
      <c r="D3" s="13" t="s">
        <v>22</v>
      </c>
      <c r="E3" s="7">
        <f>F3/G3</f>
        <v>1806.0344827586209</v>
      </c>
      <c r="F3" s="7">
        <f>SUM(F4:F8)</f>
        <v>31425</v>
      </c>
      <c r="G3" s="8">
        <f>SUM(G4:G8)</f>
        <v>17.399999999999999</v>
      </c>
      <c r="H3" s="7">
        <f>I3/J3</f>
        <v>1741.063122923588</v>
      </c>
      <c r="I3" s="7">
        <f>SUM(I4:I8)</f>
        <v>52406</v>
      </c>
      <c r="J3" s="8">
        <f>SUM(J4:J8)</f>
        <v>30.1</v>
      </c>
      <c r="K3" s="7">
        <f>L3/M3</f>
        <v>1762.7777777777776</v>
      </c>
      <c r="L3" s="7">
        <f>SUM(L4:L8)</f>
        <v>9519</v>
      </c>
      <c r="M3" s="8">
        <f>SUM(M4:M8)</f>
        <v>5.4</v>
      </c>
      <c r="N3" s="7" t="e">
        <f>O3/P3</f>
        <v>#DIV/0!</v>
      </c>
      <c r="O3" s="7">
        <f>SUM(O4:O8)</f>
        <v>0</v>
      </c>
      <c r="P3" s="8">
        <f>SUM(P4:P8)</f>
        <v>0</v>
      </c>
      <c r="Q3" s="7">
        <f>R3/S3</f>
        <v>1216.558516801854</v>
      </c>
      <c r="R3" s="7">
        <f>SUM(R4:R8)</f>
        <v>104989</v>
      </c>
      <c r="S3" s="8">
        <f>SUM(S4:S8)</f>
        <v>86.3</v>
      </c>
      <c r="T3" s="7">
        <f>U3/V3</f>
        <v>1568.0230326295587</v>
      </c>
      <c r="U3" s="7">
        <f>SUM(U4:U8)</f>
        <v>81694</v>
      </c>
      <c r="V3" s="8">
        <f>SUM(V4:V8)</f>
        <v>52.099999999999994</v>
      </c>
      <c r="W3" s="7">
        <f>X3/Y3</f>
        <v>1540.821917808219</v>
      </c>
      <c r="X3" s="7">
        <f>SUM(X4:X8)</f>
        <v>11248</v>
      </c>
      <c r="Y3" s="8">
        <f>SUM(Y4:Y8)</f>
        <v>7.3000000000000007</v>
      </c>
      <c r="Z3" s="7">
        <f>AA3/AB3</f>
        <v>1572.8176795580112</v>
      </c>
      <c r="AA3" s="7">
        <f>SUM(AA4:AA8)</f>
        <v>28468</v>
      </c>
      <c r="AB3" s="8">
        <f>SUM(AB4:AB8)</f>
        <v>18.099999999999998</v>
      </c>
      <c r="AC3" s="7">
        <f>AD3/AE3</f>
        <v>1645.2777777777778</v>
      </c>
      <c r="AD3" s="7">
        <f>SUM(AD4:AD8)</f>
        <v>11846</v>
      </c>
      <c r="AE3" s="8">
        <f>SUM(AE4:AE8)</f>
        <v>7.2</v>
      </c>
      <c r="AF3" s="7">
        <f>AG3/AH3</f>
        <v>1768.7368421052631</v>
      </c>
      <c r="AG3" s="7">
        <f>SUM(AG4:AG8)</f>
        <v>50409</v>
      </c>
      <c r="AH3" s="8">
        <f>SUM(AH4:AH8)</f>
        <v>28.5</v>
      </c>
      <c r="AI3" s="7">
        <f>AJ3/AK3</f>
        <v>1729.9</v>
      </c>
      <c r="AJ3" s="7">
        <f>SUM(AJ4:AJ8)</f>
        <v>17299</v>
      </c>
      <c r="AK3" s="8">
        <f>SUM(AK4:AK8)</f>
        <v>10</v>
      </c>
      <c r="AL3" s="7">
        <f>AM3/AN3</f>
        <v>1703.4433962264152</v>
      </c>
      <c r="AM3" s="7">
        <f>SUM(AM4:AM8)</f>
        <v>36113</v>
      </c>
      <c r="AN3" s="8">
        <f>SUM(AN4:AN8)</f>
        <v>21.2</v>
      </c>
      <c r="AO3" s="7">
        <f>AP3/AQ3</f>
        <v>1535.317348377997</v>
      </c>
      <c r="AP3" s="7">
        <f>SUM(AP4:AP8)</f>
        <v>435416</v>
      </c>
      <c r="AQ3" s="8">
        <f>SUM(AQ4:AQ8)</f>
        <v>283.60000000000002</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24</v>
      </c>
      <c r="B4" s="14"/>
      <c r="C4" s="14"/>
      <c r="D4" s="14"/>
      <c r="E4" s="3">
        <f t="shared" ref="E4:E8" si="0">F4/G4</f>
        <v>1938.913043478261</v>
      </c>
      <c r="F4" s="3">
        <v>8919</v>
      </c>
      <c r="G4" s="6">
        <v>4.5999999999999996</v>
      </c>
      <c r="H4" s="3">
        <f t="shared" ref="H4:H8" si="1">I4/J4</f>
        <v>1725.4347826086957</v>
      </c>
      <c r="I4" s="3">
        <v>7937</v>
      </c>
      <c r="J4" s="6">
        <v>4.5999999999999996</v>
      </c>
      <c r="K4" s="3" t="e">
        <f t="shared" ref="K4:K8" si="2">L4/M4</f>
        <v>#DIV/0!</v>
      </c>
      <c r="L4" s="3">
        <v>0</v>
      </c>
      <c r="M4" s="6">
        <v>0</v>
      </c>
      <c r="N4" s="3" t="e">
        <f t="shared" ref="N4:N8" si="3">O4/P4</f>
        <v>#DIV/0!</v>
      </c>
      <c r="O4" s="3">
        <v>0</v>
      </c>
      <c r="P4" s="6">
        <v>0</v>
      </c>
      <c r="Q4" s="3">
        <f t="shared" ref="Q4:Q8" si="4">R4/S4</f>
        <v>779.80988593155894</v>
      </c>
      <c r="R4" s="3">
        <v>20509</v>
      </c>
      <c r="S4" s="6">
        <v>26.3</v>
      </c>
      <c r="T4" s="3">
        <f t="shared" ref="T4:T8" si="5">U4/V4</f>
        <v>1533.0656934306571</v>
      </c>
      <c r="U4" s="3">
        <v>21003</v>
      </c>
      <c r="V4" s="6">
        <v>13.7</v>
      </c>
      <c r="W4" s="3" t="e">
        <f t="shared" ref="W4:W8" si="6">X4/Y4</f>
        <v>#DIV/0!</v>
      </c>
      <c r="X4" s="3">
        <v>0</v>
      </c>
      <c r="Y4" s="6">
        <v>0</v>
      </c>
      <c r="Z4" s="3">
        <f t="shared" ref="Z4:Z8" si="7">AA4/AB4</f>
        <v>1581.3888888888889</v>
      </c>
      <c r="AA4" s="3">
        <v>5693</v>
      </c>
      <c r="AB4" s="6">
        <v>3.6</v>
      </c>
      <c r="AC4" s="3">
        <f t="shared" ref="AC4:AC8" si="8">AD4/AE4</f>
        <v>1751.4814814814813</v>
      </c>
      <c r="AD4" s="3">
        <v>4729</v>
      </c>
      <c r="AE4" s="6">
        <v>2.7</v>
      </c>
      <c r="AF4" s="3">
        <f t="shared" ref="AF4:AF8" si="9">AG4/AH4</f>
        <v>1948.6153846153845</v>
      </c>
      <c r="AG4" s="3">
        <v>12666</v>
      </c>
      <c r="AH4" s="6">
        <v>6.5</v>
      </c>
      <c r="AI4" s="3">
        <f t="shared" ref="AI4:AI8" si="10">AJ4/AK4</f>
        <v>1763.4545454545455</v>
      </c>
      <c r="AJ4" s="3">
        <v>9699</v>
      </c>
      <c r="AK4" s="6">
        <v>5.5</v>
      </c>
      <c r="AL4" s="3">
        <f t="shared" ref="AL4:AL8" si="11">AM4/AN4</f>
        <v>1665.7534246575342</v>
      </c>
      <c r="AM4" s="3">
        <v>12160</v>
      </c>
      <c r="AN4" s="6">
        <v>7.3</v>
      </c>
      <c r="AO4" s="3">
        <f t="shared" ref="AO4:AO8" si="12">AP4/AQ4</f>
        <v>1381.216577540107</v>
      </c>
      <c r="AP4" s="3">
        <f t="shared" ref="AP4:AQ4" si="13">SUM(F4,I4,L4,O4,R4,U4,X4,AA4,AD4,AG4,AJ4,AM4)</f>
        <v>103315</v>
      </c>
      <c r="AQ4" s="6">
        <f t="shared" si="13"/>
        <v>74.8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28</v>
      </c>
      <c r="B5" s="14"/>
      <c r="C5" s="14"/>
      <c r="D5" s="14"/>
      <c r="E5" s="3">
        <f t="shared" si="0"/>
        <v>1786.1111111111111</v>
      </c>
      <c r="F5" s="3">
        <v>6430</v>
      </c>
      <c r="G5" s="6">
        <v>3.6</v>
      </c>
      <c r="H5" s="3" t="e">
        <f t="shared" si="1"/>
        <v>#DIV/0!</v>
      </c>
      <c r="I5" s="3">
        <v>0</v>
      </c>
      <c r="J5" s="6">
        <v>0</v>
      </c>
      <c r="K5" s="3" t="e">
        <f t="shared" si="2"/>
        <v>#DIV/0!</v>
      </c>
      <c r="L5" s="3">
        <v>0</v>
      </c>
      <c r="M5" s="6">
        <v>0</v>
      </c>
      <c r="N5" s="3" t="e">
        <f t="shared" si="3"/>
        <v>#DIV/0!</v>
      </c>
      <c r="O5" s="3">
        <v>0</v>
      </c>
      <c r="P5" s="6">
        <v>0</v>
      </c>
      <c r="Q5" s="3">
        <f t="shared" si="4"/>
        <v>1605.4545454545455</v>
      </c>
      <c r="R5" s="3">
        <v>8830</v>
      </c>
      <c r="S5" s="6">
        <v>5.5</v>
      </c>
      <c r="T5" s="3">
        <f t="shared" si="5"/>
        <v>1558.4615384615386</v>
      </c>
      <c r="U5" s="3">
        <v>14182</v>
      </c>
      <c r="V5" s="6">
        <v>9.1</v>
      </c>
      <c r="W5" s="3">
        <f t="shared" si="6"/>
        <v>1520</v>
      </c>
      <c r="X5" s="3">
        <v>5624</v>
      </c>
      <c r="Y5" s="6">
        <v>3.7</v>
      </c>
      <c r="Z5" s="3">
        <f t="shared" si="7"/>
        <v>1547.1739130434785</v>
      </c>
      <c r="AA5" s="3">
        <v>7117</v>
      </c>
      <c r="AB5" s="6">
        <v>4.5999999999999996</v>
      </c>
      <c r="AC5" s="3">
        <f t="shared" si="8"/>
        <v>1581.6666666666665</v>
      </c>
      <c r="AD5" s="3">
        <v>2847</v>
      </c>
      <c r="AE5" s="6">
        <v>1.8</v>
      </c>
      <c r="AF5" s="3">
        <f t="shared" si="9"/>
        <v>1653.090909090909</v>
      </c>
      <c r="AG5" s="3">
        <v>9092</v>
      </c>
      <c r="AH5" s="6">
        <v>5.5</v>
      </c>
      <c r="AI5" s="3">
        <f t="shared" si="10"/>
        <v>1688.8888888888889</v>
      </c>
      <c r="AJ5" s="3">
        <v>3040</v>
      </c>
      <c r="AK5" s="6">
        <v>1.8</v>
      </c>
      <c r="AL5" s="3">
        <f t="shared" si="11"/>
        <v>1658.1818181818182</v>
      </c>
      <c r="AM5" s="3">
        <v>9120</v>
      </c>
      <c r="AN5" s="6">
        <v>5.5</v>
      </c>
      <c r="AO5" s="3">
        <f t="shared" si="12"/>
        <v>1612.7007299270076</v>
      </c>
      <c r="AP5" s="3">
        <f t="shared" ref="AP5:AP8" si="14">SUM(F5,I5,L5,O5,R5,U5,X5,AA5,AD5,AG5,AJ5,AM5)</f>
        <v>66282</v>
      </c>
      <c r="AQ5" s="6">
        <f t="shared" ref="AQ5:AQ8" si="15">SUM(G5,J5,M5,P5,S5,V5,Y5,AB5,AE5,AH5,AK5,AN5)</f>
        <v>41.099999999999994</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33</v>
      </c>
      <c r="B6" s="14"/>
      <c r="C6" s="14"/>
      <c r="D6" s="14"/>
      <c r="E6" s="3" t="e">
        <f t="shared" si="0"/>
        <v>#DIV/0!</v>
      </c>
      <c r="F6" s="3">
        <v>0</v>
      </c>
      <c r="G6" s="6">
        <v>0</v>
      </c>
      <c r="H6" s="3">
        <f t="shared" si="1"/>
        <v>1740.2739726027398</v>
      </c>
      <c r="I6" s="3">
        <v>12704</v>
      </c>
      <c r="J6" s="6">
        <v>7.3</v>
      </c>
      <c r="K6" s="3" t="e">
        <f t="shared" si="2"/>
        <v>#DIV/0!</v>
      </c>
      <c r="L6" s="3">
        <v>0</v>
      </c>
      <c r="M6" s="6">
        <v>0</v>
      </c>
      <c r="N6" s="3" t="e">
        <f t="shared" si="3"/>
        <v>#DIV/0!</v>
      </c>
      <c r="O6" s="3">
        <v>0</v>
      </c>
      <c r="P6" s="6">
        <v>0</v>
      </c>
      <c r="Q6" s="3">
        <f t="shared" si="4"/>
        <v>1617.1951219512196</v>
      </c>
      <c r="R6" s="3">
        <v>13261</v>
      </c>
      <c r="S6" s="6">
        <v>8.1999999999999993</v>
      </c>
      <c r="T6" s="3">
        <f t="shared" si="5"/>
        <v>1697.2727272727273</v>
      </c>
      <c r="U6" s="3">
        <v>9335</v>
      </c>
      <c r="V6" s="6">
        <v>5.5</v>
      </c>
      <c r="W6" s="3">
        <f t="shared" si="6"/>
        <v>1562.2222222222222</v>
      </c>
      <c r="X6" s="3">
        <v>5624</v>
      </c>
      <c r="Y6" s="6">
        <v>3.6</v>
      </c>
      <c r="Z6" s="3">
        <f t="shared" si="7"/>
        <v>1581.6666666666665</v>
      </c>
      <c r="AA6" s="3">
        <v>5694</v>
      </c>
      <c r="AB6" s="6">
        <v>3.6</v>
      </c>
      <c r="AC6" s="3" t="e">
        <f t="shared" si="8"/>
        <v>#DIV/0!</v>
      </c>
      <c r="AD6" s="3">
        <v>0</v>
      </c>
      <c r="AE6" s="6">
        <v>0</v>
      </c>
      <c r="AF6" s="3">
        <f t="shared" si="9"/>
        <v>1787.3267326732673</v>
      </c>
      <c r="AG6" s="3">
        <v>18052</v>
      </c>
      <c r="AH6" s="6">
        <v>10.1</v>
      </c>
      <c r="AI6" s="3" t="e">
        <f t="shared" si="10"/>
        <v>#DIV/0!</v>
      </c>
      <c r="AJ6" s="3">
        <v>0</v>
      </c>
      <c r="AK6" s="6">
        <v>0</v>
      </c>
      <c r="AL6" s="3">
        <f t="shared" si="11"/>
        <v>1862.3404255319149</v>
      </c>
      <c r="AM6" s="3">
        <v>8753</v>
      </c>
      <c r="AN6" s="6">
        <v>4.7</v>
      </c>
      <c r="AO6" s="3">
        <f t="shared" si="12"/>
        <v>1707.5116279069764</v>
      </c>
      <c r="AP6" s="3">
        <f t="shared" si="14"/>
        <v>73423</v>
      </c>
      <c r="AQ6" s="6">
        <f t="shared" si="15"/>
        <v>43.000000000000007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34</v>
      </c>
      <c r="B7" s="14"/>
      <c r="C7" s="14"/>
      <c r="D7" s="14"/>
      <c r="E7" s="3">
        <f t="shared" si="0"/>
        <v>1747.3913043478262</v>
      </c>
      <c r="F7" s="3">
        <v>8038</v>
      </c>
      <c r="G7" s="6">
        <v>4.5999999999999996</v>
      </c>
      <c r="H7" s="3">
        <f t="shared" si="1"/>
        <v>1740.2739726027398</v>
      </c>
      <c r="I7" s="3">
        <v>12704</v>
      </c>
      <c r="J7" s="6">
        <v>7.3</v>
      </c>
      <c r="K7" s="3">
        <f t="shared" si="2"/>
        <v>1762.7777777777778</v>
      </c>
      <c r="L7" s="3">
        <v>3173</v>
      </c>
      <c r="M7" s="6">
        <v>1.8</v>
      </c>
      <c r="N7" s="3" t="e">
        <f t="shared" si="3"/>
        <v>#DIV/0!</v>
      </c>
      <c r="O7" s="3">
        <v>0</v>
      </c>
      <c r="P7" s="6">
        <v>0</v>
      </c>
      <c r="Q7" s="3">
        <f t="shared" si="4"/>
        <v>1646.6666666666667</v>
      </c>
      <c r="R7" s="3">
        <v>25688</v>
      </c>
      <c r="S7" s="6">
        <v>15.6</v>
      </c>
      <c r="T7" s="3">
        <f t="shared" si="5"/>
        <v>1571.6363636363637</v>
      </c>
      <c r="U7" s="3">
        <v>8644</v>
      </c>
      <c r="V7" s="6">
        <v>5.5</v>
      </c>
      <c r="W7" s="3" t="e">
        <f t="shared" si="6"/>
        <v>#DIV/0!</v>
      </c>
      <c r="X7" s="3">
        <v>0</v>
      </c>
      <c r="Y7" s="6">
        <v>0</v>
      </c>
      <c r="Z7" s="3">
        <f t="shared" si="7"/>
        <v>1581.6666666666665</v>
      </c>
      <c r="AA7" s="3">
        <v>5694</v>
      </c>
      <c r="AB7" s="6">
        <v>3.6</v>
      </c>
      <c r="AC7" s="3" t="e">
        <f t="shared" si="8"/>
        <v>#DIV/0!</v>
      </c>
      <c r="AD7" s="3">
        <v>0</v>
      </c>
      <c r="AE7" s="6">
        <v>0</v>
      </c>
      <c r="AF7" s="3">
        <f t="shared" si="9"/>
        <v>1656.09375</v>
      </c>
      <c r="AG7" s="3">
        <v>10599</v>
      </c>
      <c r="AH7" s="6">
        <v>6.4</v>
      </c>
      <c r="AI7" s="3" t="e">
        <f t="shared" si="10"/>
        <v>#DIV/0!</v>
      </c>
      <c r="AJ7" s="3">
        <v>0</v>
      </c>
      <c r="AK7" s="6">
        <v>0</v>
      </c>
      <c r="AL7" s="3">
        <f t="shared" si="11"/>
        <v>1643.2432432432431</v>
      </c>
      <c r="AM7" s="3">
        <v>6080</v>
      </c>
      <c r="AN7" s="6">
        <v>3.7</v>
      </c>
      <c r="AO7" s="3">
        <f t="shared" si="12"/>
        <v>1662.2680412371135</v>
      </c>
      <c r="AP7" s="3">
        <f t="shared" si="14"/>
        <v>80620</v>
      </c>
      <c r="AQ7" s="6">
        <f t="shared" si="15"/>
        <v>48.5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1" t="s">
        <v>18</v>
      </c>
      <c r="B8" s="15"/>
      <c r="C8" s="15"/>
      <c r="D8" s="15"/>
      <c r="E8" s="12">
        <f t="shared" si="0"/>
        <v>1747.3913043478262</v>
      </c>
      <c r="F8" s="7">
        <v>8038</v>
      </c>
      <c r="G8" s="8">
        <v>4.5999999999999996</v>
      </c>
      <c r="H8" s="7">
        <f t="shared" si="1"/>
        <v>1748.7155963302753</v>
      </c>
      <c r="I8" s="7">
        <v>19061</v>
      </c>
      <c r="J8" s="8">
        <v>10.9</v>
      </c>
      <c r="K8" s="7">
        <f t="shared" si="2"/>
        <v>1762.7777777777778</v>
      </c>
      <c r="L8" s="7">
        <v>6346</v>
      </c>
      <c r="M8" s="8">
        <v>3.6</v>
      </c>
      <c r="N8" s="7" t="e">
        <f t="shared" si="3"/>
        <v>#DIV/0!</v>
      </c>
      <c r="O8" s="7">
        <v>0</v>
      </c>
      <c r="P8" s="8">
        <v>0</v>
      </c>
      <c r="Q8" s="7">
        <f t="shared" si="4"/>
        <v>1195.4723127035832</v>
      </c>
      <c r="R8" s="7">
        <v>36701</v>
      </c>
      <c r="S8" s="8">
        <v>30.7</v>
      </c>
      <c r="T8" s="7">
        <f t="shared" si="5"/>
        <v>1559.016393442623</v>
      </c>
      <c r="U8" s="7">
        <v>28530</v>
      </c>
      <c r="V8" s="8">
        <v>18.3</v>
      </c>
      <c r="W8" s="7" t="e">
        <f t="shared" si="6"/>
        <v>#DIV/0!</v>
      </c>
      <c r="X8" s="7">
        <v>0</v>
      </c>
      <c r="Y8" s="8">
        <v>0</v>
      </c>
      <c r="Z8" s="7">
        <f t="shared" si="7"/>
        <v>1581.4814814814813</v>
      </c>
      <c r="AA8" s="7">
        <v>4270</v>
      </c>
      <c r="AB8" s="8">
        <v>2.7</v>
      </c>
      <c r="AC8" s="7">
        <f t="shared" si="8"/>
        <v>1581.4814814814813</v>
      </c>
      <c r="AD8" s="7">
        <v>4270</v>
      </c>
      <c r="AE8" s="8">
        <v>2.7</v>
      </c>
      <c r="AF8" s="7" t="e">
        <f t="shared" si="9"/>
        <v>#DIV/0!</v>
      </c>
      <c r="AG8" s="7">
        <v>0</v>
      </c>
      <c r="AH8" s="8">
        <v>0</v>
      </c>
      <c r="AI8" s="7">
        <f t="shared" si="10"/>
        <v>1688.8888888888887</v>
      </c>
      <c r="AJ8" s="7">
        <v>4560</v>
      </c>
      <c r="AK8" s="8">
        <v>2.7</v>
      </c>
      <c r="AL8" s="7" t="e">
        <f t="shared" si="11"/>
        <v>#DIV/0!</v>
      </c>
      <c r="AM8" s="7">
        <v>0</v>
      </c>
      <c r="AN8" s="8">
        <v>0</v>
      </c>
      <c r="AO8" s="7">
        <f t="shared" si="12"/>
        <v>1466.8766404199475</v>
      </c>
      <c r="AP8" s="7">
        <f t="shared" si="14"/>
        <v>111776</v>
      </c>
      <c r="AQ8" s="8">
        <f t="shared" si="15"/>
        <v>76.2</v>
      </c>
      <c r="AR8" s="3"/>
      <c r="AS8" s="3"/>
      <c r="AT8" s="3"/>
      <c r="AU8" s="3"/>
      <c r="AV8" s="3"/>
      <c r="AW8" s="3"/>
      <c r="AX8" s="3"/>
      <c r="AY8" s="3"/>
      <c r="AZ8" s="3"/>
      <c r="BA8" s="3"/>
      <c r="BB8" s="3"/>
      <c r="BC8" s="3"/>
      <c r="BD8" s="3"/>
      <c r="BE8" s="3"/>
      <c r="BF8" s="3"/>
      <c r="BG8" s="3"/>
      <c r="BH8" s="3"/>
      <c r="BI8" s="3"/>
      <c r="BJ8" s="3"/>
      <c r="BK8" s="3"/>
      <c r="BL8" s="3"/>
      <c r="BM8" s="3"/>
      <c r="BN8" s="3"/>
      <c r="BO8" s="3"/>
    </row>
    <row r="9" spans="1:67" x14ac:dyDescent="0.3">
      <c r="A9" s="1" t="s">
        <v>19</v>
      </c>
      <c r="B9" s="1"/>
    </row>
    <row r="10" spans="1:67" x14ac:dyDescent="0.3">
      <c r="A10" s="1" t="s">
        <v>25</v>
      </c>
      <c r="B10" s="1"/>
    </row>
    <row r="11" spans="1:67" x14ac:dyDescent="0.3">
      <c r="A11" s="1" t="s">
        <v>29</v>
      </c>
      <c r="B11" s="1"/>
    </row>
    <row r="12" spans="1:67" x14ac:dyDescent="0.3">
      <c r="A12" s="1" t="s">
        <v>30</v>
      </c>
      <c r="B12" s="1"/>
    </row>
    <row r="13" spans="1:67" x14ac:dyDescent="0.3">
      <c r="A13" s="1" t="s">
        <v>31</v>
      </c>
      <c r="B13" s="1"/>
    </row>
    <row r="14" spans="1:67" x14ac:dyDescent="0.3">
      <c r="A14" s="1" t="s">
        <v>32</v>
      </c>
      <c r="B14" s="1"/>
    </row>
  </sheetData>
  <mergeCells count="16">
    <mergeCell ref="B3:B8"/>
    <mergeCell ref="C3:C8"/>
    <mergeCell ref="AO1:AQ1"/>
    <mergeCell ref="W1:Y1"/>
    <mergeCell ref="Z1:AB1"/>
    <mergeCell ref="AC1:AE1"/>
    <mergeCell ref="AF1:AH1"/>
    <mergeCell ref="AI1:AK1"/>
    <mergeCell ref="D3:D8"/>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2026-08-10T04:59:18Z</dcterms:modified>
</cp:coreProperties>
</file>