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18년" sheetId="1" r:id="rId1"/>
  </sheets>
  <calcPr calcId="162913"/>
</workbook>
</file>

<file path=xl/calcChain.xml><?xml version="1.0" encoding="utf-8"?>
<calcChain xmlns="http://schemas.openxmlformats.org/spreadsheetml/2006/main">
  <c r="AQ27" i="1" l="1"/>
  <c r="AP27" i="1"/>
  <c r="AQ26" i="1"/>
  <c r="AP26" i="1"/>
  <c r="AQ25" i="1"/>
  <c r="AP25" i="1"/>
  <c r="AO25" i="1" s="1"/>
  <c r="AQ24" i="1"/>
  <c r="AP24" i="1"/>
  <c r="AO24" i="1" s="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P3" i="1" s="1"/>
  <c r="AQ4" i="1"/>
  <c r="AQ3" i="1"/>
  <c r="AN3" i="1"/>
  <c r="AM3" i="1"/>
  <c r="AK3" i="1"/>
  <c r="AJ3" i="1"/>
  <c r="AH3" i="1"/>
  <c r="AG3" i="1"/>
  <c r="AE3" i="1"/>
  <c r="AD3" i="1"/>
  <c r="AB3" i="1"/>
  <c r="AA3" i="1"/>
  <c r="Y3" i="1"/>
  <c r="X3" i="1"/>
  <c r="V3" i="1"/>
  <c r="U3" i="1"/>
  <c r="S3" i="1"/>
  <c r="R3" i="1"/>
  <c r="P3" i="1"/>
  <c r="O3" i="1"/>
  <c r="M3" i="1"/>
  <c r="L3" i="1"/>
  <c r="J3" i="1"/>
  <c r="I3" i="1"/>
  <c r="G3" i="1"/>
  <c r="F3" i="1"/>
  <c r="AO27" i="1"/>
  <c r="AO26" i="1"/>
  <c r="AL27" i="1"/>
  <c r="AL26" i="1"/>
  <c r="AL25" i="1"/>
  <c r="AL24" i="1"/>
  <c r="AI27" i="1"/>
  <c r="AI26" i="1"/>
  <c r="AI25" i="1"/>
  <c r="AI24" i="1"/>
  <c r="AF27" i="1"/>
  <c r="AF26" i="1"/>
  <c r="AF25" i="1"/>
  <c r="AF24" i="1"/>
  <c r="AC27" i="1"/>
  <c r="AC26" i="1"/>
  <c r="AC25" i="1"/>
  <c r="AC24" i="1"/>
  <c r="Z27" i="1"/>
  <c r="Z26" i="1"/>
  <c r="Z25" i="1"/>
  <c r="Z24" i="1"/>
  <c r="W27" i="1"/>
  <c r="W26" i="1"/>
  <c r="W25" i="1"/>
  <c r="W24" i="1"/>
  <c r="T27" i="1"/>
  <c r="T26" i="1"/>
  <c r="T25" i="1"/>
  <c r="T24" i="1"/>
  <c r="Q27" i="1"/>
  <c r="Q26" i="1"/>
  <c r="Q25" i="1"/>
  <c r="Q24" i="1"/>
  <c r="N27" i="1"/>
  <c r="N26" i="1"/>
  <c r="N25" i="1"/>
  <c r="N24" i="1"/>
  <c r="K27" i="1"/>
  <c r="K26" i="1"/>
  <c r="K25" i="1"/>
  <c r="K24" i="1"/>
  <c r="H27" i="1"/>
  <c r="H26" i="1"/>
  <c r="H25" i="1"/>
  <c r="H24" i="1"/>
  <c r="E27" i="1"/>
  <c r="E26" i="1"/>
  <c r="E25" i="1"/>
  <c r="E24" i="1"/>
  <c r="AP4" i="1" l="1"/>
  <c r="AC3" i="1" l="1"/>
  <c r="Q3" i="1"/>
  <c r="AL3" i="1"/>
  <c r="AF3" i="1"/>
  <c r="W3" i="1"/>
  <c r="T3" i="1"/>
  <c r="N3" i="1"/>
  <c r="K3" i="1"/>
  <c r="H3" i="1"/>
  <c r="AL23" i="1"/>
  <c r="AL22" i="1"/>
  <c r="AL21" i="1"/>
  <c r="AL20" i="1"/>
  <c r="AL19" i="1"/>
  <c r="AL18" i="1"/>
  <c r="AL17" i="1"/>
  <c r="AL16" i="1"/>
  <c r="AL15" i="1"/>
  <c r="AL14" i="1"/>
  <c r="AL13" i="1"/>
  <c r="AL12" i="1"/>
  <c r="AL11" i="1"/>
  <c r="AL10" i="1"/>
  <c r="AL9" i="1"/>
  <c r="AL8" i="1"/>
  <c r="AL7" i="1"/>
  <c r="AL6" i="1"/>
  <c r="AL5" i="1"/>
  <c r="AL4" i="1"/>
  <c r="AI23" i="1"/>
  <c r="AI22" i="1"/>
  <c r="AI21" i="1"/>
  <c r="AI20" i="1"/>
  <c r="AI19" i="1"/>
  <c r="AI18" i="1"/>
  <c r="AI17" i="1"/>
  <c r="AI16" i="1"/>
  <c r="AI15" i="1"/>
  <c r="AI14" i="1"/>
  <c r="AI13" i="1"/>
  <c r="AI12" i="1"/>
  <c r="AI11" i="1"/>
  <c r="AI10" i="1"/>
  <c r="AI9" i="1"/>
  <c r="AI8" i="1"/>
  <c r="AI7" i="1"/>
  <c r="AI6" i="1"/>
  <c r="AI5" i="1"/>
  <c r="AI4" i="1"/>
  <c r="AF23" i="1"/>
  <c r="AF22" i="1"/>
  <c r="AF21" i="1"/>
  <c r="AF20" i="1"/>
  <c r="AF19" i="1"/>
  <c r="AF18" i="1"/>
  <c r="AF17" i="1"/>
  <c r="AF16" i="1"/>
  <c r="AF15" i="1"/>
  <c r="AF14" i="1"/>
  <c r="AF13" i="1"/>
  <c r="AF12" i="1"/>
  <c r="AF11" i="1"/>
  <c r="AF10" i="1"/>
  <c r="AF9" i="1"/>
  <c r="AF8" i="1"/>
  <c r="AF7" i="1"/>
  <c r="AF6" i="1"/>
  <c r="AF5" i="1"/>
  <c r="AF4" i="1"/>
  <c r="AC23" i="1"/>
  <c r="AC22" i="1"/>
  <c r="AC21" i="1"/>
  <c r="AC20" i="1"/>
  <c r="AC19" i="1"/>
  <c r="AC18" i="1"/>
  <c r="AC17" i="1"/>
  <c r="AC16" i="1"/>
  <c r="AC15" i="1"/>
  <c r="AC14" i="1"/>
  <c r="AC13" i="1"/>
  <c r="AC12" i="1"/>
  <c r="AC11" i="1"/>
  <c r="AC10" i="1"/>
  <c r="AC9" i="1"/>
  <c r="AC8" i="1"/>
  <c r="AC7" i="1"/>
  <c r="AC6" i="1"/>
  <c r="AC5" i="1"/>
  <c r="AC4" i="1"/>
  <c r="Z23" i="1"/>
  <c r="Z22" i="1"/>
  <c r="Z21" i="1"/>
  <c r="Z20" i="1"/>
  <c r="Z19" i="1"/>
  <c r="Z18" i="1"/>
  <c r="Z17" i="1"/>
  <c r="Z16" i="1"/>
  <c r="Z15" i="1"/>
  <c r="Z14" i="1"/>
  <c r="Z13" i="1"/>
  <c r="Z12" i="1"/>
  <c r="Z11" i="1"/>
  <c r="Z10" i="1"/>
  <c r="Z9" i="1"/>
  <c r="Z8" i="1"/>
  <c r="Z7" i="1"/>
  <c r="Z6" i="1"/>
  <c r="Z5" i="1"/>
  <c r="Z4" i="1"/>
  <c r="W23" i="1"/>
  <c r="W22" i="1"/>
  <c r="W21" i="1"/>
  <c r="W20" i="1"/>
  <c r="W19" i="1"/>
  <c r="W18" i="1"/>
  <c r="W17" i="1"/>
  <c r="W16" i="1"/>
  <c r="W15" i="1"/>
  <c r="W14" i="1"/>
  <c r="W13" i="1"/>
  <c r="W12" i="1"/>
  <c r="W11" i="1"/>
  <c r="W10" i="1"/>
  <c r="W9" i="1"/>
  <c r="W8" i="1"/>
  <c r="W7" i="1"/>
  <c r="W6" i="1"/>
  <c r="W5" i="1"/>
  <c r="W4" i="1"/>
  <c r="T23" i="1"/>
  <c r="T22" i="1"/>
  <c r="T21" i="1"/>
  <c r="T20" i="1"/>
  <c r="T19" i="1"/>
  <c r="T18" i="1"/>
  <c r="T17" i="1"/>
  <c r="T16" i="1"/>
  <c r="T15" i="1"/>
  <c r="T14" i="1"/>
  <c r="T13" i="1"/>
  <c r="T12" i="1"/>
  <c r="T11" i="1"/>
  <c r="T10" i="1"/>
  <c r="T9" i="1"/>
  <c r="T8" i="1"/>
  <c r="T7" i="1"/>
  <c r="T6" i="1"/>
  <c r="T5" i="1"/>
  <c r="T4" i="1"/>
  <c r="Q23" i="1"/>
  <c r="Q22" i="1"/>
  <c r="Q21" i="1"/>
  <c r="Q20" i="1"/>
  <c r="Q19" i="1"/>
  <c r="Q18" i="1"/>
  <c r="Q17" i="1"/>
  <c r="Q16" i="1"/>
  <c r="Q15" i="1"/>
  <c r="Q14" i="1"/>
  <c r="Q13" i="1"/>
  <c r="Q12" i="1"/>
  <c r="Q11" i="1"/>
  <c r="Q10" i="1"/>
  <c r="Q9" i="1"/>
  <c r="Q8" i="1"/>
  <c r="Q7" i="1"/>
  <c r="Q6" i="1"/>
  <c r="Q5" i="1"/>
  <c r="Q4" i="1"/>
  <c r="N23" i="1"/>
  <c r="N22" i="1"/>
  <c r="N21" i="1"/>
  <c r="N20" i="1"/>
  <c r="N19" i="1"/>
  <c r="N18" i="1"/>
  <c r="N17" i="1"/>
  <c r="N16" i="1"/>
  <c r="N15" i="1"/>
  <c r="N14" i="1"/>
  <c r="N13" i="1"/>
  <c r="N12" i="1"/>
  <c r="N11" i="1"/>
  <c r="N10" i="1"/>
  <c r="N9" i="1"/>
  <c r="N8" i="1"/>
  <c r="N7" i="1"/>
  <c r="N6" i="1"/>
  <c r="N5" i="1"/>
  <c r="N4" i="1"/>
  <c r="K23" i="1"/>
  <c r="K22" i="1"/>
  <c r="K21" i="1"/>
  <c r="K20" i="1"/>
  <c r="K19" i="1"/>
  <c r="K18" i="1"/>
  <c r="K17" i="1"/>
  <c r="K16" i="1"/>
  <c r="K15" i="1"/>
  <c r="K14" i="1"/>
  <c r="K13" i="1"/>
  <c r="K12" i="1"/>
  <c r="K11" i="1"/>
  <c r="K10" i="1"/>
  <c r="K9" i="1"/>
  <c r="K8" i="1"/>
  <c r="K7" i="1"/>
  <c r="K6" i="1"/>
  <c r="K5" i="1"/>
  <c r="K4" i="1"/>
  <c r="H23" i="1"/>
  <c r="H22" i="1"/>
  <c r="H21" i="1"/>
  <c r="H20" i="1"/>
  <c r="H19" i="1"/>
  <c r="H18" i="1"/>
  <c r="H17" i="1"/>
  <c r="H16" i="1"/>
  <c r="H15" i="1"/>
  <c r="H14" i="1"/>
  <c r="H13" i="1"/>
  <c r="H12" i="1"/>
  <c r="H11" i="1"/>
  <c r="H10" i="1"/>
  <c r="H9" i="1"/>
  <c r="H8" i="1"/>
  <c r="H7" i="1"/>
  <c r="H6" i="1"/>
  <c r="H5" i="1"/>
  <c r="H4" i="1"/>
  <c r="E23" i="1"/>
  <c r="E22" i="1"/>
  <c r="E21"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21" i="1"/>
  <c r="AO6" i="1"/>
  <c r="AO14" i="1"/>
  <c r="AO22" i="1"/>
  <c r="AO8" i="1"/>
  <c r="AO16" i="1"/>
  <c r="AO9" i="1"/>
  <c r="AO17" i="1"/>
  <c r="AO19" i="1"/>
  <c r="AO23" i="1"/>
  <c r="AO3" i="1" l="1"/>
  <c r="AO4" i="1"/>
  <c r="AO12" i="1"/>
</calcChain>
</file>

<file path=xl/sharedStrings.xml><?xml version="1.0" encoding="utf-8"?>
<sst xmlns="http://schemas.openxmlformats.org/spreadsheetml/2006/main" count="89" uniqueCount="53">
  <si>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</si>
  <si>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</si>
  <si>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</si>
  <si>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</si>
  <si>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</si>
  <si>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</si>
  <si>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</si>
  <si>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</si>
  <si>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</si>
  <si>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</si>
  <si>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</si>
  <si>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</si>
  <si>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</si>
  <si>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</si>
  <si>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</si>
  <si>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</si>
  <si>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</si>
  <si>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</si>
  <si>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Australia(*)</t>
  </si>
  <si>
    <t>Mexico</t>
  </si>
  <si>
    <t>Bahamas, The</t>
  </si>
  <si>
    <t>El Salvador</t>
  </si>
  <si>
    <t>Guatemala</t>
  </si>
  <si>
    <t>Honduras</t>
  </si>
  <si>
    <t>Panama</t>
  </si>
  <si>
    <t>Trinidad and Tobago</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</si>
  <si>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</si>
  <si>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</si>
  <si>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</si>
  <si>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</si>
  <si>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</si>
  <si>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</si>
  <si>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</si>
  <si>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</si>
  <si>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</si>
  <si>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4. Product Group : Harmonized</t>
  </si>
  <si>
    <t>Product</t>
    <phoneticPr fontId="18" type="noConversion"/>
  </si>
  <si>
    <t>SOY OIL ONC-RFND</t>
    <phoneticPr fontId="18" type="noConversion"/>
  </si>
  <si>
    <t>Japan</t>
  </si>
  <si>
    <t>Lebanon</t>
  </si>
  <si>
    <t>Leeward-Windward Islands(*)</t>
  </si>
  <si>
    <t>Belize</t>
  </si>
  <si>
    <t>Chile</t>
  </si>
  <si>
    <t>Colombia</t>
  </si>
  <si>
    <t>Costa Rica</t>
  </si>
  <si>
    <t>Germany</t>
  </si>
  <si>
    <t>Guyana</t>
  </si>
  <si>
    <t>Jordan</t>
  </si>
  <si>
    <t>Korea, South</t>
  </si>
  <si>
    <t>Marshall Islands</t>
  </si>
  <si>
    <t>Sweden</t>
  </si>
  <si>
    <t>Turkey</t>
  </si>
  <si>
    <t>Venezuela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</si>
</sst>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3">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176" fontId="0" fillId="0" borderId="0"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29</v>
      </c>
      <c r="B2" s="2" t="s">
        <v>36</v>
      </c>
      <c r="C2" s="2" t="s">
        <v>13</v>
      </c>
      <c r="D2" s="2" t="s">
        <v>30</v>
      </c>
      <c r="E2" s="4" t="s">
        <v>14</v>
      </c>
      <c r="F2" s="2" t="s">
        <v>30</v>
      </c>
      <c r="G2" s="5" t="s">
        <v>15</v>
      </c>
      <c r="H2" s="2" t="s">
        <v>14</v>
      </c>
      <c r="I2" s="2" t="s">
        <v>30</v>
      </c>
      <c r="J2" s="5" t="s">
        <v>15</v>
      </c>
      <c r="K2" s="2" t="s">
        <v>14</v>
      </c>
      <c r="L2" s="2" t="s">
        <v>30</v>
      </c>
      <c r="M2" s="5" t="s">
        <v>15</v>
      </c>
      <c r="N2" s="2" t="s">
        <v>14</v>
      </c>
      <c r="O2" s="2" t="s">
        <v>30</v>
      </c>
      <c r="P2" s="5" t="s">
        <v>15</v>
      </c>
      <c r="Q2" s="2" t="s">
        <v>14</v>
      </c>
      <c r="R2" s="2" t="s">
        <v>30</v>
      </c>
      <c r="S2" s="5" t="s">
        <v>15</v>
      </c>
      <c r="T2" s="2" t="s">
        <v>14</v>
      </c>
      <c r="U2" s="2" t="s">
        <v>30</v>
      </c>
      <c r="V2" s="5" t="s">
        <v>15</v>
      </c>
      <c r="W2" s="2" t="s">
        <v>14</v>
      </c>
      <c r="X2" s="2" t="s">
        <v>30</v>
      </c>
      <c r="Y2" s="5" t="s">
        <v>15</v>
      </c>
      <c r="Z2" s="2" t="s">
        <v>14</v>
      </c>
      <c r="AA2" s="2" t="s">
        <v>30</v>
      </c>
      <c r="AB2" s="5" t="s">
        <v>15</v>
      </c>
      <c r="AC2" s="2" t="s">
        <v>14</v>
      </c>
      <c r="AD2" s="2" t="s">
        <v>30</v>
      </c>
      <c r="AE2" s="5" t="s">
        <v>15</v>
      </c>
      <c r="AF2" s="2" t="s">
        <v>14</v>
      </c>
      <c r="AG2" s="2" t="s">
        <v>30</v>
      </c>
      <c r="AH2" s="5" t="s">
        <v>15</v>
      </c>
      <c r="AI2" s="2" t="s">
        <v>14</v>
      </c>
      <c r="AJ2" s="2" t="s">
        <v>30</v>
      </c>
      <c r="AK2" s="5" t="s">
        <v>15</v>
      </c>
      <c r="AL2" s="2" t="s">
        <v>14</v>
      </c>
      <c r="AM2" s="2" t="s">
        <v>30</v>
      </c>
      <c r="AN2" s="5" t="s">
        <v>15</v>
      </c>
      <c r="AO2" s="2" t="s">
        <v>14</v>
      </c>
      <c r="AP2" s="2" t="s">
        <v>32</v>
      </c>
      <c r="AQ2" s="5" t="s">
        <v>15</v>
      </c>
    </row>
    <row r="3" spans="1:67" ht="15" customHeight="1" x14ac:dyDescent="0.3">
      <c r="A3" s="9" t="s">
        <v>16</v>
      </c>
      <c r="B3" s="13" t="s">
        <v>37</v>
      </c>
      <c r="C3" s="13" t="s">
        <v>17</v>
      </c>
      <c r="D3" s="13" t="s">
        <v>31</v>
      </c>
      <c r="E3" s="7">
        <f>F3/G3</f>
        <v>838.90339425587479</v>
      </c>
      <c r="F3" s="7">
        <f>SUM(F4:F27)</f>
        <v>128520</v>
      </c>
      <c r="G3" s="8">
        <f t="shared" ref="G3" si="0">SUM(G4:G27)</f>
        <v>153.19999999999999</v>
      </c>
      <c r="H3" s="7">
        <f>I3/J3</f>
        <v>775.91707659873498</v>
      </c>
      <c r="I3" s="7">
        <f>SUM(I4:I27)</f>
        <v>110413</v>
      </c>
      <c r="J3" s="8">
        <f t="shared" ref="J3" si="1">SUM(J4:J27)</f>
        <v>142.30000000000001</v>
      </c>
      <c r="K3" s="7">
        <f>L3/M3</f>
        <v>862.7727806022682</v>
      </c>
      <c r="L3" s="7">
        <f>SUM(L4:L27)</f>
        <v>220611</v>
      </c>
      <c r="M3" s="8">
        <f t="shared" ref="M3" si="2">SUM(M4:M27)</f>
        <v>255.70000000000002</v>
      </c>
      <c r="N3" s="7">
        <f>O3/P3</f>
        <v>826.17691154422789</v>
      </c>
      <c r="O3" s="7">
        <f>SUM(O4:O27)</f>
        <v>110212</v>
      </c>
      <c r="P3" s="8">
        <f t="shared" ref="P3" si="3">SUM(P4:P27)</f>
        <v>133.4</v>
      </c>
      <c r="Q3" s="7">
        <f>R3/S3</f>
        <v>791.1588883062401</v>
      </c>
      <c r="R3" s="7">
        <f>SUM(R4:R27)</f>
        <v>452622</v>
      </c>
      <c r="S3" s="8">
        <f t="shared" ref="S3" si="4">SUM(S4:S27)</f>
        <v>572.1</v>
      </c>
      <c r="T3" s="7">
        <f>U3/V3</f>
        <v>1052.8345626975763</v>
      </c>
      <c r="U3" s="7">
        <f>SUM(U4:U27)</f>
        <v>99914</v>
      </c>
      <c r="V3" s="8">
        <f t="shared" ref="V3" si="5">SUM(V4:V27)</f>
        <v>94.9</v>
      </c>
      <c r="W3" s="7">
        <f>X3/Y3</f>
        <v>985.53191489361689</v>
      </c>
      <c r="X3" s="7">
        <f>SUM(X4:X27)</f>
        <v>162120</v>
      </c>
      <c r="Y3" s="8">
        <f t="shared" ref="Y3" si="6">SUM(Y4:Y27)</f>
        <v>164.50000000000003</v>
      </c>
      <c r="Z3" s="7">
        <f>AA3/AB3</f>
        <v>1196.9959404600811</v>
      </c>
      <c r="AA3" s="7">
        <f>SUM(AA4:AA27)</f>
        <v>88458</v>
      </c>
      <c r="AB3" s="8">
        <f t="shared" ref="AB3" si="7">SUM(AB4:AB27)</f>
        <v>73.900000000000006</v>
      </c>
      <c r="AC3" s="7">
        <f>AD3/AE3</f>
        <v>1200</v>
      </c>
      <c r="AD3" s="7">
        <f>SUM(AD4:AD27)</f>
        <v>99360</v>
      </c>
      <c r="AE3" s="8">
        <f t="shared" ref="AE3" si="8">SUM(AE4:AE27)</f>
        <v>82.8</v>
      </c>
      <c r="AF3" s="7">
        <f>AG3/AH3</f>
        <v>1044.9185667752442</v>
      </c>
      <c r="AG3" s="7">
        <f>SUM(AG4:AG27)</f>
        <v>96237</v>
      </c>
      <c r="AH3" s="8">
        <f t="shared" ref="AH3" si="9">SUM(AH4:AH27)</f>
        <v>92.100000000000009</v>
      </c>
      <c r="AI3" s="7">
        <f>AJ3/AK3</f>
        <v>848.46710923355454</v>
      </c>
      <c r="AJ3" s="7">
        <f>SUM(AJ4:AJ27)</f>
        <v>140591</v>
      </c>
      <c r="AK3" s="8">
        <f t="shared" ref="AK3" si="10">SUM(AK4:AK27)</f>
        <v>165.70000000000002</v>
      </c>
      <c r="AL3" s="7">
        <f>AM3/AN3</f>
        <v>951.38709677419342</v>
      </c>
      <c r="AM3" s="7">
        <f>SUM(AM4:AM27)</f>
        <v>206451</v>
      </c>
      <c r="AN3" s="8">
        <f t="shared" ref="AN3" si="11">SUM(AN4:AN27)</f>
        <v>217.00000000000003</v>
      </c>
      <c r="AO3" s="7">
        <f>AP3/AQ3</f>
        <v>891.93006146395976</v>
      </c>
      <c r="AP3" s="7">
        <f>SUM(AP4:AP27)</f>
        <v>1915509</v>
      </c>
      <c r="AQ3" s="8">
        <f t="shared" ref="AQ3" si="12">SUM(AQ4:AQ27)</f>
        <v>2147.6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25</v>
      </c>
      <c r="B4" s="14"/>
      <c r="C4" s="14"/>
      <c r="D4" s="14"/>
      <c r="E4" s="3">
        <f t="shared" ref="E4:E11" si="13">F4/G4</f>
        <v>717.04180064308673</v>
      </c>
      <c r="F4" s="3">
        <v>22300</v>
      </c>
      <c r="G4" s="6">
        <v>31.1</v>
      </c>
      <c r="H4" s="3" t="e">
        <f t="shared" ref="H4:H11" si="14">I4/J4</f>
        <v>#DIV/0!</v>
      </c>
      <c r="I4" s="3">
        <v>0</v>
      </c>
      <c r="J4" s="6">
        <v>0</v>
      </c>
      <c r="K4" s="3">
        <f t="shared" ref="K4:K11" si="15">L4/M4</f>
        <v>1015.625</v>
      </c>
      <c r="L4" s="3">
        <v>48750</v>
      </c>
      <c r="M4" s="6">
        <v>48</v>
      </c>
      <c r="N4" s="3" t="e">
        <f t="shared" ref="N4:N11" si="16">O4/P4</f>
        <v>#DIV/0!</v>
      </c>
      <c r="O4" s="3">
        <v>0</v>
      </c>
      <c r="P4" s="6">
        <v>0</v>
      </c>
      <c r="Q4" s="3">
        <f t="shared" ref="Q4:Q11" si="17">R4/S4</f>
        <v>719.44444444444446</v>
      </c>
      <c r="R4" s="3">
        <v>51800</v>
      </c>
      <c r="S4" s="6">
        <v>72</v>
      </c>
      <c r="T4" s="3" t="e">
        <f t="shared" ref="T4:T11" si="18">U4/V4</f>
        <v>#DIV/0!</v>
      </c>
      <c r="U4" s="3">
        <v>0</v>
      </c>
      <c r="V4" s="6">
        <v>0</v>
      </c>
      <c r="W4" s="3">
        <f t="shared" ref="W4:W11" si="19">X4/Y4</f>
        <v>953.125</v>
      </c>
      <c r="X4" s="3">
        <v>91500</v>
      </c>
      <c r="Y4" s="6">
        <v>96</v>
      </c>
      <c r="Z4" s="3" t="e">
        <f t="shared" ref="Z4:Z11" si="20">AA4/AB4</f>
        <v>#DIV/0!</v>
      </c>
      <c r="AA4" s="3">
        <v>0</v>
      </c>
      <c r="AB4" s="6">
        <v>0</v>
      </c>
      <c r="AC4" s="3">
        <f t="shared" ref="AC4:AC11" si="21">AD4/AE4</f>
        <v>945</v>
      </c>
      <c r="AD4" s="3">
        <v>22680</v>
      </c>
      <c r="AE4" s="6">
        <v>24</v>
      </c>
      <c r="AF4" s="3">
        <f t="shared" ref="AF4:AF11" si="22">AG4/AH4</f>
        <v>945</v>
      </c>
      <c r="AG4" s="3">
        <v>22680</v>
      </c>
      <c r="AH4" s="6">
        <v>24</v>
      </c>
      <c r="AI4" s="3" t="e">
        <f t="shared" ref="AI4:AI11" si="23">AJ4/AK4</f>
        <v>#DIV/0!</v>
      </c>
      <c r="AJ4" s="3">
        <v>0</v>
      </c>
      <c r="AK4" s="6">
        <v>0</v>
      </c>
      <c r="AL4" s="3">
        <f t="shared" ref="AL4:AL11" si="24">AM4/AN4</f>
        <v>927.7397260273973</v>
      </c>
      <c r="AM4" s="3">
        <v>135450</v>
      </c>
      <c r="AN4" s="6">
        <v>146</v>
      </c>
      <c r="AO4" s="3">
        <f t="shared" ref="AO4:AO27" si="25">AP4/AQ4</f>
        <v>895.85128088868737</v>
      </c>
      <c r="AP4" s="3">
        <f t="shared" ref="AP4:AQ4" si="26">SUM(F4,I4,L4,O4,R4,U4,X4,AA4,AD4,AG4,AJ4,AM4)</f>
        <v>395160</v>
      </c>
      <c r="AQ4" s="6">
        <f t="shared" ref="AQ4:AQ27" si="27">SUM(G4,J4,M4,P4,S4,V4,Y4,AB4,AE4,AH4,AK4,AN4)</f>
        <v>441.1</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39</v>
      </c>
      <c r="B5" s="14"/>
      <c r="C5" s="14"/>
      <c r="D5" s="14"/>
      <c r="E5" s="3" t="e">
        <f t="shared" si="13"/>
        <v>#DIV/0!</v>
      </c>
      <c r="F5" s="3">
        <v>0</v>
      </c>
      <c r="G5" s="6">
        <v>0</v>
      </c>
      <c r="H5" s="3" t="e">
        <f t="shared" si="14"/>
        <v>#DIV/0!</v>
      </c>
      <c r="I5" s="3">
        <v>0</v>
      </c>
      <c r="J5" s="6">
        <v>0</v>
      </c>
      <c r="K5" s="3" t="e">
        <f t="shared" si="15"/>
        <v>#DIV/0!</v>
      </c>
      <c r="L5" s="3">
        <v>0</v>
      </c>
      <c r="M5" s="6">
        <v>0</v>
      </c>
      <c r="N5" s="3">
        <f t="shared" si="16"/>
        <v>1076.1006289308175</v>
      </c>
      <c r="O5" s="3">
        <v>17110</v>
      </c>
      <c r="P5" s="6">
        <v>15.9</v>
      </c>
      <c r="Q5" s="3">
        <f t="shared" si="17"/>
        <v>1077.9527559055118</v>
      </c>
      <c r="R5" s="3">
        <v>68450</v>
      </c>
      <c r="S5" s="6">
        <v>63.5</v>
      </c>
      <c r="T5" s="3">
        <f t="shared" si="18"/>
        <v>1074.9606299212599</v>
      </c>
      <c r="U5" s="3">
        <v>68260</v>
      </c>
      <c r="V5" s="6">
        <v>63.5</v>
      </c>
      <c r="W5" s="3">
        <f t="shared" si="19"/>
        <v>1064.7798742138364</v>
      </c>
      <c r="X5" s="3">
        <v>16930</v>
      </c>
      <c r="Y5" s="6">
        <v>15.9</v>
      </c>
      <c r="Z5" s="3" t="e">
        <f t="shared" si="20"/>
        <v>#DIV/0!</v>
      </c>
      <c r="AA5" s="3">
        <v>0</v>
      </c>
      <c r="AB5" s="6">
        <v>0</v>
      </c>
      <c r="AC5" s="3" t="e">
        <f t="shared" si="21"/>
        <v>#DIV/0!</v>
      </c>
      <c r="AD5" s="3">
        <v>0</v>
      </c>
      <c r="AE5" s="6">
        <v>0</v>
      </c>
      <c r="AF5" s="3" t="e">
        <f t="shared" si="22"/>
        <v>#DIV/0!</v>
      </c>
      <c r="AG5" s="3">
        <v>0</v>
      </c>
      <c r="AH5" s="6">
        <v>0</v>
      </c>
      <c r="AI5" s="3">
        <f t="shared" si="23"/>
        <v>1150.625</v>
      </c>
      <c r="AJ5" s="3">
        <v>5523</v>
      </c>
      <c r="AK5" s="6">
        <v>4.8</v>
      </c>
      <c r="AL5" s="3">
        <f t="shared" si="24"/>
        <v>1027.6276276276278</v>
      </c>
      <c r="AM5" s="3">
        <v>34220</v>
      </c>
      <c r="AN5" s="6">
        <v>33.299999999999997</v>
      </c>
      <c r="AO5" s="3">
        <f t="shared" si="25"/>
        <v>1069.0350431691213</v>
      </c>
      <c r="AP5" s="3">
        <f t="shared" ref="AP5:AQ27" si="28">SUM(F5,I5,L5,O5,R5,U5,X5,AA5,AD5,AG5,AJ5,AM5)</f>
        <v>210493</v>
      </c>
      <c r="AQ5" s="6">
        <f t="shared" si="27"/>
        <v>196.90000000000003</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19</v>
      </c>
      <c r="B6" s="14"/>
      <c r="C6" s="14"/>
      <c r="D6" s="14"/>
      <c r="E6" s="3">
        <f t="shared" si="13"/>
        <v>1133.4391534391534</v>
      </c>
      <c r="F6" s="3">
        <v>21422</v>
      </c>
      <c r="G6" s="6">
        <v>18.899999999999999</v>
      </c>
      <c r="H6" s="3">
        <f t="shared" si="14"/>
        <v>1188.8111888111887</v>
      </c>
      <c r="I6" s="3">
        <v>17000</v>
      </c>
      <c r="J6" s="6">
        <v>14.3</v>
      </c>
      <c r="K6" s="3">
        <f t="shared" si="15"/>
        <v>1009.265625</v>
      </c>
      <c r="L6" s="3">
        <v>64593</v>
      </c>
      <c r="M6" s="6">
        <v>64</v>
      </c>
      <c r="N6" s="3">
        <f t="shared" si="16"/>
        <v>1201.1602209944751</v>
      </c>
      <c r="O6" s="3">
        <v>21741</v>
      </c>
      <c r="P6" s="6">
        <v>18.100000000000001</v>
      </c>
      <c r="Q6" s="3">
        <f t="shared" si="17"/>
        <v>1181.6595744680851</v>
      </c>
      <c r="R6" s="3">
        <v>27769</v>
      </c>
      <c r="S6" s="6">
        <v>23.5</v>
      </c>
      <c r="T6" s="3">
        <f t="shared" si="18"/>
        <v>799.453125</v>
      </c>
      <c r="U6" s="3">
        <v>10233</v>
      </c>
      <c r="V6" s="6">
        <v>12.8</v>
      </c>
      <c r="W6" s="3">
        <f t="shared" si="19"/>
        <v>823.69077306733163</v>
      </c>
      <c r="X6" s="3">
        <v>33030</v>
      </c>
      <c r="Y6" s="6">
        <v>40.1</v>
      </c>
      <c r="Z6" s="3">
        <f t="shared" si="20"/>
        <v>1091.9827586206898</v>
      </c>
      <c r="AA6" s="3">
        <v>25334</v>
      </c>
      <c r="AB6" s="6">
        <v>23.2</v>
      </c>
      <c r="AC6" s="3">
        <f t="shared" si="21"/>
        <v>1119.655172413793</v>
      </c>
      <c r="AD6" s="3">
        <v>3247</v>
      </c>
      <c r="AE6" s="6">
        <v>2.9</v>
      </c>
      <c r="AF6" s="3">
        <f t="shared" si="22"/>
        <v>1177.0479704797046</v>
      </c>
      <c r="AG6" s="3">
        <v>31898</v>
      </c>
      <c r="AH6" s="6">
        <v>27.1</v>
      </c>
      <c r="AI6" s="3">
        <f t="shared" si="23"/>
        <v>1106.2068965517242</v>
      </c>
      <c r="AJ6" s="3">
        <v>3208</v>
      </c>
      <c r="AK6" s="6">
        <v>2.9</v>
      </c>
      <c r="AL6" s="3">
        <f t="shared" si="24"/>
        <v>819.71428571428567</v>
      </c>
      <c r="AM6" s="3">
        <v>20083</v>
      </c>
      <c r="AN6" s="6">
        <v>24.5</v>
      </c>
      <c r="AO6" s="3">
        <f t="shared" si="25"/>
        <v>1026.6544252662504</v>
      </c>
      <c r="AP6" s="3">
        <f t="shared" si="28"/>
        <v>279558</v>
      </c>
      <c r="AQ6" s="6">
        <f t="shared" si="27"/>
        <v>272.3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22</v>
      </c>
      <c r="B7" s="14"/>
      <c r="C7" s="14"/>
      <c r="D7" s="14"/>
      <c r="E7" s="3">
        <f t="shared" si="13"/>
        <v>717.890625</v>
      </c>
      <c r="F7" s="3">
        <v>45945</v>
      </c>
      <c r="G7" s="6">
        <v>64</v>
      </c>
      <c r="H7" s="3">
        <f t="shared" si="14"/>
        <v>717.97945205479459</v>
      </c>
      <c r="I7" s="3">
        <v>20965</v>
      </c>
      <c r="J7" s="6">
        <v>29.2</v>
      </c>
      <c r="K7" s="3">
        <f t="shared" si="15"/>
        <v>718.99686520376179</v>
      </c>
      <c r="L7" s="3">
        <v>22936</v>
      </c>
      <c r="M7" s="6">
        <v>31.9</v>
      </c>
      <c r="N7" s="3">
        <f t="shared" si="16"/>
        <v>718.59375</v>
      </c>
      <c r="O7" s="3">
        <v>18396</v>
      </c>
      <c r="P7" s="6">
        <v>25.6</v>
      </c>
      <c r="Q7" s="3">
        <f t="shared" si="17"/>
        <v>719.71751412429387</v>
      </c>
      <c r="R7" s="3">
        <v>12739</v>
      </c>
      <c r="S7" s="6">
        <v>17.7</v>
      </c>
      <c r="T7" s="3" t="e">
        <f t="shared" si="18"/>
        <v>#DIV/0!</v>
      </c>
      <c r="U7" s="3">
        <v>0</v>
      </c>
      <c r="V7" s="6">
        <v>0</v>
      </c>
      <c r="W7" s="3" t="e">
        <f t="shared" si="19"/>
        <v>#DIV/0!</v>
      </c>
      <c r="X7" s="3">
        <v>0</v>
      </c>
      <c r="Y7" s="6">
        <v>0</v>
      </c>
      <c r="Z7" s="3">
        <f t="shared" si="20"/>
        <v>1287.5247524752476</v>
      </c>
      <c r="AA7" s="3">
        <v>13004</v>
      </c>
      <c r="AB7" s="6">
        <v>10.1</v>
      </c>
      <c r="AC7" s="3">
        <f t="shared" si="21"/>
        <v>1268.2203389830509</v>
      </c>
      <c r="AD7" s="3">
        <v>14965</v>
      </c>
      <c r="AE7" s="6">
        <v>11.8</v>
      </c>
      <c r="AF7" s="3">
        <f t="shared" si="22"/>
        <v>900.90361445783128</v>
      </c>
      <c r="AG7" s="3">
        <v>29910</v>
      </c>
      <c r="AH7" s="6">
        <v>33.200000000000003</v>
      </c>
      <c r="AI7" s="3">
        <f t="shared" si="23"/>
        <v>1268.1188118811881</v>
      </c>
      <c r="AJ7" s="3">
        <v>12808</v>
      </c>
      <c r="AK7" s="6">
        <v>10.1</v>
      </c>
      <c r="AL7" s="3">
        <f t="shared" si="24"/>
        <v>1214.1747572815534</v>
      </c>
      <c r="AM7" s="3">
        <v>12506</v>
      </c>
      <c r="AN7" s="6">
        <v>10.3</v>
      </c>
      <c r="AO7" s="3">
        <f t="shared" si="25"/>
        <v>837.12177121771219</v>
      </c>
      <c r="AP7" s="3">
        <f t="shared" si="28"/>
        <v>204174</v>
      </c>
      <c r="AQ7" s="6">
        <f t="shared" si="27"/>
        <v>243.9</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40</v>
      </c>
      <c r="B8" s="14"/>
      <c r="C8" s="14"/>
      <c r="D8" s="14"/>
      <c r="E8" s="3" t="e">
        <f t="shared" si="13"/>
        <v>#DIV/0!</v>
      </c>
      <c r="F8" s="3">
        <v>0</v>
      </c>
      <c r="G8" s="6">
        <v>0</v>
      </c>
      <c r="H8" s="3">
        <f t="shared" si="14"/>
        <v>1308</v>
      </c>
      <c r="I8" s="3">
        <v>3270</v>
      </c>
      <c r="J8" s="6">
        <v>2.5</v>
      </c>
      <c r="K8" s="3">
        <f t="shared" si="15"/>
        <v>721.12871287128712</v>
      </c>
      <c r="L8" s="3">
        <v>36417</v>
      </c>
      <c r="M8" s="6">
        <v>50.5</v>
      </c>
      <c r="N8" s="3" t="e">
        <f t="shared" si="16"/>
        <v>#DIV/0!</v>
      </c>
      <c r="O8" s="3">
        <v>0</v>
      </c>
      <c r="P8" s="6">
        <v>0</v>
      </c>
      <c r="Q8" s="3">
        <f t="shared" si="17"/>
        <v>1099.1772151898733</v>
      </c>
      <c r="R8" s="3">
        <v>17367</v>
      </c>
      <c r="S8" s="6">
        <v>15.8</v>
      </c>
      <c r="T8" s="3" t="e">
        <f t="shared" si="18"/>
        <v>#DIV/0!</v>
      </c>
      <c r="U8" s="3">
        <v>0</v>
      </c>
      <c r="V8" s="6">
        <v>0</v>
      </c>
      <c r="W8" s="3">
        <f t="shared" si="19"/>
        <v>1194.8648648648648</v>
      </c>
      <c r="X8" s="3">
        <v>8842</v>
      </c>
      <c r="Y8" s="6">
        <v>7.4</v>
      </c>
      <c r="Z8" s="3" t="e">
        <f t="shared" si="20"/>
        <v>#DIV/0!</v>
      </c>
      <c r="AA8" s="3">
        <v>0</v>
      </c>
      <c r="AB8" s="6">
        <v>0</v>
      </c>
      <c r="AC8" s="3" t="e">
        <f t="shared" si="21"/>
        <v>#DIV/0!</v>
      </c>
      <c r="AD8" s="3">
        <v>0</v>
      </c>
      <c r="AE8" s="6">
        <v>0</v>
      </c>
      <c r="AF8" s="3" t="e">
        <f t="shared" si="22"/>
        <v>#DIV/0!</v>
      </c>
      <c r="AG8" s="3">
        <v>0</v>
      </c>
      <c r="AH8" s="6">
        <v>0</v>
      </c>
      <c r="AI8" s="3" t="e">
        <f t="shared" si="23"/>
        <v>#DIV/0!</v>
      </c>
      <c r="AJ8" s="3">
        <v>0</v>
      </c>
      <c r="AK8" s="6">
        <v>0</v>
      </c>
      <c r="AL8" s="3">
        <f t="shared" si="24"/>
        <v>1445.5172413793105</v>
      </c>
      <c r="AM8" s="3">
        <v>4192</v>
      </c>
      <c r="AN8" s="6">
        <v>2.9</v>
      </c>
      <c r="AO8" s="3">
        <f t="shared" si="25"/>
        <v>886.06826801517059</v>
      </c>
      <c r="AP8" s="3">
        <f t="shared" si="28"/>
        <v>70088</v>
      </c>
      <c r="AQ8" s="6">
        <f t="shared" si="27"/>
        <v>79.100000000000009</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18</v>
      </c>
      <c r="B9" s="14"/>
      <c r="C9" s="14"/>
      <c r="D9" s="14"/>
      <c r="E9" s="3" t="e">
        <f t="shared" si="13"/>
        <v>#DIV/0!</v>
      </c>
      <c r="F9" s="3">
        <v>0</v>
      </c>
      <c r="G9" s="6">
        <v>0</v>
      </c>
      <c r="H9" s="3">
        <f t="shared" si="14"/>
        <v>718.7119437939109</v>
      </c>
      <c r="I9" s="3">
        <v>30689</v>
      </c>
      <c r="J9" s="6">
        <v>42.7</v>
      </c>
      <c r="K9" s="3" t="e">
        <f t="shared" si="15"/>
        <v>#DIV/0!</v>
      </c>
      <c r="L9" s="3">
        <v>0</v>
      </c>
      <c r="M9" s="6">
        <v>0</v>
      </c>
      <c r="N9" s="3" t="e">
        <f t="shared" si="16"/>
        <v>#DIV/0!</v>
      </c>
      <c r="O9" s="3">
        <v>0</v>
      </c>
      <c r="P9" s="6">
        <v>0</v>
      </c>
      <c r="Q9" s="3" t="e">
        <f t="shared" si="17"/>
        <v>#DIV/0!</v>
      </c>
      <c r="R9" s="3">
        <v>0</v>
      </c>
      <c r="S9" s="6">
        <v>0</v>
      </c>
      <c r="T9" s="3" t="e">
        <f t="shared" si="18"/>
        <v>#DIV/0!</v>
      </c>
      <c r="U9" s="3">
        <v>0</v>
      </c>
      <c r="V9" s="6">
        <v>0</v>
      </c>
      <c r="W9" s="3" t="e">
        <f t="shared" si="19"/>
        <v>#DIV/0!</v>
      </c>
      <c r="X9" s="3">
        <v>0</v>
      </c>
      <c r="Y9" s="6">
        <v>0</v>
      </c>
      <c r="Z9" s="3" t="e">
        <f t="shared" si="20"/>
        <v>#DIV/0!</v>
      </c>
      <c r="AA9" s="3">
        <v>0</v>
      </c>
      <c r="AB9" s="6">
        <v>0</v>
      </c>
      <c r="AC9" s="3" t="e">
        <f t="shared" si="21"/>
        <v>#DIV/0!</v>
      </c>
      <c r="AD9" s="3">
        <v>0</v>
      </c>
      <c r="AE9" s="6">
        <v>0</v>
      </c>
      <c r="AF9" s="3" t="e">
        <f t="shared" si="22"/>
        <v>#DIV/0!</v>
      </c>
      <c r="AG9" s="3">
        <v>0</v>
      </c>
      <c r="AH9" s="6">
        <v>0</v>
      </c>
      <c r="AI9" s="3" t="e">
        <f t="shared" si="23"/>
        <v>#DIV/0!</v>
      </c>
      <c r="AJ9" s="3">
        <v>0</v>
      </c>
      <c r="AK9" s="6">
        <v>0</v>
      </c>
      <c r="AL9" s="3" t="e">
        <f t="shared" si="24"/>
        <v>#DIV/0!</v>
      </c>
      <c r="AM9" s="3">
        <v>0</v>
      </c>
      <c r="AN9" s="6">
        <v>0</v>
      </c>
      <c r="AO9" s="3">
        <f t="shared" si="25"/>
        <v>718.7119437939109</v>
      </c>
      <c r="AP9" s="3">
        <f t="shared" si="28"/>
        <v>30689</v>
      </c>
      <c r="AQ9" s="6">
        <f t="shared" si="27"/>
        <v>42.7</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20</v>
      </c>
      <c r="B10" s="14"/>
      <c r="C10" s="14"/>
      <c r="D10" s="14"/>
      <c r="E10" s="3" t="e">
        <f t="shared" si="13"/>
        <v>#DIV/0!</v>
      </c>
      <c r="F10" s="3">
        <v>0</v>
      </c>
      <c r="G10" s="6">
        <v>0</v>
      </c>
      <c r="H10" s="3" t="e">
        <f t="shared" si="14"/>
        <v>#DIV/0!</v>
      </c>
      <c r="I10" s="3">
        <v>0</v>
      </c>
      <c r="J10" s="6">
        <v>0</v>
      </c>
      <c r="K10" s="3" t="e">
        <f t="shared" si="15"/>
        <v>#DIV/0!</v>
      </c>
      <c r="L10" s="3">
        <v>0</v>
      </c>
      <c r="M10" s="6">
        <v>0</v>
      </c>
      <c r="N10" s="3">
        <f t="shared" si="16"/>
        <v>717.043795620438</v>
      </c>
      <c r="O10" s="3">
        <v>19647</v>
      </c>
      <c r="P10" s="6">
        <v>27.4</v>
      </c>
      <c r="Q10" s="3" t="e">
        <f t="shared" si="17"/>
        <v>#DIV/0!</v>
      </c>
      <c r="R10" s="3">
        <v>0</v>
      </c>
      <c r="S10" s="6">
        <v>0</v>
      </c>
      <c r="T10" s="3" t="e">
        <f t="shared" si="18"/>
        <v>#DIV/0!</v>
      </c>
      <c r="U10" s="3">
        <v>0</v>
      </c>
      <c r="V10" s="6">
        <v>0</v>
      </c>
      <c r="W10" s="3" t="e">
        <f t="shared" si="19"/>
        <v>#DIV/0!</v>
      </c>
      <c r="X10" s="3">
        <v>0</v>
      </c>
      <c r="Y10" s="6">
        <v>0</v>
      </c>
      <c r="Z10" s="3" t="e">
        <f t="shared" si="20"/>
        <v>#DIV/0!</v>
      </c>
      <c r="AA10" s="3">
        <v>0</v>
      </c>
      <c r="AB10" s="6">
        <v>0</v>
      </c>
      <c r="AC10" s="3" t="e">
        <f t="shared" si="21"/>
        <v>#DIV/0!</v>
      </c>
      <c r="AD10" s="3">
        <v>0</v>
      </c>
      <c r="AE10" s="6">
        <v>0</v>
      </c>
      <c r="AF10" s="3" t="e">
        <f t="shared" si="22"/>
        <v>#DIV/0!</v>
      </c>
      <c r="AG10" s="3">
        <v>0</v>
      </c>
      <c r="AH10" s="6">
        <v>0</v>
      </c>
      <c r="AI10" s="3" t="e">
        <f t="shared" si="23"/>
        <v>#DIV/0!</v>
      </c>
      <c r="AJ10" s="3">
        <v>0</v>
      </c>
      <c r="AK10" s="6">
        <v>0</v>
      </c>
      <c r="AL10" s="3" t="e">
        <f t="shared" si="24"/>
        <v>#DIV/0!</v>
      </c>
      <c r="AM10" s="3">
        <v>0</v>
      </c>
      <c r="AN10" s="6">
        <v>0</v>
      </c>
      <c r="AO10" s="3">
        <f t="shared" si="25"/>
        <v>717.043795620438</v>
      </c>
      <c r="AP10" s="3">
        <f t="shared" si="28"/>
        <v>19647</v>
      </c>
      <c r="AQ10" s="6">
        <f t="shared" si="27"/>
        <v>27.4</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41</v>
      </c>
      <c r="B11" s="14"/>
      <c r="C11" s="14"/>
      <c r="D11" s="14"/>
      <c r="E11" s="3" t="e">
        <f t="shared" si="13"/>
        <v>#DIV/0!</v>
      </c>
      <c r="F11" s="3">
        <v>0</v>
      </c>
      <c r="G11" s="6">
        <v>0</v>
      </c>
      <c r="H11" s="3">
        <f t="shared" si="14"/>
        <v>719.43005181347144</v>
      </c>
      <c r="I11" s="3">
        <v>13885</v>
      </c>
      <c r="J11" s="6">
        <v>19.3</v>
      </c>
      <c r="K11" s="3" t="e">
        <f t="shared" si="15"/>
        <v>#DIV/0!</v>
      </c>
      <c r="L11" s="3">
        <v>0</v>
      </c>
      <c r="M11" s="6">
        <v>0</v>
      </c>
      <c r="N11" s="3" t="e">
        <f t="shared" si="16"/>
        <v>#DIV/0!</v>
      </c>
      <c r="O11" s="3">
        <v>0</v>
      </c>
      <c r="P11" s="6">
        <v>0</v>
      </c>
      <c r="Q11" s="3" t="e">
        <f t="shared" si="17"/>
        <v>#DIV/0!</v>
      </c>
      <c r="R11" s="3">
        <v>0</v>
      </c>
      <c r="S11" s="6">
        <v>0</v>
      </c>
      <c r="T11" s="3" t="e">
        <f t="shared" si="18"/>
        <v>#DIV/0!</v>
      </c>
      <c r="U11" s="3">
        <v>0</v>
      </c>
      <c r="V11" s="6">
        <v>0</v>
      </c>
      <c r="W11" s="3" t="e">
        <f t="shared" si="19"/>
        <v>#DIV/0!</v>
      </c>
      <c r="X11" s="3">
        <v>0</v>
      </c>
      <c r="Y11" s="6">
        <v>0</v>
      </c>
      <c r="Z11" s="3" t="e">
        <f t="shared" si="20"/>
        <v>#DIV/0!</v>
      </c>
      <c r="AA11" s="3">
        <v>0</v>
      </c>
      <c r="AB11" s="6">
        <v>0</v>
      </c>
      <c r="AC11" s="3" t="e">
        <f t="shared" si="21"/>
        <v>#DIV/0!</v>
      </c>
      <c r="AD11" s="3">
        <v>0</v>
      </c>
      <c r="AE11" s="6">
        <v>0</v>
      </c>
      <c r="AF11" s="3" t="e">
        <f t="shared" si="22"/>
        <v>#DIV/0!</v>
      </c>
      <c r="AG11" s="3">
        <v>0</v>
      </c>
      <c r="AH11" s="6">
        <v>0</v>
      </c>
      <c r="AI11" s="3" t="e">
        <f t="shared" si="23"/>
        <v>#DIV/0!</v>
      </c>
      <c r="AJ11" s="3">
        <v>0</v>
      </c>
      <c r="AK11" s="6">
        <v>0</v>
      </c>
      <c r="AL11" s="3" t="e">
        <f t="shared" si="24"/>
        <v>#DIV/0!</v>
      </c>
      <c r="AM11" s="3">
        <v>0</v>
      </c>
      <c r="AN11" s="6">
        <v>0</v>
      </c>
      <c r="AO11" s="3">
        <f t="shared" si="25"/>
        <v>719.43005181347144</v>
      </c>
      <c r="AP11" s="3">
        <f t="shared" si="28"/>
        <v>13885</v>
      </c>
      <c r="AQ11" s="6">
        <f t="shared" si="27"/>
        <v>19.3</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42</v>
      </c>
      <c r="B12" s="14"/>
      <c r="C12" s="14"/>
      <c r="D12" s="14"/>
      <c r="E12" s="3" t="e">
        <f>F12/G12</f>
        <v>#DIV/0!</v>
      </c>
      <c r="F12" s="3">
        <v>0</v>
      </c>
      <c r="G12" s="6">
        <v>0</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t="e">
        <f>AA12/AB12</f>
        <v>#DIV/0!</v>
      </c>
      <c r="AA12" s="3">
        <v>0</v>
      </c>
      <c r="AB12" s="6">
        <v>0</v>
      </c>
      <c r="AC12" s="3" t="e">
        <f>AD12/AE12</f>
        <v>#DIV/0!</v>
      </c>
      <c r="AD12" s="3">
        <v>0</v>
      </c>
      <c r="AE12" s="6">
        <v>0</v>
      </c>
      <c r="AF12" s="3" t="e">
        <f>AG12/AH12</f>
        <v>#DIV/0!</v>
      </c>
      <c r="AG12" s="3">
        <v>0</v>
      </c>
      <c r="AH12" s="6">
        <v>0</v>
      </c>
      <c r="AI12" s="3">
        <f>AJ12/AK12</f>
        <v>456.59863945578229</v>
      </c>
      <c r="AJ12" s="3">
        <v>20136</v>
      </c>
      <c r="AK12" s="6">
        <v>44.1</v>
      </c>
      <c r="AL12" s="3" t="e">
        <f>AM12/AN12</f>
        <v>#DIV/0!</v>
      </c>
      <c r="AM12" s="3">
        <v>0</v>
      </c>
      <c r="AN12" s="6">
        <v>0</v>
      </c>
      <c r="AO12" s="3">
        <f t="shared" si="25"/>
        <v>456.59863945578229</v>
      </c>
      <c r="AP12" s="3">
        <f t="shared" si="28"/>
        <v>20136</v>
      </c>
      <c r="AQ12" s="6">
        <f t="shared" si="27"/>
        <v>44.1</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43</v>
      </c>
      <c r="B13" s="14"/>
      <c r="C13" s="14"/>
      <c r="D13" s="14"/>
      <c r="E13" s="3" t="e">
        <f t="shared" ref="E13:E27" si="29">F13/G13</f>
        <v>#DIV/0!</v>
      </c>
      <c r="F13" s="3">
        <v>0</v>
      </c>
      <c r="G13" s="6">
        <v>0</v>
      </c>
      <c r="H13" s="3" t="e">
        <f t="shared" ref="H13:H27" si="30">I13/J13</f>
        <v>#DIV/0!</v>
      </c>
      <c r="I13" s="3">
        <v>0</v>
      </c>
      <c r="J13" s="6">
        <v>0</v>
      </c>
      <c r="K13" s="3">
        <f t="shared" ref="K13:K27" si="31">L13/M13</f>
        <v>718.87445887445881</v>
      </c>
      <c r="L13" s="3">
        <v>33212</v>
      </c>
      <c r="M13" s="6">
        <v>46.2</v>
      </c>
      <c r="N13" s="3">
        <f t="shared" ref="N13:N27" si="32">O13/P13</f>
        <v>718.06034482758628</v>
      </c>
      <c r="O13" s="3">
        <v>33318</v>
      </c>
      <c r="P13" s="6">
        <v>46.4</v>
      </c>
      <c r="Q13" s="3" t="e">
        <f t="shared" ref="Q13:Q27" si="33">R13/S13</f>
        <v>#DIV/0!</v>
      </c>
      <c r="R13" s="3">
        <v>0</v>
      </c>
      <c r="S13" s="6">
        <v>0</v>
      </c>
      <c r="T13" s="3" t="e">
        <f t="shared" ref="T13:T27" si="34">U13/V13</f>
        <v>#DIV/0!</v>
      </c>
      <c r="U13" s="3">
        <v>0</v>
      </c>
      <c r="V13" s="6">
        <v>0</v>
      </c>
      <c r="W13" s="3">
        <f t="shared" ref="W13:W27" si="35">X13/Y13</f>
        <v>3393.1578947368421</v>
      </c>
      <c r="X13" s="3">
        <v>6447</v>
      </c>
      <c r="Y13" s="6">
        <v>1.9</v>
      </c>
      <c r="Z13" s="3" t="e">
        <f t="shared" ref="Z13:Z27" si="36">AA13/AB13</f>
        <v>#DIV/0!</v>
      </c>
      <c r="AA13" s="3">
        <v>0</v>
      </c>
      <c r="AB13" s="6">
        <v>0</v>
      </c>
      <c r="AC13" s="3" t="e">
        <f t="shared" ref="AC13:AC27" si="37">AD13/AE13</f>
        <v>#DIV/0!</v>
      </c>
      <c r="AD13" s="3">
        <v>0</v>
      </c>
      <c r="AE13" s="6">
        <v>0</v>
      </c>
      <c r="AF13" s="3" t="e">
        <f t="shared" ref="AF13:AF27" si="38">AG13/AH13</f>
        <v>#DIV/0!</v>
      </c>
      <c r="AG13" s="3">
        <v>0</v>
      </c>
      <c r="AH13" s="6">
        <v>0</v>
      </c>
      <c r="AI13" s="3">
        <f t="shared" ref="AI13:AI27" si="39">AJ13/AK13</f>
        <v>718.32946635730855</v>
      </c>
      <c r="AJ13" s="3">
        <v>30960</v>
      </c>
      <c r="AK13" s="6">
        <v>43.1</v>
      </c>
      <c r="AL13" s="3" t="e">
        <f t="shared" ref="AL13:AL27" si="40">AM13/AN13</f>
        <v>#DIV/0!</v>
      </c>
      <c r="AM13" s="3">
        <v>0</v>
      </c>
      <c r="AN13" s="6">
        <v>0</v>
      </c>
      <c r="AO13" s="3">
        <f t="shared" si="25"/>
        <v>755.35610465116281</v>
      </c>
      <c r="AP13" s="3">
        <f t="shared" si="28"/>
        <v>103937</v>
      </c>
      <c r="AQ13" s="6">
        <f t="shared" si="27"/>
        <v>137.6</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44</v>
      </c>
      <c r="B14" s="14"/>
      <c r="C14" s="14"/>
      <c r="D14" s="14"/>
      <c r="E14" s="3" t="e">
        <f t="shared" si="29"/>
        <v>#DIV/0!</v>
      </c>
      <c r="F14" s="3">
        <v>0</v>
      </c>
      <c r="G14" s="6">
        <v>0</v>
      </c>
      <c r="H14" s="3">
        <f t="shared" si="30"/>
        <v>717.93333333333328</v>
      </c>
      <c r="I14" s="3">
        <v>10769</v>
      </c>
      <c r="J14" s="6">
        <v>15</v>
      </c>
      <c r="K14" s="3" t="e">
        <f t="shared" si="31"/>
        <v>#DIV/0!</v>
      </c>
      <c r="L14" s="3">
        <v>0</v>
      </c>
      <c r="M14" s="6">
        <v>0</v>
      </c>
      <c r="N14" s="3" t="e">
        <f t="shared" si="32"/>
        <v>#DIV/0!</v>
      </c>
      <c r="O14" s="3">
        <v>0</v>
      </c>
      <c r="P14" s="6">
        <v>0</v>
      </c>
      <c r="Q14" s="3" t="e">
        <f t="shared" si="33"/>
        <v>#DIV/0!</v>
      </c>
      <c r="R14" s="3">
        <v>0</v>
      </c>
      <c r="S14" s="6">
        <v>0</v>
      </c>
      <c r="T14" s="3" t="e">
        <f t="shared" si="34"/>
        <v>#DIV/0!</v>
      </c>
      <c r="U14" s="3">
        <v>0</v>
      </c>
      <c r="V14" s="6">
        <v>0</v>
      </c>
      <c r="W14" s="3">
        <f t="shared" si="35"/>
        <v>3328.75</v>
      </c>
      <c r="X14" s="3">
        <v>2663</v>
      </c>
      <c r="Y14" s="6">
        <v>0.8</v>
      </c>
      <c r="Z14" s="3" t="e">
        <f t="shared" si="36"/>
        <v>#DIV/0!</v>
      </c>
      <c r="AA14" s="3">
        <v>0</v>
      </c>
      <c r="AB14" s="6">
        <v>0</v>
      </c>
      <c r="AC14" s="3" t="e">
        <f t="shared" si="37"/>
        <v>#DIV/0!</v>
      </c>
      <c r="AD14" s="3">
        <v>0</v>
      </c>
      <c r="AE14" s="6">
        <v>0</v>
      </c>
      <c r="AF14" s="3" t="e">
        <f t="shared" si="38"/>
        <v>#DIV/0!</v>
      </c>
      <c r="AG14" s="3">
        <v>0</v>
      </c>
      <c r="AH14" s="6">
        <v>0</v>
      </c>
      <c r="AI14" s="3" t="e">
        <f t="shared" si="39"/>
        <v>#DIV/0!</v>
      </c>
      <c r="AJ14" s="3">
        <v>0</v>
      </c>
      <c r="AK14" s="6">
        <v>0</v>
      </c>
      <c r="AL14" s="3" t="e">
        <f t="shared" si="40"/>
        <v>#DIV/0!</v>
      </c>
      <c r="AM14" s="3">
        <v>0</v>
      </c>
      <c r="AN14" s="6">
        <v>0</v>
      </c>
      <c r="AO14" s="3">
        <f t="shared" si="25"/>
        <v>850.12658227848101</v>
      </c>
      <c r="AP14" s="3">
        <f t="shared" si="28"/>
        <v>13432</v>
      </c>
      <c r="AQ14" s="6">
        <f t="shared" si="27"/>
        <v>15.8</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21</v>
      </c>
      <c r="B15" s="14"/>
      <c r="C15" s="14"/>
      <c r="D15" s="14"/>
      <c r="E15" s="3">
        <f t="shared" si="29"/>
        <v>3143.333333333333</v>
      </c>
      <c r="F15" s="3">
        <v>2829</v>
      </c>
      <c r="G15" s="6">
        <v>0.9</v>
      </c>
      <c r="H15" s="3" t="e">
        <f t="shared" si="30"/>
        <v>#DIV/0!</v>
      </c>
      <c r="I15" s="3">
        <v>0</v>
      </c>
      <c r="J15" s="6">
        <v>0</v>
      </c>
      <c r="K15" s="3" t="e">
        <f t="shared" si="31"/>
        <v>#DIV/0!</v>
      </c>
      <c r="L15" s="3">
        <v>0</v>
      </c>
      <c r="M15" s="6">
        <v>0</v>
      </c>
      <c r="N15" s="3" t="e">
        <f t="shared" si="32"/>
        <v>#DIV/0!</v>
      </c>
      <c r="O15" s="3">
        <v>0</v>
      </c>
      <c r="P15" s="6">
        <v>0</v>
      </c>
      <c r="Q15" s="3" t="e">
        <f t="shared" si="33"/>
        <v>#DIV/0!</v>
      </c>
      <c r="R15" s="3">
        <v>0</v>
      </c>
      <c r="S15" s="6">
        <v>0</v>
      </c>
      <c r="T15" s="3" t="e">
        <f t="shared" si="34"/>
        <v>#DIV/0!</v>
      </c>
      <c r="U15" s="3">
        <v>0</v>
      </c>
      <c r="V15" s="6">
        <v>0</v>
      </c>
      <c r="W15" s="3" t="e">
        <f t="shared" si="35"/>
        <v>#DIV/0!</v>
      </c>
      <c r="X15" s="3">
        <v>0</v>
      </c>
      <c r="Y15" s="6">
        <v>0</v>
      </c>
      <c r="Z15" s="3" t="e">
        <f t="shared" si="36"/>
        <v>#DIV/0!</v>
      </c>
      <c r="AA15" s="3">
        <v>0</v>
      </c>
      <c r="AB15" s="6">
        <v>0</v>
      </c>
      <c r="AC15" s="3" t="e">
        <f t="shared" si="37"/>
        <v>#DIV/0!</v>
      </c>
      <c r="AD15" s="3">
        <v>0</v>
      </c>
      <c r="AE15" s="6">
        <v>0</v>
      </c>
      <c r="AF15" s="3" t="e">
        <f t="shared" si="38"/>
        <v>#DIV/0!</v>
      </c>
      <c r="AG15" s="3">
        <v>0</v>
      </c>
      <c r="AH15" s="6">
        <v>0</v>
      </c>
      <c r="AI15" s="3" t="e">
        <f t="shared" si="39"/>
        <v>#DIV/0!</v>
      </c>
      <c r="AJ15" s="3">
        <v>0</v>
      </c>
      <c r="AK15" s="6">
        <v>0</v>
      </c>
      <c r="AL15" s="3" t="e">
        <f t="shared" si="40"/>
        <v>#DIV/0!</v>
      </c>
      <c r="AM15" s="3">
        <v>0</v>
      </c>
      <c r="AN15" s="6">
        <v>0</v>
      </c>
      <c r="AO15" s="3">
        <f t="shared" si="25"/>
        <v>3143.333333333333</v>
      </c>
      <c r="AP15" s="3">
        <f t="shared" si="28"/>
        <v>2829</v>
      </c>
      <c r="AQ15" s="6">
        <f t="shared" si="27"/>
        <v>0.9</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45</v>
      </c>
      <c r="B16" s="14"/>
      <c r="C16" s="14"/>
      <c r="D16" s="14"/>
      <c r="E16" s="3" t="e">
        <f t="shared" si="29"/>
        <v>#DIV/0!</v>
      </c>
      <c r="F16" s="3">
        <v>0</v>
      </c>
      <c r="G16" s="6">
        <v>0</v>
      </c>
      <c r="H16" s="3" t="e">
        <f t="shared" si="30"/>
        <v>#DIV/0!</v>
      </c>
      <c r="I16" s="3">
        <v>0</v>
      </c>
      <c r="J16" s="6">
        <v>0</v>
      </c>
      <c r="K16" s="3" t="e">
        <f t="shared" si="31"/>
        <v>#DIV/0!</v>
      </c>
      <c r="L16" s="3">
        <v>0</v>
      </c>
      <c r="M16" s="6">
        <v>0</v>
      </c>
      <c r="N16" s="3" t="e">
        <f t="shared" si="32"/>
        <v>#DIV/0!</v>
      </c>
      <c r="O16" s="3">
        <v>0</v>
      </c>
      <c r="P16" s="6">
        <v>0</v>
      </c>
      <c r="Q16" s="3">
        <f t="shared" si="33"/>
        <v>1272.7272727272727</v>
      </c>
      <c r="R16" s="3">
        <v>4200</v>
      </c>
      <c r="S16" s="6">
        <v>3.3</v>
      </c>
      <c r="T16" s="3" t="e">
        <f t="shared" si="34"/>
        <v>#DIV/0!</v>
      </c>
      <c r="U16" s="3">
        <v>0</v>
      </c>
      <c r="V16" s="6">
        <v>0</v>
      </c>
      <c r="W16" s="3" t="e">
        <f t="shared" si="35"/>
        <v>#DIV/0!</v>
      </c>
      <c r="X16" s="3">
        <v>0</v>
      </c>
      <c r="Y16" s="6">
        <v>0</v>
      </c>
      <c r="Z16" s="3" t="e">
        <f t="shared" si="36"/>
        <v>#DIV/0!</v>
      </c>
      <c r="AA16" s="3">
        <v>0</v>
      </c>
      <c r="AB16" s="6">
        <v>0</v>
      </c>
      <c r="AC16" s="3" t="e">
        <f t="shared" si="37"/>
        <v>#DIV/0!</v>
      </c>
      <c r="AD16" s="3">
        <v>0</v>
      </c>
      <c r="AE16" s="6">
        <v>0</v>
      </c>
      <c r="AF16" s="3" t="e">
        <f t="shared" si="38"/>
        <v>#DIV/0!</v>
      </c>
      <c r="AG16" s="3">
        <v>0</v>
      </c>
      <c r="AH16" s="6">
        <v>0</v>
      </c>
      <c r="AI16" s="3" t="e">
        <f t="shared" si="39"/>
        <v>#DIV/0!</v>
      </c>
      <c r="AJ16" s="3">
        <v>0</v>
      </c>
      <c r="AK16" s="6">
        <v>0</v>
      </c>
      <c r="AL16" s="3" t="e">
        <f t="shared" si="40"/>
        <v>#DIV/0!</v>
      </c>
      <c r="AM16" s="3">
        <v>0</v>
      </c>
      <c r="AN16" s="6">
        <v>0</v>
      </c>
      <c r="AO16" s="3">
        <f t="shared" si="25"/>
        <v>1272.7272727272727</v>
      </c>
      <c r="AP16" s="3">
        <f t="shared" si="28"/>
        <v>4200</v>
      </c>
      <c r="AQ16" s="6">
        <f t="shared" si="27"/>
        <v>3.3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46</v>
      </c>
      <c r="B17" s="14"/>
      <c r="C17" s="14"/>
      <c r="D17" s="14"/>
      <c r="E17" s="3" t="e">
        <f t="shared" si="29"/>
        <v>#DIV/0!</v>
      </c>
      <c r="F17" s="3">
        <v>0</v>
      </c>
      <c r="G17" s="6">
        <v>0</v>
      </c>
      <c r="H17" s="3" t="e">
        <f t="shared" si="30"/>
        <v>#DIV/0!</v>
      </c>
      <c r="I17" s="3">
        <v>0</v>
      </c>
      <c r="J17" s="6">
        <v>0</v>
      </c>
      <c r="K17" s="3" t="e">
        <f t="shared" si="31"/>
        <v>#DIV/0!</v>
      </c>
      <c r="L17" s="3">
        <v>0</v>
      </c>
      <c r="M17" s="6">
        <v>0</v>
      </c>
      <c r="N17" s="3" t="e">
        <f t="shared" si="32"/>
        <v>#DIV/0!</v>
      </c>
      <c r="O17" s="3">
        <v>0</v>
      </c>
      <c r="P17" s="6">
        <v>0</v>
      </c>
      <c r="Q17" s="3">
        <f t="shared" si="33"/>
        <v>719.01754385964909</v>
      </c>
      <c r="R17" s="3">
        <v>20492</v>
      </c>
      <c r="S17" s="6">
        <v>28.5</v>
      </c>
      <c r="T17" s="3" t="e">
        <f t="shared" si="34"/>
        <v>#DIV/0!</v>
      </c>
      <c r="U17" s="3">
        <v>0</v>
      </c>
      <c r="V17" s="6">
        <v>0</v>
      </c>
      <c r="W17" s="3" t="e">
        <f t="shared" si="35"/>
        <v>#DIV/0!</v>
      </c>
      <c r="X17" s="3">
        <v>0</v>
      </c>
      <c r="Y17" s="6">
        <v>0</v>
      </c>
      <c r="Z17" s="3" t="e">
        <f t="shared" si="36"/>
        <v>#DIV/0!</v>
      </c>
      <c r="AA17" s="3">
        <v>0</v>
      </c>
      <c r="AB17" s="6">
        <v>0</v>
      </c>
      <c r="AC17" s="3" t="e">
        <f t="shared" si="37"/>
        <v>#DIV/0!</v>
      </c>
      <c r="AD17" s="3">
        <v>0</v>
      </c>
      <c r="AE17" s="6">
        <v>0</v>
      </c>
      <c r="AF17" s="3" t="e">
        <f t="shared" si="38"/>
        <v>#DIV/0!</v>
      </c>
      <c r="AG17" s="3">
        <v>0</v>
      </c>
      <c r="AH17" s="6">
        <v>0</v>
      </c>
      <c r="AI17" s="3" t="e">
        <f t="shared" si="39"/>
        <v>#DIV/0!</v>
      </c>
      <c r="AJ17" s="3">
        <v>0</v>
      </c>
      <c r="AK17" s="6">
        <v>0</v>
      </c>
      <c r="AL17" s="3" t="e">
        <f t="shared" si="40"/>
        <v>#DIV/0!</v>
      </c>
      <c r="AM17" s="3">
        <v>0</v>
      </c>
      <c r="AN17" s="6">
        <v>0</v>
      </c>
      <c r="AO17" s="3">
        <f t="shared" si="25"/>
        <v>719.01754385964909</v>
      </c>
      <c r="AP17" s="3">
        <f t="shared" si="28"/>
        <v>20492</v>
      </c>
      <c r="AQ17" s="6">
        <f t="shared" si="27"/>
        <v>28.5</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23</v>
      </c>
      <c r="B18" s="14"/>
      <c r="C18" s="14"/>
      <c r="D18" s="14"/>
      <c r="E18" s="3">
        <f t="shared" si="29"/>
        <v>1017.049180327869</v>
      </c>
      <c r="F18" s="3">
        <v>6204</v>
      </c>
      <c r="G18" s="6">
        <v>6.1</v>
      </c>
      <c r="H18" s="3" t="e">
        <f t="shared" si="30"/>
        <v>#DIV/0!</v>
      </c>
      <c r="I18" s="3">
        <v>0</v>
      </c>
      <c r="J18" s="6">
        <v>0</v>
      </c>
      <c r="K18" s="3" t="e">
        <f t="shared" si="31"/>
        <v>#DIV/0!</v>
      </c>
      <c r="L18" s="3">
        <v>0</v>
      </c>
      <c r="M18" s="6">
        <v>0</v>
      </c>
      <c r="N18" s="3" t="e">
        <f t="shared" si="32"/>
        <v>#DIV/0!</v>
      </c>
      <c r="O18" s="3">
        <v>0</v>
      </c>
      <c r="P18" s="6">
        <v>0</v>
      </c>
      <c r="Q18" s="3" t="e">
        <f t="shared" si="33"/>
        <v>#DIV/0!</v>
      </c>
      <c r="R18" s="3">
        <v>0</v>
      </c>
      <c r="S18" s="6">
        <v>0</v>
      </c>
      <c r="T18" s="3" t="e">
        <f t="shared" si="34"/>
        <v>#DIV/0!</v>
      </c>
      <c r="U18" s="3">
        <v>0</v>
      </c>
      <c r="V18" s="6">
        <v>0</v>
      </c>
      <c r="W18" s="3" t="e">
        <f t="shared" si="35"/>
        <v>#DIV/0!</v>
      </c>
      <c r="X18" s="3">
        <v>0</v>
      </c>
      <c r="Y18" s="6">
        <v>0</v>
      </c>
      <c r="Z18" s="3" t="e">
        <f t="shared" si="36"/>
        <v>#DIV/0!</v>
      </c>
      <c r="AA18" s="3">
        <v>0</v>
      </c>
      <c r="AB18" s="6">
        <v>0</v>
      </c>
      <c r="AC18" s="3" t="e">
        <f t="shared" si="37"/>
        <v>#DIV/0!</v>
      </c>
      <c r="AD18" s="3">
        <v>0</v>
      </c>
      <c r="AE18" s="6">
        <v>0</v>
      </c>
      <c r="AF18" s="3" t="e">
        <f t="shared" si="38"/>
        <v>#DIV/0!</v>
      </c>
      <c r="AG18" s="3">
        <v>0</v>
      </c>
      <c r="AH18" s="6">
        <v>0</v>
      </c>
      <c r="AI18" s="3" t="e">
        <f t="shared" si="39"/>
        <v>#DIV/0!</v>
      </c>
      <c r="AJ18" s="3">
        <v>0</v>
      </c>
      <c r="AK18" s="6">
        <v>0</v>
      </c>
      <c r="AL18" s="3" t="e">
        <f t="shared" si="40"/>
        <v>#DIV/0!</v>
      </c>
      <c r="AM18" s="3">
        <v>0</v>
      </c>
      <c r="AN18" s="6">
        <v>0</v>
      </c>
      <c r="AO18" s="3">
        <f t="shared" si="25"/>
        <v>1017.049180327869</v>
      </c>
      <c r="AP18" s="3">
        <f t="shared" si="28"/>
        <v>6204</v>
      </c>
      <c r="AQ18" s="6">
        <f t="shared" si="27"/>
        <v>6.1</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38</v>
      </c>
      <c r="B19" s="14"/>
      <c r="C19" s="14"/>
      <c r="D19" s="14"/>
      <c r="E19" s="3" t="e">
        <f t="shared" si="29"/>
        <v>#DIV/0!</v>
      </c>
      <c r="F19" s="3">
        <v>0</v>
      </c>
      <c r="G19" s="6">
        <v>0</v>
      </c>
      <c r="H19" s="3" t="e">
        <f t="shared" si="30"/>
        <v>#DIV/0!</v>
      </c>
      <c r="I19" s="3">
        <v>0</v>
      </c>
      <c r="J19" s="6">
        <v>0</v>
      </c>
      <c r="K19" s="3" t="e">
        <f t="shared" si="31"/>
        <v>#DIV/0!</v>
      </c>
      <c r="L19" s="3">
        <v>0</v>
      </c>
      <c r="M19" s="6">
        <v>0</v>
      </c>
      <c r="N19" s="3" t="e">
        <f t="shared" si="32"/>
        <v>#DIV/0!</v>
      </c>
      <c r="O19" s="3">
        <v>0</v>
      </c>
      <c r="P19" s="6">
        <v>0</v>
      </c>
      <c r="Q19" s="3" t="e">
        <f t="shared" si="33"/>
        <v>#DIV/0!</v>
      </c>
      <c r="R19" s="3">
        <v>0</v>
      </c>
      <c r="S19" s="6">
        <v>0</v>
      </c>
      <c r="T19" s="3" t="e">
        <f t="shared" si="34"/>
        <v>#DIV/0!</v>
      </c>
      <c r="U19" s="3">
        <v>0</v>
      </c>
      <c r="V19" s="6">
        <v>0</v>
      </c>
      <c r="W19" s="3" t="e">
        <f t="shared" si="35"/>
        <v>#DIV/0!</v>
      </c>
      <c r="X19" s="3">
        <v>0</v>
      </c>
      <c r="Y19" s="6">
        <v>0</v>
      </c>
      <c r="Z19" s="3" t="e">
        <f t="shared" si="36"/>
        <v>#DIV/0!</v>
      </c>
      <c r="AA19" s="3">
        <v>0</v>
      </c>
      <c r="AB19" s="6">
        <v>0</v>
      </c>
      <c r="AC19" s="3" t="e">
        <f t="shared" si="37"/>
        <v>#DIV/0!</v>
      </c>
      <c r="AD19" s="3">
        <v>0</v>
      </c>
      <c r="AE19" s="6">
        <v>0</v>
      </c>
      <c r="AF19" s="3">
        <f t="shared" si="38"/>
        <v>1270.4000000000001</v>
      </c>
      <c r="AG19" s="3">
        <v>6352</v>
      </c>
      <c r="AH19" s="6">
        <v>5</v>
      </c>
      <c r="AI19" s="3" t="e">
        <f t="shared" si="39"/>
        <v>#DIV/0!</v>
      </c>
      <c r="AJ19" s="3">
        <v>0</v>
      </c>
      <c r="AK19" s="6">
        <v>0</v>
      </c>
      <c r="AL19" s="3" t="e">
        <f t="shared" si="40"/>
        <v>#DIV/0!</v>
      </c>
      <c r="AM19" s="3">
        <v>0</v>
      </c>
      <c r="AN19" s="6">
        <v>0</v>
      </c>
      <c r="AO19" s="3">
        <f t="shared" si="25"/>
        <v>1270.4000000000001</v>
      </c>
      <c r="AP19" s="3">
        <f t="shared" si="28"/>
        <v>6352</v>
      </c>
      <c r="AQ19" s="6">
        <f t="shared" si="27"/>
        <v>5</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47</v>
      </c>
      <c r="B20" s="14"/>
      <c r="C20" s="14"/>
      <c r="D20" s="14"/>
      <c r="E20" s="3" t="e">
        <f t="shared" si="29"/>
        <v>#DIV/0!</v>
      </c>
      <c r="F20" s="3">
        <v>0</v>
      </c>
      <c r="G20" s="6">
        <v>0</v>
      </c>
      <c r="H20" s="3" t="e">
        <f t="shared" si="30"/>
        <v>#DIV/0!</v>
      </c>
      <c r="I20" s="3">
        <v>0</v>
      </c>
      <c r="J20" s="6">
        <v>0</v>
      </c>
      <c r="K20" s="3" t="e">
        <f t="shared" si="31"/>
        <v>#DIV/0!</v>
      </c>
      <c r="L20" s="3">
        <v>0</v>
      </c>
      <c r="M20" s="6">
        <v>0</v>
      </c>
      <c r="N20" s="3" t="e">
        <f t="shared" si="32"/>
        <v>#DIV/0!</v>
      </c>
      <c r="O20" s="3">
        <v>0</v>
      </c>
      <c r="P20" s="6">
        <v>0</v>
      </c>
      <c r="Q20" s="3" t="e">
        <f t="shared" si="33"/>
        <v>#DIV/0!</v>
      </c>
      <c r="R20" s="3">
        <v>0</v>
      </c>
      <c r="S20" s="6">
        <v>0</v>
      </c>
      <c r="T20" s="3" t="e">
        <f t="shared" si="34"/>
        <v>#DIV/0!</v>
      </c>
      <c r="U20" s="3">
        <v>0</v>
      </c>
      <c r="V20" s="6">
        <v>0</v>
      </c>
      <c r="W20" s="3" t="e">
        <f t="shared" si="35"/>
        <v>#DIV/0!</v>
      </c>
      <c r="X20" s="3">
        <v>0</v>
      </c>
      <c r="Y20" s="6">
        <v>0</v>
      </c>
      <c r="Z20" s="3" t="e">
        <f t="shared" si="36"/>
        <v>#DIV/0!</v>
      </c>
      <c r="AA20" s="3">
        <v>0</v>
      </c>
      <c r="AB20" s="6">
        <v>0</v>
      </c>
      <c r="AC20" s="3" t="e">
        <f t="shared" si="37"/>
        <v>#DIV/0!</v>
      </c>
      <c r="AD20" s="3">
        <v>0</v>
      </c>
      <c r="AE20" s="6">
        <v>0</v>
      </c>
      <c r="AF20" s="3" t="e">
        <f t="shared" si="38"/>
        <v>#DIV/0!</v>
      </c>
      <c r="AG20" s="3">
        <v>0</v>
      </c>
      <c r="AH20" s="6">
        <v>0</v>
      </c>
      <c r="AI20" s="3">
        <f t="shared" si="39"/>
        <v>1086.6141732283465</v>
      </c>
      <c r="AJ20" s="3">
        <v>55200</v>
      </c>
      <c r="AK20" s="6">
        <v>50.8</v>
      </c>
      <c r="AL20" s="3" t="e">
        <f t="shared" si="40"/>
        <v>#DIV/0!</v>
      </c>
      <c r="AM20" s="3">
        <v>0</v>
      </c>
      <c r="AN20" s="6">
        <v>0</v>
      </c>
      <c r="AO20" s="3">
        <f t="shared" si="25"/>
        <v>1086.6141732283465</v>
      </c>
      <c r="AP20" s="3">
        <f t="shared" si="28"/>
        <v>55200</v>
      </c>
      <c r="AQ20" s="6">
        <f t="shared" si="27"/>
        <v>50.8</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48</v>
      </c>
      <c r="B21" s="14"/>
      <c r="C21" s="14"/>
      <c r="D21" s="14"/>
      <c r="E21" s="3" t="e">
        <f t="shared" si="29"/>
        <v>#DIV/0!</v>
      </c>
      <c r="F21" s="3">
        <v>0</v>
      </c>
      <c r="G21" s="6">
        <v>0</v>
      </c>
      <c r="H21" s="3" t="e">
        <f t="shared" si="30"/>
        <v>#DIV/0!</v>
      </c>
      <c r="I21" s="3">
        <v>0</v>
      </c>
      <c r="J21" s="6">
        <v>0</v>
      </c>
      <c r="K21" s="3" t="e">
        <f t="shared" si="31"/>
        <v>#DIV/0!</v>
      </c>
      <c r="L21" s="3">
        <v>0</v>
      </c>
      <c r="M21" s="6">
        <v>0</v>
      </c>
      <c r="N21" s="3" t="e">
        <f t="shared" si="32"/>
        <v>#DIV/0!</v>
      </c>
      <c r="O21" s="3">
        <v>0</v>
      </c>
      <c r="P21" s="6">
        <v>0</v>
      </c>
      <c r="Q21" s="3" t="e">
        <f t="shared" si="33"/>
        <v>#DIV/0!</v>
      </c>
      <c r="R21" s="3">
        <v>0</v>
      </c>
      <c r="S21" s="6">
        <v>0</v>
      </c>
      <c r="T21" s="3" t="e">
        <f t="shared" si="34"/>
        <v>#DIV/0!</v>
      </c>
      <c r="U21" s="3">
        <v>0</v>
      </c>
      <c r="V21" s="6">
        <v>0</v>
      </c>
      <c r="W21" s="3" t="e">
        <f t="shared" si="35"/>
        <v>#DIV/0!</v>
      </c>
      <c r="X21" s="3">
        <v>0</v>
      </c>
      <c r="Y21" s="6">
        <v>0</v>
      </c>
      <c r="Z21" s="3">
        <f t="shared" si="36"/>
        <v>1234.4827586206895</v>
      </c>
      <c r="AA21" s="3">
        <v>50120</v>
      </c>
      <c r="AB21" s="6">
        <v>40.6</v>
      </c>
      <c r="AC21" s="3">
        <f t="shared" si="37"/>
        <v>1240.5940594059407</v>
      </c>
      <c r="AD21" s="3">
        <v>50120</v>
      </c>
      <c r="AE21" s="6">
        <v>40.4</v>
      </c>
      <c r="AF21" s="3" t="e">
        <f t="shared" si="38"/>
        <v>#DIV/0!</v>
      </c>
      <c r="AG21" s="3">
        <v>0</v>
      </c>
      <c r="AH21" s="6">
        <v>0</v>
      </c>
      <c r="AI21" s="3" t="e">
        <f t="shared" si="39"/>
        <v>#DIV/0!</v>
      </c>
      <c r="AJ21" s="3">
        <v>0</v>
      </c>
      <c r="AK21" s="6">
        <v>0</v>
      </c>
      <c r="AL21" s="3" t="e">
        <f t="shared" si="40"/>
        <v>#DIV/0!</v>
      </c>
      <c r="AM21" s="3">
        <v>0</v>
      </c>
      <c r="AN21" s="6">
        <v>0</v>
      </c>
      <c r="AO21" s="3">
        <f t="shared" si="25"/>
        <v>1237.5308641975309</v>
      </c>
      <c r="AP21" s="3">
        <f t="shared" si="28"/>
        <v>100240</v>
      </c>
      <c r="AQ21" s="6">
        <f t="shared" si="27"/>
        <v>81</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33</v>
      </c>
      <c r="B22" s="14"/>
      <c r="C22" s="14"/>
      <c r="D22" s="14"/>
      <c r="E22" s="3" t="e">
        <f t="shared" si="29"/>
        <v>#DIV/0!</v>
      </c>
      <c r="F22" s="3">
        <v>0</v>
      </c>
      <c r="G22" s="6">
        <v>0</v>
      </c>
      <c r="H22" s="3">
        <f t="shared" si="30"/>
        <v>716.83937823834196</v>
      </c>
      <c r="I22" s="3">
        <v>13835</v>
      </c>
      <c r="J22" s="6">
        <v>19.3</v>
      </c>
      <c r="K22" s="3" t="e">
        <f t="shared" si="31"/>
        <v>#DIV/0!</v>
      </c>
      <c r="L22" s="3">
        <v>0</v>
      </c>
      <c r="M22" s="6">
        <v>0</v>
      </c>
      <c r="N22" s="3" t="e">
        <f t="shared" si="32"/>
        <v>#DIV/0!</v>
      </c>
      <c r="O22" s="3">
        <v>0</v>
      </c>
      <c r="P22" s="6">
        <v>0</v>
      </c>
      <c r="Q22" s="3" t="e">
        <f t="shared" si="33"/>
        <v>#DIV/0!</v>
      </c>
      <c r="R22" s="3">
        <v>0</v>
      </c>
      <c r="S22" s="6">
        <v>0</v>
      </c>
      <c r="T22" s="3" t="e">
        <f t="shared" si="34"/>
        <v>#DIV/0!</v>
      </c>
      <c r="U22" s="3">
        <v>0</v>
      </c>
      <c r="V22" s="6">
        <v>0</v>
      </c>
      <c r="W22" s="3" t="e">
        <f t="shared" si="35"/>
        <v>#DIV/0!</v>
      </c>
      <c r="X22" s="3">
        <v>0</v>
      </c>
      <c r="Y22" s="6">
        <v>0</v>
      </c>
      <c r="Z22" s="3" t="e">
        <f t="shared" si="36"/>
        <v>#DIV/0!</v>
      </c>
      <c r="AA22" s="3">
        <v>0</v>
      </c>
      <c r="AB22" s="6">
        <v>0</v>
      </c>
      <c r="AC22" s="3">
        <f t="shared" si="37"/>
        <v>2256.2162162162163</v>
      </c>
      <c r="AD22" s="3">
        <v>8348</v>
      </c>
      <c r="AE22" s="6">
        <v>3.7</v>
      </c>
      <c r="AF22" s="3" t="e">
        <f t="shared" si="38"/>
        <v>#DIV/0!</v>
      </c>
      <c r="AG22" s="3">
        <v>0</v>
      </c>
      <c r="AH22" s="6">
        <v>0</v>
      </c>
      <c r="AI22" s="3" t="e">
        <f t="shared" si="39"/>
        <v>#DIV/0!</v>
      </c>
      <c r="AJ22" s="3">
        <v>0</v>
      </c>
      <c r="AK22" s="6">
        <v>0</v>
      </c>
      <c r="AL22" s="3" t="e">
        <f t="shared" si="40"/>
        <v>#DIV/0!</v>
      </c>
      <c r="AM22" s="3">
        <v>0</v>
      </c>
      <c r="AN22" s="6">
        <v>0</v>
      </c>
      <c r="AO22" s="3">
        <f t="shared" si="25"/>
        <v>964.47826086956525</v>
      </c>
      <c r="AP22" s="3">
        <f t="shared" si="28"/>
        <v>22183</v>
      </c>
      <c r="AQ22" s="6">
        <f t="shared" si="27"/>
        <v>23</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9" t="s">
        <v>24</v>
      </c>
      <c r="B23" s="14"/>
      <c r="C23" s="14"/>
      <c r="D23" s="14"/>
      <c r="E23" s="22">
        <f t="shared" si="29"/>
        <v>707.00636942675158</v>
      </c>
      <c r="F23" s="22">
        <v>11100</v>
      </c>
      <c r="G23" s="6">
        <v>15.7</v>
      </c>
      <c r="H23" s="22" t="e">
        <f t="shared" si="30"/>
        <v>#DIV/0!</v>
      </c>
      <c r="I23" s="22">
        <v>0</v>
      </c>
      <c r="J23" s="6">
        <v>0</v>
      </c>
      <c r="K23" s="22">
        <f t="shared" si="31"/>
        <v>973.70860927152319</v>
      </c>
      <c r="L23" s="22">
        <v>14703</v>
      </c>
      <c r="M23" s="6">
        <v>15.1</v>
      </c>
      <c r="N23" s="22" t="e">
        <f t="shared" si="32"/>
        <v>#DIV/0!</v>
      </c>
      <c r="O23" s="22">
        <v>0</v>
      </c>
      <c r="P23" s="6">
        <v>0</v>
      </c>
      <c r="Q23" s="22" t="e">
        <f t="shared" si="33"/>
        <v>#DIV/0!</v>
      </c>
      <c r="R23" s="22">
        <v>0</v>
      </c>
      <c r="S23" s="6">
        <v>0</v>
      </c>
      <c r="T23" s="22">
        <f t="shared" si="34"/>
        <v>1176.9426751592357</v>
      </c>
      <c r="U23" s="22">
        <v>18478</v>
      </c>
      <c r="V23" s="6">
        <v>15.7</v>
      </c>
      <c r="W23" s="22" t="e">
        <f t="shared" si="35"/>
        <v>#DIV/0!</v>
      </c>
      <c r="X23" s="22">
        <v>0</v>
      </c>
      <c r="Y23" s="6">
        <v>0</v>
      </c>
      <c r="Z23" s="22" t="e">
        <f t="shared" si="36"/>
        <v>#DIV/0!</v>
      </c>
      <c r="AA23" s="22">
        <v>0</v>
      </c>
      <c r="AB23" s="6">
        <v>0</v>
      </c>
      <c r="AC23" s="22" t="e">
        <f t="shared" si="37"/>
        <v>#DIV/0!</v>
      </c>
      <c r="AD23" s="22">
        <v>0</v>
      </c>
      <c r="AE23" s="6">
        <v>0</v>
      </c>
      <c r="AF23" s="22" t="e">
        <f t="shared" si="38"/>
        <v>#DIV/0!</v>
      </c>
      <c r="AG23" s="22">
        <v>0</v>
      </c>
      <c r="AH23" s="6">
        <v>0</v>
      </c>
      <c r="AI23" s="22" t="e">
        <f t="shared" si="39"/>
        <v>#DIV/0!</v>
      </c>
      <c r="AJ23" s="22">
        <v>0</v>
      </c>
      <c r="AK23" s="6">
        <v>0</v>
      </c>
      <c r="AL23" s="22" t="e">
        <f t="shared" si="40"/>
        <v>#DIV/0!</v>
      </c>
      <c r="AM23" s="22">
        <v>0</v>
      </c>
      <c r="AN23" s="6">
        <v>0</v>
      </c>
      <c r="AO23" s="22">
        <f t="shared" si="25"/>
        <v>952.27956989247309</v>
      </c>
      <c r="AP23" s="22">
        <f t="shared" si="28"/>
        <v>44281</v>
      </c>
      <c r="AQ23" s="6">
        <f t="shared" si="27"/>
        <v>46.5</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9" t="s">
        <v>49</v>
      </c>
      <c r="B24" s="14"/>
      <c r="C24" s="14"/>
      <c r="D24" s="14"/>
      <c r="E24" s="22" t="e">
        <f t="shared" si="29"/>
        <v>#DIV/0!</v>
      </c>
      <c r="F24" s="3">
        <v>0</v>
      </c>
      <c r="G24" s="6">
        <v>0</v>
      </c>
      <c r="H24" s="22" t="e">
        <f t="shared" si="30"/>
        <v>#DIV/0!</v>
      </c>
      <c r="I24" s="3">
        <v>0</v>
      </c>
      <c r="J24" s="6">
        <v>0</v>
      </c>
      <c r="K24" s="22" t="e">
        <f t="shared" si="31"/>
        <v>#DIV/0!</v>
      </c>
      <c r="L24" s="3">
        <v>0</v>
      </c>
      <c r="M24" s="6">
        <v>0</v>
      </c>
      <c r="N24" s="22" t="e">
        <f t="shared" si="32"/>
        <v>#DIV/0!</v>
      </c>
      <c r="O24" s="3">
        <v>0</v>
      </c>
      <c r="P24" s="6">
        <v>0</v>
      </c>
      <c r="Q24" s="22" t="e">
        <f t="shared" si="33"/>
        <v>#DIV/0!</v>
      </c>
      <c r="R24" s="3">
        <v>0</v>
      </c>
      <c r="S24" s="6">
        <v>0</v>
      </c>
      <c r="T24" s="22">
        <f t="shared" si="34"/>
        <v>1014.8275862068966</v>
      </c>
      <c r="U24" s="3">
        <v>2943</v>
      </c>
      <c r="V24" s="6">
        <v>2.9</v>
      </c>
      <c r="W24" s="22" t="e">
        <f t="shared" si="35"/>
        <v>#DIV/0!</v>
      </c>
      <c r="X24" s="3">
        <v>0</v>
      </c>
      <c r="Y24" s="6">
        <v>0</v>
      </c>
      <c r="Z24" s="22" t="e">
        <f t="shared" si="36"/>
        <v>#DIV/0!</v>
      </c>
      <c r="AA24" s="3">
        <v>0</v>
      </c>
      <c r="AB24" s="6">
        <v>0</v>
      </c>
      <c r="AC24" s="22" t="e">
        <f t="shared" si="37"/>
        <v>#DIV/0!</v>
      </c>
      <c r="AD24" s="3">
        <v>0</v>
      </c>
      <c r="AE24" s="6">
        <v>0</v>
      </c>
      <c r="AF24" s="22" t="e">
        <f t="shared" si="38"/>
        <v>#DIV/0!</v>
      </c>
      <c r="AG24" s="3">
        <v>0</v>
      </c>
      <c r="AH24" s="6">
        <v>0</v>
      </c>
      <c r="AI24" s="22" t="e">
        <f t="shared" si="39"/>
        <v>#DIV/0!</v>
      </c>
      <c r="AJ24" s="3">
        <v>0</v>
      </c>
      <c r="AK24" s="6">
        <v>0</v>
      </c>
      <c r="AL24" s="22" t="e">
        <f t="shared" si="40"/>
        <v>#DIV/0!</v>
      </c>
      <c r="AM24" s="3">
        <v>0</v>
      </c>
      <c r="AN24" s="6">
        <v>0</v>
      </c>
      <c r="AO24" s="22">
        <f t="shared" si="25"/>
        <v>1014.8275862068966</v>
      </c>
      <c r="AP24" s="3">
        <f t="shared" si="28"/>
        <v>2943</v>
      </c>
      <c r="AQ24" s="6">
        <f t="shared" si="27"/>
        <v>2.9</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9" t="s">
        <v>50</v>
      </c>
      <c r="B25" s="14"/>
      <c r="C25" s="14"/>
      <c r="D25" s="14"/>
      <c r="E25" s="22" t="e">
        <f t="shared" si="29"/>
        <v>#DIV/0!</v>
      </c>
      <c r="F25" s="3">
        <v>0</v>
      </c>
      <c r="G25" s="6">
        <v>0</v>
      </c>
      <c r="H25" s="22" t="e">
        <f t="shared" si="30"/>
        <v>#DIV/0!</v>
      </c>
      <c r="I25" s="3">
        <v>0</v>
      </c>
      <c r="J25" s="6">
        <v>0</v>
      </c>
      <c r="K25" s="22" t="e">
        <f t="shared" si="31"/>
        <v>#DIV/0!</v>
      </c>
      <c r="L25" s="3">
        <v>0</v>
      </c>
      <c r="M25" s="6">
        <v>0</v>
      </c>
      <c r="N25" s="22" t="e">
        <f t="shared" si="32"/>
        <v>#DIV/0!</v>
      </c>
      <c r="O25" s="3">
        <v>0</v>
      </c>
      <c r="P25" s="6">
        <v>0</v>
      </c>
      <c r="Q25" s="22" t="e">
        <f t="shared" si="33"/>
        <v>#DIV/0!</v>
      </c>
      <c r="R25" s="3">
        <v>0</v>
      </c>
      <c r="S25" s="6">
        <v>0</v>
      </c>
      <c r="T25" s="22" t="e">
        <f t="shared" si="34"/>
        <v>#DIV/0!</v>
      </c>
      <c r="U25" s="3">
        <v>0</v>
      </c>
      <c r="V25" s="6">
        <v>0</v>
      </c>
      <c r="W25" s="22">
        <f t="shared" si="35"/>
        <v>1128.3333333333335</v>
      </c>
      <c r="X25" s="3">
        <v>2708</v>
      </c>
      <c r="Y25" s="6">
        <v>2.4</v>
      </c>
      <c r="Z25" s="22" t="e">
        <f t="shared" si="36"/>
        <v>#DIV/0!</v>
      </c>
      <c r="AA25" s="3">
        <v>0</v>
      </c>
      <c r="AB25" s="6">
        <v>0</v>
      </c>
      <c r="AC25" s="22" t="e">
        <f t="shared" si="37"/>
        <v>#DIV/0!</v>
      </c>
      <c r="AD25" s="3">
        <v>0</v>
      </c>
      <c r="AE25" s="6">
        <v>0</v>
      </c>
      <c r="AF25" s="22" t="e">
        <f t="shared" si="38"/>
        <v>#DIV/0!</v>
      </c>
      <c r="AG25" s="3">
        <v>0</v>
      </c>
      <c r="AH25" s="6">
        <v>0</v>
      </c>
      <c r="AI25" s="22" t="e">
        <f t="shared" si="39"/>
        <v>#DIV/0!</v>
      </c>
      <c r="AJ25" s="3">
        <v>0</v>
      </c>
      <c r="AK25" s="6">
        <v>0</v>
      </c>
      <c r="AL25" s="22" t="e">
        <f t="shared" si="40"/>
        <v>#DIV/0!</v>
      </c>
      <c r="AM25" s="3">
        <v>0</v>
      </c>
      <c r="AN25" s="6">
        <v>0</v>
      </c>
      <c r="AO25" s="22">
        <f t="shared" si="25"/>
        <v>1128.3333333333335</v>
      </c>
      <c r="AP25" s="3">
        <f t="shared" si="28"/>
        <v>2708</v>
      </c>
      <c r="AQ25" s="6">
        <f t="shared" si="27"/>
        <v>2.4</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9" t="s">
        <v>51</v>
      </c>
      <c r="B26" s="14"/>
      <c r="C26" s="14"/>
      <c r="D26" s="14"/>
      <c r="E26" s="22">
        <f t="shared" si="29"/>
        <v>1134.5454545454545</v>
      </c>
      <c r="F26" s="3">
        <v>18720</v>
      </c>
      <c r="G26" s="6">
        <v>16.5</v>
      </c>
      <c r="H26" s="22" t="e">
        <f t="shared" si="30"/>
        <v>#DIV/0!</v>
      </c>
      <c r="I26" s="3">
        <v>0</v>
      </c>
      <c r="J26" s="6">
        <v>0</v>
      </c>
      <c r="K26" s="22" t="e">
        <f t="shared" si="31"/>
        <v>#DIV/0!</v>
      </c>
      <c r="L26" s="3">
        <v>0</v>
      </c>
      <c r="M26" s="6">
        <v>0</v>
      </c>
      <c r="N26" s="22" t="e">
        <f t="shared" si="32"/>
        <v>#DIV/0!</v>
      </c>
      <c r="O26" s="3">
        <v>0</v>
      </c>
      <c r="P26" s="6">
        <v>0</v>
      </c>
      <c r="Q26" s="22" t="e">
        <f t="shared" si="33"/>
        <v>#DIV/0!</v>
      </c>
      <c r="R26" s="3">
        <v>0</v>
      </c>
      <c r="S26" s="6">
        <v>0</v>
      </c>
      <c r="T26" s="22" t="e">
        <f t="shared" si="34"/>
        <v>#DIV/0!</v>
      </c>
      <c r="U26" s="3">
        <v>0</v>
      </c>
      <c r="V26" s="6">
        <v>0</v>
      </c>
      <c r="W26" s="22" t="e">
        <f t="shared" si="35"/>
        <v>#DIV/0!</v>
      </c>
      <c r="X26" s="3">
        <v>0</v>
      </c>
      <c r="Y26" s="6">
        <v>0</v>
      </c>
      <c r="Z26" s="22" t="e">
        <f t="shared" si="36"/>
        <v>#DIV/0!</v>
      </c>
      <c r="AA26" s="3">
        <v>0</v>
      </c>
      <c r="AB26" s="6">
        <v>0</v>
      </c>
      <c r="AC26" s="22" t="e">
        <f t="shared" si="37"/>
        <v>#DIV/0!</v>
      </c>
      <c r="AD26" s="3">
        <v>0</v>
      </c>
      <c r="AE26" s="6">
        <v>0</v>
      </c>
      <c r="AF26" s="22" t="e">
        <f t="shared" si="38"/>
        <v>#DIV/0!</v>
      </c>
      <c r="AG26" s="3">
        <v>0</v>
      </c>
      <c r="AH26" s="6">
        <v>0</v>
      </c>
      <c r="AI26" s="22" t="e">
        <f t="shared" si="39"/>
        <v>#DIV/0!</v>
      </c>
      <c r="AJ26" s="3">
        <v>0</v>
      </c>
      <c r="AK26" s="6">
        <v>0</v>
      </c>
      <c r="AL26" s="22" t="e">
        <f t="shared" si="40"/>
        <v>#DIV/0!</v>
      </c>
      <c r="AM26" s="3">
        <v>0</v>
      </c>
      <c r="AN26" s="6">
        <v>0</v>
      </c>
      <c r="AO26" s="22">
        <f t="shared" si="25"/>
        <v>1134.5454545454545</v>
      </c>
      <c r="AP26" s="3">
        <f t="shared" si="28"/>
        <v>18720</v>
      </c>
      <c r="AQ26" s="6">
        <f t="shared" si="27"/>
        <v>16.5</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11" t="s">
        <v>52</v>
      </c>
      <c r="B27" s="15"/>
      <c r="C27" s="15"/>
      <c r="D27" s="15"/>
      <c r="E27" s="12" t="e">
        <f t="shared" si="29"/>
        <v>#DIV/0!</v>
      </c>
      <c r="F27" s="7">
        <v>0</v>
      </c>
      <c r="G27" s="8">
        <v>0</v>
      </c>
      <c r="H27" s="7" t="e">
        <f t="shared" si="30"/>
        <v>#DIV/0!</v>
      </c>
      <c r="I27" s="7">
        <v>0</v>
      </c>
      <c r="J27" s="8">
        <v>0</v>
      </c>
      <c r="K27" s="7" t="e">
        <f t="shared" si="31"/>
        <v>#DIV/0!</v>
      </c>
      <c r="L27" s="7">
        <v>0</v>
      </c>
      <c r="M27" s="8">
        <v>0</v>
      </c>
      <c r="N27" s="7" t="e">
        <f t="shared" si="32"/>
        <v>#DIV/0!</v>
      </c>
      <c r="O27" s="7">
        <v>0</v>
      </c>
      <c r="P27" s="8">
        <v>0</v>
      </c>
      <c r="Q27" s="7">
        <f t="shared" si="33"/>
        <v>718.24324324324323</v>
      </c>
      <c r="R27" s="7">
        <v>249805</v>
      </c>
      <c r="S27" s="8">
        <v>347.8</v>
      </c>
      <c r="T27" s="7" t="e">
        <f t="shared" si="34"/>
        <v>#DIV/0!</v>
      </c>
      <c r="U27" s="7">
        <v>0</v>
      </c>
      <c r="V27" s="8">
        <v>0</v>
      </c>
      <c r="W27" s="7" t="e">
        <f t="shared" si="35"/>
        <v>#DIV/0!</v>
      </c>
      <c r="X27" s="7">
        <v>0</v>
      </c>
      <c r="Y27" s="8">
        <v>0</v>
      </c>
      <c r="Z27" s="7" t="e">
        <f t="shared" si="36"/>
        <v>#DIV/0!</v>
      </c>
      <c r="AA27" s="7">
        <v>0</v>
      </c>
      <c r="AB27" s="8">
        <v>0</v>
      </c>
      <c r="AC27" s="7" t="e">
        <f t="shared" si="37"/>
        <v>#DIV/0!</v>
      </c>
      <c r="AD27" s="7">
        <v>0</v>
      </c>
      <c r="AE27" s="8">
        <v>0</v>
      </c>
      <c r="AF27" s="7">
        <f t="shared" si="38"/>
        <v>1927.5000000000002</v>
      </c>
      <c r="AG27" s="7">
        <v>5397</v>
      </c>
      <c r="AH27" s="8">
        <v>2.8</v>
      </c>
      <c r="AI27" s="7">
        <f t="shared" si="39"/>
        <v>1288.4848484848485</v>
      </c>
      <c r="AJ27" s="7">
        <v>12756</v>
      </c>
      <c r="AK27" s="8">
        <v>9.9</v>
      </c>
      <c r="AL27" s="7" t="e">
        <f t="shared" si="40"/>
        <v>#DIV/0!</v>
      </c>
      <c r="AM27" s="7">
        <v>0</v>
      </c>
      <c r="AN27" s="8">
        <v>0</v>
      </c>
      <c r="AO27" s="7">
        <f t="shared" si="25"/>
        <v>743.29542302357834</v>
      </c>
      <c r="AP27" s="7">
        <f t="shared" si="28"/>
        <v>267958</v>
      </c>
      <c r="AQ27" s="8">
        <f t="shared" si="27"/>
        <v>360.5</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1" t="s">
        <v>26</v>
      </c>
      <c r="B28" s="1"/>
    </row>
    <row r="29" spans="1:67" x14ac:dyDescent="0.3">
      <c r="A29" s="1" t="s">
        <v>34</v>
      </c>
      <c r="B29" s="1"/>
    </row>
    <row r="30" spans="1:67" x14ac:dyDescent="0.3">
      <c r="A30" s="1" t="s">
        <v>27</v>
      </c>
      <c r="B30" s="1"/>
    </row>
    <row r="31" spans="1:67" x14ac:dyDescent="0.3">
      <c r="A31" s="1" t="s">
        <v>28</v>
      </c>
      <c r="B31" s="1"/>
    </row>
    <row r="32" spans="1:67" x14ac:dyDescent="0.3">
      <c r="A32" s="1" t="s">
        <v>35</v>
      </c>
      <c r="B32" s="1"/>
    </row>
  </sheetData>
  <mergeCells count="16">
    <mergeCell ref="B3:B27"/>
    <mergeCell ref="C3:C27"/>
    <mergeCell ref="D3:D27"/>
    <mergeCell ref="AO1:AQ1"/>
    <mergeCell ref="W1:Y1"/>
    <mergeCell ref="Z1:AB1"/>
    <mergeCell ref="AC1:AE1"/>
    <mergeCell ref="AF1:AH1"/>
    <mergeCell ref="AI1:AK1"/>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2018년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2026-08-07T06:51:32Z</dcterms:modified>
</cp:coreProperties>
</file>