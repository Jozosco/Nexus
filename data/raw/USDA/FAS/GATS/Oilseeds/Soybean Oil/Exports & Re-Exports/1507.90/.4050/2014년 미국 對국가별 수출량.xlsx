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4년" sheetId="1" r:id="rId1"/>
  </sheets>
  <calcPr calcId="162913"/>
</workbook>
</file>

<file path=xl/calcChain.xml><?xml version="1.0" encoding="utf-8"?>
<calcChain xmlns="http://schemas.openxmlformats.org/spreadsheetml/2006/main">
  <c r="AQ70" i="1" l="1"/>
  <c r="AP70" i="1"/>
  <c r="AQ69" i="1"/>
  <c r="AP69" i="1"/>
  <c r="AQ68" i="1"/>
  <c r="AP68" i="1"/>
  <c r="AQ67" i="1"/>
  <c r="AP67" i="1"/>
  <c r="AO67" i="1" s="1"/>
  <c r="AQ66" i="1"/>
  <c r="AP66" i="1"/>
  <c r="AQ65" i="1"/>
  <c r="AP65" i="1"/>
  <c r="AQ64" i="1"/>
  <c r="AP64" i="1"/>
  <c r="AQ63" i="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c r="AM3" i="1"/>
  <c r="AK3" i="1"/>
  <c r="AJ3" i="1"/>
  <c r="AH3" i="1"/>
  <c r="AG3" i="1"/>
  <c r="AE3" i="1"/>
  <c r="AD3" i="1"/>
  <c r="AB3" i="1"/>
  <c r="AA3" i="1"/>
  <c r="Y3" i="1"/>
  <c r="X3" i="1"/>
  <c r="V3" i="1"/>
  <c r="U3" i="1"/>
  <c r="S3" i="1"/>
  <c r="R3" i="1"/>
  <c r="P3" i="1"/>
  <c r="O3" i="1"/>
  <c r="M3" i="1"/>
  <c r="L3" i="1"/>
  <c r="J3" i="1"/>
  <c r="I3" i="1"/>
  <c r="G3" i="1"/>
  <c r="F3" i="1"/>
  <c r="K70" i="1"/>
  <c r="K69" i="1"/>
  <c r="K68" i="1"/>
  <c r="K67" i="1"/>
  <c r="H70" i="1"/>
  <c r="H69" i="1"/>
  <c r="H68" i="1"/>
  <c r="H67" i="1"/>
  <c r="E70" i="1"/>
  <c r="E69" i="1"/>
  <c r="E68" i="1"/>
  <c r="E67" i="1"/>
  <c r="T70" i="1"/>
  <c r="T69" i="1"/>
  <c r="T68" i="1"/>
  <c r="T67" i="1"/>
  <c r="Q70" i="1"/>
  <c r="Q69" i="1"/>
  <c r="Q68" i="1"/>
  <c r="Q67" i="1"/>
  <c r="N70" i="1"/>
  <c r="N69" i="1"/>
  <c r="N68" i="1"/>
  <c r="N67" i="1"/>
  <c r="W70" i="1"/>
  <c r="W69" i="1"/>
  <c r="W68" i="1"/>
  <c r="W67" i="1"/>
  <c r="Z70" i="1"/>
  <c r="Z69" i="1"/>
  <c r="Z68" i="1"/>
  <c r="Z67" i="1"/>
  <c r="AO70" i="1"/>
  <c r="AO69" i="1"/>
  <c r="AO68" i="1"/>
  <c r="AL70" i="1"/>
  <c r="AL69" i="1"/>
  <c r="AL68" i="1"/>
  <c r="AL67" i="1"/>
  <c r="AI70" i="1"/>
  <c r="AI69" i="1"/>
  <c r="AI68" i="1"/>
  <c r="AI67" i="1"/>
  <c r="AF70" i="1"/>
  <c r="AF69" i="1"/>
  <c r="AF68" i="1"/>
  <c r="AF67" i="1"/>
  <c r="AC70" i="1"/>
  <c r="AC69" i="1"/>
  <c r="AC68" i="1"/>
  <c r="AC67" i="1"/>
  <c r="AP4" i="1"/>
  <c r="AP3" i="1" l="1"/>
  <c r="AQ3"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<sst xmlns="http://schemas.openxmlformats.org/spreadsheetml/2006/main" count="133" uniqueCount="97">
  <si>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</si>
  <si>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</si>
  <si>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</si>
  <si>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</si>
  <si>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</si>
  <si>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</si>
  <si>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</si>
  <si>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</si>
  <si>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</si>
  <si>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</si>
  <si>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</si>
  <si>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</si>
  <si>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</si>
  <si>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</si>
  <si>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</si>
  <si>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</si>
  <si>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</si>
  <si>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</si>
  <si>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</si>
  <si>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</si>
  <si>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</si>
  <si>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</si>
  <si>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</si>
  <si>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</si>
  <si>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</si>
  <si>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</si>
  <si>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</si>
  <si>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</si>
  <si>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</si>
  <si>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</si>
  <si>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</si>
  <si>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</si>
  <si>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</si>
  <si>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</si>
  <si>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</si>
  <si>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Italy(*)</t>
  </si>
  <si>
    <t>Japan</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</si>
  <si>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</si>
  <si>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</si>
  <si>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</si>
  <si>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</si>
  <si>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</si>
  <si>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</si>
  <si>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</si>
  <si>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</si>
  <si>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</si>
  <si>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</si>
  <si>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</si>
  <si>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Germany</t>
  </si>
  <si>
    <t>Guyana</t>
  </si>
  <si>
    <t>Hong Kong</t>
  </si>
  <si>
    <t>Jordan</t>
  </si>
  <si>
    <t>Netherlands Antilles(*)</t>
  </si>
  <si>
    <t>Singapore</t>
  </si>
  <si>
    <t>Saudi Arabia</t>
  </si>
  <si>
    <t>Kuwait</t>
  </si>
  <si>
    <t>Chile</t>
  </si>
  <si>
    <t>Lebanon</t>
  </si>
  <si>
    <t>Congo (Kinshasa)</t>
  </si>
  <si>
    <t>Qatar</t>
  </si>
  <si>
    <t>India</t>
  </si>
  <si>
    <t>Cayman Islands</t>
  </si>
  <si>
    <t>Bermuda</t>
  </si>
  <si>
    <t>Bangladesh</t>
  </si>
  <si>
    <t>Brazil</t>
  </si>
  <si>
    <t>Brunei</t>
  </si>
  <si>
    <t>Egypt</t>
  </si>
  <si>
    <t>Equatorial Guinea</t>
  </si>
  <si>
    <t>France(*)</t>
  </si>
  <si>
    <t>Iceland</t>
  </si>
  <si>
    <t>Indonesia</t>
  </si>
  <si>
    <t>Iraq</t>
  </si>
  <si>
    <t>Peru</t>
  </si>
  <si>
    <t>Philippines</t>
  </si>
  <si>
    <t>United Kingdom</t>
  </si>
  <si>
    <t>Ukraine</t>
  </si>
  <si>
    <t>Turkey</t>
  </si>
  <si>
    <t>1. Data Source: U.S. Census Bureau Trade Data</t>
  </si>
  <si>
    <t>4. Product Group : Harmonized</t>
  </si>
  <si>
    <t>Product</t>
    <phoneticPr fontId="18" type="noConversion"/>
  </si>
  <si>
    <t>Liberia</t>
  </si>
  <si>
    <t>Spain</t>
  </si>
  <si>
    <t>Ethiopia(*)</t>
  </si>
  <si>
    <t>Haiti</t>
  </si>
  <si>
    <t>Malaysia</t>
  </si>
  <si>
    <t>Suriname</t>
  </si>
  <si>
    <t>Pakistan</t>
  </si>
  <si>
    <t>Taiwan</t>
  </si>
  <si>
    <t>SOY OIL FLY-RFND</t>
    <phoneticPr fontId="18" type="noConversion"/>
  </si>
  <si>
    <t>Kazakhstan</t>
  </si>
  <si>
    <t>South Africa</t>
  </si>
  <si>
    <t>Uganda</t>
  </si>
  <si>
    <t>Samoa</t>
  </si>
  <si>
    <t>Ireland</t>
  </si>
  <si>
    <t>Niger</t>
  </si>
  <si>
    <t>Burma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</si>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</sst>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2" t="s">
        <v>0</v>
      </c>
      <c r="F1" s="23"/>
      <c r="G1" s="24"/>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44</v>
      </c>
      <c r="B2" s="2" t="s">
        <v>79</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29" t="s">
        <v>16</v>
      </c>
      <c r="B3" s="19" t="s">
        <v>88</v>
      </c>
      <c r="C3" s="19" t="s">
        <v>17</v>
      </c>
      <c r="D3" s="19" t="s">
        <v>46</v>
      </c>
      <c r="E3" s="17">
        <f>F3/G3</f>
        <v>1062.1711728745195</v>
      </c>
      <c r="F3" s="17">
        <f>SUM(F4:F70)</f>
        <v>20224164</v>
      </c>
      <c r="G3" s="18">
        <f t="shared" ref="G3" si="0">SUM(G4:G70)</f>
        <v>19040.399999999998</v>
      </c>
      <c r="H3" s="17">
        <f>I3/J3</f>
        <v>1036.2471667189734</v>
      </c>
      <c r="I3" s="17">
        <f t="shared" ref="I3:J3" si="1">SUM(I4:I70)</f>
        <v>17829876</v>
      </c>
      <c r="J3" s="18">
        <f t="shared" si="1"/>
        <v>17206.2</v>
      </c>
      <c r="K3" s="17">
        <f>L3/M3</f>
        <v>1119.4940368033301</v>
      </c>
      <c r="L3" s="17">
        <f t="shared" ref="L3:M3" si="2">SUM(L4:L70)</f>
        <v>13554386</v>
      </c>
      <c r="M3" s="18">
        <f t="shared" si="2"/>
        <v>12107.6</v>
      </c>
      <c r="N3" s="17">
        <f>O3/P3</f>
        <v>1103.2425788212158</v>
      </c>
      <c r="O3" s="17">
        <f t="shared" ref="O3:P3" si="3">SUM(O4:O70)</f>
        <v>12565602</v>
      </c>
      <c r="P3" s="18">
        <f t="shared" si="3"/>
        <v>11389.699999999999</v>
      </c>
      <c r="Q3" s="17">
        <f>R3/S3</f>
        <v>1176.4258262874714</v>
      </c>
      <c r="R3" s="17">
        <f t="shared" ref="R3:S3" si="4">SUM(R4:R70)</f>
        <v>12703399</v>
      </c>
      <c r="S3" s="18">
        <f t="shared" si="4"/>
        <v>10798.299999999997</v>
      </c>
      <c r="T3" s="17">
        <f>U3/V3</f>
        <v>1153.0687625498767</v>
      </c>
      <c r="U3" s="17">
        <f t="shared" ref="U3:V3" si="5">SUM(U4:U70)</f>
        <v>13379864</v>
      </c>
      <c r="V3" s="18">
        <f t="shared" si="5"/>
        <v>11603.699999999995</v>
      </c>
      <c r="W3" s="17">
        <f>X3/Y3</f>
        <v>1235.3861188325225</v>
      </c>
      <c r="X3" s="17">
        <f t="shared" ref="X3:Y3" si="6">SUM(X4:X70)</f>
        <v>8533059</v>
      </c>
      <c r="Y3" s="18">
        <f t="shared" si="6"/>
        <v>6907.2000000000007</v>
      </c>
      <c r="Z3" s="17">
        <f>AA3/AB3</f>
        <v>1233.0221232969109</v>
      </c>
      <c r="AA3" s="17">
        <f t="shared" ref="AA3:AB3" si="7">SUM(AA4:AA70)</f>
        <v>9140393</v>
      </c>
      <c r="AB3" s="18">
        <f t="shared" si="7"/>
        <v>7413</v>
      </c>
      <c r="AC3" s="17">
        <f>AD3/AE3</f>
        <v>1194.078964431817</v>
      </c>
      <c r="AD3" s="17">
        <f t="shared" ref="AD3:AE3" si="8">SUM(AD4:AD70)</f>
        <v>10128536</v>
      </c>
      <c r="AE3" s="18">
        <f t="shared" si="8"/>
        <v>8482.2999999999993</v>
      </c>
      <c r="AF3" s="17">
        <f>AG3/AH3</f>
        <v>1031.656761094963</v>
      </c>
      <c r="AG3" s="17">
        <f t="shared" ref="AG3:AH3" si="9">SUM(AG4:AG70)</f>
        <v>14268432</v>
      </c>
      <c r="AH3" s="18">
        <f t="shared" si="9"/>
        <v>13830.600000000004</v>
      </c>
      <c r="AI3" s="17">
        <f>AJ3/AK3</f>
        <v>985.56164414200327</v>
      </c>
      <c r="AJ3" s="17">
        <f t="shared" ref="AJ3:AK3" si="10">SUM(AJ4:AJ70)</f>
        <v>17625883</v>
      </c>
      <c r="AK3" s="18">
        <f t="shared" si="10"/>
        <v>17884.099999999999</v>
      </c>
      <c r="AL3" s="17">
        <f>AM3/AN3</f>
        <v>942.95865165369867</v>
      </c>
      <c r="AM3" s="17">
        <f t="shared" ref="AM3:AN3" si="11">SUM(AM4:AM70)</f>
        <v>20057202</v>
      </c>
      <c r="AN3" s="18">
        <f t="shared" si="11"/>
        <v>21270.500000000004</v>
      </c>
      <c r="AO3" s="17">
        <f>AP3/AQ3</f>
        <v>1076.4700861627923</v>
      </c>
      <c r="AP3" s="17">
        <f t="shared" ref="AP3:AQ3" si="12">SUM(AP4:AP70)</f>
        <v>170010796</v>
      </c>
      <c r="AQ3" s="18">
        <f t="shared" si="12"/>
        <v>157933.60000000003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30" t="s">
        <v>25</v>
      </c>
      <c r="B4" s="20"/>
      <c r="C4" s="20"/>
      <c r="D4" s="20"/>
      <c r="E4" s="3">
        <f t="shared" ref="E4:E11" si="13">F4/G4</f>
        <v>1005.9871857434619</v>
      </c>
      <c r="F4" s="3">
        <v>11132053</v>
      </c>
      <c r="G4" s="6">
        <v>11065.8</v>
      </c>
      <c r="H4" s="3">
        <f t="shared" ref="H4:H11" si="14">I4/J4</f>
        <v>961.27059033033572</v>
      </c>
      <c r="I4" s="3">
        <v>7557221</v>
      </c>
      <c r="J4" s="6">
        <v>7861.7</v>
      </c>
      <c r="K4" s="3">
        <f t="shared" ref="K4:K11" si="15">L4/M4</f>
        <v>982.01252761716717</v>
      </c>
      <c r="L4" s="3">
        <v>8356141</v>
      </c>
      <c r="M4" s="6">
        <v>8509.2000000000007</v>
      </c>
      <c r="N4" s="3">
        <f t="shared" ref="N4:N11" si="16">O4/P4</f>
        <v>1004.9642683124899</v>
      </c>
      <c r="O4" s="3">
        <v>8662591</v>
      </c>
      <c r="P4" s="6">
        <v>8619.7999999999993</v>
      </c>
      <c r="Q4" s="3">
        <f t="shared" ref="Q4:Q11" si="17">R4/S4</f>
        <v>1054.262838436882</v>
      </c>
      <c r="R4" s="3">
        <v>7729328</v>
      </c>
      <c r="S4" s="6">
        <v>7331.5</v>
      </c>
      <c r="T4" s="3">
        <f t="shared" ref="T4:T11" si="18">U4/V4</f>
        <v>1051.0348258706467</v>
      </c>
      <c r="U4" s="3">
        <v>8872836</v>
      </c>
      <c r="V4" s="6">
        <v>8442</v>
      </c>
      <c r="W4" s="3">
        <f t="shared" ref="W4:W11" si="19">X4/Y4</f>
        <v>1114.836672738312</v>
      </c>
      <c r="X4" s="3">
        <v>4590340</v>
      </c>
      <c r="Y4" s="6">
        <v>4117.5</v>
      </c>
      <c r="Z4" s="3">
        <f t="shared" ref="Z4:Z11" si="20">AA4/AB4</f>
        <v>1086.044274210574</v>
      </c>
      <c r="AA4" s="3">
        <v>3600997</v>
      </c>
      <c r="AB4" s="6">
        <v>3315.7</v>
      </c>
      <c r="AC4" s="3">
        <f t="shared" ref="AC4:AC11" si="21">AD4/AE4</f>
        <v>970.88296989031153</v>
      </c>
      <c r="AD4" s="3">
        <v>4443343</v>
      </c>
      <c r="AE4" s="6">
        <v>4576.6000000000004</v>
      </c>
      <c r="AF4" s="3">
        <f t="shared" ref="AF4:AF11" si="22">AG4/AH4</f>
        <v>904.35422727673449</v>
      </c>
      <c r="AG4" s="3">
        <v>9232281</v>
      </c>
      <c r="AH4" s="6">
        <v>10208.700000000001</v>
      </c>
      <c r="AI4" s="3">
        <f t="shared" ref="AI4:AI11" si="23">AJ4/AK4</f>
        <v>907.96658078047631</v>
      </c>
      <c r="AJ4" s="3">
        <v>13073720</v>
      </c>
      <c r="AK4" s="6">
        <v>14398.9</v>
      </c>
      <c r="AL4" s="3">
        <f t="shared" ref="AL4:AL11" si="24">AM4/AN4</f>
        <v>873.32330860817171</v>
      </c>
      <c r="AM4" s="3">
        <v>15564892</v>
      </c>
      <c r="AN4" s="6">
        <v>17822.599999999999</v>
      </c>
      <c r="AO4" s="3">
        <f t="shared" ref="AO4:AO67" si="25">AP4/AQ4</f>
        <v>967.49546438317498</v>
      </c>
      <c r="AP4" s="3">
        <f t="shared" ref="AP4:AQ66" si="26">SUM(F4,I4,L4,O4,R4,U4,X4,AA4,AD4,AG4,AJ4,AM4)</f>
        <v>102815743</v>
      </c>
      <c r="AQ4" s="6">
        <f t="shared" ref="AQ4:AQ67" si="27">SUM(G4,J4,M4,P4,S4,V4,Y4,AB4,AE4,AH4,AK4,AN4)</f>
        <v>106270</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9" t="s">
        <v>20</v>
      </c>
      <c r="B5" s="20"/>
      <c r="C5" s="20"/>
      <c r="D5" s="20"/>
      <c r="E5" s="3">
        <f t="shared" si="13"/>
        <v>1324.8325239696178</v>
      </c>
      <c r="F5" s="3">
        <v>2127946</v>
      </c>
      <c r="G5" s="6">
        <v>1606.2</v>
      </c>
      <c r="H5" s="3">
        <f t="shared" si="14"/>
        <v>1290.8416052183777</v>
      </c>
      <c r="I5" s="3">
        <v>1820603</v>
      </c>
      <c r="J5" s="6">
        <v>1410.4</v>
      </c>
      <c r="K5" s="3">
        <f t="shared" si="15"/>
        <v>1331.6412988330796</v>
      </c>
      <c r="L5" s="3">
        <v>2099732</v>
      </c>
      <c r="M5" s="6">
        <v>1576.8</v>
      </c>
      <c r="N5" s="3">
        <f t="shared" si="16"/>
        <v>1295.3150784958013</v>
      </c>
      <c r="O5" s="3">
        <v>1773934</v>
      </c>
      <c r="P5" s="6">
        <v>1369.5</v>
      </c>
      <c r="Q5" s="3">
        <f t="shared" si="17"/>
        <v>1200.3997585351131</v>
      </c>
      <c r="R5" s="3">
        <v>1789676</v>
      </c>
      <c r="S5" s="6">
        <v>1490.9</v>
      </c>
      <c r="T5" s="3">
        <f t="shared" si="18"/>
        <v>1298.071696172776</v>
      </c>
      <c r="U5" s="3">
        <v>1767065</v>
      </c>
      <c r="V5" s="6">
        <v>1361.3</v>
      </c>
      <c r="W5" s="3">
        <f t="shared" si="19"/>
        <v>1232.6081462039467</v>
      </c>
      <c r="X5" s="3">
        <v>1267984</v>
      </c>
      <c r="Y5" s="6">
        <v>1028.7</v>
      </c>
      <c r="Z5" s="3">
        <f t="shared" si="20"/>
        <v>1361.5394359623974</v>
      </c>
      <c r="AA5" s="3">
        <v>2042173</v>
      </c>
      <c r="AB5" s="6">
        <v>1499.9</v>
      </c>
      <c r="AC5" s="3">
        <f t="shared" si="21"/>
        <v>1352.5548999330858</v>
      </c>
      <c r="AD5" s="3">
        <v>2223465</v>
      </c>
      <c r="AE5" s="6">
        <v>1643.9</v>
      </c>
      <c r="AF5" s="3">
        <f t="shared" si="22"/>
        <v>1284.8352495343311</v>
      </c>
      <c r="AG5" s="3">
        <v>2000360</v>
      </c>
      <c r="AH5" s="6">
        <v>1556.9</v>
      </c>
      <c r="AI5" s="3">
        <f t="shared" si="23"/>
        <v>1133.6335648313882</v>
      </c>
      <c r="AJ5" s="3">
        <v>1583346</v>
      </c>
      <c r="AK5" s="6">
        <v>1396.7</v>
      </c>
      <c r="AL5" s="3">
        <f t="shared" si="24"/>
        <v>1180.9988168628183</v>
      </c>
      <c r="AM5" s="3">
        <v>1896566</v>
      </c>
      <c r="AN5" s="6">
        <v>1605.9</v>
      </c>
      <c r="AO5" s="3">
        <f t="shared" si="25"/>
        <v>1276.1567438494108</v>
      </c>
      <c r="AP5" s="3">
        <f t="shared" ref="AP5:AQ68" si="28">SUM(F5,I5,L5,O5,R5,U5,X5,AA5,AD5,AG5,AJ5,AM5)</f>
        <v>22392850</v>
      </c>
      <c r="AQ5" s="6">
        <f t="shared" si="27"/>
        <v>17547.100000000002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9" t="s">
        <v>39</v>
      </c>
      <c r="B6" s="20"/>
      <c r="C6" s="20"/>
      <c r="D6" s="20"/>
      <c r="E6" s="3">
        <f t="shared" si="13"/>
        <v>1266.9028741328048</v>
      </c>
      <c r="F6" s="3">
        <v>255661</v>
      </c>
      <c r="G6" s="6">
        <v>201.8</v>
      </c>
      <c r="H6" s="3">
        <f t="shared" si="14"/>
        <v>1172.7661716586961</v>
      </c>
      <c r="I6" s="3">
        <v>465940</v>
      </c>
      <c r="J6" s="6">
        <v>397.3</v>
      </c>
      <c r="K6" s="3">
        <f t="shared" si="15"/>
        <v>1242.2210254200777</v>
      </c>
      <c r="L6" s="3">
        <v>576639</v>
      </c>
      <c r="M6" s="6">
        <v>464.2</v>
      </c>
      <c r="N6" s="3">
        <f t="shared" si="16"/>
        <v>1323.8219449957471</v>
      </c>
      <c r="O6" s="3">
        <v>466912</v>
      </c>
      <c r="P6" s="6">
        <v>352.7</v>
      </c>
      <c r="Q6" s="3">
        <f t="shared" si="17"/>
        <v>1350.5767206903809</v>
      </c>
      <c r="R6" s="3">
        <v>641659</v>
      </c>
      <c r="S6" s="6">
        <v>475.1</v>
      </c>
      <c r="T6" s="3">
        <f t="shared" si="18"/>
        <v>1319.9946380697052</v>
      </c>
      <c r="U6" s="3">
        <v>738537</v>
      </c>
      <c r="V6" s="6">
        <v>559.5</v>
      </c>
      <c r="W6" s="3">
        <f t="shared" si="19"/>
        <v>1259.5526793823797</v>
      </c>
      <c r="X6" s="3">
        <v>554707</v>
      </c>
      <c r="Y6" s="6">
        <v>440.4</v>
      </c>
      <c r="Z6" s="3">
        <f t="shared" si="20"/>
        <v>1328.3016056944214</v>
      </c>
      <c r="AA6" s="3">
        <v>802427</v>
      </c>
      <c r="AB6" s="6">
        <v>604.1</v>
      </c>
      <c r="AC6" s="3">
        <f t="shared" si="21"/>
        <v>1285.2182112068965</v>
      </c>
      <c r="AD6" s="3">
        <v>954146</v>
      </c>
      <c r="AE6" s="6">
        <v>742.4</v>
      </c>
      <c r="AF6" s="3">
        <f t="shared" si="22"/>
        <v>1214.8304065431803</v>
      </c>
      <c r="AG6" s="3">
        <v>505005</v>
      </c>
      <c r="AH6" s="6">
        <v>415.7</v>
      </c>
      <c r="AI6" s="3">
        <f t="shared" si="23"/>
        <v>1237.2384606703531</v>
      </c>
      <c r="AJ6" s="3">
        <v>1096317</v>
      </c>
      <c r="AK6" s="6">
        <v>886.1</v>
      </c>
      <c r="AL6" s="3">
        <f t="shared" si="24"/>
        <v>1164.3379830779784</v>
      </c>
      <c r="AM6" s="3">
        <v>509165</v>
      </c>
      <c r="AN6" s="6">
        <v>437.3</v>
      </c>
      <c r="AO6" s="3">
        <f t="shared" si="25"/>
        <v>1266.123715825051</v>
      </c>
      <c r="AP6" s="3">
        <f t="shared" si="28"/>
        <v>7567115</v>
      </c>
      <c r="AQ6" s="6">
        <f t="shared" si="27"/>
        <v>5976.6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9" t="s">
        <v>91</v>
      </c>
      <c r="B7" s="20"/>
      <c r="C7" s="20"/>
      <c r="D7" s="20"/>
      <c r="E7" s="3" t="e">
        <f t="shared" si="13"/>
        <v>#DIV/0!</v>
      </c>
      <c r="F7" s="3">
        <v>0</v>
      </c>
      <c r="G7" s="6">
        <v>0</v>
      </c>
      <c r="H7" s="3">
        <f t="shared" si="14"/>
        <v>1336.2874999999999</v>
      </c>
      <c r="I7" s="3">
        <v>320709</v>
      </c>
      <c r="J7" s="6">
        <v>240</v>
      </c>
      <c r="K7" s="3" t="e">
        <f t="shared" si="15"/>
        <v>#DIV/0!</v>
      </c>
      <c r="L7" s="3">
        <v>0</v>
      </c>
      <c r="M7" s="6">
        <v>0</v>
      </c>
      <c r="N7" s="3" t="e">
        <f t="shared" si="16"/>
        <v>#DIV/0!</v>
      </c>
      <c r="O7" s="3">
        <v>0</v>
      </c>
      <c r="P7" s="6">
        <v>0</v>
      </c>
      <c r="Q7" s="3" t="e">
        <f t="shared" si="17"/>
        <v>#DIV/0!</v>
      </c>
      <c r="R7" s="3">
        <v>0</v>
      </c>
      <c r="S7" s="6">
        <v>0</v>
      </c>
      <c r="T7" s="3" t="e">
        <f t="shared" si="18"/>
        <v>#DIV/0!</v>
      </c>
      <c r="U7" s="3">
        <v>0</v>
      </c>
      <c r="V7" s="6">
        <v>0</v>
      </c>
      <c r="W7" s="3" t="e">
        <f t="shared" si="19"/>
        <v>#DIV/0!</v>
      </c>
      <c r="X7" s="3">
        <v>0</v>
      </c>
      <c r="Y7" s="6">
        <v>0</v>
      </c>
      <c r="Z7" s="3" t="e">
        <f t="shared" si="20"/>
        <v>#DIV/0!</v>
      </c>
      <c r="AA7" s="3">
        <v>0</v>
      </c>
      <c r="AB7" s="6">
        <v>0</v>
      </c>
      <c r="AC7" s="3" t="e">
        <f t="shared" si="21"/>
        <v>#DIV/0!</v>
      </c>
      <c r="AD7" s="3">
        <v>0</v>
      </c>
      <c r="AE7" s="6">
        <v>0</v>
      </c>
      <c r="AF7" s="3" t="e">
        <f t="shared" si="22"/>
        <v>#DIV/0!</v>
      </c>
      <c r="AG7" s="3">
        <v>0</v>
      </c>
      <c r="AH7" s="6">
        <v>0</v>
      </c>
      <c r="AI7" s="3" t="e">
        <f t="shared" si="23"/>
        <v>#DIV/0!</v>
      </c>
      <c r="AJ7" s="3">
        <v>0</v>
      </c>
      <c r="AK7" s="6">
        <v>0</v>
      </c>
      <c r="AL7" s="3">
        <f t="shared" si="24"/>
        <v>1188</v>
      </c>
      <c r="AM7" s="3">
        <v>344520</v>
      </c>
      <c r="AN7" s="6">
        <v>290</v>
      </c>
      <c r="AO7" s="3">
        <f t="shared" si="25"/>
        <v>1255.1490566037735</v>
      </c>
      <c r="AP7" s="3">
        <f t="shared" si="28"/>
        <v>665229</v>
      </c>
      <c r="AQ7" s="6">
        <f t="shared" si="27"/>
        <v>530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9" t="s">
        <v>28</v>
      </c>
      <c r="B8" s="20"/>
      <c r="C8" s="20"/>
      <c r="D8" s="20"/>
      <c r="E8" s="3">
        <f t="shared" si="13"/>
        <v>1391.3629574309186</v>
      </c>
      <c r="F8" s="3">
        <v>372607</v>
      </c>
      <c r="G8" s="6">
        <v>267.8</v>
      </c>
      <c r="H8" s="3">
        <f t="shared" si="14"/>
        <v>1511.375485302274</v>
      </c>
      <c r="I8" s="3">
        <v>272501</v>
      </c>
      <c r="J8" s="6">
        <v>180.3</v>
      </c>
      <c r="K8" s="3">
        <f t="shared" si="15"/>
        <v>1258.8619402985075</v>
      </c>
      <c r="L8" s="3">
        <v>269900</v>
      </c>
      <c r="M8" s="6">
        <v>214.4</v>
      </c>
      <c r="N8" s="3">
        <f t="shared" si="16"/>
        <v>1882.1984126984128</v>
      </c>
      <c r="O8" s="3">
        <v>237157</v>
      </c>
      <c r="P8" s="6">
        <v>126</v>
      </c>
      <c r="Q8" s="3">
        <f t="shared" si="17"/>
        <v>1663.9986091794158</v>
      </c>
      <c r="R8" s="3">
        <v>239283</v>
      </c>
      <c r="S8" s="6">
        <v>143.80000000000001</v>
      </c>
      <c r="T8" s="3">
        <f t="shared" si="18"/>
        <v>1447.2535991140642</v>
      </c>
      <c r="U8" s="3">
        <v>130687</v>
      </c>
      <c r="V8" s="6">
        <v>90.3</v>
      </c>
      <c r="W8" s="3">
        <f t="shared" si="19"/>
        <v>1719.0550239234451</v>
      </c>
      <c r="X8" s="3">
        <v>287426</v>
      </c>
      <c r="Y8" s="6">
        <v>167.2</v>
      </c>
      <c r="Z8" s="3">
        <f t="shared" si="20"/>
        <v>1589.9277108433735</v>
      </c>
      <c r="AA8" s="3">
        <v>329910</v>
      </c>
      <c r="AB8" s="6">
        <v>207.5</v>
      </c>
      <c r="AC8" s="3">
        <f t="shared" si="21"/>
        <v>1607.4773218142548</v>
      </c>
      <c r="AD8" s="3">
        <v>372131</v>
      </c>
      <c r="AE8" s="6">
        <v>231.5</v>
      </c>
      <c r="AF8" s="3">
        <f t="shared" si="22"/>
        <v>1399.894472361809</v>
      </c>
      <c r="AG8" s="3">
        <v>278579</v>
      </c>
      <c r="AH8" s="6">
        <v>199</v>
      </c>
      <c r="AI8" s="3">
        <f t="shared" si="23"/>
        <v>1347.2910662824208</v>
      </c>
      <c r="AJ8" s="3">
        <v>140253</v>
      </c>
      <c r="AK8" s="6">
        <v>104.1</v>
      </c>
      <c r="AL8" s="3">
        <f t="shared" si="24"/>
        <v>1396.6106870229007</v>
      </c>
      <c r="AM8" s="3">
        <v>274434</v>
      </c>
      <c r="AN8" s="6">
        <v>196.5</v>
      </c>
      <c r="AO8" s="3">
        <f t="shared" si="25"/>
        <v>1505.7639541439582</v>
      </c>
      <c r="AP8" s="3">
        <f t="shared" si="28"/>
        <v>3204868</v>
      </c>
      <c r="AQ8" s="6">
        <f t="shared" si="27"/>
        <v>2128.3999999999996</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9" t="s">
        <v>26</v>
      </c>
      <c r="B9" s="20"/>
      <c r="C9" s="20"/>
      <c r="D9" s="20"/>
      <c r="E9" s="3">
        <f t="shared" si="13"/>
        <v>1567.3376623376623</v>
      </c>
      <c r="F9" s="3">
        <v>217233</v>
      </c>
      <c r="G9" s="6">
        <v>138.6</v>
      </c>
      <c r="H9" s="3">
        <f t="shared" si="14"/>
        <v>1517.9933665008293</v>
      </c>
      <c r="I9" s="3">
        <v>183070</v>
      </c>
      <c r="J9" s="6">
        <v>120.6</v>
      </c>
      <c r="K9" s="3">
        <f t="shared" si="15"/>
        <v>1462.9767827529022</v>
      </c>
      <c r="L9" s="3">
        <v>176435</v>
      </c>
      <c r="M9" s="6">
        <v>120.6</v>
      </c>
      <c r="N9" s="3">
        <f t="shared" si="16"/>
        <v>1433.6528028933092</v>
      </c>
      <c r="O9" s="3">
        <v>237843</v>
      </c>
      <c r="P9" s="6">
        <v>165.9</v>
      </c>
      <c r="Q9" s="3">
        <f t="shared" si="17"/>
        <v>1438.4392265193369</v>
      </c>
      <c r="R9" s="3">
        <v>104143</v>
      </c>
      <c r="S9" s="6">
        <v>72.400000000000006</v>
      </c>
      <c r="T9" s="3">
        <f t="shared" si="18"/>
        <v>1436.0273387441264</v>
      </c>
      <c r="U9" s="3">
        <v>336174</v>
      </c>
      <c r="V9" s="6">
        <v>234.1</v>
      </c>
      <c r="W9" s="3">
        <f t="shared" si="19"/>
        <v>1474.5533642691414</v>
      </c>
      <c r="X9" s="3">
        <v>254213</v>
      </c>
      <c r="Y9" s="6">
        <v>172.4</v>
      </c>
      <c r="Z9" s="3">
        <f t="shared" si="20"/>
        <v>1484.8365019011408</v>
      </c>
      <c r="AA9" s="3">
        <v>390512</v>
      </c>
      <c r="AB9" s="6">
        <v>263</v>
      </c>
      <c r="AC9" s="3">
        <f t="shared" si="21"/>
        <v>1422.7535410764872</v>
      </c>
      <c r="AD9" s="3">
        <v>251116</v>
      </c>
      <c r="AE9" s="6">
        <v>176.5</v>
      </c>
      <c r="AF9" s="3">
        <f t="shared" si="22"/>
        <v>1457.5118004045853</v>
      </c>
      <c r="AG9" s="3">
        <v>216149</v>
      </c>
      <c r="AH9" s="6">
        <v>148.30000000000001</v>
      </c>
      <c r="AI9" s="3" t="e">
        <f t="shared" si="23"/>
        <v>#DIV/0!</v>
      </c>
      <c r="AJ9" s="3">
        <v>0</v>
      </c>
      <c r="AK9" s="6">
        <v>0</v>
      </c>
      <c r="AL9" s="3">
        <f t="shared" si="24"/>
        <v>1372.481865284974</v>
      </c>
      <c r="AM9" s="3">
        <v>264889</v>
      </c>
      <c r="AN9" s="6">
        <v>193</v>
      </c>
      <c r="AO9" s="3">
        <f t="shared" si="25"/>
        <v>1457.7251578597543</v>
      </c>
      <c r="AP9" s="3">
        <f t="shared" si="28"/>
        <v>2631777</v>
      </c>
      <c r="AQ9" s="6">
        <f t="shared" si="27"/>
        <v>1805.3999999999999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9" t="s">
        <v>29</v>
      </c>
      <c r="B10" s="20"/>
      <c r="C10" s="20"/>
      <c r="D10" s="20"/>
      <c r="E10" s="3">
        <f t="shared" si="13"/>
        <v>2264.9523809523807</v>
      </c>
      <c r="F10" s="3">
        <v>47564</v>
      </c>
      <c r="G10" s="6">
        <v>21</v>
      </c>
      <c r="H10" s="3">
        <f t="shared" si="14"/>
        <v>2962.6031746031745</v>
      </c>
      <c r="I10" s="3">
        <v>93322</v>
      </c>
      <c r="J10" s="6">
        <v>31.5</v>
      </c>
      <c r="K10" s="3">
        <f t="shared" si="15"/>
        <v>3050.7716049382716</v>
      </c>
      <c r="L10" s="3">
        <v>98845</v>
      </c>
      <c r="M10" s="6">
        <v>32.4</v>
      </c>
      <c r="N10" s="3">
        <f t="shared" si="16"/>
        <v>2621.0204081632651</v>
      </c>
      <c r="O10" s="3">
        <v>12843</v>
      </c>
      <c r="P10" s="6">
        <v>4.9000000000000004</v>
      </c>
      <c r="Q10" s="3">
        <f t="shared" si="17"/>
        <v>2925.1121076233185</v>
      </c>
      <c r="R10" s="3">
        <v>130460</v>
      </c>
      <c r="S10" s="6">
        <v>44.6</v>
      </c>
      <c r="T10" s="3">
        <f t="shared" si="18"/>
        <v>2491.8518518518517</v>
      </c>
      <c r="U10" s="3">
        <v>100920</v>
      </c>
      <c r="V10" s="6">
        <v>40.5</v>
      </c>
      <c r="W10" s="3" t="e">
        <f t="shared" si="19"/>
        <v>#DIV/0!</v>
      </c>
      <c r="X10" s="3">
        <v>0</v>
      </c>
      <c r="Y10" s="6">
        <v>0</v>
      </c>
      <c r="Z10" s="3">
        <f t="shared" si="20"/>
        <v>4145.3846153846152</v>
      </c>
      <c r="AA10" s="3">
        <v>21556</v>
      </c>
      <c r="AB10" s="6">
        <v>5.2</v>
      </c>
      <c r="AC10" s="3">
        <f t="shared" si="21"/>
        <v>2759.953125</v>
      </c>
      <c r="AD10" s="3">
        <v>176637</v>
      </c>
      <c r="AE10" s="6">
        <v>64</v>
      </c>
      <c r="AF10" s="3">
        <f t="shared" si="22"/>
        <v>1606.7796610169491</v>
      </c>
      <c r="AG10" s="3">
        <v>37920</v>
      </c>
      <c r="AH10" s="6">
        <v>23.6</v>
      </c>
      <c r="AI10" s="3">
        <f t="shared" si="23"/>
        <v>3968.4210526315787</v>
      </c>
      <c r="AJ10" s="3">
        <v>22620</v>
      </c>
      <c r="AK10" s="6">
        <v>5.7</v>
      </c>
      <c r="AL10" s="3">
        <f t="shared" si="24"/>
        <v>3228.4153005464482</v>
      </c>
      <c r="AM10" s="3">
        <v>177240</v>
      </c>
      <c r="AN10" s="6">
        <v>54.9</v>
      </c>
      <c r="AO10" s="3">
        <f t="shared" si="25"/>
        <v>2802.0925982333238</v>
      </c>
      <c r="AP10" s="3">
        <f t="shared" si="28"/>
        <v>919927</v>
      </c>
      <c r="AQ10" s="6">
        <f t="shared" si="27"/>
        <v>328.29999999999995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9" t="s">
        <v>38</v>
      </c>
      <c r="B11" s="20"/>
      <c r="C11" s="20"/>
      <c r="D11" s="20"/>
      <c r="E11" s="3">
        <f t="shared" si="13"/>
        <v>1434.7359550561798</v>
      </c>
      <c r="F11" s="3">
        <v>255383</v>
      </c>
      <c r="G11" s="6">
        <v>178</v>
      </c>
      <c r="H11" s="3">
        <f t="shared" si="14"/>
        <v>1407.0115416323165</v>
      </c>
      <c r="I11" s="3">
        <v>341341</v>
      </c>
      <c r="J11" s="6">
        <v>242.6</v>
      </c>
      <c r="K11" s="3">
        <f t="shared" si="15"/>
        <v>1325.438856015779</v>
      </c>
      <c r="L11" s="3">
        <v>268799</v>
      </c>
      <c r="M11" s="6">
        <v>202.8</v>
      </c>
      <c r="N11" s="3">
        <f t="shared" si="16"/>
        <v>1439.497663551402</v>
      </c>
      <c r="O11" s="3">
        <v>123221</v>
      </c>
      <c r="P11" s="6">
        <v>85.6</v>
      </c>
      <c r="Q11" s="3">
        <f t="shared" si="17"/>
        <v>1433.8683948155533</v>
      </c>
      <c r="R11" s="3">
        <v>143817</v>
      </c>
      <c r="S11" s="6">
        <v>100.3</v>
      </c>
      <c r="T11" s="3">
        <f t="shared" si="18"/>
        <v>1498.7167449139281</v>
      </c>
      <c r="U11" s="3">
        <v>95768</v>
      </c>
      <c r="V11" s="6">
        <v>63.9</v>
      </c>
      <c r="W11" s="3">
        <f t="shared" si="19"/>
        <v>1411.7026793431287</v>
      </c>
      <c r="X11" s="3">
        <v>326668</v>
      </c>
      <c r="Y11" s="6">
        <v>231.4</v>
      </c>
      <c r="Z11" s="3">
        <f t="shared" si="20"/>
        <v>1510.0307455803229</v>
      </c>
      <c r="AA11" s="3">
        <v>196455</v>
      </c>
      <c r="AB11" s="6">
        <v>130.1</v>
      </c>
      <c r="AC11" s="3">
        <f t="shared" si="21"/>
        <v>1277.0913663034366</v>
      </c>
      <c r="AD11" s="3">
        <v>304714</v>
      </c>
      <c r="AE11" s="6">
        <v>238.6</v>
      </c>
      <c r="AF11" s="3">
        <f t="shared" si="22"/>
        <v>1334.7916666666667</v>
      </c>
      <c r="AG11" s="3">
        <v>217838</v>
      </c>
      <c r="AH11" s="6">
        <v>163.19999999999999</v>
      </c>
      <c r="AI11" s="3">
        <f t="shared" si="23"/>
        <v>1451.4402173913045</v>
      </c>
      <c r="AJ11" s="3">
        <v>213652</v>
      </c>
      <c r="AK11" s="6">
        <v>147.19999999999999</v>
      </c>
      <c r="AL11" s="3">
        <f t="shared" si="24"/>
        <v>1451.1325724319579</v>
      </c>
      <c r="AM11" s="3">
        <v>165284</v>
      </c>
      <c r="AN11" s="6">
        <v>113.9</v>
      </c>
      <c r="AO11" s="3">
        <f t="shared" si="25"/>
        <v>1398.050168634064</v>
      </c>
      <c r="AP11" s="3">
        <f t="shared" si="28"/>
        <v>2652940</v>
      </c>
      <c r="AQ11" s="6">
        <f t="shared" si="27"/>
        <v>1897.6000000000001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9" t="s">
        <v>57</v>
      </c>
      <c r="B12" s="20"/>
      <c r="C12" s="20"/>
      <c r="D12" s="20"/>
      <c r="E12" s="3">
        <f>F12/G12</f>
        <v>1264.5895230648944</v>
      </c>
      <c r="F12" s="3">
        <v>161741</v>
      </c>
      <c r="G12" s="6">
        <v>127.9</v>
      </c>
      <c r="H12" s="3">
        <f>I12/J12</f>
        <v>1218.4426229508197</v>
      </c>
      <c r="I12" s="3">
        <v>148650</v>
      </c>
      <c r="J12" s="6">
        <v>122</v>
      </c>
      <c r="K12" s="3">
        <f>L12/M12</f>
        <v>1192.8934010152284</v>
      </c>
      <c r="L12" s="3">
        <v>23500</v>
      </c>
      <c r="M12" s="6">
        <v>19.7</v>
      </c>
      <c r="N12" s="3">
        <f>O12/P12</f>
        <v>1292.3298178331736</v>
      </c>
      <c r="O12" s="3">
        <v>134790</v>
      </c>
      <c r="P12" s="6">
        <v>104.3</v>
      </c>
      <c r="Q12" s="3">
        <f>R12/S12</f>
        <v>1197.7710843373493</v>
      </c>
      <c r="R12" s="3">
        <v>39766</v>
      </c>
      <c r="S12" s="6">
        <v>33.200000000000003</v>
      </c>
      <c r="T12" s="3">
        <f>U12/V12</f>
        <v>1257.4074074074074</v>
      </c>
      <c r="U12" s="3">
        <v>95060</v>
      </c>
      <c r="V12" s="6">
        <v>75.599999999999994</v>
      </c>
      <c r="W12" s="3">
        <f>X12/Y12</f>
        <v>1272.8993240839559</v>
      </c>
      <c r="X12" s="3">
        <v>357812</v>
      </c>
      <c r="Y12" s="6">
        <v>281.10000000000002</v>
      </c>
      <c r="Z12" s="3">
        <f>AA12/AB12</f>
        <v>1290.1889338731446</v>
      </c>
      <c r="AA12" s="3">
        <v>95603</v>
      </c>
      <c r="AB12" s="6">
        <v>74.099999999999994</v>
      </c>
      <c r="AC12" s="3">
        <f>AD12/AE12</f>
        <v>1312.8884462151393</v>
      </c>
      <c r="AD12" s="3">
        <v>65907</v>
      </c>
      <c r="AE12" s="6">
        <v>50.2</v>
      </c>
      <c r="AF12" s="3">
        <f>AG12/AH12</f>
        <v>1176.0859728506787</v>
      </c>
      <c r="AG12" s="3">
        <v>103966</v>
      </c>
      <c r="AH12" s="6">
        <v>88.4</v>
      </c>
      <c r="AI12" s="3">
        <f>AJ12/AK12</f>
        <v>1310.1343570057581</v>
      </c>
      <c r="AJ12" s="3">
        <v>68258</v>
      </c>
      <c r="AK12" s="6">
        <v>52.1</v>
      </c>
      <c r="AL12" s="3">
        <f>AM12/AN12</f>
        <v>1225.4808686659771</v>
      </c>
      <c r="AM12" s="3">
        <v>118504</v>
      </c>
      <c r="AN12" s="6">
        <v>96.7</v>
      </c>
      <c r="AO12" s="3">
        <f t="shared" si="25"/>
        <v>1256.1601350750909</v>
      </c>
      <c r="AP12" s="3">
        <f t="shared" si="28"/>
        <v>1413557</v>
      </c>
      <c r="AQ12" s="6">
        <f t="shared" si="27"/>
        <v>1125.3000000000002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9" t="s">
        <v>58</v>
      </c>
      <c r="B13" s="20"/>
      <c r="C13" s="20"/>
      <c r="D13" s="20"/>
      <c r="E13" s="3" t="e">
        <f t="shared" ref="E13:E70" si="29">F13/G13</f>
        <v>#DIV/0!</v>
      </c>
      <c r="F13" s="3">
        <v>0</v>
      </c>
      <c r="G13" s="6">
        <v>0</v>
      </c>
      <c r="H13" s="3" t="e">
        <f t="shared" ref="H13:H70" si="30">I13/J13</f>
        <v>#DIV/0!</v>
      </c>
      <c r="I13" s="3">
        <v>0</v>
      </c>
      <c r="J13" s="6">
        <v>0</v>
      </c>
      <c r="K13" s="3" t="e">
        <f t="shared" ref="K13:K70" si="31">L13/M13</f>
        <v>#DIV/0!</v>
      </c>
      <c r="L13" s="3">
        <v>0</v>
      </c>
      <c r="M13" s="6">
        <v>0</v>
      </c>
      <c r="N13" s="3" t="e">
        <f t="shared" ref="N13:N70" si="32">O13/P13</f>
        <v>#DIV/0!</v>
      </c>
      <c r="O13" s="3">
        <v>0</v>
      </c>
      <c r="P13" s="6">
        <v>0</v>
      </c>
      <c r="Q13" s="3" t="e">
        <f t="shared" ref="Q13:Q70" si="33">R13/S13</f>
        <v>#DIV/0!</v>
      </c>
      <c r="R13" s="3">
        <v>0</v>
      </c>
      <c r="S13" s="6">
        <v>0</v>
      </c>
      <c r="T13" s="3" t="e">
        <f t="shared" ref="T13:T70" si="34">U13/V13</f>
        <v>#DIV/0!</v>
      </c>
      <c r="U13" s="3">
        <v>0</v>
      </c>
      <c r="V13" s="6">
        <v>0</v>
      </c>
      <c r="W13" s="3" t="e">
        <f t="shared" ref="W13:W70" si="35">X13/Y13</f>
        <v>#DIV/0!</v>
      </c>
      <c r="X13" s="3">
        <v>0</v>
      </c>
      <c r="Y13" s="6">
        <v>0</v>
      </c>
      <c r="Z13" s="3" t="e">
        <f t="shared" ref="Z13:Z70" si="36">AA13/AB13</f>
        <v>#DIV/0!</v>
      </c>
      <c r="AA13" s="3">
        <v>0</v>
      </c>
      <c r="AB13" s="6">
        <v>0</v>
      </c>
      <c r="AC13" s="3">
        <f t="shared" ref="AC13:AC70" si="37">AD13/AE13</f>
        <v>1288.0976863753215</v>
      </c>
      <c r="AD13" s="3">
        <v>200428</v>
      </c>
      <c r="AE13" s="6">
        <v>155.6</v>
      </c>
      <c r="AF13" s="3">
        <f t="shared" ref="AF13:AF70" si="38">AG13/AH13</f>
        <v>1409.86</v>
      </c>
      <c r="AG13" s="3">
        <v>70493</v>
      </c>
      <c r="AH13" s="6">
        <v>50</v>
      </c>
      <c r="AI13" s="3" t="e">
        <f t="shared" ref="AI13:AI70" si="39">AJ13/AK13</f>
        <v>#DIV/0!</v>
      </c>
      <c r="AJ13" s="3">
        <v>0</v>
      </c>
      <c r="AK13" s="6">
        <v>0</v>
      </c>
      <c r="AL13" s="3">
        <f t="shared" ref="AL13:AL70" si="40">AM13/AN13</f>
        <v>1306.5081351689612</v>
      </c>
      <c r="AM13" s="3">
        <v>104390</v>
      </c>
      <c r="AN13" s="6">
        <v>79.900000000000006</v>
      </c>
      <c r="AO13" s="3">
        <f t="shared" si="25"/>
        <v>1314.5744308231174</v>
      </c>
      <c r="AP13" s="3">
        <f t="shared" si="28"/>
        <v>375311</v>
      </c>
      <c r="AQ13" s="6">
        <f t="shared" si="27"/>
        <v>285.5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9" t="s">
        <v>36</v>
      </c>
      <c r="B14" s="20"/>
      <c r="C14" s="20"/>
      <c r="D14" s="20"/>
      <c r="E14" s="3">
        <f t="shared" si="29"/>
        <v>3340.8208955223881</v>
      </c>
      <c r="F14" s="3">
        <v>179068</v>
      </c>
      <c r="G14" s="6">
        <v>53.6</v>
      </c>
      <c r="H14" s="3">
        <f t="shared" si="30"/>
        <v>3340.8208955223881</v>
      </c>
      <c r="I14" s="3">
        <v>358136</v>
      </c>
      <c r="J14" s="6">
        <v>107.2</v>
      </c>
      <c r="K14" s="3">
        <f t="shared" si="31"/>
        <v>4071.1282051282051</v>
      </c>
      <c r="L14" s="3">
        <v>317548</v>
      </c>
      <c r="M14" s="6">
        <v>78</v>
      </c>
      <c r="N14" s="3">
        <f t="shared" si="32"/>
        <v>4071.1282051282051</v>
      </c>
      <c r="O14" s="3">
        <v>79387</v>
      </c>
      <c r="P14" s="6">
        <v>19.5</v>
      </c>
      <c r="Q14" s="3">
        <f t="shared" si="33"/>
        <v>3317.744565217391</v>
      </c>
      <c r="R14" s="3">
        <v>366279</v>
      </c>
      <c r="S14" s="6">
        <v>110.4</v>
      </c>
      <c r="T14" s="3">
        <f t="shared" si="34"/>
        <v>3589.7435897435898</v>
      </c>
      <c r="U14" s="3">
        <v>210000</v>
      </c>
      <c r="V14" s="6">
        <v>58.5</v>
      </c>
      <c r="W14" s="3">
        <f t="shared" si="35"/>
        <v>3589.2281879194629</v>
      </c>
      <c r="X14" s="3">
        <v>213918</v>
      </c>
      <c r="Y14" s="6">
        <v>59.6</v>
      </c>
      <c r="Z14" s="3">
        <f t="shared" si="36"/>
        <v>2809.057971014493</v>
      </c>
      <c r="AA14" s="3">
        <v>232590</v>
      </c>
      <c r="AB14" s="6">
        <v>82.8</v>
      </c>
      <c r="AC14" s="3">
        <f t="shared" si="37"/>
        <v>3589.7435897435898</v>
      </c>
      <c r="AD14" s="3">
        <v>280000</v>
      </c>
      <c r="AE14" s="6">
        <v>78</v>
      </c>
      <c r="AF14" s="3">
        <f t="shared" si="38"/>
        <v>2928.7179487179487</v>
      </c>
      <c r="AG14" s="3">
        <v>171330</v>
      </c>
      <c r="AH14" s="6">
        <v>58.5</v>
      </c>
      <c r="AI14" s="3">
        <f t="shared" si="39"/>
        <v>2227.4523160762942</v>
      </c>
      <c r="AJ14" s="3">
        <v>163495</v>
      </c>
      <c r="AK14" s="6">
        <v>73.400000000000006</v>
      </c>
      <c r="AL14" s="3">
        <f t="shared" si="40"/>
        <v>2471.4634146341464</v>
      </c>
      <c r="AM14" s="3">
        <v>101330</v>
      </c>
      <c r="AN14" s="6">
        <v>41</v>
      </c>
      <c r="AO14" s="3">
        <f t="shared" si="25"/>
        <v>3257.8683729433274</v>
      </c>
      <c r="AP14" s="3">
        <f t="shared" si="28"/>
        <v>2673081</v>
      </c>
      <c r="AQ14" s="6">
        <f t="shared" si="27"/>
        <v>820.5</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9" t="s">
        <v>50</v>
      </c>
      <c r="B15" s="20"/>
      <c r="C15" s="20"/>
      <c r="D15" s="20"/>
      <c r="E15" s="3">
        <f t="shared" si="29"/>
        <v>1579.9317406143343</v>
      </c>
      <c r="F15" s="3">
        <v>46292</v>
      </c>
      <c r="G15" s="6">
        <v>29.3</v>
      </c>
      <c r="H15" s="3">
        <f t="shared" si="30"/>
        <v>918.19030158887449</v>
      </c>
      <c r="I15" s="3">
        <v>5559275</v>
      </c>
      <c r="J15" s="6">
        <v>6054.6</v>
      </c>
      <c r="K15" s="3">
        <f t="shared" si="31"/>
        <v>1991.5894039735099</v>
      </c>
      <c r="L15" s="3">
        <v>30073</v>
      </c>
      <c r="M15" s="6">
        <v>15.1</v>
      </c>
      <c r="N15" s="3">
        <f t="shared" si="32"/>
        <v>1656.1371841155235</v>
      </c>
      <c r="O15" s="3">
        <v>45875</v>
      </c>
      <c r="P15" s="6">
        <v>27.7</v>
      </c>
      <c r="Q15" s="3">
        <f t="shared" si="33"/>
        <v>1574.8965517241379</v>
      </c>
      <c r="R15" s="3">
        <v>45672</v>
      </c>
      <c r="S15" s="6">
        <v>29</v>
      </c>
      <c r="T15" s="3">
        <f t="shared" si="34"/>
        <v>1878.7878787878788</v>
      </c>
      <c r="U15" s="3">
        <v>18600</v>
      </c>
      <c r="V15" s="6">
        <v>9.9</v>
      </c>
      <c r="W15" s="3">
        <f t="shared" si="35"/>
        <v>1539.2386831275719</v>
      </c>
      <c r="X15" s="3">
        <v>74807</v>
      </c>
      <c r="Y15" s="6">
        <v>48.6</v>
      </c>
      <c r="Z15" s="3">
        <f t="shared" si="36"/>
        <v>1758.3018867924529</v>
      </c>
      <c r="AA15" s="3">
        <v>74552</v>
      </c>
      <c r="AB15" s="6">
        <v>42.4</v>
      </c>
      <c r="AC15" s="3">
        <f t="shared" si="37"/>
        <v>1927.2069825436408</v>
      </c>
      <c r="AD15" s="3">
        <v>154562</v>
      </c>
      <c r="AE15" s="6">
        <v>80.2</v>
      </c>
      <c r="AF15" s="3">
        <f t="shared" si="38"/>
        <v>1867.1500630517025</v>
      </c>
      <c r="AG15" s="3">
        <v>148065</v>
      </c>
      <c r="AH15" s="6">
        <v>79.3</v>
      </c>
      <c r="AI15" s="3">
        <f t="shared" si="39"/>
        <v>1734.9565217391305</v>
      </c>
      <c r="AJ15" s="3">
        <v>79808</v>
      </c>
      <c r="AK15" s="6">
        <v>46</v>
      </c>
      <c r="AL15" s="3">
        <f t="shared" si="40"/>
        <v>1777.628083491461</v>
      </c>
      <c r="AM15" s="3">
        <v>93681</v>
      </c>
      <c r="AN15" s="6">
        <v>52.7</v>
      </c>
      <c r="AO15" s="3">
        <f t="shared" si="25"/>
        <v>977.96739731073865</v>
      </c>
      <c r="AP15" s="3">
        <f t="shared" si="28"/>
        <v>6371262</v>
      </c>
      <c r="AQ15" s="6">
        <f t="shared" si="27"/>
        <v>6514.8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9" t="s">
        <v>55</v>
      </c>
      <c r="B16" s="20"/>
      <c r="C16" s="20"/>
      <c r="D16" s="20"/>
      <c r="E16" s="3">
        <f t="shared" si="29"/>
        <v>2076.9294605809127</v>
      </c>
      <c r="F16" s="3">
        <v>50054</v>
      </c>
      <c r="G16" s="6">
        <v>24.1</v>
      </c>
      <c r="H16" s="3">
        <f t="shared" si="30"/>
        <v>1501.5555555555557</v>
      </c>
      <c r="I16" s="3">
        <v>114869</v>
      </c>
      <c r="J16" s="6">
        <v>76.5</v>
      </c>
      <c r="K16" s="3" t="e">
        <f t="shared" si="31"/>
        <v>#DIV/0!</v>
      </c>
      <c r="L16" s="3">
        <v>0</v>
      </c>
      <c r="M16" s="6">
        <v>0</v>
      </c>
      <c r="N16" s="3">
        <f t="shared" si="32"/>
        <v>1324.65</v>
      </c>
      <c r="O16" s="3">
        <v>26493</v>
      </c>
      <c r="P16" s="6">
        <v>20</v>
      </c>
      <c r="Q16" s="3">
        <f t="shared" si="33"/>
        <v>1452.749244712991</v>
      </c>
      <c r="R16" s="3">
        <v>96172</v>
      </c>
      <c r="S16" s="6">
        <v>66.2</v>
      </c>
      <c r="T16" s="3">
        <f t="shared" si="34"/>
        <v>1381.7687074829932</v>
      </c>
      <c r="U16" s="3">
        <v>60936</v>
      </c>
      <c r="V16" s="6">
        <v>44.1</v>
      </c>
      <c r="W16" s="3">
        <f t="shared" si="35"/>
        <v>1404.8033126293997</v>
      </c>
      <c r="X16" s="3">
        <v>67852</v>
      </c>
      <c r="Y16" s="6">
        <v>48.3</v>
      </c>
      <c r="Z16" s="3">
        <f t="shared" si="36"/>
        <v>1188.1188118811881</v>
      </c>
      <c r="AA16" s="3">
        <v>24000</v>
      </c>
      <c r="AB16" s="6">
        <v>20.2</v>
      </c>
      <c r="AC16" s="3">
        <f t="shared" si="37"/>
        <v>1321.398891966759</v>
      </c>
      <c r="AD16" s="3">
        <v>95405</v>
      </c>
      <c r="AE16" s="6">
        <v>72.2</v>
      </c>
      <c r="AF16" s="3">
        <f t="shared" si="38"/>
        <v>1407.7178423236514</v>
      </c>
      <c r="AG16" s="3">
        <v>33926</v>
      </c>
      <c r="AH16" s="6">
        <v>24.1</v>
      </c>
      <c r="AI16" s="3">
        <f t="shared" si="39"/>
        <v>1407.7178423236514</v>
      </c>
      <c r="AJ16" s="3">
        <v>33926</v>
      </c>
      <c r="AK16" s="6">
        <v>24.1</v>
      </c>
      <c r="AL16" s="3">
        <f t="shared" si="40"/>
        <v>1342.9575402635433</v>
      </c>
      <c r="AM16" s="3">
        <v>91724</v>
      </c>
      <c r="AN16" s="6">
        <v>68.3</v>
      </c>
      <c r="AO16" s="3">
        <f t="shared" si="25"/>
        <v>1424.619954927269</v>
      </c>
      <c r="AP16" s="3">
        <f t="shared" si="28"/>
        <v>695357</v>
      </c>
      <c r="AQ16" s="6">
        <f t="shared" si="27"/>
        <v>488.1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9" t="s">
        <v>54</v>
      </c>
      <c r="B17" s="20"/>
      <c r="C17" s="20"/>
      <c r="D17" s="20"/>
      <c r="E17" s="3">
        <f t="shared" si="29"/>
        <v>1452.5334522747548</v>
      </c>
      <c r="F17" s="3">
        <v>162829</v>
      </c>
      <c r="G17" s="6">
        <v>112.1</v>
      </c>
      <c r="H17" s="3">
        <f t="shared" si="30"/>
        <v>1370.2155887230515</v>
      </c>
      <c r="I17" s="3">
        <v>165248</v>
      </c>
      <c r="J17" s="6">
        <v>120.6</v>
      </c>
      <c r="K17" s="3">
        <f t="shared" si="31"/>
        <v>1336.9326424870467</v>
      </c>
      <c r="L17" s="3">
        <v>129014</v>
      </c>
      <c r="M17" s="6">
        <v>96.5</v>
      </c>
      <c r="N17" s="3">
        <f t="shared" si="32"/>
        <v>1383.7292817679556</v>
      </c>
      <c r="O17" s="3">
        <v>200364</v>
      </c>
      <c r="P17" s="6">
        <v>144.80000000000001</v>
      </c>
      <c r="Q17" s="3">
        <f t="shared" si="33"/>
        <v>1359.2124352331607</v>
      </c>
      <c r="R17" s="3">
        <v>131164</v>
      </c>
      <c r="S17" s="6">
        <v>96.5</v>
      </c>
      <c r="T17" s="3">
        <f t="shared" si="34"/>
        <v>1404.8033126293997</v>
      </c>
      <c r="U17" s="3">
        <v>67852</v>
      </c>
      <c r="V17" s="6">
        <v>48.3</v>
      </c>
      <c r="W17" s="3">
        <f t="shared" si="35"/>
        <v>1407.7178423236514</v>
      </c>
      <c r="X17" s="3">
        <v>33926</v>
      </c>
      <c r="Y17" s="6">
        <v>24.1</v>
      </c>
      <c r="Z17" s="3">
        <f t="shared" si="36"/>
        <v>1407.7178423236514</v>
      </c>
      <c r="AA17" s="3">
        <v>33926</v>
      </c>
      <c r="AB17" s="6">
        <v>24.1</v>
      </c>
      <c r="AC17" s="3">
        <f t="shared" si="37"/>
        <v>1404.8033126293997</v>
      </c>
      <c r="AD17" s="3">
        <v>67852</v>
      </c>
      <c r="AE17" s="6">
        <v>48.3</v>
      </c>
      <c r="AF17" s="3">
        <f t="shared" si="38"/>
        <v>1404.8033126293997</v>
      </c>
      <c r="AG17" s="3">
        <v>67852</v>
      </c>
      <c r="AH17" s="6">
        <v>48.3</v>
      </c>
      <c r="AI17" s="3">
        <f t="shared" si="39"/>
        <v>1404.8033126293997</v>
      </c>
      <c r="AJ17" s="3">
        <v>67852</v>
      </c>
      <c r="AK17" s="6">
        <v>48.3</v>
      </c>
      <c r="AL17" s="3">
        <f t="shared" si="40"/>
        <v>1404.8033126293997</v>
      </c>
      <c r="AM17" s="3">
        <v>67852</v>
      </c>
      <c r="AN17" s="6">
        <v>48.3</v>
      </c>
      <c r="AO17" s="3">
        <f t="shared" si="25"/>
        <v>1390.0616135782379</v>
      </c>
      <c r="AP17" s="3">
        <f t="shared" si="28"/>
        <v>1195731</v>
      </c>
      <c r="AQ17" s="6">
        <f t="shared" si="27"/>
        <v>860.19999999999982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9" t="s">
        <v>33</v>
      </c>
      <c r="B18" s="20"/>
      <c r="C18" s="20"/>
      <c r="D18" s="20"/>
      <c r="E18" s="3" t="e">
        <f t="shared" si="29"/>
        <v>#DIV/0!</v>
      </c>
      <c r="F18" s="3">
        <v>0</v>
      </c>
      <c r="G18" s="6">
        <v>0</v>
      </c>
      <c r="H18" s="3">
        <f t="shared" si="30"/>
        <v>2020.6060606060607</v>
      </c>
      <c r="I18" s="3">
        <v>6668</v>
      </c>
      <c r="J18" s="6">
        <v>3.3</v>
      </c>
      <c r="K18" s="3">
        <f t="shared" si="31"/>
        <v>1346.3545150501673</v>
      </c>
      <c r="L18" s="3">
        <v>120768</v>
      </c>
      <c r="M18" s="6">
        <v>89.7</v>
      </c>
      <c r="N18" s="3">
        <f t="shared" si="32"/>
        <v>1552.0702754036088</v>
      </c>
      <c r="O18" s="3">
        <v>163433</v>
      </c>
      <c r="P18" s="6">
        <v>105.3</v>
      </c>
      <c r="Q18" s="3">
        <f t="shared" si="33"/>
        <v>4147.1428571428578</v>
      </c>
      <c r="R18" s="3">
        <v>2903</v>
      </c>
      <c r="S18" s="6">
        <v>0.7</v>
      </c>
      <c r="T18" s="3">
        <f t="shared" si="34"/>
        <v>1402.1830585559976</v>
      </c>
      <c r="U18" s="3">
        <v>246644</v>
      </c>
      <c r="V18" s="6">
        <v>175.9</v>
      </c>
      <c r="W18" s="3">
        <f t="shared" si="35"/>
        <v>2356</v>
      </c>
      <c r="X18" s="3">
        <v>3534</v>
      </c>
      <c r="Y18" s="6">
        <v>1.5</v>
      </c>
      <c r="Z18" s="3">
        <f t="shared" si="36"/>
        <v>1036.3423118974256</v>
      </c>
      <c r="AA18" s="3">
        <v>1042664</v>
      </c>
      <c r="AB18" s="6">
        <v>1006.1</v>
      </c>
      <c r="AC18" s="3">
        <f t="shared" si="37"/>
        <v>2180</v>
      </c>
      <c r="AD18" s="3">
        <v>4578</v>
      </c>
      <c r="AE18" s="6">
        <v>2.1</v>
      </c>
      <c r="AF18" s="3">
        <f t="shared" si="38"/>
        <v>1890.6666666666667</v>
      </c>
      <c r="AG18" s="3">
        <v>8508</v>
      </c>
      <c r="AH18" s="6">
        <v>4.5</v>
      </c>
      <c r="AI18" s="3">
        <f t="shared" si="39"/>
        <v>1784.7933884297522</v>
      </c>
      <c r="AJ18" s="3">
        <v>21596</v>
      </c>
      <c r="AK18" s="6">
        <v>12.1</v>
      </c>
      <c r="AL18" s="3">
        <f t="shared" si="40"/>
        <v>1273.9808917197454</v>
      </c>
      <c r="AM18" s="3">
        <v>40003</v>
      </c>
      <c r="AN18" s="6">
        <v>31.4</v>
      </c>
      <c r="AO18" s="3">
        <f t="shared" si="25"/>
        <v>1159.6391176881195</v>
      </c>
      <c r="AP18" s="3">
        <f t="shared" si="28"/>
        <v>1661299</v>
      </c>
      <c r="AQ18" s="6">
        <f t="shared" si="27"/>
        <v>1432.6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9" t="s">
        <v>23</v>
      </c>
      <c r="B19" s="20"/>
      <c r="C19" s="20"/>
      <c r="D19" s="20"/>
      <c r="E19" s="3" t="e">
        <f t="shared" si="29"/>
        <v>#DIV/0!</v>
      </c>
      <c r="F19" s="3">
        <v>0</v>
      </c>
      <c r="G19" s="6">
        <v>0</v>
      </c>
      <c r="H19" s="3">
        <f t="shared" si="30"/>
        <v>1395.6281407035176</v>
      </c>
      <c r="I19" s="3">
        <v>27773</v>
      </c>
      <c r="J19" s="6">
        <v>19.899999999999999</v>
      </c>
      <c r="K19" s="3">
        <f t="shared" si="31"/>
        <v>1086.9346733668342</v>
      </c>
      <c r="L19" s="3">
        <v>21630</v>
      </c>
      <c r="M19" s="6">
        <v>19.899999999999999</v>
      </c>
      <c r="N19" s="3">
        <f t="shared" si="32"/>
        <v>1079.5024875621889</v>
      </c>
      <c r="O19" s="3">
        <v>21698</v>
      </c>
      <c r="P19" s="6">
        <v>20.100000000000001</v>
      </c>
      <c r="Q19" s="3">
        <f t="shared" si="33"/>
        <v>2254.1916167664672</v>
      </c>
      <c r="R19" s="3">
        <v>37645</v>
      </c>
      <c r="S19" s="6">
        <v>16.7</v>
      </c>
      <c r="T19" s="3">
        <f t="shared" si="34"/>
        <v>1283.6159600997505</v>
      </c>
      <c r="U19" s="3">
        <v>51473</v>
      </c>
      <c r="V19" s="6">
        <v>40.1</v>
      </c>
      <c r="W19" s="3">
        <f t="shared" si="35"/>
        <v>2302.446483180428</v>
      </c>
      <c r="X19" s="3">
        <v>75290</v>
      </c>
      <c r="Y19" s="6">
        <v>32.700000000000003</v>
      </c>
      <c r="Z19" s="3">
        <f t="shared" si="36"/>
        <v>1234.4234079173839</v>
      </c>
      <c r="AA19" s="3">
        <v>71720</v>
      </c>
      <c r="AB19" s="6">
        <v>58.1</v>
      </c>
      <c r="AC19" s="3">
        <f t="shared" si="37"/>
        <v>1677.869318181818</v>
      </c>
      <c r="AD19" s="3">
        <v>59061</v>
      </c>
      <c r="AE19" s="6">
        <v>35.200000000000003</v>
      </c>
      <c r="AF19" s="3">
        <f t="shared" si="38"/>
        <v>1470.593525179856</v>
      </c>
      <c r="AG19" s="3">
        <v>81765</v>
      </c>
      <c r="AH19" s="6">
        <v>55.6</v>
      </c>
      <c r="AI19" s="3">
        <f t="shared" si="39"/>
        <v>959.44862155388478</v>
      </c>
      <c r="AJ19" s="3">
        <v>38282</v>
      </c>
      <c r="AK19" s="6">
        <v>39.9</v>
      </c>
      <c r="AL19" s="3">
        <f t="shared" si="40"/>
        <v>957.41854636591484</v>
      </c>
      <c r="AM19" s="3">
        <v>38201</v>
      </c>
      <c r="AN19" s="6">
        <v>39.9</v>
      </c>
      <c r="AO19" s="3">
        <f t="shared" si="25"/>
        <v>1387.2996561756152</v>
      </c>
      <c r="AP19" s="3">
        <f t="shared" si="28"/>
        <v>524538</v>
      </c>
      <c r="AQ19" s="6">
        <f t="shared" si="27"/>
        <v>378.09999999999997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9" t="s">
        <v>52</v>
      </c>
      <c r="B20" s="20"/>
      <c r="C20" s="20"/>
      <c r="D20" s="20"/>
      <c r="E20" s="3">
        <f t="shared" si="29"/>
        <v>1932.719298245614</v>
      </c>
      <c r="F20" s="3">
        <v>44066</v>
      </c>
      <c r="G20" s="6">
        <v>22.8</v>
      </c>
      <c r="H20" s="3">
        <f t="shared" si="30"/>
        <v>2284.4769874476988</v>
      </c>
      <c r="I20" s="3">
        <v>54599</v>
      </c>
      <c r="J20" s="6">
        <v>23.9</v>
      </c>
      <c r="K20" s="3">
        <f t="shared" si="31"/>
        <v>2369.204545454545</v>
      </c>
      <c r="L20" s="3">
        <v>41698</v>
      </c>
      <c r="M20" s="6">
        <v>17.600000000000001</v>
      </c>
      <c r="N20" s="3">
        <f t="shared" si="32"/>
        <v>2135.4700854700855</v>
      </c>
      <c r="O20" s="3">
        <v>24985</v>
      </c>
      <c r="P20" s="6">
        <v>11.7</v>
      </c>
      <c r="Q20" s="3">
        <f t="shared" si="33"/>
        <v>1959.1089108910892</v>
      </c>
      <c r="R20" s="3">
        <v>79148</v>
      </c>
      <c r="S20" s="6">
        <v>40.4</v>
      </c>
      <c r="T20" s="3">
        <f t="shared" si="34"/>
        <v>2253.669724770642</v>
      </c>
      <c r="U20" s="3">
        <v>24565</v>
      </c>
      <c r="V20" s="6">
        <v>10.9</v>
      </c>
      <c r="W20" s="3">
        <f t="shared" si="35"/>
        <v>2194.3255813953488</v>
      </c>
      <c r="X20" s="3">
        <v>47178</v>
      </c>
      <c r="Y20" s="6">
        <v>21.5</v>
      </c>
      <c r="Z20" s="3">
        <f t="shared" si="36"/>
        <v>2587.6978417266187</v>
      </c>
      <c r="AA20" s="3">
        <v>35969</v>
      </c>
      <c r="AB20" s="6">
        <v>13.9</v>
      </c>
      <c r="AC20" s="3">
        <f t="shared" si="37"/>
        <v>2187.3109243697477</v>
      </c>
      <c r="AD20" s="3">
        <v>52058</v>
      </c>
      <c r="AE20" s="6">
        <v>23.8</v>
      </c>
      <c r="AF20" s="3">
        <f t="shared" si="38"/>
        <v>1777.0559610705595</v>
      </c>
      <c r="AG20" s="3">
        <v>73037</v>
      </c>
      <c r="AH20" s="6">
        <v>41.1</v>
      </c>
      <c r="AI20" s="3">
        <f t="shared" si="39"/>
        <v>2216.0576923076924</v>
      </c>
      <c r="AJ20" s="3">
        <v>23047</v>
      </c>
      <c r="AK20" s="6">
        <v>10.4</v>
      </c>
      <c r="AL20" s="3">
        <f t="shared" si="40"/>
        <v>2477.8260869565215</v>
      </c>
      <c r="AM20" s="3">
        <v>34194</v>
      </c>
      <c r="AN20" s="6">
        <v>13.8</v>
      </c>
      <c r="AO20" s="3">
        <f t="shared" si="25"/>
        <v>2122.891183478951</v>
      </c>
      <c r="AP20" s="3">
        <f t="shared" si="28"/>
        <v>534544</v>
      </c>
      <c r="AQ20" s="6">
        <f t="shared" si="27"/>
        <v>251.80000000000004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9" t="s">
        <v>22</v>
      </c>
      <c r="B21" s="20"/>
      <c r="C21" s="20"/>
      <c r="D21" s="20"/>
      <c r="E21" s="3">
        <f t="shared" si="29"/>
        <v>1904.1968911917097</v>
      </c>
      <c r="F21" s="3">
        <v>36751</v>
      </c>
      <c r="G21" s="6">
        <v>19.3</v>
      </c>
      <c r="H21" s="3">
        <f t="shared" si="30"/>
        <v>2027.4999999999998</v>
      </c>
      <c r="I21" s="3">
        <v>43794</v>
      </c>
      <c r="J21" s="6">
        <v>21.6</v>
      </c>
      <c r="K21" s="3">
        <f t="shared" si="31"/>
        <v>1796.2</v>
      </c>
      <c r="L21" s="3">
        <v>8981</v>
      </c>
      <c r="M21" s="6">
        <v>5</v>
      </c>
      <c r="N21" s="3">
        <f t="shared" si="32"/>
        <v>1871.2994350282486</v>
      </c>
      <c r="O21" s="3">
        <v>33122</v>
      </c>
      <c r="P21" s="6">
        <v>17.7</v>
      </c>
      <c r="Q21" s="3">
        <f t="shared" si="33"/>
        <v>1891.0280373831777</v>
      </c>
      <c r="R21" s="3">
        <v>20234</v>
      </c>
      <c r="S21" s="6">
        <v>10.7</v>
      </c>
      <c r="T21" s="3">
        <f t="shared" si="34"/>
        <v>1905.6521739130433</v>
      </c>
      <c r="U21" s="3">
        <v>13149</v>
      </c>
      <c r="V21" s="6">
        <v>6.9</v>
      </c>
      <c r="W21" s="3">
        <f t="shared" si="35"/>
        <v>1796.2857142857142</v>
      </c>
      <c r="X21" s="3">
        <v>12574</v>
      </c>
      <c r="Y21" s="6">
        <v>7</v>
      </c>
      <c r="Z21" s="3">
        <f t="shared" si="36"/>
        <v>1834.6753246753246</v>
      </c>
      <c r="AA21" s="3">
        <v>14127</v>
      </c>
      <c r="AB21" s="6">
        <v>7.7</v>
      </c>
      <c r="AC21" s="3">
        <f t="shared" si="37"/>
        <v>1894.3925233644861</v>
      </c>
      <c r="AD21" s="3">
        <v>40540</v>
      </c>
      <c r="AE21" s="6">
        <v>21.4</v>
      </c>
      <c r="AF21" s="3">
        <f t="shared" si="38"/>
        <v>1788.9024390243903</v>
      </c>
      <c r="AG21" s="3">
        <v>14669</v>
      </c>
      <c r="AH21" s="6">
        <v>8.1999999999999993</v>
      </c>
      <c r="AI21" s="3">
        <f t="shared" si="39"/>
        <v>1609.0146750524109</v>
      </c>
      <c r="AJ21" s="3">
        <v>76750</v>
      </c>
      <c r="AK21" s="6">
        <v>47.7</v>
      </c>
      <c r="AL21" s="3">
        <f t="shared" si="40"/>
        <v>1870.6249999999998</v>
      </c>
      <c r="AM21" s="3">
        <v>32923</v>
      </c>
      <c r="AN21" s="6">
        <v>17.600000000000001</v>
      </c>
      <c r="AO21" s="3">
        <f t="shared" si="25"/>
        <v>1821.8763102725366</v>
      </c>
      <c r="AP21" s="3">
        <f t="shared" si="28"/>
        <v>347614</v>
      </c>
      <c r="AQ21" s="6">
        <f t="shared" si="27"/>
        <v>190.8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9" t="s">
        <v>32</v>
      </c>
      <c r="B22" s="20"/>
      <c r="C22" s="20"/>
      <c r="D22" s="20"/>
      <c r="E22" s="3">
        <f t="shared" si="29"/>
        <v>1996.4444444444443</v>
      </c>
      <c r="F22" s="3">
        <v>17968</v>
      </c>
      <c r="G22" s="6">
        <v>9</v>
      </c>
      <c r="H22" s="3">
        <f t="shared" si="30"/>
        <v>2824.3243243243242</v>
      </c>
      <c r="I22" s="3">
        <v>20900</v>
      </c>
      <c r="J22" s="6">
        <v>7.4</v>
      </c>
      <c r="K22" s="3">
        <f t="shared" si="31"/>
        <v>2487.872340425532</v>
      </c>
      <c r="L22" s="3">
        <v>11693</v>
      </c>
      <c r="M22" s="6">
        <v>4.7</v>
      </c>
      <c r="N22" s="3">
        <f t="shared" si="32"/>
        <v>2227.007299270073</v>
      </c>
      <c r="O22" s="3">
        <v>30510</v>
      </c>
      <c r="P22" s="6">
        <v>13.7</v>
      </c>
      <c r="Q22" s="3">
        <f t="shared" si="33"/>
        <v>2506.5476190476188</v>
      </c>
      <c r="R22" s="3">
        <v>21055</v>
      </c>
      <c r="S22" s="6">
        <v>8.4</v>
      </c>
      <c r="T22" s="3">
        <f t="shared" si="34"/>
        <v>2484.848484848485</v>
      </c>
      <c r="U22" s="3">
        <v>8200</v>
      </c>
      <c r="V22" s="6">
        <v>3.3</v>
      </c>
      <c r="W22" s="3">
        <f t="shared" si="35"/>
        <v>2138.7142857142858</v>
      </c>
      <c r="X22" s="3">
        <v>14971</v>
      </c>
      <c r="Y22" s="6">
        <v>7</v>
      </c>
      <c r="Z22" s="3">
        <f t="shared" si="36"/>
        <v>2251.1340206185569</v>
      </c>
      <c r="AA22" s="3">
        <v>43672</v>
      </c>
      <c r="AB22" s="6">
        <v>19.399999999999999</v>
      </c>
      <c r="AC22" s="3">
        <f t="shared" si="37"/>
        <v>2174.9056603773583</v>
      </c>
      <c r="AD22" s="3">
        <v>23054</v>
      </c>
      <c r="AE22" s="6">
        <v>10.6</v>
      </c>
      <c r="AF22" s="3">
        <f t="shared" si="38"/>
        <v>2792.6315789473683</v>
      </c>
      <c r="AG22" s="3">
        <v>15918</v>
      </c>
      <c r="AH22" s="6">
        <v>5.7</v>
      </c>
      <c r="AI22" s="3">
        <f t="shared" si="39"/>
        <v>2786.0759493670885</v>
      </c>
      <c r="AJ22" s="3">
        <v>22010</v>
      </c>
      <c r="AK22" s="6">
        <v>7.9</v>
      </c>
      <c r="AL22" s="3">
        <f t="shared" si="40"/>
        <v>2186.0377358490568</v>
      </c>
      <c r="AM22" s="3">
        <v>23172</v>
      </c>
      <c r="AN22" s="6">
        <v>10.6</v>
      </c>
      <c r="AO22" s="3">
        <f t="shared" si="25"/>
        <v>2350.2599814298983</v>
      </c>
      <c r="AP22" s="3">
        <f t="shared" si="28"/>
        <v>253123</v>
      </c>
      <c r="AQ22" s="6">
        <f t="shared" si="27"/>
        <v>107.69999999999999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9" t="s">
        <v>49</v>
      </c>
      <c r="B23" s="20"/>
      <c r="C23" s="20"/>
      <c r="D23" s="20"/>
      <c r="E23" s="3">
        <f t="shared" si="29"/>
        <v>2197.8431372549021</v>
      </c>
      <c r="F23" s="3">
        <v>11209</v>
      </c>
      <c r="G23" s="6">
        <v>5.0999999999999996</v>
      </c>
      <c r="H23" s="3">
        <f t="shared" si="30"/>
        <v>1813</v>
      </c>
      <c r="I23" s="3">
        <v>3626</v>
      </c>
      <c r="J23" s="6">
        <v>2</v>
      </c>
      <c r="K23" s="3">
        <f t="shared" si="31"/>
        <v>2043.3333333333333</v>
      </c>
      <c r="L23" s="3">
        <v>3678</v>
      </c>
      <c r="M23" s="6">
        <v>1.8</v>
      </c>
      <c r="N23" s="3">
        <f t="shared" si="32"/>
        <v>1753.9560439560439</v>
      </c>
      <c r="O23" s="3">
        <v>15961</v>
      </c>
      <c r="P23" s="6">
        <v>9.1</v>
      </c>
      <c r="Q23" s="3">
        <f t="shared" si="33"/>
        <v>1680.8808290155439</v>
      </c>
      <c r="R23" s="3">
        <v>32441</v>
      </c>
      <c r="S23" s="6">
        <v>19.3</v>
      </c>
      <c r="T23" s="3">
        <f t="shared" si="34"/>
        <v>1823.0147058823529</v>
      </c>
      <c r="U23" s="3">
        <v>24793</v>
      </c>
      <c r="V23" s="6">
        <v>13.6</v>
      </c>
      <c r="W23" s="3">
        <f t="shared" si="35"/>
        <v>1652.3465703971119</v>
      </c>
      <c r="X23" s="3">
        <v>45770</v>
      </c>
      <c r="Y23" s="6">
        <v>27.7</v>
      </c>
      <c r="Z23" s="3">
        <f t="shared" si="36"/>
        <v>1510.126582278481</v>
      </c>
      <c r="AA23" s="3">
        <v>11930</v>
      </c>
      <c r="AB23" s="6">
        <v>7.9</v>
      </c>
      <c r="AC23" s="3">
        <f t="shared" si="37"/>
        <v>1960.5230769230768</v>
      </c>
      <c r="AD23" s="3">
        <v>63717</v>
      </c>
      <c r="AE23" s="6">
        <v>32.5</v>
      </c>
      <c r="AF23" s="3">
        <f t="shared" si="38"/>
        <v>1677.5238095238096</v>
      </c>
      <c r="AG23" s="3">
        <v>17614</v>
      </c>
      <c r="AH23" s="6">
        <v>10.5</v>
      </c>
      <c r="AI23" s="3">
        <f t="shared" si="39"/>
        <v>1644.7619047619046</v>
      </c>
      <c r="AJ23" s="3">
        <v>3454</v>
      </c>
      <c r="AK23" s="6">
        <v>2.1</v>
      </c>
      <c r="AL23" s="3">
        <f t="shared" si="40"/>
        <v>1502.2962962962963</v>
      </c>
      <c r="AM23" s="3">
        <v>20281</v>
      </c>
      <c r="AN23" s="6">
        <v>13.5</v>
      </c>
      <c r="AO23" s="3">
        <f t="shared" si="25"/>
        <v>1753.7835975189525</v>
      </c>
      <c r="AP23" s="3">
        <f t="shared" si="28"/>
        <v>254474</v>
      </c>
      <c r="AQ23" s="6">
        <f t="shared" si="27"/>
        <v>145.1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9" t="s">
        <v>67</v>
      </c>
      <c r="B24" s="20"/>
      <c r="C24" s="20"/>
      <c r="D24" s="20"/>
      <c r="E24" s="3">
        <f t="shared" si="29"/>
        <v>1955.4901960784316</v>
      </c>
      <c r="F24" s="3">
        <v>9973</v>
      </c>
      <c r="G24" s="6">
        <v>5.0999999999999996</v>
      </c>
      <c r="H24" s="3" t="e">
        <f t="shared" si="30"/>
        <v>#DIV/0!</v>
      </c>
      <c r="I24" s="3">
        <v>0</v>
      </c>
      <c r="J24" s="6">
        <v>0</v>
      </c>
      <c r="K24" s="3">
        <f t="shared" si="31"/>
        <v>894.3564356435644</v>
      </c>
      <c r="L24" s="3">
        <v>9033</v>
      </c>
      <c r="M24" s="6">
        <v>10.1</v>
      </c>
      <c r="N24" s="3">
        <f t="shared" si="32"/>
        <v>1918.5714285714287</v>
      </c>
      <c r="O24" s="3">
        <v>2686</v>
      </c>
      <c r="P24" s="6">
        <v>1.4</v>
      </c>
      <c r="Q24" s="3">
        <f t="shared" si="33"/>
        <v>1937.3076923076922</v>
      </c>
      <c r="R24" s="3">
        <v>5037</v>
      </c>
      <c r="S24" s="6">
        <v>2.6</v>
      </c>
      <c r="T24" s="3" t="e">
        <f t="shared" si="34"/>
        <v>#DIV/0!</v>
      </c>
      <c r="U24" s="3">
        <v>0</v>
      </c>
      <c r="V24" s="6">
        <v>0</v>
      </c>
      <c r="W24" s="3">
        <f t="shared" si="35"/>
        <v>1955.2941176470588</v>
      </c>
      <c r="X24" s="3">
        <v>3324</v>
      </c>
      <c r="Y24" s="6">
        <v>1.7</v>
      </c>
      <c r="Z24" s="3" t="e">
        <f t="shared" si="36"/>
        <v>#DIV/0!</v>
      </c>
      <c r="AA24" s="3">
        <v>0</v>
      </c>
      <c r="AB24" s="6">
        <v>0</v>
      </c>
      <c r="AC24" s="3">
        <f t="shared" si="37"/>
        <v>1975.2941176470588</v>
      </c>
      <c r="AD24" s="3">
        <v>3358</v>
      </c>
      <c r="AE24" s="6">
        <v>1.7</v>
      </c>
      <c r="AF24" s="3">
        <f t="shared" si="38"/>
        <v>1962.1875</v>
      </c>
      <c r="AG24" s="3">
        <v>6279</v>
      </c>
      <c r="AH24" s="6">
        <v>3.2</v>
      </c>
      <c r="AI24" s="3" t="e">
        <f t="shared" si="39"/>
        <v>#DIV/0!</v>
      </c>
      <c r="AJ24" s="3">
        <v>0</v>
      </c>
      <c r="AK24" s="6">
        <v>0</v>
      </c>
      <c r="AL24" s="3">
        <f t="shared" si="40"/>
        <v>1960.6451612903224</v>
      </c>
      <c r="AM24" s="3">
        <v>12156</v>
      </c>
      <c r="AN24" s="6">
        <v>6.2</v>
      </c>
      <c r="AO24" s="3">
        <f t="shared" si="25"/>
        <v>1620.1875000000002</v>
      </c>
      <c r="AP24" s="3">
        <f t="shared" si="28"/>
        <v>51846</v>
      </c>
      <c r="AQ24" s="6">
        <f t="shared" si="27"/>
        <v>31.999999999999996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9" t="s">
        <v>40</v>
      </c>
      <c r="B25" s="20"/>
      <c r="C25" s="20"/>
      <c r="D25" s="20"/>
      <c r="E25" s="3">
        <f t="shared" si="29"/>
        <v>1991.1764705882354</v>
      </c>
      <c r="F25" s="3">
        <v>50775</v>
      </c>
      <c r="G25" s="6">
        <v>25.5</v>
      </c>
      <c r="H25" s="3">
        <f t="shared" si="30"/>
        <v>1667.1428571428573</v>
      </c>
      <c r="I25" s="3">
        <v>57183</v>
      </c>
      <c r="J25" s="6">
        <v>34.299999999999997</v>
      </c>
      <c r="K25" s="3">
        <f t="shared" si="31"/>
        <v>1936.8261964735516</v>
      </c>
      <c r="L25" s="3">
        <v>76892</v>
      </c>
      <c r="M25" s="6">
        <v>39.700000000000003</v>
      </c>
      <c r="N25" s="3">
        <f t="shared" si="32"/>
        <v>1533.875</v>
      </c>
      <c r="O25" s="3">
        <v>36813</v>
      </c>
      <c r="P25" s="6">
        <v>24</v>
      </c>
      <c r="Q25" s="3">
        <f t="shared" si="33"/>
        <v>1734.5108695652175</v>
      </c>
      <c r="R25" s="3">
        <v>31915</v>
      </c>
      <c r="S25" s="6">
        <v>18.399999999999999</v>
      </c>
      <c r="T25" s="3">
        <f t="shared" si="34"/>
        <v>2315.8474576271187</v>
      </c>
      <c r="U25" s="3">
        <v>27327</v>
      </c>
      <c r="V25" s="6">
        <v>11.8</v>
      </c>
      <c r="W25" s="3">
        <f t="shared" si="35"/>
        <v>1272</v>
      </c>
      <c r="X25" s="3">
        <v>7632</v>
      </c>
      <c r="Y25" s="6">
        <v>6</v>
      </c>
      <c r="Z25" s="3">
        <f t="shared" si="36"/>
        <v>1892.2068965517242</v>
      </c>
      <c r="AA25" s="3">
        <v>27437</v>
      </c>
      <c r="AB25" s="6">
        <v>14.5</v>
      </c>
      <c r="AC25" s="3" t="e">
        <f t="shared" si="37"/>
        <v>#DIV/0!</v>
      </c>
      <c r="AD25" s="3">
        <v>0</v>
      </c>
      <c r="AE25" s="6">
        <v>0</v>
      </c>
      <c r="AF25" s="3">
        <f t="shared" si="38"/>
        <v>2061.9718309859154</v>
      </c>
      <c r="AG25" s="3">
        <v>14640</v>
      </c>
      <c r="AH25" s="6">
        <v>7.1</v>
      </c>
      <c r="AI25" s="3">
        <f t="shared" si="39"/>
        <v>1502.5477707006371</v>
      </c>
      <c r="AJ25" s="3">
        <v>23590</v>
      </c>
      <c r="AK25" s="6">
        <v>15.7</v>
      </c>
      <c r="AL25" s="3">
        <f t="shared" si="40"/>
        <v>1563.2</v>
      </c>
      <c r="AM25" s="3">
        <v>11724</v>
      </c>
      <c r="AN25" s="6">
        <v>7.5</v>
      </c>
      <c r="AO25" s="3">
        <f t="shared" si="25"/>
        <v>1789.3789731051345</v>
      </c>
      <c r="AP25" s="3">
        <f t="shared" si="28"/>
        <v>365928</v>
      </c>
      <c r="AQ25" s="6">
        <f t="shared" si="27"/>
        <v>204.5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9" t="s">
        <v>70</v>
      </c>
      <c r="B26" s="20"/>
      <c r="C26" s="20"/>
      <c r="D26" s="20"/>
      <c r="E26" s="3" t="e">
        <f t="shared" si="29"/>
        <v>#DIV/0!</v>
      </c>
      <c r="F26" s="3">
        <v>0</v>
      </c>
      <c r="G26" s="6">
        <v>0</v>
      </c>
      <c r="H26" s="3">
        <f t="shared" si="30"/>
        <v>1675.8333333333333</v>
      </c>
      <c r="I26" s="3">
        <v>28154</v>
      </c>
      <c r="J26" s="6">
        <v>16.8</v>
      </c>
      <c r="K26" s="3">
        <f t="shared" si="31"/>
        <v>1659.9481865284974</v>
      </c>
      <c r="L26" s="3">
        <v>64074</v>
      </c>
      <c r="M26" s="6">
        <v>38.6</v>
      </c>
      <c r="N26" s="3">
        <f t="shared" si="32"/>
        <v>1563.8013698630136</v>
      </c>
      <c r="O26" s="3">
        <v>91326</v>
      </c>
      <c r="P26" s="6">
        <v>58.4</v>
      </c>
      <c r="Q26" s="3">
        <f t="shared" si="33"/>
        <v>1507.7777777777778</v>
      </c>
      <c r="R26" s="3">
        <v>29854</v>
      </c>
      <c r="S26" s="6">
        <v>19.8</v>
      </c>
      <c r="T26" s="3">
        <f t="shared" si="34"/>
        <v>1662.5</v>
      </c>
      <c r="U26" s="3">
        <v>27930</v>
      </c>
      <c r="V26" s="6">
        <v>16.8</v>
      </c>
      <c r="W26" s="3">
        <f t="shared" si="35"/>
        <v>1732.1100917431193</v>
      </c>
      <c r="X26" s="3">
        <v>37760</v>
      </c>
      <c r="Y26" s="6">
        <v>21.8</v>
      </c>
      <c r="Z26" s="3" t="e">
        <f t="shared" si="36"/>
        <v>#DIV/0!</v>
      </c>
      <c r="AA26" s="3">
        <v>0</v>
      </c>
      <c r="AB26" s="6">
        <v>0</v>
      </c>
      <c r="AC26" s="3">
        <f t="shared" si="37"/>
        <v>1594.2261904761904</v>
      </c>
      <c r="AD26" s="3">
        <v>26783</v>
      </c>
      <c r="AE26" s="6">
        <v>16.8</v>
      </c>
      <c r="AF26" s="3">
        <f t="shared" si="38"/>
        <v>1592.2619047619046</v>
      </c>
      <c r="AG26" s="3">
        <v>26750</v>
      </c>
      <c r="AH26" s="6">
        <v>16.8</v>
      </c>
      <c r="AI26" s="3">
        <f t="shared" si="39"/>
        <v>1398.1843575418995</v>
      </c>
      <c r="AJ26" s="3">
        <v>50055</v>
      </c>
      <c r="AK26" s="6">
        <v>35.799999999999997</v>
      </c>
      <c r="AL26" s="3">
        <f t="shared" si="40"/>
        <v>2016</v>
      </c>
      <c r="AM26" s="3">
        <v>10080</v>
      </c>
      <c r="AN26" s="6">
        <v>5</v>
      </c>
      <c r="AO26" s="3">
        <f t="shared" si="25"/>
        <v>1592.72506082725</v>
      </c>
      <c r="AP26" s="3">
        <f t="shared" si="28"/>
        <v>392766</v>
      </c>
      <c r="AQ26" s="6">
        <f t="shared" si="27"/>
        <v>246.60000000000008</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9" t="s">
        <v>21</v>
      </c>
      <c r="B27" s="20"/>
      <c r="C27" s="20"/>
      <c r="D27" s="20"/>
      <c r="E27" s="3" t="e">
        <f t="shared" si="29"/>
        <v>#DIV/0!</v>
      </c>
      <c r="F27" s="3">
        <v>0</v>
      </c>
      <c r="G27" s="6">
        <v>0</v>
      </c>
      <c r="H27" s="3" t="e">
        <f t="shared" si="30"/>
        <v>#DIV/0!</v>
      </c>
      <c r="I27" s="3">
        <v>0</v>
      </c>
      <c r="J27" s="6">
        <v>0</v>
      </c>
      <c r="K27" s="3">
        <f t="shared" si="31"/>
        <v>2013.7175792507203</v>
      </c>
      <c r="L27" s="3">
        <v>69876</v>
      </c>
      <c r="M27" s="6">
        <v>34.700000000000003</v>
      </c>
      <c r="N27" s="3">
        <f t="shared" si="32"/>
        <v>1862.9032258064515</v>
      </c>
      <c r="O27" s="3">
        <v>23100</v>
      </c>
      <c r="P27" s="6">
        <v>12.4</v>
      </c>
      <c r="Q27" s="3">
        <f t="shared" si="33"/>
        <v>1855.0889679715301</v>
      </c>
      <c r="R27" s="3">
        <v>52128</v>
      </c>
      <c r="S27" s="6">
        <v>28.1</v>
      </c>
      <c r="T27" s="3">
        <f t="shared" si="34"/>
        <v>2057.8846153846152</v>
      </c>
      <c r="U27" s="3">
        <v>21402</v>
      </c>
      <c r="V27" s="6">
        <v>10.4</v>
      </c>
      <c r="W27" s="3">
        <f t="shared" si="35"/>
        <v>2104.9350649350649</v>
      </c>
      <c r="X27" s="3">
        <v>16208</v>
      </c>
      <c r="Y27" s="6">
        <v>7.7</v>
      </c>
      <c r="Z27" s="3" t="e">
        <f t="shared" si="36"/>
        <v>#DIV/0!</v>
      </c>
      <c r="AA27" s="3">
        <v>0</v>
      </c>
      <c r="AB27" s="6">
        <v>0</v>
      </c>
      <c r="AC27" s="3">
        <f t="shared" si="37"/>
        <v>1994.0869565217392</v>
      </c>
      <c r="AD27" s="3">
        <v>45864</v>
      </c>
      <c r="AE27" s="6">
        <v>23</v>
      </c>
      <c r="AF27" s="3">
        <f t="shared" si="38"/>
        <v>2088</v>
      </c>
      <c r="AG27" s="3">
        <v>3132</v>
      </c>
      <c r="AH27" s="6">
        <v>1.5</v>
      </c>
      <c r="AI27" s="3" t="e">
        <f t="shared" si="39"/>
        <v>#DIV/0!</v>
      </c>
      <c r="AJ27" s="3">
        <v>0</v>
      </c>
      <c r="AK27" s="6">
        <v>0</v>
      </c>
      <c r="AL27" s="3">
        <f t="shared" si="40"/>
        <v>2027.4358974358975</v>
      </c>
      <c r="AM27" s="3">
        <v>7907</v>
      </c>
      <c r="AN27" s="6">
        <v>3.9</v>
      </c>
      <c r="AO27" s="3">
        <f t="shared" si="25"/>
        <v>1968.9153656532453</v>
      </c>
      <c r="AP27" s="3">
        <f t="shared" si="28"/>
        <v>239617</v>
      </c>
      <c r="AQ27" s="6">
        <f t="shared" si="27"/>
        <v>121.70000000000002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9" t="s">
        <v>89</v>
      </c>
      <c r="B28" s="20"/>
      <c r="C28" s="20"/>
      <c r="D28" s="20"/>
      <c r="E28" s="3" t="e">
        <f t="shared" si="29"/>
        <v>#DIV/0!</v>
      </c>
      <c r="F28" s="3">
        <v>0</v>
      </c>
      <c r="G28" s="6">
        <v>0</v>
      </c>
      <c r="H28" s="3" t="e">
        <f t="shared" si="30"/>
        <v>#DIV/0!</v>
      </c>
      <c r="I28" s="3">
        <v>0</v>
      </c>
      <c r="J28" s="6">
        <v>0</v>
      </c>
      <c r="K28" s="3" t="e">
        <f t="shared" si="31"/>
        <v>#DIV/0!</v>
      </c>
      <c r="L28" s="3">
        <v>0</v>
      </c>
      <c r="M28" s="6">
        <v>0</v>
      </c>
      <c r="N28" s="3" t="e">
        <f t="shared" si="32"/>
        <v>#DIV/0!</v>
      </c>
      <c r="O28" s="3">
        <v>0</v>
      </c>
      <c r="P28" s="6">
        <v>0</v>
      </c>
      <c r="Q28" s="3" t="e">
        <f t="shared" si="33"/>
        <v>#DIV/0!</v>
      </c>
      <c r="R28" s="3">
        <v>0</v>
      </c>
      <c r="S28" s="6">
        <v>0</v>
      </c>
      <c r="T28" s="3" t="e">
        <f t="shared" si="34"/>
        <v>#DIV/0!</v>
      </c>
      <c r="U28" s="3">
        <v>0</v>
      </c>
      <c r="V28" s="6">
        <v>0</v>
      </c>
      <c r="W28" s="3" t="e">
        <f t="shared" si="35"/>
        <v>#DIV/0!</v>
      </c>
      <c r="X28" s="3">
        <v>0</v>
      </c>
      <c r="Y28" s="6">
        <v>0</v>
      </c>
      <c r="Z28" s="3" t="e">
        <f t="shared" si="36"/>
        <v>#DIV/0!</v>
      </c>
      <c r="AA28" s="3">
        <v>0</v>
      </c>
      <c r="AB28" s="6">
        <v>0</v>
      </c>
      <c r="AC28" s="3" t="e">
        <f t="shared" si="37"/>
        <v>#DIV/0!</v>
      </c>
      <c r="AD28" s="3">
        <v>0</v>
      </c>
      <c r="AE28" s="6">
        <v>0</v>
      </c>
      <c r="AF28" s="3" t="e">
        <f t="shared" si="38"/>
        <v>#DIV/0!</v>
      </c>
      <c r="AG28" s="3">
        <v>0</v>
      </c>
      <c r="AH28" s="6">
        <v>0</v>
      </c>
      <c r="AI28" s="3" t="e">
        <f t="shared" si="39"/>
        <v>#DIV/0!</v>
      </c>
      <c r="AJ28" s="3">
        <v>0</v>
      </c>
      <c r="AK28" s="6">
        <v>0</v>
      </c>
      <c r="AL28" s="3">
        <f t="shared" si="40"/>
        <v>4450</v>
      </c>
      <c r="AM28" s="3">
        <v>7120</v>
      </c>
      <c r="AN28" s="6">
        <v>1.6</v>
      </c>
      <c r="AO28" s="3">
        <f t="shared" si="25"/>
        <v>4450</v>
      </c>
      <c r="AP28" s="3">
        <f t="shared" si="28"/>
        <v>7120</v>
      </c>
      <c r="AQ28" s="6">
        <f t="shared" si="27"/>
        <v>1.6</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9" t="s">
        <v>60</v>
      </c>
      <c r="B29" s="20"/>
      <c r="C29" s="20"/>
      <c r="D29" s="20"/>
      <c r="E29" s="3" t="e">
        <f t="shared" si="29"/>
        <v>#DIV/0!</v>
      </c>
      <c r="F29" s="3">
        <v>0</v>
      </c>
      <c r="G29" s="6">
        <v>0</v>
      </c>
      <c r="H29" s="3">
        <f t="shared" si="30"/>
        <v>2100.9677419354839</v>
      </c>
      <c r="I29" s="3">
        <v>6513</v>
      </c>
      <c r="J29" s="6">
        <v>3.1</v>
      </c>
      <c r="K29" s="3">
        <f t="shared" si="31"/>
        <v>1966.4</v>
      </c>
      <c r="L29" s="3">
        <v>4916</v>
      </c>
      <c r="M29" s="6">
        <v>2.5</v>
      </c>
      <c r="N29" s="3">
        <f t="shared" si="32"/>
        <v>1789.5238095238094</v>
      </c>
      <c r="O29" s="3">
        <v>3758</v>
      </c>
      <c r="P29" s="6">
        <v>2.1</v>
      </c>
      <c r="Q29" s="3" t="e">
        <f t="shared" si="33"/>
        <v>#DIV/0!</v>
      </c>
      <c r="R29" s="3">
        <v>0</v>
      </c>
      <c r="S29" s="6">
        <v>0</v>
      </c>
      <c r="T29" s="3">
        <f t="shared" si="34"/>
        <v>2091.818181818182</v>
      </c>
      <c r="U29" s="3">
        <v>11505</v>
      </c>
      <c r="V29" s="6">
        <v>5.5</v>
      </c>
      <c r="W29" s="3" t="e">
        <f t="shared" si="35"/>
        <v>#DIV/0!</v>
      </c>
      <c r="X29" s="3">
        <v>0</v>
      </c>
      <c r="Y29" s="6">
        <v>0</v>
      </c>
      <c r="Z29" s="3" t="e">
        <f t="shared" si="36"/>
        <v>#DIV/0!</v>
      </c>
      <c r="AA29" s="3">
        <v>0</v>
      </c>
      <c r="AB29" s="6">
        <v>0</v>
      </c>
      <c r="AC29" s="3">
        <f t="shared" si="37"/>
        <v>6552.5</v>
      </c>
      <c r="AD29" s="3">
        <v>2621</v>
      </c>
      <c r="AE29" s="6">
        <v>0.4</v>
      </c>
      <c r="AF29" s="3">
        <f t="shared" si="38"/>
        <v>2077.8947368421054</v>
      </c>
      <c r="AG29" s="3">
        <v>3948</v>
      </c>
      <c r="AH29" s="6">
        <v>1.9</v>
      </c>
      <c r="AI29" s="3">
        <f t="shared" si="39"/>
        <v>2168.6486486486488</v>
      </c>
      <c r="AJ29" s="3">
        <v>8024</v>
      </c>
      <c r="AK29" s="6">
        <v>3.7</v>
      </c>
      <c r="AL29" s="3">
        <f t="shared" si="40"/>
        <v>4641.333333333333</v>
      </c>
      <c r="AM29" s="3">
        <v>6962</v>
      </c>
      <c r="AN29" s="6">
        <v>1.5</v>
      </c>
      <c r="AO29" s="3">
        <f t="shared" si="25"/>
        <v>2330.7729468599036</v>
      </c>
      <c r="AP29" s="3">
        <f t="shared" si="28"/>
        <v>48247</v>
      </c>
      <c r="AQ29" s="6">
        <f t="shared" si="27"/>
        <v>20.7</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9" t="s">
        <v>30</v>
      </c>
      <c r="B30" s="20"/>
      <c r="C30" s="20"/>
      <c r="D30" s="20"/>
      <c r="E30" s="3">
        <f t="shared" si="29"/>
        <v>2381.3855421686744</v>
      </c>
      <c r="F30" s="3">
        <v>39531</v>
      </c>
      <c r="G30" s="6">
        <v>16.600000000000001</v>
      </c>
      <c r="H30" s="3">
        <f t="shared" si="30"/>
        <v>2363.4074074074074</v>
      </c>
      <c r="I30" s="3">
        <v>31906</v>
      </c>
      <c r="J30" s="6">
        <v>13.5</v>
      </c>
      <c r="K30" s="3">
        <f t="shared" si="31"/>
        <v>2238.4653465346537</v>
      </c>
      <c r="L30" s="3">
        <v>90434</v>
      </c>
      <c r="M30" s="6">
        <v>40.4</v>
      </c>
      <c r="N30" s="3">
        <f t="shared" si="32"/>
        <v>2257.8048780487807</v>
      </c>
      <c r="O30" s="3">
        <v>9257</v>
      </c>
      <c r="P30" s="6">
        <v>4.0999999999999996</v>
      </c>
      <c r="Q30" s="3">
        <f t="shared" si="33"/>
        <v>2157.7037037037039</v>
      </c>
      <c r="R30" s="3">
        <v>58258</v>
      </c>
      <c r="S30" s="6">
        <v>27</v>
      </c>
      <c r="T30" s="3" t="e">
        <f t="shared" si="34"/>
        <v>#DIV/0!</v>
      </c>
      <c r="U30" s="3">
        <v>0</v>
      </c>
      <c r="V30" s="6">
        <v>0</v>
      </c>
      <c r="W30" s="3">
        <f t="shared" si="35"/>
        <v>2341.3333333333335</v>
      </c>
      <c r="X30" s="3">
        <v>3512</v>
      </c>
      <c r="Y30" s="6">
        <v>1.5</v>
      </c>
      <c r="Z30" s="3" t="e">
        <f t="shared" si="36"/>
        <v>#DIV/0!</v>
      </c>
      <c r="AA30" s="3">
        <v>0</v>
      </c>
      <c r="AB30" s="6">
        <v>0</v>
      </c>
      <c r="AC30" s="3">
        <f t="shared" si="37"/>
        <v>2316.6666666666665</v>
      </c>
      <c r="AD30" s="3">
        <v>3475</v>
      </c>
      <c r="AE30" s="6">
        <v>1.5</v>
      </c>
      <c r="AF30" s="3">
        <f t="shared" si="38"/>
        <v>2324</v>
      </c>
      <c r="AG30" s="3">
        <v>3486</v>
      </c>
      <c r="AH30" s="6">
        <v>1.5</v>
      </c>
      <c r="AI30" s="3" t="e">
        <f t="shared" si="39"/>
        <v>#DIV/0!</v>
      </c>
      <c r="AJ30" s="3">
        <v>0</v>
      </c>
      <c r="AK30" s="6">
        <v>0</v>
      </c>
      <c r="AL30" s="3">
        <f t="shared" si="40"/>
        <v>2244.516129032258</v>
      </c>
      <c r="AM30" s="3">
        <v>6958</v>
      </c>
      <c r="AN30" s="6">
        <v>3.1</v>
      </c>
      <c r="AO30" s="3">
        <f t="shared" si="25"/>
        <v>2260.228937728938</v>
      </c>
      <c r="AP30" s="3">
        <f t="shared" si="28"/>
        <v>246817</v>
      </c>
      <c r="AQ30" s="6">
        <f t="shared" si="27"/>
        <v>109.19999999999999</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9" t="s">
        <v>34</v>
      </c>
      <c r="B31" s="20"/>
      <c r="C31" s="20"/>
      <c r="D31" s="20"/>
      <c r="E31" s="3">
        <f t="shared" si="29"/>
        <v>2505.6</v>
      </c>
      <c r="F31" s="3">
        <v>12528</v>
      </c>
      <c r="G31" s="6">
        <v>5</v>
      </c>
      <c r="H31" s="3">
        <f t="shared" si="30"/>
        <v>1515.0437317784258</v>
      </c>
      <c r="I31" s="3">
        <v>51966</v>
      </c>
      <c r="J31" s="6">
        <v>34.299999999999997</v>
      </c>
      <c r="K31" s="3">
        <f t="shared" si="31"/>
        <v>1671.1764705882354</v>
      </c>
      <c r="L31" s="3">
        <v>53979</v>
      </c>
      <c r="M31" s="6">
        <v>32.299999999999997</v>
      </c>
      <c r="N31" s="3">
        <f t="shared" si="32"/>
        <v>1852.1917808219177</v>
      </c>
      <c r="O31" s="3">
        <v>13521</v>
      </c>
      <c r="P31" s="6">
        <v>7.3</v>
      </c>
      <c r="Q31" s="3">
        <f t="shared" si="33"/>
        <v>1647.8048780487807</v>
      </c>
      <c r="R31" s="3">
        <v>27024</v>
      </c>
      <c r="S31" s="6">
        <v>16.399999999999999</v>
      </c>
      <c r="T31" s="3">
        <f t="shared" si="34"/>
        <v>1377.9047619047619</v>
      </c>
      <c r="U31" s="3">
        <v>14468</v>
      </c>
      <c r="V31" s="6">
        <v>10.5</v>
      </c>
      <c r="W31" s="3">
        <f t="shared" si="35"/>
        <v>3576.5384615384614</v>
      </c>
      <c r="X31" s="3">
        <v>9299</v>
      </c>
      <c r="Y31" s="6">
        <v>2.6</v>
      </c>
      <c r="Z31" s="3">
        <f t="shared" si="36"/>
        <v>2097.0270270270271</v>
      </c>
      <c r="AA31" s="3">
        <v>7759</v>
      </c>
      <c r="AB31" s="6">
        <v>3.7</v>
      </c>
      <c r="AC31" s="3" t="e">
        <f t="shared" si="37"/>
        <v>#DIV/0!</v>
      </c>
      <c r="AD31" s="3">
        <v>0</v>
      </c>
      <c r="AE31" s="6">
        <v>0</v>
      </c>
      <c r="AF31" s="3">
        <f t="shared" si="38"/>
        <v>1707.686567164179</v>
      </c>
      <c r="AG31" s="3">
        <v>22883</v>
      </c>
      <c r="AH31" s="6">
        <v>13.4</v>
      </c>
      <c r="AI31" s="3">
        <f t="shared" si="39"/>
        <v>1846.9014084507044</v>
      </c>
      <c r="AJ31" s="3">
        <v>13113</v>
      </c>
      <c r="AK31" s="6">
        <v>7.1</v>
      </c>
      <c r="AL31" s="3">
        <f t="shared" si="40"/>
        <v>2260.344827586207</v>
      </c>
      <c r="AM31" s="3">
        <v>6555</v>
      </c>
      <c r="AN31" s="6">
        <v>2.9</v>
      </c>
      <c r="AO31" s="3">
        <f t="shared" si="25"/>
        <v>1720.2583025830259</v>
      </c>
      <c r="AP31" s="3">
        <f t="shared" si="28"/>
        <v>233095</v>
      </c>
      <c r="AQ31" s="6">
        <f t="shared" si="27"/>
        <v>135.5</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9" t="s">
        <v>61</v>
      </c>
      <c r="B32" s="20"/>
      <c r="C32" s="20"/>
      <c r="D32" s="20"/>
      <c r="E32" s="3">
        <f t="shared" si="29"/>
        <v>2542.1428571428573</v>
      </c>
      <c r="F32" s="3">
        <v>3559</v>
      </c>
      <c r="G32" s="6">
        <v>1.4</v>
      </c>
      <c r="H32" s="3">
        <f t="shared" si="30"/>
        <v>2257.0588235294117</v>
      </c>
      <c r="I32" s="3">
        <v>3837</v>
      </c>
      <c r="J32" s="6">
        <v>1.7</v>
      </c>
      <c r="K32" s="3">
        <f t="shared" si="31"/>
        <v>1488.6111111111111</v>
      </c>
      <c r="L32" s="3">
        <v>32154</v>
      </c>
      <c r="M32" s="6">
        <v>21.6</v>
      </c>
      <c r="N32" s="3" t="e">
        <f t="shared" si="32"/>
        <v>#DIV/0!</v>
      </c>
      <c r="O32" s="3">
        <v>0</v>
      </c>
      <c r="P32" s="6">
        <v>0</v>
      </c>
      <c r="Q32" s="3">
        <f t="shared" si="33"/>
        <v>1586.7906976744187</v>
      </c>
      <c r="R32" s="3">
        <v>34116</v>
      </c>
      <c r="S32" s="6">
        <v>21.5</v>
      </c>
      <c r="T32" s="3">
        <f t="shared" si="34"/>
        <v>2488.2352941176473</v>
      </c>
      <c r="U32" s="3">
        <v>4230</v>
      </c>
      <c r="V32" s="6">
        <v>1.7</v>
      </c>
      <c r="W32" s="3">
        <f t="shared" si="35"/>
        <v>1497.3239436619717</v>
      </c>
      <c r="X32" s="3">
        <v>31893</v>
      </c>
      <c r="Y32" s="6">
        <v>21.3</v>
      </c>
      <c r="Z32" s="3">
        <f t="shared" si="36"/>
        <v>2682.8571428571431</v>
      </c>
      <c r="AA32" s="3">
        <v>3756</v>
      </c>
      <c r="AB32" s="6">
        <v>1.4</v>
      </c>
      <c r="AC32" s="3">
        <f t="shared" si="37"/>
        <v>1425.8411214953271</v>
      </c>
      <c r="AD32" s="3">
        <v>30513</v>
      </c>
      <c r="AE32" s="6">
        <v>21.4</v>
      </c>
      <c r="AF32" s="3" t="e">
        <f t="shared" si="38"/>
        <v>#DIV/0!</v>
      </c>
      <c r="AG32" s="3">
        <v>0</v>
      </c>
      <c r="AH32" s="6">
        <v>0</v>
      </c>
      <c r="AI32" s="3">
        <f t="shared" si="39"/>
        <v>1336.25</v>
      </c>
      <c r="AJ32" s="3">
        <v>26725</v>
      </c>
      <c r="AK32" s="6">
        <v>20</v>
      </c>
      <c r="AL32" s="3">
        <f t="shared" si="40"/>
        <v>2637.6190476190477</v>
      </c>
      <c r="AM32" s="3">
        <v>5539</v>
      </c>
      <c r="AN32" s="6">
        <v>2.1</v>
      </c>
      <c r="AO32" s="3">
        <f t="shared" si="25"/>
        <v>1545.3286590709904</v>
      </c>
      <c r="AP32" s="3">
        <f t="shared" si="28"/>
        <v>176322</v>
      </c>
      <c r="AQ32" s="6">
        <f t="shared" si="27"/>
        <v>114.1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9" t="s">
        <v>62</v>
      </c>
      <c r="B33" s="20"/>
      <c r="C33" s="20"/>
      <c r="D33" s="20"/>
      <c r="E33" s="3">
        <f t="shared" si="29"/>
        <v>2003.0107526881718</v>
      </c>
      <c r="F33" s="3">
        <v>18628</v>
      </c>
      <c r="G33" s="6">
        <v>9.3000000000000007</v>
      </c>
      <c r="H33" s="3">
        <f t="shared" si="30"/>
        <v>2526.1363636363635</v>
      </c>
      <c r="I33" s="3">
        <v>11115</v>
      </c>
      <c r="J33" s="6">
        <v>4.4000000000000004</v>
      </c>
      <c r="K33" s="3">
        <f t="shared" si="31"/>
        <v>2075.0335570469797</v>
      </c>
      <c r="L33" s="3">
        <v>30918</v>
      </c>
      <c r="M33" s="6">
        <v>14.9</v>
      </c>
      <c r="N33" s="3">
        <f t="shared" si="32"/>
        <v>2575.625</v>
      </c>
      <c r="O33" s="3">
        <v>12363</v>
      </c>
      <c r="P33" s="6">
        <v>4.8</v>
      </c>
      <c r="Q33" s="3">
        <f t="shared" si="33"/>
        <v>2380.9523809523807</v>
      </c>
      <c r="R33" s="3">
        <v>10000</v>
      </c>
      <c r="S33" s="6">
        <v>4.2</v>
      </c>
      <c r="T33" s="3">
        <f t="shared" si="34"/>
        <v>1228.5999999999999</v>
      </c>
      <c r="U33" s="3">
        <v>12286</v>
      </c>
      <c r="V33" s="6">
        <v>10</v>
      </c>
      <c r="W33" s="3" t="e">
        <f t="shared" si="35"/>
        <v>#DIV/0!</v>
      </c>
      <c r="X33" s="3">
        <v>0</v>
      </c>
      <c r="Y33" s="6">
        <v>0</v>
      </c>
      <c r="Z33" s="3">
        <f t="shared" si="36"/>
        <v>2790</v>
      </c>
      <c r="AA33" s="3">
        <v>2790</v>
      </c>
      <c r="AB33" s="6">
        <v>1</v>
      </c>
      <c r="AC33" s="3">
        <f t="shared" si="37"/>
        <v>965.75342465753431</v>
      </c>
      <c r="AD33" s="3">
        <v>7050</v>
      </c>
      <c r="AE33" s="6">
        <v>7.3</v>
      </c>
      <c r="AF33" s="3">
        <f t="shared" si="38"/>
        <v>2217.4766355140187</v>
      </c>
      <c r="AG33" s="3">
        <v>23727</v>
      </c>
      <c r="AH33" s="6">
        <v>10.7</v>
      </c>
      <c r="AI33" s="3" t="e">
        <f t="shared" si="39"/>
        <v>#DIV/0!</v>
      </c>
      <c r="AJ33" s="3">
        <v>0</v>
      </c>
      <c r="AK33" s="6">
        <v>0</v>
      </c>
      <c r="AL33" s="3">
        <f t="shared" si="40"/>
        <v>1558.8888888888887</v>
      </c>
      <c r="AM33" s="3">
        <v>4209</v>
      </c>
      <c r="AN33" s="6">
        <v>2.7</v>
      </c>
      <c r="AO33" s="3">
        <f t="shared" si="25"/>
        <v>1920.4329004329006</v>
      </c>
      <c r="AP33" s="3">
        <f t="shared" si="28"/>
        <v>133086</v>
      </c>
      <c r="AQ33" s="6">
        <f t="shared" si="27"/>
        <v>69.3</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9" t="s">
        <v>18</v>
      </c>
      <c r="B34" s="20"/>
      <c r="C34" s="20"/>
      <c r="D34" s="20"/>
      <c r="E34" s="3" t="e">
        <f t="shared" si="29"/>
        <v>#DIV/0!</v>
      </c>
      <c r="F34" s="3">
        <v>0</v>
      </c>
      <c r="G34" s="6">
        <v>0</v>
      </c>
      <c r="H34" s="3">
        <f t="shared" si="30"/>
        <v>3604.166666666667</v>
      </c>
      <c r="I34" s="3">
        <v>4325</v>
      </c>
      <c r="J34" s="6">
        <v>1.2</v>
      </c>
      <c r="K34" s="3">
        <f t="shared" si="31"/>
        <v>3685.625</v>
      </c>
      <c r="L34" s="3">
        <v>5897</v>
      </c>
      <c r="M34" s="6">
        <v>1.6</v>
      </c>
      <c r="N34" s="3" t="e">
        <f t="shared" si="32"/>
        <v>#DIV/0!</v>
      </c>
      <c r="O34" s="3">
        <v>0</v>
      </c>
      <c r="P34" s="6">
        <v>0</v>
      </c>
      <c r="Q34" s="3" t="e">
        <f t="shared" si="33"/>
        <v>#DIV/0!</v>
      </c>
      <c r="R34" s="3">
        <v>0</v>
      </c>
      <c r="S34" s="6">
        <v>0</v>
      </c>
      <c r="T34" s="3">
        <f t="shared" si="34"/>
        <v>3540</v>
      </c>
      <c r="U34" s="3">
        <v>7080</v>
      </c>
      <c r="V34" s="6">
        <v>2</v>
      </c>
      <c r="W34" s="3">
        <f t="shared" si="35"/>
        <v>6440.9090909090901</v>
      </c>
      <c r="X34" s="3">
        <v>7085</v>
      </c>
      <c r="Y34" s="6">
        <v>1.1000000000000001</v>
      </c>
      <c r="Z34" s="3" t="e">
        <f t="shared" si="36"/>
        <v>#DIV/0!</v>
      </c>
      <c r="AA34" s="3">
        <v>0</v>
      </c>
      <c r="AB34" s="6">
        <v>0</v>
      </c>
      <c r="AC34" s="3" t="e">
        <f t="shared" si="37"/>
        <v>#DIV/0!</v>
      </c>
      <c r="AD34" s="3">
        <v>0</v>
      </c>
      <c r="AE34" s="6">
        <v>0</v>
      </c>
      <c r="AF34" s="3" t="e">
        <f t="shared" si="38"/>
        <v>#DIV/0!</v>
      </c>
      <c r="AG34" s="3">
        <v>0</v>
      </c>
      <c r="AH34" s="6">
        <v>0</v>
      </c>
      <c r="AI34" s="3">
        <f t="shared" si="39"/>
        <v>3833.8888888888887</v>
      </c>
      <c r="AJ34" s="3">
        <v>20703</v>
      </c>
      <c r="AK34" s="6">
        <v>5.4</v>
      </c>
      <c r="AL34" s="3">
        <f t="shared" si="40"/>
        <v>2632.8571428571431</v>
      </c>
      <c r="AM34" s="3">
        <v>3686</v>
      </c>
      <c r="AN34" s="6">
        <v>1.4</v>
      </c>
      <c r="AO34" s="3">
        <f t="shared" si="25"/>
        <v>3840.6299212598424</v>
      </c>
      <c r="AP34" s="3">
        <f t="shared" si="28"/>
        <v>48776</v>
      </c>
      <c r="AQ34" s="6">
        <f t="shared" si="27"/>
        <v>12.700000000000001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9" t="s">
        <v>73</v>
      </c>
      <c r="B35" s="20"/>
      <c r="C35" s="20"/>
      <c r="D35" s="20"/>
      <c r="E35" s="3">
        <f t="shared" si="29"/>
        <v>2531.988636363636</v>
      </c>
      <c r="F35" s="3">
        <v>44563</v>
      </c>
      <c r="G35" s="6">
        <v>17.600000000000001</v>
      </c>
      <c r="H35" s="3" t="e">
        <f t="shared" si="30"/>
        <v>#DIV/0!</v>
      </c>
      <c r="I35" s="3">
        <v>0</v>
      </c>
      <c r="J35" s="6">
        <v>0</v>
      </c>
      <c r="K35" s="3">
        <f t="shared" si="31"/>
        <v>2280.15625</v>
      </c>
      <c r="L35" s="3">
        <v>29186</v>
      </c>
      <c r="M35" s="6">
        <v>12.8</v>
      </c>
      <c r="N35" s="3" t="e">
        <f t="shared" si="32"/>
        <v>#DIV/0!</v>
      </c>
      <c r="O35" s="3">
        <v>0</v>
      </c>
      <c r="P35" s="6">
        <v>0</v>
      </c>
      <c r="Q35" s="3">
        <f t="shared" si="33"/>
        <v>2317.4285714285716</v>
      </c>
      <c r="R35" s="3">
        <v>16222</v>
      </c>
      <c r="S35" s="6">
        <v>7</v>
      </c>
      <c r="T35" s="3">
        <f t="shared" si="34"/>
        <v>2286.09375</v>
      </c>
      <c r="U35" s="3">
        <v>29262</v>
      </c>
      <c r="V35" s="6">
        <v>12.8</v>
      </c>
      <c r="W35" s="3" t="e">
        <f t="shared" si="35"/>
        <v>#DIV/0!</v>
      </c>
      <c r="X35" s="3">
        <v>0</v>
      </c>
      <c r="Y35" s="6">
        <v>0</v>
      </c>
      <c r="Z35" s="3">
        <f t="shared" si="36"/>
        <v>2329.1666666666665</v>
      </c>
      <c r="AA35" s="3">
        <v>13975</v>
      </c>
      <c r="AB35" s="6">
        <v>6</v>
      </c>
      <c r="AC35" s="3">
        <f t="shared" si="37"/>
        <v>2345.9090909090905</v>
      </c>
      <c r="AD35" s="3">
        <v>10322</v>
      </c>
      <c r="AE35" s="6">
        <v>4.4000000000000004</v>
      </c>
      <c r="AF35" s="3">
        <f t="shared" si="38"/>
        <v>2280.8196721311479</v>
      </c>
      <c r="AG35" s="3">
        <v>27826</v>
      </c>
      <c r="AH35" s="6">
        <v>12.2</v>
      </c>
      <c r="AI35" s="3">
        <f t="shared" si="39"/>
        <v>2208.7654320987654</v>
      </c>
      <c r="AJ35" s="3">
        <v>17891</v>
      </c>
      <c r="AK35" s="6">
        <v>8.1</v>
      </c>
      <c r="AL35" s="3">
        <f t="shared" si="40"/>
        <v>2436.666666666667</v>
      </c>
      <c r="AM35" s="3">
        <v>2924</v>
      </c>
      <c r="AN35" s="6">
        <v>1.2</v>
      </c>
      <c r="AO35" s="3">
        <f t="shared" si="25"/>
        <v>2340.6942752740561</v>
      </c>
      <c r="AP35" s="3">
        <f t="shared" si="28"/>
        <v>192171</v>
      </c>
      <c r="AQ35" s="6">
        <f t="shared" si="27"/>
        <v>82.1</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9" t="s">
        <v>65</v>
      </c>
      <c r="B36" s="20"/>
      <c r="C36" s="20"/>
      <c r="D36" s="20"/>
      <c r="E36" s="3">
        <f t="shared" si="29"/>
        <v>2620.8333333333335</v>
      </c>
      <c r="F36" s="3">
        <v>3145</v>
      </c>
      <c r="G36" s="6">
        <v>1.2</v>
      </c>
      <c r="H36" s="3" t="e">
        <f t="shared" si="30"/>
        <v>#DIV/0!</v>
      </c>
      <c r="I36" s="3">
        <v>0</v>
      </c>
      <c r="J36" s="6">
        <v>0</v>
      </c>
      <c r="K36" s="3" t="e">
        <f t="shared" si="31"/>
        <v>#DIV/0!</v>
      </c>
      <c r="L36" s="3">
        <v>0</v>
      </c>
      <c r="M36" s="6">
        <v>0</v>
      </c>
      <c r="N36" s="3" t="e">
        <f t="shared" si="32"/>
        <v>#DIV/0!</v>
      </c>
      <c r="O36" s="3">
        <v>0</v>
      </c>
      <c r="P36" s="6">
        <v>0</v>
      </c>
      <c r="Q36" s="3">
        <f t="shared" si="33"/>
        <v>2489.3939393939395</v>
      </c>
      <c r="R36" s="3">
        <v>8215</v>
      </c>
      <c r="S36" s="6">
        <v>3.3</v>
      </c>
      <c r="T36" s="3" t="e">
        <f t="shared" si="34"/>
        <v>#DIV/0!</v>
      </c>
      <c r="U36" s="3">
        <v>0</v>
      </c>
      <c r="V36" s="6">
        <v>0</v>
      </c>
      <c r="W36" s="3" t="e">
        <f t="shared" si="35"/>
        <v>#DIV/0!</v>
      </c>
      <c r="X36" s="3">
        <v>0</v>
      </c>
      <c r="Y36" s="6">
        <v>0</v>
      </c>
      <c r="Z36" s="3" t="e">
        <f t="shared" si="36"/>
        <v>#DIV/0!</v>
      </c>
      <c r="AA36" s="3">
        <v>0</v>
      </c>
      <c r="AB36" s="6">
        <v>0</v>
      </c>
      <c r="AC36" s="3" t="e">
        <f t="shared" si="37"/>
        <v>#DIV/0!</v>
      </c>
      <c r="AD36" s="3">
        <v>0</v>
      </c>
      <c r="AE36" s="6">
        <v>0</v>
      </c>
      <c r="AF36" s="3" t="e">
        <f t="shared" si="38"/>
        <v>#DIV/0!</v>
      </c>
      <c r="AG36" s="3">
        <v>0</v>
      </c>
      <c r="AH36" s="6">
        <v>0</v>
      </c>
      <c r="AI36" s="3" t="e">
        <f t="shared" si="39"/>
        <v>#DIV/0!</v>
      </c>
      <c r="AJ36" s="3">
        <v>0</v>
      </c>
      <c r="AK36" s="6">
        <v>0</v>
      </c>
      <c r="AL36" s="3">
        <f t="shared" si="40"/>
        <v>2776</v>
      </c>
      <c r="AM36" s="3">
        <v>2776</v>
      </c>
      <c r="AN36" s="6">
        <v>1</v>
      </c>
      <c r="AO36" s="3">
        <f t="shared" si="25"/>
        <v>2570.181818181818</v>
      </c>
      <c r="AP36" s="3">
        <f t="shared" si="28"/>
        <v>14136</v>
      </c>
      <c r="AQ36" s="6">
        <f t="shared" si="27"/>
        <v>5.5</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9" t="s">
        <v>24</v>
      </c>
      <c r="B37" s="20"/>
      <c r="C37" s="20"/>
      <c r="D37" s="20"/>
      <c r="E37" s="3">
        <f t="shared" si="29"/>
        <v>2190.8333333333335</v>
      </c>
      <c r="F37" s="3">
        <v>5258</v>
      </c>
      <c r="G37" s="6">
        <v>2.4</v>
      </c>
      <c r="H37" s="3" t="e">
        <f t="shared" si="30"/>
        <v>#DIV/0!</v>
      </c>
      <c r="I37" s="3">
        <v>0</v>
      </c>
      <c r="J37" s="6">
        <v>0</v>
      </c>
      <c r="K37" s="3" t="e">
        <f t="shared" si="31"/>
        <v>#DIV/0!</v>
      </c>
      <c r="L37" s="3">
        <v>0</v>
      </c>
      <c r="M37" s="6">
        <v>0</v>
      </c>
      <c r="N37" s="3" t="e">
        <f t="shared" si="32"/>
        <v>#DIV/0!</v>
      </c>
      <c r="O37" s="3">
        <v>0</v>
      </c>
      <c r="P37" s="6">
        <v>0</v>
      </c>
      <c r="Q37" s="3" t="e">
        <f t="shared" si="33"/>
        <v>#DIV/0!</v>
      </c>
      <c r="R37" s="3">
        <v>0</v>
      </c>
      <c r="S37" s="6">
        <v>0</v>
      </c>
      <c r="T37" s="3">
        <f t="shared" si="34"/>
        <v>2553</v>
      </c>
      <c r="U37" s="3">
        <v>2553</v>
      </c>
      <c r="V37" s="6">
        <v>1</v>
      </c>
      <c r="W37" s="3">
        <f t="shared" si="35"/>
        <v>2280.7692307692305</v>
      </c>
      <c r="X37" s="3">
        <v>2965</v>
      </c>
      <c r="Y37" s="6">
        <v>1.3</v>
      </c>
      <c r="Z37" s="3" t="e">
        <f t="shared" si="36"/>
        <v>#DIV/0!</v>
      </c>
      <c r="AA37" s="3">
        <v>0</v>
      </c>
      <c r="AB37" s="6">
        <v>0</v>
      </c>
      <c r="AC37" s="3" t="e">
        <f t="shared" si="37"/>
        <v>#DIV/0!</v>
      </c>
      <c r="AD37" s="3">
        <v>0</v>
      </c>
      <c r="AE37" s="6">
        <v>0</v>
      </c>
      <c r="AF37" s="3" t="e">
        <f t="shared" si="38"/>
        <v>#DIV/0!</v>
      </c>
      <c r="AG37" s="3">
        <v>0</v>
      </c>
      <c r="AH37" s="6">
        <v>0</v>
      </c>
      <c r="AI37" s="3" t="e">
        <f t="shared" si="39"/>
        <v>#DIV/0!</v>
      </c>
      <c r="AJ37" s="3">
        <v>0</v>
      </c>
      <c r="AK37" s="6">
        <v>0</v>
      </c>
      <c r="AL37" s="3">
        <f t="shared" si="40"/>
        <v>2454.5454545454545</v>
      </c>
      <c r="AM37" s="3">
        <v>2700</v>
      </c>
      <c r="AN37" s="6">
        <v>1.1000000000000001</v>
      </c>
      <c r="AO37" s="3">
        <f t="shared" si="25"/>
        <v>2323.4482758620688</v>
      </c>
      <c r="AP37" s="3">
        <f t="shared" si="28"/>
        <v>13476</v>
      </c>
      <c r="AQ37" s="6">
        <f t="shared" si="27"/>
        <v>5.8000000000000007</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9" t="s">
        <v>53</v>
      </c>
      <c r="B38" s="20"/>
      <c r="C38" s="20"/>
      <c r="D38" s="20"/>
      <c r="E38" s="3">
        <f t="shared" si="29"/>
        <v>1546.1904761904761</v>
      </c>
      <c r="F38" s="3">
        <v>3247</v>
      </c>
      <c r="G38" s="6">
        <v>2.1</v>
      </c>
      <c r="H38" s="3" t="e">
        <f t="shared" si="30"/>
        <v>#DIV/0!</v>
      </c>
      <c r="I38" s="3">
        <v>0</v>
      </c>
      <c r="J38" s="6">
        <v>0</v>
      </c>
      <c r="K38" s="3" t="e">
        <f t="shared" si="31"/>
        <v>#DIV/0!</v>
      </c>
      <c r="L38" s="3">
        <v>0</v>
      </c>
      <c r="M38" s="6">
        <v>0</v>
      </c>
      <c r="N38" s="3">
        <f t="shared" si="32"/>
        <v>1436.3157894736844</v>
      </c>
      <c r="O38" s="3">
        <v>2729</v>
      </c>
      <c r="P38" s="6">
        <v>1.9</v>
      </c>
      <c r="Q38" s="3" t="e">
        <f t="shared" si="33"/>
        <v>#DIV/0!</v>
      </c>
      <c r="R38" s="3">
        <v>0</v>
      </c>
      <c r="S38" s="6">
        <v>0</v>
      </c>
      <c r="T38" s="3" t="e">
        <f t="shared" si="34"/>
        <v>#DIV/0!</v>
      </c>
      <c r="U38" s="3">
        <v>0</v>
      </c>
      <c r="V38" s="6">
        <v>0</v>
      </c>
      <c r="W38" s="3">
        <f t="shared" si="35"/>
        <v>1511.7467248908297</v>
      </c>
      <c r="X38" s="3">
        <v>34619</v>
      </c>
      <c r="Y38" s="6">
        <v>22.9</v>
      </c>
      <c r="Z38" s="3" t="e">
        <f t="shared" si="36"/>
        <v>#DIV/0!</v>
      </c>
      <c r="AA38" s="3">
        <v>0</v>
      </c>
      <c r="AB38" s="6">
        <v>0</v>
      </c>
      <c r="AC38" s="3" t="e">
        <f t="shared" si="37"/>
        <v>#DIV/0!</v>
      </c>
      <c r="AD38" s="3">
        <v>0</v>
      </c>
      <c r="AE38" s="6">
        <v>0</v>
      </c>
      <c r="AF38" s="3" t="e">
        <f t="shared" si="38"/>
        <v>#DIV/0!</v>
      </c>
      <c r="AG38" s="3">
        <v>0</v>
      </c>
      <c r="AH38" s="6">
        <v>0</v>
      </c>
      <c r="AI38" s="3" t="e">
        <f t="shared" si="39"/>
        <v>#DIV/0!</v>
      </c>
      <c r="AJ38" s="3">
        <v>0</v>
      </c>
      <c r="AK38" s="6">
        <v>0</v>
      </c>
      <c r="AL38" s="3">
        <f t="shared" si="40"/>
        <v>1774</v>
      </c>
      <c r="AM38" s="3">
        <v>2661</v>
      </c>
      <c r="AN38" s="6">
        <v>1.5</v>
      </c>
      <c r="AO38" s="3">
        <f t="shared" si="25"/>
        <v>1523.0985915492959</v>
      </c>
      <c r="AP38" s="3">
        <f t="shared" si="28"/>
        <v>43256</v>
      </c>
      <c r="AQ38" s="6">
        <f t="shared" si="27"/>
        <v>28.4</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9" t="s">
        <v>19</v>
      </c>
      <c r="B39" s="20"/>
      <c r="C39" s="20"/>
      <c r="D39" s="20"/>
      <c r="E39" s="3">
        <f t="shared" si="29"/>
        <v>1985.9016393442623</v>
      </c>
      <c r="F39" s="3">
        <v>36342</v>
      </c>
      <c r="G39" s="6">
        <v>18.3</v>
      </c>
      <c r="H39" s="3" t="e">
        <f t="shared" si="30"/>
        <v>#DIV/0!</v>
      </c>
      <c r="I39" s="3">
        <v>0</v>
      </c>
      <c r="J39" s="6">
        <v>0</v>
      </c>
      <c r="K39" s="3">
        <f t="shared" si="31"/>
        <v>2184.4808743169397</v>
      </c>
      <c r="L39" s="3">
        <v>39976</v>
      </c>
      <c r="M39" s="6">
        <v>18.3</v>
      </c>
      <c r="N39" s="3" t="e">
        <f t="shared" si="32"/>
        <v>#DIV/0!</v>
      </c>
      <c r="O39" s="3">
        <v>0</v>
      </c>
      <c r="P39" s="6">
        <v>0</v>
      </c>
      <c r="Q39" s="3">
        <f t="shared" si="33"/>
        <v>3700</v>
      </c>
      <c r="R39" s="3">
        <v>2960</v>
      </c>
      <c r="S39" s="6">
        <v>0.8</v>
      </c>
      <c r="T39" s="3" t="e">
        <f t="shared" si="34"/>
        <v>#DIV/0!</v>
      </c>
      <c r="U39" s="3">
        <v>0</v>
      </c>
      <c r="V39" s="6">
        <v>0</v>
      </c>
      <c r="W39" s="3">
        <f t="shared" si="35"/>
        <v>2184.4808743169397</v>
      </c>
      <c r="X39" s="3">
        <v>39976</v>
      </c>
      <c r="Y39" s="6">
        <v>18.3</v>
      </c>
      <c r="Z39" s="3" t="e">
        <f t="shared" si="36"/>
        <v>#DIV/0!</v>
      </c>
      <c r="AA39" s="3">
        <v>0</v>
      </c>
      <c r="AB39" s="6">
        <v>0</v>
      </c>
      <c r="AC39" s="3" t="e">
        <f t="shared" si="37"/>
        <v>#DIV/0!</v>
      </c>
      <c r="AD39" s="3">
        <v>0</v>
      </c>
      <c r="AE39" s="6">
        <v>0</v>
      </c>
      <c r="AF39" s="3">
        <f t="shared" si="38"/>
        <v>2042.3655913978494</v>
      </c>
      <c r="AG39" s="3">
        <v>75976</v>
      </c>
      <c r="AH39" s="6">
        <v>37.200000000000003</v>
      </c>
      <c r="AI39" s="3">
        <f t="shared" si="39"/>
        <v>3206.6310160427811</v>
      </c>
      <c r="AJ39" s="3">
        <v>119928</v>
      </c>
      <c r="AK39" s="6">
        <v>37.4</v>
      </c>
      <c r="AL39" s="3" t="e">
        <f t="shared" si="40"/>
        <v>#DIV/0!</v>
      </c>
      <c r="AM39" s="3">
        <v>0</v>
      </c>
      <c r="AN39" s="6">
        <v>0</v>
      </c>
      <c r="AO39" s="3">
        <f t="shared" si="25"/>
        <v>2418.7106676899461</v>
      </c>
      <c r="AP39" s="3">
        <f t="shared" si="28"/>
        <v>315158</v>
      </c>
      <c r="AQ39" s="6">
        <f t="shared" si="27"/>
        <v>130.30000000000001</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9" t="s">
        <v>27</v>
      </c>
      <c r="B40" s="20"/>
      <c r="C40" s="20"/>
      <c r="D40" s="20"/>
      <c r="E40" s="3" t="e">
        <f t="shared" si="29"/>
        <v>#DIV/0!</v>
      </c>
      <c r="F40" s="3">
        <v>0</v>
      </c>
      <c r="G40" s="6">
        <v>0</v>
      </c>
      <c r="H40" s="3" t="e">
        <f t="shared" si="30"/>
        <v>#DIV/0!</v>
      </c>
      <c r="I40" s="3">
        <v>0</v>
      </c>
      <c r="J40" s="6">
        <v>0</v>
      </c>
      <c r="K40" s="3" t="e">
        <f t="shared" si="31"/>
        <v>#DIV/0!</v>
      </c>
      <c r="L40" s="3">
        <v>0</v>
      </c>
      <c r="M40" s="6">
        <v>0</v>
      </c>
      <c r="N40" s="3" t="e">
        <f t="shared" si="32"/>
        <v>#DIV/0!</v>
      </c>
      <c r="O40" s="3">
        <v>0</v>
      </c>
      <c r="P40" s="6">
        <v>0</v>
      </c>
      <c r="Q40" s="3">
        <f t="shared" si="33"/>
        <v>1303.4482758620691</v>
      </c>
      <c r="R40" s="3">
        <v>3780</v>
      </c>
      <c r="S40" s="6">
        <v>2.9</v>
      </c>
      <c r="T40" s="3" t="e">
        <f t="shared" si="34"/>
        <v>#DIV/0!</v>
      </c>
      <c r="U40" s="3">
        <v>0</v>
      </c>
      <c r="V40" s="6">
        <v>0</v>
      </c>
      <c r="W40" s="3">
        <f t="shared" si="35"/>
        <v>1294.7368421052631</v>
      </c>
      <c r="X40" s="3">
        <v>4920</v>
      </c>
      <c r="Y40" s="6">
        <v>3.8</v>
      </c>
      <c r="Z40" s="3" t="e">
        <f t="shared" si="36"/>
        <v>#DIV/0!</v>
      </c>
      <c r="AA40" s="3">
        <v>0</v>
      </c>
      <c r="AB40" s="6">
        <v>0</v>
      </c>
      <c r="AC40" s="3" t="e">
        <f t="shared" si="37"/>
        <v>#DIV/0!</v>
      </c>
      <c r="AD40" s="3">
        <v>0</v>
      </c>
      <c r="AE40" s="6">
        <v>0</v>
      </c>
      <c r="AF40" s="3" t="e">
        <f t="shared" si="38"/>
        <v>#DIV/0!</v>
      </c>
      <c r="AG40" s="3">
        <v>0</v>
      </c>
      <c r="AH40" s="6">
        <v>0</v>
      </c>
      <c r="AI40" s="3" t="e">
        <f t="shared" si="39"/>
        <v>#DIV/0!</v>
      </c>
      <c r="AJ40" s="3">
        <v>0</v>
      </c>
      <c r="AK40" s="6">
        <v>0</v>
      </c>
      <c r="AL40" s="3" t="e">
        <f t="shared" si="40"/>
        <v>#DIV/0!</v>
      </c>
      <c r="AM40" s="3">
        <v>0</v>
      </c>
      <c r="AN40" s="6">
        <v>0</v>
      </c>
      <c r="AO40" s="3">
        <f t="shared" si="25"/>
        <v>1298.5074626865674</v>
      </c>
      <c r="AP40" s="3">
        <f t="shared" si="28"/>
        <v>8700</v>
      </c>
      <c r="AQ40" s="6">
        <f t="shared" si="27"/>
        <v>6.6999999999999993</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9" t="s">
        <v>63</v>
      </c>
      <c r="B41" s="20"/>
      <c r="C41" s="20"/>
      <c r="D41" s="20"/>
      <c r="E41" s="3" t="e">
        <f t="shared" si="29"/>
        <v>#DIV/0!</v>
      </c>
      <c r="F41" s="3">
        <v>0</v>
      </c>
      <c r="G41" s="6">
        <v>0</v>
      </c>
      <c r="H41" s="3" t="e">
        <f t="shared" si="30"/>
        <v>#DIV/0!</v>
      </c>
      <c r="I41" s="3">
        <v>0</v>
      </c>
      <c r="J41" s="6">
        <v>0</v>
      </c>
      <c r="K41" s="3" t="e">
        <f t="shared" si="31"/>
        <v>#DIV/0!</v>
      </c>
      <c r="L41" s="3">
        <v>0</v>
      </c>
      <c r="M41" s="6">
        <v>0</v>
      </c>
      <c r="N41" s="3" t="e">
        <f t="shared" si="32"/>
        <v>#DIV/0!</v>
      </c>
      <c r="O41" s="3">
        <v>0</v>
      </c>
      <c r="P41" s="6">
        <v>0</v>
      </c>
      <c r="Q41" s="3">
        <f t="shared" si="33"/>
        <v>1332.3642857142856</v>
      </c>
      <c r="R41" s="3">
        <v>559593</v>
      </c>
      <c r="S41" s="6">
        <v>420</v>
      </c>
      <c r="T41" s="3">
        <f t="shared" si="34"/>
        <v>1332.5066666666667</v>
      </c>
      <c r="U41" s="3">
        <v>199876</v>
      </c>
      <c r="V41" s="6">
        <v>150</v>
      </c>
      <c r="W41" s="3" t="e">
        <f t="shared" si="35"/>
        <v>#DIV/0!</v>
      </c>
      <c r="X41" s="3">
        <v>0</v>
      </c>
      <c r="Y41" s="6">
        <v>0</v>
      </c>
      <c r="Z41" s="3" t="e">
        <f t="shared" si="36"/>
        <v>#DIV/0!</v>
      </c>
      <c r="AA41" s="3">
        <v>0</v>
      </c>
      <c r="AB41" s="6">
        <v>0</v>
      </c>
      <c r="AC41" s="3" t="e">
        <f t="shared" si="37"/>
        <v>#DIV/0!</v>
      </c>
      <c r="AD41" s="3">
        <v>0</v>
      </c>
      <c r="AE41" s="6">
        <v>0</v>
      </c>
      <c r="AF41" s="3" t="e">
        <f t="shared" si="38"/>
        <v>#DIV/0!</v>
      </c>
      <c r="AG41" s="3">
        <v>0</v>
      </c>
      <c r="AH41" s="6">
        <v>0</v>
      </c>
      <c r="AI41" s="3" t="e">
        <f t="shared" si="39"/>
        <v>#DIV/0!</v>
      </c>
      <c r="AJ41" s="3">
        <v>0</v>
      </c>
      <c r="AK41" s="6">
        <v>0</v>
      </c>
      <c r="AL41" s="3" t="e">
        <f t="shared" si="40"/>
        <v>#DIV/0!</v>
      </c>
      <c r="AM41" s="3">
        <v>0</v>
      </c>
      <c r="AN41" s="6">
        <v>0</v>
      </c>
      <c r="AO41" s="3">
        <f t="shared" si="25"/>
        <v>1332.401754385965</v>
      </c>
      <c r="AP41" s="3">
        <f t="shared" si="28"/>
        <v>759469</v>
      </c>
      <c r="AQ41" s="6">
        <f t="shared" si="27"/>
        <v>570</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9" t="s">
        <v>95</v>
      </c>
      <c r="B42" s="20"/>
      <c r="C42" s="20"/>
      <c r="D42" s="20"/>
      <c r="E42" s="3" t="e">
        <f t="shared" si="29"/>
        <v>#DIV/0!</v>
      </c>
      <c r="F42" s="3">
        <v>0</v>
      </c>
      <c r="G42" s="6">
        <v>0</v>
      </c>
      <c r="H42" s="3" t="e">
        <f t="shared" si="30"/>
        <v>#DIV/0!</v>
      </c>
      <c r="I42" s="3">
        <v>0</v>
      </c>
      <c r="J42" s="6">
        <v>0</v>
      </c>
      <c r="K42" s="3" t="e">
        <f t="shared" si="31"/>
        <v>#DIV/0!</v>
      </c>
      <c r="L42" s="3">
        <v>0</v>
      </c>
      <c r="M42" s="6">
        <v>0</v>
      </c>
      <c r="N42" s="3" t="e">
        <f t="shared" si="32"/>
        <v>#DIV/0!</v>
      </c>
      <c r="O42" s="3">
        <v>0</v>
      </c>
      <c r="P42" s="6">
        <v>0</v>
      </c>
      <c r="Q42" s="3" t="e">
        <f t="shared" si="33"/>
        <v>#DIV/0!</v>
      </c>
      <c r="R42" s="3">
        <v>0</v>
      </c>
      <c r="S42" s="6">
        <v>0</v>
      </c>
      <c r="T42" s="3" t="e">
        <f t="shared" si="34"/>
        <v>#DIV/0!</v>
      </c>
      <c r="U42" s="3">
        <v>0</v>
      </c>
      <c r="V42" s="6">
        <v>0</v>
      </c>
      <c r="W42" s="3" t="e">
        <f t="shared" si="35"/>
        <v>#DIV/0!</v>
      </c>
      <c r="X42" s="3">
        <v>0</v>
      </c>
      <c r="Y42" s="6">
        <v>0</v>
      </c>
      <c r="Z42" s="3" t="e">
        <f t="shared" si="36"/>
        <v>#DIV/0!</v>
      </c>
      <c r="AA42" s="3">
        <v>0</v>
      </c>
      <c r="AB42" s="6">
        <v>0</v>
      </c>
      <c r="AC42" s="3">
        <f t="shared" si="37"/>
        <v>1347.8695652173913</v>
      </c>
      <c r="AD42" s="3">
        <v>31001</v>
      </c>
      <c r="AE42" s="6">
        <v>23</v>
      </c>
      <c r="AF42" s="3" t="e">
        <f t="shared" si="38"/>
        <v>#DIV/0!</v>
      </c>
      <c r="AG42" s="3">
        <v>0</v>
      </c>
      <c r="AH42" s="6">
        <v>0</v>
      </c>
      <c r="AI42" s="3" t="e">
        <f t="shared" si="39"/>
        <v>#DIV/0!</v>
      </c>
      <c r="AJ42" s="3">
        <v>0</v>
      </c>
      <c r="AK42" s="6">
        <v>0</v>
      </c>
      <c r="AL42" s="3" t="e">
        <f t="shared" si="40"/>
        <v>#DIV/0!</v>
      </c>
      <c r="AM42" s="3">
        <v>0</v>
      </c>
      <c r="AN42" s="6">
        <v>0</v>
      </c>
      <c r="AO42" s="3">
        <f t="shared" si="25"/>
        <v>1347.8695652173913</v>
      </c>
      <c r="AP42" s="3">
        <f t="shared" si="28"/>
        <v>31001</v>
      </c>
      <c r="AQ42" s="6">
        <f t="shared" si="27"/>
        <v>23</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9" t="s">
        <v>64</v>
      </c>
      <c r="B43" s="20"/>
      <c r="C43" s="20"/>
      <c r="D43" s="20"/>
      <c r="E43" s="3" t="e">
        <f t="shared" si="29"/>
        <v>#DIV/0!</v>
      </c>
      <c r="F43" s="3">
        <v>0</v>
      </c>
      <c r="G43" s="6">
        <v>0</v>
      </c>
      <c r="H43" s="3" t="e">
        <f t="shared" si="30"/>
        <v>#DIV/0!</v>
      </c>
      <c r="I43" s="3">
        <v>0</v>
      </c>
      <c r="J43" s="6">
        <v>0</v>
      </c>
      <c r="K43" s="3" t="e">
        <f t="shared" si="31"/>
        <v>#DIV/0!</v>
      </c>
      <c r="L43" s="3">
        <v>0</v>
      </c>
      <c r="M43" s="6">
        <v>0</v>
      </c>
      <c r="N43" s="3" t="e">
        <f t="shared" si="32"/>
        <v>#DIV/0!</v>
      </c>
      <c r="O43" s="3">
        <v>0</v>
      </c>
      <c r="P43" s="6">
        <v>0</v>
      </c>
      <c r="Q43" s="3" t="e">
        <f t="shared" si="33"/>
        <v>#DIV/0!</v>
      </c>
      <c r="R43" s="3">
        <v>0</v>
      </c>
      <c r="S43" s="6">
        <v>0</v>
      </c>
      <c r="T43" s="3" t="e">
        <f t="shared" si="34"/>
        <v>#DIV/0!</v>
      </c>
      <c r="U43" s="3">
        <v>0</v>
      </c>
      <c r="V43" s="6">
        <v>0</v>
      </c>
      <c r="W43" s="3" t="e">
        <f t="shared" si="35"/>
        <v>#DIV/0!</v>
      </c>
      <c r="X43" s="3">
        <v>0</v>
      </c>
      <c r="Y43" s="6">
        <v>0</v>
      </c>
      <c r="Z43" s="3">
        <f t="shared" si="36"/>
        <v>3967.7777777777778</v>
      </c>
      <c r="AA43" s="3">
        <v>3571</v>
      </c>
      <c r="AB43" s="6">
        <v>0.9</v>
      </c>
      <c r="AC43" s="3" t="e">
        <f t="shared" si="37"/>
        <v>#DIV/0!</v>
      </c>
      <c r="AD43" s="3">
        <v>0</v>
      </c>
      <c r="AE43" s="6">
        <v>0</v>
      </c>
      <c r="AF43" s="3" t="e">
        <f t="shared" si="38"/>
        <v>#DIV/0!</v>
      </c>
      <c r="AG43" s="3">
        <v>0</v>
      </c>
      <c r="AH43" s="6">
        <v>0</v>
      </c>
      <c r="AI43" s="3" t="e">
        <f t="shared" si="39"/>
        <v>#DIV/0!</v>
      </c>
      <c r="AJ43" s="3">
        <v>0</v>
      </c>
      <c r="AK43" s="6">
        <v>0</v>
      </c>
      <c r="AL43" s="3" t="e">
        <f t="shared" si="40"/>
        <v>#DIV/0!</v>
      </c>
      <c r="AM43" s="3">
        <v>0</v>
      </c>
      <c r="AN43" s="6">
        <v>0</v>
      </c>
      <c r="AO43" s="3">
        <f t="shared" si="25"/>
        <v>3967.7777777777778</v>
      </c>
      <c r="AP43" s="3">
        <f t="shared" si="28"/>
        <v>3571</v>
      </c>
      <c r="AQ43" s="6">
        <f t="shared" si="27"/>
        <v>0.9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9" t="s">
        <v>56</v>
      </c>
      <c r="B44" s="20"/>
      <c r="C44" s="20"/>
      <c r="D44" s="20"/>
      <c r="E44" s="9" t="e">
        <f t="shared" si="29"/>
        <v>#DIV/0!</v>
      </c>
      <c r="F44" s="9">
        <v>0</v>
      </c>
      <c r="G44" s="6">
        <v>0</v>
      </c>
      <c r="H44" s="11" t="e">
        <f t="shared" si="30"/>
        <v>#DIV/0!</v>
      </c>
      <c r="I44" s="9">
        <v>0</v>
      </c>
      <c r="J44" s="6">
        <v>0</v>
      </c>
      <c r="K44" s="9">
        <f t="shared" si="31"/>
        <v>1538.9473684210527</v>
      </c>
      <c r="L44" s="9">
        <v>2924</v>
      </c>
      <c r="M44" s="6">
        <v>1.9</v>
      </c>
      <c r="N44" s="9" t="e">
        <f t="shared" si="32"/>
        <v>#DIV/0!</v>
      </c>
      <c r="O44" s="9">
        <v>0</v>
      </c>
      <c r="P44" s="6">
        <v>0</v>
      </c>
      <c r="Q44" s="11" t="e">
        <f t="shared" si="33"/>
        <v>#DIV/0!</v>
      </c>
      <c r="R44" s="9">
        <v>0</v>
      </c>
      <c r="S44" s="6">
        <v>0</v>
      </c>
      <c r="T44" s="11" t="e">
        <f t="shared" si="34"/>
        <v>#DIV/0!</v>
      </c>
      <c r="U44" s="9">
        <v>0</v>
      </c>
      <c r="V44" s="6">
        <v>0</v>
      </c>
      <c r="W44" s="9" t="e">
        <f t="shared" si="35"/>
        <v>#DIV/0!</v>
      </c>
      <c r="X44" s="9">
        <v>0</v>
      </c>
      <c r="Y44" s="6">
        <v>0</v>
      </c>
      <c r="Z44" s="9" t="e">
        <f t="shared" si="36"/>
        <v>#DIV/0!</v>
      </c>
      <c r="AA44" s="9">
        <v>0</v>
      </c>
      <c r="AB44" s="6">
        <v>0</v>
      </c>
      <c r="AC44" s="9">
        <f t="shared" si="37"/>
        <v>1408.2815734989649</v>
      </c>
      <c r="AD44" s="9">
        <v>68020</v>
      </c>
      <c r="AE44" s="6">
        <v>48.3</v>
      </c>
      <c r="AF44" s="9">
        <f t="shared" si="38"/>
        <v>1423.4854771784233</v>
      </c>
      <c r="AG44" s="9">
        <v>34306</v>
      </c>
      <c r="AH44" s="6">
        <v>24.1</v>
      </c>
      <c r="AI44" s="9">
        <f t="shared" si="39"/>
        <v>1330.7883817427385</v>
      </c>
      <c r="AJ44" s="9">
        <v>32072</v>
      </c>
      <c r="AK44" s="6">
        <v>24.1</v>
      </c>
      <c r="AL44" s="9" t="e">
        <f t="shared" si="40"/>
        <v>#DIV/0!</v>
      </c>
      <c r="AM44" s="9">
        <v>0</v>
      </c>
      <c r="AN44" s="6">
        <v>0</v>
      </c>
      <c r="AO44" s="9">
        <f t="shared" si="25"/>
        <v>1395.5487804878048</v>
      </c>
      <c r="AP44" s="9">
        <f t="shared" si="28"/>
        <v>137322</v>
      </c>
      <c r="AQ44" s="6">
        <f t="shared" si="27"/>
        <v>98.4</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9" t="s">
        <v>31</v>
      </c>
      <c r="B45" s="20"/>
      <c r="C45" s="20"/>
      <c r="D45" s="20"/>
      <c r="E45" s="10" t="e">
        <f t="shared" si="29"/>
        <v>#DIV/0!</v>
      </c>
      <c r="F45" s="10">
        <v>0</v>
      </c>
      <c r="G45" s="8">
        <v>0</v>
      </c>
      <c r="H45" s="7" t="e">
        <f t="shared" si="30"/>
        <v>#DIV/0!</v>
      </c>
      <c r="I45" s="10">
        <v>0</v>
      </c>
      <c r="J45" s="8">
        <v>0</v>
      </c>
      <c r="K45" s="15">
        <f t="shared" si="31"/>
        <v>1455.5</v>
      </c>
      <c r="L45" s="7">
        <v>2911</v>
      </c>
      <c r="M45" s="8">
        <v>2</v>
      </c>
      <c r="N45" s="15" t="e">
        <f t="shared" si="32"/>
        <v>#DIV/0!</v>
      </c>
      <c r="O45" s="7">
        <v>0</v>
      </c>
      <c r="P45" s="8">
        <v>0</v>
      </c>
      <c r="Q45" s="7" t="e">
        <f t="shared" si="33"/>
        <v>#DIV/0!</v>
      </c>
      <c r="R45" s="10">
        <v>0</v>
      </c>
      <c r="S45" s="8">
        <v>0</v>
      </c>
      <c r="T45" s="7" t="e">
        <f t="shared" si="34"/>
        <v>#DIV/0!</v>
      </c>
      <c r="U45" s="10">
        <v>0</v>
      </c>
      <c r="V45" s="8">
        <v>0</v>
      </c>
      <c r="W45" s="10" t="e">
        <f t="shared" si="35"/>
        <v>#DIV/0!</v>
      </c>
      <c r="X45" s="10">
        <v>0</v>
      </c>
      <c r="Y45" s="8">
        <v>0</v>
      </c>
      <c r="Z45" s="10" t="e">
        <f t="shared" si="36"/>
        <v>#DIV/0!</v>
      </c>
      <c r="AA45" s="10">
        <v>0</v>
      </c>
      <c r="AB45" s="8">
        <v>0</v>
      </c>
      <c r="AC45" s="10" t="e">
        <f t="shared" si="37"/>
        <v>#DIV/0!</v>
      </c>
      <c r="AD45" s="10">
        <v>0</v>
      </c>
      <c r="AE45" s="8">
        <v>0</v>
      </c>
      <c r="AF45" s="7" t="e">
        <f t="shared" si="38"/>
        <v>#DIV/0!</v>
      </c>
      <c r="AG45" s="10">
        <v>0</v>
      </c>
      <c r="AH45" s="8">
        <v>0</v>
      </c>
      <c r="AI45" s="10" t="e">
        <f t="shared" si="39"/>
        <v>#DIV/0!</v>
      </c>
      <c r="AJ45" s="10">
        <v>0</v>
      </c>
      <c r="AK45" s="8">
        <v>0</v>
      </c>
      <c r="AL45" s="10" t="e">
        <f t="shared" si="40"/>
        <v>#DIV/0!</v>
      </c>
      <c r="AM45" s="10">
        <v>0</v>
      </c>
      <c r="AN45" s="8">
        <v>0</v>
      </c>
      <c r="AO45" s="10">
        <f t="shared" si="25"/>
        <v>1455.5</v>
      </c>
      <c r="AP45" s="7">
        <f t="shared" si="28"/>
        <v>2911</v>
      </c>
      <c r="AQ45" s="8">
        <f t="shared" si="27"/>
        <v>2</v>
      </c>
    </row>
    <row r="46" spans="1:67" x14ac:dyDescent="0.3">
      <c r="A46" s="29" t="s">
        <v>66</v>
      </c>
      <c r="B46" s="20"/>
      <c r="C46" s="20"/>
      <c r="D46" s="20"/>
      <c r="E46" s="7" t="e">
        <f t="shared" si="29"/>
        <v>#DIV/0!</v>
      </c>
      <c r="F46" s="7">
        <v>0</v>
      </c>
      <c r="G46" s="8">
        <v>0</v>
      </c>
      <c r="H46" s="7" t="e">
        <f t="shared" si="30"/>
        <v>#DIV/0!</v>
      </c>
      <c r="I46" s="7">
        <v>0</v>
      </c>
      <c r="J46" s="8">
        <v>0</v>
      </c>
      <c r="K46" s="7">
        <f t="shared" si="31"/>
        <v>4444.4444444444443</v>
      </c>
      <c r="L46" s="7">
        <v>4000</v>
      </c>
      <c r="M46" s="8">
        <v>0.9</v>
      </c>
      <c r="N46" s="7" t="e">
        <f t="shared" si="32"/>
        <v>#DIV/0!</v>
      </c>
      <c r="O46" s="7">
        <v>0</v>
      </c>
      <c r="P46" s="8">
        <v>0</v>
      </c>
      <c r="Q46" s="7">
        <f t="shared" si="33"/>
        <v>5000</v>
      </c>
      <c r="R46" s="7">
        <v>4000</v>
      </c>
      <c r="S46" s="8">
        <v>0.8</v>
      </c>
      <c r="T46" s="7" t="e">
        <f t="shared" si="34"/>
        <v>#DIV/0!</v>
      </c>
      <c r="U46" s="7">
        <v>0</v>
      </c>
      <c r="V46" s="8">
        <v>0</v>
      </c>
      <c r="W46" s="7" t="e">
        <f t="shared" si="35"/>
        <v>#DIV/0!</v>
      </c>
      <c r="X46" s="7">
        <v>0</v>
      </c>
      <c r="Y46" s="8">
        <v>0</v>
      </c>
      <c r="Z46" s="7" t="e">
        <f t="shared" si="36"/>
        <v>#DIV/0!</v>
      </c>
      <c r="AA46" s="7">
        <v>0</v>
      </c>
      <c r="AB46" s="8">
        <v>0</v>
      </c>
      <c r="AC46" s="7" t="e">
        <f t="shared" si="37"/>
        <v>#DIV/0!</v>
      </c>
      <c r="AD46" s="7">
        <v>0</v>
      </c>
      <c r="AE46" s="8">
        <v>0</v>
      </c>
      <c r="AF46" s="7" t="e">
        <f t="shared" si="38"/>
        <v>#DIV/0!</v>
      </c>
      <c r="AG46" s="7">
        <v>0</v>
      </c>
      <c r="AH46" s="8">
        <v>0</v>
      </c>
      <c r="AI46" s="7" t="e">
        <f t="shared" si="39"/>
        <v>#DIV/0!</v>
      </c>
      <c r="AJ46" s="7">
        <v>0</v>
      </c>
      <c r="AK46" s="8">
        <v>0</v>
      </c>
      <c r="AL46" s="7" t="e">
        <f t="shared" si="40"/>
        <v>#DIV/0!</v>
      </c>
      <c r="AM46" s="7">
        <v>0</v>
      </c>
      <c r="AN46" s="8">
        <v>0</v>
      </c>
      <c r="AO46" s="7">
        <f t="shared" si="25"/>
        <v>4705.8823529411757</v>
      </c>
      <c r="AP46" s="7">
        <f t="shared" si="28"/>
        <v>8000</v>
      </c>
      <c r="AQ46" s="8">
        <f t="shared" si="27"/>
        <v>1.7000000000000002</v>
      </c>
    </row>
    <row r="47" spans="1:67" x14ac:dyDescent="0.3">
      <c r="A47" s="29" t="s">
        <v>93</v>
      </c>
      <c r="B47" s="20"/>
      <c r="C47" s="20"/>
      <c r="D47" s="20"/>
      <c r="E47" s="7" t="e">
        <f t="shared" si="29"/>
        <v>#DIV/0!</v>
      </c>
      <c r="F47" s="7">
        <v>0</v>
      </c>
      <c r="G47" s="8">
        <v>0</v>
      </c>
      <c r="H47" s="7" t="e">
        <f t="shared" si="30"/>
        <v>#DIV/0!</v>
      </c>
      <c r="I47" s="7">
        <v>0</v>
      </c>
      <c r="J47" s="8">
        <v>0</v>
      </c>
      <c r="K47" s="7" t="e">
        <f t="shared" si="31"/>
        <v>#DIV/0!</v>
      </c>
      <c r="L47" s="7">
        <v>0</v>
      </c>
      <c r="M47" s="8">
        <v>0</v>
      </c>
      <c r="N47" s="7" t="e">
        <f t="shared" si="32"/>
        <v>#DIV/0!</v>
      </c>
      <c r="O47" s="7">
        <v>0</v>
      </c>
      <c r="P47" s="8">
        <v>0</v>
      </c>
      <c r="Q47" s="7" t="e">
        <f t="shared" si="33"/>
        <v>#DIV/0!</v>
      </c>
      <c r="R47" s="7">
        <v>0</v>
      </c>
      <c r="S47" s="8">
        <v>0</v>
      </c>
      <c r="T47" s="7" t="e">
        <f t="shared" si="34"/>
        <v>#DIV/0!</v>
      </c>
      <c r="U47" s="7">
        <v>0</v>
      </c>
      <c r="V47" s="8">
        <v>0</v>
      </c>
      <c r="W47" s="7" t="e">
        <f t="shared" si="35"/>
        <v>#DIV/0!</v>
      </c>
      <c r="X47" s="7">
        <v>0</v>
      </c>
      <c r="Y47" s="8">
        <v>0</v>
      </c>
      <c r="Z47" s="7">
        <f t="shared" si="36"/>
        <v>6342.5</v>
      </c>
      <c r="AA47" s="7">
        <v>7611</v>
      </c>
      <c r="AB47" s="8">
        <v>1.2</v>
      </c>
      <c r="AC47" s="7" t="e">
        <f t="shared" si="37"/>
        <v>#DIV/0!</v>
      </c>
      <c r="AD47" s="7">
        <v>0</v>
      </c>
      <c r="AE47" s="8">
        <v>0</v>
      </c>
      <c r="AF47" s="7" t="e">
        <f t="shared" si="38"/>
        <v>#DIV/0!</v>
      </c>
      <c r="AG47" s="7">
        <v>0</v>
      </c>
      <c r="AH47" s="8">
        <v>0</v>
      </c>
      <c r="AI47" s="7" t="e">
        <f t="shared" si="39"/>
        <v>#DIV/0!</v>
      </c>
      <c r="AJ47" s="7">
        <v>0</v>
      </c>
      <c r="AK47" s="8">
        <v>0</v>
      </c>
      <c r="AL47" s="7" t="e">
        <f t="shared" si="40"/>
        <v>#DIV/0!</v>
      </c>
      <c r="AM47" s="7">
        <v>0</v>
      </c>
      <c r="AN47" s="8">
        <v>0</v>
      </c>
      <c r="AO47" s="7">
        <f t="shared" si="25"/>
        <v>6342.5</v>
      </c>
      <c r="AP47" s="7">
        <f t="shared" si="28"/>
        <v>7611</v>
      </c>
      <c r="AQ47" s="8">
        <f t="shared" si="27"/>
        <v>1.2</v>
      </c>
    </row>
    <row r="48" spans="1:67" x14ac:dyDescent="0.3">
      <c r="A48" s="29" t="s">
        <v>82</v>
      </c>
      <c r="B48" s="20"/>
      <c r="C48" s="20"/>
      <c r="D48" s="20"/>
      <c r="E48" s="7" t="e">
        <f t="shared" si="29"/>
        <v>#DIV/0!</v>
      </c>
      <c r="F48" s="7">
        <v>0</v>
      </c>
      <c r="G48" s="8">
        <v>0</v>
      </c>
      <c r="H48" s="7" t="e">
        <f t="shared" si="30"/>
        <v>#DIV/0!</v>
      </c>
      <c r="I48" s="7">
        <v>0</v>
      </c>
      <c r="J48" s="8">
        <v>0</v>
      </c>
      <c r="K48" s="7" t="e">
        <f t="shared" si="31"/>
        <v>#DIV/0!</v>
      </c>
      <c r="L48" s="7">
        <v>0</v>
      </c>
      <c r="M48" s="8">
        <v>0</v>
      </c>
      <c r="N48" s="7" t="e">
        <f t="shared" si="32"/>
        <v>#DIV/0!</v>
      </c>
      <c r="O48" s="7">
        <v>0</v>
      </c>
      <c r="P48" s="8">
        <v>0</v>
      </c>
      <c r="Q48" s="7" t="e">
        <f t="shared" si="33"/>
        <v>#DIV/0!</v>
      </c>
      <c r="R48" s="7">
        <v>0</v>
      </c>
      <c r="S48" s="8">
        <v>0</v>
      </c>
      <c r="T48" s="7" t="e">
        <f t="shared" si="34"/>
        <v>#DIV/0!</v>
      </c>
      <c r="U48" s="7">
        <v>0</v>
      </c>
      <c r="V48" s="8">
        <v>0</v>
      </c>
      <c r="W48" s="7" t="e">
        <f t="shared" si="35"/>
        <v>#DIV/0!</v>
      </c>
      <c r="X48" s="7">
        <v>0</v>
      </c>
      <c r="Y48" s="8">
        <v>0</v>
      </c>
      <c r="Z48" s="7" t="e">
        <f t="shared" si="36"/>
        <v>#DIV/0!</v>
      </c>
      <c r="AA48" s="7">
        <v>0</v>
      </c>
      <c r="AB48" s="8">
        <v>0</v>
      </c>
      <c r="AC48" s="7" t="e">
        <f t="shared" si="37"/>
        <v>#DIV/0!</v>
      </c>
      <c r="AD48" s="7">
        <v>0</v>
      </c>
      <c r="AE48" s="8">
        <v>0</v>
      </c>
      <c r="AF48" s="7">
        <f t="shared" si="38"/>
        <v>1409.1755555555555</v>
      </c>
      <c r="AG48" s="7">
        <v>634129</v>
      </c>
      <c r="AH48" s="8">
        <v>450</v>
      </c>
      <c r="AI48" s="7" t="e">
        <f t="shared" si="39"/>
        <v>#DIV/0!</v>
      </c>
      <c r="AJ48" s="7">
        <v>0</v>
      </c>
      <c r="AK48" s="8">
        <v>0</v>
      </c>
      <c r="AL48" s="7" t="e">
        <f t="shared" si="40"/>
        <v>#DIV/0!</v>
      </c>
      <c r="AM48" s="7">
        <v>0</v>
      </c>
      <c r="AN48" s="8">
        <v>0</v>
      </c>
      <c r="AO48" s="7">
        <f t="shared" si="25"/>
        <v>1409.1755555555555</v>
      </c>
      <c r="AP48" s="7">
        <f t="shared" si="28"/>
        <v>634129</v>
      </c>
      <c r="AQ48" s="8">
        <f t="shared" si="27"/>
        <v>450</v>
      </c>
    </row>
    <row r="49" spans="1:43" x14ac:dyDescent="0.3">
      <c r="A49" s="29" t="s">
        <v>68</v>
      </c>
      <c r="B49" s="20"/>
      <c r="C49" s="20"/>
      <c r="D49" s="20"/>
      <c r="E49" s="7" t="e">
        <f t="shared" si="29"/>
        <v>#DIV/0!</v>
      </c>
      <c r="F49" s="7">
        <v>0</v>
      </c>
      <c r="G49" s="8">
        <v>0</v>
      </c>
      <c r="H49" s="7" t="e">
        <f t="shared" si="30"/>
        <v>#DIV/0!</v>
      </c>
      <c r="I49" s="7">
        <v>0</v>
      </c>
      <c r="J49" s="8">
        <v>0</v>
      </c>
      <c r="K49" s="7" t="e">
        <f t="shared" si="31"/>
        <v>#DIV/0!</v>
      </c>
      <c r="L49" s="7">
        <v>0</v>
      </c>
      <c r="M49" s="8">
        <v>0</v>
      </c>
      <c r="N49" s="7" t="e">
        <f t="shared" si="32"/>
        <v>#DIV/0!</v>
      </c>
      <c r="O49" s="7">
        <v>0</v>
      </c>
      <c r="P49" s="8">
        <v>0</v>
      </c>
      <c r="Q49" s="7" t="e">
        <f t="shared" si="33"/>
        <v>#DIV/0!</v>
      </c>
      <c r="R49" s="7">
        <v>0</v>
      </c>
      <c r="S49" s="8">
        <v>0</v>
      </c>
      <c r="T49" s="7">
        <f t="shared" si="34"/>
        <v>4140.8450704225352</v>
      </c>
      <c r="U49" s="7">
        <v>29400</v>
      </c>
      <c r="V49" s="8">
        <v>7.1</v>
      </c>
      <c r="W49" s="7" t="e">
        <f t="shared" si="35"/>
        <v>#DIV/0!</v>
      </c>
      <c r="X49" s="7">
        <v>0</v>
      </c>
      <c r="Y49" s="8">
        <v>0</v>
      </c>
      <c r="Z49" s="7" t="e">
        <f t="shared" si="36"/>
        <v>#DIV/0!</v>
      </c>
      <c r="AA49" s="7">
        <v>0</v>
      </c>
      <c r="AB49" s="8">
        <v>0</v>
      </c>
      <c r="AC49" s="7" t="e">
        <f t="shared" si="37"/>
        <v>#DIV/0!</v>
      </c>
      <c r="AD49" s="7">
        <v>0</v>
      </c>
      <c r="AE49" s="8">
        <v>0</v>
      </c>
      <c r="AF49" s="7" t="e">
        <f t="shared" si="38"/>
        <v>#DIV/0!</v>
      </c>
      <c r="AG49" s="7">
        <v>0</v>
      </c>
      <c r="AH49" s="8">
        <v>0</v>
      </c>
      <c r="AI49" s="7" t="e">
        <f t="shared" si="39"/>
        <v>#DIV/0!</v>
      </c>
      <c r="AJ49" s="7">
        <v>0</v>
      </c>
      <c r="AK49" s="8">
        <v>0</v>
      </c>
      <c r="AL49" s="7" t="e">
        <f t="shared" si="40"/>
        <v>#DIV/0!</v>
      </c>
      <c r="AM49" s="7">
        <v>0</v>
      </c>
      <c r="AN49" s="8">
        <v>0</v>
      </c>
      <c r="AO49" s="7">
        <f t="shared" si="25"/>
        <v>4140.8450704225352</v>
      </c>
      <c r="AP49" s="7">
        <f t="shared" si="28"/>
        <v>29400</v>
      </c>
      <c r="AQ49" s="8">
        <f t="shared" si="27"/>
        <v>7.1</v>
      </c>
    </row>
    <row r="50" spans="1:43" x14ac:dyDescent="0.3">
      <c r="A50" s="29" t="s">
        <v>48</v>
      </c>
      <c r="B50" s="20"/>
      <c r="C50" s="20"/>
      <c r="D50" s="20"/>
      <c r="E50" s="7" t="e">
        <f t="shared" si="29"/>
        <v>#DIV/0!</v>
      </c>
      <c r="F50" s="7">
        <v>0</v>
      </c>
      <c r="G50" s="8">
        <v>0</v>
      </c>
      <c r="H50" s="7" t="e">
        <f t="shared" si="30"/>
        <v>#DIV/0!</v>
      </c>
      <c r="I50" s="7">
        <v>0</v>
      </c>
      <c r="J50" s="8">
        <v>0</v>
      </c>
      <c r="K50" s="7" t="e">
        <f t="shared" si="31"/>
        <v>#DIV/0!</v>
      </c>
      <c r="L50" s="7">
        <v>0</v>
      </c>
      <c r="M50" s="8">
        <v>0</v>
      </c>
      <c r="N50" s="7" t="e">
        <f t="shared" si="32"/>
        <v>#DIV/0!</v>
      </c>
      <c r="O50" s="7">
        <v>0</v>
      </c>
      <c r="P50" s="8">
        <v>0</v>
      </c>
      <c r="Q50" s="7" t="e">
        <f t="shared" si="33"/>
        <v>#DIV/0!</v>
      </c>
      <c r="R50" s="7">
        <v>0</v>
      </c>
      <c r="S50" s="8">
        <v>0</v>
      </c>
      <c r="T50" s="7" t="e">
        <f t="shared" si="34"/>
        <v>#DIV/0!</v>
      </c>
      <c r="U50" s="7">
        <v>0</v>
      </c>
      <c r="V50" s="8">
        <v>0</v>
      </c>
      <c r="W50" s="7" t="e">
        <f t="shared" si="35"/>
        <v>#DIV/0!</v>
      </c>
      <c r="X50" s="7">
        <v>0</v>
      </c>
      <c r="Y50" s="8">
        <v>0</v>
      </c>
      <c r="Z50" s="7" t="e">
        <f t="shared" si="36"/>
        <v>#DIV/0!</v>
      </c>
      <c r="AA50" s="7">
        <v>0</v>
      </c>
      <c r="AB50" s="8">
        <v>0</v>
      </c>
      <c r="AC50" s="7" t="e">
        <f t="shared" si="37"/>
        <v>#DIV/0!</v>
      </c>
      <c r="AD50" s="7">
        <v>0</v>
      </c>
      <c r="AE50" s="8">
        <v>0</v>
      </c>
      <c r="AF50" s="7" t="e">
        <f t="shared" si="38"/>
        <v>#DIV/0!</v>
      </c>
      <c r="AG50" s="7">
        <v>0</v>
      </c>
      <c r="AH50" s="8">
        <v>0</v>
      </c>
      <c r="AI50" s="7">
        <f t="shared" si="39"/>
        <v>13603.333333333334</v>
      </c>
      <c r="AJ50" s="7">
        <v>8162</v>
      </c>
      <c r="AK50" s="8">
        <v>0.6</v>
      </c>
      <c r="AL50" s="7" t="e">
        <f t="shared" si="40"/>
        <v>#DIV/0!</v>
      </c>
      <c r="AM50" s="7">
        <v>0</v>
      </c>
      <c r="AN50" s="8">
        <v>0</v>
      </c>
      <c r="AO50" s="7">
        <f t="shared" si="25"/>
        <v>13603.333333333334</v>
      </c>
      <c r="AP50" s="7">
        <f t="shared" si="28"/>
        <v>8162</v>
      </c>
      <c r="AQ50" s="8">
        <f t="shared" si="27"/>
        <v>0.6</v>
      </c>
    </row>
    <row r="51" spans="1:43" x14ac:dyDescent="0.3">
      <c r="A51" s="28" t="s">
        <v>83</v>
      </c>
      <c r="B51" s="20"/>
      <c r="C51" s="20"/>
      <c r="D51" s="20"/>
      <c r="E51" s="7" t="e">
        <f t="shared" si="29"/>
        <v>#DIV/0!</v>
      </c>
      <c r="F51" s="7">
        <v>0</v>
      </c>
      <c r="G51" s="8">
        <v>0</v>
      </c>
      <c r="H51" s="7" t="e">
        <f t="shared" si="30"/>
        <v>#DIV/0!</v>
      </c>
      <c r="I51" s="7">
        <v>0</v>
      </c>
      <c r="J51" s="8">
        <v>0</v>
      </c>
      <c r="K51" s="7">
        <f t="shared" si="31"/>
        <v>1328.3125</v>
      </c>
      <c r="L51" s="7">
        <v>21253</v>
      </c>
      <c r="M51" s="8">
        <v>16</v>
      </c>
      <c r="N51" s="7" t="e">
        <f t="shared" si="32"/>
        <v>#DIV/0!</v>
      </c>
      <c r="O51" s="7">
        <v>0</v>
      </c>
      <c r="P51" s="8">
        <v>0</v>
      </c>
      <c r="Q51" s="7" t="e">
        <f t="shared" si="33"/>
        <v>#DIV/0!</v>
      </c>
      <c r="R51" s="7">
        <v>0</v>
      </c>
      <c r="S51" s="8">
        <v>0</v>
      </c>
      <c r="T51" s="7" t="e">
        <f t="shared" si="34"/>
        <v>#DIV/0!</v>
      </c>
      <c r="U51" s="7">
        <v>0</v>
      </c>
      <c r="V51" s="8">
        <v>0</v>
      </c>
      <c r="W51" s="7" t="e">
        <f t="shared" si="35"/>
        <v>#DIV/0!</v>
      </c>
      <c r="X51" s="7">
        <v>0</v>
      </c>
      <c r="Y51" s="8">
        <v>0</v>
      </c>
      <c r="Z51" s="7" t="e">
        <f t="shared" si="36"/>
        <v>#DIV/0!</v>
      </c>
      <c r="AA51" s="7">
        <v>0</v>
      </c>
      <c r="AB51" s="8">
        <v>0</v>
      </c>
      <c r="AC51" s="7" t="e">
        <f t="shared" si="37"/>
        <v>#DIV/0!</v>
      </c>
      <c r="AD51" s="7">
        <v>0</v>
      </c>
      <c r="AE51" s="8">
        <v>0</v>
      </c>
      <c r="AF51" s="7" t="e">
        <f t="shared" si="38"/>
        <v>#DIV/0!</v>
      </c>
      <c r="AG51" s="7">
        <v>0</v>
      </c>
      <c r="AH51" s="8">
        <v>0</v>
      </c>
      <c r="AI51" s="7">
        <f t="shared" si="39"/>
        <v>1409.0932738758825</v>
      </c>
      <c r="AJ51" s="7">
        <v>379187</v>
      </c>
      <c r="AK51" s="8">
        <v>269.10000000000002</v>
      </c>
      <c r="AL51" s="7" t="e">
        <f t="shared" si="40"/>
        <v>#DIV/0!</v>
      </c>
      <c r="AM51" s="7">
        <v>0</v>
      </c>
      <c r="AN51" s="8">
        <v>0</v>
      </c>
      <c r="AO51" s="7">
        <f t="shared" si="25"/>
        <v>1404.559803577692</v>
      </c>
      <c r="AP51" s="7">
        <f t="shared" si="28"/>
        <v>400440</v>
      </c>
      <c r="AQ51" s="8">
        <f t="shared" si="27"/>
        <v>285.10000000000002</v>
      </c>
    </row>
    <row r="52" spans="1:43" x14ac:dyDescent="0.3">
      <c r="A52" s="28" t="s">
        <v>69</v>
      </c>
      <c r="B52" s="20"/>
      <c r="C52" s="20"/>
      <c r="D52" s="20"/>
      <c r="E52" s="7">
        <f t="shared" si="29"/>
        <v>2210.7407407407409</v>
      </c>
      <c r="F52" s="7">
        <v>29845</v>
      </c>
      <c r="G52" s="8">
        <v>13.5</v>
      </c>
      <c r="H52" s="7">
        <f t="shared" si="30"/>
        <v>2094.8387096774195</v>
      </c>
      <c r="I52" s="7">
        <v>6494</v>
      </c>
      <c r="J52" s="8">
        <v>3.1</v>
      </c>
      <c r="K52" s="7" t="e">
        <f t="shared" si="31"/>
        <v>#DIV/0!</v>
      </c>
      <c r="L52" s="7">
        <v>0</v>
      </c>
      <c r="M52" s="8">
        <v>0</v>
      </c>
      <c r="N52" s="7">
        <f t="shared" si="32"/>
        <v>2081.5384615384614</v>
      </c>
      <c r="O52" s="7">
        <v>10824</v>
      </c>
      <c r="P52" s="8">
        <v>5.2</v>
      </c>
      <c r="Q52" s="7">
        <f t="shared" si="33"/>
        <v>2570</v>
      </c>
      <c r="R52" s="7">
        <v>6682</v>
      </c>
      <c r="S52" s="8">
        <v>2.6</v>
      </c>
      <c r="T52" s="7">
        <f t="shared" si="34"/>
        <v>1881.1034482758621</v>
      </c>
      <c r="U52" s="7">
        <v>27276</v>
      </c>
      <c r="V52" s="8">
        <v>14.5</v>
      </c>
      <c r="W52" s="7" t="e">
        <f t="shared" si="35"/>
        <v>#DIV/0!</v>
      </c>
      <c r="X52" s="7">
        <v>0</v>
      </c>
      <c r="Y52" s="8">
        <v>0</v>
      </c>
      <c r="Z52" s="7">
        <f t="shared" si="36"/>
        <v>4641.666666666667</v>
      </c>
      <c r="AA52" s="7">
        <v>2785</v>
      </c>
      <c r="AB52" s="8">
        <v>0.6</v>
      </c>
      <c r="AC52" s="7" t="e">
        <f t="shared" si="37"/>
        <v>#DIV/0!</v>
      </c>
      <c r="AD52" s="7">
        <v>0</v>
      </c>
      <c r="AE52" s="8">
        <v>0</v>
      </c>
      <c r="AF52" s="7">
        <f t="shared" si="38"/>
        <v>2086.6265060240962</v>
      </c>
      <c r="AG52" s="7">
        <v>17319</v>
      </c>
      <c r="AH52" s="8">
        <v>8.3000000000000007</v>
      </c>
      <c r="AI52" s="7" t="e">
        <f t="shared" si="39"/>
        <v>#DIV/0!</v>
      </c>
      <c r="AJ52" s="7">
        <v>0</v>
      </c>
      <c r="AK52" s="8">
        <v>0</v>
      </c>
      <c r="AL52" s="7" t="e">
        <f t="shared" si="40"/>
        <v>#DIV/0!</v>
      </c>
      <c r="AM52" s="7">
        <v>0</v>
      </c>
      <c r="AN52" s="8">
        <v>0</v>
      </c>
      <c r="AO52" s="7">
        <f t="shared" si="25"/>
        <v>2117.6778242677819</v>
      </c>
      <c r="AP52" s="7">
        <f t="shared" si="28"/>
        <v>101225</v>
      </c>
      <c r="AQ52" s="8">
        <f t="shared" si="27"/>
        <v>47.800000000000011</v>
      </c>
    </row>
    <row r="53" spans="1:43" x14ac:dyDescent="0.3">
      <c r="A53" s="28" t="s">
        <v>35</v>
      </c>
      <c r="B53" s="20"/>
      <c r="C53" s="20"/>
      <c r="D53" s="20"/>
      <c r="E53" s="7" t="e">
        <f t="shared" si="29"/>
        <v>#DIV/0!</v>
      </c>
      <c r="F53" s="7">
        <v>0</v>
      </c>
      <c r="G53" s="8">
        <v>0</v>
      </c>
      <c r="H53" s="7" t="e">
        <f t="shared" si="30"/>
        <v>#DIV/0!</v>
      </c>
      <c r="I53" s="7">
        <v>0</v>
      </c>
      <c r="J53" s="8">
        <v>0</v>
      </c>
      <c r="K53" s="7" t="e">
        <f t="shared" si="31"/>
        <v>#DIV/0!</v>
      </c>
      <c r="L53" s="7">
        <v>0</v>
      </c>
      <c r="M53" s="8">
        <v>0</v>
      </c>
      <c r="N53" s="7" t="e">
        <f t="shared" si="32"/>
        <v>#DIV/0!</v>
      </c>
      <c r="O53" s="7">
        <v>0</v>
      </c>
      <c r="P53" s="8">
        <v>0</v>
      </c>
      <c r="Q53" s="7">
        <f t="shared" si="33"/>
        <v>1551.7241379310344</v>
      </c>
      <c r="R53" s="7">
        <v>9000</v>
      </c>
      <c r="S53" s="8">
        <v>5.8</v>
      </c>
      <c r="T53" s="7" t="e">
        <f t="shared" si="34"/>
        <v>#DIV/0!</v>
      </c>
      <c r="U53" s="7">
        <v>0</v>
      </c>
      <c r="V53" s="8">
        <v>0</v>
      </c>
      <c r="W53" s="7" t="e">
        <f t="shared" si="35"/>
        <v>#DIV/0!</v>
      </c>
      <c r="X53" s="7">
        <v>0</v>
      </c>
      <c r="Y53" s="8">
        <v>0</v>
      </c>
      <c r="Z53" s="7" t="e">
        <f t="shared" si="36"/>
        <v>#DIV/0!</v>
      </c>
      <c r="AA53" s="7">
        <v>0</v>
      </c>
      <c r="AB53" s="8">
        <v>0</v>
      </c>
      <c r="AC53" s="7" t="e">
        <f t="shared" si="37"/>
        <v>#DIV/0!</v>
      </c>
      <c r="AD53" s="7">
        <v>0</v>
      </c>
      <c r="AE53" s="8">
        <v>0</v>
      </c>
      <c r="AF53" s="7" t="e">
        <f t="shared" si="38"/>
        <v>#DIV/0!</v>
      </c>
      <c r="AG53" s="7">
        <v>0</v>
      </c>
      <c r="AH53" s="8">
        <v>0</v>
      </c>
      <c r="AI53" s="7" t="e">
        <f t="shared" si="39"/>
        <v>#DIV/0!</v>
      </c>
      <c r="AJ53" s="7">
        <v>0</v>
      </c>
      <c r="AK53" s="8">
        <v>0</v>
      </c>
      <c r="AL53" s="7" t="e">
        <f t="shared" si="40"/>
        <v>#DIV/0!</v>
      </c>
      <c r="AM53" s="7">
        <v>0</v>
      </c>
      <c r="AN53" s="8">
        <v>0</v>
      </c>
      <c r="AO53" s="7">
        <f t="shared" si="25"/>
        <v>1551.7241379310344</v>
      </c>
      <c r="AP53" s="7">
        <f t="shared" si="28"/>
        <v>9000</v>
      </c>
      <c r="AQ53" s="8">
        <f t="shared" si="27"/>
        <v>5.8</v>
      </c>
    </row>
    <row r="54" spans="1:43" x14ac:dyDescent="0.3">
      <c r="A54" s="28" t="s">
        <v>71</v>
      </c>
      <c r="B54" s="20"/>
      <c r="C54" s="20"/>
      <c r="D54" s="20"/>
      <c r="E54" s="7" t="e">
        <f t="shared" si="29"/>
        <v>#DIV/0!</v>
      </c>
      <c r="F54" s="7">
        <v>0</v>
      </c>
      <c r="G54" s="8">
        <v>0</v>
      </c>
      <c r="H54" s="7" t="e">
        <f t="shared" si="30"/>
        <v>#DIV/0!</v>
      </c>
      <c r="I54" s="7">
        <v>0</v>
      </c>
      <c r="J54" s="8">
        <v>0</v>
      </c>
      <c r="K54" s="7" t="e">
        <f t="shared" si="31"/>
        <v>#DIV/0!</v>
      </c>
      <c r="L54" s="7">
        <v>0</v>
      </c>
      <c r="M54" s="8">
        <v>0</v>
      </c>
      <c r="N54" s="7" t="e">
        <f t="shared" si="32"/>
        <v>#DIV/0!</v>
      </c>
      <c r="O54" s="7">
        <v>0</v>
      </c>
      <c r="P54" s="8">
        <v>0</v>
      </c>
      <c r="Q54" s="7" t="e">
        <f t="shared" si="33"/>
        <v>#DIV/0!</v>
      </c>
      <c r="R54" s="7">
        <v>0</v>
      </c>
      <c r="S54" s="8">
        <v>0</v>
      </c>
      <c r="T54" s="7" t="e">
        <f t="shared" si="34"/>
        <v>#DIV/0!</v>
      </c>
      <c r="U54" s="7">
        <v>0</v>
      </c>
      <c r="V54" s="8">
        <v>0</v>
      </c>
      <c r="W54" s="7" t="e">
        <f t="shared" si="35"/>
        <v>#DIV/0!</v>
      </c>
      <c r="X54" s="7">
        <v>0</v>
      </c>
      <c r="Y54" s="8">
        <v>0</v>
      </c>
      <c r="Z54" s="7" t="e">
        <f t="shared" si="36"/>
        <v>#DIV/0!</v>
      </c>
      <c r="AA54" s="7">
        <v>0</v>
      </c>
      <c r="AB54" s="8">
        <v>0</v>
      </c>
      <c r="AC54" s="7" t="e">
        <f t="shared" si="37"/>
        <v>#DIV/0!</v>
      </c>
      <c r="AD54" s="7">
        <v>0</v>
      </c>
      <c r="AE54" s="8">
        <v>0</v>
      </c>
      <c r="AF54" s="7" t="e">
        <f t="shared" si="38"/>
        <v>#DIV/0!</v>
      </c>
      <c r="AG54" s="7">
        <v>0</v>
      </c>
      <c r="AH54" s="8">
        <v>0</v>
      </c>
      <c r="AI54" s="7">
        <f t="shared" si="39"/>
        <v>1166.3819095477388</v>
      </c>
      <c r="AJ54" s="7">
        <v>23211</v>
      </c>
      <c r="AK54" s="8">
        <v>19.899999999999999</v>
      </c>
      <c r="AL54" s="7" t="e">
        <f t="shared" si="40"/>
        <v>#DIV/0!</v>
      </c>
      <c r="AM54" s="7">
        <v>0</v>
      </c>
      <c r="AN54" s="8">
        <v>0</v>
      </c>
      <c r="AO54" s="7">
        <f t="shared" si="25"/>
        <v>1166.3819095477388</v>
      </c>
      <c r="AP54" s="7">
        <f t="shared" si="28"/>
        <v>23211</v>
      </c>
      <c r="AQ54" s="8">
        <f t="shared" si="27"/>
        <v>19.899999999999999</v>
      </c>
    </row>
    <row r="55" spans="1:43" x14ac:dyDescent="0.3">
      <c r="A55" s="28" t="s">
        <v>51</v>
      </c>
      <c r="B55" s="20"/>
      <c r="C55" s="20"/>
      <c r="D55" s="20"/>
      <c r="E55" s="7">
        <f t="shared" si="29"/>
        <v>1534.5228215767634</v>
      </c>
      <c r="F55" s="7">
        <v>36982</v>
      </c>
      <c r="G55" s="8">
        <v>24.1</v>
      </c>
      <c r="H55" s="7">
        <f t="shared" si="30"/>
        <v>1475.84229390681</v>
      </c>
      <c r="I55" s="7">
        <v>41176</v>
      </c>
      <c r="J55" s="8">
        <v>27.9</v>
      </c>
      <c r="K55" s="7" t="e">
        <f t="shared" si="31"/>
        <v>#DIV/0!</v>
      </c>
      <c r="L55" s="7">
        <v>0</v>
      </c>
      <c r="M55" s="8">
        <v>0</v>
      </c>
      <c r="N55" s="7">
        <f t="shared" si="32"/>
        <v>1379.3360995850621</v>
      </c>
      <c r="O55" s="7">
        <v>33242</v>
      </c>
      <c r="P55" s="8">
        <v>24.1</v>
      </c>
      <c r="Q55" s="7">
        <f t="shared" si="33"/>
        <v>1468.0745341614909</v>
      </c>
      <c r="R55" s="7">
        <v>70908</v>
      </c>
      <c r="S55" s="8">
        <v>48.3</v>
      </c>
      <c r="T55" s="7" t="e">
        <f t="shared" si="34"/>
        <v>#DIV/0!</v>
      </c>
      <c r="U55" s="7">
        <v>0</v>
      </c>
      <c r="V55" s="8">
        <v>0</v>
      </c>
      <c r="W55" s="7">
        <f t="shared" si="35"/>
        <v>1520</v>
      </c>
      <c r="X55" s="7">
        <v>36632</v>
      </c>
      <c r="Y55" s="8">
        <v>24.1</v>
      </c>
      <c r="Z55" s="7" t="e">
        <f t="shared" si="36"/>
        <v>#DIV/0!</v>
      </c>
      <c r="AA55" s="7">
        <v>0</v>
      </c>
      <c r="AB55" s="8">
        <v>0</v>
      </c>
      <c r="AC55" s="7">
        <f t="shared" si="37"/>
        <v>1488.4647302904564</v>
      </c>
      <c r="AD55" s="7">
        <v>35872</v>
      </c>
      <c r="AE55" s="8">
        <v>24.1</v>
      </c>
      <c r="AF55" s="7">
        <f t="shared" si="38"/>
        <v>1401.4107883817426</v>
      </c>
      <c r="AG55" s="7">
        <v>33774</v>
      </c>
      <c r="AH55" s="8">
        <v>24.1</v>
      </c>
      <c r="AI55" s="7" t="e">
        <f t="shared" si="39"/>
        <v>#DIV/0!</v>
      </c>
      <c r="AJ55" s="7">
        <v>0</v>
      </c>
      <c r="AK55" s="8">
        <v>0</v>
      </c>
      <c r="AL55" s="7" t="e">
        <f t="shared" si="40"/>
        <v>#DIV/0!</v>
      </c>
      <c r="AM55" s="7">
        <v>0</v>
      </c>
      <c r="AN55" s="8">
        <v>0</v>
      </c>
      <c r="AO55" s="7">
        <f t="shared" si="25"/>
        <v>1467.1377732587698</v>
      </c>
      <c r="AP55" s="7">
        <f t="shared" si="28"/>
        <v>288586</v>
      </c>
      <c r="AQ55" s="8">
        <f t="shared" si="27"/>
        <v>196.7</v>
      </c>
    </row>
    <row r="56" spans="1:43" x14ac:dyDescent="0.3">
      <c r="A56" s="28" t="s">
        <v>80</v>
      </c>
      <c r="B56" s="20"/>
      <c r="C56" s="20"/>
      <c r="D56" s="20"/>
      <c r="E56" s="7" t="e">
        <f t="shared" si="29"/>
        <v>#DIV/0!</v>
      </c>
      <c r="F56" s="7">
        <v>0</v>
      </c>
      <c r="G56" s="8">
        <v>0</v>
      </c>
      <c r="H56" s="7" t="e">
        <f t="shared" si="30"/>
        <v>#DIV/0!</v>
      </c>
      <c r="I56" s="7">
        <v>0</v>
      </c>
      <c r="J56" s="8">
        <v>0</v>
      </c>
      <c r="K56" s="7">
        <f t="shared" si="31"/>
        <v>1286.25</v>
      </c>
      <c r="L56" s="7">
        <v>257250</v>
      </c>
      <c r="M56" s="8">
        <v>200</v>
      </c>
      <c r="N56" s="7" t="e">
        <f t="shared" si="32"/>
        <v>#DIV/0!</v>
      </c>
      <c r="O56" s="7">
        <v>0</v>
      </c>
      <c r="P56" s="8">
        <v>0</v>
      </c>
      <c r="Q56" s="7" t="e">
        <f t="shared" si="33"/>
        <v>#DIV/0!</v>
      </c>
      <c r="R56" s="7">
        <v>0</v>
      </c>
      <c r="S56" s="8">
        <v>0</v>
      </c>
      <c r="T56" s="7" t="e">
        <f t="shared" si="34"/>
        <v>#DIV/0!</v>
      </c>
      <c r="U56" s="7">
        <v>0</v>
      </c>
      <c r="V56" s="8">
        <v>0</v>
      </c>
      <c r="W56" s="7" t="e">
        <f t="shared" si="35"/>
        <v>#DIV/0!</v>
      </c>
      <c r="X56" s="7">
        <v>0</v>
      </c>
      <c r="Y56" s="8">
        <v>0</v>
      </c>
      <c r="Z56" s="7" t="e">
        <f t="shared" si="36"/>
        <v>#DIV/0!</v>
      </c>
      <c r="AA56" s="7">
        <v>0</v>
      </c>
      <c r="AB56" s="8">
        <v>0</v>
      </c>
      <c r="AC56" s="7" t="e">
        <f t="shared" si="37"/>
        <v>#DIV/0!</v>
      </c>
      <c r="AD56" s="7">
        <v>0</v>
      </c>
      <c r="AE56" s="8">
        <v>0</v>
      </c>
      <c r="AF56" s="7" t="e">
        <f t="shared" si="38"/>
        <v>#DIV/0!</v>
      </c>
      <c r="AG56" s="7">
        <v>0</v>
      </c>
      <c r="AH56" s="8">
        <v>0</v>
      </c>
      <c r="AI56" s="7" t="e">
        <f t="shared" si="39"/>
        <v>#DIV/0!</v>
      </c>
      <c r="AJ56" s="7">
        <v>0</v>
      </c>
      <c r="AK56" s="8">
        <v>0</v>
      </c>
      <c r="AL56" s="7" t="e">
        <f t="shared" si="40"/>
        <v>#DIV/0!</v>
      </c>
      <c r="AM56" s="7">
        <v>0</v>
      </c>
      <c r="AN56" s="8">
        <v>0</v>
      </c>
      <c r="AO56" s="7">
        <f t="shared" si="25"/>
        <v>1286.25</v>
      </c>
      <c r="AP56" s="7">
        <f t="shared" si="28"/>
        <v>257250</v>
      </c>
      <c r="AQ56" s="8">
        <f t="shared" si="27"/>
        <v>200</v>
      </c>
    </row>
    <row r="57" spans="1:43" x14ac:dyDescent="0.3">
      <c r="A57" s="28" t="s">
        <v>84</v>
      </c>
      <c r="B57" s="20"/>
      <c r="C57" s="20"/>
      <c r="D57" s="20"/>
      <c r="E57" s="7">
        <f t="shared" si="29"/>
        <v>956.0030802464197</v>
      </c>
      <c r="F57" s="7">
        <v>4779633</v>
      </c>
      <c r="G57" s="8">
        <v>4999.6000000000004</v>
      </c>
      <c r="H57" s="7" t="e">
        <f t="shared" si="30"/>
        <v>#DIV/0!</v>
      </c>
      <c r="I57" s="7">
        <v>0</v>
      </c>
      <c r="J57" s="8">
        <v>0</v>
      </c>
      <c r="K57" s="7" t="e">
        <f t="shared" si="31"/>
        <v>#DIV/0!</v>
      </c>
      <c r="L57" s="7">
        <v>0</v>
      </c>
      <c r="M57" s="8">
        <v>0</v>
      </c>
      <c r="N57" s="7">
        <f t="shared" si="32"/>
        <v>2261.5384615384614</v>
      </c>
      <c r="O57" s="7">
        <v>2940</v>
      </c>
      <c r="P57" s="8">
        <v>1.3</v>
      </c>
      <c r="Q57" s="7" t="e">
        <f t="shared" si="33"/>
        <v>#DIV/0!</v>
      </c>
      <c r="R57" s="7">
        <v>0</v>
      </c>
      <c r="S57" s="8">
        <v>0</v>
      </c>
      <c r="T57" s="7" t="e">
        <f t="shared" si="34"/>
        <v>#DIV/0!</v>
      </c>
      <c r="U57" s="7">
        <v>0</v>
      </c>
      <c r="V57" s="8">
        <v>0</v>
      </c>
      <c r="W57" s="7" t="e">
        <f t="shared" si="35"/>
        <v>#DIV/0!</v>
      </c>
      <c r="X57" s="7">
        <v>0</v>
      </c>
      <c r="Y57" s="8">
        <v>0</v>
      </c>
      <c r="Z57" s="7">
        <f t="shared" si="36"/>
        <v>2191.666666666667</v>
      </c>
      <c r="AA57" s="7">
        <v>2630</v>
      </c>
      <c r="AB57" s="8">
        <v>1.2</v>
      </c>
      <c r="AC57" s="7" t="e">
        <f t="shared" si="37"/>
        <v>#DIV/0!</v>
      </c>
      <c r="AD57" s="7">
        <v>0</v>
      </c>
      <c r="AE57" s="8">
        <v>0</v>
      </c>
      <c r="AF57" s="7" t="e">
        <f t="shared" si="38"/>
        <v>#DIV/0!</v>
      </c>
      <c r="AG57" s="7">
        <v>0</v>
      </c>
      <c r="AH57" s="8">
        <v>0</v>
      </c>
      <c r="AI57" s="7">
        <f t="shared" si="39"/>
        <v>2336.6666666666665</v>
      </c>
      <c r="AJ57" s="7">
        <v>3505</v>
      </c>
      <c r="AK57" s="8">
        <v>1.5</v>
      </c>
      <c r="AL57" s="7" t="e">
        <f t="shared" si="40"/>
        <v>#DIV/0!</v>
      </c>
      <c r="AM57" s="7">
        <v>0</v>
      </c>
      <c r="AN57" s="8">
        <v>0</v>
      </c>
      <c r="AO57" s="7">
        <f t="shared" si="25"/>
        <v>957.05252218402745</v>
      </c>
      <c r="AP57" s="7">
        <f t="shared" si="28"/>
        <v>4788708</v>
      </c>
      <c r="AQ57" s="8">
        <f t="shared" si="27"/>
        <v>5003.6000000000004</v>
      </c>
    </row>
    <row r="58" spans="1:43" x14ac:dyDescent="0.3">
      <c r="A58" s="28" t="s">
        <v>94</v>
      </c>
      <c r="B58" s="20"/>
      <c r="C58" s="20"/>
      <c r="D58" s="20"/>
      <c r="E58" s="7" t="e">
        <f t="shared" si="29"/>
        <v>#DIV/0!</v>
      </c>
      <c r="F58" s="7">
        <v>0</v>
      </c>
      <c r="G58" s="8">
        <v>0</v>
      </c>
      <c r="H58" s="7" t="e">
        <f t="shared" si="30"/>
        <v>#DIV/0!</v>
      </c>
      <c r="I58" s="7">
        <v>0</v>
      </c>
      <c r="J58" s="8">
        <v>0</v>
      </c>
      <c r="K58" s="7" t="e">
        <f t="shared" si="31"/>
        <v>#DIV/0!</v>
      </c>
      <c r="L58" s="7">
        <v>0</v>
      </c>
      <c r="M58" s="8">
        <v>0</v>
      </c>
      <c r="N58" s="7" t="e">
        <f t="shared" si="32"/>
        <v>#DIV/0!</v>
      </c>
      <c r="O58" s="7">
        <v>0</v>
      </c>
      <c r="P58" s="8">
        <v>0</v>
      </c>
      <c r="Q58" s="7" t="e">
        <f t="shared" si="33"/>
        <v>#DIV/0!</v>
      </c>
      <c r="R58" s="7">
        <v>0</v>
      </c>
      <c r="S58" s="8">
        <v>0</v>
      </c>
      <c r="T58" s="7" t="e">
        <f t="shared" si="34"/>
        <v>#DIV/0!</v>
      </c>
      <c r="U58" s="7">
        <v>0</v>
      </c>
      <c r="V58" s="8">
        <v>0</v>
      </c>
      <c r="W58" s="7" t="e">
        <f t="shared" si="35"/>
        <v>#DIV/0!</v>
      </c>
      <c r="X58" s="7">
        <v>0</v>
      </c>
      <c r="Y58" s="8">
        <v>0</v>
      </c>
      <c r="Z58" s="7" t="e">
        <f t="shared" si="36"/>
        <v>#DIV/0!</v>
      </c>
      <c r="AA58" s="7">
        <v>0</v>
      </c>
      <c r="AB58" s="8">
        <v>0</v>
      </c>
      <c r="AC58" s="7" t="e">
        <f t="shared" si="37"/>
        <v>#DIV/0!</v>
      </c>
      <c r="AD58" s="7">
        <v>0</v>
      </c>
      <c r="AE58" s="8">
        <v>0</v>
      </c>
      <c r="AF58" s="7" t="e">
        <f t="shared" si="38"/>
        <v>#DIV/0!</v>
      </c>
      <c r="AG58" s="7">
        <v>0</v>
      </c>
      <c r="AH58" s="8">
        <v>0</v>
      </c>
      <c r="AI58" s="7">
        <f t="shared" si="39"/>
        <v>1282.9099307159354</v>
      </c>
      <c r="AJ58" s="7">
        <v>166650</v>
      </c>
      <c r="AK58" s="8">
        <v>129.9</v>
      </c>
      <c r="AL58" s="7" t="e">
        <f t="shared" si="40"/>
        <v>#DIV/0!</v>
      </c>
      <c r="AM58" s="7">
        <v>0</v>
      </c>
      <c r="AN58" s="8">
        <v>0</v>
      </c>
      <c r="AO58" s="7">
        <f t="shared" si="25"/>
        <v>1282.9099307159354</v>
      </c>
      <c r="AP58" s="7">
        <f t="shared" si="28"/>
        <v>166650</v>
      </c>
      <c r="AQ58" s="8">
        <f t="shared" si="27"/>
        <v>129.9</v>
      </c>
    </row>
    <row r="59" spans="1:43" x14ac:dyDescent="0.3">
      <c r="A59" s="28" t="s">
        <v>85</v>
      </c>
      <c r="B59" s="20"/>
      <c r="C59" s="20"/>
      <c r="D59" s="20"/>
      <c r="E59" s="7" t="e">
        <f t="shared" si="29"/>
        <v>#DIV/0!</v>
      </c>
      <c r="F59" s="7">
        <v>0</v>
      </c>
      <c r="G59" s="8">
        <v>0</v>
      </c>
      <c r="H59" s="7" t="e">
        <f t="shared" si="30"/>
        <v>#DIV/0!</v>
      </c>
      <c r="I59" s="7">
        <v>0</v>
      </c>
      <c r="J59" s="8">
        <v>0</v>
      </c>
      <c r="K59" s="7">
        <f t="shared" si="31"/>
        <v>2278.6554621848741</v>
      </c>
      <c r="L59" s="7">
        <v>27116</v>
      </c>
      <c r="M59" s="8">
        <v>11.9</v>
      </c>
      <c r="N59" s="7" t="e">
        <f t="shared" si="32"/>
        <v>#DIV/0!</v>
      </c>
      <c r="O59" s="7">
        <v>0</v>
      </c>
      <c r="P59" s="8">
        <v>0</v>
      </c>
      <c r="Q59" s="7" t="e">
        <f t="shared" si="33"/>
        <v>#DIV/0!</v>
      </c>
      <c r="R59" s="7">
        <v>0</v>
      </c>
      <c r="S59" s="8">
        <v>0</v>
      </c>
      <c r="T59" s="7" t="e">
        <f t="shared" si="34"/>
        <v>#DIV/0!</v>
      </c>
      <c r="U59" s="7">
        <v>0</v>
      </c>
      <c r="V59" s="8">
        <v>0</v>
      </c>
      <c r="W59" s="7" t="e">
        <f t="shared" si="35"/>
        <v>#DIV/0!</v>
      </c>
      <c r="X59" s="7">
        <v>0</v>
      </c>
      <c r="Y59" s="8">
        <v>0</v>
      </c>
      <c r="Z59" s="7" t="e">
        <f t="shared" si="36"/>
        <v>#DIV/0!</v>
      </c>
      <c r="AA59" s="7">
        <v>0</v>
      </c>
      <c r="AB59" s="8">
        <v>0</v>
      </c>
      <c r="AC59" s="7" t="e">
        <f t="shared" si="37"/>
        <v>#DIV/0!</v>
      </c>
      <c r="AD59" s="7">
        <v>0</v>
      </c>
      <c r="AE59" s="8">
        <v>0</v>
      </c>
      <c r="AF59" s="7" t="e">
        <f t="shared" si="38"/>
        <v>#DIV/0!</v>
      </c>
      <c r="AG59" s="7">
        <v>0</v>
      </c>
      <c r="AH59" s="8">
        <v>0</v>
      </c>
      <c r="AI59" s="7" t="e">
        <f t="shared" si="39"/>
        <v>#DIV/0!</v>
      </c>
      <c r="AJ59" s="7">
        <v>0</v>
      </c>
      <c r="AK59" s="8">
        <v>0</v>
      </c>
      <c r="AL59" s="7" t="e">
        <f t="shared" si="40"/>
        <v>#DIV/0!</v>
      </c>
      <c r="AM59" s="7">
        <v>0</v>
      </c>
      <c r="AN59" s="8">
        <v>0</v>
      </c>
      <c r="AO59" s="7">
        <f t="shared" si="25"/>
        <v>2278.6554621848741</v>
      </c>
      <c r="AP59" s="7">
        <f t="shared" si="28"/>
        <v>27116</v>
      </c>
      <c r="AQ59" s="8">
        <f t="shared" si="27"/>
        <v>11.9</v>
      </c>
    </row>
    <row r="60" spans="1:43" x14ac:dyDescent="0.3">
      <c r="A60" s="28" t="s">
        <v>37</v>
      </c>
      <c r="B60" s="20"/>
      <c r="C60" s="20"/>
      <c r="D60" s="20"/>
      <c r="E60" s="7" t="e">
        <f t="shared" si="29"/>
        <v>#DIV/0!</v>
      </c>
      <c r="F60" s="7">
        <v>0</v>
      </c>
      <c r="G60" s="8">
        <v>0</v>
      </c>
      <c r="H60" s="7">
        <f t="shared" si="30"/>
        <v>1268.2</v>
      </c>
      <c r="I60" s="7">
        <v>25364</v>
      </c>
      <c r="J60" s="8">
        <v>20</v>
      </c>
      <c r="K60" s="7">
        <f t="shared" si="31"/>
        <v>1346.4765100671141</v>
      </c>
      <c r="L60" s="7">
        <v>160500</v>
      </c>
      <c r="M60" s="8">
        <v>119.2</v>
      </c>
      <c r="N60" s="7" t="e">
        <f t="shared" si="32"/>
        <v>#DIV/0!</v>
      </c>
      <c r="O60" s="7">
        <v>0</v>
      </c>
      <c r="P60" s="8">
        <v>0</v>
      </c>
      <c r="Q60" s="7">
        <f t="shared" si="33"/>
        <v>1449.65</v>
      </c>
      <c r="R60" s="7">
        <v>28993</v>
      </c>
      <c r="S60" s="8">
        <v>20</v>
      </c>
      <c r="T60" s="7" t="e">
        <f t="shared" si="34"/>
        <v>#DIV/0!</v>
      </c>
      <c r="U60" s="7">
        <v>0</v>
      </c>
      <c r="V60" s="8">
        <v>0</v>
      </c>
      <c r="W60" s="7" t="e">
        <f t="shared" si="35"/>
        <v>#DIV/0!</v>
      </c>
      <c r="X60" s="7">
        <v>0</v>
      </c>
      <c r="Y60" s="8">
        <v>0</v>
      </c>
      <c r="Z60" s="7" t="e">
        <f t="shared" si="36"/>
        <v>#DIV/0!</v>
      </c>
      <c r="AA60" s="7">
        <v>0</v>
      </c>
      <c r="AB60" s="8">
        <v>0</v>
      </c>
      <c r="AC60" s="7" t="e">
        <f t="shared" si="37"/>
        <v>#DIV/0!</v>
      </c>
      <c r="AD60" s="7">
        <v>0</v>
      </c>
      <c r="AE60" s="8">
        <v>0</v>
      </c>
      <c r="AF60" s="7" t="e">
        <f t="shared" si="38"/>
        <v>#DIV/0!</v>
      </c>
      <c r="AG60" s="7">
        <v>0</v>
      </c>
      <c r="AH60" s="8">
        <v>0</v>
      </c>
      <c r="AI60" s="7" t="e">
        <f t="shared" si="39"/>
        <v>#DIV/0!</v>
      </c>
      <c r="AJ60" s="7">
        <v>0</v>
      </c>
      <c r="AK60" s="8">
        <v>0</v>
      </c>
      <c r="AL60" s="7" t="e">
        <f t="shared" si="40"/>
        <v>#DIV/0!</v>
      </c>
      <c r="AM60" s="7">
        <v>0</v>
      </c>
      <c r="AN60" s="8">
        <v>0</v>
      </c>
      <c r="AO60" s="7">
        <f t="shared" si="25"/>
        <v>1349.604271356784</v>
      </c>
      <c r="AP60" s="7">
        <f t="shared" si="28"/>
        <v>214857</v>
      </c>
      <c r="AQ60" s="8">
        <f t="shared" si="27"/>
        <v>159.19999999999999</v>
      </c>
    </row>
    <row r="61" spans="1:43" x14ac:dyDescent="0.3">
      <c r="A61" s="28" t="s">
        <v>72</v>
      </c>
      <c r="B61" s="20"/>
      <c r="C61" s="20"/>
      <c r="D61" s="20"/>
      <c r="E61" s="7" t="e">
        <f t="shared" si="29"/>
        <v>#DIV/0!</v>
      </c>
      <c r="F61" s="7">
        <v>0</v>
      </c>
      <c r="G61" s="8">
        <v>0</v>
      </c>
      <c r="H61" s="7" t="e">
        <f t="shared" si="30"/>
        <v>#DIV/0!</v>
      </c>
      <c r="I61" s="7">
        <v>0</v>
      </c>
      <c r="J61" s="8">
        <v>0</v>
      </c>
      <c r="K61" s="7" t="e">
        <f t="shared" si="31"/>
        <v>#DIV/0!</v>
      </c>
      <c r="L61" s="7">
        <v>0</v>
      </c>
      <c r="M61" s="8">
        <v>0</v>
      </c>
      <c r="N61" s="7">
        <f t="shared" si="32"/>
        <v>1308.360655737705</v>
      </c>
      <c r="O61" s="7">
        <v>31924</v>
      </c>
      <c r="P61" s="8">
        <v>24.4</v>
      </c>
      <c r="Q61" s="7" t="e">
        <f t="shared" si="33"/>
        <v>#DIV/0!</v>
      </c>
      <c r="R61" s="7">
        <v>0</v>
      </c>
      <c r="S61" s="8">
        <v>0</v>
      </c>
      <c r="T61" s="7" t="e">
        <f t="shared" si="34"/>
        <v>#DIV/0!</v>
      </c>
      <c r="U61" s="7">
        <v>0</v>
      </c>
      <c r="V61" s="8">
        <v>0</v>
      </c>
      <c r="W61" s="7">
        <f t="shared" si="35"/>
        <v>1276.2348178137652</v>
      </c>
      <c r="X61" s="7">
        <v>31523</v>
      </c>
      <c r="Y61" s="8">
        <v>24.7</v>
      </c>
      <c r="Z61" s="7" t="e">
        <f t="shared" si="36"/>
        <v>#DIV/0!</v>
      </c>
      <c r="AA61" s="7">
        <v>0</v>
      </c>
      <c r="AB61" s="8">
        <v>0</v>
      </c>
      <c r="AC61" s="7">
        <f t="shared" si="37"/>
        <v>1150.3238866396762</v>
      </c>
      <c r="AD61" s="7">
        <v>28413</v>
      </c>
      <c r="AE61" s="8">
        <v>24.7</v>
      </c>
      <c r="AF61" s="7" t="e">
        <f t="shared" si="38"/>
        <v>#DIV/0!</v>
      </c>
      <c r="AG61" s="7">
        <v>0</v>
      </c>
      <c r="AH61" s="8">
        <v>0</v>
      </c>
      <c r="AI61" s="7" t="e">
        <f t="shared" si="39"/>
        <v>#DIV/0!</v>
      </c>
      <c r="AJ61" s="7">
        <v>0</v>
      </c>
      <c r="AK61" s="8">
        <v>0</v>
      </c>
      <c r="AL61" s="7" t="e">
        <f t="shared" si="40"/>
        <v>#DIV/0!</v>
      </c>
      <c r="AM61" s="7">
        <v>0</v>
      </c>
      <c r="AN61" s="8">
        <v>0</v>
      </c>
      <c r="AO61" s="7">
        <f t="shared" si="25"/>
        <v>1244.7154471544716</v>
      </c>
      <c r="AP61" s="7">
        <f t="shared" si="28"/>
        <v>91860</v>
      </c>
      <c r="AQ61" s="8">
        <f t="shared" si="27"/>
        <v>73.8</v>
      </c>
    </row>
    <row r="62" spans="1:43" x14ac:dyDescent="0.3">
      <c r="A62" s="28" t="s">
        <v>86</v>
      </c>
      <c r="B62" s="20"/>
      <c r="C62" s="20"/>
      <c r="D62" s="20"/>
      <c r="E62" s="7" t="e">
        <f t="shared" si="29"/>
        <v>#DIV/0!</v>
      </c>
      <c r="F62" s="7">
        <v>0</v>
      </c>
      <c r="G62" s="8">
        <v>0</v>
      </c>
      <c r="H62" s="7" t="e">
        <f t="shared" si="30"/>
        <v>#DIV/0!</v>
      </c>
      <c r="I62" s="7">
        <v>0</v>
      </c>
      <c r="J62" s="8">
        <v>0</v>
      </c>
      <c r="K62" s="7" t="e">
        <f t="shared" si="31"/>
        <v>#DIV/0!</v>
      </c>
      <c r="L62" s="7">
        <v>0</v>
      </c>
      <c r="M62" s="8">
        <v>0</v>
      </c>
      <c r="N62" s="7" t="e">
        <f t="shared" si="32"/>
        <v>#DIV/0!</v>
      </c>
      <c r="O62" s="7">
        <v>0</v>
      </c>
      <c r="P62" s="8">
        <v>0</v>
      </c>
      <c r="Q62" s="7" t="e">
        <f t="shared" si="33"/>
        <v>#DIV/0!</v>
      </c>
      <c r="R62" s="7">
        <v>0</v>
      </c>
      <c r="S62" s="8">
        <v>0</v>
      </c>
      <c r="T62" s="7" t="e">
        <f t="shared" si="34"/>
        <v>#DIV/0!</v>
      </c>
      <c r="U62" s="7">
        <v>0</v>
      </c>
      <c r="V62" s="8">
        <v>0</v>
      </c>
      <c r="W62" s="7" t="e">
        <f t="shared" si="35"/>
        <v>#DIV/0!</v>
      </c>
      <c r="X62" s="7">
        <v>0</v>
      </c>
      <c r="Y62" s="8">
        <v>0</v>
      </c>
      <c r="Z62" s="7">
        <f t="shared" si="36"/>
        <v>10986.666666666668</v>
      </c>
      <c r="AA62" s="7">
        <v>3296</v>
      </c>
      <c r="AB62" s="8">
        <v>0.3</v>
      </c>
      <c r="AC62" s="7" t="e">
        <f t="shared" si="37"/>
        <v>#DIV/0!</v>
      </c>
      <c r="AD62" s="7">
        <v>0</v>
      </c>
      <c r="AE62" s="8">
        <v>0</v>
      </c>
      <c r="AF62" s="7" t="e">
        <f t="shared" si="38"/>
        <v>#DIV/0!</v>
      </c>
      <c r="AG62" s="7">
        <v>0</v>
      </c>
      <c r="AH62" s="8">
        <v>0</v>
      </c>
      <c r="AI62" s="7" t="e">
        <f t="shared" si="39"/>
        <v>#DIV/0!</v>
      </c>
      <c r="AJ62" s="7">
        <v>0</v>
      </c>
      <c r="AK62" s="8">
        <v>0</v>
      </c>
      <c r="AL62" s="7" t="e">
        <f t="shared" si="40"/>
        <v>#DIV/0!</v>
      </c>
      <c r="AM62" s="7">
        <v>0</v>
      </c>
      <c r="AN62" s="8">
        <v>0</v>
      </c>
      <c r="AO62" s="7">
        <f t="shared" si="25"/>
        <v>10986.666666666668</v>
      </c>
      <c r="AP62" s="7">
        <f t="shared" si="28"/>
        <v>3296</v>
      </c>
      <c r="AQ62" s="8">
        <f t="shared" si="27"/>
        <v>0.3</v>
      </c>
    </row>
    <row r="63" spans="1:43" x14ac:dyDescent="0.3">
      <c r="A63" s="28" t="s">
        <v>59</v>
      </c>
      <c r="B63" s="20"/>
      <c r="C63" s="20"/>
      <c r="D63" s="20"/>
      <c r="E63" s="7" t="e">
        <f t="shared" si="29"/>
        <v>#DIV/0!</v>
      </c>
      <c r="F63" s="7">
        <v>0</v>
      </c>
      <c r="G63" s="8">
        <v>0</v>
      </c>
      <c r="H63" s="7">
        <f t="shared" si="30"/>
        <v>1439.2</v>
      </c>
      <c r="I63" s="7">
        <v>3598</v>
      </c>
      <c r="J63" s="8">
        <v>2.5</v>
      </c>
      <c r="K63" s="7" t="e">
        <f t="shared" si="31"/>
        <v>#DIV/0!</v>
      </c>
      <c r="L63" s="7">
        <v>0</v>
      </c>
      <c r="M63" s="8">
        <v>0</v>
      </c>
      <c r="N63" s="7" t="e">
        <f t="shared" si="32"/>
        <v>#DIV/0!</v>
      </c>
      <c r="O63" s="7">
        <v>0</v>
      </c>
      <c r="P63" s="8">
        <v>0</v>
      </c>
      <c r="Q63" s="7" t="e">
        <f t="shared" si="33"/>
        <v>#DIV/0!</v>
      </c>
      <c r="R63" s="7">
        <v>0</v>
      </c>
      <c r="S63" s="8">
        <v>0</v>
      </c>
      <c r="T63" s="7" t="e">
        <f t="shared" si="34"/>
        <v>#DIV/0!</v>
      </c>
      <c r="U63" s="7">
        <v>0</v>
      </c>
      <c r="V63" s="8">
        <v>0</v>
      </c>
      <c r="W63" s="7" t="e">
        <f t="shared" si="35"/>
        <v>#DIV/0!</v>
      </c>
      <c r="X63" s="7">
        <v>0</v>
      </c>
      <c r="Y63" s="8">
        <v>0</v>
      </c>
      <c r="Z63" s="7" t="e">
        <f t="shared" si="36"/>
        <v>#DIV/0!</v>
      </c>
      <c r="AA63" s="7">
        <v>0</v>
      </c>
      <c r="AB63" s="8">
        <v>0</v>
      </c>
      <c r="AC63" s="7" t="e">
        <f t="shared" si="37"/>
        <v>#DIV/0!</v>
      </c>
      <c r="AD63" s="7">
        <v>0</v>
      </c>
      <c r="AE63" s="8">
        <v>0</v>
      </c>
      <c r="AF63" s="7" t="e">
        <f t="shared" si="38"/>
        <v>#DIV/0!</v>
      </c>
      <c r="AG63" s="7">
        <v>0</v>
      </c>
      <c r="AH63" s="8">
        <v>0</v>
      </c>
      <c r="AI63" s="7" t="e">
        <f t="shared" si="39"/>
        <v>#DIV/0!</v>
      </c>
      <c r="AJ63" s="7">
        <v>0</v>
      </c>
      <c r="AK63" s="8">
        <v>0</v>
      </c>
      <c r="AL63" s="7" t="e">
        <f t="shared" si="40"/>
        <v>#DIV/0!</v>
      </c>
      <c r="AM63" s="7">
        <v>0</v>
      </c>
      <c r="AN63" s="8">
        <v>0</v>
      </c>
      <c r="AO63" s="7">
        <f t="shared" si="25"/>
        <v>1439.2</v>
      </c>
      <c r="AP63" s="7">
        <f t="shared" si="28"/>
        <v>3598</v>
      </c>
      <c r="AQ63" s="8">
        <f t="shared" si="27"/>
        <v>2.5</v>
      </c>
    </row>
    <row r="64" spans="1:43" x14ac:dyDescent="0.3">
      <c r="A64" s="28" t="s">
        <v>90</v>
      </c>
      <c r="B64" s="20"/>
      <c r="C64" s="20"/>
      <c r="D64" s="20"/>
      <c r="E64" s="7" t="e">
        <f t="shared" si="29"/>
        <v>#DIV/0!</v>
      </c>
      <c r="F64" s="7">
        <v>0</v>
      </c>
      <c r="G64" s="8">
        <v>0</v>
      </c>
      <c r="H64" s="7" t="e">
        <f t="shared" si="30"/>
        <v>#DIV/0!</v>
      </c>
      <c r="I64" s="7">
        <v>0</v>
      </c>
      <c r="J64" s="8">
        <v>0</v>
      </c>
      <c r="K64" s="7" t="e">
        <f t="shared" si="31"/>
        <v>#DIV/0!</v>
      </c>
      <c r="L64" s="7">
        <v>0</v>
      </c>
      <c r="M64" s="8">
        <v>0</v>
      </c>
      <c r="N64" s="7" t="e">
        <f t="shared" si="32"/>
        <v>#DIV/0!</v>
      </c>
      <c r="O64" s="7">
        <v>0</v>
      </c>
      <c r="P64" s="8">
        <v>0</v>
      </c>
      <c r="Q64" s="7" t="e">
        <f t="shared" si="33"/>
        <v>#DIV/0!</v>
      </c>
      <c r="R64" s="7">
        <v>0</v>
      </c>
      <c r="S64" s="8">
        <v>0</v>
      </c>
      <c r="T64" s="7">
        <f t="shared" si="34"/>
        <v>4725</v>
      </c>
      <c r="U64" s="7">
        <v>4725</v>
      </c>
      <c r="V64" s="8">
        <v>1</v>
      </c>
      <c r="W64" s="7" t="e">
        <f t="shared" si="35"/>
        <v>#DIV/0!</v>
      </c>
      <c r="X64" s="7">
        <v>0</v>
      </c>
      <c r="Y64" s="8">
        <v>0</v>
      </c>
      <c r="Z64" s="7" t="e">
        <f t="shared" si="36"/>
        <v>#DIV/0!</v>
      </c>
      <c r="AA64" s="7">
        <v>0</v>
      </c>
      <c r="AB64" s="8">
        <v>0</v>
      </c>
      <c r="AC64" s="7" t="e">
        <f t="shared" si="37"/>
        <v>#DIV/0!</v>
      </c>
      <c r="AD64" s="7">
        <v>0</v>
      </c>
      <c r="AE64" s="8">
        <v>0</v>
      </c>
      <c r="AF64" s="7" t="e">
        <f t="shared" si="38"/>
        <v>#DIV/0!</v>
      </c>
      <c r="AG64" s="7">
        <v>0</v>
      </c>
      <c r="AH64" s="8">
        <v>0</v>
      </c>
      <c r="AI64" s="7" t="e">
        <f t="shared" si="39"/>
        <v>#DIV/0!</v>
      </c>
      <c r="AJ64" s="7">
        <v>0</v>
      </c>
      <c r="AK64" s="8">
        <v>0</v>
      </c>
      <c r="AL64" s="7" t="e">
        <f t="shared" si="40"/>
        <v>#DIV/0!</v>
      </c>
      <c r="AM64" s="7">
        <v>0</v>
      </c>
      <c r="AN64" s="8">
        <v>0</v>
      </c>
      <c r="AO64" s="7">
        <f t="shared" si="25"/>
        <v>4725</v>
      </c>
      <c r="AP64" s="7">
        <f t="shared" si="28"/>
        <v>4725</v>
      </c>
      <c r="AQ64" s="8">
        <f t="shared" si="27"/>
        <v>1</v>
      </c>
    </row>
    <row r="65" spans="1:43" x14ac:dyDescent="0.3">
      <c r="A65" s="28" t="s">
        <v>81</v>
      </c>
      <c r="B65" s="20"/>
      <c r="C65" s="20"/>
      <c r="D65" s="20"/>
      <c r="E65" s="7" t="e">
        <f t="shared" si="29"/>
        <v>#DIV/0!</v>
      </c>
      <c r="F65" s="7">
        <v>0</v>
      </c>
      <c r="G65" s="8">
        <v>0</v>
      </c>
      <c r="H65" s="7" t="e">
        <f t="shared" si="30"/>
        <v>#DIV/0!</v>
      </c>
      <c r="I65" s="7">
        <v>0</v>
      </c>
      <c r="J65" s="8">
        <v>0</v>
      </c>
      <c r="K65" s="7" t="e">
        <f t="shared" si="31"/>
        <v>#DIV/0!</v>
      </c>
      <c r="L65" s="7">
        <v>0</v>
      </c>
      <c r="M65" s="8">
        <v>0</v>
      </c>
      <c r="N65" s="7" t="e">
        <f t="shared" si="32"/>
        <v>#DIV/0!</v>
      </c>
      <c r="O65" s="7">
        <v>0</v>
      </c>
      <c r="P65" s="8">
        <v>0</v>
      </c>
      <c r="Q65" s="7" t="e">
        <f t="shared" si="33"/>
        <v>#DIV/0!</v>
      </c>
      <c r="R65" s="7">
        <v>0</v>
      </c>
      <c r="S65" s="8">
        <v>0</v>
      </c>
      <c r="T65" s="7" t="e">
        <f t="shared" si="34"/>
        <v>#DIV/0!</v>
      </c>
      <c r="U65" s="7">
        <v>0</v>
      </c>
      <c r="V65" s="8">
        <v>0</v>
      </c>
      <c r="W65" s="7" t="e">
        <f t="shared" si="35"/>
        <v>#DIV/0!</v>
      </c>
      <c r="X65" s="7">
        <v>0</v>
      </c>
      <c r="Y65" s="8">
        <v>0</v>
      </c>
      <c r="Z65" s="7" t="e">
        <f t="shared" si="36"/>
        <v>#DIV/0!</v>
      </c>
      <c r="AA65" s="7">
        <v>0</v>
      </c>
      <c r="AB65" s="8">
        <v>0</v>
      </c>
      <c r="AC65" s="7">
        <f t="shared" si="37"/>
        <v>1204.7619047619048</v>
      </c>
      <c r="AD65" s="7">
        <v>2530</v>
      </c>
      <c r="AE65" s="8">
        <v>2.1</v>
      </c>
      <c r="AF65" s="7" t="e">
        <f t="shared" si="38"/>
        <v>#DIV/0!</v>
      </c>
      <c r="AG65" s="7">
        <v>0</v>
      </c>
      <c r="AH65" s="8">
        <v>0</v>
      </c>
      <c r="AI65" s="7" t="e">
        <f t="shared" si="39"/>
        <v>#DIV/0!</v>
      </c>
      <c r="AJ65" s="7">
        <v>0</v>
      </c>
      <c r="AK65" s="8">
        <v>0</v>
      </c>
      <c r="AL65" s="7" t="e">
        <f t="shared" si="40"/>
        <v>#DIV/0!</v>
      </c>
      <c r="AM65" s="7">
        <v>0</v>
      </c>
      <c r="AN65" s="8">
        <v>0</v>
      </c>
      <c r="AO65" s="7">
        <f t="shared" si="25"/>
        <v>1204.7619047619048</v>
      </c>
      <c r="AP65" s="7">
        <f t="shared" si="28"/>
        <v>2530</v>
      </c>
      <c r="AQ65" s="8">
        <f t="shared" si="27"/>
        <v>2.1</v>
      </c>
    </row>
    <row r="66" spans="1:43" x14ac:dyDescent="0.3">
      <c r="A66" s="28" t="s">
        <v>76</v>
      </c>
      <c r="B66" s="20"/>
      <c r="C66" s="20"/>
      <c r="D66" s="20"/>
      <c r="E66" s="10" t="e">
        <f t="shared" si="29"/>
        <v>#DIV/0!</v>
      </c>
      <c r="F66" s="10">
        <v>0</v>
      </c>
      <c r="G66" s="8">
        <v>0</v>
      </c>
      <c r="H66" s="10" t="e">
        <f t="shared" si="30"/>
        <v>#DIV/0!</v>
      </c>
      <c r="I66" s="10">
        <v>0</v>
      </c>
      <c r="J66" s="8">
        <v>0</v>
      </c>
      <c r="K66" s="10" t="e">
        <f t="shared" si="31"/>
        <v>#DIV/0!</v>
      </c>
      <c r="L66" s="10">
        <v>0</v>
      </c>
      <c r="M66" s="8">
        <v>0</v>
      </c>
      <c r="N66" s="10" t="e">
        <f t="shared" si="32"/>
        <v>#DIV/0!</v>
      </c>
      <c r="O66" s="10">
        <v>0</v>
      </c>
      <c r="P66" s="8">
        <v>0</v>
      </c>
      <c r="Q66" s="10" t="e">
        <f t="shared" si="33"/>
        <v>#VALUE!</v>
      </c>
      <c r="R66" s="10">
        <v>2955</v>
      </c>
      <c r="S66" s="8" t="s">
        <v>96</v>
      </c>
      <c r="T66" s="10" t="e">
        <f t="shared" si="34"/>
        <v>#DIV/0!</v>
      </c>
      <c r="U66" s="10">
        <v>0</v>
      </c>
      <c r="V66" s="8">
        <v>0</v>
      </c>
      <c r="W66" s="10" t="e">
        <f t="shared" si="35"/>
        <v>#DIV/0!</v>
      </c>
      <c r="X66" s="10">
        <v>0</v>
      </c>
      <c r="Y66" s="8">
        <v>0</v>
      </c>
      <c r="Z66" s="10" t="e">
        <f t="shared" si="36"/>
        <v>#DIV/0!</v>
      </c>
      <c r="AA66" s="10">
        <v>0</v>
      </c>
      <c r="AB66" s="8">
        <v>0</v>
      </c>
      <c r="AC66" s="10" t="e">
        <f t="shared" si="37"/>
        <v>#DIV/0!</v>
      </c>
      <c r="AD66" s="10">
        <v>0</v>
      </c>
      <c r="AE66" s="8">
        <v>0</v>
      </c>
      <c r="AF66" s="10" t="e">
        <f t="shared" si="38"/>
        <v>#DIV/0!</v>
      </c>
      <c r="AG66" s="10">
        <v>0</v>
      </c>
      <c r="AH66" s="8">
        <v>0</v>
      </c>
      <c r="AI66" s="10" t="e">
        <f t="shared" si="39"/>
        <v>#DIV/0!</v>
      </c>
      <c r="AJ66" s="10">
        <v>0</v>
      </c>
      <c r="AK66" s="8">
        <v>0</v>
      </c>
      <c r="AL66" s="10" t="e">
        <f t="shared" si="40"/>
        <v>#DIV/0!</v>
      </c>
      <c r="AM66" s="10">
        <v>0</v>
      </c>
      <c r="AN66" s="8">
        <v>0</v>
      </c>
      <c r="AO66" s="10" t="e">
        <f t="shared" si="25"/>
        <v>#DIV/0!</v>
      </c>
      <c r="AP66" s="10">
        <f t="shared" si="28"/>
        <v>2955</v>
      </c>
      <c r="AQ66" s="8">
        <f t="shared" si="27"/>
        <v>0</v>
      </c>
    </row>
    <row r="67" spans="1:43" x14ac:dyDescent="0.3">
      <c r="A67" s="28" t="s">
        <v>87</v>
      </c>
      <c r="B67" s="20"/>
      <c r="C67" s="20"/>
      <c r="D67" s="20"/>
      <c r="E67" s="7" t="e">
        <f t="shared" si="29"/>
        <v>#DIV/0!</v>
      </c>
      <c r="F67" s="7">
        <v>0</v>
      </c>
      <c r="G67" s="8">
        <v>0</v>
      </c>
      <c r="H67" s="7" t="e">
        <f t="shared" si="30"/>
        <v>#DIV/0!</v>
      </c>
      <c r="I67" s="7">
        <v>0</v>
      </c>
      <c r="J67" s="8">
        <v>0</v>
      </c>
      <c r="K67" s="7" t="e">
        <f t="shared" si="31"/>
        <v>#DIV/0!</v>
      </c>
      <c r="L67" s="7">
        <v>0</v>
      </c>
      <c r="M67" s="8">
        <v>0</v>
      </c>
      <c r="N67" s="7" t="e">
        <f t="shared" si="32"/>
        <v>#DIV/0!</v>
      </c>
      <c r="O67" s="7">
        <v>0</v>
      </c>
      <c r="P67" s="8">
        <v>0</v>
      </c>
      <c r="Q67" s="7">
        <f t="shared" si="33"/>
        <v>1548.7904599659284</v>
      </c>
      <c r="R67" s="7">
        <v>90914</v>
      </c>
      <c r="S67" s="8">
        <v>58.7</v>
      </c>
      <c r="T67" s="7">
        <f t="shared" si="34"/>
        <v>1549.9401197604791</v>
      </c>
      <c r="U67" s="7">
        <v>77652</v>
      </c>
      <c r="V67" s="8">
        <v>50.1</v>
      </c>
      <c r="W67" s="7">
        <f t="shared" si="35"/>
        <v>1545.0420168067226</v>
      </c>
      <c r="X67" s="7">
        <v>18386</v>
      </c>
      <c r="Y67" s="8">
        <v>11.9</v>
      </c>
      <c r="Z67" s="7" t="e">
        <f t="shared" si="36"/>
        <v>#DIV/0!</v>
      </c>
      <c r="AA67" s="7">
        <v>0</v>
      </c>
      <c r="AB67" s="8">
        <v>0</v>
      </c>
      <c r="AC67" s="7" t="e">
        <f t="shared" si="37"/>
        <v>#DIV/0!</v>
      </c>
      <c r="AD67" s="7">
        <v>0</v>
      </c>
      <c r="AE67" s="8">
        <v>0</v>
      </c>
      <c r="AF67" s="7">
        <f t="shared" si="38"/>
        <v>1551.1034482758621</v>
      </c>
      <c r="AG67" s="7">
        <v>44982</v>
      </c>
      <c r="AH67" s="8">
        <v>29</v>
      </c>
      <c r="AI67" s="7" t="e">
        <f t="shared" si="39"/>
        <v>#DIV/0!</v>
      </c>
      <c r="AJ67" s="7">
        <v>0</v>
      </c>
      <c r="AK67" s="8">
        <v>0</v>
      </c>
      <c r="AL67" s="7" t="e">
        <f t="shared" si="40"/>
        <v>#DIV/0!</v>
      </c>
      <c r="AM67" s="7">
        <v>0</v>
      </c>
      <c r="AN67" s="8">
        <v>0</v>
      </c>
      <c r="AO67" s="7">
        <f t="shared" si="25"/>
        <v>1549.325317301269</v>
      </c>
      <c r="AP67" s="7">
        <f t="shared" si="28"/>
        <v>231934</v>
      </c>
      <c r="AQ67" s="8">
        <f t="shared" si="27"/>
        <v>149.70000000000002</v>
      </c>
    </row>
    <row r="68" spans="1:43" x14ac:dyDescent="0.3">
      <c r="A68" s="28" t="s">
        <v>74</v>
      </c>
      <c r="B68" s="20"/>
      <c r="C68" s="20"/>
      <c r="D68" s="20"/>
      <c r="E68" s="7">
        <f t="shared" si="29"/>
        <v>1946.6257668711655</v>
      </c>
      <c r="F68" s="7">
        <v>31730</v>
      </c>
      <c r="G68" s="8">
        <v>16.3</v>
      </c>
      <c r="H68" s="7" t="e">
        <f t="shared" si="30"/>
        <v>#DIV/0!</v>
      </c>
      <c r="I68" s="7">
        <v>0</v>
      </c>
      <c r="J68" s="8">
        <v>0</v>
      </c>
      <c r="K68" s="7" t="e">
        <f t="shared" si="31"/>
        <v>#DIV/0!</v>
      </c>
      <c r="L68" s="7">
        <v>0</v>
      </c>
      <c r="M68" s="8">
        <v>0</v>
      </c>
      <c r="N68" s="7" t="e">
        <f t="shared" si="32"/>
        <v>#DIV/0!</v>
      </c>
      <c r="O68" s="7">
        <v>0</v>
      </c>
      <c r="P68" s="8">
        <v>0</v>
      </c>
      <c r="Q68" s="7" t="e">
        <f t="shared" si="33"/>
        <v>#DIV/0!</v>
      </c>
      <c r="R68" s="7">
        <v>0</v>
      </c>
      <c r="S68" s="8">
        <v>0</v>
      </c>
      <c r="T68" s="7" t="e">
        <f t="shared" si="34"/>
        <v>#DIV/0!</v>
      </c>
      <c r="U68" s="7">
        <v>0</v>
      </c>
      <c r="V68" s="8">
        <v>0</v>
      </c>
      <c r="W68" s="7" t="e">
        <f t="shared" si="35"/>
        <v>#DIV/0!</v>
      </c>
      <c r="X68" s="7">
        <v>0</v>
      </c>
      <c r="Y68" s="8">
        <v>0</v>
      </c>
      <c r="Z68" s="7" t="e">
        <f t="shared" si="36"/>
        <v>#DIV/0!</v>
      </c>
      <c r="AA68" s="7">
        <v>0</v>
      </c>
      <c r="AB68" s="8">
        <v>0</v>
      </c>
      <c r="AC68" s="7" t="e">
        <f t="shared" si="37"/>
        <v>#DIV/0!</v>
      </c>
      <c r="AD68" s="7">
        <v>0</v>
      </c>
      <c r="AE68" s="8">
        <v>0</v>
      </c>
      <c r="AF68" s="7" t="e">
        <f t="shared" si="38"/>
        <v>#DIV/0!</v>
      </c>
      <c r="AG68" s="7">
        <v>0</v>
      </c>
      <c r="AH68" s="8">
        <v>0</v>
      </c>
      <c r="AI68" s="7" t="e">
        <f t="shared" si="39"/>
        <v>#DIV/0!</v>
      </c>
      <c r="AJ68" s="7">
        <v>0</v>
      </c>
      <c r="AK68" s="8">
        <v>0</v>
      </c>
      <c r="AL68" s="7" t="e">
        <f t="shared" si="40"/>
        <v>#DIV/0!</v>
      </c>
      <c r="AM68" s="7">
        <v>0</v>
      </c>
      <c r="AN68" s="8">
        <v>0</v>
      </c>
      <c r="AO68" s="7">
        <f t="shared" ref="AO68:AO70" si="41">AP68/AQ68</f>
        <v>1946.6257668711655</v>
      </c>
      <c r="AP68" s="7">
        <f t="shared" si="28"/>
        <v>31730</v>
      </c>
      <c r="AQ68" s="8">
        <f t="shared" ref="AQ68:AQ70" si="42">SUM(G68,J68,M68,P68,S68,V68,Y68,AB68,AE68,AH68,AK68,AN68)</f>
        <v>16.3</v>
      </c>
    </row>
    <row r="69" spans="1:43" x14ac:dyDescent="0.3">
      <c r="A69" s="28" t="s">
        <v>75</v>
      </c>
      <c r="B69" s="20"/>
      <c r="C69" s="20"/>
      <c r="D69" s="20"/>
      <c r="E69" s="7" t="e">
        <f t="shared" si="29"/>
        <v>#DIV/0!</v>
      </c>
      <c r="F69" s="7">
        <v>0</v>
      </c>
      <c r="G69" s="8">
        <v>0</v>
      </c>
      <c r="H69" s="7" t="e">
        <f t="shared" si="30"/>
        <v>#DIV/0!</v>
      </c>
      <c r="I69" s="7">
        <v>0</v>
      </c>
      <c r="J69" s="8">
        <v>0</v>
      </c>
      <c r="K69" s="7">
        <f t="shared" si="31"/>
        <v>809.24242424242425</v>
      </c>
      <c r="L69" s="7">
        <v>16023</v>
      </c>
      <c r="M69" s="8">
        <v>19.8</v>
      </c>
      <c r="N69" s="7" t="e">
        <f t="shared" si="32"/>
        <v>#DIV/0!</v>
      </c>
      <c r="O69" s="7">
        <v>0</v>
      </c>
      <c r="P69" s="8">
        <v>0</v>
      </c>
      <c r="Q69" s="7" t="e">
        <f t="shared" si="33"/>
        <v>#DIV/0!</v>
      </c>
      <c r="R69" s="7">
        <v>0</v>
      </c>
      <c r="S69" s="8">
        <v>0</v>
      </c>
      <c r="T69" s="7">
        <f t="shared" si="34"/>
        <v>991.56565656565658</v>
      </c>
      <c r="U69" s="7">
        <v>19633</v>
      </c>
      <c r="V69" s="8">
        <v>19.8</v>
      </c>
      <c r="W69" s="7">
        <f t="shared" si="35"/>
        <v>927.02020202020196</v>
      </c>
      <c r="X69" s="7">
        <v>18355</v>
      </c>
      <c r="Y69" s="8">
        <v>19.8</v>
      </c>
      <c r="Z69" s="7" t="e">
        <f t="shared" si="36"/>
        <v>#DIV/0!</v>
      </c>
      <c r="AA69" s="7">
        <v>0</v>
      </c>
      <c r="AB69" s="8">
        <v>0</v>
      </c>
      <c r="AC69" s="7" t="e">
        <f t="shared" si="37"/>
        <v>#DIV/0!</v>
      </c>
      <c r="AD69" s="7">
        <v>0</v>
      </c>
      <c r="AE69" s="8">
        <v>0</v>
      </c>
      <c r="AF69" s="7" t="e">
        <f t="shared" si="38"/>
        <v>#DIV/0!</v>
      </c>
      <c r="AG69" s="7">
        <v>0</v>
      </c>
      <c r="AH69" s="8">
        <v>0</v>
      </c>
      <c r="AI69" s="7" t="e">
        <f t="shared" si="39"/>
        <v>#DIV/0!</v>
      </c>
      <c r="AJ69" s="7">
        <v>0</v>
      </c>
      <c r="AK69" s="8">
        <v>0</v>
      </c>
      <c r="AL69" s="7" t="e">
        <f t="shared" si="40"/>
        <v>#DIV/0!</v>
      </c>
      <c r="AM69" s="7">
        <v>0</v>
      </c>
      <c r="AN69" s="8">
        <v>0</v>
      </c>
      <c r="AO69" s="7">
        <f t="shared" si="41"/>
        <v>909.27609427609423</v>
      </c>
      <c r="AP69" s="7">
        <f t="shared" ref="AP69:AQ70" si="43">SUM(F69,I69,L69,O69,R69,U69,X69,AA69,AD69,AG69,AJ69,AM69)</f>
        <v>54011</v>
      </c>
      <c r="AQ69" s="8">
        <f t="shared" si="42"/>
        <v>59.400000000000006</v>
      </c>
    </row>
    <row r="70" spans="1:43" x14ac:dyDescent="0.3">
      <c r="A70" s="16" t="s">
        <v>92</v>
      </c>
      <c r="B70" s="21"/>
      <c r="C70" s="21"/>
      <c r="D70" s="21"/>
      <c r="E70" s="14" t="e">
        <f t="shared" si="29"/>
        <v>#DIV/0!</v>
      </c>
      <c r="F70" s="12">
        <v>0</v>
      </c>
      <c r="G70" s="13">
        <v>0</v>
      </c>
      <c r="H70" s="12" t="e">
        <f t="shared" si="30"/>
        <v>#DIV/0!</v>
      </c>
      <c r="I70" s="12">
        <v>0</v>
      </c>
      <c r="J70" s="13">
        <v>0</v>
      </c>
      <c r="K70" s="12" t="e">
        <f t="shared" si="31"/>
        <v>#DIV/0!</v>
      </c>
      <c r="L70" s="12">
        <v>0</v>
      </c>
      <c r="M70" s="13">
        <v>0</v>
      </c>
      <c r="N70" s="12" t="e">
        <f t="shared" si="32"/>
        <v>#DIV/0!</v>
      </c>
      <c r="O70" s="12">
        <v>0</v>
      </c>
      <c r="P70" s="13">
        <v>0</v>
      </c>
      <c r="Q70" s="12" t="e">
        <f t="shared" si="33"/>
        <v>#DIV/0!</v>
      </c>
      <c r="R70" s="12">
        <v>0</v>
      </c>
      <c r="S70" s="13">
        <v>0</v>
      </c>
      <c r="T70" s="12" t="e">
        <f t="shared" si="34"/>
        <v>#DIV/0!</v>
      </c>
      <c r="U70" s="12">
        <v>0</v>
      </c>
      <c r="V70" s="13">
        <v>0</v>
      </c>
      <c r="W70" s="12" t="e">
        <f t="shared" si="35"/>
        <v>#DIV/0!</v>
      </c>
      <c r="X70" s="12">
        <v>0</v>
      </c>
      <c r="Y70" s="13">
        <v>0</v>
      </c>
      <c r="Z70" s="12" t="e">
        <f t="shared" si="36"/>
        <v>#DIV/0!</v>
      </c>
      <c r="AA70" s="12">
        <v>0</v>
      </c>
      <c r="AB70" s="13">
        <v>0</v>
      </c>
      <c r="AC70" s="12" t="e">
        <f t="shared" si="37"/>
        <v>#DIV/0!</v>
      </c>
      <c r="AD70" s="12">
        <v>0</v>
      </c>
      <c r="AE70" s="13">
        <v>0</v>
      </c>
      <c r="AF70" s="12" t="e">
        <f t="shared" si="38"/>
        <v>#DIV/0!</v>
      </c>
      <c r="AG70" s="12">
        <v>0</v>
      </c>
      <c r="AH70" s="13">
        <v>0</v>
      </c>
      <c r="AI70" s="12">
        <f t="shared" si="39"/>
        <v>1510</v>
      </c>
      <c r="AJ70" s="12">
        <v>4681</v>
      </c>
      <c r="AK70" s="13">
        <v>3.1</v>
      </c>
      <c r="AL70" s="12" t="e">
        <f t="shared" si="40"/>
        <v>#DIV/0!</v>
      </c>
      <c r="AM70" s="12">
        <v>0</v>
      </c>
      <c r="AN70" s="13">
        <v>0</v>
      </c>
      <c r="AO70" s="12">
        <f t="shared" si="41"/>
        <v>1510</v>
      </c>
      <c r="AP70" s="12">
        <f t="shared" si="43"/>
        <v>4681</v>
      </c>
      <c r="AQ70" s="13">
        <f t="shared" si="42"/>
        <v>3.1</v>
      </c>
    </row>
    <row r="71" spans="1:43" x14ac:dyDescent="0.3">
      <c r="A71" s="1" t="s">
        <v>41</v>
      </c>
      <c r="B71" s="1"/>
    </row>
    <row r="72" spans="1:43" x14ac:dyDescent="0.3">
      <c r="A72" s="1" t="s">
        <v>77</v>
      </c>
      <c r="B72" s="1"/>
    </row>
    <row r="73" spans="1:43" x14ac:dyDescent="0.3">
      <c r="A73" s="1" t="s">
        <v>42</v>
      </c>
      <c r="B73" s="1"/>
    </row>
    <row r="74" spans="1:43" x14ac:dyDescent="0.3">
      <c r="A74" s="1" t="s">
        <v>43</v>
      </c>
      <c r="B74" s="1"/>
    </row>
    <row r="75" spans="1:43" x14ac:dyDescent="0.3">
      <c r="A75" s="1" t="s">
        <v>78</v>
      </c>
      <c r="B75"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70"/>
    <mergeCell ref="C3:C70"/>
    <mergeCell ref="D3:D7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2026-08-07T04:58:32Z</dcterms:modified>
</cp:coreProperties>
</file>