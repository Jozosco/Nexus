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18년 전세계 별 생산량" sheetId="1" r:id="rId1"/>
  </sheets>
  <calcPr calcId="162913"/>
</workbook>
</file>

<file path=xl/calcChain.xml><?xml version="1.0" encoding="utf-8"?>
<calcChain xmlns="http://schemas.openxmlformats.org/spreadsheetml/2006/main">
  <c r="AP3" i="1" l="1"/>
  <c r="AO3" i="1"/>
  <c r="AN3" i="1"/>
  <c r="AM3" i="1"/>
  <c r="AL3" i="1"/>
  <c r="AK3" i="1"/>
  <c r="AJ3" i="1"/>
  <c r="AI3" i="1"/>
  <c r="AH3" i="1"/>
  <c r="AG3" i="1"/>
  <c r="AF3" i="1"/>
  <c r="AE3" i="1"/>
  <c r="AD3" i="1"/>
  <c r="AC3" i="1"/>
  <c r="AB3" i="1"/>
  <c r="AA3" i="1"/>
  <c r="Y3" i="1" s="1"/>
  <c r="Z3" i="1"/>
  <c r="X3" i="1"/>
  <c r="W3" i="1"/>
  <c r="V3" i="1"/>
  <c r="U3" i="1"/>
  <c r="T3" i="1"/>
  <c r="S3" i="1"/>
  <c r="R3" i="1"/>
  <c r="P3" i="1" s="1"/>
  <c r="Q3" i="1"/>
  <c r="O3" i="1"/>
  <c r="N3" i="1"/>
  <c r="M3" i="1"/>
  <c r="L3" i="1"/>
  <c r="K3" i="1"/>
  <c r="J3" i="1"/>
  <c r="I3" i="1"/>
  <c r="G3" i="1" s="1"/>
  <c r="H3" i="1"/>
  <c r="D3" i="1"/>
  <c r="F3" i="1"/>
  <c r="E3" i="1"/>
  <c r="M43" i="1"/>
  <c r="AO47" i="1"/>
  <c r="AN47" i="1" s="1"/>
  <c r="AO46" i="1"/>
  <c r="AO45" i="1"/>
  <c r="AN45" i="1" s="1"/>
  <c r="AO44" i="1"/>
  <c r="AN44" i="1" s="1"/>
  <c r="AO43" i="1"/>
  <c r="AO42" i="1"/>
  <c r="AN42" i="1" s="1"/>
  <c r="AO41" i="1"/>
  <c r="AN41" i="1" s="1"/>
  <c r="AO40" i="1"/>
  <c r="AN40" i="1" s="1"/>
  <c r="AO39" i="1"/>
  <c r="AN39" i="1" s="1"/>
  <c r="AO38" i="1"/>
  <c r="AN38" i="1" s="1"/>
  <c r="AO37" i="1"/>
  <c r="AN37" i="1" s="1"/>
  <c r="AO36" i="1"/>
  <c r="AN36" i="1" s="1"/>
  <c r="AO35" i="1"/>
  <c r="AN35" i="1" s="1"/>
  <c r="AO34" i="1"/>
  <c r="AN34" i="1" s="1"/>
  <c r="AO33" i="1"/>
  <c r="AN33" i="1" s="1"/>
  <c r="AO32" i="1"/>
  <c r="AN32" i="1" s="1"/>
  <c r="AO31" i="1"/>
  <c r="AN31" i="1" s="1"/>
  <c r="AO30" i="1"/>
  <c r="AN30" i="1" s="1"/>
  <c r="AO29" i="1"/>
  <c r="AN29" i="1" s="1"/>
  <c r="AO28" i="1"/>
  <c r="AN28" i="1" s="1"/>
  <c r="AO27" i="1"/>
  <c r="AN27" i="1" s="1"/>
  <c r="AO26" i="1"/>
  <c r="AN26" i="1" s="1"/>
  <c r="AO25" i="1"/>
  <c r="AN25" i="1" s="1"/>
  <c r="AO24" i="1"/>
  <c r="AN24" i="1" s="1"/>
  <c r="AO23" i="1"/>
  <c r="AO22" i="1"/>
  <c r="AN22" i="1" s="1"/>
  <c r="AO21" i="1"/>
  <c r="AN21" i="1" s="1"/>
  <c r="AO20" i="1"/>
  <c r="AN20" i="1" s="1"/>
  <c r="AO19" i="1"/>
  <c r="AO18" i="1"/>
  <c r="AN18" i="1" s="1"/>
  <c r="AO17" i="1"/>
  <c r="AN17" i="1" s="1"/>
  <c r="AO16" i="1"/>
  <c r="AN16" i="1" s="1"/>
  <c r="AO15" i="1"/>
  <c r="AO14" i="1"/>
  <c r="AN14" i="1" s="1"/>
  <c r="AO13" i="1"/>
  <c r="AN13" i="1" s="1"/>
  <c r="AO12" i="1"/>
  <c r="AN12" i="1" s="1"/>
  <c r="AO11" i="1"/>
  <c r="AN11" i="1" s="1"/>
  <c r="AO10" i="1"/>
  <c r="AN10" i="1" s="1"/>
  <c r="AO9" i="1"/>
  <c r="AN9" i="1" s="1"/>
  <c r="AO8" i="1"/>
  <c r="AN8" i="1" s="1"/>
  <c r="AO7" i="1"/>
  <c r="AO6" i="1"/>
  <c r="AN6" i="1" s="1"/>
  <c r="AO5" i="1"/>
  <c r="AN5" i="1" s="1"/>
  <c r="AO4" i="1"/>
  <c r="AK47" i="1"/>
  <c r="AK46" i="1"/>
  <c r="AK45" i="1"/>
  <c r="AK44" i="1"/>
  <c r="AK43" i="1"/>
  <c r="AK42" i="1"/>
  <c r="AK41" i="1"/>
  <c r="AK40" i="1"/>
  <c r="AK39" i="1"/>
  <c r="AK38" i="1"/>
  <c r="AK37" i="1"/>
  <c r="AK36" i="1"/>
  <c r="AK35" i="1"/>
  <c r="AK34" i="1"/>
  <c r="AK33" i="1"/>
  <c r="AK32" i="1"/>
  <c r="AK31" i="1"/>
  <c r="AK30" i="1"/>
  <c r="AK29" i="1"/>
  <c r="AK28" i="1"/>
  <c r="AK27" i="1"/>
  <c r="AK26" i="1"/>
  <c r="AK25" i="1"/>
  <c r="AK24" i="1"/>
  <c r="AK23" i="1"/>
  <c r="AK22" i="1"/>
  <c r="AK21" i="1"/>
  <c r="AK20" i="1"/>
  <c r="AK19" i="1"/>
  <c r="AK18" i="1"/>
  <c r="AK17" i="1"/>
  <c r="AK16" i="1"/>
  <c r="AK15" i="1"/>
  <c r="AK14" i="1"/>
  <c r="AK13" i="1"/>
  <c r="AK12" i="1"/>
  <c r="AK11" i="1"/>
  <c r="AK10" i="1"/>
  <c r="AK9" i="1"/>
  <c r="AK8" i="1"/>
  <c r="AK7" i="1"/>
  <c r="AK6" i="1"/>
  <c r="AK5" i="1"/>
  <c r="AK4"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E47" i="1"/>
  <c r="AE46" i="1"/>
  <c r="AE45" i="1"/>
  <c r="AE44" i="1"/>
  <c r="AE43" i="1"/>
  <c r="AE42" i="1"/>
  <c r="AE41" i="1"/>
  <c r="AE40" i="1"/>
  <c r="AE39" i="1"/>
  <c r="AE38" i="1"/>
  <c r="AE37" i="1"/>
  <c r="AE36" i="1"/>
  <c r="AE35" i="1"/>
  <c r="AE34" i="1"/>
  <c r="AE33" i="1"/>
  <c r="AE32" i="1"/>
  <c r="AE31" i="1"/>
  <c r="AE30" i="1"/>
  <c r="AE29" i="1"/>
  <c r="AE28" i="1"/>
  <c r="AE27" i="1"/>
  <c r="AE26" i="1"/>
  <c r="AE25" i="1"/>
  <c r="AE24" i="1"/>
  <c r="AE23" i="1"/>
  <c r="AE22" i="1"/>
  <c r="AE21" i="1"/>
  <c r="AE20" i="1"/>
  <c r="AE19" i="1"/>
  <c r="AE18" i="1"/>
  <c r="AE17" i="1"/>
  <c r="AE16" i="1"/>
  <c r="AE15" i="1"/>
  <c r="AE14" i="1"/>
  <c r="AE13" i="1"/>
  <c r="AE12" i="1"/>
  <c r="AE11" i="1"/>
  <c r="AE10" i="1"/>
  <c r="AE9" i="1"/>
  <c r="AE8" i="1"/>
  <c r="AE7" i="1"/>
  <c r="AE6" i="1"/>
  <c r="AE5" i="1"/>
  <c r="AE4" i="1"/>
  <c r="AB47" i="1"/>
  <c r="AB46" i="1"/>
  <c r="AB45" i="1"/>
  <c r="AB44" i="1"/>
  <c r="AB43" i="1"/>
  <c r="AB42" i="1"/>
  <c r="AB41" i="1"/>
  <c r="AB40" i="1"/>
  <c r="AB39" i="1"/>
  <c r="AB38" i="1"/>
  <c r="AB37" i="1"/>
  <c r="AB36" i="1"/>
  <c r="AB35" i="1"/>
  <c r="AB34" i="1"/>
  <c r="AB33" i="1"/>
  <c r="AB32" i="1"/>
  <c r="AB31" i="1"/>
  <c r="AB30" i="1"/>
  <c r="AB29" i="1"/>
  <c r="AB28" i="1"/>
  <c r="AB27" i="1"/>
  <c r="AB26" i="1"/>
  <c r="AB25" i="1"/>
  <c r="AB24" i="1"/>
  <c r="AB23" i="1"/>
  <c r="AB22" i="1"/>
  <c r="AB21" i="1"/>
  <c r="AB20" i="1"/>
  <c r="AB19" i="1"/>
  <c r="AB18" i="1"/>
  <c r="AB17" i="1"/>
  <c r="AB16" i="1"/>
  <c r="AB15" i="1"/>
  <c r="AB14" i="1"/>
  <c r="AB13" i="1"/>
  <c r="AB12" i="1"/>
  <c r="AB11" i="1"/>
  <c r="AB10" i="1"/>
  <c r="AB9" i="1"/>
  <c r="AB8" i="1"/>
  <c r="AB7" i="1"/>
  <c r="AB6" i="1"/>
  <c r="AB5" i="1"/>
  <c r="AB4"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V47" i="1"/>
  <c r="V46" i="1"/>
  <c r="V45" i="1"/>
  <c r="V44" i="1"/>
  <c r="V43" i="1"/>
  <c r="V42" i="1"/>
  <c r="V41" i="1"/>
  <c r="V40" i="1"/>
  <c r="V39" i="1"/>
  <c r="V38" i="1"/>
  <c r="V37" i="1"/>
  <c r="V36" i="1"/>
  <c r="V35" i="1"/>
  <c r="V34" i="1"/>
  <c r="V33" i="1"/>
  <c r="V32" i="1"/>
  <c r="V31" i="1"/>
  <c r="V30" i="1"/>
  <c r="V29" i="1"/>
  <c r="V28" i="1"/>
  <c r="V27" i="1"/>
  <c r="V26" i="1"/>
  <c r="V25" i="1"/>
  <c r="V24" i="1"/>
  <c r="V23" i="1"/>
  <c r="V22" i="1"/>
  <c r="V21" i="1"/>
  <c r="V20" i="1"/>
  <c r="V19" i="1"/>
  <c r="V18" i="1"/>
  <c r="V17" i="1"/>
  <c r="V16" i="1"/>
  <c r="V15" i="1"/>
  <c r="V14" i="1"/>
  <c r="V13" i="1"/>
  <c r="V12" i="1"/>
  <c r="V11" i="1"/>
  <c r="V10" i="1"/>
  <c r="V9" i="1"/>
  <c r="V8" i="1"/>
  <c r="V7" i="1"/>
  <c r="V6" i="1"/>
  <c r="V5" i="1"/>
  <c r="V4"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M47" i="1"/>
  <c r="M46" i="1"/>
  <c r="M45" i="1"/>
  <c r="M44"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AN46" i="1"/>
  <c r="AN43" i="1"/>
  <c r="AN15" i="1"/>
  <c r="AN7"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1" i="1"/>
  <c r="D10" i="1"/>
  <c r="D9" i="1"/>
  <c r="D8" i="1"/>
  <c r="D7" i="1"/>
  <c r="D6" i="1"/>
  <c r="D5" i="1"/>
  <c r="D4" i="1"/>
  <c r="D12"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1" i="1"/>
  <c r="AP10" i="1"/>
  <c r="AP9" i="1"/>
  <c r="AP8" i="1"/>
  <c r="AP7" i="1"/>
  <c r="AP6" i="1"/>
  <c r="AP5" i="1"/>
  <c r="AP4" i="1"/>
  <c r="AN19" i="1" l="1"/>
  <c r="AN23" i="1"/>
  <c r="AN4" i="1"/>
  <c r="AP12" i="1"/>
</calcChain>
</file>

<file path=xl/sharedStrings.xml><?xml version="1.0" encoding="utf-8"?>
<sst xmlns="http://schemas.openxmlformats.org/spreadsheetml/2006/main" count="108" uniqueCount="72">
  <si>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</si>
  <si>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</si>
  <si>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</si>
  <si>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</si>
  <si>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</si>
  <si>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</si>
  <si>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</si>
  <si>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</si>
  <si>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</si>
  <si>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</si>
  <si>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</si>
  <si>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</si>
  <si>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</si>
  <si>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</si>
  <si>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</si>
  <si>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</si>
  <si>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</si>
  <si>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</si>
  <si>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India</t>
  </si>
  <si>
    <t>Costa Rica</t>
  </si>
  <si>
    <t>Australia(*)</t>
  </si>
  <si>
    <t>Oman</t>
  </si>
  <si>
    <t>Saudi Arabia</t>
  </si>
  <si>
    <t>Yemen</t>
  </si>
  <si>
    <t>Canada</t>
  </si>
  <si>
    <t>Taiwan</t>
  </si>
  <si>
    <t>Colombia</t>
  </si>
  <si>
    <t>Dominican Republic</t>
  </si>
  <si>
    <t>Korea, South</t>
  </si>
  <si>
    <t>Jamaica</t>
  </si>
  <si>
    <t>Mexico</t>
  </si>
  <si>
    <t>Pakistan</t>
  </si>
  <si>
    <t>Mozambique</t>
  </si>
  <si>
    <t>United Arab Emirates</t>
  </si>
  <si>
    <t>Barbados</t>
  </si>
  <si>
    <t>Bahamas, The</t>
  </si>
  <si>
    <t>Bangladesh</t>
  </si>
  <si>
    <t>Belize</t>
  </si>
  <si>
    <t>Brazil</t>
  </si>
  <si>
    <t>Sri Lanka</t>
  </si>
  <si>
    <t>China</t>
  </si>
  <si>
    <t>Ecuador</t>
  </si>
  <si>
    <t>El Salvador</t>
  </si>
  <si>
    <t>France(*)</t>
  </si>
  <si>
    <t>Guatemala</t>
  </si>
  <si>
    <t>Honduras</t>
  </si>
  <si>
    <t>Indonesia</t>
  </si>
  <si>
    <t>Italy(*)</t>
  </si>
  <si>
    <t>Japan</t>
  </si>
  <si>
    <t>Lebanon</t>
  </si>
  <si>
    <t>Mali</t>
  </si>
  <si>
    <t>Morocco</t>
  </si>
  <si>
    <t>Malaysia</t>
  </si>
  <si>
    <t>Netherlands</t>
  </si>
  <si>
    <t>Nicaragua</t>
  </si>
  <si>
    <t>Peru</t>
  </si>
  <si>
    <t>Panama</t>
  </si>
  <si>
    <t>Senegal</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</si>
  <si>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</si>
  <si>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</si>
  <si>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</si>
  <si>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</si>
  <si>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</si>
  <si>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</si>
  <si>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</si>
  <si>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1. Data Source: U.S. Census Bureau Trade Data</t>
    <phoneticPr fontId="18" type="noConversion"/>
  </si>
  <si>
    <t>Country</t>
    <phoneticPr fontId="18" type="noConversion"/>
  </si>
  <si>
    <t>Value</t>
    <phoneticPr fontId="18" type="noConversion"/>
  </si>
  <si>
    <t>USD</t>
    <phoneticPr fontId="18" type="noConversion"/>
  </si>
  <si>
    <t>Value</t>
    <phoneticPr fontId="18" type="noConversion"/>
  </si>
  <si>
    <t>4. The Unit Value is calculated by dividing the sum of the value by the sum of the quantity converted to the selected unit of measure to three decimal places. (9999/99.999)</t>
    <phoneticPr fontId="18" type="noConversion"/>
  </si>
  <si>
    <t>5. Product Group: Harmonized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</si>
</sst>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53"/>
  <sheetViews>
    <sheetView showGridLines="0" tabSelected="1" workbookViewId="0">
      <pane ySplit="2" topLeftCell="A3" activePane="bottomLeft" state="frozen"/>
      <selection pane="bottomLeft" activeCell="A54" sqref="A54"/>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4" t="s">
        <v>0</v>
      </c>
      <c r="E1" s="5"/>
      <c r="F1" s="6"/>
      <c r="G1" s="7" t="s">
        <v>1</v>
      </c>
      <c r="H1" s="8"/>
      <c r="I1" s="9"/>
      <c r="J1" s="7" t="s">
        <v>2</v>
      </c>
      <c r="K1" s="8"/>
      <c r="L1" s="9"/>
      <c r="M1" s="7" t="s">
        <v>3</v>
      </c>
      <c r="N1" s="8"/>
      <c r="O1" s="9"/>
      <c r="P1" s="7" t="s">
        <v>4</v>
      </c>
      <c r="Q1" s="8"/>
      <c r="R1" s="9"/>
      <c r="S1" s="7" t="s">
        <v>5</v>
      </c>
      <c r="T1" s="8"/>
      <c r="U1" s="9"/>
      <c r="V1" s="7" t="s">
        <v>6</v>
      </c>
      <c r="W1" s="8"/>
      <c r="X1" s="9"/>
      <c r="Y1" s="7" t="s">
        <v>7</v>
      </c>
      <c r="Z1" s="8"/>
      <c r="AA1" s="9"/>
      <c r="AB1" s="7" t="s">
        <v>8</v>
      </c>
      <c r="AC1" s="8"/>
      <c r="AD1" s="9"/>
      <c r="AE1" s="7" t="s">
        <v>9</v>
      </c>
      <c r="AF1" s="8"/>
      <c r="AG1" s="9"/>
      <c r="AH1" s="7" t="s">
        <v>10</v>
      </c>
      <c r="AI1" s="8"/>
      <c r="AJ1" s="9"/>
      <c r="AK1" s="7" t="s">
        <v>11</v>
      </c>
      <c r="AL1" s="8"/>
      <c r="AM1" s="9"/>
      <c r="AN1" s="7" t="s">
        <v>12</v>
      </c>
      <c r="AO1" s="8"/>
      <c r="AP1" s="9"/>
    </row>
    <row r="2" spans="1:66" x14ac:dyDescent="0.3">
      <c r="A2" s="2" t="s">
        <v>66</v>
      </c>
      <c r="B2" s="2" t="s">
        <v>13</v>
      </c>
      <c r="C2" s="2" t="s">
        <v>67</v>
      </c>
      <c r="D2" s="13" t="s">
        <v>14</v>
      </c>
      <c r="E2" s="2" t="s">
        <v>67</v>
      </c>
      <c r="F2" s="14" t="s">
        <v>15</v>
      </c>
      <c r="G2" s="2" t="s">
        <v>14</v>
      </c>
      <c r="H2" s="2" t="s">
        <v>67</v>
      </c>
      <c r="I2" s="14" t="s">
        <v>15</v>
      </c>
      <c r="J2" s="2" t="s">
        <v>14</v>
      </c>
      <c r="K2" s="2" t="s">
        <v>67</v>
      </c>
      <c r="L2" s="14" t="s">
        <v>15</v>
      </c>
      <c r="M2" s="2" t="s">
        <v>14</v>
      </c>
      <c r="N2" s="2" t="s">
        <v>67</v>
      </c>
      <c r="O2" s="14" t="s">
        <v>15</v>
      </c>
      <c r="P2" s="2" t="s">
        <v>14</v>
      </c>
      <c r="Q2" s="2" t="s">
        <v>67</v>
      </c>
      <c r="R2" s="14" t="s">
        <v>15</v>
      </c>
      <c r="S2" s="2" t="s">
        <v>14</v>
      </c>
      <c r="T2" s="2" t="s">
        <v>67</v>
      </c>
      <c r="U2" s="14" t="s">
        <v>15</v>
      </c>
      <c r="V2" s="2" t="s">
        <v>14</v>
      </c>
      <c r="W2" s="2" t="s">
        <v>67</v>
      </c>
      <c r="X2" s="14" t="s">
        <v>15</v>
      </c>
      <c r="Y2" s="2" t="s">
        <v>14</v>
      </c>
      <c r="Z2" s="2" t="s">
        <v>67</v>
      </c>
      <c r="AA2" s="14" t="s">
        <v>15</v>
      </c>
      <c r="AB2" s="2" t="s">
        <v>14</v>
      </c>
      <c r="AC2" s="2" t="s">
        <v>67</v>
      </c>
      <c r="AD2" s="14" t="s">
        <v>15</v>
      </c>
      <c r="AE2" s="2" t="s">
        <v>14</v>
      </c>
      <c r="AF2" s="2" t="s">
        <v>67</v>
      </c>
      <c r="AG2" s="14" t="s">
        <v>15</v>
      </c>
      <c r="AH2" s="2" t="s">
        <v>14</v>
      </c>
      <c r="AI2" s="2" t="s">
        <v>67</v>
      </c>
      <c r="AJ2" s="14" t="s">
        <v>15</v>
      </c>
      <c r="AK2" s="2" t="s">
        <v>14</v>
      </c>
      <c r="AL2" s="2" t="s">
        <v>67</v>
      </c>
      <c r="AM2" s="14" t="s">
        <v>15</v>
      </c>
      <c r="AN2" s="2" t="s">
        <v>14</v>
      </c>
      <c r="AO2" s="2" t="s">
        <v>69</v>
      </c>
      <c r="AP2" s="14" t="s">
        <v>15</v>
      </c>
    </row>
    <row r="3" spans="1:66" ht="15" customHeight="1" x14ac:dyDescent="0.3">
      <c r="A3" s="1" t="s">
        <v>16</v>
      </c>
      <c r="B3" s="10" t="s">
        <v>17</v>
      </c>
      <c r="C3" s="10" t="s">
        <v>68</v>
      </c>
      <c r="D3" s="3">
        <f>E3/F3</f>
        <v>796.20638392449746</v>
      </c>
      <c r="E3" s="3">
        <f>SUM(E4:E47)</f>
        <v>54093784</v>
      </c>
      <c r="F3" s="15">
        <f t="shared" ref="F3" si="0">SUM(F4:F47)</f>
        <v>67939.399999999994</v>
      </c>
      <c r="G3" s="3">
        <f>H3/I3</f>
        <v>770.7442233227747</v>
      </c>
      <c r="H3" s="3">
        <f>SUM(H4:H47)</f>
        <v>52508800</v>
      </c>
      <c r="I3" s="15">
        <f t="shared" ref="I3" si="1">SUM(I4:I47)</f>
        <v>68127.399999999994</v>
      </c>
      <c r="J3" s="3">
        <f>K3/L3</f>
        <v>787.14944185737727</v>
      </c>
      <c r="K3" s="3">
        <f>SUM(K4:K47)</f>
        <v>49797750</v>
      </c>
      <c r="L3" s="15">
        <f t="shared" ref="L3" si="2">SUM(L4:L47)</f>
        <v>63263.4</v>
      </c>
      <c r="M3" s="3">
        <f>N3/O3</f>
        <v>762.6761353118402</v>
      </c>
      <c r="N3" s="3">
        <f>SUM(N4:N47)</f>
        <v>56855828</v>
      </c>
      <c r="O3" s="15">
        <f t="shared" ref="O3" si="3">SUM(O4:O47)</f>
        <v>74547.8</v>
      </c>
      <c r="P3" s="3">
        <f>Q3/R3</f>
        <v>747.87824754002816</v>
      </c>
      <c r="Q3" s="3">
        <f>SUM(Q4:Q47)</f>
        <v>127923602</v>
      </c>
      <c r="R3" s="15">
        <f t="shared" ref="R3" si="4">SUM(R4:R47)</f>
        <v>171048.69999999998</v>
      </c>
      <c r="S3" s="3">
        <f>T3/U3</f>
        <v>733.38431698531451</v>
      </c>
      <c r="T3" s="3">
        <f>SUM(T4:T47)</f>
        <v>63522816</v>
      </c>
      <c r="U3" s="15">
        <f t="shared" ref="U3" si="5">SUM(U4:U47)</f>
        <v>86616</v>
      </c>
      <c r="V3" s="3">
        <f>W3/X3</f>
        <v>717.37963190423602</v>
      </c>
      <c r="W3" s="3">
        <f>SUM(W4:W47)</f>
        <v>44095676</v>
      </c>
      <c r="X3" s="15">
        <f t="shared" ref="X3" si="6">SUM(X4:X47)</f>
        <v>61467.69999999999</v>
      </c>
      <c r="Y3" s="3">
        <f>Z3/AA3</f>
        <v>629.56057715986276</v>
      </c>
      <c r="Z3" s="3">
        <f>SUM(Z4:Z47)</f>
        <v>45250359</v>
      </c>
      <c r="AA3" s="15">
        <f t="shared" ref="AA3" si="7">SUM(AA4:AA47)</f>
        <v>71876.099999999977</v>
      </c>
      <c r="AB3" s="3">
        <f>AC3/AD3</f>
        <v>770.00549389379103</v>
      </c>
      <c r="AC3" s="3">
        <f>SUM(AC4:AC47)</f>
        <v>31815549</v>
      </c>
      <c r="AD3" s="15">
        <f t="shared" ref="AD3" si="8">SUM(AD4:AD47)</f>
        <v>41318.600000000006</v>
      </c>
      <c r="AE3" s="3">
        <f>AF3/AG3</f>
        <v>731.37464463969866</v>
      </c>
      <c r="AF3" s="3">
        <f>SUM(AF4:AF47)</f>
        <v>40853710</v>
      </c>
      <c r="AG3" s="15">
        <f t="shared" ref="AG3" si="9">SUM(AG4:AG47)</f>
        <v>55858.8</v>
      </c>
      <c r="AH3" s="3">
        <f>AI3/AJ3</f>
        <v>711.60730624786618</v>
      </c>
      <c r="AI3" s="3">
        <f>SUM(AI4:AI47)</f>
        <v>62528934</v>
      </c>
      <c r="AJ3" s="15">
        <f t="shared" ref="AJ3" si="10">SUM(AJ4:AJ47)</f>
        <v>87870</v>
      </c>
      <c r="AK3" s="3">
        <f>AL3/AM3</f>
        <v>703.34985258747781</v>
      </c>
      <c r="AL3" s="3">
        <f>SUM(AL4:AL47)</f>
        <v>43514286</v>
      </c>
      <c r="AM3" s="15">
        <f t="shared" ref="AM3" si="11">SUM(AM4:AM47)</f>
        <v>61867.19999999999</v>
      </c>
      <c r="AN3" s="3">
        <f>AO3/AP3</f>
        <v>737.83755470354242</v>
      </c>
      <c r="AO3" s="3">
        <f>SUM(AO4:AO47)</f>
        <v>672761094</v>
      </c>
      <c r="AP3" s="15">
        <f t="shared" ref="AP3" si="12">SUM(AP4:AP47)</f>
        <v>911801.09999999974</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 t="s">
        <v>18</v>
      </c>
      <c r="B4" s="11"/>
      <c r="C4" s="11"/>
      <c r="D4" s="3" t="e">
        <f t="shared" ref="D3:D11" si="13">E4/F4</f>
        <v>#DIV/0!</v>
      </c>
      <c r="E4" s="3">
        <v>0</v>
      </c>
      <c r="F4" s="15">
        <v>0</v>
      </c>
      <c r="G4" s="3" t="e">
        <f t="shared" ref="G3:G11" si="14">H4/I4</f>
        <v>#DIV/0!</v>
      </c>
      <c r="H4" s="3">
        <v>0</v>
      </c>
      <c r="I4" s="15">
        <v>0</v>
      </c>
      <c r="J4" s="3" t="e">
        <f t="shared" ref="J3:J11" si="15">K4/L4</f>
        <v>#DIV/0!</v>
      </c>
      <c r="K4" s="3">
        <v>0</v>
      </c>
      <c r="L4" s="15">
        <v>0</v>
      </c>
      <c r="M4" s="3" t="e">
        <f t="shared" ref="M3:M11" si="16">N4/O4</f>
        <v>#DIV/0!</v>
      </c>
      <c r="N4" s="3">
        <v>0</v>
      </c>
      <c r="O4" s="15">
        <v>0</v>
      </c>
      <c r="P4" s="3" t="e">
        <f t="shared" ref="P3:P11" si="17">Q4/R4</f>
        <v>#DIV/0!</v>
      </c>
      <c r="Q4" s="3">
        <v>0</v>
      </c>
      <c r="R4" s="15">
        <v>0</v>
      </c>
      <c r="S4" s="3" t="e">
        <f t="shared" ref="S3:S11" si="18">T4/U4</f>
        <v>#DIV/0!</v>
      </c>
      <c r="T4" s="3">
        <v>0</v>
      </c>
      <c r="U4" s="15">
        <v>0</v>
      </c>
      <c r="V4" s="3" t="e">
        <f t="shared" ref="V3:V11" si="19">W4/X4</f>
        <v>#DIV/0!</v>
      </c>
      <c r="W4" s="3">
        <v>0</v>
      </c>
      <c r="X4" s="15">
        <v>0</v>
      </c>
      <c r="Y4" s="3" t="e">
        <f t="shared" ref="Y3:Y11" si="20">Z4/AA4</f>
        <v>#DIV/0!</v>
      </c>
      <c r="Z4" s="3">
        <v>0</v>
      </c>
      <c r="AA4" s="15">
        <v>0</v>
      </c>
      <c r="AB4" s="3" t="e">
        <f t="shared" ref="AB3:AB11" si="21">AC4/AD4</f>
        <v>#DIV/0!</v>
      </c>
      <c r="AC4" s="3">
        <v>0</v>
      </c>
      <c r="AD4" s="15">
        <v>0</v>
      </c>
      <c r="AE4" s="3" t="e">
        <f t="shared" ref="AE3:AE11" si="22">AF4/AG4</f>
        <v>#DIV/0!</v>
      </c>
      <c r="AF4" s="3">
        <v>0</v>
      </c>
      <c r="AG4" s="15">
        <v>0</v>
      </c>
      <c r="AH4" s="3" t="e">
        <f t="shared" ref="AH3:AH11" si="23">AI4/AJ4</f>
        <v>#DIV/0!</v>
      </c>
      <c r="AI4" s="3">
        <v>0</v>
      </c>
      <c r="AJ4" s="15">
        <v>0</v>
      </c>
      <c r="AK4" s="3">
        <f t="shared" ref="AK3:AK11" si="24">AL4/AM4</f>
        <v>3593.5294117647059</v>
      </c>
      <c r="AL4" s="3">
        <v>6109</v>
      </c>
      <c r="AM4" s="15">
        <v>1.7</v>
      </c>
      <c r="AN4" s="3">
        <f t="shared" ref="AN4:AN47" si="25">AO4/AP4</f>
        <v>3593.5294117647059</v>
      </c>
      <c r="AO4" s="3">
        <f t="shared" ref="AO3:AO47" si="26">SUM(E4,H4,K4,N4,Q4,T4,W4,Z4,AC4,AF4,AI4,AL4)</f>
        <v>6109</v>
      </c>
      <c r="AP4" s="15">
        <f t="shared" ref="AP4:AP47" si="27">SUM(F4,I4,L4,O4,R4,U4,X4,AA4,AD4,AG4,AJ4,AM4)</f>
        <v>1.7</v>
      </c>
      <c r="AQ4" s="3"/>
      <c r="AR4" s="3"/>
      <c r="AS4" s="3"/>
      <c r="AT4" s="3"/>
      <c r="AU4" s="3"/>
      <c r="AV4" s="3"/>
      <c r="AW4" s="3"/>
      <c r="AX4" s="3"/>
      <c r="AY4" s="3"/>
      <c r="AZ4" s="3"/>
      <c r="BA4" s="3"/>
      <c r="BB4" s="3"/>
      <c r="BC4" s="3"/>
      <c r="BD4" s="3"/>
      <c r="BE4" s="3"/>
      <c r="BF4" s="3"/>
      <c r="BG4" s="3"/>
      <c r="BH4" s="3"/>
      <c r="BI4" s="3"/>
      <c r="BJ4" s="3"/>
      <c r="BK4" s="3"/>
      <c r="BL4" s="3"/>
      <c r="BM4" s="3"/>
      <c r="BN4" s="3"/>
    </row>
    <row r="5" spans="1:66" ht="15" customHeight="1" x14ac:dyDescent="0.3">
      <c r="A5" s="1" t="s">
        <v>19</v>
      </c>
      <c r="B5" s="11"/>
      <c r="C5" s="11"/>
      <c r="D5" s="3">
        <f t="shared" si="13"/>
        <v>769.63382955340194</v>
      </c>
      <c r="E5" s="3">
        <v>1540653</v>
      </c>
      <c r="F5" s="15">
        <v>2001.8</v>
      </c>
      <c r="G5" s="3" t="e">
        <f t="shared" si="14"/>
        <v>#DIV/0!</v>
      </c>
      <c r="H5" s="3">
        <v>0</v>
      </c>
      <c r="I5" s="15">
        <v>0</v>
      </c>
      <c r="J5" s="3">
        <f t="shared" si="15"/>
        <v>783.01295194279135</v>
      </c>
      <c r="K5" s="3">
        <v>1565791</v>
      </c>
      <c r="L5" s="15">
        <v>1999.7</v>
      </c>
      <c r="M5" s="3" t="e">
        <f t="shared" si="16"/>
        <v>#DIV/0!</v>
      </c>
      <c r="N5" s="3">
        <v>0</v>
      </c>
      <c r="O5" s="15">
        <v>0</v>
      </c>
      <c r="P5" s="3" t="e">
        <f t="shared" si="17"/>
        <v>#DIV/0!</v>
      </c>
      <c r="Q5" s="3">
        <v>0</v>
      </c>
      <c r="R5" s="15">
        <v>0</v>
      </c>
      <c r="S5" s="3" t="e">
        <f t="shared" si="18"/>
        <v>#DIV/0!</v>
      </c>
      <c r="T5" s="3">
        <v>0</v>
      </c>
      <c r="U5" s="15">
        <v>0</v>
      </c>
      <c r="V5" s="3">
        <f t="shared" si="19"/>
        <v>706.28</v>
      </c>
      <c r="W5" s="3">
        <v>565024</v>
      </c>
      <c r="X5" s="15">
        <v>800</v>
      </c>
      <c r="Y5" s="3" t="e">
        <f t="shared" si="20"/>
        <v>#DIV/0!</v>
      </c>
      <c r="Z5" s="3">
        <v>0</v>
      </c>
      <c r="AA5" s="15">
        <v>0</v>
      </c>
      <c r="AB5" s="3" t="e">
        <f t="shared" si="21"/>
        <v>#DIV/0!</v>
      </c>
      <c r="AC5" s="3">
        <v>0</v>
      </c>
      <c r="AD5" s="15">
        <v>0</v>
      </c>
      <c r="AE5" s="3" t="e">
        <f t="shared" si="22"/>
        <v>#DIV/0!</v>
      </c>
      <c r="AF5" s="3">
        <v>0</v>
      </c>
      <c r="AG5" s="15">
        <v>0</v>
      </c>
      <c r="AH5" s="3" t="e">
        <f t="shared" si="23"/>
        <v>#DIV/0!</v>
      </c>
      <c r="AI5" s="3">
        <v>0</v>
      </c>
      <c r="AJ5" s="15">
        <v>0</v>
      </c>
      <c r="AK5" s="3">
        <f t="shared" si="24"/>
        <v>1945.7894736842106</v>
      </c>
      <c r="AL5" s="3">
        <v>3697</v>
      </c>
      <c r="AM5" s="15">
        <v>1.9</v>
      </c>
      <c r="AN5" s="3">
        <f t="shared" si="25"/>
        <v>765.11741682974571</v>
      </c>
      <c r="AO5" s="3">
        <f t="shared" si="26"/>
        <v>3675165</v>
      </c>
      <c r="AP5" s="15">
        <f t="shared" si="27"/>
        <v>4803.3999999999996</v>
      </c>
      <c r="AQ5" s="3"/>
      <c r="AR5" s="3"/>
      <c r="AS5" s="3"/>
      <c r="AT5" s="3"/>
      <c r="AU5" s="3"/>
      <c r="AV5" s="3"/>
      <c r="AW5" s="3"/>
      <c r="AX5" s="3"/>
      <c r="AY5" s="3"/>
      <c r="AZ5" s="3"/>
      <c r="BA5" s="3"/>
      <c r="BB5" s="3"/>
      <c r="BC5" s="3"/>
      <c r="BD5" s="3"/>
      <c r="BE5" s="3"/>
      <c r="BF5" s="3"/>
      <c r="BG5" s="3"/>
      <c r="BH5" s="3"/>
      <c r="BI5" s="3"/>
      <c r="BJ5" s="3"/>
      <c r="BK5" s="3"/>
      <c r="BL5" s="3"/>
      <c r="BM5" s="3"/>
      <c r="BN5" s="3"/>
    </row>
    <row r="6" spans="1:66" ht="15" customHeight="1" x14ac:dyDescent="0.3">
      <c r="A6" s="1" t="s">
        <v>20</v>
      </c>
      <c r="B6" s="11"/>
      <c r="C6" s="11"/>
      <c r="D6" s="3">
        <f t="shared" si="13"/>
        <v>1502.5714285714287</v>
      </c>
      <c r="E6" s="3">
        <v>26295</v>
      </c>
      <c r="F6" s="15">
        <v>17.5</v>
      </c>
      <c r="G6" s="3">
        <f t="shared" si="14"/>
        <v>683.39913633559536</v>
      </c>
      <c r="H6" s="3">
        <v>221558</v>
      </c>
      <c r="I6" s="15">
        <v>324.2</v>
      </c>
      <c r="J6" s="3" t="e">
        <f t="shared" si="15"/>
        <v>#DIV/0!</v>
      </c>
      <c r="K6" s="3">
        <v>0</v>
      </c>
      <c r="L6" s="15">
        <v>0</v>
      </c>
      <c r="M6" s="3">
        <f t="shared" si="16"/>
        <v>1418.6666666666667</v>
      </c>
      <c r="N6" s="3">
        <v>23408</v>
      </c>
      <c r="O6" s="15">
        <v>16.5</v>
      </c>
      <c r="P6" s="3">
        <f t="shared" si="17"/>
        <v>1100.6134969325153</v>
      </c>
      <c r="Q6" s="3">
        <v>71760</v>
      </c>
      <c r="R6" s="15">
        <v>65.2</v>
      </c>
      <c r="S6" s="3">
        <f t="shared" si="18"/>
        <v>1418.6666666666667</v>
      </c>
      <c r="T6" s="3">
        <v>46816</v>
      </c>
      <c r="U6" s="15">
        <v>33</v>
      </c>
      <c r="V6" s="3" t="e">
        <f t="shared" si="19"/>
        <v>#DIV/0!</v>
      </c>
      <c r="W6" s="3">
        <v>0</v>
      </c>
      <c r="X6" s="15">
        <v>0</v>
      </c>
      <c r="Y6" s="3" t="e">
        <f t="shared" si="20"/>
        <v>#DIV/0!</v>
      </c>
      <c r="Z6" s="3">
        <v>0</v>
      </c>
      <c r="AA6" s="15">
        <v>0</v>
      </c>
      <c r="AB6" s="3" t="e">
        <f t="shared" si="21"/>
        <v>#DIV/0!</v>
      </c>
      <c r="AC6" s="3">
        <v>0</v>
      </c>
      <c r="AD6" s="15">
        <v>0</v>
      </c>
      <c r="AE6" s="3" t="e">
        <f t="shared" si="22"/>
        <v>#DIV/0!</v>
      </c>
      <c r="AF6" s="3">
        <v>0</v>
      </c>
      <c r="AG6" s="15">
        <v>0</v>
      </c>
      <c r="AH6" s="3" t="e">
        <f t="shared" si="23"/>
        <v>#DIV/0!</v>
      </c>
      <c r="AI6" s="3">
        <v>0</v>
      </c>
      <c r="AJ6" s="15">
        <v>0</v>
      </c>
      <c r="AK6" s="3">
        <f t="shared" si="24"/>
        <v>1438.6666666666667</v>
      </c>
      <c r="AL6" s="3">
        <v>23738</v>
      </c>
      <c r="AM6" s="15">
        <v>16.5</v>
      </c>
      <c r="AN6" s="3">
        <f t="shared" si="25"/>
        <v>874.55064495665044</v>
      </c>
      <c r="AO6" s="3">
        <f t="shared" si="26"/>
        <v>413575</v>
      </c>
      <c r="AP6" s="15">
        <f t="shared" si="27"/>
        <v>472.9</v>
      </c>
      <c r="AQ6" s="3"/>
      <c r="AR6" s="3"/>
      <c r="AS6" s="3"/>
      <c r="AT6" s="3"/>
      <c r="AU6" s="3"/>
      <c r="AV6" s="3"/>
      <c r="AW6" s="3"/>
      <c r="AX6" s="3"/>
      <c r="AY6" s="3"/>
      <c r="AZ6" s="3"/>
      <c r="BA6" s="3"/>
      <c r="BB6" s="3"/>
      <c r="BC6" s="3"/>
      <c r="BD6" s="3"/>
      <c r="BE6" s="3"/>
      <c r="BF6" s="3"/>
      <c r="BG6" s="3"/>
      <c r="BH6" s="3"/>
      <c r="BI6" s="3"/>
      <c r="BJ6" s="3"/>
      <c r="BK6" s="3"/>
      <c r="BL6" s="3"/>
      <c r="BM6" s="3"/>
      <c r="BN6" s="3"/>
    </row>
    <row r="7" spans="1:66" ht="15" customHeight="1" x14ac:dyDescent="0.3">
      <c r="A7" s="1" t="s">
        <v>21</v>
      </c>
      <c r="B7" s="11"/>
      <c r="C7" s="11"/>
      <c r="D7" s="3" t="e">
        <f t="shared" si="13"/>
        <v>#DIV/0!</v>
      </c>
      <c r="E7" s="3">
        <v>0</v>
      </c>
      <c r="F7" s="15">
        <v>0</v>
      </c>
      <c r="G7" s="3" t="e">
        <f t="shared" si="14"/>
        <v>#DIV/0!</v>
      </c>
      <c r="H7" s="3">
        <v>0</v>
      </c>
      <c r="I7" s="15">
        <v>0</v>
      </c>
      <c r="J7" s="3" t="e">
        <f t="shared" si="15"/>
        <v>#DIV/0!</v>
      </c>
      <c r="K7" s="3">
        <v>0</v>
      </c>
      <c r="L7" s="15">
        <v>0</v>
      </c>
      <c r="M7" s="3" t="e">
        <f t="shared" si="16"/>
        <v>#DIV/0!</v>
      </c>
      <c r="N7" s="3">
        <v>0</v>
      </c>
      <c r="O7" s="15">
        <v>0</v>
      </c>
      <c r="P7" s="3" t="e">
        <f t="shared" si="17"/>
        <v>#DIV/0!</v>
      </c>
      <c r="Q7" s="3">
        <v>0</v>
      </c>
      <c r="R7" s="15">
        <v>0</v>
      </c>
      <c r="S7" s="3" t="e">
        <f t="shared" si="18"/>
        <v>#DIV/0!</v>
      </c>
      <c r="T7" s="3">
        <v>0</v>
      </c>
      <c r="U7" s="15">
        <v>0</v>
      </c>
      <c r="V7" s="3" t="e">
        <f t="shared" si="19"/>
        <v>#DIV/0!</v>
      </c>
      <c r="W7" s="3">
        <v>0</v>
      </c>
      <c r="X7" s="15">
        <v>0</v>
      </c>
      <c r="Y7" s="3" t="e">
        <f t="shared" si="20"/>
        <v>#DIV/0!</v>
      </c>
      <c r="Z7" s="3">
        <v>0</v>
      </c>
      <c r="AA7" s="15">
        <v>0</v>
      </c>
      <c r="AB7" s="3" t="e">
        <f t="shared" si="21"/>
        <v>#DIV/0!</v>
      </c>
      <c r="AC7" s="3">
        <v>0</v>
      </c>
      <c r="AD7" s="15">
        <v>0</v>
      </c>
      <c r="AE7" s="3" t="e">
        <f t="shared" si="22"/>
        <v>#DIV/0!</v>
      </c>
      <c r="AF7" s="3">
        <v>0</v>
      </c>
      <c r="AG7" s="15">
        <v>0</v>
      </c>
      <c r="AH7" s="3">
        <f t="shared" si="23"/>
        <v>1227.2222222222222</v>
      </c>
      <c r="AI7" s="3">
        <v>6627</v>
      </c>
      <c r="AJ7" s="15">
        <v>5.4</v>
      </c>
      <c r="AK7" s="3">
        <f t="shared" si="24"/>
        <v>1254.8461538461538</v>
      </c>
      <c r="AL7" s="3">
        <v>16313</v>
      </c>
      <c r="AM7" s="15">
        <v>13</v>
      </c>
      <c r="AN7" s="3">
        <f t="shared" si="25"/>
        <v>1246.7391304347827</v>
      </c>
      <c r="AO7" s="3">
        <f t="shared" si="26"/>
        <v>22940</v>
      </c>
      <c r="AP7" s="15">
        <f t="shared" si="27"/>
        <v>18.399999999999999</v>
      </c>
      <c r="AQ7" s="3"/>
      <c r="AR7" s="3"/>
      <c r="AS7" s="3"/>
      <c r="AT7" s="3"/>
      <c r="AU7" s="3"/>
      <c r="AV7" s="3"/>
      <c r="AW7" s="3"/>
      <c r="AX7" s="3"/>
      <c r="AY7" s="3"/>
      <c r="AZ7" s="3"/>
      <c r="BA7" s="3"/>
      <c r="BB7" s="3"/>
      <c r="BC7" s="3"/>
      <c r="BD7" s="3"/>
      <c r="BE7" s="3"/>
      <c r="BF7" s="3"/>
      <c r="BG7" s="3"/>
      <c r="BH7" s="3"/>
      <c r="BI7" s="3"/>
      <c r="BJ7" s="3"/>
      <c r="BK7" s="3"/>
      <c r="BL7" s="3"/>
      <c r="BM7" s="3"/>
      <c r="BN7" s="3"/>
    </row>
    <row r="8" spans="1:66" ht="15" customHeight="1" x14ac:dyDescent="0.3">
      <c r="A8" s="1" t="s">
        <v>22</v>
      </c>
      <c r="B8" s="11"/>
      <c r="C8" s="11"/>
      <c r="D8" s="3" t="e">
        <f t="shared" si="13"/>
        <v>#DIV/0!</v>
      </c>
      <c r="E8" s="3">
        <v>0</v>
      </c>
      <c r="F8" s="15">
        <v>0</v>
      </c>
      <c r="G8" s="3" t="e">
        <f t="shared" si="14"/>
        <v>#DIV/0!</v>
      </c>
      <c r="H8" s="3">
        <v>0</v>
      </c>
      <c r="I8" s="15">
        <v>0</v>
      </c>
      <c r="J8" s="3" t="e">
        <f t="shared" si="15"/>
        <v>#DIV/0!</v>
      </c>
      <c r="K8" s="3">
        <v>0</v>
      </c>
      <c r="L8" s="15">
        <v>0</v>
      </c>
      <c r="M8" s="3" t="e">
        <f t="shared" si="16"/>
        <v>#DIV/0!</v>
      </c>
      <c r="N8" s="3">
        <v>0</v>
      </c>
      <c r="O8" s="15">
        <v>0</v>
      </c>
      <c r="P8" s="3">
        <f t="shared" si="17"/>
        <v>1245.3781512605042</v>
      </c>
      <c r="Q8" s="3">
        <v>29640</v>
      </c>
      <c r="R8" s="15">
        <v>23.8</v>
      </c>
      <c r="S8" s="3" t="e">
        <f t="shared" si="18"/>
        <v>#DIV/0!</v>
      </c>
      <c r="T8" s="3">
        <v>0</v>
      </c>
      <c r="U8" s="15">
        <v>0</v>
      </c>
      <c r="V8" s="3" t="e">
        <f t="shared" si="19"/>
        <v>#DIV/0!</v>
      </c>
      <c r="W8" s="3">
        <v>0</v>
      </c>
      <c r="X8" s="15">
        <v>0</v>
      </c>
      <c r="Y8" s="3" t="e">
        <f t="shared" si="20"/>
        <v>#DIV/0!</v>
      </c>
      <c r="Z8" s="3">
        <v>0</v>
      </c>
      <c r="AA8" s="15">
        <v>0</v>
      </c>
      <c r="AB8" s="3" t="e">
        <f t="shared" si="21"/>
        <v>#DIV/0!</v>
      </c>
      <c r="AC8" s="3">
        <v>0</v>
      </c>
      <c r="AD8" s="15">
        <v>0</v>
      </c>
      <c r="AE8" s="3" t="e">
        <f t="shared" si="22"/>
        <v>#DIV/0!</v>
      </c>
      <c r="AF8" s="3">
        <v>0</v>
      </c>
      <c r="AG8" s="15">
        <v>0</v>
      </c>
      <c r="AH8" s="3" t="e">
        <f t="shared" si="23"/>
        <v>#DIV/0!</v>
      </c>
      <c r="AI8" s="3">
        <v>0</v>
      </c>
      <c r="AJ8" s="15">
        <v>0</v>
      </c>
      <c r="AK8" s="3">
        <f t="shared" si="24"/>
        <v>1154.1908713692944</v>
      </c>
      <c r="AL8" s="3">
        <v>27816</v>
      </c>
      <c r="AM8" s="15">
        <v>24.1</v>
      </c>
      <c r="AN8" s="3">
        <f t="shared" si="25"/>
        <v>1199.4989561586638</v>
      </c>
      <c r="AO8" s="3">
        <f t="shared" si="26"/>
        <v>57456</v>
      </c>
      <c r="AP8" s="15">
        <f t="shared" si="27"/>
        <v>47.900000000000006</v>
      </c>
      <c r="AQ8" s="3"/>
      <c r="AR8" s="3"/>
      <c r="AS8" s="3"/>
      <c r="AT8" s="3"/>
      <c r="AU8" s="3"/>
      <c r="AV8" s="3"/>
      <c r="AW8" s="3"/>
      <c r="AX8" s="3"/>
      <c r="AY8" s="3"/>
      <c r="AZ8" s="3"/>
      <c r="BA8" s="3"/>
      <c r="BB8" s="3"/>
      <c r="BC8" s="3"/>
      <c r="BD8" s="3"/>
      <c r="BE8" s="3"/>
      <c r="BF8" s="3"/>
      <c r="BG8" s="3"/>
      <c r="BH8" s="3"/>
      <c r="BI8" s="3"/>
      <c r="BJ8" s="3"/>
      <c r="BK8" s="3"/>
      <c r="BL8" s="3"/>
      <c r="BM8" s="3"/>
      <c r="BN8" s="3"/>
    </row>
    <row r="9" spans="1:66" ht="15" customHeight="1" x14ac:dyDescent="0.3">
      <c r="A9" s="1" t="s">
        <v>23</v>
      </c>
      <c r="B9" s="11"/>
      <c r="C9" s="11"/>
      <c r="D9" s="3" t="e">
        <f t="shared" si="13"/>
        <v>#DIV/0!</v>
      </c>
      <c r="E9" s="3">
        <v>0</v>
      </c>
      <c r="F9" s="15">
        <v>0</v>
      </c>
      <c r="G9" s="3" t="e">
        <f t="shared" si="14"/>
        <v>#DIV/0!</v>
      </c>
      <c r="H9" s="3">
        <v>0</v>
      </c>
      <c r="I9" s="15">
        <v>0</v>
      </c>
      <c r="J9" s="3" t="e">
        <f t="shared" si="15"/>
        <v>#DIV/0!</v>
      </c>
      <c r="K9" s="3">
        <v>0</v>
      </c>
      <c r="L9" s="15">
        <v>0</v>
      </c>
      <c r="M9" s="3" t="e">
        <f t="shared" si="16"/>
        <v>#DIV/0!</v>
      </c>
      <c r="N9" s="3">
        <v>0</v>
      </c>
      <c r="O9" s="15">
        <v>0</v>
      </c>
      <c r="P9" s="3" t="e">
        <f t="shared" si="17"/>
        <v>#DIV/0!</v>
      </c>
      <c r="Q9" s="3">
        <v>0</v>
      </c>
      <c r="R9" s="15">
        <v>0</v>
      </c>
      <c r="S9" s="3" t="e">
        <f t="shared" si="18"/>
        <v>#DIV/0!</v>
      </c>
      <c r="T9" s="3">
        <v>0</v>
      </c>
      <c r="U9" s="15">
        <v>0</v>
      </c>
      <c r="V9" s="3" t="e">
        <f t="shared" si="19"/>
        <v>#DIV/0!</v>
      </c>
      <c r="W9" s="3">
        <v>0</v>
      </c>
      <c r="X9" s="15">
        <v>0</v>
      </c>
      <c r="Y9" s="3">
        <f t="shared" si="20"/>
        <v>926.47058823529414</v>
      </c>
      <c r="Z9" s="3">
        <v>18900</v>
      </c>
      <c r="AA9" s="15">
        <v>20.399999999999999</v>
      </c>
      <c r="AB9" s="3" t="e">
        <f t="shared" si="21"/>
        <v>#DIV/0!</v>
      </c>
      <c r="AC9" s="3">
        <v>0</v>
      </c>
      <c r="AD9" s="15">
        <v>0</v>
      </c>
      <c r="AE9" s="3" t="e">
        <f t="shared" si="22"/>
        <v>#DIV/0!</v>
      </c>
      <c r="AF9" s="3">
        <v>0</v>
      </c>
      <c r="AG9" s="15">
        <v>0</v>
      </c>
      <c r="AH9" s="3" t="e">
        <f t="shared" si="23"/>
        <v>#DIV/0!</v>
      </c>
      <c r="AI9" s="3">
        <v>0</v>
      </c>
      <c r="AJ9" s="15">
        <v>0</v>
      </c>
      <c r="AK9" s="3">
        <f t="shared" si="24"/>
        <v>881.57894736842115</v>
      </c>
      <c r="AL9" s="3">
        <v>18425</v>
      </c>
      <c r="AM9" s="15">
        <v>20.9</v>
      </c>
      <c r="AN9" s="3">
        <f t="shared" si="25"/>
        <v>903.75302663438265</v>
      </c>
      <c r="AO9" s="3">
        <f t="shared" si="26"/>
        <v>37325</v>
      </c>
      <c r="AP9" s="15">
        <f t="shared" si="27"/>
        <v>41.3</v>
      </c>
      <c r="AQ9" s="3"/>
      <c r="AR9" s="3"/>
      <c r="AS9" s="3"/>
      <c r="AT9" s="3"/>
      <c r="AU9" s="3"/>
      <c r="AV9" s="3"/>
      <c r="AW9" s="3"/>
      <c r="AX9" s="3"/>
      <c r="AY9" s="3"/>
      <c r="AZ9" s="3"/>
      <c r="BA9" s="3"/>
      <c r="BB9" s="3"/>
      <c r="BC9" s="3"/>
      <c r="BD9" s="3"/>
      <c r="BE9" s="3"/>
      <c r="BF9" s="3"/>
      <c r="BG9" s="3"/>
      <c r="BH9" s="3"/>
      <c r="BI9" s="3"/>
      <c r="BJ9" s="3"/>
      <c r="BK9" s="3"/>
      <c r="BL9" s="3"/>
      <c r="BM9" s="3"/>
      <c r="BN9" s="3"/>
    </row>
    <row r="10" spans="1:66" ht="15" customHeight="1" x14ac:dyDescent="0.3">
      <c r="A10" s="1" t="s">
        <v>24</v>
      </c>
      <c r="B10" s="11"/>
      <c r="C10" s="11"/>
      <c r="D10" s="3">
        <f t="shared" si="13"/>
        <v>895.93406593406598</v>
      </c>
      <c r="E10" s="3">
        <v>8153</v>
      </c>
      <c r="F10" s="15">
        <v>9.1</v>
      </c>
      <c r="G10" s="3">
        <f t="shared" si="14"/>
        <v>1178.2185947480482</v>
      </c>
      <c r="H10" s="3">
        <v>166011</v>
      </c>
      <c r="I10" s="15">
        <v>140.9</v>
      </c>
      <c r="J10" s="3">
        <f t="shared" si="15"/>
        <v>976.1402623612513</v>
      </c>
      <c r="K10" s="3">
        <v>193471</v>
      </c>
      <c r="L10" s="15">
        <v>198.2</v>
      </c>
      <c r="M10" s="3">
        <f t="shared" si="16"/>
        <v>906.78871845620984</v>
      </c>
      <c r="N10" s="3">
        <v>366524</v>
      </c>
      <c r="O10" s="15">
        <v>404.2</v>
      </c>
      <c r="P10" s="3">
        <f t="shared" si="17"/>
        <v>904.10655351249409</v>
      </c>
      <c r="Q10" s="3">
        <v>383522</v>
      </c>
      <c r="R10" s="15">
        <v>424.2</v>
      </c>
      <c r="S10" s="3">
        <f t="shared" si="18"/>
        <v>862.24179536679537</v>
      </c>
      <c r="T10" s="3">
        <v>357313</v>
      </c>
      <c r="U10" s="15">
        <v>414.4</v>
      </c>
      <c r="V10" s="3">
        <f t="shared" si="19"/>
        <v>851.3149548670408</v>
      </c>
      <c r="W10" s="3">
        <v>348954</v>
      </c>
      <c r="X10" s="15">
        <v>409.9</v>
      </c>
      <c r="Y10" s="3">
        <f t="shared" si="20"/>
        <v>1013.7873523280056</v>
      </c>
      <c r="Z10" s="3">
        <v>291768</v>
      </c>
      <c r="AA10" s="15">
        <v>287.8</v>
      </c>
      <c r="AB10" s="3">
        <f t="shared" si="21"/>
        <v>1004.3187889581478</v>
      </c>
      <c r="AC10" s="3">
        <v>112785</v>
      </c>
      <c r="AD10" s="15">
        <v>112.3</v>
      </c>
      <c r="AE10" s="3">
        <f t="shared" si="22"/>
        <v>1153.9813167259786</v>
      </c>
      <c r="AF10" s="3">
        <v>259415</v>
      </c>
      <c r="AG10" s="15">
        <v>224.8</v>
      </c>
      <c r="AH10" s="3">
        <f t="shared" si="23"/>
        <v>1187.4271012006861</v>
      </c>
      <c r="AI10" s="3">
        <v>138454</v>
      </c>
      <c r="AJ10" s="15">
        <v>116.6</v>
      </c>
      <c r="AK10" s="3">
        <f t="shared" si="24"/>
        <v>760.57193923145667</v>
      </c>
      <c r="AL10" s="3">
        <v>85108</v>
      </c>
      <c r="AM10" s="15">
        <v>111.9</v>
      </c>
      <c r="AN10" s="3">
        <f t="shared" si="25"/>
        <v>949.96251270013647</v>
      </c>
      <c r="AO10" s="3">
        <f t="shared" si="26"/>
        <v>2711478</v>
      </c>
      <c r="AP10" s="15">
        <f t="shared" si="27"/>
        <v>2854.3000000000006</v>
      </c>
      <c r="AQ10" s="3"/>
      <c r="AR10" s="3"/>
      <c r="AS10" s="3"/>
      <c r="AT10" s="3"/>
      <c r="AU10" s="3"/>
      <c r="AV10" s="3"/>
      <c r="AW10" s="3"/>
      <c r="AX10" s="3"/>
      <c r="AY10" s="3"/>
      <c r="AZ10" s="3"/>
      <c r="BA10" s="3"/>
      <c r="BB10" s="3"/>
      <c r="BC10" s="3"/>
      <c r="BD10" s="3"/>
      <c r="BE10" s="3"/>
      <c r="BF10" s="3"/>
      <c r="BG10" s="3"/>
      <c r="BH10" s="3"/>
      <c r="BI10" s="3"/>
      <c r="BJ10" s="3"/>
      <c r="BK10" s="3"/>
      <c r="BL10" s="3"/>
      <c r="BM10" s="3"/>
      <c r="BN10" s="3"/>
    </row>
    <row r="11" spans="1:66" ht="15" customHeight="1" x14ac:dyDescent="0.3">
      <c r="A11" s="1" t="s">
        <v>25</v>
      </c>
      <c r="B11" s="11"/>
      <c r="C11" s="11"/>
      <c r="D11" s="3" t="e">
        <f t="shared" si="13"/>
        <v>#DIV/0!</v>
      </c>
      <c r="E11" s="3">
        <v>0</v>
      </c>
      <c r="F11" s="15">
        <v>0</v>
      </c>
      <c r="G11" s="3" t="e">
        <f t="shared" si="14"/>
        <v>#DIV/0!</v>
      </c>
      <c r="H11" s="3">
        <v>0</v>
      </c>
      <c r="I11" s="15">
        <v>0</v>
      </c>
      <c r="J11" s="3" t="e">
        <f t="shared" si="15"/>
        <v>#DIV/0!</v>
      </c>
      <c r="K11" s="3">
        <v>0</v>
      </c>
      <c r="L11" s="15">
        <v>0</v>
      </c>
      <c r="M11" s="3" t="e">
        <f t="shared" si="16"/>
        <v>#DIV/0!</v>
      </c>
      <c r="N11" s="3">
        <v>0</v>
      </c>
      <c r="O11" s="15">
        <v>0</v>
      </c>
      <c r="P11" s="3" t="e">
        <f t="shared" si="17"/>
        <v>#DIV/0!</v>
      </c>
      <c r="Q11" s="3">
        <v>0</v>
      </c>
      <c r="R11" s="15">
        <v>0</v>
      </c>
      <c r="S11" s="3" t="e">
        <f t="shared" si="18"/>
        <v>#DIV/0!</v>
      </c>
      <c r="T11" s="3">
        <v>0</v>
      </c>
      <c r="U11" s="15">
        <v>0</v>
      </c>
      <c r="V11" s="3" t="e">
        <f t="shared" si="19"/>
        <v>#DIV/0!</v>
      </c>
      <c r="W11" s="3">
        <v>0</v>
      </c>
      <c r="X11" s="15">
        <v>0</v>
      </c>
      <c r="Y11" s="3" t="e">
        <f t="shared" si="20"/>
        <v>#DIV/0!</v>
      </c>
      <c r="Z11" s="3">
        <v>0</v>
      </c>
      <c r="AA11" s="15">
        <v>0</v>
      </c>
      <c r="AB11" s="3" t="e">
        <f t="shared" si="21"/>
        <v>#DIV/0!</v>
      </c>
      <c r="AC11" s="3">
        <v>0</v>
      </c>
      <c r="AD11" s="15">
        <v>0</v>
      </c>
      <c r="AE11" s="3" t="e">
        <f t="shared" si="22"/>
        <v>#DIV/0!</v>
      </c>
      <c r="AF11" s="3">
        <v>0</v>
      </c>
      <c r="AG11" s="15">
        <v>0</v>
      </c>
      <c r="AH11" s="3">
        <f t="shared" si="23"/>
        <v>760.36866359447004</v>
      </c>
      <c r="AI11" s="3">
        <v>16500</v>
      </c>
      <c r="AJ11" s="15">
        <v>21.7</v>
      </c>
      <c r="AK11" s="3">
        <f t="shared" si="24"/>
        <v>760.36866359447004</v>
      </c>
      <c r="AL11" s="3">
        <v>16500</v>
      </c>
      <c r="AM11" s="15">
        <v>21.7</v>
      </c>
      <c r="AN11" s="3">
        <f t="shared" si="25"/>
        <v>760.36866359447004</v>
      </c>
      <c r="AO11" s="3">
        <f t="shared" si="26"/>
        <v>33000</v>
      </c>
      <c r="AP11" s="15">
        <f t="shared" si="27"/>
        <v>43.4</v>
      </c>
      <c r="AQ11" s="3"/>
      <c r="AR11" s="3"/>
      <c r="AS11" s="3"/>
      <c r="AT11" s="3"/>
      <c r="AU11" s="3"/>
      <c r="AV11" s="3"/>
      <c r="AW11" s="3"/>
      <c r="AX11" s="3"/>
      <c r="AY11" s="3"/>
      <c r="AZ11" s="3"/>
      <c r="BA11" s="3"/>
      <c r="BB11" s="3"/>
      <c r="BC11" s="3"/>
      <c r="BD11" s="3"/>
      <c r="BE11" s="3"/>
      <c r="BF11" s="3"/>
      <c r="BG11" s="3"/>
      <c r="BH11" s="3"/>
      <c r="BI11" s="3"/>
      <c r="BJ11" s="3"/>
      <c r="BK11" s="3"/>
      <c r="BL11" s="3"/>
      <c r="BM11" s="3"/>
      <c r="BN11" s="3"/>
    </row>
    <row r="12" spans="1:66" ht="15" customHeight="1" x14ac:dyDescent="0.3">
      <c r="A12" s="1" t="s">
        <v>26</v>
      </c>
      <c r="B12" s="11"/>
      <c r="C12" s="11"/>
      <c r="D12" s="3">
        <f>E12/F12</f>
        <v>775.20114529078307</v>
      </c>
      <c r="E12" s="3">
        <v>10775606</v>
      </c>
      <c r="F12" s="15">
        <v>13900.4</v>
      </c>
      <c r="G12" s="3">
        <f>H12/I12</f>
        <v>770.02441899184441</v>
      </c>
      <c r="H12" s="3">
        <v>14568631</v>
      </c>
      <c r="I12" s="15">
        <v>18919.7</v>
      </c>
      <c r="J12" s="3">
        <f>K12/L12</f>
        <v>761.06858424186191</v>
      </c>
      <c r="K12" s="3">
        <v>6890030</v>
      </c>
      <c r="L12" s="15">
        <v>9053.1</v>
      </c>
      <c r="M12" s="3">
        <f>N12/O12</f>
        <v>728.9870632168579</v>
      </c>
      <c r="N12" s="3">
        <v>1093189</v>
      </c>
      <c r="O12" s="15">
        <v>1499.6</v>
      </c>
      <c r="P12" s="3" t="e">
        <f>Q12/R12</f>
        <v>#DIV/0!</v>
      </c>
      <c r="Q12" s="3">
        <v>0</v>
      </c>
      <c r="R12" s="15">
        <v>0</v>
      </c>
      <c r="S12" s="3" t="e">
        <f>T12/U12</f>
        <v>#DIV/0!</v>
      </c>
      <c r="T12" s="3">
        <v>0</v>
      </c>
      <c r="U12" s="15">
        <v>0</v>
      </c>
      <c r="V12" s="3">
        <f>W12/X12</f>
        <v>759.99337945645334</v>
      </c>
      <c r="W12" s="3">
        <v>2295864</v>
      </c>
      <c r="X12" s="15">
        <v>3020.9</v>
      </c>
      <c r="Y12" s="3">
        <f>Z12/AA12</f>
        <v>760.01367303222275</v>
      </c>
      <c r="Z12" s="3">
        <v>1667546</v>
      </c>
      <c r="AA12" s="15">
        <v>2194.1</v>
      </c>
      <c r="AB12" s="3">
        <f>AC12/AD12</f>
        <v>798.11867727618051</v>
      </c>
      <c r="AC12" s="3">
        <v>1996015</v>
      </c>
      <c r="AD12" s="15">
        <v>2500.9</v>
      </c>
      <c r="AE12" s="3">
        <f>AF12/AG12</f>
        <v>722.23086623338827</v>
      </c>
      <c r="AF12" s="3">
        <v>3722739</v>
      </c>
      <c r="AG12" s="15">
        <v>5154.5</v>
      </c>
      <c r="AH12" s="3">
        <f>AI12/AJ12</f>
        <v>711.40223442529827</v>
      </c>
      <c r="AI12" s="3">
        <v>9392288</v>
      </c>
      <c r="AJ12" s="15">
        <v>13202.5</v>
      </c>
      <c r="AK12" s="3">
        <f>AL12/AM12</f>
        <v>732.24894562863335</v>
      </c>
      <c r="AL12" s="3">
        <v>9636030</v>
      </c>
      <c r="AM12" s="15">
        <v>13159.5</v>
      </c>
      <c r="AN12" s="3">
        <f t="shared" si="25"/>
        <v>751.01734515502653</v>
      </c>
      <c r="AO12" s="3">
        <f t="shared" si="26"/>
        <v>62037938</v>
      </c>
      <c r="AP12" s="15">
        <f t="shared" si="27"/>
        <v>82605.2</v>
      </c>
      <c r="AQ12" s="3"/>
      <c r="AR12" s="3"/>
      <c r="AS12" s="3"/>
      <c r="AT12" s="3"/>
      <c r="AU12" s="3"/>
      <c r="AV12" s="3"/>
      <c r="AW12" s="3"/>
      <c r="AX12" s="3"/>
      <c r="AY12" s="3"/>
      <c r="AZ12" s="3"/>
      <c r="BA12" s="3"/>
      <c r="BB12" s="3"/>
      <c r="BC12" s="3"/>
      <c r="BD12" s="3"/>
      <c r="BE12" s="3"/>
      <c r="BF12" s="3"/>
      <c r="BG12" s="3"/>
      <c r="BH12" s="3"/>
      <c r="BI12" s="3"/>
      <c r="BJ12" s="3"/>
      <c r="BK12" s="3"/>
      <c r="BL12" s="3"/>
      <c r="BM12" s="3"/>
      <c r="BN12" s="3"/>
    </row>
    <row r="13" spans="1:66" ht="15" customHeight="1" x14ac:dyDescent="0.3">
      <c r="A13" s="1" t="s">
        <v>27</v>
      </c>
      <c r="B13" s="11"/>
      <c r="C13" s="11"/>
      <c r="D13" s="3">
        <f t="shared" ref="D13:D47" si="28">E13/F13</f>
        <v>774.33041662965263</v>
      </c>
      <c r="E13" s="3">
        <v>3486655</v>
      </c>
      <c r="F13" s="15">
        <v>4502.8</v>
      </c>
      <c r="G13" s="3">
        <f t="shared" ref="G13:G47" si="29">H13/I13</f>
        <v>738.31459045252154</v>
      </c>
      <c r="H13" s="3">
        <v>3564952</v>
      </c>
      <c r="I13" s="15">
        <v>4828.5</v>
      </c>
      <c r="J13" s="3">
        <f t="shared" ref="J13:J47" si="30">K13/L13</f>
        <v>776.92900581107256</v>
      </c>
      <c r="K13" s="3">
        <v>17247047</v>
      </c>
      <c r="L13" s="15">
        <v>22199</v>
      </c>
      <c r="M13" s="3">
        <f t="shared" ref="M13:M47" si="31">N13/O13</f>
        <v>765.69650072202694</v>
      </c>
      <c r="N13" s="3">
        <v>10498771</v>
      </c>
      <c r="O13" s="15">
        <v>13711.4</v>
      </c>
      <c r="P13" s="3">
        <f t="shared" ref="P13:P47" si="32">Q13/R13</f>
        <v>760.4835646457268</v>
      </c>
      <c r="Q13" s="3">
        <v>10411020</v>
      </c>
      <c r="R13" s="15">
        <v>13690</v>
      </c>
      <c r="S13" s="3">
        <f t="shared" ref="S13:S47" si="33">T13/U13</f>
        <v>733.16619047619042</v>
      </c>
      <c r="T13" s="3">
        <v>3079298</v>
      </c>
      <c r="U13" s="15">
        <v>4200</v>
      </c>
      <c r="V13" s="3">
        <f t="shared" ref="V13:V47" si="34">W13/X13</f>
        <v>744.30453265357517</v>
      </c>
      <c r="W13" s="3">
        <v>9752399</v>
      </c>
      <c r="X13" s="15">
        <v>13102.7</v>
      </c>
      <c r="Y13" s="3">
        <f t="shared" ref="Y13:Y47" si="35">Z13/AA13</f>
        <v>740.37219344332357</v>
      </c>
      <c r="Z13" s="3">
        <v>10047517</v>
      </c>
      <c r="AA13" s="15">
        <v>13570.9</v>
      </c>
      <c r="AB13" s="3">
        <f t="shared" ref="AB13:AB47" si="36">AC13/AD13</f>
        <v>780.50707440649705</v>
      </c>
      <c r="AC13" s="3">
        <v>9504781</v>
      </c>
      <c r="AD13" s="15">
        <v>12177.7</v>
      </c>
      <c r="AE13" s="3">
        <f t="shared" ref="AE13:AE47" si="37">AF13/AG13</f>
        <v>693.09288928019294</v>
      </c>
      <c r="AF13" s="3">
        <v>9997657</v>
      </c>
      <c r="AG13" s="15">
        <v>14424.7</v>
      </c>
      <c r="AH13" s="3">
        <f t="shared" ref="AH13:AH47" si="38">AI13/AJ13</f>
        <v>725.87674723249893</v>
      </c>
      <c r="AI13" s="3">
        <v>10084896</v>
      </c>
      <c r="AJ13" s="15">
        <v>13893.4</v>
      </c>
      <c r="AK13" s="3">
        <f t="shared" ref="AK13:AK47" si="39">AL13/AM13</f>
        <v>723.04870512429659</v>
      </c>
      <c r="AL13" s="3">
        <v>8775136</v>
      </c>
      <c r="AM13" s="15">
        <v>12136.3</v>
      </c>
      <c r="AN13" s="3">
        <f t="shared" si="25"/>
        <v>747.346757242129</v>
      </c>
      <c r="AO13" s="3">
        <f t="shared" si="26"/>
        <v>106450129</v>
      </c>
      <c r="AP13" s="15">
        <f t="shared" si="27"/>
        <v>142437.39999999997</v>
      </c>
      <c r="AQ13" s="3"/>
      <c r="AR13" s="3"/>
      <c r="AS13" s="3"/>
      <c r="AT13" s="3"/>
      <c r="AU13" s="3"/>
      <c r="AV13" s="3"/>
      <c r="AW13" s="3"/>
      <c r="AX13" s="3"/>
      <c r="AY13" s="3"/>
      <c r="AZ13" s="3"/>
      <c r="BA13" s="3"/>
      <c r="BB13" s="3"/>
      <c r="BC13" s="3"/>
      <c r="BD13" s="3"/>
      <c r="BE13" s="3"/>
      <c r="BF13" s="3"/>
      <c r="BG13" s="3"/>
      <c r="BH13" s="3"/>
      <c r="BI13" s="3"/>
      <c r="BJ13" s="3"/>
      <c r="BK13" s="3"/>
      <c r="BL13" s="3"/>
      <c r="BM13" s="3"/>
      <c r="BN13" s="3"/>
    </row>
    <row r="14" spans="1:66" ht="15" customHeight="1" x14ac:dyDescent="0.3">
      <c r="A14" s="1" t="s">
        <v>28</v>
      </c>
      <c r="B14" s="11"/>
      <c r="C14" s="11"/>
      <c r="D14" s="3">
        <f t="shared" si="28"/>
        <v>782.48852020213667</v>
      </c>
      <c r="E14" s="3">
        <v>20346423</v>
      </c>
      <c r="F14" s="15">
        <v>26002.2</v>
      </c>
      <c r="G14" s="3">
        <f t="shared" si="29"/>
        <v>771.8371232518424</v>
      </c>
      <c r="H14" s="3">
        <v>20066839</v>
      </c>
      <c r="I14" s="15">
        <v>25998.799999999999</v>
      </c>
      <c r="J14" s="3">
        <f t="shared" si="30"/>
        <v>767.85826666666662</v>
      </c>
      <c r="K14" s="3">
        <v>5758937</v>
      </c>
      <c r="L14" s="15">
        <v>7500</v>
      </c>
      <c r="M14" s="3">
        <f t="shared" si="31"/>
        <v>761.11318749045836</v>
      </c>
      <c r="N14" s="3">
        <v>26921639</v>
      </c>
      <c r="O14" s="15">
        <v>35371.4</v>
      </c>
      <c r="P14" s="3">
        <f t="shared" si="32"/>
        <v>739.78888300214157</v>
      </c>
      <c r="Q14" s="3">
        <v>49569924</v>
      </c>
      <c r="R14" s="15">
        <v>67005.5</v>
      </c>
      <c r="S14" s="3">
        <f t="shared" si="33"/>
        <v>701.53347376133343</v>
      </c>
      <c r="T14" s="3">
        <v>19150110</v>
      </c>
      <c r="U14" s="15">
        <v>27297.5</v>
      </c>
      <c r="V14" s="3">
        <f t="shared" si="34"/>
        <v>683.27154673638199</v>
      </c>
      <c r="W14" s="3">
        <v>9565665</v>
      </c>
      <c r="X14" s="15">
        <v>13999.8</v>
      </c>
      <c r="Y14" s="3">
        <f t="shared" si="35"/>
        <v>759.9976140631735</v>
      </c>
      <c r="Z14" s="3">
        <v>9874497</v>
      </c>
      <c r="AA14" s="15">
        <v>12992.8</v>
      </c>
      <c r="AB14" s="3">
        <f t="shared" si="36"/>
        <v>785.80567485905465</v>
      </c>
      <c r="AC14" s="3">
        <v>6787868</v>
      </c>
      <c r="AD14" s="15">
        <v>8638.1</v>
      </c>
      <c r="AE14" s="3">
        <f t="shared" si="37"/>
        <v>736.81077944684421</v>
      </c>
      <c r="AF14" s="3">
        <v>11428672</v>
      </c>
      <c r="AG14" s="15">
        <v>15511</v>
      </c>
      <c r="AH14" s="3">
        <f t="shared" si="38"/>
        <v>718.83278232984537</v>
      </c>
      <c r="AI14" s="3">
        <v>23178188</v>
      </c>
      <c r="AJ14" s="15">
        <v>32244.2</v>
      </c>
      <c r="AK14" s="3">
        <f t="shared" si="39"/>
        <v>721.729155987848</v>
      </c>
      <c r="AL14" s="3">
        <v>5772895</v>
      </c>
      <c r="AM14" s="15">
        <v>7998.7</v>
      </c>
      <c r="AN14" s="3">
        <f t="shared" si="25"/>
        <v>742.87730610208155</v>
      </c>
      <c r="AO14" s="3">
        <f t="shared" si="26"/>
        <v>208421657</v>
      </c>
      <c r="AP14" s="15">
        <f t="shared" si="27"/>
        <v>280560</v>
      </c>
      <c r="AQ14" s="3"/>
      <c r="AR14" s="3"/>
      <c r="AS14" s="3"/>
      <c r="AT14" s="3"/>
      <c r="AU14" s="3"/>
      <c r="AV14" s="3"/>
      <c r="AW14" s="3"/>
      <c r="AX14" s="3"/>
      <c r="AY14" s="3"/>
      <c r="AZ14" s="3"/>
      <c r="BA14" s="3"/>
      <c r="BB14" s="3"/>
      <c r="BC14" s="3"/>
      <c r="BD14" s="3"/>
      <c r="BE14" s="3"/>
      <c r="BF14" s="3"/>
      <c r="BG14" s="3"/>
      <c r="BH14" s="3"/>
      <c r="BI14" s="3"/>
      <c r="BJ14" s="3"/>
      <c r="BK14" s="3"/>
      <c r="BL14" s="3"/>
      <c r="BM14" s="3"/>
      <c r="BN14" s="3"/>
    </row>
    <row r="15" spans="1:66" ht="15" customHeight="1" x14ac:dyDescent="0.3">
      <c r="A15" s="1" t="s">
        <v>29</v>
      </c>
      <c r="B15" s="11"/>
      <c r="C15" s="11"/>
      <c r="D15" s="3" t="e">
        <f t="shared" si="28"/>
        <v>#DIV/0!</v>
      </c>
      <c r="E15" s="3">
        <v>0</v>
      </c>
      <c r="F15" s="15">
        <v>0</v>
      </c>
      <c r="G15" s="3">
        <f t="shared" si="29"/>
        <v>790.73918403945299</v>
      </c>
      <c r="H15" s="3">
        <v>2821990</v>
      </c>
      <c r="I15" s="15">
        <v>3568.8</v>
      </c>
      <c r="J15" s="3">
        <f t="shared" si="30"/>
        <v>786.76210069146805</v>
      </c>
      <c r="K15" s="3">
        <v>2753510</v>
      </c>
      <c r="L15" s="15">
        <v>3499.8</v>
      </c>
      <c r="M15" s="3" t="e">
        <f t="shared" si="31"/>
        <v>#DIV/0!</v>
      </c>
      <c r="N15" s="3">
        <v>0</v>
      </c>
      <c r="O15" s="15">
        <v>0</v>
      </c>
      <c r="P15" s="3">
        <f t="shared" si="32"/>
        <v>771.50060024009611</v>
      </c>
      <c r="Q15" s="3">
        <v>2699172</v>
      </c>
      <c r="R15" s="15">
        <v>3498.6</v>
      </c>
      <c r="S15" s="3">
        <f t="shared" si="33"/>
        <v>754.85713469341101</v>
      </c>
      <c r="T15" s="3">
        <v>2641849</v>
      </c>
      <c r="U15" s="15">
        <v>3499.8</v>
      </c>
      <c r="V15" s="3">
        <f t="shared" si="34"/>
        <v>754.23052745871189</v>
      </c>
      <c r="W15" s="3">
        <v>2639656</v>
      </c>
      <c r="X15" s="15">
        <v>3499.8</v>
      </c>
      <c r="Y15" s="3" t="e">
        <f t="shared" si="35"/>
        <v>#DIV/0!</v>
      </c>
      <c r="Z15" s="3">
        <v>0</v>
      </c>
      <c r="AA15" s="15">
        <v>0</v>
      </c>
      <c r="AB15" s="3">
        <f t="shared" si="36"/>
        <v>762.87100646968588</v>
      </c>
      <c r="AC15" s="3">
        <v>2287545</v>
      </c>
      <c r="AD15" s="15">
        <v>2998.6</v>
      </c>
      <c r="AE15" s="3">
        <f t="shared" si="37"/>
        <v>731.42992897869362</v>
      </c>
      <c r="AF15" s="3">
        <v>1462421</v>
      </c>
      <c r="AG15" s="15">
        <v>1999.4</v>
      </c>
      <c r="AH15" s="3" t="e">
        <f t="shared" si="38"/>
        <v>#DIV/0!</v>
      </c>
      <c r="AI15" s="3">
        <v>0</v>
      </c>
      <c r="AJ15" s="15">
        <v>0</v>
      </c>
      <c r="AK15" s="3">
        <f t="shared" si="39"/>
        <v>704.60604155354235</v>
      </c>
      <c r="AL15" s="3">
        <v>2465487</v>
      </c>
      <c r="AM15" s="15">
        <v>3499.1</v>
      </c>
      <c r="AN15" s="3">
        <f t="shared" si="25"/>
        <v>758.58294422553809</v>
      </c>
      <c r="AO15" s="3">
        <f t="shared" si="26"/>
        <v>19771630</v>
      </c>
      <c r="AP15" s="15">
        <f t="shared" si="27"/>
        <v>26063.899999999998</v>
      </c>
      <c r="AQ15" s="3"/>
      <c r="AR15" s="3"/>
      <c r="AS15" s="3"/>
      <c r="AT15" s="3"/>
      <c r="AU15" s="3"/>
      <c r="AV15" s="3"/>
      <c r="AW15" s="3"/>
      <c r="AX15" s="3"/>
      <c r="AY15" s="3"/>
      <c r="AZ15" s="3"/>
      <c r="BA15" s="3"/>
      <c r="BB15" s="3"/>
      <c r="BC15" s="3"/>
      <c r="BD15" s="3"/>
      <c r="BE15" s="3"/>
      <c r="BF15" s="3"/>
      <c r="BG15" s="3"/>
      <c r="BH15" s="3"/>
      <c r="BI15" s="3"/>
      <c r="BJ15" s="3"/>
      <c r="BK15" s="3"/>
      <c r="BL15" s="3"/>
      <c r="BM15" s="3"/>
      <c r="BN15" s="3"/>
    </row>
    <row r="16" spans="1:66" ht="15" customHeight="1" x14ac:dyDescent="0.3">
      <c r="A16" s="1" t="s">
        <v>30</v>
      </c>
      <c r="B16" s="11"/>
      <c r="C16" s="11"/>
      <c r="D16" s="3">
        <f t="shared" si="28"/>
        <v>818.76818805765276</v>
      </c>
      <c r="E16" s="3">
        <v>4771781</v>
      </c>
      <c r="F16" s="15">
        <v>5828</v>
      </c>
      <c r="G16" s="3">
        <f t="shared" si="29"/>
        <v>767.51026404374136</v>
      </c>
      <c r="H16" s="3">
        <v>7888931</v>
      </c>
      <c r="I16" s="15">
        <v>10278.6</v>
      </c>
      <c r="J16" s="3">
        <f t="shared" si="30"/>
        <v>746.84374029201615</v>
      </c>
      <c r="K16" s="3">
        <v>3846544</v>
      </c>
      <c r="L16" s="15">
        <v>5150.3999999999996</v>
      </c>
      <c r="M16" s="3">
        <f t="shared" si="31"/>
        <v>758.17778308892571</v>
      </c>
      <c r="N16" s="3">
        <v>4441178</v>
      </c>
      <c r="O16" s="15">
        <v>5857.7</v>
      </c>
      <c r="P16" s="3">
        <f t="shared" si="32"/>
        <v>756.66199054932065</v>
      </c>
      <c r="Q16" s="3">
        <v>2049646</v>
      </c>
      <c r="R16" s="15">
        <v>2708.8</v>
      </c>
      <c r="S16" s="3">
        <f t="shared" si="33"/>
        <v>755.9100496700006</v>
      </c>
      <c r="T16" s="3">
        <v>2221922</v>
      </c>
      <c r="U16" s="15">
        <v>2939.4</v>
      </c>
      <c r="V16" s="3">
        <f t="shared" si="34"/>
        <v>717.27873785965073</v>
      </c>
      <c r="W16" s="3">
        <v>3146128</v>
      </c>
      <c r="X16" s="15">
        <v>4386.2</v>
      </c>
      <c r="Y16" s="3">
        <f t="shared" si="35"/>
        <v>704.67993052265911</v>
      </c>
      <c r="Z16" s="3">
        <v>6694107</v>
      </c>
      <c r="AA16" s="15">
        <v>9499.5</v>
      </c>
      <c r="AB16" s="3">
        <f t="shared" si="36"/>
        <v>732.94505900678519</v>
      </c>
      <c r="AC16" s="3">
        <v>2776176</v>
      </c>
      <c r="AD16" s="15">
        <v>3787.7</v>
      </c>
      <c r="AE16" s="3">
        <f t="shared" si="37"/>
        <v>722.18048870301686</v>
      </c>
      <c r="AF16" s="3">
        <v>2745658</v>
      </c>
      <c r="AG16" s="15">
        <v>3801.9</v>
      </c>
      <c r="AH16" s="3">
        <f t="shared" si="38"/>
        <v>709.42729201037002</v>
      </c>
      <c r="AI16" s="3">
        <v>4214140</v>
      </c>
      <c r="AJ16" s="15">
        <v>5940.2</v>
      </c>
      <c r="AK16" s="3">
        <f t="shared" si="39"/>
        <v>703.8940276604261</v>
      </c>
      <c r="AL16" s="3">
        <v>6331386</v>
      </c>
      <c r="AM16" s="15">
        <v>8994.7999999999993</v>
      </c>
      <c r="AN16" s="3">
        <f t="shared" si="25"/>
        <v>739.12435741009529</v>
      </c>
      <c r="AO16" s="3">
        <f t="shared" si="26"/>
        <v>51127597</v>
      </c>
      <c r="AP16" s="15">
        <f t="shared" si="27"/>
        <v>69173.2</v>
      </c>
      <c r="AQ16" s="3"/>
      <c r="AR16" s="3"/>
      <c r="AS16" s="3"/>
      <c r="AT16" s="3"/>
      <c r="AU16" s="3"/>
      <c r="AV16" s="3"/>
      <c r="AW16" s="3"/>
      <c r="AX16" s="3"/>
      <c r="AY16" s="3"/>
      <c r="AZ16" s="3"/>
      <c r="BA16" s="3"/>
      <c r="BB16" s="3"/>
      <c r="BC16" s="3"/>
      <c r="BD16" s="3"/>
      <c r="BE16" s="3"/>
      <c r="BF16" s="3"/>
      <c r="BG16" s="3"/>
      <c r="BH16" s="3"/>
      <c r="BI16" s="3"/>
      <c r="BJ16" s="3"/>
      <c r="BK16" s="3"/>
      <c r="BL16" s="3"/>
      <c r="BM16" s="3"/>
      <c r="BN16" s="3"/>
    </row>
    <row r="17" spans="1:66" ht="15" customHeight="1" x14ac:dyDescent="0.3">
      <c r="A17" s="1" t="s">
        <v>31</v>
      </c>
      <c r="B17" s="11"/>
      <c r="C17" s="11"/>
      <c r="D17" s="3" t="e">
        <f t="shared" si="28"/>
        <v>#DIV/0!</v>
      </c>
      <c r="E17" s="3">
        <v>0</v>
      </c>
      <c r="F17" s="15">
        <v>0</v>
      </c>
      <c r="G17" s="3" t="e">
        <f t="shared" si="29"/>
        <v>#DIV/0!</v>
      </c>
      <c r="H17" s="3">
        <v>0</v>
      </c>
      <c r="I17" s="15">
        <v>0</v>
      </c>
      <c r="J17" s="3" t="e">
        <f t="shared" si="30"/>
        <v>#DIV/0!</v>
      </c>
      <c r="K17" s="3">
        <v>0</v>
      </c>
      <c r="L17" s="15">
        <v>0</v>
      </c>
      <c r="M17" s="3" t="e">
        <f t="shared" si="31"/>
        <v>#DIV/0!</v>
      </c>
      <c r="N17" s="3">
        <v>0</v>
      </c>
      <c r="O17" s="15">
        <v>0</v>
      </c>
      <c r="P17" s="3" t="e">
        <f t="shared" si="32"/>
        <v>#DIV/0!</v>
      </c>
      <c r="Q17" s="3">
        <v>0</v>
      </c>
      <c r="R17" s="15">
        <v>0</v>
      </c>
      <c r="S17" s="3" t="e">
        <f t="shared" si="33"/>
        <v>#DIV/0!</v>
      </c>
      <c r="T17" s="3">
        <v>0</v>
      </c>
      <c r="U17" s="15">
        <v>0</v>
      </c>
      <c r="V17" s="3" t="e">
        <f t="shared" si="34"/>
        <v>#DIV/0!</v>
      </c>
      <c r="W17" s="3">
        <v>0</v>
      </c>
      <c r="X17" s="15">
        <v>0</v>
      </c>
      <c r="Y17" s="3" t="e">
        <f t="shared" si="35"/>
        <v>#DIV/0!</v>
      </c>
      <c r="Z17" s="3">
        <v>0</v>
      </c>
      <c r="AA17" s="15">
        <v>0</v>
      </c>
      <c r="AB17" s="3" t="e">
        <f t="shared" si="36"/>
        <v>#DIV/0!</v>
      </c>
      <c r="AC17" s="3">
        <v>0</v>
      </c>
      <c r="AD17" s="15">
        <v>0</v>
      </c>
      <c r="AE17" s="3" t="e">
        <f t="shared" si="37"/>
        <v>#DIV/0!</v>
      </c>
      <c r="AF17" s="3">
        <v>0</v>
      </c>
      <c r="AG17" s="15">
        <v>0</v>
      </c>
      <c r="AH17" s="3" t="e">
        <f t="shared" si="38"/>
        <v>#DIV/0!</v>
      </c>
      <c r="AI17" s="3">
        <v>0</v>
      </c>
      <c r="AJ17" s="15">
        <v>0</v>
      </c>
      <c r="AK17" s="3">
        <f t="shared" si="39"/>
        <v>675.7226859051633</v>
      </c>
      <c r="AL17" s="3">
        <v>7343146</v>
      </c>
      <c r="AM17" s="15">
        <v>10867.1</v>
      </c>
      <c r="AN17" s="3">
        <f t="shared" si="25"/>
        <v>675.7226859051633</v>
      </c>
      <c r="AO17" s="3">
        <f t="shared" si="26"/>
        <v>7343146</v>
      </c>
      <c r="AP17" s="15">
        <f t="shared" si="27"/>
        <v>10867.1</v>
      </c>
      <c r="AQ17" s="3"/>
      <c r="AR17" s="3"/>
      <c r="AS17" s="3"/>
      <c r="AT17" s="3"/>
      <c r="AU17" s="3"/>
      <c r="AV17" s="3"/>
      <c r="AW17" s="3"/>
      <c r="AX17" s="3"/>
      <c r="AY17" s="3"/>
      <c r="AZ17" s="3"/>
      <c r="BA17" s="3"/>
      <c r="BB17" s="3"/>
      <c r="BC17" s="3"/>
      <c r="BD17" s="3"/>
      <c r="BE17" s="3"/>
      <c r="BF17" s="3"/>
      <c r="BG17" s="3"/>
      <c r="BH17" s="3"/>
      <c r="BI17" s="3"/>
      <c r="BJ17" s="3"/>
      <c r="BK17" s="3"/>
      <c r="BL17" s="3"/>
      <c r="BM17" s="3"/>
      <c r="BN17" s="3"/>
    </row>
    <row r="18" spans="1:66" ht="15" customHeight="1" x14ac:dyDescent="0.3">
      <c r="A18" s="1" t="s">
        <v>32</v>
      </c>
      <c r="B18" s="11"/>
      <c r="C18" s="11"/>
      <c r="D18" s="3" t="e">
        <f t="shared" si="28"/>
        <v>#DIV/0!</v>
      </c>
      <c r="E18" s="3">
        <v>0</v>
      </c>
      <c r="F18" s="15">
        <v>0</v>
      </c>
      <c r="G18" s="3" t="e">
        <f t="shared" si="29"/>
        <v>#DIV/0!</v>
      </c>
      <c r="H18" s="3">
        <v>0</v>
      </c>
      <c r="I18" s="15">
        <v>0</v>
      </c>
      <c r="J18" s="3" t="e">
        <f t="shared" si="30"/>
        <v>#DIV/0!</v>
      </c>
      <c r="K18" s="3">
        <v>0</v>
      </c>
      <c r="L18" s="15">
        <v>0</v>
      </c>
      <c r="M18" s="3" t="e">
        <f t="shared" si="31"/>
        <v>#DIV/0!</v>
      </c>
      <c r="N18" s="3">
        <v>0</v>
      </c>
      <c r="O18" s="15">
        <v>0</v>
      </c>
      <c r="P18" s="3" t="e">
        <f t="shared" si="32"/>
        <v>#DIV/0!</v>
      </c>
      <c r="Q18" s="3">
        <v>0</v>
      </c>
      <c r="R18" s="15">
        <v>0</v>
      </c>
      <c r="S18" s="3" t="e">
        <f t="shared" si="33"/>
        <v>#DIV/0!</v>
      </c>
      <c r="T18" s="3">
        <v>0</v>
      </c>
      <c r="U18" s="15">
        <v>0</v>
      </c>
      <c r="V18" s="3" t="e">
        <f t="shared" si="34"/>
        <v>#DIV/0!</v>
      </c>
      <c r="W18" s="3">
        <v>0</v>
      </c>
      <c r="X18" s="15">
        <v>0</v>
      </c>
      <c r="Y18" s="3" t="e">
        <f t="shared" si="35"/>
        <v>#DIV/0!</v>
      </c>
      <c r="Z18" s="3">
        <v>0</v>
      </c>
      <c r="AA18" s="15">
        <v>0</v>
      </c>
      <c r="AB18" s="3" t="e">
        <f t="shared" si="36"/>
        <v>#DIV/0!</v>
      </c>
      <c r="AC18" s="3">
        <v>0</v>
      </c>
      <c r="AD18" s="15">
        <v>0</v>
      </c>
      <c r="AE18" s="3" t="e">
        <f t="shared" si="37"/>
        <v>#DIV/0!</v>
      </c>
      <c r="AF18" s="3">
        <v>0</v>
      </c>
      <c r="AG18" s="15">
        <v>0</v>
      </c>
      <c r="AH18" s="3">
        <f t="shared" si="38"/>
        <v>689</v>
      </c>
      <c r="AI18" s="3">
        <v>8405800</v>
      </c>
      <c r="AJ18" s="15">
        <v>12200</v>
      </c>
      <c r="AK18" s="3">
        <f t="shared" si="39"/>
        <v>598.5</v>
      </c>
      <c r="AL18" s="3">
        <v>2992500</v>
      </c>
      <c r="AM18" s="15">
        <v>5000</v>
      </c>
      <c r="AN18" s="3">
        <f t="shared" si="25"/>
        <v>662.69186046511629</v>
      </c>
      <c r="AO18" s="3">
        <f t="shared" si="26"/>
        <v>11398300</v>
      </c>
      <c r="AP18" s="15">
        <f t="shared" si="27"/>
        <v>17200</v>
      </c>
      <c r="AQ18" s="3"/>
      <c r="AR18" s="3"/>
      <c r="AS18" s="3"/>
      <c r="AT18" s="3"/>
      <c r="AU18" s="3"/>
      <c r="AV18" s="3"/>
      <c r="AW18" s="3"/>
      <c r="AX18" s="3"/>
      <c r="AY18" s="3"/>
      <c r="AZ18" s="3"/>
      <c r="BA18" s="3"/>
      <c r="BB18" s="3"/>
      <c r="BC18" s="3"/>
      <c r="BD18" s="3"/>
      <c r="BE18" s="3"/>
      <c r="BF18" s="3"/>
      <c r="BG18" s="3"/>
      <c r="BH18" s="3"/>
      <c r="BI18" s="3"/>
      <c r="BJ18" s="3"/>
      <c r="BK18" s="3"/>
      <c r="BL18" s="3"/>
      <c r="BM18" s="3"/>
      <c r="BN18" s="3"/>
    </row>
    <row r="19" spans="1:66" ht="15" customHeight="1" x14ac:dyDescent="0.3">
      <c r="A19" s="1" t="s">
        <v>33</v>
      </c>
      <c r="B19" s="11"/>
      <c r="C19" s="11"/>
      <c r="D19" s="3" t="e">
        <f t="shared" si="28"/>
        <v>#DIV/0!</v>
      </c>
      <c r="E19" s="3">
        <v>0</v>
      </c>
      <c r="F19" s="15">
        <v>0</v>
      </c>
      <c r="G19" s="3" t="e">
        <f t="shared" si="29"/>
        <v>#DIV/0!</v>
      </c>
      <c r="H19" s="3">
        <v>0</v>
      </c>
      <c r="I19" s="15">
        <v>0</v>
      </c>
      <c r="J19" s="3" t="e">
        <f t="shared" si="30"/>
        <v>#DIV/0!</v>
      </c>
      <c r="K19" s="3">
        <v>0</v>
      </c>
      <c r="L19" s="15">
        <v>0</v>
      </c>
      <c r="M19" s="3">
        <f t="shared" si="31"/>
        <v>1270.9787234042553</v>
      </c>
      <c r="N19" s="3">
        <v>29868</v>
      </c>
      <c r="O19" s="15">
        <v>23.5</v>
      </c>
      <c r="P19" s="3" t="e">
        <f t="shared" si="32"/>
        <v>#DIV/0!</v>
      </c>
      <c r="Q19" s="3">
        <v>0</v>
      </c>
      <c r="R19" s="15">
        <v>0</v>
      </c>
      <c r="S19" s="3" t="e">
        <f t="shared" si="33"/>
        <v>#DIV/0!</v>
      </c>
      <c r="T19" s="3">
        <v>0</v>
      </c>
      <c r="U19" s="15">
        <v>0</v>
      </c>
      <c r="V19" s="3" t="e">
        <f t="shared" si="34"/>
        <v>#DIV/0!</v>
      </c>
      <c r="W19" s="3">
        <v>0</v>
      </c>
      <c r="X19" s="15">
        <v>0</v>
      </c>
      <c r="Y19" s="3" t="e">
        <f t="shared" si="35"/>
        <v>#DIV/0!</v>
      </c>
      <c r="Z19" s="3">
        <v>0</v>
      </c>
      <c r="AA19" s="15">
        <v>0</v>
      </c>
      <c r="AB19" s="3" t="e">
        <f t="shared" si="36"/>
        <v>#DIV/0!</v>
      </c>
      <c r="AC19" s="3">
        <v>0</v>
      </c>
      <c r="AD19" s="15">
        <v>0</v>
      </c>
      <c r="AE19" s="3" t="e">
        <f t="shared" si="37"/>
        <v>#DIV/0!</v>
      </c>
      <c r="AF19" s="3">
        <v>0</v>
      </c>
      <c r="AG19" s="15">
        <v>0</v>
      </c>
      <c r="AH19" s="3" t="e">
        <f t="shared" si="38"/>
        <v>#DIV/0!</v>
      </c>
      <c r="AI19" s="3">
        <v>0</v>
      </c>
      <c r="AJ19" s="15">
        <v>0</v>
      </c>
      <c r="AK19" s="3" t="e">
        <f t="shared" si="39"/>
        <v>#DIV/0!</v>
      </c>
      <c r="AL19" s="3">
        <v>0</v>
      </c>
      <c r="AM19" s="15">
        <v>0</v>
      </c>
      <c r="AN19" s="3">
        <f t="shared" si="25"/>
        <v>1270.9787234042553</v>
      </c>
      <c r="AO19" s="3">
        <f t="shared" si="26"/>
        <v>29868</v>
      </c>
      <c r="AP19" s="15">
        <f t="shared" si="27"/>
        <v>23.5</v>
      </c>
      <c r="AQ19" s="3"/>
      <c r="AR19" s="3"/>
      <c r="AS19" s="3"/>
      <c r="AT19" s="3"/>
      <c r="AU19" s="3"/>
      <c r="AV19" s="3"/>
      <c r="AW19" s="3"/>
      <c r="AX19" s="3"/>
      <c r="AY19" s="3"/>
      <c r="AZ19" s="3"/>
      <c r="BA19" s="3"/>
      <c r="BB19" s="3"/>
      <c r="BC19" s="3"/>
      <c r="BD19" s="3"/>
      <c r="BE19" s="3"/>
      <c r="BF19" s="3"/>
      <c r="BG19" s="3"/>
      <c r="BH19" s="3"/>
      <c r="BI19" s="3"/>
      <c r="BJ19" s="3"/>
      <c r="BK19" s="3"/>
      <c r="BL19" s="3"/>
      <c r="BM19" s="3"/>
      <c r="BN19" s="3"/>
    </row>
    <row r="20" spans="1:66" x14ac:dyDescent="0.3">
      <c r="A20" s="1" t="s">
        <v>34</v>
      </c>
      <c r="B20" s="11"/>
      <c r="C20" s="11"/>
      <c r="D20" s="3" t="e">
        <f t="shared" si="28"/>
        <v>#DIV/0!</v>
      </c>
      <c r="E20" s="3">
        <v>0</v>
      </c>
      <c r="F20" s="15">
        <v>0</v>
      </c>
      <c r="G20" s="3" t="e">
        <f t="shared" si="29"/>
        <v>#DIV/0!</v>
      </c>
      <c r="H20" s="3">
        <v>0</v>
      </c>
      <c r="I20" s="15">
        <v>0</v>
      </c>
      <c r="J20" s="3" t="e">
        <f t="shared" si="30"/>
        <v>#DIV/0!</v>
      </c>
      <c r="K20" s="3">
        <v>0</v>
      </c>
      <c r="L20" s="15">
        <v>0</v>
      </c>
      <c r="M20" s="3">
        <f t="shared" si="31"/>
        <v>1004.1604010025063</v>
      </c>
      <c r="N20" s="3">
        <v>80132</v>
      </c>
      <c r="O20" s="15">
        <v>79.8</v>
      </c>
      <c r="P20" s="3" t="e">
        <f t="shared" si="32"/>
        <v>#DIV/0!</v>
      </c>
      <c r="Q20" s="3">
        <v>0</v>
      </c>
      <c r="R20" s="15">
        <v>0</v>
      </c>
      <c r="S20" s="3" t="e">
        <f t="shared" si="33"/>
        <v>#DIV/0!</v>
      </c>
      <c r="T20" s="3">
        <v>0</v>
      </c>
      <c r="U20" s="15">
        <v>0</v>
      </c>
      <c r="V20" s="3" t="e">
        <f t="shared" si="34"/>
        <v>#DIV/0!</v>
      </c>
      <c r="W20" s="3">
        <v>0</v>
      </c>
      <c r="X20" s="15">
        <v>0</v>
      </c>
      <c r="Y20" s="3" t="e">
        <f t="shared" si="35"/>
        <v>#DIV/0!</v>
      </c>
      <c r="Z20" s="3">
        <v>0</v>
      </c>
      <c r="AA20" s="15">
        <v>0</v>
      </c>
      <c r="AB20" s="3" t="e">
        <f t="shared" si="36"/>
        <v>#DIV/0!</v>
      </c>
      <c r="AC20" s="3">
        <v>0</v>
      </c>
      <c r="AD20" s="15">
        <v>0</v>
      </c>
      <c r="AE20" s="3" t="e">
        <f t="shared" si="37"/>
        <v>#DIV/0!</v>
      </c>
      <c r="AF20" s="3">
        <v>0</v>
      </c>
      <c r="AG20" s="15">
        <v>0</v>
      </c>
      <c r="AH20" s="3">
        <f t="shared" si="38"/>
        <v>752.77777777777771</v>
      </c>
      <c r="AI20" s="3">
        <v>2710</v>
      </c>
      <c r="AJ20" s="15">
        <v>3.6</v>
      </c>
      <c r="AK20" s="3" t="e">
        <f t="shared" si="39"/>
        <v>#DIV/0!</v>
      </c>
      <c r="AL20" s="3">
        <v>0</v>
      </c>
      <c r="AM20" s="15">
        <v>0</v>
      </c>
      <c r="AN20" s="3">
        <f t="shared" si="25"/>
        <v>993.30935251798576</v>
      </c>
      <c r="AO20" s="3">
        <f t="shared" si="26"/>
        <v>82842</v>
      </c>
      <c r="AP20" s="15">
        <f t="shared" si="27"/>
        <v>83.399999999999991</v>
      </c>
      <c r="AQ20" s="3"/>
      <c r="AR20" s="3"/>
      <c r="AS20" s="3"/>
      <c r="AT20" s="3"/>
      <c r="AU20" s="3"/>
      <c r="AV20" s="3"/>
      <c r="AW20" s="3"/>
      <c r="AX20" s="3"/>
      <c r="AY20" s="3"/>
      <c r="AZ20" s="3"/>
      <c r="BA20" s="3"/>
      <c r="BB20" s="3"/>
      <c r="BC20" s="3"/>
      <c r="BD20" s="3"/>
      <c r="BE20" s="3"/>
      <c r="BF20" s="3"/>
      <c r="BG20" s="3"/>
      <c r="BH20" s="3"/>
      <c r="BI20" s="3"/>
      <c r="BJ20" s="3"/>
      <c r="BK20" s="3"/>
      <c r="BL20" s="3"/>
      <c r="BM20" s="3"/>
      <c r="BN20" s="3"/>
    </row>
    <row r="21" spans="1:66" x14ac:dyDescent="0.3">
      <c r="A21" s="1" t="s">
        <v>35</v>
      </c>
      <c r="B21" s="11"/>
      <c r="C21" s="11"/>
      <c r="D21" s="3" t="e">
        <f t="shared" si="28"/>
        <v>#DIV/0!</v>
      </c>
      <c r="E21" s="3">
        <v>0</v>
      </c>
      <c r="F21" s="15">
        <v>0</v>
      </c>
      <c r="G21" s="3" t="e">
        <f t="shared" si="29"/>
        <v>#DIV/0!</v>
      </c>
      <c r="H21" s="3">
        <v>0</v>
      </c>
      <c r="I21" s="15">
        <v>0</v>
      </c>
      <c r="J21" s="3" t="e">
        <f t="shared" si="30"/>
        <v>#DIV/0!</v>
      </c>
      <c r="K21" s="3">
        <v>0</v>
      </c>
      <c r="L21" s="15">
        <v>0</v>
      </c>
      <c r="M21" s="3" t="e">
        <f t="shared" si="31"/>
        <v>#DIV/0!</v>
      </c>
      <c r="N21" s="3">
        <v>0</v>
      </c>
      <c r="O21" s="15">
        <v>0</v>
      </c>
      <c r="P21" s="3" t="e">
        <f t="shared" si="32"/>
        <v>#DIV/0!</v>
      </c>
      <c r="Q21" s="3">
        <v>0</v>
      </c>
      <c r="R21" s="15">
        <v>0</v>
      </c>
      <c r="S21" s="3">
        <f t="shared" si="33"/>
        <v>1075.3164556962026</v>
      </c>
      <c r="T21" s="3">
        <v>50970</v>
      </c>
      <c r="U21" s="15">
        <v>47.4</v>
      </c>
      <c r="V21" s="3" t="e">
        <f t="shared" si="34"/>
        <v>#DIV/0!</v>
      </c>
      <c r="W21" s="3">
        <v>0</v>
      </c>
      <c r="X21" s="15">
        <v>0</v>
      </c>
      <c r="Y21" s="3">
        <f t="shared" si="35"/>
        <v>2700</v>
      </c>
      <c r="Z21" s="3">
        <v>2970</v>
      </c>
      <c r="AA21" s="15">
        <v>1.1000000000000001</v>
      </c>
      <c r="AB21" s="3" t="e">
        <f t="shared" si="36"/>
        <v>#DIV/0!</v>
      </c>
      <c r="AC21" s="3">
        <v>0</v>
      </c>
      <c r="AD21" s="15">
        <v>0</v>
      </c>
      <c r="AE21" s="3" t="e">
        <f t="shared" si="37"/>
        <v>#DIV/0!</v>
      </c>
      <c r="AF21" s="3">
        <v>0</v>
      </c>
      <c r="AG21" s="15">
        <v>0</v>
      </c>
      <c r="AH21" s="3" t="e">
        <f t="shared" si="38"/>
        <v>#DIV/0!</v>
      </c>
      <c r="AI21" s="3">
        <v>0</v>
      </c>
      <c r="AJ21" s="15">
        <v>0</v>
      </c>
      <c r="AK21" s="3" t="e">
        <f t="shared" si="39"/>
        <v>#DIV/0!</v>
      </c>
      <c r="AL21" s="3">
        <v>0</v>
      </c>
      <c r="AM21" s="15">
        <v>0</v>
      </c>
      <c r="AN21" s="3">
        <f t="shared" si="25"/>
        <v>1112.1649484536083</v>
      </c>
      <c r="AO21" s="3">
        <f t="shared" si="26"/>
        <v>53940</v>
      </c>
      <c r="AP21" s="15">
        <f t="shared" si="27"/>
        <v>48.5</v>
      </c>
      <c r="AQ21" s="3"/>
      <c r="AR21" s="3"/>
      <c r="AS21" s="3"/>
      <c r="AT21" s="3"/>
      <c r="AU21" s="3"/>
      <c r="AV21" s="3"/>
      <c r="AW21" s="3"/>
      <c r="AX21" s="3"/>
      <c r="AY21" s="3"/>
      <c r="AZ21" s="3"/>
      <c r="BA21" s="3"/>
      <c r="BB21" s="3"/>
      <c r="BC21" s="3"/>
      <c r="BD21" s="3"/>
      <c r="BE21" s="3"/>
      <c r="BF21" s="3"/>
      <c r="BG21" s="3"/>
      <c r="BH21" s="3"/>
      <c r="BI21" s="3"/>
      <c r="BJ21" s="3"/>
      <c r="BK21" s="3"/>
      <c r="BL21" s="3"/>
      <c r="BM21" s="3"/>
      <c r="BN21" s="3"/>
    </row>
    <row r="22" spans="1:66" x14ac:dyDescent="0.3">
      <c r="A22" s="1" t="s">
        <v>36</v>
      </c>
      <c r="B22" s="11"/>
      <c r="C22" s="11"/>
      <c r="D22" s="3" t="e">
        <f t="shared" si="28"/>
        <v>#DIV/0!</v>
      </c>
      <c r="E22" s="3">
        <v>0</v>
      </c>
      <c r="F22" s="15">
        <v>0</v>
      </c>
      <c r="G22" s="3" t="e">
        <f t="shared" si="29"/>
        <v>#DIV/0!</v>
      </c>
      <c r="H22" s="3">
        <v>0</v>
      </c>
      <c r="I22" s="15">
        <v>0</v>
      </c>
      <c r="J22" s="3" t="e">
        <f t="shared" si="30"/>
        <v>#DIV/0!</v>
      </c>
      <c r="K22" s="3">
        <v>0</v>
      </c>
      <c r="L22" s="15">
        <v>0</v>
      </c>
      <c r="M22" s="3" t="e">
        <f t="shared" si="31"/>
        <v>#DIV/0!</v>
      </c>
      <c r="N22" s="3">
        <v>0</v>
      </c>
      <c r="O22" s="15">
        <v>0</v>
      </c>
      <c r="P22" s="3">
        <f t="shared" si="32"/>
        <v>760.03508771929819</v>
      </c>
      <c r="Q22" s="3">
        <v>129966</v>
      </c>
      <c r="R22" s="15">
        <v>171</v>
      </c>
      <c r="S22" s="3" t="e">
        <f t="shared" si="33"/>
        <v>#DIV/0!</v>
      </c>
      <c r="T22" s="3">
        <v>0</v>
      </c>
      <c r="U22" s="15">
        <v>0</v>
      </c>
      <c r="V22" s="3" t="e">
        <f t="shared" si="34"/>
        <v>#DIV/0!</v>
      </c>
      <c r="W22" s="3">
        <v>0</v>
      </c>
      <c r="X22" s="15">
        <v>0</v>
      </c>
      <c r="Y22" s="3" t="e">
        <f t="shared" si="35"/>
        <v>#DIV/0!</v>
      </c>
      <c r="Z22" s="3">
        <v>0</v>
      </c>
      <c r="AA22" s="15">
        <v>0</v>
      </c>
      <c r="AB22" s="3" t="e">
        <f t="shared" si="36"/>
        <v>#DIV/0!</v>
      </c>
      <c r="AC22" s="3">
        <v>0</v>
      </c>
      <c r="AD22" s="15">
        <v>0</v>
      </c>
      <c r="AE22" s="3" t="e">
        <f t="shared" si="37"/>
        <v>#DIV/0!</v>
      </c>
      <c r="AF22" s="3">
        <v>0</v>
      </c>
      <c r="AG22" s="15">
        <v>0</v>
      </c>
      <c r="AH22" s="3" t="e">
        <f t="shared" si="38"/>
        <v>#DIV/0!</v>
      </c>
      <c r="AI22" s="3">
        <v>0</v>
      </c>
      <c r="AJ22" s="15">
        <v>0</v>
      </c>
      <c r="AK22" s="3" t="e">
        <f t="shared" si="39"/>
        <v>#DIV/0!</v>
      </c>
      <c r="AL22" s="3">
        <v>0</v>
      </c>
      <c r="AM22" s="15">
        <v>0</v>
      </c>
      <c r="AN22" s="3">
        <f t="shared" si="25"/>
        <v>760.03508771929819</v>
      </c>
      <c r="AO22" s="3">
        <f t="shared" si="26"/>
        <v>129966</v>
      </c>
      <c r="AP22" s="15">
        <f t="shared" si="27"/>
        <v>171</v>
      </c>
      <c r="AQ22" s="3"/>
      <c r="AR22" s="3"/>
      <c r="AS22" s="3"/>
      <c r="AT22" s="3"/>
      <c r="AU22" s="3"/>
      <c r="AV22" s="3"/>
      <c r="AW22" s="3"/>
      <c r="AX22" s="3"/>
      <c r="AY22" s="3"/>
      <c r="AZ22" s="3"/>
      <c r="BA22" s="3"/>
      <c r="BB22" s="3"/>
      <c r="BC22" s="3"/>
      <c r="BD22" s="3"/>
      <c r="BE22" s="3"/>
      <c r="BF22" s="3"/>
      <c r="BG22" s="3"/>
      <c r="BH22" s="3"/>
      <c r="BI22" s="3"/>
      <c r="BJ22" s="3"/>
      <c r="BK22" s="3"/>
      <c r="BL22" s="3"/>
      <c r="BM22" s="3"/>
      <c r="BN22" s="3"/>
    </row>
    <row r="23" spans="1:66" x14ac:dyDescent="0.3">
      <c r="A23" s="1" t="s">
        <v>37</v>
      </c>
      <c r="B23" s="11"/>
      <c r="C23" s="11"/>
      <c r="D23" s="3" t="e">
        <f t="shared" si="28"/>
        <v>#DIV/0!</v>
      </c>
      <c r="E23" s="3">
        <v>0</v>
      </c>
      <c r="F23" s="15">
        <v>0</v>
      </c>
      <c r="G23" s="3">
        <f t="shared" si="29"/>
        <v>1025.6730769230769</v>
      </c>
      <c r="H23" s="3">
        <v>32001</v>
      </c>
      <c r="I23" s="15">
        <v>31.2</v>
      </c>
      <c r="J23" s="3">
        <f t="shared" si="30"/>
        <v>760.95541401273886</v>
      </c>
      <c r="K23" s="3">
        <v>23894</v>
      </c>
      <c r="L23" s="15">
        <v>31.4</v>
      </c>
      <c r="M23" s="3">
        <f t="shared" si="31"/>
        <v>758.93382352941182</v>
      </c>
      <c r="N23" s="3">
        <v>20643</v>
      </c>
      <c r="O23" s="15">
        <v>27.2</v>
      </c>
      <c r="P23" s="3">
        <f t="shared" si="32"/>
        <v>761.55660377358492</v>
      </c>
      <c r="Q23" s="3">
        <v>16145</v>
      </c>
      <c r="R23" s="15">
        <v>21.2</v>
      </c>
      <c r="S23" s="3" t="e">
        <f t="shared" si="33"/>
        <v>#DIV/0!</v>
      </c>
      <c r="T23" s="3">
        <v>0</v>
      </c>
      <c r="U23" s="15">
        <v>0</v>
      </c>
      <c r="V23" s="3" t="e">
        <f t="shared" si="34"/>
        <v>#DIV/0!</v>
      </c>
      <c r="W23" s="3">
        <v>0</v>
      </c>
      <c r="X23" s="15">
        <v>0</v>
      </c>
      <c r="Y23" s="3" t="e">
        <f t="shared" si="35"/>
        <v>#DIV/0!</v>
      </c>
      <c r="Z23" s="3">
        <v>0</v>
      </c>
      <c r="AA23" s="15">
        <v>0</v>
      </c>
      <c r="AB23" s="3" t="e">
        <f t="shared" si="36"/>
        <v>#DIV/0!</v>
      </c>
      <c r="AC23" s="3">
        <v>0</v>
      </c>
      <c r="AD23" s="15">
        <v>0</v>
      </c>
      <c r="AE23" s="3">
        <f t="shared" si="37"/>
        <v>761.28318584070792</v>
      </c>
      <c r="AF23" s="3">
        <v>17205</v>
      </c>
      <c r="AG23" s="15">
        <v>22.6</v>
      </c>
      <c r="AH23" s="3">
        <f t="shared" si="38"/>
        <v>760.76923076923072</v>
      </c>
      <c r="AI23" s="3">
        <v>19780</v>
      </c>
      <c r="AJ23" s="15">
        <v>26</v>
      </c>
      <c r="AK23" s="3" t="e">
        <f t="shared" si="39"/>
        <v>#DIV/0!</v>
      </c>
      <c r="AL23" s="3">
        <v>0</v>
      </c>
      <c r="AM23" s="15">
        <v>0</v>
      </c>
      <c r="AN23" s="3">
        <f t="shared" si="25"/>
        <v>812.45614035087726</v>
      </c>
      <c r="AO23" s="3">
        <f t="shared" si="26"/>
        <v>129668</v>
      </c>
      <c r="AP23" s="15">
        <f t="shared" si="27"/>
        <v>159.6</v>
      </c>
      <c r="AQ23" s="3"/>
      <c r="AR23" s="3"/>
      <c r="AS23" s="3"/>
      <c r="AT23" s="3"/>
      <c r="AU23" s="3"/>
      <c r="AV23" s="3"/>
      <c r="AW23" s="3"/>
      <c r="AX23" s="3"/>
      <c r="AY23" s="3"/>
      <c r="AZ23" s="3"/>
      <c r="BA23" s="3"/>
      <c r="BB23" s="3"/>
      <c r="BC23" s="3"/>
      <c r="BD23" s="3"/>
      <c r="BE23" s="3"/>
      <c r="BF23" s="3"/>
      <c r="BG23" s="3"/>
      <c r="BH23" s="3"/>
      <c r="BI23" s="3"/>
      <c r="BJ23" s="3"/>
      <c r="BK23" s="3"/>
      <c r="BL23" s="3"/>
      <c r="BM23" s="3"/>
      <c r="BN23" s="3"/>
    </row>
    <row r="24" spans="1:66" x14ac:dyDescent="0.3">
      <c r="A24" s="1" t="s">
        <v>38</v>
      </c>
      <c r="B24" s="11"/>
      <c r="C24" s="11"/>
      <c r="D24" s="3" t="e">
        <f t="shared" si="28"/>
        <v>#DIV/0!</v>
      </c>
      <c r="E24" s="3">
        <v>0</v>
      </c>
      <c r="F24" s="15">
        <v>0</v>
      </c>
      <c r="G24" s="3" t="e">
        <f t="shared" si="29"/>
        <v>#DIV/0!</v>
      </c>
      <c r="H24" s="3">
        <v>0</v>
      </c>
      <c r="I24" s="15">
        <v>0</v>
      </c>
      <c r="J24" s="3" t="e">
        <f t="shared" si="30"/>
        <v>#DIV/0!</v>
      </c>
      <c r="K24" s="3">
        <v>0</v>
      </c>
      <c r="L24" s="15">
        <v>0</v>
      </c>
      <c r="M24" s="3" t="e">
        <f t="shared" si="31"/>
        <v>#DIV/0!</v>
      </c>
      <c r="N24" s="3">
        <v>0</v>
      </c>
      <c r="O24" s="15">
        <v>0</v>
      </c>
      <c r="P24" s="3" t="e">
        <f t="shared" si="32"/>
        <v>#DIV/0!</v>
      </c>
      <c r="Q24" s="3">
        <v>0</v>
      </c>
      <c r="R24" s="15">
        <v>0</v>
      </c>
      <c r="S24" s="3" t="e">
        <f t="shared" si="33"/>
        <v>#DIV/0!</v>
      </c>
      <c r="T24" s="3">
        <v>0</v>
      </c>
      <c r="U24" s="15">
        <v>0</v>
      </c>
      <c r="V24" s="3" t="e">
        <f t="shared" si="34"/>
        <v>#DIV/0!</v>
      </c>
      <c r="W24" s="3">
        <v>0</v>
      </c>
      <c r="X24" s="15">
        <v>0</v>
      </c>
      <c r="Y24" s="3" t="e">
        <f t="shared" si="35"/>
        <v>#DIV/0!</v>
      </c>
      <c r="Z24" s="3">
        <v>0</v>
      </c>
      <c r="AA24" s="15">
        <v>0</v>
      </c>
      <c r="AB24" s="3" t="e">
        <f t="shared" si="36"/>
        <v>#DIV/0!</v>
      </c>
      <c r="AC24" s="3">
        <v>0</v>
      </c>
      <c r="AD24" s="15">
        <v>0</v>
      </c>
      <c r="AE24" s="3">
        <f t="shared" si="37"/>
        <v>2227.6</v>
      </c>
      <c r="AF24" s="3">
        <v>5569</v>
      </c>
      <c r="AG24" s="15">
        <v>2.5</v>
      </c>
      <c r="AH24" s="3" t="e">
        <f t="shared" si="38"/>
        <v>#DIV/0!</v>
      </c>
      <c r="AI24" s="3">
        <v>0</v>
      </c>
      <c r="AJ24" s="15">
        <v>0</v>
      </c>
      <c r="AK24" s="3" t="e">
        <f t="shared" si="39"/>
        <v>#DIV/0!</v>
      </c>
      <c r="AL24" s="3">
        <v>0</v>
      </c>
      <c r="AM24" s="15">
        <v>0</v>
      </c>
      <c r="AN24" s="3">
        <f t="shared" si="25"/>
        <v>2227.6</v>
      </c>
      <c r="AO24" s="3">
        <f t="shared" si="26"/>
        <v>5569</v>
      </c>
      <c r="AP24" s="15">
        <f t="shared" si="27"/>
        <v>2.5</v>
      </c>
      <c r="AQ24" s="3"/>
      <c r="AR24" s="3"/>
      <c r="AS24" s="3"/>
      <c r="AT24" s="3"/>
      <c r="AU24" s="3"/>
      <c r="AV24" s="3"/>
      <c r="AW24" s="3"/>
      <c r="AX24" s="3"/>
      <c r="AY24" s="3"/>
      <c r="AZ24" s="3"/>
      <c r="BA24" s="3"/>
      <c r="BB24" s="3"/>
      <c r="BC24" s="3"/>
      <c r="BD24" s="3"/>
      <c r="BE24" s="3"/>
      <c r="BF24" s="3"/>
      <c r="BG24" s="3"/>
      <c r="BH24" s="3"/>
      <c r="BI24" s="3"/>
      <c r="BJ24" s="3"/>
      <c r="BK24" s="3"/>
      <c r="BL24" s="3"/>
      <c r="BM24" s="3"/>
      <c r="BN24" s="3"/>
    </row>
    <row r="25" spans="1:66" x14ac:dyDescent="0.3">
      <c r="A25" s="1" t="s">
        <v>39</v>
      </c>
      <c r="B25" s="11"/>
      <c r="C25" s="11"/>
      <c r="D25" s="3" t="e">
        <f t="shared" si="28"/>
        <v>#DIV/0!</v>
      </c>
      <c r="E25" s="3">
        <v>0</v>
      </c>
      <c r="F25" s="15">
        <v>0</v>
      </c>
      <c r="G25" s="3" t="e">
        <f t="shared" si="29"/>
        <v>#DIV/0!</v>
      </c>
      <c r="H25" s="3">
        <v>0</v>
      </c>
      <c r="I25" s="15">
        <v>0</v>
      </c>
      <c r="J25" s="3" t="e">
        <f t="shared" si="30"/>
        <v>#DIV/0!</v>
      </c>
      <c r="K25" s="3">
        <v>0</v>
      </c>
      <c r="L25" s="15">
        <v>0</v>
      </c>
      <c r="M25" s="3" t="e">
        <f t="shared" si="31"/>
        <v>#DIV/0!</v>
      </c>
      <c r="N25" s="3">
        <v>0</v>
      </c>
      <c r="O25" s="15">
        <v>0</v>
      </c>
      <c r="P25" s="3" t="e">
        <f t="shared" si="32"/>
        <v>#DIV/0!</v>
      </c>
      <c r="Q25" s="3">
        <v>0</v>
      </c>
      <c r="R25" s="15">
        <v>0</v>
      </c>
      <c r="S25" s="3">
        <f t="shared" si="33"/>
        <v>760.13024602026053</v>
      </c>
      <c r="T25" s="3">
        <v>52525</v>
      </c>
      <c r="U25" s="15">
        <v>69.099999999999994</v>
      </c>
      <c r="V25" s="3" t="e">
        <f t="shared" si="34"/>
        <v>#DIV/0!</v>
      </c>
      <c r="W25" s="3">
        <v>0</v>
      </c>
      <c r="X25" s="15">
        <v>0</v>
      </c>
      <c r="Y25" s="3" t="e">
        <f t="shared" si="35"/>
        <v>#DIV/0!</v>
      </c>
      <c r="Z25" s="3">
        <v>0</v>
      </c>
      <c r="AA25" s="15">
        <v>0</v>
      </c>
      <c r="AB25" s="3" t="e">
        <f t="shared" si="36"/>
        <v>#DIV/0!</v>
      </c>
      <c r="AC25" s="3">
        <v>0</v>
      </c>
      <c r="AD25" s="15">
        <v>0</v>
      </c>
      <c r="AE25" s="3" t="e">
        <f t="shared" si="37"/>
        <v>#DIV/0!</v>
      </c>
      <c r="AF25" s="3">
        <v>0</v>
      </c>
      <c r="AG25" s="15">
        <v>0</v>
      </c>
      <c r="AH25" s="3" t="e">
        <f t="shared" si="38"/>
        <v>#DIV/0!</v>
      </c>
      <c r="AI25" s="3">
        <v>0</v>
      </c>
      <c r="AJ25" s="15">
        <v>0</v>
      </c>
      <c r="AK25" s="3" t="e">
        <f t="shared" si="39"/>
        <v>#DIV/0!</v>
      </c>
      <c r="AL25" s="3">
        <v>0</v>
      </c>
      <c r="AM25" s="15">
        <v>0</v>
      </c>
      <c r="AN25" s="3">
        <f t="shared" si="25"/>
        <v>760.13024602026053</v>
      </c>
      <c r="AO25" s="3">
        <f t="shared" si="26"/>
        <v>52525</v>
      </c>
      <c r="AP25" s="15">
        <f t="shared" si="27"/>
        <v>69.099999999999994</v>
      </c>
      <c r="AQ25" s="3"/>
      <c r="AR25" s="3"/>
      <c r="AS25" s="3"/>
      <c r="AT25" s="3"/>
      <c r="AU25" s="3"/>
      <c r="AV25" s="3"/>
      <c r="AW25" s="3"/>
      <c r="AX25" s="3"/>
      <c r="AY25" s="3"/>
      <c r="AZ25" s="3"/>
      <c r="BA25" s="3"/>
      <c r="BB25" s="3"/>
      <c r="BC25" s="3"/>
      <c r="BD25" s="3"/>
      <c r="BE25" s="3"/>
      <c r="BF25" s="3"/>
      <c r="BG25" s="3"/>
      <c r="BH25" s="3"/>
      <c r="BI25" s="3"/>
      <c r="BJ25" s="3"/>
      <c r="BK25" s="3"/>
      <c r="BL25" s="3"/>
      <c r="BM25" s="3"/>
      <c r="BN25" s="3"/>
    </row>
    <row r="26" spans="1:66" x14ac:dyDescent="0.3">
      <c r="A26" s="1" t="s">
        <v>40</v>
      </c>
      <c r="B26" s="11"/>
      <c r="C26" s="11"/>
      <c r="D26" s="3">
        <f t="shared" si="28"/>
        <v>1978.6486486486485</v>
      </c>
      <c r="E26" s="3">
        <v>14642</v>
      </c>
      <c r="F26" s="15">
        <v>7.4</v>
      </c>
      <c r="G26" s="3" t="e">
        <f t="shared" si="29"/>
        <v>#DIV/0!</v>
      </c>
      <c r="H26" s="3">
        <v>0</v>
      </c>
      <c r="I26" s="15">
        <v>0</v>
      </c>
      <c r="J26" s="3" t="e">
        <f t="shared" si="30"/>
        <v>#DIV/0!</v>
      </c>
      <c r="K26" s="3">
        <v>0</v>
      </c>
      <c r="L26" s="15">
        <v>0</v>
      </c>
      <c r="M26" s="3" t="e">
        <f t="shared" si="31"/>
        <v>#DIV/0!</v>
      </c>
      <c r="N26" s="3">
        <v>0</v>
      </c>
      <c r="O26" s="15">
        <v>0</v>
      </c>
      <c r="P26" s="3" t="e">
        <f t="shared" si="32"/>
        <v>#DIV/0!</v>
      </c>
      <c r="Q26" s="3">
        <v>0</v>
      </c>
      <c r="R26" s="15">
        <v>0</v>
      </c>
      <c r="S26" s="3" t="e">
        <f t="shared" si="33"/>
        <v>#DIV/0!</v>
      </c>
      <c r="T26" s="3">
        <v>0</v>
      </c>
      <c r="U26" s="15">
        <v>0</v>
      </c>
      <c r="V26" s="3" t="e">
        <f t="shared" si="34"/>
        <v>#DIV/0!</v>
      </c>
      <c r="W26" s="3">
        <v>0</v>
      </c>
      <c r="X26" s="15">
        <v>0</v>
      </c>
      <c r="Y26" s="3" t="e">
        <f t="shared" si="35"/>
        <v>#DIV/0!</v>
      </c>
      <c r="Z26" s="3">
        <v>0</v>
      </c>
      <c r="AA26" s="15">
        <v>0</v>
      </c>
      <c r="AB26" s="3" t="e">
        <f t="shared" si="36"/>
        <v>#DIV/0!</v>
      </c>
      <c r="AC26" s="3">
        <v>0</v>
      </c>
      <c r="AD26" s="15">
        <v>0</v>
      </c>
      <c r="AE26" s="3" t="e">
        <f t="shared" si="37"/>
        <v>#DIV/0!</v>
      </c>
      <c r="AF26" s="3">
        <v>0</v>
      </c>
      <c r="AG26" s="15">
        <v>0</v>
      </c>
      <c r="AH26" s="3" t="e">
        <f t="shared" si="38"/>
        <v>#DIV/0!</v>
      </c>
      <c r="AI26" s="3">
        <v>0</v>
      </c>
      <c r="AJ26" s="15">
        <v>0</v>
      </c>
      <c r="AK26" s="3" t="e">
        <f t="shared" si="39"/>
        <v>#DIV/0!</v>
      </c>
      <c r="AL26" s="3">
        <v>0</v>
      </c>
      <c r="AM26" s="15">
        <v>0</v>
      </c>
      <c r="AN26" s="3">
        <f t="shared" si="25"/>
        <v>1978.6486486486485</v>
      </c>
      <c r="AO26" s="3">
        <f t="shared" si="26"/>
        <v>14642</v>
      </c>
      <c r="AP26" s="15">
        <f t="shared" si="27"/>
        <v>7.4</v>
      </c>
      <c r="AQ26" s="3"/>
      <c r="AR26" s="3"/>
      <c r="AS26" s="3"/>
      <c r="AT26" s="3"/>
      <c r="AU26" s="3"/>
      <c r="AV26" s="3"/>
      <c r="AW26" s="3"/>
      <c r="AX26" s="3"/>
      <c r="AY26" s="3"/>
      <c r="AZ26" s="3"/>
      <c r="BA26" s="3"/>
      <c r="BB26" s="3"/>
      <c r="BC26" s="3"/>
      <c r="BD26" s="3"/>
      <c r="BE26" s="3"/>
      <c r="BF26" s="3"/>
      <c r="BG26" s="3"/>
      <c r="BH26" s="3"/>
      <c r="BI26" s="3"/>
      <c r="BJ26" s="3"/>
      <c r="BK26" s="3"/>
      <c r="BL26" s="3"/>
      <c r="BM26" s="3"/>
      <c r="BN26" s="3"/>
    </row>
    <row r="27" spans="1:66" x14ac:dyDescent="0.3">
      <c r="A27" s="1" t="s">
        <v>41</v>
      </c>
      <c r="B27" s="11"/>
      <c r="C27" s="11"/>
      <c r="D27" s="3" t="e">
        <f t="shared" si="28"/>
        <v>#DIV/0!</v>
      </c>
      <c r="E27" s="3">
        <v>0</v>
      </c>
      <c r="F27" s="15">
        <v>0</v>
      </c>
      <c r="G27" s="3">
        <f t="shared" si="29"/>
        <v>2205</v>
      </c>
      <c r="H27" s="3">
        <v>4410</v>
      </c>
      <c r="I27" s="15">
        <v>2</v>
      </c>
      <c r="J27" s="3">
        <f t="shared" si="30"/>
        <v>2205</v>
      </c>
      <c r="K27" s="3">
        <v>3528</v>
      </c>
      <c r="L27" s="15">
        <v>1.6</v>
      </c>
      <c r="M27" s="3" t="e">
        <f t="shared" si="31"/>
        <v>#DIV/0!</v>
      </c>
      <c r="N27" s="3">
        <v>0</v>
      </c>
      <c r="O27" s="15">
        <v>0</v>
      </c>
      <c r="P27" s="3" t="e">
        <f t="shared" si="32"/>
        <v>#DIV/0!</v>
      </c>
      <c r="Q27" s="3">
        <v>0</v>
      </c>
      <c r="R27" s="15">
        <v>0</v>
      </c>
      <c r="S27" s="3" t="e">
        <f t="shared" si="33"/>
        <v>#DIV/0!</v>
      </c>
      <c r="T27" s="3">
        <v>0</v>
      </c>
      <c r="U27" s="15">
        <v>0</v>
      </c>
      <c r="V27" s="3" t="e">
        <f t="shared" si="34"/>
        <v>#DIV/0!</v>
      </c>
      <c r="W27" s="3">
        <v>0</v>
      </c>
      <c r="X27" s="15">
        <v>0</v>
      </c>
      <c r="Y27" s="3">
        <f t="shared" si="35"/>
        <v>1840.9090909090908</v>
      </c>
      <c r="Z27" s="3">
        <v>4050</v>
      </c>
      <c r="AA27" s="15">
        <v>2.2000000000000002</v>
      </c>
      <c r="AB27" s="3" t="e">
        <f t="shared" si="36"/>
        <v>#DIV/0!</v>
      </c>
      <c r="AC27" s="3">
        <v>0</v>
      </c>
      <c r="AD27" s="15">
        <v>0</v>
      </c>
      <c r="AE27" s="3">
        <f t="shared" si="37"/>
        <v>2250</v>
      </c>
      <c r="AF27" s="3">
        <v>5400</v>
      </c>
      <c r="AG27" s="15">
        <v>2.4</v>
      </c>
      <c r="AH27" s="3" t="e">
        <f t="shared" si="38"/>
        <v>#DIV/0!</v>
      </c>
      <c r="AI27" s="3">
        <v>0</v>
      </c>
      <c r="AJ27" s="15">
        <v>0</v>
      </c>
      <c r="AK27" s="3" t="e">
        <f t="shared" si="39"/>
        <v>#DIV/0!</v>
      </c>
      <c r="AL27" s="3">
        <v>0</v>
      </c>
      <c r="AM27" s="15">
        <v>0</v>
      </c>
      <c r="AN27" s="3">
        <f t="shared" si="25"/>
        <v>2120.4878048780483</v>
      </c>
      <c r="AO27" s="3">
        <f t="shared" si="26"/>
        <v>17388</v>
      </c>
      <c r="AP27" s="15">
        <f t="shared" si="27"/>
        <v>8.2000000000000011</v>
      </c>
      <c r="AQ27" s="3"/>
      <c r="AR27" s="3"/>
      <c r="AS27" s="3"/>
      <c r="AT27" s="3"/>
      <c r="AU27" s="3"/>
      <c r="AV27" s="3"/>
      <c r="AW27" s="3"/>
      <c r="AX27" s="3"/>
      <c r="AY27" s="3"/>
      <c r="AZ27" s="3"/>
      <c r="BA27" s="3"/>
      <c r="BB27" s="3"/>
      <c r="BC27" s="3"/>
      <c r="BD27" s="3"/>
      <c r="BE27" s="3"/>
      <c r="BF27" s="3"/>
      <c r="BG27" s="3"/>
      <c r="BH27" s="3"/>
      <c r="BI27" s="3"/>
      <c r="BJ27" s="3"/>
      <c r="BK27" s="3"/>
      <c r="BL27" s="3"/>
      <c r="BM27" s="3"/>
      <c r="BN27" s="3"/>
    </row>
    <row r="28" spans="1:66" x14ac:dyDescent="0.3">
      <c r="A28" s="1" t="s">
        <v>42</v>
      </c>
      <c r="B28" s="11"/>
      <c r="C28" s="11"/>
      <c r="D28" s="3" t="e">
        <f t="shared" si="28"/>
        <v>#DIV/0!</v>
      </c>
      <c r="E28" s="3">
        <v>0</v>
      </c>
      <c r="F28" s="15">
        <v>0</v>
      </c>
      <c r="G28" s="3" t="e">
        <f t="shared" si="29"/>
        <v>#DIV/0!</v>
      </c>
      <c r="H28" s="3">
        <v>0</v>
      </c>
      <c r="I28" s="15">
        <v>0</v>
      </c>
      <c r="J28" s="3" t="e">
        <f t="shared" si="30"/>
        <v>#DIV/0!</v>
      </c>
      <c r="K28" s="3">
        <v>0</v>
      </c>
      <c r="L28" s="15">
        <v>0</v>
      </c>
      <c r="M28" s="3">
        <f t="shared" si="31"/>
        <v>755.80305353690244</v>
      </c>
      <c r="N28" s="3">
        <v>1133629</v>
      </c>
      <c r="O28" s="15">
        <v>1499.9</v>
      </c>
      <c r="P28" s="3">
        <f t="shared" si="32"/>
        <v>773.89851980264041</v>
      </c>
      <c r="Q28" s="3">
        <v>1160693</v>
      </c>
      <c r="R28" s="15">
        <v>1499.8</v>
      </c>
      <c r="S28" s="3" t="e">
        <f t="shared" si="33"/>
        <v>#DIV/0!</v>
      </c>
      <c r="T28" s="3">
        <v>0</v>
      </c>
      <c r="U28" s="15">
        <v>0</v>
      </c>
      <c r="V28" s="3">
        <f t="shared" si="34"/>
        <v>735.03563761270937</v>
      </c>
      <c r="W28" s="3">
        <v>855949</v>
      </c>
      <c r="X28" s="15">
        <v>1164.5</v>
      </c>
      <c r="Y28" s="3">
        <f t="shared" si="35"/>
        <v>1933.4615384615383</v>
      </c>
      <c r="Z28" s="3">
        <v>5027</v>
      </c>
      <c r="AA28" s="15">
        <v>2.6</v>
      </c>
      <c r="AB28" s="3">
        <f t="shared" si="36"/>
        <v>759.99904625655699</v>
      </c>
      <c r="AC28" s="3">
        <v>796859</v>
      </c>
      <c r="AD28" s="15">
        <v>1048.5</v>
      </c>
      <c r="AE28" s="3">
        <f t="shared" si="37"/>
        <v>695.30747046236854</v>
      </c>
      <c r="AF28" s="3">
        <v>1494772</v>
      </c>
      <c r="AG28" s="15">
        <v>2149.8000000000002</v>
      </c>
      <c r="AH28" s="3" t="e">
        <f t="shared" si="38"/>
        <v>#DIV/0!</v>
      </c>
      <c r="AI28" s="3">
        <v>0</v>
      </c>
      <c r="AJ28" s="15">
        <v>0</v>
      </c>
      <c r="AK28" s="3" t="e">
        <f t="shared" si="39"/>
        <v>#DIV/0!</v>
      </c>
      <c r="AL28" s="3">
        <v>0</v>
      </c>
      <c r="AM28" s="15">
        <v>0</v>
      </c>
      <c r="AN28" s="3">
        <f t="shared" si="25"/>
        <v>739.55940856200186</v>
      </c>
      <c r="AO28" s="3">
        <f t="shared" si="26"/>
        <v>5446929</v>
      </c>
      <c r="AP28" s="15">
        <f t="shared" si="27"/>
        <v>7365.1</v>
      </c>
      <c r="AQ28" s="3"/>
      <c r="AR28" s="3"/>
      <c r="AS28" s="3"/>
      <c r="AT28" s="3"/>
      <c r="AU28" s="3"/>
      <c r="AV28" s="3"/>
      <c r="AW28" s="3"/>
      <c r="AX28" s="3"/>
      <c r="AY28" s="3"/>
      <c r="AZ28" s="3"/>
      <c r="BA28" s="3"/>
      <c r="BB28" s="3"/>
      <c r="BC28" s="3"/>
      <c r="BD28" s="3"/>
      <c r="BE28" s="3"/>
      <c r="BF28" s="3"/>
      <c r="BG28" s="3"/>
      <c r="BH28" s="3"/>
      <c r="BI28" s="3"/>
      <c r="BJ28" s="3"/>
      <c r="BK28" s="3"/>
      <c r="BL28" s="3"/>
      <c r="BM28" s="3"/>
      <c r="BN28" s="3"/>
    </row>
    <row r="29" spans="1:66" x14ac:dyDescent="0.3">
      <c r="A29" s="1" t="s">
        <v>43</v>
      </c>
      <c r="B29" s="11"/>
      <c r="C29" s="11"/>
      <c r="D29" s="3" t="e">
        <f t="shared" si="28"/>
        <v>#DIV/0!</v>
      </c>
      <c r="E29" s="3">
        <v>0</v>
      </c>
      <c r="F29" s="15">
        <v>0</v>
      </c>
      <c r="G29" s="3" t="e">
        <f t="shared" si="29"/>
        <v>#DIV/0!</v>
      </c>
      <c r="H29" s="3">
        <v>0</v>
      </c>
      <c r="I29" s="15">
        <v>0</v>
      </c>
      <c r="J29" s="3" t="e">
        <f t="shared" si="30"/>
        <v>#DIV/0!</v>
      </c>
      <c r="K29" s="3">
        <v>0</v>
      </c>
      <c r="L29" s="15">
        <v>0</v>
      </c>
      <c r="M29" s="3">
        <f t="shared" si="31"/>
        <v>2640</v>
      </c>
      <c r="N29" s="3">
        <v>7128</v>
      </c>
      <c r="O29" s="15">
        <v>2.7</v>
      </c>
      <c r="P29" s="3" t="e">
        <f t="shared" si="32"/>
        <v>#DIV/0!</v>
      </c>
      <c r="Q29" s="3">
        <v>0</v>
      </c>
      <c r="R29" s="15">
        <v>0</v>
      </c>
      <c r="S29" s="3" t="e">
        <f t="shared" si="33"/>
        <v>#DIV/0!</v>
      </c>
      <c r="T29" s="3">
        <v>0</v>
      </c>
      <c r="U29" s="15">
        <v>0</v>
      </c>
      <c r="V29" s="3" t="e">
        <f t="shared" si="34"/>
        <v>#DIV/0!</v>
      </c>
      <c r="W29" s="3">
        <v>0</v>
      </c>
      <c r="X29" s="15">
        <v>0</v>
      </c>
      <c r="Y29" s="3" t="e">
        <f t="shared" si="35"/>
        <v>#DIV/0!</v>
      </c>
      <c r="Z29" s="3">
        <v>0</v>
      </c>
      <c r="AA29" s="15">
        <v>0</v>
      </c>
      <c r="AB29" s="3" t="e">
        <f t="shared" si="36"/>
        <v>#DIV/0!</v>
      </c>
      <c r="AC29" s="3">
        <v>0</v>
      </c>
      <c r="AD29" s="15">
        <v>0</v>
      </c>
      <c r="AE29" s="3" t="e">
        <f t="shared" si="37"/>
        <v>#DIV/0!</v>
      </c>
      <c r="AF29" s="3">
        <v>0</v>
      </c>
      <c r="AG29" s="15">
        <v>0</v>
      </c>
      <c r="AH29" s="3" t="e">
        <f t="shared" si="38"/>
        <v>#DIV/0!</v>
      </c>
      <c r="AI29" s="3">
        <v>0</v>
      </c>
      <c r="AJ29" s="15">
        <v>0</v>
      </c>
      <c r="AK29" s="3" t="e">
        <f t="shared" si="39"/>
        <v>#DIV/0!</v>
      </c>
      <c r="AL29" s="3">
        <v>0</v>
      </c>
      <c r="AM29" s="15">
        <v>0</v>
      </c>
      <c r="AN29" s="3">
        <f t="shared" si="25"/>
        <v>2640</v>
      </c>
      <c r="AO29" s="3">
        <f t="shared" si="26"/>
        <v>7128</v>
      </c>
      <c r="AP29" s="15">
        <f t="shared" si="27"/>
        <v>2.7</v>
      </c>
      <c r="AQ29" s="3"/>
      <c r="AR29" s="3"/>
      <c r="AS29" s="3"/>
      <c r="AT29" s="3"/>
      <c r="AU29" s="3"/>
      <c r="AV29" s="3"/>
      <c r="AW29" s="3"/>
      <c r="AX29" s="3"/>
      <c r="AY29" s="3"/>
      <c r="AZ29" s="3"/>
      <c r="BA29" s="3"/>
      <c r="BB29" s="3"/>
      <c r="BC29" s="3"/>
      <c r="BD29" s="3"/>
      <c r="BE29" s="3"/>
      <c r="BF29" s="3"/>
      <c r="BG29" s="3"/>
      <c r="BH29" s="3"/>
      <c r="BI29" s="3"/>
      <c r="BJ29" s="3"/>
      <c r="BK29" s="3"/>
      <c r="BL29" s="3"/>
      <c r="BM29" s="3"/>
      <c r="BN29" s="3"/>
    </row>
    <row r="30" spans="1:66" x14ac:dyDescent="0.3">
      <c r="A30" s="1" t="s">
        <v>44</v>
      </c>
      <c r="B30" s="11"/>
      <c r="C30" s="11"/>
      <c r="D30" s="3">
        <f t="shared" si="28"/>
        <v>799.73049829496517</v>
      </c>
      <c r="E30" s="3">
        <v>6777636</v>
      </c>
      <c r="F30" s="15">
        <v>8474.9</v>
      </c>
      <c r="G30" s="3">
        <f t="shared" si="29"/>
        <v>784.013248343957</v>
      </c>
      <c r="H30" s="3">
        <v>3136445</v>
      </c>
      <c r="I30" s="15">
        <v>4000.5</v>
      </c>
      <c r="J30" s="3">
        <f t="shared" si="30"/>
        <v>781.3313568431638</v>
      </c>
      <c r="K30" s="3">
        <v>9013126</v>
      </c>
      <c r="L30" s="15">
        <v>11535.6</v>
      </c>
      <c r="M30" s="3">
        <f t="shared" si="31"/>
        <v>763.40900479919173</v>
      </c>
      <c r="N30" s="3">
        <v>7253607</v>
      </c>
      <c r="O30" s="15">
        <v>9501.6</v>
      </c>
      <c r="P30" s="3">
        <f t="shared" si="32"/>
        <v>771.7011735680469</v>
      </c>
      <c r="Q30" s="3">
        <v>4629281</v>
      </c>
      <c r="R30" s="15">
        <v>5998.8</v>
      </c>
      <c r="S30" s="3">
        <f t="shared" si="33"/>
        <v>738.01339863082194</v>
      </c>
      <c r="T30" s="3">
        <v>8559627</v>
      </c>
      <c r="U30" s="15">
        <v>11598.2</v>
      </c>
      <c r="V30" s="3">
        <f t="shared" si="34"/>
        <v>1568.3636363636363</v>
      </c>
      <c r="W30" s="3">
        <v>17252</v>
      </c>
      <c r="X30" s="15">
        <v>11</v>
      </c>
      <c r="Y30" s="3" t="e">
        <f t="shared" si="35"/>
        <v>#DIV/0!</v>
      </c>
      <c r="Z30" s="3">
        <v>0</v>
      </c>
      <c r="AA30" s="15">
        <v>0</v>
      </c>
      <c r="AB30" s="3">
        <f t="shared" si="36"/>
        <v>740.40942431651479</v>
      </c>
      <c r="AC30" s="3">
        <v>3331102</v>
      </c>
      <c r="AD30" s="15">
        <v>4499</v>
      </c>
      <c r="AE30" s="3">
        <f t="shared" si="37"/>
        <v>713.98319915995796</v>
      </c>
      <c r="AF30" s="3">
        <v>7139475</v>
      </c>
      <c r="AG30" s="15">
        <v>9999.5</v>
      </c>
      <c r="AH30" s="3">
        <f t="shared" si="38"/>
        <v>690.12315900628028</v>
      </c>
      <c r="AI30" s="3">
        <v>6208693</v>
      </c>
      <c r="AJ30" s="15">
        <v>8996.5</v>
      </c>
      <c r="AK30" s="3" t="e">
        <f t="shared" si="39"/>
        <v>#DIV/0!</v>
      </c>
      <c r="AL30" s="3">
        <v>0</v>
      </c>
      <c r="AM30" s="15">
        <v>0</v>
      </c>
      <c r="AN30" s="3">
        <f t="shared" si="25"/>
        <v>751.40110111022352</v>
      </c>
      <c r="AO30" s="3">
        <f t="shared" si="26"/>
        <v>56066244</v>
      </c>
      <c r="AP30" s="15">
        <f t="shared" si="27"/>
        <v>74615.600000000006</v>
      </c>
      <c r="AQ30" s="3"/>
      <c r="AR30" s="3"/>
      <c r="AS30" s="3"/>
      <c r="AT30" s="3"/>
      <c r="AU30" s="3"/>
      <c r="AV30" s="3"/>
      <c r="AW30" s="3"/>
      <c r="AX30" s="3"/>
      <c r="AY30" s="3"/>
      <c r="AZ30" s="3"/>
      <c r="BA30" s="3"/>
      <c r="BB30" s="3"/>
      <c r="BC30" s="3"/>
      <c r="BD30" s="3"/>
      <c r="BE30" s="3"/>
      <c r="BF30" s="3"/>
      <c r="BG30" s="3"/>
      <c r="BH30" s="3"/>
      <c r="BI30" s="3"/>
      <c r="BJ30" s="3"/>
      <c r="BK30" s="3"/>
      <c r="BL30" s="3"/>
      <c r="BM30" s="3"/>
      <c r="BN30" s="3"/>
    </row>
    <row r="31" spans="1:66" x14ac:dyDescent="0.3">
      <c r="A31" s="1" t="s">
        <v>45</v>
      </c>
      <c r="B31" s="11"/>
      <c r="C31" s="11"/>
      <c r="D31" s="3" t="e">
        <f t="shared" si="28"/>
        <v>#DIV/0!</v>
      </c>
      <c r="E31" s="3">
        <v>0</v>
      </c>
      <c r="F31" s="15">
        <v>0</v>
      </c>
      <c r="G31" s="3" t="e">
        <f t="shared" si="29"/>
        <v>#DIV/0!</v>
      </c>
      <c r="H31" s="3">
        <v>0</v>
      </c>
      <c r="I31" s="15">
        <v>0</v>
      </c>
      <c r="J31" s="3">
        <f t="shared" si="30"/>
        <v>888.67298578199052</v>
      </c>
      <c r="K31" s="3">
        <v>56253</v>
      </c>
      <c r="L31" s="15">
        <v>63.3</v>
      </c>
      <c r="M31" s="3" t="e">
        <f t="shared" si="31"/>
        <v>#DIV/0!</v>
      </c>
      <c r="N31" s="3">
        <v>0</v>
      </c>
      <c r="O31" s="15">
        <v>0</v>
      </c>
      <c r="P31" s="3">
        <f t="shared" si="32"/>
        <v>1486.9968304278923</v>
      </c>
      <c r="Q31" s="3">
        <v>187659</v>
      </c>
      <c r="R31" s="15">
        <v>126.2</v>
      </c>
      <c r="S31" s="3">
        <f t="shared" si="33"/>
        <v>1098.1094049904029</v>
      </c>
      <c r="T31" s="3">
        <v>114423</v>
      </c>
      <c r="U31" s="15">
        <v>104.2</v>
      </c>
      <c r="V31" s="3" t="e">
        <f t="shared" si="34"/>
        <v>#DIV/0!</v>
      </c>
      <c r="W31" s="3">
        <v>0</v>
      </c>
      <c r="X31" s="15">
        <v>0</v>
      </c>
      <c r="Y31" s="3" t="e">
        <f t="shared" si="35"/>
        <v>#DIV/0!</v>
      </c>
      <c r="Z31" s="3">
        <v>0</v>
      </c>
      <c r="AA31" s="15">
        <v>0</v>
      </c>
      <c r="AB31" s="3" t="e">
        <f t="shared" si="36"/>
        <v>#DIV/0!</v>
      </c>
      <c r="AC31" s="3">
        <v>0</v>
      </c>
      <c r="AD31" s="15">
        <v>0</v>
      </c>
      <c r="AE31" s="3" t="e">
        <f t="shared" si="37"/>
        <v>#DIV/0!</v>
      </c>
      <c r="AF31" s="3">
        <v>0</v>
      </c>
      <c r="AG31" s="15">
        <v>0</v>
      </c>
      <c r="AH31" s="3" t="e">
        <f t="shared" si="38"/>
        <v>#DIV/0!</v>
      </c>
      <c r="AI31" s="3">
        <v>0</v>
      </c>
      <c r="AJ31" s="15">
        <v>0</v>
      </c>
      <c r="AK31" s="3" t="e">
        <f t="shared" si="39"/>
        <v>#DIV/0!</v>
      </c>
      <c r="AL31" s="3">
        <v>0</v>
      </c>
      <c r="AM31" s="15">
        <v>0</v>
      </c>
      <c r="AN31" s="3">
        <f t="shared" si="25"/>
        <v>1220.0715015321757</v>
      </c>
      <c r="AO31" s="3">
        <f t="shared" si="26"/>
        <v>358335</v>
      </c>
      <c r="AP31" s="15">
        <f t="shared" si="27"/>
        <v>293.7</v>
      </c>
      <c r="AQ31" s="3"/>
      <c r="AR31" s="3"/>
      <c r="AS31" s="3"/>
      <c r="AT31" s="3"/>
      <c r="AU31" s="3"/>
      <c r="AV31" s="3"/>
      <c r="AW31" s="3"/>
      <c r="AX31" s="3"/>
      <c r="AY31" s="3"/>
      <c r="AZ31" s="3"/>
      <c r="BA31" s="3"/>
      <c r="BB31" s="3"/>
      <c r="BC31" s="3"/>
      <c r="BD31" s="3"/>
      <c r="BE31" s="3"/>
      <c r="BF31" s="3"/>
      <c r="BG31" s="3"/>
      <c r="BH31" s="3"/>
      <c r="BI31" s="3"/>
      <c r="BJ31" s="3"/>
      <c r="BK31" s="3"/>
      <c r="BL31" s="3"/>
      <c r="BM31" s="3"/>
      <c r="BN31" s="3"/>
    </row>
    <row r="32" spans="1:66" x14ac:dyDescent="0.3">
      <c r="A32" s="1" t="s">
        <v>46</v>
      </c>
      <c r="B32" s="11"/>
      <c r="C32" s="11"/>
      <c r="D32" s="3" t="e">
        <f t="shared" si="28"/>
        <v>#DIV/0!</v>
      </c>
      <c r="E32" s="3">
        <v>0</v>
      </c>
      <c r="F32" s="15">
        <v>0</v>
      </c>
      <c r="G32" s="3" t="e">
        <f t="shared" si="29"/>
        <v>#DIV/0!</v>
      </c>
      <c r="H32" s="3">
        <v>0</v>
      </c>
      <c r="I32" s="15">
        <v>0</v>
      </c>
      <c r="J32" s="3" t="e">
        <f t="shared" si="30"/>
        <v>#DIV/0!</v>
      </c>
      <c r="K32" s="3">
        <v>0</v>
      </c>
      <c r="L32" s="15">
        <v>0</v>
      </c>
      <c r="M32" s="3" t="e">
        <f t="shared" si="31"/>
        <v>#DIV/0!</v>
      </c>
      <c r="N32" s="3">
        <v>0</v>
      </c>
      <c r="O32" s="15">
        <v>0</v>
      </c>
      <c r="P32" s="3" t="e">
        <f t="shared" si="32"/>
        <v>#DIV/0!</v>
      </c>
      <c r="Q32" s="3">
        <v>0</v>
      </c>
      <c r="R32" s="15">
        <v>0</v>
      </c>
      <c r="S32" s="3">
        <f t="shared" si="33"/>
        <v>760.05609382967873</v>
      </c>
      <c r="T32" s="3">
        <v>149047</v>
      </c>
      <c r="U32" s="15">
        <v>196.1</v>
      </c>
      <c r="V32" s="3" t="e">
        <f t="shared" si="34"/>
        <v>#DIV/0!</v>
      </c>
      <c r="W32" s="3">
        <v>0</v>
      </c>
      <c r="X32" s="15">
        <v>0</v>
      </c>
      <c r="Y32" s="3" t="e">
        <f t="shared" si="35"/>
        <v>#DIV/0!</v>
      </c>
      <c r="Z32" s="3">
        <v>0</v>
      </c>
      <c r="AA32" s="15">
        <v>0</v>
      </c>
      <c r="AB32" s="3" t="e">
        <f t="shared" si="36"/>
        <v>#DIV/0!</v>
      </c>
      <c r="AC32" s="3">
        <v>0</v>
      </c>
      <c r="AD32" s="15">
        <v>0</v>
      </c>
      <c r="AE32" s="3" t="e">
        <f t="shared" si="37"/>
        <v>#DIV/0!</v>
      </c>
      <c r="AF32" s="3">
        <v>0</v>
      </c>
      <c r="AG32" s="15">
        <v>0</v>
      </c>
      <c r="AH32" s="3" t="e">
        <f t="shared" si="38"/>
        <v>#DIV/0!</v>
      </c>
      <c r="AI32" s="3">
        <v>0</v>
      </c>
      <c r="AJ32" s="15">
        <v>0</v>
      </c>
      <c r="AK32" s="3" t="e">
        <f t="shared" si="39"/>
        <v>#DIV/0!</v>
      </c>
      <c r="AL32" s="3">
        <v>0</v>
      </c>
      <c r="AM32" s="15">
        <v>0</v>
      </c>
      <c r="AN32" s="3">
        <f t="shared" si="25"/>
        <v>760.05609382967873</v>
      </c>
      <c r="AO32" s="3">
        <f t="shared" si="26"/>
        <v>149047</v>
      </c>
      <c r="AP32" s="15">
        <f t="shared" si="27"/>
        <v>196.1</v>
      </c>
      <c r="AQ32" s="3"/>
      <c r="AR32" s="3"/>
      <c r="AS32" s="3"/>
      <c r="AT32" s="3"/>
      <c r="AU32" s="3"/>
      <c r="AV32" s="3"/>
      <c r="AW32" s="3"/>
      <c r="AX32" s="3"/>
      <c r="AY32" s="3"/>
      <c r="AZ32" s="3"/>
      <c r="BA32" s="3"/>
      <c r="BB32" s="3"/>
      <c r="BC32" s="3"/>
      <c r="BD32" s="3"/>
      <c r="BE32" s="3"/>
      <c r="BF32" s="3"/>
      <c r="BG32" s="3"/>
      <c r="BH32" s="3"/>
      <c r="BI32" s="3"/>
      <c r="BJ32" s="3"/>
      <c r="BK32" s="3"/>
      <c r="BL32" s="3"/>
      <c r="BM32" s="3"/>
      <c r="BN32" s="3"/>
    </row>
    <row r="33" spans="1:66" x14ac:dyDescent="0.3">
      <c r="A33" s="1" t="s">
        <v>47</v>
      </c>
      <c r="B33" s="11"/>
      <c r="C33" s="11"/>
      <c r="D33" s="3" t="e">
        <f t="shared" si="28"/>
        <v>#DIV/0!</v>
      </c>
      <c r="E33" s="3">
        <v>0</v>
      </c>
      <c r="F33" s="15">
        <v>0</v>
      </c>
      <c r="G33" s="3" t="e">
        <f t="shared" si="29"/>
        <v>#DIV/0!</v>
      </c>
      <c r="H33" s="3">
        <v>0</v>
      </c>
      <c r="I33" s="15">
        <v>0</v>
      </c>
      <c r="J33" s="3">
        <f t="shared" si="30"/>
        <v>1644.4444444444443</v>
      </c>
      <c r="K33" s="3">
        <v>8880</v>
      </c>
      <c r="L33" s="15">
        <v>5.4</v>
      </c>
      <c r="M33" s="3">
        <f t="shared" si="31"/>
        <v>2684.9557522123891</v>
      </c>
      <c r="N33" s="3">
        <v>30340</v>
      </c>
      <c r="O33" s="15">
        <v>11.3</v>
      </c>
      <c r="P33" s="3" t="e">
        <f t="shared" si="32"/>
        <v>#DIV/0!</v>
      </c>
      <c r="Q33" s="3">
        <v>0</v>
      </c>
      <c r="R33" s="15">
        <v>0</v>
      </c>
      <c r="S33" s="3" t="e">
        <f t="shared" si="33"/>
        <v>#DIV/0!</v>
      </c>
      <c r="T33" s="3">
        <v>0</v>
      </c>
      <c r="U33" s="15">
        <v>0</v>
      </c>
      <c r="V33" s="3" t="e">
        <f t="shared" si="34"/>
        <v>#DIV/0!</v>
      </c>
      <c r="W33" s="3">
        <v>0</v>
      </c>
      <c r="X33" s="15">
        <v>0</v>
      </c>
      <c r="Y33" s="3" t="e">
        <f t="shared" si="35"/>
        <v>#DIV/0!</v>
      </c>
      <c r="Z33" s="3">
        <v>0</v>
      </c>
      <c r="AA33" s="15">
        <v>0</v>
      </c>
      <c r="AB33" s="3" t="e">
        <f t="shared" si="36"/>
        <v>#DIV/0!</v>
      </c>
      <c r="AC33" s="3">
        <v>0</v>
      </c>
      <c r="AD33" s="15">
        <v>0</v>
      </c>
      <c r="AE33" s="3" t="e">
        <f t="shared" si="37"/>
        <v>#DIV/0!</v>
      </c>
      <c r="AF33" s="3">
        <v>0</v>
      </c>
      <c r="AG33" s="15">
        <v>0</v>
      </c>
      <c r="AH33" s="3" t="e">
        <f t="shared" si="38"/>
        <v>#DIV/0!</v>
      </c>
      <c r="AI33" s="3">
        <v>0</v>
      </c>
      <c r="AJ33" s="15">
        <v>0</v>
      </c>
      <c r="AK33" s="3" t="e">
        <f t="shared" si="39"/>
        <v>#DIV/0!</v>
      </c>
      <c r="AL33" s="3">
        <v>0</v>
      </c>
      <c r="AM33" s="15">
        <v>0</v>
      </c>
      <c r="AN33" s="3">
        <f t="shared" si="25"/>
        <v>2348.5029940119757</v>
      </c>
      <c r="AO33" s="3">
        <f t="shared" si="26"/>
        <v>39220</v>
      </c>
      <c r="AP33" s="15">
        <f t="shared" si="27"/>
        <v>16.700000000000003</v>
      </c>
      <c r="AQ33" s="3"/>
      <c r="AR33" s="3"/>
      <c r="AS33" s="3"/>
      <c r="AT33" s="3"/>
      <c r="AU33" s="3"/>
      <c r="AV33" s="3"/>
      <c r="AW33" s="3"/>
      <c r="AX33" s="3"/>
      <c r="AY33" s="3"/>
      <c r="AZ33" s="3"/>
      <c r="BA33" s="3"/>
      <c r="BB33" s="3"/>
      <c r="BC33" s="3"/>
      <c r="BD33" s="3"/>
      <c r="BE33" s="3"/>
      <c r="BF33" s="3"/>
      <c r="BG33" s="3"/>
      <c r="BH33" s="3"/>
      <c r="BI33" s="3"/>
      <c r="BJ33" s="3"/>
      <c r="BK33" s="3"/>
      <c r="BL33" s="3"/>
      <c r="BM33" s="3"/>
      <c r="BN33" s="3"/>
    </row>
    <row r="34" spans="1:66" x14ac:dyDescent="0.3">
      <c r="A34" s="1" t="s">
        <v>48</v>
      </c>
      <c r="B34" s="11"/>
      <c r="C34" s="11"/>
      <c r="D34" s="3">
        <f t="shared" si="28"/>
        <v>2320.7981410385937</v>
      </c>
      <c r="E34" s="3">
        <v>1148563</v>
      </c>
      <c r="F34" s="15">
        <v>494.9</v>
      </c>
      <c r="G34" s="3">
        <f t="shared" si="29"/>
        <v>1654.1176470588236</v>
      </c>
      <c r="H34" s="3">
        <v>2812</v>
      </c>
      <c r="I34" s="15">
        <v>1.7</v>
      </c>
      <c r="J34" s="3">
        <f t="shared" si="30"/>
        <v>2362.1312787672605</v>
      </c>
      <c r="K34" s="3">
        <v>1180357</v>
      </c>
      <c r="L34" s="15">
        <v>499.7</v>
      </c>
      <c r="M34" s="3" t="e">
        <f t="shared" si="31"/>
        <v>#DIV/0!</v>
      </c>
      <c r="N34" s="3">
        <v>0</v>
      </c>
      <c r="O34" s="15">
        <v>0</v>
      </c>
      <c r="P34" s="3" t="e">
        <f t="shared" si="32"/>
        <v>#DIV/0!</v>
      </c>
      <c r="Q34" s="3">
        <v>0</v>
      </c>
      <c r="R34" s="15">
        <v>0</v>
      </c>
      <c r="S34" s="3">
        <f t="shared" si="33"/>
        <v>2340.8139534883721</v>
      </c>
      <c r="T34" s="3">
        <v>1167598</v>
      </c>
      <c r="U34" s="15">
        <v>498.8</v>
      </c>
      <c r="V34" s="3" t="e">
        <f t="shared" si="34"/>
        <v>#DIV/0!</v>
      </c>
      <c r="W34" s="3">
        <v>0</v>
      </c>
      <c r="X34" s="15">
        <v>0</v>
      </c>
      <c r="Y34" s="3" t="e">
        <f t="shared" si="35"/>
        <v>#DIV/0!</v>
      </c>
      <c r="Z34" s="3">
        <v>0</v>
      </c>
      <c r="AA34" s="15">
        <v>0</v>
      </c>
      <c r="AB34" s="3" t="e">
        <f t="shared" si="36"/>
        <v>#DIV/0!</v>
      </c>
      <c r="AC34" s="3">
        <v>0</v>
      </c>
      <c r="AD34" s="15">
        <v>0</v>
      </c>
      <c r="AE34" s="3">
        <f t="shared" si="37"/>
        <v>2195.0130078046827</v>
      </c>
      <c r="AF34" s="3">
        <v>1096848</v>
      </c>
      <c r="AG34" s="15">
        <v>499.7</v>
      </c>
      <c r="AH34" s="3" t="e">
        <f t="shared" si="38"/>
        <v>#DIV/0!</v>
      </c>
      <c r="AI34" s="3">
        <v>0</v>
      </c>
      <c r="AJ34" s="15">
        <v>0</v>
      </c>
      <c r="AK34" s="3" t="e">
        <f t="shared" si="39"/>
        <v>#DIV/0!</v>
      </c>
      <c r="AL34" s="3">
        <v>0</v>
      </c>
      <c r="AM34" s="15">
        <v>0</v>
      </c>
      <c r="AN34" s="3">
        <f t="shared" si="25"/>
        <v>2304.0796069781431</v>
      </c>
      <c r="AO34" s="3">
        <f t="shared" si="26"/>
        <v>4596178</v>
      </c>
      <c r="AP34" s="15">
        <f t="shared" si="27"/>
        <v>1994.8</v>
      </c>
      <c r="AQ34" s="3"/>
      <c r="AR34" s="3"/>
      <c r="AS34" s="3"/>
      <c r="AT34" s="3"/>
      <c r="AU34" s="3"/>
      <c r="AV34" s="3"/>
      <c r="AW34" s="3"/>
      <c r="AX34" s="3"/>
      <c r="AY34" s="3"/>
      <c r="AZ34" s="3"/>
      <c r="BA34" s="3"/>
      <c r="BB34" s="3"/>
      <c r="BC34" s="3"/>
      <c r="BD34" s="3"/>
      <c r="BE34" s="3"/>
      <c r="BF34" s="3"/>
      <c r="BG34" s="3"/>
      <c r="BH34" s="3"/>
      <c r="BI34" s="3"/>
      <c r="BJ34" s="3"/>
      <c r="BK34" s="3"/>
      <c r="BL34" s="3"/>
      <c r="BM34" s="3"/>
      <c r="BN34" s="3"/>
    </row>
    <row r="35" spans="1:66" x14ac:dyDescent="0.3">
      <c r="A35" s="1" t="s">
        <v>49</v>
      </c>
      <c r="B35" s="11"/>
      <c r="C35" s="11"/>
      <c r="D35" s="3" t="e">
        <f t="shared" si="28"/>
        <v>#DIV/0!</v>
      </c>
      <c r="E35" s="3">
        <v>0</v>
      </c>
      <c r="F35" s="15">
        <v>0</v>
      </c>
      <c r="G35" s="3">
        <f t="shared" si="29"/>
        <v>1052.9230769230769</v>
      </c>
      <c r="H35" s="3">
        <v>34220</v>
      </c>
      <c r="I35" s="15">
        <v>32.5</v>
      </c>
      <c r="J35" s="3">
        <f t="shared" si="30"/>
        <v>762.71186440677957</v>
      </c>
      <c r="K35" s="3">
        <v>9000</v>
      </c>
      <c r="L35" s="15">
        <v>11.8</v>
      </c>
      <c r="M35" s="3" t="e">
        <f t="shared" si="31"/>
        <v>#DIV/0!</v>
      </c>
      <c r="N35" s="3">
        <v>0</v>
      </c>
      <c r="O35" s="15">
        <v>0</v>
      </c>
      <c r="P35" s="3" t="e">
        <f t="shared" si="32"/>
        <v>#DIV/0!</v>
      </c>
      <c r="Q35" s="3">
        <v>0</v>
      </c>
      <c r="R35" s="15">
        <v>0</v>
      </c>
      <c r="S35" s="3">
        <f t="shared" si="33"/>
        <v>1077.7952755905512</v>
      </c>
      <c r="T35" s="3">
        <v>82128</v>
      </c>
      <c r="U35" s="15">
        <v>76.2</v>
      </c>
      <c r="V35" s="3">
        <f t="shared" si="34"/>
        <v>1352.6595744680851</v>
      </c>
      <c r="W35" s="3">
        <v>50860</v>
      </c>
      <c r="X35" s="15">
        <v>37.6</v>
      </c>
      <c r="Y35" s="3">
        <f t="shared" si="35"/>
        <v>1807.3109243697479</v>
      </c>
      <c r="Z35" s="3">
        <v>86028</v>
      </c>
      <c r="AA35" s="15">
        <v>47.6</v>
      </c>
      <c r="AB35" s="3">
        <f t="shared" si="36"/>
        <v>760.75388026607538</v>
      </c>
      <c r="AC35" s="3">
        <v>34310</v>
      </c>
      <c r="AD35" s="15">
        <v>45.1</v>
      </c>
      <c r="AE35" s="3">
        <f t="shared" si="37"/>
        <v>1028.0395683453237</v>
      </c>
      <c r="AF35" s="3">
        <v>57159</v>
      </c>
      <c r="AG35" s="15">
        <v>55.6</v>
      </c>
      <c r="AH35" s="3">
        <f t="shared" si="38"/>
        <v>760.47619047619048</v>
      </c>
      <c r="AI35" s="3">
        <v>15970</v>
      </c>
      <c r="AJ35" s="15">
        <v>21</v>
      </c>
      <c r="AK35" s="3" t="e">
        <f t="shared" si="39"/>
        <v>#DIV/0!</v>
      </c>
      <c r="AL35" s="3">
        <v>0</v>
      </c>
      <c r="AM35" s="15">
        <v>0</v>
      </c>
      <c r="AN35" s="3">
        <f t="shared" si="25"/>
        <v>1129.1233964569335</v>
      </c>
      <c r="AO35" s="3">
        <f t="shared" si="26"/>
        <v>369675</v>
      </c>
      <c r="AP35" s="15">
        <f t="shared" si="27"/>
        <v>327.39999999999998</v>
      </c>
      <c r="AQ35" s="3"/>
      <c r="AR35" s="3"/>
      <c r="AS35" s="3"/>
      <c r="AT35" s="3"/>
      <c r="AU35" s="3"/>
      <c r="AV35" s="3"/>
      <c r="AW35" s="3"/>
      <c r="AX35" s="3"/>
      <c r="AY35" s="3"/>
      <c r="AZ35" s="3"/>
      <c r="BA35" s="3"/>
      <c r="BB35" s="3"/>
      <c r="BC35" s="3"/>
      <c r="BD35" s="3"/>
      <c r="BE35" s="3"/>
      <c r="BF35" s="3"/>
      <c r="BG35" s="3"/>
      <c r="BH35" s="3"/>
      <c r="BI35" s="3"/>
      <c r="BJ35" s="3"/>
      <c r="BK35" s="3"/>
      <c r="BL35" s="3"/>
      <c r="BM35" s="3"/>
      <c r="BN35" s="3"/>
    </row>
    <row r="36" spans="1:66" x14ac:dyDescent="0.3">
      <c r="A36" s="1" t="s">
        <v>50</v>
      </c>
      <c r="B36" s="11"/>
      <c r="C36" s="11"/>
      <c r="D36" s="3" t="e">
        <f t="shared" si="28"/>
        <v>#DIV/0!</v>
      </c>
      <c r="E36" s="3">
        <v>0</v>
      </c>
      <c r="F36" s="15">
        <v>0</v>
      </c>
      <c r="G36" s="3" t="e">
        <f t="shared" si="29"/>
        <v>#DIV/0!</v>
      </c>
      <c r="H36" s="3">
        <v>0</v>
      </c>
      <c r="I36" s="15">
        <v>0</v>
      </c>
      <c r="J36" s="3" t="e">
        <f t="shared" si="30"/>
        <v>#DIV/0!</v>
      </c>
      <c r="K36" s="3">
        <v>0</v>
      </c>
      <c r="L36" s="15">
        <v>0</v>
      </c>
      <c r="M36" s="3" t="e">
        <f t="shared" si="31"/>
        <v>#DIV/0!</v>
      </c>
      <c r="N36" s="3">
        <v>0</v>
      </c>
      <c r="O36" s="15">
        <v>0</v>
      </c>
      <c r="P36" s="3" t="e">
        <f t="shared" si="32"/>
        <v>#DIV/0!</v>
      </c>
      <c r="Q36" s="3">
        <v>0</v>
      </c>
      <c r="R36" s="15">
        <v>0</v>
      </c>
      <c r="S36" s="3">
        <f t="shared" si="33"/>
        <v>769.23076923076928</v>
      </c>
      <c r="T36" s="3">
        <v>3000</v>
      </c>
      <c r="U36" s="15">
        <v>3.9</v>
      </c>
      <c r="V36" s="3" t="e">
        <f t="shared" si="34"/>
        <v>#DIV/0!</v>
      </c>
      <c r="W36" s="3">
        <v>0</v>
      </c>
      <c r="X36" s="15">
        <v>0</v>
      </c>
      <c r="Y36" s="3" t="e">
        <f t="shared" si="35"/>
        <v>#DIV/0!</v>
      </c>
      <c r="Z36" s="3">
        <v>0</v>
      </c>
      <c r="AA36" s="15">
        <v>0</v>
      </c>
      <c r="AB36" s="3" t="e">
        <f t="shared" si="36"/>
        <v>#DIV/0!</v>
      </c>
      <c r="AC36" s="3">
        <v>0</v>
      </c>
      <c r="AD36" s="15">
        <v>0</v>
      </c>
      <c r="AE36" s="3" t="e">
        <f t="shared" si="37"/>
        <v>#DIV/0!</v>
      </c>
      <c r="AF36" s="3">
        <v>0</v>
      </c>
      <c r="AG36" s="15">
        <v>0</v>
      </c>
      <c r="AH36" s="3" t="e">
        <f t="shared" si="38"/>
        <v>#DIV/0!</v>
      </c>
      <c r="AI36" s="3">
        <v>0</v>
      </c>
      <c r="AJ36" s="15">
        <v>0</v>
      </c>
      <c r="AK36" s="3" t="e">
        <f t="shared" si="39"/>
        <v>#DIV/0!</v>
      </c>
      <c r="AL36" s="3">
        <v>0</v>
      </c>
      <c r="AM36" s="15">
        <v>0</v>
      </c>
      <c r="AN36" s="3">
        <f t="shared" si="25"/>
        <v>769.23076923076928</v>
      </c>
      <c r="AO36" s="3">
        <f t="shared" si="26"/>
        <v>3000</v>
      </c>
      <c r="AP36" s="15">
        <f t="shared" si="27"/>
        <v>3.9</v>
      </c>
      <c r="AQ36" s="3"/>
      <c r="AR36" s="3"/>
      <c r="AS36" s="3"/>
      <c r="AT36" s="3"/>
      <c r="AU36" s="3"/>
      <c r="AV36" s="3"/>
      <c r="AW36" s="3"/>
      <c r="AX36" s="3"/>
      <c r="AY36" s="3"/>
      <c r="AZ36" s="3"/>
      <c r="BA36" s="3"/>
      <c r="BB36" s="3"/>
      <c r="BC36" s="3"/>
      <c r="BD36" s="3"/>
      <c r="BE36" s="3"/>
      <c r="BF36" s="3"/>
      <c r="BG36" s="3"/>
      <c r="BH36" s="3"/>
      <c r="BI36" s="3"/>
      <c r="BJ36" s="3"/>
      <c r="BK36" s="3"/>
      <c r="BL36" s="3"/>
      <c r="BM36" s="3"/>
      <c r="BN36" s="3"/>
    </row>
    <row r="37" spans="1:66" x14ac:dyDescent="0.3">
      <c r="A37" s="1" t="s">
        <v>51</v>
      </c>
      <c r="B37" s="11"/>
      <c r="C37" s="11"/>
      <c r="D37" s="3" t="e">
        <f t="shared" si="28"/>
        <v>#DIV/0!</v>
      </c>
      <c r="E37" s="3">
        <v>0</v>
      </c>
      <c r="F37" s="15">
        <v>0</v>
      </c>
      <c r="G37" s="3" t="e">
        <f t="shared" si="29"/>
        <v>#DIV/0!</v>
      </c>
      <c r="H37" s="3">
        <v>0</v>
      </c>
      <c r="I37" s="15">
        <v>0</v>
      </c>
      <c r="J37" s="3" t="e">
        <f t="shared" si="30"/>
        <v>#DIV/0!</v>
      </c>
      <c r="K37" s="3">
        <v>0</v>
      </c>
      <c r="L37" s="15">
        <v>0</v>
      </c>
      <c r="M37" s="3" t="e">
        <f t="shared" si="31"/>
        <v>#DIV/0!</v>
      </c>
      <c r="N37" s="3">
        <v>0</v>
      </c>
      <c r="O37" s="15">
        <v>0</v>
      </c>
      <c r="P37" s="3" t="e">
        <f t="shared" si="32"/>
        <v>#DIV/0!</v>
      </c>
      <c r="Q37" s="3">
        <v>0</v>
      </c>
      <c r="R37" s="15">
        <v>0</v>
      </c>
      <c r="S37" s="3" t="e">
        <f t="shared" si="33"/>
        <v>#DIV/0!</v>
      </c>
      <c r="T37" s="3">
        <v>0</v>
      </c>
      <c r="U37" s="15">
        <v>0</v>
      </c>
      <c r="V37" s="3" t="e">
        <f t="shared" si="34"/>
        <v>#DIV/0!</v>
      </c>
      <c r="W37" s="3">
        <v>0</v>
      </c>
      <c r="X37" s="15">
        <v>0</v>
      </c>
      <c r="Y37" s="3">
        <f t="shared" si="35"/>
        <v>0</v>
      </c>
      <c r="Z37" s="3">
        <v>0</v>
      </c>
      <c r="AA37" s="15">
        <v>11798.3</v>
      </c>
      <c r="AB37" s="3" t="e">
        <f t="shared" si="36"/>
        <v>#DIV/0!</v>
      </c>
      <c r="AC37" s="3">
        <v>0</v>
      </c>
      <c r="AD37" s="15">
        <v>0</v>
      </c>
      <c r="AE37" s="3" t="e">
        <f t="shared" si="37"/>
        <v>#DIV/0!</v>
      </c>
      <c r="AF37" s="3">
        <v>0</v>
      </c>
      <c r="AG37" s="15">
        <v>0</v>
      </c>
      <c r="AH37" s="3" t="e">
        <f t="shared" si="38"/>
        <v>#DIV/0!</v>
      </c>
      <c r="AI37" s="3">
        <v>0</v>
      </c>
      <c r="AJ37" s="15">
        <v>0</v>
      </c>
      <c r="AK37" s="3" t="e">
        <f t="shared" si="39"/>
        <v>#DIV/0!</v>
      </c>
      <c r="AL37" s="3">
        <v>0</v>
      </c>
      <c r="AM37" s="15">
        <v>0</v>
      </c>
      <c r="AN37" s="3">
        <f t="shared" si="25"/>
        <v>0</v>
      </c>
      <c r="AO37" s="3">
        <f t="shared" si="26"/>
        <v>0</v>
      </c>
      <c r="AP37" s="15">
        <f t="shared" si="27"/>
        <v>11798.3</v>
      </c>
      <c r="AQ37" s="3"/>
      <c r="AR37" s="3"/>
      <c r="AS37" s="3"/>
      <c r="AT37" s="3"/>
      <c r="AU37" s="3"/>
      <c r="AV37" s="3"/>
      <c r="AW37" s="3"/>
      <c r="AX37" s="3"/>
      <c r="AY37" s="3"/>
      <c r="AZ37" s="3"/>
      <c r="BA37" s="3"/>
      <c r="BB37" s="3"/>
      <c r="BC37" s="3"/>
      <c r="BD37" s="3"/>
      <c r="BE37" s="3"/>
      <c r="BF37" s="3"/>
      <c r="BG37" s="3"/>
      <c r="BH37" s="3"/>
      <c r="BI37" s="3"/>
      <c r="BJ37" s="3"/>
      <c r="BK37" s="3"/>
      <c r="BL37" s="3"/>
      <c r="BM37" s="3"/>
      <c r="BN37" s="3"/>
    </row>
    <row r="38" spans="1:66" x14ac:dyDescent="0.3">
      <c r="A38" s="1" t="s">
        <v>52</v>
      </c>
      <c r="B38" s="11"/>
      <c r="C38" s="11"/>
      <c r="D38" s="3" t="e">
        <f t="shared" si="28"/>
        <v>#DIV/0!</v>
      </c>
      <c r="E38" s="3">
        <v>0</v>
      </c>
      <c r="F38" s="15">
        <v>0</v>
      </c>
      <c r="G38" s="3" t="e">
        <f t="shared" si="29"/>
        <v>#DIV/0!</v>
      </c>
      <c r="H38" s="3">
        <v>0</v>
      </c>
      <c r="I38" s="15">
        <v>0</v>
      </c>
      <c r="J38" s="3" t="e">
        <f t="shared" si="30"/>
        <v>#DIV/0!</v>
      </c>
      <c r="K38" s="3">
        <v>0</v>
      </c>
      <c r="L38" s="15">
        <v>0</v>
      </c>
      <c r="M38" s="3" t="e">
        <f t="shared" si="31"/>
        <v>#DIV/0!</v>
      </c>
      <c r="N38" s="3">
        <v>0</v>
      </c>
      <c r="O38" s="15">
        <v>0</v>
      </c>
      <c r="P38" s="3">
        <f t="shared" si="32"/>
        <v>723.11581158115814</v>
      </c>
      <c r="Q38" s="3">
        <v>2892174</v>
      </c>
      <c r="R38" s="15">
        <v>3999.6</v>
      </c>
      <c r="S38" s="3" t="e">
        <f t="shared" si="33"/>
        <v>#DIV/0!</v>
      </c>
      <c r="T38" s="3">
        <v>0</v>
      </c>
      <c r="U38" s="15">
        <v>0</v>
      </c>
      <c r="V38" s="3" t="e">
        <f t="shared" si="34"/>
        <v>#DIV/0!</v>
      </c>
      <c r="W38" s="3">
        <v>0</v>
      </c>
      <c r="X38" s="15">
        <v>0</v>
      </c>
      <c r="Y38" s="3" t="e">
        <f t="shared" si="35"/>
        <v>#DIV/0!</v>
      </c>
      <c r="Z38" s="3">
        <v>0</v>
      </c>
      <c r="AA38" s="15">
        <v>0</v>
      </c>
      <c r="AB38" s="3" t="e">
        <f t="shared" si="36"/>
        <v>#DIV/0!</v>
      </c>
      <c r="AC38" s="3">
        <v>0</v>
      </c>
      <c r="AD38" s="15">
        <v>0</v>
      </c>
      <c r="AE38" s="3" t="e">
        <f t="shared" si="37"/>
        <v>#DIV/0!</v>
      </c>
      <c r="AF38" s="3">
        <v>0</v>
      </c>
      <c r="AG38" s="15">
        <v>0</v>
      </c>
      <c r="AH38" s="3" t="e">
        <f t="shared" si="38"/>
        <v>#DIV/0!</v>
      </c>
      <c r="AI38" s="3">
        <v>0</v>
      </c>
      <c r="AJ38" s="15">
        <v>0</v>
      </c>
      <c r="AK38" s="3" t="e">
        <f t="shared" si="39"/>
        <v>#DIV/0!</v>
      </c>
      <c r="AL38" s="3">
        <v>0</v>
      </c>
      <c r="AM38" s="15">
        <v>0</v>
      </c>
      <c r="AN38" s="3">
        <f t="shared" si="25"/>
        <v>723.11581158115814</v>
      </c>
      <c r="AO38" s="3">
        <f t="shared" si="26"/>
        <v>2892174</v>
      </c>
      <c r="AP38" s="15">
        <f t="shared" si="27"/>
        <v>3999.6</v>
      </c>
      <c r="AQ38" s="3"/>
      <c r="AR38" s="3"/>
      <c r="AS38" s="3"/>
      <c r="AT38" s="3"/>
      <c r="AU38" s="3"/>
      <c r="AV38" s="3"/>
      <c r="AW38" s="3"/>
      <c r="AX38" s="3"/>
      <c r="AY38" s="3"/>
      <c r="AZ38" s="3"/>
      <c r="BA38" s="3"/>
      <c r="BB38" s="3"/>
      <c r="BC38" s="3"/>
      <c r="BD38" s="3"/>
      <c r="BE38" s="3"/>
      <c r="BF38" s="3"/>
      <c r="BG38" s="3"/>
      <c r="BH38" s="3"/>
      <c r="BI38" s="3"/>
      <c r="BJ38" s="3"/>
      <c r="BK38" s="3"/>
      <c r="BL38" s="3"/>
      <c r="BM38" s="3"/>
      <c r="BN38" s="3"/>
    </row>
    <row r="39" spans="1:66" x14ac:dyDescent="0.3">
      <c r="A39" s="1" t="s">
        <v>53</v>
      </c>
      <c r="B39" s="11"/>
      <c r="C39" s="11"/>
      <c r="D39" s="3" t="e">
        <f t="shared" si="28"/>
        <v>#DIV/0!</v>
      </c>
      <c r="E39" s="3">
        <v>0</v>
      </c>
      <c r="F39" s="15">
        <v>0</v>
      </c>
      <c r="G39" s="3" t="e">
        <f t="shared" si="29"/>
        <v>#DIV/0!</v>
      </c>
      <c r="H39" s="3">
        <v>0</v>
      </c>
      <c r="I39" s="15">
        <v>0</v>
      </c>
      <c r="J39" s="3" t="e">
        <f t="shared" si="30"/>
        <v>#DIV/0!</v>
      </c>
      <c r="K39" s="3">
        <v>0</v>
      </c>
      <c r="L39" s="15">
        <v>0</v>
      </c>
      <c r="M39" s="3">
        <f t="shared" si="31"/>
        <v>2734.782608695652</v>
      </c>
      <c r="N39" s="3">
        <v>18870</v>
      </c>
      <c r="O39" s="15">
        <v>6.9</v>
      </c>
      <c r="P39" s="3" t="e">
        <f t="shared" si="32"/>
        <v>#DIV/0!</v>
      </c>
      <c r="Q39" s="3">
        <v>0</v>
      </c>
      <c r="R39" s="15">
        <v>0</v>
      </c>
      <c r="S39" s="3" t="e">
        <f t="shared" si="33"/>
        <v>#DIV/0!</v>
      </c>
      <c r="T39" s="3">
        <v>0</v>
      </c>
      <c r="U39" s="15">
        <v>0</v>
      </c>
      <c r="V39" s="3" t="e">
        <f t="shared" si="34"/>
        <v>#DIV/0!</v>
      </c>
      <c r="W39" s="3">
        <v>0</v>
      </c>
      <c r="X39" s="15">
        <v>0</v>
      </c>
      <c r="Y39" s="3">
        <f t="shared" si="35"/>
        <v>1120.344827586207</v>
      </c>
      <c r="Z39" s="3">
        <v>3249</v>
      </c>
      <c r="AA39" s="15">
        <v>2.9</v>
      </c>
      <c r="AB39" s="3" t="e">
        <f t="shared" si="36"/>
        <v>#DIV/0!</v>
      </c>
      <c r="AC39" s="3">
        <v>0</v>
      </c>
      <c r="AD39" s="15">
        <v>0</v>
      </c>
      <c r="AE39" s="3" t="e">
        <f t="shared" si="37"/>
        <v>#DIV/0!</v>
      </c>
      <c r="AF39" s="3">
        <v>0</v>
      </c>
      <c r="AG39" s="15">
        <v>0</v>
      </c>
      <c r="AH39" s="3" t="e">
        <f t="shared" si="38"/>
        <v>#DIV/0!</v>
      </c>
      <c r="AI39" s="3">
        <v>0</v>
      </c>
      <c r="AJ39" s="15">
        <v>0</v>
      </c>
      <c r="AK39" s="3" t="e">
        <f t="shared" si="39"/>
        <v>#DIV/0!</v>
      </c>
      <c r="AL39" s="3">
        <v>0</v>
      </c>
      <c r="AM39" s="15">
        <v>0</v>
      </c>
      <c r="AN39" s="3">
        <f t="shared" si="25"/>
        <v>2257.0408163265306</v>
      </c>
      <c r="AO39" s="3">
        <f t="shared" si="26"/>
        <v>22119</v>
      </c>
      <c r="AP39" s="15">
        <f t="shared" si="27"/>
        <v>9.8000000000000007</v>
      </c>
      <c r="AQ39" s="3"/>
      <c r="AR39" s="3"/>
      <c r="AS39" s="3"/>
      <c r="AT39" s="3"/>
      <c r="AU39" s="3"/>
      <c r="AV39" s="3"/>
      <c r="AW39" s="3"/>
      <c r="AX39" s="3"/>
      <c r="AY39" s="3"/>
      <c r="AZ39" s="3"/>
      <c r="BA39" s="3"/>
      <c r="BB39" s="3"/>
      <c r="BC39" s="3"/>
      <c r="BD39" s="3"/>
      <c r="BE39" s="3"/>
      <c r="BF39" s="3"/>
      <c r="BG39" s="3"/>
      <c r="BH39" s="3"/>
      <c r="BI39" s="3"/>
      <c r="BJ39" s="3"/>
      <c r="BK39" s="3"/>
      <c r="BL39" s="3"/>
      <c r="BM39" s="3"/>
      <c r="BN39" s="3"/>
    </row>
    <row r="40" spans="1:66" x14ac:dyDescent="0.3">
      <c r="A40" s="1" t="s">
        <v>54</v>
      </c>
      <c r="B40" s="11"/>
      <c r="C40" s="11"/>
      <c r="D40" s="3">
        <f t="shared" si="28"/>
        <v>779.0054254069056</v>
      </c>
      <c r="E40" s="3">
        <v>3115788</v>
      </c>
      <c r="F40" s="15">
        <v>3999.7</v>
      </c>
      <c r="G40" s="3" t="e">
        <f t="shared" si="29"/>
        <v>#DIV/0!</v>
      </c>
      <c r="H40" s="3">
        <v>0</v>
      </c>
      <c r="I40" s="15">
        <v>0</v>
      </c>
      <c r="J40" s="3">
        <f t="shared" si="30"/>
        <v>817.51534151547492</v>
      </c>
      <c r="K40" s="3">
        <v>1225619</v>
      </c>
      <c r="L40" s="15">
        <v>1499.2</v>
      </c>
      <c r="M40" s="3" t="e">
        <f t="shared" si="31"/>
        <v>#DIV/0!</v>
      </c>
      <c r="N40" s="3">
        <v>0</v>
      </c>
      <c r="O40" s="15">
        <v>0</v>
      </c>
      <c r="P40" s="3">
        <f t="shared" si="32"/>
        <v>788.27137909166299</v>
      </c>
      <c r="Q40" s="3">
        <v>3231755</v>
      </c>
      <c r="R40" s="15">
        <v>4099.8</v>
      </c>
      <c r="S40" s="3" t="e">
        <f t="shared" si="33"/>
        <v>#DIV/0!</v>
      </c>
      <c r="T40" s="3">
        <v>0</v>
      </c>
      <c r="U40" s="15">
        <v>0</v>
      </c>
      <c r="V40" s="3">
        <f t="shared" si="34"/>
        <v>741.9996130779648</v>
      </c>
      <c r="W40" s="3">
        <v>1917698</v>
      </c>
      <c r="X40" s="15">
        <v>2584.5</v>
      </c>
      <c r="Y40" s="3" t="e">
        <f t="shared" si="35"/>
        <v>#DIV/0!</v>
      </c>
      <c r="Z40" s="3">
        <v>0</v>
      </c>
      <c r="AA40" s="15">
        <v>0</v>
      </c>
      <c r="AB40" s="3">
        <f t="shared" si="36"/>
        <v>759.99487667422966</v>
      </c>
      <c r="AC40" s="3">
        <v>1038381</v>
      </c>
      <c r="AD40" s="15">
        <v>1366.3</v>
      </c>
      <c r="AE40" s="3">
        <f t="shared" si="37"/>
        <v>704.69623481174051</v>
      </c>
      <c r="AF40" s="3">
        <v>1409322</v>
      </c>
      <c r="AG40" s="15">
        <v>1999.9</v>
      </c>
      <c r="AH40" s="3" t="e">
        <f t="shared" si="38"/>
        <v>#DIV/0!</v>
      </c>
      <c r="AI40" s="3">
        <v>0</v>
      </c>
      <c r="AJ40" s="15">
        <v>0</v>
      </c>
      <c r="AK40" s="3" t="e">
        <f t="shared" si="39"/>
        <v>#DIV/0!</v>
      </c>
      <c r="AL40" s="3">
        <v>0</v>
      </c>
      <c r="AM40" s="15">
        <v>0</v>
      </c>
      <c r="AN40" s="3">
        <f t="shared" si="25"/>
        <v>767.78287265103484</v>
      </c>
      <c r="AO40" s="3">
        <f t="shared" si="26"/>
        <v>11938563</v>
      </c>
      <c r="AP40" s="15">
        <f t="shared" si="27"/>
        <v>15549.4</v>
      </c>
      <c r="AQ40" s="3"/>
      <c r="AR40" s="3"/>
      <c r="AS40" s="3"/>
      <c r="AT40" s="3"/>
      <c r="AU40" s="3"/>
      <c r="AV40" s="3"/>
      <c r="AW40" s="3"/>
      <c r="AX40" s="3"/>
      <c r="AY40" s="3"/>
      <c r="AZ40" s="3"/>
      <c r="BA40" s="3"/>
      <c r="BB40" s="3"/>
      <c r="BC40" s="3"/>
      <c r="BD40" s="3"/>
      <c r="BE40" s="3"/>
      <c r="BF40" s="3"/>
      <c r="BG40" s="3"/>
      <c r="BH40" s="3"/>
      <c r="BI40" s="3"/>
      <c r="BJ40" s="3"/>
      <c r="BK40" s="3"/>
      <c r="BL40" s="3"/>
      <c r="BM40" s="3"/>
      <c r="BN40" s="3"/>
    </row>
    <row r="41" spans="1:66" x14ac:dyDescent="0.3">
      <c r="A41" s="1" t="s">
        <v>55</v>
      </c>
      <c r="B41" s="11"/>
      <c r="C41" s="11"/>
      <c r="D41" s="3" t="e">
        <f t="shared" si="28"/>
        <v>#DIV/0!</v>
      </c>
      <c r="E41" s="3">
        <v>0</v>
      </c>
      <c r="F41" s="15">
        <v>0</v>
      </c>
      <c r="G41" s="3" t="e">
        <f t="shared" si="29"/>
        <v>#DIV/0!</v>
      </c>
      <c r="H41" s="3">
        <v>0</v>
      </c>
      <c r="I41" s="15">
        <v>0</v>
      </c>
      <c r="J41" s="3" t="e">
        <f t="shared" si="30"/>
        <v>#DIV/0!</v>
      </c>
      <c r="K41" s="3">
        <v>0</v>
      </c>
      <c r="L41" s="15">
        <v>0</v>
      </c>
      <c r="M41" s="3" t="e">
        <f t="shared" si="31"/>
        <v>#DIV/0!</v>
      </c>
      <c r="N41" s="3">
        <v>0</v>
      </c>
      <c r="O41" s="15">
        <v>0</v>
      </c>
      <c r="P41" s="3">
        <f t="shared" si="32"/>
        <v>758.26066703249796</v>
      </c>
      <c r="Q41" s="3">
        <v>31090583</v>
      </c>
      <c r="R41" s="15">
        <v>41002.5</v>
      </c>
      <c r="S41" s="3">
        <f t="shared" si="33"/>
        <v>764.54014615092444</v>
      </c>
      <c r="T41" s="3">
        <v>13485953</v>
      </c>
      <c r="U41" s="15">
        <v>17639.3</v>
      </c>
      <c r="V41" s="3">
        <f t="shared" si="34"/>
        <v>701.16347138884828</v>
      </c>
      <c r="W41" s="3">
        <v>12935835</v>
      </c>
      <c r="X41" s="15">
        <v>18449.099999999999</v>
      </c>
      <c r="Y41" s="3">
        <f t="shared" si="35"/>
        <v>759.9980572180616</v>
      </c>
      <c r="Z41" s="3">
        <v>12126909</v>
      </c>
      <c r="AA41" s="15">
        <v>15956.5</v>
      </c>
      <c r="AB41" s="3" t="e">
        <f t="shared" si="36"/>
        <v>#DIV/0!</v>
      </c>
      <c r="AC41" s="3">
        <v>0</v>
      </c>
      <c r="AD41" s="15">
        <v>0</v>
      </c>
      <c r="AE41" s="3" t="e">
        <f t="shared" si="37"/>
        <v>#DIV/0!</v>
      </c>
      <c r="AF41" s="3">
        <v>0</v>
      </c>
      <c r="AG41" s="15">
        <v>0</v>
      </c>
      <c r="AH41" s="3" t="e">
        <f t="shared" si="38"/>
        <v>#DIV/0!</v>
      </c>
      <c r="AI41" s="3">
        <v>0</v>
      </c>
      <c r="AJ41" s="15">
        <v>0</v>
      </c>
      <c r="AK41" s="3" t="e">
        <f t="shared" si="39"/>
        <v>#DIV/0!</v>
      </c>
      <c r="AL41" s="3">
        <v>0</v>
      </c>
      <c r="AM41" s="15">
        <v>0</v>
      </c>
      <c r="AN41" s="3">
        <f t="shared" si="25"/>
        <v>748.42800551116966</v>
      </c>
      <c r="AO41" s="3">
        <f t="shared" si="26"/>
        <v>69639280</v>
      </c>
      <c r="AP41" s="15">
        <f t="shared" si="27"/>
        <v>93047.4</v>
      </c>
      <c r="AQ41" s="3"/>
      <c r="AR41" s="3"/>
      <c r="AS41" s="3"/>
      <c r="AT41" s="3"/>
      <c r="AU41" s="3"/>
      <c r="AV41" s="3"/>
      <c r="AW41" s="3"/>
      <c r="AX41" s="3"/>
      <c r="AY41" s="3"/>
      <c r="AZ41" s="3"/>
      <c r="BA41" s="3"/>
      <c r="BB41" s="3"/>
      <c r="BC41" s="3"/>
      <c r="BD41" s="3"/>
      <c r="BE41" s="3"/>
      <c r="BF41" s="3"/>
      <c r="BG41" s="3"/>
      <c r="BH41" s="3"/>
      <c r="BI41" s="3"/>
      <c r="BJ41" s="3"/>
      <c r="BK41" s="3"/>
      <c r="BL41" s="3"/>
      <c r="BM41" s="3"/>
      <c r="BN41" s="3"/>
    </row>
    <row r="42" spans="1:66" x14ac:dyDescent="0.3">
      <c r="A42" s="1" t="s">
        <v>56</v>
      </c>
      <c r="B42" s="11"/>
      <c r="C42" s="11"/>
      <c r="D42" s="3">
        <f t="shared" si="28"/>
        <v>769.24096204810235</v>
      </c>
      <c r="E42" s="3">
        <v>1538405</v>
      </c>
      <c r="F42" s="15">
        <v>1999.9</v>
      </c>
      <c r="G42" s="3" t="e">
        <f t="shared" si="29"/>
        <v>#DIV/0!</v>
      </c>
      <c r="H42" s="3">
        <v>0</v>
      </c>
      <c r="I42" s="15">
        <v>0</v>
      </c>
      <c r="J42" s="3" t="e">
        <f t="shared" si="30"/>
        <v>#DIV/0!</v>
      </c>
      <c r="K42" s="3">
        <v>0</v>
      </c>
      <c r="L42" s="15">
        <v>0</v>
      </c>
      <c r="M42" s="3">
        <f t="shared" si="31"/>
        <v>1041.556886227545</v>
      </c>
      <c r="N42" s="3">
        <v>34788</v>
      </c>
      <c r="O42" s="15">
        <v>33.4</v>
      </c>
      <c r="P42" s="3">
        <f t="shared" si="32"/>
        <v>747.22552893512727</v>
      </c>
      <c r="Q42" s="3">
        <v>1493928</v>
      </c>
      <c r="R42" s="15">
        <v>1999.3</v>
      </c>
      <c r="S42" s="3" t="e">
        <f t="shared" si="33"/>
        <v>#DIV/0!</v>
      </c>
      <c r="T42" s="3">
        <v>0</v>
      </c>
      <c r="U42" s="15">
        <v>0</v>
      </c>
      <c r="V42" s="3" t="e">
        <f t="shared" si="34"/>
        <v>#DIV/0!</v>
      </c>
      <c r="W42" s="3">
        <v>0</v>
      </c>
      <c r="X42" s="15">
        <v>0</v>
      </c>
      <c r="Y42" s="3" t="e">
        <f t="shared" si="35"/>
        <v>#DIV/0!</v>
      </c>
      <c r="Z42" s="3">
        <v>0</v>
      </c>
      <c r="AA42" s="15">
        <v>0</v>
      </c>
      <c r="AB42" s="3" t="e">
        <f t="shared" si="36"/>
        <v>#DIV/0!</v>
      </c>
      <c r="AC42" s="3">
        <v>0</v>
      </c>
      <c r="AD42" s="15">
        <v>0</v>
      </c>
      <c r="AE42" s="3">
        <f t="shared" si="37"/>
        <v>1085.5238095238096</v>
      </c>
      <c r="AF42" s="3">
        <v>11398</v>
      </c>
      <c r="AG42" s="15">
        <v>10.5</v>
      </c>
      <c r="AH42" s="3" t="e">
        <f t="shared" si="38"/>
        <v>#DIV/0!</v>
      </c>
      <c r="AI42" s="3">
        <v>0</v>
      </c>
      <c r="AJ42" s="15">
        <v>0</v>
      </c>
      <c r="AK42" s="3" t="e">
        <f t="shared" si="39"/>
        <v>#DIV/0!</v>
      </c>
      <c r="AL42" s="3">
        <v>0</v>
      </c>
      <c r="AM42" s="15">
        <v>0</v>
      </c>
      <c r="AN42" s="3">
        <f t="shared" si="25"/>
        <v>761.42539140758322</v>
      </c>
      <c r="AO42" s="3">
        <f t="shared" si="26"/>
        <v>3078519</v>
      </c>
      <c r="AP42" s="15">
        <f t="shared" si="27"/>
        <v>4043.1000000000004</v>
      </c>
      <c r="AQ42" s="3"/>
      <c r="AR42" s="3"/>
      <c r="AS42" s="3"/>
      <c r="AT42" s="3"/>
      <c r="AU42" s="3"/>
      <c r="AV42" s="3"/>
      <c r="AW42" s="3"/>
      <c r="AX42" s="3"/>
      <c r="AY42" s="3"/>
      <c r="AZ42" s="3"/>
      <c r="BA42" s="3"/>
      <c r="BB42" s="3"/>
      <c r="BC42" s="3"/>
      <c r="BD42" s="3"/>
      <c r="BE42" s="3"/>
      <c r="BF42" s="3"/>
      <c r="BG42" s="3"/>
      <c r="BH42" s="3"/>
      <c r="BI42" s="3"/>
      <c r="BJ42" s="3"/>
      <c r="BK42" s="3"/>
      <c r="BL42" s="3"/>
      <c r="BM42" s="3"/>
      <c r="BN42" s="3"/>
    </row>
    <row r="43" spans="1:66" x14ac:dyDescent="0.3">
      <c r="A43" s="1" t="s">
        <v>57</v>
      </c>
      <c r="B43" s="11"/>
      <c r="C43" s="11"/>
      <c r="D43" s="3" t="e">
        <f t="shared" si="28"/>
        <v>#DIV/0!</v>
      </c>
      <c r="E43" s="3">
        <v>0</v>
      </c>
      <c r="F43" s="15">
        <v>0</v>
      </c>
      <c r="G43" s="3" t="e">
        <f t="shared" si="29"/>
        <v>#DIV/0!</v>
      </c>
      <c r="H43" s="3">
        <v>0</v>
      </c>
      <c r="I43" s="15">
        <v>0</v>
      </c>
      <c r="J43" s="3" t="e">
        <f t="shared" si="30"/>
        <v>#DIV/0!</v>
      </c>
      <c r="K43" s="3">
        <v>0</v>
      </c>
      <c r="L43" s="15">
        <v>0</v>
      </c>
      <c r="M43" s="3" t="e">
        <f t="shared" si="31"/>
        <v>#DIV/0!</v>
      </c>
      <c r="N43" s="3">
        <v>0</v>
      </c>
      <c r="O43" s="15">
        <v>0</v>
      </c>
      <c r="P43" s="3">
        <f t="shared" si="32"/>
        <v>693.00055000916689</v>
      </c>
      <c r="Q43" s="3">
        <v>4157934</v>
      </c>
      <c r="R43" s="15">
        <v>5999.9</v>
      </c>
      <c r="S43" s="3" t="e">
        <f t="shared" si="33"/>
        <v>#DIV/0!</v>
      </c>
      <c r="T43" s="3">
        <v>0</v>
      </c>
      <c r="U43" s="15">
        <v>0</v>
      </c>
      <c r="V43" s="3" t="e">
        <f t="shared" si="34"/>
        <v>#DIV/0!</v>
      </c>
      <c r="W43" s="3">
        <v>0</v>
      </c>
      <c r="X43" s="15">
        <v>0</v>
      </c>
      <c r="Y43" s="3" t="e">
        <f t="shared" si="35"/>
        <v>#DIV/0!</v>
      </c>
      <c r="Z43" s="3">
        <v>0</v>
      </c>
      <c r="AA43" s="15">
        <v>0</v>
      </c>
      <c r="AB43" s="3">
        <f t="shared" si="36"/>
        <v>759.99589807933603</v>
      </c>
      <c r="AC43" s="3">
        <v>3149727</v>
      </c>
      <c r="AD43" s="15">
        <v>4144.3999999999996</v>
      </c>
      <c r="AE43" s="3" t="e">
        <f t="shared" si="37"/>
        <v>#DIV/0!</v>
      </c>
      <c r="AF43" s="3">
        <v>0</v>
      </c>
      <c r="AG43" s="15">
        <v>0</v>
      </c>
      <c r="AH43" s="3" t="e">
        <f t="shared" si="38"/>
        <v>#DIV/0!</v>
      </c>
      <c r="AI43" s="3">
        <v>0</v>
      </c>
      <c r="AJ43" s="15">
        <v>0</v>
      </c>
      <c r="AK43" s="3" t="e">
        <f t="shared" si="39"/>
        <v>#DIV/0!</v>
      </c>
      <c r="AL43" s="3">
        <v>0</v>
      </c>
      <c r="AM43" s="15">
        <v>0</v>
      </c>
      <c r="AN43" s="3">
        <f t="shared" si="25"/>
        <v>720.37114438650281</v>
      </c>
      <c r="AO43" s="3">
        <f t="shared" si="26"/>
        <v>7307661</v>
      </c>
      <c r="AP43" s="15">
        <f t="shared" si="27"/>
        <v>10144.299999999999</v>
      </c>
      <c r="AQ43" s="3"/>
      <c r="AR43" s="3"/>
      <c r="AS43" s="3"/>
      <c r="AT43" s="3"/>
      <c r="AU43" s="3"/>
      <c r="AV43" s="3"/>
      <c r="AW43" s="3"/>
      <c r="AX43" s="3"/>
      <c r="AY43" s="3"/>
      <c r="AZ43" s="3"/>
      <c r="BA43" s="3"/>
      <c r="BB43" s="3"/>
      <c r="BC43" s="3"/>
      <c r="BD43" s="3"/>
      <c r="BE43" s="3"/>
      <c r="BF43" s="3"/>
      <c r="BG43" s="3"/>
      <c r="BH43" s="3"/>
      <c r="BI43" s="3"/>
      <c r="BJ43" s="3"/>
      <c r="BK43" s="3"/>
      <c r="BL43" s="3"/>
      <c r="BM43" s="3"/>
      <c r="BN43" s="3"/>
    </row>
    <row r="44" spans="1:66" x14ac:dyDescent="0.3">
      <c r="A44" s="1" t="s">
        <v>58</v>
      </c>
      <c r="B44" s="11"/>
      <c r="C44" s="11"/>
      <c r="D44" s="3">
        <f t="shared" si="28"/>
        <v>1722.1052631578948</v>
      </c>
      <c r="E44" s="3">
        <v>3272</v>
      </c>
      <c r="F44" s="15">
        <v>1.9</v>
      </c>
      <c r="G44" s="3" t="e">
        <f t="shared" si="29"/>
        <v>#DIV/0!</v>
      </c>
      <c r="H44" s="3">
        <v>0</v>
      </c>
      <c r="I44" s="15">
        <v>0</v>
      </c>
      <c r="J44" s="3" t="e">
        <f t="shared" si="30"/>
        <v>#DIV/0!</v>
      </c>
      <c r="K44" s="3">
        <v>0</v>
      </c>
      <c r="L44" s="15">
        <v>0</v>
      </c>
      <c r="M44" s="3">
        <f t="shared" si="31"/>
        <v>2081.25</v>
      </c>
      <c r="N44" s="3">
        <v>3330</v>
      </c>
      <c r="O44" s="15">
        <v>1.6</v>
      </c>
      <c r="P44" s="3" t="e">
        <f t="shared" si="32"/>
        <v>#DIV/0!</v>
      </c>
      <c r="Q44" s="3">
        <v>0</v>
      </c>
      <c r="R44" s="15">
        <v>0</v>
      </c>
      <c r="S44" s="3" t="e">
        <f t="shared" si="33"/>
        <v>#DIV/0!</v>
      </c>
      <c r="T44" s="3">
        <v>0</v>
      </c>
      <c r="U44" s="15">
        <v>0</v>
      </c>
      <c r="V44" s="3" t="e">
        <f t="shared" si="34"/>
        <v>#DIV/0!</v>
      </c>
      <c r="W44" s="3">
        <v>0</v>
      </c>
      <c r="X44" s="15">
        <v>0</v>
      </c>
      <c r="Y44" s="3" t="e">
        <f t="shared" si="35"/>
        <v>#DIV/0!</v>
      </c>
      <c r="Z44" s="3">
        <v>0</v>
      </c>
      <c r="AA44" s="15">
        <v>0</v>
      </c>
      <c r="AB44" s="3" t="e">
        <f t="shared" si="36"/>
        <v>#DIV/0!</v>
      </c>
      <c r="AC44" s="3">
        <v>0</v>
      </c>
      <c r="AD44" s="15">
        <v>0</v>
      </c>
      <c r="AE44" s="3" t="e">
        <f t="shared" si="37"/>
        <v>#DIV/0!</v>
      </c>
      <c r="AF44" s="3">
        <v>0</v>
      </c>
      <c r="AG44" s="15">
        <v>0</v>
      </c>
      <c r="AH44" s="3" t="e">
        <f t="shared" si="38"/>
        <v>#DIV/0!</v>
      </c>
      <c r="AI44" s="3">
        <v>0</v>
      </c>
      <c r="AJ44" s="15">
        <v>0</v>
      </c>
      <c r="AK44" s="3" t="e">
        <f t="shared" si="39"/>
        <v>#DIV/0!</v>
      </c>
      <c r="AL44" s="3">
        <v>0</v>
      </c>
      <c r="AM44" s="15">
        <v>0</v>
      </c>
      <c r="AN44" s="3">
        <f t="shared" si="25"/>
        <v>1886.2857142857142</v>
      </c>
      <c r="AO44" s="3">
        <f t="shared" si="26"/>
        <v>6602</v>
      </c>
      <c r="AP44" s="15">
        <f t="shared" si="27"/>
        <v>3.5</v>
      </c>
      <c r="AQ44" s="3"/>
      <c r="AR44" s="3"/>
      <c r="AS44" s="3"/>
      <c r="AT44" s="3"/>
      <c r="AU44" s="3"/>
      <c r="AV44" s="3"/>
      <c r="AW44" s="3"/>
      <c r="AX44" s="3"/>
      <c r="AY44" s="3"/>
      <c r="AZ44" s="3"/>
      <c r="BA44" s="3"/>
      <c r="BB44" s="3"/>
      <c r="BC44" s="3"/>
      <c r="BD44" s="3"/>
      <c r="BE44" s="3"/>
      <c r="BF44" s="3"/>
      <c r="BG44" s="3"/>
      <c r="BH44" s="3"/>
      <c r="BI44" s="3"/>
      <c r="BJ44" s="3"/>
      <c r="BK44" s="3"/>
      <c r="BL44" s="3"/>
      <c r="BM44" s="3"/>
      <c r="BN44" s="3"/>
    </row>
    <row r="45" spans="1:66" x14ac:dyDescent="0.3">
      <c r="A45" s="1" t="s">
        <v>59</v>
      </c>
      <c r="B45" s="11"/>
      <c r="C45" s="11"/>
      <c r="D45" s="3">
        <f t="shared" si="28"/>
        <v>772.51681213335246</v>
      </c>
      <c r="E45" s="3">
        <v>539912</v>
      </c>
      <c r="F45" s="15">
        <v>698.9</v>
      </c>
      <c r="G45" s="3" t="e">
        <f t="shared" si="29"/>
        <v>#DIV/0!</v>
      </c>
      <c r="H45" s="3">
        <v>0</v>
      </c>
      <c r="I45" s="15">
        <v>0</v>
      </c>
      <c r="J45" s="3">
        <f t="shared" si="30"/>
        <v>1431.7763157894738</v>
      </c>
      <c r="K45" s="3">
        <v>21763</v>
      </c>
      <c r="L45" s="15">
        <v>15.2</v>
      </c>
      <c r="M45" s="3" t="e">
        <f t="shared" si="31"/>
        <v>#DIV/0!</v>
      </c>
      <c r="N45" s="3">
        <v>0</v>
      </c>
      <c r="O45" s="15">
        <v>0</v>
      </c>
      <c r="P45" s="3">
        <f t="shared" si="32"/>
        <v>794.86713286713291</v>
      </c>
      <c r="Q45" s="3">
        <v>568330</v>
      </c>
      <c r="R45" s="15">
        <v>715</v>
      </c>
      <c r="S45" s="3" t="e">
        <f t="shared" si="33"/>
        <v>#DIV/0!</v>
      </c>
      <c r="T45" s="3">
        <v>0</v>
      </c>
      <c r="U45" s="15">
        <v>0</v>
      </c>
      <c r="V45" s="3" t="e">
        <f t="shared" si="34"/>
        <v>#DIV/0!</v>
      </c>
      <c r="W45" s="3">
        <v>0</v>
      </c>
      <c r="X45" s="15">
        <v>0</v>
      </c>
      <c r="Y45" s="3" t="e">
        <f t="shared" si="35"/>
        <v>#DIV/0!</v>
      </c>
      <c r="Z45" s="3">
        <v>0</v>
      </c>
      <c r="AA45" s="15">
        <v>0</v>
      </c>
      <c r="AB45" s="3" t="e">
        <f t="shared" si="36"/>
        <v>#DIV/0!</v>
      </c>
      <c r="AC45" s="3">
        <v>0</v>
      </c>
      <c r="AD45" s="15">
        <v>0</v>
      </c>
      <c r="AE45" s="3" t="e">
        <f t="shared" si="37"/>
        <v>#DIV/0!</v>
      </c>
      <c r="AF45" s="3">
        <v>0</v>
      </c>
      <c r="AG45" s="15">
        <v>0</v>
      </c>
      <c r="AH45" s="3">
        <f t="shared" si="38"/>
        <v>711.6797712651894</v>
      </c>
      <c r="AI45" s="3">
        <v>497820</v>
      </c>
      <c r="AJ45" s="15">
        <v>699.5</v>
      </c>
      <c r="AK45" s="3" t="e">
        <f t="shared" si="39"/>
        <v>#DIV/0!</v>
      </c>
      <c r="AL45" s="3">
        <v>0</v>
      </c>
      <c r="AM45" s="15">
        <v>0</v>
      </c>
      <c r="AN45" s="3">
        <f t="shared" si="25"/>
        <v>764.73973503711363</v>
      </c>
      <c r="AO45" s="3">
        <f t="shared" si="26"/>
        <v>1627825</v>
      </c>
      <c r="AP45" s="15">
        <f t="shared" si="27"/>
        <v>2128.6</v>
      </c>
      <c r="AQ45" s="3"/>
      <c r="AR45" s="3"/>
      <c r="AS45" s="3"/>
      <c r="AT45" s="3"/>
      <c r="AU45" s="3"/>
      <c r="AV45" s="3"/>
      <c r="AW45" s="3"/>
      <c r="AX45" s="3"/>
      <c r="AY45" s="3"/>
      <c r="AZ45" s="3"/>
      <c r="BA45" s="3"/>
      <c r="BB45" s="3"/>
      <c r="BC45" s="3"/>
      <c r="BD45" s="3"/>
      <c r="BE45" s="3"/>
      <c r="BF45" s="3"/>
      <c r="BG45" s="3"/>
      <c r="BH45" s="3"/>
      <c r="BI45" s="3"/>
      <c r="BJ45" s="3"/>
      <c r="BK45" s="3"/>
      <c r="BL45" s="3"/>
      <c r="BM45" s="3"/>
      <c r="BN45" s="3"/>
    </row>
    <row r="46" spans="1:66" x14ac:dyDescent="0.3">
      <c r="A46" s="1" t="s">
        <v>60</v>
      </c>
      <c r="B46" s="11"/>
      <c r="C46" s="11"/>
      <c r="D46" s="3" t="e">
        <f t="shared" si="28"/>
        <v>#DIV/0!</v>
      </c>
      <c r="E46" s="3">
        <v>0</v>
      </c>
      <c r="F46" s="15">
        <v>0</v>
      </c>
      <c r="G46" s="3" t="e">
        <f t="shared" si="29"/>
        <v>#DIV/0!</v>
      </c>
      <c r="H46" s="3">
        <v>0</v>
      </c>
      <c r="I46" s="15">
        <v>0</v>
      </c>
      <c r="J46" s="3" t="e">
        <f t="shared" si="30"/>
        <v>#DIV/0!</v>
      </c>
      <c r="K46" s="3">
        <v>0</v>
      </c>
      <c r="L46" s="15">
        <v>0</v>
      </c>
      <c r="M46" s="3">
        <f t="shared" si="31"/>
        <v>753.76344416919267</v>
      </c>
      <c r="N46" s="3">
        <v>4898784</v>
      </c>
      <c r="O46" s="15">
        <v>6499.1</v>
      </c>
      <c r="P46" s="3">
        <f t="shared" si="32"/>
        <v>730.60196116558791</v>
      </c>
      <c r="Q46" s="3">
        <v>13150470</v>
      </c>
      <c r="R46" s="15">
        <v>17999.5</v>
      </c>
      <c r="S46" s="3">
        <f t="shared" si="33"/>
        <v>686.72943045886643</v>
      </c>
      <c r="T46" s="3">
        <v>12360237</v>
      </c>
      <c r="U46" s="15">
        <v>17998.7</v>
      </c>
      <c r="V46" s="3" t="e">
        <f t="shared" si="34"/>
        <v>#DIV/0!</v>
      </c>
      <c r="W46" s="3">
        <v>0</v>
      </c>
      <c r="X46" s="15">
        <v>0</v>
      </c>
      <c r="Y46" s="3">
        <f t="shared" si="35"/>
        <v>805.14074262646841</v>
      </c>
      <c r="Z46" s="3">
        <v>4427791</v>
      </c>
      <c r="AA46" s="15">
        <v>5499.4</v>
      </c>
      <c r="AB46" s="3" t="e">
        <f t="shared" si="36"/>
        <v>#DIV/0!</v>
      </c>
      <c r="AC46" s="3">
        <v>0</v>
      </c>
      <c r="AD46" s="15">
        <v>0</v>
      </c>
      <c r="AE46" s="3" t="e">
        <f t="shared" si="37"/>
        <v>#DIV/0!</v>
      </c>
      <c r="AF46" s="3">
        <v>0</v>
      </c>
      <c r="AG46" s="15">
        <v>0</v>
      </c>
      <c r="AH46" s="3">
        <f t="shared" si="38"/>
        <v>694.96996395674807</v>
      </c>
      <c r="AI46" s="3">
        <v>347068</v>
      </c>
      <c r="AJ46" s="15">
        <v>499.4</v>
      </c>
      <c r="AK46" s="3" t="e">
        <f t="shared" si="39"/>
        <v>#DIV/0!</v>
      </c>
      <c r="AL46" s="3">
        <v>0</v>
      </c>
      <c r="AM46" s="15">
        <v>0</v>
      </c>
      <c r="AN46" s="3">
        <f t="shared" si="25"/>
        <v>725.50885535125497</v>
      </c>
      <c r="AO46" s="3">
        <f t="shared" si="26"/>
        <v>35184350</v>
      </c>
      <c r="AP46" s="15">
        <f t="shared" si="27"/>
        <v>48496.100000000006</v>
      </c>
      <c r="AQ46" s="3"/>
      <c r="AR46" s="3"/>
      <c r="AS46" s="3"/>
      <c r="AT46" s="3"/>
      <c r="AU46" s="3"/>
      <c r="AV46" s="3"/>
      <c r="AW46" s="3"/>
      <c r="AX46" s="3"/>
      <c r="AY46" s="3"/>
      <c r="AZ46" s="3"/>
      <c r="BA46" s="3"/>
      <c r="BB46" s="3"/>
      <c r="BC46" s="3"/>
      <c r="BD46" s="3"/>
      <c r="BE46" s="3"/>
      <c r="BF46" s="3"/>
      <c r="BG46" s="3"/>
      <c r="BH46" s="3"/>
      <c r="BI46" s="3"/>
      <c r="BJ46" s="3"/>
      <c r="BK46" s="3"/>
      <c r="BL46" s="3"/>
      <c r="BM46" s="3"/>
      <c r="BN46" s="3"/>
    </row>
    <row r="47" spans="1:66" x14ac:dyDescent="0.3">
      <c r="A47" s="19" t="s">
        <v>61</v>
      </c>
      <c r="B47" s="12"/>
      <c r="C47" s="12"/>
      <c r="D47" s="16" t="e">
        <f t="shared" si="28"/>
        <v>#DIV/0!</v>
      </c>
      <c r="E47" s="17">
        <v>0</v>
      </c>
      <c r="F47" s="18">
        <v>0</v>
      </c>
      <c r="G47" s="17" t="e">
        <f t="shared" si="29"/>
        <v>#DIV/0!</v>
      </c>
      <c r="H47" s="17">
        <v>0</v>
      </c>
      <c r="I47" s="18">
        <v>0</v>
      </c>
      <c r="J47" s="17" t="e">
        <f t="shared" si="30"/>
        <v>#DIV/0!</v>
      </c>
      <c r="K47" s="17">
        <v>0</v>
      </c>
      <c r="L47" s="18">
        <v>0</v>
      </c>
      <c r="M47" s="17" t="e">
        <f t="shared" si="31"/>
        <v>#DIV/0!</v>
      </c>
      <c r="N47" s="17">
        <v>0</v>
      </c>
      <c r="O47" s="18">
        <v>0</v>
      </c>
      <c r="P47" s="17" t="e">
        <f t="shared" si="32"/>
        <v>#DIV/0!</v>
      </c>
      <c r="Q47" s="17">
        <v>0</v>
      </c>
      <c r="R47" s="18">
        <v>0</v>
      </c>
      <c r="S47" s="17" t="e">
        <f t="shared" si="33"/>
        <v>#DIV/0!</v>
      </c>
      <c r="T47" s="17">
        <v>0</v>
      </c>
      <c r="U47" s="18">
        <v>0</v>
      </c>
      <c r="V47" s="17">
        <f t="shared" si="34"/>
        <v>2583.5294117647059</v>
      </c>
      <c r="W47" s="17">
        <v>4392</v>
      </c>
      <c r="X47" s="18">
        <v>1.7</v>
      </c>
      <c r="Y47" s="17" t="e">
        <f t="shared" si="35"/>
        <v>#DIV/0!</v>
      </c>
      <c r="Z47" s="17">
        <v>0</v>
      </c>
      <c r="AA47" s="18">
        <v>0</v>
      </c>
      <c r="AB47" s="17" t="e">
        <f t="shared" si="36"/>
        <v>#DIV/0!</v>
      </c>
      <c r="AC47" s="17">
        <v>0</v>
      </c>
      <c r="AD47" s="18">
        <v>0</v>
      </c>
      <c r="AE47" s="17" t="e">
        <f t="shared" si="37"/>
        <v>#DIV/0!</v>
      </c>
      <c r="AF47" s="17">
        <v>0</v>
      </c>
      <c r="AG47" s="18">
        <v>0</v>
      </c>
      <c r="AH47" s="17" t="e">
        <f t="shared" si="38"/>
        <v>#DIV/0!</v>
      </c>
      <c r="AI47" s="17">
        <v>0</v>
      </c>
      <c r="AJ47" s="18">
        <v>0</v>
      </c>
      <c r="AK47" s="17" t="e">
        <f t="shared" si="39"/>
        <v>#DIV/0!</v>
      </c>
      <c r="AL47" s="17">
        <v>0</v>
      </c>
      <c r="AM47" s="18">
        <v>0</v>
      </c>
      <c r="AN47" s="17">
        <f t="shared" si="25"/>
        <v>2583.5294117647059</v>
      </c>
      <c r="AO47" s="17">
        <f t="shared" si="26"/>
        <v>4392</v>
      </c>
      <c r="AP47" s="18">
        <f t="shared" si="27"/>
        <v>1.7</v>
      </c>
      <c r="AQ47" s="3"/>
      <c r="AR47" s="3"/>
      <c r="AS47" s="3"/>
      <c r="AT47" s="3"/>
      <c r="AU47" s="3"/>
      <c r="AV47" s="3"/>
      <c r="AW47" s="3"/>
      <c r="AX47" s="3"/>
      <c r="AY47" s="3"/>
      <c r="AZ47" s="3"/>
      <c r="BA47" s="3"/>
      <c r="BB47" s="3"/>
      <c r="BC47" s="3"/>
      <c r="BD47" s="3"/>
      <c r="BE47" s="3"/>
      <c r="BF47" s="3"/>
      <c r="BG47" s="3"/>
      <c r="BH47" s="3"/>
      <c r="BI47" s="3"/>
      <c r="BJ47" s="3"/>
      <c r="BK47" s="3"/>
      <c r="BL47" s="3"/>
      <c r="BM47" s="3"/>
      <c r="BN47" s="3"/>
    </row>
    <row r="48" spans="1:66" x14ac:dyDescent="0.3">
      <c r="A48" s="1" t="s">
        <v>62</v>
      </c>
    </row>
    <row r="49" spans="1:1" x14ac:dyDescent="0.3">
      <c r="A49" s="1" t="s">
        <v>65</v>
      </c>
    </row>
    <row r="50" spans="1:1" x14ac:dyDescent="0.3">
      <c r="A50" s="1" t="s">
        <v>63</v>
      </c>
    </row>
    <row r="51" spans="1:1" x14ac:dyDescent="0.3">
      <c r="A51" s="1" t="s">
        <v>64</v>
      </c>
    </row>
    <row r="52" spans="1:1" x14ac:dyDescent="0.3">
      <c r="A52" s="1" t="s">
        <v>70</v>
      </c>
    </row>
    <row r="53" spans="1:1" x14ac:dyDescent="0.3">
      <c r="A53" s="1" t="s">
        <v>71</v>
      </c>
    </row>
  </sheetData>
  <mergeCells count="15">
    <mergeCell ref="AK1:AM1"/>
    <mergeCell ref="AN1:AP1"/>
    <mergeCell ref="V1:X1"/>
    <mergeCell ref="Y1:AA1"/>
    <mergeCell ref="AB1:AD1"/>
    <mergeCell ref="AE1:AG1"/>
    <mergeCell ref="AH1:AJ1"/>
    <mergeCell ref="G1:I1"/>
    <mergeCell ref="J1:L1"/>
    <mergeCell ref="M1:O1"/>
    <mergeCell ref="P1:R1"/>
    <mergeCell ref="S1:U1"/>
    <mergeCell ref="B3:B47"/>
    <mergeCell ref="C3:C47"/>
    <mergeCell ref="D1:F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2018년 전세계 별 생산량</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2026-06-16T01:13:53Z</dcterms:modified>
</cp:coreProperties>
</file>