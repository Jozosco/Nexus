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2년" sheetId="1" r:id="rId1"/>
  </sheets>
  <calcPr calcId="162913"/>
</workbook>
</file>

<file path=xl/calcChain.xml><?xml version="1.0" encoding="utf-8"?>
<calcChain xmlns="http://schemas.openxmlformats.org/spreadsheetml/2006/main">
  <c r="AM3" i="1" l="1"/>
  <c r="AL3" i="1"/>
  <c r="AK3" i="1" s="1"/>
  <c r="AJ3" i="1"/>
  <c r="AI3" i="1"/>
  <c r="AH3" i="1" s="1"/>
  <c r="AG3" i="1"/>
  <c r="AF3" i="1"/>
  <c r="AE3" i="1"/>
  <c r="AD3" i="1"/>
  <c r="AC3" i="1"/>
  <c r="AB3" i="1" s="1"/>
  <c r="AA3" i="1"/>
  <c r="Z3" i="1"/>
  <c r="X3" i="1"/>
  <c r="W3" i="1"/>
  <c r="V3" i="1"/>
  <c r="U3" i="1"/>
  <c r="T3" i="1"/>
  <c r="R3" i="1"/>
  <c r="Q3" i="1"/>
  <c r="O3" i="1"/>
  <c r="N3" i="1"/>
  <c r="M3" i="1"/>
  <c r="L3" i="1"/>
  <c r="K3" i="1"/>
  <c r="J3" i="1" s="1"/>
  <c r="I3" i="1"/>
  <c r="H3" i="1"/>
  <c r="F3" i="1"/>
  <c r="E3" i="1"/>
  <c r="D3" i="1" s="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6"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6" i="1"/>
  <c r="AP35" i="1"/>
  <c r="AP34" i="1"/>
  <c r="AP33" i="1"/>
  <c r="AP32" i="1"/>
  <c r="AP31" i="1"/>
  <c r="AP30" i="1"/>
  <c r="AP29" i="1"/>
  <c r="AP28" i="1"/>
  <c r="AP27" i="1"/>
  <c r="AP26" i="1"/>
  <c r="AP25" i="1"/>
  <c r="AP24" i="1"/>
  <c r="AP23" i="1"/>
  <c r="AP22" i="1"/>
  <c r="AP21" i="1"/>
  <c r="AP20" i="1"/>
  <c r="AP19" i="1"/>
  <c r="AP18" i="1"/>
  <c r="AP17" i="1"/>
  <c r="AP16" i="1"/>
  <c r="AP15" i="1"/>
  <c r="AN15" i="1" s="1"/>
  <c r="AP14" i="1"/>
  <c r="AP13" i="1"/>
  <c r="AP11" i="1"/>
  <c r="AP10" i="1"/>
  <c r="AP9" i="1"/>
  <c r="AP8" i="1"/>
  <c r="AP7" i="1"/>
  <c r="AN7" i="1" s="1"/>
  <c r="AP6" i="1"/>
  <c r="AP5" i="1"/>
  <c r="AP4" i="1"/>
  <c r="Y3" i="1" l="1"/>
  <c r="S3" i="1"/>
  <c r="P3" i="1"/>
  <c r="AN27" i="1"/>
  <c r="AN35" i="1"/>
  <c r="AN11" i="1"/>
  <c r="AN17" i="1"/>
  <c r="AN25" i="1"/>
  <c r="AN33" i="1"/>
  <c r="G3" i="1"/>
  <c r="AN20" i="1"/>
  <c r="AN36" i="1"/>
  <c r="AN13" i="1"/>
  <c r="AN21" i="1"/>
  <c r="AN29" i="1"/>
  <c r="AN6" i="1"/>
  <c r="AN14" i="1"/>
  <c r="AN22" i="1"/>
  <c r="AN30" i="1"/>
  <c r="AO3" i="1"/>
  <c r="AN5" i="1"/>
  <c r="AN9" i="1"/>
  <c r="AN10" i="1"/>
  <c r="AN18" i="1"/>
  <c r="AN26" i="1"/>
  <c r="AN34" i="1"/>
  <c r="AN31" i="1"/>
  <c r="AN28" i="1"/>
  <c r="AN8" i="1"/>
  <c r="AN16" i="1"/>
  <c r="AN24" i="1"/>
  <c r="AN32" i="1"/>
  <c r="AN19" i="1"/>
  <c r="AN23" i="1"/>
  <c r="AN4" i="1"/>
  <c r="AP12" i="1"/>
  <c r="AN12" i="1" s="1"/>
  <c r="AP3" i="1" l="1"/>
  <c r="AN3" i="1" s="1"/>
</calcChain>
</file>

<file path=xl/sharedStrings.xml><?xml version="1.0" encoding="utf-8"?>
<sst xmlns="http://schemas.openxmlformats.org/spreadsheetml/2006/main" count="97" uniqueCount="61">
  <si>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</si>
  <si>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</si>
  <si>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</si>
  <si>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</si>
  <si>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</si>
  <si>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</si>
  <si>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</si>
  <si>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</si>
  <si>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</si>
  <si>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</si>
  <si>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</si>
  <si>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</si>
  <si>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</si>
  <si>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</si>
  <si>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</si>
  <si>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</si>
  <si>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</si>
  <si>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</si>
  <si>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</si>
  <si>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</si>
  <si>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Saudi Arabia</t>
  </si>
  <si>
    <t>Yemen</t>
  </si>
  <si>
    <t>Canada</t>
  </si>
  <si>
    <t>Colombia</t>
  </si>
  <si>
    <t>Dominican Republic</t>
  </si>
  <si>
    <t>Korea, South</t>
  </si>
  <si>
    <t>Jamaica</t>
  </si>
  <si>
    <t>Mexico</t>
  </si>
  <si>
    <t>China</t>
  </si>
  <si>
    <t>El Salvador</t>
  </si>
  <si>
    <t>Guatemala</t>
  </si>
  <si>
    <t>Honduras</t>
  </si>
  <si>
    <t>Italy(*)</t>
  </si>
  <si>
    <t>Japan</t>
  </si>
  <si>
    <t>Netherlands</t>
  </si>
  <si>
    <t>Nicaragua</t>
  </si>
  <si>
    <t>Panama</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</si>
  <si>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</si>
  <si>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</si>
  <si>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</si>
  <si>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</si>
  <si>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</si>
  <si>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</si>
  <si>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</si>
  <si>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</si>
  <si>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</si>
  <si>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</si>
  <si>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</si>
  <si>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</si>
  <si>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</si>
  <si>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</si>
  <si>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Qatar</t>
  </si>
  <si>
    <t>Netherlands Antilles(*)</t>
  </si>
  <si>
    <t>Bermuda</t>
  </si>
  <si>
    <t>Chile</t>
  </si>
  <si>
    <t>Germany</t>
  </si>
  <si>
    <t>Guyana</t>
  </si>
  <si>
    <t>Haiti</t>
  </si>
  <si>
    <t>Hong Kong</t>
  </si>
  <si>
    <t>Kuwait</t>
  </si>
  <si>
    <t>New Zealand(*)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</si>
</sst>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42"/>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45</v>
      </c>
      <c r="B2" s="2" t="s">
        <v>13</v>
      </c>
      <c r="C2" s="2" t="s">
        <v>46</v>
      </c>
      <c r="D2" s="4" t="s">
        <v>14</v>
      </c>
      <c r="E2" s="2" t="s">
        <v>46</v>
      </c>
      <c r="F2" s="5" t="s">
        <v>15</v>
      </c>
      <c r="G2" s="2" t="s">
        <v>14</v>
      </c>
      <c r="H2" s="2" t="s">
        <v>46</v>
      </c>
      <c r="I2" s="5" t="s">
        <v>15</v>
      </c>
      <c r="J2" s="2" t="s">
        <v>14</v>
      </c>
      <c r="K2" s="2" t="s">
        <v>46</v>
      </c>
      <c r="L2" s="5" t="s">
        <v>15</v>
      </c>
      <c r="M2" s="2" t="s">
        <v>14</v>
      </c>
      <c r="N2" s="2" t="s">
        <v>46</v>
      </c>
      <c r="O2" s="5" t="s">
        <v>15</v>
      </c>
      <c r="P2" s="2" t="s">
        <v>14</v>
      </c>
      <c r="Q2" s="2" t="s">
        <v>46</v>
      </c>
      <c r="R2" s="5" t="s">
        <v>15</v>
      </c>
      <c r="S2" s="2" t="s">
        <v>14</v>
      </c>
      <c r="T2" s="2" t="s">
        <v>46</v>
      </c>
      <c r="U2" s="5" t="s">
        <v>15</v>
      </c>
      <c r="V2" s="2" t="s">
        <v>14</v>
      </c>
      <c r="W2" s="2" t="s">
        <v>46</v>
      </c>
      <c r="X2" s="5" t="s">
        <v>15</v>
      </c>
      <c r="Y2" s="2" t="s">
        <v>14</v>
      </c>
      <c r="Z2" s="2" t="s">
        <v>46</v>
      </c>
      <c r="AA2" s="5" t="s">
        <v>15</v>
      </c>
      <c r="AB2" s="2" t="s">
        <v>14</v>
      </c>
      <c r="AC2" s="2" t="s">
        <v>46</v>
      </c>
      <c r="AD2" s="5" t="s">
        <v>15</v>
      </c>
      <c r="AE2" s="2" t="s">
        <v>14</v>
      </c>
      <c r="AF2" s="2" t="s">
        <v>46</v>
      </c>
      <c r="AG2" s="5" t="s">
        <v>15</v>
      </c>
      <c r="AH2" s="2" t="s">
        <v>14</v>
      </c>
      <c r="AI2" s="2" t="s">
        <v>46</v>
      </c>
      <c r="AJ2" s="5" t="s">
        <v>15</v>
      </c>
      <c r="AK2" s="2" t="s">
        <v>14</v>
      </c>
      <c r="AL2" s="2" t="s">
        <v>46</v>
      </c>
      <c r="AM2" s="5" t="s">
        <v>15</v>
      </c>
      <c r="AN2" s="2" t="s">
        <v>14</v>
      </c>
      <c r="AO2" s="2" t="s">
        <v>48</v>
      </c>
      <c r="AP2" s="5" t="s">
        <v>15</v>
      </c>
    </row>
    <row r="3" spans="1:66" ht="15" customHeight="1" x14ac:dyDescent="0.3">
      <c r="A3" s="1" t="s">
        <v>16</v>
      </c>
      <c r="B3" s="14" t="s">
        <v>17</v>
      </c>
      <c r="C3" s="14" t="s">
        <v>47</v>
      </c>
      <c r="D3" s="3">
        <f>E3/F3</f>
        <v>1396.0267090791945</v>
      </c>
      <c r="E3" s="3">
        <f>SUM(E4:E36)</f>
        <v>154921970</v>
      </c>
      <c r="F3" s="6">
        <f>SUM(F4:F36)</f>
        <v>110973.50000000001</v>
      </c>
      <c r="G3" s="3">
        <f>H3/I3</f>
        <v>1443.5883304480399</v>
      </c>
      <c r="H3" s="3">
        <f>SUM(H4:H36)</f>
        <v>119494612</v>
      </c>
      <c r="I3" s="6">
        <f>SUM(I4:I36)</f>
        <v>82776.100000000006</v>
      </c>
      <c r="J3" s="3">
        <f>K3/L3</f>
        <v>1577.0318537731785</v>
      </c>
      <c r="K3" s="3">
        <f>SUM(K4:K36)</f>
        <v>181245590</v>
      </c>
      <c r="L3" s="6">
        <f>SUM(L4:L36)</f>
        <v>114928.3</v>
      </c>
      <c r="M3" s="3">
        <f>N3/O3</f>
        <v>1563.0543816771431</v>
      </c>
      <c r="N3" s="3">
        <f>SUM(N4:N36)</f>
        <v>95611255</v>
      </c>
      <c r="O3" s="6">
        <f>SUM(O4:O36)</f>
        <v>61169.5</v>
      </c>
      <c r="P3" s="3">
        <f>Q3/R3</f>
        <v>1691.6107939802801</v>
      </c>
      <c r="Q3" s="3">
        <f>SUM(Q4:Q36)</f>
        <v>45636276</v>
      </c>
      <c r="R3" s="6">
        <f>SUM(R4:R36)</f>
        <v>26978.000000000004</v>
      </c>
      <c r="S3" s="3">
        <f>T3/U3</f>
        <v>1689.4702117679894</v>
      </c>
      <c r="T3" s="3">
        <f>SUM(T4:T36)</f>
        <v>43583432</v>
      </c>
      <c r="U3" s="6">
        <f>SUM(U4:U36)</f>
        <v>25797.1</v>
      </c>
      <c r="V3" s="3">
        <f>W3/X3</f>
        <v>1592.7275993009318</v>
      </c>
      <c r="W3" s="3">
        <f>SUM(W4:W36)</f>
        <v>72269537</v>
      </c>
      <c r="X3" s="6">
        <f>SUM(X4:X36)</f>
        <v>45374.700000000004</v>
      </c>
      <c r="Y3" s="3">
        <f>Z3/AA3</f>
        <v>1566.8681959564542</v>
      </c>
      <c r="Z3" s="3">
        <f>SUM(Z4:Z36)</f>
        <v>24985907</v>
      </c>
      <c r="AA3" s="6">
        <f>SUM(AA4:AA36)</f>
        <v>15946.4</v>
      </c>
      <c r="AB3" s="3">
        <f>AC3/AD3</f>
        <v>1668.7347216368444</v>
      </c>
      <c r="AC3" s="3">
        <f>SUM(AC4:AC36)</f>
        <v>17420923</v>
      </c>
      <c r="AD3" s="6">
        <f>SUM(AD4:AD36)</f>
        <v>10439.6</v>
      </c>
      <c r="AE3" s="3">
        <f>AF3/AG3</f>
        <v>1543.7273792474937</v>
      </c>
      <c r="AF3" s="3">
        <f>SUM(AF4:AF36)</f>
        <v>2371474</v>
      </c>
      <c r="AG3" s="6">
        <f>SUM(AG4:AG36)</f>
        <v>1536.2</v>
      </c>
      <c r="AH3" s="3">
        <f>AI3/AJ3</f>
        <v>1232.198388994479</v>
      </c>
      <c r="AI3" s="3">
        <f>SUM(AI4:AI36)</f>
        <v>1361456</v>
      </c>
      <c r="AJ3" s="6">
        <f>SUM(AJ4:AJ36)</f>
        <v>1104.9000000000001</v>
      </c>
      <c r="AK3" s="3">
        <f>AL3/AM3</f>
        <v>959.91081253257664</v>
      </c>
      <c r="AL3" s="3">
        <f>SUM(AL4:AL36)</f>
        <v>9944868</v>
      </c>
      <c r="AM3" s="6">
        <f>SUM(AM4:AM36)</f>
        <v>10360.199999999999</v>
      </c>
      <c r="AN3" s="3">
        <f>AO3/AP3</f>
        <v>1515.3149140346227</v>
      </c>
      <c r="AO3" s="3">
        <f>SUM(AO4:AO36)</f>
        <v>768847300</v>
      </c>
      <c r="AP3" s="6">
        <f>SUM(AP4:AP36)</f>
        <v>507384.5</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30</v>
      </c>
      <c r="B4" s="15"/>
      <c r="C4" s="15"/>
      <c r="D4" s="3">
        <f t="shared" ref="D4:D11" si="0">E4/F4</f>
        <v>1356.3622205620366</v>
      </c>
      <c r="E4" s="3">
        <v>23602059</v>
      </c>
      <c r="F4" s="6">
        <v>17401</v>
      </c>
      <c r="G4" s="3" t="e">
        <f t="shared" ref="G4:G11" si="1">H4/I4</f>
        <v>#DIV/0!</v>
      </c>
      <c r="H4" s="3">
        <v>0</v>
      </c>
      <c r="I4" s="6">
        <v>0</v>
      </c>
      <c r="J4" s="3">
        <f t="shared" ref="J4:J11" si="2">K4/L4</f>
        <v>1618.31</v>
      </c>
      <c r="K4" s="3">
        <v>4207606</v>
      </c>
      <c r="L4" s="6">
        <v>2600</v>
      </c>
      <c r="M4" s="3" t="e">
        <f t="shared" ref="M4:M11" si="3">N4/O4</f>
        <v>#DIV/0!</v>
      </c>
      <c r="N4" s="3">
        <v>0</v>
      </c>
      <c r="O4" s="6">
        <v>0</v>
      </c>
      <c r="P4" s="3">
        <f t="shared" ref="P4:P11" si="4">Q4/R4</f>
        <v>1526.2771538650709</v>
      </c>
      <c r="Q4" s="3">
        <v>18619055</v>
      </c>
      <c r="R4" s="6">
        <v>12199</v>
      </c>
      <c r="S4" s="3" t="e">
        <f t="shared" ref="S4:S11" si="5">T4/U4</f>
        <v>#DIV/0!</v>
      </c>
      <c r="T4" s="3">
        <v>0</v>
      </c>
      <c r="U4" s="6">
        <v>0</v>
      </c>
      <c r="V4" s="3">
        <f t="shared" ref="V4:V11" si="6">W4/X4</f>
        <v>1680.0915212403818</v>
      </c>
      <c r="W4" s="3">
        <v>20284921</v>
      </c>
      <c r="X4" s="6">
        <v>12073.7</v>
      </c>
      <c r="Y4" s="3">
        <f t="shared" ref="Y4:Y11" si="7">Z4/AA4</f>
        <v>1640.3940620147741</v>
      </c>
      <c r="Z4" s="3">
        <v>6972659</v>
      </c>
      <c r="AA4" s="6">
        <v>4250.6000000000004</v>
      </c>
      <c r="AB4" s="3">
        <f t="shared" ref="AB4:AB11" si="8">AC4/AD4</f>
        <v>1669.8839672378083</v>
      </c>
      <c r="AC4" s="3">
        <v>14190006</v>
      </c>
      <c r="AD4" s="6">
        <v>8497.6</v>
      </c>
      <c r="AE4" s="3" t="e">
        <f t="shared" ref="AE4:AE11" si="9">AF4/AG4</f>
        <v>#DIV/0!</v>
      </c>
      <c r="AF4" s="3">
        <v>0</v>
      </c>
      <c r="AG4" s="6">
        <v>0</v>
      </c>
      <c r="AH4" s="3">
        <f t="shared" ref="AH4:AH11" si="10">AI4/AJ4</f>
        <v>759.96578272027375</v>
      </c>
      <c r="AI4" s="3">
        <v>266520</v>
      </c>
      <c r="AJ4" s="6">
        <v>350.7</v>
      </c>
      <c r="AK4" s="3">
        <f t="shared" ref="AK4:AK11" si="11">AL4/AM4</f>
        <v>1122.4097382128725</v>
      </c>
      <c r="AL4" s="3">
        <v>5020651</v>
      </c>
      <c r="AM4" s="6">
        <v>4473.1000000000004</v>
      </c>
      <c r="AN4" s="3">
        <f t="shared" ref="AN4:AN36" si="12">AO4/AP4</f>
        <v>1506.385682432247</v>
      </c>
      <c r="AO4" s="3">
        <f t="shared" ref="AO4:AO36" si="13">SUM(E4,H4,K4,N4,Q4,T4,W4,Z4,AC4,AF4,AI4,AL4)</f>
        <v>93163477</v>
      </c>
      <c r="AP4" s="6">
        <f t="shared" ref="AP4:AP36" si="14">SUM(F4,I4,L4,O4,R4,U4,X4,AA4,AD4,AG4,AJ4,AM4)</f>
        <v>61845.69999999999</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39</v>
      </c>
      <c r="B5" s="15"/>
      <c r="C5" s="15"/>
      <c r="D5" s="3">
        <f t="shared" si="0"/>
        <v>1424.4074802493417</v>
      </c>
      <c r="E5" s="3">
        <v>4273080</v>
      </c>
      <c r="F5" s="6">
        <v>2999.9</v>
      </c>
      <c r="G5" s="3">
        <f t="shared" si="1"/>
        <v>1467.1042833405131</v>
      </c>
      <c r="H5" s="3">
        <v>9535591</v>
      </c>
      <c r="I5" s="6">
        <v>6499.6</v>
      </c>
      <c r="J5" s="3">
        <f t="shared" si="2"/>
        <v>1377.533173301327</v>
      </c>
      <c r="K5" s="3">
        <v>4131773</v>
      </c>
      <c r="L5" s="6">
        <v>2999.4</v>
      </c>
      <c r="M5" s="3">
        <f t="shared" si="3"/>
        <v>1482.0727020504073</v>
      </c>
      <c r="N5" s="3">
        <v>20940057</v>
      </c>
      <c r="O5" s="6">
        <v>14128.9</v>
      </c>
      <c r="P5" s="3" t="e">
        <f t="shared" si="4"/>
        <v>#DIV/0!</v>
      </c>
      <c r="Q5" s="3">
        <v>0</v>
      </c>
      <c r="R5" s="6">
        <v>0</v>
      </c>
      <c r="S5" s="3">
        <f t="shared" si="5"/>
        <v>1767.1659766307848</v>
      </c>
      <c r="T5" s="3">
        <v>19207327</v>
      </c>
      <c r="U5" s="6">
        <v>10869</v>
      </c>
      <c r="V5" s="3">
        <f t="shared" si="6"/>
        <v>1218.7364228504839</v>
      </c>
      <c r="W5" s="3">
        <v>14014372</v>
      </c>
      <c r="X5" s="6">
        <v>11499.1</v>
      </c>
      <c r="Y5" s="3">
        <f t="shared" si="7"/>
        <v>1502.2079883980905</v>
      </c>
      <c r="Z5" s="3">
        <v>9944016</v>
      </c>
      <c r="AA5" s="6">
        <v>6619.6</v>
      </c>
      <c r="AB5" s="3" t="e">
        <f t="shared" si="8"/>
        <v>#DIV/0!</v>
      </c>
      <c r="AC5" s="3">
        <v>0</v>
      </c>
      <c r="AD5" s="6">
        <v>0</v>
      </c>
      <c r="AE5" s="3">
        <f t="shared" si="9"/>
        <v>2825.5</v>
      </c>
      <c r="AF5" s="3">
        <v>5651</v>
      </c>
      <c r="AG5" s="6">
        <v>2</v>
      </c>
      <c r="AH5" s="3" t="e">
        <f t="shared" si="10"/>
        <v>#DIV/0!</v>
      </c>
      <c r="AI5" s="3">
        <v>0</v>
      </c>
      <c r="AJ5" s="6">
        <v>0</v>
      </c>
      <c r="AK5" s="3">
        <f t="shared" si="11"/>
        <v>762.09347076418931</v>
      </c>
      <c r="AL5" s="3">
        <v>4000000</v>
      </c>
      <c r="AM5" s="6">
        <v>5248.7</v>
      </c>
      <c r="AN5" s="3">
        <f t="shared" si="12"/>
        <v>1413.7874058180075</v>
      </c>
      <c r="AO5" s="3">
        <f t="shared" si="13"/>
        <v>86051867</v>
      </c>
      <c r="AP5" s="6">
        <f t="shared" si="14"/>
        <v>60866.2</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27</v>
      </c>
      <c r="B6" s="15"/>
      <c r="C6" s="15"/>
      <c r="D6" s="3">
        <f t="shared" si="0"/>
        <v>1358.079121994851</v>
      </c>
      <c r="E6" s="3">
        <v>22471592</v>
      </c>
      <c r="F6" s="6">
        <v>16546.599999999999</v>
      </c>
      <c r="G6" s="3">
        <f t="shared" si="1"/>
        <v>1485.8083924544906</v>
      </c>
      <c r="H6" s="3">
        <v>13508227</v>
      </c>
      <c r="I6" s="6">
        <v>9091.5</v>
      </c>
      <c r="J6" s="3">
        <f t="shared" si="2"/>
        <v>1424.8315436622918</v>
      </c>
      <c r="K6" s="3">
        <v>7523538</v>
      </c>
      <c r="L6" s="6">
        <v>5280.3</v>
      </c>
      <c r="M6" s="3">
        <f t="shared" si="3"/>
        <v>1545.1493214248333</v>
      </c>
      <c r="N6" s="3">
        <v>8857723</v>
      </c>
      <c r="O6" s="6">
        <v>5732.6</v>
      </c>
      <c r="P6" s="3">
        <f t="shared" si="4"/>
        <v>1706.5410041376688</v>
      </c>
      <c r="Q6" s="3">
        <v>10764690</v>
      </c>
      <c r="R6" s="6">
        <v>6307.9</v>
      </c>
      <c r="S6" s="3">
        <f t="shared" si="5"/>
        <v>1677.747351345871</v>
      </c>
      <c r="T6" s="3">
        <v>16548461</v>
      </c>
      <c r="U6" s="6">
        <v>9863.5</v>
      </c>
      <c r="V6" s="3">
        <f t="shared" si="6"/>
        <v>1550.3927157561361</v>
      </c>
      <c r="W6" s="3">
        <v>7832584</v>
      </c>
      <c r="X6" s="6">
        <v>5052</v>
      </c>
      <c r="Y6" s="3">
        <f t="shared" si="7"/>
        <v>1696.0444340868485</v>
      </c>
      <c r="Z6" s="3">
        <v>2183318</v>
      </c>
      <c r="AA6" s="6">
        <v>1287.3</v>
      </c>
      <c r="AB6" s="3">
        <f t="shared" si="8"/>
        <v>1695.4014811927498</v>
      </c>
      <c r="AC6" s="3">
        <v>1739821</v>
      </c>
      <c r="AD6" s="6">
        <v>1026.2</v>
      </c>
      <c r="AE6" s="3">
        <f t="shared" si="9"/>
        <v>1679.6963613550815</v>
      </c>
      <c r="AF6" s="3">
        <v>2008077</v>
      </c>
      <c r="AG6" s="6">
        <v>1195.5</v>
      </c>
      <c r="AH6" s="3">
        <f t="shared" si="10"/>
        <v>1664.3949562741509</v>
      </c>
      <c r="AI6" s="3">
        <v>818383</v>
      </c>
      <c r="AJ6" s="6">
        <v>491.7</v>
      </c>
      <c r="AK6" s="3">
        <f t="shared" si="11"/>
        <v>1664.3323795898905</v>
      </c>
      <c r="AL6" s="3">
        <v>698021</v>
      </c>
      <c r="AM6" s="6">
        <v>419.4</v>
      </c>
      <c r="AN6" s="3">
        <f t="shared" si="12"/>
        <v>1524.282801852491</v>
      </c>
      <c r="AO6" s="3">
        <f t="shared" si="13"/>
        <v>94954435</v>
      </c>
      <c r="AP6" s="6">
        <f t="shared" si="14"/>
        <v>62294.5</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22</v>
      </c>
      <c r="B7" s="15"/>
      <c r="C7" s="15"/>
      <c r="D7" s="3">
        <f t="shared" si="0"/>
        <v>1383.8118431171495</v>
      </c>
      <c r="E7" s="3">
        <v>539825</v>
      </c>
      <c r="F7" s="6">
        <v>390.1</v>
      </c>
      <c r="G7" s="3">
        <f t="shared" si="1"/>
        <v>1151.0393700787401</v>
      </c>
      <c r="H7" s="3">
        <v>657819</v>
      </c>
      <c r="I7" s="6">
        <v>571.5</v>
      </c>
      <c r="J7" s="3">
        <f t="shared" si="2"/>
        <v>1432.8860145513338</v>
      </c>
      <c r="K7" s="3">
        <v>708992</v>
      </c>
      <c r="L7" s="6">
        <v>494.8</v>
      </c>
      <c r="M7" s="3">
        <f t="shared" si="3"/>
        <v>1749.1590645214796</v>
      </c>
      <c r="N7" s="3">
        <v>1054568</v>
      </c>
      <c r="O7" s="6">
        <v>602.9</v>
      </c>
      <c r="P7" s="3">
        <f t="shared" si="4"/>
        <v>1838.1136905287315</v>
      </c>
      <c r="Q7" s="3">
        <v>2082399</v>
      </c>
      <c r="R7" s="6">
        <v>1132.9000000000001</v>
      </c>
      <c r="S7" s="3">
        <f t="shared" si="5"/>
        <v>1712.1422478839972</v>
      </c>
      <c r="T7" s="3">
        <v>2609476</v>
      </c>
      <c r="U7" s="6">
        <v>1524.1</v>
      </c>
      <c r="V7" s="3">
        <f t="shared" si="6"/>
        <v>1642.1062896148221</v>
      </c>
      <c r="W7" s="3">
        <v>673592</v>
      </c>
      <c r="X7" s="6">
        <v>410.2</v>
      </c>
      <c r="Y7" s="3">
        <f t="shared" si="7"/>
        <v>1206.2880475129919</v>
      </c>
      <c r="Z7" s="3">
        <v>162487</v>
      </c>
      <c r="AA7" s="6">
        <v>134.69999999999999</v>
      </c>
      <c r="AB7" s="3">
        <f t="shared" si="8"/>
        <v>1092.4495967741934</v>
      </c>
      <c r="AC7" s="3">
        <v>108371</v>
      </c>
      <c r="AD7" s="6">
        <v>99.2</v>
      </c>
      <c r="AE7" s="3">
        <f t="shared" si="9"/>
        <v>1082.1049180327868</v>
      </c>
      <c r="AF7" s="3">
        <v>330042</v>
      </c>
      <c r="AG7" s="6">
        <v>305</v>
      </c>
      <c r="AH7" s="3">
        <f t="shared" si="10"/>
        <v>1093.1438457736035</v>
      </c>
      <c r="AI7" s="3">
        <v>221143</v>
      </c>
      <c r="AJ7" s="6">
        <v>202.3</v>
      </c>
      <c r="AK7" s="3">
        <f t="shared" si="11"/>
        <v>1007.2274488101826</v>
      </c>
      <c r="AL7" s="3">
        <v>182006</v>
      </c>
      <c r="AM7" s="6">
        <v>180.7</v>
      </c>
      <c r="AN7" s="3">
        <f t="shared" si="12"/>
        <v>1542.6757489584022</v>
      </c>
      <c r="AO7" s="3">
        <f t="shared" si="13"/>
        <v>9330720</v>
      </c>
      <c r="AP7" s="6">
        <f t="shared" si="14"/>
        <v>6048.4</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40</v>
      </c>
      <c r="B8" s="15"/>
      <c r="C8" s="15"/>
      <c r="D8" s="3">
        <f t="shared" si="0"/>
        <v>1770.625</v>
      </c>
      <c r="E8" s="3">
        <v>5666</v>
      </c>
      <c r="F8" s="6">
        <v>3.2</v>
      </c>
      <c r="G8" s="3">
        <f t="shared" si="1"/>
        <v>2940.5882352941176</v>
      </c>
      <c r="H8" s="3">
        <v>4999</v>
      </c>
      <c r="I8" s="6">
        <v>1.7</v>
      </c>
      <c r="J8" s="3" t="e">
        <f t="shared" si="2"/>
        <v>#DIV/0!</v>
      </c>
      <c r="K8" s="3">
        <v>0</v>
      </c>
      <c r="L8" s="6">
        <v>0</v>
      </c>
      <c r="M8" s="3">
        <f t="shared" si="3"/>
        <v>760.4207920792079</v>
      </c>
      <c r="N8" s="3">
        <v>30721</v>
      </c>
      <c r="O8" s="6">
        <v>40.4</v>
      </c>
      <c r="P8" s="3" t="e">
        <f t="shared" si="4"/>
        <v>#DIV/0!</v>
      </c>
      <c r="Q8" s="3">
        <v>0</v>
      </c>
      <c r="R8" s="6">
        <v>0</v>
      </c>
      <c r="S8" s="3">
        <f t="shared" si="5"/>
        <v>847.42465753424653</v>
      </c>
      <c r="T8" s="3">
        <v>30931</v>
      </c>
      <c r="U8" s="6">
        <v>36.5</v>
      </c>
      <c r="V8" s="3">
        <f t="shared" si="6"/>
        <v>2671.1764705882356</v>
      </c>
      <c r="W8" s="3">
        <v>4541</v>
      </c>
      <c r="X8" s="6">
        <v>1.7</v>
      </c>
      <c r="Y8" s="3">
        <f t="shared" si="7"/>
        <v>2664.2424242424245</v>
      </c>
      <c r="Z8" s="3">
        <v>8792</v>
      </c>
      <c r="AA8" s="6">
        <v>3.3</v>
      </c>
      <c r="AB8" s="3">
        <f t="shared" si="8"/>
        <v>758.90625</v>
      </c>
      <c r="AC8" s="3">
        <v>9714</v>
      </c>
      <c r="AD8" s="6">
        <v>12.8</v>
      </c>
      <c r="AE8" s="3">
        <f t="shared" si="9"/>
        <v>760.24767801857593</v>
      </c>
      <c r="AF8" s="3">
        <v>24556</v>
      </c>
      <c r="AG8" s="6">
        <v>32.299999999999997</v>
      </c>
      <c r="AH8" s="3">
        <f t="shared" si="10"/>
        <v>759.47663551401865</v>
      </c>
      <c r="AI8" s="3">
        <v>40632</v>
      </c>
      <c r="AJ8" s="6">
        <v>53.5</v>
      </c>
      <c r="AK8" s="3">
        <f t="shared" si="11"/>
        <v>867.82758620689651</v>
      </c>
      <c r="AL8" s="3">
        <v>25167</v>
      </c>
      <c r="AM8" s="6">
        <v>29</v>
      </c>
      <c r="AN8" s="3">
        <f t="shared" si="12"/>
        <v>866.22667910447774</v>
      </c>
      <c r="AO8" s="3">
        <f t="shared" si="13"/>
        <v>185719</v>
      </c>
      <c r="AP8" s="6">
        <f t="shared" si="14"/>
        <v>214.39999999999998</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51</v>
      </c>
      <c r="B9" s="15"/>
      <c r="C9" s="15"/>
      <c r="D9" s="3">
        <f t="shared" si="0"/>
        <v>760.89285714285711</v>
      </c>
      <c r="E9" s="3">
        <v>25566</v>
      </c>
      <c r="F9" s="6">
        <v>33.6</v>
      </c>
      <c r="G9" s="3" t="e">
        <f t="shared" si="1"/>
        <v>#DIV/0!</v>
      </c>
      <c r="H9" s="3">
        <v>0</v>
      </c>
      <c r="I9" s="6">
        <v>0</v>
      </c>
      <c r="J9" s="3" t="e">
        <f t="shared" si="2"/>
        <v>#DIV/0!</v>
      </c>
      <c r="K9" s="3">
        <v>0</v>
      </c>
      <c r="L9" s="6">
        <v>0</v>
      </c>
      <c r="M9" s="3" t="e">
        <f t="shared" si="3"/>
        <v>#DIV/0!</v>
      </c>
      <c r="N9" s="3">
        <v>0</v>
      </c>
      <c r="O9" s="6">
        <v>0</v>
      </c>
      <c r="P9" s="3" t="e">
        <f t="shared" si="4"/>
        <v>#DIV/0!</v>
      </c>
      <c r="Q9" s="3">
        <v>0</v>
      </c>
      <c r="R9" s="6">
        <v>0</v>
      </c>
      <c r="S9" s="3" t="e">
        <f t="shared" si="5"/>
        <v>#DIV/0!</v>
      </c>
      <c r="T9" s="3">
        <v>0</v>
      </c>
      <c r="U9" s="6">
        <v>0</v>
      </c>
      <c r="V9" s="3">
        <f t="shared" si="6"/>
        <v>759.780621572212</v>
      </c>
      <c r="W9" s="3">
        <v>41560</v>
      </c>
      <c r="X9" s="6">
        <v>54.7</v>
      </c>
      <c r="Y9" s="3" t="e">
        <f t="shared" si="7"/>
        <v>#DIV/0!</v>
      </c>
      <c r="Z9" s="3">
        <v>0</v>
      </c>
      <c r="AA9" s="6">
        <v>0</v>
      </c>
      <c r="AB9" s="3" t="e">
        <f t="shared" si="8"/>
        <v>#DIV/0!</v>
      </c>
      <c r="AC9" s="3">
        <v>0</v>
      </c>
      <c r="AD9" s="6">
        <v>0</v>
      </c>
      <c r="AE9" s="3" t="e">
        <f t="shared" si="9"/>
        <v>#DIV/0!</v>
      </c>
      <c r="AF9" s="3">
        <v>0</v>
      </c>
      <c r="AG9" s="6">
        <v>0</v>
      </c>
      <c r="AH9" s="3" t="e">
        <f t="shared" si="10"/>
        <v>#DIV/0!</v>
      </c>
      <c r="AI9" s="3">
        <v>0</v>
      </c>
      <c r="AJ9" s="6">
        <v>0</v>
      </c>
      <c r="AK9" s="3">
        <f t="shared" si="11"/>
        <v>1768.1012658227846</v>
      </c>
      <c r="AL9" s="3">
        <v>13968</v>
      </c>
      <c r="AM9" s="6">
        <v>7.9</v>
      </c>
      <c r="AN9" s="3">
        <f t="shared" si="12"/>
        <v>842.9729729729728</v>
      </c>
      <c r="AO9" s="3">
        <f t="shared" si="13"/>
        <v>81094</v>
      </c>
      <c r="AP9" s="6">
        <f t="shared" si="14"/>
        <v>96.200000000000017</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52</v>
      </c>
      <c r="B10" s="15"/>
      <c r="C10" s="15"/>
      <c r="D10" s="3" t="e">
        <f t="shared" si="0"/>
        <v>#DIV/0!</v>
      </c>
      <c r="E10" s="3">
        <v>0</v>
      </c>
      <c r="F10" s="6">
        <v>0</v>
      </c>
      <c r="G10" s="3">
        <f t="shared" si="1"/>
        <v>3966</v>
      </c>
      <c r="H10" s="3">
        <v>3966</v>
      </c>
      <c r="I10" s="6">
        <v>1</v>
      </c>
      <c r="J10" s="3" t="e">
        <f t="shared" si="2"/>
        <v>#DIV/0!</v>
      </c>
      <c r="K10" s="3">
        <v>0</v>
      </c>
      <c r="L10" s="6">
        <v>0</v>
      </c>
      <c r="M10" s="3" t="e">
        <f t="shared" si="3"/>
        <v>#DIV/0!</v>
      </c>
      <c r="N10" s="3">
        <v>0</v>
      </c>
      <c r="O10" s="6">
        <v>0</v>
      </c>
      <c r="P10" s="3" t="e">
        <f t="shared" si="4"/>
        <v>#DIV/0!</v>
      </c>
      <c r="Q10" s="3">
        <v>0</v>
      </c>
      <c r="R10" s="6">
        <v>0</v>
      </c>
      <c r="S10" s="3">
        <f t="shared" si="5"/>
        <v>762.38095238095229</v>
      </c>
      <c r="T10" s="3">
        <v>3202</v>
      </c>
      <c r="U10" s="6">
        <v>4.2</v>
      </c>
      <c r="V10" s="3" t="e">
        <f t="shared" si="6"/>
        <v>#DIV/0!</v>
      </c>
      <c r="W10" s="3">
        <v>0</v>
      </c>
      <c r="X10" s="6">
        <v>0</v>
      </c>
      <c r="Y10" s="3" t="e">
        <f t="shared" si="7"/>
        <v>#DIV/0!</v>
      </c>
      <c r="Z10" s="3">
        <v>0</v>
      </c>
      <c r="AA10" s="6">
        <v>0</v>
      </c>
      <c r="AB10" s="3" t="e">
        <f t="shared" si="8"/>
        <v>#DIV/0!</v>
      </c>
      <c r="AC10" s="3">
        <v>0</v>
      </c>
      <c r="AD10" s="6">
        <v>0</v>
      </c>
      <c r="AE10" s="3" t="e">
        <f t="shared" si="9"/>
        <v>#DIV/0!</v>
      </c>
      <c r="AF10" s="3">
        <v>0</v>
      </c>
      <c r="AG10" s="6">
        <v>0</v>
      </c>
      <c r="AH10" s="3" t="e">
        <f t="shared" si="10"/>
        <v>#DIV/0!</v>
      </c>
      <c r="AI10" s="3">
        <v>0</v>
      </c>
      <c r="AJ10" s="6">
        <v>0</v>
      </c>
      <c r="AK10" s="3">
        <f t="shared" si="11"/>
        <v>3610.7142857142858</v>
      </c>
      <c r="AL10" s="3">
        <v>5055</v>
      </c>
      <c r="AM10" s="6">
        <v>1.4</v>
      </c>
      <c r="AN10" s="3">
        <f t="shared" si="12"/>
        <v>1851.969696969697</v>
      </c>
      <c r="AO10" s="3">
        <f t="shared" si="13"/>
        <v>12223</v>
      </c>
      <c r="AP10" s="6">
        <f t="shared" si="14"/>
        <v>6.6</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53</v>
      </c>
      <c r="B11" s="15"/>
      <c r="C11" s="15"/>
      <c r="D11" s="3">
        <f t="shared" si="0"/>
        <v>760.5206463195691</v>
      </c>
      <c r="E11" s="3">
        <v>42361</v>
      </c>
      <c r="F11" s="6">
        <v>55.7</v>
      </c>
      <c r="G11" s="3">
        <f t="shared" si="1"/>
        <v>758.9164086687307</v>
      </c>
      <c r="H11" s="3">
        <v>24513</v>
      </c>
      <c r="I11" s="6">
        <v>32.299999999999997</v>
      </c>
      <c r="J11" s="3" t="e">
        <f t="shared" si="2"/>
        <v>#DIV/0!</v>
      </c>
      <c r="K11" s="3">
        <v>0</v>
      </c>
      <c r="L11" s="6">
        <v>0</v>
      </c>
      <c r="M11" s="3" t="e">
        <f t="shared" si="3"/>
        <v>#DIV/0!</v>
      </c>
      <c r="N11" s="3">
        <v>0</v>
      </c>
      <c r="O11" s="6">
        <v>0</v>
      </c>
      <c r="P11" s="3" t="e">
        <f t="shared" si="4"/>
        <v>#DIV/0!</v>
      </c>
      <c r="Q11" s="3">
        <v>0</v>
      </c>
      <c r="R11" s="6">
        <v>0</v>
      </c>
      <c r="S11" s="3" t="e">
        <f t="shared" si="5"/>
        <v>#DIV/0!</v>
      </c>
      <c r="T11" s="3">
        <v>0</v>
      </c>
      <c r="U11" s="6">
        <v>0</v>
      </c>
      <c r="V11" s="3">
        <f t="shared" si="6"/>
        <v>2623</v>
      </c>
      <c r="W11" s="3">
        <v>2623</v>
      </c>
      <c r="X11" s="6">
        <v>1</v>
      </c>
      <c r="Y11" s="3" t="e">
        <f t="shared" si="7"/>
        <v>#DIV/0!</v>
      </c>
      <c r="Z11" s="3">
        <v>0</v>
      </c>
      <c r="AA11" s="6">
        <v>0</v>
      </c>
      <c r="AB11" s="3" t="e">
        <f t="shared" si="8"/>
        <v>#DIV/0!</v>
      </c>
      <c r="AC11" s="3">
        <v>0</v>
      </c>
      <c r="AD11" s="6">
        <v>0</v>
      </c>
      <c r="AE11" s="3" t="e">
        <f t="shared" si="9"/>
        <v>#DIV/0!</v>
      </c>
      <c r="AF11" s="3">
        <v>0</v>
      </c>
      <c r="AG11" s="6">
        <v>0</v>
      </c>
      <c r="AH11" s="3" t="e">
        <f t="shared" si="10"/>
        <v>#DIV/0!</v>
      </c>
      <c r="AI11" s="3">
        <v>0</v>
      </c>
      <c r="AJ11" s="6">
        <v>0</v>
      </c>
      <c r="AK11" s="3" t="e">
        <f t="shared" si="11"/>
        <v>#DIV/0!</v>
      </c>
      <c r="AL11" s="3">
        <v>0</v>
      </c>
      <c r="AM11" s="6">
        <v>0</v>
      </c>
      <c r="AN11" s="3">
        <f t="shared" si="12"/>
        <v>780.86516853932585</v>
      </c>
      <c r="AO11" s="3">
        <f t="shared" si="13"/>
        <v>69497</v>
      </c>
      <c r="AP11" s="6">
        <f t="shared" si="14"/>
        <v>89</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28</v>
      </c>
      <c r="B12" s="15"/>
      <c r="C12" s="15"/>
      <c r="D12" s="3" t="e">
        <f>E12/F12</f>
        <v>#DIV/0!</v>
      </c>
      <c r="E12" s="3">
        <v>0</v>
      </c>
      <c r="F12" s="6">
        <v>0</v>
      </c>
      <c r="G12" s="3" t="e">
        <f>H12/I12</f>
        <v>#DIV/0!</v>
      </c>
      <c r="H12" s="3">
        <v>0</v>
      </c>
      <c r="I12" s="6">
        <v>0</v>
      </c>
      <c r="J12" s="3" t="e">
        <f>K12/L12</f>
        <v>#DIV/0!</v>
      </c>
      <c r="K12" s="3">
        <v>0</v>
      </c>
      <c r="L12" s="6">
        <v>0</v>
      </c>
      <c r="M12" s="3" t="e">
        <f>N12/O12</f>
        <v>#DIV/0!</v>
      </c>
      <c r="N12" s="3">
        <v>0</v>
      </c>
      <c r="O12" s="6">
        <v>0</v>
      </c>
      <c r="P12" s="3" t="e">
        <f>Q12/R12</f>
        <v>#DIV/0!</v>
      </c>
      <c r="Q12" s="3">
        <v>0</v>
      </c>
      <c r="R12" s="6">
        <v>0</v>
      </c>
      <c r="S12" s="3" t="e">
        <f>T12/U12</f>
        <v>#DIV/0!</v>
      </c>
      <c r="T12" s="3">
        <v>0</v>
      </c>
      <c r="U12" s="6">
        <v>0</v>
      </c>
      <c r="V12" s="3" t="e">
        <f>W12/X12</f>
        <v>#DIV/0!</v>
      </c>
      <c r="W12" s="3">
        <v>0</v>
      </c>
      <c r="X12" s="6">
        <v>0</v>
      </c>
      <c r="Y12" s="3" t="e">
        <f>Z12/AA12</f>
        <v>#DIV/0!</v>
      </c>
      <c r="Z12" s="3">
        <v>0</v>
      </c>
      <c r="AA12" s="6">
        <v>0</v>
      </c>
      <c r="AB12" s="3" t="e">
        <f>AC12/AD12</f>
        <v>#DIV/0!</v>
      </c>
      <c r="AC12" s="3">
        <v>0</v>
      </c>
      <c r="AD12" s="6">
        <v>0</v>
      </c>
      <c r="AE12" s="3">
        <f>AF12/AG12</f>
        <v>2248.5714285714289</v>
      </c>
      <c r="AF12" s="3">
        <v>3148</v>
      </c>
      <c r="AG12" s="6">
        <v>1.4</v>
      </c>
      <c r="AH12" s="3" t="e">
        <f>AI12/AJ12</f>
        <v>#DIV/0!</v>
      </c>
      <c r="AI12" s="3">
        <v>0</v>
      </c>
      <c r="AJ12" s="6">
        <v>0</v>
      </c>
      <c r="AK12" s="3" t="e">
        <f>AL12/AM12</f>
        <v>#DIV/0!</v>
      </c>
      <c r="AL12" s="3">
        <v>0</v>
      </c>
      <c r="AM12" s="6">
        <v>0</v>
      </c>
      <c r="AN12" s="3">
        <f t="shared" si="12"/>
        <v>2248.5714285714289</v>
      </c>
      <c r="AO12" s="3">
        <f t="shared" si="13"/>
        <v>3148</v>
      </c>
      <c r="AP12" s="6">
        <f t="shared" si="14"/>
        <v>1.4</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54</v>
      </c>
      <c r="B13" s="15"/>
      <c r="C13" s="15"/>
      <c r="D13" s="3">
        <f t="shared" ref="D13:D36" si="15">E13/F13</f>
        <v>2688.7027027027025</v>
      </c>
      <c r="E13" s="3">
        <v>49741</v>
      </c>
      <c r="F13" s="6">
        <v>18.5</v>
      </c>
      <c r="G13" s="3" t="e">
        <f t="shared" ref="G13:G36" si="16">H13/I13</f>
        <v>#DIV/0!</v>
      </c>
      <c r="H13" s="3">
        <v>0</v>
      </c>
      <c r="I13" s="6">
        <v>0</v>
      </c>
      <c r="J13" s="3" t="e">
        <f t="shared" ref="J13:J36" si="17">K13/L13</f>
        <v>#DIV/0!</v>
      </c>
      <c r="K13" s="3">
        <v>0</v>
      </c>
      <c r="L13" s="6">
        <v>0</v>
      </c>
      <c r="M13" s="3" t="e">
        <f t="shared" ref="M13:M36" si="18">N13/O13</f>
        <v>#DIV/0!</v>
      </c>
      <c r="N13" s="3">
        <v>0</v>
      </c>
      <c r="O13" s="6">
        <v>0</v>
      </c>
      <c r="P13" s="3" t="e">
        <f t="shared" ref="P13:P36" si="19">Q13/R13</f>
        <v>#DIV/0!</v>
      </c>
      <c r="Q13" s="3">
        <v>0</v>
      </c>
      <c r="R13" s="6">
        <v>0</v>
      </c>
      <c r="S13" s="3" t="e">
        <f t="shared" ref="S13:S36" si="20">T13/U13</f>
        <v>#DIV/0!</v>
      </c>
      <c r="T13" s="3">
        <v>0</v>
      </c>
      <c r="U13" s="6">
        <v>0</v>
      </c>
      <c r="V13" s="3" t="e">
        <f t="shared" ref="V13:V36" si="21">W13/X13</f>
        <v>#DIV/0!</v>
      </c>
      <c r="W13" s="3">
        <v>0</v>
      </c>
      <c r="X13" s="6">
        <v>0</v>
      </c>
      <c r="Y13" s="3" t="e">
        <f t="shared" ref="Y13:Y36" si="22">Z13/AA13</f>
        <v>#DIV/0!</v>
      </c>
      <c r="Z13" s="3">
        <v>0</v>
      </c>
      <c r="AA13" s="6">
        <v>0</v>
      </c>
      <c r="AB13" s="3" t="e">
        <f t="shared" ref="AB13:AB36" si="23">AC13/AD13</f>
        <v>#DIV/0!</v>
      </c>
      <c r="AC13" s="3">
        <v>0</v>
      </c>
      <c r="AD13" s="6">
        <v>0</v>
      </c>
      <c r="AE13" s="3" t="e">
        <f t="shared" ref="AE13:AE36" si="24">AF13/AG13</f>
        <v>#DIV/0!</v>
      </c>
      <c r="AF13" s="3">
        <v>0</v>
      </c>
      <c r="AG13" s="6">
        <v>0</v>
      </c>
      <c r="AH13" s="3" t="e">
        <f t="shared" ref="AH13:AH36" si="25">AI13/AJ13</f>
        <v>#DIV/0!</v>
      </c>
      <c r="AI13" s="3">
        <v>0</v>
      </c>
      <c r="AJ13" s="6">
        <v>0</v>
      </c>
      <c r="AK13" s="3" t="e">
        <f t="shared" ref="AK13:AK36" si="26">AL13/AM13</f>
        <v>#DIV/0!</v>
      </c>
      <c r="AL13" s="3">
        <v>0</v>
      </c>
      <c r="AM13" s="6">
        <v>0</v>
      </c>
      <c r="AN13" s="3">
        <f t="shared" si="12"/>
        <v>2688.7027027027025</v>
      </c>
      <c r="AO13" s="3">
        <f t="shared" si="13"/>
        <v>49741</v>
      </c>
      <c r="AP13" s="6">
        <f t="shared" si="14"/>
        <v>18.5</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23</v>
      </c>
      <c r="B14" s="15"/>
      <c r="C14" s="15"/>
      <c r="D14" s="3">
        <f t="shared" si="15"/>
        <v>1370.0488837432317</v>
      </c>
      <c r="E14" s="3">
        <v>11715151</v>
      </c>
      <c r="F14" s="6">
        <v>8550.9</v>
      </c>
      <c r="G14" s="3">
        <f t="shared" si="16"/>
        <v>1445.4462605022727</v>
      </c>
      <c r="H14" s="3">
        <v>6296653</v>
      </c>
      <c r="I14" s="6">
        <v>4356.2</v>
      </c>
      <c r="J14" s="3">
        <f t="shared" si="17"/>
        <v>1705.1824817518248</v>
      </c>
      <c r="K14" s="3">
        <v>6821412</v>
      </c>
      <c r="L14" s="6">
        <v>4000.4</v>
      </c>
      <c r="M14" s="3" t="e">
        <f t="shared" si="18"/>
        <v>#DIV/0!</v>
      </c>
      <c r="N14" s="3">
        <v>0</v>
      </c>
      <c r="O14" s="6">
        <v>0</v>
      </c>
      <c r="P14" s="3">
        <f t="shared" si="19"/>
        <v>1962.0874822190613</v>
      </c>
      <c r="Q14" s="3">
        <v>4413912</v>
      </c>
      <c r="R14" s="6">
        <v>2249.6</v>
      </c>
      <c r="S14" s="3" t="e">
        <f t="shared" si="20"/>
        <v>#DIV/0!</v>
      </c>
      <c r="T14" s="3">
        <v>0</v>
      </c>
      <c r="U14" s="6">
        <v>0</v>
      </c>
      <c r="V14" s="3" t="e">
        <f t="shared" si="21"/>
        <v>#DIV/0!</v>
      </c>
      <c r="W14" s="3">
        <v>0</v>
      </c>
      <c r="X14" s="6">
        <v>0</v>
      </c>
      <c r="Y14" s="3" t="e">
        <f t="shared" si="22"/>
        <v>#DIV/0!</v>
      </c>
      <c r="Z14" s="3">
        <v>0</v>
      </c>
      <c r="AA14" s="6">
        <v>0</v>
      </c>
      <c r="AB14" s="3" t="e">
        <f t="shared" si="23"/>
        <v>#DIV/0!</v>
      </c>
      <c r="AC14" s="3">
        <v>0</v>
      </c>
      <c r="AD14" s="6">
        <v>0</v>
      </c>
      <c r="AE14" s="3" t="e">
        <f t="shared" si="24"/>
        <v>#DIV/0!</v>
      </c>
      <c r="AF14" s="3">
        <v>0</v>
      </c>
      <c r="AG14" s="6">
        <v>0</v>
      </c>
      <c r="AH14" s="3" t="e">
        <f t="shared" si="25"/>
        <v>#DIV/0!</v>
      </c>
      <c r="AI14" s="3">
        <v>0</v>
      </c>
      <c r="AJ14" s="6">
        <v>0</v>
      </c>
      <c r="AK14" s="3" t="e">
        <f t="shared" si="26"/>
        <v>#DIV/0!</v>
      </c>
      <c r="AL14" s="3">
        <v>0</v>
      </c>
      <c r="AM14" s="6">
        <v>0</v>
      </c>
      <c r="AN14" s="3">
        <f t="shared" si="12"/>
        <v>1526.6991350465364</v>
      </c>
      <c r="AO14" s="3">
        <f t="shared" si="13"/>
        <v>29247128</v>
      </c>
      <c r="AP14" s="6">
        <f t="shared" si="14"/>
        <v>19157.099999999999</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19</v>
      </c>
      <c r="B15" s="15"/>
      <c r="C15" s="15"/>
      <c r="D15" s="3">
        <f t="shared" si="15"/>
        <v>1600</v>
      </c>
      <c r="E15" s="3">
        <v>32000</v>
      </c>
      <c r="F15" s="6">
        <v>20</v>
      </c>
      <c r="G15" s="3" t="e">
        <f t="shared" si="16"/>
        <v>#DIV/0!</v>
      </c>
      <c r="H15" s="3">
        <v>0</v>
      </c>
      <c r="I15" s="6">
        <v>0</v>
      </c>
      <c r="J15" s="3" t="e">
        <f t="shared" si="17"/>
        <v>#DIV/0!</v>
      </c>
      <c r="K15" s="3">
        <v>0</v>
      </c>
      <c r="L15" s="6">
        <v>0</v>
      </c>
      <c r="M15" s="3" t="e">
        <f t="shared" si="18"/>
        <v>#DIV/0!</v>
      </c>
      <c r="N15" s="3">
        <v>0</v>
      </c>
      <c r="O15" s="6">
        <v>0</v>
      </c>
      <c r="P15" s="3">
        <f t="shared" si="19"/>
        <v>1967.5958196864765</v>
      </c>
      <c r="Q15" s="3">
        <v>7869793</v>
      </c>
      <c r="R15" s="6">
        <v>3999.7</v>
      </c>
      <c r="S15" s="3" t="e">
        <f t="shared" si="20"/>
        <v>#DIV/0!</v>
      </c>
      <c r="T15" s="3">
        <v>0</v>
      </c>
      <c r="U15" s="6">
        <v>0</v>
      </c>
      <c r="V15" s="3" t="e">
        <f t="shared" si="21"/>
        <v>#DIV/0!</v>
      </c>
      <c r="W15" s="3">
        <v>0</v>
      </c>
      <c r="X15" s="6">
        <v>0</v>
      </c>
      <c r="Y15" s="3" t="e">
        <f t="shared" si="22"/>
        <v>#DIV/0!</v>
      </c>
      <c r="Z15" s="3">
        <v>0</v>
      </c>
      <c r="AA15" s="6">
        <v>0</v>
      </c>
      <c r="AB15" s="3" t="e">
        <f t="shared" si="23"/>
        <v>#DIV/0!</v>
      </c>
      <c r="AC15" s="3">
        <v>0</v>
      </c>
      <c r="AD15" s="6">
        <v>0</v>
      </c>
      <c r="AE15" s="3" t="e">
        <f t="shared" si="24"/>
        <v>#DIV/0!</v>
      </c>
      <c r="AF15" s="3">
        <v>0</v>
      </c>
      <c r="AG15" s="6">
        <v>0</v>
      </c>
      <c r="AH15" s="3" t="e">
        <f t="shared" si="25"/>
        <v>#DIV/0!</v>
      </c>
      <c r="AI15" s="3">
        <v>0</v>
      </c>
      <c r="AJ15" s="6">
        <v>0</v>
      </c>
      <c r="AK15" s="3" t="e">
        <f t="shared" si="26"/>
        <v>#DIV/0!</v>
      </c>
      <c r="AL15" s="3">
        <v>0</v>
      </c>
      <c r="AM15" s="6">
        <v>0</v>
      </c>
      <c r="AN15" s="3">
        <f t="shared" si="12"/>
        <v>1965.7668482722593</v>
      </c>
      <c r="AO15" s="3">
        <f t="shared" si="13"/>
        <v>7901793</v>
      </c>
      <c r="AP15" s="6">
        <f t="shared" si="14"/>
        <v>4019.7</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24</v>
      </c>
      <c r="B16" s="15"/>
      <c r="C16" s="15"/>
      <c r="D16" s="3">
        <f t="shared" si="15"/>
        <v>1331.4734142516002</v>
      </c>
      <c r="E16" s="3">
        <v>18845941</v>
      </c>
      <c r="F16" s="6">
        <v>14154.2</v>
      </c>
      <c r="G16" s="3">
        <f t="shared" si="16"/>
        <v>1379.7832491037104</v>
      </c>
      <c r="H16" s="3">
        <v>31943362</v>
      </c>
      <c r="I16" s="6">
        <v>23151</v>
      </c>
      <c r="J16" s="3">
        <f t="shared" si="17"/>
        <v>1666.1079123077338</v>
      </c>
      <c r="K16" s="3">
        <v>6163433</v>
      </c>
      <c r="L16" s="6">
        <v>3699.3</v>
      </c>
      <c r="M16" s="3" t="e">
        <f t="shared" si="18"/>
        <v>#DIV/0!</v>
      </c>
      <c r="N16" s="3">
        <v>0</v>
      </c>
      <c r="O16" s="6">
        <v>0</v>
      </c>
      <c r="P16" s="3" t="e">
        <f t="shared" si="19"/>
        <v>#DIV/0!</v>
      </c>
      <c r="Q16" s="3">
        <v>0</v>
      </c>
      <c r="R16" s="6">
        <v>0</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t="e">
        <f t="shared" si="25"/>
        <v>#DIV/0!</v>
      </c>
      <c r="AI16" s="3">
        <v>0</v>
      </c>
      <c r="AJ16" s="6">
        <v>0</v>
      </c>
      <c r="AK16" s="3" t="e">
        <f t="shared" si="26"/>
        <v>#DIV/0!</v>
      </c>
      <c r="AL16" s="3">
        <v>0</v>
      </c>
      <c r="AM16" s="6">
        <v>0</v>
      </c>
      <c r="AN16" s="3">
        <f t="shared" si="12"/>
        <v>1388.9386774622299</v>
      </c>
      <c r="AO16" s="3">
        <f t="shared" si="13"/>
        <v>56952736</v>
      </c>
      <c r="AP16" s="6">
        <f t="shared" si="14"/>
        <v>41004.5</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29</v>
      </c>
      <c r="B17" s="15"/>
      <c r="C17" s="15"/>
      <c r="D17" s="3" t="e">
        <f t="shared" si="15"/>
        <v>#DIV/0!</v>
      </c>
      <c r="E17" s="3">
        <v>0</v>
      </c>
      <c r="F17" s="6">
        <v>0</v>
      </c>
      <c r="G17" s="3" t="e">
        <f t="shared" si="16"/>
        <v>#DIV/0!</v>
      </c>
      <c r="H17" s="3">
        <v>0</v>
      </c>
      <c r="I17" s="6">
        <v>0</v>
      </c>
      <c r="J17" s="3">
        <f t="shared" si="17"/>
        <v>1517.6466531020451</v>
      </c>
      <c r="K17" s="3">
        <v>4400720</v>
      </c>
      <c r="L17" s="6">
        <v>2899.7</v>
      </c>
      <c r="M17" s="3" t="e">
        <f t="shared" si="18"/>
        <v>#DIV/0!</v>
      </c>
      <c r="N17" s="3">
        <v>0</v>
      </c>
      <c r="O17" s="6">
        <v>0</v>
      </c>
      <c r="P17" s="3" t="e">
        <f t="shared" si="19"/>
        <v>#DIV/0!</v>
      </c>
      <c r="Q17" s="3">
        <v>0</v>
      </c>
      <c r="R17" s="6">
        <v>0</v>
      </c>
      <c r="S17" s="3" t="e">
        <f t="shared" si="20"/>
        <v>#DIV/0!</v>
      </c>
      <c r="T17" s="3">
        <v>0</v>
      </c>
      <c r="U17" s="6">
        <v>0</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t="e">
        <f t="shared" si="25"/>
        <v>#DIV/0!</v>
      </c>
      <c r="AI17" s="3">
        <v>0</v>
      </c>
      <c r="AJ17" s="6">
        <v>0</v>
      </c>
      <c r="AK17" s="3" t="e">
        <f t="shared" si="26"/>
        <v>#DIV/0!</v>
      </c>
      <c r="AL17" s="3">
        <v>0</v>
      </c>
      <c r="AM17" s="6">
        <v>0</v>
      </c>
      <c r="AN17" s="3">
        <f t="shared" si="12"/>
        <v>1517.6466531020451</v>
      </c>
      <c r="AO17" s="3">
        <f t="shared" si="13"/>
        <v>4400720</v>
      </c>
      <c r="AP17" s="6">
        <f t="shared" si="14"/>
        <v>2899.7</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55</v>
      </c>
      <c r="B18" s="15"/>
      <c r="C18" s="15"/>
      <c r="D18" s="3" t="e">
        <f t="shared" si="15"/>
        <v>#DIV/0!</v>
      </c>
      <c r="E18" s="3">
        <v>0</v>
      </c>
      <c r="F18" s="6">
        <v>0</v>
      </c>
      <c r="G18" s="3" t="e">
        <f t="shared" si="16"/>
        <v>#DIV/0!</v>
      </c>
      <c r="H18" s="3">
        <v>0</v>
      </c>
      <c r="I18" s="6">
        <v>0</v>
      </c>
      <c r="J18" s="3" t="e">
        <f t="shared" si="17"/>
        <v>#DIV/0!</v>
      </c>
      <c r="K18" s="3">
        <v>0</v>
      </c>
      <c r="L18" s="6">
        <v>0</v>
      </c>
      <c r="M18" s="3" t="e">
        <f t="shared" si="18"/>
        <v>#DIV/0!</v>
      </c>
      <c r="N18" s="3">
        <v>0</v>
      </c>
      <c r="O18" s="6">
        <v>0</v>
      </c>
      <c r="P18" s="3" t="e">
        <f t="shared" si="19"/>
        <v>#DIV/0!</v>
      </c>
      <c r="Q18" s="3">
        <v>0</v>
      </c>
      <c r="R18" s="6">
        <v>0</v>
      </c>
      <c r="S18" s="3" t="e">
        <f t="shared" si="20"/>
        <v>#DIV/0!</v>
      </c>
      <c r="T18" s="3">
        <v>0</v>
      </c>
      <c r="U18" s="6">
        <v>0</v>
      </c>
      <c r="V18" s="3" t="e">
        <f t="shared" si="21"/>
        <v>#DIV/0!</v>
      </c>
      <c r="W18" s="3">
        <v>0</v>
      </c>
      <c r="X18" s="6">
        <v>0</v>
      </c>
      <c r="Y18" s="3" t="e">
        <f t="shared" si="22"/>
        <v>#DIV/0!</v>
      </c>
      <c r="Z18" s="3">
        <v>0</v>
      </c>
      <c r="AA18" s="6">
        <v>0</v>
      </c>
      <c r="AB18" s="3">
        <f t="shared" si="23"/>
        <v>2205.1999999999998</v>
      </c>
      <c r="AC18" s="3">
        <v>5513</v>
      </c>
      <c r="AD18" s="6">
        <v>2.5</v>
      </c>
      <c r="AE18" s="3" t="e">
        <f t="shared" si="24"/>
        <v>#DIV/0!</v>
      </c>
      <c r="AF18" s="3">
        <v>0</v>
      </c>
      <c r="AG18" s="6">
        <v>0</v>
      </c>
      <c r="AH18" s="3" t="e">
        <f t="shared" si="25"/>
        <v>#DIV/0!</v>
      </c>
      <c r="AI18" s="3">
        <v>0</v>
      </c>
      <c r="AJ18" s="6">
        <v>0</v>
      </c>
      <c r="AK18" s="3" t="e">
        <f t="shared" si="26"/>
        <v>#DIV/0!</v>
      </c>
      <c r="AL18" s="3">
        <v>0</v>
      </c>
      <c r="AM18" s="6">
        <v>0</v>
      </c>
      <c r="AN18" s="3">
        <f t="shared" si="12"/>
        <v>2205.1999999999998</v>
      </c>
      <c r="AO18" s="3">
        <f t="shared" si="13"/>
        <v>5513</v>
      </c>
      <c r="AP18" s="6">
        <f t="shared" si="14"/>
        <v>2.5</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56</v>
      </c>
      <c r="B19" s="15"/>
      <c r="C19" s="15"/>
      <c r="D19" s="3" t="e">
        <f t="shared" si="15"/>
        <v>#DIV/0!</v>
      </c>
      <c r="E19" s="3">
        <v>0</v>
      </c>
      <c r="F19" s="6">
        <v>0</v>
      </c>
      <c r="G19" s="3" t="e">
        <f t="shared" si="16"/>
        <v>#DIV/0!</v>
      </c>
      <c r="H19" s="3">
        <v>0</v>
      </c>
      <c r="I19" s="6">
        <v>0</v>
      </c>
      <c r="J19" s="3" t="e">
        <f t="shared" si="17"/>
        <v>#DIV/0!</v>
      </c>
      <c r="K19" s="3">
        <v>0</v>
      </c>
      <c r="L19" s="6">
        <v>0</v>
      </c>
      <c r="M19" s="3">
        <f t="shared" si="18"/>
        <v>1190</v>
      </c>
      <c r="N19" s="3">
        <v>6664</v>
      </c>
      <c r="O19" s="6">
        <v>5.6</v>
      </c>
      <c r="P19" s="3" t="e">
        <f t="shared" si="19"/>
        <v>#DIV/0!</v>
      </c>
      <c r="Q19" s="3">
        <v>0</v>
      </c>
      <c r="R19" s="6">
        <v>0</v>
      </c>
      <c r="S19" s="3" t="e">
        <f t="shared" si="20"/>
        <v>#DIV/0!</v>
      </c>
      <c r="T19" s="3">
        <v>0</v>
      </c>
      <c r="U19" s="6">
        <v>0</v>
      </c>
      <c r="V19" s="3" t="e">
        <f t="shared" si="21"/>
        <v>#DIV/0!</v>
      </c>
      <c r="W19" s="3">
        <v>0</v>
      </c>
      <c r="X19" s="6">
        <v>0</v>
      </c>
      <c r="Y19" s="3" t="e">
        <f t="shared" si="22"/>
        <v>#DIV/0!</v>
      </c>
      <c r="Z19" s="3">
        <v>0</v>
      </c>
      <c r="AA19" s="6">
        <v>0</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1190</v>
      </c>
      <c r="AO19" s="3">
        <f t="shared" si="13"/>
        <v>6664</v>
      </c>
      <c r="AP19" s="6">
        <f t="shared" si="14"/>
        <v>5.6</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57</v>
      </c>
      <c r="B20" s="15"/>
      <c r="C20" s="15"/>
      <c r="D20" s="3" t="e">
        <f t="shared" si="15"/>
        <v>#DIV/0!</v>
      </c>
      <c r="E20" s="3">
        <v>0</v>
      </c>
      <c r="F20" s="6">
        <v>0</v>
      </c>
      <c r="G20" s="3" t="e">
        <f t="shared" si="16"/>
        <v>#DIV/0!</v>
      </c>
      <c r="H20" s="3">
        <v>0</v>
      </c>
      <c r="I20" s="6">
        <v>0</v>
      </c>
      <c r="J20" s="3">
        <f t="shared" si="17"/>
        <v>759</v>
      </c>
      <c r="K20" s="3">
        <v>11385</v>
      </c>
      <c r="L20" s="6">
        <v>15</v>
      </c>
      <c r="M20" s="3" t="e">
        <f t="shared" si="18"/>
        <v>#DIV/0!</v>
      </c>
      <c r="N20" s="3">
        <v>0</v>
      </c>
      <c r="O20" s="6">
        <v>0</v>
      </c>
      <c r="P20" s="3" t="e">
        <f t="shared" si="19"/>
        <v>#DIV/0!</v>
      </c>
      <c r="Q20" s="3">
        <v>0</v>
      </c>
      <c r="R20" s="6">
        <v>0</v>
      </c>
      <c r="S20" s="3" t="e">
        <f t="shared" si="20"/>
        <v>#DIV/0!</v>
      </c>
      <c r="T20" s="3">
        <v>0</v>
      </c>
      <c r="U20" s="6">
        <v>0</v>
      </c>
      <c r="V20" s="3" t="e">
        <f t="shared" si="21"/>
        <v>#DIV/0!</v>
      </c>
      <c r="W20" s="3">
        <v>0</v>
      </c>
      <c r="X20" s="6">
        <v>0</v>
      </c>
      <c r="Y20" s="3" t="e">
        <f t="shared" si="22"/>
        <v>#DIV/0!</v>
      </c>
      <c r="Z20" s="3">
        <v>0</v>
      </c>
      <c r="AA20" s="6">
        <v>0</v>
      </c>
      <c r="AB20" s="3" t="e">
        <f t="shared" si="23"/>
        <v>#DIV/0!</v>
      </c>
      <c r="AC20" s="3">
        <v>0</v>
      </c>
      <c r="AD20" s="6">
        <v>0</v>
      </c>
      <c r="AE20" s="3" t="e">
        <f t="shared" si="24"/>
        <v>#DIV/0!</v>
      </c>
      <c r="AF20" s="3">
        <v>0</v>
      </c>
      <c r="AG20" s="6">
        <v>0</v>
      </c>
      <c r="AH20" s="3" t="e">
        <f t="shared" si="25"/>
        <v>#DIV/0!</v>
      </c>
      <c r="AI20" s="3">
        <v>0</v>
      </c>
      <c r="AJ20" s="6">
        <v>0</v>
      </c>
      <c r="AK20" s="3" t="e">
        <f t="shared" si="26"/>
        <v>#DIV/0!</v>
      </c>
      <c r="AL20" s="3">
        <v>0</v>
      </c>
      <c r="AM20" s="6">
        <v>0</v>
      </c>
      <c r="AN20" s="3">
        <f t="shared" si="12"/>
        <v>759</v>
      </c>
      <c r="AO20" s="3">
        <f t="shared" si="13"/>
        <v>11385</v>
      </c>
      <c r="AP20" s="6">
        <f t="shared" si="14"/>
        <v>15</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58</v>
      </c>
      <c r="B21" s="15"/>
      <c r="C21" s="15"/>
      <c r="D21" s="3" t="e">
        <f t="shared" si="15"/>
        <v>#DIV/0!</v>
      </c>
      <c r="E21" s="3">
        <v>0</v>
      </c>
      <c r="F21" s="6">
        <v>0</v>
      </c>
      <c r="G21" s="3" t="e">
        <f t="shared" si="16"/>
        <v>#DIV/0!</v>
      </c>
      <c r="H21" s="3">
        <v>0</v>
      </c>
      <c r="I21" s="6">
        <v>0</v>
      </c>
      <c r="J21" s="3">
        <f t="shared" si="17"/>
        <v>755.35211267605632</v>
      </c>
      <c r="K21" s="3">
        <v>5363</v>
      </c>
      <c r="L21" s="6">
        <v>7.1</v>
      </c>
      <c r="M21" s="3">
        <f t="shared" si="18"/>
        <v>1595</v>
      </c>
      <c r="N21" s="3">
        <v>3139917</v>
      </c>
      <c r="O21" s="6">
        <v>1968.6</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f t="shared" si="23"/>
        <v>2232.5</v>
      </c>
      <c r="AC21" s="3">
        <v>5358</v>
      </c>
      <c r="AD21" s="6">
        <v>2.4</v>
      </c>
      <c r="AE21" s="3" t="e">
        <f t="shared" si="24"/>
        <v>#DIV/0!</v>
      </c>
      <c r="AF21" s="3">
        <v>0</v>
      </c>
      <c r="AG21" s="6">
        <v>0</v>
      </c>
      <c r="AH21" s="3" t="e">
        <f t="shared" si="25"/>
        <v>#DIV/0!</v>
      </c>
      <c r="AI21" s="3">
        <v>0</v>
      </c>
      <c r="AJ21" s="6">
        <v>0</v>
      </c>
      <c r="AK21" s="3" t="e">
        <f t="shared" si="26"/>
        <v>#DIV/0!</v>
      </c>
      <c r="AL21" s="3">
        <v>0</v>
      </c>
      <c r="AM21" s="6">
        <v>0</v>
      </c>
      <c r="AN21" s="3">
        <f t="shared" si="12"/>
        <v>1592.7597189221981</v>
      </c>
      <c r="AO21" s="3">
        <f t="shared" si="13"/>
        <v>3150638</v>
      </c>
      <c r="AP21" s="6">
        <f t="shared" si="14"/>
        <v>1978.1</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31</v>
      </c>
      <c r="B22" s="15"/>
      <c r="C22" s="15"/>
      <c r="D22" s="3">
        <f t="shared" si="15"/>
        <v>1260.1189779598205</v>
      </c>
      <c r="E22" s="3">
        <v>1292126</v>
      </c>
      <c r="F22" s="6">
        <v>1025.4000000000001</v>
      </c>
      <c r="G22" s="3">
        <f t="shared" si="16"/>
        <v>1549.89798979898</v>
      </c>
      <c r="H22" s="3">
        <v>1549743</v>
      </c>
      <c r="I22" s="6">
        <v>999.9</v>
      </c>
      <c r="J22" s="3" t="e">
        <f t="shared" si="17"/>
        <v>#DIV/0!</v>
      </c>
      <c r="K22" s="3">
        <v>0</v>
      </c>
      <c r="L22" s="6">
        <v>0</v>
      </c>
      <c r="M22" s="3" t="e">
        <f t="shared" si="18"/>
        <v>#DIV/0!</v>
      </c>
      <c r="N22" s="3">
        <v>0</v>
      </c>
      <c r="O22" s="6">
        <v>0</v>
      </c>
      <c r="P22" s="3">
        <f t="shared" si="19"/>
        <v>1722.8469378036002</v>
      </c>
      <c r="Q22" s="3">
        <v>1808817</v>
      </c>
      <c r="R22" s="6">
        <v>1049.9000000000001</v>
      </c>
      <c r="S22" s="3" t="e">
        <f t="shared" si="20"/>
        <v>#DIV/0!</v>
      </c>
      <c r="T22" s="3">
        <v>0</v>
      </c>
      <c r="U22" s="6">
        <v>0</v>
      </c>
      <c r="V22" s="3">
        <f t="shared" si="21"/>
        <v>1634.776137175518</v>
      </c>
      <c r="W22" s="3">
        <v>1372885</v>
      </c>
      <c r="X22" s="6">
        <v>839.8</v>
      </c>
      <c r="Y22" s="3" t="e">
        <f t="shared" si="22"/>
        <v>#DIV/0!</v>
      </c>
      <c r="Z22" s="3">
        <v>0</v>
      </c>
      <c r="AA22" s="6">
        <v>0</v>
      </c>
      <c r="AB22" s="3">
        <f t="shared" si="23"/>
        <v>1705.0194016773064</v>
      </c>
      <c r="AC22" s="3">
        <v>1362140</v>
      </c>
      <c r="AD22" s="6">
        <v>798.9</v>
      </c>
      <c r="AE22" s="3" t="e">
        <f t="shared" si="24"/>
        <v>#DIV/0!</v>
      </c>
      <c r="AF22" s="3">
        <v>0</v>
      </c>
      <c r="AG22" s="6">
        <v>0</v>
      </c>
      <c r="AH22" s="3" t="e">
        <f t="shared" si="25"/>
        <v>#DIV/0!</v>
      </c>
      <c r="AI22" s="3">
        <v>0</v>
      </c>
      <c r="AJ22" s="6">
        <v>0</v>
      </c>
      <c r="AK22" s="3" t="e">
        <f t="shared" si="26"/>
        <v>#DIV/0!</v>
      </c>
      <c r="AL22" s="3">
        <v>0</v>
      </c>
      <c r="AM22" s="6">
        <v>0</v>
      </c>
      <c r="AN22" s="3">
        <f t="shared" si="12"/>
        <v>1566.7941619465837</v>
      </c>
      <c r="AO22" s="3">
        <f t="shared" si="13"/>
        <v>7385711</v>
      </c>
      <c r="AP22" s="6">
        <f t="shared" si="14"/>
        <v>4713.8999999999996</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18</v>
      </c>
      <c r="B23" s="15"/>
      <c r="C23" s="15"/>
      <c r="D23" s="3">
        <f t="shared" si="15"/>
        <v>1536.6099286051954</v>
      </c>
      <c r="E23" s="3">
        <v>50707513</v>
      </c>
      <c r="F23" s="6">
        <v>32999.599999999999</v>
      </c>
      <c r="G23" s="3">
        <f t="shared" si="16"/>
        <v>1410.2788513942569</v>
      </c>
      <c r="H23" s="3">
        <v>28205436</v>
      </c>
      <c r="I23" s="6">
        <v>19999.900000000001</v>
      </c>
      <c r="J23" s="3">
        <f t="shared" si="17"/>
        <v>1604.724822941788</v>
      </c>
      <c r="K23" s="3">
        <v>128222488</v>
      </c>
      <c r="L23" s="6">
        <v>79903.100000000006</v>
      </c>
      <c r="M23" s="3">
        <f t="shared" si="18"/>
        <v>1983.8709677419354</v>
      </c>
      <c r="N23" s="3">
        <v>24600</v>
      </c>
      <c r="O23" s="6">
        <v>12.4</v>
      </c>
      <c r="P23" s="3" t="e">
        <f t="shared" si="19"/>
        <v>#DIV/0!</v>
      </c>
      <c r="Q23" s="3">
        <v>0</v>
      </c>
      <c r="R23" s="6">
        <v>0</v>
      </c>
      <c r="S23" s="3" t="e">
        <f t="shared" si="20"/>
        <v>#DIV/0!</v>
      </c>
      <c r="T23" s="3">
        <v>0</v>
      </c>
      <c r="U23" s="6">
        <v>0</v>
      </c>
      <c r="V23" s="3" t="e">
        <f t="shared" si="21"/>
        <v>#DIV/0!</v>
      </c>
      <c r="W23" s="3">
        <v>0</v>
      </c>
      <c r="X23" s="6">
        <v>0</v>
      </c>
      <c r="Y23" s="3" t="e">
        <f t="shared" si="22"/>
        <v>#DIV/0!</v>
      </c>
      <c r="Z23" s="3">
        <v>0</v>
      </c>
      <c r="AA23" s="6">
        <v>0</v>
      </c>
      <c r="AB23" s="3" t="e">
        <f t="shared" si="23"/>
        <v>#DIV/0!</v>
      </c>
      <c r="AC23" s="3">
        <v>0</v>
      </c>
      <c r="AD23" s="6">
        <v>0</v>
      </c>
      <c r="AE23" s="3" t="e">
        <f t="shared" si="24"/>
        <v>#DIV/0!</v>
      </c>
      <c r="AF23" s="3">
        <v>0</v>
      </c>
      <c r="AG23" s="6">
        <v>0</v>
      </c>
      <c r="AH23" s="3" t="e">
        <f t="shared" si="25"/>
        <v>#DIV/0!</v>
      </c>
      <c r="AI23" s="3">
        <v>0</v>
      </c>
      <c r="AJ23" s="6">
        <v>0</v>
      </c>
      <c r="AK23" s="3" t="e">
        <f t="shared" si="26"/>
        <v>#DIV/0!</v>
      </c>
      <c r="AL23" s="3">
        <v>0</v>
      </c>
      <c r="AM23" s="6">
        <v>0</v>
      </c>
      <c r="AN23" s="3">
        <f t="shared" si="12"/>
        <v>1558.5903547379905</v>
      </c>
      <c r="AO23" s="3">
        <f t="shared" si="13"/>
        <v>207160037</v>
      </c>
      <c r="AP23" s="6">
        <f t="shared" si="14"/>
        <v>132915</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32</v>
      </c>
      <c r="B24" s="15"/>
      <c r="C24" s="15"/>
      <c r="D24" s="3" t="e">
        <f t="shared" si="15"/>
        <v>#DIV/0!</v>
      </c>
      <c r="E24" s="3">
        <v>0</v>
      </c>
      <c r="F24" s="6">
        <v>0</v>
      </c>
      <c r="G24" s="3">
        <f t="shared" si="16"/>
        <v>7871.25</v>
      </c>
      <c r="H24" s="3">
        <v>6297</v>
      </c>
      <c r="I24" s="6">
        <v>0.8</v>
      </c>
      <c r="J24" s="3" t="e">
        <f t="shared" si="17"/>
        <v>#DIV/0!</v>
      </c>
      <c r="K24" s="3">
        <v>0</v>
      </c>
      <c r="L24" s="6">
        <v>0</v>
      </c>
      <c r="M24" s="3" t="e">
        <f t="shared" si="18"/>
        <v>#DIV/0!</v>
      </c>
      <c r="N24" s="3">
        <v>0</v>
      </c>
      <c r="O24" s="6">
        <v>0</v>
      </c>
      <c r="P24" s="3" t="e">
        <f t="shared" si="19"/>
        <v>#DIV/0!</v>
      </c>
      <c r="Q24" s="3">
        <v>0</v>
      </c>
      <c r="R24" s="6">
        <v>0</v>
      </c>
      <c r="S24" s="3" t="e">
        <f t="shared" si="20"/>
        <v>#DIV/0!</v>
      </c>
      <c r="T24" s="3">
        <v>0</v>
      </c>
      <c r="U24" s="6">
        <v>0</v>
      </c>
      <c r="V24" s="3" t="e">
        <f t="shared" si="21"/>
        <v>#DIV/0!</v>
      </c>
      <c r="W24" s="3">
        <v>0</v>
      </c>
      <c r="X24" s="6">
        <v>0</v>
      </c>
      <c r="Y24" s="3" t="e">
        <f t="shared" si="22"/>
        <v>#DIV/0!</v>
      </c>
      <c r="Z24" s="3">
        <v>0</v>
      </c>
      <c r="AA24" s="6">
        <v>0</v>
      </c>
      <c r="AB24" s="3" t="e">
        <f t="shared" si="23"/>
        <v>#DIV/0!</v>
      </c>
      <c r="AC24" s="3">
        <v>0</v>
      </c>
      <c r="AD24" s="6">
        <v>0</v>
      </c>
      <c r="AE24" s="3" t="e">
        <f t="shared" si="24"/>
        <v>#DIV/0!</v>
      </c>
      <c r="AF24" s="3">
        <v>0</v>
      </c>
      <c r="AG24" s="6">
        <v>0</v>
      </c>
      <c r="AH24" s="3" t="e">
        <f t="shared" si="25"/>
        <v>#DIV/0!</v>
      </c>
      <c r="AI24" s="3">
        <v>0</v>
      </c>
      <c r="AJ24" s="6">
        <v>0</v>
      </c>
      <c r="AK24" s="3" t="e">
        <f t="shared" si="26"/>
        <v>#DIV/0!</v>
      </c>
      <c r="AL24" s="3">
        <v>0</v>
      </c>
      <c r="AM24" s="6">
        <v>0</v>
      </c>
      <c r="AN24" s="3">
        <f t="shared" si="12"/>
        <v>7871.25</v>
      </c>
      <c r="AO24" s="3">
        <f t="shared" si="13"/>
        <v>6297</v>
      </c>
      <c r="AP24" s="6">
        <f t="shared" si="14"/>
        <v>0.8</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33</v>
      </c>
      <c r="B25" s="15"/>
      <c r="C25" s="15"/>
      <c r="D25" s="3" t="e">
        <f t="shared" si="15"/>
        <v>#DIV/0!</v>
      </c>
      <c r="E25" s="3">
        <v>0</v>
      </c>
      <c r="F25" s="6">
        <v>0</v>
      </c>
      <c r="G25" s="3">
        <f t="shared" si="16"/>
        <v>3024.2434325744307</v>
      </c>
      <c r="H25" s="3">
        <v>1726843</v>
      </c>
      <c r="I25" s="6">
        <v>571</v>
      </c>
      <c r="J25" s="3" t="e">
        <f t="shared" si="17"/>
        <v>#DIV/0!</v>
      </c>
      <c r="K25" s="3">
        <v>0</v>
      </c>
      <c r="L25" s="6">
        <v>0</v>
      </c>
      <c r="M25" s="3" t="e">
        <f t="shared" si="18"/>
        <v>#DIV/0!</v>
      </c>
      <c r="N25" s="3">
        <v>0</v>
      </c>
      <c r="O25" s="6">
        <v>0</v>
      </c>
      <c r="P25" s="3" t="e">
        <f t="shared" si="19"/>
        <v>#DIV/0!</v>
      </c>
      <c r="Q25" s="3">
        <v>0</v>
      </c>
      <c r="R25" s="6">
        <v>0</v>
      </c>
      <c r="S25" s="3" t="e">
        <f t="shared" si="20"/>
        <v>#DIV/0!</v>
      </c>
      <c r="T25" s="3">
        <v>0</v>
      </c>
      <c r="U25" s="6">
        <v>0</v>
      </c>
      <c r="V25" s="3" t="e">
        <f t="shared" si="21"/>
        <v>#DIV/0!</v>
      </c>
      <c r="W25" s="3">
        <v>0</v>
      </c>
      <c r="X25" s="6">
        <v>0</v>
      </c>
      <c r="Y25" s="3" t="e">
        <f t="shared" si="22"/>
        <v>#DIV/0!</v>
      </c>
      <c r="Z25" s="3">
        <v>0</v>
      </c>
      <c r="AA25" s="6">
        <v>0</v>
      </c>
      <c r="AB25" s="3" t="e">
        <f t="shared" si="23"/>
        <v>#DIV/0!</v>
      </c>
      <c r="AC25" s="3">
        <v>0</v>
      </c>
      <c r="AD25" s="6">
        <v>0</v>
      </c>
      <c r="AE25" s="3" t="e">
        <f t="shared" si="24"/>
        <v>#DIV/0!</v>
      </c>
      <c r="AF25" s="3">
        <v>0</v>
      </c>
      <c r="AG25" s="6">
        <v>0</v>
      </c>
      <c r="AH25" s="3" t="e">
        <f t="shared" si="25"/>
        <v>#DIV/0!</v>
      </c>
      <c r="AI25" s="3">
        <v>0</v>
      </c>
      <c r="AJ25" s="6">
        <v>0</v>
      </c>
      <c r="AK25" s="3" t="e">
        <f t="shared" si="26"/>
        <v>#DIV/0!</v>
      </c>
      <c r="AL25" s="3">
        <v>0</v>
      </c>
      <c r="AM25" s="6">
        <v>0</v>
      </c>
      <c r="AN25" s="3">
        <f t="shared" si="12"/>
        <v>3024.2434325744307</v>
      </c>
      <c r="AO25" s="3">
        <f t="shared" si="13"/>
        <v>1726843</v>
      </c>
      <c r="AP25" s="6">
        <f t="shared" si="14"/>
        <v>571</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26</v>
      </c>
      <c r="B26" s="15"/>
      <c r="C26" s="15"/>
      <c r="D26" s="3">
        <f t="shared" si="15"/>
        <v>1314.2441727605119</v>
      </c>
      <c r="E26" s="3">
        <v>4600906</v>
      </c>
      <c r="F26" s="6">
        <v>3500.8</v>
      </c>
      <c r="G26" s="3">
        <f t="shared" si="16"/>
        <v>1489.2092784094157</v>
      </c>
      <c r="H26" s="3">
        <v>5213126</v>
      </c>
      <c r="I26" s="6">
        <v>3500.6</v>
      </c>
      <c r="J26" s="3" t="e">
        <f t="shared" si="17"/>
        <v>#DIV/0!</v>
      </c>
      <c r="K26" s="3">
        <v>0</v>
      </c>
      <c r="L26" s="6">
        <v>0</v>
      </c>
      <c r="M26" s="3">
        <f t="shared" si="18"/>
        <v>1220.1499614384873</v>
      </c>
      <c r="N26" s="3">
        <v>4271623</v>
      </c>
      <c r="O26" s="6">
        <v>3500.9</v>
      </c>
      <c r="P26" s="3" t="e">
        <f t="shared" si="19"/>
        <v>#DIV/0!</v>
      </c>
      <c r="Q26" s="3">
        <v>0</v>
      </c>
      <c r="R26" s="6">
        <v>0</v>
      </c>
      <c r="S26" s="3">
        <f t="shared" si="20"/>
        <v>1481.2374992856735</v>
      </c>
      <c r="T26" s="3">
        <v>5184035</v>
      </c>
      <c r="U26" s="6">
        <v>3499.8</v>
      </c>
      <c r="V26" s="3">
        <f t="shared" si="21"/>
        <v>1590.4567802423965</v>
      </c>
      <c r="W26" s="3">
        <v>5564054</v>
      </c>
      <c r="X26" s="6">
        <v>3498.4</v>
      </c>
      <c r="Y26" s="3">
        <f t="shared" si="22"/>
        <v>1560.6777530144579</v>
      </c>
      <c r="Z26" s="3">
        <v>5462060</v>
      </c>
      <c r="AA26" s="6">
        <v>3499.8</v>
      </c>
      <c r="AB26" s="3" t="e">
        <f t="shared" si="23"/>
        <v>#DIV/0!</v>
      </c>
      <c r="AC26" s="3">
        <v>0</v>
      </c>
      <c r="AD26" s="6">
        <v>0</v>
      </c>
      <c r="AE26" s="3" t="e">
        <f t="shared" si="24"/>
        <v>#DIV/0!</v>
      </c>
      <c r="AF26" s="3">
        <v>0</v>
      </c>
      <c r="AG26" s="6">
        <v>0</v>
      </c>
      <c r="AH26" s="3" t="e">
        <f t="shared" si="25"/>
        <v>#DIV/0!</v>
      </c>
      <c r="AI26" s="3">
        <v>0</v>
      </c>
      <c r="AJ26" s="6">
        <v>0</v>
      </c>
      <c r="AK26" s="3" t="e">
        <f t="shared" si="26"/>
        <v>#DIV/0!</v>
      </c>
      <c r="AL26" s="3">
        <v>0</v>
      </c>
      <c r="AM26" s="6">
        <v>0</v>
      </c>
      <c r="AN26" s="3">
        <f t="shared" si="12"/>
        <v>1442.6367242372728</v>
      </c>
      <c r="AO26" s="3">
        <f t="shared" si="13"/>
        <v>30295804</v>
      </c>
      <c r="AP26" s="6">
        <f t="shared" si="14"/>
        <v>21000.3</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25</v>
      </c>
      <c r="B27" s="15"/>
      <c r="C27" s="15"/>
      <c r="D27" s="3">
        <f t="shared" si="15"/>
        <v>1245.821089563558</v>
      </c>
      <c r="E27" s="3">
        <v>14948981</v>
      </c>
      <c r="F27" s="6">
        <v>11999.3</v>
      </c>
      <c r="G27" s="3">
        <f t="shared" si="16"/>
        <v>1488.9076445333353</v>
      </c>
      <c r="H27" s="3">
        <v>19802025</v>
      </c>
      <c r="I27" s="6">
        <v>13299.7</v>
      </c>
      <c r="J27" s="3">
        <f t="shared" si="17"/>
        <v>1463.6351467782631</v>
      </c>
      <c r="K27" s="3">
        <v>19026086</v>
      </c>
      <c r="L27" s="6">
        <v>12999.2</v>
      </c>
      <c r="M27" s="3">
        <f t="shared" si="18"/>
        <v>1628.1133750206257</v>
      </c>
      <c r="N27" s="3">
        <v>57229162</v>
      </c>
      <c r="O27" s="6">
        <v>35150.6</v>
      </c>
      <c r="P27" s="3" t="e">
        <f t="shared" si="19"/>
        <v>#DIV/0!</v>
      </c>
      <c r="Q27" s="3">
        <v>0</v>
      </c>
      <c r="R27" s="6">
        <v>0</v>
      </c>
      <c r="S27" s="3" t="e">
        <f t="shared" si="20"/>
        <v>#DIV/0!</v>
      </c>
      <c r="T27" s="3">
        <v>0</v>
      </c>
      <c r="U27" s="6">
        <v>0</v>
      </c>
      <c r="V27" s="3">
        <f t="shared" si="21"/>
        <v>1887.3550937999496</v>
      </c>
      <c r="W27" s="3">
        <v>22434990</v>
      </c>
      <c r="X27" s="6">
        <v>11887</v>
      </c>
      <c r="Y27" s="3" t="e">
        <f t="shared" si="22"/>
        <v>#DIV/0!</v>
      </c>
      <c r="Z27" s="3">
        <v>0</v>
      </c>
      <c r="AA27" s="6">
        <v>0</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1563.7193768617628</v>
      </c>
      <c r="AO27" s="3">
        <f t="shared" si="13"/>
        <v>133441244</v>
      </c>
      <c r="AP27" s="6">
        <f t="shared" si="14"/>
        <v>85335.799999999988</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59</v>
      </c>
      <c r="B28" s="15"/>
      <c r="C28" s="15"/>
      <c r="D28" s="3" t="e">
        <f t="shared" si="15"/>
        <v>#DIV/0!</v>
      </c>
      <c r="E28" s="3">
        <v>0</v>
      </c>
      <c r="F28" s="6">
        <v>0</v>
      </c>
      <c r="G28" s="3" t="e">
        <f t="shared" si="16"/>
        <v>#DIV/0!</v>
      </c>
      <c r="H28" s="3">
        <v>0</v>
      </c>
      <c r="I28" s="6">
        <v>0</v>
      </c>
      <c r="J28" s="3" t="e">
        <f t="shared" si="17"/>
        <v>#DIV/0!</v>
      </c>
      <c r="K28" s="3">
        <v>0</v>
      </c>
      <c r="L28" s="6">
        <v>0</v>
      </c>
      <c r="M28" s="3">
        <f t="shared" si="18"/>
        <v>2109.7560975609754</v>
      </c>
      <c r="N28" s="3">
        <v>51900</v>
      </c>
      <c r="O28" s="6">
        <v>24.6</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t="e">
        <f t="shared" si="23"/>
        <v>#DIV/0!</v>
      </c>
      <c r="AC28" s="3">
        <v>0</v>
      </c>
      <c r="AD28" s="6">
        <v>0</v>
      </c>
      <c r="AE28" s="3" t="e">
        <f t="shared" si="24"/>
        <v>#DIV/0!</v>
      </c>
      <c r="AF28" s="3">
        <v>0</v>
      </c>
      <c r="AG28" s="6">
        <v>0</v>
      </c>
      <c r="AH28" s="3" t="e">
        <f t="shared" si="25"/>
        <v>#DIV/0!</v>
      </c>
      <c r="AI28" s="3">
        <v>0</v>
      </c>
      <c r="AJ28" s="6">
        <v>0</v>
      </c>
      <c r="AK28" s="3" t="e">
        <f t="shared" si="26"/>
        <v>#DIV/0!</v>
      </c>
      <c r="AL28" s="3">
        <v>0</v>
      </c>
      <c r="AM28" s="6">
        <v>0</v>
      </c>
      <c r="AN28" s="3">
        <f t="shared" si="12"/>
        <v>2109.7560975609754</v>
      </c>
      <c r="AO28" s="3">
        <f t="shared" si="13"/>
        <v>51900</v>
      </c>
      <c r="AP28" s="6">
        <f t="shared" si="14"/>
        <v>24.6</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34</v>
      </c>
      <c r="B29" s="15"/>
      <c r="C29" s="15"/>
      <c r="D29" s="3" t="e">
        <f t="shared" si="15"/>
        <v>#DIV/0!</v>
      </c>
      <c r="E29" s="3">
        <v>0</v>
      </c>
      <c r="F29" s="6">
        <v>0</v>
      </c>
      <c r="G29" s="3" t="e">
        <f t="shared" si="16"/>
        <v>#DIV/0!</v>
      </c>
      <c r="H29" s="3">
        <v>0</v>
      </c>
      <c r="I29" s="6">
        <v>0</v>
      </c>
      <c r="J29" s="3" t="e">
        <f t="shared" si="17"/>
        <v>#DIV/0!</v>
      </c>
      <c r="K29" s="3">
        <v>0</v>
      </c>
      <c r="L29" s="6">
        <v>0</v>
      </c>
      <c r="M29" s="3">
        <f t="shared" si="18"/>
        <v>2160</v>
      </c>
      <c r="N29" s="3">
        <v>4320</v>
      </c>
      <c r="O29" s="6">
        <v>2</v>
      </c>
      <c r="P29" s="3" t="e">
        <f t="shared" si="19"/>
        <v>#DIV/0!</v>
      </c>
      <c r="Q29" s="3">
        <v>0</v>
      </c>
      <c r="R29" s="6">
        <v>0</v>
      </c>
      <c r="S29" s="3" t="e">
        <f t="shared" si="20"/>
        <v>#DIV/0!</v>
      </c>
      <c r="T29" s="3">
        <v>0</v>
      </c>
      <c r="U29" s="6">
        <v>0</v>
      </c>
      <c r="V29" s="3" t="e">
        <f t="shared" si="21"/>
        <v>#DIV/0!</v>
      </c>
      <c r="W29" s="3">
        <v>0</v>
      </c>
      <c r="X29" s="6">
        <v>0</v>
      </c>
      <c r="Y29" s="3" t="e">
        <f t="shared" si="22"/>
        <v>#DIV/0!</v>
      </c>
      <c r="Z29" s="3">
        <v>0</v>
      </c>
      <c r="AA29" s="6">
        <v>0</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2160</v>
      </c>
      <c r="AO29" s="3">
        <f t="shared" si="13"/>
        <v>4320</v>
      </c>
      <c r="AP29" s="6">
        <f t="shared" si="14"/>
        <v>2</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35</v>
      </c>
      <c r="B30" s="15"/>
      <c r="C30" s="15"/>
      <c r="D30" s="3">
        <f t="shared" si="15"/>
        <v>1427.3237206201034</v>
      </c>
      <c r="E30" s="3">
        <v>1712503</v>
      </c>
      <c r="F30" s="6">
        <v>1199.8</v>
      </c>
      <c r="G30" s="3" t="e">
        <f t="shared" si="16"/>
        <v>#DIV/0!</v>
      </c>
      <c r="H30" s="3">
        <v>0</v>
      </c>
      <c r="I30" s="6">
        <v>0</v>
      </c>
      <c r="J30" s="3" t="e">
        <f t="shared" si="17"/>
        <v>#DIV/0!</v>
      </c>
      <c r="K30" s="3">
        <v>0</v>
      </c>
      <c r="L30" s="6">
        <v>0</v>
      </c>
      <c r="M30" s="3" t="e">
        <f t="shared" si="18"/>
        <v>#DIV/0!</v>
      </c>
      <c r="N30" s="3">
        <v>0</v>
      </c>
      <c r="O30" s="6">
        <v>0</v>
      </c>
      <c r="P30" s="3" t="e">
        <f t="shared" si="19"/>
        <v>#DIV/0!</v>
      </c>
      <c r="Q30" s="3">
        <v>0</v>
      </c>
      <c r="R30" s="6">
        <v>0</v>
      </c>
      <c r="S30" s="3" t="e">
        <f t="shared" si="20"/>
        <v>#DIV/0!</v>
      </c>
      <c r="T30" s="3">
        <v>0</v>
      </c>
      <c r="U30" s="6">
        <v>0</v>
      </c>
      <c r="V30" s="3" t="e">
        <f t="shared" si="21"/>
        <v>#DIV/0!</v>
      </c>
      <c r="W30" s="3">
        <v>0</v>
      </c>
      <c r="X30" s="6">
        <v>0</v>
      </c>
      <c r="Y30" s="3" t="e">
        <f t="shared" si="22"/>
        <v>#DIV/0!</v>
      </c>
      <c r="Z30" s="3">
        <v>0</v>
      </c>
      <c r="AA30" s="6">
        <v>0</v>
      </c>
      <c r="AB30" s="3" t="e">
        <f t="shared" si="23"/>
        <v>#DIV/0!</v>
      </c>
      <c r="AC30" s="3">
        <v>0</v>
      </c>
      <c r="AD30" s="6">
        <v>0</v>
      </c>
      <c r="AE30" s="3" t="e">
        <f t="shared" si="24"/>
        <v>#DIV/0!</v>
      </c>
      <c r="AF30" s="3">
        <v>0</v>
      </c>
      <c r="AG30" s="6">
        <v>0</v>
      </c>
      <c r="AH30" s="3" t="e">
        <f t="shared" si="25"/>
        <v>#DIV/0!</v>
      </c>
      <c r="AI30" s="3">
        <v>0</v>
      </c>
      <c r="AJ30" s="6">
        <v>0</v>
      </c>
      <c r="AK30" s="3" t="e">
        <f t="shared" si="26"/>
        <v>#DIV/0!</v>
      </c>
      <c r="AL30" s="3">
        <v>0</v>
      </c>
      <c r="AM30" s="6">
        <v>0</v>
      </c>
      <c r="AN30" s="3">
        <f t="shared" si="12"/>
        <v>1427.3237206201034</v>
      </c>
      <c r="AO30" s="3">
        <f t="shared" si="13"/>
        <v>1712503</v>
      </c>
      <c r="AP30" s="6">
        <f t="shared" si="14"/>
        <v>1199.8</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60</v>
      </c>
      <c r="B31" s="15"/>
      <c r="C31" s="15"/>
      <c r="D31" s="3" t="e">
        <f t="shared" si="15"/>
        <v>#DIV/0!</v>
      </c>
      <c r="E31" s="3">
        <v>0</v>
      </c>
      <c r="F31" s="6">
        <v>0</v>
      </c>
      <c r="G31" s="3" t="e">
        <f t="shared" si="16"/>
        <v>#DIV/0!</v>
      </c>
      <c r="H31" s="3">
        <v>0</v>
      </c>
      <c r="I31" s="6">
        <v>0</v>
      </c>
      <c r="J31" s="3" t="e">
        <f t="shared" si="17"/>
        <v>#DIV/0!</v>
      </c>
      <c r="K31" s="3">
        <v>0</v>
      </c>
      <c r="L31" s="6">
        <v>0</v>
      </c>
      <c r="M31" s="3" t="e">
        <f t="shared" si="18"/>
        <v>#DIV/0!</v>
      </c>
      <c r="N31" s="3">
        <v>0</v>
      </c>
      <c r="O31" s="6">
        <v>0</v>
      </c>
      <c r="P31" s="3" t="e">
        <f t="shared" si="19"/>
        <v>#DIV/0!</v>
      </c>
      <c r="Q31" s="3">
        <v>0</v>
      </c>
      <c r="R31" s="6">
        <v>0</v>
      </c>
      <c r="S31" s="3" t="e">
        <f t="shared" si="20"/>
        <v>#DIV/0!</v>
      </c>
      <c r="T31" s="3">
        <v>0</v>
      </c>
      <c r="U31" s="6">
        <v>0</v>
      </c>
      <c r="V31" s="3" t="e">
        <f t="shared" si="21"/>
        <v>#DIV/0!</v>
      </c>
      <c r="W31" s="3">
        <v>0</v>
      </c>
      <c r="X31" s="6">
        <v>0</v>
      </c>
      <c r="Y31" s="3" t="e">
        <f t="shared" si="22"/>
        <v>#DIV/0!</v>
      </c>
      <c r="Z31" s="3">
        <v>0</v>
      </c>
      <c r="AA31" s="6">
        <v>0</v>
      </c>
      <c r="AB31" s="3" t="e">
        <f t="shared" si="23"/>
        <v>#DIV/0!</v>
      </c>
      <c r="AC31" s="3">
        <v>0</v>
      </c>
      <c r="AD31" s="6">
        <v>0</v>
      </c>
      <c r="AE31" s="3" t="e">
        <f t="shared" si="24"/>
        <v>#DIV/0!</v>
      </c>
      <c r="AF31" s="3">
        <v>0</v>
      </c>
      <c r="AG31" s="6">
        <v>0</v>
      </c>
      <c r="AH31" s="3">
        <f t="shared" si="25"/>
        <v>2205.6716417910447</v>
      </c>
      <c r="AI31" s="3">
        <v>14778</v>
      </c>
      <c r="AJ31" s="6">
        <v>6.7</v>
      </c>
      <c r="AK31" s="3" t="e">
        <f t="shared" si="26"/>
        <v>#DIV/0!</v>
      </c>
      <c r="AL31" s="3">
        <v>0</v>
      </c>
      <c r="AM31" s="6">
        <v>0</v>
      </c>
      <c r="AN31" s="3">
        <f t="shared" si="12"/>
        <v>2205.6716417910447</v>
      </c>
      <c r="AO31" s="3">
        <f t="shared" si="13"/>
        <v>14778</v>
      </c>
      <c r="AP31" s="6">
        <f t="shared" si="14"/>
        <v>6.7</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36</v>
      </c>
      <c r="B32" s="15"/>
      <c r="C32" s="15"/>
      <c r="D32" s="3">
        <f t="shared" si="15"/>
        <v>760.04464285714289</v>
      </c>
      <c r="E32" s="3">
        <v>34050</v>
      </c>
      <c r="F32" s="6">
        <v>44.8</v>
      </c>
      <c r="G32" s="3" t="e">
        <f t="shared" si="16"/>
        <v>#DIV/0!</v>
      </c>
      <c r="H32" s="3">
        <v>0</v>
      </c>
      <c r="I32" s="6">
        <v>0</v>
      </c>
      <c r="J32" s="3" t="e">
        <f t="shared" si="17"/>
        <v>#DIV/0!</v>
      </c>
      <c r="K32" s="3">
        <v>0</v>
      </c>
      <c r="L32" s="6">
        <v>0</v>
      </c>
      <c r="M32" s="3" t="e">
        <f t="shared" si="18"/>
        <v>#DIV/0!</v>
      </c>
      <c r="N32" s="3">
        <v>0</v>
      </c>
      <c r="O32" s="6">
        <v>0</v>
      </c>
      <c r="P32" s="3" t="e">
        <f t="shared" si="19"/>
        <v>#DIV/0!</v>
      </c>
      <c r="Q32" s="3">
        <v>0</v>
      </c>
      <c r="R32" s="6">
        <v>0</v>
      </c>
      <c r="S32" s="3" t="e">
        <f t="shared" si="20"/>
        <v>#DIV/0!</v>
      </c>
      <c r="T32" s="3">
        <v>0</v>
      </c>
      <c r="U32" s="6">
        <v>0</v>
      </c>
      <c r="V32" s="3" t="e">
        <f t="shared" si="21"/>
        <v>#DIV/0!</v>
      </c>
      <c r="W32" s="3">
        <v>0</v>
      </c>
      <c r="X32" s="6">
        <v>0</v>
      </c>
      <c r="Y32" s="3">
        <f t="shared" si="22"/>
        <v>2082.8571428571427</v>
      </c>
      <c r="Z32" s="3">
        <v>29160</v>
      </c>
      <c r="AA32" s="6">
        <v>14</v>
      </c>
      <c r="AB32" s="3" t="e">
        <f t="shared" si="23"/>
        <v>#DIV/0!</v>
      </c>
      <c r="AC32" s="3">
        <v>0</v>
      </c>
      <c r="AD32" s="6">
        <v>0</v>
      </c>
      <c r="AE32" s="3" t="e">
        <f t="shared" si="24"/>
        <v>#DIV/0!</v>
      </c>
      <c r="AF32" s="3">
        <v>0</v>
      </c>
      <c r="AG32" s="6">
        <v>0</v>
      </c>
      <c r="AH32" s="3" t="e">
        <f t="shared" si="25"/>
        <v>#DIV/0!</v>
      </c>
      <c r="AI32" s="3">
        <v>0</v>
      </c>
      <c r="AJ32" s="6">
        <v>0</v>
      </c>
      <c r="AK32" s="3" t="e">
        <f t="shared" si="26"/>
        <v>#DIV/0!</v>
      </c>
      <c r="AL32" s="3">
        <v>0</v>
      </c>
      <c r="AM32" s="6">
        <v>0</v>
      </c>
      <c r="AN32" s="3">
        <f t="shared" si="12"/>
        <v>1075</v>
      </c>
      <c r="AO32" s="3">
        <f t="shared" si="13"/>
        <v>63210</v>
      </c>
      <c r="AP32" s="6">
        <f t="shared" si="14"/>
        <v>58.8</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20</v>
      </c>
      <c r="B33" s="15"/>
      <c r="C33" s="15"/>
      <c r="D33" s="3" t="e">
        <f t="shared" si="15"/>
        <v>#DIV/0!</v>
      </c>
      <c r="E33" s="3">
        <v>0</v>
      </c>
      <c r="F33" s="6">
        <v>0</v>
      </c>
      <c r="G33" s="3" t="e">
        <f t="shared" si="16"/>
        <v>#DIV/0!</v>
      </c>
      <c r="H33" s="3">
        <v>0</v>
      </c>
      <c r="I33" s="6">
        <v>0</v>
      </c>
      <c r="J33" s="3">
        <f t="shared" si="17"/>
        <v>759.8</v>
      </c>
      <c r="K33" s="3">
        <v>22794</v>
      </c>
      <c r="L33" s="6">
        <v>30</v>
      </c>
      <c r="M33" s="3" t="e">
        <f t="shared" si="18"/>
        <v>#DIV/0!</v>
      </c>
      <c r="N33" s="3">
        <v>0</v>
      </c>
      <c r="O33" s="6">
        <v>0</v>
      </c>
      <c r="P33" s="3" t="e">
        <f t="shared" si="19"/>
        <v>#DIV/0!</v>
      </c>
      <c r="Q33" s="3">
        <v>0</v>
      </c>
      <c r="R33" s="6">
        <v>0</v>
      </c>
      <c r="S33" s="3" t="e">
        <f t="shared" si="20"/>
        <v>#DIV/0!</v>
      </c>
      <c r="T33" s="3">
        <v>0</v>
      </c>
      <c r="U33" s="6">
        <v>0</v>
      </c>
      <c r="V33" s="3" t="e">
        <f t="shared" si="21"/>
        <v>#DIV/0!</v>
      </c>
      <c r="W33" s="3">
        <v>0</v>
      </c>
      <c r="X33" s="6">
        <v>0</v>
      </c>
      <c r="Y33" s="3" t="e">
        <f t="shared" si="22"/>
        <v>#DIV/0!</v>
      </c>
      <c r="Z33" s="3">
        <v>0</v>
      </c>
      <c r="AA33" s="6">
        <v>0</v>
      </c>
      <c r="AB33" s="3" t="e">
        <f t="shared" si="23"/>
        <v>#DIV/0!</v>
      </c>
      <c r="AC33" s="3">
        <v>0</v>
      </c>
      <c r="AD33" s="6">
        <v>0</v>
      </c>
      <c r="AE33" s="3" t="e">
        <f t="shared" si="24"/>
        <v>#DIV/0!</v>
      </c>
      <c r="AF33" s="3">
        <v>0</v>
      </c>
      <c r="AG33" s="6">
        <v>0</v>
      </c>
      <c r="AH33" s="3" t="e">
        <f t="shared" si="25"/>
        <v>#DIV/0!</v>
      </c>
      <c r="AI33" s="3">
        <v>0</v>
      </c>
      <c r="AJ33" s="6">
        <v>0</v>
      </c>
      <c r="AK33" s="3" t="e">
        <f t="shared" si="26"/>
        <v>#DIV/0!</v>
      </c>
      <c r="AL33" s="3">
        <v>0</v>
      </c>
      <c r="AM33" s="6">
        <v>0</v>
      </c>
      <c r="AN33" s="3">
        <f t="shared" si="12"/>
        <v>759.8</v>
      </c>
      <c r="AO33" s="3">
        <f t="shared" si="13"/>
        <v>22794</v>
      </c>
      <c r="AP33" s="6">
        <f t="shared" si="14"/>
        <v>30</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37</v>
      </c>
      <c r="B34" s="15"/>
      <c r="C34" s="15"/>
      <c r="D34" s="3">
        <f t="shared" si="15"/>
        <v>761.09634551495014</v>
      </c>
      <c r="E34" s="3">
        <v>22909</v>
      </c>
      <c r="F34" s="6">
        <v>30.1</v>
      </c>
      <c r="G34" s="3" t="e">
        <f t="shared" si="16"/>
        <v>#DIV/0!</v>
      </c>
      <c r="H34" s="3">
        <v>0</v>
      </c>
      <c r="I34" s="6">
        <v>0</v>
      </c>
      <c r="J34" s="3" t="e">
        <f t="shared" si="17"/>
        <v>#DIV/0!</v>
      </c>
      <c r="K34" s="3">
        <v>0</v>
      </c>
      <c r="L34" s="6">
        <v>0</v>
      </c>
      <c r="M34" s="3" t="e">
        <f t="shared" si="18"/>
        <v>#DIV/0!</v>
      </c>
      <c r="N34" s="3">
        <v>0</v>
      </c>
      <c r="O34" s="6">
        <v>0</v>
      </c>
      <c r="P34" s="3" t="e">
        <f t="shared" si="19"/>
        <v>#DIV/0!</v>
      </c>
      <c r="Q34" s="3">
        <v>0</v>
      </c>
      <c r="R34" s="6">
        <v>0</v>
      </c>
      <c r="S34" s="3" t="e">
        <f t="shared" si="20"/>
        <v>#DIV/0!</v>
      </c>
      <c r="T34" s="3">
        <v>0</v>
      </c>
      <c r="U34" s="6">
        <v>0</v>
      </c>
      <c r="V34" s="3" t="e">
        <f t="shared" si="21"/>
        <v>#DIV/0!</v>
      </c>
      <c r="W34" s="3">
        <v>0</v>
      </c>
      <c r="X34" s="6">
        <v>0</v>
      </c>
      <c r="Y34" s="3" t="e">
        <f t="shared" si="22"/>
        <v>#DIV/0!</v>
      </c>
      <c r="Z34" s="3">
        <v>0</v>
      </c>
      <c r="AA34" s="6">
        <v>0</v>
      </c>
      <c r="AB34" s="3" t="e">
        <f t="shared" si="23"/>
        <v>#DIV/0!</v>
      </c>
      <c r="AC34" s="3">
        <v>0</v>
      </c>
      <c r="AD34" s="6">
        <v>0</v>
      </c>
      <c r="AE34" s="3" t="e">
        <f t="shared" si="24"/>
        <v>#DIV/0!</v>
      </c>
      <c r="AF34" s="3">
        <v>0</v>
      </c>
      <c r="AG34" s="6">
        <v>0</v>
      </c>
      <c r="AH34" s="3" t="e">
        <f t="shared" si="25"/>
        <v>#DIV/0!</v>
      </c>
      <c r="AI34" s="3">
        <v>0</v>
      </c>
      <c r="AJ34" s="6">
        <v>0</v>
      </c>
      <c r="AK34" s="3" t="e">
        <f t="shared" si="26"/>
        <v>#DIV/0!</v>
      </c>
      <c r="AL34" s="3">
        <v>0</v>
      </c>
      <c r="AM34" s="6">
        <v>0</v>
      </c>
      <c r="AN34" s="3">
        <f t="shared" si="12"/>
        <v>761.09634551495014</v>
      </c>
      <c r="AO34" s="3">
        <f t="shared" si="13"/>
        <v>22909</v>
      </c>
      <c r="AP34" s="6">
        <f t="shared" si="14"/>
        <v>30.1</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 t="s">
        <v>38</v>
      </c>
      <c r="B35" s="15"/>
      <c r="C35" s="15"/>
      <c r="D35" s="3" t="e">
        <f t="shared" si="15"/>
        <v>#DIV/0!</v>
      </c>
      <c r="E35" s="3">
        <v>0</v>
      </c>
      <c r="F35" s="6">
        <v>0</v>
      </c>
      <c r="G35" s="3">
        <f t="shared" si="16"/>
        <v>1452.6908778953389</v>
      </c>
      <c r="H35" s="3">
        <v>1016012</v>
      </c>
      <c r="I35" s="6">
        <v>699.4</v>
      </c>
      <c r="J35" s="3" t="e">
        <f t="shared" si="17"/>
        <v>#DIV/0!</v>
      </c>
      <c r="K35" s="3">
        <v>0</v>
      </c>
      <c r="L35" s="6">
        <v>0</v>
      </c>
      <c r="M35" s="3" t="e">
        <f t="shared" si="18"/>
        <v>#DIV/0!</v>
      </c>
      <c r="N35" s="3">
        <v>0</v>
      </c>
      <c r="O35" s="6">
        <v>0</v>
      </c>
      <c r="P35" s="3" t="e">
        <f t="shared" si="19"/>
        <v>#DIV/0!</v>
      </c>
      <c r="Q35" s="3">
        <v>0</v>
      </c>
      <c r="R35" s="6">
        <v>0</v>
      </c>
      <c r="S35" s="3" t="e">
        <f t="shared" si="20"/>
        <v>#DIV/0!</v>
      </c>
      <c r="T35" s="3">
        <v>0</v>
      </c>
      <c r="U35" s="6">
        <v>0</v>
      </c>
      <c r="V35" s="3" t="e">
        <f t="shared" si="21"/>
        <v>#DIV/0!</v>
      </c>
      <c r="W35" s="3">
        <v>0</v>
      </c>
      <c r="X35" s="6">
        <v>0</v>
      </c>
      <c r="Y35" s="3" t="e">
        <f t="shared" si="22"/>
        <v>#DIV/0!</v>
      </c>
      <c r="Z35" s="3">
        <v>0</v>
      </c>
      <c r="AA35" s="6">
        <v>0</v>
      </c>
      <c r="AB35" s="3" t="e">
        <f t="shared" si="23"/>
        <v>#DIV/0!</v>
      </c>
      <c r="AC35" s="3">
        <v>0</v>
      </c>
      <c r="AD35" s="6">
        <v>0</v>
      </c>
      <c r="AE35" s="3" t="e">
        <f t="shared" si="24"/>
        <v>#DIV/0!</v>
      </c>
      <c r="AF35" s="3">
        <v>0</v>
      </c>
      <c r="AG35" s="6">
        <v>0</v>
      </c>
      <c r="AH35" s="3" t="e">
        <f t="shared" si="25"/>
        <v>#DIV/0!</v>
      </c>
      <c r="AI35" s="3">
        <v>0</v>
      </c>
      <c r="AJ35" s="6">
        <v>0</v>
      </c>
      <c r="AK35" s="3" t="e">
        <f t="shared" si="26"/>
        <v>#DIV/0!</v>
      </c>
      <c r="AL35" s="3">
        <v>0</v>
      </c>
      <c r="AM35" s="6">
        <v>0</v>
      </c>
      <c r="AN35" s="3">
        <f t="shared" si="12"/>
        <v>1452.6908778953389</v>
      </c>
      <c r="AO35" s="3">
        <f t="shared" si="13"/>
        <v>1016012</v>
      </c>
      <c r="AP35" s="6">
        <f t="shared" si="14"/>
        <v>699.4</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0" t="s">
        <v>21</v>
      </c>
      <c r="B36" s="16"/>
      <c r="C36" s="16"/>
      <c r="D36" s="7" t="e">
        <f t="shared" si="15"/>
        <v>#DIV/0!</v>
      </c>
      <c r="E36" s="8">
        <v>0</v>
      </c>
      <c r="F36" s="9">
        <v>0</v>
      </c>
      <c r="G36" s="8" t="e">
        <f t="shared" si="16"/>
        <v>#DIV/0!</v>
      </c>
      <c r="H36" s="8">
        <v>0</v>
      </c>
      <c r="I36" s="9">
        <v>0</v>
      </c>
      <c r="J36" s="8" t="e">
        <f t="shared" si="17"/>
        <v>#DIV/0!</v>
      </c>
      <c r="K36" s="8">
        <v>0</v>
      </c>
      <c r="L36" s="9">
        <v>0</v>
      </c>
      <c r="M36" s="8" t="e">
        <f t="shared" si="18"/>
        <v>#DIV/0!</v>
      </c>
      <c r="N36" s="8">
        <v>0</v>
      </c>
      <c r="O36" s="9">
        <v>0</v>
      </c>
      <c r="P36" s="8">
        <f t="shared" si="19"/>
        <v>1990</v>
      </c>
      <c r="Q36" s="8">
        <v>77610</v>
      </c>
      <c r="R36" s="9">
        <v>39</v>
      </c>
      <c r="S36" s="8" t="e">
        <f t="shared" si="20"/>
        <v>#DIV/0!</v>
      </c>
      <c r="T36" s="8">
        <v>0</v>
      </c>
      <c r="U36" s="9">
        <v>0</v>
      </c>
      <c r="V36" s="8">
        <f t="shared" si="21"/>
        <v>760.33274956217156</v>
      </c>
      <c r="W36" s="8">
        <v>43415</v>
      </c>
      <c r="X36" s="9">
        <v>57.1</v>
      </c>
      <c r="Y36" s="8">
        <f t="shared" si="22"/>
        <v>1629.5769511305616</v>
      </c>
      <c r="Z36" s="8">
        <v>223415</v>
      </c>
      <c r="AA36" s="9">
        <v>137.1</v>
      </c>
      <c r="AB36" s="8" t="e">
        <f t="shared" si="23"/>
        <v>#DIV/0!</v>
      </c>
      <c r="AC36" s="8">
        <v>0</v>
      </c>
      <c r="AD36" s="9">
        <v>0</v>
      </c>
      <c r="AE36" s="8" t="e">
        <f t="shared" si="24"/>
        <v>#DIV/0!</v>
      </c>
      <c r="AF36" s="8">
        <v>0</v>
      </c>
      <c r="AG36" s="9">
        <v>0</v>
      </c>
      <c r="AH36" s="8" t="e">
        <f t="shared" si="25"/>
        <v>#DIV/0!</v>
      </c>
      <c r="AI36" s="8">
        <v>0</v>
      </c>
      <c r="AJ36" s="9">
        <v>0</v>
      </c>
      <c r="AK36" s="8" t="e">
        <f t="shared" si="26"/>
        <v>#DIV/0!</v>
      </c>
      <c r="AL36" s="8">
        <v>0</v>
      </c>
      <c r="AM36" s="9">
        <v>0</v>
      </c>
      <c r="AN36" s="8">
        <f t="shared" si="12"/>
        <v>1477.015437392796</v>
      </c>
      <c r="AO36" s="8">
        <f t="shared" si="13"/>
        <v>344440</v>
      </c>
      <c r="AP36" s="9">
        <f t="shared" si="14"/>
        <v>233.2</v>
      </c>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x14ac:dyDescent="0.3">
      <c r="A37" s="1" t="s">
        <v>41</v>
      </c>
    </row>
    <row r="38" spans="1:66" x14ac:dyDescent="0.3">
      <c r="A38" s="1" t="s">
        <v>44</v>
      </c>
    </row>
    <row r="39" spans="1:66" x14ac:dyDescent="0.3">
      <c r="A39" s="1" t="s">
        <v>42</v>
      </c>
    </row>
    <row r="40" spans="1:66" x14ac:dyDescent="0.3">
      <c r="A40" s="1" t="s">
        <v>43</v>
      </c>
    </row>
    <row r="41" spans="1:66" x14ac:dyDescent="0.3">
      <c r="A41" s="1" t="s">
        <v>49</v>
      </c>
    </row>
    <row r="42" spans="1:66" x14ac:dyDescent="0.3">
      <c r="A42" s="1" t="s">
        <v>50</v>
      </c>
    </row>
  </sheetData>
  <mergeCells count="15">
    <mergeCell ref="B3:B36"/>
    <mergeCell ref="C3:C36"/>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2026-06-16T01:56:46Z</dcterms:modified>
</cp:coreProperties>
</file>