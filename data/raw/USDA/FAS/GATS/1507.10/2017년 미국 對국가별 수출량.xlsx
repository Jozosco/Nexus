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M3" i="1" l="1"/>
  <c r="AL3" i="1"/>
  <c r="AK3" i="1"/>
  <c r="AJ3" i="1"/>
  <c r="AI3" i="1"/>
  <c r="AG3" i="1"/>
  <c r="AF3" i="1"/>
  <c r="AE3" i="1"/>
  <c r="AD3" i="1"/>
  <c r="AB3" i="1" s="1"/>
  <c r="AC3" i="1"/>
  <c r="AA3" i="1"/>
  <c r="Z3" i="1"/>
  <c r="X3" i="1"/>
  <c r="W3" i="1"/>
  <c r="V3" i="1"/>
  <c r="U3" i="1"/>
  <c r="S3" i="1" s="1"/>
  <c r="T3" i="1"/>
  <c r="R3" i="1"/>
  <c r="P3" i="1" s="1"/>
  <c r="Q3" i="1"/>
  <c r="O3" i="1"/>
  <c r="N3" i="1"/>
  <c r="M3" i="1"/>
  <c r="L3" i="1"/>
  <c r="K3" i="1"/>
  <c r="J3" i="1"/>
  <c r="I3" i="1"/>
  <c r="G3" i="1" s="1"/>
  <c r="H3" i="1"/>
  <c r="F3" i="1"/>
  <c r="E3" i="1"/>
  <c r="M43"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44"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1" i="1"/>
  <c r="AP10" i="1"/>
  <c r="AP9" i="1"/>
  <c r="AP8" i="1"/>
  <c r="AP7" i="1"/>
  <c r="AP6" i="1"/>
  <c r="AP5" i="1"/>
  <c r="AP4" i="1"/>
  <c r="AH3" i="1" l="1"/>
  <c r="Y3" i="1"/>
  <c r="AN7" i="1"/>
  <c r="AN15" i="1"/>
  <c r="D3" i="1"/>
  <c r="AN10" i="1"/>
  <c r="AN18" i="1"/>
  <c r="AN26" i="1"/>
  <c r="AN34" i="1"/>
  <c r="AN42" i="1"/>
  <c r="AN11" i="1"/>
  <c r="AN27" i="1"/>
  <c r="AN35" i="1"/>
  <c r="AN43" i="1"/>
  <c r="AO3" i="1"/>
  <c r="AN20" i="1"/>
  <c r="AN28" i="1"/>
  <c r="AN36" i="1"/>
  <c r="AN44" i="1"/>
  <c r="AN5" i="1"/>
  <c r="AN13" i="1"/>
  <c r="AN21" i="1"/>
  <c r="AN29" i="1"/>
  <c r="AN37" i="1"/>
  <c r="AN6" i="1"/>
  <c r="AN14" i="1"/>
  <c r="AN22" i="1"/>
  <c r="AN30" i="1"/>
  <c r="AN38" i="1"/>
  <c r="AN31" i="1"/>
  <c r="AN39" i="1"/>
  <c r="AN8" i="1"/>
  <c r="AN16" i="1"/>
  <c r="AN24" i="1"/>
  <c r="AN32" i="1"/>
  <c r="AN40" i="1"/>
  <c r="AN9" i="1"/>
  <c r="AN17" i="1"/>
  <c r="AN25" i="1"/>
  <c r="AN33" i="1"/>
  <c r="AN41" i="1"/>
  <c r="AN19" i="1"/>
  <c r="AN23" i="1"/>
  <c r="AN4" i="1"/>
  <c r="AP12" i="1"/>
  <c r="AP3" i="1" s="1"/>
  <c r="AN3" i="1" l="1"/>
  <c r="AN12" i="1"/>
</calcChain>
</file>

<file path=xl/sharedStrings.xml><?xml version="1.0" encoding="utf-8"?>
<sst xmlns="http://schemas.openxmlformats.org/spreadsheetml/2006/main" count="105" uniqueCount="69">
  <si>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</si>
  <si>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</si>
  <si>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</si>
  <si>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</si>
  <si>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</si>
  <si>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</si>
  <si>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</si>
  <si>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</si>
  <si>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</si>
  <si>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</si>
  <si>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</si>
  <si>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</si>
  <si>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</si>
  <si>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</si>
  <si>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</si>
  <si>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</si>
  <si>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</si>
  <si>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</si>
  <si>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</si>
  <si>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</si>
  <si>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</si>
  <si>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Taiwan</t>
  </si>
  <si>
    <t>Colombia</t>
  </si>
  <si>
    <t>Dominican Republic</t>
  </si>
  <si>
    <t>Korea, South</t>
  </si>
  <si>
    <t>Jamaica</t>
  </si>
  <si>
    <t>Mexico</t>
  </si>
  <si>
    <t>Pakistan</t>
  </si>
  <si>
    <t>Mozambique</t>
  </si>
  <si>
    <t>United Arab Emirates</t>
  </si>
  <si>
    <t>Barbados</t>
  </si>
  <si>
    <t>Bahamas, The</t>
  </si>
  <si>
    <t>Belize</t>
  </si>
  <si>
    <t>China</t>
  </si>
  <si>
    <t>Ecuador</t>
  </si>
  <si>
    <t>El Salvador</t>
  </si>
  <si>
    <t>Guatemala</t>
  </si>
  <si>
    <t>Honduras</t>
  </si>
  <si>
    <t>Italy(*)</t>
  </si>
  <si>
    <t>Japan</t>
  </si>
  <si>
    <t>Morocco</t>
  </si>
  <si>
    <t>Netherlands</t>
  </si>
  <si>
    <t>Nicaragua</t>
  </si>
  <si>
    <t>Panama</t>
  </si>
  <si>
    <t>Senegal</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</si>
  <si>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</si>
  <si>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</si>
  <si>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</si>
  <si>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</si>
  <si>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</si>
  <si>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</si>
  <si>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</si>
  <si>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</si>
  <si>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</si>
  <si>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</si>
  <si>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</si>
  <si>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</si>
  <si>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</si>
  <si>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</si>
  <si>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Uruguay</t>
  </si>
  <si>
    <t>Algeria</t>
  </si>
  <si>
    <t>Bahrain</t>
  </si>
  <si>
    <t>Germany</t>
  </si>
  <si>
    <t>Guyana</t>
  </si>
  <si>
    <t>Hong Kong</t>
  </si>
  <si>
    <t>Jordan</t>
  </si>
  <si>
    <t>Nigeria</t>
  </si>
  <si>
    <t>Netherlands Antilles(*)</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</si>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</sst>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0"/>
  <sheetViews>
    <sheetView showGridLines="0" tabSelected="1" workbookViewId="0">
      <pane ySplit="2" topLeftCell="A9"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53</v>
      </c>
      <c r="B2" s="2" t="s">
        <v>13</v>
      </c>
      <c r="C2" s="2" t="s">
        <v>54</v>
      </c>
      <c r="D2" s="4" t="s">
        <v>14</v>
      </c>
      <c r="E2" s="2" t="s">
        <v>54</v>
      </c>
      <c r="F2" s="5" t="s">
        <v>15</v>
      </c>
      <c r="G2" s="2" t="s">
        <v>14</v>
      </c>
      <c r="H2" s="2" t="s">
        <v>54</v>
      </c>
      <c r="I2" s="5" t="s">
        <v>15</v>
      </c>
      <c r="J2" s="2" t="s">
        <v>14</v>
      </c>
      <c r="K2" s="2" t="s">
        <v>54</v>
      </c>
      <c r="L2" s="5" t="s">
        <v>15</v>
      </c>
      <c r="M2" s="2" t="s">
        <v>14</v>
      </c>
      <c r="N2" s="2" t="s">
        <v>54</v>
      </c>
      <c r="O2" s="5" t="s">
        <v>15</v>
      </c>
      <c r="P2" s="2" t="s">
        <v>14</v>
      </c>
      <c r="Q2" s="2" t="s">
        <v>54</v>
      </c>
      <c r="R2" s="5" t="s">
        <v>15</v>
      </c>
      <c r="S2" s="2" t="s">
        <v>14</v>
      </c>
      <c r="T2" s="2" t="s">
        <v>54</v>
      </c>
      <c r="U2" s="5" t="s">
        <v>15</v>
      </c>
      <c r="V2" s="2" t="s">
        <v>14</v>
      </c>
      <c r="W2" s="2" t="s">
        <v>54</v>
      </c>
      <c r="X2" s="5" t="s">
        <v>15</v>
      </c>
      <c r="Y2" s="2" t="s">
        <v>14</v>
      </c>
      <c r="Z2" s="2" t="s">
        <v>54</v>
      </c>
      <c r="AA2" s="5" t="s">
        <v>15</v>
      </c>
      <c r="AB2" s="2" t="s">
        <v>14</v>
      </c>
      <c r="AC2" s="2" t="s">
        <v>54</v>
      </c>
      <c r="AD2" s="5" t="s">
        <v>15</v>
      </c>
      <c r="AE2" s="2" t="s">
        <v>14</v>
      </c>
      <c r="AF2" s="2" t="s">
        <v>54</v>
      </c>
      <c r="AG2" s="5" t="s">
        <v>15</v>
      </c>
      <c r="AH2" s="2" t="s">
        <v>14</v>
      </c>
      <c r="AI2" s="2" t="s">
        <v>54</v>
      </c>
      <c r="AJ2" s="5" t="s">
        <v>15</v>
      </c>
      <c r="AK2" s="2" t="s">
        <v>14</v>
      </c>
      <c r="AL2" s="2" t="s">
        <v>54</v>
      </c>
      <c r="AM2" s="5" t="s">
        <v>15</v>
      </c>
      <c r="AN2" s="2" t="s">
        <v>14</v>
      </c>
      <c r="AO2" s="2" t="s">
        <v>56</v>
      </c>
      <c r="AP2" s="5" t="s">
        <v>15</v>
      </c>
    </row>
    <row r="3" spans="1:66" ht="15" customHeight="1" x14ac:dyDescent="0.3">
      <c r="A3" s="1" t="s">
        <v>16</v>
      </c>
      <c r="B3" s="14" t="s">
        <v>17</v>
      </c>
      <c r="C3" s="14" t="s">
        <v>55</v>
      </c>
      <c r="D3" s="3">
        <f>E3/F3</f>
        <v>840.23496574635487</v>
      </c>
      <c r="E3" s="3">
        <f>SUM(E4:E44)</f>
        <v>78961417</v>
      </c>
      <c r="F3" s="6">
        <f>SUM(F4:F44)</f>
        <v>93975.400000000009</v>
      </c>
      <c r="G3" s="3">
        <f>H3/I3</f>
        <v>822.63316110954963</v>
      </c>
      <c r="H3" s="3">
        <f>SUM(H4:H44)</f>
        <v>73749721</v>
      </c>
      <c r="I3" s="6">
        <f>SUM(I4:I44)</f>
        <v>89650.799999999988</v>
      </c>
      <c r="J3" s="3">
        <f>K3/L3</f>
        <v>787.93071733713566</v>
      </c>
      <c r="K3" s="3">
        <f>SUM(K4:K44)</f>
        <v>85156479</v>
      </c>
      <c r="L3" s="6">
        <f>SUM(L4:L44)</f>
        <v>108076.09999999999</v>
      </c>
      <c r="M3" s="3">
        <f>N3/O3</f>
        <v>772.64399087901302</v>
      </c>
      <c r="N3" s="3">
        <f>SUM(N4:N44)</f>
        <v>69123822</v>
      </c>
      <c r="O3" s="6">
        <f>SUM(O4:O44)</f>
        <v>89463.999999999971</v>
      </c>
      <c r="P3" s="3">
        <f>Q3/R3</f>
        <v>754.27219910087513</v>
      </c>
      <c r="Q3" s="3">
        <f>SUM(Q4:Q44)</f>
        <v>36156415</v>
      </c>
      <c r="R3" s="6">
        <f>SUM(R4:R44)</f>
        <v>47935.5</v>
      </c>
      <c r="S3" s="3">
        <f>T3/U3</f>
        <v>720.4910110551167</v>
      </c>
      <c r="T3" s="3">
        <f>SUM(T4:T44)</f>
        <v>34469803</v>
      </c>
      <c r="U3" s="6">
        <f>SUM(U4:U44)</f>
        <v>47842.1</v>
      </c>
      <c r="V3" s="3">
        <f>W3/X3</f>
        <v>767.73592421143292</v>
      </c>
      <c r="W3" s="3">
        <f>SUM(W4:W44)</f>
        <v>49920493</v>
      </c>
      <c r="X3" s="6">
        <f>SUM(X4:X44)</f>
        <v>65023</v>
      </c>
      <c r="Y3" s="3">
        <f>Z3/AA3</f>
        <v>784.7534499806543</v>
      </c>
      <c r="Z3" s="3">
        <f>SUM(Z4:Z44)</f>
        <v>45635375</v>
      </c>
      <c r="AA3" s="6">
        <f>SUM(AA4:AA44)</f>
        <v>58152.5</v>
      </c>
      <c r="AB3" s="3">
        <f>AC3/AD3</f>
        <v>800.3340419288113</v>
      </c>
      <c r="AC3" s="3">
        <f>SUM(AC4:AC44)</f>
        <v>33545121</v>
      </c>
      <c r="AD3" s="6">
        <f>SUM(AD4:AD44)</f>
        <v>41913.899999999994</v>
      </c>
      <c r="AE3" s="3">
        <f>AF3/AG3</f>
        <v>792.11076999016529</v>
      </c>
      <c r="AF3" s="3">
        <f>SUM(AF4:AF44)</f>
        <v>63547641</v>
      </c>
      <c r="AG3" s="6">
        <f>SUM(AG4:AG44)</f>
        <v>80225.7</v>
      </c>
      <c r="AH3" s="3">
        <f>AI3/AJ3</f>
        <v>834.9934545454546</v>
      </c>
      <c r="AI3" s="3">
        <f>SUM(AI4:AI44)</f>
        <v>35017538</v>
      </c>
      <c r="AJ3" s="6">
        <f>SUM(AJ4:AJ44)</f>
        <v>41937.5</v>
      </c>
      <c r="AK3" s="3">
        <f>AL3/AM3</f>
        <v>807.48570818587154</v>
      </c>
      <c r="AL3" s="3">
        <f>SUM(AL4:AL44)</f>
        <v>49169016</v>
      </c>
      <c r="AM3" s="6">
        <f>SUM(AM4:AM44)</f>
        <v>60891.5</v>
      </c>
      <c r="AN3" s="3">
        <f>AO3/AP3</f>
        <v>793.19156380895129</v>
      </c>
      <c r="AO3" s="3">
        <f>SUM(AO4:AO44)</f>
        <v>654452841</v>
      </c>
      <c r="AP3" s="6">
        <f>SUM(AP4:AP44)</f>
        <v>825088</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23</v>
      </c>
      <c r="B4" s="15"/>
      <c r="C4" s="15"/>
      <c r="D4" s="3">
        <f t="shared" ref="D4:D11" si="0">E4/F4</f>
        <v>847.62650019782825</v>
      </c>
      <c r="E4" s="3">
        <v>13496672</v>
      </c>
      <c r="F4" s="6">
        <v>15922.9</v>
      </c>
      <c r="G4" s="3">
        <f t="shared" ref="G4:G11" si="1">H4/I4</f>
        <v>830.70624473389785</v>
      </c>
      <c r="H4" s="3">
        <v>12028128</v>
      </c>
      <c r="I4" s="6">
        <v>14479.4</v>
      </c>
      <c r="J4" s="3">
        <f t="shared" ref="J4:J11" si="2">K4/L4</f>
        <v>813.89438896575462</v>
      </c>
      <c r="K4" s="3">
        <v>11353257</v>
      </c>
      <c r="L4" s="6">
        <v>13949.3</v>
      </c>
      <c r="M4" s="3">
        <f t="shared" ref="M4:M11" si="3">N4/O4</f>
        <v>785.78845135087408</v>
      </c>
      <c r="N4" s="3">
        <v>11569792</v>
      </c>
      <c r="O4" s="6">
        <v>14723.8</v>
      </c>
      <c r="P4" s="3">
        <f t="shared" ref="P4:P11" si="4">Q4/R4</f>
        <v>762.25347473815964</v>
      </c>
      <c r="Q4" s="3">
        <v>12728947</v>
      </c>
      <c r="R4" s="6">
        <v>16699.099999999999</v>
      </c>
      <c r="S4" s="3">
        <f t="shared" ref="S4:S11" si="5">T4/U4</f>
        <v>737.37795830746404</v>
      </c>
      <c r="T4" s="3">
        <v>7007229</v>
      </c>
      <c r="U4" s="6">
        <v>9502.9</v>
      </c>
      <c r="V4" s="3">
        <f t="shared" ref="V4:V11" si="6">W4/X4</f>
        <v>741.23476721174882</v>
      </c>
      <c r="W4" s="3">
        <v>7116595</v>
      </c>
      <c r="X4" s="6">
        <v>9601</v>
      </c>
      <c r="Y4" s="3">
        <f t="shared" ref="Y4:Y11" si="7">Z4/AA4</f>
        <v>774.45413276791305</v>
      </c>
      <c r="Z4" s="3">
        <v>16582457</v>
      </c>
      <c r="AA4" s="6">
        <v>21411.8</v>
      </c>
      <c r="AB4" s="3">
        <f t="shared" ref="AB4:AB11" si="8">AC4/AD4</f>
        <v>784.97922011000458</v>
      </c>
      <c r="AC4" s="3">
        <v>7007431</v>
      </c>
      <c r="AD4" s="6">
        <v>8926.9</v>
      </c>
      <c r="AE4" s="3">
        <f t="shared" ref="AE4:AE11" si="9">AF4/AG4</f>
        <v>789.64159077336524</v>
      </c>
      <c r="AF4" s="3">
        <v>8462431</v>
      </c>
      <c r="AG4" s="6">
        <v>10716.8</v>
      </c>
      <c r="AH4" s="3">
        <f t="shared" ref="AH4:AH11" si="10">AI4/AJ4</f>
        <v>810.92756590382885</v>
      </c>
      <c r="AI4" s="3">
        <v>11803294</v>
      </c>
      <c r="AJ4" s="6">
        <v>14555.3</v>
      </c>
      <c r="AK4" s="3">
        <f t="shared" ref="AK4:AK11" si="11">AL4/AM4</f>
        <v>799.43413905981902</v>
      </c>
      <c r="AL4" s="3">
        <v>19708210</v>
      </c>
      <c r="AM4" s="6">
        <v>24652.7</v>
      </c>
      <c r="AN4" s="3">
        <f t="shared" ref="AN4:AN44" si="12">AO4/AP4</f>
        <v>792.86820001381739</v>
      </c>
      <c r="AO4" s="3">
        <f t="shared" ref="AO4:AO44" si="13">SUM(E4,H4,K4,N4,Q4,T4,W4,Z4,AC4,AF4,AI4,AL4)</f>
        <v>138864443</v>
      </c>
      <c r="AP4" s="6">
        <f t="shared" ref="AP4:AP44" si="14">SUM(F4,I4,L4,O4,R4,U4,X4,AA4,AD4,AG4,AJ4,AM4)</f>
        <v>175141.9</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24</v>
      </c>
      <c r="B5" s="15"/>
      <c r="C5" s="15"/>
      <c r="D5" s="3">
        <f t="shared" si="0"/>
        <v>822.13336888948152</v>
      </c>
      <c r="E5" s="3">
        <v>19730872</v>
      </c>
      <c r="F5" s="6">
        <v>23999.599999999999</v>
      </c>
      <c r="G5" s="3">
        <f t="shared" si="1"/>
        <v>787.26764188180073</v>
      </c>
      <c r="H5" s="3">
        <v>11807755</v>
      </c>
      <c r="I5" s="6">
        <v>14998.4</v>
      </c>
      <c r="J5" s="3">
        <f t="shared" si="2"/>
        <v>762.56105648777816</v>
      </c>
      <c r="K5" s="3">
        <v>14487745</v>
      </c>
      <c r="L5" s="6">
        <v>18998.8</v>
      </c>
      <c r="M5" s="3">
        <f t="shared" si="3"/>
        <v>752.47674693152396</v>
      </c>
      <c r="N5" s="3">
        <v>38880925</v>
      </c>
      <c r="O5" s="6">
        <v>51670.6</v>
      </c>
      <c r="P5" s="3" t="e">
        <f t="shared" si="4"/>
        <v>#DIV/0!</v>
      </c>
      <c r="Q5" s="3">
        <v>0</v>
      </c>
      <c r="R5" s="6">
        <v>0</v>
      </c>
      <c r="S5" s="3">
        <f t="shared" si="5"/>
        <v>735.79474949879761</v>
      </c>
      <c r="T5" s="3">
        <v>14717293</v>
      </c>
      <c r="U5" s="6">
        <v>20001.900000000001</v>
      </c>
      <c r="V5" s="3">
        <f t="shared" si="6"/>
        <v>775.07586424897272</v>
      </c>
      <c r="W5" s="3">
        <v>26971865</v>
      </c>
      <c r="X5" s="6">
        <v>34799</v>
      </c>
      <c r="Y5" s="3">
        <f t="shared" si="7"/>
        <v>789.25166352552026</v>
      </c>
      <c r="Z5" s="3">
        <v>10259877</v>
      </c>
      <c r="AA5" s="6">
        <v>12999.5</v>
      </c>
      <c r="AB5" s="3">
        <f t="shared" si="8"/>
        <v>809.09363655455888</v>
      </c>
      <c r="AC5" s="3">
        <v>8090370</v>
      </c>
      <c r="AD5" s="6">
        <v>9999.2999999999993</v>
      </c>
      <c r="AE5" s="3">
        <f t="shared" si="9"/>
        <v>792.97047525256153</v>
      </c>
      <c r="AF5" s="3">
        <v>36475611</v>
      </c>
      <c r="AG5" s="6">
        <v>45998.7</v>
      </c>
      <c r="AH5" s="3">
        <f t="shared" si="10"/>
        <v>804.68903606950823</v>
      </c>
      <c r="AI5" s="3">
        <v>10460877</v>
      </c>
      <c r="AJ5" s="6">
        <v>12999.9</v>
      </c>
      <c r="AK5" s="3">
        <f t="shared" si="11"/>
        <v>797.1125931273632</v>
      </c>
      <c r="AL5" s="3">
        <v>13470326</v>
      </c>
      <c r="AM5" s="6">
        <v>16898.900000000001</v>
      </c>
      <c r="AN5" s="3">
        <f t="shared" si="12"/>
        <v>779.73089777441623</v>
      </c>
      <c r="AO5" s="3">
        <f t="shared" si="13"/>
        <v>205353516</v>
      </c>
      <c r="AP5" s="6">
        <f t="shared" si="14"/>
        <v>263364.59999999998</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26</v>
      </c>
      <c r="B6" s="15"/>
      <c r="C6" s="15"/>
      <c r="D6" s="3">
        <f t="shared" si="0"/>
        <v>865.48382912730858</v>
      </c>
      <c r="E6" s="3">
        <v>15347192</v>
      </c>
      <c r="F6" s="6">
        <v>17732.5</v>
      </c>
      <c r="G6" s="3">
        <f t="shared" si="1"/>
        <v>844.41805255568227</v>
      </c>
      <c r="H6" s="3">
        <v>13409612</v>
      </c>
      <c r="I6" s="6">
        <v>15880.3</v>
      </c>
      <c r="J6" s="3">
        <f t="shared" si="2"/>
        <v>798.49633698240382</v>
      </c>
      <c r="K6" s="3">
        <v>20992309</v>
      </c>
      <c r="L6" s="6">
        <v>26289.8</v>
      </c>
      <c r="M6" s="3">
        <f t="shared" si="3"/>
        <v>772.89820516179748</v>
      </c>
      <c r="N6" s="3">
        <v>8849298</v>
      </c>
      <c r="O6" s="6">
        <v>11449.5</v>
      </c>
      <c r="P6" s="3">
        <f t="shared" si="4"/>
        <v>757.85010859907197</v>
      </c>
      <c r="Q6" s="3">
        <v>6141011</v>
      </c>
      <c r="R6" s="6">
        <v>8103.2</v>
      </c>
      <c r="S6" s="3">
        <f t="shared" si="5"/>
        <v>760.13709430160748</v>
      </c>
      <c r="T6" s="3">
        <v>5206407</v>
      </c>
      <c r="U6" s="6">
        <v>6849.3</v>
      </c>
      <c r="V6" s="3">
        <f t="shared" si="6"/>
        <v>776.08756589406755</v>
      </c>
      <c r="W6" s="3">
        <v>3710009</v>
      </c>
      <c r="X6" s="6">
        <v>4780.3999999999996</v>
      </c>
      <c r="Y6" s="3">
        <f t="shared" si="7"/>
        <v>770.57277903904128</v>
      </c>
      <c r="Z6" s="3">
        <v>6211356</v>
      </c>
      <c r="AA6" s="6">
        <v>8060.7</v>
      </c>
      <c r="AB6" s="3">
        <f t="shared" si="8"/>
        <v>817.59424539929444</v>
      </c>
      <c r="AC6" s="3">
        <v>7694870</v>
      </c>
      <c r="AD6" s="6">
        <v>9411.6</v>
      </c>
      <c r="AE6" s="3">
        <f t="shared" si="9"/>
        <v>821.33921956788402</v>
      </c>
      <c r="AF6" s="3">
        <v>6762825</v>
      </c>
      <c r="AG6" s="6">
        <v>8233.9</v>
      </c>
      <c r="AH6" s="3">
        <f t="shared" si="10"/>
        <v>810.77996949839951</v>
      </c>
      <c r="AI6" s="3">
        <v>4837843</v>
      </c>
      <c r="AJ6" s="6">
        <v>5966.9</v>
      </c>
      <c r="AK6" s="3">
        <f t="shared" si="11"/>
        <v>880.43436195131892</v>
      </c>
      <c r="AL6" s="3">
        <v>5186991</v>
      </c>
      <c r="AM6" s="6">
        <v>5891.4</v>
      </c>
      <c r="AN6" s="3">
        <f t="shared" si="12"/>
        <v>811.11642874632241</v>
      </c>
      <c r="AO6" s="3">
        <f t="shared" si="13"/>
        <v>104349723</v>
      </c>
      <c r="AP6" s="6">
        <f t="shared" si="14"/>
        <v>128649.49999999999</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22</v>
      </c>
      <c r="B7" s="15"/>
      <c r="C7" s="15"/>
      <c r="D7" s="3">
        <f t="shared" si="0"/>
        <v>761.89806942082623</v>
      </c>
      <c r="E7" s="3">
        <v>1523339</v>
      </c>
      <c r="F7" s="6">
        <v>1999.4</v>
      </c>
      <c r="G7" s="3">
        <f t="shared" si="1"/>
        <v>803.62482204952278</v>
      </c>
      <c r="H7" s="3">
        <v>3443452</v>
      </c>
      <c r="I7" s="6">
        <v>4284.8999999999996</v>
      </c>
      <c r="J7" s="3">
        <f t="shared" si="2"/>
        <v>842.67487317490043</v>
      </c>
      <c r="K7" s="3">
        <v>4634459</v>
      </c>
      <c r="L7" s="6">
        <v>5499.7</v>
      </c>
      <c r="M7" s="3">
        <f t="shared" si="3"/>
        <v>724.15311332175372</v>
      </c>
      <c r="N7" s="3">
        <v>2751637</v>
      </c>
      <c r="O7" s="6">
        <v>3799.8</v>
      </c>
      <c r="P7" s="3" t="e">
        <f t="shared" si="4"/>
        <v>#DIV/0!</v>
      </c>
      <c r="Q7" s="3">
        <v>0</v>
      </c>
      <c r="R7" s="6">
        <v>0</v>
      </c>
      <c r="S7" s="3">
        <f t="shared" si="5"/>
        <v>410.98327458186452</v>
      </c>
      <c r="T7" s="3">
        <v>1643892</v>
      </c>
      <c r="U7" s="6">
        <v>3999.9</v>
      </c>
      <c r="V7" s="3" t="e">
        <f t="shared" si="6"/>
        <v>#DIV/0!</v>
      </c>
      <c r="W7" s="3">
        <v>0</v>
      </c>
      <c r="X7" s="6">
        <v>0</v>
      </c>
      <c r="Y7" s="3" t="e">
        <f t="shared" si="7"/>
        <v>#DIV/0!</v>
      </c>
      <c r="Z7" s="3">
        <v>0</v>
      </c>
      <c r="AA7" s="6">
        <v>0</v>
      </c>
      <c r="AB7" s="3" t="e">
        <f t="shared" si="8"/>
        <v>#DIV/0!</v>
      </c>
      <c r="AC7" s="3">
        <v>0</v>
      </c>
      <c r="AD7" s="6">
        <v>0</v>
      </c>
      <c r="AE7" s="3" t="e">
        <f t="shared" si="9"/>
        <v>#DIV/0!</v>
      </c>
      <c r="AF7" s="3">
        <v>0</v>
      </c>
      <c r="AG7" s="6">
        <v>0</v>
      </c>
      <c r="AH7" s="3" t="e">
        <f t="shared" si="10"/>
        <v>#DIV/0!</v>
      </c>
      <c r="AI7" s="3">
        <v>0</v>
      </c>
      <c r="AJ7" s="6">
        <v>0</v>
      </c>
      <c r="AK7" s="3">
        <f t="shared" si="11"/>
        <v>785.90729536476817</v>
      </c>
      <c r="AL7" s="3">
        <v>3143472</v>
      </c>
      <c r="AM7" s="6">
        <v>3999.8</v>
      </c>
      <c r="AN7" s="3">
        <f t="shared" si="12"/>
        <v>726.78995908156128</v>
      </c>
      <c r="AO7" s="3">
        <f t="shared" si="13"/>
        <v>17140251</v>
      </c>
      <c r="AP7" s="6">
        <f t="shared" si="14"/>
        <v>23583.5</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25</v>
      </c>
      <c r="B8" s="15"/>
      <c r="C8" s="15"/>
      <c r="D8" s="3">
        <f t="shared" si="0"/>
        <v>833.06550000000004</v>
      </c>
      <c r="E8" s="3">
        <v>3332262</v>
      </c>
      <c r="F8" s="6">
        <v>4000</v>
      </c>
      <c r="G8" s="3" t="e">
        <f t="shared" si="1"/>
        <v>#DIV/0!</v>
      </c>
      <c r="H8" s="3">
        <v>0</v>
      </c>
      <c r="I8" s="6">
        <v>0</v>
      </c>
      <c r="J8" s="3">
        <f t="shared" si="2"/>
        <v>851.36840300597203</v>
      </c>
      <c r="K8" s="3">
        <v>2979534</v>
      </c>
      <c r="L8" s="6">
        <v>3499.7</v>
      </c>
      <c r="M8" s="3">
        <f t="shared" si="3"/>
        <v>770.20193126952574</v>
      </c>
      <c r="N8" s="3">
        <v>2711881</v>
      </c>
      <c r="O8" s="6">
        <v>3521</v>
      </c>
      <c r="P8" s="3">
        <f t="shared" si="4"/>
        <v>751.70890596874199</v>
      </c>
      <c r="Q8" s="3">
        <v>2630906</v>
      </c>
      <c r="R8" s="6">
        <v>3499.9</v>
      </c>
      <c r="S8" s="3" t="e">
        <f t="shared" si="5"/>
        <v>#DIV/0!</v>
      </c>
      <c r="T8" s="3">
        <v>0</v>
      </c>
      <c r="U8" s="6">
        <v>0</v>
      </c>
      <c r="V8" s="3">
        <f t="shared" si="6"/>
        <v>760.37551877593876</v>
      </c>
      <c r="W8" s="3">
        <v>3041350</v>
      </c>
      <c r="X8" s="6">
        <v>3999.8</v>
      </c>
      <c r="Y8" s="3">
        <f t="shared" si="7"/>
        <v>802.6634112910134</v>
      </c>
      <c r="Z8" s="3">
        <v>2810847</v>
      </c>
      <c r="AA8" s="6">
        <v>3501.9</v>
      </c>
      <c r="AB8" s="3">
        <f t="shared" si="8"/>
        <v>806.7137294450514</v>
      </c>
      <c r="AC8" s="3">
        <v>2879726</v>
      </c>
      <c r="AD8" s="6">
        <v>3569.7</v>
      </c>
      <c r="AE8" s="3" t="e">
        <f t="shared" si="9"/>
        <v>#DIV/0!</v>
      </c>
      <c r="AF8" s="3">
        <v>0</v>
      </c>
      <c r="AG8" s="6">
        <v>0</v>
      </c>
      <c r="AH8" s="3">
        <f t="shared" si="10"/>
        <v>833.08346251937792</v>
      </c>
      <c r="AI8" s="3">
        <v>3331834</v>
      </c>
      <c r="AJ8" s="6">
        <v>3999.4</v>
      </c>
      <c r="AK8" s="3">
        <f t="shared" si="11"/>
        <v>817.29876359898344</v>
      </c>
      <c r="AL8" s="3">
        <v>2862262</v>
      </c>
      <c r="AM8" s="6">
        <v>3502.1</v>
      </c>
      <c r="AN8" s="3">
        <f t="shared" si="12"/>
        <v>803.19706286733026</v>
      </c>
      <c r="AO8" s="3">
        <f t="shared" si="13"/>
        <v>26580602</v>
      </c>
      <c r="AP8" s="6">
        <f t="shared" si="14"/>
        <v>33093.500000000007</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36</v>
      </c>
      <c r="B9" s="15"/>
      <c r="C9" s="15"/>
      <c r="D9" s="3">
        <f t="shared" si="0"/>
        <v>824.25088748112262</v>
      </c>
      <c r="E9" s="3">
        <v>4202608</v>
      </c>
      <c r="F9" s="6">
        <v>5098.7</v>
      </c>
      <c r="G9" s="3" t="e">
        <f t="shared" si="1"/>
        <v>#DIV/0!</v>
      </c>
      <c r="H9" s="3">
        <v>0</v>
      </c>
      <c r="I9" s="6">
        <v>0</v>
      </c>
      <c r="J9" s="3">
        <f t="shared" si="2"/>
        <v>743.96898067278971</v>
      </c>
      <c r="K9" s="3">
        <v>10562574</v>
      </c>
      <c r="L9" s="6">
        <v>14197.6</v>
      </c>
      <c r="M9" s="3" t="e">
        <f t="shared" si="3"/>
        <v>#DIV/0!</v>
      </c>
      <c r="N9" s="3">
        <v>0</v>
      </c>
      <c r="O9" s="6">
        <v>0</v>
      </c>
      <c r="P9" s="3">
        <f t="shared" si="4"/>
        <v>742.97845258659868</v>
      </c>
      <c r="Q9" s="3">
        <v>3268808</v>
      </c>
      <c r="R9" s="6">
        <v>4399.6000000000004</v>
      </c>
      <c r="S9" s="3" t="e">
        <f t="shared" si="5"/>
        <v>#DIV/0!</v>
      </c>
      <c r="T9" s="3">
        <v>0</v>
      </c>
      <c r="U9" s="6">
        <v>0</v>
      </c>
      <c r="V9" s="3">
        <f t="shared" si="6"/>
        <v>773.59</v>
      </c>
      <c r="W9" s="3">
        <v>3094360</v>
      </c>
      <c r="X9" s="6">
        <v>4000</v>
      </c>
      <c r="Y9" s="3">
        <f t="shared" si="7"/>
        <v>796.97433948678975</v>
      </c>
      <c r="Z9" s="3">
        <v>3984792</v>
      </c>
      <c r="AA9" s="6">
        <v>4999.8999999999996</v>
      </c>
      <c r="AB9" s="3">
        <f t="shared" si="8"/>
        <v>799.15851176023341</v>
      </c>
      <c r="AC9" s="3">
        <v>3258409</v>
      </c>
      <c r="AD9" s="6">
        <v>4077.3</v>
      </c>
      <c r="AE9" s="3">
        <f t="shared" si="9"/>
        <v>761.46829798438159</v>
      </c>
      <c r="AF9" s="3">
        <v>6796333</v>
      </c>
      <c r="AG9" s="6">
        <v>8925.2999999999993</v>
      </c>
      <c r="AH9" s="3">
        <f t="shared" si="10"/>
        <v>817.40557985703617</v>
      </c>
      <c r="AI9" s="3">
        <v>3064617</v>
      </c>
      <c r="AJ9" s="6">
        <v>3749.2</v>
      </c>
      <c r="AK9" s="3">
        <f t="shared" si="11"/>
        <v>777.24897111119992</v>
      </c>
      <c r="AL9" s="3">
        <v>1945221</v>
      </c>
      <c r="AM9" s="6">
        <v>2502.6999999999998</v>
      </c>
      <c r="AN9" s="3">
        <f t="shared" si="12"/>
        <v>773.3876801481415</v>
      </c>
      <c r="AO9" s="3">
        <f t="shared" si="13"/>
        <v>40177722</v>
      </c>
      <c r="AP9" s="6">
        <f t="shared" si="14"/>
        <v>51950.3</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42</v>
      </c>
      <c r="B10" s="15"/>
      <c r="C10" s="15"/>
      <c r="D10" s="3">
        <f t="shared" si="0"/>
        <v>868.63851742655584</v>
      </c>
      <c r="E10" s="3">
        <v>2474838</v>
      </c>
      <c r="F10" s="6">
        <v>2849.1</v>
      </c>
      <c r="G10" s="3">
        <f t="shared" si="1"/>
        <v>1600.2222222222222</v>
      </c>
      <c r="H10" s="3">
        <v>21603</v>
      </c>
      <c r="I10" s="6">
        <v>13.5</v>
      </c>
      <c r="J10" s="3">
        <f t="shared" si="2"/>
        <v>805.84692507385193</v>
      </c>
      <c r="K10" s="3">
        <v>4501058</v>
      </c>
      <c r="L10" s="6">
        <v>5585.5</v>
      </c>
      <c r="M10" s="3">
        <f t="shared" si="3"/>
        <v>1515.0259067357513</v>
      </c>
      <c r="N10" s="3">
        <v>29240</v>
      </c>
      <c r="O10" s="6">
        <v>19.3</v>
      </c>
      <c r="P10" s="3" t="e">
        <f t="shared" si="4"/>
        <v>#DIV/0!</v>
      </c>
      <c r="Q10" s="3">
        <v>0</v>
      </c>
      <c r="R10" s="6">
        <v>0</v>
      </c>
      <c r="S10" s="3">
        <f t="shared" si="5"/>
        <v>783.18552699330621</v>
      </c>
      <c r="T10" s="3">
        <v>3954617</v>
      </c>
      <c r="U10" s="6">
        <v>5049.3999999999996</v>
      </c>
      <c r="V10" s="3" t="e">
        <f t="shared" si="6"/>
        <v>#DIV/0!</v>
      </c>
      <c r="W10" s="3">
        <v>0</v>
      </c>
      <c r="X10" s="6">
        <v>0</v>
      </c>
      <c r="Y10" s="3" t="e">
        <f t="shared" si="7"/>
        <v>#DIV/0!</v>
      </c>
      <c r="Z10" s="3">
        <v>0</v>
      </c>
      <c r="AA10" s="6">
        <v>0</v>
      </c>
      <c r="AB10" s="3" t="e">
        <f t="shared" si="8"/>
        <v>#DIV/0!</v>
      </c>
      <c r="AC10" s="3">
        <v>0</v>
      </c>
      <c r="AD10" s="6">
        <v>0</v>
      </c>
      <c r="AE10" s="3" t="e">
        <f t="shared" si="9"/>
        <v>#DIV/0!</v>
      </c>
      <c r="AF10" s="3">
        <v>0</v>
      </c>
      <c r="AG10" s="6">
        <v>0</v>
      </c>
      <c r="AH10" s="3" t="e">
        <f t="shared" si="10"/>
        <v>#DIV/0!</v>
      </c>
      <c r="AI10" s="3">
        <v>0</v>
      </c>
      <c r="AJ10" s="6">
        <v>0</v>
      </c>
      <c r="AK10" s="3">
        <f t="shared" si="11"/>
        <v>813.72585990172547</v>
      </c>
      <c r="AL10" s="3">
        <v>1424183</v>
      </c>
      <c r="AM10" s="6">
        <v>1750.2</v>
      </c>
      <c r="AN10" s="3">
        <f t="shared" si="12"/>
        <v>812.57214907971445</v>
      </c>
      <c r="AO10" s="3">
        <f t="shared" si="13"/>
        <v>12405539</v>
      </c>
      <c r="AP10" s="6">
        <f t="shared" si="14"/>
        <v>15267</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35</v>
      </c>
      <c r="B11" s="15"/>
      <c r="C11" s="15"/>
      <c r="D11" s="3">
        <f t="shared" si="0"/>
        <v>806.62559542711972</v>
      </c>
      <c r="E11" s="3">
        <v>1270032</v>
      </c>
      <c r="F11" s="6">
        <v>1574.5</v>
      </c>
      <c r="G11" s="3" t="e">
        <f t="shared" si="1"/>
        <v>#DIV/0!</v>
      </c>
      <c r="H11" s="3">
        <v>0</v>
      </c>
      <c r="I11" s="6">
        <v>0</v>
      </c>
      <c r="J11" s="3">
        <f t="shared" si="2"/>
        <v>857.63709094949718</v>
      </c>
      <c r="K11" s="3">
        <v>1543661</v>
      </c>
      <c r="L11" s="6">
        <v>1799.9</v>
      </c>
      <c r="M11" s="3">
        <f t="shared" si="3"/>
        <v>725.89705980398685</v>
      </c>
      <c r="N11" s="3">
        <v>1088773</v>
      </c>
      <c r="O11" s="6">
        <v>1499.9</v>
      </c>
      <c r="P11" s="3" t="e">
        <f t="shared" si="4"/>
        <v>#DIV/0!</v>
      </c>
      <c r="Q11" s="3">
        <v>0</v>
      </c>
      <c r="R11" s="6">
        <v>0</v>
      </c>
      <c r="S11" s="3">
        <f t="shared" si="5"/>
        <v>769.36578947368423</v>
      </c>
      <c r="T11" s="3">
        <v>1461795</v>
      </c>
      <c r="U11" s="6">
        <v>1900</v>
      </c>
      <c r="V11" s="3" t="e">
        <f t="shared" si="6"/>
        <v>#DIV/0!</v>
      </c>
      <c r="W11" s="3">
        <v>0</v>
      </c>
      <c r="X11" s="6">
        <v>0</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f t="shared" si="11"/>
        <v>822.51816787785845</v>
      </c>
      <c r="AL11" s="3">
        <v>1233695</v>
      </c>
      <c r="AM11" s="6">
        <v>1499.9</v>
      </c>
      <c r="AN11" s="3">
        <f t="shared" si="12"/>
        <v>797.41316381039849</v>
      </c>
      <c r="AO11" s="3">
        <f t="shared" si="13"/>
        <v>6597956</v>
      </c>
      <c r="AP11" s="6">
        <f t="shared" si="14"/>
        <v>8274.2000000000007</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20</v>
      </c>
      <c r="B12" s="15"/>
      <c r="C12" s="15"/>
      <c r="D12" s="3">
        <f>E12/F12</f>
        <v>822.46031746031747</v>
      </c>
      <c r="E12" s="3">
        <v>103630</v>
      </c>
      <c r="F12" s="6">
        <v>126</v>
      </c>
      <c r="G12" s="3">
        <f>H12/I12</f>
        <v>798.08132147395168</v>
      </c>
      <c r="H12" s="3">
        <v>125618</v>
      </c>
      <c r="I12" s="6">
        <v>157.4</v>
      </c>
      <c r="J12" s="3">
        <f>K12/L12</f>
        <v>944.61538461538464</v>
      </c>
      <c r="K12" s="3">
        <v>55260</v>
      </c>
      <c r="L12" s="6">
        <v>58.5</v>
      </c>
      <c r="M12" s="3">
        <f>N12/O12</f>
        <v>858.29307568438003</v>
      </c>
      <c r="N12" s="3">
        <v>106600</v>
      </c>
      <c r="O12" s="6">
        <v>124.2</v>
      </c>
      <c r="P12" s="3">
        <f>Q12/R12</f>
        <v>874.51417004048585</v>
      </c>
      <c r="Q12" s="3">
        <v>43201</v>
      </c>
      <c r="R12" s="6">
        <v>49.4</v>
      </c>
      <c r="S12" s="3">
        <f>T12/U12</f>
        <v>811.30402930402931</v>
      </c>
      <c r="T12" s="3">
        <v>221486</v>
      </c>
      <c r="U12" s="6">
        <v>273</v>
      </c>
      <c r="V12" s="3">
        <f>W12/X12</f>
        <v>824.51748251748256</v>
      </c>
      <c r="W12" s="3">
        <v>117906</v>
      </c>
      <c r="X12" s="6">
        <v>143</v>
      </c>
      <c r="Y12" s="3">
        <f>Z12/AA12</f>
        <v>759.53821656050957</v>
      </c>
      <c r="Z12" s="3">
        <v>47699</v>
      </c>
      <c r="AA12" s="6">
        <v>62.8</v>
      </c>
      <c r="AB12" s="3">
        <f>AC12/AD12</f>
        <v>911.83823529411768</v>
      </c>
      <c r="AC12" s="3">
        <v>24802</v>
      </c>
      <c r="AD12" s="6">
        <v>27.2</v>
      </c>
      <c r="AE12" s="3">
        <f>AF12/AG12</f>
        <v>824.01073105298462</v>
      </c>
      <c r="AF12" s="3">
        <v>122860</v>
      </c>
      <c r="AG12" s="6">
        <v>149.1</v>
      </c>
      <c r="AH12" s="3">
        <f>AI12/AJ12</f>
        <v>760.27463651050084</v>
      </c>
      <c r="AI12" s="3">
        <v>47061</v>
      </c>
      <c r="AJ12" s="6">
        <v>61.9</v>
      </c>
      <c r="AK12" s="3">
        <f>AL12/AM12</f>
        <v>819.85507246376812</v>
      </c>
      <c r="AL12" s="3">
        <v>90512</v>
      </c>
      <c r="AM12" s="6">
        <v>110.4</v>
      </c>
      <c r="AN12" s="3">
        <f t="shared" si="12"/>
        <v>824.06359371509416</v>
      </c>
      <c r="AO12" s="3">
        <f t="shared" si="13"/>
        <v>1106635</v>
      </c>
      <c r="AP12" s="6">
        <f t="shared" si="14"/>
        <v>1342.9</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43</v>
      </c>
      <c r="B13" s="15"/>
      <c r="C13" s="15"/>
      <c r="D13" s="3">
        <f t="shared" ref="D13:D44" si="15">E13/F13</f>
        <v>849.62987012987014</v>
      </c>
      <c r="E13" s="3">
        <v>2616860</v>
      </c>
      <c r="F13" s="6">
        <v>3080</v>
      </c>
      <c r="G13" s="3" t="e">
        <f t="shared" ref="G13:G44" si="16">H13/I13</f>
        <v>#DIV/0!</v>
      </c>
      <c r="H13" s="3">
        <v>0</v>
      </c>
      <c r="I13" s="6">
        <v>0</v>
      </c>
      <c r="J13" s="3" t="e">
        <f t="shared" ref="J13:J44" si="17">K13/L13</f>
        <v>#DIV/0!</v>
      </c>
      <c r="K13" s="3">
        <v>0</v>
      </c>
      <c r="L13" s="6">
        <v>0</v>
      </c>
      <c r="M13" s="3">
        <f t="shared" ref="M13:M44" si="18">N13/O13</f>
        <v>1102.8661417322835</v>
      </c>
      <c r="N13" s="3">
        <v>70032</v>
      </c>
      <c r="O13" s="6">
        <v>63.5</v>
      </c>
      <c r="P13" s="3" t="e">
        <f t="shared" ref="P13:P44" si="19">Q13/R13</f>
        <v>#DIV/0!</v>
      </c>
      <c r="Q13" s="3">
        <v>0</v>
      </c>
      <c r="R13" s="6">
        <v>0</v>
      </c>
      <c r="S13" s="3" t="e">
        <f t="shared" ref="S13:S44" si="20">T13/U13</f>
        <v>#DIV/0!</v>
      </c>
      <c r="T13" s="3">
        <v>0</v>
      </c>
      <c r="U13" s="6">
        <v>0</v>
      </c>
      <c r="V13" s="3" t="e">
        <f t="shared" ref="V13:V44" si="21">W13/X13</f>
        <v>#DIV/0!</v>
      </c>
      <c r="W13" s="3">
        <v>0</v>
      </c>
      <c r="X13" s="6">
        <v>0</v>
      </c>
      <c r="Y13" s="3">
        <f t="shared" ref="Y13:Y44" si="22">Z13/AA13</f>
        <v>1160.1208459214502</v>
      </c>
      <c r="Z13" s="3">
        <v>38400</v>
      </c>
      <c r="AA13" s="6">
        <v>33.1</v>
      </c>
      <c r="AB13" s="3" t="e">
        <f t="shared" ref="AB13:AB44" si="23">AC13/AD13</f>
        <v>#DIV/0!</v>
      </c>
      <c r="AC13" s="3">
        <v>0</v>
      </c>
      <c r="AD13" s="6">
        <v>0</v>
      </c>
      <c r="AE13" s="3" t="e">
        <f t="shared" ref="AE13:AE44" si="24">AF13/AG13</f>
        <v>#DIV/0!</v>
      </c>
      <c r="AF13" s="3">
        <v>0</v>
      </c>
      <c r="AG13" s="6">
        <v>0</v>
      </c>
      <c r="AH13" s="3" t="e">
        <f t="shared" ref="AH13:AH44" si="25">AI13/AJ13</f>
        <v>#DIV/0!</v>
      </c>
      <c r="AI13" s="3">
        <v>0</v>
      </c>
      <c r="AJ13" s="6">
        <v>0</v>
      </c>
      <c r="AK13" s="3">
        <f t="shared" ref="AK13:AK44" si="26">AL13/AM13</f>
        <v>1195.482815057283</v>
      </c>
      <c r="AL13" s="3">
        <v>73044</v>
      </c>
      <c r="AM13" s="6">
        <v>61.1</v>
      </c>
      <c r="AN13" s="3">
        <f t="shared" si="12"/>
        <v>864.29749513543572</v>
      </c>
      <c r="AO13" s="3">
        <f t="shared" si="13"/>
        <v>2798336</v>
      </c>
      <c r="AP13" s="6">
        <f t="shared" si="14"/>
        <v>3237.7</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46</v>
      </c>
      <c r="B14" s="15"/>
      <c r="C14" s="15"/>
      <c r="D14" s="3">
        <f t="shared" si="15"/>
        <v>1254.9342105263158</v>
      </c>
      <c r="E14" s="3">
        <v>19075</v>
      </c>
      <c r="F14" s="6">
        <v>15.2</v>
      </c>
      <c r="G14" s="3">
        <f t="shared" si="16"/>
        <v>1254.9342105263158</v>
      </c>
      <c r="H14" s="3">
        <v>19075</v>
      </c>
      <c r="I14" s="6">
        <v>15.2</v>
      </c>
      <c r="J14" s="3">
        <f t="shared" si="17"/>
        <v>829.83995427264938</v>
      </c>
      <c r="K14" s="3">
        <v>580722</v>
      </c>
      <c r="L14" s="6">
        <v>699.8</v>
      </c>
      <c r="M14" s="3" t="e">
        <f t="shared" si="18"/>
        <v>#DIV/0!</v>
      </c>
      <c r="N14" s="3">
        <v>0</v>
      </c>
      <c r="O14" s="6">
        <v>0</v>
      </c>
      <c r="P14" s="3" t="e">
        <f t="shared" si="19"/>
        <v>#DIV/0!</v>
      </c>
      <c r="Q14" s="3">
        <v>0</v>
      </c>
      <c r="R14" s="6">
        <v>0</v>
      </c>
      <c r="S14" s="3">
        <f t="shared" si="20"/>
        <v>1389.7368421052631</v>
      </c>
      <c r="T14" s="3">
        <v>21124</v>
      </c>
      <c r="U14" s="6">
        <v>15.2</v>
      </c>
      <c r="V14" s="3" t="e">
        <f t="shared" si="21"/>
        <v>#DIV/0!</v>
      </c>
      <c r="W14" s="3">
        <v>0</v>
      </c>
      <c r="X14" s="6">
        <v>0</v>
      </c>
      <c r="Y14" s="3">
        <f t="shared" si="22"/>
        <v>814.86926703814834</v>
      </c>
      <c r="Z14" s="3">
        <v>570327</v>
      </c>
      <c r="AA14" s="6">
        <v>699.9</v>
      </c>
      <c r="AB14" s="3" t="e">
        <f t="shared" si="23"/>
        <v>#DIV/0!</v>
      </c>
      <c r="AC14" s="3">
        <v>0</v>
      </c>
      <c r="AD14" s="6">
        <v>0</v>
      </c>
      <c r="AE14" s="3" t="e">
        <f t="shared" si="24"/>
        <v>#DIV/0!</v>
      </c>
      <c r="AF14" s="3">
        <v>0</v>
      </c>
      <c r="AG14" s="6">
        <v>0</v>
      </c>
      <c r="AH14" s="3" t="e">
        <f t="shared" si="25"/>
        <v>#DIV/0!</v>
      </c>
      <c r="AI14" s="3">
        <v>0</v>
      </c>
      <c r="AJ14" s="6">
        <v>0</v>
      </c>
      <c r="AK14" s="3">
        <f t="shared" si="26"/>
        <v>1225.1308900523559</v>
      </c>
      <c r="AL14" s="3">
        <v>23400</v>
      </c>
      <c r="AM14" s="6">
        <v>19.100000000000001</v>
      </c>
      <c r="AN14" s="3">
        <f t="shared" si="12"/>
        <v>842.47678229991811</v>
      </c>
      <c r="AO14" s="3">
        <f t="shared" si="13"/>
        <v>1233723</v>
      </c>
      <c r="AP14" s="6">
        <f t="shared" si="14"/>
        <v>1464.3999999999999</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59</v>
      </c>
      <c r="B15" s="15"/>
      <c r="C15" s="15"/>
      <c r="D15" s="3">
        <f t="shared" si="15"/>
        <v>2962.5</v>
      </c>
      <c r="E15" s="3">
        <v>3555</v>
      </c>
      <c r="F15" s="6">
        <v>1.2</v>
      </c>
      <c r="G15" s="3">
        <f t="shared" si="16"/>
        <v>2962.5</v>
      </c>
      <c r="H15" s="3">
        <v>3555</v>
      </c>
      <c r="I15" s="6">
        <v>1.2</v>
      </c>
      <c r="J15" s="3">
        <f t="shared" si="17"/>
        <v>2154.5454545454545</v>
      </c>
      <c r="K15" s="3">
        <v>4740</v>
      </c>
      <c r="L15" s="6">
        <v>2.2000000000000002</v>
      </c>
      <c r="M15" s="3" t="e">
        <f t="shared" si="18"/>
        <v>#DIV/0!</v>
      </c>
      <c r="N15" s="3">
        <v>0</v>
      </c>
      <c r="O15" s="6">
        <v>0</v>
      </c>
      <c r="P15" s="3" t="e">
        <f t="shared" si="19"/>
        <v>#DIV/0!</v>
      </c>
      <c r="Q15" s="3">
        <v>0</v>
      </c>
      <c r="R15" s="6">
        <v>0</v>
      </c>
      <c r="S15" s="3" t="e">
        <f t="shared" si="20"/>
        <v>#DIV/0!</v>
      </c>
      <c r="T15" s="3">
        <v>0</v>
      </c>
      <c r="U15" s="6">
        <v>0</v>
      </c>
      <c r="V15" s="3" t="e">
        <f t="shared" si="21"/>
        <v>#DIV/0!</v>
      </c>
      <c r="W15" s="3">
        <v>0</v>
      </c>
      <c r="X15" s="6">
        <v>0</v>
      </c>
      <c r="Y15" s="3" t="e">
        <f t="shared" si="22"/>
        <v>#DIV/0!</v>
      </c>
      <c r="Z15" s="3">
        <v>0</v>
      </c>
      <c r="AA15" s="6">
        <v>0</v>
      </c>
      <c r="AB15" s="3" t="e">
        <f t="shared" si="23"/>
        <v>#DIV/0!</v>
      </c>
      <c r="AC15" s="3">
        <v>0</v>
      </c>
      <c r="AD15" s="6">
        <v>0</v>
      </c>
      <c r="AE15" s="3" t="e">
        <f t="shared" si="24"/>
        <v>#DIV/0!</v>
      </c>
      <c r="AF15" s="3">
        <v>0</v>
      </c>
      <c r="AG15" s="6">
        <v>0</v>
      </c>
      <c r="AH15" s="3" t="e">
        <f t="shared" si="25"/>
        <v>#DIV/0!</v>
      </c>
      <c r="AI15" s="3">
        <v>0</v>
      </c>
      <c r="AJ15" s="6">
        <v>0</v>
      </c>
      <c r="AK15" s="3">
        <f t="shared" si="26"/>
        <v>2406.25</v>
      </c>
      <c r="AL15" s="3">
        <v>7700</v>
      </c>
      <c r="AM15" s="6">
        <v>3.2</v>
      </c>
      <c r="AN15" s="3">
        <f t="shared" si="12"/>
        <v>2506.4102564102564</v>
      </c>
      <c r="AO15" s="3">
        <f t="shared" si="13"/>
        <v>19550</v>
      </c>
      <c r="AP15" s="6">
        <f t="shared" si="14"/>
        <v>7.8</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29</v>
      </c>
      <c r="B16" s="15"/>
      <c r="C16" s="15"/>
      <c r="D16" s="3" t="e">
        <f t="shared" si="15"/>
        <v>#DIV/0!</v>
      </c>
      <c r="E16" s="3">
        <v>0</v>
      </c>
      <c r="F16" s="6">
        <v>0</v>
      </c>
      <c r="G16" s="3">
        <f t="shared" si="16"/>
        <v>2962.5</v>
      </c>
      <c r="H16" s="3">
        <v>4740</v>
      </c>
      <c r="I16" s="6">
        <v>1.6</v>
      </c>
      <c r="J16" s="3" t="e">
        <f t="shared" si="17"/>
        <v>#DIV/0!</v>
      </c>
      <c r="K16" s="3">
        <v>0</v>
      </c>
      <c r="L16" s="6">
        <v>0</v>
      </c>
      <c r="M16" s="3" t="e">
        <f t="shared" si="18"/>
        <v>#DIV/0!</v>
      </c>
      <c r="N16" s="3">
        <v>0</v>
      </c>
      <c r="O16" s="6">
        <v>0</v>
      </c>
      <c r="P16" s="3" t="e">
        <f t="shared" si="19"/>
        <v>#DIV/0!</v>
      </c>
      <c r="Q16" s="3">
        <v>0</v>
      </c>
      <c r="R16" s="6">
        <v>0</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t="e">
        <f t="shared" si="26"/>
        <v>#DIV/0!</v>
      </c>
      <c r="AL16" s="3">
        <v>0</v>
      </c>
      <c r="AM16" s="6">
        <v>0</v>
      </c>
      <c r="AN16" s="3">
        <f t="shared" si="12"/>
        <v>2962.5</v>
      </c>
      <c r="AO16" s="3">
        <f t="shared" si="13"/>
        <v>4740</v>
      </c>
      <c r="AP16" s="6">
        <f t="shared" si="14"/>
        <v>1.6</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60</v>
      </c>
      <c r="B17" s="15"/>
      <c r="C17" s="15"/>
      <c r="D17" s="3" t="e">
        <f t="shared" si="15"/>
        <v>#DIV/0!</v>
      </c>
      <c r="E17" s="3">
        <v>0</v>
      </c>
      <c r="F17" s="6">
        <v>0</v>
      </c>
      <c r="G17" s="3" t="e">
        <f t="shared" si="16"/>
        <v>#DIV/0!</v>
      </c>
      <c r="H17" s="3">
        <v>0</v>
      </c>
      <c r="I17" s="6">
        <v>0</v>
      </c>
      <c r="J17" s="3" t="e">
        <f t="shared" si="17"/>
        <v>#DIV/0!</v>
      </c>
      <c r="K17" s="3">
        <v>0</v>
      </c>
      <c r="L17" s="6">
        <v>0</v>
      </c>
      <c r="M17" s="3" t="e">
        <f t="shared" si="18"/>
        <v>#DIV/0!</v>
      </c>
      <c r="N17" s="3">
        <v>0</v>
      </c>
      <c r="O17" s="6">
        <v>0</v>
      </c>
      <c r="P17" s="3">
        <f t="shared" si="19"/>
        <v>744.40923093336175</v>
      </c>
      <c r="Q17" s="3">
        <v>11164203</v>
      </c>
      <c r="R17" s="6">
        <v>14997.4</v>
      </c>
      <c r="S17" s="3" t="e">
        <f t="shared" si="20"/>
        <v>#DIV/0!</v>
      </c>
      <c r="T17" s="3">
        <v>0</v>
      </c>
      <c r="U17" s="6">
        <v>0</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t="e">
        <f t="shared" si="25"/>
        <v>#DIV/0!</v>
      </c>
      <c r="AI17" s="3">
        <v>0</v>
      </c>
      <c r="AJ17" s="6">
        <v>0</v>
      </c>
      <c r="AK17" s="3" t="e">
        <f t="shared" si="26"/>
        <v>#DIV/0!</v>
      </c>
      <c r="AL17" s="3">
        <v>0</v>
      </c>
      <c r="AM17" s="6">
        <v>0</v>
      </c>
      <c r="AN17" s="3">
        <f t="shared" si="12"/>
        <v>744.40923093336175</v>
      </c>
      <c r="AO17" s="3">
        <f t="shared" si="13"/>
        <v>11164203</v>
      </c>
      <c r="AP17" s="6">
        <f t="shared" si="14"/>
        <v>14997.4</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19</v>
      </c>
      <c r="B18" s="15"/>
      <c r="C18" s="15"/>
      <c r="D18" s="3">
        <f t="shared" si="15"/>
        <v>2400</v>
      </c>
      <c r="E18" s="3">
        <v>2640</v>
      </c>
      <c r="F18" s="6">
        <v>1.1000000000000001</v>
      </c>
      <c r="G18" s="3">
        <f t="shared" si="16"/>
        <v>1298.7878787878788</v>
      </c>
      <c r="H18" s="3">
        <v>21430</v>
      </c>
      <c r="I18" s="6">
        <v>16.5</v>
      </c>
      <c r="J18" s="3" t="e">
        <f t="shared" si="17"/>
        <v>#DIV/0!</v>
      </c>
      <c r="K18" s="3">
        <v>0</v>
      </c>
      <c r="L18" s="6">
        <v>0</v>
      </c>
      <c r="M18" s="3" t="e">
        <f t="shared" si="18"/>
        <v>#DIV/0!</v>
      </c>
      <c r="N18" s="3">
        <v>0</v>
      </c>
      <c r="O18" s="6">
        <v>0</v>
      </c>
      <c r="P18" s="3" t="e">
        <f t="shared" si="19"/>
        <v>#DIV/0!</v>
      </c>
      <c r="Q18" s="3">
        <v>0</v>
      </c>
      <c r="R18" s="6">
        <v>0</v>
      </c>
      <c r="S18" s="3" t="e">
        <f t="shared" si="20"/>
        <v>#DIV/0!</v>
      </c>
      <c r="T18" s="3">
        <v>0</v>
      </c>
      <c r="U18" s="6">
        <v>0</v>
      </c>
      <c r="V18" s="3" t="e">
        <f t="shared" si="21"/>
        <v>#DIV/0!</v>
      </c>
      <c r="W18" s="3">
        <v>0</v>
      </c>
      <c r="X18" s="6">
        <v>0</v>
      </c>
      <c r="Y18" s="3">
        <f t="shared" si="22"/>
        <v>1388.939393939394</v>
      </c>
      <c r="Z18" s="3">
        <v>45835</v>
      </c>
      <c r="AA18" s="6">
        <v>33</v>
      </c>
      <c r="AB18" s="3">
        <f t="shared" si="23"/>
        <v>1568.8888888888889</v>
      </c>
      <c r="AC18" s="3">
        <v>29652</v>
      </c>
      <c r="AD18" s="6">
        <v>18.899999999999999</v>
      </c>
      <c r="AE18" s="3">
        <f t="shared" si="24"/>
        <v>1486.7052023121387</v>
      </c>
      <c r="AF18" s="3">
        <v>51440</v>
      </c>
      <c r="AG18" s="6">
        <v>34.6</v>
      </c>
      <c r="AH18" s="3">
        <f t="shared" si="25"/>
        <v>1684.25</v>
      </c>
      <c r="AI18" s="3">
        <v>6737</v>
      </c>
      <c r="AJ18" s="6">
        <v>4</v>
      </c>
      <c r="AK18" s="3" t="e">
        <f t="shared" si="26"/>
        <v>#DIV/0!</v>
      </c>
      <c r="AL18" s="3">
        <v>0</v>
      </c>
      <c r="AM18" s="6">
        <v>0</v>
      </c>
      <c r="AN18" s="3">
        <f t="shared" si="12"/>
        <v>1459.1489361702129</v>
      </c>
      <c r="AO18" s="3">
        <f t="shared" si="13"/>
        <v>157734</v>
      </c>
      <c r="AP18" s="6">
        <f t="shared" si="14"/>
        <v>108.1</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61</v>
      </c>
      <c r="B19" s="15"/>
      <c r="C19" s="15"/>
      <c r="D19" s="3" t="e">
        <f t="shared" si="15"/>
        <v>#DIV/0!</v>
      </c>
      <c r="E19" s="3">
        <v>0</v>
      </c>
      <c r="F19" s="6">
        <v>0</v>
      </c>
      <c r="G19" s="3" t="e">
        <f t="shared" si="16"/>
        <v>#DIV/0!</v>
      </c>
      <c r="H19" s="3">
        <v>0</v>
      </c>
      <c r="I19" s="6">
        <v>0</v>
      </c>
      <c r="J19" s="3" t="e">
        <f t="shared" si="17"/>
        <v>#DIV/0!</v>
      </c>
      <c r="K19" s="3">
        <v>0</v>
      </c>
      <c r="L19" s="6">
        <v>0</v>
      </c>
      <c r="M19" s="3" t="e">
        <f t="shared" si="18"/>
        <v>#DIV/0!</v>
      </c>
      <c r="N19" s="3">
        <v>0</v>
      </c>
      <c r="O19" s="6">
        <v>0</v>
      </c>
      <c r="P19" s="3">
        <f t="shared" si="19"/>
        <v>1367.2839506172841</v>
      </c>
      <c r="Q19" s="3">
        <v>22150</v>
      </c>
      <c r="R19" s="6">
        <v>16.2</v>
      </c>
      <c r="S19" s="3" t="e">
        <f t="shared" si="20"/>
        <v>#DIV/0!</v>
      </c>
      <c r="T19" s="3">
        <v>0</v>
      </c>
      <c r="U19" s="6">
        <v>0</v>
      </c>
      <c r="V19" s="3" t="e">
        <f t="shared" si="21"/>
        <v>#DIV/0!</v>
      </c>
      <c r="W19" s="3">
        <v>0</v>
      </c>
      <c r="X19" s="6">
        <v>0</v>
      </c>
      <c r="Y19" s="3" t="e">
        <f t="shared" si="22"/>
        <v>#DIV/0!</v>
      </c>
      <c r="Z19" s="3">
        <v>0</v>
      </c>
      <c r="AA19" s="6">
        <v>0</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1367.2839506172841</v>
      </c>
      <c r="AO19" s="3">
        <f t="shared" si="13"/>
        <v>22150</v>
      </c>
      <c r="AP19" s="6">
        <f t="shared" si="14"/>
        <v>16.2</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30</v>
      </c>
      <c r="B20" s="15"/>
      <c r="C20" s="15"/>
      <c r="D20" s="3" t="e">
        <f t="shared" si="15"/>
        <v>#DIV/0!</v>
      </c>
      <c r="E20" s="3">
        <v>0</v>
      </c>
      <c r="F20" s="6">
        <v>0</v>
      </c>
      <c r="G20" s="3" t="e">
        <f t="shared" si="16"/>
        <v>#DIV/0!</v>
      </c>
      <c r="H20" s="3">
        <v>0</v>
      </c>
      <c r="I20" s="6">
        <v>0</v>
      </c>
      <c r="J20" s="3" t="e">
        <f t="shared" si="17"/>
        <v>#DIV/0!</v>
      </c>
      <c r="K20" s="3">
        <v>0</v>
      </c>
      <c r="L20" s="6">
        <v>0</v>
      </c>
      <c r="M20" s="3">
        <f t="shared" si="18"/>
        <v>1150.5263157894738</v>
      </c>
      <c r="N20" s="3">
        <v>6558</v>
      </c>
      <c r="O20" s="6">
        <v>5.7</v>
      </c>
      <c r="P20" s="3" t="e">
        <f t="shared" si="19"/>
        <v>#DIV/0!</v>
      </c>
      <c r="Q20" s="3">
        <v>0</v>
      </c>
      <c r="R20" s="6">
        <v>0</v>
      </c>
      <c r="S20" s="3" t="e">
        <f t="shared" si="20"/>
        <v>#DIV/0!</v>
      </c>
      <c r="T20" s="3">
        <v>0</v>
      </c>
      <c r="U20" s="6">
        <v>0</v>
      </c>
      <c r="V20" s="3" t="e">
        <f t="shared" si="21"/>
        <v>#DIV/0!</v>
      </c>
      <c r="W20" s="3">
        <v>0</v>
      </c>
      <c r="X20" s="6">
        <v>0</v>
      </c>
      <c r="Y20" s="3" t="e">
        <f t="shared" si="22"/>
        <v>#DIV/0!</v>
      </c>
      <c r="Z20" s="3">
        <v>0</v>
      </c>
      <c r="AA20" s="6">
        <v>0</v>
      </c>
      <c r="AB20" s="3" t="e">
        <f t="shared" si="23"/>
        <v>#DIV/0!</v>
      </c>
      <c r="AC20" s="3">
        <v>0</v>
      </c>
      <c r="AD20" s="6">
        <v>0</v>
      </c>
      <c r="AE20" s="3" t="e">
        <f t="shared" si="24"/>
        <v>#DIV/0!</v>
      </c>
      <c r="AF20" s="3">
        <v>0</v>
      </c>
      <c r="AG20" s="6">
        <v>0</v>
      </c>
      <c r="AH20" s="3" t="e">
        <f t="shared" si="25"/>
        <v>#DIV/0!</v>
      </c>
      <c r="AI20" s="3">
        <v>0</v>
      </c>
      <c r="AJ20" s="6">
        <v>0</v>
      </c>
      <c r="AK20" s="3" t="e">
        <f t="shared" si="26"/>
        <v>#DIV/0!</v>
      </c>
      <c r="AL20" s="3">
        <v>0</v>
      </c>
      <c r="AM20" s="6">
        <v>0</v>
      </c>
      <c r="AN20" s="3">
        <f t="shared" si="12"/>
        <v>1150.5263157894738</v>
      </c>
      <c r="AO20" s="3">
        <f t="shared" si="13"/>
        <v>6558</v>
      </c>
      <c r="AP20" s="6">
        <f t="shared" si="14"/>
        <v>5.7</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31</v>
      </c>
      <c r="B21" s="15"/>
      <c r="C21" s="15"/>
      <c r="D21" s="3">
        <f t="shared" si="15"/>
        <v>1243.0939226519336</v>
      </c>
      <c r="E21" s="3">
        <v>22500</v>
      </c>
      <c r="F21" s="6">
        <v>18.100000000000001</v>
      </c>
      <c r="G21" s="3" t="e">
        <f t="shared" si="16"/>
        <v>#DIV/0!</v>
      </c>
      <c r="H21" s="3">
        <v>0</v>
      </c>
      <c r="I21" s="6">
        <v>0</v>
      </c>
      <c r="J21" s="3" t="e">
        <f t="shared" si="17"/>
        <v>#DIV/0!</v>
      </c>
      <c r="K21" s="3">
        <v>0</v>
      </c>
      <c r="L21" s="6">
        <v>0</v>
      </c>
      <c r="M21" s="3" t="e">
        <f t="shared" si="18"/>
        <v>#DIV/0!</v>
      </c>
      <c r="N21" s="3">
        <v>0</v>
      </c>
      <c r="O21" s="6">
        <v>0</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t="e">
        <f t="shared" si="23"/>
        <v>#DIV/0!</v>
      </c>
      <c r="AC21" s="3">
        <v>0</v>
      </c>
      <c r="AD21" s="6">
        <v>0</v>
      </c>
      <c r="AE21" s="3" t="e">
        <f t="shared" si="24"/>
        <v>#DIV/0!</v>
      </c>
      <c r="AF21" s="3">
        <v>0</v>
      </c>
      <c r="AG21" s="6">
        <v>0</v>
      </c>
      <c r="AH21" s="3" t="e">
        <f t="shared" si="25"/>
        <v>#DIV/0!</v>
      </c>
      <c r="AI21" s="3">
        <v>0</v>
      </c>
      <c r="AJ21" s="6">
        <v>0</v>
      </c>
      <c r="AK21" s="3" t="e">
        <f t="shared" si="26"/>
        <v>#DIV/0!</v>
      </c>
      <c r="AL21" s="3">
        <v>0</v>
      </c>
      <c r="AM21" s="6">
        <v>0</v>
      </c>
      <c r="AN21" s="3">
        <f t="shared" si="12"/>
        <v>1243.0939226519336</v>
      </c>
      <c r="AO21" s="3">
        <f t="shared" si="13"/>
        <v>22500</v>
      </c>
      <c r="AP21" s="6">
        <f t="shared" si="14"/>
        <v>18.100000000000001</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32</v>
      </c>
      <c r="B22" s="15"/>
      <c r="C22" s="15"/>
      <c r="D22" s="3" t="e">
        <f t="shared" si="15"/>
        <v>#DIV/0!</v>
      </c>
      <c r="E22" s="3">
        <v>0</v>
      </c>
      <c r="F22" s="6">
        <v>0</v>
      </c>
      <c r="G22" s="3" t="e">
        <f t="shared" si="16"/>
        <v>#DIV/0!</v>
      </c>
      <c r="H22" s="3">
        <v>0</v>
      </c>
      <c r="I22" s="6">
        <v>0</v>
      </c>
      <c r="J22" s="3">
        <f t="shared" si="17"/>
        <v>759.55947136563884</v>
      </c>
      <c r="K22" s="3">
        <v>34484</v>
      </c>
      <c r="L22" s="6">
        <v>45.4</v>
      </c>
      <c r="M22" s="3" t="e">
        <f t="shared" si="18"/>
        <v>#DIV/0!</v>
      </c>
      <c r="N22" s="3">
        <v>0</v>
      </c>
      <c r="O22" s="6">
        <v>0</v>
      </c>
      <c r="P22" s="3">
        <f t="shared" si="19"/>
        <v>759.51020408163265</v>
      </c>
      <c r="Q22" s="3">
        <v>18608</v>
      </c>
      <c r="R22" s="6">
        <v>24.5</v>
      </c>
      <c r="S22" s="3">
        <f t="shared" si="20"/>
        <v>759.36651583710398</v>
      </c>
      <c r="T22" s="3">
        <v>16782</v>
      </c>
      <c r="U22" s="6">
        <v>22.1</v>
      </c>
      <c r="V22" s="3" t="e">
        <f t="shared" si="21"/>
        <v>#DIV/0!</v>
      </c>
      <c r="W22" s="3">
        <v>0</v>
      </c>
      <c r="X22" s="6">
        <v>0</v>
      </c>
      <c r="Y22" s="3" t="e">
        <f t="shared" si="22"/>
        <v>#DIV/0!</v>
      </c>
      <c r="Z22" s="3">
        <v>0</v>
      </c>
      <c r="AA22" s="6">
        <v>0</v>
      </c>
      <c r="AB22" s="3">
        <f t="shared" si="23"/>
        <v>761.88481675392666</v>
      </c>
      <c r="AC22" s="3">
        <v>14552</v>
      </c>
      <c r="AD22" s="6">
        <v>19.100000000000001</v>
      </c>
      <c r="AE22" s="3" t="e">
        <f t="shared" si="24"/>
        <v>#DIV/0!</v>
      </c>
      <c r="AF22" s="3">
        <v>0</v>
      </c>
      <c r="AG22" s="6">
        <v>0</v>
      </c>
      <c r="AH22" s="3" t="e">
        <f t="shared" si="25"/>
        <v>#DIV/0!</v>
      </c>
      <c r="AI22" s="3">
        <v>0</v>
      </c>
      <c r="AJ22" s="6">
        <v>0</v>
      </c>
      <c r="AK22" s="3" t="e">
        <f t="shared" si="26"/>
        <v>#DIV/0!</v>
      </c>
      <c r="AL22" s="3">
        <v>0</v>
      </c>
      <c r="AM22" s="6">
        <v>0</v>
      </c>
      <c r="AN22" s="3">
        <f t="shared" si="12"/>
        <v>759.90999099909993</v>
      </c>
      <c r="AO22" s="3">
        <f t="shared" si="13"/>
        <v>84426</v>
      </c>
      <c r="AP22" s="6">
        <f t="shared" si="14"/>
        <v>111.1</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33</v>
      </c>
      <c r="B23" s="15"/>
      <c r="C23" s="15"/>
      <c r="D23" s="3">
        <f t="shared" si="15"/>
        <v>2100</v>
      </c>
      <c r="E23" s="3">
        <v>6720</v>
      </c>
      <c r="F23" s="6">
        <v>3.2</v>
      </c>
      <c r="G23" s="3">
        <f t="shared" si="16"/>
        <v>788.15</v>
      </c>
      <c r="H23" s="3">
        <v>23486870</v>
      </c>
      <c r="I23" s="6">
        <v>29800</v>
      </c>
      <c r="J23" s="3" t="e">
        <f t="shared" si="17"/>
        <v>#DIV/0!</v>
      </c>
      <c r="K23" s="3">
        <v>0</v>
      </c>
      <c r="L23" s="6">
        <v>0</v>
      </c>
      <c r="M23" s="3" t="e">
        <f t="shared" si="18"/>
        <v>#DIV/0!</v>
      </c>
      <c r="N23" s="3">
        <v>0</v>
      </c>
      <c r="O23" s="6">
        <v>0</v>
      </c>
      <c r="P23" s="3">
        <f t="shared" si="19"/>
        <v>1723.4146341463415</v>
      </c>
      <c r="Q23" s="3">
        <v>7066</v>
      </c>
      <c r="R23" s="6">
        <v>4.0999999999999996</v>
      </c>
      <c r="S23" s="3">
        <f t="shared" si="20"/>
        <v>972.5</v>
      </c>
      <c r="T23" s="3">
        <v>7391</v>
      </c>
      <c r="U23" s="6">
        <v>7.6</v>
      </c>
      <c r="V23" s="3" t="e">
        <f t="shared" si="21"/>
        <v>#DIV/0!</v>
      </c>
      <c r="W23" s="3">
        <v>0</v>
      </c>
      <c r="X23" s="6">
        <v>0</v>
      </c>
      <c r="Y23" s="3">
        <f t="shared" si="22"/>
        <v>2100</v>
      </c>
      <c r="Z23" s="3">
        <v>4620</v>
      </c>
      <c r="AA23" s="6">
        <v>2.2000000000000002</v>
      </c>
      <c r="AB23" s="3" t="e">
        <f t="shared" si="23"/>
        <v>#DIV/0!</v>
      </c>
      <c r="AC23" s="3">
        <v>0</v>
      </c>
      <c r="AD23" s="6">
        <v>0</v>
      </c>
      <c r="AE23" s="3">
        <f t="shared" si="24"/>
        <v>2887.5</v>
      </c>
      <c r="AF23" s="3">
        <v>6930</v>
      </c>
      <c r="AG23" s="6">
        <v>2.4</v>
      </c>
      <c r="AH23" s="3" t="e">
        <f t="shared" si="25"/>
        <v>#DIV/0!</v>
      </c>
      <c r="AI23" s="3">
        <v>0</v>
      </c>
      <c r="AJ23" s="6">
        <v>0</v>
      </c>
      <c r="AK23" s="3" t="e">
        <f t="shared" si="26"/>
        <v>#DIV/0!</v>
      </c>
      <c r="AL23" s="3">
        <v>0</v>
      </c>
      <c r="AM23" s="6">
        <v>0</v>
      </c>
      <c r="AN23" s="3">
        <f t="shared" si="12"/>
        <v>788.7321048307316</v>
      </c>
      <c r="AO23" s="3">
        <f t="shared" si="13"/>
        <v>23519597</v>
      </c>
      <c r="AP23" s="6">
        <f t="shared" si="14"/>
        <v>29819.5</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18</v>
      </c>
      <c r="B24" s="15"/>
      <c r="C24" s="15"/>
      <c r="D24" s="3" t="e">
        <f t="shared" si="15"/>
        <v>#DIV/0!</v>
      </c>
      <c r="E24" s="3">
        <v>0</v>
      </c>
      <c r="F24" s="6">
        <v>0</v>
      </c>
      <c r="G24" s="3" t="e">
        <f t="shared" si="16"/>
        <v>#DIV/0!</v>
      </c>
      <c r="H24" s="3">
        <v>0</v>
      </c>
      <c r="I24" s="6">
        <v>0</v>
      </c>
      <c r="J24" s="3">
        <f t="shared" si="17"/>
        <v>850.13250000000005</v>
      </c>
      <c r="K24" s="3">
        <v>1700265</v>
      </c>
      <c r="L24" s="6">
        <v>2000</v>
      </c>
      <c r="M24" s="3">
        <f t="shared" si="18"/>
        <v>753.51167558377915</v>
      </c>
      <c r="N24" s="3">
        <v>1506948</v>
      </c>
      <c r="O24" s="6">
        <v>1999.9</v>
      </c>
      <c r="P24" s="3" t="e">
        <f t="shared" si="19"/>
        <v>#DIV/0!</v>
      </c>
      <c r="Q24" s="3">
        <v>0</v>
      </c>
      <c r="R24" s="6">
        <v>0</v>
      </c>
      <c r="S24" s="3" t="e">
        <f t="shared" si="20"/>
        <v>#DIV/0!</v>
      </c>
      <c r="T24" s="3">
        <v>0</v>
      </c>
      <c r="U24" s="6">
        <v>0</v>
      </c>
      <c r="V24" s="3" t="e">
        <f t="shared" si="21"/>
        <v>#DIV/0!</v>
      </c>
      <c r="W24" s="3">
        <v>0</v>
      </c>
      <c r="X24" s="6">
        <v>0</v>
      </c>
      <c r="Y24" s="3" t="e">
        <f t="shared" si="22"/>
        <v>#DIV/0!</v>
      </c>
      <c r="Z24" s="3">
        <v>0</v>
      </c>
      <c r="AA24" s="6">
        <v>0</v>
      </c>
      <c r="AB24" s="3" t="e">
        <f t="shared" si="23"/>
        <v>#DIV/0!</v>
      </c>
      <c r="AC24" s="3">
        <v>0</v>
      </c>
      <c r="AD24" s="6">
        <v>0</v>
      </c>
      <c r="AE24" s="3" t="e">
        <f t="shared" si="24"/>
        <v>#DIV/0!</v>
      </c>
      <c r="AF24" s="3">
        <v>0</v>
      </c>
      <c r="AG24" s="6">
        <v>0</v>
      </c>
      <c r="AH24" s="3" t="e">
        <f t="shared" si="25"/>
        <v>#DIV/0!</v>
      </c>
      <c r="AI24" s="3">
        <v>0</v>
      </c>
      <c r="AJ24" s="6">
        <v>0</v>
      </c>
      <c r="AK24" s="3" t="e">
        <f t="shared" si="26"/>
        <v>#DIV/0!</v>
      </c>
      <c r="AL24" s="3">
        <v>0</v>
      </c>
      <c r="AM24" s="6">
        <v>0</v>
      </c>
      <c r="AN24" s="3">
        <f t="shared" si="12"/>
        <v>801.82329558238951</v>
      </c>
      <c r="AO24" s="3">
        <f t="shared" si="13"/>
        <v>3207213</v>
      </c>
      <c r="AP24" s="6">
        <f t="shared" si="14"/>
        <v>3999.9</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34</v>
      </c>
      <c r="B25" s="15"/>
      <c r="C25" s="15"/>
      <c r="D25" s="3">
        <f t="shared" si="15"/>
        <v>2171.25</v>
      </c>
      <c r="E25" s="3">
        <v>3474</v>
      </c>
      <c r="F25" s="6">
        <v>1.6</v>
      </c>
      <c r="G25" s="3" t="e">
        <f t="shared" si="16"/>
        <v>#DIV/0!</v>
      </c>
      <c r="H25" s="3">
        <v>0</v>
      </c>
      <c r="I25" s="6">
        <v>0</v>
      </c>
      <c r="J25" s="3" t="e">
        <f t="shared" si="17"/>
        <v>#DIV/0!</v>
      </c>
      <c r="K25" s="3">
        <v>0</v>
      </c>
      <c r="L25" s="6">
        <v>0</v>
      </c>
      <c r="M25" s="3" t="e">
        <f t="shared" si="18"/>
        <v>#DIV/0!</v>
      </c>
      <c r="N25" s="3">
        <v>0</v>
      </c>
      <c r="O25" s="6">
        <v>0</v>
      </c>
      <c r="P25" s="3" t="e">
        <f t="shared" si="19"/>
        <v>#DIV/0!</v>
      </c>
      <c r="Q25" s="3">
        <v>0</v>
      </c>
      <c r="R25" s="6">
        <v>0</v>
      </c>
      <c r="S25" s="3" t="e">
        <f t="shared" si="20"/>
        <v>#DIV/0!</v>
      </c>
      <c r="T25" s="3">
        <v>0</v>
      </c>
      <c r="U25" s="6">
        <v>0</v>
      </c>
      <c r="V25" s="3" t="e">
        <f t="shared" si="21"/>
        <v>#DIV/0!</v>
      </c>
      <c r="W25" s="3">
        <v>0</v>
      </c>
      <c r="X25" s="6">
        <v>0</v>
      </c>
      <c r="Y25" s="3">
        <f t="shared" si="22"/>
        <v>2171</v>
      </c>
      <c r="Z25" s="3">
        <v>4342</v>
      </c>
      <c r="AA25" s="6">
        <v>2</v>
      </c>
      <c r="AB25" s="3" t="e">
        <f t="shared" si="23"/>
        <v>#DIV/0!</v>
      </c>
      <c r="AC25" s="3">
        <v>0</v>
      </c>
      <c r="AD25" s="6">
        <v>0</v>
      </c>
      <c r="AE25" s="3" t="e">
        <f t="shared" si="24"/>
        <v>#DIV/0!</v>
      </c>
      <c r="AF25" s="3">
        <v>0</v>
      </c>
      <c r="AG25" s="6">
        <v>0</v>
      </c>
      <c r="AH25" s="3">
        <f t="shared" si="25"/>
        <v>2171.5</v>
      </c>
      <c r="AI25" s="3">
        <v>4343</v>
      </c>
      <c r="AJ25" s="6">
        <v>2</v>
      </c>
      <c r="AK25" s="3" t="e">
        <f t="shared" si="26"/>
        <v>#DIV/0!</v>
      </c>
      <c r="AL25" s="3">
        <v>0</v>
      </c>
      <c r="AM25" s="6">
        <v>0</v>
      </c>
      <c r="AN25" s="3">
        <f t="shared" si="12"/>
        <v>2171.25</v>
      </c>
      <c r="AO25" s="3">
        <f t="shared" si="13"/>
        <v>12159</v>
      </c>
      <c r="AP25" s="6">
        <f t="shared" si="14"/>
        <v>5.6</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62</v>
      </c>
      <c r="B26" s="15"/>
      <c r="C26" s="15"/>
      <c r="D26" s="3" t="e">
        <f t="shared" si="15"/>
        <v>#DIV/0!</v>
      </c>
      <c r="E26" s="3">
        <v>0</v>
      </c>
      <c r="F26" s="6">
        <v>0</v>
      </c>
      <c r="G26" s="3" t="e">
        <f t="shared" si="16"/>
        <v>#DIV/0!</v>
      </c>
      <c r="H26" s="3">
        <v>0</v>
      </c>
      <c r="I26" s="6">
        <v>0</v>
      </c>
      <c r="J26" s="3">
        <f t="shared" si="17"/>
        <v>2154.5454545454545</v>
      </c>
      <c r="K26" s="3">
        <v>7110</v>
      </c>
      <c r="L26" s="6">
        <v>3.3</v>
      </c>
      <c r="M26" s="3" t="e">
        <f t="shared" si="18"/>
        <v>#DIV/0!</v>
      </c>
      <c r="N26" s="3">
        <v>0</v>
      </c>
      <c r="O26" s="6">
        <v>0</v>
      </c>
      <c r="P26" s="3">
        <f t="shared" si="19"/>
        <v>1605.0738916256157</v>
      </c>
      <c r="Q26" s="3">
        <v>32583</v>
      </c>
      <c r="R26" s="6">
        <v>20.3</v>
      </c>
      <c r="S26" s="3">
        <f t="shared" si="20"/>
        <v>2181.1111111111109</v>
      </c>
      <c r="T26" s="3">
        <v>5889</v>
      </c>
      <c r="U26" s="6">
        <v>2.7</v>
      </c>
      <c r="V26" s="3" t="e">
        <f t="shared" si="21"/>
        <v>#DIV/0!</v>
      </c>
      <c r="W26" s="3">
        <v>0</v>
      </c>
      <c r="X26" s="6">
        <v>0</v>
      </c>
      <c r="Y26" s="3" t="e">
        <f t="shared" si="22"/>
        <v>#DIV/0!</v>
      </c>
      <c r="Z26" s="3">
        <v>0</v>
      </c>
      <c r="AA26" s="6">
        <v>0</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1733.1558935361215</v>
      </c>
      <c r="AO26" s="3">
        <f t="shared" si="13"/>
        <v>45582</v>
      </c>
      <c r="AP26" s="6">
        <f t="shared" si="14"/>
        <v>26.3</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63</v>
      </c>
      <c r="B27" s="15"/>
      <c r="C27" s="15"/>
      <c r="D27" s="3" t="e">
        <f t="shared" si="15"/>
        <v>#DIV/0!</v>
      </c>
      <c r="E27" s="3">
        <v>0</v>
      </c>
      <c r="F27" s="6">
        <v>0</v>
      </c>
      <c r="G27" s="3" t="e">
        <f t="shared" si="16"/>
        <v>#DIV/0!</v>
      </c>
      <c r="H27" s="3">
        <v>0</v>
      </c>
      <c r="I27" s="6">
        <v>0</v>
      </c>
      <c r="J27" s="3" t="e">
        <f t="shared" si="17"/>
        <v>#DIV/0!</v>
      </c>
      <c r="K27" s="3">
        <v>0</v>
      </c>
      <c r="L27" s="6">
        <v>0</v>
      </c>
      <c r="M27" s="3" t="e">
        <f t="shared" si="18"/>
        <v>#DIV/0!</v>
      </c>
      <c r="N27" s="3">
        <v>0</v>
      </c>
      <c r="O27" s="6">
        <v>0</v>
      </c>
      <c r="P27" s="3" t="e">
        <f t="shared" si="19"/>
        <v>#DIV/0!</v>
      </c>
      <c r="Q27" s="3">
        <v>0</v>
      </c>
      <c r="R27" s="6">
        <v>0</v>
      </c>
      <c r="S27" s="3" t="e">
        <f t="shared" si="20"/>
        <v>#DIV/0!</v>
      </c>
      <c r="T27" s="3">
        <v>0</v>
      </c>
      <c r="U27" s="6">
        <v>0</v>
      </c>
      <c r="V27" s="3">
        <f t="shared" si="21"/>
        <v>1043.75</v>
      </c>
      <c r="W27" s="3">
        <v>5010</v>
      </c>
      <c r="X27" s="6">
        <v>4.8</v>
      </c>
      <c r="Y27" s="3" t="e">
        <f t="shared" si="22"/>
        <v>#DIV/0!</v>
      </c>
      <c r="Z27" s="3">
        <v>0</v>
      </c>
      <c r="AA27" s="6">
        <v>0</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1043.75</v>
      </c>
      <c r="AO27" s="3">
        <f t="shared" si="13"/>
        <v>5010</v>
      </c>
      <c r="AP27" s="6">
        <f t="shared" si="14"/>
        <v>4.8</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64</v>
      </c>
      <c r="B28" s="15"/>
      <c r="C28" s="15"/>
      <c r="D28" s="3" t="e">
        <f t="shared" si="15"/>
        <v>#DIV/0!</v>
      </c>
      <c r="E28" s="3">
        <v>0</v>
      </c>
      <c r="F28" s="6">
        <v>0</v>
      </c>
      <c r="G28" s="3" t="e">
        <f t="shared" si="16"/>
        <v>#DIV/0!</v>
      </c>
      <c r="H28" s="3">
        <v>0</v>
      </c>
      <c r="I28" s="6">
        <v>0</v>
      </c>
      <c r="J28" s="3" t="e">
        <f t="shared" si="17"/>
        <v>#DIV/0!</v>
      </c>
      <c r="K28" s="3">
        <v>0</v>
      </c>
      <c r="L28" s="6">
        <v>0</v>
      </c>
      <c r="M28" s="3">
        <f t="shared" si="18"/>
        <v>2172.5</v>
      </c>
      <c r="N28" s="3">
        <v>4345</v>
      </c>
      <c r="O28" s="6">
        <v>2</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t="e">
        <f t="shared" si="25"/>
        <v>#DIV/0!</v>
      </c>
      <c r="AI28" s="3">
        <v>0</v>
      </c>
      <c r="AJ28" s="6">
        <v>0</v>
      </c>
      <c r="AK28" s="3" t="e">
        <f t="shared" si="26"/>
        <v>#DIV/0!</v>
      </c>
      <c r="AL28" s="3">
        <v>0</v>
      </c>
      <c r="AM28" s="6">
        <v>0</v>
      </c>
      <c r="AN28" s="3">
        <f t="shared" si="12"/>
        <v>2172.5</v>
      </c>
      <c r="AO28" s="3">
        <f t="shared" si="13"/>
        <v>4345</v>
      </c>
      <c r="AP28" s="6">
        <f t="shared" si="14"/>
        <v>2</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37</v>
      </c>
      <c r="B29" s="15"/>
      <c r="C29" s="15"/>
      <c r="D29" s="3" t="e">
        <f t="shared" si="15"/>
        <v>#DIV/0!</v>
      </c>
      <c r="E29" s="3">
        <v>0</v>
      </c>
      <c r="F29" s="6">
        <v>0</v>
      </c>
      <c r="G29" s="3" t="e">
        <f t="shared" si="16"/>
        <v>#DIV/0!</v>
      </c>
      <c r="H29" s="3">
        <v>0</v>
      </c>
      <c r="I29" s="6">
        <v>0</v>
      </c>
      <c r="J29" s="3" t="e">
        <f t="shared" si="17"/>
        <v>#DIV/0!</v>
      </c>
      <c r="K29" s="3">
        <v>0</v>
      </c>
      <c r="L29" s="6">
        <v>0</v>
      </c>
      <c r="M29" s="3">
        <f t="shared" si="18"/>
        <v>1278.1538461538462</v>
      </c>
      <c r="N29" s="3">
        <v>49848</v>
      </c>
      <c r="O29" s="6">
        <v>39</v>
      </c>
      <c r="P29" s="3" t="e">
        <f t="shared" si="19"/>
        <v>#DIV/0!</v>
      </c>
      <c r="Q29" s="3">
        <v>0</v>
      </c>
      <c r="R29" s="6">
        <v>0</v>
      </c>
      <c r="S29" s="3" t="e">
        <f t="shared" si="20"/>
        <v>#DIV/0!</v>
      </c>
      <c r="T29" s="3">
        <v>0</v>
      </c>
      <c r="U29" s="6">
        <v>0</v>
      </c>
      <c r="V29" s="3">
        <f t="shared" si="21"/>
        <v>885.03987240829338</v>
      </c>
      <c r="W29" s="3">
        <v>55492</v>
      </c>
      <c r="X29" s="6">
        <v>62.7</v>
      </c>
      <c r="Y29" s="3">
        <f t="shared" si="22"/>
        <v>906.81927710843377</v>
      </c>
      <c r="Z29" s="3">
        <v>37633</v>
      </c>
      <c r="AA29" s="6">
        <v>41.5</v>
      </c>
      <c r="AB29" s="3">
        <f t="shared" si="23"/>
        <v>916.48325358851685</v>
      </c>
      <c r="AC29" s="3">
        <v>38309</v>
      </c>
      <c r="AD29" s="6">
        <v>41.8</v>
      </c>
      <c r="AE29" s="3">
        <f t="shared" si="24"/>
        <v>937.13831478537361</v>
      </c>
      <c r="AF29" s="3">
        <v>58946</v>
      </c>
      <c r="AG29" s="6">
        <v>62.9</v>
      </c>
      <c r="AH29" s="3">
        <f t="shared" si="25"/>
        <v>918.01732435033682</v>
      </c>
      <c r="AI29" s="3">
        <v>95382</v>
      </c>
      <c r="AJ29" s="6">
        <v>103.9</v>
      </c>
      <c r="AK29" s="3" t="e">
        <f t="shared" si="26"/>
        <v>#DIV/0!</v>
      </c>
      <c r="AL29" s="3">
        <v>0</v>
      </c>
      <c r="AM29" s="6">
        <v>0</v>
      </c>
      <c r="AN29" s="3">
        <f t="shared" si="12"/>
        <v>953.97953382603748</v>
      </c>
      <c r="AO29" s="3">
        <f t="shared" si="13"/>
        <v>335610</v>
      </c>
      <c r="AP29" s="6">
        <f t="shared" si="14"/>
        <v>351.8</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38</v>
      </c>
      <c r="B30" s="15"/>
      <c r="C30" s="15"/>
      <c r="D30" s="3" t="e">
        <f t="shared" si="15"/>
        <v>#DIV/0!</v>
      </c>
      <c r="E30" s="3">
        <v>0</v>
      </c>
      <c r="F30" s="6">
        <v>0</v>
      </c>
      <c r="G30" s="3" t="e">
        <f t="shared" si="16"/>
        <v>#DIV/0!</v>
      </c>
      <c r="H30" s="3">
        <v>0</v>
      </c>
      <c r="I30" s="6">
        <v>0</v>
      </c>
      <c r="J30" s="3">
        <f t="shared" si="17"/>
        <v>2890.2439024390246</v>
      </c>
      <c r="K30" s="3">
        <v>11850</v>
      </c>
      <c r="L30" s="6">
        <v>4.0999999999999996</v>
      </c>
      <c r="M30" s="3">
        <f t="shared" si="18"/>
        <v>1660.6140350877192</v>
      </c>
      <c r="N30" s="3">
        <v>18931</v>
      </c>
      <c r="O30" s="6">
        <v>11.4</v>
      </c>
      <c r="P30" s="3">
        <f t="shared" si="19"/>
        <v>2001.1764705882354</v>
      </c>
      <c r="Q30" s="3">
        <v>10206</v>
      </c>
      <c r="R30" s="6">
        <v>5.0999999999999996</v>
      </c>
      <c r="S30" s="3">
        <f t="shared" si="20"/>
        <v>1517.2321428571429</v>
      </c>
      <c r="T30" s="3">
        <v>16993</v>
      </c>
      <c r="U30" s="6">
        <v>11.2</v>
      </c>
      <c r="V30" s="3">
        <f t="shared" si="21"/>
        <v>1744.8148148148148</v>
      </c>
      <c r="W30" s="3">
        <v>4711</v>
      </c>
      <c r="X30" s="6">
        <v>2.7</v>
      </c>
      <c r="Y30" s="3">
        <f t="shared" si="22"/>
        <v>1283.3333333333333</v>
      </c>
      <c r="Z30" s="3">
        <v>5390</v>
      </c>
      <c r="AA30" s="6">
        <v>4.2</v>
      </c>
      <c r="AB30" s="3" t="e">
        <f t="shared" si="23"/>
        <v>#DIV/0!</v>
      </c>
      <c r="AC30" s="3">
        <v>0</v>
      </c>
      <c r="AD30" s="6">
        <v>0</v>
      </c>
      <c r="AE30" s="3" t="e">
        <f t="shared" si="24"/>
        <v>#DIV/0!</v>
      </c>
      <c r="AF30" s="3">
        <v>0</v>
      </c>
      <c r="AG30" s="6">
        <v>0</v>
      </c>
      <c r="AH30" s="3" t="e">
        <f t="shared" si="25"/>
        <v>#DIV/0!</v>
      </c>
      <c r="AI30" s="3">
        <v>0</v>
      </c>
      <c r="AJ30" s="6">
        <v>0</v>
      </c>
      <c r="AK30" s="3" t="e">
        <f t="shared" si="26"/>
        <v>#DIV/0!</v>
      </c>
      <c r="AL30" s="3">
        <v>0</v>
      </c>
      <c r="AM30" s="6">
        <v>0</v>
      </c>
      <c r="AN30" s="3">
        <f t="shared" si="12"/>
        <v>1759.1989664082687</v>
      </c>
      <c r="AO30" s="3">
        <f t="shared" si="13"/>
        <v>68081</v>
      </c>
      <c r="AP30" s="6">
        <f t="shared" si="14"/>
        <v>38.700000000000003</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39</v>
      </c>
      <c r="B31" s="15"/>
      <c r="C31" s="15"/>
      <c r="D31" s="3">
        <f t="shared" si="15"/>
        <v>2543.2519511707023</v>
      </c>
      <c r="E31" s="3">
        <v>1270863</v>
      </c>
      <c r="F31" s="6">
        <v>499.7</v>
      </c>
      <c r="G31" s="3" t="e">
        <f t="shared" si="16"/>
        <v>#DIV/0!</v>
      </c>
      <c r="H31" s="3">
        <v>0</v>
      </c>
      <c r="I31" s="6">
        <v>0</v>
      </c>
      <c r="J31" s="3" t="e">
        <f t="shared" si="17"/>
        <v>#DIV/0!</v>
      </c>
      <c r="K31" s="3">
        <v>0</v>
      </c>
      <c r="L31" s="6">
        <v>0</v>
      </c>
      <c r="M31" s="3">
        <f t="shared" si="18"/>
        <v>2873.2906581316265</v>
      </c>
      <c r="N31" s="3">
        <v>1436358</v>
      </c>
      <c r="O31" s="6">
        <v>499.9</v>
      </c>
      <c r="P31" s="3" t="e">
        <f t="shared" si="19"/>
        <v>#DIV/0!</v>
      </c>
      <c r="Q31" s="3">
        <v>0</v>
      </c>
      <c r="R31" s="6">
        <v>0</v>
      </c>
      <c r="S31" s="3">
        <f t="shared" si="20"/>
        <v>1194.8275862068965</v>
      </c>
      <c r="T31" s="3">
        <v>3465</v>
      </c>
      <c r="U31" s="6">
        <v>2.9</v>
      </c>
      <c r="V31" s="3">
        <f t="shared" si="21"/>
        <v>2752.0432259355616</v>
      </c>
      <c r="W31" s="3">
        <v>1375196</v>
      </c>
      <c r="X31" s="6">
        <v>499.7</v>
      </c>
      <c r="Y31" s="3" t="e">
        <f t="shared" si="22"/>
        <v>#DIV/0!</v>
      </c>
      <c r="Z31" s="3">
        <v>0</v>
      </c>
      <c r="AA31" s="6">
        <v>0</v>
      </c>
      <c r="AB31" s="3" t="e">
        <f t="shared" si="23"/>
        <v>#DIV/0!</v>
      </c>
      <c r="AC31" s="3">
        <v>0</v>
      </c>
      <c r="AD31" s="6">
        <v>0</v>
      </c>
      <c r="AE31" s="3" t="e">
        <f t="shared" si="24"/>
        <v>#DIV/0!</v>
      </c>
      <c r="AF31" s="3">
        <v>0</v>
      </c>
      <c r="AG31" s="6">
        <v>0</v>
      </c>
      <c r="AH31" s="3">
        <f t="shared" si="25"/>
        <v>2758.6868686868688</v>
      </c>
      <c r="AI31" s="3">
        <v>1365550</v>
      </c>
      <c r="AJ31" s="6">
        <v>495</v>
      </c>
      <c r="AK31" s="3" t="e">
        <f t="shared" si="26"/>
        <v>#DIV/0!</v>
      </c>
      <c r="AL31" s="3">
        <v>0</v>
      </c>
      <c r="AM31" s="6">
        <v>0</v>
      </c>
      <c r="AN31" s="3">
        <f t="shared" si="12"/>
        <v>2729.5373522932109</v>
      </c>
      <c r="AO31" s="3">
        <f t="shared" si="13"/>
        <v>5451432</v>
      </c>
      <c r="AP31" s="6">
        <f t="shared" si="14"/>
        <v>1997.1999999999998</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65</v>
      </c>
      <c r="B32" s="15"/>
      <c r="C32" s="15"/>
      <c r="D32" s="3" t="e">
        <f t="shared" si="15"/>
        <v>#DIV/0!</v>
      </c>
      <c r="E32" s="3">
        <v>0</v>
      </c>
      <c r="F32" s="6">
        <v>0</v>
      </c>
      <c r="G32" s="3" t="e">
        <f t="shared" si="16"/>
        <v>#DIV/0!</v>
      </c>
      <c r="H32" s="3">
        <v>0</v>
      </c>
      <c r="I32" s="6">
        <v>0</v>
      </c>
      <c r="J32" s="3" t="e">
        <f t="shared" si="17"/>
        <v>#DIV/0!</v>
      </c>
      <c r="K32" s="3">
        <v>0</v>
      </c>
      <c r="L32" s="6">
        <v>0</v>
      </c>
      <c r="M32" s="3">
        <f t="shared" si="18"/>
        <v>1367.3780487804879</v>
      </c>
      <c r="N32" s="3">
        <v>22425</v>
      </c>
      <c r="O32" s="6">
        <v>16.399999999999999</v>
      </c>
      <c r="P32" s="3" t="e">
        <f t="shared" si="19"/>
        <v>#DIV/0!</v>
      </c>
      <c r="Q32" s="3">
        <v>0</v>
      </c>
      <c r="R32" s="6">
        <v>0</v>
      </c>
      <c r="S32" s="3" t="e">
        <f t="shared" si="20"/>
        <v>#DIV/0!</v>
      </c>
      <c r="T32" s="3">
        <v>0</v>
      </c>
      <c r="U32" s="6">
        <v>0</v>
      </c>
      <c r="V32" s="3" t="e">
        <f t="shared" si="21"/>
        <v>#DIV/0!</v>
      </c>
      <c r="W32" s="3">
        <v>0</v>
      </c>
      <c r="X32" s="6">
        <v>0</v>
      </c>
      <c r="Y32" s="3" t="e">
        <f t="shared" si="22"/>
        <v>#DIV/0!</v>
      </c>
      <c r="Z32" s="3">
        <v>0</v>
      </c>
      <c r="AA32" s="6">
        <v>0</v>
      </c>
      <c r="AB32" s="3" t="e">
        <f t="shared" si="23"/>
        <v>#DIV/0!</v>
      </c>
      <c r="AC32" s="3">
        <v>0</v>
      </c>
      <c r="AD32" s="6">
        <v>0</v>
      </c>
      <c r="AE32" s="3" t="e">
        <f t="shared" si="24"/>
        <v>#DIV/0!</v>
      </c>
      <c r="AF32" s="3">
        <v>0</v>
      </c>
      <c r="AG32" s="6">
        <v>0</v>
      </c>
      <c r="AH32" s="3" t="e">
        <f t="shared" si="25"/>
        <v>#DIV/0!</v>
      </c>
      <c r="AI32" s="3">
        <v>0</v>
      </c>
      <c r="AJ32" s="6">
        <v>0</v>
      </c>
      <c r="AK32" s="3" t="e">
        <f t="shared" si="26"/>
        <v>#DIV/0!</v>
      </c>
      <c r="AL32" s="3">
        <v>0</v>
      </c>
      <c r="AM32" s="6">
        <v>0</v>
      </c>
      <c r="AN32" s="3">
        <f t="shared" si="12"/>
        <v>1367.3780487804879</v>
      </c>
      <c r="AO32" s="3">
        <f t="shared" si="13"/>
        <v>22425</v>
      </c>
      <c r="AP32" s="6">
        <f t="shared" si="14"/>
        <v>16.399999999999999</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40</v>
      </c>
      <c r="B33" s="15"/>
      <c r="C33" s="15"/>
      <c r="D33" s="3">
        <f t="shared" si="15"/>
        <v>788.58925726171515</v>
      </c>
      <c r="E33" s="3">
        <v>11828760</v>
      </c>
      <c r="F33" s="6">
        <v>14999.9</v>
      </c>
      <c r="G33" s="3" t="e">
        <f t="shared" si="16"/>
        <v>#DIV/0!</v>
      </c>
      <c r="H33" s="3">
        <v>0</v>
      </c>
      <c r="I33" s="6">
        <v>0</v>
      </c>
      <c r="J33" s="3">
        <f t="shared" si="17"/>
        <v>756.60301188424205</v>
      </c>
      <c r="K33" s="3">
        <v>11676049</v>
      </c>
      <c r="L33" s="6">
        <v>15432.2</v>
      </c>
      <c r="M33" s="3" t="e">
        <f t="shared" si="18"/>
        <v>#DIV/0!</v>
      </c>
      <c r="N33" s="3">
        <v>0</v>
      </c>
      <c r="O33" s="6">
        <v>0</v>
      </c>
      <c r="P33" s="3" t="e">
        <f t="shared" si="19"/>
        <v>#DIV/0!</v>
      </c>
      <c r="Q33" s="3">
        <v>0</v>
      </c>
      <c r="R33" s="6">
        <v>0</v>
      </c>
      <c r="S33" s="3" t="e">
        <f t="shared" si="20"/>
        <v>#DIV/0!</v>
      </c>
      <c r="T33" s="3">
        <v>0</v>
      </c>
      <c r="U33" s="6">
        <v>0</v>
      </c>
      <c r="V33" s="3" t="e">
        <f t="shared" si="21"/>
        <v>#DIV/0!</v>
      </c>
      <c r="W33" s="3">
        <v>0</v>
      </c>
      <c r="X33" s="6">
        <v>0</v>
      </c>
      <c r="Y33" s="3" t="e">
        <f t="shared" si="22"/>
        <v>#DIV/0!</v>
      </c>
      <c r="Z33" s="3">
        <v>0</v>
      </c>
      <c r="AA33" s="6">
        <v>0</v>
      </c>
      <c r="AB33" s="3" t="e">
        <f t="shared" si="23"/>
        <v>#DIV/0!</v>
      </c>
      <c r="AC33" s="3">
        <v>0</v>
      </c>
      <c r="AD33" s="6">
        <v>0</v>
      </c>
      <c r="AE33" s="3" t="e">
        <f t="shared" si="24"/>
        <v>#DIV/0!</v>
      </c>
      <c r="AF33" s="3">
        <v>0</v>
      </c>
      <c r="AG33" s="6">
        <v>0</v>
      </c>
      <c r="AH33" s="3" t="e">
        <f t="shared" si="25"/>
        <v>#DIV/0!</v>
      </c>
      <c r="AI33" s="3">
        <v>0</v>
      </c>
      <c r="AJ33" s="6">
        <v>0</v>
      </c>
      <c r="AK33" s="3" t="e">
        <f t="shared" si="26"/>
        <v>#DIV/0!</v>
      </c>
      <c r="AL33" s="3">
        <v>0</v>
      </c>
      <c r="AM33" s="6">
        <v>0</v>
      </c>
      <c r="AN33" s="3">
        <f t="shared" si="12"/>
        <v>772.36894594852151</v>
      </c>
      <c r="AO33" s="3">
        <f t="shared" si="13"/>
        <v>23504809</v>
      </c>
      <c r="AP33" s="6">
        <f t="shared" si="14"/>
        <v>30432.1</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28</v>
      </c>
      <c r="B34" s="15"/>
      <c r="C34" s="15"/>
      <c r="D34" s="3" t="e">
        <f t="shared" si="15"/>
        <v>#DIV/0!</v>
      </c>
      <c r="E34" s="3">
        <v>0</v>
      </c>
      <c r="F34" s="6">
        <v>0</v>
      </c>
      <c r="G34" s="3" t="e">
        <f t="shared" si="16"/>
        <v>#DIV/0!</v>
      </c>
      <c r="H34" s="3">
        <v>0</v>
      </c>
      <c r="I34" s="6">
        <v>0</v>
      </c>
      <c r="J34" s="3" t="e">
        <f t="shared" si="17"/>
        <v>#DIV/0!</v>
      </c>
      <c r="K34" s="3">
        <v>0</v>
      </c>
      <c r="L34" s="6">
        <v>0</v>
      </c>
      <c r="M34" s="3" t="e">
        <f t="shared" si="18"/>
        <v>#DIV/0!</v>
      </c>
      <c r="N34" s="3">
        <v>0</v>
      </c>
      <c r="O34" s="6">
        <v>0</v>
      </c>
      <c r="P34" s="3" t="e">
        <f t="shared" si="19"/>
        <v>#DIV/0!</v>
      </c>
      <c r="Q34" s="3">
        <v>0</v>
      </c>
      <c r="R34" s="6">
        <v>0</v>
      </c>
      <c r="S34" s="3" t="e">
        <f t="shared" si="20"/>
        <v>#DIV/0!</v>
      </c>
      <c r="T34" s="3">
        <v>0</v>
      </c>
      <c r="U34" s="6">
        <v>0</v>
      </c>
      <c r="V34" s="3" t="e">
        <f t="shared" si="21"/>
        <v>#DIV/0!</v>
      </c>
      <c r="W34" s="3">
        <v>0</v>
      </c>
      <c r="X34" s="6">
        <v>0</v>
      </c>
      <c r="Y34" s="3">
        <f t="shared" si="22"/>
        <v>788</v>
      </c>
      <c r="Z34" s="3">
        <v>4806800</v>
      </c>
      <c r="AA34" s="6">
        <v>6100</v>
      </c>
      <c r="AB34" s="3" t="e">
        <f t="shared" si="23"/>
        <v>#DIV/0!</v>
      </c>
      <c r="AC34" s="3">
        <v>0</v>
      </c>
      <c r="AD34" s="6">
        <v>0</v>
      </c>
      <c r="AE34" s="3">
        <f t="shared" si="24"/>
        <v>788</v>
      </c>
      <c r="AF34" s="3">
        <v>4806800</v>
      </c>
      <c r="AG34" s="6">
        <v>6100</v>
      </c>
      <c r="AH34" s="3" t="e">
        <f t="shared" si="25"/>
        <v>#DIV/0!</v>
      </c>
      <c r="AI34" s="3">
        <v>0</v>
      </c>
      <c r="AJ34" s="6">
        <v>0</v>
      </c>
      <c r="AK34" s="3" t="e">
        <f t="shared" si="26"/>
        <v>#DIV/0!</v>
      </c>
      <c r="AL34" s="3">
        <v>0</v>
      </c>
      <c r="AM34" s="6">
        <v>0</v>
      </c>
      <c r="AN34" s="3">
        <f t="shared" si="12"/>
        <v>788</v>
      </c>
      <c r="AO34" s="3">
        <f t="shared" si="13"/>
        <v>9613600</v>
      </c>
      <c r="AP34" s="6">
        <f t="shared" si="14"/>
        <v>12200</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 t="s">
        <v>66</v>
      </c>
      <c r="B35" s="15"/>
      <c r="C35" s="15"/>
      <c r="D35" s="3" t="e">
        <f t="shared" si="15"/>
        <v>#DIV/0!</v>
      </c>
      <c r="E35" s="3">
        <v>0</v>
      </c>
      <c r="F35" s="6">
        <v>0</v>
      </c>
      <c r="G35" s="3" t="e">
        <f t="shared" si="16"/>
        <v>#DIV/0!</v>
      </c>
      <c r="H35" s="3">
        <v>0</v>
      </c>
      <c r="I35" s="6">
        <v>0</v>
      </c>
      <c r="J35" s="3" t="e">
        <f t="shared" si="17"/>
        <v>#DIV/0!</v>
      </c>
      <c r="K35" s="3">
        <v>0</v>
      </c>
      <c r="L35" s="6">
        <v>0</v>
      </c>
      <c r="M35" s="3" t="e">
        <f t="shared" si="18"/>
        <v>#DIV/0!</v>
      </c>
      <c r="N35" s="3">
        <v>0</v>
      </c>
      <c r="O35" s="6">
        <v>0</v>
      </c>
      <c r="P35" s="3">
        <f t="shared" si="19"/>
        <v>760.29134532990577</v>
      </c>
      <c r="Q35" s="3">
        <v>88726</v>
      </c>
      <c r="R35" s="6">
        <v>116.7</v>
      </c>
      <c r="S35" s="3" t="e">
        <f t="shared" si="20"/>
        <v>#DIV/0!</v>
      </c>
      <c r="T35" s="3">
        <v>0</v>
      </c>
      <c r="U35" s="6">
        <v>0</v>
      </c>
      <c r="V35" s="3" t="e">
        <f t="shared" si="21"/>
        <v>#DIV/0!</v>
      </c>
      <c r="W35" s="3">
        <v>0</v>
      </c>
      <c r="X35" s="6">
        <v>0</v>
      </c>
      <c r="Y35" s="3" t="e">
        <f t="shared" si="22"/>
        <v>#DIV/0!</v>
      </c>
      <c r="Z35" s="3">
        <v>0</v>
      </c>
      <c r="AA35" s="6">
        <v>0</v>
      </c>
      <c r="AB35" s="3" t="e">
        <f t="shared" si="23"/>
        <v>#DIV/0!</v>
      </c>
      <c r="AC35" s="3">
        <v>0</v>
      </c>
      <c r="AD35" s="6">
        <v>0</v>
      </c>
      <c r="AE35" s="3" t="e">
        <f t="shared" si="24"/>
        <v>#DIV/0!</v>
      </c>
      <c r="AF35" s="3">
        <v>0</v>
      </c>
      <c r="AG35" s="6">
        <v>0</v>
      </c>
      <c r="AH35" s="3" t="e">
        <f t="shared" si="25"/>
        <v>#DIV/0!</v>
      </c>
      <c r="AI35" s="3">
        <v>0</v>
      </c>
      <c r="AJ35" s="6">
        <v>0</v>
      </c>
      <c r="AK35" s="3" t="e">
        <f t="shared" si="26"/>
        <v>#DIV/0!</v>
      </c>
      <c r="AL35" s="3">
        <v>0</v>
      </c>
      <c r="AM35" s="6">
        <v>0</v>
      </c>
      <c r="AN35" s="3">
        <f t="shared" si="12"/>
        <v>760.29134532990577</v>
      </c>
      <c r="AO35" s="3">
        <f t="shared" si="13"/>
        <v>88726</v>
      </c>
      <c r="AP35" s="6">
        <f t="shared" si="14"/>
        <v>116.7</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 t="s">
        <v>41</v>
      </c>
      <c r="B36" s="15"/>
      <c r="C36" s="15"/>
      <c r="D36" s="3">
        <f t="shared" si="15"/>
        <v>948.16414686825055</v>
      </c>
      <c r="E36" s="3">
        <v>43900</v>
      </c>
      <c r="F36" s="6">
        <v>46.3</v>
      </c>
      <c r="G36" s="3" t="e">
        <f t="shared" si="16"/>
        <v>#DIV/0!</v>
      </c>
      <c r="H36" s="3">
        <v>0</v>
      </c>
      <c r="I36" s="6">
        <v>0</v>
      </c>
      <c r="J36" s="3">
        <f t="shared" si="17"/>
        <v>2913</v>
      </c>
      <c r="K36" s="3">
        <v>11652</v>
      </c>
      <c r="L36" s="6">
        <v>4</v>
      </c>
      <c r="M36" s="3">
        <f t="shared" si="18"/>
        <v>1575.1111111111111</v>
      </c>
      <c r="N36" s="3">
        <v>7088</v>
      </c>
      <c r="O36" s="6">
        <v>4.5</v>
      </c>
      <c r="P36" s="3" t="e">
        <f t="shared" si="19"/>
        <v>#DIV/0!</v>
      </c>
      <c r="Q36" s="3">
        <v>0</v>
      </c>
      <c r="R36" s="6">
        <v>0</v>
      </c>
      <c r="S36" s="3">
        <f t="shared" si="20"/>
        <v>1436.3414634146343</v>
      </c>
      <c r="T36" s="3">
        <v>5889</v>
      </c>
      <c r="U36" s="6">
        <v>4.0999999999999996</v>
      </c>
      <c r="V36" s="3" t="e">
        <f t="shared" si="21"/>
        <v>#DIV/0!</v>
      </c>
      <c r="W36" s="3">
        <v>0</v>
      </c>
      <c r="X36" s="6">
        <v>0</v>
      </c>
      <c r="Y36" s="3" t="e">
        <f t="shared" si="22"/>
        <v>#DIV/0!</v>
      </c>
      <c r="Z36" s="3">
        <v>0</v>
      </c>
      <c r="AA36" s="6">
        <v>0</v>
      </c>
      <c r="AB36" s="3" t="e">
        <f t="shared" si="23"/>
        <v>#DIV/0!</v>
      </c>
      <c r="AC36" s="3">
        <v>0</v>
      </c>
      <c r="AD36" s="6">
        <v>0</v>
      </c>
      <c r="AE36" s="3" t="e">
        <f t="shared" si="24"/>
        <v>#DIV/0!</v>
      </c>
      <c r="AF36" s="3">
        <v>0</v>
      </c>
      <c r="AG36" s="6">
        <v>0</v>
      </c>
      <c r="AH36" s="3" t="e">
        <f t="shared" si="25"/>
        <v>#DIV/0!</v>
      </c>
      <c r="AI36" s="3">
        <v>0</v>
      </c>
      <c r="AJ36" s="6">
        <v>0</v>
      </c>
      <c r="AK36" s="3" t="e">
        <f t="shared" si="26"/>
        <v>#DIV/0!</v>
      </c>
      <c r="AL36" s="3">
        <v>0</v>
      </c>
      <c r="AM36" s="6">
        <v>0</v>
      </c>
      <c r="AN36" s="3">
        <f t="shared" si="12"/>
        <v>1163.4804753820035</v>
      </c>
      <c r="AO36" s="3">
        <f t="shared" si="13"/>
        <v>68529</v>
      </c>
      <c r="AP36" s="6">
        <f t="shared" si="14"/>
        <v>58.9</v>
      </c>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x14ac:dyDescent="0.3">
      <c r="A37" s="1" t="s">
        <v>67</v>
      </c>
      <c r="B37" s="15"/>
      <c r="C37" s="15"/>
      <c r="D37" s="3">
        <f t="shared" si="15"/>
        <v>1259.6551724137933</v>
      </c>
      <c r="E37" s="3">
        <v>3653</v>
      </c>
      <c r="F37" s="6">
        <v>2.9</v>
      </c>
      <c r="G37" s="3">
        <f t="shared" si="16"/>
        <v>3207.1428571428573</v>
      </c>
      <c r="H37" s="3">
        <v>4490</v>
      </c>
      <c r="I37" s="6">
        <v>1.4</v>
      </c>
      <c r="J37" s="3" t="e">
        <f t="shared" si="17"/>
        <v>#DIV/0!</v>
      </c>
      <c r="K37" s="3">
        <v>0</v>
      </c>
      <c r="L37" s="6">
        <v>0</v>
      </c>
      <c r="M37" s="3" t="e">
        <f t="shared" si="18"/>
        <v>#DIV/0!</v>
      </c>
      <c r="N37" s="3">
        <v>0</v>
      </c>
      <c r="O37" s="6">
        <v>0</v>
      </c>
      <c r="P37" s="3" t="e">
        <f t="shared" si="19"/>
        <v>#DIV/0!</v>
      </c>
      <c r="Q37" s="3">
        <v>0</v>
      </c>
      <c r="R37" s="6">
        <v>0</v>
      </c>
      <c r="S37" s="3" t="e">
        <f t="shared" si="20"/>
        <v>#DIV/0!</v>
      </c>
      <c r="T37" s="3">
        <v>0</v>
      </c>
      <c r="U37" s="6">
        <v>0</v>
      </c>
      <c r="V37" s="3" t="e">
        <f t="shared" si="21"/>
        <v>#DIV/0!</v>
      </c>
      <c r="W37" s="3">
        <v>0</v>
      </c>
      <c r="X37" s="6">
        <v>0</v>
      </c>
      <c r="Y37" s="3" t="e">
        <f t="shared" si="22"/>
        <v>#DIV/0!</v>
      </c>
      <c r="Z37" s="3">
        <v>0</v>
      </c>
      <c r="AA37" s="6">
        <v>0</v>
      </c>
      <c r="AB37" s="3" t="e">
        <f t="shared" si="23"/>
        <v>#DIV/0!</v>
      </c>
      <c r="AC37" s="3">
        <v>0</v>
      </c>
      <c r="AD37" s="6">
        <v>0</v>
      </c>
      <c r="AE37" s="3" t="e">
        <f t="shared" si="24"/>
        <v>#DIV/0!</v>
      </c>
      <c r="AF37" s="3">
        <v>0</v>
      </c>
      <c r="AG37" s="6">
        <v>0</v>
      </c>
      <c r="AH37" s="3" t="e">
        <f t="shared" si="25"/>
        <v>#DIV/0!</v>
      </c>
      <c r="AI37" s="3">
        <v>0</v>
      </c>
      <c r="AJ37" s="6">
        <v>0</v>
      </c>
      <c r="AK37" s="3" t="e">
        <f t="shared" si="26"/>
        <v>#DIV/0!</v>
      </c>
      <c r="AL37" s="3">
        <v>0</v>
      </c>
      <c r="AM37" s="6">
        <v>0</v>
      </c>
      <c r="AN37" s="3">
        <f t="shared" si="12"/>
        <v>1893.7209302325582</v>
      </c>
      <c r="AO37" s="3">
        <f t="shared" si="13"/>
        <v>8143</v>
      </c>
      <c r="AP37" s="6">
        <f t="shared" si="14"/>
        <v>4.3</v>
      </c>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x14ac:dyDescent="0.3">
      <c r="A38" s="1" t="s">
        <v>27</v>
      </c>
      <c r="B38" s="15"/>
      <c r="C38" s="15"/>
      <c r="D38" s="3" t="e">
        <f t="shared" si="15"/>
        <v>#DIV/0!</v>
      </c>
      <c r="E38" s="3">
        <v>0</v>
      </c>
      <c r="F38" s="6">
        <v>0</v>
      </c>
      <c r="G38" s="3" t="e">
        <f t="shared" si="16"/>
        <v>#DIV/0!</v>
      </c>
      <c r="H38" s="3">
        <v>0</v>
      </c>
      <c r="I38" s="6">
        <v>0</v>
      </c>
      <c r="J38" s="3" t="e">
        <f t="shared" si="17"/>
        <v>#DIV/0!</v>
      </c>
      <c r="K38" s="3">
        <v>0</v>
      </c>
      <c r="L38" s="6">
        <v>0</v>
      </c>
      <c r="M38" s="3" t="e">
        <f t="shared" si="18"/>
        <v>#DIV/0!</v>
      </c>
      <c r="N38" s="3">
        <v>0</v>
      </c>
      <c r="O38" s="6">
        <v>0</v>
      </c>
      <c r="P38" s="3" t="e">
        <f t="shared" si="19"/>
        <v>#DIV/0!</v>
      </c>
      <c r="Q38" s="3">
        <v>0</v>
      </c>
      <c r="R38" s="6">
        <v>0</v>
      </c>
      <c r="S38" s="3" t="e">
        <f t="shared" si="20"/>
        <v>#DIV/0!</v>
      </c>
      <c r="T38" s="3">
        <v>0</v>
      </c>
      <c r="U38" s="6">
        <v>0</v>
      </c>
      <c r="V38" s="3">
        <f t="shared" si="21"/>
        <v>621.04643823896549</v>
      </c>
      <c r="W38" s="3">
        <v>4427999</v>
      </c>
      <c r="X38" s="6">
        <v>7129.9</v>
      </c>
      <c r="Y38" s="3" t="e">
        <f t="shared" si="22"/>
        <v>#DIV/0!</v>
      </c>
      <c r="Z38" s="3">
        <v>0</v>
      </c>
      <c r="AA38" s="6">
        <v>0</v>
      </c>
      <c r="AB38" s="3">
        <f t="shared" si="23"/>
        <v>1340.5633802816901</v>
      </c>
      <c r="AC38" s="3">
        <v>9518</v>
      </c>
      <c r="AD38" s="6">
        <v>7.1</v>
      </c>
      <c r="AE38" s="3" t="e">
        <f t="shared" si="24"/>
        <v>#DIV/0!</v>
      </c>
      <c r="AF38" s="3">
        <v>0</v>
      </c>
      <c r="AG38" s="6">
        <v>0</v>
      </c>
      <c r="AH38" s="3" t="e">
        <f t="shared" si="25"/>
        <v>#DIV/0!</v>
      </c>
      <c r="AI38" s="3">
        <v>0</v>
      </c>
      <c r="AJ38" s="6">
        <v>0</v>
      </c>
      <c r="AK38" s="3" t="e">
        <f t="shared" si="26"/>
        <v>#DIV/0!</v>
      </c>
      <c r="AL38" s="3">
        <v>0</v>
      </c>
      <c r="AM38" s="6">
        <v>0</v>
      </c>
      <c r="AN38" s="3">
        <f t="shared" si="12"/>
        <v>621.76222502452015</v>
      </c>
      <c r="AO38" s="3">
        <f t="shared" si="13"/>
        <v>4437517</v>
      </c>
      <c r="AP38" s="6">
        <f t="shared" si="14"/>
        <v>7137</v>
      </c>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x14ac:dyDescent="0.3">
      <c r="A39" s="1" t="s">
        <v>44</v>
      </c>
      <c r="B39" s="15"/>
      <c r="C39" s="15"/>
      <c r="D39" s="3" t="e">
        <f t="shared" si="15"/>
        <v>#DIV/0!</v>
      </c>
      <c r="E39" s="3">
        <v>0</v>
      </c>
      <c r="F39" s="6">
        <v>0</v>
      </c>
      <c r="G39" s="3" t="e">
        <f t="shared" si="16"/>
        <v>#DIV/0!</v>
      </c>
      <c r="H39" s="3">
        <v>0</v>
      </c>
      <c r="I39" s="6">
        <v>0</v>
      </c>
      <c r="J39" s="3" t="e">
        <f t="shared" si="17"/>
        <v>#DIV/0!</v>
      </c>
      <c r="K39" s="3">
        <v>0</v>
      </c>
      <c r="L39" s="6">
        <v>0</v>
      </c>
      <c r="M39" s="3" t="e">
        <f t="shared" si="18"/>
        <v>#DIV/0!</v>
      </c>
      <c r="N39" s="3">
        <v>0</v>
      </c>
      <c r="O39" s="6">
        <v>0</v>
      </c>
      <c r="P39" s="3" t="e">
        <f t="shared" si="19"/>
        <v>#DIV/0!</v>
      </c>
      <c r="Q39" s="3">
        <v>0</v>
      </c>
      <c r="R39" s="6">
        <v>0</v>
      </c>
      <c r="S39" s="3" t="e">
        <f t="shared" si="20"/>
        <v>#DIV/0!</v>
      </c>
      <c r="T39" s="3">
        <v>0</v>
      </c>
      <c r="U39" s="6">
        <v>0</v>
      </c>
      <c r="V39" s="3" t="e">
        <f t="shared" si="21"/>
        <v>#DIV/0!</v>
      </c>
      <c r="W39" s="3">
        <v>0</v>
      </c>
      <c r="X39" s="6">
        <v>0</v>
      </c>
      <c r="Y39" s="3" t="e">
        <f t="shared" si="22"/>
        <v>#DIV/0!</v>
      </c>
      <c r="Z39" s="3">
        <v>0</v>
      </c>
      <c r="AA39" s="6">
        <v>0</v>
      </c>
      <c r="AB39" s="3">
        <f t="shared" si="23"/>
        <v>771.99001721170396</v>
      </c>
      <c r="AC39" s="3">
        <v>4485262</v>
      </c>
      <c r="AD39" s="6">
        <v>5810</v>
      </c>
      <c r="AE39" s="3" t="e">
        <f t="shared" si="24"/>
        <v>#DIV/0!</v>
      </c>
      <c r="AF39" s="3">
        <v>0</v>
      </c>
      <c r="AG39" s="6">
        <v>0</v>
      </c>
      <c r="AH39" s="3" t="e">
        <f t="shared" si="25"/>
        <v>#DIV/0!</v>
      </c>
      <c r="AI39" s="3">
        <v>0</v>
      </c>
      <c r="AJ39" s="6">
        <v>0</v>
      </c>
      <c r="AK39" s="3" t="e">
        <f t="shared" si="26"/>
        <v>#DIV/0!</v>
      </c>
      <c r="AL39" s="3">
        <v>0</v>
      </c>
      <c r="AM39" s="6">
        <v>0</v>
      </c>
      <c r="AN39" s="3">
        <f t="shared" si="12"/>
        <v>771.99001721170396</v>
      </c>
      <c r="AO39" s="3">
        <f t="shared" si="13"/>
        <v>4485262</v>
      </c>
      <c r="AP39" s="6">
        <f t="shared" si="14"/>
        <v>5810</v>
      </c>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x14ac:dyDescent="0.3">
      <c r="A40" s="1" t="s">
        <v>68</v>
      </c>
      <c r="B40" s="15"/>
      <c r="C40" s="15"/>
      <c r="D40" s="3">
        <f t="shared" si="15"/>
        <v>2970</v>
      </c>
      <c r="E40" s="3">
        <v>5940</v>
      </c>
      <c r="F40" s="6">
        <v>2</v>
      </c>
      <c r="G40" s="3" t="e">
        <f t="shared" si="16"/>
        <v>#DIV/0!</v>
      </c>
      <c r="H40" s="3">
        <v>0</v>
      </c>
      <c r="I40" s="6">
        <v>0</v>
      </c>
      <c r="J40" s="3" t="e">
        <f t="shared" si="17"/>
        <v>#DIV/0!</v>
      </c>
      <c r="K40" s="3">
        <v>0</v>
      </c>
      <c r="L40" s="6">
        <v>0</v>
      </c>
      <c r="M40" s="3">
        <f t="shared" si="18"/>
        <v>3555</v>
      </c>
      <c r="N40" s="3">
        <v>3555</v>
      </c>
      <c r="O40" s="6">
        <v>1</v>
      </c>
      <c r="P40" s="3" t="e">
        <f t="shared" si="19"/>
        <v>#DIV/0!</v>
      </c>
      <c r="Q40" s="3">
        <v>0</v>
      </c>
      <c r="R40" s="6">
        <v>0</v>
      </c>
      <c r="S40" s="3" t="e">
        <f t="shared" si="20"/>
        <v>#DIV/0!</v>
      </c>
      <c r="T40" s="3">
        <v>0</v>
      </c>
      <c r="U40" s="6">
        <v>0</v>
      </c>
      <c r="V40" s="3" t="e">
        <f t="shared" si="21"/>
        <v>#DIV/0!</v>
      </c>
      <c r="W40" s="3">
        <v>0</v>
      </c>
      <c r="X40" s="6">
        <v>0</v>
      </c>
      <c r="Y40" s="3" t="e">
        <f t="shared" si="22"/>
        <v>#DIV/0!</v>
      </c>
      <c r="Z40" s="3">
        <v>0</v>
      </c>
      <c r="AA40" s="6">
        <v>0</v>
      </c>
      <c r="AB40" s="3" t="e">
        <f t="shared" si="23"/>
        <v>#DIV/0!</v>
      </c>
      <c r="AC40" s="3">
        <v>0</v>
      </c>
      <c r="AD40" s="6">
        <v>0</v>
      </c>
      <c r="AE40" s="3" t="e">
        <f t="shared" si="24"/>
        <v>#DIV/0!</v>
      </c>
      <c r="AF40" s="3">
        <v>0</v>
      </c>
      <c r="AG40" s="6">
        <v>0</v>
      </c>
      <c r="AH40" s="3" t="e">
        <f t="shared" si="25"/>
        <v>#DIV/0!</v>
      </c>
      <c r="AI40" s="3">
        <v>0</v>
      </c>
      <c r="AJ40" s="6">
        <v>0</v>
      </c>
      <c r="AK40" s="3" t="e">
        <f t="shared" si="26"/>
        <v>#DIV/0!</v>
      </c>
      <c r="AL40" s="3">
        <v>0</v>
      </c>
      <c r="AM40" s="6">
        <v>0</v>
      </c>
      <c r="AN40" s="3">
        <f t="shared" si="12"/>
        <v>3165</v>
      </c>
      <c r="AO40" s="3">
        <f t="shared" si="13"/>
        <v>9495</v>
      </c>
      <c r="AP40" s="6">
        <f t="shared" si="14"/>
        <v>3</v>
      </c>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x14ac:dyDescent="0.3">
      <c r="A41" s="1" t="s">
        <v>45</v>
      </c>
      <c r="B41" s="15"/>
      <c r="C41" s="15"/>
      <c r="D41" s="3">
        <f t="shared" si="15"/>
        <v>2475</v>
      </c>
      <c r="E41" s="3">
        <v>5940</v>
      </c>
      <c r="F41" s="6">
        <v>2.4</v>
      </c>
      <c r="G41" s="3">
        <f t="shared" si="16"/>
        <v>2962.5</v>
      </c>
      <c r="H41" s="3">
        <v>3555</v>
      </c>
      <c r="I41" s="6">
        <v>1.2</v>
      </c>
      <c r="J41" s="3">
        <f t="shared" si="17"/>
        <v>3134.9206349206352</v>
      </c>
      <c r="K41" s="3">
        <v>19750</v>
      </c>
      <c r="L41" s="6">
        <v>6.3</v>
      </c>
      <c r="M41" s="3" t="e">
        <f t="shared" si="18"/>
        <v>#DIV/0!</v>
      </c>
      <c r="N41" s="3">
        <v>0</v>
      </c>
      <c r="O41" s="6">
        <v>0</v>
      </c>
      <c r="P41" s="3" t="e">
        <f t="shared" si="19"/>
        <v>#DIV/0!</v>
      </c>
      <c r="Q41" s="3">
        <v>0</v>
      </c>
      <c r="R41" s="6">
        <v>0</v>
      </c>
      <c r="S41" s="3" t="e">
        <f t="shared" si="20"/>
        <v>#DIV/0!</v>
      </c>
      <c r="T41" s="3">
        <v>0</v>
      </c>
      <c r="U41" s="6">
        <v>0</v>
      </c>
      <c r="V41" s="3" t="e">
        <f t="shared" si="21"/>
        <v>#DIV/0!</v>
      </c>
      <c r="W41" s="3">
        <v>0</v>
      </c>
      <c r="X41" s="6">
        <v>0</v>
      </c>
      <c r="Y41" s="3" t="e">
        <f t="shared" si="22"/>
        <v>#DIV/0!</v>
      </c>
      <c r="Z41" s="3">
        <v>0</v>
      </c>
      <c r="AA41" s="6">
        <v>0</v>
      </c>
      <c r="AB41" s="3">
        <f t="shared" si="23"/>
        <v>2887.5</v>
      </c>
      <c r="AC41" s="3">
        <v>4620</v>
      </c>
      <c r="AD41" s="6">
        <v>1.6</v>
      </c>
      <c r="AE41" s="3">
        <f t="shared" si="24"/>
        <v>1732.5</v>
      </c>
      <c r="AF41" s="3">
        <v>3465</v>
      </c>
      <c r="AG41" s="6">
        <v>2</v>
      </c>
      <c r="AH41" s="3" t="e">
        <f t="shared" si="25"/>
        <v>#DIV/0!</v>
      </c>
      <c r="AI41" s="3">
        <v>0</v>
      </c>
      <c r="AJ41" s="6">
        <v>0</v>
      </c>
      <c r="AK41" s="3" t="e">
        <f t="shared" si="26"/>
        <v>#DIV/0!</v>
      </c>
      <c r="AL41" s="3">
        <v>0</v>
      </c>
      <c r="AM41" s="6">
        <v>0</v>
      </c>
      <c r="AN41" s="3">
        <f t="shared" si="12"/>
        <v>2765.1851851851857</v>
      </c>
      <c r="AO41" s="3">
        <f t="shared" si="13"/>
        <v>37330</v>
      </c>
      <c r="AP41" s="6">
        <f t="shared" si="14"/>
        <v>13.499999999999998</v>
      </c>
      <c r="AQ41" s="3"/>
      <c r="AR41" s="3"/>
      <c r="AS41" s="3"/>
      <c r="AT41" s="3"/>
      <c r="AU41" s="3"/>
      <c r="AV41" s="3"/>
      <c r="AW41" s="3"/>
      <c r="AX41" s="3"/>
      <c r="AY41" s="3"/>
      <c r="AZ41" s="3"/>
      <c r="BA41" s="3"/>
      <c r="BB41" s="3"/>
      <c r="BC41" s="3"/>
      <c r="BD41" s="3"/>
      <c r="BE41" s="3"/>
      <c r="BF41" s="3"/>
      <c r="BG41" s="3"/>
      <c r="BH41" s="3"/>
      <c r="BI41" s="3"/>
      <c r="BJ41" s="3"/>
      <c r="BK41" s="3"/>
      <c r="BL41" s="3"/>
      <c r="BM41" s="3"/>
      <c r="BN41" s="3"/>
    </row>
    <row r="42" spans="1:66" x14ac:dyDescent="0.3">
      <c r="A42" s="1" t="s">
        <v>21</v>
      </c>
      <c r="B42" s="15"/>
      <c r="C42" s="15"/>
      <c r="D42" s="3" t="e">
        <f t="shared" si="15"/>
        <v>#DIV/0!</v>
      </c>
      <c r="E42" s="3">
        <v>0</v>
      </c>
      <c r="F42" s="6">
        <v>0</v>
      </c>
      <c r="G42" s="3" t="e">
        <f t="shared" si="16"/>
        <v>#DIV/0!</v>
      </c>
      <c r="H42" s="3">
        <v>0</v>
      </c>
      <c r="I42" s="6">
        <v>0</v>
      </c>
      <c r="J42" s="3" t="e">
        <f t="shared" si="17"/>
        <v>#DIV/0!</v>
      </c>
      <c r="K42" s="3">
        <v>0</v>
      </c>
      <c r="L42" s="6">
        <v>0</v>
      </c>
      <c r="M42" s="3" t="e">
        <f t="shared" si="18"/>
        <v>#DIV/0!</v>
      </c>
      <c r="N42" s="3">
        <v>0</v>
      </c>
      <c r="O42" s="6">
        <v>0</v>
      </c>
      <c r="P42" s="3" t="e">
        <f t="shared" si="19"/>
        <v>#DIV/0!</v>
      </c>
      <c r="Q42" s="3">
        <v>0</v>
      </c>
      <c r="R42" s="6">
        <v>0</v>
      </c>
      <c r="S42" s="3" t="e">
        <f t="shared" si="20"/>
        <v>#DIV/0!</v>
      </c>
      <c r="T42" s="3">
        <v>0</v>
      </c>
      <c r="U42" s="6">
        <v>0</v>
      </c>
      <c r="V42" s="3" t="e">
        <f t="shared" si="21"/>
        <v>#DIV/0!</v>
      </c>
      <c r="W42" s="3">
        <v>0</v>
      </c>
      <c r="X42" s="6">
        <v>0</v>
      </c>
      <c r="Y42" s="3" t="e">
        <f t="shared" si="22"/>
        <v>#DIV/0!</v>
      </c>
      <c r="Z42" s="3">
        <v>0</v>
      </c>
      <c r="AA42" s="6">
        <v>0</v>
      </c>
      <c r="AB42" s="3">
        <f t="shared" si="23"/>
        <v>2235.294117647059</v>
      </c>
      <c r="AC42" s="3">
        <v>7600</v>
      </c>
      <c r="AD42" s="6">
        <v>3.4</v>
      </c>
      <c r="AE42" s="3" t="e">
        <f t="shared" si="24"/>
        <v>#DIV/0!</v>
      </c>
      <c r="AF42" s="3">
        <v>0</v>
      </c>
      <c r="AG42" s="6">
        <v>0</v>
      </c>
      <c r="AH42" s="3" t="e">
        <f t="shared" si="25"/>
        <v>#DIV/0!</v>
      </c>
      <c r="AI42" s="3">
        <v>0</v>
      </c>
      <c r="AJ42" s="6">
        <v>0</v>
      </c>
      <c r="AK42" s="3" t="e">
        <f t="shared" si="26"/>
        <v>#DIV/0!</v>
      </c>
      <c r="AL42" s="3">
        <v>0</v>
      </c>
      <c r="AM42" s="6">
        <v>0</v>
      </c>
      <c r="AN42" s="3">
        <f t="shared" si="12"/>
        <v>2235.294117647059</v>
      </c>
      <c r="AO42" s="3">
        <f t="shared" si="13"/>
        <v>7600</v>
      </c>
      <c r="AP42" s="6">
        <f t="shared" si="14"/>
        <v>3.4</v>
      </c>
      <c r="AQ42" s="3"/>
      <c r="AR42" s="3"/>
      <c r="AS42" s="3"/>
      <c r="AT42" s="3"/>
      <c r="AU42" s="3"/>
      <c r="AV42" s="3"/>
      <c r="AW42" s="3"/>
      <c r="AX42" s="3"/>
      <c r="AY42" s="3"/>
      <c r="AZ42" s="3"/>
      <c r="BA42" s="3"/>
      <c r="BB42" s="3"/>
      <c r="BC42" s="3"/>
      <c r="BD42" s="3"/>
      <c r="BE42" s="3"/>
      <c r="BF42" s="3"/>
      <c r="BG42" s="3"/>
      <c r="BH42" s="3"/>
      <c r="BI42" s="3"/>
      <c r="BJ42" s="3"/>
      <c r="BK42" s="3"/>
      <c r="BL42" s="3"/>
      <c r="BM42" s="3"/>
      <c r="BN42" s="3"/>
    </row>
    <row r="43" spans="1:66" x14ac:dyDescent="0.3">
      <c r="A43" s="1" t="s">
        <v>47</v>
      </c>
      <c r="B43" s="15"/>
      <c r="C43" s="15"/>
      <c r="D43" s="3">
        <f t="shared" si="15"/>
        <v>823.41653744184885</v>
      </c>
      <c r="E43" s="3">
        <v>1646092</v>
      </c>
      <c r="F43" s="6">
        <v>1999.1</v>
      </c>
      <c r="G43" s="3">
        <f t="shared" si="16"/>
        <v>937.00254005080103</v>
      </c>
      <c r="H43" s="3">
        <v>9369838</v>
      </c>
      <c r="I43" s="6">
        <v>9999.7999999999993</v>
      </c>
      <c r="J43" s="3" t="e">
        <f t="shared" si="17"/>
        <v>#DIV/0!</v>
      </c>
      <c r="K43" s="3">
        <v>0</v>
      </c>
      <c r="L43" s="6">
        <v>0</v>
      </c>
      <c r="M43" s="3" t="e">
        <f t="shared" si="18"/>
        <v>#DIV/0!</v>
      </c>
      <c r="N43" s="3">
        <v>0</v>
      </c>
      <c r="O43" s="6">
        <v>0</v>
      </c>
      <c r="P43" s="3" t="e">
        <f t="shared" si="19"/>
        <v>#DIV/0!</v>
      </c>
      <c r="Q43" s="3">
        <v>0</v>
      </c>
      <c r="R43" s="6">
        <v>0</v>
      </c>
      <c r="S43" s="3">
        <f t="shared" si="20"/>
        <v>898.20410205102553</v>
      </c>
      <c r="T43" s="3">
        <v>179551</v>
      </c>
      <c r="U43" s="6">
        <v>199.9</v>
      </c>
      <c r="V43" s="3" t="e">
        <f t="shared" si="21"/>
        <v>#DIV/0!</v>
      </c>
      <c r="W43" s="3">
        <v>0</v>
      </c>
      <c r="X43" s="6">
        <v>0</v>
      </c>
      <c r="Y43" s="3">
        <f t="shared" si="22"/>
        <v>1125</v>
      </c>
      <c r="Z43" s="3">
        <v>225000</v>
      </c>
      <c r="AA43" s="6">
        <v>200</v>
      </c>
      <c r="AB43" s="3" t="e">
        <f t="shared" si="23"/>
        <v>#DIV/0!</v>
      </c>
      <c r="AC43" s="3">
        <v>0</v>
      </c>
      <c r="AD43" s="6">
        <v>0</v>
      </c>
      <c r="AE43" s="3" t="e">
        <f t="shared" si="24"/>
        <v>#DIV/0!</v>
      </c>
      <c r="AF43" s="3">
        <v>0</v>
      </c>
      <c r="AG43" s="6">
        <v>0</v>
      </c>
      <c r="AH43" s="3" t="e">
        <f t="shared" si="25"/>
        <v>#DIV/0!</v>
      </c>
      <c r="AI43" s="3">
        <v>0</v>
      </c>
      <c r="AJ43" s="6">
        <v>0</v>
      </c>
      <c r="AK43" s="3" t="e">
        <f t="shared" si="26"/>
        <v>#DIV/0!</v>
      </c>
      <c r="AL43" s="3">
        <v>0</v>
      </c>
      <c r="AM43" s="6">
        <v>0</v>
      </c>
      <c r="AN43" s="3">
        <f t="shared" si="12"/>
        <v>921.09567054876288</v>
      </c>
      <c r="AO43" s="3">
        <f t="shared" si="13"/>
        <v>11420481</v>
      </c>
      <c r="AP43" s="6">
        <f t="shared" si="14"/>
        <v>12398.8</v>
      </c>
      <c r="AQ43" s="3"/>
      <c r="AR43" s="3"/>
      <c r="AS43" s="3"/>
      <c r="AT43" s="3"/>
      <c r="AU43" s="3"/>
      <c r="AV43" s="3"/>
      <c r="AW43" s="3"/>
      <c r="AX43" s="3"/>
      <c r="AY43" s="3"/>
      <c r="AZ43" s="3"/>
      <c r="BA43" s="3"/>
      <c r="BB43" s="3"/>
      <c r="BC43" s="3"/>
      <c r="BD43" s="3"/>
      <c r="BE43" s="3"/>
      <c r="BF43" s="3"/>
      <c r="BG43" s="3"/>
      <c r="BH43" s="3"/>
      <c r="BI43" s="3"/>
      <c r="BJ43" s="3"/>
      <c r="BK43" s="3"/>
      <c r="BL43" s="3"/>
      <c r="BM43" s="3"/>
      <c r="BN43" s="3"/>
    </row>
    <row r="44" spans="1:66" x14ac:dyDescent="0.3">
      <c r="A44" s="10" t="s">
        <v>48</v>
      </c>
      <c r="B44" s="16"/>
      <c r="C44" s="16"/>
      <c r="D44" s="7" t="e">
        <f t="shared" si="15"/>
        <v>#DIV/0!</v>
      </c>
      <c r="E44" s="8">
        <v>0</v>
      </c>
      <c r="F44" s="9">
        <v>0</v>
      </c>
      <c r="G44" s="8" t="e">
        <f t="shared" si="16"/>
        <v>#DIV/0!</v>
      </c>
      <c r="H44" s="8">
        <v>0</v>
      </c>
      <c r="I44" s="9">
        <v>0</v>
      </c>
      <c r="J44" s="8" t="e">
        <f t="shared" si="17"/>
        <v>#DIV/0!</v>
      </c>
      <c r="K44" s="8">
        <v>0</v>
      </c>
      <c r="L44" s="9">
        <v>0</v>
      </c>
      <c r="M44" s="8">
        <f t="shared" si="18"/>
        <v>760.95238095238096</v>
      </c>
      <c r="N44" s="8">
        <v>9588</v>
      </c>
      <c r="O44" s="9">
        <v>12.6</v>
      </c>
      <c r="P44" s="8" t="e">
        <f t="shared" si="19"/>
        <v>#DIV/0!</v>
      </c>
      <c r="Q44" s="8">
        <v>0</v>
      </c>
      <c r="R44" s="9">
        <v>0</v>
      </c>
      <c r="S44" s="8" t="e">
        <f t="shared" si="20"/>
        <v>#DIV/0!</v>
      </c>
      <c r="T44" s="8">
        <v>0</v>
      </c>
      <c r="U44" s="9">
        <v>0</v>
      </c>
      <c r="V44" s="8" t="e">
        <f t="shared" si="21"/>
        <v>#DIV/0!</v>
      </c>
      <c r="W44" s="8">
        <v>0</v>
      </c>
      <c r="X44" s="9">
        <v>0</v>
      </c>
      <c r="Y44" s="8" t="e">
        <f t="shared" si="22"/>
        <v>#DIV/0!</v>
      </c>
      <c r="Z44" s="8">
        <v>0</v>
      </c>
      <c r="AA44" s="9">
        <v>0</v>
      </c>
      <c r="AB44" s="8" t="e">
        <f t="shared" si="23"/>
        <v>#DIV/0!</v>
      </c>
      <c r="AC44" s="8">
        <v>0</v>
      </c>
      <c r="AD44" s="9">
        <v>0</v>
      </c>
      <c r="AE44" s="8" t="e">
        <f t="shared" si="24"/>
        <v>#DIV/0!</v>
      </c>
      <c r="AF44" s="8">
        <v>0</v>
      </c>
      <c r="AG44" s="9">
        <v>0</v>
      </c>
      <c r="AH44" s="8" t="e">
        <f t="shared" si="25"/>
        <v>#DIV/0!</v>
      </c>
      <c r="AI44" s="8">
        <v>0</v>
      </c>
      <c r="AJ44" s="9">
        <v>0</v>
      </c>
      <c r="AK44" s="8" t="e">
        <f t="shared" si="26"/>
        <v>#DIV/0!</v>
      </c>
      <c r="AL44" s="8">
        <v>0</v>
      </c>
      <c r="AM44" s="9">
        <v>0</v>
      </c>
      <c r="AN44" s="8">
        <f t="shared" si="12"/>
        <v>760.95238095238096</v>
      </c>
      <c r="AO44" s="8">
        <f t="shared" si="13"/>
        <v>9588</v>
      </c>
      <c r="AP44" s="9">
        <f t="shared" si="14"/>
        <v>12.6</v>
      </c>
      <c r="AQ44" s="3"/>
      <c r="AR44" s="3"/>
      <c r="AS44" s="3"/>
      <c r="AT44" s="3"/>
      <c r="AU44" s="3"/>
      <c r="AV44" s="3"/>
      <c r="AW44" s="3"/>
      <c r="AX44" s="3"/>
      <c r="AY44" s="3"/>
      <c r="AZ44" s="3"/>
      <c r="BA44" s="3"/>
      <c r="BB44" s="3"/>
      <c r="BC44" s="3"/>
      <c r="BD44" s="3"/>
      <c r="BE44" s="3"/>
      <c r="BF44" s="3"/>
      <c r="BG44" s="3"/>
      <c r="BH44" s="3"/>
      <c r="BI44" s="3"/>
      <c r="BJ44" s="3"/>
      <c r="BK44" s="3"/>
      <c r="BL44" s="3"/>
      <c r="BM44" s="3"/>
      <c r="BN44" s="3"/>
    </row>
    <row r="45" spans="1:66" x14ac:dyDescent="0.3">
      <c r="A45" s="1" t="s">
        <v>49</v>
      </c>
    </row>
    <row r="46" spans="1:66" x14ac:dyDescent="0.3">
      <c r="A46" s="1" t="s">
        <v>52</v>
      </c>
    </row>
    <row r="47" spans="1:66" x14ac:dyDescent="0.3">
      <c r="A47" s="1" t="s">
        <v>50</v>
      </c>
    </row>
    <row r="48" spans="1:66" x14ac:dyDescent="0.3">
      <c r="A48" s="1" t="s">
        <v>51</v>
      </c>
    </row>
    <row r="49" spans="1:1" x14ac:dyDescent="0.3">
      <c r="A49" s="1" t="s">
        <v>57</v>
      </c>
    </row>
    <row r="50" spans="1:1" x14ac:dyDescent="0.3">
      <c r="A50" s="1" t="s">
        <v>58</v>
      </c>
    </row>
  </sheetData>
  <mergeCells count="15">
    <mergeCell ref="B3:B44"/>
    <mergeCell ref="C3:C44"/>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2026-06-16T02:14:09Z</dcterms:modified>
</cp:coreProperties>
</file>