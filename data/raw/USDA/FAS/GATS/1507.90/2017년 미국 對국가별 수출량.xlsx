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U:\데이터플랫폼팀\00 데이터플랫폼팀_공유\데이터플랫폼팀(23.03~)\08 데이터 분석\00 분석과제정의서\☆구매\수입원료\대두유\데이터\외부\경제, 무역\USDA(미국 농무부)\GATS(글로벌 농산물 무역 시스템)\Oilseeds\대두\150790\"/>
    </mc:Choice>
  </mc:AlternateContent>
  <bookViews>
    <workbookView xWindow="0" yWindow="0" windowWidth="25125" windowHeight="11640"/>
  </bookViews>
  <sheets>
    <sheet name="2017년" sheetId="1" r:id="rId1"/>
  </sheets>
  <calcPr calcId="162913"/>
</workbook>
</file>

<file path=xl/calcChain.xml><?xml version="1.0" encoding="utf-8"?>
<calcChain xmlns="http://schemas.openxmlformats.org/spreadsheetml/2006/main">
  <c r="F62" i="1" l="1"/>
  <c r="AQ82" i="1" l="1"/>
  <c r="AP82" i="1"/>
  <c r="AO82" i="1" s="1"/>
  <c r="AQ81" i="1"/>
  <c r="AP81" i="1"/>
  <c r="AQ80" i="1"/>
  <c r="AP80" i="1"/>
  <c r="AQ79" i="1"/>
  <c r="AP79" i="1"/>
  <c r="AQ78" i="1"/>
  <c r="AP78" i="1"/>
  <c r="AO78" i="1" s="1"/>
  <c r="AQ77" i="1"/>
  <c r="AP77" i="1"/>
  <c r="AQ76" i="1"/>
  <c r="AP76" i="1"/>
  <c r="AQ75" i="1"/>
  <c r="AP75" i="1"/>
  <c r="AQ74" i="1"/>
  <c r="AP74" i="1"/>
  <c r="AO74" i="1" s="1"/>
  <c r="AQ73" i="1"/>
  <c r="AP73" i="1"/>
  <c r="AQ72" i="1"/>
  <c r="AP72" i="1"/>
  <c r="AQ71" i="1"/>
  <c r="AP71" i="1"/>
  <c r="AQ70" i="1"/>
  <c r="AP70" i="1"/>
  <c r="AO70" i="1" s="1"/>
  <c r="AQ69" i="1"/>
  <c r="AP69" i="1"/>
  <c r="AQ68" i="1"/>
  <c r="AP68" i="1"/>
  <c r="AQ67" i="1"/>
  <c r="AP67" i="1"/>
  <c r="AQ66" i="1"/>
  <c r="AP66" i="1"/>
  <c r="AO66" i="1" s="1"/>
  <c r="AQ65" i="1"/>
  <c r="AP65" i="1"/>
  <c r="AQ64" i="1"/>
  <c r="AP64" i="1"/>
  <c r="AQ63" i="1"/>
  <c r="AQ62" i="1" s="1"/>
  <c r="AP63" i="1"/>
  <c r="AQ61" i="1"/>
  <c r="AP61" i="1"/>
  <c r="AQ60" i="1"/>
  <c r="AP60" i="1"/>
  <c r="AQ59" i="1"/>
  <c r="AP59" i="1"/>
  <c r="AQ58" i="1"/>
  <c r="AP58" i="1"/>
  <c r="AQ57" i="1"/>
  <c r="AP57" i="1"/>
  <c r="AQ56" i="1"/>
  <c r="AP56" i="1"/>
  <c r="AQ55" i="1"/>
  <c r="AP55" i="1"/>
  <c r="AQ54" i="1"/>
  <c r="AP54" i="1"/>
  <c r="AQ53" i="1"/>
  <c r="AP53" i="1"/>
  <c r="AQ52" i="1"/>
  <c r="AP52" i="1"/>
  <c r="AQ51" i="1"/>
  <c r="AP51" i="1"/>
  <c r="AQ50" i="1"/>
  <c r="AP50" i="1"/>
  <c r="AQ49" i="1"/>
  <c r="AP49" i="1"/>
  <c r="AQ48" i="1"/>
  <c r="AP48" i="1"/>
  <c r="AQ47" i="1"/>
  <c r="AP47" i="1"/>
  <c r="AQ46" i="1"/>
  <c r="AP46" i="1"/>
  <c r="AQ45" i="1"/>
  <c r="AP45" i="1"/>
  <c r="AQ44" i="1"/>
  <c r="AP44" i="1"/>
  <c r="AQ43" i="1"/>
  <c r="AP43" i="1"/>
  <c r="AQ42" i="1"/>
  <c r="AP42" i="1"/>
  <c r="AQ41" i="1"/>
  <c r="AP41" i="1"/>
  <c r="AQ40" i="1"/>
  <c r="AP40" i="1"/>
  <c r="AQ39" i="1"/>
  <c r="AP39" i="1"/>
  <c r="AQ38" i="1"/>
  <c r="AP38" i="1"/>
  <c r="AQ37" i="1"/>
  <c r="AP37" i="1"/>
  <c r="AQ36" i="1"/>
  <c r="AP36" i="1"/>
  <c r="AQ35" i="1"/>
  <c r="AP35" i="1"/>
  <c r="AQ34" i="1"/>
  <c r="AP34" i="1"/>
  <c r="AQ33" i="1"/>
  <c r="AP33" i="1"/>
  <c r="AQ32" i="1"/>
  <c r="AP32" i="1"/>
  <c r="AQ31" i="1"/>
  <c r="AP31" i="1"/>
  <c r="AQ30" i="1"/>
  <c r="AP30" i="1"/>
  <c r="AQ29" i="1"/>
  <c r="AP29" i="1"/>
  <c r="AQ28" i="1"/>
  <c r="AP28" i="1"/>
  <c r="AQ27" i="1"/>
  <c r="AP27" i="1"/>
  <c r="AQ26" i="1"/>
  <c r="AP26" i="1"/>
  <c r="AQ25" i="1"/>
  <c r="AP25" i="1"/>
  <c r="AQ24" i="1"/>
  <c r="AP24" i="1"/>
  <c r="AQ23" i="1"/>
  <c r="AP23" i="1"/>
  <c r="AQ22" i="1"/>
  <c r="AP22" i="1"/>
  <c r="AQ21" i="1"/>
  <c r="AP21" i="1"/>
  <c r="AQ20" i="1"/>
  <c r="AP20" i="1"/>
  <c r="AQ19" i="1"/>
  <c r="AP19" i="1"/>
  <c r="AQ18" i="1"/>
  <c r="AP18" i="1"/>
  <c r="AQ17" i="1"/>
  <c r="AP17" i="1"/>
  <c r="AQ16" i="1"/>
  <c r="AP16" i="1"/>
  <c r="AQ15" i="1"/>
  <c r="AP15" i="1"/>
  <c r="AQ14" i="1"/>
  <c r="AP14" i="1"/>
  <c r="AQ13" i="1"/>
  <c r="AP13" i="1"/>
  <c r="AQ12" i="1"/>
  <c r="AP12" i="1"/>
  <c r="AQ11" i="1"/>
  <c r="AP11" i="1"/>
  <c r="AQ10" i="1"/>
  <c r="AP10" i="1"/>
  <c r="AQ9" i="1"/>
  <c r="AP9" i="1"/>
  <c r="AQ8" i="1"/>
  <c r="AP8" i="1"/>
  <c r="AQ7" i="1"/>
  <c r="AP7" i="1"/>
  <c r="AQ6" i="1"/>
  <c r="AP6" i="1"/>
  <c r="AL82" i="1"/>
  <c r="AL81" i="1"/>
  <c r="AL80" i="1"/>
  <c r="AL79" i="1"/>
  <c r="AL78" i="1"/>
  <c r="AL77" i="1"/>
  <c r="AL76" i="1"/>
  <c r="AL75" i="1"/>
  <c r="AL74" i="1"/>
  <c r="AL73" i="1"/>
  <c r="AL72" i="1"/>
  <c r="AL71" i="1"/>
  <c r="AL70" i="1"/>
  <c r="AL69" i="1"/>
  <c r="AL68" i="1"/>
  <c r="AL67" i="1"/>
  <c r="AL66" i="1"/>
  <c r="AL65" i="1"/>
  <c r="AL64" i="1"/>
  <c r="AL63" i="1"/>
  <c r="AL61" i="1"/>
  <c r="AL60" i="1"/>
  <c r="AL59" i="1"/>
  <c r="AL58" i="1"/>
  <c r="AL57" i="1"/>
  <c r="AL56" i="1"/>
  <c r="AL55" i="1"/>
  <c r="AL54" i="1"/>
  <c r="AL53" i="1"/>
  <c r="AL52" i="1"/>
  <c r="AL51" i="1"/>
  <c r="AL50" i="1"/>
  <c r="AL49" i="1"/>
  <c r="AL48" i="1"/>
  <c r="AL47" i="1"/>
  <c r="AL46" i="1"/>
  <c r="AL45" i="1"/>
  <c r="AI82" i="1"/>
  <c r="AI81" i="1"/>
  <c r="AI80" i="1"/>
  <c r="AI79" i="1"/>
  <c r="AI78" i="1"/>
  <c r="AI77" i="1"/>
  <c r="AI76" i="1"/>
  <c r="AI75" i="1"/>
  <c r="AI74" i="1"/>
  <c r="AI73" i="1"/>
  <c r="AI72" i="1"/>
  <c r="AI71" i="1"/>
  <c r="AI70" i="1"/>
  <c r="AI69" i="1"/>
  <c r="AI68" i="1"/>
  <c r="AI67" i="1"/>
  <c r="AI66" i="1"/>
  <c r="AI65" i="1"/>
  <c r="AI64" i="1"/>
  <c r="AI63" i="1"/>
  <c r="AI61" i="1"/>
  <c r="AI60" i="1"/>
  <c r="AI59" i="1"/>
  <c r="AI58" i="1"/>
  <c r="AI57" i="1"/>
  <c r="AI56" i="1"/>
  <c r="AI55" i="1"/>
  <c r="AI54" i="1"/>
  <c r="AI53" i="1"/>
  <c r="AI52" i="1"/>
  <c r="AI51" i="1"/>
  <c r="AI50" i="1"/>
  <c r="AI49" i="1"/>
  <c r="AI48" i="1"/>
  <c r="AI47" i="1"/>
  <c r="AI46" i="1"/>
  <c r="AI45" i="1"/>
  <c r="AF82" i="1"/>
  <c r="AF81" i="1"/>
  <c r="AF80" i="1"/>
  <c r="AF79" i="1"/>
  <c r="AF78" i="1"/>
  <c r="AF77" i="1"/>
  <c r="AF76" i="1"/>
  <c r="AF75" i="1"/>
  <c r="AF74" i="1"/>
  <c r="AF73" i="1"/>
  <c r="AF72" i="1"/>
  <c r="AF71" i="1"/>
  <c r="AF70" i="1"/>
  <c r="AF69" i="1"/>
  <c r="AF68" i="1"/>
  <c r="AF67" i="1"/>
  <c r="AF66" i="1"/>
  <c r="AF65" i="1"/>
  <c r="AF64" i="1"/>
  <c r="AF63" i="1"/>
  <c r="AF61" i="1"/>
  <c r="AF60" i="1"/>
  <c r="AF59" i="1"/>
  <c r="AF58" i="1"/>
  <c r="AF57" i="1"/>
  <c r="AF56" i="1"/>
  <c r="AF55" i="1"/>
  <c r="AF54" i="1"/>
  <c r="AF53" i="1"/>
  <c r="AF52" i="1"/>
  <c r="AF51" i="1"/>
  <c r="AF50" i="1"/>
  <c r="AF49" i="1"/>
  <c r="AF48" i="1"/>
  <c r="AF47" i="1"/>
  <c r="AF46" i="1"/>
  <c r="AF45" i="1"/>
  <c r="AC82" i="1"/>
  <c r="AC81" i="1"/>
  <c r="AC80" i="1"/>
  <c r="AC79" i="1"/>
  <c r="AC78" i="1"/>
  <c r="AC77" i="1"/>
  <c r="AC76" i="1"/>
  <c r="AC75" i="1"/>
  <c r="AC74" i="1"/>
  <c r="AC73" i="1"/>
  <c r="AC72" i="1"/>
  <c r="AC71" i="1"/>
  <c r="AC70" i="1"/>
  <c r="AC69" i="1"/>
  <c r="AC68" i="1"/>
  <c r="AC67" i="1"/>
  <c r="AC66" i="1"/>
  <c r="AC65" i="1"/>
  <c r="AC64" i="1"/>
  <c r="AC63" i="1"/>
  <c r="AC61" i="1"/>
  <c r="AC60" i="1"/>
  <c r="AC59" i="1"/>
  <c r="AC58" i="1"/>
  <c r="AC57" i="1"/>
  <c r="AC56" i="1"/>
  <c r="AC55" i="1"/>
  <c r="AC54" i="1"/>
  <c r="AC53" i="1"/>
  <c r="AC52" i="1"/>
  <c r="AC51" i="1"/>
  <c r="AC50" i="1"/>
  <c r="AC49" i="1"/>
  <c r="AC48" i="1"/>
  <c r="AC47" i="1"/>
  <c r="AC46" i="1"/>
  <c r="AC45" i="1"/>
  <c r="Z82" i="1"/>
  <c r="Z81" i="1"/>
  <c r="Z80" i="1"/>
  <c r="Z79" i="1"/>
  <c r="Z78" i="1"/>
  <c r="Z77" i="1"/>
  <c r="Z76" i="1"/>
  <c r="Z75" i="1"/>
  <c r="Z74" i="1"/>
  <c r="Z73" i="1"/>
  <c r="Z72" i="1"/>
  <c r="Z71" i="1"/>
  <c r="Z70" i="1"/>
  <c r="Z69" i="1"/>
  <c r="Z68" i="1"/>
  <c r="Z67" i="1"/>
  <c r="Z66" i="1"/>
  <c r="Z65" i="1"/>
  <c r="Z64" i="1"/>
  <c r="Z63" i="1"/>
  <c r="Z61" i="1"/>
  <c r="Z60" i="1"/>
  <c r="Z59" i="1"/>
  <c r="Z58" i="1"/>
  <c r="Z57" i="1"/>
  <c r="Z56" i="1"/>
  <c r="Z55" i="1"/>
  <c r="Z54" i="1"/>
  <c r="Z53" i="1"/>
  <c r="Z52" i="1"/>
  <c r="Z51" i="1"/>
  <c r="Z50" i="1"/>
  <c r="Z49" i="1"/>
  <c r="Z48" i="1"/>
  <c r="Z47" i="1"/>
  <c r="Z46" i="1"/>
  <c r="Z45" i="1"/>
  <c r="W82" i="1"/>
  <c r="W81" i="1"/>
  <c r="W80" i="1"/>
  <c r="W79" i="1"/>
  <c r="W78" i="1"/>
  <c r="W77" i="1"/>
  <c r="W76" i="1"/>
  <c r="W75" i="1"/>
  <c r="W74" i="1"/>
  <c r="W73" i="1"/>
  <c r="W72" i="1"/>
  <c r="W71" i="1"/>
  <c r="W70" i="1"/>
  <c r="W69" i="1"/>
  <c r="W68" i="1"/>
  <c r="W67" i="1"/>
  <c r="W66" i="1"/>
  <c r="W65" i="1"/>
  <c r="W64" i="1"/>
  <c r="W63" i="1"/>
  <c r="W61" i="1"/>
  <c r="W60" i="1"/>
  <c r="W59" i="1"/>
  <c r="W58" i="1"/>
  <c r="W57" i="1"/>
  <c r="W56" i="1"/>
  <c r="W55" i="1"/>
  <c r="W54" i="1"/>
  <c r="W53" i="1"/>
  <c r="W52" i="1"/>
  <c r="W51" i="1"/>
  <c r="W50" i="1"/>
  <c r="W49" i="1"/>
  <c r="W48" i="1"/>
  <c r="W47" i="1"/>
  <c r="W46" i="1"/>
  <c r="W45" i="1"/>
  <c r="T82" i="1"/>
  <c r="T81" i="1"/>
  <c r="T80" i="1"/>
  <c r="T79" i="1"/>
  <c r="T78" i="1"/>
  <c r="T77" i="1"/>
  <c r="T76" i="1"/>
  <c r="T75" i="1"/>
  <c r="T74" i="1"/>
  <c r="T73" i="1"/>
  <c r="T72" i="1"/>
  <c r="T71" i="1"/>
  <c r="T70" i="1"/>
  <c r="T69" i="1"/>
  <c r="T68" i="1"/>
  <c r="T67" i="1"/>
  <c r="T66" i="1"/>
  <c r="T65" i="1"/>
  <c r="T64" i="1"/>
  <c r="T63" i="1"/>
  <c r="T61" i="1"/>
  <c r="T60" i="1"/>
  <c r="T59" i="1"/>
  <c r="T58" i="1"/>
  <c r="T57" i="1"/>
  <c r="T56" i="1"/>
  <c r="T55" i="1"/>
  <c r="T54" i="1"/>
  <c r="T53" i="1"/>
  <c r="T52" i="1"/>
  <c r="T51" i="1"/>
  <c r="T50" i="1"/>
  <c r="T49" i="1"/>
  <c r="T48" i="1"/>
  <c r="T47" i="1"/>
  <c r="T46" i="1"/>
  <c r="T45" i="1"/>
  <c r="Q82" i="1"/>
  <c r="Q81" i="1"/>
  <c r="Q80" i="1"/>
  <c r="Q79" i="1"/>
  <c r="Q78" i="1"/>
  <c r="Q77" i="1"/>
  <c r="Q76" i="1"/>
  <c r="Q75" i="1"/>
  <c r="Q74" i="1"/>
  <c r="Q73" i="1"/>
  <c r="Q72" i="1"/>
  <c r="Q71" i="1"/>
  <c r="Q70" i="1"/>
  <c r="Q69" i="1"/>
  <c r="Q68" i="1"/>
  <c r="Q67" i="1"/>
  <c r="Q66" i="1"/>
  <c r="Q65" i="1"/>
  <c r="Q64" i="1"/>
  <c r="Q63" i="1"/>
  <c r="Q61" i="1"/>
  <c r="Q60" i="1"/>
  <c r="Q59" i="1"/>
  <c r="Q58" i="1"/>
  <c r="Q57" i="1"/>
  <c r="Q56" i="1"/>
  <c r="Q55" i="1"/>
  <c r="Q54" i="1"/>
  <c r="Q53" i="1"/>
  <c r="Q52" i="1"/>
  <c r="Q51" i="1"/>
  <c r="Q50" i="1"/>
  <c r="Q49" i="1"/>
  <c r="Q48" i="1"/>
  <c r="Q47" i="1"/>
  <c r="Q46" i="1"/>
  <c r="Q45" i="1"/>
  <c r="N82" i="1"/>
  <c r="N81" i="1"/>
  <c r="N80" i="1"/>
  <c r="N79" i="1"/>
  <c r="N78" i="1"/>
  <c r="N77" i="1"/>
  <c r="N76" i="1"/>
  <c r="N75" i="1"/>
  <c r="N74" i="1"/>
  <c r="N73" i="1"/>
  <c r="N72" i="1"/>
  <c r="N71" i="1"/>
  <c r="N70" i="1"/>
  <c r="N69" i="1"/>
  <c r="N68" i="1"/>
  <c r="N67" i="1"/>
  <c r="N66" i="1"/>
  <c r="N65" i="1"/>
  <c r="N64" i="1"/>
  <c r="N63" i="1"/>
  <c r="N61" i="1"/>
  <c r="N60" i="1"/>
  <c r="N59" i="1"/>
  <c r="N58" i="1"/>
  <c r="N57" i="1"/>
  <c r="N56" i="1"/>
  <c r="N55" i="1"/>
  <c r="N54" i="1"/>
  <c r="N53" i="1"/>
  <c r="N52" i="1"/>
  <c r="N51" i="1"/>
  <c r="N50" i="1"/>
  <c r="N49" i="1"/>
  <c r="N48" i="1"/>
  <c r="N47" i="1"/>
  <c r="N46" i="1"/>
  <c r="N45" i="1"/>
  <c r="K82" i="1"/>
  <c r="K81" i="1"/>
  <c r="K80" i="1"/>
  <c r="K79" i="1"/>
  <c r="K78" i="1"/>
  <c r="K77" i="1"/>
  <c r="K76" i="1"/>
  <c r="K75" i="1"/>
  <c r="K74" i="1"/>
  <c r="K73" i="1"/>
  <c r="K72" i="1"/>
  <c r="K71" i="1"/>
  <c r="K70" i="1"/>
  <c r="K69" i="1"/>
  <c r="K68" i="1"/>
  <c r="K67" i="1"/>
  <c r="K66" i="1"/>
  <c r="K65" i="1"/>
  <c r="K64" i="1"/>
  <c r="K63" i="1"/>
  <c r="K61" i="1"/>
  <c r="K60" i="1"/>
  <c r="K59" i="1"/>
  <c r="K58" i="1"/>
  <c r="K57" i="1"/>
  <c r="K56" i="1"/>
  <c r="K55" i="1"/>
  <c r="K54" i="1"/>
  <c r="K53" i="1"/>
  <c r="K52" i="1"/>
  <c r="K51" i="1"/>
  <c r="K50" i="1"/>
  <c r="K49" i="1"/>
  <c r="K48" i="1"/>
  <c r="K47" i="1"/>
  <c r="K46" i="1"/>
  <c r="K45" i="1"/>
  <c r="H82" i="1"/>
  <c r="H81" i="1"/>
  <c r="H80" i="1"/>
  <c r="H79" i="1"/>
  <c r="H78" i="1"/>
  <c r="H77" i="1"/>
  <c r="H76" i="1"/>
  <c r="H75" i="1"/>
  <c r="H74" i="1"/>
  <c r="H73" i="1"/>
  <c r="H72" i="1"/>
  <c r="H71" i="1"/>
  <c r="H70" i="1"/>
  <c r="H69" i="1"/>
  <c r="H68" i="1"/>
  <c r="H67" i="1"/>
  <c r="H66" i="1"/>
  <c r="H65" i="1"/>
  <c r="H64" i="1"/>
  <c r="H63" i="1"/>
  <c r="H61" i="1"/>
  <c r="H60" i="1"/>
  <c r="H59" i="1"/>
  <c r="H58" i="1"/>
  <c r="H57" i="1"/>
  <c r="H56" i="1"/>
  <c r="H55" i="1"/>
  <c r="H54" i="1"/>
  <c r="H53" i="1"/>
  <c r="H52" i="1"/>
  <c r="H51" i="1"/>
  <c r="H50" i="1"/>
  <c r="H49" i="1"/>
  <c r="H48" i="1"/>
  <c r="H47" i="1"/>
  <c r="H46" i="1"/>
  <c r="H45" i="1"/>
  <c r="E82" i="1"/>
  <c r="E81" i="1"/>
  <c r="E80" i="1"/>
  <c r="E79" i="1"/>
  <c r="E78" i="1"/>
  <c r="E77" i="1"/>
  <c r="E76" i="1"/>
  <c r="E75" i="1"/>
  <c r="E74" i="1"/>
  <c r="E73" i="1"/>
  <c r="E72" i="1"/>
  <c r="E71" i="1"/>
  <c r="E70" i="1"/>
  <c r="E69" i="1"/>
  <c r="E68" i="1"/>
  <c r="E67" i="1"/>
  <c r="E66" i="1"/>
  <c r="E65" i="1"/>
  <c r="E64" i="1"/>
  <c r="E63" i="1"/>
  <c r="E61" i="1"/>
  <c r="E60" i="1"/>
  <c r="E59" i="1"/>
  <c r="E58" i="1"/>
  <c r="E57" i="1"/>
  <c r="E56" i="1"/>
  <c r="E55" i="1"/>
  <c r="E54" i="1"/>
  <c r="E53" i="1"/>
  <c r="E52" i="1"/>
  <c r="E51" i="1"/>
  <c r="E50" i="1"/>
  <c r="E49" i="1"/>
  <c r="E48" i="1"/>
  <c r="E47" i="1"/>
  <c r="E46" i="1"/>
  <c r="E45" i="1"/>
  <c r="AN62" i="1"/>
  <c r="AM62" i="1"/>
  <c r="AK62" i="1"/>
  <c r="AJ62" i="1"/>
  <c r="AH62" i="1"/>
  <c r="AG62" i="1"/>
  <c r="AF62" i="1" s="1"/>
  <c r="AE62" i="1"/>
  <c r="AD62" i="1"/>
  <c r="AB62" i="1"/>
  <c r="AA62" i="1"/>
  <c r="Y62" i="1"/>
  <c r="X62" i="1"/>
  <c r="V62" i="1"/>
  <c r="U62" i="1"/>
  <c r="T62" i="1" s="1"/>
  <c r="S62" i="1"/>
  <c r="R62" i="1"/>
  <c r="P62" i="1"/>
  <c r="O62" i="1"/>
  <c r="N62" i="1" s="1"/>
  <c r="M62" i="1"/>
  <c r="L62" i="1"/>
  <c r="J62" i="1"/>
  <c r="I62" i="1"/>
  <c r="H62" i="1" s="1"/>
  <c r="G62" i="1"/>
  <c r="AN4" i="1"/>
  <c r="AN3" i="1" s="1"/>
  <c r="AM4" i="1"/>
  <c r="AM3" i="1" s="1"/>
  <c r="AK4" i="1"/>
  <c r="AK3" i="1" s="1"/>
  <c r="AJ4" i="1"/>
  <c r="AJ3" i="1" s="1"/>
  <c r="AH4" i="1"/>
  <c r="AG4" i="1"/>
  <c r="AG3" i="1" s="1"/>
  <c r="AE4" i="1"/>
  <c r="AD4" i="1"/>
  <c r="AB4" i="1"/>
  <c r="AA4" i="1"/>
  <c r="AA3" i="1" s="1"/>
  <c r="Y4" i="1"/>
  <c r="Y3" i="1" s="1"/>
  <c r="X4" i="1"/>
  <c r="V4" i="1"/>
  <c r="V3" i="1" s="1"/>
  <c r="U4" i="1"/>
  <c r="U3" i="1" s="1"/>
  <c r="S4" i="1"/>
  <c r="R4" i="1"/>
  <c r="R3" i="1" s="1"/>
  <c r="P4" i="1"/>
  <c r="P3" i="1" s="1"/>
  <c r="O4" i="1"/>
  <c r="O3" i="1" s="1"/>
  <c r="M4" i="1"/>
  <c r="L4" i="1"/>
  <c r="J4" i="1"/>
  <c r="I4" i="1"/>
  <c r="I3" i="1" s="1"/>
  <c r="G4" i="1"/>
  <c r="G3" i="1" s="1"/>
  <c r="F4" i="1"/>
  <c r="F3" i="1" s="1"/>
  <c r="AH3" i="1"/>
  <c r="AO45" i="1" l="1"/>
  <c r="AO49" i="1"/>
  <c r="AO53" i="1"/>
  <c r="AO57" i="1"/>
  <c r="AO61" i="1"/>
  <c r="AO46" i="1"/>
  <c r="AO50" i="1"/>
  <c r="AO54" i="1"/>
  <c r="AO58" i="1"/>
  <c r="AO59" i="1"/>
  <c r="AO55" i="1"/>
  <c r="AO47" i="1"/>
  <c r="AO51" i="1"/>
  <c r="L3" i="1"/>
  <c r="AO48" i="1"/>
  <c r="AO52" i="1"/>
  <c r="AO56" i="1"/>
  <c r="AO60" i="1"/>
  <c r="AL62" i="1"/>
  <c r="AO64" i="1"/>
  <c r="Z62" i="1"/>
  <c r="AO67" i="1"/>
  <c r="AO75" i="1"/>
  <c r="AO79" i="1"/>
  <c r="M3" i="1"/>
  <c r="K3" i="1" s="1"/>
  <c r="AO65" i="1"/>
  <c r="AO68" i="1"/>
  <c r="AO72" i="1"/>
  <c r="AO76" i="1"/>
  <c r="AO80" i="1"/>
  <c r="AO69" i="1"/>
  <c r="AO73" i="1"/>
  <c r="AO77" i="1"/>
  <c r="AO81" i="1"/>
  <c r="AP62" i="1"/>
  <c r="AO62" i="1" s="1"/>
  <c r="AO71" i="1"/>
  <c r="J3" i="1"/>
  <c r="H3" i="1" s="1"/>
  <c r="AB3" i="1"/>
  <c r="Q62" i="1"/>
  <c r="AC62" i="1"/>
  <c r="K62" i="1"/>
  <c r="X3" i="1"/>
  <c r="W3" i="1" s="1"/>
  <c r="AI62" i="1"/>
  <c r="AO63" i="1"/>
  <c r="W62" i="1"/>
  <c r="AE3" i="1"/>
  <c r="AD3" i="1"/>
  <c r="AC3" i="1" s="1"/>
  <c r="S3" i="1"/>
  <c r="Q3" i="1" s="1"/>
  <c r="E62" i="1"/>
  <c r="AL3" i="1"/>
  <c r="AF3" i="1"/>
  <c r="T3" i="1"/>
  <c r="N3" i="1"/>
  <c r="N43" i="1"/>
  <c r="AP5" i="1"/>
  <c r="AL44" i="1"/>
  <c r="AL43" i="1"/>
  <c r="AL42" i="1"/>
  <c r="AL41" i="1"/>
  <c r="AL40" i="1"/>
  <c r="AL39" i="1"/>
  <c r="AL38" i="1"/>
  <c r="AL37" i="1"/>
  <c r="AL36" i="1"/>
  <c r="AL35" i="1"/>
  <c r="AL34" i="1"/>
  <c r="AL33" i="1"/>
  <c r="AL32" i="1"/>
  <c r="AL31" i="1"/>
  <c r="AL30" i="1"/>
  <c r="AL29" i="1"/>
  <c r="AL28" i="1"/>
  <c r="AL27" i="1"/>
  <c r="AL26" i="1"/>
  <c r="AL25" i="1"/>
  <c r="AL24" i="1"/>
  <c r="AL23" i="1"/>
  <c r="AL22" i="1"/>
  <c r="AL21" i="1"/>
  <c r="AL20" i="1"/>
  <c r="AL19" i="1"/>
  <c r="AL18" i="1"/>
  <c r="AL17" i="1"/>
  <c r="AL16" i="1"/>
  <c r="AL15" i="1"/>
  <c r="AL14" i="1"/>
  <c r="AL13" i="1"/>
  <c r="AL12" i="1"/>
  <c r="AL11" i="1"/>
  <c r="AL10" i="1"/>
  <c r="AL9" i="1"/>
  <c r="AL8" i="1"/>
  <c r="AL7" i="1"/>
  <c r="AL6" i="1"/>
  <c r="AL5" i="1"/>
  <c r="AL4" i="1"/>
  <c r="AI44" i="1"/>
  <c r="AI43" i="1"/>
  <c r="AI42" i="1"/>
  <c r="AI41" i="1"/>
  <c r="AI40" i="1"/>
  <c r="AI39" i="1"/>
  <c r="AI38" i="1"/>
  <c r="AI37" i="1"/>
  <c r="AI36" i="1"/>
  <c r="AI35" i="1"/>
  <c r="AI34" i="1"/>
  <c r="AI33" i="1"/>
  <c r="AI32" i="1"/>
  <c r="AI31" i="1"/>
  <c r="AI30" i="1"/>
  <c r="AI29" i="1"/>
  <c r="AI28" i="1"/>
  <c r="AI27" i="1"/>
  <c r="AI26" i="1"/>
  <c r="AI25" i="1"/>
  <c r="AI24" i="1"/>
  <c r="AI23" i="1"/>
  <c r="AI22" i="1"/>
  <c r="AI21" i="1"/>
  <c r="AI20" i="1"/>
  <c r="AI19" i="1"/>
  <c r="AI18" i="1"/>
  <c r="AI17" i="1"/>
  <c r="AI16" i="1"/>
  <c r="AI15" i="1"/>
  <c r="AI14" i="1"/>
  <c r="AI13" i="1"/>
  <c r="AI12" i="1"/>
  <c r="AI11" i="1"/>
  <c r="AI10" i="1"/>
  <c r="AI9" i="1"/>
  <c r="AI8" i="1"/>
  <c r="AI7" i="1"/>
  <c r="AI6" i="1"/>
  <c r="AI5" i="1"/>
  <c r="AI4" i="1"/>
  <c r="AF44" i="1"/>
  <c r="AF43" i="1"/>
  <c r="AF42" i="1"/>
  <c r="AF41" i="1"/>
  <c r="AF40" i="1"/>
  <c r="AF39" i="1"/>
  <c r="AF38" i="1"/>
  <c r="AF37" i="1"/>
  <c r="AF36" i="1"/>
  <c r="AF35" i="1"/>
  <c r="AF34" i="1"/>
  <c r="AF33" i="1"/>
  <c r="AF32" i="1"/>
  <c r="AF31" i="1"/>
  <c r="AF30" i="1"/>
  <c r="AF29" i="1"/>
  <c r="AF28" i="1"/>
  <c r="AF27" i="1"/>
  <c r="AF26" i="1"/>
  <c r="AF25" i="1"/>
  <c r="AF24" i="1"/>
  <c r="AF23" i="1"/>
  <c r="AF22" i="1"/>
  <c r="AF21" i="1"/>
  <c r="AF20" i="1"/>
  <c r="AF19" i="1"/>
  <c r="AF18" i="1"/>
  <c r="AF17" i="1"/>
  <c r="AF16" i="1"/>
  <c r="AF15" i="1"/>
  <c r="AF14" i="1"/>
  <c r="AF13" i="1"/>
  <c r="AF12" i="1"/>
  <c r="AF11" i="1"/>
  <c r="AF10" i="1"/>
  <c r="AF9" i="1"/>
  <c r="AF8" i="1"/>
  <c r="AF7" i="1"/>
  <c r="AF6" i="1"/>
  <c r="AF5" i="1"/>
  <c r="AF4" i="1"/>
  <c r="AC44" i="1"/>
  <c r="AC43" i="1"/>
  <c r="AC42" i="1"/>
  <c r="AC41" i="1"/>
  <c r="AC40" i="1"/>
  <c r="AC39" i="1"/>
  <c r="AC38" i="1"/>
  <c r="AC37" i="1"/>
  <c r="AC36" i="1"/>
  <c r="AC35" i="1"/>
  <c r="AC34" i="1"/>
  <c r="AC33" i="1"/>
  <c r="AC32" i="1"/>
  <c r="AC31" i="1"/>
  <c r="AC30" i="1"/>
  <c r="AC29" i="1"/>
  <c r="AC28" i="1"/>
  <c r="AC27" i="1"/>
  <c r="AC26" i="1"/>
  <c r="AC25" i="1"/>
  <c r="AC24" i="1"/>
  <c r="AC23" i="1"/>
  <c r="AC22" i="1"/>
  <c r="AC21" i="1"/>
  <c r="AC20" i="1"/>
  <c r="AC19" i="1"/>
  <c r="AC18" i="1"/>
  <c r="AC17" i="1"/>
  <c r="AC16" i="1"/>
  <c r="AC15" i="1"/>
  <c r="AC14" i="1"/>
  <c r="AC13" i="1"/>
  <c r="AC12" i="1"/>
  <c r="AC11" i="1"/>
  <c r="AC10" i="1"/>
  <c r="AC9" i="1"/>
  <c r="AC8" i="1"/>
  <c r="AC7" i="1"/>
  <c r="AC6" i="1"/>
  <c r="AC5" i="1"/>
  <c r="AC4" i="1"/>
  <c r="Z44" i="1"/>
  <c r="Z43" i="1"/>
  <c r="Z42" i="1"/>
  <c r="Z41" i="1"/>
  <c r="Z40" i="1"/>
  <c r="Z39" i="1"/>
  <c r="Z38" i="1"/>
  <c r="Z37" i="1"/>
  <c r="Z36" i="1"/>
  <c r="Z35" i="1"/>
  <c r="Z34" i="1"/>
  <c r="Z33" i="1"/>
  <c r="Z32" i="1"/>
  <c r="Z31" i="1"/>
  <c r="Z30" i="1"/>
  <c r="Z29" i="1"/>
  <c r="Z28" i="1"/>
  <c r="Z27" i="1"/>
  <c r="Z26" i="1"/>
  <c r="Z25" i="1"/>
  <c r="Z24" i="1"/>
  <c r="Z23" i="1"/>
  <c r="Z22" i="1"/>
  <c r="Z21" i="1"/>
  <c r="Z20" i="1"/>
  <c r="Z19" i="1"/>
  <c r="Z18" i="1"/>
  <c r="Z17" i="1"/>
  <c r="Z16" i="1"/>
  <c r="Z15" i="1"/>
  <c r="Z14" i="1"/>
  <c r="Z13" i="1"/>
  <c r="Z12" i="1"/>
  <c r="Z11" i="1"/>
  <c r="Z10" i="1"/>
  <c r="Z9" i="1"/>
  <c r="Z8" i="1"/>
  <c r="Z7" i="1"/>
  <c r="Z6" i="1"/>
  <c r="Z5" i="1"/>
  <c r="Z4" i="1"/>
  <c r="W44" i="1"/>
  <c r="W43" i="1"/>
  <c r="W42" i="1"/>
  <c r="W41" i="1"/>
  <c r="W40" i="1"/>
  <c r="W39" i="1"/>
  <c r="W38" i="1"/>
  <c r="W37" i="1"/>
  <c r="W36" i="1"/>
  <c r="W35" i="1"/>
  <c r="W34" i="1"/>
  <c r="W33" i="1"/>
  <c r="W32" i="1"/>
  <c r="W31" i="1"/>
  <c r="W30" i="1"/>
  <c r="W29" i="1"/>
  <c r="W28" i="1"/>
  <c r="W27" i="1"/>
  <c r="W26" i="1"/>
  <c r="W25" i="1"/>
  <c r="W24" i="1"/>
  <c r="W23" i="1"/>
  <c r="W22" i="1"/>
  <c r="W21" i="1"/>
  <c r="W20" i="1"/>
  <c r="W19" i="1"/>
  <c r="W18" i="1"/>
  <c r="W17" i="1"/>
  <c r="W16" i="1"/>
  <c r="W15" i="1"/>
  <c r="W14" i="1"/>
  <c r="W13" i="1"/>
  <c r="W12" i="1"/>
  <c r="W11" i="1"/>
  <c r="W10" i="1"/>
  <c r="W9" i="1"/>
  <c r="W8" i="1"/>
  <c r="W7" i="1"/>
  <c r="W6" i="1"/>
  <c r="W5" i="1"/>
  <c r="W4" i="1"/>
  <c r="T44" i="1"/>
  <c r="T43" i="1"/>
  <c r="T42" i="1"/>
  <c r="T41" i="1"/>
  <c r="T40" i="1"/>
  <c r="T39" i="1"/>
  <c r="T38" i="1"/>
  <c r="T37" i="1"/>
  <c r="T36" i="1"/>
  <c r="T35" i="1"/>
  <c r="T34" i="1"/>
  <c r="T33" i="1"/>
  <c r="T32" i="1"/>
  <c r="T31" i="1"/>
  <c r="T30" i="1"/>
  <c r="T29" i="1"/>
  <c r="T28" i="1"/>
  <c r="T27" i="1"/>
  <c r="T26" i="1"/>
  <c r="T25" i="1"/>
  <c r="T24" i="1"/>
  <c r="T23" i="1"/>
  <c r="T22" i="1"/>
  <c r="T21" i="1"/>
  <c r="T20" i="1"/>
  <c r="T19" i="1"/>
  <c r="T18" i="1"/>
  <c r="T17" i="1"/>
  <c r="T16" i="1"/>
  <c r="T15" i="1"/>
  <c r="T14" i="1"/>
  <c r="T13" i="1"/>
  <c r="T12" i="1"/>
  <c r="T11" i="1"/>
  <c r="T10" i="1"/>
  <c r="T9" i="1"/>
  <c r="T8" i="1"/>
  <c r="T7" i="1"/>
  <c r="T6" i="1"/>
  <c r="T5" i="1"/>
  <c r="T4" i="1"/>
  <c r="Q44" i="1"/>
  <c r="Q43" i="1"/>
  <c r="Q42" i="1"/>
  <c r="Q41" i="1"/>
  <c r="Q40" i="1"/>
  <c r="Q39" i="1"/>
  <c r="Q38" i="1"/>
  <c r="Q37" i="1"/>
  <c r="Q36" i="1"/>
  <c r="Q35" i="1"/>
  <c r="Q34" i="1"/>
  <c r="Q33" i="1"/>
  <c r="Q32" i="1"/>
  <c r="Q31" i="1"/>
  <c r="Q30" i="1"/>
  <c r="Q29" i="1"/>
  <c r="Q28" i="1"/>
  <c r="Q27" i="1"/>
  <c r="Q26" i="1"/>
  <c r="Q25" i="1"/>
  <c r="Q24" i="1"/>
  <c r="Q23" i="1"/>
  <c r="Q22" i="1"/>
  <c r="Q21" i="1"/>
  <c r="Q20" i="1"/>
  <c r="Q19" i="1"/>
  <c r="Q18" i="1"/>
  <c r="Q17" i="1"/>
  <c r="Q16" i="1"/>
  <c r="Q15" i="1"/>
  <c r="Q14" i="1"/>
  <c r="Q13" i="1"/>
  <c r="Q12" i="1"/>
  <c r="Q11" i="1"/>
  <c r="Q10" i="1"/>
  <c r="Q9" i="1"/>
  <c r="Q8" i="1"/>
  <c r="Q7" i="1"/>
  <c r="Q6" i="1"/>
  <c r="Q5" i="1"/>
  <c r="Q4" i="1"/>
  <c r="N44" i="1"/>
  <c r="N42" i="1"/>
  <c r="N41" i="1"/>
  <c r="N40" i="1"/>
  <c r="N39" i="1"/>
  <c r="N38" i="1"/>
  <c r="N37" i="1"/>
  <c r="N36" i="1"/>
  <c r="N35" i="1"/>
  <c r="N34" i="1"/>
  <c r="N33" i="1"/>
  <c r="N32" i="1"/>
  <c r="N31" i="1"/>
  <c r="N30" i="1"/>
  <c r="N29" i="1"/>
  <c r="N28" i="1"/>
  <c r="N27" i="1"/>
  <c r="N26" i="1"/>
  <c r="N25" i="1"/>
  <c r="N24" i="1"/>
  <c r="N23" i="1"/>
  <c r="N22" i="1"/>
  <c r="N21" i="1"/>
  <c r="N20" i="1"/>
  <c r="N19" i="1"/>
  <c r="N18" i="1"/>
  <c r="N17" i="1"/>
  <c r="N16" i="1"/>
  <c r="N15" i="1"/>
  <c r="N14" i="1"/>
  <c r="N13" i="1"/>
  <c r="N12" i="1"/>
  <c r="N11" i="1"/>
  <c r="N10" i="1"/>
  <c r="N9" i="1"/>
  <c r="N8" i="1"/>
  <c r="N7" i="1"/>
  <c r="N6" i="1"/>
  <c r="N5" i="1"/>
  <c r="N4" i="1"/>
  <c r="K44" i="1"/>
  <c r="K43" i="1"/>
  <c r="K42" i="1"/>
  <c r="K41" i="1"/>
  <c r="K40" i="1"/>
  <c r="K39" i="1"/>
  <c r="K38" i="1"/>
  <c r="K37" i="1"/>
  <c r="K36" i="1"/>
  <c r="K35" i="1"/>
  <c r="K34" i="1"/>
  <c r="K33" i="1"/>
  <c r="K32" i="1"/>
  <c r="K31" i="1"/>
  <c r="K30" i="1"/>
  <c r="K29" i="1"/>
  <c r="K28" i="1"/>
  <c r="K27" i="1"/>
  <c r="K26" i="1"/>
  <c r="K25" i="1"/>
  <c r="K24" i="1"/>
  <c r="K23" i="1"/>
  <c r="K22" i="1"/>
  <c r="K21" i="1"/>
  <c r="K20" i="1"/>
  <c r="K19" i="1"/>
  <c r="K18" i="1"/>
  <c r="K17" i="1"/>
  <c r="K16" i="1"/>
  <c r="K15" i="1"/>
  <c r="K14" i="1"/>
  <c r="K13" i="1"/>
  <c r="K12" i="1"/>
  <c r="K11" i="1"/>
  <c r="K10" i="1"/>
  <c r="K9" i="1"/>
  <c r="K8" i="1"/>
  <c r="K7" i="1"/>
  <c r="K6" i="1"/>
  <c r="K5" i="1"/>
  <c r="K4" i="1"/>
  <c r="H44" i="1"/>
  <c r="H43" i="1"/>
  <c r="H42" i="1"/>
  <c r="H41" i="1"/>
  <c r="H40" i="1"/>
  <c r="H39" i="1"/>
  <c r="H38" i="1"/>
  <c r="H37" i="1"/>
  <c r="H36" i="1"/>
  <c r="H35" i="1"/>
  <c r="H34" i="1"/>
  <c r="H33" i="1"/>
  <c r="H32" i="1"/>
  <c r="H31" i="1"/>
  <c r="H30" i="1"/>
  <c r="H29" i="1"/>
  <c r="H28" i="1"/>
  <c r="H27" i="1"/>
  <c r="H26" i="1"/>
  <c r="H25" i="1"/>
  <c r="H24" i="1"/>
  <c r="H23" i="1"/>
  <c r="H22" i="1"/>
  <c r="H21" i="1"/>
  <c r="H20" i="1"/>
  <c r="H19" i="1"/>
  <c r="H18" i="1"/>
  <c r="H17" i="1"/>
  <c r="H16" i="1"/>
  <c r="H15" i="1"/>
  <c r="H14" i="1"/>
  <c r="H13" i="1"/>
  <c r="H12" i="1"/>
  <c r="H11" i="1"/>
  <c r="H10" i="1"/>
  <c r="H9" i="1"/>
  <c r="H8" i="1"/>
  <c r="H7" i="1"/>
  <c r="H6" i="1"/>
  <c r="H5" i="1"/>
  <c r="H4" i="1"/>
  <c r="E44" i="1"/>
  <c r="E43" i="1"/>
  <c r="E42" i="1"/>
  <c r="E41" i="1"/>
  <c r="E40" i="1"/>
  <c r="E39" i="1"/>
  <c r="E38" i="1"/>
  <c r="E37" i="1"/>
  <c r="E36" i="1"/>
  <c r="E35" i="1"/>
  <c r="E34" i="1"/>
  <c r="E33" i="1"/>
  <c r="E32" i="1"/>
  <c r="E31" i="1"/>
  <c r="E30" i="1"/>
  <c r="E29" i="1"/>
  <c r="E28" i="1"/>
  <c r="E27" i="1"/>
  <c r="E26" i="1"/>
  <c r="E25" i="1"/>
  <c r="E24" i="1"/>
  <c r="E23" i="1"/>
  <c r="E22" i="1"/>
  <c r="E21" i="1"/>
  <c r="E20" i="1"/>
  <c r="E19" i="1"/>
  <c r="E18" i="1"/>
  <c r="E17" i="1"/>
  <c r="E16" i="1"/>
  <c r="E15" i="1"/>
  <c r="E14" i="1"/>
  <c r="E13" i="1"/>
  <c r="E11" i="1"/>
  <c r="E10" i="1"/>
  <c r="E9" i="1"/>
  <c r="E8" i="1"/>
  <c r="E7" i="1"/>
  <c r="E6" i="1"/>
  <c r="E5" i="1"/>
  <c r="E4" i="1"/>
  <c r="E12" i="1"/>
  <c r="AQ5" i="1"/>
  <c r="AP4" i="1" l="1"/>
  <c r="AP3" i="1" s="1"/>
  <c r="AI3" i="1"/>
  <c r="Z3" i="1"/>
  <c r="AO7" i="1"/>
  <c r="AO15" i="1"/>
  <c r="E3" i="1"/>
  <c r="AO10" i="1"/>
  <c r="AO18" i="1"/>
  <c r="AO26" i="1"/>
  <c r="AO34" i="1"/>
  <c r="AO42" i="1"/>
  <c r="AO11" i="1"/>
  <c r="AO27" i="1"/>
  <c r="AO35" i="1"/>
  <c r="AO43" i="1"/>
  <c r="AO20" i="1"/>
  <c r="AO28" i="1"/>
  <c r="AO36" i="1"/>
  <c r="AO44" i="1"/>
  <c r="AO5" i="1"/>
  <c r="AO13" i="1"/>
  <c r="AO21" i="1"/>
  <c r="AO29" i="1"/>
  <c r="AO37" i="1"/>
  <c r="AO6" i="1"/>
  <c r="AO14" i="1"/>
  <c r="AO22" i="1"/>
  <c r="AO30" i="1"/>
  <c r="AO38" i="1"/>
  <c r="AO31" i="1"/>
  <c r="AO39" i="1"/>
  <c r="AO8" i="1"/>
  <c r="AO16" i="1"/>
  <c r="AO24" i="1"/>
  <c r="AO32" i="1"/>
  <c r="AO40" i="1"/>
  <c r="AO9" i="1"/>
  <c r="AO17" i="1"/>
  <c r="AO25" i="1"/>
  <c r="AO33" i="1"/>
  <c r="AO41" i="1"/>
  <c r="AO19" i="1"/>
  <c r="AO23" i="1"/>
  <c r="AQ4" i="1"/>
  <c r="AQ3" i="1" l="1"/>
  <c r="AO3" i="1" s="1"/>
  <c r="AO4" i="1"/>
  <c r="AO12" i="1"/>
</calcChain>
</file>

<file path=xl/sharedStrings.xml><?xml version="1.0" encoding="utf-8"?>
<sst xmlns="http://schemas.openxmlformats.org/spreadsheetml/2006/main" count="146" uniqueCount="92">
  <si>
    <t>January</t>
  </si>
  <si>
    <t>February</t>
  </si>
  <si>
    <t>March</t>
  </si>
  <si>
    <t>April</t>
  </si>
  <si>
    <t>May</t>
  </si>
  <si>
    <t>June</t>
  </si>
  <si>
    <t>July</t>
  </si>
  <si>
    <t>August</t>
  </si>
  <si>
    <t>September</t>
  </si>
  <si>
    <t>October</t>
  </si>
  <si>
    <t>November</t>
  </si>
  <si>
    <t>December</t>
  </si>
  <si>
    <t>Total</t>
  </si>
  <si>
    <t>Unit of Measure</t>
  </si>
  <si>
    <t>Unit Value</t>
  </si>
  <si>
    <t>Qty</t>
  </si>
  <si>
    <t>World Total</t>
  </si>
  <si>
    <t>MT</t>
  </si>
  <si>
    <t>Costa Rica</t>
  </si>
  <si>
    <t>Australia(*)</t>
  </si>
  <si>
    <t>Canada</t>
  </si>
  <si>
    <t>Colombia</t>
  </si>
  <si>
    <t>Dominican Republic</t>
  </si>
  <si>
    <t>Korea, South</t>
  </si>
  <si>
    <t>Jamaica</t>
  </si>
  <si>
    <t>Mexico</t>
  </si>
  <si>
    <t>United Arab Emirates</t>
  </si>
  <si>
    <t>Barbados</t>
  </si>
  <si>
    <t>Bahamas, The</t>
  </si>
  <si>
    <t>Belize</t>
  </si>
  <si>
    <t>China</t>
  </si>
  <si>
    <t>El Salvador</t>
  </si>
  <si>
    <t>Guatemala</t>
  </si>
  <si>
    <t>Honduras</t>
  </si>
  <si>
    <t>Japan</t>
  </si>
  <si>
    <t>Netherlands</t>
  </si>
  <si>
    <t>Nicaragua</t>
  </si>
  <si>
    <t>Panama</t>
  </si>
  <si>
    <t>Trinidad and Tobago</t>
  </si>
  <si>
    <t>Leeward-Windward Islands(*)</t>
  </si>
  <si>
    <t>Notes:</t>
  </si>
  <si>
    <t>2. (*) denotes a country that is a summarization of its component countries.</t>
  </si>
  <si>
    <t>3. Users should use cautious interpretation on QUANTITY reports using mixed units of measure. QUANTITY line items will only include statistics on the units of measure that are equal to, or are able to be converted to, the assigned unit of measure of the grouped commodities.</t>
  </si>
  <si>
    <t>Country</t>
    <phoneticPr fontId="18" type="noConversion"/>
  </si>
  <si>
    <t>Value</t>
    <phoneticPr fontId="18" type="noConversion"/>
  </si>
  <si>
    <t>USD</t>
    <phoneticPr fontId="18" type="noConversion"/>
  </si>
  <si>
    <t>Value</t>
    <phoneticPr fontId="18" type="noConversion"/>
  </si>
  <si>
    <t>Bahrain</t>
  </si>
  <si>
    <t>Guyana</t>
  </si>
  <si>
    <t>Hong Kong</t>
  </si>
  <si>
    <t>Jordan</t>
  </si>
  <si>
    <t>Netherlands Antilles(*)</t>
  </si>
  <si>
    <t>Singapore</t>
  </si>
  <si>
    <t>Saudi Arabia</t>
  </si>
  <si>
    <t>Kuwait</t>
  </si>
  <si>
    <t>Chile</t>
  </si>
  <si>
    <t>Lebanon</t>
  </si>
  <si>
    <t>Congo (Kinshasa)</t>
  </si>
  <si>
    <t>Qatar</t>
  </si>
  <si>
    <t>Oman</t>
  </si>
  <si>
    <t>India</t>
  </si>
  <si>
    <t>Cayman Islands</t>
  </si>
  <si>
    <t>Bermuda</t>
  </si>
  <si>
    <t>Belgium-Luxembourg(*)</t>
  </si>
  <si>
    <t>Bangladesh</t>
  </si>
  <si>
    <t>Brazil</t>
  </si>
  <si>
    <t>Brunei</t>
  </si>
  <si>
    <t>Equatorial Guinea</t>
  </si>
  <si>
    <t>France(*)</t>
  </si>
  <si>
    <t>Iceland</t>
  </si>
  <si>
    <t>Indonesia</t>
  </si>
  <si>
    <t>Peru</t>
  </si>
  <si>
    <t>Philippines</t>
  </si>
  <si>
    <t>Russia</t>
  </si>
  <si>
    <t>United Kingdom</t>
  </si>
  <si>
    <t>Turkey</t>
  </si>
  <si>
    <t>World Total_FLY-RFND</t>
    <phoneticPr fontId="18" type="noConversion"/>
  </si>
  <si>
    <t>1. Data Source: U.S. Census Bureau Trade Data</t>
  </si>
  <si>
    <t>4. Product Group : Harmonized</t>
  </si>
  <si>
    <t>Product</t>
    <phoneticPr fontId="18" type="noConversion"/>
  </si>
  <si>
    <t>SOY OIL FLY-RFND</t>
    <phoneticPr fontId="18" type="noConversion"/>
  </si>
  <si>
    <t>World Total_ONC-RFND</t>
    <phoneticPr fontId="18" type="noConversion"/>
  </si>
  <si>
    <t>SOY OIL ONC-RFND</t>
    <phoneticPr fontId="18" type="noConversion"/>
  </si>
  <si>
    <t>Soybean Oil, Refined</t>
    <phoneticPr fontId="18" type="noConversion"/>
  </si>
  <si>
    <t>Greece</t>
  </si>
  <si>
    <t>Haiti</t>
  </si>
  <si>
    <t>Israel(*)</t>
  </si>
  <si>
    <t>Malawi</t>
  </si>
  <si>
    <t>Suriname</t>
  </si>
  <si>
    <t>South Africa</t>
  </si>
  <si>
    <t>Namibia</t>
  </si>
  <si>
    <t>Malaysia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</si>
</sst>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76" formatCode="#,##0.0_);[Red]\(#,##0.0\)"/>
    <numFmt numFmtId="177" formatCode="#,##0.0_ "/>
  </numFmts>
  <fonts count="19"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65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rgb="FFDDEBF7"/>
        <bgColor indexed="64"/>
      </patternFill>
    </fill>
  </fills>
  <borders count="2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7"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7" fillId="32" borderId="0" applyNumberFormat="0" applyBorder="0" applyAlignment="0" applyProtection="0">
      <alignment vertical="center"/>
    </xf>
  </cellStyleXfs>
  <cellXfs count="35">
    <xf numFmtId="0" fontId="0" fillId="0" borderId="0" xfId="0">
      <alignment vertical="center"/>
    </xf>
    <xf numFmtId="49" fontId="0" fillId="0" borderId="0" xfId="0" applyNumberFormat="1">
      <alignment vertical="center"/>
    </xf>
    <xf numFmtId="49" fontId="0" fillId="0" borderId="0" xfId="0" applyNumberFormat="1" applyAlignment="1">
      <alignment horizontal="center" vertical="center"/>
    </xf>
    <xf numFmtId="176" fontId="0" fillId="0" borderId="0" xfId="0" applyNumberFormat="1" applyAlignment="1">
      <alignment horizontal="center" vertical="center"/>
    </xf>
    <xf numFmtId="49" fontId="0" fillId="0" borderId="16" xfId="0" applyNumberFormat="1" applyBorder="1" applyAlignment="1">
      <alignment horizontal="center" vertical="center"/>
    </xf>
    <xf numFmtId="49" fontId="0" fillId="0" borderId="17" xfId="0" applyNumberFormat="1" applyBorder="1" applyAlignment="1">
      <alignment horizontal="center" vertical="center"/>
    </xf>
    <xf numFmtId="176" fontId="0" fillId="0" borderId="18" xfId="0" applyNumberFormat="1" applyBorder="1" applyAlignment="1">
      <alignment horizontal="center" vertical="center"/>
    </xf>
    <xf numFmtId="49" fontId="0" fillId="0" borderId="18" xfId="0" applyNumberFormat="1" applyBorder="1">
      <alignment vertical="center"/>
    </xf>
    <xf numFmtId="177" fontId="0" fillId="0" borderId="0" xfId="0" applyNumberFormat="1" applyAlignment="1">
      <alignment horizontal="center" vertical="center"/>
    </xf>
    <xf numFmtId="177" fontId="0" fillId="0" borderId="18" xfId="0" applyNumberFormat="1" applyBorder="1" applyAlignment="1">
      <alignment horizontal="center" vertical="center"/>
    </xf>
    <xf numFmtId="176" fontId="0" fillId="0" borderId="0" xfId="0" applyNumberFormat="1" applyBorder="1" applyAlignment="1">
      <alignment horizontal="center" vertical="center"/>
    </xf>
    <xf numFmtId="177" fontId="0" fillId="0" borderId="0" xfId="0" applyNumberFormat="1" applyBorder="1" applyAlignment="1">
      <alignment horizontal="center" vertical="center"/>
    </xf>
    <xf numFmtId="176" fontId="0" fillId="0" borderId="22" xfId="0" applyNumberFormat="1" applyBorder="1" applyAlignment="1">
      <alignment horizontal="center" vertical="center"/>
    </xf>
    <xf numFmtId="177" fontId="0" fillId="0" borderId="20" xfId="0" applyNumberFormat="1" applyBorder="1" applyAlignment="1">
      <alignment horizontal="center" vertical="center"/>
    </xf>
    <xf numFmtId="177" fontId="0" fillId="0" borderId="21" xfId="0" applyNumberFormat="1" applyBorder="1" applyAlignment="1">
      <alignment horizontal="center" vertical="center"/>
    </xf>
    <xf numFmtId="177" fontId="0" fillId="0" borderId="19" xfId="0" applyNumberFormat="1" applyBorder="1" applyAlignment="1">
      <alignment horizontal="center" vertical="center"/>
    </xf>
    <xf numFmtId="177" fontId="0" fillId="0" borderId="22" xfId="0" applyNumberFormat="1" applyBorder="1" applyAlignment="1">
      <alignment horizontal="center" vertical="center"/>
    </xf>
    <xf numFmtId="0" fontId="0" fillId="0" borderId="18" xfId="0" applyBorder="1">
      <alignment vertical="center"/>
    </xf>
    <xf numFmtId="0" fontId="0" fillId="0" borderId="21" xfId="0" applyBorder="1">
      <alignment vertical="center"/>
    </xf>
    <xf numFmtId="49" fontId="0" fillId="0" borderId="17" xfId="0" applyNumberFormat="1" applyBorder="1">
      <alignment vertical="center"/>
    </xf>
    <xf numFmtId="49" fontId="0" fillId="33" borderId="10" xfId="0" applyNumberFormat="1" applyFill="1" applyBorder="1" applyAlignment="1">
      <alignment horizontal="center" vertical="center"/>
    </xf>
    <xf numFmtId="49" fontId="0" fillId="33" borderId="11" xfId="0" applyNumberFormat="1" applyFill="1" applyBorder="1" applyAlignment="1">
      <alignment horizontal="center" vertical="center"/>
    </xf>
    <xf numFmtId="49" fontId="0" fillId="33" borderId="12" xfId="0" applyNumberFormat="1" applyFill="1" applyBorder="1" applyAlignment="1">
      <alignment horizontal="center" vertical="center"/>
    </xf>
    <xf numFmtId="49" fontId="0" fillId="34" borderId="10" xfId="0" applyNumberFormat="1" applyFill="1" applyBorder="1" applyAlignment="1">
      <alignment horizontal="center" vertical="center"/>
    </xf>
    <xf numFmtId="49" fontId="0" fillId="34" borderId="11" xfId="0" applyNumberFormat="1" applyFill="1" applyBorder="1" applyAlignment="1">
      <alignment horizontal="center" vertical="center"/>
    </xf>
    <xf numFmtId="49" fontId="0" fillId="34" borderId="12" xfId="0" applyNumberFormat="1" applyFill="1" applyBorder="1" applyAlignment="1">
      <alignment horizontal="center" vertical="center"/>
    </xf>
    <xf numFmtId="49" fontId="0" fillId="0" borderId="13" xfId="0" applyNumberFormat="1" applyBorder="1" applyAlignment="1">
      <alignment horizontal="center" vertical="center"/>
    </xf>
    <xf numFmtId="49" fontId="0" fillId="0" borderId="14" xfId="0" applyNumberFormat="1" applyBorder="1" applyAlignment="1">
      <alignment horizontal="center" vertical="center"/>
    </xf>
    <xf numFmtId="49" fontId="0" fillId="0" borderId="15" xfId="0" applyNumberFormat="1" applyBorder="1" applyAlignment="1">
      <alignment horizontal="center" vertical="center"/>
    </xf>
    <xf numFmtId="0" fontId="0" fillId="0" borderId="13" xfId="0" applyBorder="1" applyAlignment="1">
      <alignment horizontal="center" vertical="center"/>
    </xf>
    <xf numFmtId="0" fontId="0" fillId="0" borderId="14" xfId="0" applyBorder="1" applyAlignment="1">
      <alignment horizontal="center" vertical="center"/>
    </xf>
    <xf numFmtId="0" fontId="0" fillId="0" borderId="15" xfId="0" applyBorder="1" applyAlignment="1">
      <alignment horizontal="center" vertical="center"/>
    </xf>
    <xf numFmtId="176" fontId="0" fillId="0" borderId="19" xfId="0" applyNumberFormat="1" applyBorder="1" applyAlignment="1">
      <alignment horizontal="center" vertical="center"/>
    </xf>
    <xf numFmtId="176" fontId="0" fillId="0" borderId="20" xfId="0" applyNumberFormat="1" applyBorder="1" applyAlignment="1">
      <alignment horizontal="center" vertical="center"/>
    </xf>
    <xf numFmtId="176" fontId="0" fillId="0" borderId="21" xfId="0" applyNumberFormat="1" applyBorder="1" applyAlignment="1">
      <alignment horizontal="center" vertical="center"/>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colors>
    <mruColors>
      <color rgb="FFDDEB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O87"/>
  <sheetViews>
    <sheetView showGridLines="0" tabSelected="1" workbookViewId="0">
      <pane ySplit="2" topLeftCell="A4" activePane="bottomLeft" state="frozen"/>
      <selection pane="bottomLeft" activeCell="F4" sqref="F4"/>
    </sheetView>
  </sheetViews>
  <sheetFormatPr defaultRowHeight="16.5" x14ac:dyDescent="0.3"/>
  <cols>
    <col min="3" max="3" width="16" bestFit="1" customWidth="1"/>
    <col min="4" max="4" width="16" customWidth="1"/>
    <col min="5" max="5" width="9.125" bestFit="1" customWidth="1"/>
    <col min="6" max="7" width="12.5" bestFit="1" customWidth="1"/>
    <col min="8" max="8" width="9.125" bestFit="1" customWidth="1"/>
    <col min="9" max="9" width="12.5" bestFit="1" customWidth="1"/>
    <col min="10" max="11" width="9.125" bestFit="1" customWidth="1"/>
    <col min="12" max="12" width="12.5" bestFit="1" customWidth="1"/>
    <col min="13" max="14" width="9.125" bestFit="1" customWidth="1"/>
    <col min="15" max="15" width="12.5" bestFit="1" customWidth="1"/>
    <col min="16" max="16" width="9.125" bestFit="1" customWidth="1"/>
    <col min="17" max="17" width="9.875" bestFit="1" customWidth="1"/>
    <col min="18" max="18" width="12.5" bestFit="1" customWidth="1"/>
    <col min="19" max="20" width="9.125" bestFit="1" customWidth="1"/>
    <col min="21" max="21" width="12.5" bestFit="1" customWidth="1"/>
    <col min="22" max="23" width="9.125" bestFit="1" customWidth="1"/>
    <col min="24" max="24" width="12.5" bestFit="1" customWidth="1"/>
    <col min="25" max="26" width="9.125" bestFit="1" customWidth="1"/>
    <col min="27" max="27" width="12.5" bestFit="1" customWidth="1"/>
    <col min="28" max="29" width="9.125" bestFit="1" customWidth="1"/>
    <col min="30" max="30" width="11.375" bestFit="1" customWidth="1"/>
    <col min="31" max="32" width="9.125" bestFit="1" customWidth="1"/>
    <col min="33" max="33" width="12.5" bestFit="1" customWidth="1"/>
    <col min="34" max="35" width="9.125" bestFit="1" customWidth="1"/>
    <col min="36" max="36" width="12.5" bestFit="1" customWidth="1"/>
    <col min="37" max="38" width="9.125" bestFit="1" customWidth="1"/>
    <col min="39" max="39" width="11.375" bestFit="1" customWidth="1"/>
    <col min="40" max="40" width="9.125" bestFit="1" customWidth="1"/>
    <col min="41" max="41" width="10.75" bestFit="1" customWidth="1"/>
    <col min="42" max="42" width="13.625" bestFit="1" customWidth="1"/>
    <col min="43" max="43" width="12.5" bestFit="1" customWidth="1"/>
  </cols>
  <sheetData>
    <row r="1" spans="1:67" x14ac:dyDescent="0.3">
      <c r="A1" s="1"/>
      <c r="B1" s="1"/>
      <c r="C1" s="1"/>
      <c r="D1" s="1"/>
      <c r="E1" s="23" t="s">
        <v>0</v>
      </c>
      <c r="F1" s="24"/>
      <c r="G1" s="25"/>
      <c r="H1" s="20" t="s">
        <v>1</v>
      </c>
      <c r="I1" s="21"/>
      <c r="J1" s="22"/>
      <c r="K1" s="20" t="s">
        <v>2</v>
      </c>
      <c r="L1" s="21"/>
      <c r="M1" s="22"/>
      <c r="N1" s="20" t="s">
        <v>3</v>
      </c>
      <c r="O1" s="21"/>
      <c r="P1" s="22"/>
      <c r="Q1" s="20" t="s">
        <v>4</v>
      </c>
      <c r="R1" s="21"/>
      <c r="S1" s="22"/>
      <c r="T1" s="20" t="s">
        <v>5</v>
      </c>
      <c r="U1" s="21"/>
      <c r="V1" s="22"/>
      <c r="W1" s="20" t="s">
        <v>6</v>
      </c>
      <c r="X1" s="21"/>
      <c r="Y1" s="22"/>
      <c r="Z1" s="20" t="s">
        <v>7</v>
      </c>
      <c r="AA1" s="21"/>
      <c r="AB1" s="22"/>
      <c r="AC1" s="20" t="s">
        <v>8</v>
      </c>
      <c r="AD1" s="21"/>
      <c r="AE1" s="22"/>
      <c r="AF1" s="20" t="s">
        <v>9</v>
      </c>
      <c r="AG1" s="21"/>
      <c r="AH1" s="22"/>
      <c r="AI1" s="20" t="s">
        <v>10</v>
      </c>
      <c r="AJ1" s="21"/>
      <c r="AK1" s="22"/>
      <c r="AL1" s="20" t="s">
        <v>11</v>
      </c>
      <c r="AM1" s="21"/>
      <c r="AN1" s="22"/>
      <c r="AO1" s="20" t="s">
        <v>12</v>
      </c>
      <c r="AP1" s="21"/>
      <c r="AQ1" s="22"/>
    </row>
    <row r="2" spans="1:67" x14ac:dyDescent="0.3">
      <c r="A2" s="2" t="s">
        <v>43</v>
      </c>
      <c r="B2" s="2" t="s">
        <v>79</v>
      </c>
      <c r="C2" s="2" t="s">
        <v>13</v>
      </c>
      <c r="D2" s="2" t="s">
        <v>44</v>
      </c>
      <c r="E2" s="4" t="s">
        <v>14</v>
      </c>
      <c r="F2" s="2" t="s">
        <v>44</v>
      </c>
      <c r="G2" s="5" t="s">
        <v>15</v>
      </c>
      <c r="H2" s="2" t="s">
        <v>14</v>
      </c>
      <c r="I2" s="2" t="s">
        <v>44</v>
      </c>
      <c r="J2" s="5" t="s">
        <v>15</v>
      </c>
      <c r="K2" s="2" t="s">
        <v>14</v>
      </c>
      <c r="L2" s="2" t="s">
        <v>44</v>
      </c>
      <c r="M2" s="5" t="s">
        <v>15</v>
      </c>
      <c r="N2" s="2" t="s">
        <v>14</v>
      </c>
      <c r="O2" s="2" t="s">
        <v>44</v>
      </c>
      <c r="P2" s="5" t="s">
        <v>15</v>
      </c>
      <c r="Q2" s="2" t="s">
        <v>14</v>
      </c>
      <c r="R2" s="2" t="s">
        <v>44</v>
      </c>
      <c r="S2" s="5" t="s">
        <v>15</v>
      </c>
      <c r="T2" s="2" t="s">
        <v>14</v>
      </c>
      <c r="U2" s="2" t="s">
        <v>44</v>
      </c>
      <c r="V2" s="5" t="s">
        <v>15</v>
      </c>
      <c r="W2" s="2" t="s">
        <v>14</v>
      </c>
      <c r="X2" s="2" t="s">
        <v>44</v>
      </c>
      <c r="Y2" s="5" t="s">
        <v>15</v>
      </c>
      <c r="Z2" s="2" t="s">
        <v>14</v>
      </c>
      <c r="AA2" s="2" t="s">
        <v>44</v>
      </c>
      <c r="AB2" s="5" t="s">
        <v>15</v>
      </c>
      <c r="AC2" s="2" t="s">
        <v>14</v>
      </c>
      <c r="AD2" s="2" t="s">
        <v>44</v>
      </c>
      <c r="AE2" s="5" t="s">
        <v>15</v>
      </c>
      <c r="AF2" s="2" t="s">
        <v>14</v>
      </c>
      <c r="AG2" s="2" t="s">
        <v>44</v>
      </c>
      <c r="AH2" s="5" t="s">
        <v>15</v>
      </c>
      <c r="AI2" s="2" t="s">
        <v>14</v>
      </c>
      <c r="AJ2" s="2" t="s">
        <v>44</v>
      </c>
      <c r="AK2" s="5" t="s">
        <v>15</v>
      </c>
      <c r="AL2" s="2" t="s">
        <v>14</v>
      </c>
      <c r="AM2" s="2" t="s">
        <v>44</v>
      </c>
      <c r="AN2" s="5" t="s">
        <v>15</v>
      </c>
      <c r="AO2" s="2" t="s">
        <v>14</v>
      </c>
      <c r="AP2" s="2" t="s">
        <v>46</v>
      </c>
      <c r="AQ2" s="5" t="s">
        <v>15</v>
      </c>
    </row>
    <row r="3" spans="1:67" ht="15" customHeight="1" x14ac:dyDescent="0.3">
      <c r="A3" s="7" t="s">
        <v>16</v>
      </c>
      <c r="B3" s="1" t="s">
        <v>83</v>
      </c>
      <c r="C3" s="26" t="s">
        <v>17</v>
      </c>
      <c r="D3" s="26" t="s">
        <v>45</v>
      </c>
      <c r="E3" s="32">
        <f>F3/G3</f>
        <v>960.25861735047408</v>
      </c>
      <c r="F3" s="33">
        <f>SUM(F4,F62)</f>
        <v>22311705</v>
      </c>
      <c r="G3" s="34">
        <f>SUM(G4,G62)</f>
        <v>23235.1</v>
      </c>
      <c r="H3" s="33">
        <f>I3/J3</f>
        <v>966.08055753837505</v>
      </c>
      <c r="I3" s="33">
        <f>SUM(I4,I62)</f>
        <v>17729607</v>
      </c>
      <c r="J3" s="34">
        <f>SUM(J4,J62)</f>
        <v>18352.099999999988</v>
      </c>
      <c r="K3" s="33">
        <f>L3/M3</f>
        <v>901.51109240947221</v>
      </c>
      <c r="L3" s="33">
        <f>SUM(L4,L62)</f>
        <v>23138364</v>
      </c>
      <c r="M3" s="34">
        <f>SUM(M4,M62)</f>
        <v>25666.200000000004</v>
      </c>
      <c r="N3" s="33">
        <f>O3/P3</f>
        <v>865.3182991591683</v>
      </c>
      <c r="O3" s="33">
        <f>SUM(O4,O62)</f>
        <v>23463971</v>
      </c>
      <c r="P3" s="34">
        <f>SUM(P4,P62)</f>
        <v>27115.999999999993</v>
      </c>
      <c r="Q3" s="33">
        <f>R3/S3</f>
        <v>896.5236479423636</v>
      </c>
      <c r="R3" s="33">
        <f>SUM(R4,R62)</f>
        <v>22299412</v>
      </c>
      <c r="S3" s="34">
        <f>SUM(S4,S62)</f>
        <v>24873.200000000001</v>
      </c>
      <c r="T3" s="33">
        <f>U3/V3</f>
        <v>975.28321848681003</v>
      </c>
      <c r="U3" s="33">
        <f>SUM(U4,U62)</f>
        <v>14011894</v>
      </c>
      <c r="V3" s="34">
        <f>SUM(V4,V62)</f>
        <v>14367</v>
      </c>
      <c r="W3" s="33">
        <f>X3/Y3</f>
        <v>917.56600848465882</v>
      </c>
      <c r="X3" s="33">
        <f>SUM(X4,X62)</f>
        <v>22904925</v>
      </c>
      <c r="Y3" s="34">
        <f>SUM(Y4,Y62)</f>
        <v>24962.700000000008</v>
      </c>
      <c r="Z3" s="33">
        <f>AA3/AB3</f>
        <v>970.80334749449764</v>
      </c>
      <c r="AA3" s="33">
        <f>SUM(AA4,AA62)</f>
        <v>15173268</v>
      </c>
      <c r="AB3" s="34">
        <f>SUM(AB4,AB62)</f>
        <v>15629.6</v>
      </c>
      <c r="AC3" s="33">
        <f>AD3/AE3</f>
        <v>997.16441292876027</v>
      </c>
      <c r="AD3" s="33">
        <f>SUM(AD4,AD62)</f>
        <v>16931054</v>
      </c>
      <c r="AE3" s="34">
        <f>SUM(AE4,AE62)</f>
        <v>16979.199999999993</v>
      </c>
      <c r="AF3" s="33">
        <f>AG3/AH3</f>
        <v>975.90489317711956</v>
      </c>
      <c r="AG3" s="33">
        <f>SUM(AG4,AG62)</f>
        <v>15576418</v>
      </c>
      <c r="AH3" s="34">
        <f>SUM(AH4,AH62)</f>
        <v>15960.999999999995</v>
      </c>
      <c r="AI3" s="33">
        <f>AJ3/AK3</f>
        <v>976.72409821975327</v>
      </c>
      <c r="AJ3" s="33">
        <f>SUM(AJ4,AJ62)</f>
        <v>17386568</v>
      </c>
      <c r="AK3" s="34">
        <f>SUM(AK4,AK62)</f>
        <v>17800.899999999994</v>
      </c>
      <c r="AL3" s="33">
        <f>AM3/AN3</f>
        <v>938.65888358136885</v>
      </c>
      <c r="AM3" s="33">
        <f>SUM(AM4,AM62)</f>
        <v>16329567</v>
      </c>
      <c r="AN3" s="34">
        <f>SUM(AN4,AN62)</f>
        <v>17396.7</v>
      </c>
      <c r="AO3" s="33">
        <f>AP3/AQ3</f>
        <v>937.76113860007229</v>
      </c>
      <c r="AP3" s="33">
        <f>SUM(AP4,AP62)</f>
        <v>227256753</v>
      </c>
      <c r="AQ3" s="34">
        <f>SUM(AQ4,AQ62)</f>
        <v>242339.70000000007</v>
      </c>
      <c r="AR3" s="3"/>
      <c r="AS3" s="3"/>
      <c r="AT3" s="3"/>
      <c r="AU3" s="3"/>
      <c r="AV3" s="3"/>
      <c r="AW3" s="3"/>
      <c r="AX3" s="3"/>
      <c r="AY3" s="3"/>
      <c r="AZ3" s="3"/>
      <c r="BA3" s="3"/>
      <c r="BB3" s="3"/>
      <c r="BC3" s="3"/>
      <c r="BD3" s="3"/>
      <c r="BE3" s="3"/>
      <c r="BF3" s="3"/>
      <c r="BG3" s="3"/>
      <c r="BH3" s="3"/>
      <c r="BI3" s="3"/>
      <c r="BJ3" s="3"/>
      <c r="BK3" s="3"/>
      <c r="BL3" s="3"/>
      <c r="BM3" s="3"/>
      <c r="BN3" s="3"/>
      <c r="BO3" s="3"/>
    </row>
    <row r="4" spans="1:67" ht="15" customHeight="1" x14ac:dyDescent="0.3">
      <c r="A4" s="19" t="s">
        <v>76</v>
      </c>
      <c r="B4" s="26" t="s">
        <v>80</v>
      </c>
      <c r="C4" s="27"/>
      <c r="D4" s="27"/>
      <c r="E4" s="3">
        <f t="shared" ref="E4:E11" si="0">F4/G4</f>
        <v>961.01117905971262</v>
      </c>
      <c r="F4" s="3">
        <f>SUM(F5:F61)</f>
        <v>22204836</v>
      </c>
      <c r="G4" s="6">
        <f>SUM(G5:G61)</f>
        <v>23105.699999999997</v>
      </c>
      <c r="H4" s="3">
        <f t="shared" ref="H4:H11" si="1">I4/J4</f>
        <v>964.98748390984088</v>
      </c>
      <c r="I4" s="3">
        <f>SUM(I5:I61)</f>
        <v>17617294</v>
      </c>
      <c r="J4" s="6">
        <f>SUM(J5:J61)</f>
        <v>18256.499999999989</v>
      </c>
      <c r="K4" s="3">
        <f t="shared" ref="K4:K11" si="2">L4/M4</f>
        <v>901.13611598048021</v>
      </c>
      <c r="L4" s="3">
        <f>SUM(L5:L61)</f>
        <v>22824336</v>
      </c>
      <c r="M4" s="6">
        <f>SUM(M5:M61)</f>
        <v>25328.400000000005</v>
      </c>
      <c r="N4" s="3">
        <f t="shared" ref="N4:N11" si="3">O4/P4</f>
        <v>865.33370341586192</v>
      </c>
      <c r="O4" s="3">
        <f>SUM(O5:O61)</f>
        <v>23382182</v>
      </c>
      <c r="P4" s="6">
        <f>SUM(P5:P61)</f>
        <v>27020.999999999993</v>
      </c>
      <c r="Q4" s="3">
        <f t="shared" ref="Q4:Q11" si="4">R4/S4</f>
        <v>897.17168610086901</v>
      </c>
      <c r="R4" s="3">
        <f>SUM(R5:R61)</f>
        <v>22166690</v>
      </c>
      <c r="S4" s="6">
        <f>SUM(S5:S61)</f>
        <v>24707.3</v>
      </c>
      <c r="T4" s="3">
        <f t="shared" ref="T4:T11" si="5">U4/V4</f>
        <v>976.24701870296678</v>
      </c>
      <c r="U4" s="3">
        <f>SUM(U5:U61)</f>
        <v>13712268</v>
      </c>
      <c r="V4" s="6">
        <f>SUM(V5:V61)</f>
        <v>14045.9</v>
      </c>
      <c r="W4" s="3">
        <f t="shared" ref="W4:W11" si="6">X4/Y4</f>
        <v>916.62104762595584</v>
      </c>
      <c r="X4" s="3">
        <f>SUM(X5:X61)</f>
        <v>22745218</v>
      </c>
      <c r="Y4" s="6">
        <f>SUM(Y5:Y61)</f>
        <v>24814.200000000008</v>
      </c>
      <c r="Z4" s="3">
        <f t="shared" ref="Z4:Z11" si="7">AA4/AB4</f>
        <v>970.95124651229025</v>
      </c>
      <c r="AA4" s="3">
        <f>SUM(AA5:AA61)</f>
        <v>14998381</v>
      </c>
      <c r="AB4" s="6">
        <f>SUM(AB5:AB61)</f>
        <v>15447.1</v>
      </c>
      <c r="AC4" s="3">
        <f t="shared" ref="AC4:AC11" si="8">AD4/AE4</f>
        <v>997.15876791342134</v>
      </c>
      <c r="AD4" s="3">
        <f>SUM(AD5:AD61)</f>
        <v>16769219</v>
      </c>
      <c r="AE4" s="6">
        <f>SUM(AE5:AE61)</f>
        <v>16816.999999999993</v>
      </c>
      <c r="AF4" s="3">
        <f t="shared" ref="AF4:AF11" si="9">AG4/AH4</f>
        <v>976.98743346666276</v>
      </c>
      <c r="AG4" s="3">
        <f>SUM(AG5:AG61)</f>
        <v>15510164</v>
      </c>
      <c r="AH4" s="6">
        <f>SUM(AH5:AH61)</f>
        <v>15875.499999999995</v>
      </c>
      <c r="AI4" s="3">
        <f t="shared" ref="AI4:AI11" si="10">AJ4/AK4</f>
        <v>975.29109160773999</v>
      </c>
      <c r="AJ4" s="3">
        <f>SUM(AJ5:AJ61)</f>
        <v>17157711</v>
      </c>
      <c r="AK4" s="6">
        <f>SUM(AK5:AK61)</f>
        <v>17592.399999999994</v>
      </c>
      <c r="AL4" s="3">
        <f t="shared" ref="AL4:AL11" si="11">AM4/AN4</f>
        <v>937.94250429615818</v>
      </c>
      <c r="AM4" s="3">
        <f>SUM(AM5:AM61)</f>
        <v>16101190</v>
      </c>
      <c r="AN4" s="6">
        <f>SUM(AN5:AN61)</f>
        <v>17166.5</v>
      </c>
      <c r="AO4" s="3">
        <f t="shared" ref="AO4:AO61" si="12">AP4/AQ4</f>
        <v>937.59610704583042</v>
      </c>
      <c r="AP4" s="3">
        <f>SUM(AP5:AP61)</f>
        <v>225189489</v>
      </c>
      <c r="AQ4" s="6">
        <f>SUM(AQ5:AQ61)</f>
        <v>240177.50000000006</v>
      </c>
      <c r="AR4" s="3"/>
      <c r="AS4" s="3"/>
      <c r="AT4" s="3"/>
      <c r="AU4" s="3"/>
      <c r="AV4" s="3"/>
      <c r="AW4" s="3"/>
      <c r="AX4" s="3"/>
      <c r="AY4" s="3"/>
      <c r="AZ4" s="3"/>
      <c r="BA4" s="3"/>
      <c r="BB4" s="3"/>
      <c r="BC4" s="3"/>
      <c r="BD4" s="3"/>
      <c r="BE4" s="3"/>
      <c r="BF4" s="3"/>
      <c r="BG4" s="3"/>
      <c r="BH4" s="3"/>
      <c r="BI4" s="3"/>
      <c r="BJ4" s="3"/>
      <c r="BK4" s="3"/>
      <c r="BL4" s="3"/>
      <c r="BM4" s="3"/>
      <c r="BN4" s="3"/>
      <c r="BO4" s="3"/>
    </row>
    <row r="5" spans="1:67" ht="15" customHeight="1" x14ac:dyDescent="0.3">
      <c r="A5" s="7" t="s">
        <v>25</v>
      </c>
      <c r="B5" s="27"/>
      <c r="C5" s="27"/>
      <c r="D5" s="27"/>
      <c r="E5" s="3">
        <f t="shared" si="0"/>
        <v>938.11871376168494</v>
      </c>
      <c r="F5" s="3">
        <v>12684866</v>
      </c>
      <c r="G5" s="6">
        <v>13521.6</v>
      </c>
      <c r="H5" s="3">
        <f t="shared" si="1"/>
        <v>880.60991540184125</v>
      </c>
      <c r="I5" s="3">
        <v>8494011</v>
      </c>
      <c r="J5" s="6">
        <v>9645.6</v>
      </c>
      <c r="K5" s="3">
        <f t="shared" si="2"/>
        <v>843.1674421691456</v>
      </c>
      <c r="L5" s="3">
        <v>11434278</v>
      </c>
      <c r="M5" s="6">
        <v>13561.1</v>
      </c>
      <c r="N5" s="3">
        <f t="shared" si="3"/>
        <v>825.62670176531469</v>
      </c>
      <c r="O5" s="3">
        <v>8217380</v>
      </c>
      <c r="P5" s="6">
        <v>9952.9</v>
      </c>
      <c r="Q5" s="3">
        <f t="shared" si="4"/>
        <v>826.43143291299111</v>
      </c>
      <c r="R5" s="3">
        <v>8375552</v>
      </c>
      <c r="S5" s="6">
        <v>10134.6</v>
      </c>
      <c r="T5" s="3">
        <f t="shared" si="5"/>
        <v>852.23236567625793</v>
      </c>
      <c r="U5" s="3">
        <v>3995521</v>
      </c>
      <c r="V5" s="6">
        <v>4688.3</v>
      </c>
      <c r="W5" s="3">
        <f t="shared" si="6"/>
        <v>852.57997467568157</v>
      </c>
      <c r="X5" s="3">
        <v>3568644</v>
      </c>
      <c r="Y5" s="6">
        <v>4185.7</v>
      </c>
      <c r="Z5" s="3">
        <f t="shared" si="7"/>
        <v>842.09755595839601</v>
      </c>
      <c r="AA5" s="3">
        <v>6549919</v>
      </c>
      <c r="AB5" s="6">
        <v>7778.1</v>
      </c>
      <c r="AC5" s="3">
        <f t="shared" si="8"/>
        <v>876.7282408434537</v>
      </c>
      <c r="AD5" s="3">
        <v>9088954</v>
      </c>
      <c r="AE5" s="6">
        <v>10366.9</v>
      </c>
      <c r="AF5" s="3">
        <f t="shared" si="9"/>
        <v>873.59997008749417</v>
      </c>
      <c r="AG5" s="3">
        <v>7009242</v>
      </c>
      <c r="AH5" s="6">
        <v>8023.4</v>
      </c>
      <c r="AI5" s="3">
        <f t="shared" si="10"/>
        <v>866.42852718939673</v>
      </c>
      <c r="AJ5" s="3">
        <v>8393613</v>
      </c>
      <c r="AK5" s="6">
        <v>9687.6</v>
      </c>
      <c r="AL5" s="3">
        <f t="shared" si="11"/>
        <v>858.96969580210759</v>
      </c>
      <c r="AM5" s="3">
        <v>8917308</v>
      </c>
      <c r="AN5" s="6">
        <v>10381.4</v>
      </c>
      <c r="AO5" s="3">
        <f t="shared" si="12"/>
        <v>864.21609760630122</v>
      </c>
      <c r="AP5" s="3">
        <f t="shared" ref="AP5" si="13">SUM(F5,I5,L5,O5,R5,U5,X5,AA5,AD5,AG5,AJ5,AM5)</f>
        <v>96729288</v>
      </c>
      <c r="AQ5" s="6">
        <f t="shared" ref="AQ5" si="14">SUM(G5,J5,M5,P5,S5,V5,Y5,AB5,AE5,AH5,AK5,AN5)</f>
        <v>111927.2</v>
      </c>
      <c r="AR5" s="3"/>
      <c r="AS5" s="3"/>
      <c r="AT5" s="3"/>
      <c r="AU5" s="3"/>
      <c r="AV5" s="3"/>
      <c r="AW5" s="3"/>
      <c r="AX5" s="3"/>
      <c r="AY5" s="3"/>
      <c r="AZ5" s="3"/>
      <c r="BA5" s="3"/>
      <c r="BB5" s="3"/>
      <c r="BC5" s="3"/>
      <c r="BD5" s="3"/>
      <c r="BE5" s="3"/>
      <c r="BF5" s="3"/>
      <c r="BG5" s="3"/>
      <c r="BH5" s="3"/>
      <c r="BI5" s="3"/>
      <c r="BJ5" s="3"/>
      <c r="BK5" s="3"/>
      <c r="BL5" s="3"/>
      <c r="BM5" s="3"/>
      <c r="BN5" s="3"/>
      <c r="BO5" s="3"/>
    </row>
    <row r="6" spans="1:67" ht="15" customHeight="1" x14ac:dyDescent="0.3">
      <c r="A6" s="7" t="s">
        <v>21</v>
      </c>
      <c r="B6" s="27"/>
      <c r="C6" s="27"/>
      <c r="D6" s="27"/>
      <c r="E6" s="3">
        <f t="shared" si="0"/>
        <v>868.36328137401188</v>
      </c>
      <c r="F6" s="3">
        <v>5470515</v>
      </c>
      <c r="G6" s="6">
        <v>6299.8</v>
      </c>
      <c r="H6" s="3">
        <f t="shared" si="1"/>
        <v>865.20902877126059</v>
      </c>
      <c r="I6" s="3">
        <v>3810121</v>
      </c>
      <c r="J6" s="6">
        <v>4403.7</v>
      </c>
      <c r="K6" s="3">
        <f t="shared" si="2"/>
        <v>833.44293019893439</v>
      </c>
      <c r="L6" s="3">
        <v>6225652</v>
      </c>
      <c r="M6" s="6">
        <v>7469.8</v>
      </c>
      <c r="N6" s="3">
        <f t="shared" si="3"/>
        <v>792.33818545474742</v>
      </c>
      <c r="O6" s="3">
        <v>5704518</v>
      </c>
      <c r="P6" s="6">
        <v>7199.6</v>
      </c>
      <c r="Q6" s="3">
        <f t="shared" si="4"/>
        <v>848.84418162708494</v>
      </c>
      <c r="R6" s="3">
        <v>7995518</v>
      </c>
      <c r="S6" s="6">
        <v>9419.2999999999993</v>
      </c>
      <c r="T6" s="3">
        <f t="shared" si="5"/>
        <v>825.73639185762704</v>
      </c>
      <c r="U6" s="3">
        <v>3484525</v>
      </c>
      <c r="V6" s="6">
        <v>4219.8999999999996</v>
      </c>
      <c r="W6" s="3">
        <f t="shared" si="6"/>
        <v>822.62392793138758</v>
      </c>
      <c r="X6" s="3">
        <v>10282141</v>
      </c>
      <c r="Y6" s="6">
        <v>12499.2</v>
      </c>
      <c r="Z6" s="3">
        <f t="shared" si="7"/>
        <v>898.24425341057747</v>
      </c>
      <c r="AA6" s="3">
        <v>2883903</v>
      </c>
      <c r="AB6" s="6">
        <v>3210.6</v>
      </c>
      <c r="AC6" s="3">
        <f t="shared" si="8"/>
        <v>869.81995763709108</v>
      </c>
      <c r="AD6" s="3">
        <v>1478346</v>
      </c>
      <c r="AE6" s="6">
        <v>1699.6</v>
      </c>
      <c r="AF6" s="3">
        <f t="shared" si="9"/>
        <v>879.72326641606014</v>
      </c>
      <c r="AG6" s="3">
        <v>2199836</v>
      </c>
      <c r="AH6" s="6">
        <v>2500.6</v>
      </c>
      <c r="AI6" s="3">
        <f t="shared" si="10"/>
        <v>969.84933204792731</v>
      </c>
      <c r="AJ6" s="3">
        <v>3521038</v>
      </c>
      <c r="AK6" s="6">
        <v>3630.5</v>
      </c>
      <c r="AL6" s="3">
        <f t="shared" si="11"/>
        <v>853.98435835793191</v>
      </c>
      <c r="AM6" s="3">
        <v>2806278</v>
      </c>
      <c r="AN6" s="6">
        <v>3286.1</v>
      </c>
      <c r="AO6" s="3">
        <f t="shared" si="12"/>
        <v>848.47348140227564</v>
      </c>
      <c r="AP6" s="3">
        <f t="shared" ref="AP6:AP61" si="15">SUM(F6,I6,L6,O6,R6,U6,X6,AA6,AD6,AG6,AJ6,AM6)</f>
        <v>55862391</v>
      </c>
      <c r="AQ6" s="6">
        <f t="shared" ref="AQ6:AQ61" si="16">SUM(G6,J6,M6,P6,S6,V6,Y6,AB6,AE6,AH6,AK6,AN6)</f>
        <v>65838.7</v>
      </c>
      <c r="AR6" s="3"/>
      <c r="AS6" s="3"/>
      <c r="AT6" s="3"/>
      <c r="AU6" s="3"/>
      <c r="AV6" s="3"/>
      <c r="AW6" s="3"/>
      <c r="AX6" s="3"/>
      <c r="AY6" s="3"/>
      <c r="AZ6" s="3"/>
      <c r="BA6" s="3"/>
      <c r="BB6" s="3"/>
      <c r="BC6" s="3"/>
      <c r="BD6" s="3"/>
      <c r="BE6" s="3"/>
      <c r="BF6" s="3"/>
      <c r="BG6" s="3"/>
      <c r="BH6" s="3"/>
      <c r="BI6" s="3"/>
      <c r="BJ6" s="3"/>
      <c r="BK6" s="3"/>
      <c r="BL6" s="3"/>
      <c r="BM6" s="3"/>
      <c r="BN6" s="3"/>
      <c r="BO6" s="3"/>
    </row>
    <row r="7" spans="1:67" ht="15" customHeight="1" x14ac:dyDescent="0.3">
      <c r="A7" s="7" t="s">
        <v>20</v>
      </c>
      <c r="B7" s="27"/>
      <c r="C7" s="27"/>
      <c r="D7" s="27"/>
      <c r="E7" s="3">
        <f t="shared" si="0"/>
        <v>1094.3219638852827</v>
      </c>
      <c r="F7" s="3">
        <v>1854438</v>
      </c>
      <c r="G7" s="6">
        <v>1694.6</v>
      </c>
      <c r="H7" s="3">
        <f t="shared" si="1"/>
        <v>1144.774889454643</v>
      </c>
      <c r="I7" s="3">
        <v>1708691</v>
      </c>
      <c r="J7" s="6">
        <v>1492.6</v>
      </c>
      <c r="K7" s="3">
        <f t="shared" si="2"/>
        <v>1079.2207959749726</v>
      </c>
      <c r="L7" s="3">
        <v>1673116</v>
      </c>
      <c r="M7" s="6">
        <v>1550.3</v>
      </c>
      <c r="N7" s="3">
        <f t="shared" si="3"/>
        <v>1108.6458473549603</v>
      </c>
      <c r="O7" s="3">
        <v>1647226</v>
      </c>
      <c r="P7" s="6">
        <v>1485.8</v>
      </c>
      <c r="Q7" s="3">
        <f t="shared" si="4"/>
        <v>1099.5464349910126</v>
      </c>
      <c r="R7" s="3">
        <v>1835143</v>
      </c>
      <c r="S7" s="6">
        <v>1669</v>
      </c>
      <c r="T7" s="3">
        <f t="shared" si="5"/>
        <v>1019.4632132132133</v>
      </c>
      <c r="U7" s="3">
        <v>1901095</v>
      </c>
      <c r="V7" s="6">
        <v>1864.8</v>
      </c>
      <c r="W7" s="3">
        <f t="shared" si="6"/>
        <v>1081.8256591790521</v>
      </c>
      <c r="X7" s="3">
        <v>4156266</v>
      </c>
      <c r="Y7" s="6">
        <v>3841.9</v>
      </c>
      <c r="Z7" s="3">
        <f t="shared" si="7"/>
        <v>1251.8286281742091</v>
      </c>
      <c r="AA7" s="3">
        <v>1764828</v>
      </c>
      <c r="AB7" s="6">
        <v>1409.8</v>
      </c>
      <c r="AC7" s="3">
        <f t="shared" si="8"/>
        <v>1368.0004563084644</v>
      </c>
      <c r="AD7" s="3">
        <v>2997973</v>
      </c>
      <c r="AE7" s="6">
        <v>2191.5</v>
      </c>
      <c r="AF7" s="3">
        <f t="shared" si="9"/>
        <v>1201.4115128985018</v>
      </c>
      <c r="AG7" s="3">
        <v>2132986</v>
      </c>
      <c r="AH7" s="6">
        <v>1775.4</v>
      </c>
      <c r="AI7" s="3">
        <f t="shared" si="10"/>
        <v>1161.4755150878423</v>
      </c>
      <c r="AJ7" s="3">
        <v>1989956</v>
      </c>
      <c r="AK7" s="6">
        <v>1713.3</v>
      </c>
      <c r="AL7" s="3">
        <f t="shared" si="11"/>
        <v>1192.23115380845</v>
      </c>
      <c r="AM7" s="3">
        <v>1216195</v>
      </c>
      <c r="AN7" s="6">
        <v>1020.1</v>
      </c>
      <c r="AO7" s="3">
        <f t="shared" si="12"/>
        <v>1145.9670368647251</v>
      </c>
      <c r="AP7" s="3">
        <f t="shared" si="15"/>
        <v>24877913</v>
      </c>
      <c r="AQ7" s="6">
        <f t="shared" si="16"/>
        <v>21709.1</v>
      </c>
      <c r="AR7" s="3"/>
      <c r="AS7" s="3"/>
      <c r="AT7" s="3"/>
      <c r="AU7" s="3"/>
      <c r="AV7" s="3"/>
      <c r="AW7" s="3"/>
      <c r="AX7" s="3"/>
      <c r="AY7" s="3"/>
      <c r="AZ7" s="3"/>
      <c r="BA7" s="3"/>
      <c r="BB7" s="3"/>
      <c r="BC7" s="3"/>
      <c r="BD7" s="3"/>
      <c r="BE7" s="3"/>
      <c r="BF7" s="3"/>
      <c r="BG7" s="3"/>
      <c r="BH7" s="3"/>
      <c r="BI7" s="3"/>
      <c r="BJ7" s="3"/>
      <c r="BK7" s="3"/>
      <c r="BL7" s="3"/>
      <c r="BM7" s="3"/>
      <c r="BN7" s="3"/>
      <c r="BO7" s="3"/>
    </row>
    <row r="8" spans="1:67" ht="15" customHeight="1" x14ac:dyDescent="0.3">
      <c r="A8" s="7" t="s">
        <v>38</v>
      </c>
      <c r="B8" s="27"/>
      <c r="C8" s="27"/>
      <c r="D8" s="27"/>
      <c r="E8" s="3">
        <f t="shared" si="0"/>
        <v>1185.3002729754321</v>
      </c>
      <c r="F8" s="3">
        <v>260529</v>
      </c>
      <c r="G8" s="6">
        <v>219.8</v>
      </c>
      <c r="H8" s="3">
        <f t="shared" si="1"/>
        <v>1108.9111429025593</v>
      </c>
      <c r="I8" s="3">
        <v>697616</v>
      </c>
      <c r="J8" s="6">
        <v>629.1</v>
      </c>
      <c r="K8" s="3">
        <f t="shared" si="2"/>
        <v>1079.001916757941</v>
      </c>
      <c r="L8" s="3">
        <v>788103</v>
      </c>
      <c r="M8" s="6">
        <v>730.4</v>
      </c>
      <c r="N8" s="3">
        <f t="shared" si="3"/>
        <v>1022.1895389881271</v>
      </c>
      <c r="O8" s="3">
        <v>955645</v>
      </c>
      <c r="P8" s="6">
        <v>934.9</v>
      </c>
      <c r="Q8" s="3">
        <f t="shared" si="4"/>
        <v>1073.3695652173913</v>
      </c>
      <c r="R8" s="3">
        <v>622125</v>
      </c>
      <c r="S8" s="6">
        <v>579.6</v>
      </c>
      <c r="T8" s="3">
        <f t="shared" si="5"/>
        <v>1106.8763851268161</v>
      </c>
      <c r="U8" s="3">
        <v>899005</v>
      </c>
      <c r="V8" s="6">
        <v>812.2</v>
      </c>
      <c r="W8" s="3">
        <f t="shared" si="6"/>
        <v>1070.6273824650571</v>
      </c>
      <c r="X8" s="3">
        <v>674067</v>
      </c>
      <c r="Y8" s="6">
        <v>629.6</v>
      </c>
      <c r="Z8" s="3">
        <f t="shared" si="7"/>
        <v>1112.0341836074065</v>
      </c>
      <c r="AA8" s="3">
        <v>858824</v>
      </c>
      <c r="AB8" s="6">
        <v>772.3</v>
      </c>
      <c r="AC8" s="3">
        <f t="shared" si="8"/>
        <v>1105.8073612347878</v>
      </c>
      <c r="AD8" s="3">
        <v>745093</v>
      </c>
      <c r="AE8" s="6">
        <v>673.8</v>
      </c>
      <c r="AF8" s="3">
        <f t="shared" si="9"/>
        <v>1119.4359800761792</v>
      </c>
      <c r="AG8" s="3">
        <v>764127</v>
      </c>
      <c r="AH8" s="6">
        <v>682.6</v>
      </c>
      <c r="AI8" s="3">
        <f t="shared" si="10"/>
        <v>1174.7325243548112</v>
      </c>
      <c r="AJ8" s="3">
        <v>687336</v>
      </c>
      <c r="AK8" s="6">
        <v>585.1</v>
      </c>
      <c r="AL8" s="3">
        <f t="shared" si="11"/>
        <v>1158.2297551789077</v>
      </c>
      <c r="AM8" s="3">
        <v>1107036</v>
      </c>
      <c r="AN8" s="6">
        <v>955.8</v>
      </c>
      <c r="AO8" s="3">
        <f t="shared" si="12"/>
        <v>1104.1176327207136</v>
      </c>
      <c r="AP8" s="3">
        <f t="shared" si="15"/>
        <v>9059506</v>
      </c>
      <c r="AQ8" s="6">
        <f t="shared" si="16"/>
        <v>8205.2000000000007</v>
      </c>
      <c r="AR8" s="3"/>
      <c r="AS8" s="3"/>
      <c r="AT8" s="3"/>
      <c r="AU8" s="3"/>
      <c r="AV8" s="3"/>
      <c r="AW8" s="3"/>
      <c r="AX8" s="3"/>
      <c r="AY8" s="3"/>
      <c r="AZ8" s="3"/>
      <c r="BA8" s="3"/>
      <c r="BB8" s="3"/>
      <c r="BC8" s="3"/>
      <c r="BD8" s="3"/>
      <c r="BE8" s="3"/>
      <c r="BF8" s="3"/>
      <c r="BG8" s="3"/>
      <c r="BH8" s="3"/>
      <c r="BI8" s="3"/>
      <c r="BJ8" s="3"/>
      <c r="BK8" s="3"/>
      <c r="BL8" s="3"/>
      <c r="BM8" s="3"/>
      <c r="BN8" s="3"/>
      <c r="BO8" s="3"/>
    </row>
    <row r="9" spans="1:67" ht="15" customHeight="1" x14ac:dyDescent="0.3">
      <c r="A9" s="7" t="s">
        <v>37</v>
      </c>
      <c r="B9" s="27"/>
      <c r="C9" s="27"/>
      <c r="D9" s="27"/>
      <c r="E9" s="3">
        <f t="shared" si="0"/>
        <v>1204.7943722943721</v>
      </c>
      <c r="F9" s="3">
        <v>445292</v>
      </c>
      <c r="G9" s="6">
        <v>369.6</v>
      </c>
      <c r="H9" s="3">
        <f t="shared" si="1"/>
        <v>1245.511145272867</v>
      </c>
      <c r="I9" s="3">
        <v>324082</v>
      </c>
      <c r="J9" s="6">
        <v>260.2</v>
      </c>
      <c r="K9" s="3">
        <f t="shared" si="2"/>
        <v>1221.5286216821235</v>
      </c>
      <c r="L9" s="3">
        <v>381972</v>
      </c>
      <c r="M9" s="6">
        <v>312.7</v>
      </c>
      <c r="N9" s="3">
        <f t="shared" si="3"/>
        <v>1115.2646502835539</v>
      </c>
      <c r="O9" s="3">
        <v>235990</v>
      </c>
      <c r="P9" s="6">
        <v>211.6</v>
      </c>
      <c r="Q9" s="3">
        <f t="shared" si="4"/>
        <v>1185.9385327164573</v>
      </c>
      <c r="R9" s="3">
        <v>358865</v>
      </c>
      <c r="S9" s="6">
        <v>302.60000000000002</v>
      </c>
      <c r="T9" s="3">
        <f t="shared" si="5"/>
        <v>1078.5982104814657</v>
      </c>
      <c r="U9" s="3">
        <v>253147</v>
      </c>
      <c r="V9" s="6">
        <v>234.7</v>
      </c>
      <c r="W9" s="3">
        <f t="shared" si="6"/>
        <v>1228.3923410404623</v>
      </c>
      <c r="X9" s="3">
        <v>340019</v>
      </c>
      <c r="Y9" s="6">
        <v>276.8</v>
      </c>
      <c r="Z9" s="3">
        <f t="shared" si="7"/>
        <v>1261.6958896234551</v>
      </c>
      <c r="AA9" s="3">
        <v>438944</v>
      </c>
      <c r="AB9" s="6">
        <v>347.9</v>
      </c>
      <c r="AC9" s="3">
        <f t="shared" si="8"/>
        <v>1376.198300283286</v>
      </c>
      <c r="AD9" s="3">
        <v>242899</v>
      </c>
      <c r="AE9" s="6">
        <v>176.5</v>
      </c>
      <c r="AF9" s="3">
        <f t="shared" si="9"/>
        <v>1369.7856817145462</v>
      </c>
      <c r="AG9" s="3">
        <v>300394</v>
      </c>
      <c r="AH9" s="6">
        <v>219.3</v>
      </c>
      <c r="AI9" s="3">
        <f t="shared" si="10"/>
        <v>1215.8042839143218</v>
      </c>
      <c r="AJ9" s="3">
        <v>289483</v>
      </c>
      <c r="AK9" s="6">
        <v>238.1</v>
      </c>
      <c r="AL9" s="3">
        <f t="shared" si="11"/>
        <v>1174.1460957178842</v>
      </c>
      <c r="AM9" s="3">
        <v>233068</v>
      </c>
      <c r="AN9" s="6">
        <v>198.5</v>
      </c>
      <c r="AO9" s="3">
        <f t="shared" si="12"/>
        <v>1220.9480705097665</v>
      </c>
      <c r="AP9" s="3">
        <f t="shared" si="15"/>
        <v>3844155</v>
      </c>
      <c r="AQ9" s="6">
        <f t="shared" si="16"/>
        <v>3148.5</v>
      </c>
      <c r="AR9" s="3"/>
      <c r="AS9" s="3"/>
      <c r="AT9" s="3"/>
      <c r="AU9" s="3"/>
      <c r="AV9" s="3"/>
      <c r="AW9" s="3"/>
      <c r="AX9" s="3"/>
      <c r="AY9" s="3"/>
      <c r="AZ9" s="3"/>
      <c r="BA9" s="3"/>
      <c r="BB9" s="3"/>
      <c r="BC9" s="3"/>
      <c r="BD9" s="3"/>
      <c r="BE9" s="3"/>
      <c r="BF9" s="3"/>
      <c r="BG9" s="3"/>
      <c r="BH9" s="3"/>
      <c r="BI9" s="3"/>
      <c r="BJ9" s="3"/>
      <c r="BK9" s="3"/>
      <c r="BL9" s="3"/>
      <c r="BM9" s="3"/>
      <c r="BN9" s="3"/>
      <c r="BO9" s="3"/>
    </row>
    <row r="10" spans="1:67" ht="15" customHeight="1" x14ac:dyDescent="0.3">
      <c r="A10" s="7" t="s">
        <v>28</v>
      </c>
      <c r="B10" s="27"/>
      <c r="C10" s="27"/>
      <c r="D10" s="27"/>
      <c r="E10" s="3">
        <f t="shared" si="0"/>
        <v>1545.5053191489362</v>
      </c>
      <c r="F10" s="3">
        <v>116222</v>
      </c>
      <c r="G10" s="6">
        <v>75.2</v>
      </c>
      <c r="H10" s="3">
        <f t="shared" si="1"/>
        <v>1372.7269317329331</v>
      </c>
      <c r="I10" s="3">
        <v>365969</v>
      </c>
      <c r="J10" s="6">
        <v>266.60000000000002</v>
      </c>
      <c r="K10" s="3">
        <f t="shared" si="2"/>
        <v>1462.1579743008313</v>
      </c>
      <c r="L10" s="3">
        <v>386887</v>
      </c>
      <c r="M10" s="6">
        <v>264.60000000000002</v>
      </c>
      <c r="N10" s="3">
        <f t="shared" si="3"/>
        <v>1575.5533980582525</v>
      </c>
      <c r="O10" s="3">
        <v>81141</v>
      </c>
      <c r="P10" s="6">
        <v>51.5</v>
      </c>
      <c r="Q10" s="3">
        <f t="shared" si="4"/>
        <v>1443.7238979118329</v>
      </c>
      <c r="R10" s="3">
        <v>248898</v>
      </c>
      <c r="S10" s="6">
        <v>172.4</v>
      </c>
      <c r="T10" s="3">
        <f t="shared" si="5"/>
        <v>2002.9765395894428</v>
      </c>
      <c r="U10" s="3">
        <v>136603</v>
      </c>
      <c r="V10" s="6">
        <v>68.2</v>
      </c>
      <c r="W10" s="3">
        <f t="shared" si="6"/>
        <v>1435.3112244897959</v>
      </c>
      <c r="X10" s="3">
        <v>281321</v>
      </c>
      <c r="Y10" s="6">
        <v>196</v>
      </c>
      <c r="Z10" s="3">
        <f t="shared" si="7"/>
        <v>1480.59375</v>
      </c>
      <c r="AA10" s="3">
        <v>236895</v>
      </c>
      <c r="AB10" s="6">
        <v>160</v>
      </c>
      <c r="AC10" s="3">
        <f t="shared" si="8"/>
        <v>1590.0744248985113</v>
      </c>
      <c r="AD10" s="3">
        <v>235013</v>
      </c>
      <c r="AE10" s="6">
        <v>147.80000000000001</v>
      </c>
      <c r="AF10" s="3">
        <f t="shared" si="9"/>
        <v>1316.5819750719079</v>
      </c>
      <c r="AG10" s="3">
        <v>274639</v>
      </c>
      <c r="AH10" s="6">
        <v>208.6</v>
      </c>
      <c r="AI10" s="3">
        <f t="shared" si="10"/>
        <v>1355.9712230215828</v>
      </c>
      <c r="AJ10" s="3">
        <v>207328</v>
      </c>
      <c r="AK10" s="6">
        <v>152.9</v>
      </c>
      <c r="AL10" s="3">
        <f t="shared" si="11"/>
        <v>1511.2589227774174</v>
      </c>
      <c r="AM10" s="3">
        <v>232885</v>
      </c>
      <c r="AN10" s="6">
        <v>154.1</v>
      </c>
      <c r="AO10" s="3">
        <f t="shared" si="12"/>
        <v>1461.9119870691904</v>
      </c>
      <c r="AP10" s="3">
        <f t="shared" si="15"/>
        <v>2803801</v>
      </c>
      <c r="AQ10" s="6">
        <f t="shared" si="16"/>
        <v>1917.8999999999999</v>
      </c>
      <c r="AR10" s="3"/>
      <c r="AS10" s="3"/>
      <c r="AT10" s="3"/>
      <c r="AU10" s="3"/>
      <c r="AV10" s="3"/>
      <c r="AW10" s="3"/>
      <c r="AX10" s="3"/>
      <c r="AY10" s="3"/>
      <c r="AZ10" s="3"/>
      <c r="BA10" s="3"/>
      <c r="BB10" s="3"/>
      <c r="BC10" s="3"/>
      <c r="BD10" s="3"/>
      <c r="BE10" s="3"/>
      <c r="BF10" s="3"/>
      <c r="BG10" s="3"/>
      <c r="BH10" s="3"/>
      <c r="BI10" s="3"/>
      <c r="BJ10" s="3"/>
      <c r="BK10" s="3"/>
      <c r="BL10" s="3"/>
      <c r="BM10" s="3"/>
      <c r="BN10" s="3"/>
      <c r="BO10" s="3"/>
    </row>
    <row r="11" spans="1:67" ht="15" customHeight="1" x14ac:dyDescent="0.3">
      <c r="A11" s="7" t="s">
        <v>26</v>
      </c>
      <c r="B11" s="27"/>
      <c r="C11" s="27"/>
      <c r="D11" s="27"/>
      <c r="E11" s="3">
        <f t="shared" si="0"/>
        <v>1371.0288230584467</v>
      </c>
      <c r="F11" s="3">
        <v>342483</v>
      </c>
      <c r="G11" s="6">
        <v>249.8</v>
      </c>
      <c r="H11" s="3">
        <f t="shared" si="1"/>
        <v>1224.4202898550725</v>
      </c>
      <c r="I11" s="3">
        <v>118279</v>
      </c>
      <c r="J11" s="6">
        <v>96.6</v>
      </c>
      <c r="K11" s="3">
        <f t="shared" si="2"/>
        <v>1237.2802197802198</v>
      </c>
      <c r="L11" s="3">
        <v>135111</v>
      </c>
      <c r="M11" s="6">
        <v>109.2</v>
      </c>
      <c r="N11" s="3">
        <f t="shared" si="3"/>
        <v>1235.1813826146474</v>
      </c>
      <c r="O11" s="3">
        <v>541380</v>
      </c>
      <c r="P11" s="6">
        <v>438.3</v>
      </c>
      <c r="Q11" s="3">
        <f t="shared" si="4"/>
        <v>1344.0851735015774</v>
      </c>
      <c r="R11" s="3">
        <v>170430</v>
      </c>
      <c r="S11" s="6">
        <v>126.8</v>
      </c>
      <c r="T11" s="3">
        <f t="shared" si="5"/>
        <v>1181.6700317277184</v>
      </c>
      <c r="U11" s="3">
        <v>409685</v>
      </c>
      <c r="V11" s="6">
        <v>346.7</v>
      </c>
      <c r="W11" s="3">
        <f t="shared" si="6"/>
        <v>1219.2510801728276</v>
      </c>
      <c r="X11" s="3">
        <v>253970</v>
      </c>
      <c r="Y11" s="6">
        <v>208.3</v>
      </c>
      <c r="Z11" s="3">
        <f t="shared" si="7"/>
        <v>1183.1496678389997</v>
      </c>
      <c r="AA11" s="3">
        <v>302768</v>
      </c>
      <c r="AB11" s="6">
        <v>255.9</v>
      </c>
      <c r="AC11" s="3">
        <f t="shared" si="8"/>
        <v>1192.2942708333333</v>
      </c>
      <c r="AD11" s="3">
        <v>457841</v>
      </c>
      <c r="AE11" s="6">
        <v>384</v>
      </c>
      <c r="AF11" s="3">
        <f t="shared" si="9"/>
        <v>1277.0130869899922</v>
      </c>
      <c r="AG11" s="3">
        <v>331768</v>
      </c>
      <c r="AH11" s="6">
        <v>259.8</v>
      </c>
      <c r="AI11" s="3">
        <f t="shared" si="10"/>
        <v>1196.1862396204033</v>
      </c>
      <c r="AJ11" s="3">
        <v>403354</v>
      </c>
      <c r="AK11" s="6">
        <v>337.2</v>
      </c>
      <c r="AL11" s="3">
        <f t="shared" si="11"/>
        <v>1293.1734104046243</v>
      </c>
      <c r="AM11" s="3">
        <v>223719</v>
      </c>
      <c r="AN11" s="6">
        <v>173</v>
      </c>
      <c r="AO11" s="3">
        <f t="shared" si="12"/>
        <v>1236.1964094319401</v>
      </c>
      <c r="AP11" s="3">
        <f t="shared" si="15"/>
        <v>3690788</v>
      </c>
      <c r="AQ11" s="6">
        <f t="shared" si="16"/>
        <v>2985.6</v>
      </c>
      <c r="AR11" s="3"/>
      <c r="AS11" s="3"/>
      <c r="AT11" s="3"/>
      <c r="AU11" s="3"/>
      <c r="AV11" s="3"/>
      <c r="AW11" s="3"/>
      <c r="AX11" s="3"/>
      <c r="AY11" s="3"/>
      <c r="AZ11" s="3"/>
      <c r="BA11" s="3"/>
      <c r="BB11" s="3"/>
      <c r="BC11" s="3"/>
      <c r="BD11" s="3"/>
      <c r="BE11" s="3"/>
      <c r="BF11" s="3"/>
      <c r="BG11" s="3"/>
      <c r="BH11" s="3"/>
      <c r="BI11" s="3"/>
      <c r="BJ11" s="3"/>
      <c r="BK11" s="3"/>
      <c r="BL11" s="3"/>
      <c r="BM11" s="3"/>
      <c r="BN11" s="3"/>
      <c r="BO11" s="3"/>
    </row>
    <row r="12" spans="1:67" ht="15" customHeight="1" x14ac:dyDescent="0.3">
      <c r="A12" s="7" t="s">
        <v>54</v>
      </c>
      <c r="B12" s="27"/>
      <c r="C12" s="27"/>
      <c r="D12" s="27"/>
      <c r="E12" s="3">
        <f>F12/G12</f>
        <v>1244.2323651452282</v>
      </c>
      <c r="F12" s="3">
        <v>29986</v>
      </c>
      <c r="G12" s="6">
        <v>24.1</v>
      </c>
      <c r="H12" s="3">
        <f>I12/J12</f>
        <v>1243.7267080745341</v>
      </c>
      <c r="I12" s="3">
        <v>60072</v>
      </c>
      <c r="J12" s="6">
        <v>48.3</v>
      </c>
      <c r="K12" s="3">
        <f>L12/M12</f>
        <v>1181.3356164383563</v>
      </c>
      <c r="L12" s="3">
        <v>137980</v>
      </c>
      <c r="M12" s="6">
        <v>116.8</v>
      </c>
      <c r="N12" s="3">
        <f>O12/P12</f>
        <v>1167.2719298245613</v>
      </c>
      <c r="O12" s="3">
        <v>133069</v>
      </c>
      <c r="P12" s="6">
        <v>114</v>
      </c>
      <c r="Q12" s="3">
        <f>R12/S12</f>
        <v>1162.6808510638298</v>
      </c>
      <c r="R12" s="3">
        <v>109292</v>
      </c>
      <c r="S12" s="6">
        <v>94</v>
      </c>
      <c r="T12" s="3" t="e">
        <f>U12/V12</f>
        <v>#DIV/0!</v>
      </c>
      <c r="U12" s="3">
        <v>0</v>
      </c>
      <c r="V12" s="6">
        <v>0</v>
      </c>
      <c r="W12" s="3">
        <f>X12/Y12</f>
        <v>1178.6552217453504</v>
      </c>
      <c r="X12" s="3">
        <v>82388</v>
      </c>
      <c r="Y12" s="6">
        <v>69.900000000000006</v>
      </c>
      <c r="Z12" s="3">
        <f>AA12/AB12</f>
        <v>1181.5319148936171</v>
      </c>
      <c r="AA12" s="3">
        <v>111064</v>
      </c>
      <c r="AB12" s="6">
        <v>94</v>
      </c>
      <c r="AC12" s="3">
        <f>AD12/AE12</f>
        <v>1215.2959028831563</v>
      </c>
      <c r="AD12" s="3">
        <v>80088</v>
      </c>
      <c r="AE12" s="6">
        <v>65.900000000000006</v>
      </c>
      <c r="AF12" s="3">
        <f>AG12/AH12</f>
        <v>1187.9212253829321</v>
      </c>
      <c r="AG12" s="3">
        <v>54288</v>
      </c>
      <c r="AH12" s="6">
        <v>45.7</v>
      </c>
      <c r="AI12" s="3">
        <f>AJ12/AK12</f>
        <v>1216.7446808510638</v>
      </c>
      <c r="AJ12" s="3">
        <v>57187</v>
      </c>
      <c r="AK12" s="6">
        <v>47</v>
      </c>
      <c r="AL12" s="3">
        <f>AM12/AN12</f>
        <v>1218.8334268087492</v>
      </c>
      <c r="AM12" s="3">
        <v>217318</v>
      </c>
      <c r="AN12" s="6">
        <v>178.3</v>
      </c>
      <c r="AO12" s="3">
        <f t="shared" si="12"/>
        <v>1194.5790645879733</v>
      </c>
      <c r="AP12" s="3">
        <f t="shared" si="15"/>
        <v>1072732</v>
      </c>
      <c r="AQ12" s="6">
        <f t="shared" si="16"/>
        <v>898</v>
      </c>
      <c r="AR12" s="3"/>
      <c r="AS12" s="3"/>
      <c r="AT12" s="3"/>
      <c r="AU12" s="3"/>
      <c r="AV12" s="3"/>
      <c r="AW12" s="3"/>
      <c r="AX12" s="3"/>
      <c r="AY12" s="3"/>
      <c r="AZ12" s="3"/>
      <c r="BA12" s="3"/>
      <c r="BB12" s="3"/>
      <c r="BC12" s="3"/>
      <c r="BD12" s="3"/>
      <c r="BE12" s="3"/>
      <c r="BF12" s="3"/>
      <c r="BG12" s="3"/>
      <c r="BH12" s="3"/>
      <c r="BI12" s="3"/>
      <c r="BJ12" s="3"/>
      <c r="BK12" s="3"/>
      <c r="BL12" s="3"/>
      <c r="BM12" s="3"/>
      <c r="BN12" s="3"/>
      <c r="BO12" s="3"/>
    </row>
    <row r="13" spans="1:67" ht="15" customHeight="1" x14ac:dyDescent="0.3">
      <c r="A13" s="7" t="s">
        <v>56</v>
      </c>
      <c r="B13" s="27"/>
      <c r="C13" s="27"/>
      <c r="D13" s="27"/>
      <c r="E13" s="3">
        <f t="shared" ref="E13:E70" si="17">F13/G13</f>
        <v>1227.7502691065661</v>
      </c>
      <c r="F13" s="3">
        <v>114058</v>
      </c>
      <c r="G13" s="6">
        <v>92.9</v>
      </c>
      <c r="H13" s="3">
        <f t="shared" ref="H13:H70" si="18">I13/J13</f>
        <v>1232.7596899224807</v>
      </c>
      <c r="I13" s="3">
        <v>79513</v>
      </c>
      <c r="J13" s="6">
        <v>64.5</v>
      </c>
      <c r="K13" s="3">
        <f t="shared" ref="K13:K70" si="19">L13/M13</f>
        <v>1089.1391391391392</v>
      </c>
      <c r="L13" s="3">
        <v>108805</v>
      </c>
      <c r="M13" s="6">
        <v>99.9</v>
      </c>
      <c r="N13" s="3">
        <f t="shared" ref="N13:N70" si="20">O13/P13</f>
        <v>1107.7265500794913</v>
      </c>
      <c r="O13" s="3">
        <v>139352</v>
      </c>
      <c r="P13" s="6">
        <v>125.8</v>
      </c>
      <c r="Q13" s="3">
        <f t="shared" ref="Q13:Q70" si="21">R13/S13</f>
        <v>1263.204172876304</v>
      </c>
      <c r="R13" s="3">
        <v>84761</v>
      </c>
      <c r="S13" s="6">
        <v>67.099999999999994</v>
      </c>
      <c r="T13" s="3">
        <f t="shared" ref="T13:T70" si="22">U13/V13</f>
        <v>1254.8872180451128</v>
      </c>
      <c r="U13" s="3">
        <v>100140</v>
      </c>
      <c r="V13" s="6">
        <v>79.8</v>
      </c>
      <c r="W13" s="3">
        <f t="shared" ref="W13:W70" si="23">X13/Y13</f>
        <v>1150.5007153075821</v>
      </c>
      <c r="X13" s="3">
        <v>80420</v>
      </c>
      <c r="Y13" s="6">
        <v>69.900000000000006</v>
      </c>
      <c r="Z13" s="3">
        <f t="shared" ref="Z13:Z70" si="24">AA13/AB13</f>
        <v>1150.9242618741978</v>
      </c>
      <c r="AA13" s="3">
        <v>268971</v>
      </c>
      <c r="AB13" s="6">
        <v>233.7</v>
      </c>
      <c r="AC13" s="3">
        <f t="shared" ref="AC13:AC70" si="25">AD13/AE13</f>
        <v>1272.7626459143969</v>
      </c>
      <c r="AD13" s="3">
        <v>163550</v>
      </c>
      <c r="AE13" s="6">
        <v>128.5</v>
      </c>
      <c r="AF13" s="3">
        <f t="shared" ref="AF13:AF70" si="26">AG13/AH13</f>
        <v>1223.6371379897785</v>
      </c>
      <c r="AG13" s="3">
        <v>143655</v>
      </c>
      <c r="AH13" s="6">
        <v>117.4</v>
      </c>
      <c r="AI13" s="3">
        <f t="shared" ref="AI13:AI70" si="27">AJ13/AK13</f>
        <v>1206.2378976486862</v>
      </c>
      <c r="AJ13" s="3">
        <v>87211</v>
      </c>
      <c r="AK13" s="6">
        <v>72.3</v>
      </c>
      <c r="AL13" s="3">
        <f t="shared" ref="AL13:AL70" si="28">AM13/AN13</f>
        <v>1271.4274385408407</v>
      </c>
      <c r="AM13" s="3">
        <v>160327</v>
      </c>
      <c r="AN13" s="6">
        <v>126.1</v>
      </c>
      <c r="AO13" s="3">
        <f t="shared" si="12"/>
        <v>1197.8738555442524</v>
      </c>
      <c r="AP13" s="3">
        <f t="shared" si="15"/>
        <v>1530763</v>
      </c>
      <c r="AQ13" s="6">
        <f t="shared" si="16"/>
        <v>1277.8999999999999</v>
      </c>
      <c r="AR13" s="3"/>
      <c r="AS13" s="3"/>
      <c r="AT13" s="3"/>
      <c r="AU13" s="3"/>
      <c r="AV13" s="3"/>
      <c r="AW13" s="3"/>
      <c r="AX13" s="3"/>
      <c r="AY13" s="3"/>
      <c r="AZ13" s="3"/>
      <c r="BA13" s="3"/>
      <c r="BB13" s="3"/>
      <c r="BC13" s="3"/>
      <c r="BD13" s="3"/>
      <c r="BE13" s="3"/>
      <c r="BF13" s="3"/>
      <c r="BG13" s="3"/>
      <c r="BH13" s="3"/>
      <c r="BI13" s="3"/>
      <c r="BJ13" s="3"/>
      <c r="BK13" s="3"/>
      <c r="BL13" s="3"/>
      <c r="BM13" s="3"/>
      <c r="BN13" s="3"/>
      <c r="BO13" s="3"/>
    </row>
    <row r="14" spans="1:67" ht="15" customHeight="1" x14ac:dyDescent="0.3">
      <c r="A14" s="7" t="s">
        <v>53</v>
      </c>
      <c r="B14" s="27"/>
      <c r="C14" s="27"/>
      <c r="D14" s="27"/>
      <c r="E14" s="3">
        <f t="shared" si="17"/>
        <v>1333.4184397163122</v>
      </c>
      <c r="F14" s="3">
        <v>94006</v>
      </c>
      <c r="G14" s="6">
        <v>70.5</v>
      </c>
      <c r="H14" s="3">
        <f t="shared" si="18"/>
        <v>1314.5012977382278</v>
      </c>
      <c r="I14" s="3">
        <v>354521</v>
      </c>
      <c r="J14" s="6">
        <v>269.7</v>
      </c>
      <c r="K14" s="3">
        <f t="shared" si="19"/>
        <v>1222.1513183034008</v>
      </c>
      <c r="L14" s="3">
        <v>319837</v>
      </c>
      <c r="M14" s="6">
        <v>261.7</v>
      </c>
      <c r="N14" s="3">
        <f t="shared" si="20"/>
        <v>1179.9728555917482</v>
      </c>
      <c r="O14" s="3">
        <v>217351</v>
      </c>
      <c r="P14" s="6">
        <v>184.2</v>
      </c>
      <c r="Q14" s="3">
        <f t="shared" si="21"/>
        <v>1186.8928086838534</v>
      </c>
      <c r="R14" s="3">
        <v>262422</v>
      </c>
      <c r="S14" s="6">
        <v>221.1</v>
      </c>
      <c r="T14" s="3">
        <f t="shared" si="22"/>
        <v>1178.984520123839</v>
      </c>
      <c r="U14" s="3">
        <v>190406</v>
      </c>
      <c r="V14" s="6">
        <v>161.5</v>
      </c>
      <c r="W14" s="3">
        <f t="shared" si="23"/>
        <v>1172.1043864519711</v>
      </c>
      <c r="X14" s="3">
        <v>211096</v>
      </c>
      <c r="Y14" s="6">
        <v>180.1</v>
      </c>
      <c r="Z14" s="3">
        <f t="shared" si="24"/>
        <v>1250.4055766793408</v>
      </c>
      <c r="AA14" s="3">
        <v>197314</v>
      </c>
      <c r="AB14" s="6">
        <v>157.80000000000001</v>
      </c>
      <c r="AC14" s="3">
        <f t="shared" si="25"/>
        <v>1186.6021671826627</v>
      </c>
      <c r="AD14" s="3">
        <v>306618</v>
      </c>
      <c r="AE14" s="6">
        <v>258.39999999999998</v>
      </c>
      <c r="AF14" s="3">
        <f t="shared" si="26"/>
        <v>1178.572141787319</v>
      </c>
      <c r="AG14" s="3">
        <v>236068</v>
      </c>
      <c r="AH14" s="6">
        <v>200.3</v>
      </c>
      <c r="AI14" s="3">
        <f t="shared" si="27"/>
        <v>1189.4571428571428</v>
      </c>
      <c r="AJ14" s="3">
        <v>166524</v>
      </c>
      <c r="AK14" s="6">
        <v>140</v>
      </c>
      <c r="AL14" s="3">
        <f t="shared" si="28"/>
        <v>1252.9452649869679</v>
      </c>
      <c r="AM14" s="3">
        <v>144214</v>
      </c>
      <c r="AN14" s="6">
        <v>115.1</v>
      </c>
      <c r="AO14" s="3">
        <f t="shared" si="12"/>
        <v>1216.1669068636286</v>
      </c>
      <c r="AP14" s="3">
        <f t="shared" si="15"/>
        <v>2700377</v>
      </c>
      <c r="AQ14" s="6">
        <f t="shared" si="16"/>
        <v>2220.3999999999992</v>
      </c>
      <c r="AR14" s="3"/>
      <c r="AS14" s="3"/>
      <c r="AT14" s="3"/>
      <c r="AU14" s="3"/>
      <c r="AV14" s="3"/>
      <c r="AW14" s="3"/>
      <c r="AX14" s="3"/>
      <c r="AY14" s="3"/>
      <c r="AZ14" s="3"/>
      <c r="BA14" s="3"/>
      <c r="BB14" s="3"/>
      <c r="BC14" s="3"/>
      <c r="BD14" s="3"/>
      <c r="BE14" s="3"/>
      <c r="BF14" s="3"/>
      <c r="BG14" s="3"/>
      <c r="BH14" s="3"/>
      <c r="BI14" s="3"/>
      <c r="BJ14" s="3"/>
      <c r="BK14" s="3"/>
      <c r="BL14" s="3"/>
      <c r="BM14" s="3"/>
      <c r="BN14" s="3"/>
      <c r="BO14" s="3"/>
    </row>
    <row r="15" spans="1:67" ht="15" customHeight="1" x14ac:dyDescent="0.3">
      <c r="A15" s="7" t="s">
        <v>34</v>
      </c>
      <c r="B15" s="27"/>
      <c r="C15" s="27"/>
      <c r="D15" s="27"/>
      <c r="E15" s="3">
        <f t="shared" si="17"/>
        <v>1911.3924050632911</v>
      </c>
      <c r="F15" s="3">
        <v>90600</v>
      </c>
      <c r="G15" s="6">
        <v>47.4</v>
      </c>
      <c r="H15" s="3">
        <f t="shared" si="18"/>
        <v>1861.615566037736</v>
      </c>
      <c r="I15" s="3">
        <v>157865</v>
      </c>
      <c r="J15" s="6">
        <v>84.8</v>
      </c>
      <c r="K15" s="3">
        <f t="shared" si="19"/>
        <v>1841.2371134020618</v>
      </c>
      <c r="L15" s="3">
        <v>89300</v>
      </c>
      <c r="M15" s="6">
        <v>48.5</v>
      </c>
      <c r="N15" s="3">
        <f t="shared" si="20"/>
        <v>2100.9504132231405</v>
      </c>
      <c r="O15" s="3">
        <v>101686</v>
      </c>
      <c r="P15" s="6">
        <v>48.4</v>
      </c>
      <c r="Q15" s="3">
        <f t="shared" si="21"/>
        <v>1830.7377049180327</v>
      </c>
      <c r="R15" s="3">
        <v>156345</v>
      </c>
      <c r="S15" s="6">
        <v>85.4</v>
      </c>
      <c r="T15" s="3">
        <f t="shared" si="22"/>
        <v>2105.3002070393377</v>
      </c>
      <c r="U15" s="3">
        <v>101686</v>
      </c>
      <c r="V15" s="6">
        <v>48.3</v>
      </c>
      <c r="W15" s="3">
        <f t="shared" si="23"/>
        <v>2034.0740740740741</v>
      </c>
      <c r="X15" s="3">
        <v>137300</v>
      </c>
      <c r="Y15" s="6">
        <v>67.5</v>
      </c>
      <c r="Z15" s="3">
        <f t="shared" si="24"/>
        <v>2037.7692307692307</v>
      </c>
      <c r="AA15" s="3">
        <v>132455</v>
      </c>
      <c r="AB15" s="6">
        <v>65</v>
      </c>
      <c r="AC15" s="3">
        <f t="shared" si="25"/>
        <v>2182.1030042918455</v>
      </c>
      <c r="AD15" s="3">
        <v>101686</v>
      </c>
      <c r="AE15" s="6">
        <v>46.6</v>
      </c>
      <c r="AF15" s="3">
        <f t="shared" si="26"/>
        <v>2180.6796116504856</v>
      </c>
      <c r="AG15" s="3">
        <v>134766</v>
      </c>
      <c r="AH15" s="6">
        <v>61.8</v>
      </c>
      <c r="AI15" s="3">
        <f t="shared" si="27"/>
        <v>1948.8311688311687</v>
      </c>
      <c r="AJ15" s="3">
        <v>165066</v>
      </c>
      <c r="AK15" s="6">
        <v>84.7</v>
      </c>
      <c r="AL15" s="3">
        <f t="shared" si="28"/>
        <v>2210.5652173913045</v>
      </c>
      <c r="AM15" s="3">
        <v>101686</v>
      </c>
      <c r="AN15" s="6">
        <v>46</v>
      </c>
      <c r="AO15" s="3">
        <f t="shared" si="12"/>
        <v>2002.2344771241831</v>
      </c>
      <c r="AP15" s="3">
        <f t="shared" si="15"/>
        <v>1470441</v>
      </c>
      <c r="AQ15" s="6">
        <f t="shared" si="16"/>
        <v>734.4</v>
      </c>
      <c r="AR15" s="3"/>
      <c r="AS15" s="3"/>
      <c r="AT15" s="3"/>
      <c r="AU15" s="3"/>
      <c r="AV15" s="3"/>
      <c r="AW15" s="3"/>
      <c r="AX15" s="3"/>
      <c r="AY15" s="3"/>
      <c r="AZ15" s="3"/>
      <c r="BA15" s="3"/>
      <c r="BB15" s="3"/>
      <c r="BC15" s="3"/>
      <c r="BD15" s="3"/>
      <c r="BE15" s="3"/>
      <c r="BF15" s="3"/>
      <c r="BG15" s="3"/>
      <c r="BH15" s="3"/>
      <c r="BI15" s="3"/>
      <c r="BJ15" s="3"/>
      <c r="BK15" s="3"/>
      <c r="BL15" s="3"/>
      <c r="BM15" s="3"/>
      <c r="BN15" s="3"/>
      <c r="BO15" s="3"/>
    </row>
    <row r="16" spans="1:67" ht="15" customHeight="1" x14ac:dyDescent="0.3">
      <c r="A16" s="7" t="s">
        <v>33</v>
      </c>
      <c r="B16" s="27"/>
      <c r="C16" s="27"/>
      <c r="D16" s="27"/>
      <c r="E16" s="3">
        <f t="shared" si="17"/>
        <v>1333.7533156498673</v>
      </c>
      <c r="F16" s="3">
        <v>100565</v>
      </c>
      <c r="G16" s="6">
        <v>75.400000000000006</v>
      </c>
      <c r="H16" s="3">
        <f t="shared" si="18"/>
        <v>1210.8024224072674</v>
      </c>
      <c r="I16" s="3">
        <v>319894</v>
      </c>
      <c r="J16" s="6">
        <v>264.2</v>
      </c>
      <c r="K16" s="3">
        <f t="shared" si="19"/>
        <v>1235.1901565995524</v>
      </c>
      <c r="L16" s="3">
        <v>55213</v>
      </c>
      <c r="M16" s="6">
        <v>44.7</v>
      </c>
      <c r="N16" s="3">
        <f t="shared" si="20"/>
        <v>1143.9653846153847</v>
      </c>
      <c r="O16" s="3">
        <v>297431</v>
      </c>
      <c r="P16" s="6">
        <v>260</v>
      </c>
      <c r="Q16" s="3">
        <f t="shared" si="21"/>
        <v>1178.6405073325407</v>
      </c>
      <c r="R16" s="3">
        <v>297371</v>
      </c>
      <c r="S16" s="6">
        <v>252.3</v>
      </c>
      <c r="T16" s="3">
        <f t="shared" si="22"/>
        <v>976.09620076681779</v>
      </c>
      <c r="U16" s="3">
        <v>280042</v>
      </c>
      <c r="V16" s="6">
        <v>286.89999999999998</v>
      </c>
      <c r="W16" s="3">
        <f t="shared" si="23"/>
        <v>964.61323066153307</v>
      </c>
      <c r="X16" s="3">
        <v>275590</v>
      </c>
      <c r="Y16" s="6">
        <v>285.7</v>
      </c>
      <c r="Z16" s="3">
        <f t="shared" si="24"/>
        <v>976.48965517241379</v>
      </c>
      <c r="AA16" s="3">
        <v>283182</v>
      </c>
      <c r="AB16" s="6">
        <v>290</v>
      </c>
      <c r="AC16" s="3">
        <f t="shared" si="25"/>
        <v>930.04478827361561</v>
      </c>
      <c r="AD16" s="3">
        <v>228419</v>
      </c>
      <c r="AE16" s="6">
        <v>245.6</v>
      </c>
      <c r="AF16" s="3">
        <f t="shared" si="26"/>
        <v>876.09567507859629</v>
      </c>
      <c r="AG16" s="3">
        <v>1031077</v>
      </c>
      <c r="AH16" s="6">
        <v>1176.9000000000001</v>
      </c>
      <c r="AI16" s="3">
        <f t="shared" si="27"/>
        <v>975.06991869918704</v>
      </c>
      <c r="AJ16" s="3">
        <v>299834</v>
      </c>
      <c r="AK16" s="6">
        <v>307.5</v>
      </c>
      <c r="AL16" s="3">
        <f t="shared" si="28"/>
        <v>1156.3187588152327</v>
      </c>
      <c r="AM16" s="3">
        <v>81983</v>
      </c>
      <c r="AN16" s="6">
        <v>70.900000000000006</v>
      </c>
      <c r="AO16" s="3">
        <f t="shared" si="12"/>
        <v>997.33181652200778</v>
      </c>
      <c r="AP16" s="3">
        <f t="shared" si="15"/>
        <v>3550601</v>
      </c>
      <c r="AQ16" s="6">
        <f t="shared" si="16"/>
        <v>3560.1</v>
      </c>
      <c r="AR16" s="3"/>
      <c r="AS16" s="3"/>
      <c r="AT16" s="3"/>
      <c r="AU16" s="3"/>
      <c r="AV16" s="3"/>
      <c r="AW16" s="3"/>
      <c r="AX16" s="3"/>
      <c r="AY16" s="3"/>
      <c r="AZ16" s="3"/>
      <c r="BA16" s="3"/>
      <c r="BB16" s="3"/>
      <c r="BC16" s="3"/>
      <c r="BD16" s="3"/>
      <c r="BE16" s="3"/>
      <c r="BF16" s="3"/>
      <c r="BG16" s="3"/>
      <c r="BH16" s="3"/>
      <c r="BI16" s="3"/>
      <c r="BJ16" s="3"/>
      <c r="BK16" s="3"/>
      <c r="BL16" s="3"/>
      <c r="BM16" s="3"/>
      <c r="BN16" s="3"/>
      <c r="BO16" s="3"/>
    </row>
    <row r="17" spans="1:67" ht="15" customHeight="1" x14ac:dyDescent="0.3">
      <c r="A17" s="7" t="s">
        <v>51</v>
      </c>
      <c r="B17" s="27"/>
      <c r="C17" s="27"/>
      <c r="D17" s="27"/>
      <c r="E17" s="3">
        <f t="shared" si="17"/>
        <v>2303.1034482758623</v>
      </c>
      <c r="F17" s="3">
        <v>26716</v>
      </c>
      <c r="G17" s="6">
        <v>11.6</v>
      </c>
      <c r="H17" s="3">
        <f t="shared" si="18"/>
        <v>1771.8229166666667</v>
      </c>
      <c r="I17" s="3">
        <v>34019</v>
      </c>
      <c r="J17" s="6">
        <v>19.2</v>
      </c>
      <c r="K17" s="3">
        <f t="shared" si="19"/>
        <v>2331.7475728155337</v>
      </c>
      <c r="L17" s="3">
        <v>24017</v>
      </c>
      <c r="M17" s="6">
        <v>10.3</v>
      </c>
      <c r="N17" s="3">
        <f t="shared" si="20"/>
        <v>1914.7737556561085</v>
      </c>
      <c r="O17" s="3">
        <v>84633</v>
      </c>
      <c r="P17" s="6">
        <v>44.2</v>
      </c>
      <c r="Q17" s="3">
        <f t="shared" si="21"/>
        <v>2038.2805429864252</v>
      </c>
      <c r="R17" s="3">
        <v>45046</v>
      </c>
      <c r="S17" s="6">
        <v>22.1</v>
      </c>
      <c r="T17" s="3" t="e">
        <f t="shared" si="22"/>
        <v>#DIV/0!</v>
      </c>
      <c r="U17" s="3">
        <v>0</v>
      </c>
      <c r="V17" s="6">
        <v>0</v>
      </c>
      <c r="W17" s="3">
        <f t="shared" si="23"/>
        <v>1542.2222222222222</v>
      </c>
      <c r="X17" s="3">
        <v>38864</v>
      </c>
      <c r="Y17" s="6">
        <v>25.2</v>
      </c>
      <c r="Z17" s="3">
        <f t="shared" si="24"/>
        <v>2592.2307692307691</v>
      </c>
      <c r="AA17" s="3">
        <v>33699</v>
      </c>
      <c r="AB17" s="6">
        <v>13</v>
      </c>
      <c r="AC17" s="3">
        <f t="shared" si="25"/>
        <v>2017.1090047393363</v>
      </c>
      <c r="AD17" s="3">
        <v>42561</v>
      </c>
      <c r="AE17" s="6">
        <v>21.1</v>
      </c>
      <c r="AF17" s="3">
        <f t="shared" si="26"/>
        <v>1486.605504587156</v>
      </c>
      <c r="AG17" s="3">
        <v>32408</v>
      </c>
      <c r="AH17" s="6">
        <v>21.8</v>
      </c>
      <c r="AI17" s="3">
        <f t="shared" si="27"/>
        <v>1798.3050847457628</v>
      </c>
      <c r="AJ17" s="3">
        <v>31830</v>
      </c>
      <c r="AK17" s="6">
        <v>17.7</v>
      </c>
      <c r="AL17" s="3">
        <f t="shared" si="28"/>
        <v>1730.6772009029346</v>
      </c>
      <c r="AM17" s="3">
        <v>76669</v>
      </c>
      <c r="AN17" s="6">
        <v>44.3</v>
      </c>
      <c r="AO17" s="3">
        <f t="shared" si="12"/>
        <v>1878.0918163672654</v>
      </c>
      <c r="AP17" s="3">
        <f t="shared" si="15"/>
        <v>470462</v>
      </c>
      <c r="AQ17" s="6">
        <f t="shared" si="16"/>
        <v>250.5</v>
      </c>
      <c r="AR17" s="3"/>
      <c r="AS17" s="3"/>
      <c r="AT17" s="3"/>
      <c r="AU17" s="3"/>
      <c r="AV17" s="3"/>
      <c r="AW17" s="3"/>
      <c r="AX17" s="3"/>
      <c r="AY17" s="3"/>
      <c r="AZ17" s="3"/>
      <c r="BA17" s="3"/>
      <c r="BB17" s="3"/>
      <c r="BC17" s="3"/>
      <c r="BD17" s="3"/>
      <c r="BE17" s="3"/>
      <c r="BF17" s="3"/>
      <c r="BG17" s="3"/>
      <c r="BH17" s="3"/>
      <c r="BI17" s="3"/>
      <c r="BJ17" s="3"/>
      <c r="BK17" s="3"/>
      <c r="BL17" s="3"/>
      <c r="BM17" s="3"/>
      <c r="BN17" s="3"/>
      <c r="BO17" s="3"/>
    </row>
    <row r="18" spans="1:67" ht="15" customHeight="1" x14ac:dyDescent="0.3">
      <c r="A18" s="7" t="s">
        <v>50</v>
      </c>
      <c r="B18" s="27"/>
      <c r="C18" s="27"/>
      <c r="D18" s="27"/>
      <c r="E18" s="3">
        <f t="shared" si="17"/>
        <v>1389.460580912863</v>
      </c>
      <c r="F18" s="3">
        <v>33486</v>
      </c>
      <c r="G18" s="6">
        <v>24.1</v>
      </c>
      <c r="H18" s="3">
        <f t="shared" si="18"/>
        <v>1357.2614107883817</v>
      </c>
      <c r="I18" s="3">
        <v>32710</v>
      </c>
      <c r="J18" s="6">
        <v>24.1</v>
      </c>
      <c r="K18" s="3">
        <f t="shared" si="19"/>
        <v>1280.0924024640656</v>
      </c>
      <c r="L18" s="3">
        <v>124681</v>
      </c>
      <c r="M18" s="6">
        <v>97.4</v>
      </c>
      <c r="N18" s="3">
        <f t="shared" si="20"/>
        <v>1160</v>
      </c>
      <c r="O18" s="3">
        <v>29000</v>
      </c>
      <c r="P18" s="6">
        <v>25</v>
      </c>
      <c r="Q18" s="3">
        <f t="shared" si="21"/>
        <v>1173.4636264929425</v>
      </c>
      <c r="R18" s="3">
        <v>216152</v>
      </c>
      <c r="S18" s="6">
        <v>184.2</v>
      </c>
      <c r="T18" s="3">
        <f t="shared" si="22"/>
        <v>1141.925601750547</v>
      </c>
      <c r="U18" s="3">
        <v>52186</v>
      </c>
      <c r="V18" s="6">
        <v>45.7</v>
      </c>
      <c r="W18" s="3">
        <f t="shared" si="23"/>
        <v>1256.0944881889764</v>
      </c>
      <c r="X18" s="3">
        <v>79762</v>
      </c>
      <c r="Y18" s="6">
        <v>63.5</v>
      </c>
      <c r="Z18" s="3">
        <f t="shared" si="24"/>
        <v>1278.6474501108646</v>
      </c>
      <c r="AA18" s="3">
        <v>57667</v>
      </c>
      <c r="AB18" s="6">
        <v>45.1</v>
      </c>
      <c r="AC18" s="3">
        <f t="shared" si="25"/>
        <v>1183.4839650145773</v>
      </c>
      <c r="AD18" s="3">
        <v>81187</v>
      </c>
      <c r="AE18" s="6">
        <v>68.599999999999994</v>
      </c>
      <c r="AF18" s="3">
        <f t="shared" si="26"/>
        <v>1133.08533916849</v>
      </c>
      <c r="AG18" s="3">
        <v>51782</v>
      </c>
      <c r="AH18" s="6">
        <v>45.7</v>
      </c>
      <c r="AI18" s="3">
        <f t="shared" si="27"/>
        <v>1330.7883817427385</v>
      </c>
      <c r="AJ18" s="3">
        <v>32072</v>
      </c>
      <c r="AK18" s="6">
        <v>24.1</v>
      </c>
      <c r="AL18" s="3">
        <f t="shared" si="28"/>
        <v>1165.6074766355139</v>
      </c>
      <c r="AM18" s="3">
        <v>74832</v>
      </c>
      <c r="AN18" s="6">
        <v>64.2</v>
      </c>
      <c r="AO18" s="3">
        <f t="shared" si="12"/>
        <v>1216.1261767598705</v>
      </c>
      <c r="AP18" s="3">
        <f t="shared" si="15"/>
        <v>865517</v>
      </c>
      <c r="AQ18" s="6">
        <f t="shared" si="16"/>
        <v>711.70000000000016</v>
      </c>
      <c r="AR18" s="3"/>
      <c r="AS18" s="3"/>
      <c r="AT18" s="3"/>
      <c r="AU18" s="3"/>
      <c r="AV18" s="3"/>
      <c r="AW18" s="3"/>
      <c r="AX18" s="3"/>
      <c r="AY18" s="3"/>
      <c r="AZ18" s="3"/>
      <c r="BA18" s="3"/>
      <c r="BB18" s="3"/>
      <c r="BC18" s="3"/>
      <c r="BD18" s="3"/>
      <c r="BE18" s="3"/>
      <c r="BF18" s="3"/>
      <c r="BG18" s="3"/>
      <c r="BH18" s="3"/>
      <c r="BI18" s="3"/>
      <c r="BJ18" s="3"/>
      <c r="BK18" s="3"/>
      <c r="BL18" s="3"/>
      <c r="BM18" s="3"/>
      <c r="BN18" s="3"/>
      <c r="BO18" s="3"/>
    </row>
    <row r="19" spans="1:67" ht="15" customHeight="1" x14ac:dyDescent="0.3">
      <c r="A19" s="7" t="s">
        <v>30</v>
      </c>
      <c r="B19" s="27"/>
      <c r="C19" s="27"/>
      <c r="D19" s="27"/>
      <c r="E19" s="3">
        <f t="shared" si="17"/>
        <v>2073.333333333333</v>
      </c>
      <c r="F19" s="3">
        <v>4354</v>
      </c>
      <c r="G19" s="6">
        <v>2.1</v>
      </c>
      <c r="H19" s="3">
        <f t="shared" si="18"/>
        <v>2167.6923076923076</v>
      </c>
      <c r="I19" s="3">
        <v>5636</v>
      </c>
      <c r="J19" s="6">
        <v>2.6</v>
      </c>
      <c r="K19" s="3" t="e">
        <f t="shared" si="19"/>
        <v>#DIV/0!</v>
      </c>
      <c r="L19" s="3">
        <v>0</v>
      </c>
      <c r="M19" s="6">
        <v>0</v>
      </c>
      <c r="N19" s="3" t="e">
        <f t="shared" si="20"/>
        <v>#DIV/0!</v>
      </c>
      <c r="O19" s="3">
        <v>0</v>
      </c>
      <c r="P19" s="6">
        <v>0</v>
      </c>
      <c r="Q19" s="3" t="e">
        <f t="shared" si="21"/>
        <v>#DIV/0!</v>
      </c>
      <c r="R19" s="3">
        <v>0</v>
      </c>
      <c r="S19" s="6">
        <v>0</v>
      </c>
      <c r="T19" s="3">
        <f t="shared" si="22"/>
        <v>4109.2804154302667</v>
      </c>
      <c r="U19" s="3">
        <v>553931</v>
      </c>
      <c r="V19" s="6">
        <v>134.80000000000001</v>
      </c>
      <c r="W19" s="3">
        <f t="shared" si="23"/>
        <v>2123.8095238095239</v>
      </c>
      <c r="X19" s="3">
        <v>4460</v>
      </c>
      <c r="Y19" s="6">
        <v>2.1</v>
      </c>
      <c r="Z19" s="3">
        <f t="shared" si="24"/>
        <v>1619.957627118644</v>
      </c>
      <c r="AA19" s="3">
        <v>76462</v>
      </c>
      <c r="AB19" s="6">
        <v>47.2</v>
      </c>
      <c r="AC19" s="3">
        <f t="shared" si="25"/>
        <v>1705.851851851852</v>
      </c>
      <c r="AD19" s="3">
        <v>23029</v>
      </c>
      <c r="AE19" s="6">
        <v>13.5</v>
      </c>
      <c r="AF19" s="3" t="e">
        <f t="shared" si="26"/>
        <v>#DIV/0!</v>
      </c>
      <c r="AG19" s="3">
        <v>0</v>
      </c>
      <c r="AH19" s="6">
        <v>0</v>
      </c>
      <c r="AI19" s="3">
        <f t="shared" si="27"/>
        <v>1670.0740740740741</v>
      </c>
      <c r="AJ19" s="3">
        <v>22546</v>
      </c>
      <c r="AK19" s="6">
        <v>13.5</v>
      </c>
      <c r="AL19" s="3">
        <f t="shared" si="28"/>
        <v>1673.7128712871288</v>
      </c>
      <c r="AM19" s="3">
        <v>67618</v>
      </c>
      <c r="AN19" s="6">
        <v>40.4</v>
      </c>
      <c r="AO19" s="3">
        <f t="shared" si="12"/>
        <v>2958.7665886026543</v>
      </c>
      <c r="AP19" s="3">
        <f t="shared" si="15"/>
        <v>758036</v>
      </c>
      <c r="AQ19" s="6">
        <f t="shared" si="16"/>
        <v>256.2</v>
      </c>
      <c r="AR19" s="3"/>
      <c r="AS19" s="3"/>
      <c r="AT19" s="3"/>
      <c r="AU19" s="3"/>
      <c r="AV19" s="3"/>
      <c r="AW19" s="3"/>
      <c r="AX19" s="3"/>
      <c r="AY19" s="3"/>
      <c r="AZ19" s="3"/>
      <c r="BA19" s="3"/>
      <c r="BB19" s="3"/>
      <c r="BC19" s="3"/>
      <c r="BD19" s="3"/>
      <c r="BE19" s="3"/>
      <c r="BF19" s="3"/>
      <c r="BG19" s="3"/>
      <c r="BH19" s="3"/>
      <c r="BI19" s="3"/>
      <c r="BJ19" s="3"/>
      <c r="BK19" s="3"/>
      <c r="BL19" s="3"/>
      <c r="BM19" s="3"/>
      <c r="BN19" s="3"/>
      <c r="BO19" s="3"/>
    </row>
    <row r="20" spans="1:67" x14ac:dyDescent="0.3">
      <c r="A20" s="7" t="s">
        <v>23</v>
      </c>
      <c r="B20" s="27"/>
      <c r="C20" s="27"/>
      <c r="D20" s="27"/>
      <c r="E20" s="3">
        <f t="shared" si="17"/>
        <v>1220.9779179810726</v>
      </c>
      <c r="F20" s="3">
        <v>77410</v>
      </c>
      <c r="G20" s="6">
        <v>63.4</v>
      </c>
      <c r="H20" s="3">
        <f t="shared" si="18"/>
        <v>1258.9664502164501</v>
      </c>
      <c r="I20" s="3">
        <v>232657</v>
      </c>
      <c r="J20" s="6">
        <v>184.8</v>
      </c>
      <c r="K20" s="3">
        <f t="shared" si="19"/>
        <v>1365.2107728337235</v>
      </c>
      <c r="L20" s="3">
        <v>116589</v>
      </c>
      <c r="M20" s="6">
        <v>85.4</v>
      </c>
      <c r="N20" s="3">
        <f t="shared" si="20"/>
        <v>2376.3157894736842</v>
      </c>
      <c r="O20" s="3">
        <v>36120</v>
      </c>
      <c r="P20" s="6">
        <v>15.2</v>
      </c>
      <c r="Q20" s="3">
        <f t="shared" si="21"/>
        <v>1532.549504950495</v>
      </c>
      <c r="R20" s="3">
        <v>61915</v>
      </c>
      <c r="S20" s="6">
        <v>40.4</v>
      </c>
      <c r="T20" s="3">
        <f t="shared" si="22"/>
        <v>1267.258382642998</v>
      </c>
      <c r="U20" s="3">
        <v>128500</v>
      </c>
      <c r="V20" s="6">
        <v>101.4</v>
      </c>
      <c r="W20" s="3">
        <f t="shared" si="23"/>
        <v>1352.8089171974523</v>
      </c>
      <c r="X20" s="3">
        <v>212391</v>
      </c>
      <c r="Y20" s="6">
        <v>157</v>
      </c>
      <c r="Z20" s="3">
        <f t="shared" si="24"/>
        <v>1181.7350427350427</v>
      </c>
      <c r="AA20" s="3">
        <v>138263</v>
      </c>
      <c r="AB20" s="6">
        <v>117</v>
      </c>
      <c r="AC20" s="3">
        <f t="shared" si="25"/>
        <v>1224.8888888888889</v>
      </c>
      <c r="AD20" s="3">
        <v>71656</v>
      </c>
      <c r="AE20" s="6">
        <v>58.5</v>
      </c>
      <c r="AF20" s="3">
        <f t="shared" si="26"/>
        <v>1276.2536231884058</v>
      </c>
      <c r="AG20" s="3">
        <v>176123</v>
      </c>
      <c r="AH20" s="6">
        <v>138</v>
      </c>
      <c r="AI20" s="3">
        <f t="shared" si="27"/>
        <v>1575.5815602836878</v>
      </c>
      <c r="AJ20" s="3">
        <v>222157</v>
      </c>
      <c r="AK20" s="6">
        <v>141</v>
      </c>
      <c r="AL20" s="3">
        <f t="shared" si="28"/>
        <v>1265.8227848101267</v>
      </c>
      <c r="AM20" s="3">
        <v>50000</v>
      </c>
      <c r="AN20" s="6">
        <v>39.5</v>
      </c>
      <c r="AO20" s="3">
        <f t="shared" si="12"/>
        <v>1334.7766292922215</v>
      </c>
      <c r="AP20" s="3">
        <f t="shared" si="15"/>
        <v>1523781</v>
      </c>
      <c r="AQ20" s="6">
        <f t="shared" si="16"/>
        <v>1141.5999999999999</v>
      </c>
      <c r="AR20" s="3"/>
      <c r="AS20" s="3"/>
      <c r="AT20" s="3"/>
      <c r="AU20" s="3"/>
      <c r="AV20" s="3"/>
      <c r="AW20" s="3"/>
      <c r="AX20" s="3"/>
      <c r="AY20" s="3"/>
      <c r="AZ20" s="3"/>
      <c r="BA20" s="3"/>
      <c r="BB20" s="3"/>
      <c r="BC20" s="3"/>
      <c r="BD20" s="3"/>
      <c r="BE20" s="3"/>
      <c r="BF20" s="3"/>
      <c r="BG20" s="3"/>
      <c r="BH20" s="3"/>
      <c r="BI20" s="3"/>
      <c r="BJ20" s="3"/>
      <c r="BK20" s="3"/>
      <c r="BL20" s="3"/>
      <c r="BM20" s="3"/>
      <c r="BN20" s="3"/>
      <c r="BO20" s="3"/>
    </row>
    <row r="21" spans="1:67" x14ac:dyDescent="0.3">
      <c r="A21" s="7" t="s">
        <v>59</v>
      </c>
      <c r="B21" s="27"/>
      <c r="C21" s="27"/>
      <c r="D21" s="27"/>
      <c r="E21" s="3" t="e">
        <f t="shared" si="17"/>
        <v>#DIV/0!</v>
      </c>
      <c r="F21" s="3">
        <v>0</v>
      </c>
      <c r="G21" s="6">
        <v>0</v>
      </c>
      <c r="H21" s="3">
        <f t="shared" si="18"/>
        <v>1204.8034934497816</v>
      </c>
      <c r="I21" s="3">
        <v>27590</v>
      </c>
      <c r="J21" s="6">
        <v>22.9</v>
      </c>
      <c r="K21" s="3" t="e">
        <f t="shared" si="19"/>
        <v>#DIV/0!</v>
      </c>
      <c r="L21" s="3">
        <v>0</v>
      </c>
      <c r="M21" s="6">
        <v>0</v>
      </c>
      <c r="N21" s="3">
        <f t="shared" si="20"/>
        <v>1099.0809628008751</v>
      </c>
      <c r="O21" s="3">
        <v>50228</v>
      </c>
      <c r="P21" s="6">
        <v>45.7</v>
      </c>
      <c r="Q21" s="3" t="e">
        <f t="shared" si="21"/>
        <v>#DIV/0!</v>
      </c>
      <c r="R21" s="3">
        <v>0</v>
      </c>
      <c r="S21" s="6">
        <v>0</v>
      </c>
      <c r="T21" s="3">
        <f t="shared" si="22"/>
        <v>1329.1160220994475</v>
      </c>
      <c r="U21" s="3">
        <v>24057</v>
      </c>
      <c r="V21" s="6">
        <v>18.100000000000001</v>
      </c>
      <c r="W21" s="3" t="e">
        <f t="shared" si="23"/>
        <v>#DIV/0!</v>
      </c>
      <c r="X21" s="3">
        <v>0</v>
      </c>
      <c r="Y21" s="6">
        <v>0</v>
      </c>
      <c r="Z21" s="3" t="e">
        <f t="shared" si="24"/>
        <v>#DIV/0!</v>
      </c>
      <c r="AA21" s="3">
        <v>0</v>
      </c>
      <c r="AB21" s="6">
        <v>0</v>
      </c>
      <c r="AC21" s="3" t="e">
        <f t="shared" si="25"/>
        <v>#DIV/0!</v>
      </c>
      <c r="AD21" s="3">
        <v>0</v>
      </c>
      <c r="AE21" s="6">
        <v>0</v>
      </c>
      <c r="AF21" s="3">
        <f t="shared" si="26"/>
        <v>1187.3684210526317</v>
      </c>
      <c r="AG21" s="3">
        <v>9024</v>
      </c>
      <c r="AH21" s="6">
        <v>7.6</v>
      </c>
      <c r="AI21" s="3" t="e">
        <f t="shared" si="27"/>
        <v>#DIV/0!</v>
      </c>
      <c r="AJ21" s="3">
        <v>0</v>
      </c>
      <c r="AK21" s="6">
        <v>0</v>
      </c>
      <c r="AL21" s="3">
        <f t="shared" si="28"/>
        <v>1219.1836734693879</v>
      </c>
      <c r="AM21" s="3">
        <v>41818</v>
      </c>
      <c r="AN21" s="6">
        <v>34.299999999999997</v>
      </c>
      <c r="AO21" s="3">
        <f t="shared" si="12"/>
        <v>1187.5349922239504</v>
      </c>
      <c r="AP21" s="3">
        <f t="shared" si="15"/>
        <v>152717</v>
      </c>
      <c r="AQ21" s="6">
        <f t="shared" si="16"/>
        <v>128.59999999999997</v>
      </c>
      <c r="AR21" s="3"/>
      <c r="AS21" s="3"/>
      <c r="AT21" s="3"/>
      <c r="AU21" s="3"/>
      <c r="AV21" s="3"/>
      <c r="AW21" s="3"/>
      <c r="AX21" s="3"/>
      <c r="AY21" s="3"/>
      <c r="AZ21" s="3"/>
      <c r="BA21" s="3"/>
      <c r="BB21" s="3"/>
      <c r="BC21" s="3"/>
      <c r="BD21" s="3"/>
      <c r="BE21" s="3"/>
      <c r="BF21" s="3"/>
      <c r="BG21" s="3"/>
      <c r="BH21" s="3"/>
      <c r="BI21" s="3"/>
      <c r="BJ21" s="3"/>
      <c r="BK21" s="3"/>
      <c r="BL21" s="3"/>
      <c r="BM21" s="3"/>
      <c r="BN21" s="3"/>
      <c r="BO21" s="3"/>
    </row>
    <row r="22" spans="1:67" x14ac:dyDescent="0.3">
      <c r="A22" s="7" t="s">
        <v>58</v>
      </c>
      <c r="B22" s="27"/>
      <c r="C22" s="27"/>
      <c r="D22" s="27"/>
      <c r="E22" s="3">
        <f t="shared" si="17"/>
        <v>1704.375</v>
      </c>
      <c r="F22" s="3">
        <v>2727</v>
      </c>
      <c r="G22" s="6">
        <v>1.6</v>
      </c>
      <c r="H22" s="3" t="e">
        <f t="shared" si="18"/>
        <v>#DIV/0!</v>
      </c>
      <c r="I22" s="3">
        <v>0</v>
      </c>
      <c r="J22" s="6">
        <v>0</v>
      </c>
      <c r="K22" s="3">
        <f t="shared" si="19"/>
        <v>1487.875</v>
      </c>
      <c r="L22" s="3">
        <v>11903</v>
      </c>
      <c r="M22" s="6">
        <v>8</v>
      </c>
      <c r="N22" s="3">
        <f t="shared" si="20"/>
        <v>1360.414937759336</v>
      </c>
      <c r="O22" s="3">
        <v>32786</v>
      </c>
      <c r="P22" s="6">
        <v>24.1</v>
      </c>
      <c r="Q22" s="3">
        <f t="shared" si="21"/>
        <v>1285.6363636363637</v>
      </c>
      <c r="R22" s="3">
        <v>63639</v>
      </c>
      <c r="S22" s="6">
        <v>49.5</v>
      </c>
      <c r="T22" s="3">
        <f t="shared" si="22"/>
        <v>1175.2838427947599</v>
      </c>
      <c r="U22" s="3">
        <v>26914</v>
      </c>
      <c r="V22" s="6">
        <v>22.9</v>
      </c>
      <c r="W22" s="3">
        <f t="shared" si="23"/>
        <v>1270.2127659574469</v>
      </c>
      <c r="X22" s="3">
        <v>59700</v>
      </c>
      <c r="Y22" s="6">
        <v>47</v>
      </c>
      <c r="Z22" s="3">
        <f t="shared" si="24"/>
        <v>1444.7410358565737</v>
      </c>
      <c r="AA22" s="3">
        <v>36263</v>
      </c>
      <c r="AB22" s="6">
        <v>25.1</v>
      </c>
      <c r="AC22" s="3">
        <f t="shared" si="25"/>
        <v>1192.0910973084888</v>
      </c>
      <c r="AD22" s="3">
        <v>57578</v>
      </c>
      <c r="AE22" s="6">
        <v>48.3</v>
      </c>
      <c r="AF22" s="3">
        <f t="shared" si="26"/>
        <v>1270.2127659574469</v>
      </c>
      <c r="AG22" s="3">
        <v>59700</v>
      </c>
      <c r="AH22" s="6">
        <v>47</v>
      </c>
      <c r="AI22" s="3" t="e">
        <f t="shared" si="27"/>
        <v>#DIV/0!</v>
      </c>
      <c r="AJ22" s="3">
        <v>0</v>
      </c>
      <c r="AK22" s="6">
        <v>0</v>
      </c>
      <c r="AL22" s="3">
        <f t="shared" si="28"/>
        <v>1416.5917602996255</v>
      </c>
      <c r="AM22" s="3">
        <v>37823</v>
      </c>
      <c r="AN22" s="6">
        <v>26.7</v>
      </c>
      <c r="AO22" s="3">
        <f t="shared" si="12"/>
        <v>1295.9127248500999</v>
      </c>
      <c r="AP22" s="3">
        <f t="shared" si="15"/>
        <v>389033</v>
      </c>
      <c r="AQ22" s="6">
        <f t="shared" si="16"/>
        <v>300.2</v>
      </c>
      <c r="AR22" s="3"/>
      <c r="AS22" s="3"/>
      <c r="AT22" s="3"/>
      <c r="AU22" s="3"/>
      <c r="AV22" s="3"/>
      <c r="AW22" s="3"/>
      <c r="AX22" s="3"/>
      <c r="AY22" s="3"/>
      <c r="AZ22" s="3"/>
      <c r="BA22" s="3"/>
      <c r="BB22" s="3"/>
      <c r="BC22" s="3"/>
      <c r="BD22" s="3"/>
      <c r="BE22" s="3"/>
      <c r="BF22" s="3"/>
      <c r="BG22" s="3"/>
      <c r="BH22" s="3"/>
      <c r="BI22" s="3"/>
      <c r="BJ22" s="3"/>
      <c r="BK22" s="3"/>
      <c r="BL22" s="3"/>
      <c r="BM22" s="3"/>
      <c r="BN22" s="3"/>
      <c r="BO22" s="3"/>
    </row>
    <row r="23" spans="1:67" x14ac:dyDescent="0.3">
      <c r="A23" s="7" t="s">
        <v>22</v>
      </c>
      <c r="B23" s="27"/>
      <c r="C23" s="27"/>
      <c r="D23" s="27"/>
      <c r="E23" s="3">
        <f t="shared" si="17"/>
        <v>2143.8805970149251</v>
      </c>
      <c r="F23" s="3">
        <v>28728</v>
      </c>
      <c r="G23" s="6">
        <v>13.4</v>
      </c>
      <c r="H23" s="3">
        <f t="shared" si="18"/>
        <v>1801.3698630136987</v>
      </c>
      <c r="I23" s="3">
        <v>26300</v>
      </c>
      <c r="J23" s="6">
        <v>14.6</v>
      </c>
      <c r="K23" s="3">
        <f t="shared" si="19"/>
        <v>1393.6350777934936</v>
      </c>
      <c r="L23" s="3">
        <v>98530</v>
      </c>
      <c r="M23" s="6">
        <v>70.7</v>
      </c>
      <c r="N23" s="3">
        <f t="shared" si="20"/>
        <v>2035.2475247524753</v>
      </c>
      <c r="O23" s="3">
        <v>41112</v>
      </c>
      <c r="P23" s="6">
        <v>20.2</v>
      </c>
      <c r="Q23" s="3">
        <f t="shared" si="21"/>
        <v>2244.5238095238096</v>
      </c>
      <c r="R23" s="3">
        <v>9427</v>
      </c>
      <c r="S23" s="6">
        <v>4.2</v>
      </c>
      <c r="T23" s="3">
        <f t="shared" si="22"/>
        <v>1811.1627906976744</v>
      </c>
      <c r="U23" s="3">
        <v>62304</v>
      </c>
      <c r="V23" s="6">
        <v>34.4</v>
      </c>
      <c r="W23" s="3">
        <f t="shared" si="23"/>
        <v>858.22768150910281</v>
      </c>
      <c r="X23" s="3">
        <v>1173798</v>
      </c>
      <c r="Y23" s="6">
        <v>1367.7</v>
      </c>
      <c r="Z23" s="3">
        <f t="shared" si="24"/>
        <v>1558.1625441696112</v>
      </c>
      <c r="AA23" s="3">
        <v>44096</v>
      </c>
      <c r="AB23" s="6">
        <v>28.3</v>
      </c>
      <c r="AC23" s="3">
        <f t="shared" si="25"/>
        <v>1989.7777777777778</v>
      </c>
      <c r="AD23" s="3">
        <v>17908</v>
      </c>
      <c r="AE23" s="6">
        <v>9</v>
      </c>
      <c r="AF23" s="3">
        <f t="shared" si="26"/>
        <v>2023.1111111111111</v>
      </c>
      <c r="AG23" s="3">
        <v>9104</v>
      </c>
      <c r="AH23" s="6">
        <v>4.5</v>
      </c>
      <c r="AI23" s="3">
        <f t="shared" si="27"/>
        <v>2220.8187134502923</v>
      </c>
      <c r="AJ23" s="3">
        <v>37976</v>
      </c>
      <c r="AK23" s="6">
        <v>17.100000000000001</v>
      </c>
      <c r="AL23" s="3">
        <f t="shared" si="28"/>
        <v>1406.7537313432836</v>
      </c>
      <c r="AM23" s="3">
        <v>37701</v>
      </c>
      <c r="AN23" s="6">
        <v>26.8</v>
      </c>
      <c r="AO23" s="3">
        <f t="shared" si="12"/>
        <v>985.15364082190092</v>
      </c>
      <c r="AP23" s="3">
        <f t="shared" si="15"/>
        <v>1586984</v>
      </c>
      <c r="AQ23" s="6">
        <f t="shared" si="16"/>
        <v>1610.8999999999999</v>
      </c>
      <c r="AR23" s="3"/>
      <c r="AS23" s="3"/>
      <c r="AT23" s="3"/>
      <c r="AU23" s="3"/>
      <c r="AV23" s="3"/>
      <c r="AW23" s="3"/>
      <c r="AX23" s="3"/>
      <c r="AY23" s="3"/>
      <c r="AZ23" s="3"/>
      <c r="BA23" s="3"/>
      <c r="BB23" s="3"/>
      <c r="BC23" s="3"/>
      <c r="BD23" s="3"/>
      <c r="BE23" s="3"/>
      <c r="BF23" s="3"/>
      <c r="BG23" s="3"/>
      <c r="BH23" s="3"/>
      <c r="BI23" s="3"/>
      <c r="BJ23" s="3"/>
      <c r="BK23" s="3"/>
      <c r="BL23" s="3"/>
      <c r="BM23" s="3"/>
      <c r="BN23" s="3"/>
      <c r="BO23" s="3"/>
    </row>
    <row r="24" spans="1:67" x14ac:dyDescent="0.3">
      <c r="A24" s="7" t="s">
        <v>57</v>
      </c>
      <c r="B24" s="27"/>
      <c r="C24" s="27"/>
      <c r="D24" s="27"/>
      <c r="E24" s="3" t="e">
        <f t="shared" si="17"/>
        <v>#DIV/0!</v>
      </c>
      <c r="F24" s="3">
        <v>0</v>
      </c>
      <c r="G24" s="6">
        <v>0</v>
      </c>
      <c r="H24" s="3" t="e">
        <f t="shared" si="18"/>
        <v>#DIV/0!</v>
      </c>
      <c r="I24" s="3">
        <v>0</v>
      </c>
      <c r="J24" s="6">
        <v>0</v>
      </c>
      <c r="K24" s="3" t="e">
        <f t="shared" si="19"/>
        <v>#DIV/0!</v>
      </c>
      <c r="L24" s="3">
        <v>0</v>
      </c>
      <c r="M24" s="6">
        <v>0</v>
      </c>
      <c r="N24" s="3" t="e">
        <f t="shared" si="20"/>
        <v>#DIV/0!</v>
      </c>
      <c r="O24" s="3">
        <v>0</v>
      </c>
      <c r="P24" s="6">
        <v>0</v>
      </c>
      <c r="Q24" s="3" t="e">
        <f t="shared" si="21"/>
        <v>#DIV/0!</v>
      </c>
      <c r="R24" s="3">
        <v>0</v>
      </c>
      <c r="S24" s="6">
        <v>0</v>
      </c>
      <c r="T24" s="3" t="e">
        <f t="shared" si="22"/>
        <v>#DIV/0!</v>
      </c>
      <c r="U24" s="3">
        <v>0</v>
      </c>
      <c r="V24" s="6">
        <v>0</v>
      </c>
      <c r="W24" s="3" t="e">
        <f t="shared" si="23"/>
        <v>#DIV/0!</v>
      </c>
      <c r="X24" s="3">
        <v>0</v>
      </c>
      <c r="Y24" s="6">
        <v>0</v>
      </c>
      <c r="Z24" s="3" t="e">
        <f t="shared" si="24"/>
        <v>#DIV/0!</v>
      </c>
      <c r="AA24" s="3">
        <v>0</v>
      </c>
      <c r="AB24" s="6">
        <v>0</v>
      </c>
      <c r="AC24" s="3" t="e">
        <f t="shared" si="25"/>
        <v>#DIV/0!</v>
      </c>
      <c r="AD24" s="3">
        <v>0</v>
      </c>
      <c r="AE24" s="6">
        <v>0</v>
      </c>
      <c r="AF24" s="3" t="e">
        <f t="shared" si="26"/>
        <v>#DIV/0!</v>
      </c>
      <c r="AG24" s="3">
        <v>0</v>
      </c>
      <c r="AH24" s="6">
        <v>0</v>
      </c>
      <c r="AI24" s="3" t="e">
        <f t="shared" si="27"/>
        <v>#DIV/0!</v>
      </c>
      <c r="AJ24" s="3">
        <v>0</v>
      </c>
      <c r="AK24" s="6">
        <v>0</v>
      </c>
      <c r="AL24" s="3">
        <f t="shared" si="28"/>
        <v>1207.0333333333333</v>
      </c>
      <c r="AM24" s="3">
        <v>36211</v>
      </c>
      <c r="AN24" s="6">
        <v>30</v>
      </c>
      <c r="AO24" s="3">
        <f t="shared" si="12"/>
        <v>1207.0333333333333</v>
      </c>
      <c r="AP24" s="3">
        <f t="shared" si="15"/>
        <v>36211</v>
      </c>
      <c r="AQ24" s="6">
        <f t="shared" si="16"/>
        <v>30</v>
      </c>
      <c r="AR24" s="3"/>
      <c r="AS24" s="3"/>
      <c r="AT24" s="3"/>
      <c r="AU24" s="3"/>
      <c r="AV24" s="3"/>
      <c r="AW24" s="3"/>
      <c r="AX24" s="3"/>
      <c r="AY24" s="3"/>
      <c r="AZ24" s="3"/>
      <c r="BA24" s="3"/>
      <c r="BB24" s="3"/>
      <c r="BC24" s="3"/>
      <c r="BD24" s="3"/>
      <c r="BE24" s="3"/>
      <c r="BF24" s="3"/>
      <c r="BG24" s="3"/>
      <c r="BH24" s="3"/>
      <c r="BI24" s="3"/>
      <c r="BJ24" s="3"/>
      <c r="BK24" s="3"/>
      <c r="BL24" s="3"/>
      <c r="BM24" s="3"/>
      <c r="BN24" s="3"/>
      <c r="BO24" s="3"/>
    </row>
    <row r="25" spans="1:67" x14ac:dyDescent="0.3">
      <c r="A25" s="7" t="s">
        <v>74</v>
      </c>
      <c r="B25" s="27"/>
      <c r="C25" s="27"/>
      <c r="D25" s="27"/>
      <c r="E25" s="3">
        <f t="shared" si="17"/>
        <v>4071.3793103448279</v>
      </c>
      <c r="F25" s="3">
        <v>47228</v>
      </c>
      <c r="G25" s="6">
        <v>11.6</v>
      </c>
      <c r="H25" s="3" t="e">
        <f t="shared" si="18"/>
        <v>#DIV/0!</v>
      </c>
      <c r="I25" s="3">
        <v>0</v>
      </c>
      <c r="J25" s="6">
        <v>0</v>
      </c>
      <c r="K25" s="3">
        <f t="shared" si="19"/>
        <v>1523.0769230769231</v>
      </c>
      <c r="L25" s="3">
        <v>3960</v>
      </c>
      <c r="M25" s="6">
        <v>2.6</v>
      </c>
      <c r="N25" s="3" t="e">
        <f t="shared" si="20"/>
        <v>#DIV/0!</v>
      </c>
      <c r="O25" s="3">
        <v>0</v>
      </c>
      <c r="P25" s="6">
        <v>0</v>
      </c>
      <c r="Q25" s="3" t="e">
        <f t="shared" si="21"/>
        <v>#DIV/0!</v>
      </c>
      <c r="R25" s="3">
        <v>0</v>
      </c>
      <c r="S25" s="6">
        <v>0</v>
      </c>
      <c r="T25" s="3" t="e">
        <f t="shared" si="22"/>
        <v>#DIV/0!</v>
      </c>
      <c r="U25" s="3">
        <v>0</v>
      </c>
      <c r="V25" s="6">
        <v>0</v>
      </c>
      <c r="W25" s="3" t="e">
        <f t="shared" si="23"/>
        <v>#DIV/0!</v>
      </c>
      <c r="X25" s="3">
        <v>0</v>
      </c>
      <c r="Y25" s="6">
        <v>0</v>
      </c>
      <c r="Z25" s="3" t="e">
        <f t="shared" si="24"/>
        <v>#DIV/0!</v>
      </c>
      <c r="AA25" s="3">
        <v>0</v>
      </c>
      <c r="AB25" s="6">
        <v>0</v>
      </c>
      <c r="AC25" s="3">
        <f t="shared" si="25"/>
        <v>4550</v>
      </c>
      <c r="AD25" s="3">
        <v>2730</v>
      </c>
      <c r="AE25" s="6">
        <v>0.6</v>
      </c>
      <c r="AF25" s="3" t="e">
        <f t="shared" si="26"/>
        <v>#DIV/0!</v>
      </c>
      <c r="AG25" s="3">
        <v>0</v>
      </c>
      <c r="AH25" s="6">
        <v>0</v>
      </c>
      <c r="AI25" s="3" t="e">
        <f t="shared" si="27"/>
        <v>#DIV/0!</v>
      </c>
      <c r="AJ25" s="3">
        <v>0</v>
      </c>
      <c r="AK25" s="6">
        <v>0</v>
      </c>
      <c r="AL25" s="3">
        <f t="shared" si="28"/>
        <v>4555.4411764705883</v>
      </c>
      <c r="AM25" s="3">
        <v>30977</v>
      </c>
      <c r="AN25" s="6">
        <v>6.8</v>
      </c>
      <c r="AO25" s="3">
        <f t="shared" si="12"/>
        <v>3930.3240740740744</v>
      </c>
      <c r="AP25" s="3">
        <f t="shared" si="15"/>
        <v>84895</v>
      </c>
      <c r="AQ25" s="6">
        <f t="shared" si="16"/>
        <v>21.599999999999998</v>
      </c>
      <c r="AR25" s="3"/>
      <c r="AS25" s="3"/>
      <c r="AT25" s="3"/>
      <c r="AU25" s="3"/>
      <c r="AV25" s="3"/>
      <c r="AW25" s="3"/>
      <c r="AX25" s="3"/>
      <c r="AY25" s="3"/>
      <c r="AZ25" s="3"/>
      <c r="BA25" s="3"/>
      <c r="BB25" s="3"/>
      <c r="BC25" s="3"/>
      <c r="BD25" s="3"/>
      <c r="BE25" s="3"/>
      <c r="BF25" s="3"/>
      <c r="BG25" s="3"/>
      <c r="BH25" s="3"/>
      <c r="BI25" s="3"/>
      <c r="BJ25" s="3"/>
      <c r="BK25" s="3"/>
      <c r="BL25" s="3"/>
      <c r="BM25" s="3"/>
      <c r="BN25" s="3"/>
      <c r="BO25" s="3"/>
    </row>
    <row r="26" spans="1:67" x14ac:dyDescent="0.3">
      <c r="A26" s="7" t="s">
        <v>32</v>
      </c>
      <c r="B26" s="27"/>
      <c r="C26" s="27"/>
      <c r="D26" s="27"/>
      <c r="E26" s="3">
        <f t="shared" si="17"/>
        <v>1278.0612244897959</v>
      </c>
      <c r="F26" s="3">
        <v>50100</v>
      </c>
      <c r="G26" s="6">
        <v>39.200000000000003</v>
      </c>
      <c r="H26" s="3">
        <f t="shared" si="18"/>
        <v>1275.7948717948718</v>
      </c>
      <c r="I26" s="3">
        <v>49756</v>
      </c>
      <c r="J26" s="6">
        <v>39</v>
      </c>
      <c r="K26" s="3">
        <f t="shared" si="19"/>
        <v>1158.5403726708075</v>
      </c>
      <c r="L26" s="3">
        <v>186525</v>
      </c>
      <c r="M26" s="6">
        <v>161</v>
      </c>
      <c r="N26" s="3">
        <f t="shared" si="20"/>
        <v>1022.6851851851851</v>
      </c>
      <c r="O26" s="3">
        <v>22090</v>
      </c>
      <c r="P26" s="6">
        <v>21.6</v>
      </c>
      <c r="Q26" s="3">
        <f t="shared" si="21"/>
        <v>1161.4181818181819</v>
      </c>
      <c r="R26" s="3">
        <v>31939</v>
      </c>
      <c r="S26" s="6">
        <v>27.5</v>
      </c>
      <c r="T26" s="3">
        <f t="shared" si="22"/>
        <v>1439.627659574468</v>
      </c>
      <c r="U26" s="3">
        <v>27065</v>
      </c>
      <c r="V26" s="6">
        <v>18.8</v>
      </c>
      <c r="W26" s="3">
        <f t="shared" si="23"/>
        <v>1301.7845117845118</v>
      </c>
      <c r="X26" s="3">
        <v>38663</v>
      </c>
      <c r="Y26" s="6">
        <v>29.7</v>
      </c>
      <c r="Z26" s="3">
        <f t="shared" si="24"/>
        <v>1301.3364779874214</v>
      </c>
      <c r="AA26" s="3">
        <v>82765</v>
      </c>
      <c r="AB26" s="6">
        <v>63.6</v>
      </c>
      <c r="AC26" s="3">
        <f t="shared" si="25"/>
        <v>1162.2277227722773</v>
      </c>
      <c r="AD26" s="3">
        <v>23477</v>
      </c>
      <c r="AE26" s="6">
        <v>20.2</v>
      </c>
      <c r="AF26" s="3">
        <f t="shared" si="26"/>
        <v>1155.8399999999999</v>
      </c>
      <c r="AG26" s="3">
        <v>28896</v>
      </c>
      <c r="AH26" s="6">
        <v>25</v>
      </c>
      <c r="AI26" s="3">
        <f t="shared" si="27"/>
        <v>1208.7918660287082</v>
      </c>
      <c r="AJ26" s="3">
        <v>101055</v>
      </c>
      <c r="AK26" s="6">
        <v>83.6</v>
      </c>
      <c r="AL26" s="3">
        <f t="shared" si="28"/>
        <v>1020.7615894039735</v>
      </c>
      <c r="AM26" s="3">
        <v>30827</v>
      </c>
      <c r="AN26" s="6">
        <v>30.2</v>
      </c>
      <c r="AO26" s="3">
        <f t="shared" si="12"/>
        <v>1203.3571683947084</v>
      </c>
      <c r="AP26" s="3">
        <f t="shared" si="15"/>
        <v>673158</v>
      </c>
      <c r="AQ26" s="6">
        <f t="shared" si="16"/>
        <v>559.40000000000009</v>
      </c>
      <c r="AR26" s="3"/>
      <c r="AS26" s="3"/>
      <c r="AT26" s="3"/>
      <c r="AU26" s="3"/>
      <c r="AV26" s="3"/>
      <c r="AW26" s="3"/>
      <c r="AX26" s="3"/>
      <c r="AY26" s="3"/>
      <c r="AZ26" s="3"/>
      <c r="BA26" s="3"/>
      <c r="BB26" s="3"/>
      <c r="BC26" s="3"/>
      <c r="BD26" s="3"/>
      <c r="BE26" s="3"/>
      <c r="BF26" s="3"/>
      <c r="BG26" s="3"/>
      <c r="BH26" s="3"/>
      <c r="BI26" s="3"/>
      <c r="BJ26" s="3"/>
      <c r="BK26" s="3"/>
      <c r="BL26" s="3"/>
      <c r="BM26" s="3"/>
      <c r="BN26" s="3"/>
      <c r="BO26" s="3"/>
    </row>
    <row r="27" spans="1:67" x14ac:dyDescent="0.3">
      <c r="A27" s="7" t="s">
        <v>61</v>
      </c>
      <c r="B27" s="27"/>
      <c r="C27" s="27"/>
      <c r="D27" s="27"/>
      <c r="E27" s="3" t="e">
        <f t="shared" si="17"/>
        <v>#DIV/0!</v>
      </c>
      <c r="F27" s="3">
        <v>0</v>
      </c>
      <c r="G27" s="6">
        <v>0</v>
      </c>
      <c r="H27" s="3">
        <f t="shared" si="18"/>
        <v>1387.9</v>
      </c>
      <c r="I27" s="3">
        <v>27758</v>
      </c>
      <c r="J27" s="6">
        <v>20</v>
      </c>
      <c r="K27" s="3">
        <f t="shared" si="19"/>
        <v>1339.4</v>
      </c>
      <c r="L27" s="3">
        <v>26788</v>
      </c>
      <c r="M27" s="6">
        <v>20</v>
      </c>
      <c r="N27" s="3" t="e">
        <f t="shared" si="20"/>
        <v>#DIV/0!</v>
      </c>
      <c r="O27" s="3">
        <v>0</v>
      </c>
      <c r="P27" s="6">
        <v>0</v>
      </c>
      <c r="Q27" s="3">
        <f t="shared" si="21"/>
        <v>1279.55</v>
      </c>
      <c r="R27" s="3">
        <v>25591</v>
      </c>
      <c r="S27" s="6">
        <v>20</v>
      </c>
      <c r="T27" s="3" t="e">
        <f t="shared" si="22"/>
        <v>#DIV/0!</v>
      </c>
      <c r="U27" s="3">
        <v>0</v>
      </c>
      <c r="V27" s="6">
        <v>0</v>
      </c>
      <c r="W27" s="3">
        <f t="shared" si="23"/>
        <v>1320.5</v>
      </c>
      <c r="X27" s="3">
        <v>26410</v>
      </c>
      <c r="Y27" s="6">
        <v>20</v>
      </c>
      <c r="Z27" s="3">
        <f t="shared" si="24"/>
        <v>1377.2</v>
      </c>
      <c r="AA27" s="3">
        <v>27544</v>
      </c>
      <c r="AB27" s="6">
        <v>20</v>
      </c>
      <c r="AC27" s="3" t="e">
        <f t="shared" si="25"/>
        <v>#DIV/0!</v>
      </c>
      <c r="AD27" s="3">
        <v>0</v>
      </c>
      <c r="AE27" s="6">
        <v>0</v>
      </c>
      <c r="AF27" s="3" t="e">
        <f t="shared" si="26"/>
        <v>#DIV/0!</v>
      </c>
      <c r="AG27" s="3">
        <v>0</v>
      </c>
      <c r="AH27" s="6">
        <v>0</v>
      </c>
      <c r="AI27" s="3">
        <f t="shared" si="27"/>
        <v>1341.9</v>
      </c>
      <c r="AJ27" s="3">
        <v>26838</v>
      </c>
      <c r="AK27" s="6">
        <v>20</v>
      </c>
      <c r="AL27" s="3">
        <f t="shared" si="28"/>
        <v>1353.9380530973451</v>
      </c>
      <c r="AM27" s="3">
        <v>30599</v>
      </c>
      <c r="AN27" s="6">
        <v>22.6</v>
      </c>
      <c r="AO27" s="3">
        <f t="shared" si="12"/>
        <v>1343.1136044880786</v>
      </c>
      <c r="AP27" s="3">
        <f t="shared" si="15"/>
        <v>191528</v>
      </c>
      <c r="AQ27" s="6">
        <f t="shared" si="16"/>
        <v>142.6</v>
      </c>
      <c r="AR27" s="3"/>
      <c r="AS27" s="3"/>
      <c r="AT27" s="3"/>
      <c r="AU27" s="3"/>
      <c r="AV27" s="3"/>
      <c r="AW27" s="3"/>
      <c r="AX27" s="3"/>
      <c r="AY27" s="3"/>
      <c r="AZ27" s="3"/>
      <c r="BA27" s="3"/>
      <c r="BB27" s="3"/>
      <c r="BC27" s="3"/>
      <c r="BD27" s="3"/>
      <c r="BE27" s="3"/>
      <c r="BF27" s="3"/>
      <c r="BG27" s="3"/>
      <c r="BH27" s="3"/>
      <c r="BI27" s="3"/>
      <c r="BJ27" s="3"/>
      <c r="BK27" s="3"/>
      <c r="BL27" s="3"/>
      <c r="BM27" s="3"/>
      <c r="BN27" s="3"/>
      <c r="BO27" s="3"/>
    </row>
    <row r="28" spans="1:67" x14ac:dyDescent="0.3">
      <c r="A28" s="7" t="s">
        <v>49</v>
      </c>
      <c r="B28" s="27"/>
      <c r="C28" s="27"/>
      <c r="D28" s="27"/>
      <c r="E28" s="3">
        <f t="shared" si="17"/>
        <v>1372.0588235294117</v>
      </c>
      <c r="F28" s="3">
        <v>37320</v>
      </c>
      <c r="G28" s="6">
        <v>27.2</v>
      </c>
      <c r="H28" s="3">
        <f t="shared" si="18"/>
        <v>1562.1428571428571</v>
      </c>
      <c r="I28" s="3">
        <v>91854</v>
      </c>
      <c r="J28" s="6">
        <v>58.8</v>
      </c>
      <c r="K28" s="3">
        <f t="shared" si="19"/>
        <v>1429.3251533742332</v>
      </c>
      <c r="L28" s="3">
        <v>69894</v>
      </c>
      <c r="M28" s="6">
        <v>48.9</v>
      </c>
      <c r="N28" s="3">
        <f t="shared" si="20"/>
        <v>799.24165549233498</v>
      </c>
      <c r="O28" s="3">
        <v>4410695</v>
      </c>
      <c r="P28" s="6">
        <v>5518.6</v>
      </c>
      <c r="Q28" s="3">
        <f t="shared" si="21"/>
        <v>1658.0597014925372</v>
      </c>
      <c r="R28" s="3">
        <v>66654</v>
      </c>
      <c r="S28" s="6">
        <v>40.200000000000003</v>
      </c>
      <c r="T28" s="3">
        <f t="shared" si="22"/>
        <v>1528.0148883374691</v>
      </c>
      <c r="U28" s="3">
        <v>61579</v>
      </c>
      <c r="V28" s="6">
        <v>40.299999999999997</v>
      </c>
      <c r="W28" s="3" t="e">
        <f t="shared" si="23"/>
        <v>#DIV/0!</v>
      </c>
      <c r="X28" s="3">
        <v>0</v>
      </c>
      <c r="Y28" s="6">
        <v>0</v>
      </c>
      <c r="Z28" s="3">
        <f t="shared" si="24"/>
        <v>1694.2091836734692</v>
      </c>
      <c r="AA28" s="3">
        <v>66413</v>
      </c>
      <c r="AB28" s="6">
        <v>39.200000000000003</v>
      </c>
      <c r="AC28" s="3">
        <f t="shared" si="25"/>
        <v>1637.34375</v>
      </c>
      <c r="AD28" s="3">
        <v>31437</v>
      </c>
      <c r="AE28" s="6">
        <v>19.2</v>
      </c>
      <c r="AF28" s="3">
        <f t="shared" si="26"/>
        <v>1825.9493670886077</v>
      </c>
      <c r="AG28" s="3">
        <v>43275</v>
      </c>
      <c r="AH28" s="6">
        <v>23.7</v>
      </c>
      <c r="AI28" s="3">
        <f t="shared" si="27"/>
        <v>1320</v>
      </c>
      <c r="AJ28" s="3">
        <v>26400</v>
      </c>
      <c r="AK28" s="6">
        <v>20</v>
      </c>
      <c r="AL28" s="3">
        <f t="shared" si="28"/>
        <v>1320</v>
      </c>
      <c r="AM28" s="3">
        <v>26400</v>
      </c>
      <c r="AN28" s="6">
        <v>20</v>
      </c>
      <c r="AO28" s="3">
        <f t="shared" si="12"/>
        <v>842.18524273834134</v>
      </c>
      <c r="AP28" s="3">
        <f t="shared" si="15"/>
        <v>4931921</v>
      </c>
      <c r="AQ28" s="6">
        <f t="shared" si="16"/>
        <v>5856.0999999999995</v>
      </c>
      <c r="AR28" s="3"/>
      <c r="AS28" s="3"/>
      <c r="AT28" s="3"/>
      <c r="AU28" s="3"/>
      <c r="AV28" s="3"/>
      <c r="AW28" s="3"/>
      <c r="AX28" s="3"/>
      <c r="AY28" s="3"/>
      <c r="AZ28" s="3"/>
      <c r="BA28" s="3"/>
      <c r="BB28" s="3"/>
      <c r="BC28" s="3"/>
      <c r="BD28" s="3"/>
      <c r="BE28" s="3"/>
      <c r="BF28" s="3"/>
      <c r="BG28" s="3"/>
      <c r="BH28" s="3"/>
      <c r="BI28" s="3"/>
      <c r="BJ28" s="3"/>
      <c r="BK28" s="3"/>
      <c r="BL28" s="3"/>
      <c r="BM28" s="3"/>
      <c r="BN28" s="3"/>
      <c r="BO28" s="3"/>
    </row>
    <row r="29" spans="1:67" x14ac:dyDescent="0.3">
      <c r="A29" s="7" t="s">
        <v>72</v>
      </c>
      <c r="B29" s="27"/>
      <c r="C29" s="27"/>
      <c r="D29" s="27"/>
      <c r="E29" s="3">
        <f t="shared" si="17"/>
        <v>1788.6666666666667</v>
      </c>
      <c r="F29" s="3">
        <v>40245</v>
      </c>
      <c r="G29" s="6">
        <v>22.5</v>
      </c>
      <c r="H29" s="3">
        <f t="shared" si="18"/>
        <v>1880.9740259740258</v>
      </c>
      <c r="I29" s="3">
        <v>28967</v>
      </c>
      <c r="J29" s="6">
        <v>15.4</v>
      </c>
      <c r="K29" s="3">
        <f t="shared" si="19"/>
        <v>2146.5771812080538</v>
      </c>
      <c r="L29" s="3">
        <v>31984</v>
      </c>
      <c r="M29" s="6">
        <v>14.9</v>
      </c>
      <c r="N29" s="3">
        <f t="shared" si="20"/>
        <v>1730.9850746268658</v>
      </c>
      <c r="O29" s="3">
        <v>57988</v>
      </c>
      <c r="P29" s="6">
        <v>33.5</v>
      </c>
      <c r="Q29" s="3">
        <f t="shared" si="21"/>
        <v>2155.8208955223881</v>
      </c>
      <c r="R29" s="3">
        <v>14444</v>
      </c>
      <c r="S29" s="6">
        <v>6.7</v>
      </c>
      <c r="T29" s="3" t="e">
        <f t="shared" si="22"/>
        <v>#DIV/0!</v>
      </c>
      <c r="U29" s="3">
        <v>0</v>
      </c>
      <c r="V29" s="6">
        <v>0</v>
      </c>
      <c r="W29" s="3">
        <f t="shared" si="23"/>
        <v>1508.0645161290322</v>
      </c>
      <c r="X29" s="3">
        <v>9350</v>
      </c>
      <c r="Y29" s="6">
        <v>6.2</v>
      </c>
      <c r="Z29" s="3">
        <f t="shared" si="24"/>
        <v>1904.7857142857142</v>
      </c>
      <c r="AA29" s="3">
        <v>26667</v>
      </c>
      <c r="AB29" s="6">
        <v>14</v>
      </c>
      <c r="AC29" s="3">
        <f t="shared" si="25"/>
        <v>1724.5045045045047</v>
      </c>
      <c r="AD29" s="3">
        <v>19142</v>
      </c>
      <c r="AE29" s="6">
        <v>11.1</v>
      </c>
      <c r="AF29" s="3">
        <f t="shared" si="26"/>
        <v>1412.6621160409557</v>
      </c>
      <c r="AG29" s="3">
        <v>41391</v>
      </c>
      <c r="AH29" s="6">
        <v>29.3</v>
      </c>
      <c r="AI29" s="3">
        <f t="shared" si="27"/>
        <v>1716.0089686098654</v>
      </c>
      <c r="AJ29" s="3">
        <v>38267</v>
      </c>
      <c r="AK29" s="6">
        <v>22.3</v>
      </c>
      <c r="AL29" s="3">
        <f t="shared" si="28"/>
        <v>1446.8789808917197</v>
      </c>
      <c r="AM29" s="3">
        <v>22716</v>
      </c>
      <c r="AN29" s="6">
        <v>15.7</v>
      </c>
      <c r="AO29" s="3">
        <f t="shared" si="12"/>
        <v>1728.3977035490607</v>
      </c>
      <c r="AP29" s="3">
        <f t="shared" si="15"/>
        <v>331161</v>
      </c>
      <c r="AQ29" s="6">
        <f t="shared" si="16"/>
        <v>191.6</v>
      </c>
      <c r="AR29" s="3"/>
      <c r="AS29" s="3"/>
      <c r="AT29" s="3"/>
      <c r="AU29" s="3"/>
      <c r="AV29" s="3"/>
      <c r="AW29" s="3"/>
      <c r="AX29" s="3"/>
      <c r="AY29" s="3"/>
      <c r="AZ29" s="3"/>
      <c r="BA29" s="3"/>
      <c r="BB29" s="3"/>
      <c r="BC29" s="3"/>
      <c r="BD29" s="3"/>
      <c r="BE29" s="3"/>
      <c r="BF29" s="3"/>
      <c r="BG29" s="3"/>
      <c r="BH29" s="3"/>
      <c r="BI29" s="3"/>
      <c r="BJ29" s="3"/>
      <c r="BK29" s="3"/>
      <c r="BL29" s="3"/>
      <c r="BM29" s="3"/>
      <c r="BN29" s="3"/>
      <c r="BO29" s="3"/>
    </row>
    <row r="30" spans="1:67" x14ac:dyDescent="0.3">
      <c r="A30" s="7" t="s">
        <v>29</v>
      </c>
      <c r="B30" s="27"/>
      <c r="C30" s="27"/>
      <c r="D30" s="27"/>
      <c r="E30" s="3">
        <f t="shared" si="17"/>
        <v>2096.8435013262597</v>
      </c>
      <c r="F30" s="3">
        <v>79051</v>
      </c>
      <c r="G30" s="6">
        <v>37.700000000000003</v>
      </c>
      <c r="H30" s="3">
        <f t="shared" si="18"/>
        <v>2153.3159268929508</v>
      </c>
      <c r="I30" s="3">
        <v>82472</v>
      </c>
      <c r="J30" s="6">
        <v>38.299999999999997</v>
      </c>
      <c r="K30" s="3">
        <f t="shared" si="19"/>
        <v>1791.8264840182649</v>
      </c>
      <c r="L30" s="3">
        <v>39241</v>
      </c>
      <c r="M30" s="6">
        <v>21.9</v>
      </c>
      <c r="N30" s="3">
        <f t="shared" si="20"/>
        <v>1861.5337423312883</v>
      </c>
      <c r="O30" s="3">
        <v>30343</v>
      </c>
      <c r="P30" s="6">
        <v>16.3</v>
      </c>
      <c r="Q30" s="3">
        <f t="shared" si="21"/>
        <v>1960.6122448979593</v>
      </c>
      <c r="R30" s="3">
        <v>57642</v>
      </c>
      <c r="S30" s="6">
        <v>29.4</v>
      </c>
      <c r="T30" s="3">
        <f t="shared" si="22"/>
        <v>1145.5769230769231</v>
      </c>
      <c r="U30" s="3">
        <v>11914</v>
      </c>
      <c r="V30" s="6">
        <v>10.4</v>
      </c>
      <c r="W30" s="3">
        <f t="shared" si="23"/>
        <v>3668.6</v>
      </c>
      <c r="X30" s="3">
        <v>36686</v>
      </c>
      <c r="Y30" s="6">
        <v>10</v>
      </c>
      <c r="Z30" s="3">
        <f t="shared" si="24"/>
        <v>2508.9473684210529</v>
      </c>
      <c r="AA30" s="3">
        <v>19068</v>
      </c>
      <c r="AB30" s="6">
        <v>7.6</v>
      </c>
      <c r="AC30" s="3">
        <f t="shared" si="25"/>
        <v>2242.3333333333335</v>
      </c>
      <c r="AD30" s="3">
        <v>20181</v>
      </c>
      <c r="AE30" s="6">
        <v>9</v>
      </c>
      <c r="AF30" s="3">
        <f t="shared" si="26"/>
        <v>2589.6350364963505</v>
      </c>
      <c r="AG30" s="3">
        <v>70956</v>
      </c>
      <c r="AH30" s="6">
        <v>27.4</v>
      </c>
      <c r="AI30" s="3">
        <f t="shared" si="27"/>
        <v>3447.7142857142858</v>
      </c>
      <c r="AJ30" s="3">
        <v>48268</v>
      </c>
      <c r="AK30" s="6">
        <v>14</v>
      </c>
      <c r="AL30" s="3">
        <f t="shared" si="28"/>
        <v>1884.952380952381</v>
      </c>
      <c r="AM30" s="3">
        <v>19792</v>
      </c>
      <c r="AN30" s="6">
        <v>10.5</v>
      </c>
      <c r="AO30" s="3">
        <f t="shared" si="12"/>
        <v>2217.6946236559138</v>
      </c>
      <c r="AP30" s="3">
        <f t="shared" si="15"/>
        <v>515614</v>
      </c>
      <c r="AQ30" s="6">
        <f t="shared" si="16"/>
        <v>232.5</v>
      </c>
      <c r="AR30" s="3"/>
      <c r="AS30" s="3"/>
      <c r="AT30" s="3"/>
      <c r="AU30" s="3"/>
      <c r="AV30" s="3"/>
      <c r="AW30" s="3"/>
      <c r="AX30" s="3"/>
      <c r="AY30" s="3"/>
      <c r="AZ30" s="3"/>
      <c r="BA30" s="3"/>
      <c r="BB30" s="3"/>
      <c r="BC30" s="3"/>
      <c r="BD30" s="3"/>
      <c r="BE30" s="3"/>
      <c r="BF30" s="3"/>
      <c r="BG30" s="3"/>
      <c r="BH30" s="3"/>
      <c r="BI30" s="3"/>
      <c r="BJ30" s="3"/>
      <c r="BK30" s="3"/>
      <c r="BL30" s="3"/>
      <c r="BM30" s="3"/>
      <c r="BN30" s="3"/>
      <c r="BO30" s="3"/>
    </row>
    <row r="31" spans="1:67" x14ac:dyDescent="0.3">
      <c r="A31" s="7" t="s">
        <v>18</v>
      </c>
      <c r="B31" s="27"/>
      <c r="C31" s="27"/>
      <c r="D31" s="27"/>
      <c r="E31" s="3" t="e">
        <f t="shared" si="17"/>
        <v>#DIV/0!</v>
      </c>
      <c r="F31" s="3">
        <v>0</v>
      </c>
      <c r="G31" s="6">
        <v>0</v>
      </c>
      <c r="H31" s="3">
        <f t="shared" si="18"/>
        <v>4125.2380952380954</v>
      </c>
      <c r="I31" s="3">
        <v>8663</v>
      </c>
      <c r="J31" s="6">
        <v>2.1</v>
      </c>
      <c r="K31" s="3">
        <f t="shared" si="19"/>
        <v>2723.4920634920636</v>
      </c>
      <c r="L31" s="3">
        <v>17158</v>
      </c>
      <c r="M31" s="6">
        <v>6.3</v>
      </c>
      <c r="N31" s="3" t="e">
        <f t="shared" si="20"/>
        <v>#DIV/0!</v>
      </c>
      <c r="O31" s="3">
        <v>0</v>
      </c>
      <c r="P31" s="6">
        <v>0</v>
      </c>
      <c r="Q31" s="3">
        <f t="shared" si="21"/>
        <v>3866</v>
      </c>
      <c r="R31" s="3">
        <v>13531</v>
      </c>
      <c r="S31" s="6">
        <v>3.5</v>
      </c>
      <c r="T31" s="3">
        <f t="shared" si="22"/>
        <v>2352</v>
      </c>
      <c r="U31" s="3">
        <v>9408</v>
      </c>
      <c r="V31" s="6">
        <v>4</v>
      </c>
      <c r="W31" s="3" t="e">
        <f t="shared" si="23"/>
        <v>#DIV/0!</v>
      </c>
      <c r="X31" s="3">
        <v>0</v>
      </c>
      <c r="Y31" s="6">
        <v>0</v>
      </c>
      <c r="Z31" s="3">
        <f t="shared" si="24"/>
        <v>2408.4615384615386</v>
      </c>
      <c r="AA31" s="3">
        <v>6262</v>
      </c>
      <c r="AB31" s="6">
        <v>2.6</v>
      </c>
      <c r="AC31" s="3">
        <f t="shared" si="25"/>
        <v>1552.1568627450981</v>
      </c>
      <c r="AD31" s="3">
        <v>7916</v>
      </c>
      <c r="AE31" s="6">
        <v>5.0999999999999996</v>
      </c>
      <c r="AF31" s="3">
        <f t="shared" si="26"/>
        <v>1834.1176470588236</v>
      </c>
      <c r="AG31" s="3">
        <v>3118</v>
      </c>
      <c r="AH31" s="6">
        <v>1.7</v>
      </c>
      <c r="AI31" s="3">
        <f t="shared" si="27"/>
        <v>1191.4093959731542</v>
      </c>
      <c r="AJ31" s="3">
        <v>71008</v>
      </c>
      <c r="AK31" s="6">
        <v>59.6</v>
      </c>
      <c r="AL31" s="3">
        <f t="shared" si="28"/>
        <v>933.21608040201011</v>
      </c>
      <c r="AM31" s="3">
        <v>18571</v>
      </c>
      <c r="AN31" s="6">
        <v>19.899999999999999</v>
      </c>
      <c r="AO31" s="3">
        <f t="shared" si="12"/>
        <v>1485.0667938931297</v>
      </c>
      <c r="AP31" s="3">
        <f t="shared" si="15"/>
        <v>155635</v>
      </c>
      <c r="AQ31" s="6">
        <f t="shared" si="16"/>
        <v>104.80000000000001</v>
      </c>
      <c r="AR31" s="3"/>
      <c r="AS31" s="3"/>
      <c r="AT31" s="3"/>
      <c r="AU31" s="3"/>
      <c r="AV31" s="3"/>
      <c r="AW31" s="3"/>
      <c r="AX31" s="3"/>
      <c r="AY31" s="3"/>
      <c r="AZ31" s="3"/>
      <c r="BA31" s="3"/>
      <c r="BB31" s="3"/>
      <c r="BC31" s="3"/>
      <c r="BD31" s="3"/>
      <c r="BE31" s="3"/>
      <c r="BF31" s="3"/>
      <c r="BG31" s="3"/>
      <c r="BH31" s="3"/>
      <c r="BI31" s="3"/>
      <c r="BJ31" s="3"/>
      <c r="BK31" s="3"/>
      <c r="BL31" s="3"/>
      <c r="BM31" s="3"/>
      <c r="BN31" s="3"/>
      <c r="BO31" s="3"/>
    </row>
    <row r="32" spans="1:67" x14ac:dyDescent="0.3">
      <c r="A32" s="7" t="s">
        <v>31</v>
      </c>
      <c r="B32" s="27"/>
      <c r="C32" s="27"/>
      <c r="D32" s="27"/>
      <c r="E32" s="3">
        <f t="shared" si="17"/>
        <v>2192.6446280991736</v>
      </c>
      <c r="F32" s="3">
        <v>26531</v>
      </c>
      <c r="G32" s="6">
        <v>12.1</v>
      </c>
      <c r="H32" s="3">
        <f t="shared" si="18"/>
        <v>2293.4042553191489</v>
      </c>
      <c r="I32" s="3">
        <v>32337</v>
      </c>
      <c r="J32" s="6">
        <v>14.1</v>
      </c>
      <c r="K32" s="3">
        <f t="shared" si="19"/>
        <v>2286.6867469879517</v>
      </c>
      <c r="L32" s="3">
        <v>37959</v>
      </c>
      <c r="M32" s="6">
        <v>16.600000000000001</v>
      </c>
      <c r="N32" s="3">
        <f t="shared" si="20"/>
        <v>2322.5510204081629</v>
      </c>
      <c r="O32" s="3">
        <v>22761</v>
      </c>
      <c r="P32" s="6">
        <v>9.8000000000000007</v>
      </c>
      <c r="Q32" s="3" t="e">
        <f t="shared" si="21"/>
        <v>#DIV/0!</v>
      </c>
      <c r="R32" s="3">
        <v>0</v>
      </c>
      <c r="S32" s="6">
        <v>0</v>
      </c>
      <c r="T32" s="3">
        <f t="shared" si="22"/>
        <v>2665.4017857142858</v>
      </c>
      <c r="U32" s="3">
        <v>59705</v>
      </c>
      <c r="V32" s="6">
        <v>22.4</v>
      </c>
      <c r="W32" s="3">
        <f t="shared" si="23"/>
        <v>2115.1304347826085</v>
      </c>
      <c r="X32" s="3">
        <v>24324</v>
      </c>
      <c r="Y32" s="6">
        <v>11.5</v>
      </c>
      <c r="Z32" s="3">
        <f t="shared" si="24"/>
        <v>2307.8151260504201</v>
      </c>
      <c r="AA32" s="3">
        <v>27463</v>
      </c>
      <c r="AB32" s="6">
        <v>11.9</v>
      </c>
      <c r="AC32" s="3">
        <f t="shared" si="25"/>
        <v>1872.5714285714287</v>
      </c>
      <c r="AD32" s="3">
        <v>6554</v>
      </c>
      <c r="AE32" s="6">
        <v>3.5</v>
      </c>
      <c r="AF32" s="3">
        <f t="shared" si="26"/>
        <v>1932.9032258064515</v>
      </c>
      <c r="AG32" s="3">
        <v>35952</v>
      </c>
      <c r="AH32" s="6">
        <v>18.600000000000001</v>
      </c>
      <c r="AI32" s="3">
        <f t="shared" si="27"/>
        <v>1960.1818181818182</v>
      </c>
      <c r="AJ32" s="3">
        <v>10781</v>
      </c>
      <c r="AK32" s="6">
        <v>5.5</v>
      </c>
      <c r="AL32" s="3">
        <f t="shared" si="28"/>
        <v>2763.5555555555557</v>
      </c>
      <c r="AM32" s="3">
        <v>12436</v>
      </c>
      <c r="AN32" s="6">
        <v>4.5</v>
      </c>
      <c r="AO32" s="3">
        <f t="shared" si="12"/>
        <v>2274.352490421456</v>
      </c>
      <c r="AP32" s="3">
        <f t="shared" si="15"/>
        <v>296803</v>
      </c>
      <c r="AQ32" s="6">
        <f t="shared" si="16"/>
        <v>130.5</v>
      </c>
      <c r="AR32" s="3"/>
      <c r="AS32" s="3"/>
      <c r="AT32" s="3"/>
      <c r="AU32" s="3"/>
      <c r="AV32" s="3"/>
      <c r="AW32" s="3"/>
      <c r="AX32" s="3"/>
      <c r="AY32" s="3"/>
      <c r="AZ32" s="3"/>
      <c r="BA32" s="3"/>
      <c r="BB32" s="3"/>
      <c r="BC32" s="3"/>
      <c r="BD32" s="3"/>
      <c r="BE32" s="3"/>
      <c r="BF32" s="3"/>
      <c r="BG32" s="3"/>
      <c r="BH32" s="3"/>
      <c r="BI32" s="3"/>
      <c r="BJ32" s="3"/>
      <c r="BK32" s="3"/>
      <c r="BL32" s="3"/>
      <c r="BM32" s="3"/>
      <c r="BN32" s="3"/>
      <c r="BO32" s="3"/>
    </row>
    <row r="33" spans="1:67" x14ac:dyDescent="0.3">
      <c r="A33" s="7" t="s">
        <v>39</v>
      </c>
      <c r="B33" s="27"/>
      <c r="C33" s="27"/>
      <c r="D33" s="27"/>
      <c r="E33" s="3">
        <f t="shared" si="17"/>
        <v>1271.5315315315315</v>
      </c>
      <c r="F33" s="3">
        <v>28228</v>
      </c>
      <c r="G33" s="6">
        <v>22.2</v>
      </c>
      <c r="H33" s="3">
        <f t="shared" si="18"/>
        <v>2073.3962264150946</v>
      </c>
      <c r="I33" s="3">
        <v>10989</v>
      </c>
      <c r="J33" s="6">
        <v>5.3</v>
      </c>
      <c r="K33" s="3">
        <f t="shared" si="19"/>
        <v>2207.1428571428569</v>
      </c>
      <c r="L33" s="3">
        <v>4635</v>
      </c>
      <c r="M33" s="6">
        <v>2.1</v>
      </c>
      <c r="N33" s="3">
        <f t="shared" si="20"/>
        <v>3648.1578947368421</v>
      </c>
      <c r="O33" s="3">
        <v>13863</v>
      </c>
      <c r="P33" s="6">
        <v>3.8</v>
      </c>
      <c r="Q33" s="3">
        <f t="shared" si="21"/>
        <v>1452.3376623376623</v>
      </c>
      <c r="R33" s="3">
        <v>44732</v>
      </c>
      <c r="S33" s="6">
        <v>30.8</v>
      </c>
      <c r="T33" s="3">
        <f t="shared" si="22"/>
        <v>1402.9668049792531</v>
      </c>
      <c r="U33" s="3">
        <v>67623</v>
      </c>
      <c r="V33" s="6">
        <v>48.2</v>
      </c>
      <c r="W33" s="3">
        <f t="shared" si="23"/>
        <v>1641.2121212121212</v>
      </c>
      <c r="X33" s="3">
        <v>10832</v>
      </c>
      <c r="Y33" s="6">
        <v>6.6</v>
      </c>
      <c r="Z33" s="3">
        <f t="shared" si="24"/>
        <v>2000.3048780487807</v>
      </c>
      <c r="AA33" s="3">
        <v>32805</v>
      </c>
      <c r="AB33" s="6">
        <v>16.399999999999999</v>
      </c>
      <c r="AC33" s="3" t="e">
        <f t="shared" si="25"/>
        <v>#DIV/0!</v>
      </c>
      <c r="AD33" s="3">
        <v>0</v>
      </c>
      <c r="AE33" s="6">
        <v>0</v>
      </c>
      <c r="AF33" s="3">
        <f t="shared" si="26"/>
        <v>1872.3076923076924</v>
      </c>
      <c r="AG33" s="3">
        <v>17038</v>
      </c>
      <c r="AH33" s="6">
        <v>9.1</v>
      </c>
      <c r="AI33" s="3">
        <f t="shared" si="27"/>
        <v>1696.2941176470588</v>
      </c>
      <c r="AJ33" s="3">
        <v>28837</v>
      </c>
      <c r="AK33" s="6">
        <v>17</v>
      </c>
      <c r="AL33" s="3">
        <f t="shared" si="28"/>
        <v>1672.0588235294117</v>
      </c>
      <c r="AM33" s="3">
        <v>11370</v>
      </c>
      <c r="AN33" s="6">
        <v>6.8</v>
      </c>
      <c r="AO33" s="3">
        <f t="shared" si="12"/>
        <v>1609.9346405228757</v>
      </c>
      <c r="AP33" s="3">
        <f t="shared" si="15"/>
        <v>270952</v>
      </c>
      <c r="AQ33" s="6">
        <f t="shared" si="16"/>
        <v>168.3</v>
      </c>
      <c r="AR33" s="3"/>
      <c r="AS33" s="3"/>
      <c r="AT33" s="3"/>
      <c r="AU33" s="3"/>
      <c r="AV33" s="3"/>
      <c r="AW33" s="3"/>
      <c r="AX33" s="3"/>
      <c r="AY33" s="3"/>
      <c r="AZ33" s="3"/>
      <c r="BA33" s="3"/>
      <c r="BB33" s="3"/>
      <c r="BC33" s="3"/>
      <c r="BD33" s="3"/>
      <c r="BE33" s="3"/>
      <c r="BF33" s="3"/>
      <c r="BG33" s="3"/>
      <c r="BH33" s="3"/>
      <c r="BI33" s="3"/>
      <c r="BJ33" s="3"/>
      <c r="BK33" s="3"/>
      <c r="BL33" s="3"/>
      <c r="BM33" s="3"/>
      <c r="BN33" s="3"/>
      <c r="BO33" s="3"/>
    </row>
    <row r="34" spans="1:67" x14ac:dyDescent="0.3">
      <c r="A34" s="7" t="s">
        <v>69</v>
      </c>
      <c r="B34" s="27"/>
      <c r="C34" s="27"/>
      <c r="D34" s="27"/>
      <c r="E34" s="3" t="e">
        <f t="shared" si="17"/>
        <v>#DIV/0!</v>
      </c>
      <c r="F34" s="3">
        <v>0</v>
      </c>
      <c r="G34" s="6">
        <v>0</v>
      </c>
      <c r="H34" s="3">
        <f t="shared" si="18"/>
        <v>2153.5849056603774</v>
      </c>
      <c r="I34" s="3">
        <v>11414</v>
      </c>
      <c r="J34" s="6">
        <v>5.3</v>
      </c>
      <c r="K34" s="3" t="e">
        <f t="shared" si="19"/>
        <v>#DIV/0!</v>
      </c>
      <c r="L34" s="3">
        <v>0</v>
      </c>
      <c r="M34" s="6">
        <v>0</v>
      </c>
      <c r="N34" s="3" t="e">
        <f t="shared" si="20"/>
        <v>#DIV/0!</v>
      </c>
      <c r="O34" s="3">
        <v>0</v>
      </c>
      <c r="P34" s="6">
        <v>0</v>
      </c>
      <c r="Q34" s="3" t="e">
        <f t="shared" si="21"/>
        <v>#DIV/0!</v>
      </c>
      <c r="R34" s="3">
        <v>0</v>
      </c>
      <c r="S34" s="6">
        <v>0</v>
      </c>
      <c r="T34" s="3">
        <f t="shared" si="22"/>
        <v>4920</v>
      </c>
      <c r="U34" s="3">
        <v>2952</v>
      </c>
      <c r="V34" s="6">
        <v>0.6</v>
      </c>
      <c r="W34" s="3" t="e">
        <f t="shared" si="23"/>
        <v>#DIV/0!</v>
      </c>
      <c r="X34" s="3">
        <v>0</v>
      </c>
      <c r="Y34" s="6">
        <v>0</v>
      </c>
      <c r="Z34" s="3">
        <f t="shared" si="24"/>
        <v>2126.7741935483868</v>
      </c>
      <c r="AA34" s="3">
        <v>6593</v>
      </c>
      <c r="AB34" s="6">
        <v>3.1</v>
      </c>
      <c r="AC34" s="3" t="e">
        <f t="shared" si="25"/>
        <v>#DIV/0!</v>
      </c>
      <c r="AD34" s="3">
        <v>0</v>
      </c>
      <c r="AE34" s="6">
        <v>0</v>
      </c>
      <c r="AF34" s="3" t="e">
        <f t="shared" si="26"/>
        <v>#DIV/0!</v>
      </c>
      <c r="AG34" s="3">
        <v>0</v>
      </c>
      <c r="AH34" s="6">
        <v>0</v>
      </c>
      <c r="AI34" s="3" t="e">
        <f t="shared" si="27"/>
        <v>#DIV/0!</v>
      </c>
      <c r="AJ34" s="3">
        <v>0</v>
      </c>
      <c r="AK34" s="6">
        <v>0</v>
      </c>
      <c r="AL34" s="3">
        <f t="shared" si="28"/>
        <v>2698.0645161290322</v>
      </c>
      <c r="AM34" s="3">
        <v>8364</v>
      </c>
      <c r="AN34" s="6">
        <v>3.1</v>
      </c>
      <c r="AO34" s="3">
        <f t="shared" si="12"/>
        <v>2423.3884297520663</v>
      </c>
      <c r="AP34" s="3">
        <f t="shared" si="15"/>
        <v>29323</v>
      </c>
      <c r="AQ34" s="6">
        <f t="shared" si="16"/>
        <v>12.1</v>
      </c>
      <c r="AR34" s="3"/>
      <c r="AS34" s="3"/>
      <c r="AT34" s="3"/>
      <c r="AU34" s="3"/>
      <c r="AV34" s="3"/>
      <c r="AW34" s="3"/>
      <c r="AX34" s="3"/>
      <c r="AY34" s="3"/>
      <c r="AZ34" s="3"/>
      <c r="BA34" s="3"/>
      <c r="BB34" s="3"/>
      <c r="BC34" s="3"/>
      <c r="BD34" s="3"/>
      <c r="BE34" s="3"/>
      <c r="BF34" s="3"/>
      <c r="BG34" s="3"/>
      <c r="BH34" s="3"/>
      <c r="BI34" s="3"/>
      <c r="BJ34" s="3"/>
      <c r="BK34" s="3"/>
      <c r="BL34" s="3"/>
      <c r="BM34" s="3"/>
      <c r="BN34" s="3"/>
      <c r="BO34" s="3"/>
    </row>
    <row r="35" spans="1:67" x14ac:dyDescent="0.3">
      <c r="A35" s="7" t="s">
        <v>62</v>
      </c>
      <c r="B35" s="27"/>
      <c r="C35" s="27"/>
      <c r="D35" s="27"/>
      <c r="E35" s="3">
        <f t="shared" si="17"/>
        <v>1740.3896103896104</v>
      </c>
      <c r="F35" s="3">
        <v>13401</v>
      </c>
      <c r="G35" s="6">
        <v>7.7</v>
      </c>
      <c r="H35" s="3">
        <f t="shared" si="18"/>
        <v>2580</v>
      </c>
      <c r="I35" s="3">
        <v>3354</v>
      </c>
      <c r="J35" s="6">
        <v>1.3</v>
      </c>
      <c r="K35" s="3">
        <f t="shared" si="19"/>
        <v>1721.2068965517242</v>
      </c>
      <c r="L35" s="3">
        <v>19966</v>
      </c>
      <c r="M35" s="6">
        <v>11.6</v>
      </c>
      <c r="N35" s="3">
        <f t="shared" si="20"/>
        <v>967</v>
      </c>
      <c r="O35" s="3">
        <v>5802</v>
      </c>
      <c r="P35" s="6">
        <v>6</v>
      </c>
      <c r="Q35" s="3">
        <f t="shared" si="21"/>
        <v>1136.4502164502164</v>
      </c>
      <c r="R35" s="3">
        <v>26252</v>
      </c>
      <c r="S35" s="6">
        <v>23.1</v>
      </c>
      <c r="T35" s="3">
        <f t="shared" si="22"/>
        <v>1989.7014925373135</v>
      </c>
      <c r="U35" s="3">
        <v>26662</v>
      </c>
      <c r="V35" s="6">
        <v>13.4</v>
      </c>
      <c r="W35" s="3">
        <f t="shared" si="23"/>
        <v>1152.6315789473683</v>
      </c>
      <c r="X35" s="3">
        <v>13140</v>
      </c>
      <c r="Y35" s="6">
        <v>11.4</v>
      </c>
      <c r="Z35" s="3">
        <f t="shared" si="24"/>
        <v>1232.2988505747128</v>
      </c>
      <c r="AA35" s="3">
        <v>21442</v>
      </c>
      <c r="AB35" s="6">
        <v>17.399999999999999</v>
      </c>
      <c r="AC35" s="3">
        <f t="shared" si="25"/>
        <v>1168.4269662921347</v>
      </c>
      <c r="AD35" s="3">
        <v>10399</v>
      </c>
      <c r="AE35" s="6">
        <v>8.9</v>
      </c>
      <c r="AF35" s="3">
        <f t="shared" si="26"/>
        <v>1186.25</v>
      </c>
      <c r="AG35" s="3">
        <v>5694</v>
      </c>
      <c r="AH35" s="6">
        <v>4.8</v>
      </c>
      <c r="AI35" s="3">
        <f t="shared" si="27"/>
        <v>1637.1</v>
      </c>
      <c r="AJ35" s="3">
        <v>16371</v>
      </c>
      <c r="AK35" s="6">
        <v>10</v>
      </c>
      <c r="AL35" s="3">
        <f t="shared" si="28"/>
        <v>1202.2388059701493</v>
      </c>
      <c r="AM35" s="3">
        <v>8055</v>
      </c>
      <c r="AN35" s="6">
        <v>6.7</v>
      </c>
      <c r="AO35" s="3">
        <f t="shared" si="12"/>
        <v>1394.4235486508585</v>
      </c>
      <c r="AP35" s="3">
        <f t="shared" si="15"/>
        <v>170538</v>
      </c>
      <c r="AQ35" s="6">
        <f t="shared" si="16"/>
        <v>122.30000000000001</v>
      </c>
      <c r="AR35" s="3"/>
      <c r="AS35" s="3"/>
      <c r="AT35" s="3"/>
      <c r="AU35" s="3"/>
      <c r="AV35" s="3"/>
      <c r="AW35" s="3"/>
      <c r="AX35" s="3"/>
      <c r="AY35" s="3"/>
      <c r="AZ35" s="3"/>
      <c r="BA35" s="3"/>
      <c r="BB35" s="3"/>
      <c r="BC35" s="3"/>
      <c r="BD35" s="3"/>
      <c r="BE35" s="3"/>
      <c r="BF35" s="3"/>
      <c r="BG35" s="3"/>
      <c r="BH35" s="3"/>
      <c r="BI35" s="3"/>
      <c r="BJ35" s="3"/>
      <c r="BK35" s="3"/>
      <c r="BL35" s="3"/>
      <c r="BM35" s="3"/>
      <c r="BN35" s="3"/>
      <c r="BO35" s="3"/>
    </row>
    <row r="36" spans="1:67" x14ac:dyDescent="0.3">
      <c r="A36" s="7" t="s">
        <v>60</v>
      </c>
      <c r="B36" s="27"/>
      <c r="C36" s="27"/>
      <c r="D36" s="27"/>
      <c r="E36" s="3">
        <f t="shared" si="17"/>
        <v>1739.4202898550723</v>
      </c>
      <c r="F36" s="3">
        <v>12002</v>
      </c>
      <c r="G36" s="6">
        <v>6.9</v>
      </c>
      <c r="H36" s="3">
        <f t="shared" si="18"/>
        <v>2465.4576856649396</v>
      </c>
      <c r="I36" s="3">
        <v>142750</v>
      </c>
      <c r="J36" s="6">
        <v>57.9</v>
      </c>
      <c r="K36" s="3" t="e">
        <f t="shared" si="19"/>
        <v>#DIV/0!</v>
      </c>
      <c r="L36" s="3">
        <v>0</v>
      </c>
      <c r="M36" s="6">
        <v>0</v>
      </c>
      <c r="N36" s="3">
        <f t="shared" si="20"/>
        <v>1832.0740740740741</v>
      </c>
      <c r="O36" s="3">
        <v>24733</v>
      </c>
      <c r="P36" s="6">
        <v>13.5</v>
      </c>
      <c r="Q36" s="3">
        <f t="shared" si="21"/>
        <v>1601.7241379310344</v>
      </c>
      <c r="R36" s="3">
        <v>4645</v>
      </c>
      <c r="S36" s="6">
        <v>2.9</v>
      </c>
      <c r="T36" s="3">
        <f t="shared" si="22"/>
        <v>4261.4285714285716</v>
      </c>
      <c r="U36" s="3">
        <v>2983</v>
      </c>
      <c r="V36" s="6">
        <v>0.7</v>
      </c>
      <c r="W36" s="3" t="e">
        <f t="shared" si="23"/>
        <v>#DIV/0!</v>
      </c>
      <c r="X36" s="3">
        <v>0</v>
      </c>
      <c r="Y36" s="6">
        <v>0</v>
      </c>
      <c r="Z36" s="3">
        <f t="shared" si="24"/>
        <v>1958.1159420289855</v>
      </c>
      <c r="AA36" s="3">
        <v>13511</v>
      </c>
      <c r="AB36" s="6">
        <v>6.9</v>
      </c>
      <c r="AC36" s="3">
        <f t="shared" si="25"/>
        <v>2375.3658536585367</v>
      </c>
      <c r="AD36" s="3">
        <v>19478</v>
      </c>
      <c r="AE36" s="6">
        <v>8.1999999999999993</v>
      </c>
      <c r="AF36" s="3">
        <f t="shared" si="26"/>
        <v>2156.3333333333335</v>
      </c>
      <c r="AG36" s="3">
        <v>6469</v>
      </c>
      <c r="AH36" s="6">
        <v>3</v>
      </c>
      <c r="AI36" s="3">
        <f t="shared" si="27"/>
        <v>2225</v>
      </c>
      <c r="AJ36" s="3">
        <v>4450</v>
      </c>
      <c r="AK36" s="6">
        <v>2</v>
      </c>
      <c r="AL36" s="3">
        <f t="shared" si="28"/>
        <v>1791.590909090909</v>
      </c>
      <c r="AM36" s="3">
        <v>7883</v>
      </c>
      <c r="AN36" s="6">
        <v>4.4000000000000004</v>
      </c>
      <c r="AO36" s="3">
        <f t="shared" si="12"/>
        <v>2245.3383458646613</v>
      </c>
      <c r="AP36" s="3">
        <f t="shared" si="15"/>
        <v>238904</v>
      </c>
      <c r="AQ36" s="6">
        <f t="shared" si="16"/>
        <v>106.40000000000002</v>
      </c>
      <c r="AR36" s="3"/>
      <c r="AS36" s="3"/>
      <c r="AT36" s="3"/>
      <c r="AU36" s="3"/>
      <c r="AV36" s="3"/>
      <c r="AW36" s="3"/>
      <c r="AX36" s="3"/>
      <c r="AY36" s="3"/>
      <c r="AZ36" s="3"/>
      <c r="BA36" s="3"/>
      <c r="BB36" s="3"/>
      <c r="BC36" s="3"/>
      <c r="BD36" s="3"/>
      <c r="BE36" s="3"/>
      <c r="BF36" s="3"/>
      <c r="BG36" s="3"/>
      <c r="BH36" s="3"/>
      <c r="BI36" s="3"/>
      <c r="BJ36" s="3"/>
      <c r="BK36" s="3"/>
      <c r="BL36" s="3"/>
      <c r="BM36" s="3"/>
      <c r="BN36" s="3"/>
      <c r="BO36" s="3"/>
    </row>
    <row r="37" spans="1:67" x14ac:dyDescent="0.3">
      <c r="A37" s="7" t="s">
        <v>48</v>
      </c>
      <c r="B37" s="27"/>
      <c r="C37" s="27"/>
      <c r="D37" s="27"/>
      <c r="E37" s="3">
        <f t="shared" si="17"/>
        <v>1524.7933884297522</v>
      </c>
      <c r="F37" s="3">
        <v>18450</v>
      </c>
      <c r="G37" s="6">
        <v>12.1</v>
      </c>
      <c r="H37" s="3">
        <f t="shared" si="18"/>
        <v>1046.56</v>
      </c>
      <c r="I37" s="3">
        <v>13082</v>
      </c>
      <c r="J37" s="6">
        <v>12.5</v>
      </c>
      <c r="K37" s="3">
        <f t="shared" si="19"/>
        <v>1444.8739495798318</v>
      </c>
      <c r="L37" s="3">
        <v>17194</v>
      </c>
      <c r="M37" s="6">
        <v>11.9</v>
      </c>
      <c r="N37" s="3" t="e">
        <f t="shared" si="20"/>
        <v>#DIV/0!</v>
      </c>
      <c r="O37" s="3">
        <v>0</v>
      </c>
      <c r="P37" s="6">
        <v>0</v>
      </c>
      <c r="Q37" s="3">
        <f t="shared" si="21"/>
        <v>1529.0291262135922</v>
      </c>
      <c r="R37" s="3">
        <v>15749</v>
      </c>
      <c r="S37" s="6">
        <v>10.3</v>
      </c>
      <c r="T37" s="3">
        <f t="shared" si="22"/>
        <v>1499.8765432098767</v>
      </c>
      <c r="U37" s="3">
        <v>24298</v>
      </c>
      <c r="V37" s="6">
        <v>16.2</v>
      </c>
      <c r="W37" s="3">
        <f t="shared" si="23"/>
        <v>1622.686567164179</v>
      </c>
      <c r="X37" s="3">
        <v>10872</v>
      </c>
      <c r="Y37" s="6">
        <v>6.7</v>
      </c>
      <c r="Z37" s="3">
        <f t="shared" si="24"/>
        <v>1599.5522388059701</v>
      </c>
      <c r="AA37" s="3">
        <v>10717</v>
      </c>
      <c r="AB37" s="6">
        <v>6.7</v>
      </c>
      <c r="AC37" s="3">
        <f t="shared" si="25"/>
        <v>1634.4230769230769</v>
      </c>
      <c r="AD37" s="3">
        <v>8499</v>
      </c>
      <c r="AE37" s="6">
        <v>5.2</v>
      </c>
      <c r="AF37" s="3">
        <f t="shared" si="26"/>
        <v>1471.4666666666667</v>
      </c>
      <c r="AG37" s="3">
        <v>22072</v>
      </c>
      <c r="AH37" s="6">
        <v>15</v>
      </c>
      <c r="AI37" s="3">
        <f t="shared" si="27"/>
        <v>1460.3125</v>
      </c>
      <c r="AJ37" s="3">
        <v>18692</v>
      </c>
      <c r="AK37" s="6">
        <v>12.8</v>
      </c>
      <c r="AL37" s="3">
        <f t="shared" si="28"/>
        <v>2132.5925925925926</v>
      </c>
      <c r="AM37" s="3">
        <v>5758</v>
      </c>
      <c r="AN37" s="6">
        <v>2.7</v>
      </c>
      <c r="AO37" s="3">
        <f t="shared" si="12"/>
        <v>1475.3166815343443</v>
      </c>
      <c r="AP37" s="3">
        <f t="shared" si="15"/>
        <v>165383</v>
      </c>
      <c r="AQ37" s="6">
        <f t="shared" si="16"/>
        <v>112.10000000000001</v>
      </c>
      <c r="AR37" s="3"/>
      <c r="AS37" s="3"/>
      <c r="AT37" s="3"/>
      <c r="AU37" s="3"/>
      <c r="AV37" s="3"/>
      <c r="AW37" s="3"/>
      <c r="AX37" s="3"/>
      <c r="AY37" s="3"/>
      <c r="AZ37" s="3"/>
      <c r="BA37" s="3"/>
      <c r="BB37" s="3"/>
      <c r="BC37" s="3"/>
      <c r="BD37" s="3"/>
      <c r="BE37" s="3"/>
      <c r="BF37" s="3"/>
      <c r="BG37" s="3"/>
      <c r="BH37" s="3"/>
      <c r="BI37" s="3"/>
      <c r="BJ37" s="3"/>
      <c r="BK37" s="3"/>
      <c r="BL37" s="3"/>
      <c r="BM37" s="3"/>
      <c r="BN37" s="3"/>
      <c r="BO37" s="3"/>
    </row>
    <row r="38" spans="1:67" x14ac:dyDescent="0.3">
      <c r="A38" s="7" t="s">
        <v>63</v>
      </c>
      <c r="B38" s="27"/>
      <c r="C38" s="27"/>
      <c r="D38" s="27"/>
      <c r="E38" s="3" t="e">
        <f t="shared" si="17"/>
        <v>#DIV/0!</v>
      </c>
      <c r="F38" s="3">
        <v>0</v>
      </c>
      <c r="G38" s="6">
        <v>0</v>
      </c>
      <c r="H38" s="3">
        <f t="shared" si="18"/>
        <v>1560.9615384615383</v>
      </c>
      <c r="I38" s="3">
        <v>8117</v>
      </c>
      <c r="J38" s="6">
        <v>5.2</v>
      </c>
      <c r="K38" s="3" t="e">
        <f t="shared" si="19"/>
        <v>#DIV/0!</v>
      </c>
      <c r="L38" s="3">
        <v>0</v>
      </c>
      <c r="M38" s="6">
        <v>0</v>
      </c>
      <c r="N38" s="3">
        <f t="shared" si="20"/>
        <v>2752.7777777777778</v>
      </c>
      <c r="O38" s="3">
        <v>4955</v>
      </c>
      <c r="P38" s="6">
        <v>1.8</v>
      </c>
      <c r="Q38" s="3" t="e">
        <f t="shared" si="21"/>
        <v>#DIV/0!</v>
      </c>
      <c r="R38" s="3">
        <v>0</v>
      </c>
      <c r="S38" s="6">
        <v>0</v>
      </c>
      <c r="T38" s="3">
        <f t="shared" si="22"/>
        <v>1557.3076923076924</v>
      </c>
      <c r="U38" s="3">
        <v>12147</v>
      </c>
      <c r="V38" s="6">
        <v>7.8</v>
      </c>
      <c r="W38" s="3" t="e">
        <f t="shared" si="23"/>
        <v>#DIV/0!</v>
      </c>
      <c r="X38" s="3">
        <v>0</v>
      </c>
      <c r="Y38" s="6">
        <v>0</v>
      </c>
      <c r="Z38" s="3">
        <f t="shared" si="24"/>
        <v>1556.7741935483871</v>
      </c>
      <c r="AA38" s="3">
        <v>14478</v>
      </c>
      <c r="AB38" s="6">
        <v>9.3000000000000007</v>
      </c>
      <c r="AC38" s="3" t="e">
        <f t="shared" si="25"/>
        <v>#DIV/0!</v>
      </c>
      <c r="AD38" s="3">
        <v>0</v>
      </c>
      <c r="AE38" s="6">
        <v>0</v>
      </c>
      <c r="AF38" s="3">
        <f t="shared" si="26"/>
        <v>3002.7272727272725</v>
      </c>
      <c r="AG38" s="3">
        <v>3303</v>
      </c>
      <c r="AH38" s="6">
        <v>1.1000000000000001</v>
      </c>
      <c r="AI38" s="3" t="e">
        <f t="shared" si="27"/>
        <v>#DIV/0!</v>
      </c>
      <c r="AJ38" s="3">
        <v>0</v>
      </c>
      <c r="AK38" s="6">
        <v>0</v>
      </c>
      <c r="AL38" s="3">
        <f t="shared" si="28"/>
        <v>2753</v>
      </c>
      <c r="AM38" s="3">
        <v>2753</v>
      </c>
      <c r="AN38" s="6">
        <v>1</v>
      </c>
      <c r="AO38" s="3">
        <f t="shared" si="12"/>
        <v>1746.2977099236639</v>
      </c>
      <c r="AP38" s="3">
        <f t="shared" si="15"/>
        <v>45753</v>
      </c>
      <c r="AQ38" s="6">
        <f t="shared" si="16"/>
        <v>26.200000000000003</v>
      </c>
      <c r="AR38" s="3"/>
      <c r="AS38" s="3"/>
      <c r="AT38" s="3"/>
      <c r="AU38" s="3"/>
      <c r="AV38" s="3"/>
      <c r="AW38" s="3"/>
      <c r="AX38" s="3"/>
      <c r="AY38" s="3"/>
      <c r="AZ38" s="3"/>
      <c r="BA38" s="3"/>
      <c r="BB38" s="3"/>
      <c r="BC38" s="3"/>
      <c r="BD38" s="3"/>
      <c r="BE38" s="3"/>
      <c r="BF38" s="3"/>
      <c r="BG38" s="3"/>
      <c r="BH38" s="3"/>
      <c r="BI38" s="3"/>
      <c r="BJ38" s="3"/>
      <c r="BK38" s="3"/>
      <c r="BL38" s="3"/>
      <c r="BM38" s="3"/>
      <c r="BN38" s="3"/>
      <c r="BO38" s="3"/>
    </row>
    <row r="39" spans="1:67" x14ac:dyDescent="0.3">
      <c r="A39" s="7" t="s">
        <v>19</v>
      </c>
      <c r="B39" s="27"/>
      <c r="C39" s="27"/>
      <c r="D39" s="27"/>
      <c r="E39" s="3" t="e">
        <f t="shared" si="17"/>
        <v>#DIV/0!</v>
      </c>
      <c r="F39" s="3">
        <v>0</v>
      </c>
      <c r="G39" s="6">
        <v>0</v>
      </c>
      <c r="H39" s="3" t="e">
        <f t="shared" si="18"/>
        <v>#DIV/0!</v>
      </c>
      <c r="I39" s="3">
        <v>0</v>
      </c>
      <c r="J39" s="6">
        <v>0</v>
      </c>
      <c r="K39" s="3" t="e">
        <f t="shared" si="19"/>
        <v>#DIV/0!</v>
      </c>
      <c r="L39" s="3">
        <v>0</v>
      </c>
      <c r="M39" s="6">
        <v>0</v>
      </c>
      <c r="N39" s="3" t="e">
        <f t="shared" si="20"/>
        <v>#DIV/0!</v>
      </c>
      <c r="O39" s="3">
        <v>0</v>
      </c>
      <c r="P39" s="6">
        <v>0</v>
      </c>
      <c r="Q39" s="3" t="e">
        <f t="shared" si="21"/>
        <v>#DIV/0!</v>
      </c>
      <c r="R39" s="3">
        <v>0</v>
      </c>
      <c r="S39" s="6">
        <v>0</v>
      </c>
      <c r="T39" s="3">
        <f t="shared" si="22"/>
        <v>1676.9945355191255</v>
      </c>
      <c r="U39" s="3">
        <v>30689</v>
      </c>
      <c r="V39" s="6">
        <v>18.3</v>
      </c>
      <c r="W39" s="3" t="e">
        <f t="shared" si="23"/>
        <v>#DIV/0!</v>
      </c>
      <c r="X39" s="3">
        <v>0</v>
      </c>
      <c r="Y39" s="6">
        <v>0</v>
      </c>
      <c r="Z39" s="3" t="e">
        <f t="shared" si="24"/>
        <v>#DIV/0!</v>
      </c>
      <c r="AA39" s="3">
        <v>0</v>
      </c>
      <c r="AB39" s="6">
        <v>0</v>
      </c>
      <c r="AC39" s="3" t="e">
        <f t="shared" si="25"/>
        <v>#DIV/0!</v>
      </c>
      <c r="AD39" s="3">
        <v>0</v>
      </c>
      <c r="AE39" s="6">
        <v>0</v>
      </c>
      <c r="AF39" s="3" t="e">
        <f t="shared" si="26"/>
        <v>#DIV/0!</v>
      </c>
      <c r="AG39" s="3">
        <v>0</v>
      </c>
      <c r="AH39" s="6">
        <v>0</v>
      </c>
      <c r="AI39" s="3" t="e">
        <f t="shared" si="27"/>
        <v>#DIV/0!</v>
      </c>
      <c r="AJ39" s="3">
        <v>0</v>
      </c>
      <c r="AK39" s="6">
        <v>0</v>
      </c>
      <c r="AL39" s="3" t="e">
        <f t="shared" si="28"/>
        <v>#DIV/0!</v>
      </c>
      <c r="AM39" s="3">
        <v>0</v>
      </c>
      <c r="AN39" s="6">
        <v>0</v>
      </c>
      <c r="AO39" s="3">
        <f t="shared" si="12"/>
        <v>1676.9945355191255</v>
      </c>
      <c r="AP39" s="3">
        <f t="shared" si="15"/>
        <v>30689</v>
      </c>
      <c r="AQ39" s="6">
        <f t="shared" si="16"/>
        <v>18.3</v>
      </c>
      <c r="AR39" s="3"/>
      <c r="AS39" s="3"/>
      <c r="AT39" s="3"/>
      <c r="AU39" s="3"/>
      <c r="AV39" s="3"/>
      <c r="AW39" s="3"/>
      <c r="AX39" s="3"/>
      <c r="AY39" s="3"/>
      <c r="AZ39" s="3"/>
      <c r="BA39" s="3"/>
      <c r="BB39" s="3"/>
      <c r="BC39" s="3"/>
      <c r="BD39" s="3"/>
      <c r="BE39" s="3"/>
      <c r="BF39" s="3"/>
      <c r="BG39" s="3"/>
      <c r="BH39" s="3"/>
      <c r="BI39" s="3"/>
      <c r="BJ39" s="3"/>
      <c r="BK39" s="3"/>
      <c r="BL39" s="3"/>
      <c r="BM39" s="3"/>
      <c r="BN39" s="3"/>
      <c r="BO39" s="3"/>
    </row>
    <row r="40" spans="1:67" x14ac:dyDescent="0.3">
      <c r="A40" s="7" t="s">
        <v>47</v>
      </c>
      <c r="B40" s="27"/>
      <c r="C40" s="27"/>
      <c r="D40" s="27"/>
      <c r="E40" s="3">
        <f t="shared" si="17"/>
        <v>1224.375</v>
      </c>
      <c r="F40" s="3">
        <v>5877</v>
      </c>
      <c r="G40" s="6">
        <v>4.8</v>
      </c>
      <c r="H40" s="3" t="e">
        <f t="shared" si="18"/>
        <v>#DIV/0!</v>
      </c>
      <c r="I40" s="3">
        <v>0</v>
      </c>
      <c r="J40" s="6">
        <v>0</v>
      </c>
      <c r="K40" s="3">
        <f t="shared" si="19"/>
        <v>1222.2440944881891</v>
      </c>
      <c r="L40" s="3">
        <v>31045</v>
      </c>
      <c r="M40" s="6">
        <v>25.4</v>
      </c>
      <c r="N40" s="3">
        <f t="shared" si="20"/>
        <v>1194.1137855579868</v>
      </c>
      <c r="O40" s="3">
        <v>54571</v>
      </c>
      <c r="P40" s="6">
        <v>45.7</v>
      </c>
      <c r="Q40" s="3">
        <f t="shared" si="21"/>
        <v>1160.1746724890832</v>
      </c>
      <c r="R40" s="3">
        <v>26568</v>
      </c>
      <c r="S40" s="6">
        <v>22.9</v>
      </c>
      <c r="T40" s="3">
        <f t="shared" si="22"/>
        <v>1209.3646408839777</v>
      </c>
      <c r="U40" s="3">
        <v>87558</v>
      </c>
      <c r="V40" s="6">
        <v>72.400000000000006</v>
      </c>
      <c r="W40" s="3">
        <f t="shared" si="23"/>
        <v>1167.4398249452954</v>
      </c>
      <c r="X40" s="3">
        <v>53352</v>
      </c>
      <c r="Y40" s="6">
        <v>45.7</v>
      </c>
      <c r="Z40" s="3">
        <f t="shared" si="24"/>
        <v>1191.5546218487395</v>
      </c>
      <c r="AA40" s="3">
        <v>28359</v>
      </c>
      <c r="AB40" s="6">
        <v>23.8</v>
      </c>
      <c r="AC40" s="3">
        <f t="shared" si="25"/>
        <v>1213.6960985626283</v>
      </c>
      <c r="AD40" s="3">
        <v>59107</v>
      </c>
      <c r="AE40" s="6">
        <v>48.7</v>
      </c>
      <c r="AF40" s="3">
        <f t="shared" si="26"/>
        <v>1197.9039301310045</v>
      </c>
      <c r="AG40" s="3">
        <v>27432</v>
      </c>
      <c r="AH40" s="6">
        <v>22.9</v>
      </c>
      <c r="AI40" s="3">
        <f t="shared" si="27"/>
        <v>1225.2264150943397</v>
      </c>
      <c r="AJ40" s="3">
        <v>64937</v>
      </c>
      <c r="AK40" s="6">
        <v>53</v>
      </c>
      <c r="AL40" s="3" t="e">
        <f t="shared" si="28"/>
        <v>#DIV/0!</v>
      </c>
      <c r="AM40" s="3">
        <v>0</v>
      </c>
      <c r="AN40" s="6">
        <v>0</v>
      </c>
      <c r="AO40" s="3">
        <f t="shared" si="12"/>
        <v>1201.2209143169996</v>
      </c>
      <c r="AP40" s="3">
        <f t="shared" si="15"/>
        <v>438806</v>
      </c>
      <c r="AQ40" s="6">
        <f t="shared" si="16"/>
        <v>365.3</v>
      </c>
      <c r="AR40" s="3"/>
      <c r="AS40" s="3"/>
      <c r="AT40" s="3"/>
      <c r="AU40" s="3"/>
      <c r="AV40" s="3"/>
      <c r="AW40" s="3"/>
      <c r="AX40" s="3"/>
      <c r="AY40" s="3"/>
      <c r="AZ40" s="3"/>
      <c r="BA40" s="3"/>
      <c r="BB40" s="3"/>
      <c r="BC40" s="3"/>
      <c r="BD40" s="3"/>
      <c r="BE40" s="3"/>
      <c r="BF40" s="3"/>
      <c r="BG40" s="3"/>
      <c r="BH40" s="3"/>
      <c r="BI40" s="3"/>
      <c r="BJ40" s="3"/>
      <c r="BK40" s="3"/>
      <c r="BL40" s="3"/>
      <c r="BM40" s="3"/>
      <c r="BN40" s="3"/>
      <c r="BO40" s="3"/>
    </row>
    <row r="41" spans="1:67" x14ac:dyDescent="0.3">
      <c r="A41" s="7" t="s">
        <v>27</v>
      </c>
      <c r="B41" s="27"/>
      <c r="C41" s="27"/>
      <c r="D41" s="27"/>
      <c r="E41" s="3" t="e">
        <f t="shared" si="17"/>
        <v>#DIV/0!</v>
      </c>
      <c r="F41" s="3">
        <v>0</v>
      </c>
      <c r="G41" s="6">
        <v>0</v>
      </c>
      <c r="H41" s="3">
        <f t="shared" si="18"/>
        <v>1177.8139534883721</v>
      </c>
      <c r="I41" s="3">
        <v>25323</v>
      </c>
      <c r="J41" s="6">
        <v>21.5</v>
      </c>
      <c r="K41" s="3" t="e">
        <f t="shared" si="19"/>
        <v>#DIV/0!</v>
      </c>
      <c r="L41" s="3">
        <v>0</v>
      </c>
      <c r="M41" s="6">
        <v>0</v>
      </c>
      <c r="N41" s="3" t="e">
        <f t="shared" si="20"/>
        <v>#DIV/0!</v>
      </c>
      <c r="O41" s="3">
        <v>0</v>
      </c>
      <c r="P41" s="6">
        <v>0</v>
      </c>
      <c r="Q41" s="3">
        <f t="shared" si="21"/>
        <v>1095.8139534883721</v>
      </c>
      <c r="R41" s="3">
        <v>23560</v>
      </c>
      <c r="S41" s="6">
        <v>21.5</v>
      </c>
      <c r="T41" s="3">
        <f t="shared" si="22"/>
        <v>1196.8421052631579</v>
      </c>
      <c r="U41" s="3">
        <v>9096</v>
      </c>
      <c r="V41" s="6">
        <v>7.6</v>
      </c>
      <c r="W41" s="3" t="e">
        <f t="shared" si="23"/>
        <v>#DIV/0!</v>
      </c>
      <c r="X41" s="3">
        <v>0</v>
      </c>
      <c r="Y41" s="6">
        <v>0</v>
      </c>
      <c r="Z41" s="3" t="e">
        <f t="shared" si="24"/>
        <v>#DIV/0!</v>
      </c>
      <c r="AA41" s="3">
        <v>0</v>
      </c>
      <c r="AB41" s="6">
        <v>0</v>
      </c>
      <c r="AC41" s="3">
        <f t="shared" si="25"/>
        <v>1184.375</v>
      </c>
      <c r="AD41" s="3">
        <v>5685</v>
      </c>
      <c r="AE41" s="6">
        <v>4.8</v>
      </c>
      <c r="AF41" s="3" t="e">
        <f t="shared" si="26"/>
        <v>#DIV/0!</v>
      </c>
      <c r="AG41" s="3">
        <v>0</v>
      </c>
      <c r="AH41" s="6">
        <v>0</v>
      </c>
      <c r="AI41" s="3" t="e">
        <f t="shared" si="27"/>
        <v>#DIV/0!</v>
      </c>
      <c r="AJ41" s="3">
        <v>0</v>
      </c>
      <c r="AK41" s="6">
        <v>0</v>
      </c>
      <c r="AL41" s="3" t="e">
        <f t="shared" si="28"/>
        <v>#DIV/0!</v>
      </c>
      <c r="AM41" s="3">
        <v>0</v>
      </c>
      <c r="AN41" s="6">
        <v>0</v>
      </c>
      <c r="AO41" s="3">
        <f t="shared" si="12"/>
        <v>1149.1696750902527</v>
      </c>
      <c r="AP41" s="3">
        <f t="shared" si="15"/>
        <v>63664</v>
      </c>
      <c r="AQ41" s="6">
        <f t="shared" si="16"/>
        <v>55.4</v>
      </c>
      <c r="AR41" s="3"/>
      <c r="AS41" s="3"/>
      <c r="AT41" s="3"/>
      <c r="AU41" s="3"/>
      <c r="AV41" s="3"/>
      <c r="AW41" s="3"/>
      <c r="AX41" s="3"/>
      <c r="AY41" s="3"/>
      <c r="AZ41" s="3"/>
      <c r="BA41" s="3"/>
      <c r="BB41" s="3"/>
      <c r="BC41" s="3"/>
      <c r="BD41" s="3"/>
      <c r="BE41" s="3"/>
      <c r="BF41" s="3"/>
      <c r="BG41" s="3"/>
      <c r="BH41" s="3"/>
      <c r="BI41" s="3"/>
      <c r="BJ41" s="3"/>
      <c r="BK41" s="3"/>
      <c r="BL41" s="3"/>
      <c r="BM41" s="3"/>
      <c r="BN41" s="3"/>
      <c r="BO41" s="3"/>
    </row>
    <row r="42" spans="1:67" x14ac:dyDescent="0.3">
      <c r="A42" s="7" t="s">
        <v>64</v>
      </c>
      <c r="B42" s="27"/>
      <c r="C42" s="27"/>
      <c r="D42" s="27"/>
      <c r="E42" s="3" t="e">
        <f t="shared" si="17"/>
        <v>#DIV/0!</v>
      </c>
      <c r="F42" s="3">
        <v>0</v>
      </c>
      <c r="G42" s="6">
        <v>0</v>
      </c>
      <c r="H42" s="3" t="e">
        <f t="shared" si="18"/>
        <v>#DIV/0!</v>
      </c>
      <c r="I42" s="3">
        <v>0</v>
      </c>
      <c r="J42" s="6">
        <v>0</v>
      </c>
      <c r="K42" s="3" t="e">
        <f t="shared" si="19"/>
        <v>#DIV/0!</v>
      </c>
      <c r="L42" s="3">
        <v>0</v>
      </c>
      <c r="M42" s="6">
        <v>0</v>
      </c>
      <c r="N42" s="3" t="e">
        <f t="shared" si="20"/>
        <v>#DIV/0!</v>
      </c>
      <c r="O42" s="3">
        <v>0</v>
      </c>
      <c r="P42" s="6">
        <v>0</v>
      </c>
      <c r="Q42" s="3" t="e">
        <f t="shared" si="21"/>
        <v>#DIV/0!</v>
      </c>
      <c r="R42" s="3">
        <v>0</v>
      </c>
      <c r="S42" s="6">
        <v>0</v>
      </c>
      <c r="T42" s="3">
        <f t="shared" si="22"/>
        <v>1057.2722222222221</v>
      </c>
      <c r="U42" s="3">
        <v>380618</v>
      </c>
      <c r="V42" s="6">
        <v>360</v>
      </c>
      <c r="W42" s="3" t="e">
        <f t="shared" si="23"/>
        <v>#DIV/0!</v>
      </c>
      <c r="X42" s="3">
        <v>0</v>
      </c>
      <c r="Y42" s="6">
        <v>0</v>
      </c>
      <c r="Z42" s="3" t="e">
        <f t="shared" si="24"/>
        <v>#DIV/0!</v>
      </c>
      <c r="AA42" s="3">
        <v>0</v>
      </c>
      <c r="AB42" s="6">
        <v>0</v>
      </c>
      <c r="AC42" s="3" t="e">
        <f t="shared" si="25"/>
        <v>#DIV/0!</v>
      </c>
      <c r="AD42" s="3">
        <v>0</v>
      </c>
      <c r="AE42" s="6">
        <v>0</v>
      </c>
      <c r="AF42" s="3" t="e">
        <f t="shared" si="26"/>
        <v>#DIV/0!</v>
      </c>
      <c r="AG42" s="3">
        <v>0</v>
      </c>
      <c r="AH42" s="6">
        <v>0</v>
      </c>
      <c r="AI42" s="3" t="e">
        <f t="shared" si="27"/>
        <v>#DIV/0!</v>
      </c>
      <c r="AJ42" s="3">
        <v>0</v>
      </c>
      <c r="AK42" s="6">
        <v>0</v>
      </c>
      <c r="AL42" s="3" t="e">
        <f t="shared" si="28"/>
        <v>#DIV/0!</v>
      </c>
      <c r="AM42" s="3">
        <v>0</v>
      </c>
      <c r="AN42" s="6">
        <v>0</v>
      </c>
      <c r="AO42" s="3">
        <f t="shared" si="12"/>
        <v>1057.2722222222221</v>
      </c>
      <c r="AP42" s="3">
        <f t="shared" si="15"/>
        <v>380618</v>
      </c>
      <c r="AQ42" s="6">
        <f t="shared" si="16"/>
        <v>360</v>
      </c>
      <c r="AR42" s="3"/>
      <c r="AS42" s="3"/>
      <c r="AT42" s="3"/>
      <c r="AU42" s="3"/>
      <c r="AV42" s="3"/>
      <c r="AW42" s="3"/>
      <c r="AX42" s="3"/>
      <c r="AY42" s="3"/>
      <c r="AZ42" s="3"/>
      <c r="BA42" s="3"/>
      <c r="BB42" s="3"/>
      <c r="BC42" s="3"/>
      <c r="BD42" s="3"/>
      <c r="BE42" s="3"/>
      <c r="BF42" s="3"/>
      <c r="BG42" s="3"/>
      <c r="BH42" s="3"/>
      <c r="BI42" s="3"/>
      <c r="BJ42" s="3"/>
      <c r="BK42" s="3"/>
      <c r="BL42" s="3"/>
      <c r="BM42" s="3"/>
      <c r="BN42" s="3"/>
      <c r="BO42" s="3"/>
    </row>
    <row r="43" spans="1:67" x14ac:dyDescent="0.3">
      <c r="A43" s="7" t="s">
        <v>65</v>
      </c>
      <c r="B43" s="27"/>
      <c r="C43" s="27"/>
      <c r="D43" s="27"/>
      <c r="E43" s="3" t="e">
        <f t="shared" si="17"/>
        <v>#DIV/0!</v>
      </c>
      <c r="F43" s="3">
        <v>0</v>
      </c>
      <c r="G43" s="6">
        <v>0</v>
      </c>
      <c r="H43" s="3">
        <f t="shared" si="18"/>
        <v>3509.6491228070172</v>
      </c>
      <c r="I43" s="3">
        <v>60015</v>
      </c>
      <c r="J43" s="6">
        <v>17.100000000000001</v>
      </c>
      <c r="K43" s="3">
        <f t="shared" si="19"/>
        <v>3333.75</v>
      </c>
      <c r="L43" s="3">
        <v>13335</v>
      </c>
      <c r="M43" s="6">
        <v>4</v>
      </c>
      <c r="N43" s="3" t="e">
        <f t="shared" si="20"/>
        <v>#DIV/0!</v>
      </c>
      <c r="O43" s="3">
        <v>0</v>
      </c>
      <c r="P43" s="6">
        <v>0</v>
      </c>
      <c r="Q43" s="3" t="e">
        <f t="shared" si="21"/>
        <v>#DIV/0!</v>
      </c>
      <c r="R43" s="3">
        <v>0</v>
      </c>
      <c r="S43" s="6">
        <v>0</v>
      </c>
      <c r="T43" s="3" t="e">
        <f t="shared" si="22"/>
        <v>#DIV/0!</v>
      </c>
      <c r="U43" s="3">
        <v>0</v>
      </c>
      <c r="V43" s="6">
        <v>0</v>
      </c>
      <c r="W43" s="3" t="e">
        <f t="shared" si="23"/>
        <v>#DIV/0!</v>
      </c>
      <c r="X43" s="3">
        <v>0</v>
      </c>
      <c r="Y43" s="6">
        <v>0</v>
      </c>
      <c r="Z43" s="3" t="e">
        <f t="shared" si="24"/>
        <v>#DIV/0!</v>
      </c>
      <c r="AA43" s="3">
        <v>0</v>
      </c>
      <c r="AB43" s="6">
        <v>0</v>
      </c>
      <c r="AC43" s="3">
        <f t="shared" si="25"/>
        <v>3509.3567251461986</v>
      </c>
      <c r="AD43" s="3">
        <v>60010</v>
      </c>
      <c r="AE43" s="6">
        <v>17.100000000000001</v>
      </c>
      <c r="AF43" s="3" t="e">
        <f t="shared" si="26"/>
        <v>#DIV/0!</v>
      </c>
      <c r="AG43" s="3">
        <v>0</v>
      </c>
      <c r="AH43" s="6">
        <v>0</v>
      </c>
      <c r="AI43" s="3" t="e">
        <f t="shared" si="27"/>
        <v>#DIV/0!</v>
      </c>
      <c r="AJ43" s="3">
        <v>0</v>
      </c>
      <c r="AK43" s="6">
        <v>0</v>
      </c>
      <c r="AL43" s="3" t="e">
        <f t="shared" si="28"/>
        <v>#DIV/0!</v>
      </c>
      <c r="AM43" s="3">
        <v>0</v>
      </c>
      <c r="AN43" s="6">
        <v>0</v>
      </c>
      <c r="AO43" s="3">
        <f t="shared" si="12"/>
        <v>3491.0994764397901</v>
      </c>
      <c r="AP43" s="3">
        <f t="shared" si="15"/>
        <v>133360</v>
      </c>
      <c r="AQ43" s="6">
        <f t="shared" si="16"/>
        <v>38.200000000000003</v>
      </c>
      <c r="AR43" s="3"/>
      <c r="AS43" s="3"/>
      <c r="AT43" s="3"/>
      <c r="AU43" s="3"/>
      <c r="AV43" s="3"/>
      <c r="AW43" s="3"/>
      <c r="AX43" s="3"/>
      <c r="AY43" s="3"/>
      <c r="AZ43" s="3"/>
      <c r="BA43" s="3"/>
      <c r="BB43" s="3"/>
      <c r="BC43" s="3"/>
      <c r="BD43" s="3"/>
      <c r="BE43" s="3"/>
      <c r="BF43" s="3"/>
      <c r="BG43" s="3"/>
      <c r="BH43" s="3"/>
      <c r="BI43" s="3"/>
      <c r="BJ43" s="3"/>
      <c r="BK43" s="3"/>
      <c r="BL43" s="3"/>
      <c r="BM43" s="3"/>
      <c r="BN43" s="3"/>
      <c r="BO43" s="3"/>
    </row>
    <row r="44" spans="1:67" x14ac:dyDescent="0.3">
      <c r="A44" s="7" t="s">
        <v>66</v>
      </c>
      <c r="B44" s="27"/>
      <c r="C44" s="27"/>
      <c r="D44" s="27"/>
      <c r="E44" s="10" t="e">
        <f t="shared" si="17"/>
        <v>#DIV/0!</v>
      </c>
      <c r="F44" s="10">
        <v>0</v>
      </c>
      <c r="G44" s="6">
        <v>0</v>
      </c>
      <c r="H44" s="12">
        <f t="shared" si="18"/>
        <v>2357.5757575757575</v>
      </c>
      <c r="I44" s="10">
        <v>7780</v>
      </c>
      <c r="J44" s="6">
        <v>3.3</v>
      </c>
      <c r="K44" s="10" t="e">
        <f t="shared" si="19"/>
        <v>#DIV/0!</v>
      </c>
      <c r="L44" s="10">
        <v>0</v>
      </c>
      <c r="M44" s="6">
        <v>0</v>
      </c>
      <c r="N44" s="10" t="e">
        <f t="shared" si="20"/>
        <v>#DIV/0!</v>
      </c>
      <c r="O44" s="10">
        <v>0</v>
      </c>
      <c r="P44" s="6">
        <v>0</v>
      </c>
      <c r="Q44" s="12" t="e">
        <f t="shared" si="21"/>
        <v>#DIV/0!</v>
      </c>
      <c r="R44" s="10">
        <v>0</v>
      </c>
      <c r="S44" s="6">
        <v>0</v>
      </c>
      <c r="T44" s="12" t="e">
        <f t="shared" si="22"/>
        <v>#DIV/0!</v>
      </c>
      <c r="U44" s="10">
        <v>0</v>
      </c>
      <c r="V44" s="6">
        <v>0</v>
      </c>
      <c r="W44" s="10" t="e">
        <f t="shared" si="23"/>
        <v>#DIV/0!</v>
      </c>
      <c r="X44" s="10">
        <v>0</v>
      </c>
      <c r="Y44" s="6">
        <v>0</v>
      </c>
      <c r="Z44" s="10" t="e">
        <f t="shared" si="24"/>
        <v>#DIV/0!</v>
      </c>
      <c r="AA44" s="10">
        <v>0</v>
      </c>
      <c r="AB44" s="6">
        <v>0</v>
      </c>
      <c r="AC44" s="10" t="e">
        <f t="shared" si="25"/>
        <v>#DIV/0!</v>
      </c>
      <c r="AD44" s="10">
        <v>0</v>
      </c>
      <c r="AE44" s="6">
        <v>0</v>
      </c>
      <c r="AF44" s="10">
        <f t="shared" si="26"/>
        <v>2139.2832764505119</v>
      </c>
      <c r="AG44" s="10">
        <v>62681</v>
      </c>
      <c r="AH44" s="6">
        <v>29.3</v>
      </c>
      <c r="AI44" s="10" t="e">
        <f t="shared" si="27"/>
        <v>#DIV/0!</v>
      </c>
      <c r="AJ44" s="10">
        <v>0</v>
      </c>
      <c r="AK44" s="6">
        <v>0</v>
      </c>
      <c r="AL44" s="10" t="e">
        <f t="shared" si="28"/>
        <v>#DIV/0!</v>
      </c>
      <c r="AM44" s="10">
        <v>0</v>
      </c>
      <c r="AN44" s="6">
        <v>0</v>
      </c>
      <c r="AO44" s="10">
        <f t="shared" si="12"/>
        <v>2161.3803680981596</v>
      </c>
      <c r="AP44" s="10">
        <f t="shared" si="15"/>
        <v>70461</v>
      </c>
      <c r="AQ44" s="6">
        <f t="shared" si="16"/>
        <v>32.6</v>
      </c>
      <c r="AR44" s="3"/>
      <c r="AS44" s="3"/>
      <c r="AT44" s="3"/>
      <c r="AU44" s="3"/>
      <c r="AV44" s="3"/>
      <c r="AW44" s="3"/>
      <c r="AX44" s="3"/>
      <c r="AY44" s="3"/>
      <c r="AZ44" s="3"/>
      <c r="BA44" s="3"/>
      <c r="BB44" s="3"/>
      <c r="BC44" s="3"/>
      <c r="BD44" s="3"/>
      <c r="BE44" s="3"/>
      <c r="BF44" s="3"/>
      <c r="BG44" s="3"/>
      <c r="BH44" s="3"/>
      <c r="BI44" s="3"/>
      <c r="BJ44" s="3"/>
      <c r="BK44" s="3"/>
      <c r="BL44" s="3"/>
      <c r="BM44" s="3"/>
      <c r="BN44" s="3"/>
      <c r="BO44" s="3"/>
    </row>
    <row r="45" spans="1:67" x14ac:dyDescent="0.3">
      <c r="A45" s="7" t="s">
        <v>55</v>
      </c>
      <c r="B45" s="27"/>
      <c r="C45" s="27"/>
      <c r="D45" s="27"/>
      <c r="E45" s="16" t="e">
        <f t="shared" si="17"/>
        <v>#DIV/0!</v>
      </c>
      <c r="F45" s="11">
        <v>0</v>
      </c>
      <c r="G45" s="9">
        <v>0</v>
      </c>
      <c r="H45" s="8">
        <f t="shared" si="18"/>
        <v>1350.3319502074687</v>
      </c>
      <c r="I45" s="11">
        <v>32543</v>
      </c>
      <c r="J45" s="9">
        <v>24.1</v>
      </c>
      <c r="K45" s="16">
        <f t="shared" si="19"/>
        <v>1595.1162790697674</v>
      </c>
      <c r="L45" s="8">
        <v>96026</v>
      </c>
      <c r="M45" s="9">
        <v>60.2</v>
      </c>
      <c r="N45" s="16">
        <f t="shared" si="20"/>
        <v>1298.0082987551866</v>
      </c>
      <c r="O45" s="8">
        <v>31282</v>
      </c>
      <c r="P45" s="9">
        <v>24.1</v>
      </c>
      <c r="Q45" s="8">
        <f t="shared" si="21"/>
        <v>1307.4688796680498</v>
      </c>
      <c r="R45" s="11">
        <v>31510</v>
      </c>
      <c r="S45" s="9">
        <v>24.1</v>
      </c>
      <c r="T45" s="8">
        <f t="shared" si="22"/>
        <v>1315.0207468879667</v>
      </c>
      <c r="U45" s="11">
        <v>31692</v>
      </c>
      <c r="V45" s="9">
        <v>24.1</v>
      </c>
      <c r="W45" s="11">
        <f t="shared" si="23"/>
        <v>1306.4917127071822</v>
      </c>
      <c r="X45" s="11">
        <v>94590</v>
      </c>
      <c r="Y45" s="9">
        <v>72.400000000000006</v>
      </c>
      <c r="Z45" s="11">
        <f t="shared" si="24"/>
        <v>1720.2695417789757</v>
      </c>
      <c r="AA45" s="11">
        <v>63822</v>
      </c>
      <c r="AB45" s="9">
        <v>37.1</v>
      </c>
      <c r="AC45" s="11">
        <f t="shared" si="25"/>
        <v>1006.40625</v>
      </c>
      <c r="AD45" s="11">
        <v>19323</v>
      </c>
      <c r="AE45" s="9">
        <v>19.2</v>
      </c>
      <c r="AF45" s="8">
        <f t="shared" si="26"/>
        <v>1721.6565656565656</v>
      </c>
      <c r="AG45" s="11">
        <v>85222</v>
      </c>
      <c r="AH45" s="9">
        <v>49.5</v>
      </c>
      <c r="AI45" s="11">
        <f t="shared" si="27"/>
        <v>1353.9945652173915</v>
      </c>
      <c r="AJ45" s="11">
        <v>49827</v>
      </c>
      <c r="AK45" s="9">
        <v>36.799999999999997</v>
      </c>
      <c r="AL45" s="11" t="e">
        <f t="shared" si="28"/>
        <v>#DIV/0!</v>
      </c>
      <c r="AM45" s="11">
        <v>0</v>
      </c>
      <c r="AN45" s="9">
        <v>0</v>
      </c>
      <c r="AO45" s="11">
        <f t="shared" si="12"/>
        <v>1441.9725511302474</v>
      </c>
      <c r="AP45" s="8">
        <f t="shared" si="15"/>
        <v>535837</v>
      </c>
      <c r="AQ45" s="9">
        <f t="shared" si="16"/>
        <v>371.6</v>
      </c>
    </row>
    <row r="46" spans="1:67" x14ac:dyDescent="0.3">
      <c r="A46" s="7" t="s">
        <v>67</v>
      </c>
      <c r="B46" s="27"/>
      <c r="C46" s="27"/>
      <c r="D46" s="27"/>
      <c r="E46" s="8">
        <f t="shared" si="17"/>
        <v>1381.25</v>
      </c>
      <c r="F46" s="8">
        <v>7735</v>
      </c>
      <c r="G46" s="9">
        <v>5.6</v>
      </c>
      <c r="H46" s="8">
        <f t="shared" si="18"/>
        <v>1362.8</v>
      </c>
      <c r="I46" s="8">
        <v>3407</v>
      </c>
      <c r="J46" s="9">
        <v>2.5</v>
      </c>
      <c r="K46" s="8" t="e">
        <f t="shared" si="19"/>
        <v>#DIV/0!</v>
      </c>
      <c r="L46" s="8">
        <v>0</v>
      </c>
      <c r="M46" s="9">
        <v>0</v>
      </c>
      <c r="N46" s="8" t="e">
        <f t="shared" si="20"/>
        <v>#DIV/0!</v>
      </c>
      <c r="O46" s="8">
        <v>0</v>
      </c>
      <c r="P46" s="9">
        <v>0</v>
      </c>
      <c r="Q46" s="8" t="e">
        <f t="shared" si="21"/>
        <v>#DIV/0!</v>
      </c>
      <c r="R46" s="8">
        <v>0</v>
      </c>
      <c r="S46" s="9">
        <v>0</v>
      </c>
      <c r="T46" s="8">
        <f t="shared" si="22"/>
        <v>1415.9090909090908</v>
      </c>
      <c r="U46" s="8">
        <v>3115</v>
      </c>
      <c r="V46" s="9">
        <v>2.2000000000000002</v>
      </c>
      <c r="W46" s="8" t="e">
        <f t="shared" si="23"/>
        <v>#DIV/0!</v>
      </c>
      <c r="X46" s="8">
        <v>0</v>
      </c>
      <c r="Y46" s="9">
        <v>0</v>
      </c>
      <c r="Z46" s="8" t="e">
        <f t="shared" si="24"/>
        <v>#DIV/0!</v>
      </c>
      <c r="AA46" s="8">
        <v>0</v>
      </c>
      <c r="AB46" s="9">
        <v>0</v>
      </c>
      <c r="AC46" s="8">
        <f t="shared" si="25"/>
        <v>1378.8</v>
      </c>
      <c r="AD46" s="8">
        <v>3447</v>
      </c>
      <c r="AE46" s="9">
        <v>2.5</v>
      </c>
      <c r="AF46" s="8">
        <f t="shared" si="26"/>
        <v>1460.4545454545453</v>
      </c>
      <c r="AG46" s="8">
        <v>6426</v>
      </c>
      <c r="AH46" s="9">
        <v>4.4000000000000004</v>
      </c>
      <c r="AI46" s="8">
        <f t="shared" si="27"/>
        <v>1455.5319148936169</v>
      </c>
      <c r="AJ46" s="8">
        <v>6841</v>
      </c>
      <c r="AK46" s="9">
        <v>4.7</v>
      </c>
      <c r="AL46" s="8" t="e">
        <f t="shared" si="28"/>
        <v>#DIV/0!</v>
      </c>
      <c r="AM46" s="8">
        <v>0</v>
      </c>
      <c r="AN46" s="9">
        <v>0</v>
      </c>
      <c r="AO46" s="8">
        <f t="shared" si="12"/>
        <v>1414.2009132420089</v>
      </c>
      <c r="AP46" s="8">
        <f t="shared" si="15"/>
        <v>30971</v>
      </c>
      <c r="AQ46" s="9">
        <f t="shared" si="16"/>
        <v>21.900000000000002</v>
      </c>
    </row>
    <row r="47" spans="1:67" x14ac:dyDescent="0.3">
      <c r="A47" s="7" t="s">
        <v>68</v>
      </c>
      <c r="B47" s="27"/>
      <c r="C47" s="27"/>
      <c r="D47" s="27"/>
      <c r="E47" s="8">
        <f t="shared" si="17"/>
        <v>10833.333333333334</v>
      </c>
      <c r="F47" s="8">
        <v>3250</v>
      </c>
      <c r="G47" s="9">
        <v>0.3</v>
      </c>
      <c r="H47" s="8" t="e">
        <f t="shared" si="18"/>
        <v>#DIV/0!</v>
      </c>
      <c r="I47" s="8">
        <v>0</v>
      </c>
      <c r="J47" s="9">
        <v>0</v>
      </c>
      <c r="K47" s="8" t="e">
        <f t="shared" si="19"/>
        <v>#DIV/0!</v>
      </c>
      <c r="L47" s="8">
        <v>0</v>
      </c>
      <c r="M47" s="9">
        <v>0</v>
      </c>
      <c r="N47" s="8" t="e">
        <f t="shared" si="20"/>
        <v>#DIV/0!</v>
      </c>
      <c r="O47" s="8">
        <v>0</v>
      </c>
      <c r="P47" s="9">
        <v>0</v>
      </c>
      <c r="Q47" s="8" t="e">
        <f t="shared" si="21"/>
        <v>#DIV/0!</v>
      </c>
      <c r="R47" s="8">
        <v>0</v>
      </c>
      <c r="S47" s="9">
        <v>0</v>
      </c>
      <c r="T47" s="8" t="e">
        <f t="shared" si="22"/>
        <v>#DIV/0!</v>
      </c>
      <c r="U47" s="8">
        <v>0</v>
      </c>
      <c r="V47" s="9">
        <v>0</v>
      </c>
      <c r="W47" s="8" t="e">
        <f t="shared" si="23"/>
        <v>#DIV/0!</v>
      </c>
      <c r="X47" s="8">
        <v>0</v>
      </c>
      <c r="Y47" s="9">
        <v>0</v>
      </c>
      <c r="Z47" s="8" t="e">
        <f t="shared" si="24"/>
        <v>#DIV/0!</v>
      </c>
      <c r="AA47" s="8">
        <v>0</v>
      </c>
      <c r="AB47" s="9">
        <v>0</v>
      </c>
      <c r="AC47" s="8" t="e">
        <f t="shared" si="25"/>
        <v>#DIV/0!</v>
      </c>
      <c r="AD47" s="8">
        <v>0</v>
      </c>
      <c r="AE47" s="9">
        <v>0</v>
      </c>
      <c r="AF47" s="8" t="e">
        <f t="shared" si="26"/>
        <v>#DIV/0!</v>
      </c>
      <c r="AG47" s="8">
        <v>0</v>
      </c>
      <c r="AH47" s="9">
        <v>0</v>
      </c>
      <c r="AI47" s="8">
        <f t="shared" si="27"/>
        <v>3266.6666666666665</v>
      </c>
      <c r="AJ47" s="8">
        <v>2940</v>
      </c>
      <c r="AK47" s="9">
        <v>0.9</v>
      </c>
      <c r="AL47" s="8" t="e">
        <f t="shared" si="28"/>
        <v>#DIV/0!</v>
      </c>
      <c r="AM47" s="8">
        <v>0</v>
      </c>
      <c r="AN47" s="9">
        <v>0</v>
      </c>
      <c r="AO47" s="8">
        <f t="shared" si="12"/>
        <v>5158.3333333333339</v>
      </c>
      <c r="AP47" s="8">
        <f t="shared" si="15"/>
        <v>6190</v>
      </c>
      <c r="AQ47" s="9">
        <f t="shared" si="16"/>
        <v>1.2</v>
      </c>
    </row>
    <row r="48" spans="1:67" x14ac:dyDescent="0.3">
      <c r="A48" s="7" t="s">
        <v>84</v>
      </c>
      <c r="B48" s="27"/>
      <c r="C48" s="27"/>
      <c r="D48" s="27"/>
      <c r="E48" s="8" t="e">
        <f t="shared" si="17"/>
        <v>#DIV/0!</v>
      </c>
      <c r="F48" s="8">
        <v>0</v>
      </c>
      <c r="G48" s="9">
        <v>0</v>
      </c>
      <c r="H48" s="8" t="e">
        <f t="shared" si="18"/>
        <v>#DIV/0!</v>
      </c>
      <c r="I48" s="8">
        <v>0</v>
      </c>
      <c r="J48" s="9">
        <v>0</v>
      </c>
      <c r="K48" s="8">
        <f t="shared" si="19"/>
        <v>1220.057803468208</v>
      </c>
      <c r="L48" s="8">
        <v>21107</v>
      </c>
      <c r="M48" s="9">
        <v>17.3</v>
      </c>
      <c r="N48" s="8" t="e">
        <f t="shared" si="20"/>
        <v>#DIV/0!</v>
      </c>
      <c r="O48" s="8">
        <v>0</v>
      </c>
      <c r="P48" s="9">
        <v>0</v>
      </c>
      <c r="Q48" s="8">
        <f t="shared" si="21"/>
        <v>1276.2303664921465</v>
      </c>
      <c r="R48" s="8">
        <v>24376</v>
      </c>
      <c r="S48" s="9">
        <v>19.100000000000001</v>
      </c>
      <c r="T48" s="8" t="e">
        <f t="shared" si="22"/>
        <v>#DIV/0!</v>
      </c>
      <c r="U48" s="8">
        <v>0</v>
      </c>
      <c r="V48" s="9">
        <v>0</v>
      </c>
      <c r="W48" s="8" t="e">
        <f t="shared" si="23"/>
        <v>#DIV/0!</v>
      </c>
      <c r="X48" s="8">
        <v>0</v>
      </c>
      <c r="Y48" s="9">
        <v>0</v>
      </c>
      <c r="Z48" s="8" t="e">
        <f t="shared" si="24"/>
        <v>#DIV/0!</v>
      </c>
      <c r="AA48" s="8">
        <v>0</v>
      </c>
      <c r="AB48" s="9">
        <v>0</v>
      </c>
      <c r="AC48" s="8" t="e">
        <f t="shared" si="25"/>
        <v>#DIV/0!</v>
      </c>
      <c r="AD48" s="8">
        <v>0</v>
      </c>
      <c r="AE48" s="9">
        <v>0</v>
      </c>
      <c r="AF48" s="8">
        <f t="shared" si="26"/>
        <v>1220.5851063829787</v>
      </c>
      <c r="AG48" s="8">
        <v>22947</v>
      </c>
      <c r="AH48" s="9">
        <v>18.8</v>
      </c>
      <c r="AI48" s="8" t="e">
        <f t="shared" si="27"/>
        <v>#DIV/0!</v>
      </c>
      <c r="AJ48" s="8">
        <v>0</v>
      </c>
      <c r="AK48" s="9">
        <v>0</v>
      </c>
      <c r="AL48" s="8" t="e">
        <f t="shared" si="28"/>
        <v>#DIV/0!</v>
      </c>
      <c r="AM48" s="8">
        <v>0</v>
      </c>
      <c r="AN48" s="9">
        <v>0</v>
      </c>
      <c r="AO48" s="8">
        <f t="shared" si="12"/>
        <v>1239.6739130434783</v>
      </c>
      <c r="AP48" s="8">
        <f t="shared" si="15"/>
        <v>68430</v>
      </c>
      <c r="AQ48" s="9">
        <f t="shared" si="16"/>
        <v>55.2</v>
      </c>
    </row>
    <row r="49" spans="1:43" x14ac:dyDescent="0.3">
      <c r="A49" s="7" t="s">
        <v>85</v>
      </c>
      <c r="B49" s="27"/>
      <c r="C49" s="27"/>
      <c r="D49" s="27"/>
      <c r="E49" s="8" t="e">
        <f t="shared" si="17"/>
        <v>#DIV/0!</v>
      </c>
      <c r="F49" s="8">
        <v>0</v>
      </c>
      <c r="G49" s="9">
        <v>0</v>
      </c>
      <c r="H49" s="8" t="e">
        <f t="shared" si="18"/>
        <v>#DIV/0!</v>
      </c>
      <c r="I49" s="8">
        <v>0</v>
      </c>
      <c r="J49" s="9">
        <v>0</v>
      </c>
      <c r="K49" s="8" t="e">
        <f t="shared" si="19"/>
        <v>#DIV/0!</v>
      </c>
      <c r="L49" s="8">
        <v>0</v>
      </c>
      <c r="M49" s="9">
        <v>0</v>
      </c>
      <c r="N49" s="8">
        <f t="shared" si="20"/>
        <v>1304.1414141414141</v>
      </c>
      <c r="O49" s="8">
        <v>12911</v>
      </c>
      <c r="P49" s="9">
        <v>9.9</v>
      </c>
      <c r="Q49" s="8">
        <f t="shared" si="21"/>
        <v>843.74237423742375</v>
      </c>
      <c r="R49" s="8">
        <v>843658</v>
      </c>
      <c r="S49" s="9">
        <v>999.9</v>
      </c>
      <c r="T49" s="8">
        <f t="shared" si="22"/>
        <v>2507.3913043478265</v>
      </c>
      <c r="U49" s="8">
        <v>5767</v>
      </c>
      <c r="V49" s="9">
        <v>2.2999999999999998</v>
      </c>
      <c r="W49" s="8">
        <f t="shared" si="23"/>
        <v>1220.2805611222445</v>
      </c>
      <c r="X49" s="8">
        <v>60892</v>
      </c>
      <c r="Y49" s="9">
        <v>49.9</v>
      </c>
      <c r="Z49" s="8" t="e">
        <f t="shared" si="24"/>
        <v>#DIV/0!</v>
      </c>
      <c r="AA49" s="8">
        <v>0</v>
      </c>
      <c r="AB49" s="9">
        <v>0</v>
      </c>
      <c r="AC49" s="8" t="e">
        <f t="shared" si="25"/>
        <v>#DIV/0!</v>
      </c>
      <c r="AD49" s="8">
        <v>0</v>
      </c>
      <c r="AE49" s="9">
        <v>0</v>
      </c>
      <c r="AF49" s="8" t="e">
        <f t="shared" si="26"/>
        <v>#DIV/0!</v>
      </c>
      <c r="AG49" s="8">
        <v>0</v>
      </c>
      <c r="AH49" s="9">
        <v>0</v>
      </c>
      <c r="AI49" s="8" t="e">
        <f t="shared" si="27"/>
        <v>#DIV/0!</v>
      </c>
      <c r="AJ49" s="8">
        <v>0</v>
      </c>
      <c r="AK49" s="9">
        <v>0</v>
      </c>
      <c r="AL49" s="8" t="e">
        <f t="shared" si="28"/>
        <v>#DIV/0!</v>
      </c>
      <c r="AM49" s="8">
        <v>0</v>
      </c>
      <c r="AN49" s="9">
        <v>0</v>
      </c>
      <c r="AO49" s="8">
        <f t="shared" si="12"/>
        <v>869.32956685499062</v>
      </c>
      <c r="AP49" s="8">
        <f t="shared" si="15"/>
        <v>923228</v>
      </c>
      <c r="AQ49" s="9">
        <f t="shared" si="16"/>
        <v>1062</v>
      </c>
    </row>
    <row r="50" spans="1:43" x14ac:dyDescent="0.3">
      <c r="A50" s="7" t="s">
        <v>70</v>
      </c>
      <c r="B50" s="27"/>
      <c r="C50" s="27"/>
      <c r="D50" s="27"/>
      <c r="E50" s="8">
        <f t="shared" si="17"/>
        <v>1393.3798882681565</v>
      </c>
      <c r="F50" s="8">
        <v>49883</v>
      </c>
      <c r="G50" s="9">
        <v>35.799999999999997</v>
      </c>
      <c r="H50" s="8" t="e">
        <f t="shared" si="18"/>
        <v>#DIV/0!</v>
      </c>
      <c r="I50" s="8">
        <v>0</v>
      </c>
      <c r="J50" s="9">
        <v>0</v>
      </c>
      <c r="K50" s="8">
        <f t="shared" si="19"/>
        <v>1662.7091633466134</v>
      </c>
      <c r="L50" s="8">
        <v>41734</v>
      </c>
      <c r="M50" s="9">
        <v>25.1</v>
      </c>
      <c r="N50" s="8">
        <f t="shared" si="20"/>
        <v>1210.1047120418848</v>
      </c>
      <c r="O50" s="8">
        <v>23113</v>
      </c>
      <c r="P50" s="9">
        <v>19.100000000000001</v>
      </c>
      <c r="Q50" s="8" t="e">
        <f t="shared" si="21"/>
        <v>#DIV/0!</v>
      </c>
      <c r="R50" s="8">
        <v>0</v>
      </c>
      <c r="S50" s="9">
        <v>0</v>
      </c>
      <c r="T50" s="8">
        <f t="shared" si="22"/>
        <v>1459.2307692307691</v>
      </c>
      <c r="U50" s="8">
        <v>64498</v>
      </c>
      <c r="V50" s="9">
        <v>44.2</v>
      </c>
      <c r="W50" s="8">
        <f t="shared" si="23"/>
        <v>1432.0833333333333</v>
      </c>
      <c r="X50" s="8">
        <v>24059</v>
      </c>
      <c r="Y50" s="9">
        <v>16.8</v>
      </c>
      <c r="Z50" s="8">
        <f t="shared" si="24"/>
        <v>1252.1989528795812</v>
      </c>
      <c r="AA50" s="8">
        <v>23917</v>
      </c>
      <c r="AB50" s="9">
        <v>19.100000000000001</v>
      </c>
      <c r="AC50" s="8">
        <f t="shared" si="25"/>
        <v>1628.4860557768923</v>
      </c>
      <c r="AD50" s="8">
        <v>40875</v>
      </c>
      <c r="AE50" s="9">
        <v>25.1</v>
      </c>
      <c r="AF50" s="8">
        <f t="shared" si="26"/>
        <v>1366.0335195530727</v>
      </c>
      <c r="AG50" s="8">
        <v>48904</v>
      </c>
      <c r="AH50" s="9">
        <v>35.799999999999997</v>
      </c>
      <c r="AI50" s="8">
        <f t="shared" si="27"/>
        <v>1257.591623036649</v>
      </c>
      <c r="AJ50" s="8">
        <v>24020</v>
      </c>
      <c r="AK50" s="9">
        <v>19.100000000000001</v>
      </c>
      <c r="AL50" s="8" t="e">
        <f t="shared" si="28"/>
        <v>#DIV/0!</v>
      </c>
      <c r="AM50" s="8">
        <v>0</v>
      </c>
      <c r="AN50" s="9">
        <v>0</v>
      </c>
      <c r="AO50" s="8">
        <f t="shared" si="12"/>
        <v>1420.2540608079967</v>
      </c>
      <c r="AP50" s="8">
        <f t="shared" si="15"/>
        <v>341003</v>
      </c>
      <c r="AQ50" s="9">
        <f t="shared" si="16"/>
        <v>240.1</v>
      </c>
    </row>
    <row r="51" spans="1:43" x14ac:dyDescent="0.3">
      <c r="A51" s="17" t="s">
        <v>86</v>
      </c>
      <c r="B51" s="27"/>
      <c r="C51" s="27"/>
      <c r="D51" s="27"/>
      <c r="E51" s="8" t="e">
        <f t="shared" si="17"/>
        <v>#DIV/0!</v>
      </c>
      <c r="F51" s="8">
        <v>0</v>
      </c>
      <c r="G51" s="9">
        <v>0</v>
      </c>
      <c r="H51" s="8" t="e">
        <f t="shared" si="18"/>
        <v>#DIV/0!</v>
      </c>
      <c r="I51" s="8">
        <v>0</v>
      </c>
      <c r="J51" s="9">
        <v>0</v>
      </c>
      <c r="K51" s="8">
        <f t="shared" si="19"/>
        <v>1552.7868852459017</v>
      </c>
      <c r="L51" s="8">
        <v>9472</v>
      </c>
      <c r="M51" s="9">
        <v>6.1</v>
      </c>
      <c r="N51" s="8" t="e">
        <f t="shared" si="20"/>
        <v>#DIV/0!</v>
      </c>
      <c r="O51" s="8">
        <v>0</v>
      </c>
      <c r="P51" s="9">
        <v>0</v>
      </c>
      <c r="Q51" s="8" t="e">
        <f t="shared" si="21"/>
        <v>#DIV/0!</v>
      </c>
      <c r="R51" s="8">
        <v>0</v>
      </c>
      <c r="S51" s="9">
        <v>0</v>
      </c>
      <c r="T51" s="8" t="e">
        <f t="shared" si="22"/>
        <v>#DIV/0!</v>
      </c>
      <c r="U51" s="8">
        <v>0</v>
      </c>
      <c r="V51" s="9">
        <v>0</v>
      </c>
      <c r="W51" s="8" t="e">
        <f t="shared" si="23"/>
        <v>#DIV/0!</v>
      </c>
      <c r="X51" s="8">
        <v>0</v>
      </c>
      <c r="Y51" s="9">
        <v>0</v>
      </c>
      <c r="Z51" s="8" t="e">
        <f t="shared" si="24"/>
        <v>#DIV/0!</v>
      </c>
      <c r="AA51" s="8">
        <v>0</v>
      </c>
      <c r="AB51" s="9">
        <v>0</v>
      </c>
      <c r="AC51" s="8" t="e">
        <f t="shared" si="25"/>
        <v>#DIV/0!</v>
      </c>
      <c r="AD51" s="8">
        <v>0</v>
      </c>
      <c r="AE51" s="9">
        <v>0</v>
      </c>
      <c r="AF51" s="8" t="e">
        <f t="shared" si="26"/>
        <v>#DIV/0!</v>
      </c>
      <c r="AG51" s="8">
        <v>0</v>
      </c>
      <c r="AH51" s="9">
        <v>0</v>
      </c>
      <c r="AI51" s="8" t="e">
        <f t="shared" si="27"/>
        <v>#DIV/0!</v>
      </c>
      <c r="AJ51" s="8">
        <v>0</v>
      </c>
      <c r="AK51" s="9">
        <v>0</v>
      </c>
      <c r="AL51" s="8" t="e">
        <f t="shared" si="28"/>
        <v>#DIV/0!</v>
      </c>
      <c r="AM51" s="8">
        <v>0</v>
      </c>
      <c r="AN51" s="9">
        <v>0</v>
      </c>
      <c r="AO51" s="8">
        <f t="shared" si="12"/>
        <v>1552.7868852459017</v>
      </c>
      <c r="AP51" s="8">
        <f t="shared" si="15"/>
        <v>9472</v>
      </c>
      <c r="AQ51" s="9">
        <f t="shared" si="16"/>
        <v>6.1</v>
      </c>
    </row>
    <row r="52" spans="1:43" x14ac:dyDescent="0.3">
      <c r="A52" s="17" t="s">
        <v>24</v>
      </c>
      <c r="B52" s="27"/>
      <c r="C52" s="27"/>
      <c r="D52" s="27"/>
      <c r="E52" s="8" t="e">
        <f t="shared" si="17"/>
        <v>#DIV/0!</v>
      </c>
      <c r="F52" s="8">
        <v>0</v>
      </c>
      <c r="G52" s="9">
        <v>0</v>
      </c>
      <c r="H52" s="8">
        <f t="shared" si="18"/>
        <v>1060.1659751037344</v>
      </c>
      <c r="I52" s="8">
        <v>102200</v>
      </c>
      <c r="J52" s="9">
        <v>96.4</v>
      </c>
      <c r="K52" s="8" t="e">
        <f t="shared" si="19"/>
        <v>#DIV/0!</v>
      </c>
      <c r="L52" s="8">
        <v>0</v>
      </c>
      <c r="M52" s="9">
        <v>0</v>
      </c>
      <c r="N52" s="8">
        <f t="shared" si="20"/>
        <v>1075.030737704918</v>
      </c>
      <c r="O52" s="8">
        <v>104923</v>
      </c>
      <c r="P52" s="9">
        <v>97.6</v>
      </c>
      <c r="Q52" s="8" t="e">
        <f t="shared" si="21"/>
        <v>#DIV/0!</v>
      </c>
      <c r="R52" s="8">
        <v>0</v>
      </c>
      <c r="S52" s="9">
        <v>0</v>
      </c>
      <c r="T52" s="8">
        <f t="shared" si="22"/>
        <v>1063.1950207468878</v>
      </c>
      <c r="U52" s="8">
        <v>102492</v>
      </c>
      <c r="V52" s="9">
        <v>96.4</v>
      </c>
      <c r="W52" s="8" t="e">
        <f t="shared" si="23"/>
        <v>#DIV/0!</v>
      </c>
      <c r="X52" s="8">
        <v>0</v>
      </c>
      <c r="Y52" s="9">
        <v>0</v>
      </c>
      <c r="Z52" s="8">
        <f t="shared" si="24"/>
        <v>1137.6844262295083</v>
      </c>
      <c r="AA52" s="8">
        <v>111038</v>
      </c>
      <c r="AB52" s="9">
        <v>97.6</v>
      </c>
      <c r="AC52" s="8" t="e">
        <f t="shared" si="25"/>
        <v>#DIV/0!</v>
      </c>
      <c r="AD52" s="8">
        <v>0</v>
      </c>
      <c r="AE52" s="9">
        <v>0</v>
      </c>
      <c r="AF52" s="8">
        <f t="shared" si="26"/>
        <v>1354.2105263157896</v>
      </c>
      <c r="AG52" s="8">
        <v>2573</v>
      </c>
      <c r="AH52" s="9">
        <v>1.9</v>
      </c>
      <c r="AI52" s="8">
        <f t="shared" si="27"/>
        <v>2445.3333333333335</v>
      </c>
      <c r="AJ52" s="8">
        <v>3668</v>
      </c>
      <c r="AK52" s="9">
        <v>1.5</v>
      </c>
      <c r="AL52" s="8" t="e">
        <f t="shared" si="28"/>
        <v>#DIV/0!</v>
      </c>
      <c r="AM52" s="8">
        <v>0</v>
      </c>
      <c r="AN52" s="9">
        <v>0</v>
      </c>
      <c r="AO52" s="8">
        <f t="shared" si="12"/>
        <v>1090.6847215125192</v>
      </c>
      <c r="AP52" s="8">
        <f t="shared" si="15"/>
        <v>426894</v>
      </c>
      <c r="AQ52" s="9">
        <f t="shared" si="16"/>
        <v>391.4</v>
      </c>
    </row>
    <row r="53" spans="1:43" x14ac:dyDescent="0.3">
      <c r="A53" s="17" t="s">
        <v>87</v>
      </c>
      <c r="B53" s="27"/>
      <c r="C53" s="27"/>
      <c r="D53" s="27"/>
      <c r="E53" s="8" t="e">
        <f t="shared" si="17"/>
        <v>#DIV/0!</v>
      </c>
      <c r="F53" s="8">
        <v>0</v>
      </c>
      <c r="G53" s="9">
        <v>0</v>
      </c>
      <c r="H53" s="8" t="e">
        <f t="shared" si="18"/>
        <v>#DIV/0!</v>
      </c>
      <c r="I53" s="8">
        <v>0</v>
      </c>
      <c r="J53" s="9">
        <v>0</v>
      </c>
      <c r="K53" s="8" t="e">
        <f t="shared" si="19"/>
        <v>#DIV/0!</v>
      </c>
      <c r="L53" s="8">
        <v>0</v>
      </c>
      <c r="M53" s="9">
        <v>0</v>
      </c>
      <c r="N53" s="8" t="e">
        <f t="shared" si="20"/>
        <v>#DIV/0!</v>
      </c>
      <c r="O53" s="8">
        <v>0</v>
      </c>
      <c r="P53" s="9">
        <v>0</v>
      </c>
      <c r="Q53" s="8" t="e">
        <f t="shared" si="21"/>
        <v>#DIV/0!</v>
      </c>
      <c r="R53" s="8">
        <v>0</v>
      </c>
      <c r="S53" s="9">
        <v>0</v>
      </c>
      <c r="T53" s="8" t="e">
        <f t="shared" si="22"/>
        <v>#DIV/0!</v>
      </c>
      <c r="U53" s="8">
        <v>0</v>
      </c>
      <c r="V53" s="9">
        <v>0</v>
      </c>
      <c r="W53" s="8">
        <f t="shared" si="23"/>
        <v>1201.8057142857142</v>
      </c>
      <c r="X53" s="8">
        <v>420632</v>
      </c>
      <c r="Y53" s="9">
        <v>350</v>
      </c>
      <c r="Z53" s="8" t="e">
        <f t="shared" si="24"/>
        <v>#DIV/0!</v>
      </c>
      <c r="AA53" s="8">
        <v>0</v>
      </c>
      <c r="AB53" s="9">
        <v>0</v>
      </c>
      <c r="AC53" s="8" t="e">
        <f t="shared" si="25"/>
        <v>#DIV/0!</v>
      </c>
      <c r="AD53" s="8">
        <v>0</v>
      </c>
      <c r="AE53" s="9">
        <v>0</v>
      </c>
      <c r="AF53" s="8" t="e">
        <f t="shared" si="26"/>
        <v>#DIV/0!</v>
      </c>
      <c r="AG53" s="8">
        <v>0</v>
      </c>
      <c r="AH53" s="9">
        <v>0</v>
      </c>
      <c r="AI53" s="8" t="e">
        <f t="shared" si="27"/>
        <v>#DIV/0!</v>
      </c>
      <c r="AJ53" s="8">
        <v>0</v>
      </c>
      <c r="AK53" s="9">
        <v>0</v>
      </c>
      <c r="AL53" s="8" t="e">
        <f t="shared" si="28"/>
        <v>#DIV/0!</v>
      </c>
      <c r="AM53" s="8">
        <v>0</v>
      </c>
      <c r="AN53" s="9">
        <v>0</v>
      </c>
      <c r="AO53" s="8">
        <f t="shared" si="12"/>
        <v>1201.8057142857142</v>
      </c>
      <c r="AP53" s="8">
        <f t="shared" si="15"/>
        <v>420632</v>
      </c>
      <c r="AQ53" s="9">
        <f t="shared" si="16"/>
        <v>350</v>
      </c>
    </row>
    <row r="54" spans="1:43" x14ac:dyDescent="0.3">
      <c r="A54" s="17" t="s">
        <v>35</v>
      </c>
      <c r="B54" s="27"/>
      <c r="C54" s="27"/>
      <c r="D54" s="27"/>
      <c r="E54" s="8" t="e">
        <f t="shared" si="17"/>
        <v>#DIV/0!</v>
      </c>
      <c r="F54" s="8">
        <v>0</v>
      </c>
      <c r="G54" s="9">
        <v>0</v>
      </c>
      <c r="H54" s="8" t="e">
        <f t="shared" si="18"/>
        <v>#DIV/0!</v>
      </c>
      <c r="I54" s="8">
        <v>0</v>
      </c>
      <c r="J54" s="9">
        <v>0</v>
      </c>
      <c r="K54" s="8">
        <f t="shared" si="19"/>
        <v>2485</v>
      </c>
      <c r="L54" s="8">
        <v>22365</v>
      </c>
      <c r="M54" s="9">
        <v>9</v>
      </c>
      <c r="N54" s="8" t="e">
        <f t="shared" si="20"/>
        <v>#DIV/0!</v>
      </c>
      <c r="O54" s="8">
        <v>0</v>
      </c>
      <c r="P54" s="9">
        <v>0</v>
      </c>
      <c r="Q54" s="8" t="e">
        <f t="shared" si="21"/>
        <v>#DIV/0!</v>
      </c>
      <c r="R54" s="8">
        <v>0</v>
      </c>
      <c r="S54" s="9">
        <v>0</v>
      </c>
      <c r="T54" s="8" t="e">
        <f t="shared" si="22"/>
        <v>#DIV/0!</v>
      </c>
      <c r="U54" s="8">
        <v>0</v>
      </c>
      <c r="V54" s="9">
        <v>0</v>
      </c>
      <c r="W54" s="8">
        <f t="shared" si="23"/>
        <v>2280</v>
      </c>
      <c r="X54" s="8">
        <v>5244</v>
      </c>
      <c r="Y54" s="9">
        <v>2.2999999999999998</v>
      </c>
      <c r="Z54" s="8" t="e">
        <f t="shared" si="24"/>
        <v>#DIV/0!</v>
      </c>
      <c r="AA54" s="8">
        <v>0</v>
      </c>
      <c r="AB54" s="9">
        <v>0</v>
      </c>
      <c r="AC54" s="8" t="e">
        <f t="shared" si="25"/>
        <v>#DIV/0!</v>
      </c>
      <c r="AD54" s="8">
        <v>0</v>
      </c>
      <c r="AE54" s="9">
        <v>0</v>
      </c>
      <c r="AF54" s="8" t="e">
        <f t="shared" si="26"/>
        <v>#DIV/0!</v>
      </c>
      <c r="AG54" s="8">
        <v>0</v>
      </c>
      <c r="AH54" s="9">
        <v>0</v>
      </c>
      <c r="AI54" s="8" t="e">
        <f t="shared" si="27"/>
        <v>#DIV/0!</v>
      </c>
      <c r="AJ54" s="8">
        <v>0</v>
      </c>
      <c r="AK54" s="9">
        <v>0</v>
      </c>
      <c r="AL54" s="8" t="e">
        <f t="shared" si="28"/>
        <v>#DIV/0!</v>
      </c>
      <c r="AM54" s="8">
        <v>0</v>
      </c>
      <c r="AN54" s="9">
        <v>0</v>
      </c>
      <c r="AO54" s="8">
        <f t="shared" si="12"/>
        <v>2443.2743362831857</v>
      </c>
      <c r="AP54" s="8">
        <f t="shared" si="15"/>
        <v>27609</v>
      </c>
      <c r="AQ54" s="9">
        <f t="shared" si="16"/>
        <v>11.3</v>
      </c>
    </row>
    <row r="55" spans="1:43" x14ac:dyDescent="0.3">
      <c r="A55" s="17" t="s">
        <v>88</v>
      </c>
      <c r="B55" s="27"/>
      <c r="C55" s="27"/>
      <c r="D55" s="27"/>
      <c r="E55" s="8" t="e">
        <f t="shared" si="17"/>
        <v>#DIV/0!</v>
      </c>
      <c r="F55" s="8">
        <v>0</v>
      </c>
      <c r="G55" s="9">
        <v>0</v>
      </c>
      <c r="H55" s="8">
        <f t="shared" si="18"/>
        <v>770.78651685393254</v>
      </c>
      <c r="I55" s="8">
        <v>13720</v>
      </c>
      <c r="J55" s="9">
        <v>17.8</v>
      </c>
      <c r="K55" s="8">
        <f t="shared" si="19"/>
        <v>788.50574712643686</v>
      </c>
      <c r="L55" s="8">
        <v>13720</v>
      </c>
      <c r="M55" s="9">
        <v>17.399999999999999</v>
      </c>
      <c r="N55" s="8">
        <f t="shared" si="20"/>
        <v>770</v>
      </c>
      <c r="O55" s="8">
        <v>13475</v>
      </c>
      <c r="P55" s="9">
        <v>17.5</v>
      </c>
      <c r="Q55" s="8" t="e">
        <f t="shared" si="21"/>
        <v>#DIV/0!</v>
      </c>
      <c r="R55" s="8">
        <v>0</v>
      </c>
      <c r="S55" s="9">
        <v>0</v>
      </c>
      <c r="T55" s="8">
        <f t="shared" si="22"/>
        <v>770.78651685393254</v>
      </c>
      <c r="U55" s="8">
        <v>13720</v>
      </c>
      <c r="V55" s="9">
        <v>17.8</v>
      </c>
      <c r="W55" s="8" t="e">
        <f t="shared" si="23"/>
        <v>#DIV/0!</v>
      </c>
      <c r="X55" s="8">
        <v>0</v>
      </c>
      <c r="Y55" s="9">
        <v>0</v>
      </c>
      <c r="Z55" s="8" t="e">
        <f t="shared" si="24"/>
        <v>#DIV/0!</v>
      </c>
      <c r="AA55" s="8">
        <v>0</v>
      </c>
      <c r="AB55" s="9">
        <v>0</v>
      </c>
      <c r="AC55" s="8" t="e">
        <f t="shared" si="25"/>
        <v>#DIV/0!</v>
      </c>
      <c r="AD55" s="8">
        <v>0</v>
      </c>
      <c r="AE55" s="9">
        <v>0</v>
      </c>
      <c r="AF55" s="8" t="e">
        <f t="shared" si="26"/>
        <v>#DIV/0!</v>
      </c>
      <c r="AG55" s="8">
        <v>0</v>
      </c>
      <c r="AH55" s="9">
        <v>0</v>
      </c>
      <c r="AI55" s="8" t="e">
        <f t="shared" si="27"/>
        <v>#DIV/0!</v>
      </c>
      <c r="AJ55" s="8">
        <v>0</v>
      </c>
      <c r="AK55" s="9">
        <v>0</v>
      </c>
      <c r="AL55" s="8" t="e">
        <f t="shared" si="28"/>
        <v>#DIV/0!</v>
      </c>
      <c r="AM55" s="8">
        <v>0</v>
      </c>
      <c r="AN55" s="9">
        <v>0</v>
      </c>
      <c r="AO55" s="8">
        <f t="shared" si="12"/>
        <v>774.96453900709218</v>
      </c>
      <c r="AP55" s="8">
        <f t="shared" si="15"/>
        <v>54635</v>
      </c>
      <c r="AQ55" s="9">
        <f t="shared" si="16"/>
        <v>70.5</v>
      </c>
    </row>
    <row r="56" spans="1:43" x14ac:dyDescent="0.3">
      <c r="A56" s="17" t="s">
        <v>36</v>
      </c>
      <c r="B56" s="27"/>
      <c r="C56" s="27"/>
      <c r="D56" s="27"/>
      <c r="E56" s="8">
        <f t="shared" si="17"/>
        <v>1912.8571428571429</v>
      </c>
      <c r="F56" s="8">
        <v>2678</v>
      </c>
      <c r="G56" s="9">
        <v>1.4</v>
      </c>
      <c r="H56" s="8">
        <f t="shared" si="18"/>
        <v>1632.608695652174</v>
      </c>
      <c r="I56" s="8">
        <v>3755</v>
      </c>
      <c r="J56" s="9">
        <v>2.2999999999999998</v>
      </c>
      <c r="K56" s="8">
        <f t="shared" si="19"/>
        <v>1794.3478260869567</v>
      </c>
      <c r="L56" s="8">
        <v>8254</v>
      </c>
      <c r="M56" s="9">
        <v>4.5999999999999996</v>
      </c>
      <c r="N56" s="8" t="e">
        <f t="shared" si="20"/>
        <v>#DIV/0!</v>
      </c>
      <c r="O56" s="8">
        <v>0</v>
      </c>
      <c r="P56" s="9">
        <v>0</v>
      </c>
      <c r="Q56" s="8" t="e">
        <f t="shared" si="21"/>
        <v>#DIV/0!</v>
      </c>
      <c r="R56" s="8">
        <v>0</v>
      </c>
      <c r="S56" s="9">
        <v>0</v>
      </c>
      <c r="T56" s="8" t="e">
        <f t="shared" si="22"/>
        <v>#DIV/0!</v>
      </c>
      <c r="U56" s="8">
        <v>0</v>
      </c>
      <c r="V56" s="9">
        <v>0</v>
      </c>
      <c r="W56" s="8">
        <f t="shared" si="23"/>
        <v>2092.105263157895</v>
      </c>
      <c r="X56" s="8">
        <v>3975</v>
      </c>
      <c r="Y56" s="9">
        <v>1.9</v>
      </c>
      <c r="Z56" s="8" t="e">
        <f t="shared" si="24"/>
        <v>#DIV/0!</v>
      </c>
      <c r="AA56" s="8">
        <v>0</v>
      </c>
      <c r="AB56" s="9">
        <v>0</v>
      </c>
      <c r="AC56" s="8">
        <f t="shared" si="25"/>
        <v>1940</v>
      </c>
      <c r="AD56" s="8">
        <v>3880</v>
      </c>
      <c r="AE56" s="9">
        <v>2</v>
      </c>
      <c r="AF56" s="8">
        <f t="shared" si="26"/>
        <v>1867.0588235294117</v>
      </c>
      <c r="AG56" s="8">
        <v>6348</v>
      </c>
      <c r="AH56" s="9">
        <v>3.4</v>
      </c>
      <c r="AI56" s="8" t="e">
        <f t="shared" si="27"/>
        <v>#DIV/0!</v>
      </c>
      <c r="AJ56" s="8">
        <v>0</v>
      </c>
      <c r="AK56" s="9">
        <v>0</v>
      </c>
      <c r="AL56" s="8" t="e">
        <f t="shared" si="28"/>
        <v>#DIV/0!</v>
      </c>
      <c r="AM56" s="8">
        <v>0</v>
      </c>
      <c r="AN56" s="9">
        <v>0</v>
      </c>
      <c r="AO56" s="8">
        <f t="shared" si="12"/>
        <v>1851.9230769230769</v>
      </c>
      <c r="AP56" s="8">
        <f t="shared" si="15"/>
        <v>28890</v>
      </c>
      <c r="AQ56" s="9">
        <f t="shared" si="16"/>
        <v>15.6</v>
      </c>
    </row>
    <row r="57" spans="1:43" x14ac:dyDescent="0.3">
      <c r="A57" s="17" t="s">
        <v>71</v>
      </c>
      <c r="B57" s="27"/>
      <c r="C57" s="27"/>
      <c r="D57" s="27"/>
      <c r="E57" s="8" t="e">
        <f t="shared" si="17"/>
        <v>#DIV/0!</v>
      </c>
      <c r="F57" s="8">
        <v>0</v>
      </c>
      <c r="G57" s="9">
        <v>0</v>
      </c>
      <c r="H57" s="8" t="e">
        <f t="shared" si="18"/>
        <v>#DIV/0!</v>
      </c>
      <c r="I57" s="8">
        <v>0</v>
      </c>
      <c r="J57" s="9">
        <v>0</v>
      </c>
      <c r="K57" s="8" t="e">
        <f t="shared" si="19"/>
        <v>#DIV/0!</v>
      </c>
      <c r="L57" s="8">
        <v>0</v>
      </c>
      <c r="M57" s="9">
        <v>0</v>
      </c>
      <c r="N57" s="8">
        <f t="shared" si="20"/>
        <v>3286.25</v>
      </c>
      <c r="O57" s="8">
        <v>2629</v>
      </c>
      <c r="P57" s="9">
        <v>0.8</v>
      </c>
      <c r="Q57" s="8" t="e">
        <f t="shared" si="21"/>
        <v>#DIV/0!</v>
      </c>
      <c r="R57" s="8">
        <v>0</v>
      </c>
      <c r="S57" s="9">
        <v>0</v>
      </c>
      <c r="T57" s="8" t="e">
        <f t="shared" si="22"/>
        <v>#DIV/0!</v>
      </c>
      <c r="U57" s="8">
        <v>0</v>
      </c>
      <c r="V57" s="9">
        <v>0</v>
      </c>
      <c r="W57" s="8" t="e">
        <f t="shared" si="23"/>
        <v>#DIV/0!</v>
      </c>
      <c r="X57" s="8">
        <v>0</v>
      </c>
      <c r="Y57" s="9">
        <v>0</v>
      </c>
      <c r="Z57" s="8" t="e">
        <f t="shared" si="24"/>
        <v>#DIV/0!</v>
      </c>
      <c r="AA57" s="8">
        <v>0</v>
      </c>
      <c r="AB57" s="9">
        <v>0</v>
      </c>
      <c r="AC57" s="8">
        <f t="shared" si="25"/>
        <v>3218</v>
      </c>
      <c r="AD57" s="8">
        <v>3218</v>
      </c>
      <c r="AE57" s="9">
        <v>1</v>
      </c>
      <c r="AF57" s="8" t="e">
        <f t="shared" si="26"/>
        <v>#DIV/0!</v>
      </c>
      <c r="AG57" s="8">
        <v>0</v>
      </c>
      <c r="AH57" s="9">
        <v>0</v>
      </c>
      <c r="AI57" s="8" t="e">
        <f t="shared" si="27"/>
        <v>#DIV/0!</v>
      </c>
      <c r="AJ57" s="8">
        <v>0</v>
      </c>
      <c r="AK57" s="9">
        <v>0</v>
      </c>
      <c r="AL57" s="8" t="e">
        <f t="shared" si="28"/>
        <v>#DIV/0!</v>
      </c>
      <c r="AM57" s="8">
        <v>0</v>
      </c>
      <c r="AN57" s="9">
        <v>0</v>
      </c>
      <c r="AO57" s="8">
        <f t="shared" si="12"/>
        <v>3248.333333333333</v>
      </c>
      <c r="AP57" s="8">
        <f t="shared" si="15"/>
        <v>5847</v>
      </c>
      <c r="AQ57" s="9">
        <f t="shared" si="16"/>
        <v>1.8</v>
      </c>
    </row>
    <row r="58" spans="1:43" x14ac:dyDescent="0.3">
      <c r="A58" s="17" t="s">
        <v>73</v>
      </c>
      <c r="B58" s="27"/>
      <c r="C58" s="27"/>
      <c r="D58" s="27"/>
      <c r="E58" s="8">
        <f t="shared" si="17"/>
        <v>3456.4705882352941</v>
      </c>
      <c r="F58" s="8">
        <v>5876</v>
      </c>
      <c r="G58" s="9">
        <v>1.7</v>
      </c>
      <c r="H58" s="8">
        <f t="shared" si="18"/>
        <v>3405.454545454545</v>
      </c>
      <c r="I58" s="8">
        <v>7492</v>
      </c>
      <c r="J58" s="9">
        <v>2.2000000000000002</v>
      </c>
      <c r="K58" s="8" t="e">
        <f t="shared" si="19"/>
        <v>#DIV/0!</v>
      </c>
      <c r="L58" s="8">
        <v>0</v>
      </c>
      <c r="M58" s="9">
        <v>0</v>
      </c>
      <c r="N58" s="8" t="e">
        <f t="shared" si="20"/>
        <v>#DIV/0!</v>
      </c>
      <c r="O58" s="8">
        <v>0</v>
      </c>
      <c r="P58" s="9">
        <v>0</v>
      </c>
      <c r="Q58" s="8">
        <f t="shared" si="21"/>
        <v>3672.5</v>
      </c>
      <c r="R58" s="8">
        <v>2938</v>
      </c>
      <c r="S58" s="9">
        <v>0.8</v>
      </c>
      <c r="T58" s="8">
        <f t="shared" si="22"/>
        <v>3672.5</v>
      </c>
      <c r="U58" s="8">
        <v>2938</v>
      </c>
      <c r="V58" s="9">
        <v>0.8</v>
      </c>
      <c r="W58" s="8" t="e">
        <f t="shared" si="23"/>
        <v>#DIV/0!</v>
      </c>
      <c r="X58" s="8">
        <v>0</v>
      </c>
      <c r="Y58" s="9">
        <v>0</v>
      </c>
      <c r="Z58" s="8" t="e">
        <f t="shared" si="24"/>
        <v>#DIV/0!</v>
      </c>
      <c r="AA58" s="8">
        <v>0</v>
      </c>
      <c r="AB58" s="9">
        <v>0</v>
      </c>
      <c r="AC58" s="8" t="e">
        <f t="shared" si="25"/>
        <v>#DIV/0!</v>
      </c>
      <c r="AD58" s="8">
        <v>0</v>
      </c>
      <c r="AE58" s="9">
        <v>0</v>
      </c>
      <c r="AF58" s="8" t="e">
        <f t="shared" si="26"/>
        <v>#DIV/0!</v>
      </c>
      <c r="AG58" s="8">
        <v>0</v>
      </c>
      <c r="AH58" s="9">
        <v>0</v>
      </c>
      <c r="AI58" s="8" t="e">
        <f t="shared" si="27"/>
        <v>#DIV/0!</v>
      </c>
      <c r="AJ58" s="8">
        <v>0</v>
      </c>
      <c r="AK58" s="9">
        <v>0</v>
      </c>
      <c r="AL58" s="8" t="e">
        <f t="shared" si="28"/>
        <v>#DIV/0!</v>
      </c>
      <c r="AM58" s="8">
        <v>0</v>
      </c>
      <c r="AN58" s="9">
        <v>0</v>
      </c>
      <c r="AO58" s="8">
        <f t="shared" si="12"/>
        <v>3498.909090909091</v>
      </c>
      <c r="AP58" s="8">
        <f t="shared" si="15"/>
        <v>19244</v>
      </c>
      <c r="AQ58" s="9">
        <f t="shared" si="16"/>
        <v>5.5</v>
      </c>
    </row>
    <row r="59" spans="1:43" x14ac:dyDescent="0.3">
      <c r="A59" s="17" t="s">
        <v>89</v>
      </c>
      <c r="B59" s="27"/>
      <c r="C59" s="27"/>
      <c r="D59" s="27"/>
      <c r="E59" s="8" t="e">
        <f t="shared" si="17"/>
        <v>#DIV/0!</v>
      </c>
      <c r="F59" s="8">
        <v>0</v>
      </c>
      <c r="G59" s="9">
        <v>0</v>
      </c>
      <c r="H59" s="8" t="e">
        <f t="shared" si="18"/>
        <v>#DIV/0!</v>
      </c>
      <c r="I59" s="8">
        <v>0</v>
      </c>
      <c r="J59" s="9">
        <v>0</v>
      </c>
      <c r="K59" s="8" t="e">
        <f t="shared" si="19"/>
        <v>#DIV/0!</v>
      </c>
      <c r="L59" s="8">
        <v>0</v>
      </c>
      <c r="M59" s="9">
        <v>0</v>
      </c>
      <c r="N59" s="8" t="e">
        <f t="shared" si="20"/>
        <v>#DIV/0!</v>
      </c>
      <c r="O59" s="8">
        <v>0</v>
      </c>
      <c r="P59" s="9">
        <v>0</v>
      </c>
      <c r="Q59" s="8" t="e">
        <f t="shared" si="21"/>
        <v>#DIV/0!</v>
      </c>
      <c r="R59" s="8">
        <v>0</v>
      </c>
      <c r="S59" s="9">
        <v>0</v>
      </c>
      <c r="T59" s="8">
        <f t="shared" si="22"/>
        <v>1578.9473684210527</v>
      </c>
      <c r="U59" s="8">
        <v>24000</v>
      </c>
      <c r="V59" s="9">
        <v>15.2</v>
      </c>
      <c r="W59" s="8" t="e">
        <f t="shared" si="23"/>
        <v>#DIV/0!</v>
      </c>
      <c r="X59" s="8">
        <v>0</v>
      </c>
      <c r="Y59" s="9">
        <v>0</v>
      </c>
      <c r="Z59" s="8" t="e">
        <f t="shared" si="24"/>
        <v>#DIV/0!</v>
      </c>
      <c r="AA59" s="8">
        <v>0</v>
      </c>
      <c r="AB59" s="9">
        <v>0</v>
      </c>
      <c r="AC59" s="8" t="e">
        <f t="shared" si="25"/>
        <v>#DIV/0!</v>
      </c>
      <c r="AD59" s="8">
        <v>0</v>
      </c>
      <c r="AE59" s="9">
        <v>0</v>
      </c>
      <c r="AF59" s="8" t="e">
        <f t="shared" si="26"/>
        <v>#DIV/0!</v>
      </c>
      <c r="AG59" s="8">
        <v>0</v>
      </c>
      <c r="AH59" s="9">
        <v>0</v>
      </c>
      <c r="AI59" s="8" t="e">
        <f t="shared" si="27"/>
        <v>#DIV/0!</v>
      </c>
      <c r="AJ59" s="8">
        <v>0</v>
      </c>
      <c r="AK59" s="9">
        <v>0</v>
      </c>
      <c r="AL59" s="8" t="e">
        <f t="shared" si="28"/>
        <v>#DIV/0!</v>
      </c>
      <c r="AM59" s="8">
        <v>0</v>
      </c>
      <c r="AN59" s="9">
        <v>0</v>
      </c>
      <c r="AO59" s="8">
        <f t="shared" si="12"/>
        <v>1578.9473684210527</v>
      </c>
      <c r="AP59" s="8">
        <f t="shared" si="15"/>
        <v>24000</v>
      </c>
      <c r="AQ59" s="9">
        <f t="shared" si="16"/>
        <v>15.2</v>
      </c>
    </row>
    <row r="60" spans="1:43" x14ac:dyDescent="0.3">
      <c r="A60" s="17" t="s">
        <v>52</v>
      </c>
      <c r="B60" s="27"/>
      <c r="C60" s="27"/>
      <c r="D60" s="27"/>
      <c r="E60" s="8" t="e">
        <f t="shared" si="17"/>
        <v>#DIV/0!</v>
      </c>
      <c r="F60" s="8">
        <v>0</v>
      </c>
      <c r="G60" s="9">
        <v>0</v>
      </c>
      <c r="H60" s="8" t="e">
        <f t="shared" si="18"/>
        <v>#DIV/0!</v>
      </c>
      <c r="I60" s="8">
        <v>0</v>
      </c>
      <c r="J60" s="9">
        <v>0</v>
      </c>
      <c r="K60" s="8" t="e">
        <f t="shared" si="19"/>
        <v>#DIV/0!</v>
      </c>
      <c r="L60" s="8">
        <v>0</v>
      </c>
      <c r="M60" s="9">
        <v>0</v>
      </c>
      <c r="N60" s="8" t="e">
        <f t="shared" si="20"/>
        <v>#DIV/0!</v>
      </c>
      <c r="O60" s="8">
        <v>0</v>
      </c>
      <c r="P60" s="9">
        <v>0</v>
      </c>
      <c r="Q60" s="8" t="e">
        <f t="shared" si="21"/>
        <v>#DIV/0!</v>
      </c>
      <c r="R60" s="8">
        <v>0</v>
      </c>
      <c r="S60" s="9">
        <v>0</v>
      </c>
      <c r="T60" s="8">
        <f t="shared" si="22"/>
        <v>1506.0843373493974</v>
      </c>
      <c r="U60" s="8">
        <v>50002</v>
      </c>
      <c r="V60" s="9">
        <v>33.200000000000003</v>
      </c>
      <c r="W60" s="8" t="e">
        <f t="shared" si="23"/>
        <v>#DIV/0!</v>
      </c>
      <c r="X60" s="8">
        <v>0</v>
      </c>
      <c r="Y60" s="9">
        <v>0</v>
      </c>
      <c r="Z60" s="8" t="e">
        <f t="shared" si="24"/>
        <v>#DIV/0!</v>
      </c>
      <c r="AA60" s="8">
        <v>0</v>
      </c>
      <c r="AB60" s="9">
        <v>0</v>
      </c>
      <c r="AC60" s="8" t="e">
        <f t="shared" si="25"/>
        <v>#DIV/0!</v>
      </c>
      <c r="AD60" s="8">
        <v>0</v>
      </c>
      <c r="AE60" s="9">
        <v>0</v>
      </c>
      <c r="AF60" s="8">
        <f t="shared" si="26"/>
        <v>1283.3333333333333</v>
      </c>
      <c r="AG60" s="8">
        <v>18480</v>
      </c>
      <c r="AH60" s="9">
        <v>14.4</v>
      </c>
      <c r="AI60" s="8" t="e">
        <f t="shared" si="27"/>
        <v>#DIV/0!</v>
      </c>
      <c r="AJ60" s="8">
        <v>0</v>
      </c>
      <c r="AK60" s="9">
        <v>0</v>
      </c>
      <c r="AL60" s="8" t="e">
        <f t="shared" si="28"/>
        <v>#DIV/0!</v>
      </c>
      <c r="AM60" s="8">
        <v>0</v>
      </c>
      <c r="AN60" s="9">
        <v>0</v>
      </c>
      <c r="AO60" s="8">
        <f t="shared" si="12"/>
        <v>1438.6974789915967</v>
      </c>
      <c r="AP60" s="8">
        <f t="shared" si="15"/>
        <v>68482</v>
      </c>
      <c r="AQ60" s="9">
        <f t="shared" si="16"/>
        <v>47.6</v>
      </c>
    </row>
    <row r="61" spans="1:43" x14ac:dyDescent="0.3">
      <c r="A61" s="18" t="s">
        <v>90</v>
      </c>
      <c r="B61" s="27"/>
      <c r="C61" s="27"/>
      <c r="D61" s="27"/>
      <c r="E61" s="15" t="e">
        <f t="shared" si="17"/>
        <v>#DIV/0!</v>
      </c>
      <c r="F61" s="13">
        <v>0</v>
      </c>
      <c r="G61" s="14">
        <v>0</v>
      </c>
      <c r="H61" s="13" t="e">
        <f t="shared" si="18"/>
        <v>#DIV/0!</v>
      </c>
      <c r="I61" s="13">
        <v>0</v>
      </c>
      <c r="J61" s="14">
        <v>0</v>
      </c>
      <c r="K61" s="13" t="e">
        <f t="shared" si="19"/>
        <v>#DIV/0!</v>
      </c>
      <c r="L61" s="13">
        <v>0</v>
      </c>
      <c r="M61" s="14">
        <v>0</v>
      </c>
      <c r="N61" s="13" t="e">
        <f t="shared" si="20"/>
        <v>#DIV/0!</v>
      </c>
      <c r="O61" s="13">
        <v>0</v>
      </c>
      <c r="P61" s="14">
        <v>0</v>
      </c>
      <c r="Q61" s="13" t="e">
        <f t="shared" si="21"/>
        <v>#DIV/0!</v>
      </c>
      <c r="R61" s="13">
        <v>0</v>
      </c>
      <c r="S61" s="14">
        <v>0</v>
      </c>
      <c r="T61" s="13" t="e">
        <f t="shared" si="22"/>
        <v>#DIV/0!</v>
      </c>
      <c r="U61" s="13">
        <v>0</v>
      </c>
      <c r="V61" s="14">
        <v>0</v>
      </c>
      <c r="W61" s="13" t="e">
        <f t="shared" si="23"/>
        <v>#DIV/0!</v>
      </c>
      <c r="X61" s="13">
        <v>0</v>
      </c>
      <c r="Y61" s="14">
        <v>0</v>
      </c>
      <c r="Z61" s="13" t="e">
        <f t="shared" si="24"/>
        <v>#DIV/0!</v>
      </c>
      <c r="AA61" s="13">
        <v>0</v>
      </c>
      <c r="AB61" s="14">
        <v>0</v>
      </c>
      <c r="AC61" s="13">
        <f t="shared" si="25"/>
        <v>2308</v>
      </c>
      <c r="AD61" s="13">
        <v>3462</v>
      </c>
      <c r="AE61" s="14">
        <v>1.5</v>
      </c>
      <c r="AF61" s="13" t="e">
        <f t="shared" si="26"/>
        <v>#DIV/0!</v>
      </c>
      <c r="AG61" s="13">
        <v>0</v>
      </c>
      <c r="AH61" s="14">
        <v>0</v>
      </c>
      <c r="AI61" s="13" t="e">
        <f t="shared" si="27"/>
        <v>#DIV/0!</v>
      </c>
      <c r="AJ61" s="13">
        <v>0</v>
      </c>
      <c r="AK61" s="14">
        <v>0</v>
      </c>
      <c r="AL61" s="13" t="e">
        <f t="shared" si="28"/>
        <v>#DIV/0!</v>
      </c>
      <c r="AM61" s="13">
        <v>0</v>
      </c>
      <c r="AN61" s="14">
        <v>0</v>
      </c>
      <c r="AO61" s="13">
        <f t="shared" si="12"/>
        <v>2308</v>
      </c>
      <c r="AP61" s="13">
        <f t="shared" si="15"/>
        <v>3462</v>
      </c>
      <c r="AQ61" s="14">
        <f t="shared" si="16"/>
        <v>1.5</v>
      </c>
    </row>
    <row r="62" spans="1:43" x14ac:dyDescent="0.3">
      <c r="A62" s="17" t="s">
        <v>81</v>
      </c>
      <c r="B62" s="29" t="s">
        <v>82</v>
      </c>
      <c r="C62" s="27"/>
      <c r="D62" s="27"/>
      <c r="E62" s="8">
        <f t="shared" si="17"/>
        <v>825.8809891808346</v>
      </c>
      <c r="F62" s="8">
        <f>SUM(F63:F82)</f>
        <v>106869</v>
      </c>
      <c r="G62" s="9">
        <f>SUM(G63:G82)</f>
        <v>129.4</v>
      </c>
      <c r="H62" s="8">
        <f t="shared" si="18"/>
        <v>1174.8221757322178</v>
      </c>
      <c r="I62" s="8">
        <f>SUM(I63:I82)</f>
        <v>112313</v>
      </c>
      <c r="J62" s="9">
        <f>SUM(J63:J82)</f>
        <v>95.59999999999998</v>
      </c>
      <c r="K62" s="8">
        <f t="shared" si="19"/>
        <v>929.62699822380102</v>
      </c>
      <c r="L62" s="8">
        <f>SUM(L63:L82)</f>
        <v>314028</v>
      </c>
      <c r="M62" s="9">
        <f>SUM(M63:M82)</f>
        <v>337.8</v>
      </c>
      <c r="N62" s="8">
        <f t="shared" si="20"/>
        <v>860.93684210526317</v>
      </c>
      <c r="O62" s="8">
        <f>SUM(O63:O82)</f>
        <v>81789</v>
      </c>
      <c r="P62" s="9">
        <f>SUM(P63:P82)</f>
        <v>95</v>
      </c>
      <c r="Q62" s="8">
        <f t="shared" si="21"/>
        <v>800.01205545509345</v>
      </c>
      <c r="R62" s="8">
        <f>SUM(R63:R82)</f>
        <v>132722</v>
      </c>
      <c r="S62" s="9">
        <f>SUM(S63:S82)</f>
        <v>165.9</v>
      </c>
      <c r="T62" s="8">
        <f t="shared" si="22"/>
        <v>933.12363749610711</v>
      </c>
      <c r="U62" s="8">
        <f>SUM(U63:U82)</f>
        <v>299626</v>
      </c>
      <c r="V62" s="9">
        <f>SUM(V63:V82)</f>
        <v>321.10000000000002</v>
      </c>
      <c r="W62" s="8">
        <f t="shared" si="23"/>
        <v>1075.4680134680134</v>
      </c>
      <c r="X62" s="8">
        <f>SUM(X63:X82)</f>
        <v>159707</v>
      </c>
      <c r="Y62" s="9">
        <f>SUM(Y63:Y82)</f>
        <v>148.5</v>
      </c>
      <c r="Z62" s="8">
        <f t="shared" si="24"/>
        <v>958.28493150684915</v>
      </c>
      <c r="AA62" s="8">
        <f>SUM(AA63:AA82)</f>
        <v>174887</v>
      </c>
      <c r="AB62" s="9">
        <f>SUM(AB63:AB82)</f>
        <v>182.50000000000003</v>
      </c>
      <c r="AC62" s="8">
        <f t="shared" si="25"/>
        <v>997.74969173859427</v>
      </c>
      <c r="AD62" s="8">
        <f>SUM(AD63:AD82)</f>
        <v>161835</v>
      </c>
      <c r="AE62" s="9">
        <f>SUM(AE63:AE82)</f>
        <v>162.20000000000002</v>
      </c>
      <c r="AF62" s="8">
        <f t="shared" si="26"/>
        <v>774.90058479532161</v>
      </c>
      <c r="AG62" s="8">
        <f>SUM(AG63:AG82)</f>
        <v>66254</v>
      </c>
      <c r="AH62" s="9">
        <f>SUM(AH63:AH82)</f>
        <v>85.5</v>
      </c>
      <c r="AI62" s="8">
        <f t="shared" si="27"/>
        <v>1097.6354916067146</v>
      </c>
      <c r="AJ62" s="8">
        <f>SUM(AJ63:AJ82)</f>
        <v>228857</v>
      </c>
      <c r="AK62" s="9">
        <f>SUM(AK63:AK82)</f>
        <v>208.5</v>
      </c>
      <c r="AL62" s="8">
        <f t="shared" si="28"/>
        <v>992.08079930495217</v>
      </c>
      <c r="AM62" s="8">
        <f>SUM(AM63:AM82)</f>
        <v>228377</v>
      </c>
      <c r="AN62" s="9">
        <f>SUM(AN63:AN82)</f>
        <v>230.20000000000002</v>
      </c>
      <c r="AO62" s="8">
        <f t="shared" ref="AO62:AO82" si="29">AP62/AQ62</f>
        <v>956.09286837480329</v>
      </c>
      <c r="AP62" s="8">
        <f>SUM(AP63:AP82)</f>
        <v>2067264</v>
      </c>
      <c r="AQ62" s="9">
        <f>SUM(AQ63:AQ82)</f>
        <v>2162.2000000000003</v>
      </c>
    </row>
    <row r="63" spans="1:43" x14ac:dyDescent="0.3">
      <c r="A63" s="17" t="s">
        <v>38</v>
      </c>
      <c r="B63" s="30"/>
      <c r="C63" s="27"/>
      <c r="D63" s="27"/>
      <c r="E63" s="8" t="e">
        <f t="shared" si="17"/>
        <v>#DIV/0!</v>
      </c>
      <c r="F63" s="8">
        <v>0</v>
      </c>
      <c r="G63" s="9">
        <v>0</v>
      </c>
      <c r="H63" s="8" t="e">
        <f t="shared" si="18"/>
        <v>#DIV/0!</v>
      </c>
      <c r="I63" s="8">
        <v>0</v>
      </c>
      <c r="J63" s="9">
        <v>0</v>
      </c>
      <c r="K63" s="8">
        <f t="shared" si="19"/>
        <v>1000</v>
      </c>
      <c r="L63" s="8">
        <v>48000</v>
      </c>
      <c r="M63" s="9">
        <v>48</v>
      </c>
      <c r="N63" s="8" t="e">
        <f t="shared" si="20"/>
        <v>#DIV/0!</v>
      </c>
      <c r="O63" s="8">
        <v>0</v>
      </c>
      <c r="P63" s="9">
        <v>0</v>
      </c>
      <c r="Q63" s="8" t="e">
        <f t="shared" si="21"/>
        <v>#DIV/0!</v>
      </c>
      <c r="R63" s="8">
        <v>0</v>
      </c>
      <c r="S63" s="9">
        <v>0</v>
      </c>
      <c r="T63" s="8">
        <f t="shared" si="22"/>
        <v>1000</v>
      </c>
      <c r="U63" s="8">
        <v>24000</v>
      </c>
      <c r="V63" s="9">
        <v>24</v>
      </c>
      <c r="W63" s="8" t="e">
        <f t="shared" si="23"/>
        <v>#DIV/0!</v>
      </c>
      <c r="X63" s="8">
        <v>0</v>
      </c>
      <c r="Y63" s="9">
        <v>0</v>
      </c>
      <c r="Z63" s="8">
        <f t="shared" si="24"/>
        <v>947.36842105263156</v>
      </c>
      <c r="AA63" s="8">
        <v>18000</v>
      </c>
      <c r="AB63" s="9">
        <v>19</v>
      </c>
      <c r="AC63" s="8">
        <f t="shared" si="25"/>
        <v>719.22077922077915</v>
      </c>
      <c r="AD63" s="8">
        <v>22152</v>
      </c>
      <c r="AE63" s="9">
        <v>30.8</v>
      </c>
      <c r="AF63" s="8">
        <f t="shared" si="26"/>
        <v>208.33333333333334</v>
      </c>
      <c r="AG63" s="8">
        <v>5000</v>
      </c>
      <c r="AH63" s="9">
        <v>24</v>
      </c>
      <c r="AI63" s="8" t="e">
        <f t="shared" si="27"/>
        <v>#DIV/0!</v>
      </c>
      <c r="AJ63" s="8">
        <v>0</v>
      </c>
      <c r="AK63" s="9">
        <v>0</v>
      </c>
      <c r="AL63" s="8">
        <f t="shared" si="28"/>
        <v>1048.9583333333333</v>
      </c>
      <c r="AM63" s="8">
        <v>75525</v>
      </c>
      <c r="AN63" s="9">
        <v>72</v>
      </c>
      <c r="AO63" s="8">
        <f t="shared" si="29"/>
        <v>884.65105601469236</v>
      </c>
      <c r="AP63" s="8">
        <f t="shared" ref="AP63:AP82" si="30">SUM(F63,I63,L63,O63,R63,U63,X63,AA63,AD63,AG63,AJ63,AM63)</f>
        <v>192677</v>
      </c>
      <c r="AQ63" s="9">
        <f t="shared" ref="AQ63:AQ82" si="31">SUM(G63,J63,M63,P63,S63,V63,Y63,AB63,AE63,AH63,AK63,AN63)</f>
        <v>217.8</v>
      </c>
    </row>
    <row r="64" spans="1:43" x14ac:dyDescent="0.3">
      <c r="A64" s="17" t="s">
        <v>32</v>
      </c>
      <c r="B64" s="30"/>
      <c r="C64" s="27"/>
      <c r="D64" s="27"/>
      <c r="E64" s="8">
        <f t="shared" si="17"/>
        <v>717.92349726775956</v>
      </c>
      <c r="F64" s="8">
        <v>13138</v>
      </c>
      <c r="G64" s="9">
        <v>18.3</v>
      </c>
      <c r="H64" s="8" t="e">
        <f t="shared" si="18"/>
        <v>#DIV/0!</v>
      </c>
      <c r="I64" s="8">
        <v>0</v>
      </c>
      <c r="J64" s="9">
        <v>0</v>
      </c>
      <c r="K64" s="8" t="e">
        <f t="shared" si="19"/>
        <v>#DIV/0!</v>
      </c>
      <c r="L64" s="8">
        <v>0</v>
      </c>
      <c r="M64" s="9">
        <v>0</v>
      </c>
      <c r="N64" s="8">
        <f t="shared" si="20"/>
        <v>1445.2631578947369</v>
      </c>
      <c r="O64" s="8">
        <v>8238</v>
      </c>
      <c r="P64" s="9">
        <v>5.7</v>
      </c>
      <c r="Q64" s="8" t="e">
        <f t="shared" si="21"/>
        <v>#DIV/0!</v>
      </c>
      <c r="R64" s="8">
        <v>0</v>
      </c>
      <c r="S64" s="9">
        <v>0</v>
      </c>
      <c r="T64" s="8">
        <f t="shared" si="22"/>
        <v>718.17226890756297</v>
      </c>
      <c r="U64" s="8">
        <v>34185</v>
      </c>
      <c r="V64" s="9">
        <v>47.6</v>
      </c>
      <c r="W64" s="8">
        <f t="shared" si="23"/>
        <v>718.02955665024626</v>
      </c>
      <c r="X64" s="8">
        <v>14576</v>
      </c>
      <c r="Y64" s="9">
        <v>20.3</v>
      </c>
      <c r="Z64" s="8">
        <f t="shared" si="24"/>
        <v>838.92183288409706</v>
      </c>
      <c r="AA64" s="8">
        <v>31124</v>
      </c>
      <c r="AB64" s="9">
        <v>37.1</v>
      </c>
      <c r="AC64" s="8">
        <f t="shared" si="25"/>
        <v>717.2699386503067</v>
      </c>
      <c r="AD64" s="8">
        <v>23383</v>
      </c>
      <c r="AE64" s="9">
        <v>32.6</v>
      </c>
      <c r="AF64" s="8">
        <f t="shared" si="26"/>
        <v>1616.9811320754718</v>
      </c>
      <c r="AG64" s="8">
        <v>8570</v>
      </c>
      <c r="AH64" s="9">
        <v>5.3</v>
      </c>
      <c r="AI64" s="8" t="e">
        <f t="shared" si="27"/>
        <v>#DIV/0!</v>
      </c>
      <c r="AJ64" s="8">
        <v>0</v>
      </c>
      <c r="AK64" s="9">
        <v>0</v>
      </c>
      <c r="AL64" s="8">
        <f t="shared" si="28"/>
        <v>718.57913669064749</v>
      </c>
      <c r="AM64" s="8">
        <v>39953</v>
      </c>
      <c r="AN64" s="9">
        <v>55.6</v>
      </c>
      <c r="AO64" s="8">
        <f t="shared" si="29"/>
        <v>778.27865168539324</v>
      </c>
      <c r="AP64" s="8">
        <f t="shared" si="30"/>
        <v>173167</v>
      </c>
      <c r="AQ64" s="9">
        <f t="shared" si="31"/>
        <v>222.5</v>
      </c>
    </row>
    <row r="65" spans="1:43" x14ac:dyDescent="0.3">
      <c r="A65" s="17" t="s">
        <v>56</v>
      </c>
      <c r="B65" s="30"/>
      <c r="C65" s="27"/>
      <c r="D65" s="27"/>
      <c r="E65" s="8" t="e">
        <f t="shared" si="17"/>
        <v>#DIV/0!</v>
      </c>
      <c r="F65" s="8">
        <v>0</v>
      </c>
      <c r="G65" s="9">
        <v>0</v>
      </c>
      <c r="H65" s="8" t="e">
        <f t="shared" si="18"/>
        <v>#DIV/0!</v>
      </c>
      <c r="I65" s="8">
        <v>0</v>
      </c>
      <c r="J65" s="9">
        <v>0</v>
      </c>
      <c r="K65" s="8">
        <f t="shared" si="19"/>
        <v>1088.1761006289307</v>
      </c>
      <c r="L65" s="8">
        <v>34604</v>
      </c>
      <c r="M65" s="9">
        <v>31.8</v>
      </c>
      <c r="N65" s="8" t="e">
        <f t="shared" si="20"/>
        <v>#DIV/0!</v>
      </c>
      <c r="O65" s="8">
        <v>0</v>
      </c>
      <c r="P65" s="9">
        <v>0</v>
      </c>
      <c r="Q65" s="8">
        <f t="shared" si="21"/>
        <v>1048.0188679245282</v>
      </c>
      <c r="R65" s="8">
        <v>33327</v>
      </c>
      <c r="S65" s="9">
        <v>31.8</v>
      </c>
      <c r="T65" s="8">
        <f t="shared" si="22"/>
        <v>1109.5885509838999</v>
      </c>
      <c r="U65" s="8">
        <v>62026</v>
      </c>
      <c r="V65" s="9">
        <v>55.9</v>
      </c>
      <c r="W65" s="8">
        <f t="shared" si="23"/>
        <v>1083.396449704142</v>
      </c>
      <c r="X65" s="8">
        <v>91547</v>
      </c>
      <c r="Y65" s="9">
        <v>84.5</v>
      </c>
      <c r="Z65" s="8">
        <f t="shared" si="24"/>
        <v>1064.6855345911949</v>
      </c>
      <c r="AA65" s="8">
        <v>33857</v>
      </c>
      <c r="AB65" s="9">
        <v>31.8</v>
      </c>
      <c r="AC65" s="8">
        <f t="shared" si="25"/>
        <v>1103.8993710691823</v>
      </c>
      <c r="AD65" s="8">
        <v>35104</v>
      </c>
      <c r="AE65" s="9">
        <v>31.8</v>
      </c>
      <c r="AF65" s="8">
        <f t="shared" si="26"/>
        <v>1180.5031446540879</v>
      </c>
      <c r="AG65" s="8">
        <v>18770</v>
      </c>
      <c r="AH65" s="9">
        <v>15.9</v>
      </c>
      <c r="AI65" s="8">
        <f t="shared" si="27"/>
        <v>1145.3153153153153</v>
      </c>
      <c r="AJ65" s="8">
        <v>165269</v>
      </c>
      <c r="AK65" s="9">
        <v>144.30000000000001</v>
      </c>
      <c r="AL65" s="8">
        <f t="shared" si="28"/>
        <v>1076.1006289308175</v>
      </c>
      <c r="AM65" s="8">
        <v>34220</v>
      </c>
      <c r="AN65" s="9">
        <v>31.8</v>
      </c>
      <c r="AO65" s="8">
        <f t="shared" si="29"/>
        <v>1106.8842471714534</v>
      </c>
      <c r="AP65" s="8">
        <f t="shared" si="30"/>
        <v>508724</v>
      </c>
      <c r="AQ65" s="9">
        <f t="shared" si="31"/>
        <v>459.6</v>
      </c>
    </row>
    <row r="66" spans="1:43" x14ac:dyDescent="0.3">
      <c r="A66" s="17" t="s">
        <v>25</v>
      </c>
      <c r="B66" s="30"/>
      <c r="C66" s="27"/>
      <c r="D66" s="27"/>
      <c r="E66" s="8">
        <f t="shared" si="17"/>
        <v>1108.6842105263158</v>
      </c>
      <c r="F66" s="8">
        <v>8426</v>
      </c>
      <c r="G66" s="9">
        <v>7.6</v>
      </c>
      <c r="H66" s="8">
        <f t="shared" si="18"/>
        <v>1119.4520547945206</v>
      </c>
      <c r="I66" s="8">
        <v>40860</v>
      </c>
      <c r="J66" s="9">
        <v>36.5</v>
      </c>
      <c r="K66" s="8">
        <f t="shared" si="19"/>
        <v>1156.4150943396226</v>
      </c>
      <c r="L66" s="8">
        <v>79677</v>
      </c>
      <c r="M66" s="9">
        <v>68.900000000000006</v>
      </c>
      <c r="N66" s="8">
        <f t="shared" si="20"/>
        <v>1194.4565217391305</v>
      </c>
      <c r="O66" s="8">
        <v>10989</v>
      </c>
      <c r="P66" s="9">
        <v>9.1999999999999993</v>
      </c>
      <c r="Q66" s="8" t="e">
        <f t="shared" si="21"/>
        <v>#DIV/0!</v>
      </c>
      <c r="R66" s="8">
        <v>0</v>
      </c>
      <c r="S66" s="9">
        <v>0</v>
      </c>
      <c r="T66" s="8">
        <f t="shared" si="22"/>
        <v>1191.3530655391121</v>
      </c>
      <c r="U66" s="8">
        <v>56351</v>
      </c>
      <c r="V66" s="9">
        <v>47.3</v>
      </c>
      <c r="W66" s="8">
        <f t="shared" si="23"/>
        <v>1260.9398496240601</v>
      </c>
      <c r="X66" s="8">
        <v>33541</v>
      </c>
      <c r="Y66" s="9">
        <v>26.6</v>
      </c>
      <c r="Z66" s="8">
        <f t="shared" si="24"/>
        <v>870.34155597722952</v>
      </c>
      <c r="AA66" s="8">
        <v>45867</v>
      </c>
      <c r="AB66" s="9">
        <v>52.7</v>
      </c>
      <c r="AC66" s="8">
        <f t="shared" si="25"/>
        <v>1184.5320197044334</v>
      </c>
      <c r="AD66" s="8">
        <v>48092</v>
      </c>
      <c r="AE66" s="9">
        <v>40.6</v>
      </c>
      <c r="AF66" s="8">
        <f t="shared" si="26"/>
        <v>1277.4157303370787</v>
      </c>
      <c r="AG66" s="8">
        <v>11369</v>
      </c>
      <c r="AH66" s="9">
        <v>8.9</v>
      </c>
      <c r="AI66" s="8">
        <f t="shared" si="27"/>
        <v>990.46728971962614</v>
      </c>
      <c r="AJ66" s="8">
        <v>63588</v>
      </c>
      <c r="AK66" s="9">
        <v>64.2</v>
      </c>
      <c r="AL66" s="8">
        <f t="shared" si="28"/>
        <v>1109.4000000000001</v>
      </c>
      <c r="AM66" s="8">
        <v>22188</v>
      </c>
      <c r="AN66" s="9">
        <v>20</v>
      </c>
      <c r="AO66" s="8">
        <f t="shared" si="29"/>
        <v>1100.5176470588235</v>
      </c>
      <c r="AP66" s="8">
        <f t="shared" si="30"/>
        <v>420948</v>
      </c>
      <c r="AQ66" s="9">
        <f t="shared" si="31"/>
        <v>382.5</v>
      </c>
    </row>
    <row r="67" spans="1:43" x14ac:dyDescent="0.3">
      <c r="A67" s="17" t="s">
        <v>37</v>
      </c>
      <c r="B67" s="30"/>
      <c r="C67" s="27"/>
      <c r="D67" s="27"/>
      <c r="E67" s="8" t="e">
        <f t="shared" si="17"/>
        <v>#DIV/0!</v>
      </c>
      <c r="F67" s="8">
        <v>0</v>
      </c>
      <c r="G67" s="9">
        <v>0</v>
      </c>
      <c r="H67" s="8" t="e">
        <f t="shared" si="18"/>
        <v>#DIV/0!</v>
      </c>
      <c r="I67" s="8">
        <v>0</v>
      </c>
      <c r="J67" s="9">
        <v>0</v>
      </c>
      <c r="K67" s="8" t="e">
        <f t="shared" si="19"/>
        <v>#DIV/0!</v>
      </c>
      <c r="L67" s="8">
        <v>0</v>
      </c>
      <c r="M67" s="9">
        <v>0</v>
      </c>
      <c r="N67" s="8" t="e">
        <f t="shared" si="20"/>
        <v>#DIV/0!</v>
      </c>
      <c r="O67" s="8">
        <v>0</v>
      </c>
      <c r="P67" s="9">
        <v>0</v>
      </c>
      <c r="Q67" s="8" t="e">
        <f t="shared" si="21"/>
        <v>#DIV/0!</v>
      </c>
      <c r="R67" s="8">
        <v>0</v>
      </c>
      <c r="S67" s="9">
        <v>0</v>
      </c>
      <c r="T67" s="8">
        <f t="shared" si="22"/>
        <v>911.86440677966095</v>
      </c>
      <c r="U67" s="8">
        <v>21520</v>
      </c>
      <c r="V67" s="9">
        <v>23.6</v>
      </c>
      <c r="W67" s="8" t="e">
        <f t="shared" si="23"/>
        <v>#DIV/0!</v>
      </c>
      <c r="X67" s="8">
        <v>0</v>
      </c>
      <c r="Y67" s="9">
        <v>0</v>
      </c>
      <c r="Z67" s="8" t="e">
        <f t="shared" si="24"/>
        <v>#DIV/0!</v>
      </c>
      <c r="AA67" s="8">
        <v>0</v>
      </c>
      <c r="AB67" s="9">
        <v>0</v>
      </c>
      <c r="AC67" s="8">
        <f t="shared" si="25"/>
        <v>1088.7755102040817</v>
      </c>
      <c r="AD67" s="8">
        <v>26675</v>
      </c>
      <c r="AE67" s="9">
        <v>24.5</v>
      </c>
      <c r="AF67" s="8" t="e">
        <f t="shared" si="26"/>
        <v>#DIV/0!</v>
      </c>
      <c r="AG67" s="8">
        <v>0</v>
      </c>
      <c r="AH67" s="9">
        <v>0</v>
      </c>
      <c r="AI67" s="8" t="e">
        <f t="shared" si="27"/>
        <v>#DIV/0!</v>
      </c>
      <c r="AJ67" s="8">
        <v>0</v>
      </c>
      <c r="AK67" s="9">
        <v>0</v>
      </c>
      <c r="AL67" s="8">
        <f t="shared" si="28"/>
        <v>1083.2642487046633</v>
      </c>
      <c r="AM67" s="8">
        <v>20907</v>
      </c>
      <c r="AN67" s="9">
        <v>19.3</v>
      </c>
      <c r="AO67" s="8">
        <f t="shared" si="29"/>
        <v>1025.2522255192878</v>
      </c>
      <c r="AP67" s="8">
        <f t="shared" si="30"/>
        <v>69102</v>
      </c>
      <c r="AQ67" s="9">
        <f t="shared" si="31"/>
        <v>67.400000000000006</v>
      </c>
    </row>
    <row r="68" spans="1:43" x14ac:dyDescent="0.3">
      <c r="A68" s="17" t="s">
        <v>28</v>
      </c>
      <c r="B68" s="30"/>
      <c r="C68" s="27"/>
      <c r="D68" s="27"/>
      <c r="E68" s="8" t="e">
        <f t="shared" si="17"/>
        <v>#DIV/0!</v>
      </c>
      <c r="F68" s="8">
        <v>0</v>
      </c>
      <c r="G68" s="9">
        <v>0</v>
      </c>
      <c r="H68" s="8" t="e">
        <f t="shared" si="18"/>
        <v>#DIV/0!</v>
      </c>
      <c r="I68" s="8">
        <v>0</v>
      </c>
      <c r="J68" s="9">
        <v>0</v>
      </c>
      <c r="K68" s="8" t="e">
        <f t="shared" si="19"/>
        <v>#DIV/0!</v>
      </c>
      <c r="L68" s="8">
        <v>0</v>
      </c>
      <c r="M68" s="9">
        <v>0</v>
      </c>
      <c r="N68" s="8" t="e">
        <f t="shared" si="20"/>
        <v>#DIV/0!</v>
      </c>
      <c r="O68" s="8">
        <v>0</v>
      </c>
      <c r="P68" s="9">
        <v>0</v>
      </c>
      <c r="Q68" s="8" t="e">
        <f t="shared" si="21"/>
        <v>#DIV/0!</v>
      </c>
      <c r="R68" s="8">
        <v>0</v>
      </c>
      <c r="S68" s="9">
        <v>0</v>
      </c>
      <c r="T68" s="8" t="e">
        <f t="shared" si="22"/>
        <v>#DIV/0!</v>
      </c>
      <c r="U68" s="8">
        <v>0</v>
      </c>
      <c r="V68" s="9">
        <v>0</v>
      </c>
      <c r="W68" s="8" t="e">
        <f t="shared" si="23"/>
        <v>#DIV/0!</v>
      </c>
      <c r="X68" s="8">
        <v>0</v>
      </c>
      <c r="Y68" s="9">
        <v>0</v>
      </c>
      <c r="Z68" s="8" t="e">
        <f t="shared" si="24"/>
        <v>#DIV/0!</v>
      </c>
      <c r="AA68" s="8">
        <v>0</v>
      </c>
      <c r="AB68" s="9">
        <v>0</v>
      </c>
      <c r="AC68" s="8" t="e">
        <f t="shared" si="25"/>
        <v>#DIV/0!</v>
      </c>
      <c r="AD68" s="8">
        <v>0</v>
      </c>
      <c r="AE68" s="9">
        <v>0</v>
      </c>
      <c r="AF68" s="8" t="e">
        <f t="shared" si="26"/>
        <v>#DIV/0!</v>
      </c>
      <c r="AG68" s="8">
        <v>0</v>
      </c>
      <c r="AH68" s="9">
        <v>0</v>
      </c>
      <c r="AI68" s="8" t="e">
        <f t="shared" si="27"/>
        <v>#DIV/0!</v>
      </c>
      <c r="AJ68" s="8">
        <v>0</v>
      </c>
      <c r="AK68" s="9">
        <v>0</v>
      </c>
      <c r="AL68" s="8">
        <f t="shared" si="28"/>
        <v>717.043795620438</v>
      </c>
      <c r="AM68" s="8">
        <v>19647</v>
      </c>
      <c r="AN68" s="9">
        <v>27.4</v>
      </c>
      <c r="AO68" s="8">
        <f t="shared" si="29"/>
        <v>717.043795620438</v>
      </c>
      <c r="AP68" s="8">
        <f t="shared" si="30"/>
        <v>19647</v>
      </c>
      <c r="AQ68" s="9">
        <f t="shared" si="31"/>
        <v>27.4</v>
      </c>
    </row>
    <row r="69" spans="1:43" x14ac:dyDescent="0.3">
      <c r="A69" s="17" t="s">
        <v>51</v>
      </c>
      <c r="B69" s="30"/>
      <c r="C69" s="27"/>
      <c r="D69" s="27"/>
      <c r="E69" s="8">
        <f t="shared" si="17"/>
        <v>1215.625</v>
      </c>
      <c r="F69" s="8">
        <v>7780</v>
      </c>
      <c r="G69" s="9">
        <v>6.4</v>
      </c>
      <c r="H69" s="8">
        <f t="shared" si="18"/>
        <v>1225.3499999999999</v>
      </c>
      <c r="I69" s="8">
        <v>24507</v>
      </c>
      <c r="J69" s="9">
        <v>20</v>
      </c>
      <c r="K69" s="8">
        <f t="shared" si="19"/>
        <v>1203.5820895522388</v>
      </c>
      <c r="L69" s="8">
        <v>8064</v>
      </c>
      <c r="M69" s="9">
        <v>6.7</v>
      </c>
      <c r="N69" s="8">
        <f t="shared" si="20"/>
        <v>1201.1428571428571</v>
      </c>
      <c r="O69" s="8">
        <v>12612</v>
      </c>
      <c r="P69" s="9">
        <v>10.5</v>
      </c>
      <c r="Q69" s="8">
        <f t="shared" si="21"/>
        <v>1032.2222222222222</v>
      </c>
      <c r="R69" s="8">
        <v>10219</v>
      </c>
      <c r="S69" s="9">
        <v>9.9</v>
      </c>
      <c r="T69" s="8">
        <f t="shared" si="22"/>
        <v>1174.7368421052631</v>
      </c>
      <c r="U69" s="8">
        <v>6696</v>
      </c>
      <c r="V69" s="9">
        <v>5.7</v>
      </c>
      <c r="W69" s="8" t="e">
        <f t="shared" si="23"/>
        <v>#DIV/0!</v>
      </c>
      <c r="X69" s="8">
        <v>0</v>
      </c>
      <c r="Y69" s="9">
        <v>0</v>
      </c>
      <c r="Z69" s="8">
        <f t="shared" si="24"/>
        <v>1165.2631578947369</v>
      </c>
      <c r="AA69" s="8">
        <v>6642</v>
      </c>
      <c r="AB69" s="9">
        <v>5.7</v>
      </c>
      <c r="AC69" s="8" t="e">
        <f t="shared" si="25"/>
        <v>#DIV/0!</v>
      </c>
      <c r="AD69" s="8">
        <v>0</v>
      </c>
      <c r="AE69" s="9">
        <v>0</v>
      </c>
      <c r="AF69" s="8" t="e">
        <f t="shared" si="26"/>
        <v>#DIV/0!</v>
      </c>
      <c r="AG69" s="8">
        <v>0</v>
      </c>
      <c r="AH69" s="9">
        <v>0</v>
      </c>
      <c r="AI69" s="8" t="e">
        <f t="shared" si="27"/>
        <v>#DIV/0!</v>
      </c>
      <c r="AJ69" s="8">
        <v>0</v>
      </c>
      <c r="AK69" s="9">
        <v>0</v>
      </c>
      <c r="AL69" s="8">
        <f t="shared" si="28"/>
        <v>4309.545454545454</v>
      </c>
      <c r="AM69" s="8">
        <v>9481</v>
      </c>
      <c r="AN69" s="9">
        <v>2.2000000000000002</v>
      </c>
      <c r="AO69" s="8">
        <f t="shared" si="29"/>
        <v>1281.6840536512666</v>
      </c>
      <c r="AP69" s="8">
        <f t="shared" si="30"/>
        <v>86001</v>
      </c>
      <c r="AQ69" s="9">
        <f t="shared" si="31"/>
        <v>67.100000000000009</v>
      </c>
    </row>
    <row r="70" spans="1:43" x14ac:dyDescent="0.3">
      <c r="A70" s="17" t="s">
        <v>21</v>
      </c>
      <c r="B70" s="30"/>
      <c r="C70" s="27"/>
      <c r="D70" s="27"/>
      <c r="E70" s="8" t="e">
        <f t="shared" si="17"/>
        <v>#DIV/0!</v>
      </c>
      <c r="F70" s="8">
        <v>0</v>
      </c>
      <c r="G70" s="9">
        <v>0</v>
      </c>
      <c r="H70" s="8" t="e">
        <f t="shared" si="18"/>
        <v>#DIV/0!</v>
      </c>
      <c r="I70" s="8">
        <v>0</v>
      </c>
      <c r="J70" s="9">
        <v>0</v>
      </c>
      <c r="K70" s="8" t="e">
        <f t="shared" si="19"/>
        <v>#DIV/0!</v>
      </c>
      <c r="L70" s="8">
        <v>0</v>
      </c>
      <c r="M70" s="9">
        <v>0</v>
      </c>
      <c r="N70" s="8" t="e">
        <f t="shared" si="20"/>
        <v>#DIV/0!</v>
      </c>
      <c r="O70" s="8">
        <v>0</v>
      </c>
      <c r="P70" s="9">
        <v>0</v>
      </c>
      <c r="Q70" s="8" t="e">
        <f t="shared" si="21"/>
        <v>#DIV/0!</v>
      </c>
      <c r="R70" s="8">
        <v>0</v>
      </c>
      <c r="S70" s="9">
        <v>0</v>
      </c>
      <c r="T70" s="8" t="e">
        <f t="shared" si="22"/>
        <v>#DIV/0!</v>
      </c>
      <c r="U70" s="8">
        <v>0</v>
      </c>
      <c r="V70" s="9">
        <v>0</v>
      </c>
      <c r="W70" s="8" t="e">
        <f t="shared" si="23"/>
        <v>#DIV/0!</v>
      </c>
      <c r="X70" s="8">
        <v>0</v>
      </c>
      <c r="Y70" s="9">
        <v>0</v>
      </c>
      <c r="Z70" s="8" t="e">
        <f t="shared" si="24"/>
        <v>#DIV/0!</v>
      </c>
      <c r="AA70" s="8">
        <v>0</v>
      </c>
      <c r="AB70" s="9">
        <v>0</v>
      </c>
      <c r="AC70" s="8">
        <f t="shared" si="25"/>
        <v>3383.6842105263158</v>
      </c>
      <c r="AD70" s="8">
        <v>6429</v>
      </c>
      <c r="AE70" s="9">
        <v>1.9</v>
      </c>
      <c r="AF70" s="8" t="e">
        <f t="shared" si="26"/>
        <v>#DIV/0!</v>
      </c>
      <c r="AG70" s="8">
        <v>0</v>
      </c>
      <c r="AH70" s="9">
        <v>0</v>
      </c>
      <c r="AI70" s="8" t="e">
        <f t="shared" si="27"/>
        <v>#DIV/0!</v>
      </c>
      <c r="AJ70" s="8">
        <v>0</v>
      </c>
      <c r="AK70" s="9">
        <v>0</v>
      </c>
      <c r="AL70" s="8">
        <f t="shared" si="28"/>
        <v>3397.8947368421054</v>
      </c>
      <c r="AM70" s="8">
        <v>6456</v>
      </c>
      <c r="AN70" s="9">
        <v>1.9</v>
      </c>
      <c r="AO70" s="8">
        <f t="shared" si="29"/>
        <v>3390.7894736842109</v>
      </c>
      <c r="AP70" s="8">
        <f t="shared" si="30"/>
        <v>12885</v>
      </c>
      <c r="AQ70" s="9">
        <f t="shared" si="31"/>
        <v>3.8</v>
      </c>
    </row>
    <row r="71" spans="1:43" x14ac:dyDescent="0.3">
      <c r="A71" s="17" t="s">
        <v>26</v>
      </c>
      <c r="B71" s="30"/>
      <c r="C71" s="27"/>
      <c r="D71" s="27"/>
      <c r="E71" s="8" t="e">
        <f t="shared" ref="E71:E82" si="32">F71/G71</f>
        <v>#DIV/0!</v>
      </c>
      <c r="F71" s="8">
        <v>0</v>
      </c>
      <c r="G71" s="9">
        <v>0</v>
      </c>
      <c r="H71" s="8" t="e">
        <f t="shared" ref="H71:H82" si="33">I71/J71</f>
        <v>#DIV/0!</v>
      </c>
      <c r="I71" s="8">
        <v>0</v>
      </c>
      <c r="J71" s="9">
        <v>0</v>
      </c>
      <c r="K71" s="8" t="e">
        <f t="shared" ref="K71:K82" si="34">L71/M71</f>
        <v>#DIV/0!</v>
      </c>
      <c r="L71" s="8">
        <v>0</v>
      </c>
      <c r="M71" s="9">
        <v>0</v>
      </c>
      <c r="N71" s="8" t="e">
        <f t="shared" ref="N71:N82" si="35">O71/P71</f>
        <v>#DIV/0!</v>
      </c>
      <c r="O71" s="8">
        <v>0</v>
      </c>
      <c r="P71" s="9">
        <v>0</v>
      </c>
      <c r="Q71" s="8" t="e">
        <f t="shared" ref="Q71:Q82" si="36">R71/S71</f>
        <v>#DIV/0!</v>
      </c>
      <c r="R71" s="8">
        <v>0</v>
      </c>
      <c r="S71" s="9">
        <v>0</v>
      </c>
      <c r="T71" s="8" t="e">
        <f t="shared" ref="T71:T82" si="37">U71/V71</f>
        <v>#DIV/0!</v>
      </c>
      <c r="U71" s="8">
        <v>0</v>
      </c>
      <c r="V71" s="9">
        <v>0</v>
      </c>
      <c r="W71" s="8" t="e">
        <f t="shared" ref="W71:W82" si="38">X71/Y71</f>
        <v>#DIV/0!</v>
      </c>
      <c r="X71" s="8">
        <v>0</v>
      </c>
      <c r="Y71" s="9">
        <v>0</v>
      </c>
      <c r="Z71" s="8">
        <f t="shared" ref="Z71:Z82" si="39">AA71/AB71</f>
        <v>1010.1546391752578</v>
      </c>
      <c r="AA71" s="8">
        <v>19597</v>
      </c>
      <c r="AB71" s="9">
        <v>19.399999999999999</v>
      </c>
      <c r="AC71" s="8" t="e">
        <f t="shared" ref="AC71:AC82" si="40">AD71/AE71</f>
        <v>#DIV/0!</v>
      </c>
      <c r="AD71" s="8">
        <v>0</v>
      </c>
      <c r="AE71" s="9">
        <v>0</v>
      </c>
      <c r="AF71" s="8" t="e">
        <f t="shared" ref="AF71:AF82" si="41">AG71/AH71</f>
        <v>#DIV/0!</v>
      </c>
      <c r="AG71" s="8">
        <v>0</v>
      </c>
      <c r="AH71" s="9">
        <v>0</v>
      </c>
      <c r="AI71" s="8" t="e">
        <f t="shared" ref="AI71:AI82" si="42">AJ71/AK71</f>
        <v>#DIV/0!</v>
      </c>
      <c r="AJ71" s="8">
        <v>0</v>
      </c>
      <c r="AK71" s="9">
        <v>0</v>
      </c>
      <c r="AL71" s="8" t="e">
        <f t="shared" ref="AL71:AL82" si="43">AM71/AN71</f>
        <v>#DIV/0!</v>
      </c>
      <c r="AM71" s="8">
        <v>0</v>
      </c>
      <c r="AN71" s="9">
        <v>0</v>
      </c>
      <c r="AO71" s="8">
        <f t="shared" si="29"/>
        <v>1010.1546391752578</v>
      </c>
      <c r="AP71" s="8">
        <f t="shared" si="30"/>
        <v>19597</v>
      </c>
      <c r="AQ71" s="9">
        <f t="shared" si="31"/>
        <v>19.399999999999999</v>
      </c>
    </row>
    <row r="72" spans="1:43" x14ac:dyDescent="0.3">
      <c r="A72" s="17" t="s">
        <v>29</v>
      </c>
      <c r="B72" s="30"/>
      <c r="C72" s="27"/>
      <c r="D72" s="27"/>
      <c r="E72" s="8" t="e">
        <f t="shared" si="32"/>
        <v>#DIV/0!</v>
      </c>
      <c r="F72" s="8">
        <v>0</v>
      </c>
      <c r="G72" s="9">
        <v>0</v>
      </c>
      <c r="H72" s="8">
        <f t="shared" si="33"/>
        <v>718.54304635761594</v>
      </c>
      <c r="I72" s="8">
        <v>10850</v>
      </c>
      <c r="J72" s="9">
        <v>15.1</v>
      </c>
      <c r="K72" s="8" t="e">
        <f t="shared" si="34"/>
        <v>#DIV/0!</v>
      </c>
      <c r="L72" s="8">
        <v>0</v>
      </c>
      <c r="M72" s="9">
        <v>0</v>
      </c>
      <c r="N72" s="8" t="e">
        <f t="shared" si="35"/>
        <v>#DIV/0!</v>
      </c>
      <c r="O72" s="8">
        <v>0</v>
      </c>
      <c r="P72" s="9">
        <v>0</v>
      </c>
      <c r="Q72" s="8" t="e">
        <f t="shared" si="36"/>
        <v>#DIV/0!</v>
      </c>
      <c r="R72" s="8">
        <v>0</v>
      </c>
      <c r="S72" s="9">
        <v>0</v>
      </c>
      <c r="T72" s="8" t="e">
        <f t="shared" si="37"/>
        <v>#DIV/0!</v>
      </c>
      <c r="U72" s="8">
        <v>0</v>
      </c>
      <c r="V72" s="9">
        <v>0</v>
      </c>
      <c r="W72" s="8" t="e">
        <f t="shared" si="38"/>
        <v>#DIV/0!</v>
      </c>
      <c r="X72" s="8">
        <v>0</v>
      </c>
      <c r="Y72" s="9">
        <v>0</v>
      </c>
      <c r="Z72" s="8" t="e">
        <f t="shared" si="39"/>
        <v>#DIV/0!</v>
      </c>
      <c r="AA72" s="8">
        <v>0</v>
      </c>
      <c r="AB72" s="9">
        <v>0</v>
      </c>
      <c r="AC72" s="8" t="e">
        <f t="shared" si="40"/>
        <v>#DIV/0!</v>
      </c>
      <c r="AD72" s="8">
        <v>0</v>
      </c>
      <c r="AE72" s="9">
        <v>0</v>
      </c>
      <c r="AF72" s="8" t="e">
        <f t="shared" si="41"/>
        <v>#DIV/0!</v>
      </c>
      <c r="AG72" s="8">
        <v>0</v>
      </c>
      <c r="AH72" s="9">
        <v>0</v>
      </c>
      <c r="AI72" s="8" t="e">
        <f t="shared" si="42"/>
        <v>#DIV/0!</v>
      </c>
      <c r="AJ72" s="8">
        <v>0</v>
      </c>
      <c r="AK72" s="9">
        <v>0</v>
      </c>
      <c r="AL72" s="8" t="e">
        <f t="shared" si="43"/>
        <v>#DIV/0!</v>
      </c>
      <c r="AM72" s="8">
        <v>0</v>
      </c>
      <c r="AN72" s="9">
        <v>0</v>
      </c>
      <c r="AO72" s="8">
        <f t="shared" si="29"/>
        <v>718.54304635761594</v>
      </c>
      <c r="AP72" s="8">
        <f t="shared" si="30"/>
        <v>10850</v>
      </c>
      <c r="AQ72" s="9">
        <f t="shared" si="31"/>
        <v>15.1</v>
      </c>
    </row>
    <row r="73" spans="1:43" x14ac:dyDescent="0.3">
      <c r="A73" s="17" t="s">
        <v>30</v>
      </c>
      <c r="B73" s="30"/>
      <c r="C73" s="27"/>
      <c r="D73" s="27"/>
      <c r="E73" s="8" t="e">
        <f t="shared" si="32"/>
        <v>#DIV/0!</v>
      </c>
      <c r="F73" s="8">
        <v>0</v>
      </c>
      <c r="G73" s="9">
        <v>0</v>
      </c>
      <c r="H73" s="8" t="e">
        <f t="shared" si="33"/>
        <v>#DIV/0!</v>
      </c>
      <c r="I73" s="8">
        <v>0</v>
      </c>
      <c r="J73" s="9">
        <v>0</v>
      </c>
      <c r="K73" s="8">
        <f t="shared" si="34"/>
        <v>718.1600831600831</v>
      </c>
      <c r="L73" s="8">
        <v>69087</v>
      </c>
      <c r="M73" s="9">
        <v>96.2</v>
      </c>
      <c r="N73" s="8" t="e">
        <f t="shared" si="35"/>
        <v>#DIV/0!</v>
      </c>
      <c r="O73" s="8">
        <v>0</v>
      </c>
      <c r="P73" s="9">
        <v>0</v>
      </c>
      <c r="Q73" s="8">
        <f t="shared" si="36"/>
        <v>718.53354134165374</v>
      </c>
      <c r="R73" s="8">
        <v>46058</v>
      </c>
      <c r="S73" s="9">
        <v>64.099999999999994</v>
      </c>
      <c r="T73" s="8">
        <f t="shared" si="37"/>
        <v>718.5491419656787</v>
      </c>
      <c r="U73" s="8">
        <v>46059</v>
      </c>
      <c r="V73" s="9">
        <v>64.099999999999994</v>
      </c>
      <c r="W73" s="8" t="e">
        <f t="shared" si="38"/>
        <v>#DIV/0!</v>
      </c>
      <c r="X73" s="8">
        <v>0</v>
      </c>
      <c r="Y73" s="9">
        <v>0</v>
      </c>
      <c r="Z73" s="8" t="e">
        <f t="shared" si="39"/>
        <v>#DIV/0!</v>
      </c>
      <c r="AA73" s="8">
        <v>0</v>
      </c>
      <c r="AB73" s="9">
        <v>0</v>
      </c>
      <c r="AC73" s="8" t="e">
        <f t="shared" si="40"/>
        <v>#DIV/0!</v>
      </c>
      <c r="AD73" s="8">
        <v>0</v>
      </c>
      <c r="AE73" s="9">
        <v>0</v>
      </c>
      <c r="AF73" s="8">
        <f t="shared" si="41"/>
        <v>717.99363057324842</v>
      </c>
      <c r="AG73" s="8">
        <v>22545</v>
      </c>
      <c r="AH73" s="9">
        <v>31.4</v>
      </c>
      <c r="AI73" s="8" t="e">
        <f t="shared" si="42"/>
        <v>#DIV/0!</v>
      </c>
      <c r="AJ73" s="8">
        <v>0</v>
      </c>
      <c r="AK73" s="9">
        <v>0</v>
      </c>
      <c r="AL73" s="8" t="e">
        <f t="shared" si="43"/>
        <v>#DIV/0!</v>
      </c>
      <c r="AM73" s="8">
        <v>0</v>
      </c>
      <c r="AN73" s="9">
        <v>0</v>
      </c>
      <c r="AO73" s="8">
        <f t="shared" si="29"/>
        <v>718.33072713057072</v>
      </c>
      <c r="AP73" s="8">
        <f t="shared" si="30"/>
        <v>183749</v>
      </c>
      <c r="AQ73" s="9">
        <f t="shared" si="31"/>
        <v>255.8</v>
      </c>
    </row>
    <row r="74" spans="1:43" x14ac:dyDescent="0.3">
      <c r="A74" s="17" t="s">
        <v>22</v>
      </c>
      <c r="B74" s="30"/>
      <c r="C74" s="27"/>
      <c r="D74" s="27"/>
      <c r="E74" s="8" t="e">
        <f t="shared" si="32"/>
        <v>#DIV/0!</v>
      </c>
      <c r="F74" s="8">
        <v>0</v>
      </c>
      <c r="G74" s="9">
        <v>0</v>
      </c>
      <c r="H74" s="8" t="e">
        <f t="shared" si="33"/>
        <v>#DIV/0!</v>
      </c>
      <c r="I74" s="8">
        <v>0</v>
      </c>
      <c r="J74" s="9">
        <v>0</v>
      </c>
      <c r="K74" s="8" t="e">
        <f t="shared" si="34"/>
        <v>#DIV/0!</v>
      </c>
      <c r="L74" s="8">
        <v>0</v>
      </c>
      <c r="M74" s="9">
        <v>0</v>
      </c>
      <c r="N74" s="8" t="e">
        <f t="shared" si="35"/>
        <v>#DIV/0!</v>
      </c>
      <c r="O74" s="8">
        <v>0</v>
      </c>
      <c r="P74" s="9">
        <v>0</v>
      </c>
      <c r="Q74" s="8" t="e">
        <f t="shared" si="36"/>
        <v>#DIV/0!</v>
      </c>
      <c r="R74" s="8">
        <v>0</v>
      </c>
      <c r="S74" s="9">
        <v>0</v>
      </c>
      <c r="T74" s="8" t="e">
        <f t="shared" si="37"/>
        <v>#DIV/0!</v>
      </c>
      <c r="U74" s="8">
        <v>0</v>
      </c>
      <c r="V74" s="9">
        <v>0</v>
      </c>
      <c r="W74" s="8" t="e">
        <f t="shared" si="38"/>
        <v>#DIV/0!</v>
      </c>
      <c r="X74" s="8">
        <v>0</v>
      </c>
      <c r="Y74" s="9">
        <v>0</v>
      </c>
      <c r="Z74" s="8">
        <f t="shared" si="39"/>
        <v>1178.5714285714284</v>
      </c>
      <c r="AA74" s="8">
        <v>19800</v>
      </c>
      <c r="AB74" s="9">
        <v>16.8</v>
      </c>
      <c r="AC74" s="8" t="e">
        <f t="shared" si="40"/>
        <v>#DIV/0!</v>
      </c>
      <c r="AD74" s="8">
        <v>0</v>
      </c>
      <c r="AE74" s="9">
        <v>0</v>
      </c>
      <c r="AF74" s="8" t="e">
        <f t="shared" si="41"/>
        <v>#DIV/0!</v>
      </c>
      <c r="AG74" s="8">
        <v>0</v>
      </c>
      <c r="AH74" s="9">
        <v>0</v>
      </c>
      <c r="AI74" s="8" t="e">
        <f t="shared" si="42"/>
        <v>#DIV/0!</v>
      </c>
      <c r="AJ74" s="8">
        <v>0</v>
      </c>
      <c r="AK74" s="9">
        <v>0</v>
      </c>
      <c r="AL74" s="8" t="e">
        <f t="shared" si="43"/>
        <v>#DIV/0!</v>
      </c>
      <c r="AM74" s="8">
        <v>0</v>
      </c>
      <c r="AN74" s="9">
        <v>0</v>
      </c>
      <c r="AO74" s="8">
        <f t="shared" si="29"/>
        <v>1178.5714285714284</v>
      </c>
      <c r="AP74" s="8">
        <f t="shared" si="30"/>
        <v>19800</v>
      </c>
      <c r="AQ74" s="9">
        <f t="shared" si="31"/>
        <v>16.8</v>
      </c>
    </row>
    <row r="75" spans="1:43" x14ac:dyDescent="0.3">
      <c r="A75" s="17" t="s">
        <v>48</v>
      </c>
      <c r="B75" s="30"/>
      <c r="C75" s="27"/>
      <c r="D75" s="27"/>
      <c r="E75" s="8">
        <f t="shared" si="32"/>
        <v>1173.8372093023256</v>
      </c>
      <c r="F75" s="8">
        <v>20190</v>
      </c>
      <c r="G75" s="9">
        <v>17.2</v>
      </c>
      <c r="H75" s="8">
        <f t="shared" si="33"/>
        <v>1210.2409638554216</v>
      </c>
      <c r="I75" s="8">
        <v>20090</v>
      </c>
      <c r="J75" s="9">
        <v>16.600000000000001</v>
      </c>
      <c r="K75" s="8" t="e">
        <f t="shared" si="34"/>
        <v>#DIV/0!</v>
      </c>
      <c r="L75" s="8">
        <v>0</v>
      </c>
      <c r="M75" s="9">
        <v>0</v>
      </c>
      <c r="N75" s="8" t="e">
        <f t="shared" si="35"/>
        <v>#DIV/0!</v>
      </c>
      <c r="O75" s="8">
        <v>0</v>
      </c>
      <c r="P75" s="9">
        <v>0</v>
      </c>
      <c r="Q75" s="8">
        <f t="shared" si="36"/>
        <v>717.46428571428567</v>
      </c>
      <c r="R75" s="8">
        <v>20089</v>
      </c>
      <c r="S75" s="9">
        <v>28</v>
      </c>
      <c r="T75" s="8" t="e">
        <f t="shared" si="37"/>
        <v>#DIV/0!</v>
      </c>
      <c r="U75" s="8">
        <v>0</v>
      </c>
      <c r="V75" s="9">
        <v>0</v>
      </c>
      <c r="W75" s="8" t="e">
        <f t="shared" si="38"/>
        <v>#DIV/0!</v>
      </c>
      <c r="X75" s="8">
        <v>0</v>
      </c>
      <c r="Y75" s="9">
        <v>0</v>
      </c>
      <c r="Z75" s="8" t="e">
        <f t="shared" si="39"/>
        <v>#DIV/0!</v>
      </c>
      <c r="AA75" s="8">
        <v>0</v>
      </c>
      <c r="AB75" s="9">
        <v>0</v>
      </c>
      <c r="AC75" s="8" t="e">
        <f t="shared" si="40"/>
        <v>#DIV/0!</v>
      </c>
      <c r="AD75" s="8">
        <v>0</v>
      </c>
      <c r="AE75" s="9">
        <v>0</v>
      </c>
      <c r="AF75" s="8" t="e">
        <f t="shared" si="41"/>
        <v>#DIV/0!</v>
      </c>
      <c r="AG75" s="8">
        <v>0</v>
      </c>
      <c r="AH75" s="9">
        <v>0</v>
      </c>
      <c r="AI75" s="8" t="e">
        <f t="shared" si="42"/>
        <v>#DIV/0!</v>
      </c>
      <c r="AJ75" s="8">
        <v>0</v>
      </c>
      <c r="AK75" s="9">
        <v>0</v>
      </c>
      <c r="AL75" s="8" t="e">
        <f t="shared" si="43"/>
        <v>#DIV/0!</v>
      </c>
      <c r="AM75" s="8">
        <v>0</v>
      </c>
      <c r="AN75" s="9">
        <v>0</v>
      </c>
      <c r="AO75" s="8">
        <f t="shared" si="29"/>
        <v>976.84466019417482</v>
      </c>
      <c r="AP75" s="8">
        <f t="shared" si="30"/>
        <v>60369</v>
      </c>
      <c r="AQ75" s="9">
        <f t="shared" si="31"/>
        <v>61.8</v>
      </c>
    </row>
    <row r="76" spans="1:43" x14ac:dyDescent="0.3">
      <c r="A76" s="17" t="s">
        <v>49</v>
      </c>
      <c r="B76" s="30"/>
      <c r="C76" s="27"/>
      <c r="D76" s="27"/>
      <c r="E76" s="8">
        <f t="shared" si="32"/>
        <v>717.92511700468026</v>
      </c>
      <c r="F76" s="8">
        <v>46019</v>
      </c>
      <c r="G76" s="9">
        <v>64.099999999999994</v>
      </c>
      <c r="H76" s="8" t="e">
        <f t="shared" si="33"/>
        <v>#DIV/0!</v>
      </c>
      <c r="I76" s="8">
        <v>0</v>
      </c>
      <c r="J76" s="9">
        <v>0</v>
      </c>
      <c r="K76" s="8">
        <f t="shared" si="34"/>
        <v>717.41433021806847</v>
      </c>
      <c r="L76" s="8">
        <v>23029</v>
      </c>
      <c r="M76" s="9">
        <v>32.1</v>
      </c>
      <c r="N76" s="8" t="e">
        <f t="shared" si="35"/>
        <v>#DIV/0!</v>
      </c>
      <c r="O76" s="8">
        <v>0</v>
      </c>
      <c r="P76" s="9">
        <v>0</v>
      </c>
      <c r="Q76" s="8">
        <f t="shared" si="36"/>
        <v>717.41433021806847</v>
      </c>
      <c r="R76" s="8">
        <v>23029</v>
      </c>
      <c r="S76" s="9">
        <v>32.1</v>
      </c>
      <c r="T76" s="8">
        <f t="shared" si="37"/>
        <v>717.41433021806847</v>
      </c>
      <c r="U76" s="8">
        <v>23029</v>
      </c>
      <c r="V76" s="9">
        <v>32.1</v>
      </c>
      <c r="W76" s="8" t="e">
        <f t="shared" si="38"/>
        <v>#DIV/0!</v>
      </c>
      <c r="X76" s="8">
        <v>0</v>
      </c>
      <c r="Y76" s="9">
        <v>0</v>
      </c>
      <c r="Z76" s="8" t="e">
        <f t="shared" si="39"/>
        <v>#DIV/0!</v>
      </c>
      <c r="AA76" s="8">
        <v>0</v>
      </c>
      <c r="AB76" s="9">
        <v>0</v>
      </c>
      <c r="AC76" s="8" t="e">
        <f t="shared" si="40"/>
        <v>#DIV/0!</v>
      </c>
      <c r="AD76" s="8">
        <v>0</v>
      </c>
      <c r="AE76" s="9">
        <v>0</v>
      </c>
      <c r="AF76" s="8" t="e">
        <f t="shared" si="41"/>
        <v>#DIV/0!</v>
      </c>
      <c r="AG76" s="8">
        <v>0</v>
      </c>
      <c r="AH76" s="9">
        <v>0</v>
      </c>
      <c r="AI76" s="8" t="e">
        <f t="shared" si="42"/>
        <v>#DIV/0!</v>
      </c>
      <c r="AJ76" s="8">
        <v>0</v>
      </c>
      <c r="AK76" s="9">
        <v>0</v>
      </c>
      <c r="AL76" s="8" t="e">
        <f t="shared" si="43"/>
        <v>#DIV/0!</v>
      </c>
      <c r="AM76" s="8">
        <v>0</v>
      </c>
      <c r="AN76" s="9">
        <v>0</v>
      </c>
      <c r="AO76" s="8">
        <f t="shared" si="29"/>
        <v>717.61845386533673</v>
      </c>
      <c r="AP76" s="8">
        <f t="shared" si="30"/>
        <v>115106</v>
      </c>
      <c r="AQ76" s="9">
        <f t="shared" si="31"/>
        <v>160.39999999999998</v>
      </c>
    </row>
    <row r="77" spans="1:43" x14ac:dyDescent="0.3">
      <c r="A77" s="17" t="s">
        <v>91</v>
      </c>
      <c r="B77" s="30"/>
      <c r="C77" s="27"/>
      <c r="D77" s="27"/>
      <c r="E77" s="8" t="e">
        <f t="shared" si="32"/>
        <v>#DIV/0!</v>
      </c>
      <c r="F77" s="8">
        <v>0</v>
      </c>
      <c r="G77" s="9">
        <v>0</v>
      </c>
      <c r="H77" s="8">
        <f t="shared" si="33"/>
        <v>4998.333333333333</v>
      </c>
      <c r="I77" s="8">
        <v>8997</v>
      </c>
      <c r="J77" s="9">
        <v>1.8</v>
      </c>
      <c r="K77" s="8" t="e">
        <f t="shared" si="34"/>
        <v>#DIV/0!</v>
      </c>
      <c r="L77" s="8">
        <v>0</v>
      </c>
      <c r="M77" s="9">
        <v>0</v>
      </c>
      <c r="N77" s="8" t="e">
        <f t="shared" si="35"/>
        <v>#DIV/0!</v>
      </c>
      <c r="O77" s="8">
        <v>0</v>
      </c>
      <c r="P77" s="9">
        <v>0</v>
      </c>
      <c r="Q77" s="8" t="e">
        <f t="shared" si="36"/>
        <v>#DIV/0!</v>
      </c>
      <c r="R77" s="8">
        <v>0</v>
      </c>
      <c r="S77" s="9">
        <v>0</v>
      </c>
      <c r="T77" s="8" t="e">
        <f t="shared" si="37"/>
        <v>#DIV/0!</v>
      </c>
      <c r="U77" s="8">
        <v>0</v>
      </c>
      <c r="V77" s="9">
        <v>0</v>
      </c>
      <c r="W77" s="8" t="e">
        <f t="shared" si="38"/>
        <v>#DIV/0!</v>
      </c>
      <c r="X77" s="8">
        <v>0</v>
      </c>
      <c r="Y77" s="9">
        <v>0</v>
      </c>
      <c r="Z77" s="8" t="e">
        <f t="shared" si="39"/>
        <v>#DIV/0!</v>
      </c>
      <c r="AA77" s="8">
        <v>0</v>
      </c>
      <c r="AB77" s="9">
        <v>0</v>
      </c>
      <c r="AC77" s="8" t="e">
        <f t="shared" si="40"/>
        <v>#DIV/0!</v>
      </c>
      <c r="AD77" s="8">
        <v>0</v>
      </c>
      <c r="AE77" s="9">
        <v>0</v>
      </c>
      <c r="AF77" s="8" t="e">
        <f t="shared" si="41"/>
        <v>#DIV/0!</v>
      </c>
      <c r="AG77" s="8">
        <v>0</v>
      </c>
      <c r="AH77" s="9">
        <v>0</v>
      </c>
      <c r="AI77" s="8" t="e">
        <f t="shared" si="42"/>
        <v>#DIV/0!</v>
      </c>
      <c r="AJ77" s="8">
        <v>0</v>
      </c>
      <c r="AK77" s="9">
        <v>0</v>
      </c>
      <c r="AL77" s="8" t="e">
        <f t="shared" si="43"/>
        <v>#DIV/0!</v>
      </c>
      <c r="AM77" s="8">
        <v>0</v>
      </c>
      <c r="AN77" s="9">
        <v>0</v>
      </c>
      <c r="AO77" s="8">
        <f t="shared" si="29"/>
        <v>4998.333333333333</v>
      </c>
      <c r="AP77" s="8">
        <f t="shared" si="30"/>
        <v>8997</v>
      </c>
      <c r="AQ77" s="9">
        <f t="shared" si="31"/>
        <v>1.8</v>
      </c>
    </row>
    <row r="78" spans="1:43" x14ac:dyDescent="0.3">
      <c r="A78" s="17" t="s">
        <v>35</v>
      </c>
      <c r="B78" s="30"/>
      <c r="C78" s="27"/>
      <c r="D78" s="27"/>
      <c r="E78" s="8" t="e">
        <f t="shared" si="32"/>
        <v>#DIV/0!</v>
      </c>
      <c r="F78" s="8">
        <v>0</v>
      </c>
      <c r="G78" s="9">
        <v>0</v>
      </c>
      <c r="H78" s="8" t="e">
        <f t="shared" si="33"/>
        <v>#DIV/0!</v>
      </c>
      <c r="I78" s="8">
        <v>0</v>
      </c>
      <c r="J78" s="9">
        <v>0</v>
      </c>
      <c r="K78" s="8">
        <f t="shared" si="34"/>
        <v>1547.2</v>
      </c>
      <c r="L78" s="8">
        <v>7736</v>
      </c>
      <c r="M78" s="9">
        <v>5</v>
      </c>
      <c r="N78" s="8" t="e">
        <f t="shared" si="35"/>
        <v>#DIV/0!</v>
      </c>
      <c r="O78" s="8">
        <v>0</v>
      </c>
      <c r="P78" s="9">
        <v>0</v>
      </c>
      <c r="Q78" s="8" t="e">
        <f t="shared" si="36"/>
        <v>#DIV/0!</v>
      </c>
      <c r="R78" s="8">
        <v>0</v>
      </c>
      <c r="S78" s="9">
        <v>0</v>
      </c>
      <c r="T78" s="8" t="e">
        <f t="shared" si="37"/>
        <v>#DIV/0!</v>
      </c>
      <c r="U78" s="8">
        <v>0</v>
      </c>
      <c r="V78" s="9">
        <v>0</v>
      </c>
      <c r="W78" s="8" t="e">
        <f t="shared" si="38"/>
        <v>#DIV/0!</v>
      </c>
      <c r="X78" s="8">
        <v>0</v>
      </c>
      <c r="Y78" s="9">
        <v>0</v>
      </c>
      <c r="Z78" s="8" t="e">
        <f t="shared" si="39"/>
        <v>#DIV/0!</v>
      </c>
      <c r="AA78" s="8">
        <v>0</v>
      </c>
      <c r="AB78" s="9">
        <v>0</v>
      </c>
      <c r="AC78" s="8" t="e">
        <f t="shared" si="40"/>
        <v>#DIV/0!</v>
      </c>
      <c r="AD78" s="8">
        <v>0</v>
      </c>
      <c r="AE78" s="9">
        <v>0</v>
      </c>
      <c r="AF78" s="8" t="e">
        <f t="shared" si="41"/>
        <v>#DIV/0!</v>
      </c>
      <c r="AG78" s="8">
        <v>0</v>
      </c>
      <c r="AH78" s="9">
        <v>0</v>
      </c>
      <c r="AI78" s="8" t="e">
        <f t="shared" si="42"/>
        <v>#DIV/0!</v>
      </c>
      <c r="AJ78" s="8">
        <v>0</v>
      </c>
      <c r="AK78" s="9">
        <v>0</v>
      </c>
      <c r="AL78" s="8" t="e">
        <f t="shared" si="43"/>
        <v>#DIV/0!</v>
      </c>
      <c r="AM78" s="8">
        <v>0</v>
      </c>
      <c r="AN78" s="9">
        <v>0</v>
      </c>
      <c r="AO78" s="8">
        <f t="shared" si="29"/>
        <v>1547.2</v>
      </c>
      <c r="AP78" s="8">
        <f t="shared" si="30"/>
        <v>7736</v>
      </c>
      <c r="AQ78" s="9">
        <f t="shared" si="31"/>
        <v>5</v>
      </c>
    </row>
    <row r="79" spans="1:43" x14ac:dyDescent="0.3">
      <c r="A79" s="17" t="s">
        <v>72</v>
      </c>
      <c r="B79" s="30"/>
      <c r="C79" s="27"/>
      <c r="D79" s="27"/>
      <c r="E79" s="8" t="e">
        <f t="shared" si="32"/>
        <v>#DIV/0!</v>
      </c>
      <c r="F79" s="8">
        <v>0</v>
      </c>
      <c r="G79" s="9">
        <v>0</v>
      </c>
      <c r="H79" s="8" t="e">
        <f t="shared" si="33"/>
        <v>#DIV/0!</v>
      </c>
      <c r="I79" s="8">
        <v>0</v>
      </c>
      <c r="J79" s="9">
        <v>0</v>
      </c>
      <c r="K79" s="8" t="e">
        <f t="shared" si="34"/>
        <v>#DIV/0!</v>
      </c>
      <c r="L79" s="8">
        <v>0</v>
      </c>
      <c r="M79" s="9">
        <v>0</v>
      </c>
      <c r="N79" s="8">
        <f t="shared" si="35"/>
        <v>717.67241379310349</v>
      </c>
      <c r="O79" s="8">
        <v>49950</v>
      </c>
      <c r="P79" s="9">
        <v>69.599999999999994</v>
      </c>
      <c r="Q79" s="8" t="e">
        <f t="shared" si="36"/>
        <v>#DIV/0!</v>
      </c>
      <c r="R79" s="8">
        <v>0</v>
      </c>
      <c r="S79" s="9">
        <v>0</v>
      </c>
      <c r="T79" s="8" t="e">
        <f t="shared" si="37"/>
        <v>#DIV/0!</v>
      </c>
      <c r="U79" s="8">
        <v>0</v>
      </c>
      <c r="V79" s="9">
        <v>0</v>
      </c>
      <c r="W79" s="8" t="e">
        <f t="shared" si="38"/>
        <v>#DIV/0!</v>
      </c>
      <c r="X79" s="8">
        <v>0</v>
      </c>
      <c r="Y79" s="9">
        <v>0</v>
      </c>
      <c r="Z79" s="8" t="e">
        <f t="shared" si="39"/>
        <v>#DIV/0!</v>
      </c>
      <c r="AA79" s="8">
        <v>0</v>
      </c>
      <c r="AB79" s="9">
        <v>0</v>
      </c>
      <c r="AC79" s="8" t="e">
        <f t="shared" si="40"/>
        <v>#DIV/0!</v>
      </c>
      <c r="AD79" s="8">
        <v>0</v>
      </c>
      <c r="AE79" s="9">
        <v>0</v>
      </c>
      <c r="AF79" s="8" t="e">
        <f t="shared" si="41"/>
        <v>#DIV/0!</v>
      </c>
      <c r="AG79" s="8">
        <v>0</v>
      </c>
      <c r="AH79" s="9">
        <v>0</v>
      </c>
      <c r="AI79" s="8" t="e">
        <f t="shared" si="42"/>
        <v>#DIV/0!</v>
      </c>
      <c r="AJ79" s="8">
        <v>0</v>
      </c>
      <c r="AK79" s="9">
        <v>0</v>
      </c>
      <c r="AL79" s="8" t="e">
        <f t="shared" si="43"/>
        <v>#DIV/0!</v>
      </c>
      <c r="AM79" s="8">
        <v>0</v>
      </c>
      <c r="AN79" s="9">
        <v>0</v>
      </c>
      <c r="AO79" s="8">
        <f t="shared" si="29"/>
        <v>717.67241379310349</v>
      </c>
      <c r="AP79" s="8">
        <f t="shared" si="30"/>
        <v>49950</v>
      </c>
      <c r="AQ79" s="9">
        <f t="shared" si="31"/>
        <v>69.599999999999994</v>
      </c>
    </row>
    <row r="80" spans="1:43" x14ac:dyDescent="0.3">
      <c r="A80" s="17" t="s">
        <v>75</v>
      </c>
      <c r="B80" s="30"/>
      <c r="C80" s="27"/>
      <c r="D80" s="27"/>
      <c r="E80" s="8" t="e">
        <f t="shared" si="32"/>
        <v>#DIV/0!</v>
      </c>
      <c r="F80" s="8">
        <v>0</v>
      </c>
      <c r="G80" s="9">
        <v>0</v>
      </c>
      <c r="H80" s="8" t="e">
        <f t="shared" si="33"/>
        <v>#DIV/0!</v>
      </c>
      <c r="I80" s="8">
        <v>0</v>
      </c>
      <c r="J80" s="9">
        <v>0</v>
      </c>
      <c r="K80" s="8">
        <f t="shared" si="34"/>
        <v>1255.625</v>
      </c>
      <c r="L80" s="8">
        <v>20090</v>
      </c>
      <c r="M80" s="9">
        <v>16</v>
      </c>
      <c r="N80" s="8" t="e">
        <f t="shared" si="35"/>
        <v>#DIV/0!</v>
      </c>
      <c r="O80" s="8">
        <v>0</v>
      </c>
      <c r="P80" s="9">
        <v>0</v>
      </c>
      <c r="Q80" s="8" t="e">
        <f t="shared" si="36"/>
        <v>#DIV/0!</v>
      </c>
      <c r="R80" s="8">
        <v>0</v>
      </c>
      <c r="S80" s="9">
        <v>0</v>
      </c>
      <c r="T80" s="8">
        <f t="shared" si="37"/>
        <v>1254.1176470588234</v>
      </c>
      <c r="U80" s="8">
        <v>21320</v>
      </c>
      <c r="V80" s="9">
        <v>17</v>
      </c>
      <c r="W80" s="8" t="e">
        <f t="shared" si="38"/>
        <v>#DIV/0!</v>
      </c>
      <c r="X80" s="8">
        <v>0</v>
      </c>
      <c r="Y80" s="9">
        <v>0</v>
      </c>
      <c r="Z80" s="8" t="e">
        <f t="shared" si="39"/>
        <v>#DIV/0!</v>
      </c>
      <c r="AA80" s="8">
        <v>0</v>
      </c>
      <c r="AB80" s="9">
        <v>0</v>
      </c>
      <c r="AC80" s="8" t="e">
        <f t="shared" si="40"/>
        <v>#DIV/0!</v>
      </c>
      <c r="AD80" s="8">
        <v>0</v>
      </c>
      <c r="AE80" s="9">
        <v>0</v>
      </c>
      <c r="AF80" s="8" t="e">
        <f t="shared" si="41"/>
        <v>#DIV/0!</v>
      </c>
      <c r="AG80" s="8">
        <v>0</v>
      </c>
      <c r="AH80" s="9">
        <v>0</v>
      </c>
      <c r="AI80" s="8" t="e">
        <f t="shared" si="42"/>
        <v>#DIV/0!</v>
      </c>
      <c r="AJ80" s="8">
        <v>0</v>
      </c>
      <c r="AK80" s="9">
        <v>0</v>
      </c>
      <c r="AL80" s="8" t="e">
        <f t="shared" si="43"/>
        <v>#DIV/0!</v>
      </c>
      <c r="AM80" s="8">
        <v>0</v>
      </c>
      <c r="AN80" s="9">
        <v>0</v>
      </c>
      <c r="AO80" s="8">
        <f t="shared" si="29"/>
        <v>1254.8484848484848</v>
      </c>
      <c r="AP80" s="8">
        <f t="shared" si="30"/>
        <v>41410</v>
      </c>
      <c r="AQ80" s="9">
        <f t="shared" si="31"/>
        <v>33</v>
      </c>
    </row>
    <row r="81" spans="1:43" x14ac:dyDescent="0.3">
      <c r="A81" s="17" t="s">
        <v>74</v>
      </c>
      <c r="B81" s="30"/>
      <c r="C81" s="27"/>
      <c r="D81" s="27"/>
      <c r="E81" s="8" t="e">
        <f t="shared" si="32"/>
        <v>#DIV/0!</v>
      </c>
      <c r="F81" s="8">
        <v>0</v>
      </c>
      <c r="G81" s="9">
        <v>0</v>
      </c>
      <c r="H81" s="8">
        <f t="shared" si="33"/>
        <v>1251.6071428571429</v>
      </c>
      <c r="I81" s="8">
        <v>7009</v>
      </c>
      <c r="J81" s="9">
        <v>5.6</v>
      </c>
      <c r="K81" s="8" t="e">
        <f t="shared" si="34"/>
        <v>#DIV/0!</v>
      </c>
      <c r="L81" s="8">
        <v>0</v>
      </c>
      <c r="M81" s="9">
        <v>0</v>
      </c>
      <c r="N81" s="8" t="e">
        <f t="shared" si="35"/>
        <v>#DIV/0!</v>
      </c>
      <c r="O81" s="8">
        <v>0</v>
      </c>
      <c r="P81" s="9">
        <v>0</v>
      </c>
      <c r="Q81" s="8" t="e">
        <f t="shared" si="36"/>
        <v>#DIV/0!</v>
      </c>
      <c r="R81" s="8">
        <v>0</v>
      </c>
      <c r="S81" s="9">
        <v>0</v>
      </c>
      <c r="T81" s="8" t="e">
        <f t="shared" si="37"/>
        <v>#DIV/0!</v>
      </c>
      <c r="U81" s="8">
        <v>0</v>
      </c>
      <c r="V81" s="9">
        <v>0</v>
      </c>
      <c r="W81" s="8" t="e">
        <f t="shared" si="38"/>
        <v>#DIV/0!</v>
      </c>
      <c r="X81" s="8">
        <v>0</v>
      </c>
      <c r="Y81" s="9">
        <v>0</v>
      </c>
      <c r="Z81" s="8" t="e">
        <f t="shared" si="39"/>
        <v>#DIV/0!</v>
      </c>
      <c r="AA81" s="8">
        <v>0</v>
      </c>
      <c r="AB81" s="9">
        <v>0</v>
      </c>
      <c r="AC81" s="8" t="e">
        <f t="shared" si="40"/>
        <v>#DIV/0!</v>
      </c>
      <c r="AD81" s="8">
        <v>0</v>
      </c>
      <c r="AE81" s="9">
        <v>0</v>
      </c>
      <c r="AF81" s="8" t="e">
        <f t="shared" si="41"/>
        <v>#DIV/0!</v>
      </c>
      <c r="AG81" s="8">
        <v>0</v>
      </c>
      <c r="AH81" s="9">
        <v>0</v>
      </c>
      <c r="AI81" s="8" t="e">
        <f t="shared" si="42"/>
        <v>#DIV/0!</v>
      </c>
      <c r="AJ81" s="8">
        <v>0</v>
      </c>
      <c r="AK81" s="9">
        <v>0</v>
      </c>
      <c r="AL81" s="8" t="e">
        <f t="shared" si="43"/>
        <v>#DIV/0!</v>
      </c>
      <c r="AM81" s="8">
        <v>0</v>
      </c>
      <c r="AN81" s="9">
        <v>0</v>
      </c>
      <c r="AO81" s="8">
        <f t="shared" si="29"/>
        <v>1251.6071428571429</v>
      </c>
      <c r="AP81" s="8">
        <f t="shared" si="30"/>
        <v>7009</v>
      </c>
      <c r="AQ81" s="9">
        <f t="shared" si="31"/>
        <v>5.6</v>
      </c>
    </row>
    <row r="82" spans="1:43" x14ac:dyDescent="0.3">
      <c r="A82" s="18" t="s">
        <v>39</v>
      </c>
      <c r="B82" s="31"/>
      <c r="C82" s="28"/>
      <c r="D82" s="28"/>
      <c r="E82" s="15">
        <f t="shared" si="32"/>
        <v>716.20253164556959</v>
      </c>
      <c r="F82" s="13">
        <v>11316</v>
      </c>
      <c r="G82" s="14">
        <v>15.8</v>
      </c>
      <c r="H82" s="13" t="e">
        <f t="shared" si="33"/>
        <v>#DIV/0!</v>
      </c>
      <c r="I82" s="13">
        <v>0</v>
      </c>
      <c r="J82" s="14">
        <v>0</v>
      </c>
      <c r="K82" s="13">
        <f t="shared" si="34"/>
        <v>717.25075528700904</v>
      </c>
      <c r="L82" s="13">
        <v>23741</v>
      </c>
      <c r="M82" s="14">
        <v>33.1</v>
      </c>
      <c r="N82" s="13" t="e">
        <f t="shared" si="35"/>
        <v>#DIV/0!</v>
      </c>
      <c r="O82" s="13">
        <v>0</v>
      </c>
      <c r="P82" s="14">
        <v>0</v>
      </c>
      <c r="Q82" s="13" t="e">
        <f t="shared" si="36"/>
        <v>#DIV/0!</v>
      </c>
      <c r="R82" s="13">
        <v>0</v>
      </c>
      <c r="S82" s="14">
        <v>0</v>
      </c>
      <c r="T82" s="13">
        <f t="shared" si="37"/>
        <v>1168.421052631579</v>
      </c>
      <c r="U82" s="13">
        <v>4440</v>
      </c>
      <c r="V82" s="14">
        <v>3.8</v>
      </c>
      <c r="W82" s="13">
        <f t="shared" si="38"/>
        <v>1172.1052631578946</v>
      </c>
      <c r="X82" s="13">
        <v>20043</v>
      </c>
      <c r="Y82" s="14">
        <v>17.100000000000001</v>
      </c>
      <c r="Z82" s="13" t="e">
        <f t="shared" si="39"/>
        <v>#DIV/0!</v>
      </c>
      <c r="AA82" s="13">
        <v>0</v>
      </c>
      <c r="AB82" s="14">
        <v>0</v>
      </c>
      <c r="AC82" s="13" t="e">
        <f t="shared" si="40"/>
        <v>#DIV/0!</v>
      </c>
      <c r="AD82" s="13">
        <v>0</v>
      </c>
      <c r="AE82" s="14">
        <v>0</v>
      </c>
      <c r="AF82" s="13" t="e">
        <f t="shared" si="41"/>
        <v>#DIV/0!</v>
      </c>
      <c r="AG82" s="13">
        <v>0</v>
      </c>
      <c r="AH82" s="14">
        <v>0</v>
      </c>
      <c r="AI82" s="13" t="e">
        <f t="shared" si="42"/>
        <v>#DIV/0!</v>
      </c>
      <c r="AJ82" s="13">
        <v>0</v>
      </c>
      <c r="AK82" s="14">
        <v>0</v>
      </c>
      <c r="AL82" s="13" t="e">
        <f t="shared" si="43"/>
        <v>#DIV/0!</v>
      </c>
      <c r="AM82" s="13">
        <v>0</v>
      </c>
      <c r="AN82" s="14">
        <v>0</v>
      </c>
      <c r="AO82" s="13">
        <f t="shared" si="29"/>
        <v>853.00859598853856</v>
      </c>
      <c r="AP82" s="13">
        <f t="shared" si="30"/>
        <v>59540</v>
      </c>
      <c r="AQ82" s="14">
        <f t="shared" si="31"/>
        <v>69.800000000000011</v>
      </c>
    </row>
    <row r="83" spans="1:43" x14ac:dyDescent="0.3">
      <c r="A83" s="1" t="s">
        <v>40</v>
      </c>
      <c r="B83" s="1"/>
    </row>
    <row r="84" spans="1:43" x14ac:dyDescent="0.3">
      <c r="A84" s="1" t="s">
        <v>77</v>
      </c>
      <c r="B84" s="1"/>
    </row>
    <row r="85" spans="1:43" x14ac:dyDescent="0.3">
      <c r="A85" s="1" t="s">
        <v>41</v>
      </c>
      <c r="B85" s="1"/>
    </row>
    <row r="86" spans="1:43" x14ac:dyDescent="0.3">
      <c r="A86" s="1" t="s">
        <v>42</v>
      </c>
      <c r="B86" s="1"/>
    </row>
    <row r="87" spans="1:43" x14ac:dyDescent="0.3">
      <c r="A87" s="1" t="s">
        <v>78</v>
      </c>
      <c r="B87" s="1"/>
    </row>
  </sheetData>
  <mergeCells count="17">
    <mergeCell ref="B4:B61"/>
    <mergeCell ref="B62:B82"/>
    <mergeCell ref="E1:G1"/>
    <mergeCell ref="H1:J1"/>
    <mergeCell ref="K1:M1"/>
    <mergeCell ref="C3:C82"/>
    <mergeCell ref="D3:D82"/>
    <mergeCell ref="N1:P1"/>
    <mergeCell ref="Q1:S1"/>
    <mergeCell ref="T1:V1"/>
    <mergeCell ref="AL1:AN1"/>
    <mergeCell ref="AO1:AQ1"/>
    <mergeCell ref="W1:Y1"/>
    <mergeCell ref="Z1:AB1"/>
    <mergeCell ref="AC1:AE1"/>
    <mergeCell ref="AF1:AH1"/>
    <mergeCell ref="AI1:AK1"/>
  </mergeCells>
  <phoneticPr fontId="18"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2017년</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ds</dc:creator>
  <cp:lastModifiedBy>ds</cp:lastModifiedBy>
  <dcterms:created xsi:type="dcterms:W3CDTF">2026-06-15T09:24:56Z</dcterms:created>
  <dcterms:modified xsi:type="dcterms:W3CDTF">2026-06-16T08:45:41Z</dcterms:modified>
</cp:coreProperties>
</file>