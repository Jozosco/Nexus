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M3" i="1" l="1"/>
  <c r="AK3" i="1" s="1"/>
  <c r="AL3" i="1"/>
  <c r="AJ3" i="1"/>
  <c r="AI3" i="1"/>
  <c r="AH3" i="1" s="1"/>
  <c r="AG3" i="1"/>
  <c r="AF3" i="1"/>
  <c r="AE3" i="1"/>
  <c r="AD3" i="1"/>
  <c r="AC3" i="1"/>
  <c r="AB3" i="1"/>
  <c r="AA3" i="1"/>
  <c r="Z3" i="1"/>
  <c r="X3" i="1"/>
  <c r="W3" i="1"/>
  <c r="V3" i="1"/>
  <c r="U3" i="1"/>
  <c r="T3" i="1"/>
  <c r="S3" i="1" s="1"/>
  <c r="R3" i="1"/>
  <c r="P3" i="1" s="1"/>
  <c r="Q3" i="1"/>
  <c r="O3" i="1"/>
  <c r="N3" i="1"/>
  <c r="M3" i="1"/>
  <c r="L3" i="1"/>
  <c r="K3" i="1"/>
  <c r="J3" i="1" s="1"/>
  <c r="I3" i="1"/>
  <c r="H3" i="1"/>
  <c r="F3" i="1"/>
  <c r="E3" i="1"/>
  <c r="D3" i="1" s="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2" i="1"/>
  <c r="AP31" i="1"/>
  <c r="AP30" i="1"/>
  <c r="AP29" i="1"/>
  <c r="AP28" i="1"/>
  <c r="AP27" i="1"/>
  <c r="AP26" i="1"/>
  <c r="AP25" i="1"/>
  <c r="AP24" i="1"/>
  <c r="AP23" i="1"/>
  <c r="AP22" i="1"/>
  <c r="AP21" i="1"/>
  <c r="AP20" i="1"/>
  <c r="AP19" i="1"/>
  <c r="AP18" i="1"/>
  <c r="AP17" i="1"/>
  <c r="AP16" i="1"/>
  <c r="AP15" i="1"/>
  <c r="AP14" i="1"/>
  <c r="AP13" i="1"/>
  <c r="AP11" i="1"/>
  <c r="AP10" i="1"/>
  <c r="AP9" i="1"/>
  <c r="AP8" i="1"/>
  <c r="AP7" i="1"/>
  <c r="AN7" i="1" s="1"/>
  <c r="AP6" i="1"/>
  <c r="AP5" i="1"/>
  <c r="AP4" i="1"/>
  <c r="Y3" i="1" l="1"/>
  <c r="AN15" i="1"/>
  <c r="G3" i="1"/>
  <c r="AN5" i="1"/>
  <c r="AN13" i="1"/>
  <c r="AN21" i="1"/>
  <c r="AN29" i="1"/>
  <c r="AN6" i="1"/>
  <c r="AN14" i="1"/>
  <c r="AN30" i="1"/>
  <c r="AO3" i="1"/>
  <c r="AN22" i="1"/>
  <c r="AN31" i="1"/>
  <c r="AN8" i="1"/>
  <c r="AN16" i="1"/>
  <c r="AN24" i="1"/>
  <c r="AN32" i="1"/>
  <c r="AN9" i="1"/>
  <c r="AN17" i="1"/>
  <c r="AN25" i="1"/>
  <c r="AN10" i="1"/>
  <c r="AN18" i="1"/>
  <c r="AN26" i="1"/>
  <c r="AN11" i="1"/>
  <c r="AN27" i="1"/>
  <c r="AN20" i="1"/>
  <c r="AN28" i="1"/>
  <c r="AN19" i="1"/>
  <c r="AN23" i="1"/>
  <c r="AN4" i="1"/>
  <c r="AP12" i="1"/>
  <c r="AN12" i="1" s="1"/>
  <c r="AP3" i="1" l="1"/>
  <c r="AN3" i="1" s="1"/>
</calcChain>
</file>

<file path=xl/sharedStrings.xml><?xml version="1.0" encoding="utf-8"?>
<sst xmlns="http://schemas.openxmlformats.org/spreadsheetml/2006/main" count="93" uniqueCount="57">
  <si>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</si>
  <si>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</si>
  <si>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</si>
  <si>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</si>
  <si>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</si>
  <si>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</si>
  <si>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</si>
  <si>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</si>
  <si>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</si>
  <si>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</si>
  <si>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</si>
  <si>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</si>
  <si>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</si>
  <si>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</si>
  <si>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</si>
  <si>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</si>
  <si>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</si>
  <si>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</si>
  <si>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</si>
  <si>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</si>
  <si>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Australia(*)</t>
  </si>
  <si>
    <t>Canada</t>
  </si>
  <si>
    <t>Colombia</t>
  </si>
  <si>
    <t>Dominican Republic</t>
  </si>
  <si>
    <t>Korea, South</t>
  </si>
  <si>
    <t>Jamaica</t>
  </si>
  <si>
    <t>Mexico</t>
  </si>
  <si>
    <t>Bahamas, The</t>
  </si>
  <si>
    <t>Belize</t>
  </si>
  <si>
    <t>El Salvador</t>
  </si>
  <si>
    <t>Guatemala</t>
  </si>
  <si>
    <t>Honduras</t>
  </si>
  <si>
    <t>Japan</t>
  </si>
  <si>
    <t>Morocco</t>
  </si>
  <si>
    <t>Nicaragua</t>
  </si>
  <si>
    <t>Panama</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</si>
  <si>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</si>
  <si>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</si>
  <si>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</si>
  <si>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</si>
  <si>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</si>
  <si>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</si>
  <si>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</si>
  <si>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</si>
  <si>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</si>
  <si>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</si>
  <si>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</si>
  <si>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</si>
  <si>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Algeria</t>
  </si>
  <si>
    <t>Argentina</t>
  </si>
  <si>
    <t>Belgium-Luxembourg(*)</t>
  </si>
  <si>
    <t>Haiti</t>
  </si>
  <si>
    <t>Hong Kong</t>
  </si>
  <si>
    <t>Netherlands Antilles(*)</t>
  </si>
  <si>
    <t>New Zealand(*)</t>
  </si>
  <si>
    <t>Qatar</t>
  </si>
  <si>
    <t>Other Pacific Islands, NEC(*)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</si>
</sst>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8"/>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42</v>
      </c>
      <c r="B2" s="2" t="s">
        <v>13</v>
      </c>
      <c r="C2" s="2" t="s">
        <v>43</v>
      </c>
      <c r="D2" s="4" t="s">
        <v>14</v>
      </c>
      <c r="E2" s="2" t="s">
        <v>43</v>
      </c>
      <c r="F2" s="5" t="s">
        <v>15</v>
      </c>
      <c r="G2" s="2" t="s">
        <v>14</v>
      </c>
      <c r="H2" s="2" t="s">
        <v>43</v>
      </c>
      <c r="I2" s="5" t="s">
        <v>15</v>
      </c>
      <c r="J2" s="2" t="s">
        <v>14</v>
      </c>
      <c r="K2" s="2" t="s">
        <v>43</v>
      </c>
      <c r="L2" s="5" t="s">
        <v>15</v>
      </c>
      <c r="M2" s="2" t="s">
        <v>14</v>
      </c>
      <c r="N2" s="2" t="s">
        <v>43</v>
      </c>
      <c r="O2" s="5" t="s">
        <v>15</v>
      </c>
      <c r="P2" s="2" t="s">
        <v>14</v>
      </c>
      <c r="Q2" s="2" t="s">
        <v>43</v>
      </c>
      <c r="R2" s="5" t="s">
        <v>15</v>
      </c>
      <c r="S2" s="2" t="s">
        <v>14</v>
      </c>
      <c r="T2" s="2" t="s">
        <v>43</v>
      </c>
      <c r="U2" s="5" t="s">
        <v>15</v>
      </c>
      <c r="V2" s="2" t="s">
        <v>14</v>
      </c>
      <c r="W2" s="2" t="s">
        <v>43</v>
      </c>
      <c r="X2" s="5" t="s">
        <v>15</v>
      </c>
      <c r="Y2" s="2" t="s">
        <v>14</v>
      </c>
      <c r="Z2" s="2" t="s">
        <v>43</v>
      </c>
      <c r="AA2" s="5" t="s">
        <v>15</v>
      </c>
      <c r="AB2" s="2" t="s">
        <v>14</v>
      </c>
      <c r="AC2" s="2" t="s">
        <v>43</v>
      </c>
      <c r="AD2" s="5" t="s">
        <v>15</v>
      </c>
      <c r="AE2" s="2" t="s">
        <v>14</v>
      </c>
      <c r="AF2" s="2" t="s">
        <v>43</v>
      </c>
      <c r="AG2" s="5" t="s">
        <v>15</v>
      </c>
      <c r="AH2" s="2" t="s">
        <v>14</v>
      </c>
      <c r="AI2" s="2" t="s">
        <v>43</v>
      </c>
      <c r="AJ2" s="5" t="s">
        <v>15</v>
      </c>
      <c r="AK2" s="2" t="s">
        <v>14</v>
      </c>
      <c r="AL2" s="2" t="s">
        <v>43</v>
      </c>
      <c r="AM2" s="5" t="s">
        <v>15</v>
      </c>
      <c r="AN2" s="2" t="s">
        <v>14</v>
      </c>
      <c r="AO2" s="2" t="s">
        <v>45</v>
      </c>
      <c r="AP2" s="5" t="s">
        <v>15</v>
      </c>
    </row>
    <row r="3" spans="1:66" ht="15" customHeight="1" x14ac:dyDescent="0.3">
      <c r="A3" s="1" t="s">
        <v>16</v>
      </c>
      <c r="B3" s="14" t="s">
        <v>17</v>
      </c>
      <c r="C3" s="14" t="s">
        <v>44</v>
      </c>
      <c r="D3" s="3">
        <f>E3/F3</f>
        <v>1014.6227291065323</v>
      </c>
      <c r="E3" s="3">
        <f>SUM(E4:E32)</f>
        <v>195159841</v>
      </c>
      <c r="F3" s="6">
        <f>SUM(F4:F32)</f>
        <v>192347.2</v>
      </c>
      <c r="G3" s="3">
        <f>H3/I3</f>
        <v>1047.6320017795722</v>
      </c>
      <c r="H3" s="3">
        <f>SUM(H4:H32)</f>
        <v>113972095</v>
      </c>
      <c r="I3" s="6">
        <f>SUM(I4:I32)</f>
        <v>108790.2</v>
      </c>
      <c r="J3" s="3">
        <f>K3/L3</f>
        <v>1015.2005374738728</v>
      </c>
      <c r="K3" s="3">
        <f>SUM(K4:K32)</f>
        <v>135996264</v>
      </c>
      <c r="L3" s="6">
        <f>SUM(L4:L32)</f>
        <v>133960</v>
      </c>
      <c r="M3" s="3">
        <f>N3/O3</f>
        <v>1053.2054165652253</v>
      </c>
      <c r="N3" s="3">
        <f>SUM(N4:N32)</f>
        <v>141460127</v>
      </c>
      <c r="O3" s="6">
        <f>SUM(O4:O32)</f>
        <v>134313.9</v>
      </c>
      <c r="P3" s="3">
        <f>Q3/R3</f>
        <v>1051.4676840776951</v>
      </c>
      <c r="Q3" s="3">
        <f>SUM(Q4:Q32)</f>
        <v>126070029</v>
      </c>
      <c r="R3" s="6">
        <f>SUM(R4:R32)</f>
        <v>119899.10000000002</v>
      </c>
      <c r="S3" s="3">
        <f>T3/U3</f>
        <v>1126.5684217766623</v>
      </c>
      <c r="T3" s="3">
        <f>SUM(T4:T32)</f>
        <v>19654338</v>
      </c>
      <c r="U3" s="6">
        <f>SUM(U4:U32)</f>
        <v>17446.199999999997</v>
      </c>
      <c r="V3" s="3">
        <f>W3/X3</f>
        <v>1016.9951543997478</v>
      </c>
      <c r="W3" s="3">
        <f>SUM(W4:W32)</f>
        <v>7093948</v>
      </c>
      <c r="X3" s="6">
        <f>SUM(X4:X32)</f>
        <v>6975.4</v>
      </c>
      <c r="Y3" s="3">
        <f>Z3/AA3</f>
        <v>1175.7528339025412</v>
      </c>
      <c r="Z3" s="3">
        <f>SUM(Z4:Z32)</f>
        <v>25028133</v>
      </c>
      <c r="AA3" s="6">
        <f>SUM(AA4:AA32)</f>
        <v>21286.899999999998</v>
      </c>
      <c r="AB3" s="3">
        <f>AC3/AD3</f>
        <v>1080.6360496881605</v>
      </c>
      <c r="AC3" s="3">
        <f>SUM(AC4:AC32)</f>
        <v>6289626</v>
      </c>
      <c r="AD3" s="6">
        <f>SUM(AD4:AD32)</f>
        <v>5820.3</v>
      </c>
      <c r="AE3" s="3">
        <f>AF3/AG3</f>
        <v>1165.9177137739084</v>
      </c>
      <c r="AF3" s="3">
        <f>SUM(AF4:AF32)</f>
        <v>22389934</v>
      </c>
      <c r="AG3" s="6">
        <f>SUM(AG4:AG32)</f>
        <v>19203.699999999997</v>
      </c>
      <c r="AH3" s="3">
        <f>AI3/AJ3</f>
        <v>1124.579834796358</v>
      </c>
      <c r="AI3" s="3">
        <f>SUM(AI4:AI32)</f>
        <v>33001470</v>
      </c>
      <c r="AJ3" s="6">
        <f>SUM(AJ4:AJ32)</f>
        <v>29345.599999999999</v>
      </c>
      <c r="AK3" s="3">
        <f>AL3/AM3</f>
        <v>1108.9651148691039</v>
      </c>
      <c r="AL3" s="3">
        <f>SUM(AL4:AL32)</f>
        <v>63104440</v>
      </c>
      <c r="AM3" s="6">
        <f>SUM(AM4:AM32)</f>
        <v>56903.899999999994</v>
      </c>
      <c r="AN3" s="3">
        <f>AO3/AP3</f>
        <v>1050.7246018042938</v>
      </c>
      <c r="AO3" s="3">
        <f>SUM(AO4:AO32)</f>
        <v>889220245</v>
      </c>
      <c r="AP3" s="6">
        <f>SUM(AP4:AP32)</f>
        <v>846292.39999999979</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36</v>
      </c>
      <c r="B4" s="15"/>
      <c r="C4" s="15"/>
      <c r="D4" s="3">
        <f t="shared" ref="D4:D11" si="0">E4/F4</f>
        <v>1055.6171677201439</v>
      </c>
      <c r="E4" s="3">
        <v>18220269</v>
      </c>
      <c r="F4" s="6">
        <v>17260.3</v>
      </c>
      <c r="G4" s="3">
        <f t="shared" ref="G4:G11" si="1">H4/I4</f>
        <v>1054.8711175099229</v>
      </c>
      <c r="H4" s="3">
        <v>15972542</v>
      </c>
      <c r="I4" s="6">
        <v>15141.7</v>
      </c>
      <c r="J4" s="3">
        <f t="shared" ref="J4:J11" si="2">K4/L4</f>
        <v>944.00025401723542</v>
      </c>
      <c r="K4" s="3">
        <v>20067935</v>
      </c>
      <c r="L4" s="6">
        <v>21258.400000000001</v>
      </c>
      <c r="M4" s="3">
        <f t="shared" ref="M4:M11" si="3">N4/O4</f>
        <v>1065.6682188591385</v>
      </c>
      <c r="N4" s="3">
        <v>20138998</v>
      </c>
      <c r="O4" s="6">
        <v>18898</v>
      </c>
      <c r="P4" s="3">
        <f t="shared" ref="P4:P11" si="4">Q4/R4</f>
        <v>1059.6418741374337</v>
      </c>
      <c r="Q4" s="3">
        <v>27180026</v>
      </c>
      <c r="R4" s="6">
        <v>25650.2</v>
      </c>
      <c r="S4" s="3">
        <f t="shared" ref="S4:S11" si="5">T4/U4</f>
        <v>1111.6412656506261</v>
      </c>
      <c r="T4" s="3">
        <v>8336976</v>
      </c>
      <c r="U4" s="6">
        <v>7499.7</v>
      </c>
      <c r="V4" s="3">
        <f t="shared" ref="V4:V11" si="6">W4/X4</f>
        <v>900</v>
      </c>
      <c r="W4" s="3">
        <v>4500000</v>
      </c>
      <c r="X4" s="6">
        <v>5000</v>
      </c>
      <c r="Y4" s="3">
        <f t="shared" ref="Y4:Y11" si="7">Z4/AA4</f>
        <v>1136.9921626146347</v>
      </c>
      <c r="Z4" s="3">
        <v>15348712</v>
      </c>
      <c r="AA4" s="6">
        <v>13499.4</v>
      </c>
      <c r="AB4" s="3">
        <f t="shared" ref="AB4:AB11" si="8">AC4/AD4</f>
        <v>921.71016102165459</v>
      </c>
      <c r="AC4" s="3">
        <v>2988000</v>
      </c>
      <c r="AD4" s="6">
        <v>3241.8</v>
      </c>
      <c r="AE4" s="3">
        <f t="shared" ref="AE4:AE11" si="9">AF4/AG4</f>
        <v>1136.2329543560163</v>
      </c>
      <c r="AF4" s="3">
        <v>6815807</v>
      </c>
      <c r="AG4" s="6">
        <v>5998.6</v>
      </c>
      <c r="AH4" s="3">
        <f t="shared" ref="AH4:AH11" si="10">AI4/AJ4</f>
        <v>1118.71</v>
      </c>
      <c r="AI4" s="3">
        <v>15102585</v>
      </c>
      <c r="AJ4" s="6">
        <v>13500</v>
      </c>
      <c r="AK4" s="3">
        <f t="shared" ref="AK4:AK11" si="11">AL4/AM4</f>
        <v>1045.5518595957676</v>
      </c>
      <c r="AL4" s="3">
        <v>19802334</v>
      </c>
      <c r="AM4" s="6">
        <v>18939.599999999999</v>
      </c>
      <c r="AN4" s="3">
        <f t="shared" ref="AN4:AN32" si="12">AO4/AP4</f>
        <v>1051.7608237379868</v>
      </c>
      <c r="AO4" s="3">
        <f t="shared" ref="AO4:AO32" si="13">SUM(E4,H4,K4,N4,Q4,T4,W4,Z4,AC4,AF4,AI4,AL4)</f>
        <v>174474184</v>
      </c>
      <c r="AP4" s="6">
        <f t="shared" ref="AP4:AP32" si="14">SUM(F4,I4,L4,O4,R4,U4,X4,AA4,AD4,AG4,AJ4,AM4)</f>
        <v>165887.69999999998</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22</v>
      </c>
      <c r="B5" s="15"/>
      <c r="C5" s="15"/>
      <c r="D5" s="3">
        <f t="shared" si="0"/>
        <v>1014.9268822217506</v>
      </c>
      <c r="E5" s="3">
        <v>29170318</v>
      </c>
      <c r="F5" s="6">
        <v>28741.3</v>
      </c>
      <c r="G5" s="3">
        <f t="shared" si="1"/>
        <v>1067.8862164306124</v>
      </c>
      <c r="H5" s="3">
        <v>13865755</v>
      </c>
      <c r="I5" s="6">
        <v>12984.3</v>
      </c>
      <c r="J5" s="3">
        <f t="shared" si="2"/>
        <v>1041.2527944007252</v>
      </c>
      <c r="K5" s="3">
        <v>28831561</v>
      </c>
      <c r="L5" s="6">
        <v>27689.3</v>
      </c>
      <c r="M5" s="3">
        <f t="shared" si="3"/>
        <v>1028.3125919343638</v>
      </c>
      <c r="N5" s="3">
        <v>23838651</v>
      </c>
      <c r="O5" s="6">
        <v>23182.3</v>
      </c>
      <c r="P5" s="3">
        <f t="shared" si="4"/>
        <v>1022.5926582203715</v>
      </c>
      <c r="Q5" s="3">
        <v>24238207</v>
      </c>
      <c r="R5" s="6">
        <v>23702.7</v>
      </c>
      <c r="S5" s="3">
        <f t="shared" si="5"/>
        <v>1144.6726303768558</v>
      </c>
      <c r="T5" s="3">
        <v>1202822</v>
      </c>
      <c r="U5" s="6">
        <v>1050.8</v>
      </c>
      <c r="V5" s="3" t="e">
        <f t="shared" si="6"/>
        <v>#DIV/0!</v>
      </c>
      <c r="W5" s="3">
        <v>0</v>
      </c>
      <c r="X5" s="6">
        <v>0</v>
      </c>
      <c r="Y5" s="3" t="e">
        <f t="shared" si="7"/>
        <v>#DIV/0!</v>
      </c>
      <c r="Z5" s="3">
        <v>0</v>
      </c>
      <c r="AA5" s="6">
        <v>0</v>
      </c>
      <c r="AB5" s="3" t="e">
        <f t="shared" si="8"/>
        <v>#DIV/0!</v>
      </c>
      <c r="AC5" s="3">
        <v>0</v>
      </c>
      <c r="AD5" s="6">
        <v>0</v>
      </c>
      <c r="AE5" s="3">
        <f t="shared" si="9"/>
        <v>1128.7768642723208</v>
      </c>
      <c r="AF5" s="3">
        <v>3130324</v>
      </c>
      <c r="AG5" s="6">
        <v>2773.2</v>
      </c>
      <c r="AH5" s="3" t="e">
        <f t="shared" si="10"/>
        <v>#DIV/0!</v>
      </c>
      <c r="AI5" s="3">
        <v>0</v>
      </c>
      <c r="AJ5" s="6">
        <v>0</v>
      </c>
      <c r="AK5" s="3">
        <f t="shared" si="11"/>
        <v>1101.7891159643955</v>
      </c>
      <c r="AL5" s="3">
        <v>14135734</v>
      </c>
      <c r="AM5" s="6">
        <v>12829.8</v>
      </c>
      <c r="AN5" s="3">
        <f t="shared" si="12"/>
        <v>1041.0644607859731</v>
      </c>
      <c r="AO5" s="3">
        <f t="shared" si="13"/>
        <v>138413372</v>
      </c>
      <c r="AP5" s="6">
        <f t="shared" si="14"/>
        <v>132953.69999999998</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30</v>
      </c>
      <c r="B6" s="15"/>
      <c r="C6" s="15"/>
      <c r="D6" s="3">
        <f t="shared" si="0"/>
        <v>1008.1089321102233</v>
      </c>
      <c r="E6" s="3">
        <v>11242330</v>
      </c>
      <c r="F6" s="6">
        <v>11151.9</v>
      </c>
      <c r="G6" s="3">
        <f t="shared" si="1"/>
        <v>1069.8845260967018</v>
      </c>
      <c r="H6" s="3">
        <v>5345999</v>
      </c>
      <c r="I6" s="6">
        <v>4996.8</v>
      </c>
      <c r="J6" s="3">
        <f t="shared" si="2"/>
        <v>978.61917724057309</v>
      </c>
      <c r="K6" s="3">
        <v>11468536</v>
      </c>
      <c r="L6" s="6">
        <v>11719.1</v>
      </c>
      <c r="M6" s="3">
        <f t="shared" si="3"/>
        <v>1067.7799878045239</v>
      </c>
      <c r="N6" s="3">
        <v>7354655</v>
      </c>
      <c r="O6" s="6">
        <v>6887.8</v>
      </c>
      <c r="P6" s="3">
        <f t="shared" si="4"/>
        <v>1048.0099976196143</v>
      </c>
      <c r="Q6" s="3">
        <v>6604035</v>
      </c>
      <c r="R6" s="6">
        <v>6301.5</v>
      </c>
      <c r="S6" s="3" t="e">
        <f t="shared" si="5"/>
        <v>#DIV/0!</v>
      </c>
      <c r="T6" s="3">
        <v>0</v>
      </c>
      <c r="U6" s="6">
        <v>0</v>
      </c>
      <c r="V6" s="3" t="e">
        <f t="shared" si="6"/>
        <v>#DIV/0!</v>
      </c>
      <c r="W6" s="3">
        <v>0</v>
      </c>
      <c r="X6" s="6">
        <v>0</v>
      </c>
      <c r="Y6" s="3" t="e">
        <f t="shared" si="7"/>
        <v>#DIV/0!</v>
      </c>
      <c r="Z6" s="3">
        <v>0</v>
      </c>
      <c r="AA6" s="6">
        <v>0</v>
      </c>
      <c r="AB6" s="3" t="e">
        <f t="shared" si="8"/>
        <v>#DIV/0!</v>
      </c>
      <c r="AC6" s="3">
        <v>0</v>
      </c>
      <c r="AD6" s="6">
        <v>0</v>
      </c>
      <c r="AE6" s="3" t="e">
        <f t="shared" si="9"/>
        <v>#DIV/0!</v>
      </c>
      <c r="AF6" s="3">
        <v>0</v>
      </c>
      <c r="AG6" s="6">
        <v>0</v>
      </c>
      <c r="AH6" s="3" t="e">
        <f t="shared" si="10"/>
        <v>#DIV/0!</v>
      </c>
      <c r="AI6" s="3">
        <v>0</v>
      </c>
      <c r="AJ6" s="6">
        <v>0</v>
      </c>
      <c r="AK6" s="3">
        <f t="shared" si="11"/>
        <v>1286.397115139137</v>
      </c>
      <c r="AL6" s="3">
        <v>10077635</v>
      </c>
      <c r="AM6" s="6">
        <v>7834</v>
      </c>
      <c r="AN6" s="3">
        <f t="shared" si="12"/>
        <v>1065.4943333244701</v>
      </c>
      <c r="AO6" s="3">
        <f t="shared" si="13"/>
        <v>52093190</v>
      </c>
      <c r="AP6" s="6">
        <f t="shared" si="14"/>
        <v>48891.100000000006</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23</v>
      </c>
      <c r="B7" s="15"/>
      <c r="C7" s="15"/>
      <c r="D7" s="3">
        <f t="shared" si="0"/>
        <v>1055.0182907616968</v>
      </c>
      <c r="E7" s="3">
        <v>19755534</v>
      </c>
      <c r="F7" s="6">
        <v>18725.3</v>
      </c>
      <c r="G7" s="3">
        <f t="shared" si="1"/>
        <v>1094.3337113175801</v>
      </c>
      <c r="H7" s="3">
        <v>17950137</v>
      </c>
      <c r="I7" s="6">
        <v>16402.8</v>
      </c>
      <c r="J7" s="3">
        <f t="shared" si="2"/>
        <v>1000.002163061564</v>
      </c>
      <c r="K7" s="3">
        <v>6010013</v>
      </c>
      <c r="L7" s="6">
        <v>6010</v>
      </c>
      <c r="M7" s="3">
        <f t="shared" si="3"/>
        <v>1012.8747252953663</v>
      </c>
      <c r="N7" s="3">
        <v>21569775</v>
      </c>
      <c r="O7" s="6">
        <v>21295.599999999999</v>
      </c>
      <c r="P7" s="3">
        <f t="shared" si="4"/>
        <v>1057.0889457201374</v>
      </c>
      <c r="Q7" s="3">
        <v>19509845</v>
      </c>
      <c r="R7" s="6">
        <v>18456.2</v>
      </c>
      <c r="S7" s="3" t="e">
        <f t="shared" si="5"/>
        <v>#DIV/0!</v>
      </c>
      <c r="T7" s="3">
        <v>0</v>
      </c>
      <c r="U7" s="6">
        <v>0</v>
      </c>
      <c r="V7" s="3" t="e">
        <f t="shared" si="6"/>
        <v>#DIV/0!</v>
      </c>
      <c r="W7" s="3">
        <v>0</v>
      </c>
      <c r="X7" s="6">
        <v>0</v>
      </c>
      <c r="Y7" s="3" t="e">
        <f t="shared" si="7"/>
        <v>#DIV/0!</v>
      </c>
      <c r="Z7" s="3">
        <v>0</v>
      </c>
      <c r="AA7" s="6">
        <v>0</v>
      </c>
      <c r="AB7" s="3" t="e">
        <f t="shared" si="8"/>
        <v>#DIV/0!</v>
      </c>
      <c r="AC7" s="3">
        <v>0</v>
      </c>
      <c r="AD7" s="6">
        <v>0</v>
      </c>
      <c r="AE7" s="3">
        <f t="shared" si="9"/>
        <v>1136.2227761042839</v>
      </c>
      <c r="AF7" s="3">
        <v>8524625</v>
      </c>
      <c r="AG7" s="6">
        <v>7502.6</v>
      </c>
      <c r="AH7" s="3" t="e">
        <f t="shared" si="10"/>
        <v>#DIV/0!</v>
      </c>
      <c r="AI7" s="3">
        <v>0</v>
      </c>
      <c r="AJ7" s="6">
        <v>0</v>
      </c>
      <c r="AK7" s="3">
        <f t="shared" si="11"/>
        <v>999.99661634145946</v>
      </c>
      <c r="AL7" s="3">
        <v>6206279</v>
      </c>
      <c r="AM7" s="6">
        <v>6206.3</v>
      </c>
      <c r="AN7" s="3">
        <f t="shared" si="12"/>
        <v>1052.0874260561445</v>
      </c>
      <c r="AO7" s="3">
        <f t="shared" si="13"/>
        <v>99526208</v>
      </c>
      <c r="AP7" s="6">
        <f t="shared" si="14"/>
        <v>94598.8</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19</v>
      </c>
      <c r="B8" s="15"/>
      <c r="C8" s="15"/>
      <c r="D8" s="3">
        <f t="shared" si="0"/>
        <v>1000.0007255577725</v>
      </c>
      <c r="E8" s="3">
        <v>5513004</v>
      </c>
      <c r="F8" s="6">
        <v>5513</v>
      </c>
      <c r="G8" s="3" t="e">
        <f t="shared" si="1"/>
        <v>#DIV/0!</v>
      </c>
      <c r="H8" s="3">
        <v>0</v>
      </c>
      <c r="I8" s="6">
        <v>0</v>
      </c>
      <c r="J8" s="3">
        <f t="shared" si="2"/>
        <v>999.98802395209577</v>
      </c>
      <c r="K8" s="3">
        <v>2003976</v>
      </c>
      <c r="L8" s="6">
        <v>2004</v>
      </c>
      <c r="M8" s="3" t="e">
        <f t="shared" si="3"/>
        <v>#DIV/0!</v>
      </c>
      <c r="N8" s="3">
        <v>0</v>
      </c>
      <c r="O8" s="6">
        <v>0</v>
      </c>
      <c r="P8" s="3">
        <f t="shared" si="4"/>
        <v>5426</v>
      </c>
      <c r="Q8" s="3">
        <v>5426</v>
      </c>
      <c r="R8" s="6">
        <v>1</v>
      </c>
      <c r="S8" s="3" t="e">
        <f t="shared" si="5"/>
        <v>#DIV/0!</v>
      </c>
      <c r="T8" s="3">
        <v>0</v>
      </c>
      <c r="U8" s="6">
        <v>0</v>
      </c>
      <c r="V8" s="3" t="e">
        <f t="shared" si="6"/>
        <v>#DIV/0!</v>
      </c>
      <c r="W8" s="3">
        <v>0</v>
      </c>
      <c r="X8" s="6">
        <v>0</v>
      </c>
      <c r="Y8" s="3" t="e">
        <f t="shared" si="7"/>
        <v>#DIV/0!</v>
      </c>
      <c r="Z8" s="3">
        <v>0</v>
      </c>
      <c r="AA8" s="6">
        <v>0</v>
      </c>
      <c r="AB8" s="3" t="e">
        <f t="shared" si="8"/>
        <v>#DIV/0!</v>
      </c>
      <c r="AC8" s="3">
        <v>0</v>
      </c>
      <c r="AD8" s="6">
        <v>0</v>
      </c>
      <c r="AE8" s="3" t="e">
        <f t="shared" si="9"/>
        <v>#DIV/0!</v>
      </c>
      <c r="AF8" s="3">
        <v>0</v>
      </c>
      <c r="AG8" s="6">
        <v>0</v>
      </c>
      <c r="AH8" s="3" t="e">
        <f t="shared" si="10"/>
        <v>#DIV/0!</v>
      </c>
      <c r="AI8" s="3">
        <v>0</v>
      </c>
      <c r="AJ8" s="6">
        <v>0</v>
      </c>
      <c r="AK8" s="3">
        <f t="shared" si="11"/>
        <v>1300.0090279867591</v>
      </c>
      <c r="AL8" s="3">
        <v>3887937</v>
      </c>
      <c r="AM8" s="6">
        <v>2990.7</v>
      </c>
      <c r="AN8" s="3">
        <f t="shared" si="12"/>
        <v>1085.7996707489983</v>
      </c>
      <c r="AO8" s="3">
        <f t="shared" si="13"/>
        <v>11410343</v>
      </c>
      <c r="AP8" s="6">
        <f t="shared" si="14"/>
        <v>10508.7</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25</v>
      </c>
      <c r="B9" s="15"/>
      <c r="C9" s="15"/>
      <c r="D9" s="3" t="e">
        <f t="shared" si="0"/>
        <v>#DIV/0!</v>
      </c>
      <c r="E9" s="3">
        <v>0</v>
      </c>
      <c r="F9" s="6">
        <v>0</v>
      </c>
      <c r="G9" s="3">
        <f t="shared" si="1"/>
        <v>1084.8544932153727</v>
      </c>
      <c r="H9" s="3">
        <v>3813589</v>
      </c>
      <c r="I9" s="6">
        <v>3515.3</v>
      </c>
      <c r="J9" s="3" t="e">
        <f t="shared" si="2"/>
        <v>#DIV/0!</v>
      </c>
      <c r="K9" s="3">
        <v>0</v>
      </c>
      <c r="L9" s="6">
        <v>0</v>
      </c>
      <c r="M9" s="3">
        <f t="shared" si="3"/>
        <v>1066.6805048156759</v>
      </c>
      <c r="N9" s="3">
        <v>7708260</v>
      </c>
      <c r="O9" s="6">
        <v>7226.4</v>
      </c>
      <c r="P9" s="3" t="e">
        <f t="shared" si="4"/>
        <v>#DIV/0!</v>
      </c>
      <c r="Q9" s="3">
        <v>0</v>
      </c>
      <c r="R9" s="6">
        <v>0</v>
      </c>
      <c r="S9" s="3">
        <f t="shared" si="5"/>
        <v>1137.9276372151464</v>
      </c>
      <c r="T9" s="3">
        <v>3984795</v>
      </c>
      <c r="U9" s="6">
        <v>3501.8</v>
      </c>
      <c r="V9" s="3" t="e">
        <f t="shared" si="6"/>
        <v>#DIV/0!</v>
      </c>
      <c r="W9" s="3">
        <v>0</v>
      </c>
      <c r="X9" s="6">
        <v>0</v>
      </c>
      <c r="Y9" s="3">
        <f t="shared" si="7"/>
        <v>1187.9165740329036</v>
      </c>
      <c r="Z9" s="3">
        <v>4274599</v>
      </c>
      <c r="AA9" s="6">
        <v>3598.4</v>
      </c>
      <c r="AB9" s="3" t="e">
        <f t="shared" si="8"/>
        <v>#DIV/0!</v>
      </c>
      <c r="AC9" s="3">
        <v>0</v>
      </c>
      <c r="AD9" s="6">
        <v>0</v>
      </c>
      <c r="AE9" s="3" t="e">
        <f t="shared" si="9"/>
        <v>#DIV/0!</v>
      </c>
      <c r="AF9" s="3">
        <v>0</v>
      </c>
      <c r="AG9" s="6">
        <v>0</v>
      </c>
      <c r="AH9" s="3" t="e">
        <f t="shared" si="10"/>
        <v>#DIV/0!</v>
      </c>
      <c r="AI9" s="3">
        <v>0</v>
      </c>
      <c r="AJ9" s="6">
        <v>0</v>
      </c>
      <c r="AK9" s="3">
        <f t="shared" si="11"/>
        <v>1000</v>
      </c>
      <c r="AL9" s="3">
        <v>3500000</v>
      </c>
      <c r="AM9" s="6">
        <v>3500</v>
      </c>
      <c r="AN9" s="3">
        <f t="shared" si="12"/>
        <v>1090.8702130550701</v>
      </c>
      <c r="AO9" s="3">
        <f t="shared" si="13"/>
        <v>23281243</v>
      </c>
      <c r="AP9" s="6">
        <f t="shared" si="14"/>
        <v>21341.9</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26</v>
      </c>
      <c r="B10" s="15"/>
      <c r="C10" s="15"/>
      <c r="D10" s="3">
        <f t="shared" si="0"/>
        <v>998.84616658387154</v>
      </c>
      <c r="E10" s="3">
        <v>3016016</v>
      </c>
      <c r="F10" s="6">
        <v>3019.5</v>
      </c>
      <c r="G10" s="3">
        <f t="shared" si="1"/>
        <v>1065.8934592043156</v>
      </c>
      <c r="H10" s="3">
        <v>474216</v>
      </c>
      <c r="I10" s="6">
        <v>444.9</v>
      </c>
      <c r="J10" s="3">
        <f t="shared" si="2"/>
        <v>1014.6037688613761</v>
      </c>
      <c r="K10" s="3">
        <v>8916135</v>
      </c>
      <c r="L10" s="6">
        <v>8787.7999999999993</v>
      </c>
      <c r="M10" s="3">
        <f t="shared" si="3"/>
        <v>1073.9952229299363</v>
      </c>
      <c r="N10" s="3">
        <v>1348938</v>
      </c>
      <c r="O10" s="6">
        <v>1256</v>
      </c>
      <c r="P10" s="3">
        <f t="shared" si="4"/>
        <v>1039.243075360394</v>
      </c>
      <c r="Q10" s="3">
        <v>5320301</v>
      </c>
      <c r="R10" s="6">
        <v>5119.3999999999996</v>
      </c>
      <c r="S10" s="3">
        <f t="shared" si="5"/>
        <v>1145.2377236787349</v>
      </c>
      <c r="T10" s="3">
        <v>2201605</v>
      </c>
      <c r="U10" s="6">
        <v>1922.4</v>
      </c>
      <c r="V10" s="3">
        <f t="shared" si="6"/>
        <v>1311.4980668243984</v>
      </c>
      <c r="W10" s="3">
        <v>2272695</v>
      </c>
      <c r="X10" s="6">
        <v>1732.9</v>
      </c>
      <c r="Y10" s="3">
        <f t="shared" si="7"/>
        <v>1297.9519101356248</v>
      </c>
      <c r="Z10" s="3">
        <v>5014767</v>
      </c>
      <c r="AA10" s="6">
        <v>3863.6</v>
      </c>
      <c r="AB10" s="3">
        <f t="shared" si="8"/>
        <v>1314.4760632375862</v>
      </c>
      <c r="AC10" s="3">
        <v>2951656</v>
      </c>
      <c r="AD10" s="6">
        <v>2245.5</v>
      </c>
      <c r="AE10" s="3">
        <f t="shared" si="9"/>
        <v>1368.8771152933734</v>
      </c>
      <c r="AF10" s="3">
        <v>3462164</v>
      </c>
      <c r="AG10" s="6">
        <v>2529.1999999999998</v>
      </c>
      <c r="AH10" s="3">
        <f t="shared" si="10"/>
        <v>1136.9595288269304</v>
      </c>
      <c r="AI10" s="3">
        <v>4208342</v>
      </c>
      <c r="AJ10" s="6">
        <v>3701.4</v>
      </c>
      <c r="AK10" s="3">
        <f t="shared" si="11"/>
        <v>1265.7890818858561</v>
      </c>
      <c r="AL10" s="3">
        <v>2550565</v>
      </c>
      <c r="AM10" s="6">
        <v>2015</v>
      </c>
      <c r="AN10" s="3">
        <f t="shared" si="12"/>
        <v>1139.1957988514532</v>
      </c>
      <c r="AO10" s="3">
        <f t="shared" si="13"/>
        <v>41737400</v>
      </c>
      <c r="AP10" s="6">
        <f t="shared" si="14"/>
        <v>36637.599999999999</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29</v>
      </c>
      <c r="B11" s="15"/>
      <c r="C11" s="15"/>
      <c r="D11" s="3">
        <f t="shared" si="0"/>
        <v>999.90735379270404</v>
      </c>
      <c r="E11" s="3">
        <v>518052</v>
      </c>
      <c r="F11" s="6">
        <v>518.1</v>
      </c>
      <c r="G11" s="3" t="e">
        <f t="shared" si="1"/>
        <v>#DIV/0!</v>
      </c>
      <c r="H11" s="3">
        <v>0</v>
      </c>
      <c r="I11" s="6">
        <v>0</v>
      </c>
      <c r="J11" s="3">
        <f t="shared" si="2"/>
        <v>1000.0033724917093</v>
      </c>
      <c r="K11" s="3">
        <v>3558212</v>
      </c>
      <c r="L11" s="6">
        <v>3558.2</v>
      </c>
      <c r="M11" s="3" t="e">
        <f t="shared" si="3"/>
        <v>#DIV/0!</v>
      </c>
      <c r="N11" s="3">
        <v>0</v>
      </c>
      <c r="O11" s="6">
        <v>0</v>
      </c>
      <c r="P11" s="3" t="e">
        <f t="shared" si="4"/>
        <v>#DIV/0!</v>
      </c>
      <c r="Q11" s="3">
        <v>0</v>
      </c>
      <c r="R11" s="6">
        <v>0</v>
      </c>
      <c r="S11" s="3" t="e">
        <f t="shared" si="5"/>
        <v>#DIV/0!</v>
      </c>
      <c r="T11" s="3">
        <v>0</v>
      </c>
      <c r="U11" s="6">
        <v>0</v>
      </c>
      <c r="V11" s="3" t="e">
        <f t="shared" si="6"/>
        <v>#DIV/0!</v>
      </c>
      <c r="W11" s="3">
        <v>0</v>
      </c>
      <c r="X11" s="6">
        <v>0</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f t="shared" si="11"/>
        <v>1300.0253984936066</v>
      </c>
      <c r="AL11" s="3">
        <v>1484369</v>
      </c>
      <c r="AM11" s="6">
        <v>1141.8</v>
      </c>
      <c r="AN11" s="3">
        <f t="shared" si="12"/>
        <v>1065.6432417929898</v>
      </c>
      <c r="AO11" s="3">
        <f t="shared" si="13"/>
        <v>5560633</v>
      </c>
      <c r="AP11" s="6">
        <f t="shared" si="14"/>
        <v>5218.0999999999995</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31</v>
      </c>
      <c r="B12" s="15"/>
      <c r="C12" s="15"/>
      <c r="D12" s="3" t="e">
        <f>E12/F12</f>
        <v>#DIV/0!</v>
      </c>
      <c r="E12" s="3">
        <v>0</v>
      </c>
      <c r="F12" s="6">
        <v>0</v>
      </c>
      <c r="G12" s="3">
        <f>H12/I12</f>
        <v>1061.8057273023105</v>
      </c>
      <c r="H12" s="3">
        <v>3262929</v>
      </c>
      <c r="I12" s="6">
        <v>3073</v>
      </c>
      <c r="J12" s="3" t="e">
        <f>K12/L12</f>
        <v>#DIV/0!</v>
      </c>
      <c r="K12" s="3">
        <v>0</v>
      </c>
      <c r="L12" s="6">
        <v>0</v>
      </c>
      <c r="M12" s="3">
        <f>N12/O12</f>
        <v>1067.4698105821062</v>
      </c>
      <c r="N12" s="3">
        <v>3544747</v>
      </c>
      <c r="O12" s="6">
        <v>3320.7</v>
      </c>
      <c r="P12" s="3">
        <f>Q12/R12</f>
        <v>764.53803832289884</v>
      </c>
      <c r="Q12" s="3">
        <v>402988</v>
      </c>
      <c r="R12" s="6">
        <v>527.1</v>
      </c>
      <c r="S12" s="3">
        <f>T12/U12</f>
        <v>1114.6586759059837</v>
      </c>
      <c r="T12" s="3">
        <v>3571032</v>
      </c>
      <c r="U12" s="6">
        <v>3203.7</v>
      </c>
      <c r="V12" s="3" t="e">
        <f>W12/X12</f>
        <v>#DIV/0!</v>
      </c>
      <c r="W12" s="3">
        <v>0</v>
      </c>
      <c r="X12" s="6">
        <v>0</v>
      </c>
      <c r="Y12" s="3" t="e">
        <f>Z12/AA12</f>
        <v>#DIV/0!</v>
      </c>
      <c r="Z12" s="3">
        <v>0</v>
      </c>
      <c r="AA12" s="6">
        <v>0</v>
      </c>
      <c r="AB12" s="3" t="e">
        <f>AC12/AD12</f>
        <v>#DIV/0!</v>
      </c>
      <c r="AC12" s="3">
        <v>0</v>
      </c>
      <c r="AD12" s="6">
        <v>0</v>
      </c>
      <c r="AE12" s="3">
        <f>AF12/AG12</f>
        <v>1688.913043478261</v>
      </c>
      <c r="AF12" s="3">
        <v>7769</v>
      </c>
      <c r="AG12" s="6">
        <v>4.5999999999999996</v>
      </c>
      <c r="AH12" s="3" t="e">
        <f>AI12/AJ12</f>
        <v>#DIV/0!</v>
      </c>
      <c r="AI12" s="3">
        <v>0</v>
      </c>
      <c r="AJ12" s="6">
        <v>0</v>
      </c>
      <c r="AK12" s="3">
        <f>AL12/AM12</f>
        <v>1000.011012282931</v>
      </c>
      <c r="AL12" s="3">
        <v>1180513</v>
      </c>
      <c r="AM12" s="6">
        <v>1180.5</v>
      </c>
      <c r="AN12" s="3">
        <f t="shared" si="12"/>
        <v>1058.3909245242978</v>
      </c>
      <c r="AO12" s="3">
        <f t="shared" si="13"/>
        <v>11969978</v>
      </c>
      <c r="AP12" s="6">
        <f t="shared" si="14"/>
        <v>11309.6</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21</v>
      </c>
      <c r="B13" s="15"/>
      <c r="C13" s="15"/>
      <c r="D13" s="3">
        <f t="shared" ref="D13:D32" si="15">E13/F13</f>
        <v>778.81740196078442</v>
      </c>
      <c r="E13" s="3">
        <v>127103</v>
      </c>
      <c r="F13" s="6">
        <v>163.19999999999999</v>
      </c>
      <c r="G13" s="3">
        <f t="shared" ref="G13:G32" si="16">H13/I13</f>
        <v>760.03989361702122</v>
      </c>
      <c r="H13" s="3">
        <v>228620</v>
      </c>
      <c r="I13" s="6">
        <v>300.8</v>
      </c>
      <c r="J13" s="3">
        <f t="shared" ref="J13:J32" si="17">K13/L13</f>
        <v>760.38615179760325</v>
      </c>
      <c r="K13" s="3">
        <v>57105</v>
      </c>
      <c r="L13" s="6">
        <v>75.099999999999994</v>
      </c>
      <c r="M13" s="3">
        <f t="shared" ref="M13:M32" si="18">N13/O13</f>
        <v>760.02619515389654</v>
      </c>
      <c r="N13" s="3">
        <v>116056</v>
      </c>
      <c r="O13" s="6">
        <v>152.69999999999999</v>
      </c>
      <c r="P13" s="3">
        <f t="shared" ref="P13:P32" si="19">Q13/R13</f>
        <v>760.1489117983964</v>
      </c>
      <c r="Q13" s="3">
        <v>66361</v>
      </c>
      <c r="R13" s="6">
        <v>87.3</v>
      </c>
      <c r="S13" s="3">
        <f t="shared" ref="S13:S32" si="20">T13/U13</f>
        <v>1286.2469879518073</v>
      </c>
      <c r="T13" s="3">
        <v>213517</v>
      </c>
      <c r="U13" s="6">
        <v>166</v>
      </c>
      <c r="V13" s="3">
        <f t="shared" ref="V13:V32" si="21">W13/X13</f>
        <v>1316.2718556119571</v>
      </c>
      <c r="W13" s="3">
        <v>233375</v>
      </c>
      <c r="X13" s="6">
        <v>177.3</v>
      </c>
      <c r="Y13" s="3">
        <f t="shared" ref="Y13:Y32" si="22">Z13/AA13</f>
        <v>1051.9982277359327</v>
      </c>
      <c r="Z13" s="3">
        <v>237436</v>
      </c>
      <c r="AA13" s="6">
        <v>225.7</v>
      </c>
      <c r="AB13" s="3">
        <f t="shared" ref="AB13:AB32" si="23">AC13/AD13</f>
        <v>975.9973666886109</v>
      </c>
      <c r="AC13" s="3">
        <v>296508</v>
      </c>
      <c r="AD13" s="6">
        <v>303.8</v>
      </c>
      <c r="AE13" s="3">
        <f t="shared" ref="AE13:AE32" si="24">AF13/AG13</f>
        <v>1141.6859852476291</v>
      </c>
      <c r="AF13" s="3">
        <v>433384</v>
      </c>
      <c r="AG13" s="6">
        <v>379.6</v>
      </c>
      <c r="AH13" s="3">
        <f t="shared" ref="AH13:AH32" si="25">AI13/AJ13</f>
        <v>989.7487787857641</v>
      </c>
      <c r="AI13" s="3">
        <v>283662</v>
      </c>
      <c r="AJ13" s="6">
        <v>286.60000000000002</v>
      </c>
      <c r="AK13" s="3">
        <f t="shared" ref="AK13:AK32" si="26">AL13/AM13</f>
        <v>1082.0688134097927</v>
      </c>
      <c r="AL13" s="3">
        <v>245305</v>
      </c>
      <c r="AM13" s="6">
        <v>226.7</v>
      </c>
      <c r="AN13" s="3">
        <f t="shared" si="12"/>
        <v>997.4976422508646</v>
      </c>
      <c r="AO13" s="3">
        <f t="shared" si="13"/>
        <v>2538432</v>
      </c>
      <c r="AP13" s="6">
        <f t="shared" si="14"/>
        <v>2544.7999999999997</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27</v>
      </c>
      <c r="B14" s="15"/>
      <c r="C14" s="15"/>
      <c r="D14" s="3" t="e">
        <f t="shared" si="15"/>
        <v>#DIV/0!</v>
      </c>
      <c r="E14" s="3">
        <v>0</v>
      </c>
      <c r="F14" s="6">
        <v>0</v>
      </c>
      <c r="G14" s="3" t="e">
        <f t="shared" si="16"/>
        <v>#DIV/0!</v>
      </c>
      <c r="H14" s="3">
        <v>0</v>
      </c>
      <c r="I14" s="6">
        <v>0</v>
      </c>
      <c r="J14" s="3" t="e">
        <f t="shared" si="17"/>
        <v>#DIV/0!</v>
      </c>
      <c r="K14" s="3">
        <v>0</v>
      </c>
      <c r="L14" s="6">
        <v>0</v>
      </c>
      <c r="M14" s="3" t="e">
        <f t="shared" si="18"/>
        <v>#DIV/0!</v>
      </c>
      <c r="N14" s="3">
        <v>0</v>
      </c>
      <c r="O14" s="6">
        <v>0</v>
      </c>
      <c r="P14" s="3" t="e">
        <f t="shared" si="19"/>
        <v>#DIV/0!</v>
      </c>
      <c r="Q14" s="3">
        <v>0</v>
      </c>
      <c r="R14" s="6">
        <v>0</v>
      </c>
      <c r="S14" s="3">
        <f t="shared" si="20"/>
        <v>3565.625</v>
      </c>
      <c r="T14" s="3">
        <v>5705</v>
      </c>
      <c r="U14" s="6">
        <v>1.6</v>
      </c>
      <c r="V14" s="3" t="e">
        <f t="shared" si="21"/>
        <v>#DIV/0!</v>
      </c>
      <c r="W14" s="3">
        <v>0</v>
      </c>
      <c r="X14" s="6">
        <v>0</v>
      </c>
      <c r="Y14" s="3" t="e">
        <f t="shared" si="22"/>
        <v>#DIV/0!</v>
      </c>
      <c r="Z14" s="3">
        <v>0</v>
      </c>
      <c r="AA14" s="6">
        <v>0</v>
      </c>
      <c r="AB14" s="3" t="e">
        <f t="shared" si="23"/>
        <v>#DIV/0!</v>
      </c>
      <c r="AC14" s="3">
        <v>0</v>
      </c>
      <c r="AD14" s="6">
        <v>0</v>
      </c>
      <c r="AE14" s="3" t="e">
        <f t="shared" si="24"/>
        <v>#DIV/0!</v>
      </c>
      <c r="AF14" s="3">
        <v>0</v>
      </c>
      <c r="AG14" s="6">
        <v>0</v>
      </c>
      <c r="AH14" s="3">
        <f t="shared" si="25"/>
        <v>1703.0048076923076</v>
      </c>
      <c r="AI14" s="3">
        <v>70845</v>
      </c>
      <c r="AJ14" s="6">
        <v>41.6</v>
      </c>
      <c r="AK14" s="3">
        <f t="shared" si="26"/>
        <v>854.91139240506334</v>
      </c>
      <c r="AL14" s="3">
        <v>33769</v>
      </c>
      <c r="AM14" s="6">
        <v>39.5</v>
      </c>
      <c r="AN14" s="3">
        <f t="shared" si="12"/>
        <v>1333.9661426844013</v>
      </c>
      <c r="AO14" s="3">
        <f t="shared" si="13"/>
        <v>110319</v>
      </c>
      <c r="AP14" s="6">
        <f t="shared" si="14"/>
        <v>82.7</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48</v>
      </c>
      <c r="B15" s="15"/>
      <c r="C15" s="15"/>
      <c r="D15" s="3">
        <f t="shared" si="15"/>
        <v>978.59001670217117</v>
      </c>
      <c r="E15" s="3">
        <v>9784628</v>
      </c>
      <c r="F15" s="6">
        <v>9998.7000000000007</v>
      </c>
      <c r="G15" s="3" t="e">
        <f t="shared" si="16"/>
        <v>#DIV/0!</v>
      </c>
      <c r="H15" s="3">
        <v>0</v>
      </c>
      <c r="I15" s="6">
        <v>0</v>
      </c>
      <c r="J15" s="3" t="e">
        <f t="shared" si="17"/>
        <v>#DIV/0!</v>
      </c>
      <c r="K15" s="3">
        <v>0</v>
      </c>
      <c r="L15" s="6">
        <v>0</v>
      </c>
      <c r="M15" s="3" t="e">
        <f t="shared" si="18"/>
        <v>#DIV/0!</v>
      </c>
      <c r="N15" s="3">
        <v>0</v>
      </c>
      <c r="O15" s="6">
        <v>0</v>
      </c>
      <c r="P15" s="3" t="e">
        <f t="shared" si="19"/>
        <v>#DIV/0!</v>
      </c>
      <c r="Q15" s="3">
        <v>0</v>
      </c>
      <c r="R15" s="6">
        <v>0</v>
      </c>
      <c r="S15" s="3" t="e">
        <f t="shared" si="20"/>
        <v>#DIV/0!</v>
      </c>
      <c r="T15" s="3">
        <v>0</v>
      </c>
      <c r="U15" s="6">
        <v>0</v>
      </c>
      <c r="V15" s="3" t="e">
        <f t="shared" si="21"/>
        <v>#DIV/0!</v>
      </c>
      <c r="W15" s="3">
        <v>0</v>
      </c>
      <c r="X15" s="6">
        <v>0</v>
      </c>
      <c r="Y15" s="3" t="e">
        <f t="shared" si="22"/>
        <v>#DIV/0!</v>
      </c>
      <c r="Z15" s="3">
        <v>0</v>
      </c>
      <c r="AA15" s="6">
        <v>0</v>
      </c>
      <c r="AB15" s="3" t="e">
        <f t="shared" si="23"/>
        <v>#DIV/0!</v>
      </c>
      <c r="AC15" s="3">
        <v>0</v>
      </c>
      <c r="AD15" s="6">
        <v>0</v>
      </c>
      <c r="AE15" s="3" t="e">
        <f t="shared" si="24"/>
        <v>#DIV/0!</v>
      </c>
      <c r="AF15" s="3">
        <v>0</v>
      </c>
      <c r="AG15" s="6">
        <v>0</v>
      </c>
      <c r="AH15" s="3" t="e">
        <f t="shared" si="25"/>
        <v>#DIV/0!</v>
      </c>
      <c r="AI15" s="3">
        <v>0</v>
      </c>
      <c r="AJ15" s="6">
        <v>0</v>
      </c>
      <c r="AK15" s="3" t="e">
        <f t="shared" si="26"/>
        <v>#DIV/0!</v>
      </c>
      <c r="AL15" s="3">
        <v>0</v>
      </c>
      <c r="AM15" s="6">
        <v>0</v>
      </c>
      <c r="AN15" s="3">
        <f t="shared" si="12"/>
        <v>978.59001670217117</v>
      </c>
      <c r="AO15" s="3">
        <f t="shared" si="13"/>
        <v>9784628</v>
      </c>
      <c r="AP15" s="6">
        <f t="shared" si="14"/>
        <v>9998.7000000000007</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49</v>
      </c>
      <c r="B16" s="15"/>
      <c r="C16" s="15"/>
      <c r="D16" s="3">
        <f t="shared" si="15"/>
        <v>761.05960264900659</v>
      </c>
      <c r="E16" s="3">
        <v>11492</v>
      </c>
      <c r="F16" s="6">
        <v>15.1</v>
      </c>
      <c r="G16" s="3" t="e">
        <f t="shared" si="16"/>
        <v>#DIV/0!</v>
      </c>
      <c r="H16" s="3">
        <v>0</v>
      </c>
      <c r="I16" s="6">
        <v>0</v>
      </c>
      <c r="J16" s="3" t="e">
        <f t="shared" si="17"/>
        <v>#DIV/0!</v>
      </c>
      <c r="K16" s="3">
        <v>0</v>
      </c>
      <c r="L16" s="6">
        <v>0</v>
      </c>
      <c r="M16" s="3" t="e">
        <f t="shared" si="18"/>
        <v>#DIV/0!</v>
      </c>
      <c r="N16" s="3">
        <v>0</v>
      </c>
      <c r="O16" s="6">
        <v>0</v>
      </c>
      <c r="P16" s="3" t="e">
        <f t="shared" si="19"/>
        <v>#DIV/0!</v>
      </c>
      <c r="Q16" s="3">
        <v>0</v>
      </c>
      <c r="R16" s="6">
        <v>0</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t="e">
        <f t="shared" si="26"/>
        <v>#DIV/0!</v>
      </c>
      <c r="AL16" s="3">
        <v>0</v>
      </c>
      <c r="AM16" s="6">
        <v>0</v>
      </c>
      <c r="AN16" s="3">
        <f t="shared" si="12"/>
        <v>761.05960264900659</v>
      </c>
      <c r="AO16" s="3">
        <f t="shared" si="13"/>
        <v>11492</v>
      </c>
      <c r="AP16" s="6">
        <f t="shared" si="14"/>
        <v>15.1</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20</v>
      </c>
      <c r="B17" s="15"/>
      <c r="C17" s="15"/>
      <c r="D17" s="3" t="e">
        <f t="shared" si="15"/>
        <v>#DIV/0!</v>
      </c>
      <c r="E17" s="3">
        <v>0</v>
      </c>
      <c r="F17" s="6">
        <v>0</v>
      </c>
      <c r="G17" s="3" t="e">
        <f t="shared" si="16"/>
        <v>#DIV/0!</v>
      </c>
      <c r="H17" s="3">
        <v>0</v>
      </c>
      <c r="I17" s="6">
        <v>0</v>
      </c>
      <c r="J17" s="3" t="e">
        <f t="shared" si="17"/>
        <v>#DIV/0!</v>
      </c>
      <c r="K17" s="3">
        <v>0</v>
      </c>
      <c r="L17" s="6">
        <v>0</v>
      </c>
      <c r="M17" s="3" t="e">
        <f t="shared" si="18"/>
        <v>#DIV/0!</v>
      </c>
      <c r="N17" s="3">
        <v>0</v>
      </c>
      <c r="O17" s="6">
        <v>0</v>
      </c>
      <c r="P17" s="3" t="e">
        <f t="shared" si="19"/>
        <v>#DIV/0!</v>
      </c>
      <c r="Q17" s="3">
        <v>0</v>
      </c>
      <c r="R17" s="6">
        <v>0</v>
      </c>
      <c r="S17" s="3">
        <f t="shared" si="20"/>
        <v>760.46875</v>
      </c>
      <c r="T17" s="3">
        <v>4867</v>
      </c>
      <c r="U17" s="6">
        <v>6.4</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t="e">
        <f t="shared" si="25"/>
        <v>#DIV/0!</v>
      </c>
      <c r="AI17" s="3">
        <v>0</v>
      </c>
      <c r="AJ17" s="6">
        <v>0</v>
      </c>
      <c r="AK17" s="3" t="e">
        <f t="shared" si="26"/>
        <v>#DIV/0!</v>
      </c>
      <c r="AL17" s="3">
        <v>0</v>
      </c>
      <c r="AM17" s="6">
        <v>0</v>
      </c>
      <c r="AN17" s="3">
        <f t="shared" si="12"/>
        <v>760.46875</v>
      </c>
      <c r="AO17" s="3">
        <f t="shared" si="13"/>
        <v>4867</v>
      </c>
      <c r="AP17" s="6">
        <f t="shared" si="14"/>
        <v>6.4</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50</v>
      </c>
      <c r="B18" s="15"/>
      <c r="C18" s="15"/>
      <c r="D18" s="3" t="e">
        <f t="shared" si="15"/>
        <v>#DIV/0!</v>
      </c>
      <c r="E18" s="3">
        <v>0</v>
      </c>
      <c r="F18" s="6">
        <v>0</v>
      </c>
      <c r="G18" s="3" t="e">
        <f t="shared" si="16"/>
        <v>#DIV/0!</v>
      </c>
      <c r="H18" s="3">
        <v>0</v>
      </c>
      <c r="I18" s="6">
        <v>0</v>
      </c>
      <c r="J18" s="3">
        <f t="shared" si="17"/>
        <v>4357</v>
      </c>
      <c r="K18" s="3">
        <v>4357</v>
      </c>
      <c r="L18" s="6">
        <v>1</v>
      </c>
      <c r="M18" s="3" t="e">
        <f t="shared" si="18"/>
        <v>#DIV/0!</v>
      </c>
      <c r="N18" s="3">
        <v>0</v>
      </c>
      <c r="O18" s="6">
        <v>0</v>
      </c>
      <c r="P18" s="3" t="e">
        <f t="shared" si="19"/>
        <v>#DIV/0!</v>
      </c>
      <c r="Q18" s="3">
        <v>0</v>
      </c>
      <c r="R18" s="6">
        <v>0</v>
      </c>
      <c r="S18" s="3" t="e">
        <f t="shared" si="20"/>
        <v>#DIV/0!</v>
      </c>
      <c r="T18" s="3">
        <v>0</v>
      </c>
      <c r="U18" s="6">
        <v>0</v>
      </c>
      <c r="V18" s="3" t="e">
        <f t="shared" si="21"/>
        <v>#DIV/0!</v>
      </c>
      <c r="W18" s="3">
        <v>0</v>
      </c>
      <c r="X18" s="6">
        <v>0</v>
      </c>
      <c r="Y18" s="3" t="e">
        <f t="shared" si="22"/>
        <v>#DIV/0!</v>
      </c>
      <c r="Z18" s="3">
        <v>0</v>
      </c>
      <c r="AA18" s="6">
        <v>0</v>
      </c>
      <c r="AB18" s="3" t="e">
        <f t="shared" si="23"/>
        <v>#DIV/0!</v>
      </c>
      <c r="AC18" s="3">
        <v>0</v>
      </c>
      <c r="AD18" s="6">
        <v>0</v>
      </c>
      <c r="AE18" s="3" t="e">
        <f t="shared" si="24"/>
        <v>#DIV/0!</v>
      </c>
      <c r="AF18" s="3">
        <v>0</v>
      </c>
      <c r="AG18" s="6">
        <v>0</v>
      </c>
      <c r="AH18" s="3" t="e">
        <f t="shared" si="25"/>
        <v>#DIV/0!</v>
      </c>
      <c r="AI18" s="3">
        <v>0</v>
      </c>
      <c r="AJ18" s="6">
        <v>0</v>
      </c>
      <c r="AK18" s="3" t="e">
        <f t="shared" si="26"/>
        <v>#DIV/0!</v>
      </c>
      <c r="AL18" s="3">
        <v>0</v>
      </c>
      <c r="AM18" s="6">
        <v>0</v>
      </c>
      <c r="AN18" s="3">
        <f t="shared" si="12"/>
        <v>4357</v>
      </c>
      <c r="AO18" s="3">
        <f t="shared" si="13"/>
        <v>4357</v>
      </c>
      <c r="AP18" s="6">
        <f t="shared" si="14"/>
        <v>1</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28</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t="e">
        <f t="shared" si="19"/>
        <v>#DIV/0!</v>
      </c>
      <c r="Q19" s="3">
        <v>0</v>
      </c>
      <c r="R19" s="6">
        <v>0</v>
      </c>
      <c r="S19" s="3" t="e">
        <f t="shared" si="20"/>
        <v>#DIV/0!</v>
      </c>
      <c r="T19" s="3">
        <v>0</v>
      </c>
      <c r="U19" s="6">
        <v>0</v>
      </c>
      <c r="V19" s="3">
        <f t="shared" si="21"/>
        <v>757.8947368421052</v>
      </c>
      <c r="W19" s="3">
        <v>8640</v>
      </c>
      <c r="X19" s="6">
        <v>11.4</v>
      </c>
      <c r="Y19" s="3" t="e">
        <f t="shared" si="22"/>
        <v>#DIV/0!</v>
      </c>
      <c r="Z19" s="3">
        <v>0</v>
      </c>
      <c r="AA19" s="6">
        <v>0</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757.8947368421052</v>
      </c>
      <c r="AO19" s="3">
        <f t="shared" si="13"/>
        <v>8640</v>
      </c>
      <c r="AP19" s="6">
        <f t="shared" si="14"/>
        <v>11.4</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51</v>
      </c>
      <c r="B20" s="15"/>
      <c r="C20" s="15"/>
      <c r="D20" s="3" t="e">
        <f t="shared" si="15"/>
        <v>#DIV/0!</v>
      </c>
      <c r="E20" s="3">
        <v>0</v>
      </c>
      <c r="F20" s="6">
        <v>0</v>
      </c>
      <c r="G20" s="3">
        <f t="shared" si="16"/>
        <v>2676.6666666666665</v>
      </c>
      <c r="H20" s="3">
        <v>4015</v>
      </c>
      <c r="I20" s="6">
        <v>1.5</v>
      </c>
      <c r="J20" s="3" t="e">
        <f t="shared" si="17"/>
        <v>#DIV/0!</v>
      </c>
      <c r="K20" s="3">
        <v>0</v>
      </c>
      <c r="L20" s="6">
        <v>0</v>
      </c>
      <c r="M20" s="3" t="e">
        <f t="shared" si="18"/>
        <v>#DIV/0!</v>
      </c>
      <c r="N20" s="3">
        <v>0</v>
      </c>
      <c r="O20" s="6">
        <v>0</v>
      </c>
      <c r="P20" s="3">
        <f t="shared" si="19"/>
        <v>1738.8888888888889</v>
      </c>
      <c r="Q20" s="3">
        <v>3130</v>
      </c>
      <c r="R20" s="6">
        <v>1.8</v>
      </c>
      <c r="S20" s="3" t="e">
        <f t="shared" si="20"/>
        <v>#DIV/0!</v>
      </c>
      <c r="T20" s="3">
        <v>0</v>
      </c>
      <c r="U20" s="6">
        <v>0</v>
      </c>
      <c r="V20" s="3" t="e">
        <f t="shared" si="21"/>
        <v>#DIV/0!</v>
      </c>
      <c r="W20" s="3">
        <v>0</v>
      </c>
      <c r="X20" s="6">
        <v>0</v>
      </c>
      <c r="Y20" s="3" t="e">
        <f t="shared" si="22"/>
        <v>#DIV/0!</v>
      </c>
      <c r="Z20" s="3">
        <v>0</v>
      </c>
      <c r="AA20" s="6">
        <v>0</v>
      </c>
      <c r="AB20" s="3" t="e">
        <f t="shared" si="23"/>
        <v>#DIV/0!</v>
      </c>
      <c r="AC20" s="3">
        <v>0</v>
      </c>
      <c r="AD20" s="6">
        <v>0</v>
      </c>
      <c r="AE20" s="3" t="e">
        <f t="shared" si="24"/>
        <v>#DIV/0!</v>
      </c>
      <c r="AF20" s="3">
        <v>0</v>
      </c>
      <c r="AG20" s="6">
        <v>0</v>
      </c>
      <c r="AH20" s="3" t="e">
        <f t="shared" si="25"/>
        <v>#DIV/0!</v>
      </c>
      <c r="AI20" s="3">
        <v>0</v>
      </c>
      <c r="AJ20" s="6">
        <v>0</v>
      </c>
      <c r="AK20" s="3" t="e">
        <f t="shared" si="26"/>
        <v>#DIV/0!</v>
      </c>
      <c r="AL20" s="3">
        <v>0</v>
      </c>
      <c r="AM20" s="6">
        <v>0</v>
      </c>
      <c r="AN20" s="3">
        <f t="shared" si="12"/>
        <v>2165.1515151515155</v>
      </c>
      <c r="AO20" s="3">
        <f t="shared" si="13"/>
        <v>7145</v>
      </c>
      <c r="AP20" s="6">
        <f t="shared" si="14"/>
        <v>3.3</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52</v>
      </c>
      <c r="B21" s="15"/>
      <c r="C21" s="15"/>
      <c r="D21" s="3" t="e">
        <f t="shared" si="15"/>
        <v>#DIV/0!</v>
      </c>
      <c r="E21" s="3">
        <v>0</v>
      </c>
      <c r="F21" s="6">
        <v>0</v>
      </c>
      <c r="G21" s="3" t="e">
        <f t="shared" si="16"/>
        <v>#DIV/0!</v>
      </c>
      <c r="H21" s="3">
        <v>0</v>
      </c>
      <c r="I21" s="6">
        <v>0</v>
      </c>
      <c r="J21" s="3" t="e">
        <f t="shared" si="17"/>
        <v>#DIV/0!</v>
      </c>
      <c r="K21" s="3">
        <v>0</v>
      </c>
      <c r="L21" s="6">
        <v>0</v>
      </c>
      <c r="M21" s="3" t="e">
        <f t="shared" si="18"/>
        <v>#DIV/0!</v>
      </c>
      <c r="N21" s="3">
        <v>0</v>
      </c>
      <c r="O21" s="6">
        <v>0</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f t="shared" si="23"/>
        <v>758.78787878787887</v>
      </c>
      <c r="AC21" s="3">
        <v>5008</v>
      </c>
      <c r="AD21" s="6">
        <v>6.6</v>
      </c>
      <c r="AE21" s="3" t="e">
        <f t="shared" si="24"/>
        <v>#DIV/0!</v>
      </c>
      <c r="AF21" s="3">
        <v>0</v>
      </c>
      <c r="AG21" s="6">
        <v>0</v>
      </c>
      <c r="AH21" s="3" t="e">
        <f t="shared" si="25"/>
        <v>#DIV/0!</v>
      </c>
      <c r="AI21" s="3">
        <v>0</v>
      </c>
      <c r="AJ21" s="6">
        <v>0</v>
      </c>
      <c r="AK21" s="3" t="e">
        <f t="shared" si="26"/>
        <v>#DIV/0!</v>
      </c>
      <c r="AL21" s="3">
        <v>0</v>
      </c>
      <c r="AM21" s="6">
        <v>0</v>
      </c>
      <c r="AN21" s="3">
        <f t="shared" si="12"/>
        <v>758.78787878787887</v>
      </c>
      <c r="AO21" s="3">
        <f t="shared" si="13"/>
        <v>5008</v>
      </c>
      <c r="AP21" s="6">
        <f t="shared" si="14"/>
        <v>6.6</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18</v>
      </c>
      <c r="B22" s="15"/>
      <c r="C22" s="15"/>
      <c r="D22" s="3">
        <f t="shared" si="15"/>
        <v>998.87339973896849</v>
      </c>
      <c r="E22" s="3">
        <v>48445260</v>
      </c>
      <c r="F22" s="6">
        <v>48499.9</v>
      </c>
      <c r="G22" s="3">
        <f t="shared" si="16"/>
        <v>1019.3933853509473</v>
      </c>
      <c r="H22" s="3">
        <v>23751662</v>
      </c>
      <c r="I22" s="6">
        <v>23299.8</v>
      </c>
      <c r="J22" s="3">
        <f t="shared" si="17"/>
        <v>1028.885201634042</v>
      </c>
      <c r="K22" s="3">
        <v>41607706</v>
      </c>
      <c r="L22" s="6">
        <v>40439.599999999999</v>
      </c>
      <c r="M22" s="3">
        <f t="shared" si="18"/>
        <v>1071.6056092865624</v>
      </c>
      <c r="N22" s="3">
        <v>55776429</v>
      </c>
      <c r="O22" s="6">
        <v>52049.4</v>
      </c>
      <c r="P22" s="3">
        <f t="shared" si="19"/>
        <v>1066.475352869707</v>
      </c>
      <c r="Q22" s="3">
        <v>42659654</v>
      </c>
      <c r="R22" s="6">
        <v>40000.6</v>
      </c>
      <c r="S22" s="3" t="e">
        <f t="shared" si="20"/>
        <v>#DIV/0!</v>
      </c>
      <c r="T22" s="3">
        <v>0</v>
      </c>
      <c r="U22" s="6">
        <v>0</v>
      </c>
      <c r="V22" s="3" t="e">
        <f t="shared" si="21"/>
        <v>#DIV/0!</v>
      </c>
      <c r="W22" s="3">
        <v>0</v>
      </c>
      <c r="X22" s="6">
        <v>0</v>
      </c>
      <c r="Y22" s="3" t="e">
        <f t="shared" si="22"/>
        <v>#DIV/0!</v>
      </c>
      <c r="Z22" s="3">
        <v>0</v>
      </c>
      <c r="AA22" s="6">
        <v>0</v>
      </c>
      <c r="AB22" s="3" t="e">
        <f t="shared" si="23"/>
        <v>#DIV/0!</v>
      </c>
      <c r="AC22" s="3">
        <v>0</v>
      </c>
      <c r="AD22" s="6">
        <v>0</v>
      </c>
      <c r="AE22" s="3">
        <f t="shared" si="24"/>
        <v>2216</v>
      </c>
      <c r="AF22" s="3">
        <v>3324</v>
      </c>
      <c r="AG22" s="6">
        <v>1.5</v>
      </c>
      <c r="AH22" s="3" t="e">
        <f t="shared" si="25"/>
        <v>#DIV/0!</v>
      </c>
      <c r="AI22" s="3">
        <v>0</v>
      </c>
      <c r="AJ22" s="6">
        <v>0</v>
      </c>
      <c r="AK22" s="3" t="e">
        <f t="shared" si="26"/>
        <v>#DIV/0!</v>
      </c>
      <c r="AL22" s="3">
        <v>0</v>
      </c>
      <c r="AM22" s="6">
        <v>0</v>
      </c>
      <c r="AN22" s="3">
        <f t="shared" si="12"/>
        <v>1038.930950390326</v>
      </c>
      <c r="AO22" s="3">
        <f t="shared" si="13"/>
        <v>212244035</v>
      </c>
      <c r="AP22" s="6">
        <f t="shared" si="14"/>
        <v>204290.8</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32</v>
      </c>
      <c r="B23" s="15"/>
      <c r="C23" s="15"/>
      <c r="D23" s="3" t="e">
        <f t="shared" si="15"/>
        <v>#DIV/0!</v>
      </c>
      <c r="E23" s="3">
        <v>0</v>
      </c>
      <c r="F23" s="6">
        <v>0</v>
      </c>
      <c r="G23" s="3" t="e">
        <f t="shared" si="16"/>
        <v>#DIV/0!</v>
      </c>
      <c r="H23" s="3">
        <v>0</v>
      </c>
      <c r="I23" s="6">
        <v>0</v>
      </c>
      <c r="J23" s="3" t="e">
        <f t="shared" si="17"/>
        <v>#DIV/0!</v>
      </c>
      <c r="K23" s="3">
        <v>0</v>
      </c>
      <c r="L23" s="6">
        <v>0</v>
      </c>
      <c r="M23" s="3" t="e">
        <f t="shared" si="18"/>
        <v>#DIV/0!</v>
      </c>
      <c r="N23" s="3">
        <v>0</v>
      </c>
      <c r="O23" s="6">
        <v>0</v>
      </c>
      <c r="P23" s="3" t="e">
        <f t="shared" si="19"/>
        <v>#DIV/0!</v>
      </c>
      <c r="Q23" s="3">
        <v>0</v>
      </c>
      <c r="R23" s="6">
        <v>0</v>
      </c>
      <c r="S23" s="3" t="e">
        <f t="shared" si="20"/>
        <v>#DIV/0!</v>
      </c>
      <c r="T23" s="3">
        <v>0</v>
      </c>
      <c r="U23" s="6">
        <v>0</v>
      </c>
      <c r="V23" s="3">
        <f t="shared" si="21"/>
        <v>758.13084112149534</v>
      </c>
      <c r="W23" s="3">
        <v>8112</v>
      </c>
      <c r="X23" s="6">
        <v>10.7</v>
      </c>
      <c r="Y23" s="3" t="e">
        <f t="shared" si="22"/>
        <v>#DIV/0!</v>
      </c>
      <c r="Z23" s="3">
        <v>0</v>
      </c>
      <c r="AA23" s="6">
        <v>0</v>
      </c>
      <c r="AB23" s="3" t="e">
        <f t="shared" si="23"/>
        <v>#DIV/0!</v>
      </c>
      <c r="AC23" s="3">
        <v>0</v>
      </c>
      <c r="AD23" s="6">
        <v>0</v>
      </c>
      <c r="AE23" s="3" t="e">
        <f t="shared" si="24"/>
        <v>#DIV/0!</v>
      </c>
      <c r="AF23" s="3">
        <v>0</v>
      </c>
      <c r="AG23" s="6">
        <v>0</v>
      </c>
      <c r="AH23" s="3" t="e">
        <f t="shared" si="25"/>
        <v>#DIV/0!</v>
      </c>
      <c r="AI23" s="3">
        <v>0</v>
      </c>
      <c r="AJ23" s="6">
        <v>0</v>
      </c>
      <c r="AK23" s="3" t="e">
        <f t="shared" si="26"/>
        <v>#DIV/0!</v>
      </c>
      <c r="AL23" s="3">
        <v>0</v>
      </c>
      <c r="AM23" s="6">
        <v>0</v>
      </c>
      <c r="AN23" s="3">
        <f t="shared" si="12"/>
        <v>758.13084112149534</v>
      </c>
      <c r="AO23" s="3">
        <f t="shared" si="13"/>
        <v>8112</v>
      </c>
      <c r="AP23" s="6">
        <f t="shared" si="14"/>
        <v>10.7</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24</v>
      </c>
      <c r="B24" s="15"/>
      <c r="C24" s="15"/>
      <c r="D24" s="3">
        <f t="shared" si="15"/>
        <v>1013.4913174961183</v>
      </c>
      <c r="E24" s="3">
        <v>46148415</v>
      </c>
      <c r="F24" s="6">
        <v>45534.1</v>
      </c>
      <c r="G24" s="3">
        <f t="shared" si="16"/>
        <v>1114.645891282825</v>
      </c>
      <c r="H24" s="3">
        <v>11821377</v>
      </c>
      <c r="I24" s="6">
        <v>10605.5</v>
      </c>
      <c r="J24" s="3">
        <f t="shared" si="17"/>
        <v>1103.6254725094502</v>
      </c>
      <c r="K24" s="3">
        <v>11036034</v>
      </c>
      <c r="L24" s="6">
        <v>9999.7999999999993</v>
      </c>
      <c r="M24" s="3" t="e">
        <f t="shared" si="18"/>
        <v>#DIV/0!</v>
      </c>
      <c r="N24" s="3">
        <v>0</v>
      </c>
      <c r="O24" s="6">
        <v>0</v>
      </c>
      <c r="P24" s="3" t="e">
        <f t="shared" si="19"/>
        <v>#DIV/0!</v>
      </c>
      <c r="Q24" s="3">
        <v>0</v>
      </c>
      <c r="R24" s="6">
        <v>0</v>
      </c>
      <c r="S24" s="3" t="e">
        <f t="shared" si="20"/>
        <v>#DIV/0!</v>
      </c>
      <c r="T24" s="3">
        <v>0</v>
      </c>
      <c r="U24" s="6">
        <v>0</v>
      </c>
      <c r="V24" s="3" t="e">
        <f t="shared" si="21"/>
        <v>#DIV/0!</v>
      </c>
      <c r="W24" s="3">
        <v>0</v>
      </c>
      <c r="X24" s="6">
        <v>0</v>
      </c>
      <c r="Y24" s="3" t="e">
        <f t="shared" si="22"/>
        <v>#DIV/0!</v>
      </c>
      <c r="Z24" s="3">
        <v>0</v>
      </c>
      <c r="AA24" s="6">
        <v>0</v>
      </c>
      <c r="AB24" s="3" t="e">
        <f t="shared" si="23"/>
        <v>#DIV/0!</v>
      </c>
      <c r="AC24" s="3">
        <v>0</v>
      </c>
      <c r="AD24" s="6">
        <v>0</v>
      </c>
      <c r="AE24" s="3" t="e">
        <f t="shared" si="24"/>
        <v>#DIV/0!</v>
      </c>
      <c r="AF24" s="3">
        <v>0</v>
      </c>
      <c r="AG24" s="6">
        <v>0</v>
      </c>
      <c r="AH24" s="3">
        <f t="shared" si="25"/>
        <v>1128.7700643413477</v>
      </c>
      <c r="AI24" s="3">
        <v>13333032</v>
      </c>
      <c r="AJ24" s="6">
        <v>11812</v>
      </c>
      <c r="AK24" s="3" t="e">
        <f t="shared" si="26"/>
        <v>#DIV/0!</v>
      </c>
      <c r="AL24" s="3">
        <v>0</v>
      </c>
      <c r="AM24" s="6">
        <v>0</v>
      </c>
      <c r="AN24" s="3">
        <f t="shared" si="12"/>
        <v>1056.2845311309354</v>
      </c>
      <c r="AO24" s="3">
        <f t="shared" si="13"/>
        <v>82338858</v>
      </c>
      <c r="AP24" s="6">
        <f t="shared" si="14"/>
        <v>77951.399999999994</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33</v>
      </c>
      <c r="B25" s="15"/>
      <c r="C25" s="15"/>
      <c r="D25" s="3" t="e">
        <f t="shared" si="15"/>
        <v>#DIV/0!</v>
      </c>
      <c r="E25" s="3">
        <v>0</v>
      </c>
      <c r="F25" s="6">
        <v>0</v>
      </c>
      <c r="G25" s="3">
        <f t="shared" si="16"/>
        <v>970.02454314763099</v>
      </c>
      <c r="H25" s="3">
        <v>17469269</v>
      </c>
      <c r="I25" s="6">
        <v>18009.099999999999</v>
      </c>
      <c r="J25" s="3" t="e">
        <f t="shared" si="17"/>
        <v>#DIV/0!</v>
      </c>
      <c r="K25" s="3">
        <v>0</v>
      </c>
      <c r="L25" s="6">
        <v>0</v>
      </c>
      <c r="M25" s="3" t="e">
        <f t="shared" si="18"/>
        <v>#DIV/0!</v>
      </c>
      <c r="N25" s="3">
        <v>0</v>
      </c>
      <c r="O25" s="6">
        <v>0</v>
      </c>
      <c r="P25" s="3" t="e">
        <f t="shared" si="19"/>
        <v>#DIV/0!</v>
      </c>
      <c r="Q25" s="3">
        <v>0</v>
      </c>
      <c r="R25" s="6">
        <v>0</v>
      </c>
      <c r="S25" s="3" t="e">
        <f t="shared" si="20"/>
        <v>#DIV/0!</v>
      </c>
      <c r="T25" s="3">
        <v>0</v>
      </c>
      <c r="U25" s="6">
        <v>0</v>
      </c>
      <c r="V25" s="3" t="e">
        <f t="shared" si="21"/>
        <v>#DIV/0!</v>
      </c>
      <c r="W25" s="3">
        <v>0</v>
      </c>
      <c r="X25" s="6">
        <v>0</v>
      </c>
      <c r="Y25" s="3" t="e">
        <f t="shared" si="22"/>
        <v>#DIV/0!</v>
      </c>
      <c r="Z25" s="3">
        <v>0</v>
      </c>
      <c r="AA25" s="6">
        <v>0</v>
      </c>
      <c r="AB25" s="3" t="e">
        <f t="shared" si="23"/>
        <v>#DIV/0!</v>
      </c>
      <c r="AC25" s="3">
        <v>0</v>
      </c>
      <c r="AD25" s="6">
        <v>0</v>
      </c>
      <c r="AE25" s="3" t="e">
        <f t="shared" si="24"/>
        <v>#DIV/0!</v>
      </c>
      <c r="AF25" s="3">
        <v>0</v>
      </c>
      <c r="AG25" s="6">
        <v>0</v>
      </c>
      <c r="AH25" s="3" t="e">
        <f t="shared" si="25"/>
        <v>#DIV/0!</v>
      </c>
      <c r="AI25" s="3">
        <v>0</v>
      </c>
      <c r="AJ25" s="6">
        <v>0</v>
      </c>
      <c r="AK25" s="3" t="e">
        <f t="shared" si="26"/>
        <v>#DIV/0!</v>
      </c>
      <c r="AL25" s="3">
        <v>0</v>
      </c>
      <c r="AM25" s="6">
        <v>0</v>
      </c>
      <c r="AN25" s="3">
        <f t="shared" si="12"/>
        <v>970.02454314763099</v>
      </c>
      <c r="AO25" s="3">
        <f t="shared" si="13"/>
        <v>17469269</v>
      </c>
      <c r="AP25" s="6">
        <f t="shared" si="14"/>
        <v>18009.099999999999</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53</v>
      </c>
      <c r="B26" s="15"/>
      <c r="C26" s="15"/>
      <c r="D26" s="3" t="e">
        <f t="shared" si="15"/>
        <v>#DIV/0!</v>
      </c>
      <c r="E26" s="3">
        <v>0</v>
      </c>
      <c r="F26" s="6">
        <v>0</v>
      </c>
      <c r="G26" s="3" t="e">
        <f t="shared" si="16"/>
        <v>#DIV/0!</v>
      </c>
      <c r="H26" s="3">
        <v>0</v>
      </c>
      <c r="I26" s="6">
        <v>0</v>
      </c>
      <c r="J26" s="3" t="e">
        <f t="shared" si="17"/>
        <v>#DIV/0!</v>
      </c>
      <c r="K26" s="3">
        <v>0</v>
      </c>
      <c r="L26" s="6">
        <v>0</v>
      </c>
      <c r="M26" s="3" t="e">
        <f t="shared" si="18"/>
        <v>#DIV/0!</v>
      </c>
      <c r="N26" s="3">
        <v>0</v>
      </c>
      <c r="O26" s="6">
        <v>0</v>
      </c>
      <c r="P26" s="3" t="e">
        <f t="shared" si="19"/>
        <v>#DIV/0!</v>
      </c>
      <c r="Q26" s="3">
        <v>0</v>
      </c>
      <c r="R26" s="6">
        <v>0</v>
      </c>
      <c r="S26" s="3" t="e">
        <f t="shared" si="20"/>
        <v>#DIV/0!</v>
      </c>
      <c r="T26" s="3">
        <v>0</v>
      </c>
      <c r="U26" s="6">
        <v>0</v>
      </c>
      <c r="V26" s="3">
        <f t="shared" si="21"/>
        <v>5657.6190476190477</v>
      </c>
      <c r="W26" s="3">
        <v>11881</v>
      </c>
      <c r="X26" s="6">
        <v>2.1</v>
      </c>
      <c r="Y26" s="3">
        <f t="shared" si="22"/>
        <v>3379</v>
      </c>
      <c r="Z26" s="3">
        <v>3379</v>
      </c>
      <c r="AA26" s="6">
        <v>1</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4922.5806451612898</v>
      </c>
      <c r="AO26" s="3">
        <f t="shared" si="13"/>
        <v>15260</v>
      </c>
      <c r="AP26" s="6">
        <f t="shared" si="14"/>
        <v>3.1</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34</v>
      </c>
      <c r="B27" s="15"/>
      <c r="C27" s="15"/>
      <c r="D27" s="3">
        <f t="shared" si="15"/>
        <v>1000</v>
      </c>
      <c r="E27" s="3">
        <v>3200000</v>
      </c>
      <c r="F27" s="6">
        <v>3200</v>
      </c>
      <c r="G27" s="3" t="e">
        <f t="shared" si="16"/>
        <v>#DIV/0!</v>
      </c>
      <c r="H27" s="3">
        <v>0</v>
      </c>
      <c r="I27" s="6">
        <v>0</v>
      </c>
      <c r="J27" s="3">
        <f t="shared" si="17"/>
        <v>1000.0133522490195</v>
      </c>
      <c r="K27" s="3">
        <v>2396632</v>
      </c>
      <c r="L27" s="6">
        <v>2396.6</v>
      </c>
      <c r="M27" s="3" t="e">
        <f t="shared" si="18"/>
        <v>#DIV/0!</v>
      </c>
      <c r="N27" s="3">
        <v>0</v>
      </c>
      <c r="O27" s="6">
        <v>0</v>
      </c>
      <c r="P27" s="3">
        <f t="shared" si="19"/>
        <v>4625</v>
      </c>
      <c r="Q27" s="3">
        <v>3700</v>
      </c>
      <c r="R27" s="6">
        <v>0.8</v>
      </c>
      <c r="S27" s="3" t="e">
        <f t="shared" si="20"/>
        <v>#DIV/0!</v>
      </c>
      <c r="T27" s="3">
        <v>0</v>
      </c>
      <c r="U27" s="6">
        <v>0</v>
      </c>
      <c r="V27" s="3" t="e">
        <f t="shared" si="21"/>
        <v>#DIV/0!</v>
      </c>
      <c r="W27" s="3">
        <v>0</v>
      </c>
      <c r="X27" s="6">
        <v>0</v>
      </c>
      <c r="Y27" s="3" t="e">
        <f t="shared" si="22"/>
        <v>#DIV/0!</v>
      </c>
      <c r="Z27" s="3">
        <v>0</v>
      </c>
      <c r="AA27" s="6">
        <v>0</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1000.5238146282202</v>
      </c>
      <c r="AO27" s="3">
        <f t="shared" si="13"/>
        <v>5600332</v>
      </c>
      <c r="AP27" s="6">
        <f t="shared" si="14"/>
        <v>5597.4000000000005</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54</v>
      </c>
      <c r="B28" s="15"/>
      <c r="C28" s="15"/>
      <c r="D28" s="3" t="e">
        <f t="shared" si="15"/>
        <v>#DIV/0!</v>
      </c>
      <c r="E28" s="3">
        <v>0</v>
      </c>
      <c r="F28" s="6">
        <v>0</v>
      </c>
      <c r="G28" s="3" t="e">
        <f t="shared" si="16"/>
        <v>#DIV/0!</v>
      </c>
      <c r="H28" s="3">
        <v>0</v>
      </c>
      <c r="I28" s="6">
        <v>0</v>
      </c>
      <c r="J28" s="3" t="e">
        <f t="shared" si="17"/>
        <v>#DIV/0!</v>
      </c>
      <c r="K28" s="3">
        <v>0</v>
      </c>
      <c r="L28" s="6">
        <v>0</v>
      </c>
      <c r="M28" s="3" t="e">
        <f t="shared" si="18"/>
        <v>#DIV/0!</v>
      </c>
      <c r="N28" s="3">
        <v>0</v>
      </c>
      <c r="O28" s="6">
        <v>0</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f t="shared" si="25"/>
        <v>751</v>
      </c>
      <c r="AI28" s="3">
        <v>3004</v>
      </c>
      <c r="AJ28" s="6">
        <v>4</v>
      </c>
      <c r="AK28" s="3" t="e">
        <f t="shared" si="26"/>
        <v>#DIV/0!</v>
      </c>
      <c r="AL28" s="3">
        <v>0</v>
      </c>
      <c r="AM28" s="6">
        <v>0</v>
      </c>
      <c r="AN28" s="3">
        <f t="shared" si="12"/>
        <v>751</v>
      </c>
      <c r="AO28" s="3">
        <f t="shared" si="13"/>
        <v>3004</v>
      </c>
      <c r="AP28" s="6">
        <f t="shared" si="14"/>
        <v>4</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35</v>
      </c>
      <c r="B29" s="15"/>
      <c r="C29" s="15"/>
      <c r="D29" s="3" t="e">
        <f t="shared" si="15"/>
        <v>#DIV/0!</v>
      </c>
      <c r="E29" s="3">
        <v>0</v>
      </c>
      <c r="F29" s="6">
        <v>0</v>
      </c>
      <c r="G29" s="3">
        <f t="shared" si="16"/>
        <v>876.85714285714289</v>
      </c>
      <c r="H29" s="3">
        <v>6138</v>
      </c>
      <c r="I29" s="6">
        <v>7</v>
      </c>
      <c r="J29" s="3" t="e">
        <f t="shared" si="17"/>
        <v>#DIV/0!</v>
      </c>
      <c r="K29" s="3">
        <v>0</v>
      </c>
      <c r="L29" s="6">
        <v>0</v>
      </c>
      <c r="M29" s="3">
        <f t="shared" si="18"/>
        <v>1413.7333333333333</v>
      </c>
      <c r="N29" s="3">
        <v>63618</v>
      </c>
      <c r="O29" s="6">
        <v>45</v>
      </c>
      <c r="P29" s="3">
        <f t="shared" si="19"/>
        <v>1463</v>
      </c>
      <c r="Q29" s="3">
        <v>64372</v>
      </c>
      <c r="R29" s="6">
        <v>44</v>
      </c>
      <c r="S29" s="3">
        <f t="shared" si="20"/>
        <v>1443.1286894923257</v>
      </c>
      <c r="T29" s="3">
        <v>122233</v>
      </c>
      <c r="U29" s="6">
        <v>84.7</v>
      </c>
      <c r="V29" s="3">
        <f t="shared" si="21"/>
        <v>1445</v>
      </c>
      <c r="W29" s="3">
        <v>59245</v>
      </c>
      <c r="X29" s="6">
        <v>41</v>
      </c>
      <c r="Y29" s="3">
        <f t="shared" si="22"/>
        <v>1602.8636363636363</v>
      </c>
      <c r="Z29" s="3">
        <v>141052</v>
      </c>
      <c r="AA29" s="6">
        <v>88</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1474.5172747820473</v>
      </c>
      <c r="AO29" s="3">
        <f t="shared" si="13"/>
        <v>456658</v>
      </c>
      <c r="AP29" s="6">
        <f t="shared" si="14"/>
        <v>309.7</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55</v>
      </c>
      <c r="B30" s="15"/>
      <c r="C30" s="15"/>
      <c r="D30" s="3" t="e">
        <f t="shared" si="15"/>
        <v>#DIV/0!</v>
      </c>
      <c r="E30" s="3">
        <v>0</v>
      </c>
      <c r="F30" s="6">
        <v>0</v>
      </c>
      <c r="G30" s="3" t="e">
        <f t="shared" si="16"/>
        <v>#DIV/0!</v>
      </c>
      <c r="H30" s="3">
        <v>0</v>
      </c>
      <c r="I30" s="6">
        <v>0</v>
      </c>
      <c r="J30" s="3">
        <f t="shared" si="17"/>
        <v>1743.186274509804</v>
      </c>
      <c r="K30" s="3">
        <v>35561</v>
      </c>
      <c r="L30" s="6">
        <v>20.399999999999999</v>
      </c>
      <c r="M30" s="3" t="e">
        <f t="shared" si="18"/>
        <v>#DIV/0!</v>
      </c>
      <c r="N30" s="3">
        <v>0</v>
      </c>
      <c r="O30" s="6">
        <v>0</v>
      </c>
      <c r="P30" s="3" t="e">
        <f t="shared" si="19"/>
        <v>#DIV/0!</v>
      </c>
      <c r="Q30" s="3">
        <v>0</v>
      </c>
      <c r="R30" s="6">
        <v>0</v>
      </c>
      <c r="S30" s="3" t="e">
        <f t="shared" si="20"/>
        <v>#DIV/0!</v>
      </c>
      <c r="T30" s="3">
        <v>0</v>
      </c>
      <c r="U30" s="6">
        <v>0</v>
      </c>
      <c r="V30" s="3" t="e">
        <f t="shared" si="21"/>
        <v>#DIV/0!</v>
      </c>
      <c r="W30" s="3">
        <v>0</v>
      </c>
      <c r="X30" s="6">
        <v>0</v>
      </c>
      <c r="Y30" s="3" t="e">
        <f t="shared" si="22"/>
        <v>#DIV/0!</v>
      </c>
      <c r="Z30" s="3">
        <v>0</v>
      </c>
      <c r="AA30" s="6">
        <v>0</v>
      </c>
      <c r="AB30" s="3">
        <f t="shared" si="23"/>
        <v>2187.6047904191619</v>
      </c>
      <c r="AC30" s="3">
        <v>36533</v>
      </c>
      <c r="AD30" s="6">
        <v>16.7</v>
      </c>
      <c r="AE30" s="3" t="e">
        <f t="shared" si="24"/>
        <v>#DIV/0!</v>
      </c>
      <c r="AF30" s="3">
        <v>0</v>
      </c>
      <c r="AG30" s="6">
        <v>0</v>
      </c>
      <c r="AH30" s="3" t="e">
        <f t="shared" si="25"/>
        <v>#DIV/0!</v>
      </c>
      <c r="AI30" s="3">
        <v>0</v>
      </c>
      <c r="AJ30" s="6">
        <v>0</v>
      </c>
      <c r="AK30" s="3" t="e">
        <f t="shared" si="26"/>
        <v>#DIV/0!</v>
      </c>
      <c r="AL30" s="3">
        <v>0</v>
      </c>
      <c r="AM30" s="6">
        <v>0</v>
      </c>
      <c r="AN30" s="3">
        <f t="shared" si="12"/>
        <v>1943.2345013477093</v>
      </c>
      <c r="AO30" s="3">
        <f t="shared" si="13"/>
        <v>72094</v>
      </c>
      <c r="AP30" s="6">
        <f t="shared" si="14"/>
        <v>37.099999999999994</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37</v>
      </c>
      <c r="B31" s="15"/>
      <c r="C31" s="15"/>
      <c r="D31" s="3">
        <f t="shared" si="15"/>
        <v>1091.1764705882354</v>
      </c>
      <c r="E31" s="3">
        <v>7420</v>
      </c>
      <c r="F31" s="6">
        <v>6.8</v>
      </c>
      <c r="G31" s="3" t="e">
        <f t="shared" si="16"/>
        <v>#DIV/0!</v>
      </c>
      <c r="H31" s="3">
        <v>0</v>
      </c>
      <c r="I31" s="6">
        <v>0</v>
      </c>
      <c r="J31" s="3">
        <f t="shared" si="17"/>
        <v>3572.8571428571431</v>
      </c>
      <c r="K31" s="3">
        <v>2501</v>
      </c>
      <c r="L31" s="6">
        <v>0.7</v>
      </c>
      <c r="M31" s="3" t="e">
        <f t="shared" si="18"/>
        <v>#DIV/0!</v>
      </c>
      <c r="N31" s="3">
        <v>0</v>
      </c>
      <c r="O31" s="6">
        <v>0</v>
      </c>
      <c r="P31" s="3">
        <f t="shared" si="19"/>
        <v>1843.6923076923076</v>
      </c>
      <c r="Q31" s="3">
        <v>11984</v>
      </c>
      <c r="R31" s="6">
        <v>6.5</v>
      </c>
      <c r="S31" s="3">
        <f t="shared" si="20"/>
        <v>1185.2747252747254</v>
      </c>
      <c r="T31" s="3">
        <v>10786</v>
      </c>
      <c r="U31" s="6">
        <v>9.1</v>
      </c>
      <c r="V31" s="3" t="e">
        <f t="shared" si="21"/>
        <v>#DIV/0!</v>
      </c>
      <c r="W31" s="3">
        <v>0</v>
      </c>
      <c r="X31" s="6">
        <v>0</v>
      </c>
      <c r="Y31" s="3">
        <f t="shared" si="22"/>
        <v>758.14814814814815</v>
      </c>
      <c r="Z31" s="3">
        <v>8188</v>
      </c>
      <c r="AA31" s="6">
        <v>10.8</v>
      </c>
      <c r="AB31" s="3">
        <f t="shared" si="23"/>
        <v>2020.5084745762711</v>
      </c>
      <c r="AC31" s="3">
        <v>11921</v>
      </c>
      <c r="AD31" s="6">
        <v>5.9</v>
      </c>
      <c r="AE31" s="3">
        <f t="shared" si="24"/>
        <v>870.625</v>
      </c>
      <c r="AF31" s="3">
        <v>12537</v>
      </c>
      <c r="AG31" s="6">
        <v>14.4</v>
      </c>
      <c r="AH31" s="3" t="e">
        <f t="shared" si="25"/>
        <v>#DIV/0!</v>
      </c>
      <c r="AI31" s="3">
        <v>0</v>
      </c>
      <c r="AJ31" s="6">
        <v>0</v>
      </c>
      <c r="AK31" s="3" t="e">
        <f t="shared" si="26"/>
        <v>#DIV/0!</v>
      </c>
      <c r="AL31" s="3">
        <v>0</v>
      </c>
      <c r="AM31" s="6">
        <v>0</v>
      </c>
      <c r="AN31" s="3">
        <f t="shared" si="12"/>
        <v>1205.4797047970478</v>
      </c>
      <c r="AO31" s="3">
        <f t="shared" si="13"/>
        <v>65337</v>
      </c>
      <c r="AP31" s="6">
        <f t="shared" si="14"/>
        <v>54.2</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0" t="s">
        <v>56</v>
      </c>
      <c r="B32" s="16"/>
      <c r="C32" s="16"/>
      <c r="D32" s="7" t="e">
        <f t="shared" si="15"/>
        <v>#DIV/0!</v>
      </c>
      <c r="E32" s="8">
        <v>0</v>
      </c>
      <c r="F32" s="9">
        <v>0</v>
      </c>
      <c r="G32" s="8">
        <f t="shared" si="16"/>
        <v>759.35064935064929</v>
      </c>
      <c r="H32" s="8">
        <v>5847</v>
      </c>
      <c r="I32" s="9">
        <v>7.7</v>
      </c>
      <c r="J32" s="8" t="e">
        <f t="shared" si="17"/>
        <v>#DIV/0!</v>
      </c>
      <c r="K32" s="8">
        <v>0</v>
      </c>
      <c r="L32" s="9">
        <v>0</v>
      </c>
      <c r="M32" s="8" t="e">
        <f t="shared" si="18"/>
        <v>#DIV/0!</v>
      </c>
      <c r="N32" s="8">
        <v>0</v>
      </c>
      <c r="O32" s="9">
        <v>0</v>
      </c>
      <c r="P32" s="8" t="e">
        <f t="shared" si="19"/>
        <v>#DIV/0!</v>
      </c>
      <c r="Q32" s="8">
        <v>0</v>
      </c>
      <c r="R32" s="9">
        <v>0</v>
      </c>
      <c r="S32" s="8" t="e">
        <f t="shared" si="20"/>
        <v>#DIV/0!</v>
      </c>
      <c r="T32" s="8">
        <v>0</v>
      </c>
      <c r="U32" s="9">
        <v>0</v>
      </c>
      <c r="V32" s="8" t="e">
        <f t="shared" si="21"/>
        <v>#DIV/0!</v>
      </c>
      <c r="W32" s="8">
        <v>0</v>
      </c>
      <c r="X32" s="9">
        <v>0</v>
      </c>
      <c r="Y32" s="8" t="e">
        <f t="shared" si="22"/>
        <v>#DIV/0!</v>
      </c>
      <c r="Z32" s="8">
        <v>0</v>
      </c>
      <c r="AA32" s="9">
        <v>0</v>
      </c>
      <c r="AB32" s="8" t="e">
        <f t="shared" si="23"/>
        <v>#DIV/0!</v>
      </c>
      <c r="AC32" s="8">
        <v>0</v>
      </c>
      <c r="AD32" s="9">
        <v>0</v>
      </c>
      <c r="AE32" s="8" t="e">
        <f t="shared" si="24"/>
        <v>#DIV/0!</v>
      </c>
      <c r="AF32" s="8">
        <v>0</v>
      </c>
      <c r="AG32" s="9">
        <v>0</v>
      </c>
      <c r="AH32" s="8" t="e">
        <f t="shared" si="25"/>
        <v>#DIV/0!</v>
      </c>
      <c r="AI32" s="8">
        <v>0</v>
      </c>
      <c r="AJ32" s="9">
        <v>0</v>
      </c>
      <c r="AK32" s="8" t="e">
        <f t="shared" si="26"/>
        <v>#DIV/0!</v>
      </c>
      <c r="AL32" s="8">
        <v>0</v>
      </c>
      <c r="AM32" s="9">
        <v>0</v>
      </c>
      <c r="AN32" s="8">
        <f t="shared" si="12"/>
        <v>759.35064935064929</v>
      </c>
      <c r="AO32" s="8">
        <f t="shared" si="13"/>
        <v>5847</v>
      </c>
      <c r="AP32" s="9">
        <f t="shared" si="14"/>
        <v>7.7</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1" x14ac:dyDescent="0.3">
      <c r="A33" s="1" t="s">
        <v>38</v>
      </c>
    </row>
    <row r="34" spans="1:1" x14ac:dyDescent="0.3">
      <c r="A34" s="1" t="s">
        <v>41</v>
      </c>
    </row>
    <row r="35" spans="1:1" x14ac:dyDescent="0.3">
      <c r="A35" s="1" t="s">
        <v>39</v>
      </c>
    </row>
    <row r="36" spans="1:1" x14ac:dyDescent="0.3">
      <c r="A36" s="1" t="s">
        <v>40</v>
      </c>
    </row>
    <row r="37" spans="1:1" x14ac:dyDescent="0.3">
      <c r="A37" s="1" t="s">
        <v>46</v>
      </c>
    </row>
    <row r="38" spans="1:1" x14ac:dyDescent="0.3">
      <c r="A38" s="1" t="s">
        <v>47</v>
      </c>
    </row>
  </sheetData>
  <mergeCells count="15">
    <mergeCell ref="B3:B32"/>
    <mergeCell ref="C3:C32"/>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2026-06-16T02:07:32Z</dcterms:modified>
</cp:coreProperties>
</file>