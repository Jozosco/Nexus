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U:\데이터플랫폼팀\00 데이터플랫폼팀_공유\데이터플랫폼팀(23.03~)\08 데이터 분석\00 분석과제정의서\☆구매\수입원료\대두유\데이터\외부\경제, 무역\USDA(미국 농무부)\GATS(글로벌 농산물 무역 시스템)\Oilseeds\대두\1507100000\"/>
    </mc:Choice>
  </mc:AlternateContent>
  <bookViews>
    <workbookView xWindow="0" yWindow="0" windowWidth="25125" windowHeight="11640"/>
  </bookViews>
  <sheets>
    <sheet name="2019년" sheetId="1" r:id="rId1"/>
  </sheets>
  <calcPr calcId="162913"/>
</workbook>
</file>

<file path=xl/calcChain.xml><?xml version="1.0" encoding="utf-8"?>
<calcChain xmlns="http://schemas.openxmlformats.org/spreadsheetml/2006/main">
  <c r="G4" i="1" l="1"/>
  <c r="J4" i="1"/>
  <c r="M4" i="1"/>
  <c r="P4" i="1"/>
  <c r="S4" i="1"/>
  <c r="V4" i="1"/>
  <c r="Y4" i="1"/>
  <c r="AB4" i="1"/>
  <c r="AM3" i="1" l="1"/>
  <c r="AL3" i="1"/>
  <c r="AK3" i="1" s="1"/>
  <c r="AJ3" i="1"/>
  <c r="AI3" i="1"/>
  <c r="AH3" i="1" s="1"/>
  <c r="AG3" i="1"/>
  <c r="AF3" i="1"/>
  <c r="AE3" i="1"/>
  <c r="AD3" i="1"/>
  <c r="AC3" i="1"/>
  <c r="AB3" i="1" s="1"/>
  <c r="AA3" i="1"/>
  <c r="Z3" i="1"/>
  <c r="X3" i="1"/>
  <c r="W3" i="1"/>
  <c r="V3" i="1"/>
  <c r="U3" i="1"/>
  <c r="T3" i="1"/>
  <c r="R3" i="1"/>
  <c r="Q3" i="1"/>
  <c r="O3" i="1"/>
  <c r="M3" i="1" s="1"/>
  <c r="N3" i="1"/>
  <c r="L3" i="1"/>
  <c r="K3" i="1"/>
  <c r="I3" i="1"/>
  <c r="H3" i="1"/>
  <c r="F3" i="1"/>
  <c r="E3" i="1"/>
  <c r="D3" i="1" s="1"/>
  <c r="AO40" i="1"/>
  <c r="AO39" i="1"/>
  <c r="AO38" i="1"/>
  <c r="AO37" i="1"/>
  <c r="AO36" i="1"/>
  <c r="AO35" i="1"/>
  <c r="AO34" i="1"/>
  <c r="AO33" i="1"/>
  <c r="AO32" i="1"/>
  <c r="AO31" i="1"/>
  <c r="AO30" i="1"/>
  <c r="AO29" i="1"/>
  <c r="AO28" i="1"/>
  <c r="AO27" i="1"/>
  <c r="AO26" i="1"/>
  <c r="AO25" i="1"/>
  <c r="AO24" i="1"/>
  <c r="AO23" i="1"/>
  <c r="AO22" i="1"/>
  <c r="AO21" i="1"/>
  <c r="AO20" i="1"/>
  <c r="AO19" i="1"/>
  <c r="AO18" i="1"/>
  <c r="AO17" i="1"/>
  <c r="AO16" i="1"/>
  <c r="AO15" i="1"/>
  <c r="AO14" i="1"/>
  <c r="AO13" i="1"/>
  <c r="AO12" i="1"/>
  <c r="AO11" i="1"/>
  <c r="AO10" i="1"/>
  <c r="AO9" i="1"/>
  <c r="AO8" i="1"/>
  <c r="AO7" i="1"/>
  <c r="AO6" i="1"/>
  <c r="AO5" i="1"/>
  <c r="AO4" i="1"/>
  <c r="AK40" i="1"/>
  <c r="AK39" i="1"/>
  <c r="AK38" i="1"/>
  <c r="AK37" i="1"/>
  <c r="AK36" i="1"/>
  <c r="AK35" i="1"/>
  <c r="AK34" i="1"/>
  <c r="AK33" i="1"/>
  <c r="AK32" i="1"/>
  <c r="AK31" i="1"/>
  <c r="AK30" i="1"/>
  <c r="AK29" i="1"/>
  <c r="AK28" i="1"/>
  <c r="AK27" i="1"/>
  <c r="AK26" i="1"/>
  <c r="AK25" i="1"/>
  <c r="AK24" i="1"/>
  <c r="AK23" i="1"/>
  <c r="AK22" i="1"/>
  <c r="AK21" i="1"/>
  <c r="AK20" i="1"/>
  <c r="AK19" i="1"/>
  <c r="AK18" i="1"/>
  <c r="AK17" i="1"/>
  <c r="AK16" i="1"/>
  <c r="AK15" i="1"/>
  <c r="AK14" i="1"/>
  <c r="AK13" i="1"/>
  <c r="AK12" i="1"/>
  <c r="AK11" i="1"/>
  <c r="AK10" i="1"/>
  <c r="AK9" i="1"/>
  <c r="AK8" i="1"/>
  <c r="AK7" i="1"/>
  <c r="AK6" i="1"/>
  <c r="AK5" i="1"/>
  <c r="AK4" i="1"/>
  <c r="AH40" i="1"/>
  <c r="AH39" i="1"/>
  <c r="AH38" i="1"/>
  <c r="AH37" i="1"/>
  <c r="AH36" i="1"/>
  <c r="AH35" i="1"/>
  <c r="AH34" i="1"/>
  <c r="AH33" i="1"/>
  <c r="AH32" i="1"/>
  <c r="AH31" i="1"/>
  <c r="AH30" i="1"/>
  <c r="AH29" i="1"/>
  <c r="AH28" i="1"/>
  <c r="AH27" i="1"/>
  <c r="AH26" i="1"/>
  <c r="AH25" i="1"/>
  <c r="AH24" i="1"/>
  <c r="AH23" i="1"/>
  <c r="AH22" i="1"/>
  <c r="AH21" i="1"/>
  <c r="AH20" i="1"/>
  <c r="AH19" i="1"/>
  <c r="AH18" i="1"/>
  <c r="AH17" i="1"/>
  <c r="AH16" i="1"/>
  <c r="AH15" i="1"/>
  <c r="AH14" i="1"/>
  <c r="AH13" i="1"/>
  <c r="AH12" i="1"/>
  <c r="AH11" i="1"/>
  <c r="AH10" i="1"/>
  <c r="AH9" i="1"/>
  <c r="AH8" i="1"/>
  <c r="AH7" i="1"/>
  <c r="AH6" i="1"/>
  <c r="AH5" i="1"/>
  <c r="AH4" i="1"/>
  <c r="AE40" i="1"/>
  <c r="AE39" i="1"/>
  <c r="AE38" i="1"/>
  <c r="AE37" i="1"/>
  <c r="AE36" i="1"/>
  <c r="AE35" i="1"/>
  <c r="AE34" i="1"/>
  <c r="AE33" i="1"/>
  <c r="AE32" i="1"/>
  <c r="AE31" i="1"/>
  <c r="AE30" i="1"/>
  <c r="AE29" i="1"/>
  <c r="AE28" i="1"/>
  <c r="AE27" i="1"/>
  <c r="AE26" i="1"/>
  <c r="AE25" i="1"/>
  <c r="AE24" i="1"/>
  <c r="AE23" i="1"/>
  <c r="AE22" i="1"/>
  <c r="AE21" i="1"/>
  <c r="AE20" i="1"/>
  <c r="AE19" i="1"/>
  <c r="AE18" i="1"/>
  <c r="AE17" i="1"/>
  <c r="AE16" i="1"/>
  <c r="AE15" i="1"/>
  <c r="AE14" i="1"/>
  <c r="AE13" i="1"/>
  <c r="AE12" i="1"/>
  <c r="AE11" i="1"/>
  <c r="AE10" i="1"/>
  <c r="AE9" i="1"/>
  <c r="AE8" i="1"/>
  <c r="AE7" i="1"/>
  <c r="AE6" i="1"/>
  <c r="AE5" i="1"/>
  <c r="AE4" i="1"/>
  <c r="AB40" i="1"/>
  <c r="AB39" i="1"/>
  <c r="AB38" i="1"/>
  <c r="AB37" i="1"/>
  <c r="AB36" i="1"/>
  <c r="AB35" i="1"/>
  <c r="AB34" i="1"/>
  <c r="AB33" i="1"/>
  <c r="AB32" i="1"/>
  <c r="AB31" i="1"/>
  <c r="AB30" i="1"/>
  <c r="AB29" i="1"/>
  <c r="AB28" i="1"/>
  <c r="AB27" i="1"/>
  <c r="AB26" i="1"/>
  <c r="AB25" i="1"/>
  <c r="AB24" i="1"/>
  <c r="AB23" i="1"/>
  <c r="AB22" i="1"/>
  <c r="AB21" i="1"/>
  <c r="AB20" i="1"/>
  <c r="AB19" i="1"/>
  <c r="AB18" i="1"/>
  <c r="AB17" i="1"/>
  <c r="AB16" i="1"/>
  <c r="AB15" i="1"/>
  <c r="AB14" i="1"/>
  <c r="AB13" i="1"/>
  <c r="AB12" i="1"/>
  <c r="AB11" i="1"/>
  <c r="AB10" i="1"/>
  <c r="AB9" i="1"/>
  <c r="AB8" i="1"/>
  <c r="AB7" i="1"/>
  <c r="AB6" i="1"/>
  <c r="AB5" i="1"/>
  <c r="Y40" i="1"/>
  <c r="Y39" i="1"/>
  <c r="Y38" i="1"/>
  <c r="Y37" i="1"/>
  <c r="Y36" i="1"/>
  <c r="Y35" i="1"/>
  <c r="Y34" i="1"/>
  <c r="Y33" i="1"/>
  <c r="Y32" i="1"/>
  <c r="Y31" i="1"/>
  <c r="Y30" i="1"/>
  <c r="Y29" i="1"/>
  <c r="Y28" i="1"/>
  <c r="Y27" i="1"/>
  <c r="Y26" i="1"/>
  <c r="Y25" i="1"/>
  <c r="Y24" i="1"/>
  <c r="Y23" i="1"/>
  <c r="Y22" i="1"/>
  <c r="Y21" i="1"/>
  <c r="Y20" i="1"/>
  <c r="Y19" i="1"/>
  <c r="Y18" i="1"/>
  <c r="Y17" i="1"/>
  <c r="Y16" i="1"/>
  <c r="Y15" i="1"/>
  <c r="Y14" i="1"/>
  <c r="Y13" i="1"/>
  <c r="Y12" i="1"/>
  <c r="Y11" i="1"/>
  <c r="Y10" i="1"/>
  <c r="Y9" i="1"/>
  <c r="Y8" i="1"/>
  <c r="Y7" i="1"/>
  <c r="Y6" i="1"/>
  <c r="Y5" i="1"/>
  <c r="V40" i="1"/>
  <c r="V39" i="1"/>
  <c r="V38" i="1"/>
  <c r="V37" i="1"/>
  <c r="V36" i="1"/>
  <c r="V35" i="1"/>
  <c r="V34" i="1"/>
  <c r="V33" i="1"/>
  <c r="V32" i="1"/>
  <c r="V31" i="1"/>
  <c r="V30" i="1"/>
  <c r="V29" i="1"/>
  <c r="V28" i="1"/>
  <c r="V27" i="1"/>
  <c r="V26" i="1"/>
  <c r="V25" i="1"/>
  <c r="V24" i="1"/>
  <c r="V23" i="1"/>
  <c r="V22" i="1"/>
  <c r="V21" i="1"/>
  <c r="V20" i="1"/>
  <c r="V19" i="1"/>
  <c r="V18" i="1"/>
  <c r="V17" i="1"/>
  <c r="V16" i="1"/>
  <c r="V15" i="1"/>
  <c r="V14" i="1"/>
  <c r="V13" i="1"/>
  <c r="V12" i="1"/>
  <c r="V11" i="1"/>
  <c r="V10" i="1"/>
  <c r="V9" i="1"/>
  <c r="V8" i="1"/>
  <c r="V7" i="1"/>
  <c r="V6" i="1"/>
  <c r="V5" i="1"/>
  <c r="S40" i="1"/>
  <c r="S39" i="1"/>
  <c r="S38" i="1"/>
  <c r="S37" i="1"/>
  <c r="S36" i="1"/>
  <c r="S35" i="1"/>
  <c r="S34" i="1"/>
  <c r="S33" i="1"/>
  <c r="S32" i="1"/>
  <c r="S31" i="1"/>
  <c r="S30" i="1"/>
  <c r="S29" i="1"/>
  <c r="S28" i="1"/>
  <c r="S27" i="1"/>
  <c r="S26" i="1"/>
  <c r="S25" i="1"/>
  <c r="S24" i="1"/>
  <c r="S23" i="1"/>
  <c r="S22" i="1"/>
  <c r="S21" i="1"/>
  <c r="S20" i="1"/>
  <c r="S19" i="1"/>
  <c r="S18" i="1"/>
  <c r="S17" i="1"/>
  <c r="S16" i="1"/>
  <c r="S15" i="1"/>
  <c r="S14" i="1"/>
  <c r="S13" i="1"/>
  <c r="S12" i="1"/>
  <c r="S11" i="1"/>
  <c r="S10" i="1"/>
  <c r="S9" i="1"/>
  <c r="S8" i="1"/>
  <c r="S7" i="1"/>
  <c r="S6" i="1"/>
  <c r="S5" i="1"/>
  <c r="P40" i="1"/>
  <c r="P39" i="1"/>
  <c r="P38" i="1"/>
  <c r="P37" i="1"/>
  <c r="P36" i="1"/>
  <c r="P35" i="1"/>
  <c r="P34" i="1"/>
  <c r="P33" i="1"/>
  <c r="P32" i="1"/>
  <c r="P31" i="1"/>
  <c r="P30" i="1"/>
  <c r="P29" i="1"/>
  <c r="P28" i="1"/>
  <c r="P27" i="1"/>
  <c r="P26" i="1"/>
  <c r="P25" i="1"/>
  <c r="P24" i="1"/>
  <c r="P23" i="1"/>
  <c r="P22" i="1"/>
  <c r="P21" i="1"/>
  <c r="P20" i="1"/>
  <c r="P19" i="1"/>
  <c r="P18" i="1"/>
  <c r="P17" i="1"/>
  <c r="P16" i="1"/>
  <c r="P15" i="1"/>
  <c r="P14" i="1"/>
  <c r="P13" i="1"/>
  <c r="P12" i="1"/>
  <c r="P11" i="1"/>
  <c r="P10" i="1"/>
  <c r="P9" i="1"/>
  <c r="P8" i="1"/>
  <c r="P7" i="1"/>
  <c r="P6" i="1"/>
  <c r="P5" i="1"/>
  <c r="M40" i="1"/>
  <c r="M39" i="1"/>
  <c r="M38" i="1"/>
  <c r="M37" i="1"/>
  <c r="M36" i="1"/>
  <c r="M35" i="1"/>
  <c r="M34" i="1"/>
  <c r="M33" i="1"/>
  <c r="M32" i="1"/>
  <c r="M31" i="1"/>
  <c r="M30" i="1"/>
  <c r="M29" i="1"/>
  <c r="M28" i="1"/>
  <c r="M27" i="1"/>
  <c r="M26" i="1"/>
  <c r="M25" i="1"/>
  <c r="M24" i="1"/>
  <c r="M23" i="1"/>
  <c r="M22" i="1"/>
  <c r="M21" i="1"/>
  <c r="M20" i="1"/>
  <c r="M19" i="1"/>
  <c r="M18" i="1"/>
  <c r="M17" i="1"/>
  <c r="M16" i="1"/>
  <c r="M15" i="1"/>
  <c r="M14" i="1"/>
  <c r="M13" i="1"/>
  <c r="M12" i="1"/>
  <c r="M11" i="1"/>
  <c r="M10" i="1"/>
  <c r="M9" i="1"/>
  <c r="M8" i="1"/>
  <c r="M7" i="1"/>
  <c r="M6" i="1"/>
  <c r="M5" i="1"/>
  <c r="J40" i="1"/>
  <c r="J39" i="1"/>
  <c r="J38" i="1"/>
  <c r="J37" i="1"/>
  <c r="J36" i="1"/>
  <c r="J35" i="1"/>
  <c r="J34" i="1"/>
  <c r="J33" i="1"/>
  <c r="J32" i="1"/>
  <c r="J31" i="1"/>
  <c r="J30" i="1"/>
  <c r="J29" i="1"/>
  <c r="J28" i="1"/>
  <c r="J27" i="1"/>
  <c r="J26" i="1"/>
  <c r="J25" i="1"/>
  <c r="J24" i="1"/>
  <c r="J23" i="1"/>
  <c r="J22" i="1"/>
  <c r="J21" i="1"/>
  <c r="J20" i="1"/>
  <c r="J19" i="1"/>
  <c r="J18" i="1"/>
  <c r="J17" i="1"/>
  <c r="J16" i="1"/>
  <c r="J15" i="1"/>
  <c r="J14" i="1"/>
  <c r="J13" i="1"/>
  <c r="J12" i="1"/>
  <c r="J11" i="1"/>
  <c r="J10" i="1"/>
  <c r="J9" i="1"/>
  <c r="J8" i="1"/>
  <c r="J7" i="1"/>
  <c r="J6" i="1"/>
  <c r="J5" i="1"/>
  <c r="G40" i="1"/>
  <c r="G39" i="1"/>
  <c r="G38" i="1"/>
  <c r="G37" i="1"/>
  <c r="G36" i="1"/>
  <c r="G35" i="1"/>
  <c r="G34" i="1"/>
  <c r="G33" i="1"/>
  <c r="G32" i="1"/>
  <c r="G31" i="1"/>
  <c r="G30" i="1"/>
  <c r="G29" i="1"/>
  <c r="G28" i="1"/>
  <c r="G27" i="1"/>
  <c r="G26" i="1"/>
  <c r="G25" i="1"/>
  <c r="G24" i="1"/>
  <c r="G23" i="1"/>
  <c r="G22" i="1"/>
  <c r="G21" i="1"/>
  <c r="G20" i="1"/>
  <c r="G19" i="1"/>
  <c r="G18" i="1"/>
  <c r="G17" i="1"/>
  <c r="G16" i="1"/>
  <c r="G15" i="1"/>
  <c r="G14" i="1"/>
  <c r="G13" i="1"/>
  <c r="G12" i="1"/>
  <c r="G11" i="1"/>
  <c r="G10" i="1"/>
  <c r="G9" i="1"/>
  <c r="G8" i="1"/>
  <c r="G7" i="1"/>
  <c r="G6" i="1"/>
  <c r="G5" i="1"/>
  <c r="D40" i="1"/>
  <c r="D39" i="1"/>
  <c r="D38" i="1"/>
  <c r="D37" i="1"/>
  <c r="D36" i="1"/>
  <c r="D35" i="1"/>
  <c r="D34" i="1"/>
  <c r="D33" i="1"/>
  <c r="D32" i="1"/>
  <c r="D31" i="1"/>
  <c r="D30" i="1"/>
  <c r="D29" i="1"/>
  <c r="D28" i="1"/>
  <c r="D27" i="1"/>
  <c r="D26" i="1"/>
  <c r="D25" i="1"/>
  <c r="D24" i="1"/>
  <c r="D23" i="1"/>
  <c r="D22" i="1"/>
  <c r="D21" i="1"/>
  <c r="D20" i="1"/>
  <c r="D19" i="1"/>
  <c r="D18" i="1"/>
  <c r="D17" i="1"/>
  <c r="D16" i="1"/>
  <c r="D15" i="1"/>
  <c r="D14" i="1"/>
  <c r="D13" i="1"/>
  <c r="D11" i="1"/>
  <c r="D10" i="1"/>
  <c r="D9" i="1"/>
  <c r="D8" i="1"/>
  <c r="D7" i="1"/>
  <c r="D6" i="1"/>
  <c r="D5" i="1"/>
  <c r="D4" i="1"/>
  <c r="D12" i="1"/>
  <c r="AP40" i="1"/>
  <c r="AP39" i="1"/>
  <c r="AP38" i="1"/>
  <c r="AP37" i="1"/>
  <c r="AP36" i="1"/>
  <c r="AP35" i="1"/>
  <c r="AP34" i="1"/>
  <c r="AP33" i="1"/>
  <c r="AP32" i="1"/>
  <c r="AP31" i="1"/>
  <c r="AP30" i="1"/>
  <c r="AP29" i="1"/>
  <c r="AP28" i="1"/>
  <c r="AP27" i="1"/>
  <c r="AP26" i="1"/>
  <c r="AP25" i="1"/>
  <c r="AP24" i="1"/>
  <c r="AP23" i="1"/>
  <c r="AP22" i="1"/>
  <c r="AP21" i="1"/>
  <c r="AP20" i="1"/>
  <c r="AP19" i="1"/>
  <c r="AP18" i="1"/>
  <c r="AP17" i="1"/>
  <c r="AP16" i="1"/>
  <c r="AP15" i="1"/>
  <c r="AP14" i="1"/>
  <c r="AP13" i="1"/>
  <c r="AP11" i="1"/>
  <c r="AP10" i="1"/>
  <c r="AP9" i="1"/>
  <c r="AP8" i="1"/>
  <c r="AP7" i="1"/>
  <c r="AP6" i="1"/>
  <c r="AP5" i="1"/>
  <c r="AP4" i="1"/>
  <c r="S3" i="1" l="1"/>
  <c r="AN21" i="1"/>
  <c r="AN37" i="1"/>
  <c r="AN13" i="1"/>
  <c r="AN29" i="1"/>
  <c r="AN22" i="1"/>
  <c r="AN38" i="1"/>
  <c r="AN15" i="1"/>
  <c r="AN31" i="1"/>
  <c r="AN14" i="1"/>
  <c r="AN30" i="1"/>
  <c r="AN39" i="1"/>
  <c r="AN7" i="1"/>
  <c r="AN6" i="1"/>
  <c r="AO3" i="1"/>
  <c r="AN5" i="1"/>
  <c r="J3" i="1"/>
  <c r="P3" i="1"/>
  <c r="Y3" i="1"/>
  <c r="G3" i="1"/>
  <c r="AN8" i="1"/>
  <c r="AN40" i="1"/>
  <c r="AN25" i="1"/>
  <c r="AN10" i="1"/>
  <c r="AN18" i="1"/>
  <c r="AN26" i="1"/>
  <c r="AN34" i="1"/>
  <c r="AN24" i="1"/>
  <c r="AN9" i="1"/>
  <c r="AN33" i="1"/>
  <c r="AN11" i="1"/>
  <c r="AN27" i="1"/>
  <c r="AN35" i="1"/>
  <c r="AN16" i="1"/>
  <c r="AN32" i="1"/>
  <c r="AN17" i="1"/>
  <c r="AN20" i="1"/>
  <c r="AN28" i="1"/>
  <c r="AN36" i="1"/>
  <c r="AN19" i="1"/>
  <c r="AN23" i="1"/>
  <c r="AN4" i="1"/>
  <c r="AP12" i="1"/>
  <c r="AP3" i="1" s="1"/>
  <c r="AN12" i="1" l="1"/>
  <c r="AN3" i="1"/>
</calcChain>
</file>

<file path=xl/sharedStrings.xml><?xml version="1.0" encoding="utf-8"?>
<sst xmlns="http://schemas.openxmlformats.org/spreadsheetml/2006/main" count="101" uniqueCount="65">
  <si>
    <t>January</t>
  </si>
  <si>
    <t>February</t>
  </si>
  <si>
    <t>March</t>
  </si>
  <si>
    <t>April</t>
  </si>
  <si>
    <t>May</t>
  </si>
  <si>
    <t>June</t>
  </si>
  <si>
    <t>July</t>
  </si>
  <si>
    <t>August</t>
  </si>
  <si>
    <t>September</t>
  </si>
  <si>
    <t>October</t>
  </si>
  <si>
    <t>November</t>
  </si>
  <si>
    <t>December</t>
  </si>
  <si>
    <t>Total</t>
  </si>
  <si>
    <t>Unit of Measure</t>
  </si>
  <si>
    <t>Unit Value</t>
  </si>
  <si>
    <t>Qty</t>
  </si>
  <si>
    <t>World Total</t>
  </si>
  <si>
    <t>MT</t>
  </si>
  <si>
    <t>India</t>
  </si>
  <si>
    <t>Costa Rica</t>
  </si>
  <si>
    <t>Australia(*)</t>
  </si>
  <si>
    <t>Oman</t>
  </si>
  <si>
    <t>Saudi Arabia</t>
  </si>
  <si>
    <t>Yemen</t>
  </si>
  <si>
    <t>Canada</t>
  </si>
  <si>
    <t>Colombia</t>
  </si>
  <si>
    <t>Dominican Republic</t>
  </si>
  <si>
    <t>Korea, South</t>
  </si>
  <si>
    <t>Jamaica</t>
  </si>
  <si>
    <t>Mexico</t>
  </si>
  <si>
    <t>Pakistan</t>
  </si>
  <si>
    <t>Mozambique</t>
  </si>
  <si>
    <t>Barbados</t>
  </si>
  <si>
    <t>Bahamas, The</t>
  </si>
  <si>
    <t>China</t>
  </si>
  <si>
    <t>Ecuador</t>
  </si>
  <si>
    <t>El Salvador</t>
  </si>
  <si>
    <t>Guatemala</t>
  </si>
  <si>
    <t>Honduras</t>
  </si>
  <si>
    <t>Japan</t>
  </si>
  <si>
    <t>Lebanon</t>
  </si>
  <si>
    <t>Nicaragua</t>
  </si>
  <si>
    <t>Peru</t>
  </si>
  <si>
    <t>Panama</t>
  </si>
  <si>
    <t>Trinidad and Tobago</t>
  </si>
  <si>
    <t>Venezuela</t>
  </si>
  <si>
    <t>Leeward-Windward Islands(*)</t>
  </si>
  <si>
    <t>Notes:</t>
  </si>
  <si>
    <t>2. (*) denotes a country that is a summarization of its component countries.</t>
  </si>
  <si>
    <t>3. Users should use cautious interpretation on QUANTITY reports using mixed units of measure. QUANTITY line items will only include statistics on the units of measure that are equal to, or are able to be converted to, the assigned unit of measure of the grouped commodities.</t>
  </si>
  <si>
    <t>1. Data Source: U.S. Census Bureau Trade Data</t>
    <phoneticPr fontId="18" type="noConversion"/>
  </si>
  <si>
    <t>Country</t>
    <phoneticPr fontId="18" type="noConversion"/>
  </si>
  <si>
    <t>Value</t>
    <phoneticPr fontId="18" type="noConversion"/>
  </si>
  <si>
    <t>USD</t>
    <phoneticPr fontId="18" type="noConversion"/>
  </si>
  <si>
    <t>Value</t>
    <phoneticPr fontId="18" type="noConversion"/>
  </si>
  <si>
    <t>4. The Unit Value is calculated by dividing the sum of the value by the sum of the quantity converted to the selected unit of measure to three decimal places. (9999/99.999)</t>
    <phoneticPr fontId="18" type="noConversion"/>
  </si>
  <si>
    <t>5. Product Group: Harmonized</t>
    <phoneticPr fontId="18" type="noConversion"/>
  </si>
  <si>
    <t>Haiti</t>
  </si>
  <si>
    <t>Netherlands Antilles(*)</t>
  </si>
  <si>
    <t>Guyana</t>
  </si>
  <si>
    <t>Iraq</t>
  </si>
  <si>
    <t>Kuwait</t>
  </si>
  <si>
    <t>New Zealand(*)</t>
  </si>
  <si>
    <t>Qatar</t>
  </si>
  <si>
    <t>Philippines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</si>
</sst>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0_);[Red]\(#,##0.0\)"/>
  </numFmts>
  <fonts count="19" x14ac:knownFonts="1">
    <font>
      <sz val="11"/>
      <color theme="1"/>
      <name val="맑은 고딕"/>
      <family val="2"/>
      <charset val="129"/>
      <scheme val="minor"/>
    </font>
    <font>
      <sz val="11"/>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65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8"/>
      <name val="맑은 고딕"/>
      <family val="2"/>
      <charset val="129"/>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
      <patternFill patternType="solid">
        <fgColor rgb="FFDDEBF7"/>
        <bgColor indexed="64"/>
      </patternFill>
    </fill>
  </fills>
  <borders count="2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7"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7"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7"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7"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7"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7" fillId="32" borderId="0" applyNumberFormat="0" applyBorder="0" applyAlignment="0" applyProtection="0">
      <alignment vertical="center"/>
    </xf>
  </cellStyleXfs>
  <cellXfs count="20">
    <xf numFmtId="0" fontId="0" fillId="0" borderId="0" xfId="0">
      <alignment vertical="center"/>
    </xf>
    <xf numFmtId="49" fontId="0" fillId="0" borderId="0" xfId="0" applyNumberFormat="1">
      <alignment vertical="center"/>
    </xf>
    <xf numFmtId="49" fontId="0" fillId="0" borderId="0" xfId="0" applyNumberFormat="1" applyAlignment="1">
      <alignment horizontal="center" vertical="center"/>
    </xf>
    <xf numFmtId="176" fontId="0" fillId="0" borderId="0" xfId="0" applyNumberFormat="1" applyAlignment="1">
      <alignment horizontal="center" vertical="center"/>
    </xf>
    <xf numFmtId="49" fontId="0" fillId="0" borderId="16" xfId="0" applyNumberFormat="1" applyBorder="1" applyAlignment="1">
      <alignment horizontal="center" vertical="center"/>
    </xf>
    <xf numFmtId="49" fontId="0" fillId="0" borderId="17" xfId="0" applyNumberFormat="1" applyBorder="1" applyAlignment="1">
      <alignment horizontal="center" vertical="center"/>
    </xf>
    <xf numFmtId="176" fontId="0" fillId="0" borderId="18" xfId="0" applyNumberFormat="1" applyBorder="1" applyAlignment="1">
      <alignment horizontal="center" vertical="center"/>
    </xf>
    <xf numFmtId="176" fontId="0" fillId="0" borderId="19" xfId="0" applyNumberFormat="1" applyBorder="1" applyAlignment="1">
      <alignment horizontal="center" vertical="center"/>
    </xf>
    <xf numFmtId="176" fontId="0" fillId="0" borderId="20" xfId="0" applyNumberFormat="1" applyBorder="1" applyAlignment="1">
      <alignment horizontal="center" vertical="center"/>
    </xf>
    <xf numFmtId="176" fontId="0" fillId="0" borderId="21" xfId="0" applyNumberFormat="1" applyBorder="1" applyAlignment="1">
      <alignment horizontal="center" vertical="center"/>
    </xf>
    <xf numFmtId="49" fontId="0" fillId="0" borderId="21" xfId="0" applyNumberFormat="1" applyBorder="1">
      <alignment vertical="center"/>
    </xf>
    <xf numFmtId="49" fontId="0" fillId="33" borderId="10" xfId="0" applyNumberFormat="1" applyFill="1" applyBorder="1" applyAlignment="1">
      <alignment horizontal="center" vertical="center"/>
    </xf>
    <xf numFmtId="49" fontId="0" fillId="33" borderId="11" xfId="0" applyNumberFormat="1" applyFill="1" applyBorder="1" applyAlignment="1">
      <alignment horizontal="center" vertical="center"/>
    </xf>
    <xf numFmtId="49" fontId="0" fillId="33" borderId="12" xfId="0" applyNumberFormat="1" applyFill="1" applyBorder="1" applyAlignment="1">
      <alignment horizontal="center" vertical="center"/>
    </xf>
    <xf numFmtId="49" fontId="0" fillId="0" borderId="13" xfId="0" applyNumberFormat="1" applyBorder="1" applyAlignment="1">
      <alignment horizontal="center" vertical="center"/>
    </xf>
    <xf numFmtId="49" fontId="0" fillId="0" borderId="14" xfId="0" applyNumberFormat="1" applyBorder="1" applyAlignment="1">
      <alignment horizontal="center" vertical="center"/>
    </xf>
    <xf numFmtId="49" fontId="0" fillId="0" borderId="15" xfId="0" applyNumberFormat="1" applyBorder="1" applyAlignment="1">
      <alignment horizontal="center" vertical="center"/>
    </xf>
    <xf numFmtId="49" fontId="0" fillId="34" borderId="10" xfId="0" applyNumberFormat="1" applyFill="1" applyBorder="1" applyAlignment="1">
      <alignment horizontal="center" vertical="center"/>
    </xf>
    <xf numFmtId="49" fontId="0" fillId="34" borderId="11" xfId="0" applyNumberFormat="1" applyFill="1" applyBorder="1" applyAlignment="1">
      <alignment horizontal="center" vertical="center"/>
    </xf>
    <xf numFmtId="49" fontId="0" fillId="34" borderId="12" xfId="0" applyNumberFormat="1" applyFill="1" applyBorder="1" applyAlignment="1">
      <alignment horizontal="center" vertical="center"/>
    </xf>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0"/>
  <tableStyles count="0" defaultTableStyle="TableStyleMedium2" defaultPivotStyle="PivotStyleLight16"/>
  <colors>
    <mruColors>
      <color rgb="FFDDEB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N46"/>
  <sheetViews>
    <sheetView showGridLines="0" tabSelected="1" workbookViewId="0">
      <pane ySplit="2" topLeftCell="A3" activePane="bottomLeft" state="frozen"/>
      <selection pane="bottomLeft" activeCell="A3" sqref="A3"/>
    </sheetView>
  </sheetViews>
  <sheetFormatPr defaultRowHeight="16.5" x14ac:dyDescent="0.3"/>
  <cols>
    <col min="2" max="2" width="16" bestFit="1" customWidth="1"/>
    <col min="3" max="3" width="16" customWidth="1"/>
    <col min="4" max="4" width="9.125" bestFit="1" customWidth="1"/>
    <col min="5" max="5" width="12.5" bestFit="1" customWidth="1"/>
    <col min="6" max="7" width="9.125" bestFit="1" customWidth="1"/>
    <col min="8" max="8" width="12.5" bestFit="1" customWidth="1"/>
    <col min="9" max="10" width="9.125" bestFit="1" customWidth="1"/>
    <col min="11" max="11" width="12.5" bestFit="1" customWidth="1"/>
    <col min="12" max="13" width="9.125" bestFit="1" customWidth="1"/>
    <col min="14" max="14" width="12.5" bestFit="1" customWidth="1"/>
    <col min="15" max="15" width="9.125" bestFit="1" customWidth="1"/>
    <col min="16" max="16" width="9.875" bestFit="1" customWidth="1"/>
    <col min="17" max="17" width="12.5" bestFit="1" customWidth="1"/>
    <col min="18" max="19" width="9.125" bestFit="1" customWidth="1"/>
    <col min="20" max="20" width="12.5" bestFit="1" customWidth="1"/>
    <col min="21" max="22" width="9.125" bestFit="1" customWidth="1"/>
    <col min="23" max="23" width="12.5" bestFit="1" customWidth="1"/>
    <col min="24" max="25" width="9.125" bestFit="1" customWidth="1"/>
    <col min="26" max="26" width="12.5" bestFit="1" customWidth="1"/>
    <col min="27" max="28" width="9.125" bestFit="1" customWidth="1"/>
    <col min="29" max="29" width="11.375" bestFit="1" customWidth="1"/>
    <col min="30" max="31" width="9.125" bestFit="1" customWidth="1"/>
    <col min="32" max="32" width="12.5" bestFit="1" customWidth="1"/>
    <col min="33" max="34" width="9.125" bestFit="1" customWidth="1"/>
    <col min="35" max="35" width="12.5" bestFit="1" customWidth="1"/>
    <col min="36" max="37" width="9.125" bestFit="1" customWidth="1"/>
    <col min="38" max="38" width="11.375" bestFit="1" customWidth="1"/>
    <col min="39" max="39" width="9.125" bestFit="1" customWidth="1"/>
    <col min="40" max="40" width="10.75" bestFit="1" customWidth="1"/>
    <col min="41" max="41" width="13.625" bestFit="1" customWidth="1"/>
    <col min="42" max="42" width="9.125" bestFit="1" customWidth="1"/>
  </cols>
  <sheetData>
    <row r="1" spans="1:66" x14ac:dyDescent="0.3">
      <c r="A1" s="1"/>
      <c r="B1" s="1"/>
      <c r="C1" s="1"/>
      <c r="D1" s="17" t="s">
        <v>0</v>
      </c>
      <c r="E1" s="18"/>
      <c r="F1" s="19"/>
      <c r="G1" s="11" t="s">
        <v>1</v>
      </c>
      <c r="H1" s="12"/>
      <c r="I1" s="13"/>
      <c r="J1" s="11" t="s">
        <v>2</v>
      </c>
      <c r="K1" s="12"/>
      <c r="L1" s="13"/>
      <c r="M1" s="11" t="s">
        <v>3</v>
      </c>
      <c r="N1" s="12"/>
      <c r="O1" s="13"/>
      <c r="P1" s="11" t="s">
        <v>4</v>
      </c>
      <c r="Q1" s="12"/>
      <c r="R1" s="13"/>
      <c r="S1" s="11" t="s">
        <v>5</v>
      </c>
      <c r="T1" s="12"/>
      <c r="U1" s="13"/>
      <c r="V1" s="11" t="s">
        <v>6</v>
      </c>
      <c r="W1" s="12"/>
      <c r="X1" s="13"/>
      <c r="Y1" s="11" t="s">
        <v>7</v>
      </c>
      <c r="Z1" s="12"/>
      <c r="AA1" s="13"/>
      <c r="AB1" s="11" t="s">
        <v>8</v>
      </c>
      <c r="AC1" s="12"/>
      <c r="AD1" s="13"/>
      <c r="AE1" s="11" t="s">
        <v>9</v>
      </c>
      <c r="AF1" s="12"/>
      <c r="AG1" s="13"/>
      <c r="AH1" s="11" t="s">
        <v>10</v>
      </c>
      <c r="AI1" s="12"/>
      <c r="AJ1" s="13"/>
      <c r="AK1" s="11" t="s">
        <v>11</v>
      </c>
      <c r="AL1" s="12"/>
      <c r="AM1" s="13"/>
      <c r="AN1" s="11" t="s">
        <v>12</v>
      </c>
      <c r="AO1" s="12"/>
      <c r="AP1" s="13"/>
    </row>
    <row r="2" spans="1:66" x14ac:dyDescent="0.3">
      <c r="A2" s="2" t="s">
        <v>51</v>
      </c>
      <c r="B2" s="2" t="s">
        <v>13</v>
      </c>
      <c r="C2" s="2" t="s">
        <v>52</v>
      </c>
      <c r="D2" s="4" t="s">
        <v>14</v>
      </c>
      <c r="E2" s="2" t="s">
        <v>52</v>
      </c>
      <c r="F2" s="5" t="s">
        <v>15</v>
      </c>
      <c r="G2" s="2" t="s">
        <v>14</v>
      </c>
      <c r="H2" s="2" t="s">
        <v>52</v>
      </c>
      <c r="I2" s="5" t="s">
        <v>15</v>
      </c>
      <c r="J2" s="2" t="s">
        <v>14</v>
      </c>
      <c r="K2" s="2" t="s">
        <v>52</v>
      </c>
      <c r="L2" s="5" t="s">
        <v>15</v>
      </c>
      <c r="M2" s="2" t="s">
        <v>14</v>
      </c>
      <c r="N2" s="2" t="s">
        <v>52</v>
      </c>
      <c r="O2" s="5" t="s">
        <v>15</v>
      </c>
      <c r="P2" s="2" t="s">
        <v>14</v>
      </c>
      <c r="Q2" s="2" t="s">
        <v>52</v>
      </c>
      <c r="R2" s="5" t="s">
        <v>15</v>
      </c>
      <c r="S2" s="2" t="s">
        <v>14</v>
      </c>
      <c r="T2" s="2" t="s">
        <v>52</v>
      </c>
      <c r="U2" s="5" t="s">
        <v>15</v>
      </c>
      <c r="V2" s="2" t="s">
        <v>14</v>
      </c>
      <c r="W2" s="2" t="s">
        <v>52</v>
      </c>
      <c r="X2" s="5" t="s">
        <v>15</v>
      </c>
      <c r="Y2" s="2" t="s">
        <v>14</v>
      </c>
      <c r="Z2" s="2" t="s">
        <v>52</v>
      </c>
      <c r="AA2" s="5" t="s">
        <v>15</v>
      </c>
      <c r="AB2" s="2" t="s">
        <v>14</v>
      </c>
      <c r="AC2" s="2" t="s">
        <v>52</v>
      </c>
      <c r="AD2" s="5" t="s">
        <v>15</v>
      </c>
      <c r="AE2" s="2" t="s">
        <v>14</v>
      </c>
      <c r="AF2" s="2" t="s">
        <v>52</v>
      </c>
      <c r="AG2" s="5" t="s">
        <v>15</v>
      </c>
      <c r="AH2" s="2" t="s">
        <v>14</v>
      </c>
      <c r="AI2" s="2" t="s">
        <v>52</v>
      </c>
      <c r="AJ2" s="5" t="s">
        <v>15</v>
      </c>
      <c r="AK2" s="2" t="s">
        <v>14</v>
      </c>
      <c r="AL2" s="2" t="s">
        <v>52</v>
      </c>
      <c r="AM2" s="5" t="s">
        <v>15</v>
      </c>
      <c r="AN2" s="2" t="s">
        <v>14</v>
      </c>
      <c r="AO2" s="2" t="s">
        <v>54</v>
      </c>
      <c r="AP2" s="5" t="s">
        <v>15</v>
      </c>
    </row>
    <row r="3" spans="1:66" ht="15" customHeight="1" x14ac:dyDescent="0.3">
      <c r="A3" s="1" t="s">
        <v>16</v>
      </c>
      <c r="B3" s="14" t="s">
        <v>17</v>
      </c>
      <c r="C3" s="14" t="s">
        <v>53</v>
      </c>
      <c r="D3" s="3">
        <f>E3/F3</f>
        <v>731.57450195141655</v>
      </c>
      <c r="E3" s="3">
        <f>SUM(E4:E40)</f>
        <v>63150901</v>
      </c>
      <c r="F3" s="6">
        <f>SUM(F4:F40)</f>
        <v>86321.900000000023</v>
      </c>
      <c r="G3" s="3">
        <f>H3/I3</f>
        <v>732.16202994143066</v>
      </c>
      <c r="H3" s="3">
        <f>SUM(H4:H40)</f>
        <v>21401389</v>
      </c>
      <c r="I3" s="6">
        <f>SUM(I4:I40)</f>
        <v>29230.400000000005</v>
      </c>
      <c r="J3" s="3">
        <f>K3/L3</f>
        <v>700.41061850988513</v>
      </c>
      <c r="K3" s="3">
        <f>SUM(K4:K40)</f>
        <v>74187983</v>
      </c>
      <c r="L3" s="6">
        <f>SUM(L4:L40)</f>
        <v>105920.70000000001</v>
      </c>
      <c r="M3" s="3">
        <f>N3/O3</f>
        <v>695.20219368295147</v>
      </c>
      <c r="N3" s="3">
        <f>SUM(N4:N40)</f>
        <v>38130728</v>
      </c>
      <c r="O3" s="6">
        <f>SUM(O4:O40)</f>
        <v>54848.400000000009</v>
      </c>
      <c r="P3" s="3">
        <f>Q3/R3</f>
        <v>722.47303566937035</v>
      </c>
      <c r="Q3" s="3">
        <f>SUM(Q4:Q40)</f>
        <v>58021665</v>
      </c>
      <c r="R3" s="6">
        <f>SUM(R4:R40)</f>
        <v>80309.8</v>
      </c>
      <c r="S3" s="3">
        <f>T3/U3</f>
        <v>748.78551098222431</v>
      </c>
      <c r="T3" s="3">
        <f>SUM(T4:T40)</f>
        <v>25097643</v>
      </c>
      <c r="U3" s="6">
        <f>SUM(U4:U40)</f>
        <v>33517.800000000003</v>
      </c>
      <c r="V3" s="3">
        <f>W3/X3</f>
        <v>711.12754037227091</v>
      </c>
      <c r="W3" s="3">
        <f>SUM(W4:W40)</f>
        <v>48588927</v>
      </c>
      <c r="X3" s="6">
        <f>SUM(X4:X40)</f>
        <v>68326.599999999991</v>
      </c>
      <c r="Y3" s="3">
        <f>Z3/AA3</f>
        <v>726.52629315836407</v>
      </c>
      <c r="Z3" s="3">
        <f>SUM(Z4:Z40)</f>
        <v>45620039</v>
      </c>
      <c r="AA3" s="6">
        <f>SUM(AA4:AA40)</f>
        <v>62792</v>
      </c>
      <c r="AB3" s="3">
        <f>AC3/AD3</f>
        <v>707.76305489123035</v>
      </c>
      <c r="AC3" s="3">
        <f>SUM(AC4:AC40)</f>
        <v>9854822</v>
      </c>
      <c r="AD3" s="6">
        <f>SUM(AD4:AD40)</f>
        <v>13923.899999999998</v>
      </c>
      <c r="AE3" s="3">
        <f>AF3/AG3</f>
        <v>720.02251993789343</v>
      </c>
      <c r="AF3" s="3">
        <f>SUM(AF4:AF40)</f>
        <v>73409248</v>
      </c>
      <c r="AG3" s="6">
        <f>SUM(AG4:AG40)</f>
        <v>101954.10000000002</v>
      </c>
      <c r="AH3" s="3">
        <f>AI3/AJ3</f>
        <v>718.44176517167045</v>
      </c>
      <c r="AI3" s="3">
        <f>SUM(AI4:AI40)</f>
        <v>70588484</v>
      </c>
      <c r="AJ3" s="6">
        <f>SUM(AJ4:AJ40)</f>
        <v>98252.2</v>
      </c>
      <c r="AK3" s="3">
        <f>AL3/AM3</f>
        <v>742.63481386441254</v>
      </c>
      <c r="AL3" s="3">
        <f>SUM(AL4:AL40)</f>
        <v>47230683</v>
      </c>
      <c r="AM3" s="6">
        <f>SUM(AM4:AM40)</f>
        <v>63598.799999999996</v>
      </c>
      <c r="AN3" s="3">
        <f>AO3/AP3</f>
        <v>720.00620778611574</v>
      </c>
      <c r="AO3" s="3">
        <f>SUM(AO4:AO40)</f>
        <v>575282512</v>
      </c>
      <c r="AP3" s="6">
        <f>SUM(AP4:AP40)</f>
        <v>798996.6</v>
      </c>
      <c r="AQ3" s="3"/>
      <c r="AR3" s="3"/>
      <c r="AS3" s="3"/>
      <c r="AT3" s="3"/>
      <c r="AU3" s="3"/>
      <c r="AV3" s="3"/>
      <c r="AW3" s="3"/>
      <c r="AX3" s="3"/>
      <c r="AY3" s="3"/>
      <c r="AZ3" s="3"/>
      <c r="BA3" s="3"/>
      <c r="BB3" s="3"/>
      <c r="BC3" s="3"/>
      <c r="BD3" s="3"/>
      <c r="BE3" s="3"/>
      <c r="BF3" s="3"/>
      <c r="BG3" s="3"/>
      <c r="BH3" s="3"/>
      <c r="BI3" s="3"/>
      <c r="BJ3" s="3"/>
      <c r="BK3" s="3"/>
      <c r="BL3" s="3"/>
      <c r="BM3" s="3"/>
      <c r="BN3" s="3"/>
    </row>
    <row r="4" spans="1:66" ht="15" customHeight="1" x14ac:dyDescent="0.3">
      <c r="A4" s="1" t="s">
        <v>25</v>
      </c>
      <c r="B4" s="15"/>
      <c r="C4" s="15"/>
      <c r="D4" s="3">
        <f t="shared" ref="D4:D11" si="0">E4/F4</f>
        <v>729.32349519514264</v>
      </c>
      <c r="E4" s="3">
        <v>9152864</v>
      </c>
      <c r="F4" s="6">
        <v>12549.8</v>
      </c>
      <c r="G4" s="3">
        <f t="shared" ref="G4:G11" si="1">H4/I4</f>
        <v>693.70931753481568</v>
      </c>
      <c r="H4" s="3">
        <v>1803228</v>
      </c>
      <c r="I4" s="6">
        <v>2599.4</v>
      </c>
      <c r="J4" s="3" t="e">
        <f t="shared" ref="J4:J11" si="2">K4/L4</f>
        <v>#DIV/0!</v>
      </c>
      <c r="K4" s="3">
        <v>0</v>
      </c>
      <c r="L4" s="6">
        <v>0</v>
      </c>
      <c r="M4" s="3">
        <f t="shared" ref="M4:M11" si="3">N4/O4</f>
        <v>760.00075664714518</v>
      </c>
      <c r="N4" s="3">
        <v>5022161</v>
      </c>
      <c r="O4" s="6">
        <v>6608.1</v>
      </c>
      <c r="P4" s="3">
        <f t="shared" ref="P4:P11" si="4">Q4/R4</f>
        <v>760.01540193116523</v>
      </c>
      <c r="Q4" s="3">
        <v>1282982</v>
      </c>
      <c r="R4" s="6">
        <v>1688.1</v>
      </c>
      <c r="S4" s="3" t="e">
        <f t="shared" ref="S4:S11" si="5">T4/U4</f>
        <v>#DIV/0!</v>
      </c>
      <c r="T4" s="3">
        <v>0</v>
      </c>
      <c r="U4" s="6">
        <v>0</v>
      </c>
      <c r="V4" s="3" t="e">
        <f t="shared" ref="V4:V11" si="6">W4/X4</f>
        <v>#DIV/0!</v>
      </c>
      <c r="W4" s="3">
        <v>0</v>
      </c>
      <c r="X4" s="6">
        <v>0</v>
      </c>
      <c r="Y4" s="3">
        <f t="shared" ref="Y4:Y11" si="7">Z4/AA4</f>
        <v>737.22676847491039</v>
      </c>
      <c r="Z4" s="3">
        <v>4711690</v>
      </c>
      <c r="AA4" s="6">
        <v>6391.1</v>
      </c>
      <c r="AB4" s="3" t="e">
        <f t="shared" ref="AB4:AB11" si="8">AC4/AD4</f>
        <v>#DIV/0!</v>
      </c>
      <c r="AC4" s="3">
        <v>0</v>
      </c>
      <c r="AD4" s="6">
        <v>0</v>
      </c>
      <c r="AE4" s="3">
        <f t="shared" ref="AE4:AE11" si="9">AF4/AG4</f>
        <v>731.69095825364377</v>
      </c>
      <c r="AF4" s="3">
        <v>1109463</v>
      </c>
      <c r="AG4" s="6">
        <v>1516.3</v>
      </c>
      <c r="AH4" s="3">
        <f t="shared" ref="AH4:AH11" si="10">AI4/AJ4</f>
        <v>1049.3150684931506</v>
      </c>
      <c r="AI4" s="3">
        <v>7660</v>
      </c>
      <c r="AJ4" s="6">
        <v>7.3</v>
      </c>
      <c r="AK4" s="3">
        <f t="shared" ref="AK4:AK11" si="11">AL4/AM4</f>
        <v>754.94579038589256</v>
      </c>
      <c r="AL4" s="3">
        <v>27964249</v>
      </c>
      <c r="AM4" s="6">
        <v>37041.4</v>
      </c>
      <c r="AN4" s="3">
        <f t="shared" ref="AN4:AN40" si="12">AO4/AP4</f>
        <v>746.39148264292453</v>
      </c>
      <c r="AO4" s="3">
        <f t="shared" ref="AO4:AO40" si="13">SUM(E4,H4,K4,N4,Q4,T4,W4,Z4,AC4,AF4,AI4,AL4)</f>
        <v>51054297</v>
      </c>
      <c r="AP4" s="6">
        <f t="shared" ref="AP4:AP40" si="14">SUM(F4,I4,L4,O4,R4,U4,X4,AA4,AD4,AG4,AJ4,AM4)</f>
        <v>68401.5</v>
      </c>
      <c r="AQ4" s="3"/>
      <c r="AR4" s="3"/>
      <c r="AS4" s="3"/>
      <c r="AT4" s="3"/>
      <c r="AU4" s="3"/>
      <c r="AV4" s="3"/>
      <c r="AW4" s="3"/>
      <c r="AX4" s="3"/>
      <c r="AY4" s="3"/>
      <c r="AZ4" s="3"/>
      <c r="BA4" s="3"/>
      <c r="BB4" s="3"/>
      <c r="BC4" s="3"/>
      <c r="BD4" s="3"/>
      <c r="BE4" s="3"/>
      <c r="BF4" s="3"/>
      <c r="BG4" s="3"/>
      <c r="BH4" s="3"/>
      <c r="BI4" s="3"/>
      <c r="BJ4" s="3"/>
      <c r="BK4" s="3"/>
      <c r="BL4" s="3"/>
      <c r="BM4" s="3"/>
      <c r="BN4" s="3"/>
    </row>
    <row r="5" spans="1:66" ht="15" customHeight="1" x14ac:dyDescent="0.3">
      <c r="A5" s="1" t="s">
        <v>27</v>
      </c>
      <c r="B5" s="15"/>
      <c r="C5" s="15"/>
      <c r="D5" s="3">
        <f t="shared" si="0"/>
        <v>719.81104641317813</v>
      </c>
      <c r="E5" s="3">
        <v>31881367</v>
      </c>
      <c r="F5" s="6">
        <v>44291.3</v>
      </c>
      <c r="G5" s="3" t="e">
        <f t="shared" si="1"/>
        <v>#DIV/0!</v>
      </c>
      <c r="H5" s="3">
        <v>0</v>
      </c>
      <c r="I5" s="6">
        <v>0</v>
      </c>
      <c r="J5" s="3">
        <f t="shared" si="2"/>
        <v>701.31262887173727</v>
      </c>
      <c r="K5" s="3">
        <v>53365052</v>
      </c>
      <c r="L5" s="6">
        <v>76093.100000000006</v>
      </c>
      <c r="M5" s="3">
        <f t="shared" si="3"/>
        <v>671.56281986423039</v>
      </c>
      <c r="N5" s="3">
        <v>11416165</v>
      </c>
      <c r="O5" s="6">
        <v>16999.400000000001</v>
      </c>
      <c r="P5" s="3">
        <f t="shared" si="4"/>
        <v>723.72336326659274</v>
      </c>
      <c r="Q5" s="3">
        <v>33059249</v>
      </c>
      <c r="R5" s="6">
        <v>45679.4</v>
      </c>
      <c r="S5" s="3" t="e">
        <f t="shared" si="5"/>
        <v>#DIV/0!</v>
      </c>
      <c r="T5" s="3">
        <v>0</v>
      </c>
      <c r="U5" s="6">
        <v>0</v>
      </c>
      <c r="V5" s="3">
        <f t="shared" si="6"/>
        <v>730.82309709385618</v>
      </c>
      <c r="W5" s="3">
        <v>28260783</v>
      </c>
      <c r="X5" s="6">
        <v>38669.800000000003</v>
      </c>
      <c r="Y5" s="3">
        <f t="shared" si="7"/>
        <v>750.4732948424454</v>
      </c>
      <c r="Z5" s="3">
        <v>17833647</v>
      </c>
      <c r="AA5" s="6">
        <v>23763.200000000001</v>
      </c>
      <c r="AB5" s="3">
        <f t="shared" si="8"/>
        <v>3760</v>
      </c>
      <c r="AC5" s="3">
        <v>3760</v>
      </c>
      <c r="AD5" s="6">
        <v>1</v>
      </c>
      <c r="AE5" s="3">
        <f t="shared" si="9"/>
        <v>690.81581528818344</v>
      </c>
      <c r="AF5" s="3">
        <v>38662267</v>
      </c>
      <c r="AG5" s="6">
        <v>55966.1</v>
      </c>
      <c r="AH5" s="3">
        <f t="shared" si="10"/>
        <v>720.88923415929514</v>
      </c>
      <c r="AI5" s="3">
        <v>29508952</v>
      </c>
      <c r="AJ5" s="6">
        <v>40934.1</v>
      </c>
      <c r="AK5" s="3">
        <f t="shared" si="11"/>
        <v>703.93108966344948</v>
      </c>
      <c r="AL5" s="3">
        <v>7038255</v>
      </c>
      <c r="AM5" s="6">
        <v>9998.5</v>
      </c>
      <c r="AN5" s="3">
        <f t="shared" si="12"/>
        <v>712.35078784968846</v>
      </c>
      <c r="AO5" s="3">
        <f t="shared" si="13"/>
        <v>251029497</v>
      </c>
      <c r="AP5" s="6">
        <f t="shared" si="14"/>
        <v>352395.89999999997</v>
      </c>
      <c r="AQ5" s="3"/>
      <c r="AR5" s="3"/>
      <c r="AS5" s="3"/>
      <c r="AT5" s="3"/>
      <c r="AU5" s="3"/>
      <c r="AV5" s="3"/>
      <c r="AW5" s="3"/>
      <c r="AX5" s="3"/>
      <c r="AY5" s="3"/>
      <c r="AZ5" s="3"/>
      <c r="BA5" s="3"/>
      <c r="BB5" s="3"/>
      <c r="BC5" s="3"/>
      <c r="BD5" s="3"/>
      <c r="BE5" s="3"/>
      <c r="BF5" s="3"/>
      <c r="BG5" s="3"/>
      <c r="BH5" s="3"/>
      <c r="BI5" s="3"/>
      <c r="BJ5" s="3"/>
      <c r="BK5" s="3"/>
      <c r="BL5" s="3"/>
      <c r="BM5" s="3"/>
      <c r="BN5" s="3"/>
    </row>
    <row r="6" spans="1:66" ht="15" customHeight="1" x14ac:dyDescent="0.3">
      <c r="A6" s="1" t="s">
        <v>29</v>
      </c>
      <c r="B6" s="15"/>
      <c r="C6" s="15"/>
      <c r="D6" s="3">
        <f t="shared" si="0"/>
        <v>721.94187522669574</v>
      </c>
      <c r="E6" s="3">
        <v>1592315</v>
      </c>
      <c r="F6" s="6">
        <v>2205.6</v>
      </c>
      <c r="G6" s="3">
        <f t="shared" si="1"/>
        <v>717.79177034654367</v>
      </c>
      <c r="H6" s="3">
        <v>4730822</v>
      </c>
      <c r="I6" s="6">
        <v>6590.8</v>
      </c>
      <c r="J6" s="3">
        <f t="shared" si="2"/>
        <v>714.78061086584376</v>
      </c>
      <c r="K6" s="3">
        <v>3173340</v>
      </c>
      <c r="L6" s="6">
        <v>4439.6000000000004</v>
      </c>
      <c r="M6" s="3">
        <f t="shared" si="3"/>
        <v>710.64342823300478</v>
      </c>
      <c r="N6" s="3">
        <v>1679890</v>
      </c>
      <c r="O6" s="6">
        <v>2363.9</v>
      </c>
      <c r="P6" s="3">
        <f t="shared" si="4"/>
        <v>726.19722707969026</v>
      </c>
      <c r="Q6" s="3">
        <v>5813935</v>
      </c>
      <c r="R6" s="6">
        <v>8006</v>
      </c>
      <c r="S6" s="3">
        <f t="shared" si="5"/>
        <v>704.69165866373987</v>
      </c>
      <c r="T6" s="3">
        <v>2054599</v>
      </c>
      <c r="U6" s="6">
        <v>2915.6</v>
      </c>
      <c r="V6" s="3">
        <f t="shared" si="6"/>
        <v>700.75135470304372</v>
      </c>
      <c r="W6" s="3">
        <v>2599297</v>
      </c>
      <c r="X6" s="6">
        <v>3709.3</v>
      </c>
      <c r="Y6" s="3">
        <f t="shared" si="7"/>
        <v>726.0846653172332</v>
      </c>
      <c r="Z6" s="3">
        <v>2080523</v>
      </c>
      <c r="AA6" s="6">
        <v>2865.4</v>
      </c>
      <c r="AB6" s="3">
        <f t="shared" si="8"/>
        <v>715.27464413176358</v>
      </c>
      <c r="AC6" s="3">
        <v>3487250</v>
      </c>
      <c r="AD6" s="6">
        <v>4875.3999999999996</v>
      </c>
      <c r="AE6" s="3">
        <f t="shared" si="9"/>
        <v>721.03866258111032</v>
      </c>
      <c r="AF6" s="3">
        <v>1600129</v>
      </c>
      <c r="AG6" s="6">
        <v>2219.1999999999998</v>
      </c>
      <c r="AH6" s="3">
        <f t="shared" si="10"/>
        <v>757.39350743359876</v>
      </c>
      <c r="AI6" s="3">
        <v>1360203</v>
      </c>
      <c r="AJ6" s="6">
        <v>1795.9</v>
      </c>
      <c r="AK6" s="3">
        <f t="shared" si="11"/>
        <v>733.66616203321405</v>
      </c>
      <c r="AL6" s="3">
        <v>3198491</v>
      </c>
      <c r="AM6" s="6">
        <v>4359.6000000000004</v>
      </c>
      <c r="AN6" s="3">
        <f t="shared" si="12"/>
        <v>720.03145882195565</v>
      </c>
      <c r="AO6" s="3">
        <f t="shared" si="13"/>
        <v>33370794</v>
      </c>
      <c r="AP6" s="6">
        <f t="shared" si="14"/>
        <v>46346.299999999996</v>
      </c>
      <c r="AQ6" s="3"/>
      <c r="AR6" s="3"/>
      <c r="AS6" s="3"/>
      <c r="AT6" s="3"/>
      <c r="AU6" s="3"/>
      <c r="AV6" s="3"/>
      <c r="AW6" s="3"/>
      <c r="AX6" s="3"/>
      <c r="AY6" s="3"/>
      <c r="AZ6" s="3"/>
      <c r="BA6" s="3"/>
      <c r="BB6" s="3"/>
      <c r="BC6" s="3"/>
      <c r="BD6" s="3"/>
      <c r="BE6" s="3"/>
      <c r="BF6" s="3"/>
      <c r="BG6" s="3"/>
      <c r="BH6" s="3"/>
      <c r="BI6" s="3"/>
      <c r="BJ6" s="3"/>
      <c r="BK6" s="3"/>
      <c r="BL6" s="3"/>
      <c r="BM6" s="3"/>
      <c r="BN6" s="3"/>
    </row>
    <row r="7" spans="1:66" ht="15" customHeight="1" x14ac:dyDescent="0.3">
      <c r="A7" s="1" t="s">
        <v>26</v>
      </c>
      <c r="B7" s="15"/>
      <c r="C7" s="15"/>
      <c r="D7" s="3">
        <f t="shared" si="0"/>
        <v>686.97848456501401</v>
      </c>
      <c r="E7" s="3">
        <v>8885998</v>
      </c>
      <c r="F7" s="6">
        <v>12934.9</v>
      </c>
      <c r="G7" s="3">
        <f t="shared" si="1"/>
        <v>736.06382045342878</v>
      </c>
      <c r="H7" s="3">
        <v>8389361</v>
      </c>
      <c r="I7" s="6">
        <v>11397.6</v>
      </c>
      <c r="J7" s="3">
        <f t="shared" si="2"/>
        <v>678.18560214108447</v>
      </c>
      <c r="K7" s="3">
        <v>8716923</v>
      </c>
      <c r="L7" s="6">
        <v>12853.3</v>
      </c>
      <c r="M7" s="3">
        <f t="shared" si="3"/>
        <v>694.3460489224334</v>
      </c>
      <c r="N7" s="3">
        <v>15271447</v>
      </c>
      <c r="O7" s="6">
        <v>21994</v>
      </c>
      <c r="P7" s="3">
        <f t="shared" si="4"/>
        <v>759.99513896227415</v>
      </c>
      <c r="Q7" s="3">
        <v>3595917</v>
      </c>
      <c r="R7" s="6">
        <v>4731.5</v>
      </c>
      <c r="S7" s="3">
        <f t="shared" si="5"/>
        <v>701.63227064555269</v>
      </c>
      <c r="T7" s="3">
        <v>11045867</v>
      </c>
      <c r="U7" s="6">
        <v>15743.1</v>
      </c>
      <c r="V7" s="3">
        <f t="shared" si="6"/>
        <v>671.68838609956288</v>
      </c>
      <c r="W7" s="3">
        <v>5040887</v>
      </c>
      <c r="X7" s="6">
        <v>7504.8</v>
      </c>
      <c r="Y7" s="3">
        <f t="shared" si="7"/>
        <v>691.8253741054001</v>
      </c>
      <c r="Z7" s="3">
        <v>7975017</v>
      </c>
      <c r="AA7" s="6">
        <v>11527.5</v>
      </c>
      <c r="AB7" s="3" t="e">
        <f t="shared" si="8"/>
        <v>#DIV/0!</v>
      </c>
      <c r="AC7" s="3">
        <v>0</v>
      </c>
      <c r="AD7" s="6">
        <v>0</v>
      </c>
      <c r="AE7" s="3">
        <f t="shared" si="9"/>
        <v>697.67418921262572</v>
      </c>
      <c r="AF7" s="3">
        <v>12872926</v>
      </c>
      <c r="AG7" s="6">
        <v>18451.2</v>
      </c>
      <c r="AH7" s="3">
        <f t="shared" si="10"/>
        <v>720.6148267946578</v>
      </c>
      <c r="AI7" s="3">
        <v>5525098</v>
      </c>
      <c r="AJ7" s="6">
        <v>7667.2</v>
      </c>
      <c r="AK7" s="3">
        <f t="shared" si="11"/>
        <v>753.89180522872437</v>
      </c>
      <c r="AL7" s="3">
        <v>2915375</v>
      </c>
      <c r="AM7" s="6">
        <v>3867.1</v>
      </c>
      <c r="AN7" s="3">
        <f t="shared" si="12"/>
        <v>701.2767015719013</v>
      </c>
      <c r="AO7" s="3">
        <f t="shared" si="13"/>
        <v>90234816</v>
      </c>
      <c r="AP7" s="6">
        <f t="shared" si="14"/>
        <v>128672.20000000001</v>
      </c>
      <c r="AQ7" s="3"/>
      <c r="AR7" s="3"/>
      <c r="AS7" s="3"/>
      <c r="AT7" s="3"/>
      <c r="AU7" s="3"/>
      <c r="AV7" s="3"/>
      <c r="AW7" s="3"/>
      <c r="AX7" s="3"/>
      <c r="AY7" s="3"/>
      <c r="AZ7" s="3"/>
      <c r="BA7" s="3"/>
      <c r="BB7" s="3"/>
      <c r="BC7" s="3"/>
      <c r="BD7" s="3"/>
      <c r="BE7" s="3"/>
      <c r="BF7" s="3"/>
      <c r="BG7" s="3"/>
      <c r="BH7" s="3"/>
      <c r="BI7" s="3"/>
      <c r="BJ7" s="3"/>
      <c r="BK7" s="3"/>
      <c r="BL7" s="3"/>
      <c r="BM7" s="3"/>
      <c r="BN7" s="3"/>
    </row>
    <row r="8" spans="1:66" ht="15" customHeight="1" x14ac:dyDescent="0.3">
      <c r="A8" s="1" t="s">
        <v>28</v>
      </c>
      <c r="B8" s="15"/>
      <c r="C8" s="15"/>
      <c r="D8" s="3">
        <f t="shared" si="0"/>
        <v>717.08832060814188</v>
      </c>
      <c r="E8" s="3">
        <v>2150763</v>
      </c>
      <c r="F8" s="6">
        <v>2999.3</v>
      </c>
      <c r="G8" s="3">
        <f t="shared" si="1"/>
        <v>717.01773096920408</v>
      </c>
      <c r="H8" s="3">
        <v>2151340</v>
      </c>
      <c r="I8" s="6">
        <v>3000.4</v>
      </c>
      <c r="J8" s="3">
        <f t="shared" si="2"/>
        <v>725.59301279488204</v>
      </c>
      <c r="K8" s="3">
        <v>2903533</v>
      </c>
      <c r="L8" s="6">
        <v>4001.6</v>
      </c>
      <c r="M8" s="3" t="e">
        <f t="shared" si="3"/>
        <v>#DIV/0!</v>
      </c>
      <c r="N8" s="3">
        <v>0</v>
      </c>
      <c r="O8" s="6">
        <v>0</v>
      </c>
      <c r="P8" s="3">
        <f t="shared" si="4"/>
        <v>708.02725558539521</v>
      </c>
      <c r="Q8" s="3">
        <v>2478237</v>
      </c>
      <c r="R8" s="6">
        <v>3500.2</v>
      </c>
      <c r="S8" s="3" t="e">
        <f t="shared" si="5"/>
        <v>#DIV/0!</v>
      </c>
      <c r="T8" s="3">
        <v>0</v>
      </c>
      <c r="U8" s="6">
        <v>0</v>
      </c>
      <c r="V8" s="3">
        <f t="shared" si="6"/>
        <v>704.85236164258379</v>
      </c>
      <c r="W8" s="3">
        <v>2468252</v>
      </c>
      <c r="X8" s="6">
        <v>3501.8</v>
      </c>
      <c r="Y8" s="3">
        <f t="shared" si="7"/>
        <v>715.30981288387375</v>
      </c>
      <c r="Z8" s="3">
        <v>2503942</v>
      </c>
      <c r="AA8" s="6">
        <v>3500.5</v>
      </c>
      <c r="AB8" s="3" t="e">
        <f t="shared" si="8"/>
        <v>#DIV/0!</v>
      </c>
      <c r="AC8" s="3">
        <v>0</v>
      </c>
      <c r="AD8" s="6">
        <v>0</v>
      </c>
      <c r="AE8" s="3">
        <f t="shared" si="9"/>
        <v>700.53497472223023</v>
      </c>
      <c r="AF8" s="3">
        <v>2452643</v>
      </c>
      <c r="AG8" s="6">
        <v>3501.1</v>
      </c>
      <c r="AH8" s="3">
        <f t="shared" si="10"/>
        <v>711.42216253286097</v>
      </c>
      <c r="AI8" s="3">
        <v>2489693</v>
      </c>
      <c r="AJ8" s="6">
        <v>3499.6</v>
      </c>
      <c r="AK8" s="3">
        <f t="shared" si="11"/>
        <v>700.07028772250635</v>
      </c>
      <c r="AL8" s="3">
        <v>2450176</v>
      </c>
      <c r="AM8" s="6">
        <v>3499.9</v>
      </c>
      <c r="AN8" s="3">
        <f t="shared" si="12"/>
        <v>711.14354736747043</v>
      </c>
      <c r="AO8" s="3">
        <f t="shared" si="13"/>
        <v>22048579</v>
      </c>
      <c r="AP8" s="6">
        <f t="shared" si="14"/>
        <v>31004.399999999998</v>
      </c>
      <c r="AQ8" s="3"/>
      <c r="AR8" s="3"/>
      <c r="AS8" s="3"/>
      <c r="AT8" s="3"/>
      <c r="AU8" s="3"/>
      <c r="AV8" s="3"/>
      <c r="AW8" s="3"/>
      <c r="AX8" s="3"/>
      <c r="AY8" s="3"/>
      <c r="AZ8" s="3"/>
      <c r="BA8" s="3"/>
      <c r="BB8" s="3"/>
      <c r="BC8" s="3"/>
      <c r="BD8" s="3"/>
      <c r="BE8" s="3"/>
      <c r="BF8" s="3"/>
      <c r="BG8" s="3"/>
      <c r="BH8" s="3"/>
      <c r="BI8" s="3"/>
      <c r="BJ8" s="3"/>
      <c r="BK8" s="3"/>
      <c r="BL8" s="3"/>
      <c r="BM8" s="3"/>
      <c r="BN8" s="3"/>
    </row>
    <row r="9" spans="1:66" ht="15" customHeight="1" x14ac:dyDescent="0.3">
      <c r="A9" s="1" t="s">
        <v>41</v>
      </c>
      <c r="B9" s="15"/>
      <c r="C9" s="15"/>
      <c r="D9" s="3" t="e">
        <f t="shared" si="0"/>
        <v>#DIV/0!</v>
      </c>
      <c r="E9" s="3">
        <v>0</v>
      </c>
      <c r="F9" s="6">
        <v>0</v>
      </c>
      <c r="G9" s="3" t="e">
        <f t="shared" si="1"/>
        <v>#DIV/0!</v>
      </c>
      <c r="H9" s="3">
        <v>0</v>
      </c>
      <c r="I9" s="6">
        <v>0</v>
      </c>
      <c r="J9" s="3">
        <f t="shared" si="2"/>
        <v>674.85165677711848</v>
      </c>
      <c r="K9" s="3">
        <v>1012210</v>
      </c>
      <c r="L9" s="6">
        <v>1499.9</v>
      </c>
      <c r="M9" s="3" t="e">
        <f t="shared" si="3"/>
        <v>#DIV/0!</v>
      </c>
      <c r="N9" s="3">
        <v>0</v>
      </c>
      <c r="O9" s="6">
        <v>0</v>
      </c>
      <c r="P9" s="3">
        <f t="shared" si="4"/>
        <v>673.3577798149845</v>
      </c>
      <c r="Q9" s="3">
        <v>807962</v>
      </c>
      <c r="R9" s="6">
        <v>1199.9000000000001</v>
      </c>
      <c r="S9" s="3" t="e">
        <f t="shared" si="5"/>
        <v>#DIV/0!</v>
      </c>
      <c r="T9" s="3">
        <v>0</v>
      </c>
      <c r="U9" s="6">
        <v>0</v>
      </c>
      <c r="V9" s="3" t="e">
        <f t="shared" si="6"/>
        <v>#DIV/0!</v>
      </c>
      <c r="W9" s="3">
        <v>0</v>
      </c>
      <c r="X9" s="6">
        <v>0</v>
      </c>
      <c r="Y9" s="3">
        <f t="shared" si="7"/>
        <v>682.14244354371738</v>
      </c>
      <c r="Z9" s="3">
        <v>1295866</v>
      </c>
      <c r="AA9" s="6">
        <v>1899.7</v>
      </c>
      <c r="AB9" s="3" t="e">
        <f t="shared" si="8"/>
        <v>#DIV/0!</v>
      </c>
      <c r="AC9" s="3">
        <v>0</v>
      </c>
      <c r="AD9" s="6">
        <v>0</v>
      </c>
      <c r="AE9" s="3">
        <f t="shared" si="9"/>
        <v>714.97832899913317</v>
      </c>
      <c r="AF9" s="3">
        <v>1072253</v>
      </c>
      <c r="AG9" s="6">
        <v>1499.7</v>
      </c>
      <c r="AH9" s="3" t="e">
        <f t="shared" si="10"/>
        <v>#DIV/0!</v>
      </c>
      <c r="AI9" s="3">
        <v>0</v>
      </c>
      <c r="AJ9" s="6">
        <v>0</v>
      </c>
      <c r="AK9" s="3">
        <f t="shared" si="11"/>
        <v>725.85079783606864</v>
      </c>
      <c r="AL9" s="3">
        <v>1596654</v>
      </c>
      <c r="AM9" s="6">
        <v>2199.6999999999998</v>
      </c>
      <c r="AN9" s="3">
        <f t="shared" si="12"/>
        <v>697.07370856378554</v>
      </c>
      <c r="AO9" s="3">
        <f t="shared" si="13"/>
        <v>5784945</v>
      </c>
      <c r="AP9" s="6">
        <f t="shared" si="14"/>
        <v>8298.9</v>
      </c>
      <c r="AQ9" s="3"/>
      <c r="AR9" s="3"/>
      <c r="AS9" s="3"/>
      <c r="AT9" s="3"/>
      <c r="AU9" s="3"/>
      <c r="AV9" s="3"/>
      <c r="AW9" s="3"/>
      <c r="AX9" s="3"/>
      <c r="AY9" s="3"/>
      <c r="AZ9" s="3"/>
      <c r="BA9" s="3"/>
      <c r="BB9" s="3"/>
      <c r="BC9" s="3"/>
      <c r="BD9" s="3"/>
      <c r="BE9" s="3"/>
      <c r="BF9" s="3"/>
      <c r="BG9" s="3"/>
      <c r="BH9" s="3"/>
      <c r="BI9" s="3"/>
      <c r="BJ9" s="3"/>
      <c r="BK9" s="3"/>
      <c r="BL9" s="3"/>
      <c r="BM9" s="3"/>
      <c r="BN9" s="3"/>
    </row>
    <row r="10" spans="1:66" ht="15" customHeight="1" x14ac:dyDescent="0.3">
      <c r="A10" s="1" t="s">
        <v>36</v>
      </c>
      <c r="B10" s="15"/>
      <c r="C10" s="15"/>
      <c r="D10" s="3">
        <f t="shared" si="0"/>
        <v>759.97828132918266</v>
      </c>
      <c r="E10" s="3">
        <v>1049758</v>
      </c>
      <c r="F10" s="6">
        <v>1381.3</v>
      </c>
      <c r="G10" s="3" t="e">
        <f t="shared" si="1"/>
        <v>#DIV/0!</v>
      </c>
      <c r="H10" s="3">
        <v>0</v>
      </c>
      <c r="I10" s="6">
        <v>0</v>
      </c>
      <c r="J10" s="3">
        <f t="shared" si="2"/>
        <v>708.01436494226743</v>
      </c>
      <c r="K10" s="3">
        <v>1557490</v>
      </c>
      <c r="L10" s="6">
        <v>2199.8000000000002</v>
      </c>
      <c r="M10" s="3" t="e">
        <f t="shared" si="3"/>
        <v>#DIV/0!</v>
      </c>
      <c r="N10" s="3">
        <v>0</v>
      </c>
      <c r="O10" s="6">
        <v>0</v>
      </c>
      <c r="P10" s="3">
        <f t="shared" si="4"/>
        <v>673.82936146989266</v>
      </c>
      <c r="Q10" s="3">
        <v>370404</v>
      </c>
      <c r="R10" s="6">
        <v>549.70000000000005</v>
      </c>
      <c r="S10" s="3">
        <f t="shared" si="5"/>
        <v>685.62512502500499</v>
      </c>
      <c r="T10" s="3">
        <v>1028232</v>
      </c>
      <c r="U10" s="6">
        <v>1499.7</v>
      </c>
      <c r="V10" s="3" t="e">
        <f t="shared" si="6"/>
        <v>#DIV/0!</v>
      </c>
      <c r="W10" s="3">
        <v>0</v>
      </c>
      <c r="X10" s="6">
        <v>0</v>
      </c>
      <c r="Y10" s="3">
        <f t="shared" si="7"/>
        <v>691.2442132937075</v>
      </c>
      <c r="Z10" s="3">
        <v>1209470</v>
      </c>
      <c r="AA10" s="6">
        <v>1749.7</v>
      </c>
      <c r="AB10" s="3" t="e">
        <f t="shared" si="8"/>
        <v>#DIV/0!</v>
      </c>
      <c r="AC10" s="3">
        <v>0</v>
      </c>
      <c r="AD10" s="6">
        <v>0</v>
      </c>
      <c r="AE10" s="3">
        <f t="shared" si="9"/>
        <v>726.96841220732597</v>
      </c>
      <c r="AF10" s="3">
        <v>1903276</v>
      </c>
      <c r="AG10" s="6">
        <v>2618.1</v>
      </c>
      <c r="AH10" s="3" t="e">
        <f t="shared" si="10"/>
        <v>#DIV/0!</v>
      </c>
      <c r="AI10" s="3">
        <v>0</v>
      </c>
      <c r="AJ10" s="6">
        <v>0</v>
      </c>
      <c r="AK10" s="3">
        <f t="shared" si="11"/>
        <v>742.89891739232769</v>
      </c>
      <c r="AL10" s="3">
        <v>1262631</v>
      </c>
      <c r="AM10" s="6">
        <v>1699.6</v>
      </c>
      <c r="AN10" s="3">
        <f t="shared" si="12"/>
        <v>716.47569221826143</v>
      </c>
      <c r="AO10" s="3">
        <f t="shared" si="13"/>
        <v>8381261</v>
      </c>
      <c r="AP10" s="6">
        <f t="shared" si="14"/>
        <v>11697.9</v>
      </c>
      <c r="AQ10" s="3"/>
      <c r="AR10" s="3"/>
      <c r="AS10" s="3"/>
      <c r="AT10" s="3"/>
      <c r="AU10" s="3"/>
      <c r="AV10" s="3"/>
      <c r="AW10" s="3"/>
      <c r="AX10" s="3"/>
      <c r="AY10" s="3"/>
      <c r="AZ10" s="3"/>
      <c r="BA10" s="3"/>
      <c r="BB10" s="3"/>
      <c r="BC10" s="3"/>
      <c r="BD10" s="3"/>
      <c r="BE10" s="3"/>
      <c r="BF10" s="3"/>
      <c r="BG10" s="3"/>
      <c r="BH10" s="3"/>
      <c r="BI10" s="3"/>
      <c r="BJ10" s="3"/>
      <c r="BK10" s="3"/>
      <c r="BL10" s="3"/>
      <c r="BM10" s="3"/>
      <c r="BN10" s="3"/>
    </row>
    <row r="11" spans="1:66" ht="15" customHeight="1" x14ac:dyDescent="0.3">
      <c r="A11" s="1" t="s">
        <v>44</v>
      </c>
      <c r="B11" s="15"/>
      <c r="C11" s="15"/>
      <c r="D11" s="3" t="e">
        <f t="shared" si="0"/>
        <v>#DIV/0!</v>
      </c>
      <c r="E11" s="3">
        <v>0</v>
      </c>
      <c r="F11" s="6">
        <v>0</v>
      </c>
      <c r="G11" s="3" t="e">
        <f t="shared" si="1"/>
        <v>#DIV/0!</v>
      </c>
      <c r="H11" s="3">
        <v>0</v>
      </c>
      <c r="I11" s="6">
        <v>0</v>
      </c>
      <c r="J11" s="3" t="e">
        <f t="shared" si="2"/>
        <v>#DIV/0!</v>
      </c>
      <c r="K11" s="3">
        <v>0</v>
      </c>
      <c r="L11" s="6">
        <v>0</v>
      </c>
      <c r="M11" s="3">
        <f t="shared" si="3"/>
        <v>717.73949099227912</v>
      </c>
      <c r="N11" s="3">
        <v>501987</v>
      </c>
      <c r="O11" s="6">
        <v>699.4</v>
      </c>
      <c r="P11" s="3" t="e">
        <f t="shared" si="4"/>
        <v>#DIV/0!</v>
      </c>
      <c r="Q11" s="3">
        <v>0</v>
      </c>
      <c r="R11" s="6">
        <v>0</v>
      </c>
      <c r="S11" s="3" t="e">
        <f t="shared" si="5"/>
        <v>#DIV/0!</v>
      </c>
      <c r="T11" s="3">
        <v>0</v>
      </c>
      <c r="U11" s="6">
        <v>0</v>
      </c>
      <c r="V11" s="3">
        <f t="shared" si="6"/>
        <v>763.54679802955661</v>
      </c>
      <c r="W11" s="3">
        <v>15500</v>
      </c>
      <c r="X11" s="6">
        <v>20.3</v>
      </c>
      <c r="Y11" s="3" t="e">
        <f t="shared" si="7"/>
        <v>#DIV/0!</v>
      </c>
      <c r="Z11" s="3">
        <v>0</v>
      </c>
      <c r="AA11" s="6">
        <v>0</v>
      </c>
      <c r="AB11" s="3" t="e">
        <f t="shared" si="8"/>
        <v>#DIV/0!</v>
      </c>
      <c r="AC11" s="3">
        <v>0</v>
      </c>
      <c r="AD11" s="6">
        <v>0</v>
      </c>
      <c r="AE11" s="3" t="e">
        <f t="shared" si="9"/>
        <v>#DIV/0!</v>
      </c>
      <c r="AF11" s="3">
        <v>0</v>
      </c>
      <c r="AG11" s="6">
        <v>0</v>
      </c>
      <c r="AH11" s="3" t="e">
        <f t="shared" si="10"/>
        <v>#DIV/0!</v>
      </c>
      <c r="AI11" s="3">
        <v>0</v>
      </c>
      <c r="AJ11" s="6">
        <v>0</v>
      </c>
      <c r="AK11" s="3">
        <f t="shared" si="11"/>
        <v>776.56053683609366</v>
      </c>
      <c r="AL11" s="3">
        <v>543903</v>
      </c>
      <c r="AM11" s="6">
        <v>700.4</v>
      </c>
      <c r="AN11" s="3">
        <f t="shared" si="12"/>
        <v>747.40511231603409</v>
      </c>
      <c r="AO11" s="3">
        <f t="shared" si="13"/>
        <v>1061390</v>
      </c>
      <c r="AP11" s="6">
        <f t="shared" si="14"/>
        <v>1420.1</v>
      </c>
      <c r="AQ11" s="3"/>
      <c r="AR11" s="3"/>
      <c r="AS11" s="3"/>
      <c r="AT11" s="3"/>
      <c r="AU11" s="3"/>
      <c r="AV11" s="3"/>
      <c r="AW11" s="3"/>
      <c r="AX11" s="3"/>
      <c r="AY11" s="3"/>
      <c r="AZ11" s="3"/>
      <c r="BA11" s="3"/>
      <c r="BB11" s="3"/>
      <c r="BC11" s="3"/>
      <c r="BD11" s="3"/>
      <c r="BE11" s="3"/>
      <c r="BF11" s="3"/>
      <c r="BG11" s="3"/>
      <c r="BH11" s="3"/>
      <c r="BI11" s="3"/>
      <c r="BJ11" s="3"/>
      <c r="BK11" s="3"/>
      <c r="BL11" s="3"/>
      <c r="BM11" s="3"/>
      <c r="BN11" s="3"/>
    </row>
    <row r="12" spans="1:66" ht="15" customHeight="1" x14ac:dyDescent="0.3">
      <c r="A12" s="1" t="s">
        <v>22</v>
      </c>
      <c r="B12" s="15"/>
      <c r="C12" s="15"/>
      <c r="D12" s="3" t="e">
        <f>E12/F12</f>
        <v>#DIV/0!</v>
      </c>
      <c r="E12" s="3">
        <v>0</v>
      </c>
      <c r="F12" s="6">
        <v>0</v>
      </c>
      <c r="G12" s="3">
        <f>H12/I12</f>
        <v>1320.524017467249</v>
      </c>
      <c r="H12" s="3">
        <v>30240</v>
      </c>
      <c r="I12" s="6">
        <v>22.9</v>
      </c>
      <c r="J12" s="3" t="e">
        <f>K12/L12</f>
        <v>#DIV/0!</v>
      </c>
      <c r="K12" s="3">
        <v>0</v>
      </c>
      <c r="L12" s="6">
        <v>0</v>
      </c>
      <c r="M12" s="3" t="e">
        <f>N12/O12</f>
        <v>#DIV/0!</v>
      </c>
      <c r="N12" s="3">
        <v>0</v>
      </c>
      <c r="O12" s="6">
        <v>0</v>
      </c>
      <c r="P12" s="3" t="e">
        <f>Q12/R12</f>
        <v>#DIV/0!</v>
      </c>
      <c r="Q12" s="3">
        <v>0</v>
      </c>
      <c r="R12" s="6">
        <v>0</v>
      </c>
      <c r="S12" s="3">
        <f>T12/U12</f>
        <v>770.753372359379</v>
      </c>
      <c r="T12" s="3">
        <v>302829</v>
      </c>
      <c r="U12" s="6">
        <v>392.9</v>
      </c>
      <c r="V12" s="3">
        <f>W12/X12</f>
        <v>1200.8713692946058</v>
      </c>
      <c r="W12" s="3">
        <v>28941</v>
      </c>
      <c r="X12" s="6">
        <v>24.1</v>
      </c>
      <c r="Y12" s="3">
        <f>Z12/AA12</f>
        <v>1284.061135371179</v>
      </c>
      <c r="Z12" s="3">
        <v>29405</v>
      </c>
      <c r="AA12" s="6">
        <v>22.9</v>
      </c>
      <c r="AB12" s="3" t="e">
        <f>AC12/AD12</f>
        <v>#DIV/0!</v>
      </c>
      <c r="AC12" s="3">
        <v>0</v>
      </c>
      <c r="AD12" s="6">
        <v>0</v>
      </c>
      <c r="AE12" s="3" t="e">
        <f>AF12/AG12</f>
        <v>#DIV/0!</v>
      </c>
      <c r="AF12" s="3">
        <v>0</v>
      </c>
      <c r="AG12" s="6">
        <v>0</v>
      </c>
      <c r="AH12" s="3">
        <f>AI12/AJ12</f>
        <v>1250.3937007874015</v>
      </c>
      <c r="AI12" s="3">
        <v>95280</v>
      </c>
      <c r="AJ12" s="6">
        <v>76.2</v>
      </c>
      <c r="AK12" s="3">
        <f>AL12/AM12</f>
        <v>1255.9535822401615</v>
      </c>
      <c r="AL12" s="3">
        <v>124465</v>
      </c>
      <c r="AM12" s="6">
        <v>99.1</v>
      </c>
      <c r="AN12" s="3">
        <f t="shared" si="12"/>
        <v>957.78091208274566</v>
      </c>
      <c r="AO12" s="3">
        <f t="shared" si="13"/>
        <v>611160</v>
      </c>
      <c r="AP12" s="6">
        <f t="shared" si="14"/>
        <v>638.1</v>
      </c>
      <c r="AQ12" s="3"/>
      <c r="AR12" s="3"/>
      <c r="AS12" s="3"/>
      <c r="AT12" s="3"/>
      <c r="AU12" s="3"/>
      <c r="AV12" s="3"/>
      <c r="AW12" s="3"/>
      <c r="AX12" s="3"/>
      <c r="AY12" s="3"/>
      <c r="AZ12" s="3"/>
      <c r="BA12" s="3"/>
      <c r="BB12" s="3"/>
      <c r="BC12" s="3"/>
      <c r="BD12" s="3"/>
      <c r="BE12" s="3"/>
      <c r="BF12" s="3"/>
      <c r="BG12" s="3"/>
      <c r="BH12" s="3"/>
      <c r="BI12" s="3"/>
      <c r="BJ12" s="3"/>
      <c r="BK12" s="3"/>
      <c r="BL12" s="3"/>
      <c r="BM12" s="3"/>
      <c r="BN12" s="3"/>
    </row>
    <row r="13" spans="1:66" ht="15" customHeight="1" x14ac:dyDescent="0.3">
      <c r="A13" s="1" t="s">
        <v>24</v>
      </c>
      <c r="B13" s="15"/>
      <c r="C13" s="15"/>
      <c r="D13" s="3">
        <f t="shared" ref="D13:D40" si="15">E13/F13</f>
        <v>938.87445887445892</v>
      </c>
      <c r="E13" s="3">
        <v>130128</v>
      </c>
      <c r="F13" s="6">
        <v>138.6</v>
      </c>
      <c r="G13" s="3">
        <f t="shared" ref="G13:G40" si="16">H13/I13</f>
        <v>932.59927797833939</v>
      </c>
      <c r="H13" s="3">
        <v>51666</v>
      </c>
      <c r="I13" s="6">
        <v>55.4</v>
      </c>
      <c r="J13" s="3">
        <f t="shared" ref="J13:J40" si="17">K13/L13</f>
        <v>1085.7785467128028</v>
      </c>
      <c r="K13" s="3">
        <v>156895</v>
      </c>
      <c r="L13" s="6">
        <v>144.5</v>
      </c>
      <c r="M13" s="3">
        <f t="shared" ref="M13:M40" si="18">N13/O13</f>
        <v>767.68583450210383</v>
      </c>
      <c r="N13" s="3">
        <v>54736</v>
      </c>
      <c r="O13" s="6">
        <v>71.3</v>
      </c>
      <c r="P13" s="3">
        <f t="shared" ref="P13:P40" si="19">Q13/R13</f>
        <v>754.09756097560978</v>
      </c>
      <c r="Q13" s="3">
        <v>15459</v>
      </c>
      <c r="R13" s="6">
        <v>20.5</v>
      </c>
      <c r="S13" s="3">
        <f t="shared" ref="S13:S40" si="20">T13/U13</f>
        <v>1166.8248772504091</v>
      </c>
      <c r="T13" s="3">
        <v>71293</v>
      </c>
      <c r="U13" s="6">
        <v>61.1</v>
      </c>
      <c r="V13" s="3" t="e">
        <f t="shared" ref="V13:V40" si="21">W13/X13</f>
        <v>#DIV/0!</v>
      </c>
      <c r="W13" s="3">
        <v>0</v>
      </c>
      <c r="X13" s="6">
        <v>0</v>
      </c>
      <c r="Y13" s="3">
        <f t="shared" ref="Y13:Y40" si="22">Z13/AA13</f>
        <v>1145.9908536585367</v>
      </c>
      <c r="Z13" s="3">
        <v>150354</v>
      </c>
      <c r="AA13" s="6">
        <v>131.19999999999999</v>
      </c>
      <c r="AB13" s="3">
        <f t="shared" ref="AB13:AB40" si="23">AC13/AD13</f>
        <v>1199.824046920821</v>
      </c>
      <c r="AC13" s="3">
        <v>122742</v>
      </c>
      <c r="AD13" s="6">
        <v>102.3</v>
      </c>
      <c r="AE13" s="3">
        <f t="shared" ref="AE13:AE40" si="24">AF13/AG13</f>
        <v>1109.8179611650485</v>
      </c>
      <c r="AF13" s="3">
        <v>91449</v>
      </c>
      <c r="AG13" s="6">
        <v>82.4</v>
      </c>
      <c r="AH13" s="3">
        <f t="shared" ref="AH13:AH40" si="25">AI13/AJ13</f>
        <v>1384.9350649350649</v>
      </c>
      <c r="AI13" s="3">
        <v>53320</v>
      </c>
      <c r="AJ13" s="6">
        <v>38.5</v>
      </c>
      <c r="AK13" s="3">
        <f t="shared" ref="AK13:AK40" si="26">AL13/AM13</f>
        <v>1068.1492248062016</v>
      </c>
      <c r="AL13" s="3">
        <v>110233</v>
      </c>
      <c r="AM13" s="6">
        <v>103.2</v>
      </c>
      <c r="AN13" s="3">
        <f t="shared" si="12"/>
        <v>1062.4604847207586</v>
      </c>
      <c r="AO13" s="3">
        <f t="shared" si="13"/>
        <v>1008275</v>
      </c>
      <c r="AP13" s="6">
        <f t="shared" si="14"/>
        <v>949</v>
      </c>
      <c r="AQ13" s="3"/>
      <c r="AR13" s="3"/>
      <c r="AS13" s="3"/>
      <c r="AT13" s="3"/>
      <c r="AU13" s="3"/>
      <c r="AV13" s="3"/>
      <c r="AW13" s="3"/>
      <c r="AX13" s="3"/>
      <c r="AY13" s="3"/>
      <c r="AZ13" s="3"/>
      <c r="BA13" s="3"/>
      <c r="BB13" s="3"/>
      <c r="BC13" s="3"/>
      <c r="BD13" s="3"/>
      <c r="BE13" s="3"/>
      <c r="BF13" s="3"/>
      <c r="BG13" s="3"/>
      <c r="BH13" s="3"/>
      <c r="BI13" s="3"/>
      <c r="BJ13" s="3"/>
      <c r="BK13" s="3"/>
      <c r="BL13" s="3"/>
      <c r="BM13" s="3"/>
      <c r="BN13" s="3"/>
    </row>
    <row r="14" spans="1:66" ht="15" customHeight="1" x14ac:dyDescent="0.3">
      <c r="A14" s="1" t="s">
        <v>57</v>
      </c>
      <c r="B14" s="15"/>
      <c r="C14" s="15"/>
      <c r="D14" s="3" t="e">
        <f t="shared" si="15"/>
        <v>#DIV/0!</v>
      </c>
      <c r="E14" s="3">
        <v>0</v>
      </c>
      <c r="F14" s="6">
        <v>0</v>
      </c>
      <c r="G14" s="3" t="e">
        <f t="shared" si="16"/>
        <v>#DIV/0!</v>
      </c>
      <c r="H14" s="3">
        <v>0</v>
      </c>
      <c r="I14" s="6">
        <v>0</v>
      </c>
      <c r="J14" s="3" t="e">
        <f t="shared" si="17"/>
        <v>#DIV/0!</v>
      </c>
      <c r="K14" s="3">
        <v>0</v>
      </c>
      <c r="L14" s="6">
        <v>0</v>
      </c>
      <c r="M14" s="3" t="e">
        <f t="shared" si="18"/>
        <v>#DIV/0!</v>
      </c>
      <c r="N14" s="3">
        <v>0</v>
      </c>
      <c r="O14" s="6">
        <v>0</v>
      </c>
      <c r="P14" s="3" t="e">
        <f t="shared" si="19"/>
        <v>#DIV/0!</v>
      </c>
      <c r="Q14" s="3">
        <v>0</v>
      </c>
      <c r="R14" s="6">
        <v>0</v>
      </c>
      <c r="S14" s="3" t="e">
        <f t="shared" si="20"/>
        <v>#DIV/0!</v>
      </c>
      <c r="T14" s="3">
        <v>0</v>
      </c>
      <c r="U14" s="6">
        <v>0</v>
      </c>
      <c r="V14" s="3" t="e">
        <f t="shared" si="21"/>
        <v>#DIV/0!</v>
      </c>
      <c r="W14" s="3">
        <v>0</v>
      </c>
      <c r="X14" s="6">
        <v>0</v>
      </c>
      <c r="Y14" s="3" t="e">
        <f t="shared" si="22"/>
        <v>#DIV/0!</v>
      </c>
      <c r="Z14" s="3">
        <v>0</v>
      </c>
      <c r="AA14" s="6">
        <v>0</v>
      </c>
      <c r="AB14" s="3" t="e">
        <f t="shared" si="23"/>
        <v>#DIV/0!</v>
      </c>
      <c r="AC14" s="3">
        <v>0</v>
      </c>
      <c r="AD14" s="6">
        <v>0</v>
      </c>
      <c r="AE14" s="3" t="e">
        <f t="shared" si="24"/>
        <v>#DIV/0!</v>
      </c>
      <c r="AF14" s="3">
        <v>0</v>
      </c>
      <c r="AG14" s="6">
        <v>0</v>
      </c>
      <c r="AH14" s="3" t="e">
        <f t="shared" si="25"/>
        <v>#DIV/0!</v>
      </c>
      <c r="AI14" s="3">
        <v>0</v>
      </c>
      <c r="AJ14" s="6">
        <v>0</v>
      </c>
      <c r="AK14" s="3">
        <f t="shared" si="26"/>
        <v>855.5454545454545</v>
      </c>
      <c r="AL14" s="3">
        <v>18822</v>
      </c>
      <c r="AM14" s="6">
        <v>22</v>
      </c>
      <c r="AN14" s="3">
        <f t="shared" si="12"/>
        <v>855.5454545454545</v>
      </c>
      <c r="AO14" s="3">
        <f t="shared" si="13"/>
        <v>18822</v>
      </c>
      <c r="AP14" s="6">
        <f t="shared" si="14"/>
        <v>22</v>
      </c>
      <c r="AQ14" s="3"/>
      <c r="AR14" s="3"/>
      <c r="AS14" s="3"/>
      <c r="AT14" s="3"/>
      <c r="AU14" s="3"/>
      <c r="AV14" s="3"/>
      <c r="AW14" s="3"/>
      <c r="AX14" s="3"/>
      <c r="AY14" s="3"/>
      <c r="AZ14" s="3"/>
      <c r="BA14" s="3"/>
      <c r="BB14" s="3"/>
      <c r="BC14" s="3"/>
      <c r="BD14" s="3"/>
      <c r="BE14" s="3"/>
      <c r="BF14" s="3"/>
      <c r="BG14" s="3"/>
      <c r="BH14" s="3"/>
      <c r="BI14" s="3"/>
      <c r="BJ14" s="3"/>
      <c r="BK14" s="3"/>
      <c r="BL14" s="3"/>
      <c r="BM14" s="3"/>
      <c r="BN14" s="3"/>
    </row>
    <row r="15" spans="1:66" ht="15" customHeight="1" x14ac:dyDescent="0.3">
      <c r="A15" s="1" t="s">
        <v>46</v>
      </c>
      <c r="B15" s="15"/>
      <c r="C15" s="15"/>
      <c r="D15" s="3">
        <f t="shared" si="15"/>
        <v>1147.948717948718</v>
      </c>
      <c r="E15" s="3">
        <v>17908</v>
      </c>
      <c r="F15" s="6">
        <v>15.6</v>
      </c>
      <c r="G15" s="3">
        <f t="shared" si="16"/>
        <v>2196.4285714285716</v>
      </c>
      <c r="H15" s="3">
        <v>12300</v>
      </c>
      <c r="I15" s="6">
        <v>5.6</v>
      </c>
      <c r="J15" s="3" t="e">
        <f t="shared" si="17"/>
        <v>#DIV/0!</v>
      </c>
      <c r="K15" s="3">
        <v>0</v>
      </c>
      <c r="L15" s="6">
        <v>0</v>
      </c>
      <c r="M15" s="3" t="e">
        <f t="shared" si="18"/>
        <v>#DIV/0!</v>
      </c>
      <c r="N15" s="3">
        <v>0</v>
      </c>
      <c r="O15" s="6">
        <v>0</v>
      </c>
      <c r="P15" s="3" t="e">
        <f t="shared" si="19"/>
        <v>#DIV/0!</v>
      </c>
      <c r="Q15" s="3">
        <v>0</v>
      </c>
      <c r="R15" s="6">
        <v>0</v>
      </c>
      <c r="S15" s="3" t="e">
        <f t="shared" si="20"/>
        <v>#DIV/0!</v>
      </c>
      <c r="T15" s="3">
        <v>0</v>
      </c>
      <c r="U15" s="6">
        <v>0</v>
      </c>
      <c r="V15" s="3" t="e">
        <f t="shared" si="21"/>
        <v>#DIV/0!</v>
      </c>
      <c r="W15" s="3">
        <v>0</v>
      </c>
      <c r="X15" s="6">
        <v>0</v>
      </c>
      <c r="Y15" s="3">
        <f t="shared" si="22"/>
        <v>1184.4827586206898</v>
      </c>
      <c r="Z15" s="3">
        <v>3435</v>
      </c>
      <c r="AA15" s="6">
        <v>2.9</v>
      </c>
      <c r="AB15" s="3" t="e">
        <f t="shared" si="23"/>
        <v>#DIV/0!</v>
      </c>
      <c r="AC15" s="3">
        <v>0</v>
      </c>
      <c r="AD15" s="6">
        <v>0</v>
      </c>
      <c r="AE15" s="3">
        <f t="shared" si="24"/>
        <v>2185.5555555555552</v>
      </c>
      <c r="AF15" s="3">
        <v>23604</v>
      </c>
      <c r="AG15" s="6">
        <v>10.8</v>
      </c>
      <c r="AH15" s="3" t="e">
        <f t="shared" si="25"/>
        <v>#DIV/0!</v>
      </c>
      <c r="AI15" s="3">
        <v>0</v>
      </c>
      <c r="AJ15" s="6">
        <v>0</v>
      </c>
      <c r="AK15" s="3">
        <f t="shared" si="26"/>
        <v>762.71186440677957</v>
      </c>
      <c r="AL15" s="3">
        <v>4500</v>
      </c>
      <c r="AM15" s="6">
        <v>5.9</v>
      </c>
      <c r="AN15" s="3">
        <f t="shared" si="12"/>
        <v>1513.4068627450981</v>
      </c>
      <c r="AO15" s="3">
        <f t="shared" si="13"/>
        <v>61747</v>
      </c>
      <c r="AP15" s="6">
        <f t="shared" si="14"/>
        <v>40.799999999999997</v>
      </c>
      <c r="AQ15" s="3"/>
      <c r="AR15" s="3"/>
      <c r="AS15" s="3"/>
      <c r="AT15" s="3"/>
      <c r="AU15" s="3"/>
      <c r="AV15" s="3"/>
      <c r="AW15" s="3"/>
      <c r="AX15" s="3"/>
      <c r="AY15" s="3"/>
      <c r="AZ15" s="3"/>
      <c r="BA15" s="3"/>
      <c r="BB15" s="3"/>
      <c r="BC15" s="3"/>
      <c r="BD15" s="3"/>
      <c r="BE15" s="3"/>
      <c r="BF15" s="3"/>
      <c r="BG15" s="3"/>
      <c r="BH15" s="3"/>
      <c r="BI15" s="3"/>
      <c r="BJ15" s="3"/>
      <c r="BK15" s="3"/>
      <c r="BL15" s="3"/>
      <c r="BM15" s="3"/>
      <c r="BN15" s="3"/>
    </row>
    <row r="16" spans="1:66" ht="15" customHeight="1" x14ac:dyDescent="0.3">
      <c r="A16" s="1" t="s">
        <v>58</v>
      </c>
      <c r="B16" s="15"/>
      <c r="C16" s="15"/>
      <c r="D16" s="3" t="e">
        <f t="shared" si="15"/>
        <v>#DIV/0!</v>
      </c>
      <c r="E16" s="3">
        <v>0</v>
      </c>
      <c r="F16" s="6">
        <v>0</v>
      </c>
      <c r="G16" s="3" t="e">
        <f t="shared" si="16"/>
        <v>#DIV/0!</v>
      </c>
      <c r="H16" s="3">
        <v>0</v>
      </c>
      <c r="I16" s="6">
        <v>0</v>
      </c>
      <c r="J16" s="3" t="e">
        <f t="shared" si="17"/>
        <v>#DIV/0!</v>
      </c>
      <c r="K16" s="3">
        <v>0</v>
      </c>
      <c r="L16" s="6">
        <v>0</v>
      </c>
      <c r="M16" s="3">
        <f t="shared" si="18"/>
        <v>760.30769230769226</v>
      </c>
      <c r="N16" s="3">
        <v>4942</v>
      </c>
      <c r="O16" s="6">
        <v>6.5</v>
      </c>
      <c r="P16" s="3">
        <f t="shared" si="19"/>
        <v>1075.0917431192661</v>
      </c>
      <c r="Q16" s="3">
        <v>23437</v>
      </c>
      <c r="R16" s="6">
        <v>21.8</v>
      </c>
      <c r="S16" s="3" t="e">
        <f t="shared" si="20"/>
        <v>#DIV/0!</v>
      </c>
      <c r="T16" s="3">
        <v>0</v>
      </c>
      <c r="U16" s="6">
        <v>0</v>
      </c>
      <c r="V16" s="3" t="e">
        <f t="shared" si="21"/>
        <v>#DIV/0!</v>
      </c>
      <c r="W16" s="3">
        <v>0</v>
      </c>
      <c r="X16" s="6">
        <v>0</v>
      </c>
      <c r="Y16" s="3" t="e">
        <f t="shared" si="22"/>
        <v>#DIV/0!</v>
      </c>
      <c r="Z16" s="3">
        <v>0</v>
      </c>
      <c r="AA16" s="6">
        <v>0</v>
      </c>
      <c r="AB16" s="3" t="e">
        <f t="shared" si="23"/>
        <v>#DIV/0!</v>
      </c>
      <c r="AC16" s="3">
        <v>0</v>
      </c>
      <c r="AD16" s="6">
        <v>0</v>
      </c>
      <c r="AE16" s="3" t="e">
        <f t="shared" si="24"/>
        <v>#DIV/0!</v>
      </c>
      <c r="AF16" s="3">
        <v>0</v>
      </c>
      <c r="AG16" s="6">
        <v>0</v>
      </c>
      <c r="AH16" s="3" t="e">
        <f t="shared" si="25"/>
        <v>#DIV/0!</v>
      </c>
      <c r="AI16" s="3">
        <v>0</v>
      </c>
      <c r="AJ16" s="6">
        <v>0</v>
      </c>
      <c r="AK16" s="3">
        <f t="shared" si="26"/>
        <v>1220.4166666666667</v>
      </c>
      <c r="AL16" s="3">
        <v>2929</v>
      </c>
      <c r="AM16" s="6">
        <v>2.4</v>
      </c>
      <c r="AN16" s="3">
        <f t="shared" si="12"/>
        <v>1019.8045602605863</v>
      </c>
      <c r="AO16" s="3">
        <f t="shared" si="13"/>
        <v>31308</v>
      </c>
      <c r="AP16" s="6">
        <f t="shared" si="14"/>
        <v>30.7</v>
      </c>
      <c r="AQ16" s="3"/>
      <c r="AR16" s="3"/>
      <c r="AS16" s="3"/>
      <c r="AT16" s="3"/>
      <c r="AU16" s="3"/>
      <c r="AV16" s="3"/>
      <c r="AW16" s="3"/>
      <c r="AX16" s="3"/>
      <c r="AY16" s="3"/>
      <c r="AZ16" s="3"/>
      <c r="BA16" s="3"/>
      <c r="BB16" s="3"/>
      <c r="BC16" s="3"/>
      <c r="BD16" s="3"/>
      <c r="BE16" s="3"/>
      <c r="BF16" s="3"/>
      <c r="BG16" s="3"/>
      <c r="BH16" s="3"/>
      <c r="BI16" s="3"/>
      <c r="BJ16" s="3"/>
      <c r="BK16" s="3"/>
      <c r="BL16" s="3"/>
      <c r="BM16" s="3"/>
      <c r="BN16" s="3"/>
    </row>
    <row r="17" spans="1:66" ht="15" customHeight="1" x14ac:dyDescent="0.3">
      <c r="A17" s="1" t="s">
        <v>20</v>
      </c>
      <c r="B17" s="15"/>
      <c r="C17" s="15"/>
      <c r="D17" s="3" t="e">
        <f t="shared" si="15"/>
        <v>#DIV/0!</v>
      </c>
      <c r="E17" s="3">
        <v>0</v>
      </c>
      <c r="F17" s="6">
        <v>0</v>
      </c>
      <c r="G17" s="3">
        <f t="shared" si="16"/>
        <v>1563.5151515151515</v>
      </c>
      <c r="H17" s="3">
        <v>51596</v>
      </c>
      <c r="I17" s="6">
        <v>33</v>
      </c>
      <c r="J17" s="3" t="e">
        <f t="shared" si="17"/>
        <v>#DIV/0!</v>
      </c>
      <c r="K17" s="3">
        <v>0</v>
      </c>
      <c r="L17" s="6">
        <v>0</v>
      </c>
      <c r="M17" s="3">
        <f t="shared" si="18"/>
        <v>1654.4242424242425</v>
      </c>
      <c r="N17" s="3">
        <v>54596</v>
      </c>
      <c r="O17" s="6">
        <v>33</v>
      </c>
      <c r="P17" s="3">
        <f t="shared" si="19"/>
        <v>1559.6069868995635</v>
      </c>
      <c r="Q17" s="3">
        <v>71430</v>
      </c>
      <c r="R17" s="6">
        <v>45.8</v>
      </c>
      <c r="S17" s="3" t="e">
        <f t="shared" si="20"/>
        <v>#DIV/0!</v>
      </c>
      <c r="T17" s="3">
        <v>0</v>
      </c>
      <c r="U17" s="6">
        <v>0</v>
      </c>
      <c r="V17" s="3">
        <f t="shared" si="21"/>
        <v>1558.4848484848485</v>
      </c>
      <c r="W17" s="3">
        <v>25715</v>
      </c>
      <c r="X17" s="6">
        <v>16.5</v>
      </c>
      <c r="Y17" s="3">
        <f t="shared" si="22"/>
        <v>1558.4848484848485</v>
      </c>
      <c r="Z17" s="3">
        <v>25715</v>
      </c>
      <c r="AA17" s="6">
        <v>16.5</v>
      </c>
      <c r="AB17" s="3" t="e">
        <f t="shared" si="23"/>
        <v>#DIV/0!</v>
      </c>
      <c r="AC17" s="3">
        <v>0</v>
      </c>
      <c r="AD17" s="6">
        <v>0</v>
      </c>
      <c r="AE17" s="3">
        <f t="shared" si="24"/>
        <v>1558.4848484848485</v>
      </c>
      <c r="AF17" s="3">
        <v>25715</v>
      </c>
      <c r="AG17" s="6">
        <v>16.5</v>
      </c>
      <c r="AH17" s="3">
        <f t="shared" si="25"/>
        <v>3115</v>
      </c>
      <c r="AI17" s="3">
        <v>3115</v>
      </c>
      <c r="AJ17" s="6">
        <v>1</v>
      </c>
      <c r="AK17" s="3" t="e">
        <f t="shared" si="26"/>
        <v>#DIV/0!</v>
      </c>
      <c r="AL17" s="3">
        <v>0</v>
      </c>
      <c r="AM17" s="6">
        <v>0</v>
      </c>
      <c r="AN17" s="3">
        <f t="shared" si="12"/>
        <v>1588.9217498459641</v>
      </c>
      <c r="AO17" s="3">
        <f t="shared" si="13"/>
        <v>257882</v>
      </c>
      <c r="AP17" s="6">
        <f t="shared" si="14"/>
        <v>162.30000000000001</v>
      </c>
      <c r="AQ17" s="3"/>
      <c r="AR17" s="3"/>
      <c r="AS17" s="3"/>
      <c r="AT17" s="3"/>
      <c r="AU17" s="3"/>
      <c r="AV17" s="3"/>
      <c r="AW17" s="3"/>
      <c r="AX17" s="3"/>
      <c r="AY17" s="3"/>
      <c r="AZ17" s="3"/>
      <c r="BA17" s="3"/>
      <c r="BB17" s="3"/>
      <c r="BC17" s="3"/>
      <c r="BD17" s="3"/>
      <c r="BE17" s="3"/>
      <c r="BF17" s="3"/>
      <c r="BG17" s="3"/>
      <c r="BH17" s="3"/>
      <c r="BI17" s="3"/>
      <c r="BJ17" s="3"/>
      <c r="BK17" s="3"/>
      <c r="BL17" s="3"/>
      <c r="BM17" s="3"/>
      <c r="BN17" s="3"/>
    </row>
    <row r="18" spans="1:66" ht="15" customHeight="1" x14ac:dyDescent="0.3">
      <c r="A18" s="1" t="s">
        <v>32</v>
      </c>
      <c r="B18" s="15"/>
      <c r="C18" s="15"/>
      <c r="D18" s="3" t="e">
        <f t="shared" si="15"/>
        <v>#DIV/0!</v>
      </c>
      <c r="E18" s="3">
        <v>0</v>
      </c>
      <c r="F18" s="6">
        <v>0</v>
      </c>
      <c r="G18" s="3">
        <f t="shared" si="16"/>
        <v>1140.6315789473683</v>
      </c>
      <c r="H18" s="3">
        <v>10836</v>
      </c>
      <c r="I18" s="6">
        <v>9.5</v>
      </c>
      <c r="J18" s="3" t="e">
        <f t="shared" si="17"/>
        <v>#DIV/0!</v>
      </c>
      <c r="K18" s="3">
        <v>0</v>
      </c>
      <c r="L18" s="6">
        <v>0</v>
      </c>
      <c r="M18" s="3" t="e">
        <f t="shared" si="18"/>
        <v>#DIV/0!</v>
      </c>
      <c r="N18" s="3">
        <v>0</v>
      </c>
      <c r="O18" s="6">
        <v>0</v>
      </c>
      <c r="P18" s="3" t="e">
        <f t="shared" si="19"/>
        <v>#DIV/0!</v>
      </c>
      <c r="Q18" s="3">
        <v>0</v>
      </c>
      <c r="R18" s="6">
        <v>0</v>
      </c>
      <c r="S18" s="3" t="e">
        <f t="shared" si="20"/>
        <v>#DIV/0!</v>
      </c>
      <c r="T18" s="3">
        <v>0</v>
      </c>
      <c r="U18" s="6">
        <v>0</v>
      </c>
      <c r="V18" s="3" t="e">
        <f t="shared" si="21"/>
        <v>#DIV/0!</v>
      </c>
      <c r="W18" s="3">
        <v>0</v>
      </c>
      <c r="X18" s="6">
        <v>0</v>
      </c>
      <c r="Y18" s="3" t="e">
        <f t="shared" si="22"/>
        <v>#DIV/0!</v>
      </c>
      <c r="Z18" s="3">
        <v>0</v>
      </c>
      <c r="AA18" s="6">
        <v>0</v>
      </c>
      <c r="AB18" s="3" t="e">
        <f t="shared" si="23"/>
        <v>#DIV/0!</v>
      </c>
      <c r="AC18" s="3">
        <v>0</v>
      </c>
      <c r="AD18" s="6">
        <v>0</v>
      </c>
      <c r="AE18" s="3" t="e">
        <f t="shared" si="24"/>
        <v>#DIV/0!</v>
      </c>
      <c r="AF18" s="3">
        <v>0</v>
      </c>
      <c r="AG18" s="6">
        <v>0</v>
      </c>
      <c r="AH18" s="3" t="e">
        <f t="shared" si="25"/>
        <v>#DIV/0!</v>
      </c>
      <c r="AI18" s="3">
        <v>0</v>
      </c>
      <c r="AJ18" s="6">
        <v>0</v>
      </c>
      <c r="AK18" s="3" t="e">
        <f t="shared" si="26"/>
        <v>#DIV/0!</v>
      </c>
      <c r="AL18" s="3">
        <v>0</v>
      </c>
      <c r="AM18" s="6">
        <v>0</v>
      </c>
      <c r="AN18" s="3">
        <f t="shared" si="12"/>
        <v>1140.6315789473683</v>
      </c>
      <c r="AO18" s="3">
        <f t="shared" si="13"/>
        <v>10836</v>
      </c>
      <c r="AP18" s="6">
        <f t="shared" si="14"/>
        <v>9.5</v>
      </c>
      <c r="AQ18" s="3"/>
      <c r="AR18" s="3"/>
      <c r="AS18" s="3"/>
      <c r="AT18" s="3"/>
      <c r="AU18" s="3"/>
      <c r="AV18" s="3"/>
      <c r="AW18" s="3"/>
      <c r="AX18" s="3"/>
      <c r="AY18" s="3"/>
      <c r="AZ18" s="3"/>
      <c r="BA18" s="3"/>
      <c r="BB18" s="3"/>
      <c r="BC18" s="3"/>
      <c r="BD18" s="3"/>
      <c r="BE18" s="3"/>
      <c r="BF18" s="3"/>
      <c r="BG18" s="3"/>
      <c r="BH18" s="3"/>
      <c r="BI18" s="3"/>
      <c r="BJ18" s="3"/>
      <c r="BK18" s="3"/>
      <c r="BL18" s="3"/>
      <c r="BM18" s="3"/>
      <c r="BN18" s="3"/>
    </row>
    <row r="19" spans="1:66" ht="15" customHeight="1" x14ac:dyDescent="0.3">
      <c r="A19" s="1" t="s">
        <v>33</v>
      </c>
      <c r="B19" s="15"/>
      <c r="C19" s="15"/>
      <c r="D19" s="3" t="e">
        <f t="shared" si="15"/>
        <v>#DIV/0!</v>
      </c>
      <c r="E19" s="3">
        <v>0</v>
      </c>
      <c r="F19" s="6">
        <v>0</v>
      </c>
      <c r="G19" s="3" t="e">
        <f t="shared" si="16"/>
        <v>#DIV/0!</v>
      </c>
      <c r="H19" s="3">
        <v>0</v>
      </c>
      <c r="I19" s="6">
        <v>0</v>
      </c>
      <c r="J19" s="3" t="e">
        <f t="shared" si="17"/>
        <v>#DIV/0!</v>
      </c>
      <c r="K19" s="3">
        <v>0</v>
      </c>
      <c r="L19" s="6">
        <v>0</v>
      </c>
      <c r="M19" s="3" t="e">
        <f t="shared" si="18"/>
        <v>#DIV/0!</v>
      </c>
      <c r="N19" s="3">
        <v>0</v>
      </c>
      <c r="O19" s="6">
        <v>0</v>
      </c>
      <c r="P19" s="3" t="e">
        <f t="shared" si="19"/>
        <v>#DIV/0!</v>
      </c>
      <c r="Q19" s="3">
        <v>0</v>
      </c>
      <c r="R19" s="6">
        <v>0</v>
      </c>
      <c r="S19" s="3" t="e">
        <f t="shared" si="20"/>
        <v>#DIV/0!</v>
      </c>
      <c r="T19" s="3">
        <v>0</v>
      </c>
      <c r="U19" s="6">
        <v>0</v>
      </c>
      <c r="V19" s="3">
        <f t="shared" si="21"/>
        <v>760.07677543186173</v>
      </c>
      <c r="W19" s="3">
        <v>39600</v>
      </c>
      <c r="X19" s="6">
        <v>52.1</v>
      </c>
      <c r="Y19" s="3" t="e">
        <f t="shared" si="22"/>
        <v>#DIV/0!</v>
      </c>
      <c r="Z19" s="3">
        <v>0</v>
      </c>
      <c r="AA19" s="6">
        <v>0</v>
      </c>
      <c r="AB19" s="3" t="e">
        <f t="shared" si="23"/>
        <v>#DIV/0!</v>
      </c>
      <c r="AC19" s="3">
        <v>0</v>
      </c>
      <c r="AD19" s="6">
        <v>0</v>
      </c>
      <c r="AE19" s="3" t="e">
        <f t="shared" si="24"/>
        <v>#DIV/0!</v>
      </c>
      <c r="AF19" s="3">
        <v>0</v>
      </c>
      <c r="AG19" s="6">
        <v>0</v>
      </c>
      <c r="AH19" s="3" t="e">
        <f t="shared" si="25"/>
        <v>#DIV/0!</v>
      </c>
      <c r="AI19" s="3">
        <v>0</v>
      </c>
      <c r="AJ19" s="6">
        <v>0</v>
      </c>
      <c r="AK19" s="3" t="e">
        <f t="shared" si="26"/>
        <v>#DIV/0!</v>
      </c>
      <c r="AL19" s="3">
        <v>0</v>
      </c>
      <c r="AM19" s="6">
        <v>0</v>
      </c>
      <c r="AN19" s="3">
        <f t="shared" si="12"/>
        <v>760.07677543186173</v>
      </c>
      <c r="AO19" s="3">
        <f t="shared" si="13"/>
        <v>39600</v>
      </c>
      <c r="AP19" s="6">
        <f t="shared" si="14"/>
        <v>52.1</v>
      </c>
      <c r="AQ19" s="3"/>
      <c r="AR19" s="3"/>
      <c r="AS19" s="3"/>
      <c r="AT19" s="3"/>
      <c r="AU19" s="3"/>
      <c r="AV19" s="3"/>
      <c r="AW19" s="3"/>
      <c r="AX19" s="3"/>
      <c r="AY19" s="3"/>
      <c r="AZ19" s="3"/>
      <c r="BA19" s="3"/>
      <c r="BB19" s="3"/>
      <c r="BC19" s="3"/>
      <c r="BD19" s="3"/>
      <c r="BE19" s="3"/>
      <c r="BF19" s="3"/>
      <c r="BG19" s="3"/>
      <c r="BH19" s="3"/>
      <c r="BI19" s="3"/>
      <c r="BJ19" s="3"/>
      <c r="BK19" s="3"/>
      <c r="BL19" s="3"/>
      <c r="BM19" s="3"/>
      <c r="BN19" s="3"/>
    </row>
    <row r="20" spans="1:66" x14ac:dyDescent="0.3">
      <c r="A20" s="1" t="s">
        <v>34</v>
      </c>
      <c r="B20" s="15"/>
      <c r="C20" s="15"/>
      <c r="D20" s="3" t="e">
        <f t="shared" si="15"/>
        <v>#DIV/0!</v>
      </c>
      <c r="E20" s="3">
        <v>0</v>
      </c>
      <c r="F20" s="6">
        <v>0</v>
      </c>
      <c r="G20" s="3" t="e">
        <f t="shared" si="16"/>
        <v>#DIV/0!</v>
      </c>
      <c r="H20" s="3">
        <v>0</v>
      </c>
      <c r="I20" s="6">
        <v>0</v>
      </c>
      <c r="J20" s="3" t="e">
        <f t="shared" si="17"/>
        <v>#DIV/0!</v>
      </c>
      <c r="K20" s="3">
        <v>0</v>
      </c>
      <c r="L20" s="6">
        <v>0</v>
      </c>
      <c r="M20" s="3" t="e">
        <f t="shared" si="18"/>
        <v>#DIV/0!</v>
      </c>
      <c r="N20" s="3">
        <v>0</v>
      </c>
      <c r="O20" s="6">
        <v>0</v>
      </c>
      <c r="P20" s="3" t="e">
        <f t="shared" si="19"/>
        <v>#DIV/0!</v>
      </c>
      <c r="Q20" s="3">
        <v>0</v>
      </c>
      <c r="R20" s="6">
        <v>0</v>
      </c>
      <c r="S20" s="3" t="e">
        <f t="shared" si="20"/>
        <v>#DIV/0!</v>
      </c>
      <c r="T20" s="3">
        <v>0</v>
      </c>
      <c r="U20" s="6">
        <v>0</v>
      </c>
      <c r="V20" s="3" t="e">
        <f t="shared" si="21"/>
        <v>#DIV/0!</v>
      </c>
      <c r="W20" s="3">
        <v>0</v>
      </c>
      <c r="X20" s="6">
        <v>0</v>
      </c>
      <c r="Y20" s="3" t="e">
        <f t="shared" si="22"/>
        <v>#DIV/0!</v>
      </c>
      <c r="Z20" s="3">
        <v>0</v>
      </c>
      <c r="AA20" s="6">
        <v>0</v>
      </c>
      <c r="AB20" s="3">
        <f t="shared" si="23"/>
        <v>760.66398390342044</v>
      </c>
      <c r="AC20" s="3">
        <v>37805</v>
      </c>
      <c r="AD20" s="6">
        <v>49.7</v>
      </c>
      <c r="AE20" s="3" t="e">
        <f t="shared" si="24"/>
        <v>#DIV/0!</v>
      </c>
      <c r="AF20" s="3">
        <v>0</v>
      </c>
      <c r="AG20" s="6">
        <v>0</v>
      </c>
      <c r="AH20" s="3" t="e">
        <f t="shared" si="25"/>
        <v>#DIV/0!</v>
      </c>
      <c r="AI20" s="3">
        <v>0</v>
      </c>
      <c r="AJ20" s="6">
        <v>0</v>
      </c>
      <c r="AK20" s="3" t="e">
        <f t="shared" si="26"/>
        <v>#DIV/0!</v>
      </c>
      <c r="AL20" s="3">
        <v>0</v>
      </c>
      <c r="AM20" s="6">
        <v>0</v>
      </c>
      <c r="AN20" s="3">
        <f t="shared" si="12"/>
        <v>760.66398390342044</v>
      </c>
      <c r="AO20" s="3">
        <f t="shared" si="13"/>
        <v>37805</v>
      </c>
      <c r="AP20" s="6">
        <f t="shared" si="14"/>
        <v>49.7</v>
      </c>
      <c r="AQ20" s="3"/>
      <c r="AR20" s="3"/>
      <c r="AS20" s="3"/>
      <c r="AT20" s="3"/>
      <c r="AU20" s="3"/>
      <c r="AV20" s="3"/>
      <c r="AW20" s="3"/>
      <c r="AX20" s="3"/>
      <c r="AY20" s="3"/>
      <c r="AZ20" s="3"/>
      <c r="BA20" s="3"/>
      <c r="BB20" s="3"/>
      <c r="BC20" s="3"/>
      <c r="BD20" s="3"/>
      <c r="BE20" s="3"/>
      <c r="BF20" s="3"/>
      <c r="BG20" s="3"/>
      <c r="BH20" s="3"/>
      <c r="BI20" s="3"/>
      <c r="BJ20" s="3"/>
      <c r="BK20" s="3"/>
      <c r="BL20" s="3"/>
      <c r="BM20" s="3"/>
      <c r="BN20" s="3"/>
    </row>
    <row r="21" spans="1:66" x14ac:dyDescent="0.3">
      <c r="A21" s="1" t="s">
        <v>19</v>
      </c>
      <c r="B21" s="15"/>
      <c r="C21" s="15"/>
      <c r="D21" s="3" t="e">
        <f t="shared" si="15"/>
        <v>#DIV/0!</v>
      </c>
      <c r="E21" s="3">
        <v>0</v>
      </c>
      <c r="F21" s="6">
        <v>0</v>
      </c>
      <c r="G21" s="3" t="e">
        <f t="shared" si="16"/>
        <v>#DIV/0!</v>
      </c>
      <c r="H21" s="3">
        <v>0</v>
      </c>
      <c r="I21" s="6">
        <v>0</v>
      </c>
      <c r="J21" s="3" t="e">
        <f t="shared" si="17"/>
        <v>#DIV/0!</v>
      </c>
      <c r="K21" s="3">
        <v>0</v>
      </c>
      <c r="L21" s="6">
        <v>0</v>
      </c>
      <c r="M21" s="3" t="e">
        <f t="shared" si="18"/>
        <v>#DIV/0!</v>
      </c>
      <c r="N21" s="3">
        <v>0</v>
      </c>
      <c r="O21" s="6">
        <v>0</v>
      </c>
      <c r="P21" s="3">
        <f t="shared" si="19"/>
        <v>760.02204149882186</v>
      </c>
      <c r="Q21" s="3">
        <v>999961</v>
      </c>
      <c r="R21" s="6">
        <v>1315.7</v>
      </c>
      <c r="S21" s="3" t="e">
        <f t="shared" si="20"/>
        <v>#DIV/0!</v>
      </c>
      <c r="T21" s="3">
        <v>0</v>
      </c>
      <c r="U21" s="6">
        <v>0</v>
      </c>
      <c r="V21" s="3" t="e">
        <f t="shared" si="21"/>
        <v>#DIV/0!</v>
      </c>
      <c r="W21" s="3">
        <v>0</v>
      </c>
      <c r="X21" s="6">
        <v>0</v>
      </c>
      <c r="Y21" s="3">
        <f t="shared" si="22"/>
        <v>681.29280000000006</v>
      </c>
      <c r="Z21" s="3">
        <v>1703232</v>
      </c>
      <c r="AA21" s="6">
        <v>2500</v>
      </c>
      <c r="AB21" s="3" t="e">
        <f t="shared" si="23"/>
        <v>#DIV/0!</v>
      </c>
      <c r="AC21" s="3">
        <v>0</v>
      </c>
      <c r="AD21" s="6">
        <v>0</v>
      </c>
      <c r="AE21" s="3">
        <f t="shared" si="24"/>
        <v>756.72867286728672</v>
      </c>
      <c r="AF21" s="3">
        <v>1513306</v>
      </c>
      <c r="AG21" s="6">
        <v>1999.8</v>
      </c>
      <c r="AH21" s="3">
        <f t="shared" si="25"/>
        <v>2027.5</v>
      </c>
      <c r="AI21" s="3">
        <v>3244</v>
      </c>
      <c r="AJ21" s="6">
        <v>1.6</v>
      </c>
      <c r="AK21" s="3" t="e">
        <f t="shared" si="26"/>
        <v>#DIV/0!</v>
      </c>
      <c r="AL21" s="3">
        <v>0</v>
      </c>
      <c r="AM21" s="6">
        <v>0</v>
      </c>
      <c r="AN21" s="3">
        <f t="shared" si="12"/>
        <v>725.40320778394732</v>
      </c>
      <c r="AO21" s="3">
        <f t="shared" si="13"/>
        <v>4219743</v>
      </c>
      <c r="AP21" s="6">
        <f t="shared" si="14"/>
        <v>5817.1</v>
      </c>
      <c r="AQ21" s="3"/>
      <c r="AR21" s="3"/>
      <c r="AS21" s="3"/>
      <c r="AT21" s="3"/>
      <c r="AU21" s="3"/>
      <c r="AV21" s="3"/>
      <c r="AW21" s="3"/>
      <c r="AX21" s="3"/>
      <c r="AY21" s="3"/>
      <c r="AZ21" s="3"/>
      <c r="BA21" s="3"/>
      <c r="BB21" s="3"/>
      <c r="BC21" s="3"/>
      <c r="BD21" s="3"/>
      <c r="BE21" s="3"/>
      <c r="BF21" s="3"/>
      <c r="BG21" s="3"/>
      <c r="BH21" s="3"/>
      <c r="BI21" s="3"/>
      <c r="BJ21" s="3"/>
      <c r="BK21" s="3"/>
      <c r="BL21" s="3"/>
      <c r="BM21" s="3"/>
      <c r="BN21" s="3"/>
    </row>
    <row r="22" spans="1:66" x14ac:dyDescent="0.3">
      <c r="A22" s="1" t="s">
        <v>35</v>
      </c>
      <c r="B22" s="15"/>
      <c r="C22" s="15"/>
      <c r="D22" s="3">
        <f t="shared" si="15"/>
        <v>2250</v>
      </c>
      <c r="E22" s="3">
        <v>3600</v>
      </c>
      <c r="F22" s="6">
        <v>1.6</v>
      </c>
      <c r="G22" s="3" t="e">
        <f t="shared" si="16"/>
        <v>#DIV/0!</v>
      </c>
      <c r="H22" s="3">
        <v>0</v>
      </c>
      <c r="I22" s="6">
        <v>0</v>
      </c>
      <c r="J22" s="3" t="e">
        <f t="shared" si="17"/>
        <v>#DIV/0!</v>
      </c>
      <c r="K22" s="3">
        <v>0</v>
      </c>
      <c r="L22" s="6">
        <v>0</v>
      </c>
      <c r="M22" s="3" t="e">
        <f t="shared" si="18"/>
        <v>#DIV/0!</v>
      </c>
      <c r="N22" s="3">
        <v>0</v>
      </c>
      <c r="O22" s="6">
        <v>0</v>
      </c>
      <c r="P22" s="3" t="e">
        <f t="shared" si="19"/>
        <v>#DIV/0!</v>
      </c>
      <c r="Q22" s="3">
        <v>0</v>
      </c>
      <c r="R22" s="6">
        <v>0</v>
      </c>
      <c r="S22" s="3" t="e">
        <f t="shared" si="20"/>
        <v>#DIV/0!</v>
      </c>
      <c r="T22" s="3">
        <v>0</v>
      </c>
      <c r="U22" s="6">
        <v>0</v>
      </c>
      <c r="V22" s="3" t="e">
        <f t="shared" si="21"/>
        <v>#DIV/0!</v>
      </c>
      <c r="W22" s="3">
        <v>0</v>
      </c>
      <c r="X22" s="6">
        <v>0</v>
      </c>
      <c r="Y22" s="3" t="e">
        <f t="shared" si="22"/>
        <v>#DIV/0!</v>
      </c>
      <c r="Z22" s="3">
        <v>0</v>
      </c>
      <c r="AA22" s="6">
        <v>0</v>
      </c>
      <c r="AB22" s="3" t="e">
        <f t="shared" si="23"/>
        <v>#DIV/0!</v>
      </c>
      <c r="AC22" s="3">
        <v>0</v>
      </c>
      <c r="AD22" s="6">
        <v>0</v>
      </c>
      <c r="AE22" s="3">
        <f t="shared" si="24"/>
        <v>1485.086705202312</v>
      </c>
      <c r="AF22" s="3">
        <v>25692</v>
      </c>
      <c r="AG22" s="6">
        <v>17.3</v>
      </c>
      <c r="AH22" s="3" t="e">
        <f t="shared" si="25"/>
        <v>#DIV/0!</v>
      </c>
      <c r="AI22" s="3">
        <v>0</v>
      </c>
      <c r="AJ22" s="6">
        <v>0</v>
      </c>
      <c r="AK22" s="3" t="e">
        <f t="shared" si="26"/>
        <v>#DIV/0!</v>
      </c>
      <c r="AL22" s="3">
        <v>0</v>
      </c>
      <c r="AM22" s="6">
        <v>0</v>
      </c>
      <c r="AN22" s="3">
        <f t="shared" si="12"/>
        <v>1549.8412698412696</v>
      </c>
      <c r="AO22" s="3">
        <f t="shared" si="13"/>
        <v>29292</v>
      </c>
      <c r="AP22" s="6">
        <f t="shared" si="14"/>
        <v>18.900000000000002</v>
      </c>
      <c r="AQ22" s="3"/>
      <c r="AR22" s="3"/>
      <c r="AS22" s="3"/>
      <c r="AT22" s="3"/>
      <c r="AU22" s="3"/>
      <c r="AV22" s="3"/>
      <c r="AW22" s="3"/>
      <c r="AX22" s="3"/>
      <c r="AY22" s="3"/>
      <c r="AZ22" s="3"/>
      <c r="BA22" s="3"/>
      <c r="BB22" s="3"/>
      <c r="BC22" s="3"/>
      <c r="BD22" s="3"/>
      <c r="BE22" s="3"/>
      <c r="BF22" s="3"/>
      <c r="BG22" s="3"/>
      <c r="BH22" s="3"/>
      <c r="BI22" s="3"/>
      <c r="BJ22" s="3"/>
      <c r="BK22" s="3"/>
      <c r="BL22" s="3"/>
      <c r="BM22" s="3"/>
      <c r="BN22" s="3"/>
    </row>
    <row r="23" spans="1:66" x14ac:dyDescent="0.3">
      <c r="A23" s="1" t="s">
        <v>37</v>
      </c>
      <c r="B23" s="15"/>
      <c r="C23" s="15"/>
      <c r="D23" s="3">
        <f t="shared" si="15"/>
        <v>743.48358176712031</v>
      </c>
      <c r="E23" s="3">
        <v>6883171</v>
      </c>
      <c r="F23" s="6">
        <v>9258</v>
      </c>
      <c r="G23" s="3">
        <f t="shared" si="16"/>
        <v>756.81160297947076</v>
      </c>
      <c r="H23" s="3">
        <v>3749169</v>
      </c>
      <c r="I23" s="6">
        <v>4953.8999999999996</v>
      </c>
      <c r="J23" s="3">
        <f t="shared" si="17"/>
        <v>684.89974909518844</v>
      </c>
      <c r="K23" s="3">
        <v>3084583</v>
      </c>
      <c r="L23" s="6">
        <v>4503.7</v>
      </c>
      <c r="M23" s="3">
        <f t="shared" si="18"/>
        <v>671.35813581358138</v>
      </c>
      <c r="N23" s="3">
        <v>4027746</v>
      </c>
      <c r="O23" s="6">
        <v>5999.4</v>
      </c>
      <c r="P23" s="3">
        <f t="shared" si="19"/>
        <v>688.09678560556813</v>
      </c>
      <c r="Q23" s="3">
        <v>8363610</v>
      </c>
      <c r="R23" s="6">
        <v>12154.7</v>
      </c>
      <c r="S23" s="3" t="e">
        <f t="shared" si="20"/>
        <v>#DIV/0!</v>
      </c>
      <c r="T23" s="3">
        <v>0</v>
      </c>
      <c r="U23" s="6">
        <v>0</v>
      </c>
      <c r="V23" s="3">
        <f t="shared" si="21"/>
        <v>677.27708987499261</v>
      </c>
      <c r="W23" s="3">
        <v>9145408</v>
      </c>
      <c r="X23" s="6">
        <v>13503.2</v>
      </c>
      <c r="Y23" s="3">
        <f t="shared" si="22"/>
        <v>718.77313278773136</v>
      </c>
      <c r="Z23" s="3">
        <v>5849232</v>
      </c>
      <c r="AA23" s="6">
        <v>8137.8</v>
      </c>
      <c r="AB23" s="3">
        <f t="shared" si="23"/>
        <v>688.82598618807287</v>
      </c>
      <c r="AC23" s="3">
        <v>5854952</v>
      </c>
      <c r="AD23" s="6">
        <v>8499.9</v>
      </c>
      <c r="AE23" s="3">
        <f t="shared" si="24"/>
        <v>760.00457446078542</v>
      </c>
      <c r="AF23" s="3">
        <v>3322816</v>
      </c>
      <c r="AG23" s="6">
        <v>4372.1000000000004</v>
      </c>
      <c r="AH23" s="3">
        <f t="shared" si="25"/>
        <v>687.10641454084828</v>
      </c>
      <c r="AI23" s="3">
        <v>8244796</v>
      </c>
      <c r="AJ23" s="6">
        <v>11999.3</v>
      </c>
      <c r="AK23" s="3" t="e">
        <f t="shared" si="26"/>
        <v>#DIV/0!</v>
      </c>
      <c r="AL23" s="3">
        <v>0</v>
      </c>
      <c r="AM23" s="6">
        <v>0</v>
      </c>
      <c r="AN23" s="3">
        <f t="shared" si="12"/>
        <v>701.89588880094027</v>
      </c>
      <c r="AO23" s="3">
        <f t="shared" si="13"/>
        <v>58525483</v>
      </c>
      <c r="AP23" s="6">
        <f t="shared" si="14"/>
        <v>83382</v>
      </c>
      <c r="AQ23" s="3"/>
      <c r="AR23" s="3"/>
      <c r="AS23" s="3"/>
      <c r="AT23" s="3"/>
      <c r="AU23" s="3"/>
      <c r="AV23" s="3"/>
      <c r="AW23" s="3"/>
      <c r="AX23" s="3"/>
      <c r="AY23" s="3"/>
      <c r="AZ23" s="3"/>
      <c r="BA23" s="3"/>
      <c r="BB23" s="3"/>
      <c r="BC23" s="3"/>
      <c r="BD23" s="3"/>
      <c r="BE23" s="3"/>
      <c r="BF23" s="3"/>
      <c r="BG23" s="3"/>
      <c r="BH23" s="3"/>
      <c r="BI23" s="3"/>
      <c r="BJ23" s="3"/>
      <c r="BK23" s="3"/>
      <c r="BL23" s="3"/>
      <c r="BM23" s="3"/>
      <c r="BN23" s="3"/>
    </row>
    <row r="24" spans="1:66" x14ac:dyDescent="0.3">
      <c r="A24" s="1" t="s">
        <v>59</v>
      </c>
      <c r="B24" s="15"/>
      <c r="C24" s="15"/>
      <c r="D24" s="3" t="e">
        <f t="shared" si="15"/>
        <v>#DIV/0!</v>
      </c>
      <c r="E24" s="3">
        <v>0</v>
      </c>
      <c r="F24" s="6">
        <v>0</v>
      </c>
      <c r="G24" s="3" t="e">
        <f t="shared" si="16"/>
        <v>#DIV/0!</v>
      </c>
      <c r="H24" s="3">
        <v>0</v>
      </c>
      <c r="I24" s="6">
        <v>0</v>
      </c>
      <c r="J24" s="3" t="e">
        <f t="shared" si="17"/>
        <v>#DIV/0!</v>
      </c>
      <c r="K24" s="3">
        <v>0</v>
      </c>
      <c r="L24" s="6">
        <v>0</v>
      </c>
      <c r="M24" s="3" t="e">
        <f t="shared" si="18"/>
        <v>#DIV/0!</v>
      </c>
      <c r="N24" s="3">
        <v>0</v>
      </c>
      <c r="O24" s="6">
        <v>0</v>
      </c>
      <c r="P24" s="3" t="e">
        <f t="shared" si="19"/>
        <v>#DIV/0!</v>
      </c>
      <c r="Q24" s="3">
        <v>0</v>
      </c>
      <c r="R24" s="6">
        <v>0</v>
      </c>
      <c r="S24" s="3" t="e">
        <f t="shared" si="20"/>
        <v>#DIV/0!</v>
      </c>
      <c r="T24" s="3">
        <v>0</v>
      </c>
      <c r="U24" s="6">
        <v>0</v>
      </c>
      <c r="V24" s="3" t="e">
        <f t="shared" si="21"/>
        <v>#DIV/0!</v>
      </c>
      <c r="W24" s="3">
        <v>0</v>
      </c>
      <c r="X24" s="6">
        <v>0</v>
      </c>
      <c r="Y24" s="3">
        <f t="shared" si="22"/>
        <v>760.64908722109533</v>
      </c>
      <c r="Z24" s="3">
        <v>37500</v>
      </c>
      <c r="AA24" s="6">
        <v>49.3</v>
      </c>
      <c r="AB24" s="3" t="e">
        <f t="shared" si="23"/>
        <v>#DIV/0!</v>
      </c>
      <c r="AC24" s="3">
        <v>0</v>
      </c>
      <c r="AD24" s="6">
        <v>0</v>
      </c>
      <c r="AE24" s="3" t="e">
        <f t="shared" si="24"/>
        <v>#DIV/0!</v>
      </c>
      <c r="AF24" s="3">
        <v>0</v>
      </c>
      <c r="AG24" s="6">
        <v>0</v>
      </c>
      <c r="AH24" s="3" t="e">
        <f t="shared" si="25"/>
        <v>#DIV/0!</v>
      </c>
      <c r="AI24" s="3">
        <v>0</v>
      </c>
      <c r="AJ24" s="6">
        <v>0</v>
      </c>
      <c r="AK24" s="3" t="e">
        <f t="shared" si="26"/>
        <v>#DIV/0!</v>
      </c>
      <c r="AL24" s="3">
        <v>0</v>
      </c>
      <c r="AM24" s="6">
        <v>0</v>
      </c>
      <c r="AN24" s="3">
        <f t="shared" si="12"/>
        <v>760.64908722109533</v>
      </c>
      <c r="AO24" s="3">
        <f t="shared" si="13"/>
        <v>37500</v>
      </c>
      <c r="AP24" s="6">
        <f t="shared" si="14"/>
        <v>49.3</v>
      </c>
      <c r="AQ24" s="3"/>
      <c r="AR24" s="3"/>
      <c r="AS24" s="3"/>
      <c r="AT24" s="3"/>
      <c r="AU24" s="3"/>
      <c r="AV24" s="3"/>
      <c r="AW24" s="3"/>
      <c r="AX24" s="3"/>
      <c r="AY24" s="3"/>
      <c r="AZ24" s="3"/>
      <c r="BA24" s="3"/>
      <c r="BB24" s="3"/>
      <c r="BC24" s="3"/>
      <c r="BD24" s="3"/>
      <c r="BE24" s="3"/>
      <c r="BF24" s="3"/>
      <c r="BG24" s="3"/>
      <c r="BH24" s="3"/>
      <c r="BI24" s="3"/>
      <c r="BJ24" s="3"/>
      <c r="BK24" s="3"/>
      <c r="BL24" s="3"/>
      <c r="BM24" s="3"/>
      <c r="BN24" s="3"/>
    </row>
    <row r="25" spans="1:66" x14ac:dyDescent="0.3">
      <c r="A25" s="1" t="s">
        <v>38</v>
      </c>
      <c r="B25" s="15"/>
      <c r="C25" s="15"/>
      <c r="D25" s="3" t="e">
        <f t="shared" si="15"/>
        <v>#DIV/0!</v>
      </c>
      <c r="E25" s="3">
        <v>0</v>
      </c>
      <c r="F25" s="6">
        <v>0</v>
      </c>
      <c r="G25" s="3" t="e">
        <f t="shared" si="16"/>
        <v>#DIV/0!</v>
      </c>
      <c r="H25" s="3">
        <v>0</v>
      </c>
      <c r="I25" s="6">
        <v>0</v>
      </c>
      <c r="J25" s="3" t="e">
        <f t="shared" si="17"/>
        <v>#DIV/0!</v>
      </c>
      <c r="K25" s="3">
        <v>0</v>
      </c>
      <c r="L25" s="6">
        <v>0</v>
      </c>
      <c r="M25" s="3" t="e">
        <f t="shared" si="18"/>
        <v>#DIV/0!</v>
      </c>
      <c r="N25" s="3">
        <v>0</v>
      </c>
      <c r="O25" s="6">
        <v>0</v>
      </c>
      <c r="P25" s="3" t="e">
        <f t="shared" si="19"/>
        <v>#DIV/0!</v>
      </c>
      <c r="Q25" s="3">
        <v>0</v>
      </c>
      <c r="R25" s="6">
        <v>0</v>
      </c>
      <c r="S25" s="3" t="e">
        <f t="shared" si="20"/>
        <v>#DIV/0!</v>
      </c>
      <c r="T25" s="3">
        <v>0</v>
      </c>
      <c r="U25" s="6">
        <v>0</v>
      </c>
      <c r="V25" s="3">
        <f t="shared" si="21"/>
        <v>685.0081788440566</v>
      </c>
      <c r="W25" s="3">
        <v>753783</v>
      </c>
      <c r="X25" s="6">
        <v>1100.4000000000001</v>
      </c>
      <c r="Y25" s="3" t="e">
        <f t="shared" si="22"/>
        <v>#DIV/0!</v>
      </c>
      <c r="Z25" s="3">
        <v>0</v>
      </c>
      <c r="AA25" s="6">
        <v>0</v>
      </c>
      <c r="AB25" s="3">
        <f t="shared" si="23"/>
        <v>1155.6650246305419</v>
      </c>
      <c r="AC25" s="3">
        <v>23460</v>
      </c>
      <c r="AD25" s="6">
        <v>20.3</v>
      </c>
      <c r="AE25" s="3" t="e">
        <f t="shared" si="24"/>
        <v>#DIV/0!</v>
      </c>
      <c r="AF25" s="3">
        <v>0</v>
      </c>
      <c r="AG25" s="6">
        <v>0</v>
      </c>
      <c r="AH25" s="3" t="e">
        <f t="shared" si="25"/>
        <v>#DIV/0!</v>
      </c>
      <c r="AI25" s="3">
        <v>0</v>
      </c>
      <c r="AJ25" s="6">
        <v>0</v>
      </c>
      <c r="AK25" s="3" t="e">
        <f t="shared" si="26"/>
        <v>#DIV/0!</v>
      </c>
      <c r="AL25" s="3">
        <v>0</v>
      </c>
      <c r="AM25" s="6">
        <v>0</v>
      </c>
      <c r="AN25" s="3">
        <f t="shared" si="12"/>
        <v>693.53350584456143</v>
      </c>
      <c r="AO25" s="3">
        <f t="shared" si="13"/>
        <v>777243</v>
      </c>
      <c r="AP25" s="6">
        <f t="shared" si="14"/>
        <v>1120.7</v>
      </c>
      <c r="AQ25" s="3"/>
      <c r="AR25" s="3"/>
      <c r="AS25" s="3"/>
      <c r="AT25" s="3"/>
      <c r="AU25" s="3"/>
      <c r="AV25" s="3"/>
      <c r="AW25" s="3"/>
      <c r="AX25" s="3"/>
      <c r="AY25" s="3"/>
      <c r="AZ25" s="3"/>
      <c r="BA25" s="3"/>
      <c r="BB25" s="3"/>
      <c r="BC25" s="3"/>
      <c r="BD25" s="3"/>
      <c r="BE25" s="3"/>
      <c r="BF25" s="3"/>
      <c r="BG25" s="3"/>
      <c r="BH25" s="3"/>
      <c r="BI25" s="3"/>
      <c r="BJ25" s="3"/>
      <c r="BK25" s="3"/>
      <c r="BL25" s="3"/>
      <c r="BM25" s="3"/>
      <c r="BN25" s="3"/>
    </row>
    <row r="26" spans="1:66" x14ac:dyDescent="0.3">
      <c r="A26" s="1" t="s">
        <v>18</v>
      </c>
      <c r="B26" s="15"/>
      <c r="C26" s="15"/>
      <c r="D26" s="3" t="e">
        <f t="shared" si="15"/>
        <v>#DIV/0!</v>
      </c>
      <c r="E26" s="3">
        <v>0</v>
      </c>
      <c r="F26" s="6">
        <v>0</v>
      </c>
      <c r="G26" s="3" t="e">
        <f t="shared" si="16"/>
        <v>#DIV/0!</v>
      </c>
      <c r="H26" s="3">
        <v>0</v>
      </c>
      <c r="I26" s="6">
        <v>0</v>
      </c>
      <c r="J26" s="3" t="e">
        <f t="shared" si="17"/>
        <v>#DIV/0!</v>
      </c>
      <c r="K26" s="3">
        <v>0</v>
      </c>
      <c r="L26" s="6">
        <v>0</v>
      </c>
      <c r="M26" s="3" t="e">
        <f t="shared" si="18"/>
        <v>#DIV/0!</v>
      </c>
      <c r="N26" s="3">
        <v>0</v>
      </c>
      <c r="O26" s="6">
        <v>0</v>
      </c>
      <c r="P26" s="3" t="e">
        <f t="shared" si="19"/>
        <v>#DIV/0!</v>
      </c>
      <c r="Q26" s="3">
        <v>0</v>
      </c>
      <c r="R26" s="6">
        <v>0</v>
      </c>
      <c r="S26" s="3" t="e">
        <f t="shared" si="20"/>
        <v>#DIV/0!</v>
      </c>
      <c r="T26" s="3">
        <v>0</v>
      </c>
      <c r="U26" s="6">
        <v>0</v>
      </c>
      <c r="V26" s="3">
        <f t="shared" si="21"/>
        <v>2154.166666666667</v>
      </c>
      <c r="W26" s="3">
        <v>2585</v>
      </c>
      <c r="X26" s="6">
        <v>1.2</v>
      </c>
      <c r="Y26" s="3" t="e">
        <f t="shared" si="22"/>
        <v>#DIV/0!</v>
      </c>
      <c r="Z26" s="3">
        <v>0</v>
      </c>
      <c r="AA26" s="6">
        <v>0</v>
      </c>
      <c r="AB26" s="3" t="e">
        <f t="shared" si="23"/>
        <v>#DIV/0!</v>
      </c>
      <c r="AC26" s="3">
        <v>0</v>
      </c>
      <c r="AD26" s="6">
        <v>0</v>
      </c>
      <c r="AE26" s="3" t="e">
        <f t="shared" si="24"/>
        <v>#DIV/0!</v>
      </c>
      <c r="AF26" s="3">
        <v>0</v>
      </c>
      <c r="AG26" s="6">
        <v>0</v>
      </c>
      <c r="AH26" s="3" t="e">
        <f t="shared" si="25"/>
        <v>#DIV/0!</v>
      </c>
      <c r="AI26" s="3">
        <v>0</v>
      </c>
      <c r="AJ26" s="6">
        <v>0</v>
      </c>
      <c r="AK26" s="3" t="e">
        <f t="shared" si="26"/>
        <v>#DIV/0!</v>
      </c>
      <c r="AL26" s="3">
        <v>0</v>
      </c>
      <c r="AM26" s="6">
        <v>0</v>
      </c>
      <c r="AN26" s="3">
        <f t="shared" si="12"/>
        <v>2154.166666666667</v>
      </c>
      <c r="AO26" s="3">
        <f t="shared" si="13"/>
        <v>2585</v>
      </c>
      <c r="AP26" s="6">
        <f t="shared" si="14"/>
        <v>1.2</v>
      </c>
      <c r="AQ26" s="3"/>
      <c r="AR26" s="3"/>
      <c r="AS26" s="3"/>
      <c r="AT26" s="3"/>
      <c r="AU26" s="3"/>
      <c r="AV26" s="3"/>
      <c r="AW26" s="3"/>
      <c r="AX26" s="3"/>
      <c r="AY26" s="3"/>
      <c r="AZ26" s="3"/>
      <c r="BA26" s="3"/>
      <c r="BB26" s="3"/>
      <c r="BC26" s="3"/>
      <c r="BD26" s="3"/>
      <c r="BE26" s="3"/>
      <c r="BF26" s="3"/>
      <c r="BG26" s="3"/>
      <c r="BH26" s="3"/>
      <c r="BI26" s="3"/>
      <c r="BJ26" s="3"/>
      <c r="BK26" s="3"/>
      <c r="BL26" s="3"/>
      <c r="BM26" s="3"/>
      <c r="BN26" s="3"/>
    </row>
    <row r="27" spans="1:66" x14ac:dyDescent="0.3">
      <c r="A27" s="1" t="s">
        <v>60</v>
      </c>
      <c r="B27" s="15"/>
      <c r="C27" s="15"/>
      <c r="D27" s="3" t="e">
        <f t="shared" si="15"/>
        <v>#DIV/0!</v>
      </c>
      <c r="E27" s="3">
        <v>0</v>
      </c>
      <c r="F27" s="6">
        <v>0</v>
      </c>
      <c r="G27" s="3" t="e">
        <f t="shared" si="16"/>
        <v>#DIV/0!</v>
      </c>
      <c r="H27" s="3">
        <v>0</v>
      </c>
      <c r="I27" s="6">
        <v>0</v>
      </c>
      <c r="J27" s="3" t="e">
        <f t="shared" si="17"/>
        <v>#DIV/0!</v>
      </c>
      <c r="K27" s="3">
        <v>0</v>
      </c>
      <c r="L27" s="6">
        <v>0</v>
      </c>
      <c r="M27" s="3" t="e">
        <f t="shared" si="18"/>
        <v>#DIV/0!</v>
      </c>
      <c r="N27" s="3">
        <v>0</v>
      </c>
      <c r="O27" s="6">
        <v>0</v>
      </c>
      <c r="P27" s="3" t="e">
        <f t="shared" si="19"/>
        <v>#DIV/0!</v>
      </c>
      <c r="Q27" s="3">
        <v>0</v>
      </c>
      <c r="R27" s="6">
        <v>0</v>
      </c>
      <c r="S27" s="3">
        <f t="shared" si="20"/>
        <v>760.0574712643679</v>
      </c>
      <c r="T27" s="3">
        <v>211600</v>
      </c>
      <c r="U27" s="6">
        <v>278.39999999999998</v>
      </c>
      <c r="V27" s="3">
        <f t="shared" si="21"/>
        <v>759.76616231086655</v>
      </c>
      <c r="W27" s="3">
        <v>110470</v>
      </c>
      <c r="X27" s="6">
        <v>145.4</v>
      </c>
      <c r="Y27" s="3">
        <f t="shared" si="22"/>
        <v>865.44161232957924</v>
      </c>
      <c r="Z27" s="3">
        <v>146000</v>
      </c>
      <c r="AA27" s="6">
        <v>168.7</v>
      </c>
      <c r="AB27" s="3">
        <f t="shared" si="23"/>
        <v>865.58220090594193</v>
      </c>
      <c r="AC27" s="3">
        <v>324853</v>
      </c>
      <c r="AD27" s="6">
        <v>375.3</v>
      </c>
      <c r="AE27" s="3" t="e">
        <f t="shared" si="24"/>
        <v>#DIV/0!</v>
      </c>
      <c r="AF27" s="3">
        <v>0</v>
      </c>
      <c r="AG27" s="6">
        <v>0</v>
      </c>
      <c r="AH27" s="3" t="e">
        <f t="shared" si="25"/>
        <v>#DIV/0!</v>
      </c>
      <c r="AI27" s="3">
        <v>0</v>
      </c>
      <c r="AJ27" s="6">
        <v>0</v>
      </c>
      <c r="AK27" s="3" t="e">
        <f t="shared" si="26"/>
        <v>#DIV/0!</v>
      </c>
      <c r="AL27" s="3">
        <v>0</v>
      </c>
      <c r="AM27" s="6">
        <v>0</v>
      </c>
      <c r="AN27" s="3">
        <f t="shared" si="12"/>
        <v>819.30460839016325</v>
      </c>
      <c r="AO27" s="3">
        <f t="shared" si="13"/>
        <v>792923</v>
      </c>
      <c r="AP27" s="6">
        <f t="shared" si="14"/>
        <v>967.8</v>
      </c>
      <c r="AQ27" s="3"/>
      <c r="AR27" s="3"/>
      <c r="AS27" s="3"/>
      <c r="AT27" s="3"/>
      <c r="AU27" s="3"/>
      <c r="AV27" s="3"/>
      <c r="AW27" s="3"/>
      <c r="AX27" s="3"/>
      <c r="AY27" s="3"/>
      <c r="AZ27" s="3"/>
      <c r="BA27" s="3"/>
      <c r="BB27" s="3"/>
      <c r="BC27" s="3"/>
      <c r="BD27" s="3"/>
      <c r="BE27" s="3"/>
      <c r="BF27" s="3"/>
      <c r="BG27" s="3"/>
      <c r="BH27" s="3"/>
      <c r="BI27" s="3"/>
      <c r="BJ27" s="3"/>
      <c r="BK27" s="3"/>
      <c r="BL27" s="3"/>
      <c r="BM27" s="3"/>
      <c r="BN27" s="3"/>
    </row>
    <row r="28" spans="1:66" x14ac:dyDescent="0.3">
      <c r="A28" s="1" t="s">
        <v>39</v>
      </c>
      <c r="B28" s="15"/>
      <c r="C28" s="15"/>
      <c r="D28" s="3">
        <f t="shared" si="15"/>
        <v>2686.4507098580284</v>
      </c>
      <c r="E28" s="3">
        <v>1343494</v>
      </c>
      <c r="F28" s="6">
        <v>500.1</v>
      </c>
      <c r="G28" s="3" t="e">
        <f t="shared" si="16"/>
        <v>#DIV/0!</v>
      </c>
      <c r="H28" s="3">
        <v>0</v>
      </c>
      <c r="I28" s="6">
        <v>0</v>
      </c>
      <c r="J28" s="3" t="e">
        <f t="shared" si="17"/>
        <v>#DIV/0!</v>
      </c>
      <c r="K28" s="3">
        <v>0</v>
      </c>
      <c r="L28" s="6">
        <v>0</v>
      </c>
      <c r="M28" s="3" t="e">
        <f t="shared" si="18"/>
        <v>#DIV/0!</v>
      </c>
      <c r="N28" s="3">
        <v>0</v>
      </c>
      <c r="O28" s="6">
        <v>0</v>
      </c>
      <c r="P28" s="3" t="e">
        <f t="shared" si="19"/>
        <v>#DIV/0!</v>
      </c>
      <c r="Q28" s="3">
        <v>0</v>
      </c>
      <c r="R28" s="6">
        <v>0</v>
      </c>
      <c r="S28" s="3">
        <f t="shared" si="20"/>
        <v>2183.5441264758856</v>
      </c>
      <c r="T28" s="3">
        <v>1091117</v>
      </c>
      <c r="U28" s="6">
        <v>499.7</v>
      </c>
      <c r="V28" s="3" t="e">
        <f t="shared" si="21"/>
        <v>#DIV/0!</v>
      </c>
      <c r="W28" s="3">
        <v>0</v>
      </c>
      <c r="X28" s="6">
        <v>0</v>
      </c>
      <c r="Y28" s="3" t="e">
        <f t="shared" si="22"/>
        <v>#DIV/0!</v>
      </c>
      <c r="Z28" s="3">
        <v>0</v>
      </c>
      <c r="AA28" s="6">
        <v>0</v>
      </c>
      <c r="AB28" s="3" t="e">
        <f t="shared" si="23"/>
        <v>#DIV/0!</v>
      </c>
      <c r="AC28" s="3">
        <v>0</v>
      </c>
      <c r="AD28" s="6">
        <v>0</v>
      </c>
      <c r="AE28" s="3">
        <f t="shared" si="24"/>
        <v>2124.2731365682839</v>
      </c>
      <c r="AF28" s="3">
        <v>2123211</v>
      </c>
      <c r="AG28" s="6">
        <v>999.5</v>
      </c>
      <c r="AH28" s="3" t="e">
        <f t="shared" si="25"/>
        <v>#DIV/0!</v>
      </c>
      <c r="AI28" s="3">
        <v>0</v>
      </c>
      <c r="AJ28" s="6">
        <v>0</v>
      </c>
      <c r="AK28" s="3" t="e">
        <f t="shared" si="26"/>
        <v>#DIV/0!</v>
      </c>
      <c r="AL28" s="3">
        <v>0</v>
      </c>
      <c r="AM28" s="6">
        <v>0</v>
      </c>
      <c r="AN28" s="3">
        <f t="shared" si="12"/>
        <v>2279.7088981143402</v>
      </c>
      <c r="AO28" s="3">
        <f t="shared" si="13"/>
        <v>4557822</v>
      </c>
      <c r="AP28" s="6">
        <f t="shared" si="14"/>
        <v>1999.3</v>
      </c>
      <c r="AQ28" s="3"/>
      <c r="AR28" s="3"/>
      <c r="AS28" s="3"/>
      <c r="AT28" s="3"/>
      <c r="AU28" s="3"/>
      <c r="AV28" s="3"/>
      <c r="AW28" s="3"/>
      <c r="AX28" s="3"/>
      <c r="AY28" s="3"/>
      <c r="AZ28" s="3"/>
      <c r="BA28" s="3"/>
      <c r="BB28" s="3"/>
      <c r="BC28" s="3"/>
      <c r="BD28" s="3"/>
      <c r="BE28" s="3"/>
      <c r="BF28" s="3"/>
      <c r="BG28" s="3"/>
      <c r="BH28" s="3"/>
      <c r="BI28" s="3"/>
      <c r="BJ28" s="3"/>
      <c r="BK28" s="3"/>
      <c r="BL28" s="3"/>
      <c r="BM28" s="3"/>
      <c r="BN28" s="3"/>
    </row>
    <row r="29" spans="1:66" x14ac:dyDescent="0.3">
      <c r="A29" s="1" t="s">
        <v>61</v>
      </c>
      <c r="B29" s="15"/>
      <c r="C29" s="15"/>
      <c r="D29" s="3">
        <f t="shared" si="15"/>
        <v>1224.9781659388648</v>
      </c>
      <c r="E29" s="3">
        <v>28052</v>
      </c>
      <c r="F29" s="6">
        <v>22.9</v>
      </c>
      <c r="G29" s="3" t="e">
        <f t="shared" si="16"/>
        <v>#DIV/0!</v>
      </c>
      <c r="H29" s="3">
        <v>0</v>
      </c>
      <c r="I29" s="6">
        <v>0</v>
      </c>
      <c r="J29" s="3">
        <f t="shared" si="17"/>
        <v>1224.9344978165939</v>
      </c>
      <c r="K29" s="3">
        <v>28051</v>
      </c>
      <c r="L29" s="6">
        <v>22.9</v>
      </c>
      <c r="M29" s="3" t="e">
        <f t="shared" si="18"/>
        <v>#DIV/0!</v>
      </c>
      <c r="N29" s="3">
        <v>0</v>
      </c>
      <c r="O29" s="6">
        <v>0</v>
      </c>
      <c r="P29" s="3" t="e">
        <f t="shared" si="19"/>
        <v>#DIV/0!</v>
      </c>
      <c r="Q29" s="3">
        <v>0</v>
      </c>
      <c r="R29" s="6">
        <v>0</v>
      </c>
      <c r="S29" s="3">
        <f t="shared" si="20"/>
        <v>1224.9344978165939</v>
      </c>
      <c r="T29" s="3">
        <v>28051</v>
      </c>
      <c r="U29" s="6">
        <v>22.9</v>
      </c>
      <c r="V29" s="3" t="e">
        <f t="shared" si="21"/>
        <v>#DIV/0!</v>
      </c>
      <c r="W29" s="3">
        <v>0</v>
      </c>
      <c r="X29" s="6">
        <v>0</v>
      </c>
      <c r="Y29" s="3">
        <f t="shared" si="22"/>
        <v>1224.9344978165939</v>
      </c>
      <c r="Z29" s="3">
        <v>28051</v>
      </c>
      <c r="AA29" s="6">
        <v>22.9</v>
      </c>
      <c r="AB29" s="3" t="e">
        <f t="shared" si="23"/>
        <v>#DIV/0!</v>
      </c>
      <c r="AC29" s="3">
        <v>0</v>
      </c>
      <c r="AD29" s="6">
        <v>0</v>
      </c>
      <c r="AE29" s="3">
        <f t="shared" si="24"/>
        <v>1224.9344978165939</v>
      </c>
      <c r="AF29" s="3">
        <v>28051</v>
      </c>
      <c r="AG29" s="6">
        <v>22.9</v>
      </c>
      <c r="AH29" s="3" t="e">
        <f t="shared" si="25"/>
        <v>#DIV/0!</v>
      </c>
      <c r="AI29" s="3">
        <v>0</v>
      </c>
      <c r="AJ29" s="6">
        <v>0</v>
      </c>
      <c r="AK29" s="3" t="e">
        <f t="shared" si="26"/>
        <v>#DIV/0!</v>
      </c>
      <c r="AL29" s="3">
        <v>0</v>
      </c>
      <c r="AM29" s="6">
        <v>0</v>
      </c>
      <c r="AN29" s="3">
        <f t="shared" si="12"/>
        <v>1224.9432314410481</v>
      </c>
      <c r="AO29" s="3">
        <f t="shared" si="13"/>
        <v>140256</v>
      </c>
      <c r="AP29" s="6">
        <f t="shared" si="14"/>
        <v>114.5</v>
      </c>
      <c r="AQ29" s="3"/>
      <c r="AR29" s="3"/>
      <c r="AS29" s="3"/>
      <c r="AT29" s="3"/>
      <c r="AU29" s="3"/>
      <c r="AV29" s="3"/>
      <c r="AW29" s="3"/>
      <c r="AX29" s="3"/>
      <c r="AY29" s="3"/>
      <c r="AZ29" s="3"/>
      <c r="BA29" s="3"/>
      <c r="BB29" s="3"/>
      <c r="BC29" s="3"/>
      <c r="BD29" s="3"/>
      <c r="BE29" s="3"/>
      <c r="BF29" s="3"/>
      <c r="BG29" s="3"/>
      <c r="BH29" s="3"/>
      <c r="BI29" s="3"/>
      <c r="BJ29" s="3"/>
      <c r="BK29" s="3"/>
      <c r="BL29" s="3"/>
      <c r="BM29" s="3"/>
      <c r="BN29" s="3"/>
    </row>
    <row r="30" spans="1:66" x14ac:dyDescent="0.3">
      <c r="A30" s="1" t="s">
        <v>40</v>
      </c>
      <c r="B30" s="15"/>
      <c r="C30" s="15"/>
      <c r="D30" s="3" t="e">
        <f t="shared" si="15"/>
        <v>#DIV/0!</v>
      </c>
      <c r="E30" s="3">
        <v>0</v>
      </c>
      <c r="F30" s="6">
        <v>0</v>
      </c>
      <c r="G30" s="3">
        <f t="shared" si="16"/>
        <v>1006.5</v>
      </c>
      <c r="H30" s="3">
        <v>40260</v>
      </c>
      <c r="I30" s="6">
        <v>40</v>
      </c>
      <c r="J30" s="3">
        <f t="shared" si="17"/>
        <v>1342.77</v>
      </c>
      <c r="K30" s="3">
        <v>134277</v>
      </c>
      <c r="L30" s="6">
        <v>100</v>
      </c>
      <c r="M30" s="3">
        <f t="shared" si="18"/>
        <v>1332.4749163879599</v>
      </c>
      <c r="N30" s="3">
        <v>79682</v>
      </c>
      <c r="O30" s="6">
        <v>59.8</v>
      </c>
      <c r="P30" s="3">
        <f t="shared" si="19"/>
        <v>1271.4632405424697</v>
      </c>
      <c r="Q30" s="3">
        <v>178132</v>
      </c>
      <c r="R30" s="6">
        <v>140.1</v>
      </c>
      <c r="S30" s="3">
        <f t="shared" si="20"/>
        <v>1237.8534482758621</v>
      </c>
      <c r="T30" s="3">
        <v>143591</v>
      </c>
      <c r="U30" s="6">
        <v>116</v>
      </c>
      <c r="V30" s="3">
        <f t="shared" si="21"/>
        <v>1204.9417637271215</v>
      </c>
      <c r="W30" s="3">
        <v>72417</v>
      </c>
      <c r="X30" s="6">
        <v>60.1</v>
      </c>
      <c r="Y30" s="3" t="e">
        <f t="shared" si="22"/>
        <v>#DIV/0!</v>
      </c>
      <c r="Z30" s="3">
        <v>0</v>
      </c>
      <c r="AA30" s="6">
        <v>0</v>
      </c>
      <c r="AB30" s="3" t="e">
        <f t="shared" si="23"/>
        <v>#DIV/0!</v>
      </c>
      <c r="AC30" s="3">
        <v>0</v>
      </c>
      <c r="AD30" s="6">
        <v>0</v>
      </c>
      <c r="AE30" s="3" t="e">
        <f t="shared" si="24"/>
        <v>#DIV/0!</v>
      </c>
      <c r="AF30" s="3">
        <v>0</v>
      </c>
      <c r="AG30" s="6">
        <v>0</v>
      </c>
      <c r="AH30" s="3" t="e">
        <f t="shared" si="25"/>
        <v>#DIV/0!</v>
      </c>
      <c r="AI30" s="3">
        <v>0</v>
      </c>
      <c r="AJ30" s="6">
        <v>0</v>
      </c>
      <c r="AK30" s="3" t="e">
        <f t="shared" si="26"/>
        <v>#DIV/0!</v>
      </c>
      <c r="AL30" s="3">
        <v>0</v>
      </c>
      <c r="AM30" s="6">
        <v>0</v>
      </c>
      <c r="AN30" s="3">
        <f t="shared" si="12"/>
        <v>1256.5096899224807</v>
      </c>
      <c r="AO30" s="3">
        <f t="shared" si="13"/>
        <v>648359</v>
      </c>
      <c r="AP30" s="6">
        <f t="shared" si="14"/>
        <v>516</v>
      </c>
      <c r="AQ30" s="3"/>
      <c r="AR30" s="3"/>
      <c r="AS30" s="3"/>
      <c r="AT30" s="3"/>
      <c r="AU30" s="3"/>
      <c r="AV30" s="3"/>
      <c r="AW30" s="3"/>
      <c r="AX30" s="3"/>
      <c r="AY30" s="3"/>
      <c r="AZ30" s="3"/>
      <c r="BA30" s="3"/>
      <c r="BB30" s="3"/>
      <c r="BC30" s="3"/>
      <c r="BD30" s="3"/>
      <c r="BE30" s="3"/>
      <c r="BF30" s="3"/>
      <c r="BG30" s="3"/>
      <c r="BH30" s="3"/>
      <c r="BI30" s="3"/>
      <c r="BJ30" s="3"/>
      <c r="BK30" s="3"/>
      <c r="BL30" s="3"/>
      <c r="BM30" s="3"/>
      <c r="BN30" s="3"/>
    </row>
    <row r="31" spans="1:66" x14ac:dyDescent="0.3">
      <c r="A31" s="1" t="s">
        <v>21</v>
      </c>
      <c r="B31" s="15"/>
      <c r="C31" s="15"/>
      <c r="D31" s="3" t="e">
        <f t="shared" si="15"/>
        <v>#DIV/0!</v>
      </c>
      <c r="E31" s="3">
        <v>0</v>
      </c>
      <c r="F31" s="6">
        <v>0</v>
      </c>
      <c r="G31" s="3" t="e">
        <f t="shared" si="16"/>
        <v>#DIV/0!</v>
      </c>
      <c r="H31" s="3">
        <v>0</v>
      </c>
      <c r="I31" s="6">
        <v>0</v>
      </c>
      <c r="J31" s="3">
        <f t="shared" si="17"/>
        <v>1217.2</v>
      </c>
      <c r="K31" s="3">
        <v>3043</v>
      </c>
      <c r="L31" s="6">
        <v>2.5</v>
      </c>
      <c r="M31" s="3" t="e">
        <f t="shared" si="18"/>
        <v>#DIV/0!</v>
      </c>
      <c r="N31" s="3">
        <v>0</v>
      </c>
      <c r="O31" s="6">
        <v>0</v>
      </c>
      <c r="P31" s="3">
        <f t="shared" si="19"/>
        <v>764.84399872652011</v>
      </c>
      <c r="Q31" s="3">
        <v>960950</v>
      </c>
      <c r="R31" s="6">
        <v>1256.4000000000001</v>
      </c>
      <c r="S31" s="3" t="e">
        <f t="shared" si="20"/>
        <v>#DIV/0!</v>
      </c>
      <c r="T31" s="3">
        <v>0</v>
      </c>
      <c r="U31" s="6">
        <v>0</v>
      </c>
      <c r="V31" s="3">
        <f t="shared" si="21"/>
        <v>1400.1754385964912</v>
      </c>
      <c r="W31" s="3">
        <v>7981</v>
      </c>
      <c r="X31" s="6">
        <v>5.7</v>
      </c>
      <c r="Y31" s="3" t="e">
        <f t="shared" si="22"/>
        <v>#DIV/0!</v>
      </c>
      <c r="Z31" s="3">
        <v>0</v>
      </c>
      <c r="AA31" s="6">
        <v>0</v>
      </c>
      <c r="AB31" s="3" t="e">
        <f t="shared" si="23"/>
        <v>#DIV/0!</v>
      </c>
      <c r="AC31" s="3">
        <v>0</v>
      </c>
      <c r="AD31" s="6">
        <v>0</v>
      </c>
      <c r="AE31" s="3" t="e">
        <f t="shared" si="24"/>
        <v>#DIV/0!</v>
      </c>
      <c r="AF31" s="3">
        <v>0</v>
      </c>
      <c r="AG31" s="6">
        <v>0</v>
      </c>
      <c r="AH31" s="3" t="e">
        <f t="shared" si="25"/>
        <v>#DIV/0!</v>
      </c>
      <c r="AI31" s="3">
        <v>0</v>
      </c>
      <c r="AJ31" s="6">
        <v>0</v>
      </c>
      <c r="AK31" s="3" t="e">
        <f t="shared" si="26"/>
        <v>#DIV/0!</v>
      </c>
      <c r="AL31" s="3">
        <v>0</v>
      </c>
      <c r="AM31" s="6">
        <v>0</v>
      </c>
      <c r="AN31" s="3">
        <f t="shared" si="12"/>
        <v>768.60192946386201</v>
      </c>
      <c r="AO31" s="3">
        <f t="shared" si="13"/>
        <v>971974</v>
      </c>
      <c r="AP31" s="6">
        <f t="shared" si="14"/>
        <v>1264.6000000000001</v>
      </c>
      <c r="AQ31" s="3"/>
      <c r="AR31" s="3"/>
      <c r="AS31" s="3"/>
      <c r="AT31" s="3"/>
      <c r="AU31" s="3"/>
      <c r="AV31" s="3"/>
      <c r="AW31" s="3"/>
      <c r="AX31" s="3"/>
      <c r="AY31" s="3"/>
      <c r="AZ31" s="3"/>
      <c r="BA31" s="3"/>
      <c r="BB31" s="3"/>
      <c r="BC31" s="3"/>
      <c r="BD31" s="3"/>
      <c r="BE31" s="3"/>
      <c r="BF31" s="3"/>
      <c r="BG31" s="3"/>
      <c r="BH31" s="3"/>
      <c r="BI31" s="3"/>
      <c r="BJ31" s="3"/>
      <c r="BK31" s="3"/>
      <c r="BL31" s="3"/>
      <c r="BM31" s="3"/>
      <c r="BN31" s="3"/>
    </row>
    <row r="32" spans="1:66" x14ac:dyDescent="0.3">
      <c r="A32" s="1" t="s">
        <v>31</v>
      </c>
      <c r="B32" s="15"/>
      <c r="C32" s="15"/>
      <c r="D32" s="3" t="e">
        <f t="shared" si="15"/>
        <v>#DIV/0!</v>
      </c>
      <c r="E32" s="3">
        <v>0</v>
      </c>
      <c r="F32" s="6">
        <v>0</v>
      </c>
      <c r="G32" s="3" t="e">
        <f t="shared" si="16"/>
        <v>#DIV/0!</v>
      </c>
      <c r="H32" s="3">
        <v>0</v>
      </c>
      <c r="I32" s="6">
        <v>0</v>
      </c>
      <c r="J32" s="3" t="e">
        <f t="shared" si="17"/>
        <v>#DIV/0!</v>
      </c>
      <c r="K32" s="3">
        <v>0</v>
      </c>
      <c r="L32" s="6">
        <v>0</v>
      </c>
      <c r="M32" s="3" t="e">
        <f t="shared" si="18"/>
        <v>#DIV/0!</v>
      </c>
      <c r="N32" s="3">
        <v>0</v>
      </c>
      <c r="O32" s="6">
        <v>0</v>
      </c>
      <c r="P32" s="3" t="e">
        <f t="shared" si="19"/>
        <v>#DIV/0!</v>
      </c>
      <c r="Q32" s="3">
        <v>0</v>
      </c>
      <c r="R32" s="6">
        <v>0</v>
      </c>
      <c r="S32" s="3" t="e">
        <f t="shared" si="20"/>
        <v>#DIV/0!</v>
      </c>
      <c r="T32" s="3">
        <v>0</v>
      </c>
      <c r="U32" s="6">
        <v>0</v>
      </c>
      <c r="V32" s="3" t="e">
        <f t="shared" si="21"/>
        <v>#DIV/0!</v>
      </c>
      <c r="W32" s="3">
        <v>0</v>
      </c>
      <c r="X32" s="6">
        <v>0</v>
      </c>
      <c r="Y32" s="3" t="e">
        <f t="shared" si="22"/>
        <v>#DIV/0!</v>
      </c>
      <c r="Z32" s="3">
        <v>0</v>
      </c>
      <c r="AA32" s="6">
        <v>0</v>
      </c>
      <c r="AB32" s="3" t="e">
        <f t="shared" si="23"/>
        <v>#DIV/0!</v>
      </c>
      <c r="AC32" s="3">
        <v>0</v>
      </c>
      <c r="AD32" s="6">
        <v>0</v>
      </c>
      <c r="AE32" s="3" t="e">
        <f t="shared" si="24"/>
        <v>#DIV/0!</v>
      </c>
      <c r="AF32" s="3">
        <v>0</v>
      </c>
      <c r="AG32" s="6">
        <v>0</v>
      </c>
      <c r="AH32" s="3">
        <f t="shared" si="25"/>
        <v>699.29598829324004</v>
      </c>
      <c r="AI32" s="3">
        <v>11755725</v>
      </c>
      <c r="AJ32" s="6">
        <v>16810.8</v>
      </c>
      <c r="AK32" s="3" t="e">
        <f t="shared" si="26"/>
        <v>#DIV/0!</v>
      </c>
      <c r="AL32" s="3">
        <v>0</v>
      </c>
      <c r="AM32" s="6">
        <v>0</v>
      </c>
      <c r="AN32" s="3">
        <f t="shared" si="12"/>
        <v>699.29598829324004</v>
      </c>
      <c r="AO32" s="3">
        <f t="shared" si="13"/>
        <v>11755725</v>
      </c>
      <c r="AP32" s="6">
        <f t="shared" si="14"/>
        <v>16810.8</v>
      </c>
      <c r="AQ32" s="3"/>
      <c r="AR32" s="3"/>
      <c r="AS32" s="3"/>
      <c r="AT32" s="3"/>
      <c r="AU32" s="3"/>
      <c r="AV32" s="3"/>
      <c r="AW32" s="3"/>
      <c r="AX32" s="3"/>
      <c r="AY32" s="3"/>
      <c r="AZ32" s="3"/>
      <c r="BA32" s="3"/>
      <c r="BB32" s="3"/>
      <c r="BC32" s="3"/>
      <c r="BD32" s="3"/>
      <c r="BE32" s="3"/>
      <c r="BF32" s="3"/>
      <c r="BG32" s="3"/>
      <c r="BH32" s="3"/>
      <c r="BI32" s="3"/>
      <c r="BJ32" s="3"/>
      <c r="BK32" s="3"/>
      <c r="BL32" s="3"/>
      <c r="BM32" s="3"/>
      <c r="BN32" s="3"/>
    </row>
    <row r="33" spans="1:66" x14ac:dyDescent="0.3">
      <c r="A33" s="1" t="s">
        <v>62</v>
      </c>
      <c r="B33" s="15"/>
      <c r="C33" s="15"/>
      <c r="D33" s="3" t="e">
        <f t="shared" si="15"/>
        <v>#DIV/0!</v>
      </c>
      <c r="E33" s="3">
        <v>0</v>
      </c>
      <c r="F33" s="6">
        <v>0</v>
      </c>
      <c r="G33" s="3" t="e">
        <f t="shared" si="16"/>
        <v>#DIV/0!</v>
      </c>
      <c r="H33" s="3">
        <v>0</v>
      </c>
      <c r="I33" s="6">
        <v>0</v>
      </c>
      <c r="J33" s="3" t="e">
        <f t="shared" si="17"/>
        <v>#DIV/0!</v>
      </c>
      <c r="K33" s="3">
        <v>0</v>
      </c>
      <c r="L33" s="6">
        <v>0</v>
      </c>
      <c r="M33" s="3" t="e">
        <f t="shared" si="18"/>
        <v>#DIV/0!</v>
      </c>
      <c r="N33" s="3">
        <v>0</v>
      </c>
      <c r="O33" s="6">
        <v>0</v>
      </c>
      <c r="P33" s="3" t="e">
        <f t="shared" si="19"/>
        <v>#DIV/0!</v>
      </c>
      <c r="Q33" s="3">
        <v>0</v>
      </c>
      <c r="R33" s="6">
        <v>0</v>
      </c>
      <c r="S33" s="3" t="e">
        <f t="shared" si="20"/>
        <v>#DIV/0!</v>
      </c>
      <c r="T33" s="3">
        <v>0</v>
      </c>
      <c r="U33" s="6">
        <v>0</v>
      </c>
      <c r="V33" s="3" t="e">
        <f t="shared" si="21"/>
        <v>#DIV/0!</v>
      </c>
      <c r="W33" s="3">
        <v>0</v>
      </c>
      <c r="X33" s="6">
        <v>0</v>
      </c>
      <c r="Y33" s="3" t="e">
        <f t="shared" si="22"/>
        <v>#DIV/0!</v>
      </c>
      <c r="Z33" s="3">
        <v>0</v>
      </c>
      <c r="AA33" s="6">
        <v>0</v>
      </c>
      <c r="AB33" s="3" t="e">
        <f t="shared" si="23"/>
        <v>#DIV/0!</v>
      </c>
      <c r="AC33" s="3">
        <v>0</v>
      </c>
      <c r="AD33" s="6">
        <v>0</v>
      </c>
      <c r="AE33" s="3" t="e">
        <f t="shared" si="24"/>
        <v>#DIV/0!</v>
      </c>
      <c r="AF33" s="3">
        <v>0</v>
      </c>
      <c r="AG33" s="6">
        <v>0</v>
      </c>
      <c r="AH33" s="3">
        <f t="shared" si="25"/>
        <v>3115</v>
      </c>
      <c r="AI33" s="3">
        <v>3115</v>
      </c>
      <c r="AJ33" s="6">
        <v>1</v>
      </c>
      <c r="AK33" s="3" t="e">
        <f t="shared" si="26"/>
        <v>#DIV/0!</v>
      </c>
      <c r="AL33" s="3">
        <v>0</v>
      </c>
      <c r="AM33" s="6">
        <v>0</v>
      </c>
      <c r="AN33" s="3">
        <f t="shared" si="12"/>
        <v>3115</v>
      </c>
      <c r="AO33" s="3">
        <f t="shared" si="13"/>
        <v>3115</v>
      </c>
      <c r="AP33" s="6">
        <f t="shared" si="14"/>
        <v>1</v>
      </c>
      <c r="AQ33" s="3"/>
      <c r="AR33" s="3"/>
      <c r="AS33" s="3"/>
      <c r="AT33" s="3"/>
      <c r="AU33" s="3"/>
      <c r="AV33" s="3"/>
      <c r="AW33" s="3"/>
      <c r="AX33" s="3"/>
      <c r="AY33" s="3"/>
      <c r="AZ33" s="3"/>
      <c r="BA33" s="3"/>
      <c r="BB33" s="3"/>
      <c r="BC33" s="3"/>
      <c r="BD33" s="3"/>
      <c r="BE33" s="3"/>
      <c r="BF33" s="3"/>
      <c r="BG33" s="3"/>
      <c r="BH33" s="3"/>
      <c r="BI33" s="3"/>
      <c r="BJ33" s="3"/>
      <c r="BK33" s="3"/>
      <c r="BL33" s="3"/>
      <c r="BM33" s="3"/>
      <c r="BN33" s="3"/>
    </row>
    <row r="34" spans="1:66" x14ac:dyDescent="0.3">
      <c r="A34" s="1" t="s">
        <v>42</v>
      </c>
      <c r="B34" s="15"/>
      <c r="C34" s="15"/>
      <c r="D34" s="3" t="e">
        <f t="shared" si="15"/>
        <v>#DIV/0!</v>
      </c>
      <c r="E34" s="3">
        <v>0</v>
      </c>
      <c r="F34" s="6">
        <v>0</v>
      </c>
      <c r="G34" s="3" t="e">
        <f t="shared" si="16"/>
        <v>#DIV/0!</v>
      </c>
      <c r="H34" s="3">
        <v>0</v>
      </c>
      <c r="I34" s="6">
        <v>0</v>
      </c>
      <c r="J34" s="3" t="e">
        <f t="shared" si="17"/>
        <v>#DIV/0!</v>
      </c>
      <c r="K34" s="3">
        <v>0</v>
      </c>
      <c r="L34" s="6">
        <v>0</v>
      </c>
      <c r="M34" s="3" t="e">
        <f t="shared" si="18"/>
        <v>#DIV/0!</v>
      </c>
      <c r="N34" s="3">
        <v>0</v>
      </c>
      <c r="O34" s="6">
        <v>0</v>
      </c>
      <c r="P34" s="3" t="e">
        <f t="shared" si="19"/>
        <v>#DIV/0!</v>
      </c>
      <c r="Q34" s="3">
        <v>0</v>
      </c>
      <c r="R34" s="6">
        <v>0</v>
      </c>
      <c r="S34" s="3">
        <f t="shared" si="20"/>
        <v>759.99765794250254</v>
      </c>
      <c r="T34" s="3">
        <v>9086000</v>
      </c>
      <c r="U34" s="6">
        <v>11955.3</v>
      </c>
      <c r="V34" s="3" t="e">
        <f t="shared" si="21"/>
        <v>#DIV/0!</v>
      </c>
      <c r="W34" s="3">
        <v>0</v>
      </c>
      <c r="X34" s="6">
        <v>0</v>
      </c>
      <c r="Y34" s="3" t="e">
        <f t="shared" si="22"/>
        <v>#DIV/0!</v>
      </c>
      <c r="Z34" s="3">
        <v>0</v>
      </c>
      <c r="AA34" s="6">
        <v>0</v>
      </c>
      <c r="AB34" s="3" t="e">
        <f t="shared" si="23"/>
        <v>#DIV/0!</v>
      </c>
      <c r="AC34" s="3">
        <v>0</v>
      </c>
      <c r="AD34" s="6">
        <v>0</v>
      </c>
      <c r="AE34" s="3" t="e">
        <f t="shared" si="24"/>
        <v>#DIV/0!</v>
      </c>
      <c r="AF34" s="3">
        <v>0</v>
      </c>
      <c r="AG34" s="6">
        <v>0</v>
      </c>
      <c r="AH34" s="3" t="e">
        <f t="shared" si="25"/>
        <v>#DIV/0!</v>
      </c>
      <c r="AI34" s="3">
        <v>0</v>
      </c>
      <c r="AJ34" s="6">
        <v>0</v>
      </c>
      <c r="AK34" s="3" t="e">
        <f t="shared" si="26"/>
        <v>#DIV/0!</v>
      </c>
      <c r="AL34" s="3">
        <v>0</v>
      </c>
      <c r="AM34" s="6">
        <v>0</v>
      </c>
      <c r="AN34" s="3">
        <f t="shared" si="12"/>
        <v>759.99765794250254</v>
      </c>
      <c r="AO34" s="3">
        <f t="shared" si="13"/>
        <v>9086000</v>
      </c>
      <c r="AP34" s="6">
        <f t="shared" si="14"/>
        <v>11955.3</v>
      </c>
      <c r="AQ34" s="3"/>
      <c r="AR34" s="3"/>
      <c r="AS34" s="3"/>
      <c r="AT34" s="3"/>
      <c r="AU34" s="3"/>
      <c r="AV34" s="3"/>
      <c r="AW34" s="3"/>
      <c r="AX34" s="3"/>
      <c r="AY34" s="3"/>
      <c r="AZ34" s="3"/>
      <c r="BA34" s="3"/>
      <c r="BB34" s="3"/>
      <c r="BC34" s="3"/>
      <c r="BD34" s="3"/>
      <c r="BE34" s="3"/>
      <c r="BF34" s="3"/>
      <c r="BG34" s="3"/>
      <c r="BH34" s="3"/>
      <c r="BI34" s="3"/>
      <c r="BJ34" s="3"/>
      <c r="BK34" s="3"/>
      <c r="BL34" s="3"/>
      <c r="BM34" s="3"/>
      <c r="BN34" s="3"/>
    </row>
    <row r="35" spans="1:66" x14ac:dyDescent="0.3">
      <c r="A35" s="1" t="s">
        <v>30</v>
      </c>
      <c r="B35" s="15"/>
      <c r="C35" s="15"/>
      <c r="D35" s="3" t="e">
        <f t="shared" si="15"/>
        <v>#DIV/0!</v>
      </c>
      <c r="E35" s="3">
        <v>0</v>
      </c>
      <c r="F35" s="6">
        <v>0</v>
      </c>
      <c r="G35" s="3" t="e">
        <f t="shared" si="16"/>
        <v>#DIV/0!</v>
      </c>
      <c r="H35" s="3">
        <v>0</v>
      </c>
      <c r="I35" s="6">
        <v>0</v>
      </c>
      <c r="J35" s="3" t="e">
        <f t="shared" si="17"/>
        <v>#DIV/0!</v>
      </c>
      <c r="K35" s="3">
        <v>0</v>
      </c>
      <c r="L35" s="6">
        <v>0</v>
      </c>
      <c r="M35" s="3" t="e">
        <f t="shared" si="18"/>
        <v>#DIV/0!</v>
      </c>
      <c r="N35" s="3">
        <v>0</v>
      </c>
      <c r="O35" s="6">
        <v>0</v>
      </c>
      <c r="P35" s="3" t="e">
        <f t="shared" si="19"/>
        <v>#DIV/0!</v>
      </c>
      <c r="Q35" s="3">
        <v>0</v>
      </c>
      <c r="R35" s="6">
        <v>0</v>
      </c>
      <c r="S35" s="3" t="e">
        <f t="shared" si="20"/>
        <v>#DIV/0!</v>
      </c>
      <c r="T35" s="3">
        <v>0</v>
      </c>
      <c r="U35" s="6">
        <v>0</v>
      </c>
      <c r="V35" s="3" t="e">
        <f t="shared" si="21"/>
        <v>#DIV/0!</v>
      </c>
      <c r="W35" s="3">
        <v>0</v>
      </c>
      <c r="X35" s="6">
        <v>0</v>
      </c>
      <c r="Y35" s="3" t="e">
        <f t="shared" si="22"/>
        <v>#DIV/0!</v>
      </c>
      <c r="Z35" s="3">
        <v>0</v>
      </c>
      <c r="AA35" s="6">
        <v>0</v>
      </c>
      <c r="AB35" s="3" t="e">
        <f t="shared" si="23"/>
        <v>#DIV/0!</v>
      </c>
      <c r="AC35" s="3">
        <v>0</v>
      </c>
      <c r="AD35" s="6">
        <v>0</v>
      </c>
      <c r="AE35" s="3">
        <f t="shared" si="24"/>
        <v>760.00127004652984</v>
      </c>
      <c r="AF35" s="3">
        <v>6582447</v>
      </c>
      <c r="AG35" s="6">
        <v>8661.1</v>
      </c>
      <c r="AH35" s="3">
        <f t="shared" si="25"/>
        <v>759.99582753824757</v>
      </c>
      <c r="AI35" s="3">
        <v>3278622</v>
      </c>
      <c r="AJ35" s="6">
        <v>4314</v>
      </c>
      <c r="AK35" s="3" t="e">
        <f t="shared" si="26"/>
        <v>#DIV/0!</v>
      </c>
      <c r="AL35" s="3">
        <v>0</v>
      </c>
      <c r="AM35" s="6">
        <v>0</v>
      </c>
      <c r="AN35" s="3">
        <f t="shared" si="12"/>
        <v>759.99946050512131</v>
      </c>
      <c r="AO35" s="3">
        <f t="shared" si="13"/>
        <v>9861069</v>
      </c>
      <c r="AP35" s="6">
        <f t="shared" si="14"/>
        <v>12975.1</v>
      </c>
      <c r="AQ35" s="3"/>
      <c r="AR35" s="3"/>
      <c r="AS35" s="3"/>
      <c r="AT35" s="3"/>
      <c r="AU35" s="3"/>
      <c r="AV35" s="3"/>
      <c r="AW35" s="3"/>
      <c r="AX35" s="3"/>
      <c r="AY35" s="3"/>
      <c r="AZ35" s="3"/>
      <c r="BA35" s="3"/>
      <c r="BB35" s="3"/>
      <c r="BC35" s="3"/>
      <c r="BD35" s="3"/>
      <c r="BE35" s="3"/>
      <c r="BF35" s="3"/>
      <c r="BG35" s="3"/>
      <c r="BH35" s="3"/>
      <c r="BI35" s="3"/>
      <c r="BJ35" s="3"/>
      <c r="BK35" s="3"/>
      <c r="BL35" s="3"/>
      <c r="BM35" s="3"/>
      <c r="BN35" s="3"/>
    </row>
    <row r="36" spans="1:66" x14ac:dyDescent="0.3">
      <c r="A36" s="1" t="s">
        <v>43</v>
      </c>
      <c r="B36" s="15"/>
      <c r="C36" s="15"/>
      <c r="D36" s="3" t="e">
        <f t="shared" si="15"/>
        <v>#DIV/0!</v>
      </c>
      <c r="E36" s="3">
        <v>0</v>
      </c>
      <c r="F36" s="6">
        <v>0</v>
      </c>
      <c r="G36" s="3">
        <f t="shared" si="16"/>
        <v>1053.7254901960785</v>
      </c>
      <c r="H36" s="3">
        <v>32244</v>
      </c>
      <c r="I36" s="6">
        <v>30.6</v>
      </c>
      <c r="J36" s="3" t="e">
        <f t="shared" si="17"/>
        <v>#DIV/0!</v>
      </c>
      <c r="K36" s="3">
        <v>0</v>
      </c>
      <c r="L36" s="6">
        <v>0</v>
      </c>
      <c r="M36" s="3" t="e">
        <f t="shared" si="18"/>
        <v>#DIV/0!</v>
      </c>
      <c r="N36" s="3">
        <v>0</v>
      </c>
      <c r="O36" s="6">
        <v>0</v>
      </c>
      <c r="P36" s="3" t="e">
        <f t="shared" si="19"/>
        <v>#DIV/0!</v>
      </c>
      <c r="Q36" s="3">
        <v>0</v>
      </c>
      <c r="R36" s="6">
        <v>0</v>
      </c>
      <c r="S36" s="3">
        <f t="shared" si="20"/>
        <v>1041.2084592145015</v>
      </c>
      <c r="T36" s="3">
        <v>34464</v>
      </c>
      <c r="U36" s="6">
        <v>33.1</v>
      </c>
      <c r="V36" s="3" t="e">
        <f t="shared" si="21"/>
        <v>#DIV/0!</v>
      </c>
      <c r="W36" s="3">
        <v>0</v>
      </c>
      <c r="X36" s="6">
        <v>0</v>
      </c>
      <c r="Y36" s="3" t="e">
        <f t="shared" si="22"/>
        <v>#DIV/0!</v>
      </c>
      <c r="Z36" s="3">
        <v>0</v>
      </c>
      <c r="AA36" s="6">
        <v>0</v>
      </c>
      <c r="AB36" s="3" t="e">
        <f t="shared" si="23"/>
        <v>#DIV/0!</v>
      </c>
      <c r="AC36" s="3">
        <v>0</v>
      </c>
      <c r="AD36" s="6">
        <v>0</v>
      </c>
      <c r="AE36" s="3" t="e">
        <f t="shared" si="24"/>
        <v>#DIV/0!</v>
      </c>
      <c r="AF36" s="3">
        <v>0</v>
      </c>
      <c r="AG36" s="6">
        <v>0</v>
      </c>
      <c r="AH36" s="3" t="e">
        <f t="shared" si="25"/>
        <v>#DIV/0!</v>
      </c>
      <c r="AI36" s="3">
        <v>0</v>
      </c>
      <c r="AJ36" s="6">
        <v>0</v>
      </c>
      <c r="AK36" s="3" t="e">
        <f t="shared" si="26"/>
        <v>#DIV/0!</v>
      </c>
      <c r="AL36" s="3">
        <v>0</v>
      </c>
      <c r="AM36" s="6">
        <v>0</v>
      </c>
      <c r="AN36" s="3">
        <f t="shared" si="12"/>
        <v>1047.2213500784928</v>
      </c>
      <c r="AO36" s="3">
        <f t="shared" si="13"/>
        <v>66708</v>
      </c>
      <c r="AP36" s="6">
        <f t="shared" si="14"/>
        <v>63.7</v>
      </c>
      <c r="AQ36" s="3"/>
      <c r="AR36" s="3"/>
      <c r="AS36" s="3"/>
      <c r="AT36" s="3"/>
      <c r="AU36" s="3"/>
      <c r="AV36" s="3"/>
      <c r="AW36" s="3"/>
      <c r="AX36" s="3"/>
      <c r="AY36" s="3"/>
      <c r="AZ36" s="3"/>
      <c r="BA36" s="3"/>
      <c r="BB36" s="3"/>
      <c r="BC36" s="3"/>
      <c r="BD36" s="3"/>
      <c r="BE36" s="3"/>
      <c r="BF36" s="3"/>
      <c r="BG36" s="3"/>
      <c r="BH36" s="3"/>
      <c r="BI36" s="3"/>
      <c r="BJ36" s="3"/>
      <c r="BK36" s="3"/>
      <c r="BL36" s="3"/>
      <c r="BM36" s="3"/>
      <c r="BN36" s="3"/>
    </row>
    <row r="37" spans="1:66" x14ac:dyDescent="0.3">
      <c r="A37" s="1" t="s">
        <v>63</v>
      </c>
      <c r="B37" s="15"/>
      <c r="C37" s="15"/>
      <c r="D37" s="3">
        <f t="shared" si="15"/>
        <v>1374.8034934497819</v>
      </c>
      <c r="E37" s="3">
        <v>31483</v>
      </c>
      <c r="F37" s="6">
        <v>22.9</v>
      </c>
      <c r="G37" s="3" t="e">
        <f t="shared" si="16"/>
        <v>#DIV/0!</v>
      </c>
      <c r="H37" s="3">
        <v>0</v>
      </c>
      <c r="I37" s="6">
        <v>0</v>
      </c>
      <c r="J37" s="3" t="e">
        <f t="shared" si="17"/>
        <v>#DIV/0!</v>
      </c>
      <c r="K37" s="3">
        <v>0</v>
      </c>
      <c r="L37" s="6">
        <v>0</v>
      </c>
      <c r="M37" s="3">
        <f t="shared" si="18"/>
        <v>1277.6470588235295</v>
      </c>
      <c r="N37" s="3">
        <v>17376</v>
      </c>
      <c r="O37" s="6">
        <v>13.6</v>
      </c>
      <c r="P37" s="3" t="e">
        <f t="shared" si="19"/>
        <v>#DIV/0!</v>
      </c>
      <c r="Q37" s="3">
        <v>0</v>
      </c>
      <c r="R37" s="6">
        <v>0</v>
      </c>
      <c r="S37" s="3" t="e">
        <f t="shared" si="20"/>
        <v>#DIV/0!</v>
      </c>
      <c r="T37" s="3">
        <v>0</v>
      </c>
      <c r="U37" s="6">
        <v>0</v>
      </c>
      <c r="V37" s="3">
        <f t="shared" si="21"/>
        <v>1454.453781512605</v>
      </c>
      <c r="W37" s="3">
        <v>17308</v>
      </c>
      <c r="X37" s="6">
        <v>11.9</v>
      </c>
      <c r="Y37" s="3" t="e">
        <f t="shared" si="22"/>
        <v>#DIV/0!</v>
      </c>
      <c r="Z37" s="3">
        <v>0</v>
      </c>
      <c r="AA37" s="6">
        <v>0</v>
      </c>
      <c r="AB37" s="3" t="e">
        <f t="shared" si="23"/>
        <v>#DIV/0!</v>
      </c>
      <c r="AC37" s="3">
        <v>0</v>
      </c>
      <c r="AD37" s="6">
        <v>0</v>
      </c>
      <c r="AE37" s="3" t="e">
        <f t="shared" si="24"/>
        <v>#DIV/0!</v>
      </c>
      <c r="AF37" s="3">
        <v>0</v>
      </c>
      <c r="AG37" s="6">
        <v>0</v>
      </c>
      <c r="AH37" s="3">
        <f t="shared" si="25"/>
        <v>1359.7894736842106</v>
      </c>
      <c r="AI37" s="3">
        <v>12918</v>
      </c>
      <c r="AJ37" s="6">
        <v>9.5</v>
      </c>
      <c r="AK37" s="3" t="e">
        <f t="shared" si="26"/>
        <v>#DIV/0!</v>
      </c>
      <c r="AL37" s="3">
        <v>0</v>
      </c>
      <c r="AM37" s="6">
        <v>0</v>
      </c>
      <c r="AN37" s="3">
        <f t="shared" si="12"/>
        <v>1365.8894645941277</v>
      </c>
      <c r="AO37" s="3">
        <f t="shared" si="13"/>
        <v>79085</v>
      </c>
      <c r="AP37" s="6">
        <f t="shared" si="14"/>
        <v>57.9</v>
      </c>
      <c r="AQ37" s="3"/>
      <c r="AR37" s="3"/>
      <c r="AS37" s="3"/>
      <c r="AT37" s="3"/>
      <c r="AU37" s="3"/>
      <c r="AV37" s="3"/>
      <c r="AW37" s="3"/>
      <c r="AX37" s="3"/>
      <c r="AY37" s="3"/>
      <c r="AZ37" s="3"/>
      <c r="BA37" s="3"/>
      <c r="BB37" s="3"/>
      <c r="BC37" s="3"/>
      <c r="BD37" s="3"/>
      <c r="BE37" s="3"/>
      <c r="BF37" s="3"/>
      <c r="BG37" s="3"/>
      <c r="BH37" s="3"/>
      <c r="BI37" s="3"/>
      <c r="BJ37" s="3"/>
      <c r="BK37" s="3"/>
      <c r="BL37" s="3"/>
      <c r="BM37" s="3"/>
      <c r="BN37" s="3"/>
    </row>
    <row r="38" spans="1:66" x14ac:dyDescent="0.3">
      <c r="A38" s="1" t="s">
        <v>64</v>
      </c>
      <c r="B38" s="15"/>
      <c r="C38" s="15"/>
      <c r="D38" s="3" t="e">
        <f t="shared" si="15"/>
        <v>#DIV/0!</v>
      </c>
      <c r="E38" s="3">
        <v>0</v>
      </c>
      <c r="F38" s="6">
        <v>0</v>
      </c>
      <c r="G38" s="3" t="e">
        <f t="shared" si="16"/>
        <v>#DIV/0!</v>
      </c>
      <c r="H38" s="3">
        <v>0</v>
      </c>
      <c r="I38" s="6">
        <v>0</v>
      </c>
      <c r="J38" s="3" t="e">
        <f t="shared" si="17"/>
        <v>#DIV/0!</v>
      </c>
      <c r="K38" s="3">
        <v>0</v>
      </c>
      <c r="L38" s="6">
        <v>0</v>
      </c>
      <c r="M38" s="3" t="e">
        <f t="shared" si="18"/>
        <v>#DIV/0!</v>
      </c>
      <c r="N38" s="3">
        <v>0</v>
      </c>
      <c r="O38" s="6">
        <v>0</v>
      </c>
      <c r="P38" s="3" t="e">
        <f t="shared" si="19"/>
        <v>#DIV/0!</v>
      </c>
      <c r="Q38" s="3">
        <v>0</v>
      </c>
      <c r="R38" s="6">
        <v>0</v>
      </c>
      <c r="S38" s="3" t="e">
        <f t="shared" si="20"/>
        <v>#DIV/0!</v>
      </c>
      <c r="T38" s="3">
        <v>0</v>
      </c>
      <c r="U38" s="6">
        <v>0</v>
      </c>
      <c r="V38" s="3" t="e">
        <f t="shared" si="21"/>
        <v>#DIV/0!</v>
      </c>
      <c r="W38" s="3">
        <v>0</v>
      </c>
      <c r="X38" s="6">
        <v>0</v>
      </c>
      <c r="Y38" s="3" t="e">
        <f t="shared" si="22"/>
        <v>#DIV/0!</v>
      </c>
      <c r="Z38" s="3">
        <v>0</v>
      </c>
      <c r="AA38" s="6">
        <v>0</v>
      </c>
      <c r="AB38" s="3" t="e">
        <f t="shared" si="23"/>
        <v>#DIV/0!</v>
      </c>
      <c r="AC38" s="3">
        <v>0</v>
      </c>
      <c r="AD38" s="6">
        <v>0</v>
      </c>
      <c r="AE38" s="3" t="e">
        <f t="shared" si="24"/>
        <v>#DIV/0!</v>
      </c>
      <c r="AF38" s="3">
        <v>0</v>
      </c>
      <c r="AG38" s="6">
        <v>0</v>
      </c>
      <c r="AH38" s="3">
        <f t="shared" si="25"/>
        <v>759.95174909529544</v>
      </c>
      <c r="AI38" s="3">
        <v>126000</v>
      </c>
      <c r="AJ38" s="6">
        <v>165.8</v>
      </c>
      <c r="AK38" s="3" t="e">
        <f t="shared" si="26"/>
        <v>#DIV/0!</v>
      </c>
      <c r="AL38" s="3">
        <v>0</v>
      </c>
      <c r="AM38" s="6">
        <v>0</v>
      </c>
      <c r="AN38" s="3">
        <f t="shared" si="12"/>
        <v>759.95174909529544</v>
      </c>
      <c r="AO38" s="3">
        <f t="shared" si="13"/>
        <v>126000</v>
      </c>
      <c r="AP38" s="6">
        <f t="shared" si="14"/>
        <v>165.8</v>
      </c>
      <c r="AQ38" s="3"/>
      <c r="AR38" s="3"/>
      <c r="AS38" s="3"/>
      <c r="AT38" s="3"/>
      <c r="AU38" s="3"/>
      <c r="AV38" s="3"/>
      <c r="AW38" s="3"/>
      <c r="AX38" s="3"/>
      <c r="AY38" s="3"/>
      <c r="AZ38" s="3"/>
      <c r="BA38" s="3"/>
      <c r="BB38" s="3"/>
      <c r="BC38" s="3"/>
      <c r="BD38" s="3"/>
      <c r="BE38" s="3"/>
      <c r="BF38" s="3"/>
      <c r="BG38" s="3"/>
      <c r="BH38" s="3"/>
      <c r="BI38" s="3"/>
      <c r="BJ38" s="3"/>
      <c r="BK38" s="3"/>
      <c r="BL38" s="3"/>
      <c r="BM38" s="3"/>
      <c r="BN38" s="3"/>
    </row>
    <row r="39" spans="1:66" x14ac:dyDescent="0.3">
      <c r="A39" s="1" t="s">
        <v>45</v>
      </c>
      <c r="B39" s="15"/>
      <c r="C39" s="15"/>
      <c r="D39" s="3" t="e">
        <f t="shared" si="15"/>
        <v>#DIV/0!</v>
      </c>
      <c r="E39" s="3">
        <v>0</v>
      </c>
      <c r="F39" s="6">
        <v>0</v>
      </c>
      <c r="G39" s="3">
        <f t="shared" si="16"/>
        <v>708.99043354365961</v>
      </c>
      <c r="H39" s="3">
        <v>348327</v>
      </c>
      <c r="I39" s="6">
        <v>491.3</v>
      </c>
      <c r="J39" s="3" t="e">
        <f t="shared" si="17"/>
        <v>#DIV/0!</v>
      </c>
      <c r="K39" s="3">
        <v>0</v>
      </c>
      <c r="L39" s="6">
        <v>0</v>
      </c>
      <c r="M39" s="3" t="e">
        <f t="shared" si="18"/>
        <v>#DIV/0!</v>
      </c>
      <c r="N39" s="3">
        <v>0</v>
      </c>
      <c r="O39" s="6">
        <v>0</v>
      </c>
      <c r="P39" s="3" t="e">
        <f t="shared" si="19"/>
        <v>#DIV/0!</v>
      </c>
      <c r="Q39" s="3">
        <v>0</v>
      </c>
      <c r="R39" s="6">
        <v>0</v>
      </c>
      <c r="S39" s="3" t="e">
        <f t="shared" si="20"/>
        <v>#DIV/0!</v>
      </c>
      <c r="T39" s="3">
        <v>0</v>
      </c>
      <c r="U39" s="6">
        <v>0</v>
      </c>
      <c r="V39" s="3" t="e">
        <f t="shared" si="21"/>
        <v>#DIV/0!</v>
      </c>
      <c r="W39" s="3">
        <v>0</v>
      </c>
      <c r="X39" s="6">
        <v>0</v>
      </c>
      <c r="Y39" s="3" t="e">
        <f t="shared" si="22"/>
        <v>#DIV/0!</v>
      </c>
      <c r="Z39" s="3">
        <v>0</v>
      </c>
      <c r="AA39" s="6">
        <v>0</v>
      </c>
      <c r="AB39" s="3" t="e">
        <f t="shared" si="23"/>
        <v>#DIV/0!</v>
      </c>
      <c r="AC39" s="3">
        <v>0</v>
      </c>
      <c r="AD39" s="6">
        <v>0</v>
      </c>
      <c r="AE39" s="3" t="e">
        <f t="shared" si="24"/>
        <v>#DIV/0!</v>
      </c>
      <c r="AF39" s="3">
        <v>0</v>
      </c>
      <c r="AG39" s="6">
        <v>0</v>
      </c>
      <c r="AH39" s="3">
        <f t="shared" si="25"/>
        <v>742.95021225206767</v>
      </c>
      <c r="AI39" s="3">
        <v>8120743</v>
      </c>
      <c r="AJ39" s="6">
        <v>10930.4</v>
      </c>
      <c r="AK39" s="3" t="e">
        <f t="shared" si="26"/>
        <v>#DIV/0!</v>
      </c>
      <c r="AL39" s="3">
        <v>0</v>
      </c>
      <c r="AM39" s="6">
        <v>0</v>
      </c>
      <c r="AN39" s="3">
        <f t="shared" si="12"/>
        <v>741.48944552912451</v>
      </c>
      <c r="AO39" s="3">
        <f t="shared" si="13"/>
        <v>8469070</v>
      </c>
      <c r="AP39" s="6">
        <f t="shared" si="14"/>
        <v>11421.699999999999</v>
      </c>
      <c r="AQ39" s="3"/>
      <c r="AR39" s="3"/>
      <c r="AS39" s="3"/>
      <c r="AT39" s="3"/>
      <c r="AU39" s="3"/>
      <c r="AV39" s="3"/>
      <c r="AW39" s="3"/>
      <c r="AX39" s="3"/>
      <c r="AY39" s="3"/>
      <c r="AZ39" s="3"/>
      <c r="BA39" s="3"/>
      <c r="BB39" s="3"/>
      <c r="BC39" s="3"/>
      <c r="BD39" s="3"/>
      <c r="BE39" s="3"/>
      <c r="BF39" s="3"/>
      <c r="BG39" s="3"/>
      <c r="BH39" s="3"/>
      <c r="BI39" s="3"/>
      <c r="BJ39" s="3"/>
      <c r="BK39" s="3"/>
      <c r="BL39" s="3"/>
      <c r="BM39" s="3"/>
      <c r="BN39" s="3"/>
    </row>
    <row r="40" spans="1:66" x14ac:dyDescent="0.3">
      <c r="A40" s="10" t="s">
        <v>23</v>
      </c>
      <c r="B40" s="16"/>
      <c r="C40" s="16"/>
      <c r="D40" s="7" t="e">
        <f t="shared" si="15"/>
        <v>#DIV/0!</v>
      </c>
      <c r="E40" s="8">
        <v>0</v>
      </c>
      <c r="F40" s="9">
        <v>0</v>
      </c>
      <c r="G40" s="8" t="e">
        <f t="shared" si="16"/>
        <v>#DIV/0!</v>
      </c>
      <c r="H40" s="8">
        <v>0</v>
      </c>
      <c r="I40" s="9">
        <v>0</v>
      </c>
      <c r="J40" s="8">
        <f t="shared" si="17"/>
        <v>879.3645484949833</v>
      </c>
      <c r="K40" s="8">
        <v>52586</v>
      </c>
      <c r="L40" s="9">
        <v>59.8</v>
      </c>
      <c r="M40" s="8" t="e">
        <f t="shared" si="18"/>
        <v>#DIV/0!</v>
      </c>
      <c r="N40" s="8">
        <v>0</v>
      </c>
      <c r="O40" s="9">
        <v>0</v>
      </c>
      <c r="P40" s="8" t="e">
        <f t="shared" si="19"/>
        <v>#DIV/0!</v>
      </c>
      <c r="Q40" s="8">
        <v>0</v>
      </c>
      <c r="R40" s="9">
        <v>0</v>
      </c>
      <c r="S40" s="8" t="e">
        <f t="shared" si="20"/>
        <v>#DIV/0!</v>
      </c>
      <c r="T40" s="8">
        <v>0</v>
      </c>
      <c r="U40" s="9">
        <v>0</v>
      </c>
      <c r="V40" s="8" t="e">
        <f t="shared" si="21"/>
        <v>#DIV/0!</v>
      </c>
      <c r="W40" s="8">
        <v>0</v>
      </c>
      <c r="X40" s="9">
        <v>0</v>
      </c>
      <c r="Y40" s="8">
        <f t="shared" si="22"/>
        <v>865.5737704918032</v>
      </c>
      <c r="Z40" s="8">
        <v>36960</v>
      </c>
      <c r="AA40" s="9">
        <v>42.7</v>
      </c>
      <c r="AB40" s="8" t="e">
        <f t="shared" si="23"/>
        <v>#DIV/0!</v>
      </c>
      <c r="AC40" s="8">
        <v>0</v>
      </c>
      <c r="AD40" s="9">
        <v>0</v>
      </c>
      <c r="AE40" s="8" t="e">
        <f t="shared" si="24"/>
        <v>#DIV/0!</v>
      </c>
      <c r="AF40" s="8">
        <v>0</v>
      </c>
      <c r="AG40" s="9">
        <v>0</v>
      </c>
      <c r="AH40" s="8" t="e">
        <f t="shared" si="25"/>
        <v>#DIV/0!</v>
      </c>
      <c r="AI40" s="8">
        <v>0</v>
      </c>
      <c r="AJ40" s="9">
        <v>0</v>
      </c>
      <c r="AK40" s="8" t="e">
        <f t="shared" si="26"/>
        <v>#DIV/0!</v>
      </c>
      <c r="AL40" s="8">
        <v>0</v>
      </c>
      <c r="AM40" s="9">
        <v>0</v>
      </c>
      <c r="AN40" s="8">
        <f t="shared" si="12"/>
        <v>873.61951219512196</v>
      </c>
      <c r="AO40" s="8">
        <f t="shared" si="13"/>
        <v>89546</v>
      </c>
      <c r="AP40" s="9">
        <f t="shared" si="14"/>
        <v>102.5</v>
      </c>
      <c r="AQ40" s="3"/>
      <c r="AR40" s="3"/>
      <c r="AS40" s="3"/>
      <c r="AT40" s="3"/>
      <c r="AU40" s="3"/>
      <c r="AV40" s="3"/>
      <c r="AW40" s="3"/>
      <c r="AX40" s="3"/>
      <c r="AY40" s="3"/>
      <c r="AZ40" s="3"/>
      <c r="BA40" s="3"/>
      <c r="BB40" s="3"/>
      <c r="BC40" s="3"/>
      <c r="BD40" s="3"/>
      <c r="BE40" s="3"/>
      <c r="BF40" s="3"/>
      <c r="BG40" s="3"/>
      <c r="BH40" s="3"/>
      <c r="BI40" s="3"/>
      <c r="BJ40" s="3"/>
      <c r="BK40" s="3"/>
      <c r="BL40" s="3"/>
      <c r="BM40" s="3"/>
      <c r="BN40" s="3"/>
    </row>
    <row r="41" spans="1:66" x14ac:dyDescent="0.3">
      <c r="A41" s="1" t="s">
        <v>47</v>
      </c>
    </row>
    <row r="42" spans="1:66" x14ac:dyDescent="0.3">
      <c r="A42" s="1" t="s">
        <v>50</v>
      </c>
    </row>
    <row r="43" spans="1:66" x14ac:dyDescent="0.3">
      <c r="A43" s="1" t="s">
        <v>48</v>
      </c>
    </row>
    <row r="44" spans="1:66" x14ac:dyDescent="0.3">
      <c r="A44" s="1" t="s">
        <v>49</v>
      </c>
    </row>
    <row r="45" spans="1:66" x14ac:dyDescent="0.3">
      <c r="A45" s="1" t="s">
        <v>55</v>
      </c>
    </row>
    <row r="46" spans="1:66" x14ac:dyDescent="0.3">
      <c r="A46" s="1" t="s">
        <v>56</v>
      </c>
    </row>
  </sheetData>
  <mergeCells count="15">
    <mergeCell ref="B3:B40"/>
    <mergeCell ref="C3:C40"/>
    <mergeCell ref="D1:F1"/>
    <mergeCell ref="G1:I1"/>
    <mergeCell ref="J1:L1"/>
    <mergeCell ref="M1:O1"/>
    <mergeCell ref="P1:R1"/>
    <mergeCell ref="S1:U1"/>
    <mergeCell ref="AK1:AM1"/>
    <mergeCell ref="AN1:AP1"/>
    <mergeCell ref="V1:X1"/>
    <mergeCell ref="Y1:AA1"/>
    <mergeCell ref="AB1:AD1"/>
    <mergeCell ref="AE1:AG1"/>
    <mergeCell ref="AH1:AJ1"/>
  </mergeCells>
  <phoneticPr fontId="18"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2019년</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ds</dc:creator>
  <cp:lastModifiedBy>ds</cp:lastModifiedBy>
  <dcterms:created xsi:type="dcterms:W3CDTF">2026-06-15T09:24:56Z</dcterms:created>
  <dcterms:modified xsi:type="dcterms:W3CDTF">2026-06-16T01:43:09Z</dcterms:modified>
</cp:coreProperties>
</file>