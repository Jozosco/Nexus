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90\"/>
    </mc:Choice>
  </mc:AlternateContent>
  <bookViews>
    <workbookView xWindow="0" yWindow="0" windowWidth="25125" windowHeight="11640"/>
  </bookViews>
  <sheets>
    <sheet name="2019년" sheetId="1" r:id="rId1"/>
  </sheets>
  <calcPr calcId="162913"/>
</workbook>
</file>

<file path=xl/calcChain.xml><?xml version="1.0" encoding="utf-8"?>
<calcChain xmlns="http://schemas.openxmlformats.org/spreadsheetml/2006/main">
  <c r="AQ3" i="1" l="1"/>
  <c r="AP3" i="1"/>
  <c r="AN3" i="1"/>
  <c r="AM3" i="1"/>
  <c r="AK3" i="1"/>
  <c r="AJ3" i="1"/>
  <c r="AH3" i="1"/>
  <c r="AG3" i="1"/>
  <c r="AE3" i="1"/>
  <c r="AD3" i="1"/>
  <c r="AB3" i="1"/>
  <c r="AA3" i="1"/>
  <c r="Y3" i="1"/>
  <c r="X3" i="1"/>
  <c r="V3" i="1"/>
  <c r="U3" i="1"/>
  <c r="S3" i="1"/>
  <c r="R3" i="1"/>
  <c r="P3" i="1"/>
  <c r="O3" i="1"/>
  <c r="M3" i="1"/>
  <c r="L3" i="1"/>
  <c r="J3" i="1"/>
  <c r="I3" i="1"/>
  <c r="G3" i="1"/>
  <c r="F3" i="1"/>
  <c r="AP85" i="1" l="1"/>
  <c r="AP84" i="1"/>
  <c r="AP83" i="1"/>
  <c r="AQ85" i="1"/>
  <c r="AO85" i="1"/>
  <c r="AQ84" i="1"/>
  <c r="AQ83" i="1"/>
  <c r="AO83" i="1"/>
  <c r="AO84" i="1"/>
  <c r="AL85" i="1"/>
  <c r="AL84" i="1"/>
  <c r="AL83" i="1"/>
  <c r="AI85" i="1"/>
  <c r="AI84" i="1"/>
  <c r="AI83" i="1"/>
  <c r="AF85" i="1"/>
  <c r="AF84" i="1"/>
  <c r="AF83" i="1"/>
  <c r="AC85" i="1"/>
  <c r="AC84" i="1"/>
  <c r="AC83" i="1"/>
  <c r="Z85" i="1"/>
  <c r="Z84" i="1"/>
  <c r="Z83" i="1"/>
  <c r="W85" i="1"/>
  <c r="W84" i="1"/>
  <c r="W83" i="1"/>
  <c r="T85" i="1"/>
  <c r="T84" i="1"/>
  <c r="T83" i="1"/>
  <c r="Q85" i="1"/>
  <c r="Q84" i="1"/>
  <c r="Q83" i="1"/>
  <c r="N85" i="1"/>
  <c r="N84" i="1"/>
  <c r="N83" i="1"/>
  <c r="K85" i="1"/>
  <c r="K84" i="1"/>
  <c r="K83" i="1"/>
  <c r="H85" i="1"/>
  <c r="H84" i="1"/>
  <c r="H83" i="1"/>
  <c r="E85" i="1"/>
  <c r="E84" i="1"/>
  <c r="E83" i="1"/>
  <c r="AN65" i="1"/>
  <c r="AM65" i="1"/>
  <c r="AK65" i="1"/>
  <c r="AJ65" i="1"/>
  <c r="AH65" i="1"/>
  <c r="AG65" i="1"/>
  <c r="AF65" i="1" s="1"/>
  <c r="AE65" i="1"/>
  <c r="AD65" i="1"/>
  <c r="AC65" i="1" s="1"/>
  <c r="AB65" i="1"/>
  <c r="AA65" i="1"/>
  <c r="Y65" i="1"/>
  <c r="X65" i="1"/>
  <c r="V65" i="1"/>
  <c r="U65" i="1"/>
  <c r="S65" i="1"/>
  <c r="R65" i="1"/>
  <c r="Q65" i="1" s="1"/>
  <c r="P65" i="1"/>
  <c r="O65" i="1"/>
  <c r="N65" i="1" s="1"/>
  <c r="M65" i="1"/>
  <c r="L65" i="1"/>
  <c r="J65" i="1"/>
  <c r="I65" i="1"/>
  <c r="G65" i="1"/>
  <c r="F65" i="1"/>
  <c r="AN4" i="1"/>
  <c r="AM4" i="1"/>
  <c r="AK4" i="1"/>
  <c r="AJ4" i="1"/>
  <c r="AH4" i="1"/>
  <c r="AG4" i="1"/>
  <c r="AE4" i="1"/>
  <c r="AD4" i="1"/>
  <c r="AB4" i="1"/>
  <c r="AA4" i="1"/>
  <c r="Y4" i="1"/>
  <c r="X4" i="1"/>
  <c r="V4" i="1"/>
  <c r="U4" i="1"/>
  <c r="S4" i="1"/>
  <c r="R4" i="1"/>
  <c r="P4" i="1"/>
  <c r="O4" i="1"/>
  <c r="M4" i="1"/>
  <c r="L4" i="1"/>
  <c r="J4" i="1"/>
  <c r="I4" i="1"/>
  <c r="G4" i="1"/>
  <c r="F4" i="1"/>
  <c r="AQ82" i="1"/>
  <c r="AP82" i="1"/>
  <c r="AQ81" i="1"/>
  <c r="AP81" i="1"/>
  <c r="AQ80" i="1"/>
  <c r="AP80" i="1"/>
  <c r="AQ79" i="1"/>
  <c r="AP79" i="1"/>
  <c r="AQ78" i="1"/>
  <c r="AP78" i="1"/>
  <c r="AQ77" i="1"/>
  <c r="AP77" i="1"/>
  <c r="AQ76" i="1"/>
  <c r="AP76" i="1"/>
  <c r="AQ75" i="1"/>
  <c r="AP75" i="1"/>
  <c r="AQ74" i="1"/>
  <c r="AP74" i="1"/>
  <c r="AQ73" i="1"/>
  <c r="AP73" i="1"/>
  <c r="AQ72" i="1"/>
  <c r="AP72" i="1"/>
  <c r="AQ71" i="1"/>
  <c r="AP71" i="1"/>
  <c r="AQ70" i="1"/>
  <c r="AP70" i="1"/>
  <c r="AQ69" i="1"/>
  <c r="AP69" i="1"/>
  <c r="AQ68" i="1"/>
  <c r="AP68" i="1"/>
  <c r="AQ67" i="1"/>
  <c r="AP67" i="1"/>
  <c r="AQ66" i="1"/>
  <c r="AP66" i="1"/>
  <c r="AQ64" i="1"/>
  <c r="AP64" i="1"/>
  <c r="AQ63" i="1"/>
  <c r="AP63"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L82" i="1"/>
  <c r="AL81" i="1"/>
  <c r="AL80" i="1"/>
  <c r="AL79" i="1"/>
  <c r="AL78" i="1"/>
  <c r="AL77" i="1"/>
  <c r="AL76" i="1"/>
  <c r="AL75" i="1"/>
  <c r="AL74" i="1"/>
  <c r="AL73" i="1"/>
  <c r="AL72" i="1"/>
  <c r="AL71" i="1"/>
  <c r="AL70" i="1"/>
  <c r="AL69" i="1"/>
  <c r="AL68" i="1"/>
  <c r="AL67" i="1"/>
  <c r="AL66" i="1"/>
  <c r="AL65" i="1"/>
  <c r="AL64" i="1"/>
  <c r="AL63" i="1"/>
  <c r="AL61" i="1"/>
  <c r="AL60" i="1"/>
  <c r="AL59" i="1"/>
  <c r="AL58" i="1"/>
  <c r="AL57" i="1"/>
  <c r="AL56" i="1"/>
  <c r="AL55" i="1"/>
  <c r="AL54" i="1"/>
  <c r="AL53" i="1"/>
  <c r="AL52" i="1"/>
  <c r="AL51" i="1"/>
  <c r="AL50" i="1"/>
  <c r="AL49" i="1"/>
  <c r="AL48" i="1"/>
  <c r="AL47" i="1"/>
  <c r="AL46" i="1"/>
  <c r="AL45" i="1"/>
  <c r="AI82" i="1"/>
  <c r="AI81" i="1"/>
  <c r="AI80" i="1"/>
  <c r="AI79" i="1"/>
  <c r="AI78" i="1"/>
  <c r="AI77" i="1"/>
  <c r="AI76" i="1"/>
  <c r="AI75" i="1"/>
  <c r="AI74" i="1"/>
  <c r="AI73" i="1"/>
  <c r="AI72" i="1"/>
  <c r="AI71" i="1"/>
  <c r="AI70" i="1"/>
  <c r="AI69" i="1"/>
  <c r="AI68" i="1"/>
  <c r="AI67" i="1"/>
  <c r="AI66" i="1"/>
  <c r="AI65" i="1"/>
  <c r="AI64" i="1"/>
  <c r="AI63" i="1"/>
  <c r="AI61" i="1"/>
  <c r="AI60" i="1"/>
  <c r="AI59" i="1"/>
  <c r="AI58" i="1"/>
  <c r="AI57" i="1"/>
  <c r="AI56" i="1"/>
  <c r="AI55" i="1"/>
  <c r="AI54" i="1"/>
  <c r="AI53" i="1"/>
  <c r="AI52" i="1"/>
  <c r="AI51" i="1"/>
  <c r="AI50" i="1"/>
  <c r="AI49" i="1"/>
  <c r="AI48" i="1"/>
  <c r="AI47" i="1"/>
  <c r="AI46" i="1"/>
  <c r="AI45" i="1"/>
  <c r="AF82" i="1"/>
  <c r="AF81" i="1"/>
  <c r="AF80" i="1"/>
  <c r="AF79" i="1"/>
  <c r="AF78" i="1"/>
  <c r="AF77" i="1"/>
  <c r="AF76" i="1"/>
  <c r="AF75" i="1"/>
  <c r="AF74" i="1"/>
  <c r="AF73" i="1"/>
  <c r="AF72" i="1"/>
  <c r="AF71" i="1"/>
  <c r="AF70" i="1"/>
  <c r="AF69" i="1"/>
  <c r="AF68" i="1"/>
  <c r="AF67" i="1"/>
  <c r="AF66" i="1"/>
  <c r="AF64" i="1"/>
  <c r="AF63" i="1"/>
  <c r="AF61" i="1"/>
  <c r="AF60" i="1"/>
  <c r="AF59" i="1"/>
  <c r="AF58" i="1"/>
  <c r="AF57" i="1"/>
  <c r="AF56" i="1"/>
  <c r="AF55" i="1"/>
  <c r="AF54" i="1"/>
  <c r="AF53" i="1"/>
  <c r="AF52" i="1"/>
  <c r="AF51" i="1"/>
  <c r="AF50" i="1"/>
  <c r="AF49" i="1"/>
  <c r="AF48" i="1"/>
  <c r="AF47" i="1"/>
  <c r="AF46" i="1"/>
  <c r="AF45" i="1"/>
  <c r="AC82" i="1"/>
  <c r="AC81" i="1"/>
  <c r="AC80" i="1"/>
  <c r="AC79" i="1"/>
  <c r="AC78" i="1"/>
  <c r="AC77" i="1"/>
  <c r="AC76" i="1"/>
  <c r="AC75" i="1"/>
  <c r="AC74" i="1"/>
  <c r="AC73" i="1"/>
  <c r="AC72" i="1"/>
  <c r="AC71" i="1"/>
  <c r="AC70" i="1"/>
  <c r="AC69" i="1"/>
  <c r="AC68" i="1"/>
  <c r="AC67" i="1"/>
  <c r="AC66" i="1"/>
  <c r="AC64" i="1"/>
  <c r="AC63" i="1"/>
  <c r="AC61" i="1"/>
  <c r="AC60" i="1"/>
  <c r="AC59" i="1"/>
  <c r="AC58" i="1"/>
  <c r="AC57" i="1"/>
  <c r="AC56" i="1"/>
  <c r="AC55" i="1"/>
  <c r="AC54" i="1"/>
  <c r="AC53" i="1"/>
  <c r="AC52" i="1"/>
  <c r="AC51" i="1"/>
  <c r="AC50" i="1"/>
  <c r="AC49" i="1"/>
  <c r="AC48" i="1"/>
  <c r="AC47" i="1"/>
  <c r="AC46" i="1"/>
  <c r="AC45" i="1"/>
  <c r="Z82" i="1"/>
  <c r="Z81" i="1"/>
  <c r="Z80" i="1"/>
  <c r="Z79" i="1"/>
  <c r="Z78" i="1"/>
  <c r="Z77" i="1"/>
  <c r="Z76" i="1"/>
  <c r="Z75" i="1"/>
  <c r="Z74" i="1"/>
  <c r="Z73" i="1"/>
  <c r="Z72" i="1"/>
  <c r="Z71" i="1"/>
  <c r="Z70" i="1"/>
  <c r="Z69" i="1"/>
  <c r="Z68" i="1"/>
  <c r="Z67" i="1"/>
  <c r="Z66" i="1"/>
  <c r="Z64" i="1"/>
  <c r="Z63" i="1"/>
  <c r="Z61" i="1"/>
  <c r="Z60" i="1"/>
  <c r="Z59" i="1"/>
  <c r="Z58" i="1"/>
  <c r="Z57" i="1"/>
  <c r="Z56" i="1"/>
  <c r="Z55" i="1"/>
  <c r="Z54" i="1"/>
  <c r="Z53" i="1"/>
  <c r="Z52" i="1"/>
  <c r="Z51" i="1"/>
  <c r="Z50" i="1"/>
  <c r="Z49" i="1"/>
  <c r="Z48" i="1"/>
  <c r="Z47" i="1"/>
  <c r="Z46" i="1"/>
  <c r="Z45" i="1"/>
  <c r="W82" i="1"/>
  <c r="W81" i="1"/>
  <c r="W80" i="1"/>
  <c r="W79" i="1"/>
  <c r="W78" i="1"/>
  <c r="W77" i="1"/>
  <c r="W76" i="1"/>
  <c r="W75" i="1"/>
  <c r="W74" i="1"/>
  <c r="W73" i="1"/>
  <c r="W72" i="1"/>
  <c r="W71" i="1"/>
  <c r="W70" i="1"/>
  <c r="W69" i="1"/>
  <c r="W68" i="1"/>
  <c r="W67" i="1"/>
  <c r="W66" i="1"/>
  <c r="W65" i="1"/>
  <c r="W64" i="1"/>
  <c r="W63" i="1"/>
  <c r="W61" i="1"/>
  <c r="W60" i="1"/>
  <c r="W59" i="1"/>
  <c r="W58" i="1"/>
  <c r="W57" i="1"/>
  <c r="W56" i="1"/>
  <c r="W55" i="1"/>
  <c r="W54" i="1"/>
  <c r="W53" i="1"/>
  <c r="W52" i="1"/>
  <c r="W51" i="1"/>
  <c r="W50" i="1"/>
  <c r="W49" i="1"/>
  <c r="W48" i="1"/>
  <c r="W47" i="1"/>
  <c r="W46" i="1"/>
  <c r="W45" i="1"/>
  <c r="T82" i="1"/>
  <c r="T81" i="1"/>
  <c r="T80" i="1"/>
  <c r="T79" i="1"/>
  <c r="T78" i="1"/>
  <c r="T77" i="1"/>
  <c r="T76" i="1"/>
  <c r="T75" i="1"/>
  <c r="T74" i="1"/>
  <c r="T73" i="1"/>
  <c r="T72" i="1"/>
  <c r="T71" i="1"/>
  <c r="T70" i="1"/>
  <c r="T69" i="1"/>
  <c r="T68" i="1"/>
  <c r="T67" i="1"/>
  <c r="T66" i="1"/>
  <c r="T65" i="1"/>
  <c r="T64" i="1"/>
  <c r="T63" i="1"/>
  <c r="T61" i="1"/>
  <c r="T60" i="1"/>
  <c r="T59" i="1"/>
  <c r="T58" i="1"/>
  <c r="T57" i="1"/>
  <c r="T56" i="1"/>
  <c r="T55" i="1"/>
  <c r="T54" i="1"/>
  <c r="T53" i="1"/>
  <c r="T52" i="1"/>
  <c r="T51" i="1"/>
  <c r="T50" i="1"/>
  <c r="T49" i="1"/>
  <c r="T48" i="1"/>
  <c r="T47" i="1"/>
  <c r="T46" i="1"/>
  <c r="T45" i="1"/>
  <c r="Q82" i="1"/>
  <c r="Q81" i="1"/>
  <c r="Q80" i="1"/>
  <c r="Q79" i="1"/>
  <c r="Q78" i="1"/>
  <c r="Q77" i="1"/>
  <c r="Q76" i="1"/>
  <c r="Q75" i="1"/>
  <c r="Q74" i="1"/>
  <c r="Q73" i="1"/>
  <c r="Q72" i="1"/>
  <c r="Q71" i="1"/>
  <c r="Q70" i="1"/>
  <c r="Q69" i="1"/>
  <c r="Q68" i="1"/>
  <c r="Q67" i="1"/>
  <c r="Q66" i="1"/>
  <c r="Q64" i="1"/>
  <c r="Q63" i="1"/>
  <c r="Q61" i="1"/>
  <c r="Q60" i="1"/>
  <c r="Q59" i="1"/>
  <c r="Q58" i="1"/>
  <c r="Q57" i="1"/>
  <c r="Q56" i="1"/>
  <c r="Q55" i="1"/>
  <c r="Q54" i="1"/>
  <c r="Q53" i="1"/>
  <c r="Q52" i="1"/>
  <c r="Q51" i="1"/>
  <c r="Q50" i="1"/>
  <c r="Q49" i="1"/>
  <c r="Q48" i="1"/>
  <c r="Q47" i="1"/>
  <c r="Q46" i="1"/>
  <c r="Q45" i="1"/>
  <c r="N82" i="1"/>
  <c r="N81" i="1"/>
  <c r="N80" i="1"/>
  <c r="N79" i="1"/>
  <c r="N78" i="1"/>
  <c r="N77" i="1"/>
  <c r="N76" i="1"/>
  <c r="N75" i="1"/>
  <c r="N74" i="1"/>
  <c r="N73" i="1"/>
  <c r="N72" i="1"/>
  <c r="N71" i="1"/>
  <c r="N70" i="1"/>
  <c r="N69" i="1"/>
  <c r="N68" i="1"/>
  <c r="N67" i="1"/>
  <c r="N66" i="1"/>
  <c r="N64" i="1"/>
  <c r="N63" i="1"/>
  <c r="N61" i="1"/>
  <c r="N60" i="1"/>
  <c r="N59" i="1"/>
  <c r="N58" i="1"/>
  <c r="N57" i="1"/>
  <c r="N56" i="1"/>
  <c r="N55" i="1"/>
  <c r="N54" i="1"/>
  <c r="N53" i="1"/>
  <c r="N52" i="1"/>
  <c r="N51" i="1"/>
  <c r="N50" i="1"/>
  <c r="N49" i="1"/>
  <c r="N48" i="1"/>
  <c r="N47" i="1"/>
  <c r="N46" i="1"/>
  <c r="N45" i="1"/>
  <c r="K82" i="1"/>
  <c r="K81" i="1"/>
  <c r="K80" i="1"/>
  <c r="K79" i="1"/>
  <c r="K78" i="1"/>
  <c r="K77" i="1"/>
  <c r="K76" i="1"/>
  <c r="K75" i="1"/>
  <c r="K74" i="1"/>
  <c r="K73" i="1"/>
  <c r="K72" i="1"/>
  <c r="K71" i="1"/>
  <c r="K70" i="1"/>
  <c r="K69" i="1"/>
  <c r="K68" i="1"/>
  <c r="K67" i="1"/>
  <c r="K66" i="1"/>
  <c r="K64" i="1"/>
  <c r="K63" i="1"/>
  <c r="K61" i="1"/>
  <c r="K60" i="1"/>
  <c r="K59" i="1"/>
  <c r="K58" i="1"/>
  <c r="K57" i="1"/>
  <c r="K56" i="1"/>
  <c r="K55" i="1"/>
  <c r="K54" i="1"/>
  <c r="K53" i="1"/>
  <c r="K52" i="1"/>
  <c r="K51" i="1"/>
  <c r="K50" i="1"/>
  <c r="K49" i="1"/>
  <c r="K48" i="1"/>
  <c r="K47" i="1"/>
  <c r="K46" i="1"/>
  <c r="K45" i="1"/>
  <c r="H82" i="1"/>
  <c r="H81" i="1"/>
  <c r="H80" i="1"/>
  <c r="H79" i="1"/>
  <c r="H78" i="1"/>
  <c r="H77" i="1"/>
  <c r="H76" i="1"/>
  <c r="H75" i="1"/>
  <c r="H74" i="1"/>
  <c r="H73" i="1"/>
  <c r="H72" i="1"/>
  <c r="H71" i="1"/>
  <c r="H70" i="1"/>
  <c r="H69" i="1"/>
  <c r="H68" i="1"/>
  <c r="H67" i="1"/>
  <c r="H66" i="1"/>
  <c r="H65" i="1"/>
  <c r="H64" i="1"/>
  <c r="H63" i="1"/>
  <c r="H61" i="1"/>
  <c r="H60" i="1"/>
  <c r="H59" i="1"/>
  <c r="H58" i="1"/>
  <c r="H57" i="1"/>
  <c r="H56" i="1"/>
  <c r="H55" i="1"/>
  <c r="H54" i="1"/>
  <c r="H53" i="1"/>
  <c r="H52" i="1"/>
  <c r="H51" i="1"/>
  <c r="H50" i="1"/>
  <c r="H49" i="1"/>
  <c r="H48" i="1"/>
  <c r="H47" i="1"/>
  <c r="H46" i="1"/>
  <c r="H45" i="1"/>
  <c r="E82" i="1"/>
  <c r="E81" i="1"/>
  <c r="E80" i="1"/>
  <c r="E79" i="1"/>
  <c r="E78" i="1"/>
  <c r="E77" i="1"/>
  <c r="E76" i="1"/>
  <c r="E75" i="1"/>
  <c r="E74" i="1"/>
  <c r="E73" i="1"/>
  <c r="E72" i="1"/>
  <c r="E71" i="1"/>
  <c r="E70" i="1"/>
  <c r="E69" i="1"/>
  <c r="E68" i="1"/>
  <c r="E67" i="1"/>
  <c r="E66" i="1"/>
  <c r="E64" i="1"/>
  <c r="E63" i="1"/>
  <c r="E61" i="1"/>
  <c r="E60" i="1"/>
  <c r="E59" i="1"/>
  <c r="E58" i="1"/>
  <c r="E57" i="1"/>
  <c r="E56" i="1"/>
  <c r="E55" i="1"/>
  <c r="E54" i="1"/>
  <c r="E53" i="1"/>
  <c r="E52" i="1"/>
  <c r="E51" i="1"/>
  <c r="E50" i="1"/>
  <c r="E49" i="1"/>
  <c r="E48" i="1"/>
  <c r="E47" i="1"/>
  <c r="E46" i="1"/>
  <c r="E45" i="1"/>
  <c r="AF62" i="1"/>
  <c r="T62" i="1"/>
  <c r="N62" i="1"/>
  <c r="H62" i="1"/>
  <c r="Z65" i="1" l="1"/>
  <c r="K65" i="1"/>
  <c r="AP65" i="1"/>
  <c r="AP62" i="1" s="1"/>
  <c r="E65" i="1"/>
  <c r="AO66" i="1"/>
  <c r="AO70" i="1"/>
  <c r="AO74" i="1"/>
  <c r="AO78" i="1"/>
  <c r="AO82" i="1"/>
  <c r="AQ65" i="1"/>
  <c r="AQ62" i="1" s="1"/>
  <c r="AO45" i="1"/>
  <c r="AO49" i="1"/>
  <c r="AO53" i="1"/>
  <c r="AO57" i="1"/>
  <c r="AO61" i="1"/>
  <c r="AO46" i="1"/>
  <c r="AO50" i="1"/>
  <c r="AO54" i="1"/>
  <c r="AO58" i="1"/>
  <c r="AO59" i="1"/>
  <c r="AO55" i="1"/>
  <c r="AO47" i="1"/>
  <c r="AO51" i="1"/>
  <c r="AO48" i="1"/>
  <c r="AO52" i="1"/>
  <c r="AO56" i="1"/>
  <c r="AO60" i="1"/>
  <c r="AL62" i="1"/>
  <c r="AO64" i="1"/>
  <c r="Z62" i="1"/>
  <c r="AO67" i="1"/>
  <c r="AO75" i="1"/>
  <c r="AO79" i="1"/>
  <c r="AO68" i="1"/>
  <c r="AO72" i="1"/>
  <c r="AO76" i="1"/>
  <c r="AO80" i="1"/>
  <c r="AO69" i="1"/>
  <c r="AO73" i="1"/>
  <c r="AO77" i="1"/>
  <c r="AO81" i="1"/>
  <c r="AO71" i="1"/>
  <c r="H3" i="1"/>
  <c r="Q62" i="1"/>
  <c r="AC62" i="1"/>
  <c r="K62" i="1"/>
  <c r="W3" i="1"/>
  <c r="AI62" i="1"/>
  <c r="AO63" i="1"/>
  <c r="W62" i="1"/>
  <c r="AC3" i="1"/>
  <c r="Q3" i="1"/>
  <c r="E62" i="1"/>
  <c r="AL3" i="1"/>
  <c r="AF3" i="1"/>
  <c r="T3" i="1"/>
  <c r="N3" i="1"/>
  <c r="N43" i="1"/>
  <c r="AP5"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O65" i="1" l="1"/>
  <c r="AO62" i="1"/>
  <c r="AQ4" i="1"/>
  <c r="AP4" i="1"/>
  <c r="K3" i="1"/>
  <c r="AI3" i="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<sst xmlns="http://schemas.openxmlformats.org/spreadsheetml/2006/main" count="149" uniqueCount="94">
  <si>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</si>
  <si>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</si>
  <si>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</si>
  <si>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</si>
  <si>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</si>
  <si>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</si>
  <si>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</si>
  <si>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</si>
  <si>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</si>
  <si>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</si>
  <si>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</si>
  <si>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</si>
  <si>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</si>
  <si>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</si>
  <si>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</si>
  <si>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</si>
  <si>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</si>
  <si>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</si>
  <si>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</si>
  <si>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</si>
  <si>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</si>
  <si>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</si>
  <si>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</si>
  <si>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</si>
  <si>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</si>
  <si>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</si>
  <si>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Pakistan</t>
  </si>
  <si>
    <t>United Arab Emirates</t>
  </si>
  <si>
    <t>Barbados</t>
  </si>
  <si>
    <t>Bahamas, The</t>
  </si>
  <si>
    <t>Belize</t>
  </si>
  <si>
    <t>China</t>
  </si>
  <si>
    <t>Ecuador</t>
  </si>
  <si>
    <t>El Salvador</t>
  </si>
  <si>
    <t>Guatemala</t>
  </si>
  <si>
    <t>Honduras</t>
  </si>
  <si>
    <t>Italy(*)</t>
  </si>
  <si>
    <t>Japan</t>
  </si>
  <si>
    <t>Netherlands</t>
  </si>
  <si>
    <t>Nicaragua</t>
  </si>
  <si>
    <t>Panama</t>
  </si>
  <si>
    <t>Spain</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</si>
  <si>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</si>
  <si>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</si>
  <si>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</si>
  <si>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</si>
  <si>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</si>
  <si>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</si>
  <si>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</si>
  <si>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</si>
  <si>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</si>
  <si>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</si>
  <si>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</si>
  <si>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</si>
  <si>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</si>
  <si>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</si>
  <si>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</si>
  <si>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Singapore</t>
  </si>
  <si>
    <t>Saudi Arabia</t>
  </si>
  <si>
    <t>Kuwait</t>
  </si>
  <si>
    <t>Chile</t>
  </si>
  <si>
    <t>Lebanon</t>
  </si>
  <si>
    <t>Qatar</t>
  </si>
  <si>
    <t>Oman</t>
  </si>
  <si>
    <t>India</t>
  </si>
  <si>
    <t>Cayman Islands</t>
  </si>
  <si>
    <t>Bermuda</t>
  </si>
  <si>
    <t>Bangladesh</t>
  </si>
  <si>
    <t>Brunei</t>
  </si>
  <si>
    <t>Denmark</t>
  </si>
  <si>
    <t>Equatorial Guinea</t>
  </si>
  <si>
    <t>Hungary</t>
  </si>
  <si>
    <t>Iceland</t>
  </si>
  <si>
    <t>Indonesia</t>
  </si>
  <si>
    <t>Peru</t>
  </si>
  <si>
    <t>Marshall Islands</t>
  </si>
  <si>
    <t>Philippines</t>
  </si>
  <si>
    <t>Russia</t>
  </si>
  <si>
    <t>United Kingdom</t>
  </si>
  <si>
    <t>French Pacific Islands(*)</t>
  </si>
  <si>
    <t>World Total_FLY-RFND</t>
    <phoneticPr fontId="18" type="noConversion"/>
  </si>
  <si>
    <t>1. Data Source: U.S. Census Bureau Trade Data</t>
  </si>
  <si>
    <t>4. Product Group : Harmonized</t>
  </si>
  <si>
    <t>Product</t>
    <phoneticPr fontId="18" type="noConversion"/>
  </si>
  <si>
    <t>SOY OIL FLY-RFND</t>
    <phoneticPr fontId="18" type="noConversion"/>
  </si>
  <si>
    <t>SOY OIL ONC-RFND</t>
    <phoneticPr fontId="18" type="noConversion"/>
  </si>
  <si>
    <t>Soybean Oil, Refined</t>
    <phoneticPr fontId="18" type="noConversion"/>
  </si>
  <si>
    <t>Haiti</t>
  </si>
  <si>
    <t>Israel(*)</t>
  </si>
  <si>
    <t>Suriname</t>
  </si>
  <si>
    <t>Argentina</t>
  </si>
  <si>
    <t>Niger</t>
  </si>
  <si>
    <t>Portugal</t>
  </si>
  <si>
    <t>Timor-Leste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</si>
</sst>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4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0" fontId="0" fillId="0" borderId="20" xfId="0" applyBorder="1">
      <alignment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18" xfId="0" applyBorder="1">
      <alignment vertical="center"/>
    </xf>
    <xf numFmtId="0" fontId="0" fillId="0" borderId="21" xfId="0" applyBorder="1">
      <alignment vertical="center"/>
    </xf>
    <xf numFmtId="49" fontId="0" fillId="0" borderId="17" xfId="0" applyNumberFormat="1" applyBorder="1">
      <alignment vertical="center"/>
    </xf>
    <xf numFmtId="0" fontId="0" fillId="0" borderId="19" xfId="0"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7" xfId="0" applyNumberFormat="1" applyBorder="1" applyAlignment="1">
      <alignment horizontal="center" vertical="center"/>
    </xf>
    <xf numFmtId="49" fontId="0" fillId="0" borderId="18" xfId="0" applyNumberFormat="1" applyBorder="1" applyAlignment="1">
      <alignment horizontal="center" vertical="center"/>
    </xf>
    <xf numFmtId="49" fontId="0" fillId="0" borderId="21"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176" fontId="0" fillId="0" borderId="19"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0"/>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8" t="s">
        <v>0</v>
      </c>
      <c r="F1" s="29"/>
      <c r="G1" s="30"/>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48</v>
      </c>
      <c r="B2" s="2" t="s">
        <v>83</v>
      </c>
      <c r="C2" s="2" t="s">
        <v>13</v>
      </c>
      <c r="D2" s="2" t="s">
        <v>49</v>
      </c>
      <c r="E2" s="4" t="s">
        <v>14</v>
      </c>
      <c r="F2" s="2" t="s">
        <v>49</v>
      </c>
      <c r="G2" s="5" t="s">
        <v>15</v>
      </c>
      <c r="H2" s="2" t="s">
        <v>14</v>
      </c>
      <c r="I2" s="2" t="s">
        <v>49</v>
      </c>
      <c r="J2" s="5" t="s">
        <v>15</v>
      </c>
      <c r="K2" s="2" t="s">
        <v>14</v>
      </c>
      <c r="L2" s="2" t="s">
        <v>49</v>
      </c>
      <c r="M2" s="5" t="s">
        <v>15</v>
      </c>
      <c r="N2" s="2" t="s">
        <v>14</v>
      </c>
      <c r="O2" s="2" t="s">
        <v>49</v>
      </c>
      <c r="P2" s="5" t="s">
        <v>15</v>
      </c>
      <c r="Q2" s="2" t="s">
        <v>14</v>
      </c>
      <c r="R2" s="2" t="s">
        <v>49</v>
      </c>
      <c r="S2" s="5" t="s">
        <v>15</v>
      </c>
      <c r="T2" s="2" t="s">
        <v>14</v>
      </c>
      <c r="U2" s="2" t="s">
        <v>49</v>
      </c>
      <c r="V2" s="5" t="s">
        <v>15</v>
      </c>
      <c r="W2" s="2" t="s">
        <v>14</v>
      </c>
      <c r="X2" s="2" t="s">
        <v>49</v>
      </c>
      <c r="Y2" s="5" t="s">
        <v>15</v>
      </c>
      <c r="Z2" s="2" t="s">
        <v>14</v>
      </c>
      <c r="AA2" s="2" t="s">
        <v>49</v>
      </c>
      <c r="AB2" s="5" t="s">
        <v>15</v>
      </c>
      <c r="AC2" s="2" t="s">
        <v>14</v>
      </c>
      <c r="AD2" s="2" t="s">
        <v>49</v>
      </c>
      <c r="AE2" s="5" t="s">
        <v>15</v>
      </c>
      <c r="AF2" s="2" t="s">
        <v>14</v>
      </c>
      <c r="AG2" s="2" t="s">
        <v>49</v>
      </c>
      <c r="AH2" s="5" t="s">
        <v>15</v>
      </c>
      <c r="AI2" s="2" t="s">
        <v>14</v>
      </c>
      <c r="AJ2" s="2" t="s">
        <v>49</v>
      </c>
      <c r="AK2" s="5" t="s">
        <v>15</v>
      </c>
      <c r="AL2" s="2" t="s">
        <v>14</v>
      </c>
      <c r="AM2" s="2" t="s">
        <v>49</v>
      </c>
      <c r="AN2" s="5" t="s">
        <v>15</v>
      </c>
      <c r="AO2" s="2" t="s">
        <v>14</v>
      </c>
      <c r="AP2" s="2" t="s">
        <v>51</v>
      </c>
      <c r="AQ2" s="5" t="s">
        <v>15</v>
      </c>
    </row>
    <row r="3" spans="1:67" ht="15" customHeight="1" x14ac:dyDescent="0.3">
      <c r="A3" s="11" t="s">
        <v>16</v>
      </c>
      <c r="B3" s="1" t="s">
        <v>86</v>
      </c>
      <c r="C3" s="37" t="s">
        <v>17</v>
      </c>
      <c r="D3" s="37" t="s">
        <v>50</v>
      </c>
      <c r="E3" s="40">
        <f>F3/G3</f>
        <v>999.39522724617359</v>
      </c>
      <c r="F3" s="7">
        <f>SUM(F4,F65)</f>
        <v>13686118</v>
      </c>
      <c r="G3" s="8">
        <f t="shared" ref="G3" si="0">SUM(G4,G65)</f>
        <v>13694.4</v>
      </c>
      <c r="H3" s="7">
        <f>I3/J3</f>
        <v>1032.5460967035888</v>
      </c>
      <c r="I3" s="7">
        <f t="shared" ref="I3:J3" si="1">SUM(I4,I65)</f>
        <v>12454158</v>
      </c>
      <c r="J3" s="8">
        <f t="shared" si="1"/>
        <v>12061.599999999995</v>
      </c>
      <c r="K3" s="7">
        <f>L3/M3</f>
        <v>959.4988251837342</v>
      </c>
      <c r="L3" s="7">
        <f t="shared" ref="L3:M3" si="2">SUM(L4,L65)</f>
        <v>15966924</v>
      </c>
      <c r="M3" s="8">
        <f t="shared" si="2"/>
        <v>16640.899999999998</v>
      </c>
      <c r="N3" s="7">
        <f>O3/P3</f>
        <v>998.20634220620866</v>
      </c>
      <c r="O3" s="7">
        <f t="shared" ref="O3:P3" si="3">SUM(O4,O65)</f>
        <v>11996344</v>
      </c>
      <c r="P3" s="8">
        <f t="shared" si="3"/>
        <v>12017.900000000005</v>
      </c>
      <c r="Q3" s="7">
        <f>R3/S3</f>
        <v>997.49415153492384</v>
      </c>
      <c r="R3" s="7">
        <f t="shared" ref="R3:S3" si="4">SUM(R4,R65)</f>
        <v>12535908</v>
      </c>
      <c r="S3" s="8">
        <f t="shared" si="4"/>
        <v>12567.399999999998</v>
      </c>
      <c r="T3" s="7">
        <f>U3/V3</f>
        <v>1045.9370287777422</v>
      </c>
      <c r="U3" s="7">
        <f t="shared" ref="U3:V3" si="5">SUM(U4,U65)</f>
        <v>9849589</v>
      </c>
      <c r="V3" s="8">
        <f t="shared" si="5"/>
        <v>9417.0000000000018</v>
      </c>
      <c r="W3" s="7">
        <f>X3/Y3</f>
        <v>1045.7892658305886</v>
      </c>
      <c r="X3" s="7">
        <f t="shared" ref="X3:Y3" si="6">SUM(X4,X65)</f>
        <v>10857175</v>
      </c>
      <c r="Y3" s="8">
        <f t="shared" si="6"/>
        <v>10381.799999999996</v>
      </c>
      <c r="Z3" s="7">
        <f>AA3/AB3</f>
        <v>1032.5552604664972</v>
      </c>
      <c r="AA3" s="7">
        <f t="shared" ref="AA3:AB3" si="7">SUM(AA4,AA65)</f>
        <v>12519113</v>
      </c>
      <c r="AB3" s="8">
        <f t="shared" si="7"/>
        <v>12124.400000000001</v>
      </c>
      <c r="AC3" s="7">
        <f>AD3/AE3</f>
        <v>1160.6079794879765</v>
      </c>
      <c r="AD3" s="7">
        <f t="shared" ref="AD3:AE3" si="8">SUM(AD4,AD65)</f>
        <v>8962563</v>
      </c>
      <c r="AE3" s="8">
        <f t="shared" si="8"/>
        <v>7722.2999999999993</v>
      </c>
      <c r="AF3" s="7">
        <f>AG3/AH3</f>
        <v>966.02731874288577</v>
      </c>
      <c r="AG3" s="7">
        <f t="shared" ref="AG3" si="9">SUM(AG4,AG65)</f>
        <v>11966277</v>
      </c>
      <c r="AH3" s="8">
        <f t="shared" ref="AH3" si="10">SUM(AH4,AH65)</f>
        <v>12387.1</v>
      </c>
      <c r="AI3" s="7">
        <f>AJ3/AK3</f>
        <v>939.82958585019833</v>
      </c>
      <c r="AJ3" s="7">
        <f t="shared" ref="AJ3" si="11">SUM(AJ4,AJ65)</f>
        <v>17317018</v>
      </c>
      <c r="AK3" s="8">
        <f t="shared" ref="AK3" si="12">SUM(AK4,AK65)</f>
        <v>18425.7</v>
      </c>
      <c r="AL3" s="7">
        <f>AM3/AN3</f>
        <v>918.01528656077301</v>
      </c>
      <c r="AM3" s="7">
        <f t="shared" ref="AM3" si="13">SUM(AM4,AM65)</f>
        <v>18436501</v>
      </c>
      <c r="AN3" s="8">
        <f t="shared" ref="AN3" si="14">SUM(AN4,AN65)</f>
        <v>20082.999999999996</v>
      </c>
      <c r="AO3" s="7">
        <f>AP3/AQ3</f>
        <v>992.68440751979597</v>
      </c>
      <c r="AP3" s="7">
        <f t="shared" ref="AP3" si="15">SUM(AP4,AP65)</f>
        <v>158627891</v>
      </c>
      <c r="AQ3" s="8">
        <f t="shared" ref="AQ3" si="16">SUM(AQ4,AQ65)</f>
        <v>159796.89999999991</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23" t="s">
        <v>80</v>
      </c>
      <c r="B4" s="31" t="s">
        <v>84</v>
      </c>
      <c r="C4" s="38"/>
      <c r="D4" s="38"/>
      <c r="E4" s="3">
        <f t="shared" ref="E4:E11" si="17">F4/G4</f>
        <v>998.26677806448743</v>
      </c>
      <c r="F4" s="3">
        <f>SUM(F5:F64)</f>
        <v>13501658</v>
      </c>
      <c r="G4" s="6">
        <f>SUM(G5:G64)</f>
        <v>13525.1</v>
      </c>
      <c r="H4" s="3">
        <f t="shared" ref="H4:H11" si="18">I4/J4</f>
        <v>1032.6812543274971</v>
      </c>
      <c r="I4" s="3">
        <f>SUM(I5:I64)</f>
        <v>12379060</v>
      </c>
      <c r="J4" s="6">
        <f>SUM(J5:J64)</f>
        <v>11987.299999999996</v>
      </c>
      <c r="K4" s="3">
        <f t="shared" ref="K4:K11" si="19">L4/M4</f>
        <v>960.17339010047317</v>
      </c>
      <c r="L4" s="3">
        <f>SUM(L5:L64)</f>
        <v>15854287</v>
      </c>
      <c r="M4" s="6">
        <f>SUM(M5:M64)</f>
        <v>16511.899999999998</v>
      </c>
      <c r="N4" s="3">
        <f t="shared" ref="N4:N11" si="20">O4/P4</f>
        <v>1002.2107076776829</v>
      </c>
      <c r="O4" s="3">
        <f>SUM(O5:O64)</f>
        <v>11808247</v>
      </c>
      <c r="P4" s="6">
        <f>SUM(P5:P64)</f>
        <v>11782.200000000004</v>
      </c>
      <c r="Q4" s="3">
        <f t="shared" ref="Q4:Q11" si="21">R4/S4</f>
        <v>996.66979024003479</v>
      </c>
      <c r="R4" s="3">
        <f>SUM(R5:R64)</f>
        <v>12444120</v>
      </c>
      <c r="S4" s="6">
        <f>SUM(S5:S64)</f>
        <v>12485.699999999997</v>
      </c>
      <c r="T4" s="3">
        <f t="shared" ref="T4:T11" si="22">U4/V4</f>
        <v>1046.9854679908849</v>
      </c>
      <c r="U4" s="3">
        <f>SUM(U5:U64)</f>
        <v>9740734</v>
      </c>
      <c r="V4" s="6">
        <f>SUM(V5:V64)</f>
        <v>9303.6000000000022</v>
      </c>
      <c r="W4" s="3">
        <f t="shared" ref="W4:W11" si="23">X4/Y4</f>
        <v>1046.0433864279353</v>
      </c>
      <c r="X4" s="3">
        <f>SUM(X5:X64)</f>
        <v>10796423</v>
      </c>
      <c r="Y4" s="6">
        <f>SUM(Y5:Y64)</f>
        <v>10321.199999999995</v>
      </c>
      <c r="Z4" s="3">
        <f t="shared" ref="Z4:Z11" si="24">AA4/AB4</f>
        <v>1033.7741155201418</v>
      </c>
      <c r="AA4" s="3">
        <f>SUM(AA5:AA64)</f>
        <v>12351223</v>
      </c>
      <c r="AB4" s="6">
        <f>SUM(AB5:AB64)</f>
        <v>11947.7</v>
      </c>
      <c r="AC4" s="3">
        <f t="shared" ref="AC4:AC11" si="25">AD4/AE4</f>
        <v>1161.263850824165</v>
      </c>
      <c r="AD4" s="3">
        <f>SUM(AD5:AD64)</f>
        <v>8855682</v>
      </c>
      <c r="AE4" s="6">
        <f>SUM(AE5:AE64)</f>
        <v>7625.9</v>
      </c>
      <c r="AF4" s="3">
        <f t="shared" ref="AF4:AF11" si="26">AG4/AH4</f>
        <v>966.62706813444504</v>
      </c>
      <c r="AG4" s="3">
        <f>SUM(AG5:AG64)</f>
        <v>11871727</v>
      </c>
      <c r="AH4" s="6">
        <f>SUM(AH5:AH64)</f>
        <v>12281.6</v>
      </c>
      <c r="AI4" s="3">
        <f t="shared" ref="AI4:AI11" si="27">AJ4/AK4</f>
        <v>939.18822846376293</v>
      </c>
      <c r="AJ4" s="3">
        <f>SUM(AJ5:AJ64)</f>
        <v>17147323</v>
      </c>
      <c r="AK4" s="6">
        <f>SUM(AK5:AK64)</f>
        <v>18257.600000000002</v>
      </c>
      <c r="AL4" s="3">
        <f t="shared" ref="AL4:AL11" si="28">AM4/AN4</f>
        <v>917.71589118685313</v>
      </c>
      <c r="AM4" s="3">
        <f>SUM(AM5:AM64)</f>
        <v>18406077</v>
      </c>
      <c r="AN4" s="6">
        <f>SUM(AN5:AN64)</f>
        <v>20056.399999999998</v>
      </c>
      <c r="AO4" s="3">
        <f t="shared" ref="AO4:AO61" si="29">AP4/AQ4</f>
        <v>992.90958047380821</v>
      </c>
      <c r="AP4" s="3">
        <f>SUM(AP5:AP64)</f>
        <v>157236764</v>
      </c>
      <c r="AQ4" s="6">
        <f>SUM(AQ5:AQ64)</f>
        <v>158359.59999999992</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11" t="s">
        <v>25</v>
      </c>
      <c r="B5" s="32"/>
      <c r="C5" s="38"/>
      <c r="D5" s="38"/>
      <c r="E5" s="3">
        <f t="shared" si="17"/>
        <v>920.00414385453814</v>
      </c>
      <c r="F5" s="3">
        <v>7326545</v>
      </c>
      <c r="G5" s="6">
        <v>7963.6</v>
      </c>
      <c r="H5" s="3">
        <f t="shared" si="18"/>
        <v>922.9342271625751</v>
      </c>
      <c r="I5" s="3">
        <v>7007655</v>
      </c>
      <c r="J5" s="6">
        <v>7592.8</v>
      </c>
      <c r="K5" s="3">
        <f t="shared" si="19"/>
        <v>852.99871581190746</v>
      </c>
      <c r="L5" s="3">
        <v>6243780</v>
      </c>
      <c r="M5" s="6">
        <v>7319.8</v>
      </c>
      <c r="N5" s="3">
        <f t="shared" si="20"/>
        <v>884.55944670417671</v>
      </c>
      <c r="O5" s="3">
        <v>6241363</v>
      </c>
      <c r="P5" s="6">
        <v>7055.9</v>
      </c>
      <c r="Q5" s="3">
        <f t="shared" si="21"/>
        <v>864.2428712645426</v>
      </c>
      <c r="R5" s="3">
        <v>5682829</v>
      </c>
      <c r="S5" s="6">
        <v>6575.5</v>
      </c>
      <c r="T5" s="3">
        <f t="shared" si="22"/>
        <v>935.81213500940316</v>
      </c>
      <c r="U5" s="3">
        <v>3781804</v>
      </c>
      <c r="V5" s="6">
        <v>4041.2</v>
      </c>
      <c r="W5" s="3">
        <f t="shared" si="23"/>
        <v>964.53160340142017</v>
      </c>
      <c r="X5" s="3">
        <v>5501206</v>
      </c>
      <c r="Y5" s="6">
        <v>5703.5</v>
      </c>
      <c r="Z5" s="3">
        <f t="shared" si="24"/>
        <v>905.47513301965614</v>
      </c>
      <c r="AA5" s="3">
        <v>6177423</v>
      </c>
      <c r="AB5" s="6">
        <v>6822.3</v>
      </c>
      <c r="AC5" s="3">
        <f t="shared" si="25"/>
        <v>1163.0598972767245</v>
      </c>
      <c r="AD5" s="3">
        <v>3147589</v>
      </c>
      <c r="AE5" s="6">
        <v>2706.3</v>
      </c>
      <c r="AF5" s="3">
        <f t="shared" si="26"/>
        <v>865.57643066481569</v>
      </c>
      <c r="AG5" s="3">
        <v>5611532</v>
      </c>
      <c r="AH5" s="6">
        <v>6483</v>
      </c>
      <c r="AI5" s="3">
        <f t="shared" si="27"/>
        <v>868.21811476884329</v>
      </c>
      <c r="AJ5" s="3">
        <v>9652849</v>
      </c>
      <c r="AK5" s="6">
        <v>11118</v>
      </c>
      <c r="AL5" s="3">
        <f t="shared" si="28"/>
        <v>861.44876854299423</v>
      </c>
      <c r="AM5" s="3">
        <v>11503873</v>
      </c>
      <c r="AN5" s="6">
        <v>13354.1</v>
      </c>
      <c r="AO5" s="3">
        <f t="shared" si="29"/>
        <v>897.87917358420952</v>
      </c>
      <c r="AP5" s="3">
        <f t="shared" ref="AP5" si="30">SUM(F5,I5,L5,O5,R5,U5,X5,AA5,AD5,AG5,AJ5,AM5)</f>
        <v>77878448</v>
      </c>
      <c r="AQ5" s="6">
        <f t="shared" ref="AQ5" si="31">SUM(G5,J5,M5,P5,S5,V5,Y5,AB5,AE5,AH5,AK5,AN5)</f>
        <v>86736</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11" t="s">
        <v>21</v>
      </c>
      <c r="B6" s="32"/>
      <c r="C6" s="38"/>
      <c r="D6" s="38"/>
      <c r="E6" s="3">
        <f t="shared" si="17"/>
        <v>1780.487804878049</v>
      </c>
      <c r="F6" s="3">
        <v>7300</v>
      </c>
      <c r="G6" s="6">
        <v>4.0999999999999996</v>
      </c>
      <c r="H6" s="3" t="e">
        <f t="shared" si="18"/>
        <v>#DIV/0!</v>
      </c>
      <c r="I6" s="3">
        <v>0</v>
      </c>
      <c r="J6" s="6">
        <v>0</v>
      </c>
      <c r="K6" s="3">
        <f t="shared" si="19"/>
        <v>810.7667680910173</v>
      </c>
      <c r="L6" s="3">
        <v>3064293</v>
      </c>
      <c r="M6" s="6">
        <v>3779.5</v>
      </c>
      <c r="N6" s="3">
        <f t="shared" si="20"/>
        <v>1104.0148148148148</v>
      </c>
      <c r="O6" s="3">
        <v>74521</v>
      </c>
      <c r="P6" s="6">
        <v>67.5</v>
      </c>
      <c r="Q6" s="3">
        <f t="shared" si="21"/>
        <v>1458.5365853658539</v>
      </c>
      <c r="R6" s="3">
        <v>5980</v>
      </c>
      <c r="S6" s="6">
        <v>4.0999999999999996</v>
      </c>
      <c r="T6" s="3">
        <f t="shared" si="22"/>
        <v>1768.181818181818</v>
      </c>
      <c r="U6" s="3">
        <v>62240</v>
      </c>
      <c r="V6" s="6">
        <v>35.200000000000003</v>
      </c>
      <c r="W6" s="3">
        <f t="shared" si="23"/>
        <v>1575.8431372549019</v>
      </c>
      <c r="X6" s="3">
        <v>40184</v>
      </c>
      <c r="Y6" s="6">
        <v>25.5</v>
      </c>
      <c r="Z6" s="3">
        <f t="shared" si="24"/>
        <v>1826.9676549865228</v>
      </c>
      <c r="AA6" s="3">
        <v>135561</v>
      </c>
      <c r="AB6" s="6">
        <v>74.2</v>
      </c>
      <c r="AC6" s="3">
        <f t="shared" si="25"/>
        <v>4232.5</v>
      </c>
      <c r="AD6" s="3">
        <v>6772</v>
      </c>
      <c r="AE6" s="6">
        <v>1.6</v>
      </c>
      <c r="AF6" s="3">
        <f t="shared" si="26"/>
        <v>813.57271454290867</v>
      </c>
      <c r="AG6" s="3">
        <v>813410</v>
      </c>
      <c r="AH6" s="6">
        <v>999.8</v>
      </c>
      <c r="AI6" s="3">
        <f t="shared" si="27"/>
        <v>3022.1694915254238</v>
      </c>
      <c r="AJ6" s="3">
        <v>89154</v>
      </c>
      <c r="AK6" s="6">
        <v>29.5</v>
      </c>
      <c r="AL6" s="3">
        <f t="shared" si="28"/>
        <v>839.3027907884466</v>
      </c>
      <c r="AM6" s="3">
        <v>1720235</v>
      </c>
      <c r="AN6" s="6">
        <v>2049.6</v>
      </c>
      <c r="AO6" s="3">
        <f t="shared" si="29"/>
        <v>851.36339207422304</v>
      </c>
      <c r="AP6" s="3">
        <f t="shared" ref="AP6:AP61" si="32">SUM(F6,I6,L6,O6,R6,U6,X6,AA6,AD6,AG6,AJ6,AM6)</f>
        <v>6019650</v>
      </c>
      <c r="AQ6" s="6">
        <f t="shared" ref="AQ6:AQ61" si="33">SUM(G6,J6,M6,P6,S6,V6,Y6,AB6,AE6,AH6,AK6,AN6)</f>
        <v>7070.5999999999985</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11" t="s">
        <v>35</v>
      </c>
      <c r="B7" s="32"/>
      <c r="C7" s="38"/>
      <c r="D7" s="38"/>
      <c r="E7" s="3">
        <f t="shared" si="17"/>
        <v>858.97319118103712</v>
      </c>
      <c r="F7" s="3">
        <v>829854</v>
      </c>
      <c r="G7" s="6">
        <v>966.1</v>
      </c>
      <c r="H7" s="3">
        <f t="shared" si="18"/>
        <v>1164.1818181818182</v>
      </c>
      <c r="I7" s="3">
        <v>57627</v>
      </c>
      <c r="J7" s="6">
        <v>49.5</v>
      </c>
      <c r="K7" s="3">
        <f t="shared" si="19"/>
        <v>1022.6604679064188</v>
      </c>
      <c r="L7" s="3">
        <v>340955</v>
      </c>
      <c r="M7" s="6">
        <v>333.4</v>
      </c>
      <c r="N7" s="3">
        <f t="shared" si="20"/>
        <v>908.99162178336326</v>
      </c>
      <c r="O7" s="3">
        <v>303785</v>
      </c>
      <c r="P7" s="6">
        <v>334.2</v>
      </c>
      <c r="Q7" s="3">
        <f t="shared" si="21"/>
        <v>1078.6252545824848</v>
      </c>
      <c r="R7" s="3">
        <v>105921</v>
      </c>
      <c r="S7" s="6">
        <v>98.2</v>
      </c>
      <c r="T7" s="3">
        <f t="shared" si="22"/>
        <v>1141.5425531914893</v>
      </c>
      <c r="U7" s="3">
        <v>21461</v>
      </c>
      <c r="V7" s="6">
        <v>18.8</v>
      </c>
      <c r="W7" s="3">
        <f t="shared" si="23"/>
        <v>1068.2295719844358</v>
      </c>
      <c r="X7" s="3">
        <v>54907</v>
      </c>
      <c r="Y7" s="6">
        <v>51.4</v>
      </c>
      <c r="Z7" s="3">
        <f t="shared" si="24"/>
        <v>1109.4685990338164</v>
      </c>
      <c r="AA7" s="3">
        <v>68898</v>
      </c>
      <c r="AB7" s="6">
        <v>62.1</v>
      </c>
      <c r="AC7" s="3">
        <f t="shared" si="25"/>
        <v>1074.4268774703557</v>
      </c>
      <c r="AD7" s="3">
        <v>54366</v>
      </c>
      <c r="AE7" s="6">
        <v>50.6</v>
      </c>
      <c r="AF7" s="3">
        <f t="shared" si="26"/>
        <v>1058.8336933045357</v>
      </c>
      <c r="AG7" s="3">
        <v>49024</v>
      </c>
      <c r="AH7" s="6">
        <v>46.3</v>
      </c>
      <c r="AI7" s="3">
        <f t="shared" si="27"/>
        <v>1182.2507122507122</v>
      </c>
      <c r="AJ7" s="3">
        <v>82994</v>
      </c>
      <c r="AK7" s="6">
        <v>70.2</v>
      </c>
      <c r="AL7" s="3">
        <f t="shared" si="28"/>
        <v>835.05163349605709</v>
      </c>
      <c r="AM7" s="3">
        <v>889497</v>
      </c>
      <c r="AN7" s="6">
        <v>1065.2</v>
      </c>
      <c r="AO7" s="3">
        <f t="shared" si="29"/>
        <v>908.86490781945326</v>
      </c>
      <c r="AP7" s="3">
        <f t="shared" si="32"/>
        <v>2859289</v>
      </c>
      <c r="AQ7" s="6">
        <f t="shared" si="33"/>
        <v>3146</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11" t="s">
        <v>20</v>
      </c>
      <c r="B8" s="32"/>
      <c r="C8" s="38"/>
      <c r="D8" s="38"/>
      <c r="E8" s="3">
        <f t="shared" si="17"/>
        <v>1088.1237993596585</v>
      </c>
      <c r="F8" s="3">
        <v>2039144</v>
      </c>
      <c r="G8" s="6">
        <v>1874</v>
      </c>
      <c r="H8" s="3">
        <f t="shared" si="18"/>
        <v>1212.3777572758534</v>
      </c>
      <c r="I8" s="3">
        <v>1445518</v>
      </c>
      <c r="J8" s="6">
        <v>1192.3</v>
      </c>
      <c r="K8" s="3">
        <f t="shared" si="19"/>
        <v>1234.7069317023447</v>
      </c>
      <c r="L8" s="3">
        <v>1937996</v>
      </c>
      <c r="M8" s="6">
        <v>1569.6</v>
      </c>
      <c r="N8" s="3">
        <f t="shared" si="20"/>
        <v>1066.3642418411901</v>
      </c>
      <c r="O8" s="3">
        <v>1440978</v>
      </c>
      <c r="P8" s="6">
        <v>1351.3</v>
      </c>
      <c r="Q8" s="3">
        <f t="shared" si="21"/>
        <v>1159.2358875295126</v>
      </c>
      <c r="R8" s="3">
        <v>1620264</v>
      </c>
      <c r="S8" s="6">
        <v>1397.7</v>
      </c>
      <c r="T8" s="3">
        <f t="shared" si="22"/>
        <v>1041.709581698095</v>
      </c>
      <c r="U8" s="3">
        <v>2176548</v>
      </c>
      <c r="V8" s="6">
        <v>2089.4</v>
      </c>
      <c r="W8" s="3">
        <f t="shared" si="23"/>
        <v>1076.6718615649183</v>
      </c>
      <c r="X8" s="3">
        <v>2003471</v>
      </c>
      <c r="Y8" s="6">
        <v>1860.8</v>
      </c>
      <c r="Z8" s="3">
        <f t="shared" si="24"/>
        <v>1228.5678119349006</v>
      </c>
      <c r="AA8" s="3">
        <v>2038194</v>
      </c>
      <c r="AB8" s="6">
        <v>1659</v>
      </c>
      <c r="AC8" s="3">
        <f t="shared" si="25"/>
        <v>1135.4459490127845</v>
      </c>
      <c r="AD8" s="3">
        <v>3001892</v>
      </c>
      <c r="AE8" s="6">
        <v>2643.8</v>
      </c>
      <c r="AF8" s="3">
        <f t="shared" si="26"/>
        <v>1026.5675603928855</v>
      </c>
      <c r="AG8" s="3">
        <v>1546832</v>
      </c>
      <c r="AH8" s="6">
        <v>1506.8</v>
      </c>
      <c r="AI8" s="3">
        <f t="shared" si="27"/>
        <v>1129.3393963621827</v>
      </c>
      <c r="AJ8" s="3">
        <v>1130017</v>
      </c>
      <c r="AK8" s="6">
        <v>1000.6</v>
      </c>
      <c r="AL8" s="3">
        <f t="shared" si="28"/>
        <v>1136.5363436123348</v>
      </c>
      <c r="AM8" s="3">
        <v>825580</v>
      </c>
      <c r="AN8" s="6">
        <v>726.4</v>
      </c>
      <c r="AO8" s="3">
        <f t="shared" si="29"/>
        <v>1123.7161463991058</v>
      </c>
      <c r="AP8" s="3">
        <f t="shared" si="32"/>
        <v>21206434</v>
      </c>
      <c r="AQ8" s="6">
        <f t="shared" si="33"/>
        <v>18871.699999999997</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11" t="s">
        <v>42</v>
      </c>
      <c r="B9" s="32"/>
      <c r="C9" s="38"/>
      <c r="D9" s="38"/>
      <c r="E9" s="3">
        <f t="shared" si="17"/>
        <v>1023.6495293265749</v>
      </c>
      <c r="F9" s="3">
        <v>424098</v>
      </c>
      <c r="G9" s="6">
        <v>414.3</v>
      </c>
      <c r="H9" s="3">
        <f t="shared" si="18"/>
        <v>1050.1284480943357</v>
      </c>
      <c r="I9" s="3">
        <v>498706</v>
      </c>
      <c r="J9" s="6">
        <v>474.9</v>
      </c>
      <c r="K9" s="3">
        <f t="shared" si="19"/>
        <v>1099.6825640239226</v>
      </c>
      <c r="L9" s="3">
        <v>717103</v>
      </c>
      <c r="M9" s="6">
        <v>652.1</v>
      </c>
      <c r="N9" s="3">
        <f t="shared" si="20"/>
        <v>1068.3517874090478</v>
      </c>
      <c r="O9" s="3">
        <v>675412</v>
      </c>
      <c r="P9" s="6">
        <v>632.20000000000005</v>
      </c>
      <c r="Q9" s="3">
        <f t="shared" si="21"/>
        <v>1092.7260367097213</v>
      </c>
      <c r="R9" s="3">
        <v>964440</v>
      </c>
      <c r="S9" s="6">
        <v>882.6</v>
      </c>
      <c r="T9" s="3">
        <f t="shared" si="22"/>
        <v>1046.860599078341</v>
      </c>
      <c r="U9" s="3">
        <v>726940</v>
      </c>
      <c r="V9" s="6">
        <v>694.4</v>
      </c>
      <c r="W9" s="3">
        <f t="shared" si="23"/>
        <v>1136.8172531214529</v>
      </c>
      <c r="X9" s="3">
        <v>500768</v>
      </c>
      <c r="Y9" s="6">
        <v>440.5</v>
      </c>
      <c r="Z9" s="3">
        <f t="shared" si="24"/>
        <v>1049.909420289855</v>
      </c>
      <c r="AA9" s="3">
        <v>927280</v>
      </c>
      <c r="AB9" s="6">
        <v>883.2</v>
      </c>
      <c r="AC9" s="3">
        <f t="shared" si="25"/>
        <v>1053.5534139840065</v>
      </c>
      <c r="AD9" s="3">
        <v>513818</v>
      </c>
      <c r="AE9" s="6">
        <v>487.7</v>
      </c>
      <c r="AF9" s="3">
        <f t="shared" si="26"/>
        <v>1123.2928455043698</v>
      </c>
      <c r="AG9" s="3">
        <v>758335</v>
      </c>
      <c r="AH9" s="6">
        <v>675.1</v>
      </c>
      <c r="AI9" s="3">
        <f t="shared" si="27"/>
        <v>1056.4155593656237</v>
      </c>
      <c r="AJ9" s="3">
        <v>985847</v>
      </c>
      <c r="AK9" s="6">
        <v>933.2</v>
      </c>
      <c r="AL9" s="3">
        <f t="shared" si="28"/>
        <v>1072.8723240412753</v>
      </c>
      <c r="AM9" s="3">
        <v>696616</v>
      </c>
      <c r="AN9" s="6">
        <v>649.29999999999995</v>
      </c>
      <c r="AO9" s="3">
        <f t="shared" si="29"/>
        <v>1072.877166059211</v>
      </c>
      <c r="AP9" s="3">
        <f t="shared" si="32"/>
        <v>8389363</v>
      </c>
      <c r="AQ9" s="6">
        <f t="shared" si="33"/>
        <v>7819.5</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11" t="s">
        <v>27</v>
      </c>
      <c r="B10" s="32"/>
      <c r="C10" s="38"/>
      <c r="D10" s="38"/>
      <c r="E10" s="3">
        <f t="shared" si="17"/>
        <v>1163.7409523809524</v>
      </c>
      <c r="F10" s="3">
        <v>305482</v>
      </c>
      <c r="G10" s="6">
        <v>262.5</v>
      </c>
      <c r="H10" s="3">
        <f t="shared" si="18"/>
        <v>1116.7290192113246</v>
      </c>
      <c r="I10" s="3">
        <v>441778</v>
      </c>
      <c r="J10" s="6">
        <v>395.6</v>
      </c>
      <c r="K10" s="3">
        <f t="shared" si="19"/>
        <v>1116.4066250600094</v>
      </c>
      <c r="L10" s="3">
        <v>465095</v>
      </c>
      <c r="M10" s="6">
        <v>416.6</v>
      </c>
      <c r="N10" s="3">
        <f t="shared" si="20"/>
        <v>1128.3152782966008</v>
      </c>
      <c r="O10" s="3">
        <v>302050</v>
      </c>
      <c r="P10" s="6">
        <v>267.7</v>
      </c>
      <c r="Q10" s="3">
        <f t="shared" si="21"/>
        <v>1177.3285084959093</v>
      </c>
      <c r="R10" s="3">
        <v>374155</v>
      </c>
      <c r="S10" s="6">
        <v>317.8</v>
      </c>
      <c r="T10" s="3">
        <f t="shared" si="22"/>
        <v>1131.2416979497546</v>
      </c>
      <c r="U10" s="3">
        <v>391749</v>
      </c>
      <c r="V10" s="6">
        <v>346.3</v>
      </c>
      <c r="W10" s="3">
        <f t="shared" si="23"/>
        <v>1101.3787536325476</v>
      </c>
      <c r="X10" s="3">
        <v>341097</v>
      </c>
      <c r="Y10" s="6">
        <v>309.7</v>
      </c>
      <c r="Z10" s="3">
        <f t="shared" si="24"/>
        <v>1166.4700704225352</v>
      </c>
      <c r="AA10" s="3">
        <v>397533</v>
      </c>
      <c r="AB10" s="6">
        <v>340.8</v>
      </c>
      <c r="AC10" s="3">
        <f t="shared" si="25"/>
        <v>1127.509617850731</v>
      </c>
      <c r="AD10" s="3">
        <v>439616</v>
      </c>
      <c r="AE10" s="6">
        <v>389.9</v>
      </c>
      <c r="AF10" s="3">
        <f t="shared" si="26"/>
        <v>1100.4779706275033</v>
      </c>
      <c r="AG10" s="3">
        <v>412129</v>
      </c>
      <c r="AH10" s="6">
        <v>374.5</v>
      </c>
      <c r="AI10" s="3">
        <f t="shared" si="27"/>
        <v>1165.5044699872285</v>
      </c>
      <c r="AJ10" s="3">
        <v>273777</v>
      </c>
      <c r="AK10" s="6">
        <v>234.9</v>
      </c>
      <c r="AL10" s="3">
        <f t="shared" si="28"/>
        <v>1108.4338358458963</v>
      </c>
      <c r="AM10" s="3">
        <v>397041</v>
      </c>
      <c r="AN10" s="6">
        <v>358.2</v>
      </c>
      <c r="AO10" s="3">
        <f t="shared" si="29"/>
        <v>1131.2746294681779</v>
      </c>
      <c r="AP10" s="3">
        <f t="shared" si="32"/>
        <v>4541502</v>
      </c>
      <c r="AQ10" s="6">
        <f t="shared" si="33"/>
        <v>4014.5</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11" t="s">
        <v>58</v>
      </c>
      <c r="B11" s="32"/>
      <c r="C11" s="38"/>
      <c r="D11" s="38"/>
      <c r="E11" s="3">
        <f t="shared" si="17"/>
        <v>1122.8563316297559</v>
      </c>
      <c r="F11" s="3">
        <v>593205</v>
      </c>
      <c r="G11" s="6">
        <v>528.29999999999995</v>
      </c>
      <c r="H11" s="3">
        <f t="shared" si="18"/>
        <v>1103.528020808702</v>
      </c>
      <c r="I11" s="3">
        <v>466682</v>
      </c>
      <c r="J11" s="6">
        <v>422.9</v>
      </c>
      <c r="K11" s="3">
        <f t="shared" si="19"/>
        <v>1127.5797679477882</v>
      </c>
      <c r="L11" s="3">
        <v>621973</v>
      </c>
      <c r="M11" s="6">
        <v>551.6</v>
      </c>
      <c r="N11" s="3">
        <f t="shared" si="20"/>
        <v>1164.7930237444841</v>
      </c>
      <c r="O11" s="3">
        <v>554325</v>
      </c>
      <c r="P11" s="6">
        <v>475.9</v>
      </c>
      <c r="Q11" s="3">
        <f t="shared" si="21"/>
        <v>1122.0917660105351</v>
      </c>
      <c r="R11" s="3">
        <v>809477</v>
      </c>
      <c r="S11" s="6">
        <v>721.4</v>
      </c>
      <c r="T11" s="3">
        <f t="shared" si="22"/>
        <v>1115.8861246473455</v>
      </c>
      <c r="U11" s="3">
        <v>435084</v>
      </c>
      <c r="V11" s="6">
        <v>389.9</v>
      </c>
      <c r="W11" s="3">
        <f t="shared" si="23"/>
        <v>1102.322206095791</v>
      </c>
      <c r="X11" s="3">
        <v>303800</v>
      </c>
      <c r="Y11" s="6">
        <v>275.60000000000002</v>
      </c>
      <c r="Z11" s="3">
        <f t="shared" si="24"/>
        <v>1102.0462348363471</v>
      </c>
      <c r="AA11" s="3">
        <v>481484</v>
      </c>
      <c r="AB11" s="6">
        <v>436.9</v>
      </c>
      <c r="AC11" s="3">
        <f t="shared" si="25"/>
        <v>1158.3825198637912</v>
      </c>
      <c r="AD11" s="3">
        <v>204107</v>
      </c>
      <c r="AE11" s="6">
        <v>176.2</v>
      </c>
      <c r="AF11" s="3">
        <f t="shared" si="26"/>
        <v>1103.3880597014925</v>
      </c>
      <c r="AG11" s="3">
        <v>591416</v>
      </c>
      <c r="AH11" s="6">
        <v>536</v>
      </c>
      <c r="AI11" s="3">
        <f t="shared" si="27"/>
        <v>1135.9845440494591</v>
      </c>
      <c r="AJ11" s="3">
        <v>367491</v>
      </c>
      <c r="AK11" s="6">
        <v>323.5</v>
      </c>
      <c r="AL11" s="3">
        <f t="shared" si="28"/>
        <v>1100.6051768137077</v>
      </c>
      <c r="AM11" s="3">
        <v>301896</v>
      </c>
      <c r="AN11" s="6">
        <v>274.3</v>
      </c>
      <c r="AO11" s="3">
        <f t="shared" si="29"/>
        <v>1120.9662591687043</v>
      </c>
      <c r="AP11" s="3">
        <f t="shared" si="32"/>
        <v>5730940</v>
      </c>
      <c r="AQ11" s="6">
        <f t="shared" si="33"/>
        <v>5112.5</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11" t="s">
        <v>40</v>
      </c>
      <c r="B12" s="32"/>
      <c r="C12" s="38"/>
      <c r="D12" s="38"/>
      <c r="E12" s="3">
        <f>F12/G12</f>
        <v>1280.8286604361372</v>
      </c>
      <c r="F12" s="3">
        <v>205573</v>
      </c>
      <c r="G12" s="6">
        <v>160.5</v>
      </c>
      <c r="H12" s="3">
        <f>I12/J12</f>
        <v>1269.1365606936415</v>
      </c>
      <c r="I12" s="3">
        <v>351297</v>
      </c>
      <c r="J12" s="6">
        <v>276.8</v>
      </c>
      <c r="K12" s="3">
        <f>L12/M12</f>
        <v>1038.6913982878109</v>
      </c>
      <c r="L12" s="3">
        <v>254791</v>
      </c>
      <c r="M12" s="6">
        <v>245.3</v>
      </c>
      <c r="N12" s="3">
        <f>O12/P12</f>
        <v>1245.7782369146007</v>
      </c>
      <c r="O12" s="3">
        <v>180887</v>
      </c>
      <c r="P12" s="6">
        <v>145.19999999999999</v>
      </c>
      <c r="Q12" s="3">
        <f>R12/S12</f>
        <v>1143.927298645759</v>
      </c>
      <c r="R12" s="3">
        <v>481479</v>
      </c>
      <c r="S12" s="6">
        <v>420.9</v>
      </c>
      <c r="T12" s="3">
        <f>U12/V12</f>
        <v>1187.1699230313795</v>
      </c>
      <c r="U12" s="3">
        <v>200513</v>
      </c>
      <c r="V12" s="6">
        <v>168.9</v>
      </c>
      <c r="W12" s="3">
        <f>X12/Y12</f>
        <v>1137.7777777777778</v>
      </c>
      <c r="X12" s="3">
        <v>410624</v>
      </c>
      <c r="Y12" s="6">
        <v>360.9</v>
      </c>
      <c r="Z12" s="3">
        <f>AA12/AB12</f>
        <v>1172.0948336871902</v>
      </c>
      <c r="AA12" s="3">
        <v>165617</v>
      </c>
      <c r="AB12" s="6">
        <v>141.30000000000001</v>
      </c>
      <c r="AC12" s="3">
        <f>AD12/AE12</f>
        <v>1197.1504424778761</v>
      </c>
      <c r="AD12" s="3">
        <v>270556</v>
      </c>
      <c r="AE12" s="6">
        <v>226</v>
      </c>
      <c r="AF12" s="3">
        <f>AG12/AH12</f>
        <v>1186.9245142002987</v>
      </c>
      <c r="AG12" s="3">
        <v>317621</v>
      </c>
      <c r="AH12" s="6">
        <v>267.60000000000002</v>
      </c>
      <c r="AI12" s="3">
        <f>AJ12/AK12</f>
        <v>1147.5297805642633</v>
      </c>
      <c r="AJ12" s="3">
        <v>183031</v>
      </c>
      <c r="AK12" s="6">
        <v>159.5</v>
      </c>
      <c r="AL12" s="3">
        <f>AM12/AN12</f>
        <v>1282.5809199318569</v>
      </c>
      <c r="AM12" s="3">
        <v>301150</v>
      </c>
      <c r="AN12" s="6">
        <v>234.8</v>
      </c>
      <c r="AO12" s="3">
        <f t="shared" si="29"/>
        <v>1183.5805107383267</v>
      </c>
      <c r="AP12" s="3">
        <f t="shared" si="32"/>
        <v>3323139</v>
      </c>
      <c r="AQ12" s="6">
        <f t="shared" si="33"/>
        <v>2807.7000000000003</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11" t="s">
        <v>55</v>
      </c>
      <c r="B13" s="32"/>
      <c r="C13" s="38"/>
      <c r="D13" s="38"/>
      <c r="E13" s="3">
        <f t="shared" ref="E13:E70" si="34">F13/G13</f>
        <v>1215.7446808510638</v>
      </c>
      <c r="F13" s="3">
        <v>57140</v>
      </c>
      <c r="G13" s="6">
        <v>47</v>
      </c>
      <c r="H13" s="3">
        <f t="shared" ref="H13:H70" si="35">I13/J13</f>
        <v>1098.1181619256017</v>
      </c>
      <c r="I13" s="3">
        <v>100368</v>
      </c>
      <c r="J13" s="6">
        <v>91.4</v>
      </c>
      <c r="K13" s="3">
        <f t="shared" ref="K13:K70" si="36">L13/M13</f>
        <v>1128.6880466472305</v>
      </c>
      <c r="L13" s="3">
        <v>77428</v>
      </c>
      <c r="M13" s="6">
        <v>68.599999999999994</v>
      </c>
      <c r="N13" s="3">
        <f t="shared" ref="N13:N70" si="37">O13/P13</f>
        <v>1159.1489361702127</v>
      </c>
      <c r="O13" s="3">
        <v>54480</v>
      </c>
      <c r="P13" s="6">
        <v>47</v>
      </c>
      <c r="Q13" s="3">
        <f t="shared" ref="Q13:Q70" si="38">R13/S13</f>
        <v>1154.7230320699709</v>
      </c>
      <c r="R13" s="3">
        <v>79214</v>
      </c>
      <c r="S13" s="6">
        <v>68.599999999999994</v>
      </c>
      <c r="T13" s="3">
        <f t="shared" ref="T13:T70" si="39">U13/V13</f>
        <v>1130.3790087463558</v>
      </c>
      <c r="U13" s="3">
        <v>155088</v>
      </c>
      <c r="V13" s="6">
        <v>137.19999999999999</v>
      </c>
      <c r="W13" s="3">
        <f t="shared" ref="W13:W70" si="40">X13/Y13</f>
        <v>1133.2283464566929</v>
      </c>
      <c r="X13" s="3">
        <v>129528</v>
      </c>
      <c r="Y13" s="6">
        <v>114.3</v>
      </c>
      <c r="Z13" s="3">
        <f t="shared" ref="Z13:Z70" si="41">AA13/AB13</f>
        <v>1128.6263736263736</v>
      </c>
      <c r="AA13" s="3">
        <v>184869</v>
      </c>
      <c r="AB13" s="6">
        <v>163.80000000000001</v>
      </c>
      <c r="AC13" s="3">
        <f t="shared" ref="AC13:AC70" si="42">AD13/AE13</f>
        <v>1138.6192017259978</v>
      </c>
      <c r="AD13" s="3">
        <v>105550</v>
      </c>
      <c r="AE13" s="6">
        <v>92.7</v>
      </c>
      <c r="AF13" s="3">
        <f t="shared" ref="AF13:AF70" si="43">AG13/AH13</f>
        <v>1322.1311475409836</v>
      </c>
      <c r="AG13" s="3">
        <v>193560</v>
      </c>
      <c r="AH13" s="6">
        <v>146.4</v>
      </c>
      <c r="AI13" s="3">
        <f t="shared" ref="AI13:AI70" si="44">AJ13/AK13</f>
        <v>1073.8730853391685</v>
      </c>
      <c r="AJ13" s="3">
        <v>49076</v>
      </c>
      <c r="AK13" s="6">
        <v>45.7</v>
      </c>
      <c r="AL13" s="3">
        <f t="shared" ref="AL13:AL70" si="45">AM13/AN13</f>
        <v>1108.4959349593496</v>
      </c>
      <c r="AM13" s="3">
        <v>299959</v>
      </c>
      <c r="AN13" s="6">
        <v>270.60000000000002</v>
      </c>
      <c r="AO13" s="3">
        <f t="shared" si="29"/>
        <v>1149.1997216423101</v>
      </c>
      <c r="AP13" s="3">
        <f t="shared" si="32"/>
        <v>1486260</v>
      </c>
      <c r="AQ13" s="6">
        <f t="shared" si="33"/>
        <v>1293.3000000000002</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11" t="s">
        <v>59</v>
      </c>
      <c r="B14" s="32"/>
      <c r="C14" s="38"/>
      <c r="D14" s="38"/>
      <c r="E14" s="3">
        <f t="shared" si="34"/>
        <v>1196.038781163435</v>
      </c>
      <c r="F14" s="3">
        <v>129531</v>
      </c>
      <c r="G14" s="6">
        <v>108.3</v>
      </c>
      <c r="H14" s="3">
        <f t="shared" si="35"/>
        <v>1125.5347384855581</v>
      </c>
      <c r="I14" s="3">
        <v>288362</v>
      </c>
      <c r="J14" s="6">
        <v>256.2</v>
      </c>
      <c r="K14" s="3">
        <f t="shared" si="36"/>
        <v>1149.5319148936171</v>
      </c>
      <c r="L14" s="3">
        <v>189098</v>
      </c>
      <c r="M14" s="6">
        <v>164.5</v>
      </c>
      <c r="N14" s="3">
        <f t="shared" si="37"/>
        <v>1118.6627906976744</v>
      </c>
      <c r="O14" s="3">
        <v>211651</v>
      </c>
      <c r="P14" s="6">
        <v>189.2</v>
      </c>
      <c r="Q14" s="3">
        <f t="shared" si="38"/>
        <v>1121.7444326617181</v>
      </c>
      <c r="R14" s="3">
        <v>211561</v>
      </c>
      <c r="S14" s="6">
        <v>188.6</v>
      </c>
      <c r="T14" s="3">
        <f t="shared" si="39"/>
        <v>1100.495978552279</v>
      </c>
      <c r="U14" s="3">
        <v>164194</v>
      </c>
      <c r="V14" s="6">
        <v>149.19999999999999</v>
      </c>
      <c r="W14" s="3">
        <f t="shared" si="40"/>
        <v>1131.8510638297873</v>
      </c>
      <c r="X14" s="3">
        <v>53197</v>
      </c>
      <c r="Y14" s="6">
        <v>47</v>
      </c>
      <c r="Z14" s="3">
        <f t="shared" si="41"/>
        <v>1112.7171109200344</v>
      </c>
      <c r="AA14" s="3">
        <v>258818</v>
      </c>
      <c r="AB14" s="6">
        <v>232.6</v>
      </c>
      <c r="AC14" s="3">
        <f t="shared" si="42"/>
        <v>1135.8435916002898</v>
      </c>
      <c r="AD14" s="3">
        <v>156860</v>
      </c>
      <c r="AE14" s="6">
        <v>138.1</v>
      </c>
      <c r="AF14" s="3">
        <f t="shared" si="43"/>
        <v>1111.7319587628865</v>
      </c>
      <c r="AG14" s="3">
        <v>215676</v>
      </c>
      <c r="AH14" s="6">
        <v>194</v>
      </c>
      <c r="AI14" s="3">
        <f t="shared" si="44"/>
        <v>1101.4559164733178</v>
      </c>
      <c r="AJ14" s="3">
        <v>189891</v>
      </c>
      <c r="AK14" s="6">
        <v>172.4</v>
      </c>
      <c r="AL14" s="3">
        <f t="shared" si="45"/>
        <v>1101.7713787085515</v>
      </c>
      <c r="AM14" s="3">
        <v>252526</v>
      </c>
      <c r="AN14" s="6">
        <v>229.2</v>
      </c>
      <c r="AO14" s="3">
        <f t="shared" si="29"/>
        <v>1121.8117237713238</v>
      </c>
      <c r="AP14" s="3">
        <f t="shared" si="32"/>
        <v>2321365</v>
      </c>
      <c r="AQ14" s="6">
        <f t="shared" si="33"/>
        <v>2069.2999999999997</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11" t="s">
        <v>29</v>
      </c>
      <c r="B15" s="32"/>
      <c r="C15" s="38"/>
      <c r="D15" s="38"/>
      <c r="E15" s="3">
        <f t="shared" si="34"/>
        <v>1988.3418803418804</v>
      </c>
      <c r="F15" s="3">
        <v>116318</v>
      </c>
      <c r="G15" s="6">
        <v>58.5</v>
      </c>
      <c r="H15" s="3">
        <f t="shared" si="35"/>
        <v>1506.674930275798</v>
      </c>
      <c r="I15" s="3">
        <v>486204</v>
      </c>
      <c r="J15" s="6">
        <v>322.7</v>
      </c>
      <c r="K15" s="3">
        <f t="shared" si="36"/>
        <v>1991.7054263565892</v>
      </c>
      <c r="L15" s="3">
        <v>179851</v>
      </c>
      <c r="M15" s="6">
        <v>90.3</v>
      </c>
      <c r="N15" s="3">
        <f t="shared" si="37"/>
        <v>1602.4975024975026</v>
      </c>
      <c r="O15" s="3">
        <v>160410</v>
      </c>
      <c r="P15" s="6">
        <v>100.1</v>
      </c>
      <c r="Q15" s="3">
        <f t="shared" si="38"/>
        <v>1525.275590551181</v>
      </c>
      <c r="R15" s="3">
        <v>348678</v>
      </c>
      <c r="S15" s="6">
        <v>228.6</v>
      </c>
      <c r="T15" s="3">
        <f t="shared" si="39"/>
        <v>1411.4261168384878</v>
      </c>
      <c r="U15" s="3">
        <v>82145</v>
      </c>
      <c r="V15" s="6">
        <v>58.2</v>
      </c>
      <c r="W15" s="3">
        <f t="shared" si="40"/>
        <v>1148.3909180651531</v>
      </c>
      <c r="X15" s="3">
        <v>116332</v>
      </c>
      <c r="Y15" s="6">
        <v>101.3</v>
      </c>
      <c r="Z15" s="3">
        <f t="shared" si="41"/>
        <v>1419.0606420927468</v>
      </c>
      <c r="AA15" s="3">
        <v>119343</v>
      </c>
      <c r="AB15" s="6">
        <v>84.1</v>
      </c>
      <c r="AC15" s="3">
        <f t="shared" si="42"/>
        <v>2150.6860158311347</v>
      </c>
      <c r="AD15" s="3">
        <v>81511</v>
      </c>
      <c r="AE15" s="6">
        <v>37.9</v>
      </c>
      <c r="AF15" s="3">
        <f t="shared" si="43"/>
        <v>1388.6932707355243</v>
      </c>
      <c r="AG15" s="3">
        <v>177475</v>
      </c>
      <c r="AH15" s="6">
        <v>127.8</v>
      </c>
      <c r="AI15" s="3">
        <f t="shared" si="44"/>
        <v>1668.2551799345692</v>
      </c>
      <c r="AJ15" s="3">
        <v>152979</v>
      </c>
      <c r="AK15" s="6">
        <v>91.7</v>
      </c>
      <c r="AL15" s="3">
        <f t="shared" si="45"/>
        <v>1759.9928160919542</v>
      </c>
      <c r="AM15" s="3">
        <v>244991</v>
      </c>
      <c r="AN15" s="6">
        <v>139.19999999999999</v>
      </c>
      <c r="AO15" s="3">
        <f t="shared" si="29"/>
        <v>1573.3386559289086</v>
      </c>
      <c r="AP15" s="3">
        <f t="shared" si="32"/>
        <v>2266237</v>
      </c>
      <c r="AQ15" s="6">
        <f t="shared" si="33"/>
        <v>1440.4</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11" t="s">
        <v>18</v>
      </c>
      <c r="B16" s="32"/>
      <c r="C16" s="38"/>
      <c r="D16" s="38"/>
      <c r="E16" s="3">
        <f t="shared" si="34"/>
        <v>1185.1712328767123</v>
      </c>
      <c r="F16" s="3">
        <v>173035</v>
      </c>
      <c r="G16" s="6">
        <v>146</v>
      </c>
      <c r="H16" s="3">
        <f t="shared" si="35"/>
        <v>1170.2316213494462</v>
      </c>
      <c r="I16" s="3">
        <v>116204</v>
      </c>
      <c r="J16" s="6">
        <v>99.3</v>
      </c>
      <c r="K16" s="3">
        <f t="shared" si="36"/>
        <v>1841.4728682170542</v>
      </c>
      <c r="L16" s="3">
        <v>47510</v>
      </c>
      <c r="M16" s="6">
        <v>25.8</v>
      </c>
      <c r="N16" s="3" t="e">
        <f t="shared" si="37"/>
        <v>#DIV/0!</v>
      </c>
      <c r="O16" s="3">
        <v>0</v>
      </c>
      <c r="P16" s="6">
        <v>0</v>
      </c>
      <c r="Q16" s="3">
        <f t="shared" si="38"/>
        <v>1202.4509803921569</v>
      </c>
      <c r="R16" s="3">
        <v>24530</v>
      </c>
      <c r="S16" s="6">
        <v>20.399999999999999</v>
      </c>
      <c r="T16" s="3">
        <f t="shared" si="39"/>
        <v>959.45725915875164</v>
      </c>
      <c r="U16" s="3">
        <v>70712</v>
      </c>
      <c r="V16" s="6">
        <v>73.7</v>
      </c>
      <c r="W16" s="3">
        <f t="shared" si="40"/>
        <v>1011.9461697722568</v>
      </c>
      <c r="X16" s="3">
        <v>48877</v>
      </c>
      <c r="Y16" s="6">
        <v>48.3</v>
      </c>
      <c r="Z16" s="3">
        <f t="shared" si="41"/>
        <v>915.74803149606305</v>
      </c>
      <c r="AA16" s="3">
        <v>46520</v>
      </c>
      <c r="AB16" s="6">
        <v>50.8</v>
      </c>
      <c r="AC16" s="3">
        <f t="shared" si="42"/>
        <v>923.254376930999</v>
      </c>
      <c r="AD16" s="3">
        <v>89648</v>
      </c>
      <c r="AE16" s="6">
        <v>97.1</v>
      </c>
      <c r="AF16" s="3">
        <f t="shared" si="43"/>
        <v>1140.4994742376446</v>
      </c>
      <c r="AG16" s="3">
        <v>216923</v>
      </c>
      <c r="AH16" s="6">
        <v>190.2</v>
      </c>
      <c r="AI16" s="3">
        <f t="shared" si="44"/>
        <v>938.89308176100633</v>
      </c>
      <c r="AJ16" s="3">
        <v>74642</v>
      </c>
      <c r="AK16" s="6">
        <v>79.5</v>
      </c>
      <c r="AL16" s="3">
        <f t="shared" si="45"/>
        <v>1169.1567944250871</v>
      </c>
      <c r="AM16" s="3">
        <v>167774</v>
      </c>
      <c r="AN16" s="6">
        <v>143.5</v>
      </c>
      <c r="AO16" s="3">
        <f t="shared" si="29"/>
        <v>1104.4274574184283</v>
      </c>
      <c r="AP16" s="3">
        <f t="shared" si="32"/>
        <v>1076375</v>
      </c>
      <c r="AQ16" s="6">
        <f t="shared" si="33"/>
        <v>974.59999999999991</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11" t="s">
        <v>62</v>
      </c>
      <c r="B17" s="32"/>
      <c r="C17" s="38"/>
      <c r="D17" s="38"/>
      <c r="E17" s="3">
        <f t="shared" si="34"/>
        <v>928.90625</v>
      </c>
      <c r="F17" s="3">
        <v>47560</v>
      </c>
      <c r="G17" s="6">
        <v>51.2</v>
      </c>
      <c r="H17" s="3">
        <f t="shared" si="35"/>
        <v>1144.2713004484306</v>
      </c>
      <c r="I17" s="3">
        <v>102069</v>
      </c>
      <c r="J17" s="6">
        <v>89.2</v>
      </c>
      <c r="K17" s="3">
        <f t="shared" si="36"/>
        <v>1161.0151515151515</v>
      </c>
      <c r="L17" s="3">
        <v>153254</v>
      </c>
      <c r="M17" s="6">
        <v>132</v>
      </c>
      <c r="N17" s="3">
        <f t="shared" si="37"/>
        <v>1144.1408024224072</v>
      </c>
      <c r="O17" s="3">
        <v>151141</v>
      </c>
      <c r="P17" s="6">
        <v>132.1</v>
      </c>
      <c r="Q17" s="3">
        <f t="shared" si="38"/>
        <v>1147.4288107202678</v>
      </c>
      <c r="R17" s="3">
        <v>137003</v>
      </c>
      <c r="S17" s="6">
        <v>119.4</v>
      </c>
      <c r="T17" s="3">
        <f t="shared" si="39"/>
        <v>1150.8327081770442</v>
      </c>
      <c r="U17" s="3">
        <v>153406</v>
      </c>
      <c r="V17" s="6">
        <v>133.30000000000001</v>
      </c>
      <c r="W17" s="3">
        <f t="shared" si="40"/>
        <v>1152.1368624919303</v>
      </c>
      <c r="X17" s="3">
        <v>178466</v>
      </c>
      <c r="Y17" s="6">
        <v>154.9</v>
      </c>
      <c r="Z17" s="3">
        <f t="shared" si="41"/>
        <v>1181.9728292971056</v>
      </c>
      <c r="AA17" s="3">
        <v>200108</v>
      </c>
      <c r="AB17" s="6">
        <v>169.3</v>
      </c>
      <c r="AC17" s="3">
        <f t="shared" si="42"/>
        <v>1154.7591069330201</v>
      </c>
      <c r="AD17" s="3">
        <v>98270</v>
      </c>
      <c r="AE17" s="6">
        <v>85.1</v>
      </c>
      <c r="AF17" s="3">
        <f t="shared" si="43"/>
        <v>1221.9933554817276</v>
      </c>
      <c r="AG17" s="3">
        <v>110346</v>
      </c>
      <c r="AH17" s="6">
        <v>90.3</v>
      </c>
      <c r="AI17" s="3">
        <f t="shared" si="44"/>
        <v>1163.7197320968573</v>
      </c>
      <c r="AJ17" s="3">
        <v>225878</v>
      </c>
      <c r="AK17" s="6">
        <v>194.1</v>
      </c>
      <c r="AL17" s="3">
        <f t="shared" si="45"/>
        <v>1236.7932148626817</v>
      </c>
      <c r="AM17" s="3">
        <v>153115</v>
      </c>
      <c r="AN17" s="6">
        <v>123.8</v>
      </c>
      <c r="AO17" s="3">
        <f t="shared" si="29"/>
        <v>1159.9755882552386</v>
      </c>
      <c r="AP17" s="3">
        <f t="shared" si="32"/>
        <v>1710616</v>
      </c>
      <c r="AQ17" s="6">
        <f t="shared" si="33"/>
        <v>1474.6999999999998</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11" t="s">
        <v>31</v>
      </c>
      <c r="B18" s="32"/>
      <c r="C18" s="38"/>
      <c r="D18" s="38"/>
      <c r="E18" s="3">
        <f t="shared" si="34"/>
        <v>1690.148148148148</v>
      </c>
      <c r="F18" s="3">
        <v>45634</v>
      </c>
      <c r="G18" s="6">
        <v>27</v>
      </c>
      <c r="H18" s="3">
        <f t="shared" si="35"/>
        <v>1693.2838589981448</v>
      </c>
      <c r="I18" s="3">
        <v>91268</v>
      </c>
      <c r="J18" s="6">
        <v>53.9</v>
      </c>
      <c r="K18" s="3">
        <f t="shared" si="36"/>
        <v>1694.3316831683169</v>
      </c>
      <c r="L18" s="3">
        <v>68451</v>
      </c>
      <c r="M18" s="6">
        <v>40.4</v>
      </c>
      <c r="N18" s="3">
        <f t="shared" si="37"/>
        <v>1690.148148148148</v>
      </c>
      <c r="O18" s="3">
        <v>22817</v>
      </c>
      <c r="P18" s="6">
        <v>13.5</v>
      </c>
      <c r="Q18" s="3">
        <f t="shared" si="38"/>
        <v>1693.2838589981448</v>
      </c>
      <c r="R18" s="3">
        <v>91268</v>
      </c>
      <c r="S18" s="6">
        <v>53.9</v>
      </c>
      <c r="T18" s="3">
        <f t="shared" si="39"/>
        <v>1690.0740740740741</v>
      </c>
      <c r="U18" s="3">
        <v>22816</v>
      </c>
      <c r="V18" s="6">
        <v>13.5</v>
      </c>
      <c r="W18" s="3">
        <f t="shared" si="40"/>
        <v>1402.7700831024931</v>
      </c>
      <c r="X18" s="3">
        <v>50640</v>
      </c>
      <c r="Y18" s="6">
        <v>36.1</v>
      </c>
      <c r="Z18" s="3">
        <f t="shared" si="41"/>
        <v>1690.148148148148</v>
      </c>
      <c r="AA18" s="3">
        <v>22817</v>
      </c>
      <c r="AB18" s="6">
        <v>13.5</v>
      </c>
      <c r="AC18" s="3">
        <f t="shared" si="42"/>
        <v>1690.148148148148</v>
      </c>
      <c r="AD18" s="3">
        <v>22817</v>
      </c>
      <c r="AE18" s="6">
        <v>13.5</v>
      </c>
      <c r="AF18" s="3">
        <f t="shared" si="43"/>
        <v>1585.0519031141869</v>
      </c>
      <c r="AG18" s="3">
        <v>91616</v>
      </c>
      <c r="AH18" s="6">
        <v>57.8</v>
      </c>
      <c r="AI18" s="3">
        <f t="shared" si="44"/>
        <v>1737.3214285714284</v>
      </c>
      <c r="AJ18" s="3">
        <v>29187</v>
      </c>
      <c r="AK18" s="6">
        <v>16.8</v>
      </c>
      <c r="AL18" s="3">
        <f t="shared" si="45"/>
        <v>1617.9478827361565</v>
      </c>
      <c r="AM18" s="3">
        <v>149013</v>
      </c>
      <c r="AN18" s="6">
        <v>92.1</v>
      </c>
      <c r="AO18" s="3">
        <f t="shared" si="29"/>
        <v>1639.6851851851852</v>
      </c>
      <c r="AP18" s="3">
        <f t="shared" si="32"/>
        <v>708344</v>
      </c>
      <c r="AQ18" s="6">
        <f t="shared" si="33"/>
        <v>432</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11" t="s">
        <v>60</v>
      </c>
      <c r="B19" s="32"/>
      <c r="C19" s="38"/>
      <c r="D19" s="38"/>
      <c r="E19" s="3">
        <f t="shared" si="34"/>
        <v>1401.1444444444444</v>
      </c>
      <c r="F19" s="3">
        <v>126103</v>
      </c>
      <c r="G19" s="6">
        <v>90</v>
      </c>
      <c r="H19" s="3">
        <f t="shared" si="35"/>
        <v>1277.6176024279209</v>
      </c>
      <c r="I19" s="3">
        <v>84195</v>
      </c>
      <c r="J19" s="6">
        <v>65.900000000000006</v>
      </c>
      <c r="K19" s="3">
        <f t="shared" si="36"/>
        <v>1334.0937896070975</v>
      </c>
      <c r="L19" s="3">
        <v>105260</v>
      </c>
      <c r="M19" s="6">
        <v>78.900000000000006</v>
      </c>
      <c r="N19" s="3">
        <f t="shared" si="37"/>
        <v>1428.5128983308041</v>
      </c>
      <c r="O19" s="3">
        <v>94139</v>
      </c>
      <c r="P19" s="6">
        <v>65.900000000000006</v>
      </c>
      <c r="Q19" s="3">
        <f t="shared" si="38"/>
        <v>1553.8067061143984</v>
      </c>
      <c r="R19" s="3">
        <v>78778</v>
      </c>
      <c r="S19" s="6">
        <v>50.7</v>
      </c>
      <c r="T19" s="3">
        <f t="shared" si="39"/>
        <v>1547.9366812227074</v>
      </c>
      <c r="U19" s="3">
        <v>141791</v>
      </c>
      <c r="V19" s="6">
        <v>91.6</v>
      </c>
      <c r="W19" s="3">
        <f t="shared" si="40"/>
        <v>1545.5123674911661</v>
      </c>
      <c r="X19" s="3">
        <v>87476</v>
      </c>
      <c r="Y19" s="6">
        <v>56.6</v>
      </c>
      <c r="Z19" s="3">
        <f t="shared" si="41"/>
        <v>1474.3340857787812</v>
      </c>
      <c r="AA19" s="3">
        <v>130626</v>
      </c>
      <c r="AB19" s="6">
        <v>88.6</v>
      </c>
      <c r="AC19" s="3" t="e">
        <f t="shared" si="42"/>
        <v>#DIV/0!</v>
      </c>
      <c r="AD19" s="3">
        <v>0</v>
      </c>
      <c r="AE19" s="6">
        <v>0</v>
      </c>
      <c r="AF19" s="3">
        <f t="shared" si="43"/>
        <v>1256.6344827586206</v>
      </c>
      <c r="AG19" s="3">
        <v>91106</v>
      </c>
      <c r="AH19" s="6">
        <v>72.5</v>
      </c>
      <c r="AI19" s="3">
        <f t="shared" si="44"/>
        <v>1266.1529933481152</v>
      </c>
      <c r="AJ19" s="3">
        <v>114207</v>
      </c>
      <c r="AK19" s="6">
        <v>90.2</v>
      </c>
      <c r="AL19" s="3">
        <f t="shared" si="45"/>
        <v>1529.5337995337995</v>
      </c>
      <c r="AM19" s="3">
        <v>131234</v>
      </c>
      <c r="AN19" s="6">
        <v>85.8</v>
      </c>
      <c r="AO19" s="3">
        <f t="shared" si="29"/>
        <v>1416.1766463487509</v>
      </c>
      <c r="AP19" s="3">
        <f t="shared" si="32"/>
        <v>1184915</v>
      </c>
      <c r="AQ19" s="6">
        <f t="shared" si="33"/>
        <v>836.7</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11" t="s">
        <v>37</v>
      </c>
      <c r="B20" s="32"/>
      <c r="C20" s="38"/>
      <c r="D20" s="38"/>
      <c r="E20" s="3">
        <f t="shared" si="34"/>
        <v>2078.6046511627906</v>
      </c>
      <c r="F20" s="3">
        <v>89380</v>
      </c>
      <c r="G20" s="6">
        <v>43</v>
      </c>
      <c r="H20" s="3">
        <f t="shared" si="35"/>
        <v>2243.2458233890216</v>
      </c>
      <c r="I20" s="3">
        <v>93992</v>
      </c>
      <c r="J20" s="6">
        <v>41.9</v>
      </c>
      <c r="K20" s="3">
        <f t="shared" si="36"/>
        <v>1599.1708542713568</v>
      </c>
      <c r="L20" s="3">
        <v>63647</v>
      </c>
      <c r="M20" s="6">
        <v>39.799999999999997</v>
      </c>
      <c r="N20" s="3">
        <f t="shared" si="37"/>
        <v>2413.512974051896</v>
      </c>
      <c r="O20" s="3">
        <v>120917</v>
      </c>
      <c r="P20" s="6">
        <v>50.1</v>
      </c>
      <c r="Q20" s="3">
        <f t="shared" si="38"/>
        <v>2487.7729257641922</v>
      </c>
      <c r="R20" s="3">
        <v>56970</v>
      </c>
      <c r="S20" s="6">
        <v>22.9</v>
      </c>
      <c r="T20" s="3">
        <f t="shared" si="39"/>
        <v>2466.2337662337659</v>
      </c>
      <c r="U20" s="3">
        <v>56970</v>
      </c>
      <c r="V20" s="6">
        <v>23.1</v>
      </c>
      <c r="W20" s="3">
        <f t="shared" si="40"/>
        <v>2106.8181818181815</v>
      </c>
      <c r="X20" s="3">
        <v>97335</v>
      </c>
      <c r="Y20" s="6">
        <v>46.2</v>
      </c>
      <c r="Z20" s="3">
        <f t="shared" si="41"/>
        <v>2434.6153846153848</v>
      </c>
      <c r="AA20" s="3">
        <v>56970</v>
      </c>
      <c r="AB20" s="6">
        <v>23.4</v>
      </c>
      <c r="AC20" s="3">
        <f t="shared" si="42"/>
        <v>2808.641975308642</v>
      </c>
      <c r="AD20" s="3">
        <v>113750</v>
      </c>
      <c r="AE20" s="6">
        <v>40.5</v>
      </c>
      <c r="AF20" s="3">
        <f t="shared" si="43"/>
        <v>2203.9856801909309</v>
      </c>
      <c r="AG20" s="3">
        <v>92347</v>
      </c>
      <c r="AH20" s="6">
        <v>41.9</v>
      </c>
      <c r="AI20" s="3">
        <f t="shared" si="44"/>
        <v>2466.2337662337659</v>
      </c>
      <c r="AJ20" s="3">
        <v>56970</v>
      </c>
      <c r="AK20" s="6">
        <v>23.1</v>
      </c>
      <c r="AL20" s="3">
        <f t="shared" si="45"/>
        <v>2466.2337662337659</v>
      </c>
      <c r="AM20" s="3">
        <v>56970</v>
      </c>
      <c r="AN20" s="6">
        <v>23.1</v>
      </c>
      <c r="AO20" s="3">
        <f t="shared" si="29"/>
        <v>2282.1431980906923</v>
      </c>
      <c r="AP20" s="3">
        <f t="shared" si="32"/>
        <v>956218</v>
      </c>
      <c r="AQ20" s="6">
        <f t="shared" si="33"/>
        <v>419</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11" t="s">
        <v>34</v>
      </c>
      <c r="B21" s="32"/>
      <c r="C21" s="38"/>
      <c r="D21" s="38"/>
      <c r="E21" s="3">
        <f t="shared" si="34"/>
        <v>1122.2538860103627</v>
      </c>
      <c r="F21" s="3">
        <v>86638</v>
      </c>
      <c r="G21" s="6">
        <v>77.2</v>
      </c>
      <c r="H21" s="3">
        <f t="shared" si="35"/>
        <v>1280.3284671532847</v>
      </c>
      <c r="I21" s="3">
        <v>35081</v>
      </c>
      <c r="J21" s="6">
        <v>27.4</v>
      </c>
      <c r="K21" s="3">
        <f t="shared" si="36"/>
        <v>1178.030303030303</v>
      </c>
      <c r="L21" s="3">
        <v>54425</v>
      </c>
      <c r="M21" s="6">
        <v>46.2</v>
      </c>
      <c r="N21" s="3">
        <f t="shared" si="37"/>
        <v>1041.5697674418604</v>
      </c>
      <c r="O21" s="3">
        <v>35830</v>
      </c>
      <c r="P21" s="6">
        <v>34.4</v>
      </c>
      <c r="Q21" s="3">
        <f t="shared" si="38"/>
        <v>1284.0969162995596</v>
      </c>
      <c r="R21" s="3">
        <v>29149</v>
      </c>
      <c r="S21" s="6">
        <v>22.7</v>
      </c>
      <c r="T21" s="3">
        <f t="shared" si="39"/>
        <v>1212.8571428571429</v>
      </c>
      <c r="U21" s="3">
        <v>110370</v>
      </c>
      <c r="V21" s="6">
        <v>91</v>
      </c>
      <c r="W21" s="3">
        <f t="shared" si="40"/>
        <v>1142.5897435897436</v>
      </c>
      <c r="X21" s="3">
        <v>44561</v>
      </c>
      <c r="Y21" s="6">
        <v>39</v>
      </c>
      <c r="Z21" s="3">
        <f t="shared" si="41"/>
        <v>1164.1913043478262</v>
      </c>
      <c r="AA21" s="3">
        <v>66941</v>
      </c>
      <c r="AB21" s="6">
        <v>57.5</v>
      </c>
      <c r="AC21" s="3">
        <f t="shared" si="42"/>
        <v>1207.3571428571429</v>
      </c>
      <c r="AD21" s="3">
        <v>67612</v>
      </c>
      <c r="AE21" s="6">
        <v>56</v>
      </c>
      <c r="AF21" s="3">
        <f t="shared" si="43"/>
        <v>1155.22</v>
      </c>
      <c r="AG21" s="3">
        <v>57761</v>
      </c>
      <c r="AH21" s="6">
        <v>50</v>
      </c>
      <c r="AI21" s="3">
        <f t="shared" si="44"/>
        <v>1020.5810397553516</v>
      </c>
      <c r="AJ21" s="3">
        <v>33373</v>
      </c>
      <c r="AK21" s="6">
        <v>32.700000000000003</v>
      </c>
      <c r="AL21" s="3">
        <f t="shared" si="45"/>
        <v>1383.8383838383838</v>
      </c>
      <c r="AM21" s="3">
        <v>54800</v>
      </c>
      <c r="AN21" s="6">
        <v>39.6</v>
      </c>
      <c r="AO21" s="3">
        <f t="shared" si="29"/>
        <v>1179.2591947010633</v>
      </c>
      <c r="AP21" s="3">
        <f t="shared" si="32"/>
        <v>676541</v>
      </c>
      <c r="AQ21" s="6">
        <f t="shared" si="33"/>
        <v>573.70000000000005</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11" t="s">
        <v>22</v>
      </c>
      <c r="B22" s="32"/>
      <c r="C22" s="38"/>
      <c r="D22" s="38"/>
      <c r="E22" s="3">
        <f t="shared" si="34"/>
        <v>1599.2068965517242</v>
      </c>
      <c r="F22" s="3">
        <v>46377</v>
      </c>
      <c r="G22" s="6">
        <v>29</v>
      </c>
      <c r="H22" s="3" t="e">
        <f t="shared" si="35"/>
        <v>#DIV/0!</v>
      </c>
      <c r="I22" s="3">
        <v>0</v>
      </c>
      <c r="J22" s="6">
        <v>0</v>
      </c>
      <c r="K22" s="3">
        <f t="shared" si="36"/>
        <v>1847.8625954198474</v>
      </c>
      <c r="L22" s="3">
        <v>24207</v>
      </c>
      <c r="M22" s="6">
        <v>13.1</v>
      </c>
      <c r="N22" s="3">
        <f t="shared" si="37"/>
        <v>1961.0344827586207</v>
      </c>
      <c r="O22" s="3">
        <v>39809</v>
      </c>
      <c r="P22" s="6">
        <v>20.3</v>
      </c>
      <c r="Q22" s="3">
        <f t="shared" si="38"/>
        <v>2388.6470588235293</v>
      </c>
      <c r="R22" s="3">
        <v>40607</v>
      </c>
      <c r="S22" s="6">
        <v>17</v>
      </c>
      <c r="T22" s="3">
        <f t="shared" si="39"/>
        <v>2027.5</v>
      </c>
      <c r="U22" s="3">
        <v>3244</v>
      </c>
      <c r="V22" s="6">
        <v>1.6</v>
      </c>
      <c r="W22" s="3">
        <f t="shared" si="40"/>
        <v>1050.979020979021</v>
      </c>
      <c r="X22" s="3">
        <v>15029</v>
      </c>
      <c r="Y22" s="6">
        <v>14.3</v>
      </c>
      <c r="Z22" s="3">
        <f t="shared" si="41"/>
        <v>1776.4705882352941</v>
      </c>
      <c r="AA22" s="3">
        <v>24160</v>
      </c>
      <c r="AB22" s="6">
        <v>13.6</v>
      </c>
      <c r="AC22" s="3">
        <f t="shared" si="42"/>
        <v>3091</v>
      </c>
      <c r="AD22" s="3">
        <v>6182</v>
      </c>
      <c r="AE22" s="6">
        <v>2</v>
      </c>
      <c r="AF22" s="3">
        <f t="shared" si="43"/>
        <v>1603.6813186813188</v>
      </c>
      <c r="AG22" s="3">
        <v>29187</v>
      </c>
      <c r="AH22" s="6">
        <v>18.2</v>
      </c>
      <c r="AI22" s="3">
        <f t="shared" si="44"/>
        <v>1793.9285714285716</v>
      </c>
      <c r="AJ22" s="3">
        <v>5023</v>
      </c>
      <c r="AK22" s="6">
        <v>2.8</v>
      </c>
      <c r="AL22" s="3">
        <f t="shared" si="45"/>
        <v>1452.5270758122745</v>
      </c>
      <c r="AM22" s="3">
        <v>40235</v>
      </c>
      <c r="AN22" s="6">
        <v>27.7</v>
      </c>
      <c r="AO22" s="3">
        <f t="shared" si="29"/>
        <v>1717.1679197994988</v>
      </c>
      <c r="AP22" s="3">
        <f t="shared" si="32"/>
        <v>274060</v>
      </c>
      <c r="AQ22" s="6">
        <f t="shared" si="33"/>
        <v>159.6</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11" t="s">
        <v>52</v>
      </c>
      <c r="B23" s="32"/>
      <c r="C23" s="38"/>
      <c r="D23" s="38"/>
      <c r="E23" s="3">
        <f t="shared" si="34"/>
        <v>1134.3544857768052</v>
      </c>
      <c r="F23" s="3">
        <v>51840</v>
      </c>
      <c r="G23" s="6">
        <v>45.7</v>
      </c>
      <c r="H23" s="3">
        <f t="shared" si="35"/>
        <v>1147.5982532751093</v>
      </c>
      <c r="I23" s="3">
        <v>26280</v>
      </c>
      <c r="J23" s="6">
        <v>22.9</v>
      </c>
      <c r="K23" s="3">
        <f t="shared" si="36"/>
        <v>1160.9272918861959</v>
      </c>
      <c r="L23" s="3">
        <v>110172</v>
      </c>
      <c r="M23" s="6">
        <v>94.9</v>
      </c>
      <c r="N23" s="3">
        <f t="shared" si="37"/>
        <v>1127.872340425532</v>
      </c>
      <c r="O23" s="3">
        <v>137826</v>
      </c>
      <c r="P23" s="6">
        <v>122.2</v>
      </c>
      <c r="Q23" s="3">
        <f t="shared" si="38"/>
        <v>1130.5263157894735</v>
      </c>
      <c r="R23" s="3">
        <v>19332</v>
      </c>
      <c r="S23" s="6">
        <v>17.100000000000001</v>
      </c>
      <c r="T23" s="3">
        <f t="shared" si="39"/>
        <v>1111.9685039370079</v>
      </c>
      <c r="U23" s="3">
        <v>70610</v>
      </c>
      <c r="V23" s="6">
        <v>63.5</v>
      </c>
      <c r="W23" s="3">
        <f t="shared" si="40"/>
        <v>1019.3013100436682</v>
      </c>
      <c r="X23" s="3">
        <v>23342</v>
      </c>
      <c r="Y23" s="6">
        <v>22.9</v>
      </c>
      <c r="Z23" s="3">
        <f t="shared" si="41"/>
        <v>1304.6198830409355</v>
      </c>
      <c r="AA23" s="3">
        <v>22309</v>
      </c>
      <c r="AB23" s="6">
        <v>17.100000000000001</v>
      </c>
      <c r="AC23" s="3">
        <f t="shared" si="42"/>
        <v>1069.0956072351421</v>
      </c>
      <c r="AD23" s="3">
        <v>41374</v>
      </c>
      <c r="AE23" s="6">
        <v>38.700000000000003</v>
      </c>
      <c r="AF23" s="3">
        <f t="shared" si="43"/>
        <v>1039.2362768496421</v>
      </c>
      <c r="AG23" s="3">
        <v>43544</v>
      </c>
      <c r="AH23" s="6">
        <v>41.9</v>
      </c>
      <c r="AI23" s="3">
        <f t="shared" si="44"/>
        <v>1126.1914893617022</v>
      </c>
      <c r="AJ23" s="3">
        <v>52931</v>
      </c>
      <c r="AK23" s="6">
        <v>47</v>
      </c>
      <c r="AL23" s="3">
        <f t="shared" si="45"/>
        <v>1169.6296296296298</v>
      </c>
      <c r="AM23" s="3">
        <v>37896</v>
      </c>
      <c r="AN23" s="6">
        <v>32.4</v>
      </c>
      <c r="AO23" s="3">
        <f t="shared" si="29"/>
        <v>1125.6507151686387</v>
      </c>
      <c r="AP23" s="3">
        <f t="shared" si="32"/>
        <v>637456</v>
      </c>
      <c r="AQ23" s="6">
        <f t="shared" si="33"/>
        <v>566.29999999999995</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11" t="s">
        <v>88</v>
      </c>
      <c r="B24" s="32"/>
      <c r="C24" s="38"/>
      <c r="D24" s="38"/>
      <c r="E24" s="3" t="e">
        <f t="shared" si="34"/>
        <v>#DIV/0!</v>
      </c>
      <c r="F24" s="3">
        <v>0</v>
      </c>
      <c r="G24" s="6">
        <v>0</v>
      </c>
      <c r="H24" s="3" t="e">
        <f t="shared" si="35"/>
        <v>#DIV/0!</v>
      </c>
      <c r="I24" s="3">
        <v>0</v>
      </c>
      <c r="J24" s="6">
        <v>0</v>
      </c>
      <c r="K24" s="3" t="e">
        <f t="shared" si="36"/>
        <v>#DIV/0!</v>
      </c>
      <c r="L24" s="3">
        <v>0</v>
      </c>
      <c r="M24" s="6">
        <v>0</v>
      </c>
      <c r="N24" s="3" t="e">
        <f t="shared" si="37"/>
        <v>#DIV/0!</v>
      </c>
      <c r="O24" s="3">
        <v>0</v>
      </c>
      <c r="P24" s="6">
        <v>0</v>
      </c>
      <c r="Q24" s="3" t="e">
        <f t="shared" si="38"/>
        <v>#DIV/0!</v>
      </c>
      <c r="R24" s="3">
        <v>0</v>
      </c>
      <c r="S24" s="6">
        <v>0</v>
      </c>
      <c r="T24" s="3" t="e">
        <f t="shared" si="39"/>
        <v>#DIV/0!</v>
      </c>
      <c r="U24" s="3">
        <v>0</v>
      </c>
      <c r="V24" s="6">
        <v>0</v>
      </c>
      <c r="W24" s="3" t="e">
        <f t="shared" si="40"/>
        <v>#DIV/0!</v>
      </c>
      <c r="X24" s="3">
        <v>0</v>
      </c>
      <c r="Y24" s="6">
        <v>0</v>
      </c>
      <c r="Z24" s="3" t="e">
        <f t="shared" si="41"/>
        <v>#DIV/0!</v>
      </c>
      <c r="AA24" s="3">
        <v>0</v>
      </c>
      <c r="AB24" s="6">
        <v>0</v>
      </c>
      <c r="AC24" s="3" t="e">
        <f t="shared" si="42"/>
        <v>#DIV/0!</v>
      </c>
      <c r="AD24" s="3">
        <v>0</v>
      </c>
      <c r="AE24" s="6">
        <v>0</v>
      </c>
      <c r="AF24" s="3" t="e">
        <f t="shared" si="43"/>
        <v>#DIV/0!</v>
      </c>
      <c r="AG24" s="3">
        <v>0</v>
      </c>
      <c r="AH24" s="6">
        <v>0</v>
      </c>
      <c r="AI24" s="3" t="e">
        <f t="shared" si="44"/>
        <v>#DIV/0!</v>
      </c>
      <c r="AJ24" s="3">
        <v>0</v>
      </c>
      <c r="AK24" s="6">
        <v>0</v>
      </c>
      <c r="AL24" s="3">
        <f t="shared" si="45"/>
        <v>1311.8672199170123</v>
      </c>
      <c r="AM24" s="3">
        <v>31616</v>
      </c>
      <c r="AN24" s="6">
        <v>24.1</v>
      </c>
      <c r="AO24" s="3">
        <f t="shared" si="29"/>
        <v>1311.8672199170123</v>
      </c>
      <c r="AP24" s="3">
        <f t="shared" si="32"/>
        <v>31616</v>
      </c>
      <c r="AQ24" s="6">
        <f t="shared" si="33"/>
        <v>24.1</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11" t="s">
        <v>65</v>
      </c>
      <c r="B25" s="32"/>
      <c r="C25" s="38"/>
      <c r="D25" s="38"/>
      <c r="E25" s="3" t="e">
        <f t="shared" si="34"/>
        <v>#DIV/0!</v>
      </c>
      <c r="F25" s="3">
        <v>0</v>
      </c>
      <c r="G25" s="6">
        <v>0</v>
      </c>
      <c r="H25" s="3">
        <f t="shared" si="35"/>
        <v>1311.65</v>
      </c>
      <c r="I25" s="3">
        <v>26233</v>
      </c>
      <c r="J25" s="6">
        <v>20</v>
      </c>
      <c r="K25" s="3">
        <f t="shared" si="36"/>
        <v>1328.05</v>
      </c>
      <c r="L25" s="3">
        <v>26561</v>
      </c>
      <c r="M25" s="6">
        <v>20</v>
      </c>
      <c r="N25" s="3" t="e">
        <f t="shared" si="37"/>
        <v>#DIV/0!</v>
      </c>
      <c r="O25" s="3">
        <v>0</v>
      </c>
      <c r="P25" s="6">
        <v>0</v>
      </c>
      <c r="Q25" s="3">
        <f t="shared" si="38"/>
        <v>1311.65</v>
      </c>
      <c r="R25" s="3">
        <v>26233</v>
      </c>
      <c r="S25" s="6">
        <v>20</v>
      </c>
      <c r="T25" s="3">
        <f t="shared" si="39"/>
        <v>1276.4000000000001</v>
      </c>
      <c r="U25" s="3">
        <v>25528</v>
      </c>
      <c r="V25" s="6">
        <v>20</v>
      </c>
      <c r="W25" s="3">
        <f t="shared" si="40"/>
        <v>1292.75</v>
      </c>
      <c r="X25" s="3">
        <v>25855</v>
      </c>
      <c r="Y25" s="6">
        <v>20</v>
      </c>
      <c r="Z25" s="3">
        <f t="shared" si="41"/>
        <v>1318.6</v>
      </c>
      <c r="AA25" s="3">
        <v>26372</v>
      </c>
      <c r="AB25" s="6">
        <v>20</v>
      </c>
      <c r="AC25" s="3" t="e">
        <f t="shared" si="42"/>
        <v>#DIV/0!</v>
      </c>
      <c r="AD25" s="3">
        <v>0</v>
      </c>
      <c r="AE25" s="6">
        <v>0</v>
      </c>
      <c r="AF25" s="3">
        <f t="shared" si="43"/>
        <v>1316.05</v>
      </c>
      <c r="AG25" s="3">
        <v>26321</v>
      </c>
      <c r="AH25" s="6">
        <v>20</v>
      </c>
      <c r="AI25" s="3">
        <f t="shared" si="44"/>
        <v>1381.6</v>
      </c>
      <c r="AJ25" s="3">
        <v>27632</v>
      </c>
      <c r="AK25" s="6">
        <v>20</v>
      </c>
      <c r="AL25" s="3">
        <f t="shared" si="45"/>
        <v>1363.3</v>
      </c>
      <c r="AM25" s="3">
        <v>27266</v>
      </c>
      <c r="AN25" s="6">
        <v>20</v>
      </c>
      <c r="AO25" s="3">
        <f t="shared" si="29"/>
        <v>1322.2277777777779</v>
      </c>
      <c r="AP25" s="3">
        <f t="shared" si="32"/>
        <v>238001</v>
      </c>
      <c r="AQ25" s="6">
        <f t="shared" si="33"/>
        <v>180</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11" t="s">
        <v>63</v>
      </c>
      <c r="B26" s="32"/>
      <c r="C26" s="38"/>
      <c r="D26" s="38"/>
      <c r="E26" s="3">
        <f t="shared" si="34"/>
        <v>1128.0525164113785</v>
      </c>
      <c r="F26" s="3">
        <v>51552</v>
      </c>
      <c r="G26" s="6">
        <v>45.7</v>
      </c>
      <c r="H26" s="3">
        <f t="shared" si="35"/>
        <v>1142.2319474835886</v>
      </c>
      <c r="I26" s="3">
        <v>52200</v>
      </c>
      <c r="J26" s="6">
        <v>45.7</v>
      </c>
      <c r="K26" s="3">
        <f t="shared" si="36"/>
        <v>1165.2351738241309</v>
      </c>
      <c r="L26" s="3">
        <v>56980</v>
      </c>
      <c r="M26" s="6">
        <v>48.9</v>
      </c>
      <c r="N26" s="3">
        <f t="shared" si="37"/>
        <v>1169.4144144144145</v>
      </c>
      <c r="O26" s="3">
        <v>51922</v>
      </c>
      <c r="P26" s="6">
        <v>44.4</v>
      </c>
      <c r="Q26" s="3">
        <f t="shared" si="38"/>
        <v>1146.6545454545455</v>
      </c>
      <c r="R26" s="3">
        <v>31533</v>
      </c>
      <c r="S26" s="6">
        <v>27.5</v>
      </c>
      <c r="T26" s="3">
        <f t="shared" si="39"/>
        <v>1130.7086614173229</v>
      </c>
      <c r="U26" s="3">
        <v>28720</v>
      </c>
      <c r="V26" s="6">
        <v>25.4</v>
      </c>
      <c r="W26" s="3">
        <f t="shared" si="40"/>
        <v>1223.5294117647059</v>
      </c>
      <c r="X26" s="3">
        <v>6240</v>
      </c>
      <c r="Y26" s="6">
        <v>5.0999999999999996</v>
      </c>
      <c r="Z26" s="3">
        <f t="shared" si="41"/>
        <v>1094.6938775510205</v>
      </c>
      <c r="AA26" s="3">
        <v>75096</v>
      </c>
      <c r="AB26" s="6">
        <v>68.599999999999994</v>
      </c>
      <c r="AC26" s="3">
        <f t="shared" si="42"/>
        <v>1078.4279475982532</v>
      </c>
      <c r="AD26" s="3">
        <v>24696</v>
      </c>
      <c r="AE26" s="6">
        <v>22.9</v>
      </c>
      <c r="AF26" s="3">
        <f t="shared" si="43"/>
        <v>1106.4431486880467</v>
      </c>
      <c r="AG26" s="3">
        <v>75902</v>
      </c>
      <c r="AH26" s="6">
        <v>68.599999999999994</v>
      </c>
      <c r="AI26" s="3">
        <f t="shared" si="44"/>
        <v>1080.1657458563534</v>
      </c>
      <c r="AJ26" s="3">
        <v>19551</v>
      </c>
      <c r="AK26" s="6">
        <v>18.100000000000001</v>
      </c>
      <c r="AL26" s="3">
        <f t="shared" si="45"/>
        <v>1078.4279475982532</v>
      </c>
      <c r="AM26" s="3">
        <v>24696</v>
      </c>
      <c r="AN26" s="6">
        <v>22.9</v>
      </c>
      <c r="AO26" s="3">
        <f t="shared" si="29"/>
        <v>1124.5786390265887</v>
      </c>
      <c r="AP26" s="3">
        <f t="shared" si="32"/>
        <v>499088</v>
      </c>
      <c r="AQ26" s="6">
        <f t="shared" si="33"/>
        <v>443.79999999999995</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11" t="s">
        <v>23</v>
      </c>
      <c r="B27" s="32"/>
      <c r="C27" s="38"/>
      <c r="D27" s="38"/>
      <c r="E27" s="3" t="e">
        <f t="shared" si="34"/>
        <v>#DIV/0!</v>
      </c>
      <c r="F27" s="3">
        <v>0</v>
      </c>
      <c r="G27" s="6">
        <v>0</v>
      </c>
      <c r="H27" s="3">
        <f t="shared" si="35"/>
        <v>1155.2331606217617</v>
      </c>
      <c r="I27" s="3">
        <v>22296</v>
      </c>
      <c r="J27" s="6">
        <v>19.3</v>
      </c>
      <c r="K27" s="3">
        <f t="shared" si="36"/>
        <v>1213.0904522613066</v>
      </c>
      <c r="L27" s="3">
        <v>48281</v>
      </c>
      <c r="M27" s="6">
        <v>39.799999999999997</v>
      </c>
      <c r="N27" s="3">
        <f t="shared" si="37"/>
        <v>1699.2880613362543</v>
      </c>
      <c r="O27" s="3">
        <v>155145</v>
      </c>
      <c r="P27" s="6">
        <v>91.3</v>
      </c>
      <c r="Q27" s="3">
        <f t="shared" si="38"/>
        <v>870.46929198122825</v>
      </c>
      <c r="R27" s="3">
        <v>853234</v>
      </c>
      <c r="S27" s="6">
        <v>980.2</v>
      </c>
      <c r="T27" s="3" t="e">
        <f t="shared" si="39"/>
        <v>#DIV/0!</v>
      </c>
      <c r="U27" s="3">
        <v>0</v>
      </c>
      <c r="V27" s="6">
        <v>0</v>
      </c>
      <c r="W27" s="3">
        <f t="shared" si="40"/>
        <v>1463.4146341463415</v>
      </c>
      <c r="X27" s="3">
        <v>120000</v>
      </c>
      <c r="Y27" s="6">
        <v>82</v>
      </c>
      <c r="Z27" s="3">
        <f t="shared" si="41"/>
        <v>1221.5977961432509</v>
      </c>
      <c r="AA27" s="3">
        <v>88688</v>
      </c>
      <c r="AB27" s="6">
        <v>72.599999999999994</v>
      </c>
      <c r="AC27" s="3">
        <f t="shared" si="42"/>
        <v>2003.8823529411766</v>
      </c>
      <c r="AD27" s="3">
        <v>17033</v>
      </c>
      <c r="AE27" s="6">
        <v>8.5</v>
      </c>
      <c r="AF27" s="3" t="e">
        <f t="shared" si="43"/>
        <v>#DIV/0!</v>
      </c>
      <c r="AG27" s="3">
        <v>0</v>
      </c>
      <c r="AH27" s="6">
        <v>0</v>
      </c>
      <c r="AI27" s="3">
        <f t="shared" si="44"/>
        <v>804.01697218815264</v>
      </c>
      <c r="AJ27" s="3">
        <v>2425478</v>
      </c>
      <c r="AK27" s="6">
        <v>3016.7</v>
      </c>
      <c r="AL27" s="3">
        <f t="shared" si="45"/>
        <v>1224.9723756906076</v>
      </c>
      <c r="AM27" s="3">
        <v>22172</v>
      </c>
      <c r="AN27" s="6">
        <v>18.100000000000001</v>
      </c>
      <c r="AO27" s="3">
        <f t="shared" si="29"/>
        <v>866.88852951368835</v>
      </c>
      <c r="AP27" s="3">
        <f t="shared" si="32"/>
        <v>3752327</v>
      </c>
      <c r="AQ27" s="6">
        <f t="shared" si="33"/>
        <v>4328.5</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11" t="s">
        <v>61</v>
      </c>
      <c r="B28" s="32"/>
      <c r="C28" s="38"/>
      <c r="D28" s="38"/>
      <c r="E28" s="3">
        <f t="shared" si="34"/>
        <v>1166.4513108614233</v>
      </c>
      <c r="F28" s="3">
        <v>249154</v>
      </c>
      <c r="G28" s="6">
        <v>213.6</v>
      </c>
      <c r="H28" s="3">
        <f t="shared" si="35"/>
        <v>1045.8016741790084</v>
      </c>
      <c r="I28" s="3">
        <v>162413</v>
      </c>
      <c r="J28" s="6">
        <v>155.30000000000001</v>
      </c>
      <c r="K28" s="3">
        <f t="shared" si="36"/>
        <v>1144.6174496644296</v>
      </c>
      <c r="L28" s="3">
        <v>255822</v>
      </c>
      <c r="M28" s="6">
        <v>223.5</v>
      </c>
      <c r="N28" s="3">
        <f t="shared" si="37"/>
        <v>1122.7551487414187</v>
      </c>
      <c r="O28" s="3">
        <v>245322</v>
      </c>
      <c r="P28" s="6">
        <v>218.5</v>
      </c>
      <c r="Q28" s="3">
        <f t="shared" si="38"/>
        <v>1122.0160213618158</v>
      </c>
      <c r="R28" s="3">
        <v>84039</v>
      </c>
      <c r="S28" s="6">
        <v>74.900000000000006</v>
      </c>
      <c r="T28" s="3">
        <f t="shared" si="39"/>
        <v>1089.5255813953488</v>
      </c>
      <c r="U28" s="3">
        <v>234248</v>
      </c>
      <c r="V28" s="6">
        <v>215</v>
      </c>
      <c r="W28" s="3">
        <f t="shared" si="40"/>
        <v>1233.4124999999999</v>
      </c>
      <c r="X28" s="3">
        <v>98673</v>
      </c>
      <c r="Y28" s="6">
        <v>80</v>
      </c>
      <c r="Z28" s="3">
        <f t="shared" si="41"/>
        <v>1083.1784386617101</v>
      </c>
      <c r="AA28" s="3">
        <v>116550</v>
      </c>
      <c r="AB28" s="6">
        <v>107.6</v>
      </c>
      <c r="AC28" s="3">
        <f t="shared" si="42"/>
        <v>1077.4468085106384</v>
      </c>
      <c r="AD28" s="3">
        <v>91152</v>
      </c>
      <c r="AE28" s="6">
        <v>84.6</v>
      </c>
      <c r="AF28" s="3">
        <f t="shared" si="43"/>
        <v>1267.6140350877192</v>
      </c>
      <c r="AG28" s="3">
        <v>36127</v>
      </c>
      <c r="AH28" s="6">
        <v>28.5</v>
      </c>
      <c r="AI28" s="3">
        <f t="shared" si="44"/>
        <v>964.8241206030151</v>
      </c>
      <c r="AJ28" s="3">
        <v>19200</v>
      </c>
      <c r="AK28" s="6">
        <v>19.899999999999999</v>
      </c>
      <c r="AL28" s="3">
        <f t="shared" si="45"/>
        <v>1180.9392265193369</v>
      </c>
      <c r="AM28" s="3">
        <v>21375</v>
      </c>
      <c r="AN28" s="6">
        <v>18.100000000000001</v>
      </c>
      <c r="AO28" s="3">
        <f t="shared" si="29"/>
        <v>1121.2747481764504</v>
      </c>
      <c r="AP28" s="3">
        <f t="shared" si="32"/>
        <v>1614075</v>
      </c>
      <c r="AQ28" s="6">
        <f t="shared" si="33"/>
        <v>1439.4999999999998</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11" t="s">
        <v>56</v>
      </c>
      <c r="B29" s="32"/>
      <c r="C29" s="38"/>
      <c r="D29" s="38"/>
      <c r="E29" s="3">
        <f t="shared" si="34"/>
        <v>2358.3720930232557</v>
      </c>
      <c r="F29" s="3">
        <v>10141</v>
      </c>
      <c r="G29" s="6">
        <v>4.3</v>
      </c>
      <c r="H29" s="3">
        <f t="shared" si="35"/>
        <v>2063.6160714285716</v>
      </c>
      <c r="I29" s="3">
        <v>46225</v>
      </c>
      <c r="J29" s="6">
        <v>22.4</v>
      </c>
      <c r="K29" s="3">
        <f t="shared" si="36"/>
        <v>1976.037037037037</v>
      </c>
      <c r="L29" s="3">
        <v>53353</v>
      </c>
      <c r="M29" s="6">
        <v>27</v>
      </c>
      <c r="N29" s="3">
        <f t="shared" si="37"/>
        <v>1708.9344262295083</v>
      </c>
      <c r="O29" s="3">
        <v>20849</v>
      </c>
      <c r="P29" s="6">
        <v>12.2</v>
      </c>
      <c r="Q29" s="3">
        <f t="shared" si="38"/>
        <v>1781.279069767442</v>
      </c>
      <c r="R29" s="3">
        <v>15319</v>
      </c>
      <c r="S29" s="6">
        <v>8.6</v>
      </c>
      <c r="T29" s="3">
        <f t="shared" si="39"/>
        <v>2387</v>
      </c>
      <c r="U29" s="3">
        <v>35805</v>
      </c>
      <c r="V29" s="6">
        <v>15</v>
      </c>
      <c r="W29" s="3">
        <f t="shared" si="40"/>
        <v>1218.1521739130435</v>
      </c>
      <c r="X29" s="3">
        <v>11207</v>
      </c>
      <c r="Y29" s="6">
        <v>9.1999999999999993</v>
      </c>
      <c r="Z29" s="3">
        <f t="shared" si="41"/>
        <v>2227.8947368421054</v>
      </c>
      <c r="AA29" s="3">
        <v>8466</v>
      </c>
      <c r="AB29" s="6">
        <v>3.8</v>
      </c>
      <c r="AC29" s="3">
        <f t="shared" si="42"/>
        <v>2249.3548387096776</v>
      </c>
      <c r="AD29" s="3">
        <v>6973</v>
      </c>
      <c r="AE29" s="6">
        <v>3.1</v>
      </c>
      <c r="AF29" s="3">
        <f t="shared" si="43"/>
        <v>1201.521739130435</v>
      </c>
      <c r="AG29" s="3">
        <v>5527</v>
      </c>
      <c r="AH29" s="6">
        <v>4.5999999999999996</v>
      </c>
      <c r="AI29" s="3">
        <f t="shared" si="44"/>
        <v>2182.7322404371585</v>
      </c>
      <c r="AJ29" s="3">
        <v>39944</v>
      </c>
      <c r="AK29" s="6">
        <v>18.3</v>
      </c>
      <c r="AL29" s="3">
        <f t="shared" si="45"/>
        <v>1311.7777777777778</v>
      </c>
      <c r="AM29" s="3">
        <v>11806</v>
      </c>
      <c r="AN29" s="6">
        <v>9</v>
      </c>
      <c r="AO29" s="3">
        <f t="shared" si="29"/>
        <v>1931.7454545454545</v>
      </c>
      <c r="AP29" s="3">
        <f t="shared" si="32"/>
        <v>265615</v>
      </c>
      <c r="AQ29" s="6">
        <f t="shared" si="33"/>
        <v>137.5</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11" t="s">
        <v>53</v>
      </c>
      <c r="B30" s="32"/>
      <c r="C30" s="38"/>
      <c r="D30" s="38"/>
      <c r="E30" s="3">
        <f t="shared" si="34"/>
        <v>1638.8</v>
      </c>
      <c r="F30" s="3">
        <v>4097</v>
      </c>
      <c r="G30" s="6">
        <v>2.5</v>
      </c>
      <c r="H30" s="3">
        <f t="shared" si="35"/>
        <v>1658.9473684210527</v>
      </c>
      <c r="I30" s="3">
        <v>3152</v>
      </c>
      <c r="J30" s="6">
        <v>1.9</v>
      </c>
      <c r="K30" s="3">
        <f t="shared" si="36"/>
        <v>1563.0714285714287</v>
      </c>
      <c r="L30" s="3">
        <v>21883</v>
      </c>
      <c r="M30" s="6">
        <v>14</v>
      </c>
      <c r="N30" s="3">
        <f t="shared" si="37"/>
        <v>1455.7286432160804</v>
      </c>
      <c r="O30" s="3">
        <v>28969</v>
      </c>
      <c r="P30" s="6">
        <v>19.899999999999999</v>
      </c>
      <c r="Q30" s="3">
        <f t="shared" si="38"/>
        <v>1436.3583815028901</v>
      </c>
      <c r="R30" s="3">
        <v>24849</v>
      </c>
      <c r="S30" s="6">
        <v>17.3</v>
      </c>
      <c r="T30" s="3">
        <f t="shared" si="39"/>
        <v>1628.6666666666667</v>
      </c>
      <c r="U30" s="3">
        <v>12215</v>
      </c>
      <c r="V30" s="6">
        <v>7.5</v>
      </c>
      <c r="W30" s="3">
        <f t="shared" si="40"/>
        <v>1611.0526315789473</v>
      </c>
      <c r="X30" s="3">
        <v>15305</v>
      </c>
      <c r="Y30" s="6">
        <v>9.5</v>
      </c>
      <c r="Z30" s="3">
        <f t="shared" si="41"/>
        <v>1646.4285714285713</v>
      </c>
      <c r="AA30" s="3">
        <v>11525</v>
      </c>
      <c r="AB30" s="6">
        <v>7</v>
      </c>
      <c r="AC30" s="3">
        <f t="shared" si="42"/>
        <v>1678.1553398058252</v>
      </c>
      <c r="AD30" s="3">
        <v>17285</v>
      </c>
      <c r="AE30" s="6">
        <v>10.3</v>
      </c>
      <c r="AF30" s="3">
        <f t="shared" si="43"/>
        <v>1662.1363636363637</v>
      </c>
      <c r="AG30" s="3">
        <v>36567</v>
      </c>
      <c r="AH30" s="6">
        <v>22</v>
      </c>
      <c r="AI30" s="3">
        <f t="shared" si="44"/>
        <v>2284.6226415094338</v>
      </c>
      <c r="AJ30" s="3">
        <v>24217</v>
      </c>
      <c r="AK30" s="6">
        <v>10.6</v>
      </c>
      <c r="AL30" s="3">
        <f t="shared" si="45"/>
        <v>1381.8840579710145</v>
      </c>
      <c r="AM30" s="3">
        <v>9535</v>
      </c>
      <c r="AN30" s="6">
        <v>6.9</v>
      </c>
      <c r="AO30" s="3">
        <f t="shared" si="29"/>
        <v>1619.7758887171565</v>
      </c>
      <c r="AP30" s="3">
        <f t="shared" si="32"/>
        <v>209599</v>
      </c>
      <c r="AQ30" s="6">
        <f t="shared" si="33"/>
        <v>129.39999999999998</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11" t="s">
        <v>74</v>
      </c>
      <c r="B31" s="32"/>
      <c r="C31" s="38"/>
      <c r="D31" s="38"/>
      <c r="E31" s="3" t="e">
        <f t="shared" si="34"/>
        <v>#DIV/0!</v>
      </c>
      <c r="F31" s="3">
        <v>0</v>
      </c>
      <c r="G31" s="6">
        <v>0</v>
      </c>
      <c r="H31" s="3" t="e">
        <f t="shared" si="35"/>
        <v>#DIV/0!</v>
      </c>
      <c r="I31" s="3">
        <v>0</v>
      </c>
      <c r="J31" s="6">
        <v>0</v>
      </c>
      <c r="K31" s="3" t="e">
        <f t="shared" si="36"/>
        <v>#DIV/0!</v>
      </c>
      <c r="L31" s="3">
        <v>0</v>
      </c>
      <c r="M31" s="6">
        <v>0</v>
      </c>
      <c r="N31" s="3" t="e">
        <f t="shared" si="37"/>
        <v>#DIV/0!</v>
      </c>
      <c r="O31" s="3">
        <v>0</v>
      </c>
      <c r="P31" s="6">
        <v>0</v>
      </c>
      <c r="Q31" s="3" t="e">
        <f t="shared" si="38"/>
        <v>#DIV/0!</v>
      </c>
      <c r="R31" s="3">
        <v>0</v>
      </c>
      <c r="S31" s="6">
        <v>0</v>
      </c>
      <c r="T31" s="3" t="e">
        <f t="shared" si="39"/>
        <v>#DIV/0!</v>
      </c>
      <c r="U31" s="3">
        <v>0</v>
      </c>
      <c r="V31" s="6">
        <v>0</v>
      </c>
      <c r="W31" s="3" t="e">
        <f t="shared" si="40"/>
        <v>#DIV/0!</v>
      </c>
      <c r="X31" s="3">
        <v>0</v>
      </c>
      <c r="Y31" s="6">
        <v>0</v>
      </c>
      <c r="Z31" s="3" t="e">
        <f t="shared" si="41"/>
        <v>#DIV/0!</v>
      </c>
      <c r="AA31" s="3">
        <v>0</v>
      </c>
      <c r="AB31" s="6">
        <v>0</v>
      </c>
      <c r="AC31" s="3">
        <f t="shared" si="42"/>
        <v>2034.6341463414635</v>
      </c>
      <c r="AD31" s="3">
        <v>8342</v>
      </c>
      <c r="AE31" s="6">
        <v>4.0999999999999996</v>
      </c>
      <c r="AF31" s="3" t="e">
        <f t="shared" si="43"/>
        <v>#DIV/0!</v>
      </c>
      <c r="AG31" s="3">
        <v>0</v>
      </c>
      <c r="AH31" s="6">
        <v>0</v>
      </c>
      <c r="AI31" s="3" t="e">
        <f t="shared" si="44"/>
        <v>#DIV/0!</v>
      </c>
      <c r="AJ31" s="3">
        <v>0</v>
      </c>
      <c r="AK31" s="6">
        <v>0</v>
      </c>
      <c r="AL31" s="3">
        <f t="shared" si="45"/>
        <v>2037.3170731707319</v>
      </c>
      <c r="AM31" s="3">
        <v>8353</v>
      </c>
      <c r="AN31" s="6">
        <v>4.0999999999999996</v>
      </c>
      <c r="AO31" s="3">
        <f t="shared" si="29"/>
        <v>2035.9756097560978</v>
      </c>
      <c r="AP31" s="3">
        <f t="shared" si="32"/>
        <v>16695</v>
      </c>
      <c r="AQ31" s="6">
        <f t="shared" si="33"/>
        <v>8.1999999999999993</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11" t="s">
        <v>66</v>
      </c>
      <c r="B32" s="32"/>
      <c r="C32" s="38"/>
      <c r="D32" s="38"/>
      <c r="E32" s="3">
        <f t="shared" si="34"/>
        <v>1411.7333333333333</v>
      </c>
      <c r="F32" s="3">
        <v>10588</v>
      </c>
      <c r="G32" s="6">
        <v>7.5</v>
      </c>
      <c r="H32" s="3">
        <f t="shared" si="35"/>
        <v>1923.8356164383563</v>
      </c>
      <c r="I32" s="3">
        <v>14044</v>
      </c>
      <c r="J32" s="6">
        <v>7.3</v>
      </c>
      <c r="K32" s="3" t="e">
        <f t="shared" si="36"/>
        <v>#DIV/0!</v>
      </c>
      <c r="L32" s="3">
        <v>0</v>
      </c>
      <c r="M32" s="6">
        <v>0</v>
      </c>
      <c r="N32" s="3">
        <f t="shared" si="37"/>
        <v>2268.75</v>
      </c>
      <c r="O32" s="3">
        <v>3630</v>
      </c>
      <c r="P32" s="6">
        <v>1.6</v>
      </c>
      <c r="Q32" s="3" t="e">
        <f t="shared" si="38"/>
        <v>#DIV/0!</v>
      </c>
      <c r="R32" s="3">
        <v>0</v>
      </c>
      <c r="S32" s="6">
        <v>0</v>
      </c>
      <c r="T32" s="3">
        <f t="shared" si="39"/>
        <v>1601.2280701754385</v>
      </c>
      <c r="U32" s="3">
        <v>9127</v>
      </c>
      <c r="V32" s="6">
        <v>5.7</v>
      </c>
      <c r="W32" s="3">
        <f t="shared" si="40"/>
        <v>1080</v>
      </c>
      <c r="X32" s="3">
        <v>4320</v>
      </c>
      <c r="Y32" s="6">
        <v>4</v>
      </c>
      <c r="Z32" s="3" t="e">
        <f t="shared" si="41"/>
        <v>#DIV/0!</v>
      </c>
      <c r="AA32" s="3">
        <v>0</v>
      </c>
      <c r="AB32" s="6">
        <v>0</v>
      </c>
      <c r="AC32" s="3">
        <f t="shared" si="42"/>
        <v>1111.0344827586207</v>
      </c>
      <c r="AD32" s="3">
        <v>3222</v>
      </c>
      <c r="AE32" s="6">
        <v>2.9</v>
      </c>
      <c r="AF32" s="3">
        <f t="shared" si="43"/>
        <v>2878</v>
      </c>
      <c r="AG32" s="3">
        <v>2878</v>
      </c>
      <c r="AH32" s="6">
        <v>1</v>
      </c>
      <c r="AI32" s="3">
        <f t="shared" si="44"/>
        <v>2640</v>
      </c>
      <c r="AJ32" s="3">
        <v>3696</v>
      </c>
      <c r="AK32" s="6">
        <v>1.4</v>
      </c>
      <c r="AL32" s="3">
        <f t="shared" si="45"/>
        <v>2406.8000000000002</v>
      </c>
      <c r="AM32" s="3">
        <v>6017</v>
      </c>
      <c r="AN32" s="6">
        <v>2.5</v>
      </c>
      <c r="AO32" s="3">
        <f t="shared" si="29"/>
        <v>1696.8141592920354</v>
      </c>
      <c r="AP32" s="3">
        <f t="shared" si="32"/>
        <v>57522</v>
      </c>
      <c r="AQ32" s="6">
        <f t="shared" si="33"/>
        <v>33.9</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11" t="s">
        <v>24</v>
      </c>
      <c r="B33" s="32"/>
      <c r="C33" s="38"/>
      <c r="D33" s="38"/>
      <c r="E33" s="3">
        <f t="shared" si="34"/>
        <v>1041.1828644501279</v>
      </c>
      <c r="F33" s="3">
        <v>162841</v>
      </c>
      <c r="G33" s="6">
        <v>156.4</v>
      </c>
      <c r="H33" s="3">
        <f t="shared" si="35"/>
        <v>1329.8125585754451</v>
      </c>
      <c r="I33" s="3">
        <v>141891</v>
      </c>
      <c r="J33" s="6">
        <v>106.7</v>
      </c>
      <c r="K33" s="3">
        <f t="shared" si="36"/>
        <v>1141.8951612903227</v>
      </c>
      <c r="L33" s="3">
        <v>396466</v>
      </c>
      <c r="M33" s="6">
        <v>347.2</v>
      </c>
      <c r="N33" s="3">
        <f t="shared" si="37"/>
        <v>1568.543371522095</v>
      </c>
      <c r="O33" s="3">
        <v>95838</v>
      </c>
      <c r="P33" s="6">
        <v>61.1</v>
      </c>
      <c r="Q33" s="3">
        <f t="shared" si="38"/>
        <v>1122.4015748031497</v>
      </c>
      <c r="R33" s="3">
        <v>28509</v>
      </c>
      <c r="S33" s="6">
        <v>25.4</v>
      </c>
      <c r="T33" s="3">
        <f t="shared" si="39"/>
        <v>1306.9121813031161</v>
      </c>
      <c r="U33" s="3">
        <v>230670</v>
      </c>
      <c r="V33" s="6">
        <v>176.5</v>
      </c>
      <c r="W33" s="3">
        <f t="shared" si="40"/>
        <v>1155.0917244190787</v>
      </c>
      <c r="X33" s="3">
        <v>283344</v>
      </c>
      <c r="Y33" s="6">
        <v>245.3</v>
      </c>
      <c r="Z33" s="3">
        <f t="shared" si="41"/>
        <v>925.33007334963327</v>
      </c>
      <c r="AA33" s="3">
        <v>75692</v>
      </c>
      <c r="AB33" s="6">
        <v>81.8</v>
      </c>
      <c r="AC33" s="3">
        <f t="shared" si="42"/>
        <v>1071.2863070539418</v>
      </c>
      <c r="AD33" s="3">
        <v>25818</v>
      </c>
      <c r="AE33" s="6">
        <v>24.1</v>
      </c>
      <c r="AF33" s="3">
        <f t="shared" si="43"/>
        <v>957.30297723292472</v>
      </c>
      <c r="AG33" s="3">
        <v>109324</v>
      </c>
      <c r="AH33" s="6">
        <v>114.2</v>
      </c>
      <c r="AI33" s="3">
        <f t="shared" si="44"/>
        <v>1840.5961705831157</v>
      </c>
      <c r="AJ33" s="3">
        <v>422969</v>
      </c>
      <c r="AK33" s="6">
        <v>229.8</v>
      </c>
      <c r="AL33" s="3">
        <f t="shared" si="45"/>
        <v>1933.7931034482758</v>
      </c>
      <c r="AM33" s="3">
        <v>5608</v>
      </c>
      <c r="AN33" s="6">
        <v>2.9</v>
      </c>
      <c r="AO33" s="3">
        <f t="shared" si="29"/>
        <v>1259.3674430444191</v>
      </c>
      <c r="AP33" s="3">
        <f t="shared" si="32"/>
        <v>1978970</v>
      </c>
      <c r="AQ33" s="6">
        <f t="shared" si="33"/>
        <v>1571.3999999999999</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11" t="s">
        <v>44</v>
      </c>
      <c r="B34" s="32"/>
      <c r="C34" s="38"/>
      <c r="D34" s="38"/>
      <c r="E34" s="3">
        <f t="shared" si="34"/>
        <v>1434.5214521452144</v>
      </c>
      <c r="F34" s="3">
        <v>43466</v>
      </c>
      <c r="G34" s="6">
        <v>30.3</v>
      </c>
      <c r="H34" s="3">
        <f t="shared" si="35"/>
        <v>2661.4545454545455</v>
      </c>
      <c r="I34" s="3">
        <v>14638</v>
      </c>
      <c r="J34" s="6">
        <v>5.5</v>
      </c>
      <c r="K34" s="3">
        <f t="shared" si="36"/>
        <v>1772.696629213483</v>
      </c>
      <c r="L34" s="3">
        <v>15777</v>
      </c>
      <c r="M34" s="6">
        <v>8.9</v>
      </c>
      <c r="N34" s="3">
        <f t="shared" si="37"/>
        <v>1566.9067796610168</v>
      </c>
      <c r="O34" s="3">
        <v>36979</v>
      </c>
      <c r="P34" s="6">
        <v>23.6</v>
      </c>
      <c r="Q34" s="3">
        <f t="shared" si="38"/>
        <v>1638.7943262411347</v>
      </c>
      <c r="R34" s="3">
        <v>23107</v>
      </c>
      <c r="S34" s="6">
        <v>14.1</v>
      </c>
      <c r="T34" s="3">
        <f t="shared" si="39"/>
        <v>1194.8</v>
      </c>
      <c r="U34" s="3">
        <v>2987</v>
      </c>
      <c r="V34" s="6">
        <v>2.5</v>
      </c>
      <c r="W34" s="3" t="e">
        <f t="shared" si="40"/>
        <v>#DIV/0!</v>
      </c>
      <c r="X34" s="3">
        <v>0</v>
      </c>
      <c r="Y34" s="6">
        <v>0</v>
      </c>
      <c r="Z34" s="3">
        <f t="shared" si="41"/>
        <v>2213.3846153846152</v>
      </c>
      <c r="AA34" s="3">
        <v>14387</v>
      </c>
      <c r="AB34" s="6">
        <v>6.5</v>
      </c>
      <c r="AC34" s="3">
        <f t="shared" si="42"/>
        <v>1087.0769230769231</v>
      </c>
      <c r="AD34" s="3">
        <v>7066</v>
      </c>
      <c r="AE34" s="6">
        <v>6.5</v>
      </c>
      <c r="AF34" s="3">
        <f t="shared" si="43"/>
        <v>1551.2149532710282</v>
      </c>
      <c r="AG34" s="3">
        <v>16598</v>
      </c>
      <c r="AH34" s="6">
        <v>10.7</v>
      </c>
      <c r="AI34" s="3">
        <f t="shared" si="44"/>
        <v>1500.7017543859649</v>
      </c>
      <c r="AJ34" s="3">
        <v>8554</v>
      </c>
      <c r="AK34" s="6">
        <v>5.7</v>
      </c>
      <c r="AL34" s="3">
        <f t="shared" si="45"/>
        <v>1220.909090909091</v>
      </c>
      <c r="AM34" s="3">
        <v>4029</v>
      </c>
      <c r="AN34" s="6">
        <v>3.3</v>
      </c>
      <c r="AO34" s="3">
        <f t="shared" si="29"/>
        <v>1595.1360544217687</v>
      </c>
      <c r="AP34" s="3">
        <f t="shared" si="32"/>
        <v>187588</v>
      </c>
      <c r="AQ34" s="6">
        <f t="shared" si="33"/>
        <v>117.6</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11" t="s">
        <v>30</v>
      </c>
      <c r="B35" s="32"/>
      <c r="C35" s="38"/>
      <c r="D35" s="38"/>
      <c r="E35" s="3" t="e">
        <f t="shared" si="34"/>
        <v>#DIV/0!</v>
      </c>
      <c r="F35" s="3">
        <v>0</v>
      </c>
      <c r="G35" s="6">
        <v>0</v>
      </c>
      <c r="H35" s="3">
        <f t="shared" si="35"/>
        <v>3613.4426229508199</v>
      </c>
      <c r="I35" s="3">
        <v>22042</v>
      </c>
      <c r="J35" s="6">
        <v>6.1</v>
      </c>
      <c r="K35" s="3">
        <f t="shared" si="36"/>
        <v>3828.3977900552482</v>
      </c>
      <c r="L35" s="3">
        <v>69294</v>
      </c>
      <c r="M35" s="6">
        <v>18.100000000000001</v>
      </c>
      <c r="N35" s="3">
        <f t="shared" si="37"/>
        <v>2511.0638297872338</v>
      </c>
      <c r="O35" s="3">
        <v>47208</v>
      </c>
      <c r="P35" s="6">
        <v>18.8</v>
      </c>
      <c r="Q35" s="3">
        <f t="shared" si="38"/>
        <v>4186</v>
      </c>
      <c r="R35" s="3">
        <v>12558</v>
      </c>
      <c r="S35" s="6">
        <v>3</v>
      </c>
      <c r="T35" s="3">
        <f t="shared" si="39"/>
        <v>1803.8888888888887</v>
      </c>
      <c r="U35" s="3">
        <v>9741</v>
      </c>
      <c r="V35" s="6">
        <v>5.4</v>
      </c>
      <c r="W35" s="3" t="e">
        <f t="shared" si="40"/>
        <v>#DIV/0!</v>
      </c>
      <c r="X35" s="3">
        <v>0</v>
      </c>
      <c r="Y35" s="6">
        <v>0</v>
      </c>
      <c r="Z35" s="3" t="e">
        <f t="shared" si="41"/>
        <v>#DIV/0!</v>
      </c>
      <c r="AA35" s="3">
        <v>0</v>
      </c>
      <c r="AB35" s="6">
        <v>0</v>
      </c>
      <c r="AC35" s="3" t="e">
        <f t="shared" si="42"/>
        <v>#DIV/0!</v>
      </c>
      <c r="AD35" s="3">
        <v>0</v>
      </c>
      <c r="AE35" s="6">
        <v>0</v>
      </c>
      <c r="AF35" s="3">
        <f t="shared" si="43"/>
        <v>1331.2264150943397</v>
      </c>
      <c r="AG35" s="3">
        <v>14111</v>
      </c>
      <c r="AH35" s="6">
        <v>10.6</v>
      </c>
      <c r="AI35" s="3">
        <f t="shared" si="44"/>
        <v>2051</v>
      </c>
      <c r="AJ35" s="3">
        <v>4102</v>
      </c>
      <c r="AK35" s="6">
        <v>2</v>
      </c>
      <c r="AL35" s="3">
        <f t="shared" si="45"/>
        <v>1112</v>
      </c>
      <c r="AM35" s="3">
        <v>3336</v>
      </c>
      <c r="AN35" s="6">
        <v>3</v>
      </c>
      <c r="AO35" s="3">
        <f t="shared" si="29"/>
        <v>2722.2686567164178</v>
      </c>
      <c r="AP35" s="3">
        <f t="shared" si="32"/>
        <v>182392</v>
      </c>
      <c r="AQ35" s="6">
        <f t="shared" si="33"/>
        <v>67</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11" t="s">
        <v>77</v>
      </c>
      <c r="B36" s="32"/>
      <c r="C36" s="38"/>
      <c r="D36" s="38"/>
      <c r="E36" s="3">
        <f t="shared" si="34"/>
        <v>4197.1428571428578</v>
      </c>
      <c r="F36" s="3">
        <v>2938</v>
      </c>
      <c r="G36" s="6">
        <v>0.7</v>
      </c>
      <c r="H36" s="3" t="e">
        <f t="shared" si="35"/>
        <v>#DIV/0!</v>
      </c>
      <c r="I36" s="3">
        <v>0</v>
      </c>
      <c r="J36" s="6">
        <v>0</v>
      </c>
      <c r="K36" s="3">
        <f t="shared" si="36"/>
        <v>4197.1428571428578</v>
      </c>
      <c r="L36" s="3">
        <v>2938</v>
      </c>
      <c r="M36" s="6">
        <v>0.7</v>
      </c>
      <c r="N36" s="3">
        <f t="shared" si="37"/>
        <v>4197.1428571428578</v>
      </c>
      <c r="O36" s="3">
        <v>2938</v>
      </c>
      <c r="P36" s="6">
        <v>0.7</v>
      </c>
      <c r="Q36" s="3" t="e">
        <f t="shared" si="38"/>
        <v>#DIV/0!</v>
      </c>
      <c r="R36" s="3">
        <v>0</v>
      </c>
      <c r="S36" s="6">
        <v>0</v>
      </c>
      <c r="T36" s="3">
        <f t="shared" si="39"/>
        <v>4197.1428571428578</v>
      </c>
      <c r="U36" s="3">
        <v>2938</v>
      </c>
      <c r="V36" s="6">
        <v>0.7</v>
      </c>
      <c r="W36" s="3" t="e">
        <f t="shared" si="40"/>
        <v>#DIV/0!</v>
      </c>
      <c r="X36" s="3">
        <v>0</v>
      </c>
      <c r="Y36" s="6">
        <v>0</v>
      </c>
      <c r="Z36" s="3">
        <f t="shared" si="41"/>
        <v>4197.1428571428578</v>
      </c>
      <c r="AA36" s="3">
        <v>2938</v>
      </c>
      <c r="AB36" s="6">
        <v>0.7</v>
      </c>
      <c r="AC36" s="3" t="e">
        <f t="shared" si="42"/>
        <v>#DIV/0!</v>
      </c>
      <c r="AD36" s="3">
        <v>0</v>
      </c>
      <c r="AE36" s="6">
        <v>0</v>
      </c>
      <c r="AF36" s="3">
        <f t="shared" si="43"/>
        <v>4197.1428571428578</v>
      </c>
      <c r="AG36" s="3">
        <v>2938</v>
      </c>
      <c r="AH36" s="6">
        <v>0.7</v>
      </c>
      <c r="AI36" s="3" t="e">
        <f t="shared" si="44"/>
        <v>#DIV/0!</v>
      </c>
      <c r="AJ36" s="3">
        <v>0</v>
      </c>
      <c r="AK36" s="6">
        <v>0</v>
      </c>
      <c r="AL36" s="3">
        <f t="shared" si="45"/>
        <v>4197.1428571428578</v>
      </c>
      <c r="AM36" s="3">
        <v>2938</v>
      </c>
      <c r="AN36" s="6">
        <v>0.7</v>
      </c>
      <c r="AO36" s="3">
        <f t="shared" si="29"/>
        <v>4197.1428571428569</v>
      </c>
      <c r="AP36" s="3">
        <f t="shared" si="32"/>
        <v>20566</v>
      </c>
      <c r="AQ36" s="6">
        <f t="shared" si="33"/>
        <v>4.9000000000000004</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11" t="s">
        <v>28</v>
      </c>
      <c r="B37" s="32"/>
      <c r="C37" s="38"/>
      <c r="D37" s="38"/>
      <c r="E37" s="3" t="e">
        <f t="shared" si="34"/>
        <v>#DIV/0!</v>
      </c>
      <c r="F37" s="3">
        <v>0</v>
      </c>
      <c r="G37" s="6">
        <v>0</v>
      </c>
      <c r="H37" s="3">
        <f t="shared" si="35"/>
        <v>1044.2857142857142</v>
      </c>
      <c r="I37" s="3">
        <v>17544</v>
      </c>
      <c r="J37" s="6">
        <v>16.8</v>
      </c>
      <c r="K37" s="3">
        <f t="shared" si="36"/>
        <v>1494.25</v>
      </c>
      <c r="L37" s="3">
        <v>29885</v>
      </c>
      <c r="M37" s="6">
        <v>20</v>
      </c>
      <c r="N37" s="3" t="e">
        <f t="shared" si="37"/>
        <v>#DIV/0!</v>
      </c>
      <c r="O37" s="3">
        <v>0</v>
      </c>
      <c r="P37" s="6">
        <v>0</v>
      </c>
      <c r="Q37" s="3" t="e">
        <f t="shared" si="38"/>
        <v>#DIV/0!</v>
      </c>
      <c r="R37" s="3">
        <v>0</v>
      </c>
      <c r="S37" s="6">
        <v>0</v>
      </c>
      <c r="T37" s="3" t="e">
        <f t="shared" si="39"/>
        <v>#DIV/0!</v>
      </c>
      <c r="U37" s="3">
        <v>0</v>
      </c>
      <c r="V37" s="6">
        <v>0</v>
      </c>
      <c r="W37" s="3" t="e">
        <f t="shared" si="40"/>
        <v>#DIV/0!</v>
      </c>
      <c r="X37" s="3">
        <v>0</v>
      </c>
      <c r="Y37" s="6">
        <v>0</v>
      </c>
      <c r="Z37" s="3" t="e">
        <f t="shared" si="41"/>
        <v>#DIV/0!</v>
      </c>
      <c r="AA37" s="3">
        <v>0</v>
      </c>
      <c r="AB37" s="6">
        <v>0</v>
      </c>
      <c r="AC37" s="3" t="e">
        <f t="shared" si="42"/>
        <v>#DIV/0!</v>
      </c>
      <c r="AD37" s="3">
        <v>0</v>
      </c>
      <c r="AE37" s="6">
        <v>0</v>
      </c>
      <c r="AF37" s="3" t="e">
        <f t="shared" si="43"/>
        <v>#DIV/0!</v>
      </c>
      <c r="AG37" s="3">
        <v>0</v>
      </c>
      <c r="AH37" s="6">
        <v>0</v>
      </c>
      <c r="AI37" s="3">
        <f t="shared" si="44"/>
        <v>1273.4782608695652</v>
      </c>
      <c r="AJ37" s="3">
        <v>2929</v>
      </c>
      <c r="AK37" s="6">
        <v>2.2999999999999998</v>
      </c>
      <c r="AL37" s="3">
        <f t="shared" si="45"/>
        <v>1541.578947368421</v>
      </c>
      <c r="AM37" s="3">
        <v>2929</v>
      </c>
      <c r="AN37" s="6">
        <v>1.9</v>
      </c>
      <c r="AO37" s="3">
        <f t="shared" si="29"/>
        <v>1299.6829268292686</v>
      </c>
      <c r="AP37" s="3">
        <f t="shared" si="32"/>
        <v>53287</v>
      </c>
      <c r="AQ37" s="6">
        <f t="shared" si="33"/>
        <v>40.999999999999993</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11" t="s">
        <v>90</v>
      </c>
      <c r="B38" s="32"/>
      <c r="C38" s="38"/>
      <c r="D38" s="38"/>
      <c r="E38" s="3" t="e">
        <f t="shared" si="34"/>
        <v>#DIV/0!</v>
      </c>
      <c r="F38" s="3">
        <v>0</v>
      </c>
      <c r="G38" s="6">
        <v>0</v>
      </c>
      <c r="H38" s="3" t="e">
        <f t="shared" si="35"/>
        <v>#DIV/0!</v>
      </c>
      <c r="I38" s="3">
        <v>0</v>
      </c>
      <c r="J38" s="6">
        <v>0</v>
      </c>
      <c r="K38" s="3" t="e">
        <f t="shared" si="36"/>
        <v>#DIV/0!</v>
      </c>
      <c r="L38" s="3">
        <v>0</v>
      </c>
      <c r="M38" s="6">
        <v>0</v>
      </c>
      <c r="N38" s="3" t="e">
        <f t="shared" si="37"/>
        <v>#DIV/0!</v>
      </c>
      <c r="O38" s="3">
        <v>0</v>
      </c>
      <c r="P38" s="6">
        <v>0</v>
      </c>
      <c r="Q38" s="3" t="e">
        <f t="shared" si="38"/>
        <v>#DIV/0!</v>
      </c>
      <c r="R38" s="3">
        <v>0</v>
      </c>
      <c r="S38" s="6">
        <v>0</v>
      </c>
      <c r="T38" s="3" t="e">
        <f t="shared" si="39"/>
        <v>#DIV/0!</v>
      </c>
      <c r="U38" s="3">
        <v>0</v>
      </c>
      <c r="V38" s="6">
        <v>0</v>
      </c>
      <c r="W38" s="3" t="e">
        <f t="shared" si="40"/>
        <v>#DIV/0!</v>
      </c>
      <c r="X38" s="3">
        <v>0</v>
      </c>
      <c r="Y38" s="6">
        <v>0</v>
      </c>
      <c r="Z38" s="3" t="e">
        <f t="shared" si="41"/>
        <v>#DIV/0!</v>
      </c>
      <c r="AA38" s="3">
        <v>0</v>
      </c>
      <c r="AB38" s="6">
        <v>0</v>
      </c>
      <c r="AC38" s="3">
        <f t="shared" si="42"/>
        <v>3315.7894736842109</v>
      </c>
      <c r="AD38" s="3">
        <v>6300</v>
      </c>
      <c r="AE38" s="6">
        <v>1.9</v>
      </c>
      <c r="AF38" s="3" t="e">
        <f t="shared" si="43"/>
        <v>#DIV/0!</v>
      </c>
      <c r="AG38" s="3">
        <v>0</v>
      </c>
      <c r="AH38" s="6">
        <v>0</v>
      </c>
      <c r="AI38" s="3" t="e">
        <f t="shared" si="44"/>
        <v>#DIV/0!</v>
      </c>
      <c r="AJ38" s="3">
        <v>0</v>
      </c>
      <c r="AK38" s="6">
        <v>0</v>
      </c>
      <c r="AL38" s="3" t="e">
        <f t="shared" si="45"/>
        <v>#DIV/0!</v>
      </c>
      <c r="AM38" s="3">
        <v>0</v>
      </c>
      <c r="AN38" s="6">
        <v>0</v>
      </c>
      <c r="AO38" s="3">
        <f t="shared" si="29"/>
        <v>3315.7894736842109</v>
      </c>
      <c r="AP38" s="3">
        <f t="shared" si="32"/>
        <v>6300</v>
      </c>
      <c r="AQ38" s="6">
        <f t="shared" si="33"/>
        <v>1.9</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11" t="s">
        <v>19</v>
      </c>
      <c r="B39" s="32"/>
      <c r="C39" s="38"/>
      <c r="D39" s="38"/>
      <c r="E39" s="3" t="e">
        <f t="shared" si="34"/>
        <v>#DIV/0!</v>
      </c>
      <c r="F39" s="3">
        <v>0</v>
      </c>
      <c r="G39" s="6">
        <v>0</v>
      </c>
      <c r="H39" s="3" t="e">
        <f t="shared" si="35"/>
        <v>#DIV/0!</v>
      </c>
      <c r="I39" s="3">
        <v>0</v>
      </c>
      <c r="J39" s="6">
        <v>0</v>
      </c>
      <c r="K39" s="3" t="e">
        <f t="shared" si="36"/>
        <v>#DIV/0!</v>
      </c>
      <c r="L39" s="3">
        <v>0</v>
      </c>
      <c r="M39" s="6">
        <v>0</v>
      </c>
      <c r="N39" s="3">
        <f t="shared" si="37"/>
        <v>1669.9663865546217</v>
      </c>
      <c r="O39" s="3">
        <v>99363</v>
      </c>
      <c r="P39" s="6">
        <v>59.5</v>
      </c>
      <c r="Q39" s="3" t="e">
        <f t="shared" si="38"/>
        <v>#DIV/0!</v>
      </c>
      <c r="R39" s="3">
        <v>0</v>
      </c>
      <c r="S39" s="6">
        <v>0</v>
      </c>
      <c r="T39" s="3">
        <f t="shared" si="39"/>
        <v>4600.8333333333339</v>
      </c>
      <c r="U39" s="3">
        <v>5521</v>
      </c>
      <c r="V39" s="6">
        <v>1.2</v>
      </c>
      <c r="W39" s="3" t="e">
        <f t="shared" si="40"/>
        <v>#DIV/0!</v>
      </c>
      <c r="X39" s="3">
        <v>0</v>
      </c>
      <c r="Y39" s="6">
        <v>0</v>
      </c>
      <c r="Z39" s="3" t="e">
        <f t="shared" si="41"/>
        <v>#DIV/0!</v>
      </c>
      <c r="AA39" s="3">
        <v>0</v>
      </c>
      <c r="AB39" s="6">
        <v>0</v>
      </c>
      <c r="AC39" s="3" t="e">
        <f t="shared" si="42"/>
        <v>#DIV/0!</v>
      </c>
      <c r="AD39" s="3">
        <v>0</v>
      </c>
      <c r="AE39" s="6">
        <v>0</v>
      </c>
      <c r="AF39" s="3">
        <f t="shared" si="43"/>
        <v>4122.5</v>
      </c>
      <c r="AG39" s="3">
        <v>6596</v>
      </c>
      <c r="AH39" s="6">
        <v>1.6</v>
      </c>
      <c r="AI39" s="3" t="e">
        <f t="shared" si="44"/>
        <v>#DIV/0!</v>
      </c>
      <c r="AJ39" s="3">
        <v>0</v>
      </c>
      <c r="AK39" s="6">
        <v>0</v>
      </c>
      <c r="AL39" s="3" t="e">
        <f t="shared" si="45"/>
        <v>#DIV/0!</v>
      </c>
      <c r="AM39" s="3">
        <v>0</v>
      </c>
      <c r="AN39" s="6">
        <v>0</v>
      </c>
      <c r="AO39" s="3">
        <f t="shared" si="29"/>
        <v>1789.4060995184589</v>
      </c>
      <c r="AP39" s="3">
        <f t="shared" si="32"/>
        <v>111480</v>
      </c>
      <c r="AQ39" s="6">
        <f t="shared" si="33"/>
        <v>62.300000000000004</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11" t="s">
        <v>67</v>
      </c>
      <c r="B40" s="32"/>
      <c r="C40" s="38"/>
      <c r="D40" s="38"/>
      <c r="E40" s="3" t="e">
        <f t="shared" si="34"/>
        <v>#DIV/0!</v>
      </c>
      <c r="F40" s="3">
        <v>0</v>
      </c>
      <c r="G40" s="6">
        <v>0</v>
      </c>
      <c r="H40" s="3" t="e">
        <f t="shared" si="35"/>
        <v>#DIV/0!</v>
      </c>
      <c r="I40" s="3">
        <v>0</v>
      </c>
      <c r="J40" s="6">
        <v>0</v>
      </c>
      <c r="K40" s="3" t="e">
        <f t="shared" si="36"/>
        <v>#DIV/0!</v>
      </c>
      <c r="L40" s="3">
        <v>0</v>
      </c>
      <c r="M40" s="6">
        <v>0</v>
      </c>
      <c r="N40" s="3" t="e">
        <f t="shared" si="37"/>
        <v>#DIV/0!</v>
      </c>
      <c r="O40" s="3">
        <v>0</v>
      </c>
      <c r="P40" s="6">
        <v>0</v>
      </c>
      <c r="Q40" s="3" t="e">
        <f t="shared" si="38"/>
        <v>#DIV/0!</v>
      </c>
      <c r="R40" s="3">
        <v>0</v>
      </c>
      <c r="S40" s="6">
        <v>0</v>
      </c>
      <c r="T40" s="3" t="e">
        <f t="shared" si="39"/>
        <v>#DIV/0!</v>
      </c>
      <c r="U40" s="3">
        <v>0</v>
      </c>
      <c r="V40" s="6">
        <v>0</v>
      </c>
      <c r="W40" s="3">
        <f t="shared" si="40"/>
        <v>994.6</v>
      </c>
      <c r="X40" s="3">
        <v>49730</v>
      </c>
      <c r="Y40" s="6">
        <v>50</v>
      </c>
      <c r="Z40" s="3" t="e">
        <f t="shared" si="41"/>
        <v>#DIV/0!</v>
      </c>
      <c r="AA40" s="3">
        <v>0</v>
      </c>
      <c r="AB40" s="6">
        <v>0</v>
      </c>
      <c r="AC40" s="3" t="e">
        <f t="shared" si="42"/>
        <v>#DIV/0!</v>
      </c>
      <c r="AD40" s="3">
        <v>0</v>
      </c>
      <c r="AE40" s="6">
        <v>0</v>
      </c>
      <c r="AF40" s="3" t="e">
        <f t="shared" si="43"/>
        <v>#DIV/0!</v>
      </c>
      <c r="AG40" s="3">
        <v>0</v>
      </c>
      <c r="AH40" s="6">
        <v>0</v>
      </c>
      <c r="AI40" s="3" t="e">
        <f t="shared" si="44"/>
        <v>#DIV/0!</v>
      </c>
      <c r="AJ40" s="3">
        <v>0</v>
      </c>
      <c r="AK40" s="6">
        <v>0</v>
      </c>
      <c r="AL40" s="3" t="e">
        <f t="shared" si="45"/>
        <v>#DIV/0!</v>
      </c>
      <c r="AM40" s="3">
        <v>0</v>
      </c>
      <c r="AN40" s="6">
        <v>0</v>
      </c>
      <c r="AO40" s="3">
        <f t="shared" si="29"/>
        <v>994.6</v>
      </c>
      <c r="AP40" s="3">
        <f t="shared" si="32"/>
        <v>49730</v>
      </c>
      <c r="AQ40" s="6">
        <f t="shared" si="33"/>
        <v>50</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11" t="s">
        <v>68</v>
      </c>
      <c r="B41" s="32"/>
      <c r="C41" s="38"/>
      <c r="D41" s="38"/>
      <c r="E41" s="3">
        <f t="shared" si="34"/>
        <v>2391.666666666667</v>
      </c>
      <c r="F41" s="3">
        <v>2870</v>
      </c>
      <c r="G41" s="6">
        <v>1.2</v>
      </c>
      <c r="H41" s="3" t="e">
        <f t="shared" si="35"/>
        <v>#DIV/0!</v>
      </c>
      <c r="I41" s="3">
        <v>0</v>
      </c>
      <c r="J41" s="6">
        <v>0</v>
      </c>
      <c r="K41" s="3">
        <f t="shared" si="36"/>
        <v>2333.6363636363635</v>
      </c>
      <c r="L41" s="3">
        <v>2567</v>
      </c>
      <c r="M41" s="6">
        <v>1.1000000000000001</v>
      </c>
      <c r="N41" s="3" t="e">
        <f t="shared" si="37"/>
        <v>#DIV/0!</v>
      </c>
      <c r="O41" s="3">
        <v>0</v>
      </c>
      <c r="P41" s="6">
        <v>0</v>
      </c>
      <c r="Q41" s="3" t="e">
        <f t="shared" si="38"/>
        <v>#DIV/0!</v>
      </c>
      <c r="R41" s="3">
        <v>0</v>
      </c>
      <c r="S41" s="6">
        <v>0</v>
      </c>
      <c r="T41" s="3" t="e">
        <f t="shared" si="39"/>
        <v>#DIV/0!</v>
      </c>
      <c r="U41" s="3">
        <v>0</v>
      </c>
      <c r="V41" s="6">
        <v>0</v>
      </c>
      <c r="W41" s="3" t="e">
        <f t="shared" si="40"/>
        <v>#DIV/0!</v>
      </c>
      <c r="X41" s="3">
        <v>0</v>
      </c>
      <c r="Y41" s="6">
        <v>0</v>
      </c>
      <c r="Z41" s="3" t="e">
        <f t="shared" si="41"/>
        <v>#DIV/0!</v>
      </c>
      <c r="AA41" s="3">
        <v>0</v>
      </c>
      <c r="AB41" s="6">
        <v>0</v>
      </c>
      <c r="AC41" s="3" t="e">
        <f t="shared" si="42"/>
        <v>#DIV/0!</v>
      </c>
      <c r="AD41" s="3">
        <v>0</v>
      </c>
      <c r="AE41" s="6">
        <v>0</v>
      </c>
      <c r="AF41" s="3" t="e">
        <f t="shared" si="43"/>
        <v>#DIV/0!</v>
      </c>
      <c r="AG41" s="3">
        <v>0</v>
      </c>
      <c r="AH41" s="6">
        <v>0</v>
      </c>
      <c r="AI41" s="3">
        <f t="shared" si="44"/>
        <v>2416.6666666666665</v>
      </c>
      <c r="AJ41" s="3">
        <v>10875</v>
      </c>
      <c r="AK41" s="6">
        <v>4.5</v>
      </c>
      <c r="AL41" s="3" t="e">
        <f t="shared" si="45"/>
        <v>#DIV/0!</v>
      </c>
      <c r="AM41" s="3">
        <v>0</v>
      </c>
      <c r="AN41" s="6">
        <v>0</v>
      </c>
      <c r="AO41" s="3">
        <f t="shared" si="29"/>
        <v>2398.8235294117649</v>
      </c>
      <c r="AP41" s="3">
        <f t="shared" si="32"/>
        <v>16312</v>
      </c>
      <c r="AQ41" s="6">
        <f t="shared" si="33"/>
        <v>6.8</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11" t="s">
        <v>69</v>
      </c>
      <c r="B42" s="32"/>
      <c r="C42" s="38"/>
      <c r="D42" s="38"/>
      <c r="E42" s="3" t="e">
        <f t="shared" si="34"/>
        <v>#DIV/0!</v>
      </c>
      <c r="F42" s="3">
        <v>0</v>
      </c>
      <c r="G42" s="6">
        <v>0</v>
      </c>
      <c r="H42" s="3" t="e">
        <f t="shared" si="35"/>
        <v>#DIV/0!</v>
      </c>
      <c r="I42" s="3">
        <v>0</v>
      </c>
      <c r="J42" s="6">
        <v>0</v>
      </c>
      <c r="K42" s="3" t="e">
        <f t="shared" si="36"/>
        <v>#DIV/0!</v>
      </c>
      <c r="L42" s="3">
        <v>0</v>
      </c>
      <c r="M42" s="6">
        <v>0</v>
      </c>
      <c r="N42" s="3" t="e">
        <f t="shared" si="37"/>
        <v>#DIV/0!</v>
      </c>
      <c r="O42" s="3">
        <v>0</v>
      </c>
      <c r="P42" s="6">
        <v>0</v>
      </c>
      <c r="Q42" s="3" t="e">
        <f t="shared" si="38"/>
        <v>#DIV/0!</v>
      </c>
      <c r="R42" s="3">
        <v>0</v>
      </c>
      <c r="S42" s="6">
        <v>0</v>
      </c>
      <c r="T42" s="3">
        <f t="shared" si="39"/>
        <v>5716</v>
      </c>
      <c r="U42" s="3">
        <v>14290</v>
      </c>
      <c r="V42" s="6">
        <v>2.5</v>
      </c>
      <c r="W42" s="3">
        <f t="shared" si="40"/>
        <v>1874.0625</v>
      </c>
      <c r="X42" s="3">
        <v>5997</v>
      </c>
      <c r="Y42" s="6">
        <v>3.2</v>
      </c>
      <c r="Z42" s="3">
        <f t="shared" si="41"/>
        <v>3997.4999999999995</v>
      </c>
      <c r="AA42" s="3">
        <v>17589</v>
      </c>
      <c r="AB42" s="6">
        <v>4.4000000000000004</v>
      </c>
      <c r="AC42" s="3" t="e">
        <f t="shared" si="42"/>
        <v>#DIV/0!</v>
      </c>
      <c r="AD42" s="3">
        <v>0</v>
      </c>
      <c r="AE42" s="6">
        <v>0</v>
      </c>
      <c r="AF42" s="3" t="e">
        <f t="shared" si="43"/>
        <v>#DIV/0!</v>
      </c>
      <c r="AG42" s="3">
        <v>0</v>
      </c>
      <c r="AH42" s="6">
        <v>0</v>
      </c>
      <c r="AI42" s="3" t="e">
        <f t="shared" si="44"/>
        <v>#DIV/0!</v>
      </c>
      <c r="AJ42" s="3">
        <v>0</v>
      </c>
      <c r="AK42" s="6">
        <v>0</v>
      </c>
      <c r="AL42" s="3" t="e">
        <f t="shared" si="45"/>
        <v>#DIV/0!</v>
      </c>
      <c r="AM42" s="3">
        <v>0</v>
      </c>
      <c r="AN42" s="6">
        <v>0</v>
      </c>
      <c r="AO42" s="3">
        <f t="shared" si="29"/>
        <v>3750.0990099009896</v>
      </c>
      <c r="AP42" s="3">
        <f t="shared" si="32"/>
        <v>37876</v>
      </c>
      <c r="AQ42" s="6">
        <f t="shared" si="33"/>
        <v>10.100000000000001</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11" t="s">
        <v>32</v>
      </c>
      <c r="B43" s="32"/>
      <c r="C43" s="38"/>
      <c r="D43" s="38"/>
      <c r="E43" s="3" t="e">
        <f t="shared" si="34"/>
        <v>#DIV/0!</v>
      </c>
      <c r="F43" s="3">
        <v>0</v>
      </c>
      <c r="G43" s="6">
        <v>0</v>
      </c>
      <c r="H43" s="3">
        <f t="shared" si="35"/>
        <v>2077.8688524590166</v>
      </c>
      <c r="I43" s="3">
        <v>12675</v>
      </c>
      <c r="J43" s="6">
        <v>6.1</v>
      </c>
      <c r="K43" s="3" t="e">
        <f t="shared" si="36"/>
        <v>#DIV/0!</v>
      </c>
      <c r="L43" s="3">
        <v>0</v>
      </c>
      <c r="M43" s="6">
        <v>0</v>
      </c>
      <c r="N43" s="3" t="e">
        <f t="shared" si="37"/>
        <v>#DIV/0!</v>
      </c>
      <c r="O43" s="3">
        <v>0</v>
      </c>
      <c r="P43" s="6">
        <v>0</v>
      </c>
      <c r="Q43" s="3" t="e">
        <f t="shared" si="38"/>
        <v>#DIV/0!</v>
      </c>
      <c r="R43" s="3">
        <v>0</v>
      </c>
      <c r="S43" s="6">
        <v>0</v>
      </c>
      <c r="T43" s="3">
        <f t="shared" si="39"/>
        <v>1058.9427312775331</v>
      </c>
      <c r="U43" s="3">
        <v>24038</v>
      </c>
      <c r="V43" s="6">
        <v>22.7</v>
      </c>
      <c r="W43" s="3">
        <f t="shared" si="40"/>
        <v>2084.0277777777778</v>
      </c>
      <c r="X43" s="3">
        <v>30010</v>
      </c>
      <c r="Y43" s="6">
        <v>14.4</v>
      </c>
      <c r="Z43" s="3" t="e">
        <f t="shared" si="41"/>
        <v>#DIV/0!</v>
      </c>
      <c r="AA43" s="3">
        <v>0</v>
      </c>
      <c r="AB43" s="6">
        <v>0</v>
      </c>
      <c r="AC43" s="3" t="e">
        <f t="shared" si="42"/>
        <v>#DIV/0!</v>
      </c>
      <c r="AD43" s="3">
        <v>0</v>
      </c>
      <c r="AE43" s="6">
        <v>0</v>
      </c>
      <c r="AF43" s="3" t="e">
        <f t="shared" si="43"/>
        <v>#DIV/0!</v>
      </c>
      <c r="AG43" s="3">
        <v>0</v>
      </c>
      <c r="AH43" s="6">
        <v>0</v>
      </c>
      <c r="AI43" s="3" t="e">
        <f t="shared" si="44"/>
        <v>#DIV/0!</v>
      </c>
      <c r="AJ43" s="3">
        <v>0</v>
      </c>
      <c r="AK43" s="6">
        <v>0</v>
      </c>
      <c r="AL43" s="3" t="e">
        <f t="shared" si="45"/>
        <v>#DIV/0!</v>
      </c>
      <c r="AM43" s="3">
        <v>0</v>
      </c>
      <c r="AN43" s="6">
        <v>0</v>
      </c>
      <c r="AO43" s="3">
        <f t="shared" si="29"/>
        <v>1544.5138888888891</v>
      </c>
      <c r="AP43" s="3">
        <f t="shared" si="32"/>
        <v>66723</v>
      </c>
      <c r="AQ43" s="6">
        <f t="shared" si="33"/>
        <v>43.199999999999996</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11" t="s">
        <v>70</v>
      </c>
      <c r="B44" s="32"/>
      <c r="C44" s="38"/>
      <c r="D44" s="38"/>
      <c r="E44" s="14">
        <f t="shared" si="34"/>
        <v>1363.1578947368421</v>
      </c>
      <c r="F44" s="14">
        <v>2590</v>
      </c>
      <c r="G44" s="6">
        <v>1.9</v>
      </c>
      <c r="H44" s="16">
        <f t="shared" si="35"/>
        <v>1381</v>
      </c>
      <c r="I44" s="14">
        <v>5524</v>
      </c>
      <c r="J44" s="6">
        <v>4</v>
      </c>
      <c r="K44" s="14" t="e">
        <f t="shared" si="36"/>
        <v>#DIV/0!</v>
      </c>
      <c r="L44" s="14">
        <v>0</v>
      </c>
      <c r="M44" s="6">
        <v>0</v>
      </c>
      <c r="N44" s="14" t="e">
        <f t="shared" si="37"/>
        <v>#DIV/0!</v>
      </c>
      <c r="O44" s="14">
        <v>0</v>
      </c>
      <c r="P44" s="6">
        <v>0</v>
      </c>
      <c r="Q44" s="16">
        <f t="shared" si="38"/>
        <v>1375.2</v>
      </c>
      <c r="R44" s="14">
        <v>3438</v>
      </c>
      <c r="S44" s="6">
        <v>2.5</v>
      </c>
      <c r="T44" s="16">
        <f t="shared" si="39"/>
        <v>1328</v>
      </c>
      <c r="U44" s="14">
        <v>3320</v>
      </c>
      <c r="V44" s="6">
        <v>2.5</v>
      </c>
      <c r="W44" s="14">
        <f t="shared" si="40"/>
        <v>1359.2</v>
      </c>
      <c r="X44" s="14">
        <v>3398</v>
      </c>
      <c r="Y44" s="6">
        <v>2.5</v>
      </c>
      <c r="Z44" s="14">
        <f t="shared" si="41"/>
        <v>1364</v>
      </c>
      <c r="AA44" s="14">
        <v>3410</v>
      </c>
      <c r="AB44" s="6">
        <v>2.5</v>
      </c>
      <c r="AC44" s="14" t="e">
        <f t="shared" si="42"/>
        <v>#DIV/0!</v>
      </c>
      <c r="AD44" s="14">
        <v>0</v>
      </c>
      <c r="AE44" s="6">
        <v>0</v>
      </c>
      <c r="AF44" s="14">
        <f t="shared" si="43"/>
        <v>1356</v>
      </c>
      <c r="AG44" s="14">
        <v>3390</v>
      </c>
      <c r="AH44" s="6">
        <v>2.5</v>
      </c>
      <c r="AI44" s="14">
        <f t="shared" si="44"/>
        <v>1347.3076923076922</v>
      </c>
      <c r="AJ44" s="14">
        <v>3503</v>
      </c>
      <c r="AK44" s="6">
        <v>2.6</v>
      </c>
      <c r="AL44" s="14" t="e">
        <f t="shared" si="45"/>
        <v>#DIV/0!</v>
      </c>
      <c r="AM44" s="14">
        <v>0</v>
      </c>
      <c r="AN44" s="6">
        <v>0</v>
      </c>
      <c r="AO44" s="14">
        <f t="shared" si="29"/>
        <v>1360.6190476190477</v>
      </c>
      <c r="AP44" s="14">
        <f t="shared" si="32"/>
        <v>28573</v>
      </c>
      <c r="AQ44" s="6">
        <f t="shared" si="33"/>
        <v>21</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11" t="s">
        <v>33</v>
      </c>
      <c r="B45" s="32"/>
      <c r="C45" s="38"/>
      <c r="D45" s="38"/>
      <c r="E45" s="15">
        <f t="shared" si="34"/>
        <v>2286</v>
      </c>
      <c r="F45" s="15">
        <v>36576</v>
      </c>
      <c r="G45" s="13">
        <v>16</v>
      </c>
      <c r="H45" s="12">
        <f t="shared" si="35"/>
        <v>2190.1680672268908</v>
      </c>
      <c r="I45" s="15">
        <v>26063</v>
      </c>
      <c r="J45" s="13">
        <v>11.9</v>
      </c>
      <c r="K45" s="20">
        <f t="shared" si="36"/>
        <v>2290.7894736842104</v>
      </c>
      <c r="L45" s="12">
        <v>26115</v>
      </c>
      <c r="M45" s="13">
        <v>11.4</v>
      </c>
      <c r="N45" s="20">
        <f t="shared" si="37"/>
        <v>2433.1632653061224</v>
      </c>
      <c r="O45" s="12">
        <v>47690</v>
      </c>
      <c r="P45" s="13">
        <v>19.600000000000001</v>
      </c>
      <c r="Q45" s="12">
        <f t="shared" si="38"/>
        <v>3300.0000000000005</v>
      </c>
      <c r="R45" s="15">
        <v>7590</v>
      </c>
      <c r="S45" s="13">
        <v>2.2999999999999998</v>
      </c>
      <c r="T45" s="12">
        <f t="shared" si="39"/>
        <v>2006.4335664335663</v>
      </c>
      <c r="U45" s="15">
        <v>57384</v>
      </c>
      <c r="V45" s="13">
        <v>28.6</v>
      </c>
      <c r="W45" s="15">
        <f t="shared" si="40"/>
        <v>2469.4</v>
      </c>
      <c r="X45" s="15">
        <v>24694</v>
      </c>
      <c r="Y45" s="13">
        <v>10</v>
      </c>
      <c r="Z45" s="15">
        <f t="shared" si="41"/>
        <v>2442.5287356321842</v>
      </c>
      <c r="AA45" s="15">
        <v>21250</v>
      </c>
      <c r="AB45" s="13">
        <v>8.6999999999999993</v>
      </c>
      <c r="AC45" s="15">
        <f t="shared" si="42"/>
        <v>2200.5985915492961</v>
      </c>
      <c r="AD45" s="15">
        <v>62497</v>
      </c>
      <c r="AE45" s="13">
        <v>28.4</v>
      </c>
      <c r="AF45" s="12">
        <f t="shared" si="43"/>
        <v>2405.238095238095</v>
      </c>
      <c r="AG45" s="15">
        <v>5051</v>
      </c>
      <c r="AH45" s="13">
        <v>2.1</v>
      </c>
      <c r="AI45" s="15">
        <f t="shared" si="44"/>
        <v>2375.8928571428573</v>
      </c>
      <c r="AJ45" s="15">
        <v>53220</v>
      </c>
      <c r="AK45" s="13">
        <v>22.4</v>
      </c>
      <c r="AL45" s="15" t="e">
        <f t="shared" si="45"/>
        <v>#DIV/0!</v>
      </c>
      <c r="AM45" s="15">
        <v>0</v>
      </c>
      <c r="AN45" s="13">
        <v>0</v>
      </c>
      <c r="AO45" s="15">
        <f t="shared" si="29"/>
        <v>2280.8550185873605</v>
      </c>
      <c r="AP45" s="12">
        <f t="shared" si="32"/>
        <v>368130</v>
      </c>
      <c r="AQ45" s="13">
        <f t="shared" si="33"/>
        <v>161.4</v>
      </c>
    </row>
    <row r="46" spans="1:67" x14ac:dyDescent="0.3">
      <c r="A46" s="11" t="s">
        <v>54</v>
      </c>
      <c r="B46" s="32"/>
      <c r="C46" s="38"/>
      <c r="D46" s="38"/>
      <c r="E46" s="12">
        <f t="shared" si="34"/>
        <v>1768.4818481848185</v>
      </c>
      <c r="F46" s="12">
        <v>53585</v>
      </c>
      <c r="G46" s="13">
        <v>30.3</v>
      </c>
      <c r="H46" s="12">
        <f t="shared" si="35"/>
        <v>1520</v>
      </c>
      <c r="I46" s="12">
        <v>30400</v>
      </c>
      <c r="J46" s="13">
        <v>20</v>
      </c>
      <c r="K46" s="12">
        <f t="shared" si="36"/>
        <v>2296.1445783132526</v>
      </c>
      <c r="L46" s="12">
        <v>19058</v>
      </c>
      <c r="M46" s="13">
        <v>8.3000000000000007</v>
      </c>
      <c r="N46" s="12">
        <f t="shared" si="37"/>
        <v>1520</v>
      </c>
      <c r="O46" s="12">
        <v>30400</v>
      </c>
      <c r="P46" s="13">
        <v>20</v>
      </c>
      <c r="Q46" s="12">
        <f t="shared" si="38"/>
        <v>1871.6666666666667</v>
      </c>
      <c r="R46" s="12">
        <v>55027</v>
      </c>
      <c r="S46" s="13">
        <v>29.4</v>
      </c>
      <c r="T46" s="12">
        <f t="shared" si="39"/>
        <v>2296.9</v>
      </c>
      <c r="U46" s="12">
        <v>22969</v>
      </c>
      <c r="V46" s="13">
        <v>10</v>
      </c>
      <c r="W46" s="12">
        <f t="shared" si="40"/>
        <v>1743.5897435897436</v>
      </c>
      <c r="X46" s="12">
        <v>34000</v>
      </c>
      <c r="Y46" s="13">
        <v>19.5</v>
      </c>
      <c r="Z46" s="12">
        <f t="shared" si="41"/>
        <v>1743.5897435897436</v>
      </c>
      <c r="AA46" s="12">
        <v>34000</v>
      </c>
      <c r="AB46" s="13">
        <v>19.5</v>
      </c>
      <c r="AC46" s="12" t="e">
        <f t="shared" si="42"/>
        <v>#DIV/0!</v>
      </c>
      <c r="AD46" s="12">
        <v>0</v>
      </c>
      <c r="AE46" s="13">
        <v>0</v>
      </c>
      <c r="AF46" s="12">
        <f t="shared" si="43"/>
        <v>1743.5897435897436</v>
      </c>
      <c r="AG46" s="12">
        <v>34000</v>
      </c>
      <c r="AH46" s="13">
        <v>19.5</v>
      </c>
      <c r="AI46" s="12" t="e">
        <f t="shared" si="44"/>
        <v>#DIV/0!</v>
      </c>
      <c r="AJ46" s="12">
        <v>0</v>
      </c>
      <c r="AK46" s="13">
        <v>0</v>
      </c>
      <c r="AL46" s="12" t="e">
        <f t="shared" si="45"/>
        <v>#DIV/0!</v>
      </c>
      <c r="AM46" s="12">
        <v>0</v>
      </c>
      <c r="AN46" s="13">
        <v>0</v>
      </c>
      <c r="AO46" s="12">
        <f t="shared" si="29"/>
        <v>1775.85835694051</v>
      </c>
      <c r="AP46" s="12">
        <f t="shared" si="32"/>
        <v>313439</v>
      </c>
      <c r="AQ46" s="13">
        <f t="shared" si="33"/>
        <v>176.5</v>
      </c>
    </row>
    <row r="47" spans="1:67" x14ac:dyDescent="0.3">
      <c r="A47" s="11" t="s">
        <v>71</v>
      </c>
      <c r="B47" s="32"/>
      <c r="C47" s="38"/>
      <c r="D47" s="38"/>
      <c r="E47" s="12" t="e">
        <f t="shared" si="34"/>
        <v>#DIV/0!</v>
      </c>
      <c r="F47" s="12">
        <v>0</v>
      </c>
      <c r="G47" s="13">
        <v>0</v>
      </c>
      <c r="H47" s="12" t="e">
        <f t="shared" si="35"/>
        <v>#DIV/0!</v>
      </c>
      <c r="I47" s="12">
        <v>0</v>
      </c>
      <c r="J47" s="13">
        <v>0</v>
      </c>
      <c r="K47" s="12" t="e">
        <f t="shared" si="36"/>
        <v>#DIV/0!</v>
      </c>
      <c r="L47" s="12">
        <v>0</v>
      </c>
      <c r="M47" s="13">
        <v>0</v>
      </c>
      <c r="N47" s="12" t="e">
        <f t="shared" si="37"/>
        <v>#DIV/0!</v>
      </c>
      <c r="O47" s="12">
        <v>0</v>
      </c>
      <c r="P47" s="13">
        <v>0</v>
      </c>
      <c r="Q47" s="12" t="e">
        <f t="shared" si="38"/>
        <v>#DIV/0!</v>
      </c>
      <c r="R47" s="12">
        <v>0</v>
      </c>
      <c r="S47" s="13">
        <v>0</v>
      </c>
      <c r="T47" s="12">
        <f t="shared" si="39"/>
        <v>1173.3333333333333</v>
      </c>
      <c r="U47" s="12">
        <v>127776</v>
      </c>
      <c r="V47" s="13">
        <v>108.9</v>
      </c>
      <c r="W47" s="12" t="e">
        <f t="shared" si="40"/>
        <v>#DIV/0!</v>
      </c>
      <c r="X47" s="12">
        <v>0</v>
      </c>
      <c r="Y47" s="13">
        <v>0</v>
      </c>
      <c r="Z47" s="12">
        <f t="shared" si="41"/>
        <v>1224.9723756906076</v>
      </c>
      <c r="AA47" s="12">
        <v>22172</v>
      </c>
      <c r="AB47" s="13">
        <v>18.100000000000001</v>
      </c>
      <c r="AC47" s="12" t="e">
        <f t="shared" si="42"/>
        <v>#DIV/0!</v>
      </c>
      <c r="AD47" s="12">
        <v>0</v>
      </c>
      <c r="AE47" s="13">
        <v>0</v>
      </c>
      <c r="AF47" s="12" t="e">
        <f t="shared" si="43"/>
        <v>#DIV/0!</v>
      </c>
      <c r="AG47" s="12">
        <v>0</v>
      </c>
      <c r="AH47" s="13">
        <v>0</v>
      </c>
      <c r="AI47" s="12" t="e">
        <f t="shared" si="44"/>
        <v>#DIV/0!</v>
      </c>
      <c r="AJ47" s="12">
        <v>0</v>
      </c>
      <c r="AK47" s="13">
        <v>0</v>
      </c>
      <c r="AL47" s="12" t="e">
        <f t="shared" si="45"/>
        <v>#DIV/0!</v>
      </c>
      <c r="AM47" s="12">
        <v>0</v>
      </c>
      <c r="AN47" s="13">
        <v>0</v>
      </c>
      <c r="AO47" s="12">
        <f t="shared" si="29"/>
        <v>1180.6929133858268</v>
      </c>
      <c r="AP47" s="12">
        <f t="shared" si="32"/>
        <v>149948</v>
      </c>
      <c r="AQ47" s="13">
        <f t="shared" si="33"/>
        <v>127</v>
      </c>
    </row>
    <row r="48" spans="1:67" x14ac:dyDescent="0.3">
      <c r="A48" s="11" t="s">
        <v>72</v>
      </c>
      <c r="B48" s="32"/>
      <c r="C48" s="38"/>
      <c r="D48" s="38"/>
      <c r="E48" s="12">
        <f t="shared" si="34"/>
        <v>2137.1428571428569</v>
      </c>
      <c r="F48" s="12">
        <v>4488</v>
      </c>
      <c r="G48" s="13">
        <v>2.1</v>
      </c>
      <c r="H48" s="12">
        <f t="shared" si="35"/>
        <v>2137.1428571428569</v>
      </c>
      <c r="I48" s="12">
        <v>4488</v>
      </c>
      <c r="J48" s="13">
        <v>2.1</v>
      </c>
      <c r="K48" s="12" t="e">
        <f t="shared" si="36"/>
        <v>#DIV/0!</v>
      </c>
      <c r="L48" s="12">
        <v>0</v>
      </c>
      <c r="M48" s="13">
        <v>0</v>
      </c>
      <c r="N48" s="12" t="e">
        <f t="shared" si="37"/>
        <v>#DIV/0!</v>
      </c>
      <c r="O48" s="12">
        <v>0</v>
      </c>
      <c r="P48" s="13">
        <v>0</v>
      </c>
      <c r="Q48" s="12" t="e">
        <f t="shared" si="38"/>
        <v>#DIV/0!</v>
      </c>
      <c r="R48" s="12">
        <v>0</v>
      </c>
      <c r="S48" s="13">
        <v>0</v>
      </c>
      <c r="T48" s="12" t="e">
        <f t="shared" si="39"/>
        <v>#DIV/0!</v>
      </c>
      <c r="U48" s="12">
        <v>0</v>
      </c>
      <c r="V48" s="13">
        <v>0</v>
      </c>
      <c r="W48" s="12" t="e">
        <f t="shared" si="40"/>
        <v>#DIV/0!</v>
      </c>
      <c r="X48" s="12">
        <v>0</v>
      </c>
      <c r="Y48" s="13">
        <v>0</v>
      </c>
      <c r="Z48" s="12">
        <f t="shared" si="41"/>
        <v>2171.6129032258063</v>
      </c>
      <c r="AA48" s="12">
        <v>6732</v>
      </c>
      <c r="AB48" s="13">
        <v>3.1</v>
      </c>
      <c r="AC48" s="12" t="e">
        <f t="shared" si="42"/>
        <v>#DIV/0!</v>
      </c>
      <c r="AD48" s="12">
        <v>0</v>
      </c>
      <c r="AE48" s="13">
        <v>0</v>
      </c>
      <c r="AF48" s="12" t="e">
        <f t="shared" si="43"/>
        <v>#DIV/0!</v>
      </c>
      <c r="AG48" s="12">
        <v>0</v>
      </c>
      <c r="AH48" s="13">
        <v>0</v>
      </c>
      <c r="AI48" s="12" t="e">
        <f t="shared" si="44"/>
        <v>#DIV/0!</v>
      </c>
      <c r="AJ48" s="12">
        <v>0</v>
      </c>
      <c r="AK48" s="13">
        <v>0</v>
      </c>
      <c r="AL48" s="12" t="e">
        <f t="shared" si="45"/>
        <v>#DIV/0!</v>
      </c>
      <c r="AM48" s="12">
        <v>0</v>
      </c>
      <c r="AN48" s="13">
        <v>0</v>
      </c>
      <c r="AO48" s="12">
        <f t="shared" si="29"/>
        <v>2151.7808219178082</v>
      </c>
      <c r="AP48" s="12">
        <f t="shared" si="32"/>
        <v>15708</v>
      </c>
      <c r="AQ48" s="13">
        <f t="shared" si="33"/>
        <v>7.3000000000000007</v>
      </c>
    </row>
    <row r="49" spans="1:43" x14ac:dyDescent="0.3">
      <c r="A49" s="11" t="s">
        <v>73</v>
      </c>
      <c r="B49" s="32"/>
      <c r="C49" s="38"/>
      <c r="D49" s="38"/>
      <c r="E49" s="12">
        <f t="shared" si="34"/>
        <v>1348.75</v>
      </c>
      <c r="F49" s="12">
        <v>22659</v>
      </c>
      <c r="G49" s="13">
        <v>16.8</v>
      </c>
      <c r="H49" s="12">
        <f t="shared" si="35"/>
        <v>1363.8095238095239</v>
      </c>
      <c r="I49" s="12">
        <v>22912</v>
      </c>
      <c r="J49" s="13">
        <v>16.8</v>
      </c>
      <c r="K49" s="12">
        <f t="shared" si="36"/>
        <v>1420.8759124087592</v>
      </c>
      <c r="L49" s="12">
        <v>38932</v>
      </c>
      <c r="M49" s="13">
        <v>27.4</v>
      </c>
      <c r="N49" s="12">
        <f t="shared" si="37"/>
        <v>1180.6824146981626</v>
      </c>
      <c r="O49" s="12">
        <v>44984</v>
      </c>
      <c r="P49" s="13">
        <v>38.1</v>
      </c>
      <c r="Q49" s="12">
        <f t="shared" si="38"/>
        <v>1424.5833333333333</v>
      </c>
      <c r="R49" s="12">
        <v>23933</v>
      </c>
      <c r="S49" s="13">
        <v>16.8</v>
      </c>
      <c r="T49" s="12">
        <f t="shared" si="39"/>
        <v>2000</v>
      </c>
      <c r="U49" s="12">
        <v>16800</v>
      </c>
      <c r="V49" s="13">
        <v>8.4</v>
      </c>
      <c r="W49" s="12" t="e">
        <f t="shared" si="40"/>
        <v>#DIV/0!</v>
      </c>
      <c r="X49" s="12">
        <v>0</v>
      </c>
      <c r="Y49" s="13">
        <v>0</v>
      </c>
      <c r="Z49" s="12">
        <f t="shared" si="41"/>
        <v>1704.3824701195217</v>
      </c>
      <c r="AA49" s="12">
        <v>42780</v>
      </c>
      <c r="AB49" s="13">
        <v>25.1</v>
      </c>
      <c r="AC49" s="12" t="e">
        <f t="shared" si="42"/>
        <v>#DIV/0!</v>
      </c>
      <c r="AD49" s="12">
        <v>0</v>
      </c>
      <c r="AE49" s="13">
        <v>0</v>
      </c>
      <c r="AF49" s="12">
        <f t="shared" si="43"/>
        <v>1176.3874345549737</v>
      </c>
      <c r="AG49" s="12">
        <v>22469</v>
      </c>
      <c r="AH49" s="13">
        <v>19.100000000000001</v>
      </c>
      <c r="AI49" s="12">
        <f t="shared" si="44"/>
        <v>1409.5833333333333</v>
      </c>
      <c r="AJ49" s="12">
        <v>23681</v>
      </c>
      <c r="AK49" s="13">
        <v>16.8</v>
      </c>
      <c r="AL49" s="12" t="e">
        <f t="shared" si="45"/>
        <v>#DIV/0!</v>
      </c>
      <c r="AM49" s="12">
        <v>0</v>
      </c>
      <c r="AN49" s="13">
        <v>0</v>
      </c>
      <c r="AO49" s="12">
        <f t="shared" si="29"/>
        <v>1398.5429033998919</v>
      </c>
      <c r="AP49" s="12">
        <f t="shared" si="32"/>
        <v>259150</v>
      </c>
      <c r="AQ49" s="13">
        <f t="shared" si="33"/>
        <v>185.3</v>
      </c>
    </row>
    <row r="50" spans="1:43" x14ac:dyDescent="0.3">
      <c r="A50" s="11" t="s">
        <v>64</v>
      </c>
      <c r="B50" s="32"/>
      <c r="C50" s="38"/>
      <c r="D50" s="38"/>
      <c r="E50" s="12">
        <f t="shared" si="34"/>
        <v>1576.5517241379312</v>
      </c>
      <c r="F50" s="12">
        <v>4572</v>
      </c>
      <c r="G50" s="13">
        <v>2.9</v>
      </c>
      <c r="H50" s="12">
        <f t="shared" si="35"/>
        <v>1818.4705882352941</v>
      </c>
      <c r="I50" s="12">
        <v>30914</v>
      </c>
      <c r="J50" s="13">
        <v>17</v>
      </c>
      <c r="K50" s="12">
        <f t="shared" si="36"/>
        <v>1777.2571428571428</v>
      </c>
      <c r="L50" s="12">
        <v>31102</v>
      </c>
      <c r="M50" s="13">
        <v>17.5</v>
      </c>
      <c r="N50" s="12">
        <f t="shared" si="37"/>
        <v>2061.3360323886641</v>
      </c>
      <c r="O50" s="12">
        <v>50915</v>
      </c>
      <c r="P50" s="13">
        <v>24.7</v>
      </c>
      <c r="Q50" s="12">
        <f t="shared" si="38"/>
        <v>1760.9459459459458</v>
      </c>
      <c r="R50" s="12">
        <v>26062</v>
      </c>
      <c r="S50" s="13">
        <v>14.8</v>
      </c>
      <c r="T50" s="12">
        <f t="shared" si="39"/>
        <v>1798.8888888888887</v>
      </c>
      <c r="U50" s="12">
        <v>4857</v>
      </c>
      <c r="V50" s="13">
        <v>2.7</v>
      </c>
      <c r="W50" s="12">
        <f t="shared" si="40"/>
        <v>1760.8783783783783</v>
      </c>
      <c r="X50" s="12">
        <v>26061</v>
      </c>
      <c r="Y50" s="13">
        <v>14.8</v>
      </c>
      <c r="Z50" s="12">
        <f t="shared" si="41"/>
        <v>2123.0769230769229</v>
      </c>
      <c r="AA50" s="12">
        <v>11040</v>
      </c>
      <c r="AB50" s="13">
        <v>5.2</v>
      </c>
      <c r="AC50" s="12">
        <f t="shared" si="42"/>
        <v>2060.434782608696</v>
      </c>
      <c r="AD50" s="12">
        <v>4739</v>
      </c>
      <c r="AE50" s="13">
        <v>2.2999999999999998</v>
      </c>
      <c r="AF50" s="12">
        <f t="shared" si="43"/>
        <v>1760.9459459459458</v>
      </c>
      <c r="AG50" s="12">
        <v>26062</v>
      </c>
      <c r="AH50" s="13">
        <v>14.8</v>
      </c>
      <c r="AI50" s="12">
        <f t="shared" si="44"/>
        <v>2830.7843137254904</v>
      </c>
      <c r="AJ50" s="12">
        <v>14437</v>
      </c>
      <c r="AK50" s="13">
        <v>5.0999999999999996</v>
      </c>
      <c r="AL50" s="12" t="e">
        <f t="shared" si="45"/>
        <v>#DIV/0!</v>
      </c>
      <c r="AM50" s="12">
        <v>0</v>
      </c>
      <c r="AN50" s="13">
        <v>0</v>
      </c>
      <c r="AO50" s="12">
        <f t="shared" si="29"/>
        <v>1894.5894909688016</v>
      </c>
      <c r="AP50" s="12">
        <f t="shared" si="32"/>
        <v>230761</v>
      </c>
      <c r="AQ50" s="13">
        <f t="shared" si="33"/>
        <v>121.79999999999998</v>
      </c>
    </row>
    <row r="51" spans="1:43" x14ac:dyDescent="0.3">
      <c r="A51" s="21" t="s">
        <v>36</v>
      </c>
      <c r="B51" s="32"/>
      <c r="C51" s="38"/>
      <c r="D51" s="38"/>
      <c r="E51" s="12" t="e">
        <f t="shared" si="34"/>
        <v>#DIV/0!</v>
      </c>
      <c r="F51" s="12">
        <v>0</v>
      </c>
      <c r="G51" s="13">
        <v>0</v>
      </c>
      <c r="H51" s="12" t="e">
        <f t="shared" si="35"/>
        <v>#DIV/0!</v>
      </c>
      <c r="I51" s="12">
        <v>0</v>
      </c>
      <c r="J51" s="13">
        <v>0</v>
      </c>
      <c r="K51" s="12">
        <f t="shared" si="36"/>
        <v>16490</v>
      </c>
      <c r="L51" s="12">
        <v>3298</v>
      </c>
      <c r="M51" s="13">
        <v>0.2</v>
      </c>
      <c r="N51" s="12" t="e">
        <f t="shared" si="37"/>
        <v>#DIV/0!</v>
      </c>
      <c r="O51" s="12">
        <v>0</v>
      </c>
      <c r="P51" s="13">
        <v>0</v>
      </c>
      <c r="Q51" s="12" t="e">
        <f t="shared" si="38"/>
        <v>#DIV/0!</v>
      </c>
      <c r="R51" s="12">
        <v>0</v>
      </c>
      <c r="S51" s="13">
        <v>0</v>
      </c>
      <c r="T51" s="12">
        <f t="shared" si="39"/>
        <v>1128.3333333333335</v>
      </c>
      <c r="U51" s="12">
        <v>2708</v>
      </c>
      <c r="V51" s="13">
        <v>2.4</v>
      </c>
      <c r="W51" s="12" t="e">
        <f t="shared" si="40"/>
        <v>#DIV/0!</v>
      </c>
      <c r="X51" s="12">
        <v>0</v>
      </c>
      <c r="Y51" s="13">
        <v>0</v>
      </c>
      <c r="Z51" s="12">
        <f t="shared" si="41"/>
        <v>3298</v>
      </c>
      <c r="AA51" s="12">
        <v>3298</v>
      </c>
      <c r="AB51" s="13">
        <v>1</v>
      </c>
      <c r="AC51" s="12" t="e">
        <f t="shared" si="42"/>
        <v>#DIV/0!</v>
      </c>
      <c r="AD51" s="12">
        <v>0</v>
      </c>
      <c r="AE51" s="13">
        <v>0</v>
      </c>
      <c r="AF51" s="12" t="e">
        <f t="shared" si="43"/>
        <v>#DIV/0!</v>
      </c>
      <c r="AG51" s="12">
        <v>0</v>
      </c>
      <c r="AH51" s="13">
        <v>0</v>
      </c>
      <c r="AI51" s="12" t="e">
        <f t="shared" si="44"/>
        <v>#DIV/0!</v>
      </c>
      <c r="AJ51" s="12">
        <v>0</v>
      </c>
      <c r="AK51" s="13">
        <v>0</v>
      </c>
      <c r="AL51" s="12" t="e">
        <f t="shared" si="45"/>
        <v>#DIV/0!</v>
      </c>
      <c r="AM51" s="12">
        <v>0</v>
      </c>
      <c r="AN51" s="13">
        <v>0</v>
      </c>
      <c r="AO51" s="12">
        <f t="shared" si="29"/>
        <v>2584.4444444444443</v>
      </c>
      <c r="AP51" s="12">
        <f t="shared" si="32"/>
        <v>9304</v>
      </c>
      <c r="AQ51" s="13">
        <f t="shared" si="33"/>
        <v>3.6</v>
      </c>
    </row>
    <row r="52" spans="1:43" x14ac:dyDescent="0.3">
      <c r="A52" s="21" t="s">
        <v>91</v>
      </c>
      <c r="B52" s="32"/>
      <c r="C52" s="38"/>
      <c r="D52" s="38"/>
      <c r="E52" s="12" t="e">
        <f t="shared" si="34"/>
        <v>#DIV/0!</v>
      </c>
      <c r="F52" s="12">
        <v>0</v>
      </c>
      <c r="G52" s="13">
        <v>0</v>
      </c>
      <c r="H52" s="12" t="e">
        <f t="shared" si="35"/>
        <v>#DIV/0!</v>
      </c>
      <c r="I52" s="12">
        <v>0</v>
      </c>
      <c r="J52" s="13">
        <v>0</v>
      </c>
      <c r="K52" s="12" t="e">
        <f t="shared" si="36"/>
        <v>#DIV/0!</v>
      </c>
      <c r="L52" s="12">
        <v>0</v>
      </c>
      <c r="M52" s="13">
        <v>0</v>
      </c>
      <c r="N52" s="12" t="e">
        <f t="shared" si="37"/>
        <v>#DIV/0!</v>
      </c>
      <c r="O52" s="12">
        <v>0</v>
      </c>
      <c r="P52" s="13">
        <v>0</v>
      </c>
      <c r="Q52" s="12" t="e">
        <f t="shared" si="38"/>
        <v>#DIV/0!</v>
      </c>
      <c r="R52" s="12">
        <v>0</v>
      </c>
      <c r="S52" s="13">
        <v>0</v>
      </c>
      <c r="T52" s="12" t="e">
        <f t="shared" si="39"/>
        <v>#DIV/0!</v>
      </c>
      <c r="U52" s="12">
        <v>0</v>
      </c>
      <c r="V52" s="13">
        <v>0</v>
      </c>
      <c r="W52" s="12" t="e">
        <f t="shared" si="40"/>
        <v>#DIV/0!</v>
      </c>
      <c r="X52" s="12">
        <v>0</v>
      </c>
      <c r="Y52" s="13">
        <v>0</v>
      </c>
      <c r="Z52" s="12" t="e">
        <f t="shared" si="41"/>
        <v>#DIV/0!</v>
      </c>
      <c r="AA52" s="12">
        <v>0</v>
      </c>
      <c r="AB52" s="13">
        <v>0</v>
      </c>
      <c r="AC52" s="12" t="e">
        <f t="shared" si="42"/>
        <v>#DIV/0!</v>
      </c>
      <c r="AD52" s="12">
        <v>0</v>
      </c>
      <c r="AE52" s="13">
        <v>0</v>
      </c>
      <c r="AF52" s="12" t="e">
        <f t="shared" si="43"/>
        <v>#DIV/0!</v>
      </c>
      <c r="AG52" s="12">
        <v>0</v>
      </c>
      <c r="AH52" s="13">
        <v>0</v>
      </c>
      <c r="AI52" s="12">
        <f t="shared" si="44"/>
        <v>1167.5999999999999</v>
      </c>
      <c r="AJ52" s="12">
        <v>35028</v>
      </c>
      <c r="AK52" s="13">
        <v>30</v>
      </c>
      <c r="AL52" s="12" t="e">
        <f t="shared" si="45"/>
        <v>#DIV/0!</v>
      </c>
      <c r="AM52" s="12">
        <v>0</v>
      </c>
      <c r="AN52" s="13">
        <v>0</v>
      </c>
      <c r="AO52" s="12">
        <f t="shared" si="29"/>
        <v>1167.5999999999999</v>
      </c>
      <c r="AP52" s="12">
        <f t="shared" si="32"/>
        <v>35028</v>
      </c>
      <c r="AQ52" s="13">
        <f t="shared" si="33"/>
        <v>30</v>
      </c>
    </row>
    <row r="53" spans="1:43" x14ac:dyDescent="0.3">
      <c r="A53" s="21" t="s">
        <v>38</v>
      </c>
      <c r="B53" s="32"/>
      <c r="C53" s="38"/>
      <c r="D53" s="38"/>
      <c r="E53" s="12" t="e">
        <f t="shared" si="34"/>
        <v>#DIV/0!</v>
      </c>
      <c r="F53" s="12">
        <v>0</v>
      </c>
      <c r="G53" s="13">
        <v>0</v>
      </c>
      <c r="H53" s="12" t="e">
        <f t="shared" si="35"/>
        <v>#DIV/0!</v>
      </c>
      <c r="I53" s="12">
        <v>0</v>
      </c>
      <c r="J53" s="13">
        <v>0</v>
      </c>
      <c r="K53" s="12" t="e">
        <f t="shared" si="36"/>
        <v>#DIV/0!</v>
      </c>
      <c r="L53" s="12">
        <v>0</v>
      </c>
      <c r="M53" s="13">
        <v>0</v>
      </c>
      <c r="N53" s="12">
        <f t="shared" si="37"/>
        <v>1085.5172413793105</v>
      </c>
      <c r="O53" s="12">
        <v>3148</v>
      </c>
      <c r="P53" s="13">
        <v>2.9</v>
      </c>
      <c r="Q53" s="12">
        <f t="shared" si="38"/>
        <v>2386.3157894736842</v>
      </c>
      <c r="R53" s="12">
        <v>4534</v>
      </c>
      <c r="S53" s="13">
        <v>1.9</v>
      </c>
      <c r="T53" s="12" t="e">
        <f t="shared" si="39"/>
        <v>#DIV/0!</v>
      </c>
      <c r="U53" s="12">
        <v>0</v>
      </c>
      <c r="V53" s="13">
        <v>0</v>
      </c>
      <c r="W53" s="12">
        <f t="shared" si="40"/>
        <v>1115.5</v>
      </c>
      <c r="X53" s="12">
        <v>4462</v>
      </c>
      <c r="Y53" s="13">
        <v>4</v>
      </c>
      <c r="Z53" s="12" t="e">
        <f t="shared" si="41"/>
        <v>#DIV/0!</v>
      </c>
      <c r="AA53" s="12">
        <v>0</v>
      </c>
      <c r="AB53" s="13">
        <v>0</v>
      </c>
      <c r="AC53" s="12" t="e">
        <f t="shared" si="42"/>
        <v>#DIV/0!</v>
      </c>
      <c r="AD53" s="12">
        <v>0</v>
      </c>
      <c r="AE53" s="13">
        <v>0</v>
      </c>
      <c r="AF53" s="12" t="e">
        <f t="shared" si="43"/>
        <v>#DIV/0!</v>
      </c>
      <c r="AG53" s="12">
        <v>0</v>
      </c>
      <c r="AH53" s="13">
        <v>0</v>
      </c>
      <c r="AI53" s="12" t="e">
        <f t="shared" si="44"/>
        <v>#DIV/0!</v>
      </c>
      <c r="AJ53" s="12">
        <v>0</v>
      </c>
      <c r="AK53" s="13">
        <v>0</v>
      </c>
      <c r="AL53" s="12" t="e">
        <f t="shared" si="45"/>
        <v>#DIV/0!</v>
      </c>
      <c r="AM53" s="12">
        <v>0</v>
      </c>
      <c r="AN53" s="13">
        <v>0</v>
      </c>
      <c r="AO53" s="12">
        <f t="shared" si="29"/>
        <v>1380</v>
      </c>
      <c r="AP53" s="12">
        <f t="shared" si="32"/>
        <v>12144</v>
      </c>
      <c r="AQ53" s="13">
        <f t="shared" si="33"/>
        <v>8.8000000000000007</v>
      </c>
    </row>
    <row r="54" spans="1:43" x14ac:dyDescent="0.3">
      <c r="A54" s="21" t="s">
        <v>89</v>
      </c>
      <c r="B54" s="32"/>
      <c r="C54" s="38"/>
      <c r="D54" s="38"/>
      <c r="E54" s="12">
        <f t="shared" si="34"/>
        <v>1638.8</v>
      </c>
      <c r="F54" s="12">
        <v>4097</v>
      </c>
      <c r="G54" s="13">
        <v>2.5</v>
      </c>
      <c r="H54" s="12" t="e">
        <f t="shared" si="35"/>
        <v>#DIV/0!</v>
      </c>
      <c r="I54" s="12">
        <v>0</v>
      </c>
      <c r="J54" s="13">
        <v>0</v>
      </c>
      <c r="K54" s="12" t="e">
        <f t="shared" si="36"/>
        <v>#DIV/0!</v>
      </c>
      <c r="L54" s="12">
        <v>0</v>
      </c>
      <c r="M54" s="13">
        <v>0</v>
      </c>
      <c r="N54" s="12" t="e">
        <f t="shared" si="37"/>
        <v>#DIV/0!</v>
      </c>
      <c r="O54" s="12">
        <v>0</v>
      </c>
      <c r="P54" s="13">
        <v>0</v>
      </c>
      <c r="Q54" s="12" t="e">
        <f t="shared" si="38"/>
        <v>#DIV/0!</v>
      </c>
      <c r="R54" s="12">
        <v>0</v>
      </c>
      <c r="S54" s="13">
        <v>0</v>
      </c>
      <c r="T54" s="12" t="e">
        <f t="shared" si="39"/>
        <v>#DIV/0!</v>
      </c>
      <c r="U54" s="12">
        <v>0</v>
      </c>
      <c r="V54" s="13">
        <v>0</v>
      </c>
      <c r="W54" s="12" t="e">
        <f t="shared" si="40"/>
        <v>#DIV/0!</v>
      </c>
      <c r="X54" s="12">
        <v>0</v>
      </c>
      <c r="Y54" s="13">
        <v>0</v>
      </c>
      <c r="Z54" s="12" t="e">
        <f t="shared" si="41"/>
        <v>#DIV/0!</v>
      </c>
      <c r="AA54" s="12">
        <v>0</v>
      </c>
      <c r="AB54" s="13">
        <v>0</v>
      </c>
      <c r="AC54" s="12" t="e">
        <f t="shared" si="42"/>
        <v>#DIV/0!</v>
      </c>
      <c r="AD54" s="12">
        <v>0</v>
      </c>
      <c r="AE54" s="13">
        <v>0</v>
      </c>
      <c r="AF54" s="12" t="e">
        <f t="shared" si="43"/>
        <v>#DIV/0!</v>
      </c>
      <c r="AG54" s="12">
        <v>0</v>
      </c>
      <c r="AH54" s="13">
        <v>0</v>
      </c>
      <c r="AI54" s="12" t="e">
        <f t="shared" si="44"/>
        <v>#DIV/0!</v>
      </c>
      <c r="AJ54" s="12">
        <v>0</v>
      </c>
      <c r="AK54" s="13">
        <v>0</v>
      </c>
      <c r="AL54" s="12" t="e">
        <f t="shared" si="45"/>
        <v>#DIV/0!</v>
      </c>
      <c r="AM54" s="12">
        <v>0</v>
      </c>
      <c r="AN54" s="13">
        <v>0</v>
      </c>
      <c r="AO54" s="12">
        <f t="shared" si="29"/>
        <v>1638.8</v>
      </c>
      <c r="AP54" s="12">
        <f t="shared" si="32"/>
        <v>4097</v>
      </c>
      <c r="AQ54" s="13">
        <f t="shared" si="33"/>
        <v>2.5</v>
      </c>
    </row>
    <row r="55" spans="1:43" x14ac:dyDescent="0.3">
      <c r="A55" s="21" t="s">
        <v>39</v>
      </c>
      <c r="B55" s="32"/>
      <c r="C55" s="38"/>
      <c r="D55" s="38"/>
      <c r="E55" s="12">
        <f t="shared" si="34"/>
        <v>1431.3177470775772</v>
      </c>
      <c r="F55" s="12">
        <v>134687</v>
      </c>
      <c r="G55" s="13">
        <v>94.1</v>
      </c>
      <c r="H55" s="12">
        <f t="shared" si="35"/>
        <v>1070.35175879397</v>
      </c>
      <c r="I55" s="12">
        <v>21300</v>
      </c>
      <c r="J55" s="13">
        <v>19.899999999999999</v>
      </c>
      <c r="K55" s="12">
        <f t="shared" si="36"/>
        <v>3590</v>
      </c>
      <c r="L55" s="12">
        <v>3231</v>
      </c>
      <c r="M55" s="13">
        <v>0.9</v>
      </c>
      <c r="N55" s="12" t="e">
        <f t="shared" si="37"/>
        <v>#DIV/0!</v>
      </c>
      <c r="O55" s="12">
        <v>0</v>
      </c>
      <c r="P55" s="13">
        <v>0</v>
      </c>
      <c r="Q55" s="12" t="e">
        <f t="shared" si="38"/>
        <v>#DIV/0!</v>
      </c>
      <c r="R55" s="12">
        <v>0</v>
      </c>
      <c r="S55" s="13">
        <v>0</v>
      </c>
      <c r="T55" s="12" t="e">
        <f t="shared" si="39"/>
        <v>#DIV/0!</v>
      </c>
      <c r="U55" s="12">
        <v>0</v>
      </c>
      <c r="V55" s="13">
        <v>0</v>
      </c>
      <c r="W55" s="12" t="e">
        <f t="shared" si="40"/>
        <v>#DIV/0!</v>
      </c>
      <c r="X55" s="12">
        <v>0</v>
      </c>
      <c r="Y55" s="13">
        <v>0</v>
      </c>
      <c r="Z55" s="12" t="e">
        <f t="shared" si="41"/>
        <v>#DIV/0!</v>
      </c>
      <c r="AA55" s="12">
        <v>0</v>
      </c>
      <c r="AB55" s="13">
        <v>0</v>
      </c>
      <c r="AC55" s="12">
        <f t="shared" si="42"/>
        <v>2365.3846153846152</v>
      </c>
      <c r="AD55" s="12">
        <v>3075</v>
      </c>
      <c r="AE55" s="13">
        <v>1.3</v>
      </c>
      <c r="AF55" s="12">
        <f t="shared" si="43"/>
        <v>1103.6269430051814</v>
      </c>
      <c r="AG55" s="12">
        <v>21300</v>
      </c>
      <c r="AH55" s="13">
        <v>19.3</v>
      </c>
      <c r="AI55" s="12" t="e">
        <f t="shared" si="44"/>
        <v>#DIV/0!</v>
      </c>
      <c r="AJ55" s="12">
        <v>0</v>
      </c>
      <c r="AK55" s="13">
        <v>0</v>
      </c>
      <c r="AL55" s="12" t="e">
        <f t="shared" si="45"/>
        <v>#DIV/0!</v>
      </c>
      <c r="AM55" s="12">
        <v>0</v>
      </c>
      <c r="AN55" s="13">
        <v>0</v>
      </c>
      <c r="AO55" s="12">
        <f t="shared" si="29"/>
        <v>1354.9298892988929</v>
      </c>
      <c r="AP55" s="12">
        <f t="shared" si="32"/>
        <v>183593</v>
      </c>
      <c r="AQ55" s="13">
        <f t="shared" si="33"/>
        <v>135.5</v>
      </c>
    </row>
    <row r="56" spans="1:43" x14ac:dyDescent="0.3">
      <c r="A56" s="21" t="s">
        <v>26</v>
      </c>
      <c r="B56" s="32"/>
      <c r="C56" s="38"/>
      <c r="D56" s="38"/>
      <c r="E56" s="12" t="e">
        <f t="shared" si="34"/>
        <v>#DIV/0!</v>
      </c>
      <c r="F56" s="12">
        <v>0</v>
      </c>
      <c r="G56" s="13">
        <v>0</v>
      </c>
      <c r="H56" s="12" t="e">
        <f t="shared" si="35"/>
        <v>#DIV/0!</v>
      </c>
      <c r="I56" s="12">
        <v>0</v>
      </c>
      <c r="J56" s="13">
        <v>0</v>
      </c>
      <c r="K56" s="12" t="e">
        <f t="shared" si="36"/>
        <v>#DIV/0!</v>
      </c>
      <c r="L56" s="12">
        <v>0</v>
      </c>
      <c r="M56" s="13">
        <v>0</v>
      </c>
      <c r="N56" s="12" t="e">
        <f t="shared" si="37"/>
        <v>#DIV/0!</v>
      </c>
      <c r="O56" s="12">
        <v>0</v>
      </c>
      <c r="P56" s="13">
        <v>0</v>
      </c>
      <c r="Q56" s="12" t="e">
        <f t="shared" si="38"/>
        <v>#DIV/0!</v>
      </c>
      <c r="R56" s="12">
        <v>0</v>
      </c>
      <c r="S56" s="13">
        <v>0</v>
      </c>
      <c r="T56" s="12" t="e">
        <f t="shared" si="39"/>
        <v>#DIV/0!</v>
      </c>
      <c r="U56" s="12">
        <v>0</v>
      </c>
      <c r="V56" s="13">
        <v>0</v>
      </c>
      <c r="W56" s="12">
        <f t="shared" si="40"/>
        <v>1166.6141732283465</v>
      </c>
      <c r="X56" s="12">
        <v>29632</v>
      </c>
      <c r="Y56" s="13">
        <v>25.4</v>
      </c>
      <c r="Z56" s="12" t="e">
        <f t="shared" si="41"/>
        <v>#DIV/0!</v>
      </c>
      <c r="AA56" s="12">
        <v>0</v>
      </c>
      <c r="AB56" s="13">
        <v>0</v>
      </c>
      <c r="AC56" s="12" t="e">
        <f t="shared" si="42"/>
        <v>#DIV/0!</v>
      </c>
      <c r="AD56" s="12">
        <v>0</v>
      </c>
      <c r="AE56" s="13">
        <v>0</v>
      </c>
      <c r="AF56" s="12" t="e">
        <f t="shared" si="43"/>
        <v>#DIV/0!</v>
      </c>
      <c r="AG56" s="12">
        <v>0</v>
      </c>
      <c r="AH56" s="13">
        <v>0</v>
      </c>
      <c r="AI56" s="12" t="e">
        <f t="shared" si="44"/>
        <v>#DIV/0!</v>
      </c>
      <c r="AJ56" s="12">
        <v>0</v>
      </c>
      <c r="AK56" s="13">
        <v>0</v>
      </c>
      <c r="AL56" s="12" t="e">
        <f t="shared" si="45"/>
        <v>#DIV/0!</v>
      </c>
      <c r="AM56" s="12">
        <v>0</v>
      </c>
      <c r="AN56" s="13">
        <v>0</v>
      </c>
      <c r="AO56" s="12">
        <f t="shared" si="29"/>
        <v>1166.6141732283465</v>
      </c>
      <c r="AP56" s="12">
        <f t="shared" si="32"/>
        <v>29632</v>
      </c>
      <c r="AQ56" s="13">
        <f t="shared" si="33"/>
        <v>25.4</v>
      </c>
    </row>
    <row r="57" spans="1:43" x14ac:dyDescent="0.3">
      <c r="A57" s="21" t="s">
        <v>92</v>
      </c>
      <c r="B57" s="32"/>
      <c r="C57" s="38"/>
      <c r="D57" s="38"/>
      <c r="E57" s="12" t="e">
        <f t="shared" si="34"/>
        <v>#DIV/0!</v>
      </c>
      <c r="F57" s="12">
        <v>0</v>
      </c>
      <c r="G57" s="13">
        <v>0</v>
      </c>
      <c r="H57" s="12" t="e">
        <f t="shared" si="35"/>
        <v>#DIV/0!</v>
      </c>
      <c r="I57" s="12">
        <v>0</v>
      </c>
      <c r="J57" s="13">
        <v>0</v>
      </c>
      <c r="K57" s="12" t="e">
        <f t="shared" si="36"/>
        <v>#DIV/0!</v>
      </c>
      <c r="L57" s="12">
        <v>0</v>
      </c>
      <c r="M57" s="13">
        <v>0</v>
      </c>
      <c r="N57" s="12" t="e">
        <f t="shared" si="37"/>
        <v>#DIV/0!</v>
      </c>
      <c r="O57" s="12">
        <v>0</v>
      </c>
      <c r="P57" s="13">
        <v>0</v>
      </c>
      <c r="Q57" s="12" t="e">
        <f t="shared" si="38"/>
        <v>#DIV/0!</v>
      </c>
      <c r="R57" s="12">
        <v>0</v>
      </c>
      <c r="S57" s="13">
        <v>0</v>
      </c>
      <c r="T57" s="12" t="e">
        <f t="shared" si="39"/>
        <v>#DIV/0!</v>
      </c>
      <c r="U57" s="12">
        <v>0</v>
      </c>
      <c r="V57" s="13">
        <v>0</v>
      </c>
      <c r="W57" s="12" t="e">
        <f t="shared" si="40"/>
        <v>#DIV/0!</v>
      </c>
      <c r="X57" s="12">
        <v>0</v>
      </c>
      <c r="Y57" s="13">
        <v>0</v>
      </c>
      <c r="Z57" s="12" t="e">
        <f t="shared" si="41"/>
        <v>#DIV/0!</v>
      </c>
      <c r="AA57" s="12">
        <v>0</v>
      </c>
      <c r="AB57" s="13">
        <v>0</v>
      </c>
      <c r="AC57" s="12" t="e">
        <f t="shared" si="42"/>
        <v>#DIV/0!</v>
      </c>
      <c r="AD57" s="12">
        <v>0</v>
      </c>
      <c r="AE57" s="13">
        <v>0</v>
      </c>
      <c r="AF57" s="12" t="e">
        <f t="shared" si="43"/>
        <v>#DIV/0!</v>
      </c>
      <c r="AG57" s="12">
        <v>0</v>
      </c>
      <c r="AH57" s="13">
        <v>0</v>
      </c>
      <c r="AI57" s="12">
        <f t="shared" si="44"/>
        <v>4244</v>
      </c>
      <c r="AJ57" s="12">
        <v>6366</v>
      </c>
      <c r="AK57" s="13">
        <v>1.5</v>
      </c>
      <c r="AL57" s="12" t="e">
        <f t="shared" si="45"/>
        <v>#DIV/0!</v>
      </c>
      <c r="AM57" s="12">
        <v>0</v>
      </c>
      <c r="AN57" s="13">
        <v>0</v>
      </c>
      <c r="AO57" s="12">
        <f t="shared" si="29"/>
        <v>4244</v>
      </c>
      <c r="AP57" s="12">
        <f t="shared" si="32"/>
        <v>6366</v>
      </c>
      <c r="AQ57" s="13">
        <f t="shared" si="33"/>
        <v>1.5</v>
      </c>
    </row>
    <row r="58" spans="1:43" x14ac:dyDescent="0.3">
      <c r="A58" s="21" t="s">
        <v>75</v>
      </c>
      <c r="B58" s="32"/>
      <c r="C58" s="38"/>
      <c r="D58" s="38"/>
      <c r="E58" s="12" t="e">
        <f t="shared" si="34"/>
        <v>#DIV/0!</v>
      </c>
      <c r="F58" s="12">
        <v>0</v>
      </c>
      <c r="G58" s="13">
        <v>0</v>
      </c>
      <c r="H58" s="12" t="e">
        <f t="shared" si="35"/>
        <v>#DIV/0!</v>
      </c>
      <c r="I58" s="12">
        <v>0</v>
      </c>
      <c r="J58" s="13">
        <v>0</v>
      </c>
      <c r="K58" s="12" t="e">
        <f t="shared" si="36"/>
        <v>#DIV/0!</v>
      </c>
      <c r="L58" s="12">
        <v>0</v>
      </c>
      <c r="M58" s="13">
        <v>0</v>
      </c>
      <c r="N58" s="12" t="e">
        <f t="shared" si="37"/>
        <v>#DIV/0!</v>
      </c>
      <c r="O58" s="12">
        <v>0</v>
      </c>
      <c r="P58" s="13">
        <v>0</v>
      </c>
      <c r="Q58" s="12" t="e">
        <f t="shared" si="38"/>
        <v>#DIV/0!</v>
      </c>
      <c r="R58" s="12">
        <v>0</v>
      </c>
      <c r="S58" s="13">
        <v>0</v>
      </c>
      <c r="T58" s="12">
        <f t="shared" si="39"/>
        <v>1414.4827586206898</v>
      </c>
      <c r="U58" s="12">
        <v>4102</v>
      </c>
      <c r="V58" s="13">
        <v>2.9</v>
      </c>
      <c r="W58" s="12" t="e">
        <f t="shared" si="40"/>
        <v>#DIV/0!</v>
      </c>
      <c r="X58" s="12">
        <v>0</v>
      </c>
      <c r="Y58" s="13">
        <v>0</v>
      </c>
      <c r="Z58" s="12" t="e">
        <f t="shared" si="41"/>
        <v>#DIV/0!</v>
      </c>
      <c r="AA58" s="12">
        <v>0</v>
      </c>
      <c r="AB58" s="13">
        <v>0</v>
      </c>
      <c r="AC58" s="12" t="e">
        <f t="shared" si="42"/>
        <v>#DIV/0!</v>
      </c>
      <c r="AD58" s="12">
        <v>0</v>
      </c>
      <c r="AE58" s="13">
        <v>0</v>
      </c>
      <c r="AF58" s="12" t="e">
        <f t="shared" si="43"/>
        <v>#DIV/0!</v>
      </c>
      <c r="AG58" s="12">
        <v>0</v>
      </c>
      <c r="AH58" s="13">
        <v>0</v>
      </c>
      <c r="AI58" s="12" t="e">
        <f t="shared" si="44"/>
        <v>#DIV/0!</v>
      </c>
      <c r="AJ58" s="12">
        <v>0</v>
      </c>
      <c r="AK58" s="13">
        <v>0</v>
      </c>
      <c r="AL58" s="12" t="e">
        <f t="shared" si="45"/>
        <v>#DIV/0!</v>
      </c>
      <c r="AM58" s="12">
        <v>0</v>
      </c>
      <c r="AN58" s="13">
        <v>0</v>
      </c>
      <c r="AO58" s="12">
        <f t="shared" si="29"/>
        <v>1414.4827586206898</v>
      </c>
      <c r="AP58" s="12">
        <f t="shared" si="32"/>
        <v>4102</v>
      </c>
      <c r="AQ58" s="13">
        <f t="shared" si="33"/>
        <v>2.9</v>
      </c>
    </row>
    <row r="59" spans="1:43" x14ac:dyDescent="0.3">
      <c r="A59" s="21" t="s">
        <v>76</v>
      </c>
      <c r="B59" s="32"/>
      <c r="C59" s="38"/>
      <c r="D59" s="38"/>
      <c r="E59" s="12" t="e">
        <f t="shared" si="34"/>
        <v>#DIV/0!</v>
      </c>
      <c r="F59" s="12">
        <v>0</v>
      </c>
      <c r="G59" s="13">
        <v>0</v>
      </c>
      <c r="H59" s="12" t="e">
        <f t="shared" si="35"/>
        <v>#DIV/0!</v>
      </c>
      <c r="I59" s="12">
        <v>0</v>
      </c>
      <c r="J59" s="13">
        <v>0</v>
      </c>
      <c r="K59" s="12">
        <f t="shared" si="36"/>
        <v>2313.3082706766918</v>
      </c>
      <c r="L59" s="12">
        <v>30767</v>
      </c>
      <c r="M59" s="13">
        <v>13.3</v>
      </c>
      <c r="N59" s="12">
        <f t="shared" si="37"/>
        <v>2304.8175182481755</v>
      </c>
      <c r="O59" s="12">
        <v>31576</v>
      </c>
      <c r="P59" s="13">
        <v>13.7</v>
      </c>
      <c r="Q59" s="12" t="e">
        <f t="shared" si="38"/>
        <v>#DIV/0!</v>
      </c>
      <c r="R59" s="12">
        <v>0</v>
      </c>
      <c r="S59" s="13">
        <v>0</v>
      </c>
      <c r="T59" s="12">
        <f t="shared" si="39"/>
        <v>2181.5789473684208</v>
      </c>
      <c r="U59" s="12">
        <v>37305</v>
      </c>
      <c r="V59" s="13">
        <v>17.100000000000001</v>
      </c>
      <c r="W59" s="12">
        <f t="shared" si="40"/>
        <v>2298.2608695652175</v>
      </c>
      <c r="X59" s="12">
        <v>5286</v>
      </c>
      <c r="Y59" s="13">
        <v>2.2999999999999998</v>
      </c>
      <c r="Z59" s="12" t="e">
        <f t="shared" si="41"/>
        <v>#DIV/0!</v>
      </c>
      <c r="AA59" s="12">
        <v>0</v>
      </c>
      <c r="AB59" s="13">
        <v>0</v>
      </c>
      <c r="AC59" s="12" t="e">
        <f t="shared" si="42"/>
        <v>#DIV/0!</v>
      </c>
      <c r="AD59" s="12">
        <v>0</v>
      </c>
      <c r="AE59" s="13">
        <v>0</v>
      </c>
      <c r="AF59" s="12" t="e">
        <f t="shared" si="43"/>
        <v>#DIV/0!</v>
      </c>
      <c r="AG59" s="12">
        <v>0</v>
      </c>
      <c r="AH59" s="13">
        <v>0</v>
      </c>
      <c r="AI59" s="12" t="e">
        <f t="shared" si="44"/>
        <v>#DIV/0!</v>
      </c>
      <c r="AJ59" s="12">
        <v>0</v>
      </c>
      <c r="AK59" s="13">
        <v>0</v>
      </c>
      <c r="AL59" s="12" t="e">
        <f t="shared" si="45"/>
        <v>#DIV/0!</v>
      </c>
      <c r="AM59" s="12">
        <v>0</v>
      </c>
      <c r="AN59" s="13">
        <v>0</v>
      </c>
      <c r="AO59" s="12">
        <f t="shared" si="29"/>
        <v>2261.5086206896553</v>
      </c>
      <c r="AP59" s="12">
        <f t="shared" si="32"/>
        <v>104934</v>
      </c>
      <c r="AQ59" s="13">
        <f t="shared" si="33"/>
        <v>46.4</v>
      </c>
    </row>
    <row r="60" spans="1:43" x14ac:dyDescent="0.3">
      <c r="A60" s="21" t="s">
        <v>57</v>
      </c>
      <c r="B60" s="32"/>
      <c r="C60" s="38"/>
      <c r="D60" s="38"/>
      <c r="E60" s="12" t="e">
        <f t="shared" si="34"/>
        <v>#DIV/0!</v>
      </c>
      <c r="F60" s="12">
        <v>0</v>
      </c>
      <c r="G60" s="13">
        <v>0</v>
      </c>
      <c r="H60" s="12">
        <f t="shared" si="35"/>
        <v>1278.2608695652173</v>
      </c>
      <c r="I60" s="12">
        <v>8820</v>
      </c>
      <c r="J60" s="13">
        <v>6.9</v>
      </c>
      <c r="K60" s="12">
        <f t="shared" si="36"/>
        <v>2067.6923076923076</v>
      </c>
      <c r="L60" s="12">
        <v>2688</v>
      </c>
      <c r="M60" s="13">
        <v>1.3</v>
      </c>
      <c r="N60" s="12">
        <f t="shared" si="37"/>
        <v>1308.695652173913</v>
      </c>
      <c r="O60" s="12">
        <v>9030</v>
      </c>
      <c r="P60" s="13">
        <v>6.9</v>
      </c>
      <c r="Q60" s="12">
        <f t="shared" si="38"/>
        <v>1938.4615384615383</v>
      </c>
      <c r="R60" s="12">
        <v>2520</v>
      </c>
      <c r="S60" s="13">
        <v>1.3</v>
      </c>
      <c r="T60" s="12" t="e">
        <f t="shared" si="39"/>
        <v>#DIV/0!</v>
      </c>
      <c r="U60" s="12">
        <v>0</v>
      </c>
      <c r="V60" s="13">
        <v>0</v>
      </c>
      <c r="W60" s="12">
        <f t="shared" si="40"/>
        <v>1261.5384615384617</v>
      </c>
      <c r="X60" s="12">
        <v>9840</v>
      </c>
      <c r="Y60" s="13">
        <v>7.8</v>
      </c>
      <c r="Z60" s="12" t="e">
        <f t="shared" si="41"/>
        <v>#DIV/0!</v>
      </c>
      <c r="AA60" s="12">
        <v>0</v>
      </c>
      <c r="AB60" s="13">
        <v>0</v>
      </c>
      <c r="AC60" s="12">
        <f t="shared" si="42"/>
        <v>1243.421052631579</v>
      </c>
      <c r="AD60" s="12">
        <v>14175</v>
      </c>
      <c r="AE60" s="13">
        <v>11.4</v>
      </c>
      <c r="AF60" s="12">
        <f t="shared" si="43"/>
        <v>2067.6923076923076</v>
      </c>
      <c r="AG60" s="12">
        <v>2688</v>
      </c>
      <c r="AH60" s="13">
        <v>1.3</v>
      </c>
      <c r="AI60" s="12">
        <f t="shared" si="44"/>
        <v>1280</v>
      </c>
      <c r="AJ60" s="12">
        <v>9984</v>
      </c>
      <c r="AK60" s="13">
        <v>7.8</v>
      </c>
      <c r="AL60" s="12" t="e">
        <f t="shared" si="45"/>
        <v>#DIV/0!</v>
      </c>
      <c r="AM60" s="12">
        <v>0</v>
      </c>
      <c r="AN60" s="13">
        <v>0</v>
      </c>
      <c r="AO60" s="12">
        <f t="shared" si="29"/>
        <v>1336.5771812080538</v>
      </c>
      <c r="AP60" s="12">
        <f t="shared" si="32"/>
        <v>59745</v>
      </c>
      <c r="AQ60" s="13">
        <f t="shared" si="33"/>
        <v>44.699999999999996</v>
      </c>
    </row>
    <row r="61" spans="1:43" x14ac:dyDescent="0.3">
      <c r="A61" s="21" t="s">
        <v>93</v>
      </c>
      <c r="B61" s="32"/>
      <c r="C61" s="38"/>
      <c r="D61" s="38"/>
      <c r="E61" s="12" t="e">
        <f t="shared" si="34"/>
        <v>#DIV/0!</v>
      </c>
      <c r="F61" s="12">
        <v>0</v>
      </c>
      <c r="G61" s="13">
        <v>0</v>
      </c>
      <c r="H61" s="12" t="e">
        <f t="shared" si="35"/>
        <v>#DIV/0!</v>
      </c>
      <c r="I61" s="12">
        <v>0</v>
      </c>
      <c r="J61" s="13">
        <v>0</v>
      </c>
      <c r="K61" s="12" t="e">
        <f t="shared" si="36"/>
        <v>#DIV/0!</v>
      </c>
      <c r="L61" s="12">
        <v>0</v>
      </c>
      <c r="M61" s="13">
        <v>0</v>
      </c>
      <c r="N61" s="12" t="e">
        <f t="shared" si="37"/>
        <v>#DIV/0!</v>
      </c>
      <c r="O61" s="12">
        <v>0</v>
      </c>
      <c r="P61" s="13">
        <v>0</v>
      </c>
      <c r="Q61" s="12" t="e">
        <f t="shared" si="38"/>
        <v>#DIV/0!</v>
      </c>
      <c r="R61" s="12">
        <v>0</v>
      </c>
      <c r="S61" s="13">
        <v>0</v>
      </c>
      <c r="T61" s="12" t="e">
        <f t="shared" si="39"/>
        <v>#DIV/0!</v>
      </c>
      <c r="U61" s="12">
        <v>0</v>
      </c>
      <c r="V61" s="13">
        <v>0</v>
      </c>
      <c r="W61" s="12" t="e">
        <f t="shared" si="40"/>
        <v>#DIV/0!</v>
      </c>
      <c r="X61" s="12">
        <v>0</v>
      </c>
      <c r="Y61" s="13">
        <v>0</v>
      </c>
      <c r="Z61" s="12" t="e">
        <f t="shared" si="41"/>
        <v>#DIV/0!</v>
      </c>
      <c r="AA61" s="12">
        <v>0</v>
      </c>
      <c r="AB61" s="13">
        <v>0</v>
      </c>
      <c r="AC61" s="12">
        <f t="shared" si="42"/>
        <v>1085.5966127790607</v>
      </c>
      <c r="AD61" s="12">
        <v>141019</v>
      </c>
      <c r="AE61" s="13">
        <v>129.9</v>
      </c>
      <c r="AF61" s="12" t="e">
        <f t="shared" si="43"/>
        <v>#DIV/0!</v>
      </c>
      <c r="AG61" s="12">
        <v>0</v>
      </c>
      <c r="AH61" s="13">
        <v>0</v>
      </c>
      <c r="AI61" s="12" t="e">
        <f t="shared" si="44"/>
        <v>#DIV/0!</v>
      </c>
      <c r="AJ61" s="12">
        <v>0</v>
      </c>
      <c r="AK61" s="13">
        <v>0</v>
      </c>
      <c r="AL61" s="12" t="e">
        <f t="shared" si="45"/>
        <v>#DIV/0!</v>
      </c>
      <c r="AM61" s="12">
        <v>0</v>
      </c>
      <c r="AN61" s="13">
        <v>0</v>
      </c>
      <c r="AO61" s="12">
        <f t="shared" si="29"/>
        <v>1085.5966127790607</v>
      </c>
      <c r="AP61" s="12">
        <f t="shared" si="32"/>
        <v>141019</v>
      </c>
      <c r="AQ61" s="13">
        <f t="shared" si="33"/>
        <v>129.9</v>
      </c>
    </row>
    <row r="62" spans="1:43" x14ac:dyDescent="0.3">
      <c r="A62" s="21" t="s">
        <v>78</v>
      </c>
      <c r="B62" s="32"/>
      <c r="C62" s="38"/>
      <c r="D62" s="38"/>
      <c r="E62" s="12" t="e">
        <f t="shared" si="34"/>
        <v>#DIV/0!</v>
      </c>
      <c r="F62" s="12">
        <v>0</v>
      </c>
      <c r="G62" s="13">
        <v>0</v>
      </c>
      <c r="H62" s="12" t="e">
        <f t="shared" si="35"/>
        <v>#DIV/0!</v>
      </c>
      <c r="I62" s="12">
        <v>0</v>
      </c>
      <c r="J62" s="13">
        <v>0</v>
      </c>
      <c r="K62" s="12" t="e">
        <f t="shared" si="36"/>
        <v>#DIV/0!</v>
      </c>
      <c r="L62" s="12">
        <v>0</v>
      </c>
      <c r="M62" s="13">
        <v>0</v>
      </c>
      <c r="N62" s="12" t="e">
        <f t="shared" si="37"/>
        <v>#DIV/0!</v>
      </c>
      <c r="O62" s="12">
        <v>0</v>
      </c>
      <c r="P62" s="13">
        <v>0</v>
      </c>
      <c r="Q62" s="12" t="e">
        <f t="shared" si="38"/>
        <v>#DIV/0!</v>
      </c>
      <c r="R62" s="12">
        <v>0</v>
      </c>
      <c r="S62" s="13">
        <v>0</v>
      </c>
      <c r="T62" s="12" t="e">
        <f t="shared" si="39"/>
        <v>#DIV/0!</v>
      </c>
      <c r="U62" s="12">
        <v>0</v>
      </c>
      <c r="V62" s="13">
        <v>0</v>
      </c>
      <c r="W62" s="12" t="e">
        <f t="shared" si="40"/>
        <v>#DIV/0!</v>
      </c>
      <c r="X62" s="12">
        <v>0</v>
      </c>
      <c r="Y62" s="13">
        <v>0</v>
      </c>
      <c r="Z62" s="12">
        <f t="shared" si="41"/>
        <v>1548.7102922490469</v>
      </c>
      <c r="AA62" s="12">
        <v>243767</v>
      </c>
      <c r="AB62" s="13">
        <v>157.4</v>
      </c>
      <c r="AC62" s="12" t="e">
        <f t="shared" si="42"/>
        <v>#DIV/0!</v>
      </c>
      <c r="AD62" s="12">
        <v>0</v>
      </c>
      <c r="AE62" s="13">
        <v>0</v>
      </c>
      <c r="AF62" s="12" t="e">
        <f t="shared" si="43"/>
        <v>#DIV/0!</v>
      </c>
      <c r="AG62" s="12">
        <v>0</v>
      </c>
      <c r="AH62" s="13">
        <v>0</v>
      </c>
      <c r="AI62" s="12">
        <f t="shared" si="44"/>
        <v>1548.4365028717295</v>
      </c>
      <c r="AJ62" s="12">
        <v>242640</v>
      </c>
      <c r="AK62" s="13">
        <v>156.69999999999999</v>
      </c>
      <c r="AL62" s="12" t="e">
        <f t="shared" si="45"/>
        <v>#DIV/0!</v>
      </c>
      <c r="AM62" s="12">
        <v>0</v>
      </c>
      <c r="AN62" s="13">
        <v>0</v>
      </c>
      <c r="AO62" s="12">
        <f t="shared" ref="AO62:AO85" si="46">AP62/AQ62</f>
        <v>991.92657004830937</v>
      </c>
      <c r="AP62" s="12">
        <f>SUM(AP63:AP82)</f>
        <v>2566610</v>
      </c>
      <c r="AQ62" s="13">
        <f>SUM(AQ63:AQ82)</f>
        <v>2587.4999999999995</v>
      </c>
    </row>
    <row r="63" spans="1:43" x14ac:dyDescent="0.3">
      <c r="A63" s="21" t="s">
        <v>43</v>
      </c>
      <c r="B63" s="32"/>
      <c r="C63" s="38"/>
      <c r="D63" s="38"/>
      <c r="E63" s="12" t="e">
        <f t="shared" si="34"/>
        <v>#DIV/0!</v>
      </c>
      <c r="F63" s="12">
        <v>0</v>
      </c>
      <c r="G63" s="13">
        <v>0</v>
      </c>
      <c r="H63" s="12" t="e">
        <f t="shared" si="35"/>
        <v>#DIV/0!</v>
      </c>
      <c r="I63" s="12">
        <v>0</v>
      </c>
      <c r="J63" s="13">
        <v>0</v>
      </c>
      <c r="K63" s="12" t="e">
        <f t="shared" si="36"/>
        <v>#DIV/0!</v>
      </c>
      <c r="L63" s="12">
        <v>0</v>
      </c>
      <c r="M63" s="13">
        <v>0</v>
      </c>
      <c r="N63" s="12" t="e">
        <f t="shared" si="37"/>
        <v>#DIV/0!</v>
      </c>
      <c r="O63" s="12">
        <v>0</v>
      </c>
      <c r="P63" s="13">
        <v>0</v>
      </c>
      <c r="Q63" s="12" t="e">
        <f t="shared" si="38"/>
        <v>#DIV/0!</v>
      </c>
      <c r="R63" s="12">
        <v>0</v>
      </c>
      <c r="S63" s="13">
        <v>0</v>
      </c>
      <c r="T63" s="12" t="e">
        <f t="shared" si="39"/>
        <v>#DIV/0!</v>
      </c>
      <c r="U63" s="12">
        <v>0</v>
      </c>
      <c r="V63" s="13">
        <v>0</v>
      </c>
      <c r="W63" s="12">
        <f t="shared" si="40"/>
        <v>2214.4117647058824</v>
      </c>
      <c r="X63" s="12">
        <v>7529</v>
      </c>
      <c r="Y63" s="13">
        <v>3.4</v>
      </c>
      <c r="Z63" s="12" t="e">
        <f t="shared" si="41"/>
        <v>#DIV/0!</v>
      </c>
      <c r="AA63" s="12">
        <v>0</v>
      </c>
      <c r="AB63" s="13">
        <v>0</v>
      </c>
      <c r="AC63" s="12" t="e">
        <f t="shared" si="42"/>
        <v>#DIV/0!</v>
      </c>
      <c r="AD63" s="12">
        <v>0</v>
      </c>
      <c r="AE63" s="13">
        <v>0</v>
      </c>
      <c r="AF63" s="12">
        <f t="shared" si="43"/>
        <v>10095</v>
      </c>
      <c r="AG63" s="12">
        <v>4038</v>
      </c>
      <c r="AH63" s="13">
        <v>0.4</v>
      </c>
      <c r="AI63" s="12" t="e">
        <f t="shared" si="44"/>
        <v>#DIV/0!</v>
      </c>
      <c r="AJ63" s="12">
        <v>0</v>
      </c>
      <c r="AK63" s="13">
        <v>0</v>
      </c>
      <c r="AL63" s="12" t="e">
        <f t="shared" si="45"/>
        <v>#DIV/0!</v>
      </c>
      <c r="AM63" s="12">
        <v>0</v>
      </c>
      <c r="AN63" s="13">
        <v>0</v>
      </c>
      <c r="AO63" s="12">
        <f t="shared" si="46"/>
        <v>3043.9473684210529</v>
      </c>
      <c r="AP63" s="12">
        <f t="shared" ref="AP63:AP85" si="47">SUM(F63,I63,L63,O63,R63,U63,X63,AA63,AD63,AG63,AJ63,AM63)</f>
        <v>11567</v>
      </c>
      <c r="AQ63" s="13">
        <f t="shared" ref="AQ63:AQ82" si="48">SUM(G63,J63,M63,P63,S63,V63,Y63,AB63,AE63,AH63,AK63,AN63)</f>
        <v>3.8</v>
      </c>
    </row>
    <row r="64" spans="1:43" x14ac:dyDescent="0.3">
      <c r="A64" s="22" t="s">
        <v>79</v>
      </c>
      <c r="B64" s="33"/>
      <c r="C64" s="38"/>
      <c r="D64" s="38"/>
      <c r="E64" s="19" t="e">
        <f t="shared" si="34"/>
        <v>#DIV/0!</v>
      </c>
      <c r="F64" s="17">
        <v>0</v>
      </c>
      <c r="G64" s="18">
        <v>0</v>
      </c>
      <c r="H64" s="17" t="e">
        <f t="shared" si="35"/>
        <v>#DIV/0!</v>
      </c>
      <c r="I64" s="17">
        <v>0</v>
      </c>
      <c r="J64" s="18">
        <v>0</v>
      </c>
      <c r="K64" s="17" t="e">
        <f t="shared" si="36"/>
        <v>#DIV/0!</v>
      </c>
      <c r="L64" s="17">
        <v>0</v>
      </c>
      <c r="M64" s="18">
        <v>0</v>
      </c>
      <c r="N64" s="17" t="e">
        <f t="shared" si="37"/>
        <v>#DIV/0!</v>
      </c>
      <c r="O64" s="17">
        <v>0</v>
      </c>
      <c r="P64" s="18">
        <v>0</v>
      </c>
      <c r="Q64" s="17">
        <f t="shared" si="38"/>
        <v>3409.090909090909</v>
      </c>
      <c r="R64" s="17">
        <v>60000</v>
      </c>
      <c r="S64" s="18">
        <v>17.600000000000001</v>
      </c>
      <c r="T64" s="17" t="e">
        <f t="shared" si="39"/>
        <v>#DIV/0!</v>
      </c>
      <c r="U64" s="17">
        <v>0</v>
      </c>
      <c r="V64" s="18">
        <v>0</v>
      </c>
      <c r="W64" s="17" t="e">
        <f t="shared" si="40"/>
        <v>#DIV/0!</v>
      </c>
      <c r="X64" s="17">
        <v>0</v>
      </c>
      <c r="Y64" s="18">
        <v>0</v>
      </c>
      <c r="Z64" s="17" t="e">
        <f t="shared" si="41"/>
        <v>#DIV/0!</v>
      </c>
      <c r="AA64" s="17">
        <v>0</v>
      </c>
      <c r="AB64" s="18">
        <v>0</v>
      </c>
      <c r="AC64" s="17" t="e">
        <f t="shared" si="42"/>
        <v>#DIV/0!</v>
      </c>
      <c r="AD64" s="17">
        <v>0</v>
      </c>
      <c r="AE64" s="18">
        <v>0</v>
      </c>
      <c r="AF64" s="17" t="e">
        <f t="shared" si="43"/>
        <v>#DIV/0!</v>
      </c>
      <c r="AG64" s="17">
        <v>0</v>
      </c>
      <c r="AH64" s="18">
        <v>0</v>
      </c>
      <c r="AI64" s="17" t="e">
        <f t="shared" si="44"/>
        <v>#DIV/0!</v>
      </c>
      <c r="AJ64" s="17">
        <v>0</v>
      </c>
      <c r="AK64" s="18">
        <v>0</v>
      </c>
      <c r="AL64" s="17" t="e">
        <f t="shared" si="45"/>
        <v>#DIV/0!</v>
      </c>
      <c r="AM64" s="17">
        <v>0</v>
      </c>
      <c r="AN64" s="18">
        <v>0</v>
      </c>
      <c r="AO64" s="17">
        <f t="shared" si="46"/>
        <v>3409.090909090909</v>
      </c>
      <c r="AP64" s="17">
        <f t="shared" si="47"/>
        <v>60000</v>
      </c>
      <c r="AQ64" s="18">
        <f t="shared" si="48"/>
        <v>17.600000000000001</v>
      </c>
    </row>
    <row r="65" spans="1:43" x14ac:dyDescent="0.3">
      <c r="A65" s="21" t="s">
        <v>16</v>
      </c>
      <c r="B65" s="34" t="s">
        <v>85</v>
      </c>
      <c r="C65" s="38"/>
      <c r="D65" s="38"/>
      <c r="E65" s="12">
        <f t="shared" si="34"/>
        <v>1089.5451860602479</v>
      </c>
      <c r="F65" s="12">
        <f>SUM(F66:F85)</f>
        <v>184460</v>
      </c>
      <c r="G65" s="13">
        <f t="shared" ref="G65" si="49">SUM(G66:G85)</f>
        <v>169.3</v>
      </c>
      <c r="H65" s="12">
        <f t="shared" si="35"/>
        <v>1010.7402422611035</v>
      </c>
      <c r="I65" s="12">
        <f>SUM(I66:I85)</f>
        <v>75098</v>
      </c>
      <c r="J65" s="13">
        <f t="shared" ref="J65" si="50">SUM(J66:J85)</f>
        <v>74.300000000000011</v>
      </c>
      <c r="K65" s="12">
        <f t="shared" si="36"/>
        <v>873.15503875968989</v>
      </c>
      <c r="L65" s="12">
        <f>SUM(L66:L85)</f>
        <v>112637</v>
      </c>
      <c r="M65" s="13">
        <f t="shared" ref="M65" si="51">SUM(M66:M85)</f>
        <v>129</v>
      </c>
      <c r="N65" s="12">
        <f t="shared" si="37"/>
        <v>798.03563852354694</v>
      </c>
      <c r="O65" s="12">
        <f>SUM(O66:O85)</f>
        <v>188097</v>
      </c>
      <c r="P65" s="13">
        <f t="shared" ref="P65" si="52">SUM(P66:P85)</f>
        <v>235.7</v>
      </c>
      <c r="Q65" s="12">
        <f t="shared" si="38"/>
        <v>1123.4761321909425</v>
      </c>
      <c r="R65" s="12">
        <f>SUM(R66:R85)</f>
        <v>91788</v>
      </c>
      <c r="S65" s="13">
        <f t="shared" ref="S65" si="53">SUM(S66:S85)</f>
        <v>81.7</v>
      </c>
      <c r="T65" s="12">
        <f t="shared" si="39"/>
        <v>959.92063492063482</v>
      </c>
      <c r="U65" s="12">
        <f>SUM(U66:U85)</f>
        <v>108855</v>
      </c>
      <c r="V65" s="13">
        <f t="shared" ref="V65" si="54">SUM(V66:V85)</f>
        <v>113.4</v>
      </c>
      <c r="W65" s="12">
        <f t="shared" si="40"/>
        <v>1002.5082508250827</v>
      </c>
      <c r="X65" s="12">
        <f>SUM(X66:X85)</f>
        <v>60752</v>
      </c>
      <c r="Y65" s="13">
        <f t="shared" ref="Y65" si="55">SUM(Y66:Y85)</f>
        <v>60.599999999999994</v>
      </c>
      <c r="Z65" s="12">
        <f t="shared" si="41"/>
        <v>950.14148273910575</v>
      </c>
      <c r="AA65" s="12">
        <f>SUM(AA66:AA85)</f>
        <v>167890</v>
      </c>
      <c r="AB65" s="13">
        <f t="shared" ref="AB65" si="56">SUM(AB66:AB85)</f>
        <v>176.70000000000002</v>
      </c>
      <c r="AC65" s="12">
        <f t="shared" si="42"/>
        <v>1108.7240663900413</v>
      </c>
      <c r="AD65" s="12">
        <f>SUM(AD66:AD85)</f>
        <v>106881</v>
      </c>
      <c r="AE65" s="13">
        <f t="shared" ref="AE65" si="57">SUM(AE66:AE85)</f>
        <v>96.4</v>
      </c>
      <c r="AF65" s="12">
        <f t="shared" si="43"/>
        <v>896.20853080568725</v>
      </c>
      <c r="AG65" s="12">
        <f>SUM(AG66:AG85)</f>
        <v>94550</v>
      </c>
      <c r="AH65" s="13">
        <f t="shared" ref="AH65" si="58">SUM(AH66:AH85)</f>
        <v>105.5</v>
      </c>
      <c r="AI65" s="12">
        <f t="shared" si="44"/>
        <v>1009.4883997620465</v>
      </c>
      <c r="AJ65" s="12">
        <f>SUM(AJ66:AJ85)</f>
        <v>169695</v>
      </c>
      <c r="AK65" s="13">
        <f t="shared" ref="AK65" si="59">SUM(AK66:AK85)</f>
        <v>168.1</v>
      </c>
      <c r="AL65" s="12">
        <f t="shared" si="45"/>
        <v>1143.7593984962405</v>
      </c>
      <c r="AM65" s="12">
        <f>SUM(AM66:AM85)</f>
        <v>30424</v>
      </c>
      <c r="AN65" s="13">
        <f t="shared" ref="AN65" si="60">SUM(AN66:AN85)</f>
        <v>26.6</v>
      </c>
      <c r="AO65" s="12">
        <f t="shared" si="46"/>
        <v>967.87518263410561</v>
      </c>
      <c r="AP65" s="12">
        <f t="shared" si="47"/>
        <v>1391127</v>
      </c>
      <c r="AQ65" s="13">
        <f t="shared" si="48"/>
        <v>1437.3</v>
      </c>
    </row>
    <row r="66" spans="1:43" x14ac:dyDescent="0.3">
      <c r="A66" s="21" t="s">
        <v>40</v>
      </c>
      <c r="B66" s="35"/>
      <c r="C66" s="38"/>
      <c r="D66" s="38"/>
      <c r="E66" s="12" t="e">
        <f t="shared" si="34"/>
        <v>#DIV/0!</v>
      </c>
      <c r="F66" s="3">
        <v>0</v>
      </c>
      <c r="G66" s="6">
        <v>0</v>
      </c>
      <c r="H66" s="12" t="e">
        <f t="shared" si="35"/>
        <v>#DIV/0!</v>
      </c>
      <c r="I66" s="12">
        <v>0</v>
      </c>
      <c r="J66" s="13">
        <v>0</v>
      </c>
      <c r="K66" s="12" t="e">
        <f t="shared" si="36"/>
        <v>#DIV/0!</v>
      </c>
      <c r="L66" s="12">
        <v>0</v>
      </c>
      <c r="M66" s="13">
        <v>0</v>
      </c>
      <c r="N66" s="12" t="e">
        <f t="shared" si="37"/>
        <v>#DIV/0!</v>
      </c>
      <c r="O66" s="12">
        <v>0</v>
      </c>
      <c r="P66" s="13">
        <v>0</v>
      </c>
      <c r="Q66" s="12" t="e">
        <f t="shared" si="38"/>
        <v>#DIV/0!</v>
      </c>
      <c r="R66" s="12">
        <v>0</v>
      </c>
      <c r="S66" s="13">
        <v>0</v>
      </c>
      <c r="T66" s="12" t="e">
        <f t="shared" si="39"/>
        <v>#DIV/0!</v>
      </c>
      <c r="U66" s="12">
        <v>0</v>
      </c>
      <c r="V66" s="13">
        <v>0</v>
      </c>
      <c r="W66" s="12" t="e">
        <f t="shared" si="40"/>
        <v>#DIV/0!</v>
      </c>
      <c r="X66" s="12">
        <v>0</v>
      </c>
      <c r="Y66" s="13">
        <v>0</v>
      </c>
      <c r="Z66" s="12">
        <f t="shared" si="41"/>
        <v>956.969696969697</v>
      </c>
      <c r="AA66" s="12">
        <v>15790</v>
      </c>
      <c r="AB66" s="13">
        <v>16.5</v>
      </c>
      <c r="AC66" s="12" t="e">
        <f t="shared" si="42"/>
        <v>#DIV/0!</v>
      </c>
      <c r="AD66" s="12">
        <v>0</v>
      </c>
      <c r="AE66" s="13">
        <v>0</v>
      </c>
      <c r="AF66" s="12" t="e">
        <f t="shared" si="43"/>
        <v>#DIV/0!</v>
      </c>
      <c r="AG66" s="12">
        <v>0</v>
      </c>
      <c r="AH66" s="13">
        <v>0</v>
      </c>
      <c r="AI66" s="12" t="e">
        <f t="shared" si="44"/>
        <v>#DIV/0!</v>
      </c>
      <c r="AJ66" s="12">
        <v>0</v>
      </c>
      <c r="AK66" s="13">
        <v>0</v>
      </c>
      <c r="AL66" s="12">
        <f t="shared" si="45"/>
        <v>1023.4710743801653</v>
      </c>
      <c r="AM66" s="12">
        <v>12384</v>
      </c>
      <c r="AN66" s="13">
        <v>12.1</v>
      </c>
      <c r="AO66" s="12">
        <f t="shared" si="46"/>
        <v>985.10489510489504</v>
      </c>
      <c r="AP66" s="12">
        <f t="shared" si="47"/>
        <v>28174</v>
      </c>
      <c r="AQ66" s="13">
        <f t="shared" si="48"/>
        <v>28.6</v>
      </c>
    </row>
    <row r="67" spans="1:43" x14ac:dyDescent="0.3">
      <c r="A67" s="21" t="s">
        <v>25</v>
      </c>
      <c r="B67" s="35"/>
      <c r="C67" s="38"/>
      <c r="D67" s="38"/>
      <c r="E67" s="12">
        <f t="shared" si="34"/>
        <v>1124.4932432432431</v>
      </c>
      <c r="F67" s="3">
        <v>66570</v>
      </c>
      <c r="G67" s="6">
        <v>59.2</v>
      </c>
      <c r="H67" s="12">
        <f t="shared" si="35"/>
        <v>1154.841628959276</v>
      </c>
      <c r="I67" s="12">
        <v>25522</v>
      </c>
      <c r="J67" s="13">
        <v>22.1</v>
      </c>
      <c r="K67" s="12">
        <f t="shared" si="36"/>
        <v>1129.8245614035088</v>
      </c>
      <c r="L67" s="12">
        <v>6440</v>
      </c>
      <c r="M67" s="13">
        <v>5.7</v>
      </c>
      <c r="N67" s="12">
        <f t="shared" si="37"/>
        <v>682.26788432267881</v>
      </c>
      <c r="O67" s="12">
        <v>44825</v>
      </c>
      <c r="P67" s="13">
        <v>65.7</v>
      </c>
      <c r="Q67" s="12">
        <f t="shared" si="38"/>
        <v>1074.1845493562232</v>
      </c>
      <c r="R67" s="12">
        <v>50057</v>
      </c>
      <c r="S67" s="13">
        <v>46.6</v>
      </c>
      <c r="T67" s="12">
        <f t="shared" si="39"/>
        <v>1146.3157894736842</v>
      </c>
      <c r="U67" s="12">
        <v>15246</v>
      </c>
      <c r="V67" s="13">
        <v>13.3</v>
      </c>
      <c r="W67" s="12">
        <f t="shared" si="40"/>
        <v>1191.7351598173516</v>
      </c>
      <c r="X67" s="12">
        <v>26099</v>
      </c>
      <c r="Y67" s="13">
        <v>21.9</v>
      </c>
      <c r="Z67" s="12">
        <f t="shared" si="41"/>
        <v>1185.2564102564104</v>
      </c>
      <c r="AA67" s="12">
        <v>36980</v>
      </c>
      <c r="AB67" s="13">
        <v>31.2</v>
      </c>
      <c r="AC67" s="12">
        <f t="shared" si="42"/>
        <v>1152.7624309392265</v>
      </c>
      <c r="AD67" s="12">
        <v>20865</v>
      </c>
      <c r="AE67" s="13">
        <v>18.100000000000001</v>
      </c>
      <c r="AF67" s="12">
        <f t="shared" si="43"/>
        <v>1136.3157894736842</v>
      </c>
      <c r="AG67" s="12">
        <v>4318</v>
      </c>
      <c r="AH67" s="13">
        <v>3.8</v>
      </c>
      <c r="AI67" s="12">
        <f t="shared" si="44"/>
        <v>3265</v>
      </c>
      <c r="AJ67" s="12">
        <v>2612</v>
      </c>
      <c r="AK67" s="13">
        <v>0.8</v>
      </c>
      <c r="AL67" s="12">
        <f t="shared" si="45"/>
        <v>1155.1578947368421</v>
      </c>
      <c r="AM67" s="12">
        <v>10974</v>
      </c>
      <c r="AN67" s="13">
        <v>9.5</v>
      </c>
      <c r="AO67" s="12">
        <f t="shared" si="46"/>
        <v>1042.3229271567636</v>
      </c>
      <c r="AP67" s="12">
        <f t="shared" si="47"/>
        <v>310508</v>
      </c>
      <c r="AQ67" s="13">
        <f t="shared" si="48"/>
        <v>297.90000000000009</v>
      </c>
    </row>
    <row r="68" spans="1:43" x14ac:dyDescent="0.3">
      <c r="A68" s="21" t="s">
        <v>34</v>
      </c>
      <c r="B68" s="35"/>
      <c r="C68" s="38"/>
      <c r="D68" s="38"/>
      <c r="E68" s="12">
        <f t="shared" si="34"/>
        <v>1227.6595744680851</v>
      </c>
      <c r="F68" s="3">
        <v>11540</v>
      </c>
      <c r="G68" s="6">
        <v>9.4</v>
      </c>
      <c r="H68" s="12">
        <f t="shared" si="35"/>
        <v>1249.7959183673468</v>
      </c>
      <c r="I68" s="12">
        <v>12248</v>
      </c>
      <c r="J68" s="13">
        <v>9.8000000000000007</v>
      </c>
      <c r="K68" s="12">
        <f t="shared" si="36"/>
        <v>928</v>
      </c>
      <c r="L68" s="12">
        <v>18560</v>
      </c>
      <c r="M68" s="13">
        <v>20</v>
      </c>
      <c r="N68" s="12">
        <f t="shared" si="37"/>
        <v>717.66187050359713</v>
      </c>
      <c r="O68" s="12">
        <v>19951</v>
      </c>
      <c r="P68" s="13">
        <v>27.8</v>
      </c>
      <c r="Q68" s="12">
        <f t="shared" si="38"/>
        <v>1251.8831168831168</v>
      </c>
      <c r="R68" s="12">
        <v>19279</v>
      </c>
      <c r="S68" s="13">
        <v>15.4</v>
      </c>
      <c r="T68" s="12">
        <f t="shared" si="39"/>
        <v>1238.8775510204082</v>
      </c>
      <c r="U68" s="12">
        <v>36423</v>
      </c>
      <c r="V68" s="13">
        <v>29.4</v>
      </c>
      <c r="W68" s="12" t="e">
        <f t="shared" si="40"/>
        <v>#DIV/0!</v>
      </c>
      <c r="X68" s="12">
        <v>0</v>
      </c>
      <c r="Y68" s="13">
        <v>0</v>
      </c>
      <c r="Z68" s="12">
        <f t="shared" si="41"/>
        <v>1212.670807453416</v>
      </c>
      <c r="AA68" s="12">
        <v>19524</v>
      </c>
      <c r="AB68" s="13">
        <v>16.100000000000001</v>
      </c>
      <c r="AC68" s="12">
        <f t="shared" si="42"/>
        <v>914.00576368876068</v>
      </c>
      <c r="AD68" s="12">
        <v>31716</v>
      </c>
      <c r="AE68" s="13">
        <v>34.700000000000003</v>
      </c>
      <c r="AF68" s="12">
        <f t="shared" si="43"/>
        <v>719.27152317880791</v>
      </c>
      <c r="AG68" s="12">
        <v>21722</v>
      </c>
      <c r="AH68" s="13">
        <v>30.2</v>
      </c>
      <c r="AI68" s="12">
        <f t="shared" si="44"/>
        <v>718.19587628865986</v>
      </c>
      <c r="AJ68" s="12">
        <v>13933</v>
      </c>
      <c r="AK68" s="13">
        <v>19.399999999999999</v>
      </c>
      <c r="AL68" s="12">
        <f t="shared" si="45"/>
        <v>1413.2</v>
      </c>
      <c r="AM68" s="12">
        <v>7066</v>
      </c>
      <c r="AN68" s="13">
        <v>5</v>
      </c>
      <c r="AO68" s="12">
        <f t="shared" si="46"/>
        <v>975.8839779005524</v>
      </c>
      <c r="AP68" s="12">
        <f t="shared" si="47"/>
        <v>211962</v>
      </c>
      <c r="AQ68" s="13">
        <f t="shared" si="48"/>
        <v>217.20000000000002</v>
      </c>
    </row>
    <row r="69" spans="1:43" x14ac:dyDescent="0.3">
      <c r="A69" s="21" t="s">
        <v>66</v>
      </c>
      <c r="B69" s="35"/>
      <c r="C69" s="38"/>
      <c r="D69" s="38"/>
      <c r="E69" s="12" t="e">
        <f t="shared" si="34"/>
        <v>#DIV/0!</v>
      </c>
      <c r="F69" s="3">
        <v>0</v>
      </c>
      <c r="G69" s="6">
        <v>0</v>
      </c>
      <c r="H69" s="12" t="e">
        <f t="shared" si="35"/>
        <v>#DIV/0!</v>
      </c>
      <c r="I69" s="12">
        <v>0</v>
      </c>
      <c r="J69" s="13">
        <v>0</v>
      </c>
      <c r="K69" s="12" t="e">
        <f t="shared" si="36"/>
        <v>#DIV/0!</v>
      </c>
      <c r="L69" s="12">
        <v>0</v>
      </c>
      <c r="M69" s="13">
        <v>0</v>
      </c>
      <c r="N69" s="12" t="e">
        <f t="shared" si="37"/>
        <v>#DIV/0!</v>
      </c>
      <c r="O69" s="12">
        <v>0</v>
      </c>
      <c r="P69" s="13">
        <v>0</v>
      </c>
      <c r="Q69" s="12" t="e">
        <f t="shared" si="38"/>
        <v>#DIV/0!</v>
      </c>
      <c r="R69" s="12">
        <v>0</v>
      </c>
      <c r="S69" s="13">
        <v>0</v>
      </c>
      <c r="T69" s="12" t="e">
        <f t="shared" si="39"/>
        <v>#DIV/0!</v>
      </c>
      <c r="U69" s="12">
        <v>0</v>
      </c>
      <c r="V69" s="13">
        <v>0</v>
      </c>
      <c r="W69" s="12" t="e">
        <f t="shared" si="40"/>
        <v>#DIV/0!</v>
      </c>
      <c r="X69" s="12">
        <v>0</v>
      </c>
      <c r="Y69" s="13">
        <v>0</v>
      </c>
      <c r="Z69" s="12">
        <f t="shared" si="41"/>
        <v>1197.3913043478262</v>
      </c>
      <c r="AA69" s="12">
        <v>2754</v>
      </c>
      <c r="AB69" s="13">
        <v>2.2999999999999998</v>
      </c>
      <c r="AC69" s="12" t="e">
        <f t="shared" si="42"/>
        <v>#DIV/0!</v>
      </c>
      <c r="AD69" s="12">
        <v>0</v>
      </c>
      <c r="AE69" s="13">
        <v>0</v>
      </c>
      <c r="AF69" s="12" t="e">
        <f t="shared" si="43"/>
        <v>#DIV/0!</v>
      </c>
      <c r="AG69" s="12">
        <v>0</v>
      </c>
      <c r="AH69" s="13">
        <v>0</v>
      </c>
      <c r="AI69" s="12" t="e">
        <f t="shared" si="44"/>
        <v>#DIV/0!</v>
      </c>
      <c r="AJ69" s="12">
        <v>0</v>
      </c>
      <c r="AK69" s="13">
        <v>0</v>
      </c>
      <c r="AL69" s="12" t="e">
        <f t="shared" si="45"/>
        <v>#DIV/0!</v>
      </c>
      <c r="AM69" s="12">
        <v>0</v>
      </c>
      <c r="AN69" s="13">
        <v>0</v>
      </c>
      <c r="AO69" s="12">
        <f t="shared" si="46"/>
        <v>1197.3913043478262</v>
      </c>
      <c r="AP69" s="12">
        <f t="shared" si="47"/>
        <v>2754</v>
      </c>
      <c r="AQ69" s="13">
        <f t="shared" si="48"/>
        <v>2.2999999999999998</v>
      </c>
    </row>
    <row r="70" spans="1:43" x14ac:dyDescent="0.3">
      <c r="A70" s="21" t="s">
        <v>29</v>
      </c>
      <c r="B70" s="35"/>
      <c r="C70" s="38"/>
      <c r="D70" s="38"/>
      <c r="E70" s="12" t="e">
        <f t="shared" si="34"/>
        <v>#DIV/0!</v>
      </c>
      <c r="F70" s="3">
        <v>0</v>
      </c>
      <c r="G70" s="6">
        <v>0</v>
      </c>
      <c r="H70" s="12">
        <f t="shared" si="35"/>
        <v>760.67924528301887</v>
      </c>
      <c r="I70" s="12">
        <v>20158</v>
      </c>
      <c r="J70" s="13">
        <v>26.5</v>
      </c>
      <c r="K70" s="12" t="e">
        <f t="shared" si="36"/>
        <v>#DIV/0!</v>
      </c>
      <c r="L70" s="12">
        <v>0</v>
      </c>
      <c r="M70" s="13">
        <v>0</v>
      </c>
      <c r="N70" s="12">
        <f t="shared" si="37"/>
        <v>880.83333333333337</v>
      </c>
      <c r="O70" s="12">
        <v>21140</v>
      </c>
      <c r="P70" s="13">
        <v>24</v>
      </c>
      <c r="Q70" s="12" t="e">
        <f t="shared" si="38"/>
        <v>#DIV/0!</v>
      </c>
      <c r="R70" s="12">
        <v>0</v>
      </c>
      <c r="S70" s="13">
        <v>0</v>
      </c>
      <c r="T70" s="12" t="e">
        <f t="shared" si="39"/>
        <v>#DIV/0!</v>
      </c>
      <c r="U70" s="12">
        <v>0</v>
      </c>
      <c r="V70" s="13">
        <v>0</v>
      </c>
      <c r="W70" s="12" t="e">
        <f t="shared" si="40"/>
        <v>#DIV/0!</v>
      </c>
      <c r="X70" s="12">
        <v>0</v>
      </c>
      <c r="Y70" s="13">
        <v>0</v>
      </c>
      <c r="Z70" s="12" t="e">
        <f t="shared" si="41"/>
        <v>#DIV/0!</v>
      </c>
      <c r="AA70" s="12">
        <v>0</v>
      </c>
      <c r="AB70" s="13">
        <v>0</v>
      </c>
      <c r="AC70" s="12" t="e">
        <f t="shared" si="42"/>
        <v>#DIV/0!</v>
      </c>
      <c r="AD70" s="12">
        <v>0</v>
      </c>
      <c r="AE70" s="13">
        <v>0</v>
      </c>
      <c r="AF70" s="12">
        <f t="shared" si="43"/>
        <v>717.87535410764883</v>
      </c>
      <c r="AG70" s="12">
        <v>25341</v>
      </c>
      <c r="AH70" s="13">
        <v>35.299999999999997</v>
      </c>
      <c r="AI70" s="12" t="e">
        <f t="shared" si="44"/>
        <v>#DIV/0!</v>
      </c>
      <c r="AJ70" s="12">
        <v>0</v>
      </c>
      <c r="AK70" s="13">
        <v>0</v>
      </c>
      <c r="AL70" s="12" t="e">
        <f t="shared" si="45"/>
        <v>#DIV/0!</v>
      </c>
      <c r="AM70" s="12">
        <v>0</v>
      </c>
      <c r="AN70" s="13">
        <v>0</v>
      </c>
      <c r="AO70" s="12">
        <f t="shared" si="46"/>
        <v>776.67832167832171</v>
      </c>
      <c r="AP70" s="12">
        <f t="shared" si="47"/>
        <v>66639</v>
      </c>
      <c r="AQ70" s="13">
        <f t="shared" si="48"/>
        <v>85.8</v>
      </c>
    </row>
    <row r="71" spans="1:43" x14ac:dyDescent="0.3">
      <c r="A71" s="21" t="s">
        <v>60</v>
      </c>
      <c r="B71" s="35"/>
      <c r="C71" s="38"/>
      <c r="D71" s="38"/>
      <c r="E71" s="12" t="e">
        <f t="shared" ref="E71:E85" si="61">F71/G71</f>
        <v>#DIV/0!</v>
      </c>
      <c r="F71" s="3">
        <v>0</v>
      </c>
      <c r="G71" s="6">
        <v>0</v>
      </c>
      <c r="H71" s="12" t="e">
        <f t="shared" ref="H71:H85" si="62">I71/J71</f>
        <v>#DIV/0!</v>
      </c>
      <c r="I71" s="12">
        <v>0</v>
      </c>
      <c r="J71" s="13">
        <v>0</v>
      </c>
      <c r="K71" s="12" t="e">
        <f t="shared" ref="K71:K85" si="63">L71/M71</f>
        <v>#DIV/0!</v>
      </c>
      <c r="L71" s="12">
        <v>0</v>
      </c>
      <c r="M71" s="13">
        <v>0</v>
      </c>
      <c r="N71" s="12" t="e">
        <f t="shared" ref="N71:N85" si="64">O71/P71</f>
        <v>#DIV/0!</v>
      </c>
      <c r="O71" s="12">
        <v>0</v>
      </c>
      <c r="P71" s="13">
        <v>0</v>
      </c>
      <c r="Q71" s="12" t="e">
        <f t="shared" ref="Q71:Q85" si="65">R71/S71</f>
        <v>#DIV/0!</v>
      </c>
      <c r="R71" s="12">
        <v>0</v>
      </c>
      <c r="S71" s="13">
        <v>0</v>
      </c>
      <c r="T71" s="12" t="e">
        <f t="shared" ref="T71:T85" si="66">U71/V71</f>
        <v>#DIV/0!</v>
      </c>
      <c r="U71" s="12">
        <v>0</v>
      </c>
      <c r="V71" s="13">
        <v>0</v>
      </c>
      <c r="W71" s="12" t="e">
        <f t="shared" ref="W71:W85" si="67">X71/Y71</f>
        <v>#DIV/0!</v>
      </c>
      <c r="X71" s="12">
        <v>0</v>
      </c>
      <c r="Y71" s="13">
        <v>0</v>
      </c>
      <c r="Z71" s="12" t="e">
        <f t="shared" ref="Z71:Z85" si="68">AA71/AB71</f>
        <v>#DIV/0!</v>
      </c>
      <c r="AA71" s="12">
        <v>0</v>
      </c>
      <c r="AB71" s="13">
        <v>0</v>
      </c>
      <c r="AC71" s="12" t="e">
        <f t="shared" ref="AC71:AC85" si="69">AD71/AE71</f>
        <v>#DIV/0!</v>
      </c>
      <c r="AD71" s="12">
        <v>0</v>
      </c>
      <c r="AE71" s="13">
        <v>0</v>
      </c>
      <c r="AF71" s="12" t="e">
        <f t="shared" ref="AF71:AF85" si="70">AG71/AH71</f>
        <v>#DIV/0!</v>
      </c>
      <c r="AG71" s="12">
        <v>0</v>
      </c>
      <c r="AH71" s="13">
        <v>0</v>
      </c>
      <c r="AI71" s="12">
        <f t="shared" ref="AI71:AI85" si="71">AJ71/AK71</f>
        <v>1256.2857142857142</v>
      </c>
      <c r="AJ71" s="12">
        <v>4397</v>
      </c>
      <c r="AK71" s="13">
        <v>3.5</v>
      </c>
      <c r="AL71" s="12" t="e">
        <f t="shared" ref="AL71:AL85" si="72">AM71/AN71</f>
        <v>#DIV/0!</v>
      </c>
      <c r="AM71" s="12">
        <v>0</v>
      </c>
      <c r="AN71" s="13">
        <v>0</v>
      </c>
      <c r="AO71" s="12">
        <f t="shared" si="46"/>
        <v>1256.2857142857142</v>
      </c>
      <c r="AP71" s="12">
        <f t="shared" si="47"/>
        <v>4397</v>
      </c>
      <c r="AQ71" s="13">
        <f t="shared" si="48"/>
        <v>3.5</v>
      </c>
    </row>
    <row r="72" spans="1:43" x14ac:dyDescent="0.3">
      <c r="A72" s="21" t="s">
        <v>21</v>
      </c>
      <c r="B72" s="35"/>
      <c r="C72" s="38"/>
      <c r="D72" s="38"/>
      <c r="E72" s="12" t="e">
        <f t="shared" si="61"/>
        <v>#DIV/0!</v>
      </c>
      <c r="F72" s="3">
        <v>0</v>
      </c>
      <c r="G72" s="6">
        <v>0</v>
      </c>
      <c r="H72" s="12" t="e">
        <f t="shared" si="62"/>
        <v>#DIV/0!</v>
      </c>
      <c r="I72" s="12">
        <v>0</v>
      </c>
      <c r="J72" s="13">
        <v>0</v>
      </c>
      <c r="K72" s="12" t="e">
        <f t="shared" si="63"/>
        <v>#DIV/0!</v>
      </c>
      <c r="L72" s="12">
        <v>0</v>
      </c>
      <c r="M72" s="13">
        <v>0</v>
      </c>
      <c r="N72" s="12" t="e">
        <f t="shared" si="64"/>
        <v>#DIV/0!</v>
      </c>
      <c r="O72" s="12">
        <v>0</v>
      </c>
      <c r="P72" s="13">
        <v>0</v>
      </c>
      <c r="Q72" s="12" t="e">
        <f t="shared" si="65"/>
        <v>#DIV/0!</v>
      </c>
      <c r="R72" s="12">
        <v>0</v>
      </c>
      <c r="S72" s="13">
        <v>0</v>
      </c>
      <c r="T72" s="12">
        <f t="shared" si="66"/>
        <v>717.51152073732726</v>
      </c>
      <c r="U72" s="12">
        <v>31140</v>
      </c>
      <c r="V72" s="13">
        <v>43.4</v>
      </c>
      <c r="W72" s="12" t="e">
        <f t="shared" si="67"/>
        <v>#DIV/0!</v>
      </c>
      <c r="X72" s="12">
        <v>0</v>
      </c>
      <c r="Y72" s="13">
        <v>0</v>
      </c>
      <c r="Z72" s="12" t="e">
        <f t="shared" si="68"/>
        <v>#DIV/0!</v>
      </c>
      <c r="AA72" s="12">
        <v>0</v>
      </c>
      <c r="AB72" s="13">
        <v>0</v>
      </c>
      <c r="AC72" s="12" t="e">
        <f t="shared" si="69"/>
        <v>#DIV/0!</v>
      </c>
      <c r="AD72" s="12">
        <v>0</v>
      </c>
      <c r="AE72" s="13">
        <v>0</v>
      </c>
      <c r="AF72" s="12" t="e">
        <f t="shared" si="70"/>
        <v>#DIV/0!</v>
      </c>
      <c r="AG72" s="12">
        <v>0</v>
      </c>
      <c r="AH72" s="13">
        <v>0</v>
      </c>
      <c r="AI72" s="12" t="e">
        <f t="shared" si="71"/>
        <v>#DIV/0!</v>
      </c>
      <c r="AJ72" s="12">
        <v>0</v>
      </c>
      <c r="AK72" s="13">
        <v>0</v>
      </c>
      <c r="AL72" s="12" t="e">
        <f t="shared" si="72"/>
        <v>#DIV/0!</v>
      </c>
      <c r="AM72" s="12">
        <v>0</v>
      </c>
      <c r="AN72" s="13">
        <v>0</v>
      </c>
      <c r="AO72" s="12">
        <f t="shared" si="46"/>
        <v>717.51152073732726</v>
      </c>
      <c r="AP72" s="12">
        <f t="shared" si="47"/>
        <v>31140</v>
      </c>
      <c r="AQ72" s="13">
        <f t="shared" si="48"/>
        <v>43.4</v>
      </c>
    </row>
    <row r="73" spans="1:43" x14ac:dyDescent="0.3">
      <c r="A73" s="21" t="s">
        <v>18</v>
      </c>
      <c r="B73" s="35"/>
      <c r="C73" s="38"/>
      <c r="D73" s="38"/>
      <c r="E73" s="12" t="e">
        <f t="shared" si="61"/>
        <v>#DIV/0!</v>
      </c>
      <c r="F73" s="3">
        <v>0</v>
      </c>
      <c r="G73" s="6">
        <v>0</v>
      </c>
      <c r="H73" s="12" t="e">
        <f t="shared" si="62"/>
        <v>#DIV/0!</v>
      </c>
      <c r="I73" s="12">
        <v>0</v>
      </c>
      <c r="J73" s="13">
        <v>0</v>
      </c>
      <c r="K73" s="12" t="e">
        <f t="shared" si="63"/>
        <v>#DIV/0!</v>
      </c>
      <c r="L73" s="12">
        <v>0</v>
      </c>
      <c r="M73" s="13">
        <v>0</v>
      </c>
      <c r="N73" s="12" t="e">
        <f t="shared" si="64"/>
        <v>#DIV/0!</v>
      </c>
      <c r="O73" s="12">
        <v>0</v>
      </c>
      <c r="P73" s="13">
        <v>0</v>
      </c>
      <c r="Q73" s="12" t="e">
        <f t="shared" si="65"/>
        <v>#DIV/0!</v>
      </c>
      <c r="R73" s="12">
        <v>0</v>
      </c>
      <c r="S73" s="13">
        <v>0</v>
      </c>
      <c r="T73" s="12" t="e">
        <f t="shared" si="66"/>
        <v>#DIV/0!</v>
      </c>
      <c r="U73" s="12">
        <v>0</v>
      </c>
      <c r="V73" s="13">
        <v>0</v>
      </c>
      <c r="W73" s="12" t="e">
        <f t="shared" si="67"/>
        <v>#DIV/0!</v>
      </c>
      <c r="X73" s="12">
        <v>0</v>
      </c>
      <c r="Y73" s="13">
        <v>0</v>
      </c>
      <c r="Z73" s="12" t="e">
        <f t="shared" si="68"/>
        <v>#DIV/0!</v>
      </c>
      <c r="AA73" s="12">
        <v>0</v>
      </c>
      <c r="AB73" s="13">
        <v>0</v>
      </c>
      <c r="AC73" s="12">
        <f t="shared" si="69"/>
        <v>4470</v>
      </c>
      <c r="AD73" s="12">
        <v>8940</v>
      </c>
      <c r="AE73" s="13">
        <v>2</v>
      </c>
      <c r="AF73" s="12" t="e">
        <f t="shared" si="70"/>
        <v>#DIV/0!</v>
      </c>
      <c r="AG73" s="12">
        <v>0</v>
      </c>
      <c r="AH73" s="13">
        <v>0</v>
      </c>
      <c r="AI73" s="12" t="e">
        <f t="shared" si="71"/>
        <v>#DIV/0!</v>
      </c>
      <c r="AJ73" s="12">
        <v>0</v>
      </c>
      <c r="AK73" s="13">
        <v>0</v>
      </c>
      <c r="AL73" s="12" t="e">
        <f t="shared" si="72"/>
        <v>#DIV/0!</v>
      </c>
      <c r="AM73" s="12">
        <v>0</v>
      </c>
      <c r="AN73" s="13">
        <v>0</v>
      </c>
      <c r="AO73" s="12">
        <f t="shared" si="46"/>
        <v>4470</v>
      </c>
      <c r="AP73" s="12">
        <f t="shared" si="47"/>
        <v>8940</v>
      </c>
      <c r="AQ73" s="13">
        <f t="shared" si="48"/>
        <v>2</v>
      </c>
    </row>
    <row r="74" spans="1:43" x14ac:dyDescent="0.3">
      <c r="A74" s="21" t="s">
        <v>22</v>
      </c>
      <c r="B74" s="35"/>
      <c r="C74" s="38"/>
      <c r="D74" s="38"/>
      <c r="E74" s="12" t="e">
        <f t="shared" si="61"/>
        <v>#DIV/0!</v>
      </c>
      <c r="F74" s="3">
        <v>0</v>
      </c>
      <c r="G74" s="6">
        <v>0</v>
      </c>
      <c r="H74" s="12" t="e">
        <f t="shared" si="62"/>
        <v>#DIV/0!</v>
      </c>
      <c r="I74" s="12">
        <v>0</v>
      </c>
      <c r="J74" s="13">
        <v>0</v>
      </c>
      <c r="K74" s="12" t="e">
        <f t="shared" si="63"/>
        <v>#DIV/0!</v>
      </c>
      <c r="L74" s="12">
        <v>0</v>
      </c>
      <c r="M74" s="13">
        <v>0</v>
      </c>
      <c r="N74" s="12" t="e">
        <f t="shared" si="64"/>
        <v>#DIV/0!</v>
      </c>
      <c r="O74" s="12">
        <v>0</v>
      </c>
      <c r="P74" s="13">
        <v>0</v>
      </c>
      <c r="Q74" s="12" t="e">
        <f t="shared" si="65"/>
        <v>#DIV/0!</v>
      </c>
      <c r="R74" s="12">
        <v>0</v>
      </c>
      <c r="S74" s="13">
        <v>0</v>
      </c>
      <c r="T74" s="12" t="e">
        <f t="shared" si="66"/>
        <v>#DIV/0!</v>
      </c>
      <c r="U74" s="12">
        <v>0</v>
      </c>
      <c r="V74" s="13">
        <v>0</v>
      </c>
      <c r="W74" s="12" t="e">
        <f t="shared" si="67"/>
        <v>#DIV/0!</v>
      </c>
      <c r="X74" s="12">
        <v>0</v>
      </c>
      <c r="Y74" s="13">
        <v>0</v>
      </c>
      <c r="Z74" s="12" t="e">
        <f t="shared" si="68"/>
        <v>#DIV/0!</v>
      </c>
      <c r="AA74" s="12">
        <v>0</v>
      </c>
      <c r="AB74" s="13">
        <v>0</v>
      </c>
      <c r="AC74" s="12">
        <f t="shared" si="69"/>
        <v>1035.0833333333333</v>
      </c>
      <c r="AD74" s="12">
        <v>24842</v>
      </c>
      <c r="AE74" s="13">
        <v>24</v>
      </c>
      <c r="AF74" s="12" t="e">
        <f t="shared" si="70"/>
        <v>#DIV/0!</v>
      </c>
      <c r="AG74" s="12">
        <v>0</v>
      </c>
      <c r="AH74" s="13">
        <v>0</v>
      </c>
      <c r="AI74" s="12">
        <f t="shared" si="71"/>
        <v>1258.6315789473683</v>
      </c>
      <c r="AJ74" s="12">
        <v>23914</v>
      </c>
      <c r="AK74" s="13">
        <v>19</v>
      </c>
      <c r="AL74" s="12" t="e">
        <f t="shared" si="72"/>
        <v>#DIV/0!</v>
      </c>
      <c r="AM74" s="12">
        <v>0</v>
      </c>
      <c r="AN74" s="13">
        <v>0</v>
      </c>
      <c r="AO74" s="12">
        <f t="shared" si="46"/>
        <v>1133.8604651162791</v>
      </c>
      <c r="AP74" s="12">
        <f t="shared" si="47"/>
        <v>48756</v>
      </c>
      <c r="AQ74" s="13">
        <f t="shared" si="48"/>
        <v>43</v>
      </c>
    </row>
    <row r="75" spans="1:43" x14ac:dyDescent="0.3">
      <c r="A75" s="21" t="s">
        <v>87</v>
      </c>
      <c r="B75" s="35"/>
      <c r="C75" s="38"/>
      <c r="D75" s="38"/>
      <c r="E75" s="12" t="e">
        <f t="shared" si="61"/>
        <v>#DIV/0!</v>
      </c>
      <c r="F75" s="3">
        <v>0</v>
      </c>
      <c r="G75" s="6">
        <v>0</v>
      </c>
      <c r="H75" s="12" t="e">
        <f t="shared" si="62"/>
        <v>#DIV/0!</v>
      </c>
      <c r="I75" s="12">
        <v>0</v>
      </c>
      <c r="J75" s="13">
        <v>0</v>
      </c>
      <c r="K75" s="12" t="e">
        <f t="shared" si="63"/>
        <v>#DIV/0!</v>
      </c>
      <c r="L75" s="12">
        <v>0</v>
      </c>
      <c r="M75" s="13">
        <v>0</v>
      </c>
      <c r="N75" s="12" t="e">
        <f t="shared" si="64"/>
        <v>#DIV/0!</v>
      </c>
      <c r="O75" s="12">
        <v>0</v>
      </c>
      <c r="P75" s="13">
        <v>0</v>
      </c>
      <c r="Q75" s="12" t="e">
        <f t="shared" si="65"/>
        <v>#DIV/0!</v>
      </c>
      <c r="R75" s="12">
        <v>0</v>
      </c>
      <c r="S75" s="13">
        <v>0</v>
      </c>
      <c r="T75" s="12" t="e">
        <f t="shared" si="66"/>
        <v>#DIV/0!</v>
      </c>
      <c r="U75" s="12">
        <v>0</v>
      </c>
      <c r="V75" s="13">
        <v>0</v>
      </c>
      <c r="W75" s="12" t="e">
        <f t="shared" si="67"/>
        <v>#DIV/0!</v>
      </c>
      <c r="X75" s="12">
        <v>0</v>
      </c>
      <c r="Y75" s="13">
        <v>0</v>
      </c>
      <c r="Z75" s="12">
        <f t="shared" si="68"/>
        <v>717.72563176895312</v>
      </c>
      <c r="AA75" s="12">
        <v>19881</v>
      </c>
      <c r="AB75" s="13">
        <v>27.7</v>
      </c>
      <c r="AC75" s="12" t="e">
        <f t="shared" si="69"/>
        <v>#DIV/0!</v>
      </c>
      <c r="AD75" s="12">
        <v>0</v>
      </c>
      <c r="AE75" s="13">
        <v>0</v>
      </c>
      <c r="AF75" s="12" t="e">
        <f t="shared" si="70"/>
        <v>#DIV/0!</v>
      </c>
      <c r="AG75" s="12">
        <v>0</v>
      </c>
      <c r="AH75" s="13">
        <v>0</v>
      </c>
      <c r="AI75" s="12" t="e">
        <f t="shared" si="71"/>
        <v>#DIV/0!</v>
      </c>
      <c r="AJ75" s="12">
        <v>0</v>
      </c>
      <c r="AK75" s="13">
        <v>0</v>
      </c>
      <c r="AL75" s="12" t="e">
        <f t="shared" si="72"/>
        <v>#DIV/0!</v>
      </c>
      <c r="AM75" s="12">
        <v>0</v>
      </c>
      <c r="AN75" s="13">
        <v>0</v>
      </c>
      <c r="AO75" s="12">
        <f t="shared" si="46"/>
        <v>717.72563176895312</v>
      </c>
      <c r="AP75" s="12">
        <f t="shared" si="47"/>
        <v>19881</v>
      </c>
      <c r="AQ75" s="13">
        <f t="shared" si="48"/>
        <v>27.7</v>
      </c>
    </row>
    <row r="76" spans="1:43" x14ac:dyDescent="0.3">
      <c r="A76" s="21" t="s">
        <v>36</v>
      </c>
      <c r="B76" s="35"/>
      <c r="C76" s="38"/>
      <c r="D76" s="38"/>
      <c r="E76" s="12" t="e">
        <f t="shared" si="61"/>
        <v>#DIV/0!</v>
      </c>
      <c r="F76" s="3">
        <v>0</v>
      </c>
      <c r="G76" s="6">
        <v>0</v>
      </c>
      <c r="H76" s="12" t="e">
        <f t="shared" si="62"/>
        <v>#DIV/0!</v>
      </c>
      <c r="I76" s="12">
        <v>0</v>
      </c>
      <c r="J76" s="13">
        <v>0</v>
      </c>
      <c r="K76" s="12" t="e">
        <f t="shared" si="63"/>
        <v>#DIV/0!</v>
      </c>
      <c r="L76" s="12">
        <v>0</v>
      </c>
      <c r="M76" s="13">
        <v>0</v>
      </c>
      <c r="N76" s="12" t="e">
        <f t="shared" si="64"/>
        <v>#DIV/0!</v>
      </c>
      <c r="O76" s="12">
        <v>0</v>
      </c>
      <c r="P76" s="13">
        <v>0</v>
      </c>
      <c r="Q76" s="12" t="e">
        <f t="shared" si="65"/>
        <v>#DIV/0!</v>
      </c>
      <c r="R76" s="12">
        <v>0</v>
      </c>
      <c r="S76" s="13">
        <v>0</v>
      </c>
      <c r="T76" s="12">
        <f t="shared" si="66"/>
        <v>1633.75</v>
      </c>
      <c r="U76" s="12">
        <v>3921</v>
      </c>
      <c r="V76" s="13">
        <v>2.4</v>
      </c>
      <c r="W76" s="12">
        <f t="shared" si="67"/>
        <v>716.95652173913049</v>
      </c>
      <c r="X76" s="12">
        <v>6596</v>
      </c>
      <c r="Y76" s="13">
        <v>9.1999999999999993</v>
      </c>
      <c r="Z76" s="12">
        <f t="shared" si="68"/>
        <v>2355.5357142857142</v>
      </c>
      <c r="AA76" s="12">
        <v>13191</v>
      </c>
      <c r="AB76" s="13">
        <v>5.6</v>
      </c>
      <c r="AC76" s="12">
        <f t="shared" si="69"/>
        <v>1165.7954545454545</v>
      </c>
      <c r="AD76" s="12">
        <v>20518</v>
      </c>
      <c r="AE76" s="13">
        <v>17.600000000000001</v>
      </c>
      <c r="AF76" s="12">
        <f t="shared" si="70"/>
        <v>1374.0625</v>
      </c>
      <c r="AG76" s="12">
        <v>4397</v>
      </c>
      <c r="AH76" s="13">
        <v>3.2</v>
      </c>
      <c r="AI76" s="12" t="e">
        <f t="shared" si="71"/>
        <v>#DIV/0!</v>
      </c>
      <c r="AJ76" s="12">
        <v>0</v>
      </c>
      <c r="AK76" s="13">
        <v>0</v>
      </c>
      <c r="AL76" s="12" t="e">
        <f t="shared" si="72"/>
        <v>#DIV/0!</v>
      </c>
      <c r="AM76" s="12">
        <v>0</v>
      </c>
      <c r="AN76" s="13">
        <v>0</v>
      </c>
      <c r="AO76" s="12">
        <f t="shared" si="46"/>
        <v>1279.5526315789473</v>
      </c>
      <c r="AP76" s="12">
        <f t="shared" si="47"/>
        <v>48623</v>
      </c>
      <c r="AQ76" s="13">
        <f t="shared" si="48"/>
        <v>38</v>
      </c>
    </row>
    <row r="77" spans="1:43" x14ac:dyDescent="0.3">
      <c r="A77" s="21" t="s">
        <v>55</v>
      </c>
      <c r="B77" s="35"/>
      <c r="C77" s="38"/>
      <c r="D77" s="38"/>
      <c r="E77" s="12">
        <f t="shared" si="61"/>
        <v>1086.6141732283465</v>
      </c>
      <c r="F77" s="3">
        <v>55200</v>
      </c>
      <c r="G77" s="6">
        <v>50.8</v>
      </c>
      <c r="H77" s="12" t="e">
        <f t="shared" si="62"/>
        <v>#DIV/0!</v>
      </c>
      <c r="I77" s="12">
        <v>0</v>
      </c>
      <c r="J77" s="13">
        <v>0</v>
      </c>
      <c r="K77" s="12">
        <f t="shared" si="63"/>
        <v>625</v>
      </c>
      <c r="L77" s="12">
        <v>15000</v>
      </c>
      <c r="M77" s="13">
        <v>24</v>
      </c>
      <c r="N77" s="12">
        <f t="shared" si="64"/>
        <v>788.44213649851622</v>
      </c>
      <c r="O77" s="12">
        <v>53141</v>
      </c>
      <c r="P77" s="13">
        <v>67.400000000000006</v>
      </c>
      <c r="Q77" s="12" t="e">
        <f t="shared" si="65"/>
        <v>#DIV/0!</v>
      </c>
      <c r="R77" s="12">
        <v>0</v>
      </c>
      <c r="S77" s="13">
        <v>0</v>
      </c>
      <c r="T77" s="12" t="e">
        <f t="shared" si="66"/>
        <v>#DIV/0!</v>
      </c>
      <c r="U77" s="12">
        <v>0</v>
      </c>
      <c r="V77" s="13">
        <v>0</v>
      </c>
      <c r="W77" s="12" t="e">
        <f t="shared" si="67"/>
        <v>#DIV/0!</v>
      </c>
      <c r="X77" s="12">
        <v>0</v>
      </c>
      <c r="Y77" s="13">
        <v>0</v>
      </c>
      <c r="Z77" s="12" t="e">
        <f t="shared" si="68"/>
        <v>#DIV/0!</v>
      </c>
      <c r="AA77" s="12">
        <v>0</v>
      </c>
      <c r="AB77" s="13">
        <v>0</v>
      </c>
      <c r="AC77" s="12" t="e">
        <f t="shared" si="69"/>
        <v>#DIV/0!</v>
      </c>
      <c r="AD77" s="12">
        <v>0</v>
      </c>
      <c r="AE77" s="13">
        <v>0</v>
      </c>
      <c r="AF77" s="12">
        <f t="shared" si="70"/>
        <v>2617.1428571428573</v>
      </c>
      <c r="AG77" s="12">
        <v>3664</v>
      </c>
      <c r="AH77" s="13">
        <v>1.4</v>
      </c>
      <c r="AI77" s="12" t="e">
        <f t="shared" si="71"/>
        <v>#DIV/0!</v>
      </c>
      <c r="AJ77" s="12">
        <v>0</v>
      </c>
      <c r="AK77" s="13">
        <v>0</v>
      </c>
      <c r="AL77" s="12" t="e">
        <f t="shared" si="72"/>
        <v>#DIV/0!</v>
      </c>
      <c r="AM77" s="12">
        <v>0</v>
      </c>
      <c r="AN77" s="13">
        <v>0</v>
      </c>
      <c r="AO77" s="12">
        <f t="shared" si="46"/>
        <v>884.43593314763234</v>
      </c>
      <c r="AP77" s="12">
        <f t="shared" si="47"/>
        <v>127005</v>
      </c>
      <c r="AQ77" s="13">
        <f t="shared" si="48"/>
        <v>143.6</v>
      </c>
    </row>
    <row r="78" spans="1:43" x14ac:dyDescent="0.3">
      <c r="A78" s="21" t="s">
        <v>23</v>
      </c>
      <c r="B78" s="35"/>
      <c r="C78" s="38"/>
      <c r="D78" s="38"/>
      <c r="E78" s="12" t="e">
        <f t="shared" si="61"/>
        <v>#DIV/0!</v>
      </c>
      <c r="F78" s="3">
        <v>0</v>
      </c>
      <c r="G78" s="6">
        <v>0</v>
      </c>
      <c r="H78" s="12" t="e">
        <f t="shared" si="62"/>
        <v>#DIV/0!</v>
      </c>
      <c r="I78" s="12">
        <v>0</v>
      </c>
      <c r="J78" s="13">
        <v>0</v>
      </c>
      <c r="K78" s="12" t="e">
        <f t="shared" si="63"/>
        <v>#DIV/0!</v>
      </c>
      <c r="L78" s="12">
        <v>0</v>
      </c>
      <c r="M78" s="13">
        <v>0</v>
      </c>
      <c r="N78" s="12" t="e">
        <f t="shared" si="64"/>
        <v>#DIV/0!</v>
      </c>
      <c r="O78" s="12">
        <v>0</v>
      </c>
      <c r="P78" s="13">
        <v>0</v>
      </c>
      <c r="Q78" s="12" t="e">
        <f t="shared" si="65"/>
        <v>#DIV/0!</v>
      </c>
      <c r="R78" s="12">
        <v>0</v>
      </c>
      <c r="S78" s="13">
        <v>0</v>
      </c>
      <c r="T78" s="12" t="e">
        <f t="shared" si="66"/>
        <v>#DIV/0!</v>
      </c>
      <c r="U78" s="12">
        <v>0</v>
      </c>
      <c r="V78" s="13">
        <v>0</v>
      </c>
      <c r="W78" s="12" t="e">
        <f t="shared" si="67"/>
        <v>#DIV/0!</v>
      </c>
      <c r="X78" s="12">
        <v>0</v>
      </c>
      <c r="Y78" s="13">
        <v>0</v>
      </c>
      <c r="Z78" s="12">
        <f t="shared" si="68"/>
        <v>718.41603053435119</v>
      </c>
      <c r="AA78" s="12">
        <v>37645</v>
      </c>
      <c r="AB78" s="13">
        <v>52.4</v>
      </c>
      <c r="AC78" s="12" t="e">
        <f t="shared" si="69"/>
        <v>#DIV/0!</v>
      </c>
      <c r="AD78" s="12">
        <v>0</v>
      </c>
      <c r="AE78" s="13">
        <v>0</v>
      </c>
      <c r="AF78" s="12" t="e">
        <f t="shared" si="70"/>
        <v>#DIV/0!</v>
      </c>
      <c r="AG78" s="12">
        <v>0</v>
      </c>
      <c r="AH78" s="13">
        <v>0</v>
      </c>
      <c r="AI78" s="12" t="e">
        <f t="shared" si="71"/>
        <v>#DIV/0!</v>
      </c>
      <c r="AJ78" s="12">
        <v>0</v>
      </c>
      <c r="AK78" s="13">
        <v>0</v>
      </c>
      <c r="AL78" s="12" t="e">
        <f t="shared" si="72"/>
        <v>#DIV/0!</v>
      </c>
      <c r="AM78" s="12">
        <v>0</v>
      </c>
      <c r="AN78" s="13">
        <v>0</v>
      </c>
      <c r="AO78" s="12">
        <f t="shared" si="46"/>
        <v>718.41603053435119</v>
      </c>
      <c r="AP78" s="12">
        <f t="shared" si="47"/>
        <v>37645</v>
      </c>
      <c r="AQ78" s="13">
        <f t="shared" si="48"/>
        <v>52.4</v>
      </c>
    </row>
    <row r="79" spans="1:43" x14ac:dyDescent="0.3">
      <c r="A79" s="21" t="s">
        <v>61</v>
      </c>
      <c r="B79" s="35"/>
      <c r="C79" s="38"/>
      <c r="D79" s="38"/>
      <c r="E79" s="12">
        <f t="shared" si="61"/>
        <v>1025.0501002004007</v>
      </c>
      <c r="F79" s="3">
        <v>51150</v>
      </c>
      <c r="G79" s="6">
        <v>49.9</v>
      </c>
      <c r="H79" s="12">
        <f t="shared" si="62"/>
        <v>1079.874213836478</v>
      </c>
      <c r="I79" s="12">
        <v>17170</v>
      </c>
      <c r="J79" s="13">
        <v>15.9</v>
      </c>
      <c r="K79" s="12">
        <f t="shared" si="63"/>
        <v>1032.4048096192384</v>
      </c>
      <c r="L79" s="12">
        <v>51517</v>
      </c>
      <c r="M79" s="13">
        <v>49.9</v>
      </c>
      <c r="N79" s="12" t="e">
        <f t="shared" si="64"/>
        <v>#DIV/0!</v>
      </c>
      <c r="O79" s="12">
        <v>0</v>
      </c>
      <c r="P79" s="13">
        <v>0</v>
      </c>
      <c r="Q79" s="12" t="e">
        <f t="shared" si="65"/>
        <v>#DIV/0!</v>
      </c>
      <c r="R79" s="12">
        <v>0</v>
      </c>
      <c r="S79" s="13">
        <v>0</v>
      </c>
      <c r="T79" s="12" t="e">
        <f t="shared" si="66"/>
        <v>#DIV/0!</v>
      </c>
      <c r="U79" s="12">
        <v>0</v>
      </c>
      <c r="V79" s="13">
        <v>0</v>
      </c>
      <c r="W79" s="12" t="e">
        <f t="shared" si="67"/>
        <v>#DIV/0!</v>
      </c>
      <c r="X79" s="12">
        <v>0</v>
      </c>
      <c r="Y79" s="13">
        <v>0</v>
      </c>
      <c r="Z79" s="12" t="e">
        <f t="shared" si="68"/>
        <v>#DIV/0!</v>
      </c>
      <c r="AA79" s="12">
        <v>0</v>
      </c>
      <c r="AB79" s="13">
        <v>0</v>
      </c>
      <c r="AC79" s="12" t="e">
        <f t="shared" si="69"/>
        <v>#DIV/0!</v>
      </c>
      <c r="AD79" s="12">
        <v>0</v>
      </c>
      <c r="AE79" s="13">
        <v>0</v>
      </c>
      <c r="AF79" s="12" t="e">
        <f t="shared" si="70"/>
        <v>#DIV/0!</v>
      </c>
      <c r="AG79" s="12">
        <v>0</v>
      </c>
      <c r="AH79" s="13">
        <v>0</v>
      </c>
      <c r="AI79" s="12" t="e">
        <f t="shared" si="71"/>
        <v>#DIV/0!</v>
      </c>
      <c r="AJ79" s="12">
        <v>0</v>
      </c>
      <c r="AK79" s="13">
        <v>0</v>
      </c>
      <c r="AL79" s="12" t="e">
        <f t="shared" si="72"/>
        <v>#DIV/0!</v>
      </c>
      <c r="AM79" s="12">
        <v>0</v>
      </c>
      <c r="AN79" s="13">
        <v>0</v>
      </c>
      <c r="AO79" s="12">
        <f t="shared" si="46"/>
        <v>1035.7562662057046</v>
      </c>
      <c r="AP79" s="12">
        <f t="shared" si="47"/>
        <v>119837</v>
      </c>
      <c r="AQ79" s="13">
        <f t="shared" si="48"/>
        <v>115.69999999999999</v>
      </c>
    </row>
    <row r="80" spans="1:43" x14ac:dyDescent="0.3">
      <c r="A80" s="21" t="s">
        <v>56</v>
      </c>
      <c r="B80" s="35"/>
      <c r="C80" s="38"/>
      <c r="D80" s="38"/>
      <c r="E80" s="12" t="e">
        <f t="shared" si="61"/>
        <v>#DIV/0!</v>
      </c>
      <c r="F80" s="3">
        <v>0</v>
      </c>
      <c r="G80" s="6">
        <v>0</v>
      </c>
      <c r="H80" s="12" t="e">
        <f t="shared" si="62"/>
        <v>#DIV/0!</v>
      </c>
      <c r="I80" s="12">
        <v>0</v>
      </c>
      <c r="J80" s="13">
        <v>0</v>
      </c>
      <c r="K80" s="12" t="e">
        <f t="shared" si="63"/>
        <v>#DIV/0!</v>
      </c>
      <c r="L80" s="12">
        <v>0</v>
      </c>
      <c r="M80" s="13">
        <v>0</v>
      </c>
      <c r="N80" s="12">
        <f t="shared" si="64"/>
        <v>4340</v>
      </c>
      <c r="O80" s="12">
        <v>4340</v>
      </c>
      <c r="P80" s="13">
        <v>1</v>
      </c>
      <c r="Q80" s="12">
        <f t="shared" si="65"/>
        <v>1140.2873563218391</v>
      </c>
      <c r="R80" s="12">
        <v>19841</v>
      </c>
      <c r="S80" s="13">
        <v>17.399999999999999</v>
      </c>
      <c r="T80" s="12" t="e">
        <f t="shared" si="66"/>
        <v>#DIV/0!</v>
      </c>
      <c r="U80" s="12">
        <v>0</v>
      </c>
      <c r="V80" s="13">
        <v>0</v>
      </c>
      <c r="W80" s="12" t="e">
        <f t="shared" si="67"/>
        <v>#DIV/0!</v>
      </c>
      <c r="X80" s="12">
        <v>0</v>
      </c>
      <c r="Y80" s="13">
        <v>0</v>
      </c>
      <c r="Z80" s="12" t="e">
        <f t="shared" si="68"/>
        <v>#DIV/0!</v>
      </c>
      <c r="AA80" s="12">
        <v>0</v>
      </c>
      <c r="AB80" s="13">
        <v>0</v>
      </c>
      <c r="AC80" s="12" t="e">
        <f t="shared" si="69"/>
        <v>#DIV/0!</v>
      </c>
      <c r="AD80" s="12">
        <v>0</v>
      </c>
      <c r="AE80" s="13">
        <v>0</v>
      </c>
      <c r="AF80" s="12">
        <f t="shared" si="70"/>
        <v>1133.6842105263158</v>
      </c>
      <c r="AG80" s="12">
        <v>4308</v>
      </c>
      <c r="AH80" s="13">
        <v>3.8</v>
      </c>
      <c r="AI80" s="12" t="e">
        <f t="shared" si="71"/>
        <v>#DIV/0!</v>
      </c>
      <c r="AJ80" s="12">
        <v>0</v>
      </c>
      <c r="AK80" s="13">
        <v>0</v>
      </c>
      <c r="AL80" s="12" t="e">
        <f t="shared" si="72"/>
        <v>#DIV/0!</v>
      </c>
      <c r="AM80" s="12">
        <v>0</v>
      </c>
      <c r="AN80" s="13">
        <v>0</v>
      </c>
      <c r="AO80" s="12">
        <f t="shared" si="46"/>
        <v>1283.2882882882884</v>
      </c>
      <c r="AP80" s="12">
        <f t="shared" si="47"/>
        <v>28489</v>
      </c>
      <c r="AQ80" s="13">
        <f t="shared" si="48"/>
        <v>22.2</v>
      </c>
    </row>
    <row r="81" spans="1:43" x14ac:dyDescent="0.3">
      <c r="A81" s="21" t="s">
        <v>58</v>
      </c>
      <c r="B81" s="35"/>
      <c r="C81" s="38"/>
      <c r="D81" s="38"/>
      <c r="E81" s="12" t="e">
        <f t="shared" si="61"/>
        <v>#DIV/0!</v>
      </c>
      <c r="F81" s="3">
        <v>0</v>
      </c>
      <c r="G81" s="6">
        <v>0</v>
      </c>
      <c r="H81" s="12" t="e">
        <f t="shared" si="62"/>
        <v>#DIV/0!</v>
      </c>
      <c r="I81" s="12">
        <v>0</v>
      </c>
      <c r="J81" s="13">
        <v>0</v>
      </c>
      <c r="K81" s="12" t="e">
        <f t="shared" si="63"/>
        <v>#DIV/0!</v>
      </c>
      <c r="L81" s="12">
        <v>0</v>
      </c>
      <c r="M81" s="13">
        <v>0</v>
      </c>
      <c r="N81" s="12" t="e">
        <f t="shared" si="64"/>
        <v>#DIV/0!</v>
      </c>
      <c r="O81" s="12">
        <v>0</v>
      </c>
      <c r="P81" s="13">
        <v>0</v>
      </c>
      <c r="Q81" s="12" t="e">
        <f t="shared" si="65"/>
        <v>#DIV/0!</v>
      </c>
      <c r="R81" s="12">
        <v>0</v>
      </c>
      <c r="S81" s="13">
        <v>0</v>
      </c>
      <c r="T81" s="12" t="e">
        <f t="shared" si="66"/>
        <v>#DIV/0!</v>
      </c>
      <c r="U81" s="12">
        <v>0</v>
      </c>
      <c r="V81" s="13">
        <v>0</v>
      </c>
      <c r="W81" s="12">
        <f t="shared" si="67"/>
        <v>3611.1111111111109</v>
      </c>
      <c r="X81" s="12">
        <v>3250</v>
      </c>
      <c r="Y81" s="13">
        <v>0.9</v>
      </c>
      <c r="Z81" s="12" t="e">
        <f t="shared" si="68"/>
        <v>#DIV/0!</v>
      </c>
      <c r="AA81" s="12">
        <v>0</v>
      </c>
      <c r="AB81" s="13">
        <v>0</v>
      </c>
      <c r="AC81" s="12" t="e">
        <f t="shared" si="69"/>
        <v>#DIV/0!</v>
      </c>
      <c r="AD81" s="12">
        <v>0</v>
      </c>
      <c r="AE81" s="13">
        <v>0</v>
      </c>
      <c r="AF81" s="12" t="e">
        <f t="shared" si="70"/>
        <v>#DIV/0!</v>
      </c>
      <c r="AG81" s="12">
        <v>0</v>
      </c>
      <c r="AH81" s="13">
        <v>0</v>
      </c>
      <c r="AI81" s="12">
        <f t="shared" si="71"/>
        <v>3610</v>
      </c>
      <c r="AJ81" s="12">
        <v>3249</v>
      </c>
      <c r="AK81" s="13">
        <v>0.9</v>
      </c>
      <c r="AL81" s="12" t="e">
        <f t="shared" si="72"/>
        <v>#DIV/0!</v>
      </c>
      <c r="AM81" s="12">
        <v>0</v>
      </c>
      <c r="AN81" s="13">
        <v>0</v>
      </c>
      <c r="AO81" s="12">
        <f t="shared" si="46"/>
        <v>3610.5555555555557</v>
      </c>
      <c r="AP81" s="12">
        <f t="shared" si="47"/>
        <v>6499</v>
      </c>
      <c r="AQ81" s="13">
        <f t="shared" si="48"/>
        <v>1.8</v>
      </c>
    </row>
    <row r="82" spans="1:43" x14ac:dyDescent="0.3">
      <c r="A82" s="21" t="s">
        <v>41</v>
      </c>
      <c r="B82" s="35"/>
      <c r="C82" s="38"/>
      <c r="D82" s="38"/>
      <c r="E82" s="15" t="e">
        <f t="shared" si="61"/>
        <v>#DIV/0!</v>
      </c>
      <c r="F82" s="14">
        <v>0</v>
      </c>
      <c r="G82" s="6">
        <v>0</v>
      </c>
      <c r="H82" s="20" t="e">
        <f t="shared" si="62"/>
        <v>#DIV/0!</v>
      </c>
      <c r="I82" s="15">
        <v>0</v>
      </c>
      <c r="J82" s="13">
        <v>0</v>
      </c>
      <c r="K82" s="20" t="e">
        <f t="shared" si="63"/>
        <v>#DIV/0!</v>
      </c>
      <c r="L82" s="15">
        <v>0</v>
      </c>
      <c r="M82" s="13">
        <v>0</v>
      </c>
      <c r="N82" s="20" t="e">
        <f t="shared" si="64"/>
        <v>#DIV/0!</v>
      </c>
      <c r="O82" s="15">
        <v>0</v>
      </c>
      <c r="P82" s="13">
        <v>0</v>
      </c>
      <c r="Q82" s="20" t="e">
        <f t="shared" si="65"/>
        <v>#DIV/0!</v>
      </c>
      <c r="R82" s="15">
        <v>0</v>
      </c>
      <c r="S82" s="13">
        <v>0</v>
      </c>
      <c r="T82" s="15" t="e">
        <f t="shared" si="66"/>
        <v>#DIV/0!</v>
      </c>
      <c r="U82" s="15">
        <v>0</v>
      </c>
      <c r="V82" s="13">
        <v>0</v>
      </c>
      <c r="W82" s="15">
        <f t="shared" si="67"/>
        <v>720.81081081081072</v>
      </c>
      <c r="X82" s="15">
        <v>2667</v>
      </c>
      <c r="Y82" s="13">
        <v>3.7</v>
      </c>
      <c r="Z82" s="20" t="e">
        <f t="shared" si="68"/>
        <v>#DIV/0!</v>
      </c>
      <c r="AA82" s="15">
        <v>0</v>
      </c>
      <c r="AB82" s="13">
        <v>0</v>
      </c>
      <c r="AC82" s="20" t="e">
        <f t="shared" si="69"/>
        <v>#DIV/0!</v>
      </c>
      <c r="AD82" s="15">
        <v>0</v>
      </c>
      <c r="AE82" s="13">
        <v>0</v>
      </c>
      <c r="AF82" s="20" t="e">
        <f t="shared" si="70"/>
        <v>#DIV/0!</v>
      </c>
      <c r="AG82" s="15">
        <v>0</v>
      </c>
      <c r="AH82" s="13">
        <v>0</v>
      </c>
      <c r="AI82" s="20" t="e">
        <f t="shared" si="71"/>
        <v>#DIV/0!</v>
      </c>
      <c r="AJ82" s="15">
        <v>0</v>
      </c>
      <c r="AK82" s="13">
        <v>0</v>
      </c>
      <c r="AL82" s="20" t="e">
        <f t="shared" si="72"/>
        <v>#DIV/0!</v>
      </c>
      <c r="AM82" s="15">
        <v>0</v>
      </c>
      <c r="AN82" s="13">
        <v>0</v>
      </c>
      <c r="AO82" s="20">
        <f t="shared" si="46"/>
        <v>720.81081081081072</v>
      </c>
      <c r="AP82" s="15">
        <f t="shared" si="47"/>
        <v>2667</v>
      </c>
      <c r="AQ82" s="13">
        <f t="shared" si="48"/>
        <v>3.7</v>
      </c>
    </row>
    <row r="83" spans="1:43" x14ac:dyDescent="0.3">
      <c r="A83" s="11" t="s">
        <v>42</v>
      </c>
      <c r="B83" s="35"/>
      <c r="C83" s="38"/>
      <c r="D83" s="38"/>
      <c r="E83" t="e">
        <f t="shared" si="61"/>
        <v>#DIV/0!</v>
      </c>
      <c r="F83" s="3">
        <v>0</v>
      </c>
      <c r="G83" s="6">
        <v>0</v>
      </c>
      <c r="H83" t="e">
        <f t="shared" si="62"/>
        <v>#DIV/0!</v>
      </c>
      <c r="I83" s="3">
        <v>0</v>
      </c>
      <c r="J83" s="6">
        <v>0</v>
      </c>
      <c r="K83">
        <f t="shared" si="63"/>
        <v>718.36734693877554</v>
      </c>
      <c r="L83" s="3">
        <v>21120</v>
      </c>
      <c r="M83" s="6">
        <v>29.4</v>
      </c>
      <c r="N83">
        <f t="shared" si="64"/>
        <v>897.59036144578317</v>
      </c>
      <c r="O83" s="3">
        <v>44700</v>
      </c>
      <c r="P83" s="6">
        <v>49.8</v>
      </c>
      <c r="Q83" t="e">
        <f t="shared" si="65"/>
        <v>#DIV/0!</v>
      </c>
      <c r="R83" s="3">
        <v>0</v>
      </c>
      <c r="S83" s="6">
        <v>0</v>
      </c>
      <c r="T83">
        <f t="shared" si="66"/>
        <v>888.5542168674699</v>
      </c>
      <c r="U83" s="3">
        <v>22125</v>
      </c>
      <c r="V83" s="6">
        <v>24.9</v>
      </c>
      <c r="W83">
        <f t="shared" si="67"/>
        <v>889.15662650602417</v>
      </c>
      <c r="X83" s="3">
        <v>22140</v>
      </c>
      <c r="Y83" s="6">
        <v>24.9</v>
      </c>
      <c r="Z83">
        <f t="shared" si="68"/>
        <v>888.5542168674699</v>
      </c>
      <c r="AA83" s="3">
        <v>22125</v>
      </c>
      <c r="AB83" s="6">
        <v>24.9</v>
      </c>
      <c r="AC83" t="e">
        <f t="shared" si="69"/>
        <v>#DIV/0!</v>
      </c>
      <c r="AD83" s="3">
        <v>0</v>
      </c>
      <c r="AE83" s="6">
        <v>0</v>
      </c>
      <c r="AF83">
        <f t="shared" si="70"/>
        <v>883.53413654618475</v>
      </c>
      <c r="AG83" s="3">
        <v>22000</v>
      </c>
      <c r="AH83" s="6">
        <v>24.9</v>
      </c>
      <c r="AI83">
        <f t="shared" si="71"/>
        <v>976.62650602409633</v>
      </c>
      <c r="AJ83" s="3">
        <v>121590</v>
      </c>
      <c r="AK83" s="6">
        <v>124.5</v>
      </c>
      <c r="AL83" t="e">
        <f t="shared" si="72"/>
        <v>#DIV/0!</v>
      </c>
      <c r="AM83" s="3">
        <v>0</v>
      </c>
      <c r="AN83" s="6">
        <v>0</v>
      </c>
      <c r="AO83" s="12">
        <f t="shared" si="46"/>
        <v>909.33069568084397</v>
      </c>
      <c r="AP83" s="15">
        <f t="shared" si="47"/>
        <v>275800</v>
      </c>
      <c r="AQ83" s="13">
        <f t="shared" ref="AQ83:AQ85" si="73">SUM(G83,J83,M83,P83,S83,V83,Y83,AB83,AE83,AH83,AK83,AN83)</f>
        <v>303.3</v>
      </c>
    </row>
    <row r="84" spans="1:43" x14ac:dyDescent="0.3">
      <c r="A84" s="11" t="s">
        <v>43</v>
      </c>
      <c r="B84" s="35"/>
      <c r="C84" s="38"/>
      <c r="D84" s="38"/>
      <c r="E84" t="e">
        <f t="shared" si="61"/>
        <v>#DIV/0!</v>
      </c>
      <c r="F84" s="3">
        <v>0</v>
      </c>
      <c r="G84" s="6">
        <v>0</v>
      </c>
      <c r="H84" t="e">
        <f t="shared" si="62"/>
        <v>#DIV/0!</v>
      </c>
      <c r="I84" s="3">
        <v>0</v>
      </c>
      <c r="J84" s="6">
        <v>0</v>
      </c>
      <c r="K84" t="e">
        <f t="shared" si="63"/>
        <v>#DIV/0!</v>
      </c>
      <c r="L84" s="3">
        <v>0</v>
      </c>
      <c r="M84" s="6">
        <v>0</v>
      </c>
      <c r="N84" t="e">
        <f t="shared" si="64"/>
        <v>#DIV/0!</v>
      </c>
      <c r="O84" s="3">
        <v>0</v>
      </c>
      <c r="P84" s="6">
        <v>0</v>
      </c>
      <c r="Q84" t="e">
        <f t="shared" si="65"/>
        <v>#DIV/0!</v>
      </c>
      <c r="R84" s="3">
        <v>0</v>
      </c>
      <c r="S84" s="6">
        <v>0</v>
      </c>
      <c r="T84" t="e">
        <f t="shared" si="66"/>
        <v>#DIV/0!</v>
      </c>
      <c r="U84" s="3">
        <v>0</v>
      </c>
      <c r="V84" s="6">
        <v>0</v>
      </c>
      <c r="W84" t="e">
        <f t="shared" si="67"/>
        <v>#DIV/0!</v>
      </c>
      <c r="X84" s="3">
        <v>0</v>
      </c>
      <c r="Y84" s="6">
        <v>0</v>
      </c>
      <c r="Z84" t="e">
        <f t="shared" si="68"/>
        <v>#DIV/0!</v>
      </c>
      <c r="AA84" s="3">
        <v>0</v>
      </c>
      <c r="AB84" s="6">
        <v>0</v>
      </c>
      <c r="AC84" t="e">
        <f t="shared" si="69"/>
        <v>#DIV/0!</v>
      </c>
      <c r="AD84" s="3">
        <v>0</v>
      </c>
      <c r="AE84" s="6">
        <v>0</v>
      </c>
      <c r="AF84">
        <f t="shared" si="70"/>
        <v>3034.4827586206898</v>
      </c>
      <c r="AG84" s="3">
        <v>8800</v>
      </c>
      <c r="AH84" s="6">
        <v>2.9</v>
      </c>
      <c r="AI84" t="e">
        <f t="shared" si="71"/>
        <v>#DIV/0!</v>
      </c>
      <c r="AJ84" s="3">
        <v>0</v>
      </c>
      <c r="AK84" s="6">
        <v>0</v>
      </c>
      <c r="AL84" t="e">
        <f t="shared" si="72"/>
        <v>#DIV/0!</v>
      </c>
      <c r="AM84" s="3">
        <v>0</v>
      </c>
      <c r="AN84" s="6">
        <v>0</v>
      </c>
      <c r="AO84" s="12">
        <f t="shared" si="46"/>
        <v>3034.4827586206898</v>
      </c>
      <c r="AP84" s="15">
        <f t="shared" si="47"/>
        <v>8800</v>
      </c>
      <c r="AQ84" s="13">
        <f t="shared" si="73"/>
        <v>2.9</v>
      </c>
    </row>
    <row r="85" spans="1:43" x14ac:dyDescent="0.3">
      <c r="A85" s="9" t="s">
        <v>44</v>
      </c>
      <c r="B85" s="36"/>
      <c r="C85" s="39"/>
      <c r="D85" s="39"/>
      <c r="E85" s="24" t="e">
        <f t="shared" si="61"/>
        <v>#DIV/0!</v>
      </c>
      <c r="F85" s="7">
        <v>0</v>
      </c>
      <c r="G85" s="8">
        <v>0</v>
      </c>
      <c r="H85" s="10" t="e">
        <f t="shared" si="62"/>
        <v>#DIV/0!</v>
      </c>
      <c r="I85" s="7">
        <v>0</v>
      </c>
      <c r="J85" s="8">
        <v>0</v>
      </c>
      <c r="K85" s="10" t="e">
        <f t="shared" si="63"/>
        <v>#DIV/0!</v>
      </c>
      <c r="L85" s="7">
        <v>0</v>
      </c>
      <c r="M85" s="8">
        <v>0</v>
      </c>
      <c r="N85" s="10" t="e">
        <f t="shared" si="64"/>
        <v>#DIV/0!</v>
      </c>
      <c r="O85" s="7">
        <v>0</v>
      </c>
      <c r="P85" s="8">
        <v>0</v>
      </c>
      <c r="Q85" s="10">
        <f t="shared" si="65"/>
        <v>1135.217391304348</v>
      </c>
      <c r="R85" s="7">
        <v>2611</v>
      </c>
      <c r="S85" s="8">
        <v>2.2999999999999998</v>
      </c>
      <c r="T85" s="10" t="e">
        <f t="shared" si="66"/>
        <v>#DIV/0!</v>
      </c>
      <c r="U85" s="7">
        <v>0</v>
      </c>
      <c r="V85" s="8">
        <v>0</v>
      </c>
      <c r="W85" s="10" t="e">
        <f t="shared" si="67"/>
        <v>#DIV/0!</v>
      </c>
      <c r="X85" s="7">
        <v>0</v>
      </c>
      <c r="Y85" s="8">
        <v>0</v>
      </c>
      <c r="Z85" s="10" t="e">
        <f t="shared" si="68"/>
        <v>#DIV/0!</v>
      </c>
      <c r="AA85" s="7">
        <v>0</v>
      </c>
      <c r="AB85" s="8">
        <v>0</v>
      </c>
      <c r="AC85" s="10" t="e">
        <f t="shared" si="69"/>
        <v>#DIV/0!</v>
      </c>
      <c r="AD85" s="7">
        <v>0</v>
      </c>
      <c r="AE85" s="8">
        <v>0</v>
      </c>
      <c r="AF85" s="10" t="e">
        <f t="shared" si="70"/>
        <v>#DIV/0!</v>
      </c>
      <c r="AG85" s="7">
        <v>0</v>
      </c>
      <c r="AH85" s="8">
        <v>0</v>
      </c>
      <c r="AI85" s="10" t="e">
        <f t="shared" si="71"/>
        <v>#DIV/0!</v>
      </c>
      <c r="AJ85" s="7">
        <v>0</v>
      </c>
      <c r="AK85" s="8">
        <v>0</v>
      </c>
      <c r="AL85" s="10" t="e">
        <f t="shared" si="72"/>
        <v>#DIV/0!</v>
      </c>
      <c r="AM85" s="7">
        <v>0</v>
      </c>
      <c r="AN85" s="8">
        <v>0</v>
      </c>
      <c r="AO85" s="19">
        <f t="shared" si="46"/>
        <v>1135.217391304348</v>
      </c>
      <c r="AP85" s="17">
        <f t="shared" si="47"/>
        <v>2611</v>
      </c>
      <c r="AQ85" s="18">
        <f t="shared" si="73"/>
        <v>2.2999999999999998</v>
      </c>
    </row>
    <row r="86" spans="1:43" x14ac:dyDescent="0.3">
      <c r="A86" t="s">
        <v>45</v>
      </c>
      <c r="B86" s="1"/>
    </row>
    <row r="87" spans="1:43" x14ac:dyDescent="0.3">
      <c r="A87" t="s">
        <v>81</v>
      </c>
      <c r="B87" s="1"/>
    </row>
    <row r="88" spans="1:43" x14ac:dyDescent="0.3">
      <c r="A88" t="s">
        <v>46</v>
      </c>
    </row>
    <row r="89" spans="1:43" x14ac:dyDescent="0.3">
      <c r="A89" t="s">
        <v>47</v>
      </c>
    </row>
    <row r="90" spans="1:43" x14ac:dyDescent="0.3">
      <c r="A90" t="s">
        <v>82</v>
      </c>
    </row>
  </sheetData>
  <mergeCells count="17">
    <mergeCell ref="E1:G1"/>
    <mergeCell ref="H1:J1"/>
    <mergeCell ref="K1:M1"/>
    <mergeCell ref="B4:B64"/>
    <mergeCell ref="B65:B85"/>
    <mergeCell ref="C3:C85"/>
    <mergeCell ref="D3:D85"/>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2019년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2026-06-16T08:43:59Z</dcterms:modified>
</cp:coreProperties>
</file>