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E.U\"/>
    </mc:Choice>
  </mc:AlternateContent>
  <bookViews>
    <workbookView xWindow="0" yWindow="0" windowWidth="25125" windowHeight="11640"/>
  </bookViews>
  <sheets>
    <sheet name="2025년" sheetId="1" r:id="rId1"/>
  </sheets>
  <calcPr calcId="162913"/>
</workbook>
</file>

<file path=xl/calcChain.xml><?xml version="1.0" encoding="utf-8"?>
<calcChain xmlns="http://schemas.openxmlformats.org/spreadsheetml/2006/main">
  <c r="S12" i="1" l="1"/>
  <c r="S7" i="1"/>
  <c r="S5" i="1"/>
  <c r="S9" i="1"/>
  <c r="S13" i="1"/>
  <c r="S4" i="1"/>
  <c r="S6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 l="1"/>
  <c r="S10" i="1"/>
  <c r="S8" i="1"/>
  <c r="S14" i="1"/>
  <c r="S11" i="1"/>
  <c r="S3" i="1"/>
  <c r="S15" i="1" l="1"/>
</calcChain>
</file>

<file path=xl/sharedStrings.xml><?xml version="1.0" encoding="utf-8"?>
<sst xmlns="http://schemas.openxmlformats.org/spreadsheetml/2006/main" count="37" uniqueCount="31">
  <si>
    <t>December</t>
  </si>
  <si>
    <t>Notes:</t>
  </si>
  <si>
    <t>Month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</si>
  <si>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</si>
  <si>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</si>
  <si>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</si>
  <si>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</si>
  <si>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</si>
  <si>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</si>
  <si>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</si>
  <si>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</si>
  <si>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</si>
  <si>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</si>
  <si>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</si>
  <si>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Yearly Total</t>
    <phoneticPr fontId="18" type="noConversion"/>
  </si>
  <si>
    <t>*Liffe volumes included from the date of migration</t>
  </si>
  <si>
    <t>Brent</t>
    <phoneticPr fontId="18" type="noConversion"/>
  </si>
  <si>
    <t>Gas Oil</t>
    <phoneticPr fontId="18" type="noConversion"/>
  </si>
  <si>
    <t>WTI</t>
    <phoneticPr fontId="18" type="noConversion"/>
  </si>
  <si>
    <t>Heating Oil &amp; RBOB</t>
    <phoneticPr fontId="18" type="noConversion"/>
  </si>
  <si>
    <t>Oil Products</t>
    <phoneticPr fontId="18" type="noConversion"/>
  </si>
  <si>
    <t>EU NAT Gas</t>
    <phoneticPr fontId="18" type="noConversion"/>
  </si>
  <si>
    <t>Coal Power &amp; Emissions</t>
    <phoneticPr fontId="18" type="noConversion"/>
  </si>
  <si>
    <t>Interest Rates*</t>
    <phoneticPr fontId="18" type="noConversion"/>
  </si>
  <si>
    <t>Equity Derivatives*</t>
    <phoneticPr fontId="18" type="noConversion"/>
  </si>
  <si>
    <t>London AGS*</t>
    <phoneticPr fontId="18" type="noConversion"/>
  </si>
  <si>
    <t>Futures</t>
    <phoneticPr fontId="18" type="noConversion"/>
  </si>
  <si>
    <t>Total Monthly Volume</t>
    <phoneticPr fontId="18" type="noConversion"/>
  </si>
  <si>
    <t>Monthly Totals</t>
    <phoneticPr fontId="18" type="noConversion"/>
  </si>
  <si>
    <t>Options</t>
    <phoneticPr fontId="18" type="noConversion"/>
  </si>
  <si>
    <t>London AGS &amp; Other Energy Options*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</si>
</sst>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  <xf numFmtId="177" fontId="20" fillId="0" borderId="11" xfId="0" applyNumberFormat="1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9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6" bestFit="1" customWidth="1"/>
    <col min="3" max="3" width="16" customWidth="1"/>
    <col min="4" max="4" width="20.75" bestFit="1" customWidth="1"/>
    <col min="5" max="5" width="20" bestFit="1" customWidth="1"/>
    <col min="6" max="7" width="12.625" bestFit="1" customWidth="1"/>
    <col min="8" max="8" width="23.5" bestFit="1" customWidth="1"/>
    <col min="9" max="9" width="14" bestFit="1" customWidth="1"/>
    <col min="10" max="10" width="15.875" bestFit="1" customWidth="1"/>
    <col min="11" max="11" width="12.5" bestFit="1" customWidth="1"/>
    <col min="12" max="12" width="13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  <col min="17" max="17" width="18" bestFit="1" customWidth="1"/>
    <col min="18" max="18" width="37" bestFit="1" customWidth="1"/>
    <col min="19" max="19" width="21.875" bestFit="1" customWidth="1"/>
  </cols>
  <sheetData>
    <row r="1" spans="1:40" x14ac:dyDescent="0.3">
      <c r="A1" s="1"/>
      <c r="B1" s="28" t="s">
        <v>26</v>
      </c>
      <c r="C1" s="29"/>
      <c r="D1" s="29"/>
      <c r="E1" s="29"/>
      <c r="F1" s="29"/>
      <c r="G1" s="29"/>
      <c r="H1" s="29"/>
      <c r="I1" s="29"/>
      <c r="J1" s="29"/>
      <c r="K1" s="30"/>
      <c r="L1" s="25" t="s">
        <v>29</v>
      </c>
      <c r="M1" s="27"/>
      <c r="N1" s="27"/>
      <c r="O1" s="27"/>
      <c r="P1" s="27"/>
      <c r="Q1" s="27"/>
      <c r="R1" s="26"/>
      <c r="S1" s="24" t="s">
        <v>28</v>
      </c>
    </row>
    <row r="2" spans="1:40" x14ac:dyDescent="0.3">
      <c r="A2" s="2" t="s">
        <v>2</v>
      </c>
      <c r="B2" s="10" t="s">
        <v>16</v>
      </c>
      <c r="C2" s="7" t="s">
        <v>17</v>
      </c>
      <c r="D2" s="6" t="s">
        <v>18</v>
      </c>
      <c r="E2" s="2" t="s">
        <v>19</v>
      </c>
      <c r="F2" s="8" t="s">
        <v>20</v>
      </c>
      <c r="G2" s="6" t="s">
        <v>21</v>
      </c>
      <c r="H2" s="2" t="s">
        <v>22</v>
      </c>
      <c r="I2" s="6" t="s">
        <v>23</v>
      </c>
      <c r="J2" s="2" t="s">
        <v>24</v>
      </c>
      <c r="K2" s="4" t="s">
        <v>25</v>
      </c>
      <c r="L2" s="10" t="s">
        <v>16</v>
      </c>
      <c r="M2" s="6" t="s">
        <v>18</v>
      </c>
      <c r="N2" s="7" t="s">
        <v>17</v>
      </c>
      <c r="O2" s="8" t="s">
        <v>20</v>
      </c>
      <c r="P2" s="6" t="s">
        <v>23</v>
      </c>
      <c r="Q2" s="2" t="s">
        <v>24</v>
      </c>
      <c r="R2" s="4" t="s">
        <v>30</v>
      </c>
      <c r="S2" s="4" t="s">
        <v>27</v>
      </c>
    </row>
    <row r="3" spans="1:40" ht="15" customHeight="1" x14ac:dyDescent="0.3">
      <c r="A3" s="1" t="s">
        <v>3</v>
      </c>
      <c r="B3" s="12">
        <v>31673922</v>
      </c>
      <c r="C3" s="13">
        <v>9794616</v>
      </c>
      <c r="D3" s="18">
        <v>10285119</v>
      </c>
      <c r="E3" s="14">
        <v>3875205</v>
      </c>
      <c r="F3" s="18">
        <v>8957069</v>
      </c>
      <c r="G3" s="14">
        <v>8785039</v>
      </c>
      <c r="H3" s="14">
        <v>1095734</v>
      </c>
      <c r="I3" s="18">
        <v>58578718</v>
      </c>
      <c r="J3" s="14">
        <v>2772313</v>
      </c>
      <c r="K3" s="11">
        <v>1317718</v>
      </c>
      <c r="L3" s="17">
        <v>4762074</v>
      </c>
      <c r="M3" s="18">
        <v>412727</v>
      </c>
      <c r="N3" s="14">
        <v>68613</v>
      </c>
      <c r="O3" s="18">
        <v>642596</v>
      </c>
      <c r="P3" s="18">
        <v>16837388</v>
      </c>
      <c r="Q3" s="18">
        <v>1407410</v>
      </c>
      <c r="R3" s="11">
        <v>2608762</v>
      </c>
      <c r="S3" s="11">
        <f>SUM(B3:R3)</f>
        <v>163875023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" customHeight="1" x14ac:dyDescent="0.3">
      <c r="A4" s="1" t="s">
        <v>4</v>
      </c>
      <c r="B4" s="17">
        <v>22814568</v>
      </c>
      <c r="C4" s="18">
        <v>7732756</v>
      </c>
      <c r="D4" s="18">
        <v>6607415</v>
      </c>
      <c r="E4" s="14">
        <v>3916452</v>
      </c>
      <c r="F4" s="18">
        <v>6553126</v>
      </c>
      <c r="G4" s="14">
        <v>10407266</v>
      </c>
      <c r="H4" s="14">
        <v>1116710</v>
      </c>
      <c r="I4" s="18">
        <v>53269445</v>
      </c>
      <c r="J4" s="14">
        <v>2541226</v>
      </c>
      <c r="K4" s="11">
        <v>1263791</v>
      </c>
      <c r="L4" s="17">
        <v>3439284</v>
      </c>
      <c r="M4" s="18">
        <v>274627</v>
      </c>
      <c r="N4" s="14">
        <v>47942</v>
      </c>
      <c r="O4" s="18">
        <v>334893</v>
      </c>
      <c r="P4" s="18">
        <v>12912072</v>
      </c>
      <c r="Q4" s="18">
        <v>1518413</v>
      </c>
      <c r="R4" s="11">
        <v>2746651</v>
      </c>
      <c r="S4" s="11">
        <f>SUM(B4:R4)</f>
        <v>137496637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5" customHeight="1" x14ac:dyDescent="0.3">
      <c r="A5" s="1" t="s">
        <v>5</v>
      </c>
      <c r="B5" s="17">
        <v>24475080</v>
      </c>
      <c r="C5" s="18">
        <v>7872761</v>
      </c>
      <c r="D5" s="18">
        <v>7345113</v>
      </c>
      <c r="E5" s="14">
        <v>3366810</v>
      </c>
      <c r="F5" s="18">
        <v>7454689</v>
      </c>
      <c r="G5" s="14">
        <v>8569074</v>
      </c>
      <c r="H5" s="14">
        <v>1208929</v>
      </c>
      <c r="I5" s="18">
        <v>73217379</v>
      </c>
      <c r="J5" s="14">
        <v>5681785</v>
      </c>
      <c r="K5" s="11">
        <v>1075280</v>
      </c>
      <c r="L5" s="17">
        <v>4384912</v>
      </c>
      <c r="M5" s="18">
        <v>347164</v>
      </c>
      <c r="N5" s="14">
        <v>104715</v>
      </c>
      <c r="O5" s="18">
        <v>395987</v>
      </c>
      <c r="P5" s="18">
        <v>15788605</v>
      </c>
      <c r="Q5" s="18">
        <v>1529282</v>
      </c>
      <c r="R5" s="11">
        <v>2774440</v>
      </c>
      <c r="S5" s="11">
        <f>SUM(B5:R5)</f>
        <v>165592005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" customHeight="1" x14ac:dyDescent="0.3">
      <c r="A6" s="1" t="s">
        <v>6</v>
      </c>
      <c r="B6" s="17">
        <v>36056590</v>
      </c>
      <c r="C6" s="18">
        <v>9072490</v>
      </c>
      <c r="D6" s="18">
        <v>11927857</v>
      </c>
      <c r="E6" s="14">
        <v>3857123</v>
      </c>
      <c r="F6" s="18">
        <v>8718230</v>
      </c>
      <c r="G6" s="14">
        <v>8951628</v>
      </c>
      <c r="H6" s="14">
        <v>1180262</v>
      </c>
      <c r="I6" s="18">
        <v>74389220</v>
      </c>
      <c r="J6" s="14">
        <v>3671366</v>
      </c>
      <c r="K6" s="11">
        <v>1239418</v>
      </c>
      <c r="L6" s="17">
        <v>6917099</v>
      </c>
      <c r="M6" s="18">
        <v>511039</v>
      </c>
      <c r="N6" s="14">
        <v>95981</v>
      </c>
      <c r="O6" s="18">
        <v>362213</v>
      </c>
      <c r="P6" s="18">
        <v>16078344</v>
      </c>
      <c r="Q6" s="18">
        <v>1562022</v>
      </c>
      <c r="R6" s="11">
        <v>2380611</v>
      </c>
      <c r="S6" s="11">
        <f t="shared" ref="S4:S14" si="0">SUM(B6:R6)</f>
        <v>186971493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" customHeight="1" x14ac:dyDescent="0.3">
      <c r="A7" s="1" t="s">
        <v>7</v>
      </c>
      <c r="B7" s="17">
        <v>26724856</v>
      </c>
      <c r="C7" s="18">
        <v>7970531</v>
      </c>
      <c r="D7" s="18">
        <v>8570272</v>
      </c>
      <c r="E7" s="14">
        <v>3884664</v>
      </c>
      <c r="F7" s="18">
        <v>7211613</v>
      </c>
      <c r="G7" s="14">
        <v>7157281</v>
      </c>
      <c r="H7" s="14">
        <v>966896</v>
      </c>
      <c r="I7" s="18">
        <v>57941670</v>
      </c>
      <c r="J7" s="14">
        <v>3473648</v>
      </c>
      <c r="K7" s="11">
        <v>1043083</v>
      </c>
      <c r="L7" s="17">
        <v>5011248</v>
      </c>
      <c r="M7" s="18">
        <v>366599</v>
      </c>
      <c r="N7" s="14">
        <v>130446</v>
      </c>
      <c r="O7" s="18">
        <v>431368</v>
      </c>
      <c r="P7" s="18">
        <v>12308932</v>
      </c>
      <c r="Q7" s="18">
        <v>1389840</v>
      </c>
      <c r="R7" s="11">
        <v>1909709</v>
      </c>
      <c r="S7" s="11">
        <f t="shared" si="0"/>
        <v>146492656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15" customHeight="1" x14ac:dyDescent="0.3">
      <c r="A8" s="1" t="s">
        <v>8</v>
      </c>
      <c r="B8" s="17">
        <v>36750100</v>
      </c>
      <c r="C8" s="18">
        <v>10405972</v>
      </c>
      <c r="D8" s="18">
        <v>8122211</v>
      </c>
      <c r="E8" s="14">
        <v>5034716</v>
      </c>
      <c r="F8" s="18">
        <v>8267455</v>
      </c>
      <c r="G8" s="14">
        <v>9575459</v>
      </c>
      <c r="H8" s="14">
        <v>1134841</v>
      </c>
      <c r="I8" s="18">
        <v>57545968</v>
      </c>
      <c r="J8" s="14">
        <v>5607313</v>
      </c>
      <c r="K8" s="11">
        <v>1343575</v>
      </c>
      <c r="L8" s="17">
        <v>8414441</v>
      </c>
      <c r="M8" s="18">
        <v>558196</v>
      </c>
      <c r="N8" s="14">
        <v>188540</v>
      </c>
      <c r="O8" s="18">
        <v>487540</v>
      </c>
      <c r="P8" s="18">
        <v>12820987</v>
      </c>
      <c r="Q8" s="18">
        <v>1283327</v>
      </c>
      <c r="R8" s="11">
        <v>2543641</v>
      </c>
      <c r="S8" s="11">
        <f t="shared" si="0"/>
        <v>170084282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" customHeight="1" x14ac:dyDescent="0.3">
      <c r="A9" s="1" t="s">
        <v>9</v>
      </c>
      <c r="B9" s="17">
        <v>25713688</v>
      </c>
      <c r="C9" s="18">
        <v>8102000</v>
      </c>
      <c r="D9" s="18">
        <v>8014875</v>
      </c>
      <c r="E9" s="14">
        <v>4588294</v>
      </c>
      <c r="F9" s="18">
        <v>7705335</v>
      </c>
      <c r="G9" s="14">
        <v>7497472</v>
      </c>
      <c r="H9" s="14">
        <v>848822</v>
      </c>
      <c r="I9" s="18">
        <v>57016832</v>
      </c>
      <c r="J9" s="14">
        <v>2411548</v>
      </c>
      <c r="K9" s="11">
        <v>1419330</v>
      </c>
      <c r="L9" s="17">
        <v>4956376</v>
      </c>
      <c r="M9" s="18">
        <v>324219</v>
      </c>
      <c r="N9" s="14">
        <v>122819</v>
      </c>
      <c r="O9" s="18">
        <v>413180</v>
      </c>
      <c r="P9" s="18">
        <v>12445443</v>
      </c>
      <c r="Q9" s="18">
        <v>1483455</v>
      </c>
      <c r="R9" s="11">
        <v>1941181</v>
      </c>
      <c r="S9" s="11">
        <f t="shared" si="0"/>
        <v>145004869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5" customHeight="1" x14ac:dyDescent="0.3">
      <c r="A10" s="1" t="s">
        <v>10</v>
      </c>
      <c r="B10" s="17">
        <v>20390750</v>
      </c>
      <c r="C10" s="18">
        <v>5578268</v>
      </c>
      <c r="D10" s="18">
        <v>5837340</v>
      </c>
      <c r="E10" s="14">
        <v>2431641</v>
      </c>
      <c r="F10" s="18">
        <v>6634111</v>
      </c>
      <c r="G10" s="14">
        <v>6986429</v>
      </c>
      <c r="H10" s="14">
        <v>806415</v>
      </c>
      <c r="I10" s="18">
        <v>54104828</v>
      </c>
      <c r="J10" s="14">
        <v>2680209</v>
      </c>
      <c r="K10" s="11">
        <v>1267798</v>
      </c>
      <c r="L10" s="17">
        <v>4231953</v>
      </c>
      <c r="M10" s="18">
        <v>266933</v>
      </c>
      <c r="N10" s="14">
        <v>118872</v>
      </c>
      <c r="O10" s="18">
        <v>257564</v>
      </c>
      <c r="P10" s="18">
        <v>8369178</v>
      </c>
      <c r="Q10" s="18">
        <v>1026800</v>
      </c>
      <c r="R10" s="11">
        <v>1612424</v>
      </c>
      <c r="S10" s="11">
        <f t="shared" si="0"/>
        <v>122601513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5" customHeight="1" x14ac:dyDescent="0.3">
      <c r="A11" s="1" t="s">
        <v>11</v>
      </c>
      <c r="B11" s="17">
        <v>23090109</v>
      </c>
      <c r="C11" s="18">
        <v>7367948</v>
      </c>
      <c r="D11" s="18">
        <v>5807488</v>
      </c>
      <c r="E11" s="14">
        <v>2630261</v>
      </c>
      <c r="F11" s="18">
        <v>8453674</v>
      </c>
      <c r="G11" s="14">
        <v>7899586</v>
      </c>
      <c r="H11" s="14">
        <v>1022638</v>
      </c>
      <c r="I11" s="18">
        <v>59319204</v>
      </c>
      <c r="J11" s="14">
        <v>4579972</v>
      </c>
      <c r="K11" s="11">
        <v>1394257</v>
      </c>
      <c r="L11" s="17">
        <v>4598971</v>
      </c>
      <c r="M11" s="18">
        <v>424909</v>
      </c>
      <c r="N11" s="14">
        <v>142885</v>
      </c>
      <c r="O11" s="18">
        <v>395342</v>
      </c>
      <c r="P11" s="18">
        <v>9995570</v>
      </c>
      <c r="Q11" s="18">
        <v>1102955</v>
      </c>
      <c r="R11" s="11">
        <v>1947731</v>
      </c>
      <c r="S11" s="11">
        <f t="shared" si="0"/>
        <v>140173500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15" customHeight="1" x14ac:dyDescent="0.3">
      <c r="A12" s="1" t="s">
        <v>12</v>
      </c>
      <c r="B12" s="17">
        <v>31127875</v>
      </c>
      <c r="C12" s="18">
        <v>9817969</v>
      </c>
      <c r="D12" s="18">
        <v>8837209</v>
      </c>
      <c r="E12" s="14">
        <v>4432627</v>
      </c>
      <c r="F12" s="18">
        <v>9731650</v>
      </c>
      <c r="G12" s="14">
        <v>8602649</v>
      </c>
      <c r="H12" s="14">
        <v>1179861</v>
      </c>
      <c r="I12" s="18">
        <v>63592765</v>
      </c>
      <c r="J12" s="14">
        <v>2299978</v>
      </c>
      <c r="K12" s="11">
        <v>1506684</v>
      </c>
      <c r="L12" s="17">
        <v>6675926</v>
      </c>
      <c r="M12" s="18">
        <v>415332</v>
      </c>
      <c r="N12" s="14">
        <v>201283</v>
      </c>
      <c r="O12" s="18">
        <v>847434</v>
      </c>
      <c r="P12" s="18">
        <v>15608093</v>
      </c>
      <c r="Q12" s="18">
        <v>1342859</v>
      </c>
      <c r="R12" s="11">
        <v>2387956</v>
      </c>
      <c r="S12" s="11">
        <f t="shared" si="0"/>
        <v>168608150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5" customHeight="1" x14ac:dyDescent="0.3">
      <c r="A13" s="1" t="s">
        <v>13</v>
      </c>
      <c r="B13" s="17">
        <v>22742840</v>
      </c>
      <c r="C13" s="18">
        <v>9047899</v>
      </c>
      <c r="D13" s="18">
        <v>5827658</v>
      </c>
      <c r="E13" s="14">
        <v>4102545</v>
      </c>
      <c r="F13" s="18">
        <v>7228462</v>
      </c>
      <c r="G13" s="14">
        <v>8305412</v>
      </c>
      <c r="H13" s="14">
        <v>1489543</v>
      </c>
      <c r="I13" s="18">
        <v>61748094</v>
      </c>
      <c r="J13" s="14">
        <v>3095892</v>
      </c>
      <c r="K13" s="11">
        <v>1398866</v>
      </c>
      <c r="L13" s="17">
        <v>4428300</v>
      </c>
      <c r="M13" s="18">
        <v>430689</v>
      </c>
      <c r="N13" s="14">
        <v>201607</v>
      </c>
      <c r="O13" s="18">
        <v>407883</v>
      </c>
      <c r="P13" s="18">
        <v>11989387</v>
      </c>
      <c r="Q13" s="18">
        <v>1434711</v>
      </c>
      <c r="R13" s="11">
        <v>1997457</v>
      </c>
      <c r="S13" s="11">
        <f t="shared" si="0"/>
        <v>145877245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5" customHeight="1" x14ac:dyDescent="0.3">
      <c r="A14" s="9" t="s">
        <v>0</v>
      </c>
      <c r="B14" s="19">
        <v>19663538</v>
      </c>
      <c r="C14" s="16">
        <v>5550649</v>
      </c>
      <c r="D14" s="16">
        <v>4907225</v>
      </c>
      <c r="E14" s="16">
        <v>2328899</v>
      </c>
      <c r="F14" s="16">
        <v>6240840</v>
      </c>
      <c r="G14" s="16">
        <v>9895138</v>
      </c>
      <c r="H14" s="16">
        <v>1510338</v>
      </c>
      <c r="I14" s="16">
        <v>62395725</v>
      </c>
      <c r="J14" s="16">
        <v>4809128</v>
      </c>
      <c r="K14" s="15">
        <v>1054142</v>
      </c>
      <c r="L14" s="19">
        <v>4523724</v>
      </c>
      <c r="M14" s="16">
        <v>352891</v>
      </c>
      <c r="N14" s="16">
        <v>136973</v>
      </c>
      <c r="O14" s="16">
        <v>842685</v>
      </c>
      <c r="P14" s="16">
        <v>11821154</v>
      </c>
      <c r="Q14" s="16">
        <v>1086915</v>
      </c>
      <c r="R14" s="15">
        <v>2066028</v>
      </c>
      <c r="S14" s="15">
        <f t="shared" si="0"/>
        <v>139185992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5" customHeight="1" x14ac:dyDescent="0.3">
      <c r="A15" s="20" t="s">
        <v>14</v>
      </c>
      <c r="B15" s="21">
        <f t="shared" ref="B15:R15" si="1">SUM(B3:B14)</f>
        <v>321223916</v>
      </c>
      <c r="C15" s="22">
        <f t="shared" ref="C15" si="2">SUM(C3:C14)</f>
        <v>98313859</v>
      </c>
      <c r="D15" s="22">
        <f t="shared" ref="D15" si="3">SUM(D3:D14)</f>
        <v>92089782</v>
      </c>
      <c r="E15" s="31">
        <f t="shared" ref="E15" si="4">SUM(E3:E14)</f>
        <v>44449237</v>
      </c>
      <c r="F15" s="22">
        <f t="shared" ref="F15" si="5">SUM(F3:F14)</f>
        <v>93156254</v>
      </c>
      <c r="G15" s="22">
        <f t="shared" ref="G15" si="6">SUM(G3:G14)</f>
        <v>102632433</v>
      </c>
      <c r="H15" s="22">
        <f t="shared" ref="H15" si="7">SUM(H3:H14)</f>
        <v>13560989</v>
      </c>
      <c r="I15" s="22">
        <f t="shared" ref="I15" si="8">SUM(I3:I14)</f>
        <v>733119848</v>
      </c>
      <c r="J15" s="22">
        <f t="shared" ref="J15" si="9">SUM(J3:J14)</f>
        <v>43624378</v>
      </c>
      <c r="K15" s="23">
        <f t="shared" ref="K15" si="10">SUM(K3:K14)</f>
        <v>15323942</v>
      </c>
      <c r="L15" s="21">
        <f t="shared" ref="L15" si="11">SUM(L3:L14)</f>
        <v>62344308</v>
      </c>
      <c r="M15" s="22">
        <f t="shared" ref="M15" si="12">SUM(M3:M14)</f>
        <v>4685325</v>
      </c>
      <c r="N15" s="22">
        <f t="shared" ref="N15" si="13">SUM(N3:N14)</f>
        <v>1560676</v>
      </c>
      <c r="O15" s="22">
        <f t="shared" ref="O15" si="14">SUM(O3:O14)</f>
        <v>5818685</v>
      </c>
      <c r="P15" s="22">
        <f t="shared" ref="P15" si="15">SUM(P3:P14)</f>
        <v>156975153</v>
      </c>
      <c r="Q15" s="22">
        <f t="shared" ref="Q15" si="16">SUM(Q3:Q14)</f>
        <v>16167989</v>
      </c>
      <c r="R15" s="23">
        <f t="shared" ref="R15" si="17">SUM(R3:R14)</f>
        <v>26916591</v>
      </c>
      <c r="S15" s="23">
        <f>SUM(S3:S14)</f>
        <v>1831963365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x14ac:dyDescent="0.3">
      <c r="A16" s="1" t="s">
        <v>1</v>
      </c>
    </row>
    <row r="17" spans="1:1" x14ac:dyDescent="0.3">
      <c r="A17" s="5" t="s">
        <v>15</v>
      </c>
    </row>
    <row r="18" spans="1:1" x14ac:dyDescent="0.3">
      <c r="A18" s="1"/>
    </row>
    <row r="19" spans="1:1" x14ac:dyDescent="0.3">
      <c r="A19" s="1"/>
    </row>
  </sheetData>
  <mergeCells count="2">
    <mergeCell ref="B1:K1"/>
    <mergeCell ref="L1:R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2026-06-23T09:43:04Z</dcterms:modified>
</cp:coreProperties>
</file>