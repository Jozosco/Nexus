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E.U\"/>
    </mc:Choice>
  </mc:AlternateContent>
  <bookViews>
    <workbookView xWindow="0" yWindow="0" windowWidth="25125" windowHeight="11640"/>
  </bookViews>
  <sheets>
    <sheet name="2021년" sheetId="1" r:id="rId1"/>
  </sheets>
  <calcPr calcId="162913"/>
</workbook>
</file>

<file path=xl/calcChain.xml><?xml version="1.0" encoding="utf-8"?>
<calcChain xmlns="http://schemas.openxmlformats.org/spreadsheetml/2006/main">
  <c r="S13" i="1" l="1"/>
  <c r="S6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 l="1"/>
  <c r="S12" i="1"/>
  <c r="S10" i="1"/>
  <c r="S8" i="1"/>
  <c r="S5" i="1"/>
  <c r="S14" i="1"/>
  <c r="S11" i="1"/>
  <c r="S9" i="1"/>
  <c r="S7" i="1"/>
  <c r="S4" i="1"/>
  <c r="S3" i="1"/>
  <c r="S15" i="1" l="1"/>
</calcChain>
</file>

<file path=xl/sharedStrings.xml><?xml version="1.0" encoding="utf-8"?>
<sst xmlns="http://schemas.openxmlformats.org/spreadsheetml/2006/main" count="37" uniqueCount="31">
  <si>
    <t>December</t>
  </si>
  <si>
    <t>Notes:</t>
  </si>
  <si>
    <t>Month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</si>
  <si>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</si>
  <si>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</si>
  <si>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</si>
  <si>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</si>
  <si>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</si>
  <si>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</si>
  <si>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</si>
  <si>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</si>
  <si>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</si>
  <si>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</si>
  <si>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</si>
  <si>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Yearly Total</t>
    <phoneticPr fontId="18" type="noConversion"/>
  </si>
  <si>
    <t>*Liffe volumes included from the date of migration</t>
  </si>
  <si>
    <t>Brent</t>
    <phoneticPr fontId="18" type="noConversion"/>
  </si>
  <si>
    <t>Gas Oil</t>
    <phoneticPr fontId="18" type="noConversion"/>
  </si>
  <si>
    <t>WTI</t>
    <phoneticPr fontId="18" type="noConversion"/>
  </si>
  <si>
    <t>Heating Oil &amp; RBOB</t>
    <phoneticPr fontId="18" type="noConversion"/>
  </si>
  <si>
    <t>Oil Products</t>
    <phoneticPr fontId="18" type="noConversion"/>
  </si>
  <si>
    <t>EU NAT Gas</t>
    <phoneticPr fontId="18" type="noConversion"/>
  </si>
  <si>
    <t>Coal Power &amp; Emissions</t>
    <phoneticPr fontId="18" type="noConversion"/>
  </si>
  <si>
    <t>Interest Rates*</t>
    <phoneticPr fontId="18" type="noConversion"/>
  </si>
  <si>
    <t>Equity Derivatives*</t>
    <phoneticPr fontId="18" type="noConversion"/>
  </si>
  <si>
    <t>London AGS*</t>
    <phoneticPr fontId="18" type="noConversion"/>
  </si>
  <si>
    <t>Futures</t>
    <phoneticPr fontId="18" type="noConversion"/>
  </si>
  <si>
    <t>Total Monthly Volume</t>
    <phoneticPr fontId="18" type="noConversion"/>
  </si>
  <si>
    <t>Monthly Totals</t>
    <phoneticPr fontId="18" type="noConversion"/>
  </si>
  <si>
    <t>Options</t>
    <phoneticPr fontId="18" type="noConversion"/>
  </si>
  <si>
    <t>London AGS &amp; Other Energy Options*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</si>
</sst>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0" fillId="0" borderId="17" xfId="0" applyNumberFormat="1" applyFont="1" applyBorder="1">
      <alignment vertical="center"/>
    </xf>
    <xf numFmtId="177" fontId="20" fillId="0" borderId="16" xfId="0" applyNumberFormat="1" applyFont="1" applyBorder="1" applyAlignment="1">
      <alignment horizontal="center" vertical="center"/>
    </xf>
    <xf numFmtId="177" fontId="20" fillId="0" borderId="17" xfId="0" applyNumberFormat="1" applyFont="1" applyBorder="1" applyAlignment="1">
      <alignment horizontal="center" vertical="center"/>
    </xf>
    <xf numFmtId="177" fontId="20" fillId="0" borderId="18" xfId="0" applyNumberFormat="1" applyFont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49" fontId="20" fillId="33" borderId="11" xfId="0" applyNumberFormat="1" applyFont="1" applyFill="1" applyBorder="1" applyAlignment="1">
      <alignment horizontal="center" vertical="center"/>
    </xf>
    <xf numFmtId="49" fontId="20" fillId="34" borderId="10" xfId="0" applyNumberFormat="1" applyFont="1" applyFill="1" applyBorder="1" applyAlignment="1">
      <alignment horizontal="center" vertical="center"/>
    </xf>
    <xf numFmtId="49" fontId="20" fillId="34" borderId="11" xfId="0" applyNumberFormat="1" applyFont="1" applyFill="1" applyBorder="1" applyAlignment="1">
      <alignment horizontal="center" vertical="center"/>
    </xf>
    <xf numFmtId="49" fontId="20" fillId="34" borderId="12" xfId="0" applyNumberFormat="1" applyFont="1" applyFill="1" applyBorder="1" applyAlignment="1">
      <alignment horizontal="center" vertical="center"/>
    </xf>
    <xf numFmtId="177" fontId="20" fillId="0" borderId="11" xfId="0" applyNumberFormat="1" applyFon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9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6" bestFit="1" customWidth="1"/>
    <col min="3" max="3" width="16" customWidth="1"/>
    <col min="4" max="4" width="20.75" bestFit="1" customWidth="1"/>
    <col min="5" max="5" width="20" bestFit="1" customWidth="1"/>
    <col min="6" max="7" width="12.625" bestFit="1" customWidth="1"/>
    <col min="8" max="8" width="23.5" bestFit="1" customWidth="1"/>
    <col min="9" max="9" width="14" bestFit="1" customWidth="1"/>
    <col min="10" max="10" width="15.875" bestFit="1" customWidth="1"/>
    <col min="11" max="11" width="12.5" bestFit="1" customWidth="1"/>
    <col min="12" max="12" width="13.875" bestFit="1" customWidth="1"/>
    <col min="13" max="13" width="12.625" bestFit="1" customWidth="1"/>
    <col min="14" max="14" width="13.875" bestFit="1" customWidth="1"/>
    <col min="15" max="15" width="12.625" bestFit="1" customWidth="1"/>
    <col min="16" max="16" width="13.875" bestFit="1" customWidth="1"/>
    <col min="17" max="17" width="18" bestFit="1" customWidth="1"/>
    <col min="18" max="18" width="37" bestFit="1" customWidth="1"/>
    <col min="19" max="19" width="21.875" bestFit="1" customWidth="1"/>
  </cols>
  <sheetData>
    <row r="1" spans="1:40" x14ac:dyDescent="0.3">
      <c r="A1" s="1"/>
      <c r="B1" s="28" t="s">
        <v>26</v>
      </c>
      <c r="C1" s="29"/>
      <c r="D1" s="29"/>
      <c r="E1" s="29"/>
      <c r="F1" s="29"/>
      <c r="G1" s="29"/>
      <c r="H1" s="29"/>
      <c r="I1" s="29"/>
      <c r="J1" s="29"/>
      <c r="K1" s="30"/>
      <c r="L1" s="25" t="s">
        <v>29</v>
      </c>
      <c r="M1" s="27"/>
      <c r="N1" s="27"/>
      <c r="O1" s="27"/>
      <c r="P1" s="27"/>
      <c r="Q1" s="27"/>
      <c r="R1" s="26"/>
      <c r="S1" s="24" t="s">
        <v>28</v>
      </c>
    </row>
    <row r="2" spans="1:40" x14ac:dyDescent="0.3">
      <c r="A2" s="2" t="s">
        <v>2</v>
      </c>
      <c r="B2" s="10" t="s">
        <v>16</v>
      </c>
      <c r="C2" s="7" t="s">
        <v>17</v>
      </c>
      <c r="D2" s="6" t="s">
        <v>18</v>
      </c>
      <c r="E2" s="2" t="s">
        <v>19</v>
      </c>
      <c r="F2" s="8" t="s">
        <v>20</v>
      </c>
      <c r="G2" s="6" t="s">
        <v>21</v>
      </c>
      <c r="H2" s="2" t="s">
        <v>22</v>
      </c>
      <c r="I2" s="6" t="s">
        <v>23</v>
      </c>
      <c r="J2" s="2" t="s">
        <v>24</v>
      </c>
      <c r="K2" s="4" t="s">
        <v>25</v>
      </c>
      <c r="L2" s="10" t="s">
        <v>16</v>
      </c>
      <c r="M2" s="6" t="s">
        <v>18</v>
      </c>
      <c r="N2" s="7" t="s">
        <v>17</v>
      </c>
      <c r="O2" s="8" t="s">
        <v>20</v>
      </c>
      <c r="P2" s="6" t="s">
        <v>23</v>
      </c>
      <c r="Q2" s="2" t="s">
        <v>24</v>
      </c>
      <c r="R2" s="4" t="s">
        <v>30</v>
      </c>
      <c r="S2" s="4" t="s">
        <v>27</v>
      </c>
    </row>
    <row r="3" spans="1:40" ht="15" customHeight="1" x14ac:dyDescent="0.3">
      <c r="A3" s="1" t="s">
        <v>3</v>
      </c>
      <c r="B3" s="12">
        <v>19799547</v>
      </c>
      <c r="C3" s="13">
        <v>6427048</v>
      </c>
      <c r="D3" s="18">
        <v>4135150</v>
      </c>
      <c r="E3" s="14">
        <v>4890870</v>
      </c>
      <c r="F3" s="18">
        <v>3897654</v>
      </c>
      <c r="G3" s="14">
        <v>4335936</v>
      </c>
      <c r="H3" s="14">
        <v>615027</v>
      </c>
      <c r="I3" s="18">
        <v>28880510</v>
      </c>
      <c r="J3" s="14">
        <v>2791485</v>
      </c>
      <c r="K3" s="11">
        <v>1032537</v>
      </c>
      <c r="L3" s="17">
        <v>1801042</v>
      </c>
      <c r="M3" s="18">
        <v>121396</v>
      </c>
      <c r="N3" s="14">
        <v>14644</v>
      </c>
      <c r="O3" s="18">
        <v>263048</v>
      </c>
      <c r="P3" s="18">
        <v>7051490</v>
      </c>
      <c r="Q3" s="18">
        <v>1940213</v>
      </c>
      <c r="R3" s="11">
        <v>835904</v>
      </c>
      <c r="S3" s="11">
        <f>SUM(B3:R3)</f>
        <v>88833501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5" customHeight="1" x14ac:dyDescent="0.3">
      <c r="A4" s="1" t="s">
        <v>4</v>
      </c>
      <c r="B4" s="17">
        <v>20141077</v>
      </c>
      <c r="C4" s="18">
        <v>7111152</v>
      </c>
      <c r="D4" s="18">
        <v>5002825</v>
      </c>
      <c r="E4" s="14">
        <v>4730955</v>
      </c>
      <c r="F4" s="18">
        <v>4302948</v>
      </c>
      <c r="G4" s="14">
        <v>3146701</v>
      </c>
      <c r="H4" s="14">
        <v>961020</v>
      </c>
      <c r="I4" s="18">
        <v>50333457</v>
      </c>
      <c r="J4" s="14">
        <v>3418230</v>
      </c>
      <c r="K4" s="11">
        <v>1252907</v>
      </c>
      <c r="L4" s="17">
        <v>2268253</v>
      </c>
      <c r="M4" s="18">
        <v>282893</v>
      </c>
      <c r="N4" s="14">
        <v>8815</v>
      </c>
      <c r="O4" s="18">
        <v>449397</v>
      </c>
      <c r="P4" s="18">
        <v>11262018</v>
      </c>
      <c r="Q4" s="18">
        <v>2147409</v>
      </c>
      <c r="R4" s="11">
        <v>962529</v>
      </c>
      <c r="S4" s="11">
        <f t="shared" ref="S4:S14" si="0">SUM(B4:R4)</f>
        <v>117782586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15" customHeight="1" x14ac:dyDescent="0.3">
      <c r="A5" s="1" t="s">
        <v>5</v>
      </c>
      <c r="B5" s="17">
        <v>27407596</v>
      </c>
      <c r="C5" s="18">
        <v>8622466</v>
      </c>
      <c r="D5" s="18">
        <v>5922786</v>
      </c>
      <c r="E5" s="14">
        <v>5914021</v>
      </c>
      <c r="F5" s="18">
        <v>4768263</v>
      </c>
      <c r="G5" s="14">
        <v>3308706</v>
      </c>
      <c r="H5" s="14">
        <v>1104868</v>
      </c>
      <c r="I5" s="18">
        <v>42190616</v>
      </c>
      <c r="J5" s="14">
        <v>6058341</v>
      </c>
      <c r="K5" s="11">
        <v>1099178</v>
      </c>
      <c r="L5" s="17">
        <v>3265819</v>
      </c>
      <c r="M5" s="18">
        <v>199994</v>
      </c>
      <c r="N5" s="14">
        <v>17190</v>
      </c>
      <c r="O5" s="18">
        <v>227615</v>
      </c>
      <c r="P5" s="18">
        <v>8016892</v>
      </c>
      <c r="Q5" s="18">
        <v>2007877</v>
      </c>
      <c r="R5" s="11">
        <v>892303</v>
      </c>
      <c r="S5" s="11">
        <f t="shared" si="0"/>
        <v>121024531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5" customHeight="1" x14ac:dyDescent="0.3">
      <c r="A6" s="1" t="s">
        <v>6</v>
      </c>
      <c r="B6" s="17">
        <v>18619878</v>
      </c>
      <c r="C6" s="18">
        <v>5716941</v>
      </c>
      <c r="D6" s="18">
        <v>4000239</v>
      </c>
      <c r="E6" s="14">
        <v>3641521</v>
      </c>
      <c r="F6" s="18">
        <v>3798976</v>
      </c>
      <c r="G6" s="14">
        <v>3273780</v>
      </c>
      <c r="H6" s="14">
        <v>791922</v>
      </c>
      <c r="I6" s="18">
        <v>27379109</v>
      </c>
      <c r="J6" s="14">
        <v>3306157</v>
      </c>
      <c r="K6" s="11">
        <v>1275657</v>
      </c>
      <c r="L6" s="17">
        <v>1955637</v>
      </c>
      <c r="M6" s="18">
        <v>86023</v>
      </c>
      <c r="N6" s="14">
        <v>11215</v>
      </c>
      <c r="O6" s="18">
        <v>85515</v>
      </c>
      <c r="P6" s="18">
        <v>7204545</v>
      </c>
      <c r="Q6" s="18">
        <v>2267492</v>
      </c>
      <c r="R6" s="11">
        <v>860193</v>
      </c>
      <c r="S6" s="11">
        <f t="shared" si="0"/>
        <v>84274800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5" customHeight="1" x14ac:dyDescent="0.3">
      <c r="A7" s="1" t="s">
        <v>7</v>
      </c>
      <c r="B7" s="17">
        <v>18157745</v>
      </c>
      <c r="C7" s="18">
        <v>5535048</v>
      </c>
      <c r="D7" s="18">
        <v>4163227</v>
      </c>
      <c r="E7" s="14">
        <v>3793935</v>
      </c>
      <c r="F7" s="18">
        <v>3700198</v>
      </c>
      <c r="G7" s="14">
        <v>3249138</v>
      </c>
      <c r="H7" s="14">
        <v>1093889</v>
      </c>
      <c r="I7" s="18">
        <v>35834625</v>
      </c>
      <c r="J7" s="14">
        <v>5496761</v>
      </c>
      <c r="K7" s="11">
        <v>937403</v>
      </c>
      <c r="L7" s="17">
        <v>1833538</v>
      </c>
      <c r="M7" s="18">
        <v>96165</v>
      </c>
      <c r="N7" s="14">
        <v>45670</v>
      </c>
      <c r="O7" s="18">
        <v>68206</v>
      </c>
      <c r="P7" s="18">
        <v>6898544</v>
      </c>
      <c r="Q7" s="18">
        <v>1663496</v>
      </c>
      <c r="R7" s="11">
        <v>1141605</v>
      </c>
      <c r="S7" s="11">
        <f t="shared" si="0"/>
        <v>93709193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15" customHeight="1" x14ac:dyDescent="0.3">
      <c r="A8" s="1" t="s">
        <v>8</v>
      </c>
      <c r="B8" s="17">
        <v>18843132</v>
      </c>
      <c r="C8" s="18">
        <v>5971901</v>
      </c>
      <c r="D8" s="18">
        <v>4776792</v>
      </c>
      <c r="E8" s="14">
        <v>3269424</v>
      </c>
      <c r="F8" s="18">
        <v>4117244</v>
      </c>
      <c r="G8" s="14">
        <v>3125677</v>
      </c>
      <c r="H8" s="14">
        <v>955533</v>
      </c>
      <c r="I8" s="18">
        <v>40010866</v>
      </c>
      <c r="J8" s="14">
        <v>5656400</v>
      </c>
      <c r="K8" s="11">
        <v>1214984</v>
      </c>
      <c r="L8" s="17">
        <v>1956842</v>
      </c>
      <c r="M8" s="18">
        <v>142875</v>
      </c>
      <c r="N8" s="14">
        <v>21725</v>
      </c>
      <c r="O8" s="18">
        <v>277716</v>
      </c>
      <c r="P8" s="18">
        <v>5230087</v>
      </c>
      <c r="Q8" s="18">
        <v>1922329</v>
      </c>
      <c r="R8" s="11">
        <v>940939</v>
      </c>
      <c r="S8" s="11">
        <f t="shared" si="0"/>
        <v>98434466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5" customHeight="1" x14ac:dyDescent="0.3">
      <c r="A9" s="1" t="s">
        <v>9</v>
      </c>
      <c r="B9" s="17">
        <v>19641151</v>
      </c>
      <c r="C9" s="18">
        <v>5862022</v>
      </c>
      <c r="D9" s="18">
        <v>4088813</v>
      </c>
      <c r="E9" s="14">
        <v>4209083</v>
      </c>
      <c r="F9" s="18">
        <v>3761279</v>
      </c>
      <c r="G9" s="14">
        <v>3934147</v>
      </c>
      <c r="H9" s="14">
        <v>1002779</v>
      </c>
      <c r="I9" s="18">
        <v>39001300</v>
      </c>
      <c r="J9" s="14">
        <v>3013259</v>
      </c>
      <c r="K9" s="11">
        <v>1203889</v>
      </c>
      <c r="L9" s="17">
        <v>2345091</v>
      </c>
      <c r="M9" s="18">
        <v>87706</v>
      </c>
      <c r="N9" s="14">
        <v>21760</v>
      </c>
      <c r="O9" s="18">
        <v>160294</v>
      </c>
      <c r="P9" s="18">
        <v>5599979</v>
      </c>
      <c r="Q9" s="18">
        <v>1487882</v>
      </c>
      <c r="R9" s="11">
        <v>861553</v>
      </c>
      <c r="S9" s="11">
        <f t="shared" si="0"/>
        <v>96281987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15" customHeight="1" x14ac:dyDescent="0.3">
      <c r="A10" s="1" t="s">
        <v>10</v>
      </c>
      <c r="B10" s="17">
        <v>18562231</v>
      </c>
      <c r="C10" s="18">
        <v>6853845</v>
      </c>
      <c r="D10" s="18">
        <v>4429775</v>
      </c>
      <c r="E10" s="14">
        <v>8426476</v>
      </c>
      <c r="F10" s="18">
        <v>3784506</v>
      </c>
      <c r="G10" s="14">
        <v>3805375</v>
      </c>
      <c r="H10" s="14">
        <v>765440</v>
      </c>
      <c r="I10" s="18">
        <v>28614817</v>
      </c>
      <c r="J10" s="14">
        <v>3549005</v>
      </c>
      <c r="K10" s="11">
        <v>1207910</v>
      </c>
      <c r="L10" s="17">
        <v>2188027</v>
      </c>
      <c r="M10" s="18">
        <v>77321</v>
      </c>
      <c r="N10" s="14">
        <v>16405</v>
      </c>
      <c r="O10" s="18">
        <v>94075</v>
      </c>
      <c r="P10" s="18">
        <v>3857014</v>
      </c>
      <c r="Q10" s="18">
        <v>1393720</v>
      </c>
      <c r="R10" s="11">
        <v>920376</v>
      </c>
      <c r="S10" s="11">
        <f t="shared" si="0"/>
        <v>88546318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15" customHeight="1" x14ac:dyDescent="0.3">
      <c r="A11" s="1" t="s">
        <v>11</v>
      </c>
      <c r="B11" s="17">
        <v>19634271</v>
      </c>
      <c r="C11" s="18">
        <v>8211181</v>
      </c>
      <c r="D11" s="18">
        <v>4182799</v>
      </c>
      <c r="E11" s="14">
        <v>4213950</v>
      </c>
      <c r="F11" s="18">
        <v>4378534</v>
      </c>
      <c r="G11" s="14">
        <v>5464163</v>
      </c>
      <c r="H11" s="14">
        <v>1204841</v>
      </c>
      <c r="I11" s="18">
        <v>37576831</v>
      </c>
      <c r="J11" s="14">
        <v>7014498</v>
      </c>
      <c r="K11" s="11">
        <v>970206</v>
      </c>
      <c r="L11" s="17">
        <v>2445054</v>
      </c>
      <c r="M11" s="18">
        <v>145625</v>
      </c>
      <c r="N11" s="14">
        <v>42380</v>
      </c>
      <c r="O11" s="18">
        <v>66500</v>
      </c>
      <c r="P11" s="18">
        <v>11316457</v>
      </c>
      <c r="Q11" s="18">
        <v>1509805</v>
      </c>
      <c r="R11" s="11">
        <v>1124790</v>
      </c>
      <c r="S11" s="11">
        <f t="shared" si="0"/>
        <v>109501885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15" customHeight="1" x14ac:dyDescent="0.3">
      <c r="A12" s="1" t="s">
        <v>12</v>
      </c>
      <c r="B12" s="17">
        <v>20497068</v>
      </c>
      <c r="C12" s="18">
        <v>9013425</v>
      </c>
      <c r="D12" s="18">
        <v>4877730</v>
      </c>
      <c r="E12" s="14">
        <v>5310060</v>
      </c>
      <c r="F12" s="18">
        <v>4267249</v>
      </c>
      <c r="G12" s="14">
        <v>4833863</v>
      </c>
      <c r="H12" s="14">
        <v>1126205</v>
      </c>
      <c r="I12" s="18">
        <v>48052448</v>
      </c>
      <c r="J12" s="14">
        <v>3747026</v>
      </c>
      <c r="K12" s="11">
        <v>1132407</v>
      </c>
      <c r="L12" s="17">
        <v>3024330</v>
      </c>
      <c r="M12" s="18">
        <v>350553</v>
      </c>
      <c r="N12" s="14">
        <v>49485</v>
      </c>
      <c r="O12" s="18">
        <v>116454</v>
      </c>
      <c r="P12" s="18">
        <v>14324287</v>
      </c>
      <c r="Q12" s="18">
        <v>1959368</v>
      </c>
      <c r="R12" s="11">
        <v>877688</v>
      </c>
      <c r="S12" s="11">
        <f t="shared" si="0"/>
        <v>123559646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15" customHeight="1" x14ac:dyDescent="0.3">
      <c r="A13" s="1" t="s">
        <v>13</v>
      </c>
      <c r="B13" s="17">
        <v>24346514</v>
      </c>
      <c r="C13" s="18">
        <v>8223561</v>
      </c>
      <c r="D13" s="18">
        <v>3411360</v>
      </c>
      <c r="E13" s="14">
        <v>4333592</v>
      </c>
      <c r="F13" s="18">
        <v>4420546</v>
      </c>
      <c r="G13" s="14">
        <v>4203179</v>
      </c>
      <c r="H13" s="14">
        <v>1180901</v>
      </c>
      <c r="I13" s="18">
        <v>35888473</v>
      </c>
      <c r="J13" s="14">
        <v>3511730</v>
      </c>
      <c r="K13" s="11">
        <v>1133182</v>
      </c>
      <c r="L13" s="17">
        <v>3434443</v>
      </c>
      <c r="M13" s="18">
        <v>408285</v>
      </c>
      <c r="N13" s="14">
        <v>28551</v>
      </c>
      <c r="O13" s="18">
        <v>152938</v>
      </c>
      <c r="P13" s="18">
        <v>6980007</v>
      </c>
      <c r="Q13" s="18">
        <v>2867027</v>
      </c>
      <c r="R13" s="11">
        <v>965096</v>
      </c>
      <c r="S13" s="11">
        <f t="shared" si="0"/>
        <v>105489385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15" customHeight="1" x14ac:dyDescent="0.3">
      <c r="A14" s="9" t="s">
        <v>0</v>
      </c>
      <c r="B14" s="19">
        <v>18015653</v>
      </c>
      <c r="C14" s="16">
        <v>5162648</v>
      </c>
      <c r="D14" s="16">
        <v>2729701</v>
      </c>
      <c r="E14" s="16">
        <v>4303782</v>
      </c>
      <c r="F14" s="16">
        <v>3279640</v>
      </c>
      <c r="G14" s="16">
        <v>4568474</v>
      </c>
      <c r="H14" s="16">
        <v>1588849</v>
      </c>
      <c r="I14" s="16">
        <v>21090034</v>
      </c>
      <c r="J14" s="16">
        <v>5269087</v>
      </c>
      <c r="K14" s="15">
        <v>825488</v>
      </c>
      <c r="L14" s="19">
        <v>2501698</v>
      </c>
      <c r="M14" s="16">
        <v>191380</v>
      </c>
      <c r="N14" s="16">
        <v>27660</v>
      </c>
      <c r="O14" s="16">
        <v>132864</v>
      </c>
      <c r="P14" s="16">
        <v>3883251</v>
      </c>
      <c r="Q14" s="16">
        <v>1607468</v>
      </c>
      <c r="R14" s="15">
        <v>881769</v>
      </c>
      <c r="S14" s="15">
        <f t="shared" si="0"/>
        <v>76059446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15" customHeight="1" x14ac:dyDescent="0.3">
      <c r="A15" s="20" t="s">
        <v>14</v>
      </c>
      <c r="B15" s="21">
        <f t="shared" ref="B15:R15" si="1">SUM(B3:B14)</f>
        <v>243665863</v>
      </c>
      <c r="C15" s="22">
        <f t="shared" ref="C15" si="2">SUM(C3:C14)</f>
        <v>82711238</v>
      </c>
      <c r="D15" s="22">
        <f t="shared" ref="D15" si="3">SUM(D3:D14)</f>
        <v>51721197</v>
      </c>
      <c r="E15" s="31">
        <f t="shared" ref="E15" si="4">SUM(E3:E14)</f>
        <v>57037669</v>
      </c>
      <c r="F15" s="22">
        <f t="shared" ref="F15" si="5">SUM(F3:F14)</f>
        <v>48477037</v>
      </c>
      <c r="G15" s="22">
        <f t="shared" ref="G15" si="6">SUM(G3:G14)</f>
        <v>47249139</v>
      </c>
      <c r="H15" s="22">
        <f t="shared" ref="H15" si="7">SUM(H3:H14)</f>
        <v>12391274</v>
      </c>
      <c r="I15" s="22">
        <f t="shared" ref="I15" si="8">SUM(I3:I14)</f>
        <v>434853086</v>
      </c>
      <c r="J15" s="22">
        <f t="shared" ref="J15" si="9">SUM(J3:J14)</f>
        <v>52831979</v>
      </c>
      <c r="K15" s="23">
        <f t="shared" ref="K15" si="10">SUM(K3:K14)</f>
        <v>13285748</v>
      </c>
      <c r="L15" s="21">
        <f t="shared" ref="L15" si="11">SUM(L3:L14)</f>
        <v>29019774</v>
      </c>
      <c r="M15" s="22">
        <f t="shared" ref="M15" si="12">SUM(M3:M14)</f>
        <v>2190216</v>
      </c>
      <c r="N15" s="22">
        <f t="shared" ref="N15" si="13">SUM(N3:N14)</f>
        <v>305500</v>
      </c>
      <c r="O15" s="22">
        <f t="shared" ref="O15" si="14">SUM(O3:O14)</f>
        <v>2094622</v>
      </c>
      <c r="P15" s="22">
        <f t="shared" ref="P15" si="15">SUM(P3:P14)</f>
        <v>91624571</v>
      </c>
      <c r="Q15" s="22">
        <f t="shared" ref="Q15" si="16">SUM(Q3:Q14)</f>
        <v>22774086</v>
      </c>
      <c r="R15" s="23">
        <f t="shared" ref="R15" si="17">SUM(R3:R14)</f>
        <v>11264745</v>
      </c>
      <c r="S15" s="23">
        <f>SUM(S3:S14)</f>
        <v>1203497744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x14ac:dyDescent="0.3">
      <c r="A16" s="1" t="s">
        <v>1</v>
      </c>
    </row>
    <row r="17" spans="1:1" x14ac:dyDescent="0.3">
      <c r="A17" s="5" t="s">
        <v>15</v>
      </c>
    </row>
    <row r="18" spans="1:1" x14ac:dyDescent="0.3">
      <c r="A18" s="1"/>
    </row>
    <row r="19" spans="1:1" x14ac:dyDescent="0.3">
      <c r="A19" s="1"/>
    </row>
  </sheetData>
  <mergeCells count="2">
    <mergeCell ref="B1:K1"/>
    <mergeCell ref="L1:R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2021년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2026-06-23T09:25:10Z</dcterms:modified>
</cp:coreProperties>
</file>