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Futures\"/>
    </mc:Choice>
  </mc:AlternateContent>
  <bookViews>
    <workbookView xWindow="0" yWindow="0" windowWidth="25125" windowHeight="11640"/>
  </bookViews>
  <sheets>
    <sheet name="2020년" sheetId="1" r:id="rId1"/>
  </sheets>
  <calcPr calcId="162913"/>
</workbook>
</file>

<file path=xl/calcChain.xml><?xml version="1.0" encoding="utf-8"?>
<calcChain xmlns="http://schemas.openxmlformats.org/spreadsheetml/2006/main">
  <c r="P6" i="1" l="1"/>
  <c r="P14" i="1"/>
  <c r="P8" i="1"/>
  <c r="P13" i="1"/>
  <c r="P10" i="1"/>
  <c r="P12" i="1" l="1"/>
  <c r="P11" i="1"/>
  <c r="P9" i="1"/>
  <c r="P7" i="1"/>
  <c r="P5" i="1"/>
  <c r="P4" i="1"/>
  <c r="P3" i="1"/>
  <c r="C15" i="1"/>
  <c r="B15" i="1"/>
  <c r="D15" i="1" l="1"/>
  <c r="J15" i="1" l="1"/>
  <c r="F15" i="1"/>
  <c r="O15" i="1"/>
  <c r="I15" i="1"/>
  <c r="H15" i="1"/>
  <c r="G15" i="1"/>
  <c r="L15" i="1"/>
  <c r="K15" i="1"/>
  <c r="E15" i="1"/>
  <c r="N15" i="1"/>
  <c r="M15" i="1"/>
  <c r="P15" i="1" l="1"/>
</calcChain>
</file>

<file path=xl/sharedStrings.xml><?xml version="1.0" encoding="utf-8"?>
<sst xmlns="http://schemas.openxmlformats.org/spreadsheetml/2006/main" count="36" uniqueCount="36">
  <si>
    <t>December</t>
  </si>
  <si>
    <t>Notes:</t>
  </si>
  <si>
    <t>*Equity derivatives include Russell and MSCI Index futures and options.</t>
  </si>
  <si>
    <t>Month</t>
    <phoneticPr fontId="18" type="noConversion"/>
  </si>
  <si>
    <t>US$</t>
    <phoneticPr fontId="18" type="noConversion"/>
  </si>
  <si>
    <t>CURRENCIES</t>
    <phoneticPr fontId="18" type="noConversion"/>
  </si>
  <si>
    <t>Futures Financial Products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</si>
  <si>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</si>
  <si>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</si>
  <si>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</si>
  <si>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</si>
  <si>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</si>
  <si>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</si>
  <si>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</si>
  <si>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</si>
  <si>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</si>
  <si>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</si>
  <si>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</si>
  <si>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Futures Agricultural Products</t>
  </si>
  <si>
    <t>Coffee</t>
  </si>
  <si>
    <t>Sugar</t>
  </si>
  <si>
    <t>Cocoa</t>
  </si>
  <si>
    <t>Cotton</t>
  </si>
  <si>
    <t>FCOJ</t>
  </si>
  <si>
    <t>Metals &amp; Grains</t>
  </si>
  <si>
    <t>Futures Energy</t>
  </si>
  <si>
    <t>Gas</t>
  </si>
  <si>
    <t>Monthly Totals</t>
  </si>
  <si>
    <t>Futures</t>
  </si>
  <si>
    <t>Options</t>
  </si>
  <si>
    <t>Overall</t>
  </si>
  <si>
    <t>Yearly Total</t>
    <phoneticPr fontId="18" type="noConversion"/>
  </si>
  <si>
    <t>**Power contract volume is now reported using the new contract conversion methodology. Prior monthly power volumes have been adjusted for comparison purposes.</t>
  </si>
  <si>
    <t>Power**</t>
    <phoneticPr fontId="18" type="noConversion"/>
  </si>
  <si>
    <t>Canola</t>
    <phoneticPr fontId="18" type="noConversion"/>
  </si>
  <si>
    <t>EQUITY DERIVATIVES*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</si>
</sst>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40" x14ac:dyDescent="0.3">
      <c r="A1" s="1"/>
      <c r="B1" s="29" t="s">
        <v>6</v>
      </c>
      <c r="C1" s="30"/>
      <c r="D1" s="31"/>
      <c r="E1" s="29" t="s">
        <v>18</v>
      </c>
      <c r="F1" s="30"/>
      <c r="G1" s="30"/>
      <c r="H1" s="30"/>
      <c r="I1" s="30"/>
      <c r="J1" s="30"/>
      <c r="K1" s="31"/>
      <c r="L1" s="26" t="s">
        <v>25</v>
      </c>
      <c r="M1" s="27"/>
      <c r="N1" s="26" t="s">
        <v>27</v>
      </c>
      <c r="O1" s="28"/>
      <c r="P1" s="27"/>
    </row>
    <row r="2" spans="1:40" x14ac:dyDescent="0.3">
      <c r="A2" s="2" t="s">
        <v>3</v>
      </c>
      <c r="B2" s="12" t="s">
        <v>4</v>
      </c>
      <c r="C2" s="8" t="s">
        <v>5</v>
      </c>
      <c r="D2" s="9" t="s">
        <v>35</v>
      </c>
      <c r="E2" s="2" t="s">
        <v>19</v>
      </c>
      <c r="F2" s="10" t="s">
        <v>20</v>
      </c>
      <c r="G2" s="7" t="s">
        <v>21</v>
      </c>
      <c r="H2" s="2" t="s">
        <v>22</v>
      </c>
      <c r="I2" s="7" t="s">
        <v>23</v>
      </c>
      <c r="J2" s="2" t="s">
        <v>24</v>
      </c>
      <c r="K2" s="5" t="s">
        <v>34</v>
      </c>
      <c r="L2" s="4" t="s">
        <v>26</v>
      </c>
      <c r="M2" s="5" t="s">
        <v>33</v>
      </c>
      <c r="N2" s="2" t="s">
        <v>28</v>
      </c>
      <c r="O2" s="7" t="s">
        <v>29</v>
      </c>
      <c r="P2" s="5" t="s">
        <v>30</v>
      </c>
    </row>
    <row r="3" spans="1:40" ht="15" customHeight="1" x14ac:dyDescent="0.3">
      <c r="A3" s="1" t="s">
        <v>7</v>
      </c>
      <c r="B3" s="14">
        <v>279128</v>
      </c>
      <c r="C3" s="15">
        <v>93067</v>
      </c>
      <c r="D3" s="13">
        <v>3629811</v>
      </c>
      <c r="E3" s="16">
        <v>1060249</v>
      </c>
      <c r="F3" s="20">
        <v>4770843</v>
      </c>
      <c r="G3" s="16">
        <v>1103060</v>
      </c>
      <c r="H3" s="16">
        <v>803523</v>
      </c>
      <c r="I3" s="20">
        <v>21096</v>
      </c>
      <c r="J3" s="16">
        <v>28998</v>
      </c>
      <c r="K3" s="13">
        <v>496090</v>
      </c>
      <c r="L3" s="19">
        <v>13175127</v>
      </c>
      <c r="M3" s="13">
        <v>830339</v>
      </c>
      <c r="N3" s="16">
        <v>26291331</v>
      </c>
      <c r="O3" s="20">
        <v>4586631</v>
      </c>
      <c r="P3" s="13">
        <f>SUM(N3:O3)</f>
        <v>30877962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8</v>
      </c>
      <c r="B4" s="19">
        <v>359049</v>
      </c>
      <c r="C4" s="20">
        <v>77339</v>
      </c>
      <c r="D4" s="13">
        <v>4280137</v>
      </c>
      <c r="E4" s="16">
        <v>1555988</v>
      </c>
      <c r="F4" s="20">
        <v>5037900</v>
      </c>
      <c r="G4" s="16">
        <v>1164829</v>
      </c>
      <c r="H4" s="16">
        <v>1108447</v>
      </c>
      <c r="I4" s="20">
        <v>55057</v>
      </c>
      <c r="J4" s="16">
        <v>29381</v>
      </c>
      <c r="K4" s="13">
        <v>575177</v>
      </c>
      <c r="L4" s="19">
        <v>12442708</v>
      </c>
      <c r="M4" s="13">
        <v>745990</v>
      </c>
      <c r="N4" s="16">
        <v>27432002</v>
      </c>
      <c r="O4" s="20">
        <v>4523912</v>
      </c>
      <c r="P4" s="13">
        <f t="shared" ref="P4:P15" si="0">SUM(N4:O4)</f>
        <v>31955914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9</v>
      </c>
      <c r="B5" s="19">
        <v>879968</v>
      </c>
      <c r="C5" s="20">
        <v>121301</v>
      </c>
      <c r="D5" s="13">
        <v>13140372</v>
      </c>
      <c r="E5" s="16">
        <v>1401056</v>
      </c>
      <c r="F5" s="20">
        <v>4663516</v>
      </c>
      <c r="G5" s="16">
        <v>1236846</v>
      </c>
      <c r="H5" s="16">
        <v>999072</v>
      </c>
      <c r="I5" s="20">
        <v>43596</v>
      </c>
      <c r="J5" s="16">
        <v>44965</v>
      </c>
      <c r="K5" s="13">
        <v>481171</v>
      </c>
      <c r="L5" s="19">
        <v>16885440</v>
      </c>
      <c r="M5" s="13">
        <v>802835</v>
      </c>
      <c r="N5" s="16">
        <v>40700138</v>
      </c>
      <c r="O5" s="20">
        <v>6644250</v>
      </c>
      <c r="P5" s="13">
        <f t="shared" si="0"/>
        <v>47344388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10</v>
      </c>
      <c r="B6" s="19">
        <v>296343</v>
      </c>
      <c r="C6" s="20">
        <v>73538</v>
      </c>
      <c r="D6" s="13">
        <v>3605538</v>
      </c>
      <c r="E6" s="16">
        <v>884553</v>
      </c>
      <c r="F6" s="20">
        <v>3949371</v>
      </c>
      <c r="G6" s="16">
        <v>704730</v>
      </c>
      <c r="H6" s="16">
        <v>819599</v>
      </c>
      <c r="I6" s="20">
        <v>23691</v>
      </c>
      <c r="J6" s="16">
        <v>35461</v>
      </c>
      <c r="K6" s="13">
        <v>426406</v>
      </c>
      <c r="L6" s="19">
        <v>16784041</v>
      </c>
      <c r="M6" s="13">
        <v>886258</v>
      </c>
      <c r="N6" s="16">
        <v>28489529</v>
      </c>
      <c r="O6" s="20">
        <v>4665981</v>
      </c>
      <c r="P6" s="13">
        <f t="shared" si="0"/>
        <v>33155510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11</v>
      </c>
      <c r="B7" s="19">
        <v>312010</v>
      </c>
      <c r="C7" s="20">
        <v>72235</v>
      </c>
      <c r="D7" s="13">
        <v>2982377</v>
      </c>
      <c r="E7" s="16">
        <v>716071</v>
      </c>
      <c r="F7" s="20">
        <v>2910587</v>
      </c>
      <c r="G7" s="16">
        <v>636723</v>
      </c>
      <c r="H7" s="16">
        <v>497631</v>
      </c>
      <c r="I7" s="20">
        <v>18093</v>
      </c>
      <c r="J7" s="16">
        <v>35514</v>
      </c>
      <c r="K7" s="13">
        <v>297740</v>
      </c>
      <c r="L7" s="19">
        <v>12811696</v>
      </c>
      <c r="M7" s="13">
        <v>806015</v>
      </c>
      <c r="N7" s="16">
        <v>22096692</v>
      </c>
      <c r="O7" s="20">
        <v>4313090</v>
      </c>
      <c r="P7" s="13">
        <f t="shared" si="0"/>
        <v>26409782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12</v>
      </c>
      <c r="B8" s="19">
        <v>489088</v>
      </c>
      <c r="C8" s="20">
        <v>75198</v>
      </c>
      <c r="D8" s="13">
        <v>8242895</v>
      </c>
      <c r="E8" s="16">
        <v>1157397</v>
      </c>
      <c r="F8" s="20">
        <v>3816616</v>
      </c>
      <c r="G8" s="16">
        <v>846543</v>
      </c>
      <c r="H8" s="16">
        <v>678605</v>
      </c>
      <c r="I8" s="20">
        <v>29550</v>
      </c>
      <c r="J8" s="16">
        <v>39318</v>
      </c>
      <c r="K8" s="13">
        <v>508999</v>
      </c>
      <c r="L8" s="19">
        <v>11316843</v>
      </c>
      <c r="M8" s="13">
        <v>756445</v>
      </c>
      <c r="N8" s="16">
        <v>27957497</v>
      </c>
      <c r="O8" s="20">
        <v>3975035</v>
      </c>
      <c r="P8" s="13">
        <f t="shared" si="0"/>
        <v>31932532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13</v>
      </c>
      <c r="B9" s="19">
        <v>437106</v>
      </c>
      <c r="C9" s="20">
        <v>98269</v>
      </c>
      <c r="D9" s="13">
        <v>2914301</v>
      </c>
      <c r="E9" s="16">
        <v>916683</v>
      </c>
      <c r="F9" s="20">
        <v>2245583</v>
      </c>
      <c r="G9" s="16">
        <v>698239</v>
      </c>
      <c r="H9" s="16">
        <v>409570</v>
      </c>
      <c r="I9" s="20">
        <v>16520</v>
      </c>
      <c r="J9" s="16">
        <v>35865</v>
      </c>
      <c r="K9" s="13">
        <v>409940</v>
      </c>
      <c r="L9" s="19">
        <v>10678760</v>
      </c>
      <c r="M9" s="13">
        <v>743925</v>
      </c>
      <c r="N9" s="16">
        <v>19604761</v>
      </c>
      <c r="O9" s="20">
        <v>3046739</v>
      </c>
      <c r="P9" s="13">
        <f>SUM(N9:O9)</f>
        <v>22651500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14</v>
      </c>
      <c r="B10" s="19">
        <v>479985</v>
      </c>
      <c r="C10" s="20">
        <v>144533</v>
      </c>
      <c r="D10" s="13">
        <v>2375039</v>
      </c>
      <c r="E10" s="16">
        <v>1259794</v>
      </c>
      <c r="F10" s="20">
        <v>2424870</v>
      </c>
      <c r="G10" s="16">
        <v>916850</v>
      </c>
      <c r="H10" s="16">
        <v>476008</v>
      </c>
      <c r="I10" s="20">
        <v>27567</v>
      </c>
      <c r="J10" s="16">
        <v>44295</v>
      </c>
      <c r="K10" s="13">
        <v>425008</v>
      </c>
      <c r="L10" s="19">
        <v>12550609</v>
      </c>
      <c r="M10" s="13">
        <v>739426</v>
      </c>
      <c r="N10" s="16">
        <v>21863984</v>
      </c>
      <c r="O10" s="20">
        <v>3997211</v>
      </c>
      <c r="P10" s="13">
        <f>SUM(N10:O10)</f>
        <v>25861195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15</v>
      </c>
      <c r="B11" s="19">
        <v>622506</v>
      </c>
      <c r="C11" s="20">
        <v>252167</v>
      </c>
      <c r="D11" s="13">
        <v>7229926</v>
      </c>
      <c r="E11" s="16">
        <v>1001186</v>
      </c>
      <c r="F11" s="20">
        <v>3945337</v>
      </c>
      <c r="G11" s="16">
        <v>661515</v>
      </c>
      <c r="H11" s="16">
        <v>508333</v>
      </c>
      <c r="I11" s="20">
        <v>21867</v>
      </c>
      <c r="J11" s="16">
        <v>48375</v>
      </c>
      <c r="K11" s="13">
        <v>661995</v>
      </c>
      <c r="L11" s="19">
        <v>13334133</v>
      </c>
      <c r="M11" s="13">
        <v>737878</v>
      </c>
      <c r="N11" s="16">
        <v>29025218</v>
      </c>
      <c r="O11" s="20">
        <v>4366423</v>
      </c>
      <c r="P11" s="13">
        <f t="shared" ref="P11:P14" si="1">SUM(N11:O11)</f>
        <v>33391641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16</v>
      </c>
      <c r="B12" s="19">
        <v>457722</v>
      </c>
      <c r="C12" s="20">
        <v>136236</v>
      </c>
      <c r="D12" s="13">
        <v>2673202</v>
      </c>
      <c r="E12" s="16">
        <v>829123</v>
      </c>
      <c r="F12" s="20">
        <v>2533742</v>
      </c>
      <c r="G12" s="16">
        <v>791450</v>
      </c>
      <c r="H12" s="16">
        <v>701383</v>
      </c>
      <c r="I12" s="20">
        <v>28658</v>
      </c>
      <c r="J12" s="16">
        <v>36972</v>
      </c>
      <c r="K12" s="13">
        <v>702630</v>
      </c>
      <c r="L12" s="19">
        <v>13362072</v>
      </c>
      <c r="M12" s="13">
        <v>761778</v>
      </c>
      <c r="N12" s="16">
        <v>23014968</v>
      </c>
      <c r="O12" s="20">
        <v>4326445</v>
      </c>
      <c r="P12" s="13">
        <f t="shared" si="1"/>
        <v>27341413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17</v>
      </c>
      <c r="B13" s="19">
        <v>505888</v>
      </c>
      <c r="C13" s="20">
        <v>100424</v>
      </c>
      <c r="D13" s="13">
        <v>3309101</v>
      </c>
      <c r="E13" s="16">
        <v>1139719</v>
      </c>
      <c r="F13" s="20">
        <v>2039482</v>
      </c>
      <c r="G13" s="16">
        <v>996174</v>
      </c>
      <c r="H13" s="16">
        <v>828278</v>
      </c>
      <c r="I13" s="20">
        <v>20472</v>
      </c>
      <c r="J13" s="16">
        <v>43752</v>
      </c>
      <c r="K13" s="13">
        <v>505482</v>
      </c>
      <c r="L13" s="19">
        <v>11597715</v>
      </c>
      <c r="M13" s="13">
        <v>753005</v>
      </c>
      <c r="N13" s="16">
        <v>21839492</v>
      </c>
      <c r="O13" s="20">
        <v>3350772</v>
      </c>
      <c r="P13" s="13">
        <f t="shared" si="1"/>
        <v>25190264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11" t="s">
        <v>0</v>
      </c>
      <c r="B14" s="21">
        <v>619062</v>
      </c>
      <c r="C14" s="18">
        <v>88002</v>
      </c>
      <c r="D14" s="17">
        <v>7761124</v>
      </c>
      <c r="E14" s="18">
        <v>635722</v>
      </c>
      <c r="F14" s="18">
        <v>1701137</v>
      </c>
      <c r="G14" s="18">
        <v>595149</v>
      </c>
      <c r="H14" s="18">
        <v>493784</v>
      </c>
      <c r="I14" s="18">
        <v>28289</v>
      </c>
      <c r="J14" s="18">
        <v>37612</v>
      </c>
      <c r="K14" s="17">
        <v>729352</v>
      </c>
      <c r="L14" s="21">
        <v>12056257</v>
      </c>
      <c r="M14" s="17">
        <v>702949</v>
      </c>
      <c r="N14" s="18">
        <v>25448439</v>
      </c>
      <c r="O14" s="18">
        <v>3466729</v>
      </c>
      <c r="P14" s="17">
        <f t="shared" si="0"/>
        <v>28915168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2" t="s">
        <v>31</v>
      </c>
      <c r="B15" s="23">
        <f>SUM(B3:B14)</f>
        <v>5737855</v>
      </c>
      <c r="C15" s="24">
        <f t="shared" ref="C15:O15" si="2">SUM(C3:C14)</f>
        <v>1332309</v>
      </c>
      <c r="D15" s="25">
        <f t="shared" si="2"/>
        <v>62143823</v>
      </c>
      <c r="E15" s="24">
        <f t="shared" si="2"/>
        <v>12557541</v>
      </c>
      <c r="F15" s="24">
        <f t="shared" ref="F15" si="3">SUM(F3:F14)</f>
        <v>40038984</v>
      </c>
      <c r="G15" s="24">
        <f t="shared" ref="G15" si="4">SUM(G3:G14)</f>
        <v>10352108</v>
      </c>
      <c r="H15" s="24">
        <f t="shared" ref="H15" si="5">SUM(H3:H14)</f>
        <v>8324233</v>
      </c>
      <c r="I15" s="24">
        <f t="shared" ref="I15" si="6">SUM(I3:I14)</f>
        <v>334456</v>
      </c>
      <c r="J15" s="24">
        <f t="shared" ref="J15" si="7">SUM(J3:J14)</f>
        <v>460508</v>
      </c>
      <c r="K15" s="25">
        <f t="shared" ref="K15" si="8">SUM(K3:K14)</f>
        <v>6219990</v>
      </c>
      <c r="L15" s="23">
        <f t="shared" si="2"/>
        <v>156995401</v>
      </c>
      <c r="M15" s="25">
        <f t="shared" si="2"/>
        <v>9266843</v>
      </c>
      <c r="N15" s="24">
        <f t="shared" si="2"/>
        <v>313764051</v>
      </c>
      <c r="O15" s="24">
        <f t="shared" si="2"/>
        <v>51263218</v>
      </c>
      <c r="P15" s="25">
        <f t="shared" si="0"/>
        <v>365027269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6" t="s">
        <v>2</v>
      </c>
    </row>
    <row r="18" spans="1:1" x14ac:dyDescent="0.3">
      <c r="A18" s="6" t="s">
        <v>32</v>
      </c>
    </row>
    <row r="19" spans="1:1" x14ac:dyDescent="0.3">
      <c r="A19" s="1"/>
    </row>
    <row r="20" spans="1:1" x14ac:dyDescent="0.3">
      <c r="A20" s="1"/>
    </row>
  </sheetData>
  <mergeCells count="4">
    <mergeCell ref="L1:M1"/>
    <mergeCell ref="N1:P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P3:P6 P7:P8 P9:P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2020년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2026-06-23T08:18:32Z</dcterms:modified>
</cp:coreProperties>
</file>