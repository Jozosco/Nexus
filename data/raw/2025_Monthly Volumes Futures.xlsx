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Futures\"/>
    </mc:Choice>
  </mc:AlternateContent>
  <bookViews>
    <workbookView xWindow="0" yWindow="0" windowWidth="25125" windowHeight="11640"/>
  </bookViews>
  <sheets>
    <sheet name="2025년" sheetId="1" r:id="rId1"/>
  </sheets>
  <calcPr calcId="162913"/>
</workbook>
</file>

<file path=xl/calcChain.xml><?xml version="1.0" encoding="utf-8"?>
<calcChain xmlns="http://schemas.openxmlformats.org/spreadsheetml/2006/main">
  <c r="P8" i="1" l="1"/>
  <c r="P9" i="1"/>
  <c r="P7" i="1"/>
  <c r="P11" i="1"/>
  <c r="P6" i="1" l="1"/>
  <c r="P14" i="1"/>
  <c r="P13" i="1"/>
  <c r="P10" i="1"/>
  <c r="P12" i="1" l="1"/>
  <c r="P5" i="1"/>
  <c r="P4" i="1"/>
  <c r="P3" i="1"/>
  <c r="C15" i="1"/>
  <c r="B15" i="1"/>
  <c r="D15" i="1" l="1"/>
  <c r="J15" i="1" l="1"/>
  <c r="F15" i="1"/>
  <c r="O15" i="1"/>
  <c r="I15" i="1"/>
  <c r="H15" i="1"/>
  <c r="G15" i="1"/>
  <c r="L15" i="1"/>
  <c r="K15" i="1"/>
  <c r="E15" i="1"/>
  <c r="N15" i="1"/>
  <c r="M15" i="1"/>
  <c r="P15" i="1" l="1"/>
</calcChain>
</file>

<file path=xl/sharedStrings.xml><?xml version="1.0" encoding="utf-8"?>
<sst xmlns="http://schemas.openxmlformats.org/spreadsheetml/2006/main" count="36" uniqueCount="36">
  <si>
    <t>December</t>
  </si>
  <si>
    <t>Notes:</t>
  </si>
  <si>
    <t>*Equity derivatives include Russell and MSCI Index futures and options.</t>
  </si>
  <si>
    <t>Month</t>
    <phoneticPr fontId="18" type="noConversion"/>
  </si>
  <si>
    <t>US$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</si>
  <si>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</si>
  <si>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</si>
  <si>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</si>
  <si>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</si>
  <si>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</si>
  <si>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</si>
  <si>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</si>
  <si>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</si>
  <si>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</si>
  <si>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</si>
  <si>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</si>
  <si>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</si>
  <si>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</si>
  <si>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</si>
  <si>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</si>
  <si>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</si>
  <si>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</si>
  <si>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</si>
  <si>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</si>
  <si>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Metals &amp; Grains</t>
  </si>
  <si>
    <t>Futures Energy</t>
  </si>
  <si>
    <t>Gas</t>
  </si>
  <si>
    <t>Monthly Totals</t>
  </si>
  <si>
    <t>Futures</t>
  </si>
  <si>
    <t>Options</t>
  </si>
  <si>
    <t>Overall</t>
  </si>
  <si>
    <t>Yearly Total</t>
    <phoneticPr fontId="18" type="noConversion"/>
  </si>
  <si>
    <t>**Power contract volume is now reported using the new contract conversion methodology. Prior monthly power volumes have been adjusted for comparison purposes.</t>
  </si>
  <si>
    <t>Power**</t>
    <phoneticPr fontId="18" type="noConversion"/>
  </si>
  <si>
    <t>Canola</t>
    <phoneticPr fontId="18" type="noConversion"/>
  </si>
  <si>
    <t>EQUITY DERIVATIVES*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</si>
</sst>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29" t="s">
        <v>6</v>
      </c>
      <c r="C1" s="30"/>
      <c r="D1" s="31"/>
      <c r="E1" s="29" t="s">
        <v>18</v>
      </c>
      <c r="F1" s="30"/>
      <c r="G1" s="30"/>
      <c r="H1" s="30"/>
      <c r="I1" s="30"/>
      <c r="J1" s="30"/>
      <c r="K1" s="31"/>
      <c r="L1" s="26" t="s">
        <v>25</v>
      </c>
      <c r="M1" s="27"/>
      <c r="N1" s="26" t="s">
        <v>27</v>
      </c>
      <c r="O1" s="28"/>
      <c r="P1" s="27"/>
    </row>
    <row r="2" spans="1:40" x14ac:dyDescent="0.3">
      <c r="A2" s="2" t="s">
        <v>3</v>
      </c>
      <c r="B2" s="12" t="s">
        <v>4</v>
      </c>
      <c r="C2" s="8" t="s">
        <v>5</v>
      </c>
      <c r="D2" s="9" t="s">
        <v>35</v>
      </c>
      <c r="E2" s="2" t="s">
        <v>19</v>
      </c>
      <c r="F2" s="10" t="s">
        <v>20</v>
      </c>
      <c r="G2" s="7" t="s">
        <v>21</v>
      </c>
      <c r="H2" s="2" t="s">
        <v>22</v>
      </c>
      <c r="I2" s="7" t="s">
        <v>23</v>
      </c>
      <c r="J2" s="2" t="s">
        <v>24</v>
      </c>
      <c r="K2" s="5" t="s">
        <v>34</v>
      </c>
      <c r="L2" s="4" t="s">
        <v>26</v>
      </c>
      <c r="M2" s="5" t="s">
        <v>33</v>
      </c>
      <c r="N2" s="2" t="s">
        <v>28</v>
      </c>
      <c r="O2" s="7" t="s">
        <v>29</v>
      </c>
      <c r="P2" s="5" t="s">
        <v>30</v>
      </c>
    </row>
    <row r="3" spans="1:40" ht="15" customHeight="1" x14ac:dyDescent="0.3">
      <c r="A3" s="1" t="s">
        <v>7</v>
      </c>
      <c r="B3" s="14">
        <v>485245</v>
      </c>
      <c r="C3" s="15">
        <v>54812</v>
      </c>
      <c r="D3" s="13">
        <v>2819933</v>
      </c>
      <c r="E3" s="16">
        <v>788455</v>
      </c>
      <c r="F3" s="20">
        <v>3502234</v>
      </c>
      <c r="G3" s="16">
        <v>451292</v>
      </c>
      <c r="H3" s="16">
        <v>889647</v>
      </c>
      <c r="I3" s="20">
        <v>21074</v>
      </c>
      <c r="J3" s="16">
        <v>37139</v>
      </c>
      <c r="K3" s="13">
        <v>1170443</v>
      </c>
      <c r="L3" s="19">
        <v>21870740</v>
      </c>
      <c r="M3" s="13">
        <v>1686630</v>
      </c>
      <c r="N3" s="16">
        <v>33777644</v>
      </c>
      <c r="O3" s="20">
        <v>11970053</v>
      </c>
      <c r="P3" s="13">
        <f>SUM(N3:O3)</f>
        <v>45747697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8</v>
      </c>
      <c r="B4" s="19">
        <v>418801</v>
      </c>
      <c r="C4" s="20">
        <v>36864</v>
      </c>
      <c r="D4" s="13">
        <v>2838055</v>
      </c>
      <c r="E4" s="16">
        <v>1113563</v>
      </c>
      <c r="F4" s="20">
        <v>4040679</v>
      </c>
      <c r="G4" s="16">
        <v>535455</v>
      </c>
      <c r="H4" s="16">
        <v>1326854</v>
      </c>
      <c r="I4" s="20">
        <v>58409</v>
      </c>
      <c r="J4" s="16">
        <v>39314</v>
      </c>
      <c r="K4" s="13">
        <v>1083156</v>
      </c>
      <c r="L4" s="19">
        <v>23702057</v>
      </c>
      <c r="M4" s="13">
        <v>1597242</v>
      </c>
      <c r="N4" s="16">
        <v>36790449</v>
      </c>
      <c r="O4" s="20">
        <v>13233397</v>
      </c>
      <c r="P4" s="13">
        <f t="shared" ref="P4:P15" si="0">SUM(N4:O4)</f>
        <v>50023846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9</v>
      </c>
      <c r="B5" s="19">
        <v>549935</v>
      </c>
      <c r="C5" s="20">
        <v>120630</v>
      </c>
      <c r="D5" s="13">
        <v>8271500</v>
      </c>
      <c r="E5" s="16">
        <v>709599</v>
      </c>
      <c r="F5" s="20">
        <v>2855552</v>
      </c>
      <c r="G5" s="16">
        <v>423838</v>
      </c>
      <c r="H5" s="16">
        <v>1026123</v>
      </c>
      <c r="I5" s="20">
        <v>30910</v>
      </c>
      <c r="J5" s="16">
        <v>46338</v>
      </c>
      <c r="K5" s="13">
        <v>1167344</v>
      </c>
      <c r="L5" s="19">
        <v>24423633</v>
      </c>
      <c r="M5" s="13">
        <v>1434955</v>
      </c>
      <c r="N5" s="16">
        <v>41060357</v>
      </c>
      <c r="O5" s="20">
        <v>12241442</v>
      </c>
      <c r="P5" s="13">
        <f t="shared" si="0"/>
        <v>53301799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10</v>
      </c>
      <c r="B6" s="19">
        <v>764895</v>
      </c>
      <c r="C6" s="20">
        <v>43162</v>
      </c>
      <c r="D6" s="13">
        <v>4768086</v>
      </c>
      <c r="E6" s="16">
        <v>929396</v>
      </c>
      <c r="F6" s="20">
        <v>3962838</v>
      </c>
      <c r="G6" s="16">
        <v>590681</v>
      </c>
      <c r="H6" s="16">
        <v>1589504</v>
      </c>
      <c r="I6" s="20">
        <v>40203</v>
      </c>
      <c r="J6" s="16">
        <v>48649</v>
      </c>
      <c r="K6" s="13">
        <v>1220511</v>
      </c>
      <c r="L6" s="19">
        <v>21598504</v>
      </c>
      <c r="M6" s="13">
        <v>1763644</v>
      </c>
      <c r="N6" s="16">
        <v>37320073</v>
      </c>
      <c r="O6" s="20">
        <v>12096713</v>
      </c>
      <c r="P6" s="13">
        <f t="shared" si="0"/>
        <v>49416786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11</v>
      </c>
      <c r="B7" s="19">
        <v>464074</v>
      </c>
      <c r="C7" s="20">
        <v>24954</v>
      </c>
      <c r="D7" s="13">
        <v>3119144</v>
      </c>
      <c r="E7" s="16">
        <v>575014</v>
      </c>
      <c r="F7" s="20">
        <v>2344804</v>
      </c>
      <c r="G7" s="16">
        <v>495609</v>
      </c>
      <c r="H7" s="16">
        <v>829273</v>
      </c>
      <c r="I7" s="20">
        <v>19205</v>
      </c>
      <c r="J7" s="16">
        <v>36841</v>
      </c>
      <c r="K7" s="13">
        <v>910840</v>
      </c>
      <c r="L7" s="19">
        <v>16789587</v>
      </c>
      <c r="M7" s="13">
        <v>1484762</v>
      </c>
      <c r="N7" s="16">
        <v>27094107</v>
      </c>
      <c r="O7" s="20">
        <v>8920062</v>
      </c>
      <c r="P7" s="13">
        <f t="shared" si="0"/>
        <v>36014169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12</v>
      </c>
      <c r="B8" s="19">
        <v>595833</v>
      </c>
      <c r="C8" s="20">
        <v>81061</v>
      </c>
      <c r="D8" s="13">
        <v>7052639</v>
      </c>
      <c r="E8" s="16">
        <v>840295</v>
      </c>
      <c r="F8" s="20">
        <v>4005315</v>
      </c>
      <c r="G8" s="16">
        <v>469953</v>
      </c>
      <c r="H8" s="16">
        <v>1174530</v>
      </c>
      <c r="I8" s="20">
        <v>36292</v>
      </c>
      <c r="J8" s="16">
        <v>45341</v>
      </c>
      <c r="K8" s="13">
        <v>1324864</v>
      </c>
      <c r="L8" s="19">
        <v>16659490</v>
      </c>
      <c r="M8" s="13">
        <v>1330016</v>
      </c>
      <c r="N8" s="16">
        <v>33615629</v>
      </c>
      <c r="O8" s="20">
        <v>7932654</v>
      </c>
      <c r="P8" s="13">
        <f t="shared" si="0"/>
        <v>41548283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13</v>
      </c>
      <c r="B9" s="19">
        <v>454746</v>
      </c>
      <c r="C9" s="20">
        <v>20875</v>
      </c>
      <c r="D9" s="13">
        <v>2796048</v>
      </c>
      <c r="E9" s="16">
        <v>683283</v>
      </c>
      <c r="F9" s="20">
        <v>2351088</v>
      </c>
      <c r="G9" s="16">
        <v>523065</v>
      </c>
      <c r="H9" s="16">
        <v>633826</v>
      </c>
      <c r="I9" s="20">
        <v>30910</v>
      </c>
      <c r="J9" s="16">
        <v>46353</v>
      </c>
      <c r="K9" s="13">
        <v>872845</v>
      </c>
      <c r="L9" s="19">
        <v>17750417</v>
      </c>
      <c r="M9" s="13">
        <v>1634070</v>
      </c>
      <c r="N9" s="16">
        <v>27797526</v>
      </c>
      <c r="O9" s="20">
        <v>9653991</v>
      </c>
      <c r="P9" s="13">
        <f t="shared" si="0"/>
        <v>37451517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14</v>
      </c>
      <c r="B10" s="19">
        <v>444194</v>
      </c>
      <c r="C10" s="20">
        <v>10370</v>
      </c>
      <c r="D10" s="13">
        <v>2340456</v>
      </c>
      <c r="E10" s="16">
        <v>986553</v>
      </c>
      <c r="F10" s="20">
        <v>2091107</v>
      </c>
      <c r="G10" s="16">
        <v>546736</v>
      </c>
      <c r="H10" s="16">
        <v>801658</v>
      </c>
      <c r="I10" s="20">
        <v>32766</v>
      </c>
      <c r="J10" s="16">
        <v>40388</v>
      </c>
      <c r="K10" s="13">
        <v>1038806</v>
      </c>
      <c r="L10" s="19">
        <v>15635340</v>
      </c>
      <c r="M10" s="13">
        <v>1482523</v>
      </c>
      <c r="N10" s="16">
        <v>25450897</v>
      </c>
      <c r="O10" s="20">
        <v>7848845</v>
      </c>
      <c r="P10" s="13">
        <f>SUM(N10:O10)</f>
        <v>33299742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15</v>
      </c>
      <c r="B11" s="19">
        <v>535143</v>
      </c>
      <c r="C11" s="20">
        <v>46918</v>
      </c>
      <c r="D11" s="13">
        <v>7252845</v>
      </c>
      <c r="E11" s="16">
        <v>793284</v>
      </c>
      <c r="F11" s="20">
        <v>3884613</v>
      </c>
      <c r="G11" s="16">
        <v>432461</v>
      </c>
      <c r="H11" s="16">
        <v>672072</v>
      </c>
      <c r="I11" s="20">
        <v>14946</v>
      </c>
      <c r="J11" s="16">
        <v>35766</v>
      </c>
      <c r="K11" s="13">
        <v>937727</v>
      </c>
      <c r="L11" s="19">
        <v>16360019</v>
      </c>
      <c r="M11" s="13">
        <v>1415711</v>
      </c>
      <c r="N11" s="16">
        <v>32381505</v>
      </c>
      <c r="O11" s="20">
        <v>8580133</v>
      </c>
      <c r="P11" s="13">
        <f>SUM(N11:O11)</f>
        <v>40961638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16</v>
      </c>
      <c r="B12" s="19">
        <v>375469</v>
      </c>
      <c r="C12" s="20">
        <v>10174</v>
      </c>
      <c r="D12" s="13">
        <v>2885008</v>
      </c>
      <c r="E12" s="16">
        <v>744239</v>
      </c>
      <c r="F12" s="20">
        <v>2420545</v>
      </c>
      <c r="G12" s="16">
        <v>603766</v>
      </c>
      <c r="H12" s="16">
        <v>1088904</v>
      </c>
      <c r="I12" s="20">
        <v>42730</v>
      </c>
      <c r="J12" s="16">
        <v>48969</v>
      </c>
      <c r="K12" s="13">
        <v>1354868</v>
      </c>
      <c r="L12" s="19">
        <v>21015211</v>
      </c>
      <c r="M12" s="13">
        <v>1669008</v>
      </c>
      <c r="N12" s="16">
        <v>32258891</v>
      </c>
      <c r="O12" s="20">
        <v>10705448</v>
      </c>
      <c r="P12" s="13">
        <f t="shared" ref="P11:P14" si="1">SUM(N12:O12)</f>
        <v>42964339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17</v>
      </c>
      <c r="B13" s="19">
        <v>265471</v>
      </c>
      <c r="C13" s="20">
        <v>7365</v>
      </c>
      <c r="D13" s="13">
        <v>2631907</v>
      </c>
      <c r="E13" s="16">
        <v>797211</v>
      </c>
      <c r="F13" s="20">
        <v>1946075</v>
      </c>
      <c r="G13" s="16">
        <v>683497</v>
      </c>
      <c r="H13" s="16">
        <v>1300811</v>
      </c>
      <c r="I13" s="20">
        <v>22838</v>
      </c>
      <c r="J13" s="16">
        <v>33298</v>
      </c>
      <c r="K13" s="13">
        <v>790967</v>
      </c>
      <c r="L13" s="19">
        <v>17609625</v>
      </c>
      <c r="M13" s="13">
        <v>1431480</v>
      </c>
      <c r="N13" s="16">
        <v>27520545</v>
      </c>
      <c r="O13" s="20">
        <v>9711331</v>
      </c>
      <c r="P13" s="13">
        <f t="shared" si="1"/>
        <v>37231876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11" t="s">
        <v>0</v>
      </c>
      <c r="B14" s="21">
        <v>375207</v>
      </c>
      <c r="C14" s="18">
        <v>43303</v>
      </c>
      <c r="D14" s="17">
        <v>7358412</v>
      </c>
      <c r="E14" s="18">
        <v>564204</v>
      </c>
      <c r="F14" s="18">
        <v>2119388</v>
      </c>
      <c r="G14" s="18">
        <v>560116</v>
      </c>
      <c r="H14" s="18">
        <v>730436</v>
      </c>
      <c r="I14" s="18">
        <v>53322</v>
      </c>
      <c r="J14" s="18">
        <v>45187</v>
      </c>
      <c r="K14" s="17">
        <v>1314707</v>
      </c>
      <c r="L14" s="21">
        <v>24093125</v>
      </c>
      <c r="M14" s="17">
        <v>1612761</v>
      </c>
      <c r="N14" s="18">
        <v>38870168</v>
      </c>
      <c r="O14" s="18">
        <v>12773954</v>
      </c>
      <c r="P14" s="17">
        <f t="shared" si="0"/>
        <v>51644122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2" t="s">
        <v>31</v>
      </c>
      <c r="B15" s="23">
        <f>SUM(B3:B14)</f>
        <v>5729013</v>
      </c>
      <c r="C15" s="24">
        <f t="shared" ref="C15:O15" si="2">SUM(C3:C14)</f>
        <v>500488</v>
      </c>
      <c r="D15" s="25">
        <f t="shared" si="2"/>
        <v>54134033</v>
      </c>
      <c r="E15" s="24">
        <f t="shared" si="2"/>
        <v>9525096</v>
      </c>
      <c r="F15" s="24">
        <f t="shared" ref="F15" si="3">SUM(F3:F14)</f>
        <v>35524238</v>
      </c>
      <c r="G15" s="24">
        <f t="shared" ref="G15" si="4">SUM(G3:G14)</f>
        <v>6316469</v>
      </c>
      <c r="H15" s="24">
        <f t="shared" ref="H15" si="5">SUM(H3:H14)</f>
        <v>12063638</v>
      </c>
      <c r="I15" s="24">
        <f t="shared" ref="I15" si="6">SUM(I3:I14)</f>
        <v>403605</v>
      </c>
      <c r="J15" s="24">
        <f t="shared" ref="J15" si="7">SUM(J3:J14)</f>
        <v>503583</v>
      </c>
      <c r="K15" s="25">
        <f t="shared" ref="K15" si="8">SUM(K3:K14)</f>
        <v>13187078</v>
      </c>
      <c r="L15" s="23">
        <f t="shared" si="2"/>
        <v>237507748</v>
      </c>
      <c r="M15" s="25">
        <f t="shared" si="2"/>
        <v>18542802</v>
      </c>
      <c r="N15" s="24">
        <f t="shared" si="2"/>
        <v>393937791</v>
      </c>
      <c r="O15" s="24">
        <f t="shared" si="2"/>
        <v>125668023</v>
      </c>
      <c r="P15" s="25">
        <f t="shared" si="0"/>
        <v>519605814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6" t="s">
        <v>2</v>
      </c>
    </row>
    <row r="18" spans="1:1" x14ac:dyDescent="0.3">
      <c r="A18" s="6" t="s">
        <v>32</v>
      </c>
    </row>
    <row r="19" spans="1:1" x14ac:dyDescent="0.3">
      <c r="A19" s="1"/>
    </row>
    <row r="20" spans="1:1" x14ac:dyDescent="0.3">
      <c r="A20" s="1"/>
    </row>
  </sheetData>
  <mergeCells count="4">
    <mergeCell ref="L1:M1"/>
    <mergeCell ref="N1:P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P3:P6 P10:P11 P12:P14 P7:P8 P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2026-06-23T08:33:52Z</dcterms:modified>
</cp:coreProperties>
</file>