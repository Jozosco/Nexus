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1" l="1"/>
  <c r="B15" i="10"/>
  <c r="B15" i="16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<sst xmlns="http://schemas.openxmlformats.org/spreadsheetml/2006/main" count="306" uniqueCount="36">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</sst>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-1941633</v>
      </c>
      <c r="C3" s="3">
        <v>0</v>
      </c>
      <c r="D3" s="3">
        <v>0</v>
      </c>
      <c r="E3" s="3">
        <v>1941633</v>
      </c>
      <c r="F3" s="3">
        <v>2010943</v>
      </c>
    </row>
    <row r="4" spans="1:6" x14ac:dyDescent="0.3">
      <c r="A4" s="2" t="s">
        <v>24</v>
      </c>
      <c r="B4" s="3">
        <f t="shared" ref="B4:B14" si="0">C4-E4</f>
        <v>-302195</v>
      </c>
      <c r="C4" s="3">
        <v>0</v>
      </c>
      <c r="D4" s="3">
        <v>0</v>
      </c>
      <c r="E4" s="3">
        <v>302195</v>
      </c>
      <c r="F4" s="3">
        <v>299765</v>
      </c>
    </row>
    <row r="5" spans="1:6" x14ac:dyDescent="0.3">
      <c r="A5" s="2" t="s">
        <v>25</v>
      </c>
      <c r="B5" s="3">
        <f t="shared" si="0"/>
        <v>-1030942</v>
      </c>
      <c r="C5" s="3">
        <v>0</v>
      </c>
      <c r="D5" s="3">
        <v>0</v>
      </c>
      <c r="E5" s="3">
        <v>1030942</v>
      </c>
      <c r="F5" s="3">
        <v>1000720</v>
      </c>
    </row>
    <row r="6" spans="1:6" x14ac:dyDescent="0.3">
      <c r="A6" s="2" t="s">
        <v>8</v>
      </c>
      <c r="B6" s="3">
        <f t="shared" si="0"/>
        <v>-942095</v>
      </c>
      <c r="C6" s="3">
        <v>0</v>
      </c>
      <c r="D6" s="3">
        <v>0</v>
      </c>
      <c r="E6" s="3">
        <v>942095</v>
      </c>
      <c r="F6" s="3">
        <v>996969</v>
      </c>
    </row>
    <row r="7" spans="1:6" x14ac:dyDescent="0.3">
      <c r="A7" s="2" t="s">
        <v>9</v>
      </c>
      <c r="B7" s="3">
        <f t="shared" si="0"/>
        <v>-490990</v>
      </c>
      <c r="C7" s="3">
        <v>0</v>
      </c>
      <c r="D7" s="3">
        <v>0</v>
      </c>
      <c r="E7" s="3">
        <v>490990</v>
      </c>
      <c r="F7" s="3">
        <v>497725</v>
      </c>
    </row>
    <row r="8" spans="1:6" x14ac:dyDescent="0.3">
      <c r="A8" s="2" t="s">
        <v>10</v>
      </c>
      <c r="B8" s="3">
        <f t="shared" si="0"/>
        <v>-1216155</v>
      </c>
      <c r="C8" s="3">
        <v>0</v>
      </c>
      <c r="D8" s="3">
        <v>0</v>
      </c>
      <c r="E8" s="3">
        <v>1216155</v>
      </c>
      <c r="F8" s="3">
        <v>1297341</v>
      </c>
    </row>
    <row r="9" spans="1:6" x14ac:dyDescent="0.3">
      <c r="A9" s="2" t="s">
        <v>11</v>
      </c>
      <c r="B9" s="3">
        <f t="shared" si="0"/>
        <v>-1141896</v>
      </c>
      <c r="C9" s="3">
        <v>0</v>
      </c>
      <c r="D9" s="3">
        <v>0</v>
      </c>
      <c r="E9" s="3">
        <v>1141896</v>
      </c>
      <c r="F9" s="3">
        <v>1201581</v>
      </c>
    </row>
    <row r="10" spans="1:6" x14ac:dyDescent="0.3">
      <c r="A10" s="2" t="s">
        <v>12</v>
      </c>
      <c r="B10" s="3">
        <f t="shared" si="0"/>
        <v>-244686</v>
      </c>
      <c r="C10" s="3">
        <v>0</v>
      </c>
      <c r="D10" s="3">
        <v>0</v>
      </c>
      <c r="E10" s="3">
        <v>244686</v>
      </c>
      <c r="F10" s="3">
        <v>245066</v>
      </c>
    </row>
    <row r="11" spans="1:6" x14ac:dyDescent="0.3">
      <c r="A11" s="2" t="s">
        <v>13</v>
      </c>
      <c r="B11" s="3">
        <f t="shared" si="0"/>
        <v>-1532012</v>
      </c>
      <c r="C11" s="3">
        <v>0</v>
      </c>
      <c r="D11" s="3">
        <v>0</v>
      </c>
      <c r="E11" s="3">
        <v>1532012</v>
      </c>
      <c r="F11" s="3">
        <v>1529797</v>
      </c>
    </row>
    <row r="12" spans="1:6" x14ac:dyDescent="0.3">
      <c r="A12" s="2" t="s">
        <v>14</v>
      </c>
      <c r="B12" s="3">
        <f t="shared" si="0"/>
        <v>-3790172</v>
      </c>
      <c r="C12" s="3">
        <v>0</v>
      </c>
      <c r="D12" s="3">
        <v>0</v>
      </c>
      <c r="E12" s="3">
        <v>3790172</v>
      </c>
      <c r="F12" s="3">
        <v>3669527</v>
      </c>
    </row>
    <row r="13" spans="1:6" x14ac:dyDescent="0.3">
      <c r="A13" s="2" t="s">
        <v>15</v>
      </c>
      <c r="B13" s="3">
        <f t="shared" si="0"/>
        <v>-5187433</v>
      </c>
      <c r="C13" s="3">
        <v>0</v>
      </c>
      <c r="D13" s="3">
        <v>0</v>
      </c>
      <c r="E13" s="3">
        <v>5187433</v>
      </c>
      <c r="F13" s="3">
        <v>4859456</v>
      </c>
    </row>
    <row r="14" spans="1:6" x14ac:dyDescent="0.3">
      <c r="A14" s="2" t="s">
        <v>16</v>
      </c>
      <c r="B14" s="3">
        <f t="shared" si="0"/>
        <v>-5258092</v>
      </c>
      <c r="C14" s="3">
        <v>0</v>
      </c>
      <c r="D14" s="3">
        <v>0</v>
      </c>
      <c r="E14" s="3">
        <v>5258092</v>
      </c>
      <c r="F14" s="3">
        <v>4834645</v>
      </c>
    </row>
    <row r="15" spans="1:6" ht="17.25" thickBot="1" x14ac:dyDescent="0.35">
      <c r="A15" s="4" t="s">
        <v>26</v>
      </c>
      <c r="B15" s="5">
        <f>SUM(B3:B14)</f>
        <v>-23078301</v>
      </c>
      <c r="C15" s="5">
        <f t="shared" ref="C15:F15" si="1">SUM(C3:C14)</f>
        <v>0</v>
      </c>
      <c r="D15" s="5">
        <f t="shared" si="1"/>
        <v>0</v>
      </c>
      <c r="E15" s="5">
        <f t="shared" si="1"/>
        <v>23078301</v>
      </c>
      <c r="F15" s="5">
        <f t="shared" si="1"/>
        <v>22443535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-3134526</v>
      </c>
      <c r="C3" s="3">
        <v>0</v>
      </c>
      <c r="D3" s="3">
        <v>0</v>
      </c>
      <c r="E3" s="3">
        <v>3134526</v>
      </c>
      <c r="F3" s="3">
        <v>2671293</v>
      </c>
    </row>
    <row r="4" spans="1:6" x14ac:dyDescent="0.3">
      <c r="A4" s="2" t="s">
        <v>33</v>
      </c>
      <c r="B4" s="3">
        <f t="shared" ref="B4:B14" si="0">C4-E4</f>
        <v>-1502677</v>
      </c>
      <c r="C4" s="3">
        <v>0</v>
      </c>
      <c r="D4" s="3">
        <v>0</v>
      </c>
      <c r="E4" s="3">
        <v>1502677</v>
      </c>
      <c r="F4" s="3">
        <v>1190859</v>
      </c>
    </row>
    <row r="5" spans="1:6" x14ac:dyDescent="0.3">
      <c r="A5" s="2" t="s">
        <v>25</v>
      </c>
      <c r="B5" s="3">
        <f t="shared" si="0"/>
        <v>-3380605</v>
      </c>
      <c r="C5" s="3">
        <v>0</v>
      </c>
      <c r="D5" s="3">
        <v>0</v>
      </c>
      <c r="E5" s="3">
        <v>3380605</v>
      </c>
      <c r="F5" s="3">
        <v>2721053</v>
      </c>
    </row>
    <row r="6" spans="1:6" x14ac:dyDescent="0.3">
      <c r="A6" s="2" t="s">
        <v>8</v>
      </c>
      <c r="B6" s="3">
        <f t="shared" si="0"/>
        <v>-1469525</v>
      </c>
      <c r="C6" s="3">
        <v>0</v>
      </c>
      <c r="D6" s="3">
        <v>0</v>
      </c>
      <c r="E6" s="3">
        <v>1469525</v>
      </c>
      <c r="F6" s="3">
        <v>1110614</v>
      </c>
    </row>
    <row r="7" spans="1:6" x14ac:dyDescent="0.3">
      <c r="A7" s="2" t="s">
        <v>9</v>
      </c>
      <c r="B7" s="3">
        <f t="shared" si="0"/>
        <v>-1655642</v>
      </c>
      <c r="C7" s="3">
        <v>0</v>
      </c>
      <c r="D7" s="3">
        <v>0</v>
      </c>
      <c r="E7" s="3">
        <v>1655642</v>
      </c>
      <c r="F7" s="3">
        <v>1259432</v>
      </c>
    </row>
    <row r="8" spans="1:6" x14ac:dyDescent="0.3">
      <c r="A8" s="2" t="s">
        <v>10</v>
      </c>
      <c r="B8" s="3">
        <f t="shared" si="0"/>
        <v>-5554078</v>
      </c>
      <c r="C8" s="3">
        <v>0</v>
      </c>
      <c r="D8" s="3">
        <v>0</v>
      </c>
      <c r="E8" s="3">
        <v>5554078</v>
      </c>
      <c r="F8" s="3">
        <v>4268281</v>
      </c>
    </row>
    <row r="9" spans="1:6" x14ac:dyDescent="0.3">
      <c r="A9" s="2" t="s">
        <v>11</v>
      </c>
      <c r="B9" s="3">
        <f t="shared" si="0"/>
        <v>-3864901</v>
      </c>
      <c r="C9" s="3">
        <v>0</v>
      </c>
      <c r="D9" s="3">
        <v>0</v>
      </c>
      <c r="E9" s="3">
        <v>3864901</v>
      </c>
      <c r="F9" s="3">
        <v>2998477</v>
      </c>
    </row>
    <row r="10" spans="1:6" x14ac:dyDescent="0.3">
      <c r="A10" s="2" t="s">
        <v>12</v>
      </c>
      <c r="B10" s="3">
        <f t="shared" si="0"/>
        <v>-4232869</v>
      </c>
      <c r="C10" s="3">
        <v>0</v>
      </c>
      <c r="D10" s="3">
        <v>0</v>
      </c>
      <c r="E10" s="3">
        <v>4232869</v>
      </c>
      <c r="F10" s="3">
        <v>3217522</v>
      </c>
    </row>
    <row r="11" spans="1:6" x14ac:dyDescent="0.3">
      <c r="A11" s="2" t="s">
        <v>13</v>
      </c>
      <c r="B11" s="3">
        <f t="shared" si="0"/>
        <v>-21878557</v>
      </c>
      <c r="C11" s="3">
        <v>0</v>
      </c>
      <c r="D11" s="3">
        <v>0</v>
      </c>
      <c r="E11" s="3">
        <v>21878557</v>
      </c>
      <c r="F11" s="3">
        <v>16089542</v>
      </c>
    </row>
    <row r="12" spans="1:6" x14ac:dyDescent="0.3">
      <c r="A12" s="2" t="s">
        <v>14</v>
      </c>
      <c r="B12" s="3">
        <f t="shared" si="0"/>
        <v>-17876696</v>
      </c>
      <c r="C12" s="3">
        <v>0</v>
      </c>
      <c r="D12" s="3">
        <v>0</v>
      </c>
      <c r="E12" s="3">
        <v>17876696</v>
      </c>
      <c r="F12" s="3">
        <v>13036777</v>
      </c>
    </row>
    <row r="13" spans="1:6" x14ac:dyDescent="0.3">
      <c r="A13" s="2" t="s">
        <v>15</v>
      </c>
      <c r="B13" s="3">
        <f t="shared" si="0"/>
        <v>-16733908</v>
      </c>
      <c r="C13" s="3">
        <v>0</v>
      </c>
      <c r="D13" s="3">
        <v>0</v>
      </c>
      <c r="E13" s="3">
        <v>16733908</v>
      </c>
      <c r="F13" s="3">
        <v>12745849</v>
      </c>
    </row>
    <row r="14" spans="1:6" x14ac:dyDescent="0.3">
      <c r="A14" s="2" t="s">
        <v>16</v>
      </c>
      <c r="B14" s="3">
        <f t="shared" si="0"/>
        <v>-13146199</v>
      </c>
      <c r="C14" s="3">
        <v>0</v>
      </c>
      <c r="D14" s="3">
        <v>0</v>
      </c>
      <c r="E14" s="3">
        <v>13146199</v>
      </c>
      <c r="F14" s="3">
        <v>10036888</v>
      </c>
    </row>
    <row r="15" spans="1:6" ht="17.25" thickBot="1" x14ac:dyDescent="0.35">
      <c r="A15" s="4" t="s">
        <v>34</v>
      </c>
      <c r="B15" s="5">
        <f>SUM(B3:B14)</f>
        <v>-94430183</v>
      </c>
      <c r="C15" s="5">
        <f t="shared" ref="C15:F15" si="1">SUM(C3:C14)</f>
        <v>0</v>
      </c>
      <c r="D15" s="5">
        <f t="shared" si="1"/>
        <v>0</v>
      </c>
      <c r="E15" s="5">
        <f t="shared" si="1"/>
        <v>94430183</v>
      </c>
      <c r="F15" s="5">
        <f t="shared" si="1"/>
        <v>71346587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-5341185</v>
      </c>
      <c r="C3" s="3">
        <v>0</v>
      </c>
      <c r="D3" s="3">
        <v>0</v>
      </c>
      <c r="E3" s="3">
        <v>5341185</v>
      </c>
      <c r="F3" s="3">
        <v>4264005</v>
      </c>
    </row>
    <row r="4" spans="1:6" x14ac:dyDescent="0.3">
      <c r="A4" s="2" t="s">
        <v>24</v>
      </c>
      <c r="B4" s="3">
        <f t="shared" ref="B4:B14" si="0">C4-E4</f>
        <v>-2093884</v>
      </c>
      <c r="C4" s="3">
        <v>0</v>
      </c>
      <c r="D4" s="3">
        <v>0</v>
      </c>
      <c r="E4" s="3">
        <v>2093884</v>
      </c>
      <c r="F4" s="3">
        <v>1687256</v>
      </c>
    </row>
    <row r="5" spans="1:6" x14ac:dyDescent="0.3">
      <c r="A5" s="2" t="s">
        <v>25</v>
      </c>
      <c r="B5" s="3">
        <f t="shared" si="0"/>
        <v>-4422480</v>
      </c>
      <c r="C5" s="3">
        <v>0</v>
      </c>
      <c r="D5" s="3">
        <v>0</v>
      </c>
      <c r="E5" s="3">
        <v>4422480</v>
      </c>
      <c r="F5" s="3">
        <v>3566116</v>
      </c>
    </row>
    <row r="6" spans="1:6" x14ac:dyDescent="0.3">
      <c r="A6" s="2" t="s">
        <v>8</v>
      </c>
      <c r="B6" s="3">
        <f t="shared" si="0"/>
        <v>-2697610</v>
      </c>
      <c r="C6" s="3">
        <v>0</v>
      </c>
      <c r="D6" s="3">
        <v>0</v>
      </c>
      <c r="E6" s="3">
        <v>2697610</v>
      </c>
      <c r="F6" s="3">
        <v>2218847</v>
      </c>
    </row>
    <row r="7" spans="1:6" x14ac:dyDescent="0.3">
      <c r="A7" s="2" t="s">
        <v>9</v>
      </c>
      <c r="B7" s="3">
        <f t="shared" si="0"/>
        <v>-5539865</v>
      </c>
      <c r="C7" s="3">
        <v>0</v>
      </c>
      <c r="D7" s="3">
        <v>0</v>
      </c>
      <c r="E7" s="3">
        <v>5539865</v>
      </c>
      <c r="F7" s="3">
        <v>4442379</v>
      </c>
    </row>
    <row r="8" spans="1:6" x14ac:dyDescent="0.3">
      <c r="A8" s="2" t="s">
        <v>10</v>
      </c>
      <c r="B8" s="3">
        <f t="shared" si="0"/>
        <v>-18297174</v>
      </c>
      <c r="C8" s="3">
        <v>0</v>
      </c>
      <c r="D8" s="3">
        <v>0</v>
      </c>
      <c r="E8" s="3">
        <v>18297174</v>
      </c>
      <c r="F8" s="3">
        <v>14201817</v>
      </c>
    </row>
    <row r="9" spans="1:6" x14ac:dyDescent="0.3">
      <c r="A9" s="2" t="s">
        <v>11</v>
      </c>
      <c r="B9" s="3">
        <f t="shared" si="0"/>
        <v>-1343966</v>
      </c>
      <c r="C9" s="3">
        <v>0</v>
      </c>
      <c r="D9" s="3">
        <v>0</v>
      </c>
      <c r="E9" s="3">
        <v>1343966</v>
      </c>
      <c r="F9" s="3">
        <v>1034548</v>
      </c>
    </row>
    <row r="10" spans="1:6" x14ac:dyDescent="0.3">
      <c r="A10" s="2" t="s">
        <v>12</v>
      </c>
      <c r="B10" s="3">
        <f t="shared" si="0"/>
        <v>-6299234</v>
      </c>
      <c r="C10" s="3">
        <v>0</v>
      </c>
      <c r="D10" s="3">
        <v>0</v>
      </c>
      <c r="E10" s="3">
        <v>6299234</v>
      </c>
      <c r="F10" s="3">
        <v>4650200</v>
      </c>
    </row>
    <row r="11" spans="1:6" x14ac:dyDescent="0.3">
      <c r="A11" s="2" t="s">
        <v>13</v>
      </c>
      <c r="B11" s="3">
        <f t="shared" si="0"/>
        <v>-4508641</v>
      </c>
      <c r="C11" s="3">
        <v>0</v>
      </c>
      <c r="D11" s="3">
        <v>0</v>
      </c>
      <c r="E11" s="3">
        <v>4508641</v>
      </c>
      <c r="F11" s="3">
        <v>3407172</v>
      </c>
    </row>
    <row r="12" spans="1:6" x14ac:dyDescent="0.3">
      <c r="A12" s="2" t="s">
        <v>14</v>
      </c>
      <c r="B12" s="3">
        <f t="shared" si="0"/>
        <v>-12153549</v>
      </c>
      <c r="C12" s="3">
        <v>0</v>
      </c>
      <c r="D12" s="3">
        <v>0</v>
      </c>
      <c r="E12" s="3">
        <v>12153549</v>
      </c>
      <c r="F12" s="3">
        <v>9228313</v>
      </c>
    </row>
    <row r="13" spans="1:6" x14ac:dyDescent="0.3">
      <c r="A13" s="2" t="s">
        <v>15</v>
      </c>
      <c r="B13" s="3">
        <f t="shared" si="0"/>
        <v>-7457168</v>
      </c>
      <c r="C13" s="3">
        <v>0</v>
      </c>
      <c r="D13" s="3">
        <v>0</v>
      </c>
      <c r="E13" s="3">
        <v>7457168</v>
      </c>
      <c r="F13" s="3">
        <v>5728825</v>
      </c>
    </row>
    <row r="14" spans="1:6" x14ac:dyDescent="0.3">
      <c r="A14" s="2" t="s">
        <v>16</v>
      </c>
      <c r="B14" s="3">
        <f t="shared" si="0"/>
        <v>-3834567</v>
      </c>
      <c r="C14" s="3">
        <v>0</v>
      </c>
      <c r="D14" s="3">
        <v>0</v>
      </c>
      <c r="E14" s="3">
        <v>3834567</v>
      </c>
      <c r="F14" s="3">
        <v>2907765</v>
      </c>
    </row>
    <row r="15" spans="1:6" ht="17.25" thickBot="1" x14ac:dyDescent="0.35">
      <c r="A15" s="4" t="s">
        <v>26</v>
      </c>
      <c r="B15" s="5">
        <f>SUM(B3:B14)</f>
        <v>-73989323</v>
      </c>
      <c r="C15" s="5">
        <f t="shared" ref="C15:F15" si="1">SUM(C3:C14)</f>
        <v>0</v>
      </c>
      <c r="D15" s="5">
        <f t="shared" si="1"/>
        <v>0</v>
      </c>
      <c r="E15" s="5">
        <f t="shared" si="1"/>
        <v>73989323</v>
      </c>
      <c r="F15" s="5">
        <f t="shared" si="1"/>
        <v>57337243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-5659647</v>
      </c>
      <c r="C3" s="3">
        <v>0</v>
      </c>
      <c r="D3" s="3">
        <v>0</v>
      </c>
      <c r="E3" s="3">
        <v>5659647</v>
      </c>
      <c r="F3" s="3">
        <v>4406494</v>
      </c>
    </row>
    <row r="4" spans="1:6" x14ac:dyDescent="0.3">
      <c r="A4" s="2" t="s">
        <v>24</v>
      </c>
      <c r="B4" s="3">
        <f t="shared" si="0"/>
        <v>-14</v>
      </c>
      <c r="C4" s="3">
        <v>0</v>
      </c>
      <c r="D4" s="3">
        <v>0</v>
      </c>
      <c r="E4" s="3">
        <v>14</v>
      </c>
      <c r="F4" s="3">
        <v>1</v>
      </c>
    </row>
    <row r="5" spans="1:6" x14ac:dyDescent="0.3">
      <c r="A5" s="2" t="s">
        <v>35</v>
      </c>
      <c r="B5" s="3">
        <f t="shared" si="0"/>
        <v>-2091909</v>
      </c>
      <c r="C5" s="3">
        <v>0</v>
      </c>
      <c r="D5" s="3">
        <v>0</v>
      </c>
      <c r="E5" s="3">
        <v>2091909</v>
      </c>
      <c r="F5" s="3">
        <v>1598879</v>
      </c>
    </row>
    <row r="6" spans="1:6" x14ac:dyDescent="0.3">
      <c r="A6" s="2" t="s">
        <v>8</v>
      </c>
      <c r="B6" s="3">
        <f t="shared" si="0"/>
        <v>-3622701</v>
      </c>
      <c r="C6" s="3">
        <v>0</v>
      </c>
      <c r="D6" s="3">
        <v>0</v>
      </c>
      <c r="E6" s="3">
        <v>3622701</v>
      </c>
      <c r="F6" s="3">
        <v>2794729</v>
      </c>
    </row>
    <row r="7" spans="1:6" x14ac:dyDescent="0.3">
      <c r="A7" s="2" t="s">
        <v>9</v>
      </c>
      <c r="B7" s="3">
        <f t="shared" si="0"/>
        <v>-2586087</v>
      </c>
      <c r="C7" s="3">
        <v>0</v>
      </c>
      <c r="D7" s="3">
        <v>0</v>
      </c>
      <c r="E7" s="3">
        <v>2586087</v>
      </c>
      <c r="F7" s="3">
        <v>2011097</v>
      </c>
    </row>
    <row r="8" spans="1:6" x14ac:dyDescent="0.3">
      <c r="A8" s="2" t="s">
        <v>10</v>
      </c>
      <c r="B8" s="3">
        <f t="shared" si="0"/>
        <v>-4935581</v>
      </c>
      <c r="C8" s="3">
        <v>0</v>
      </c>
      <c r="D8" s="3">
        <v>0</v>
      </c>
      <c r="E8" s="3">
        <v>4935581</v>
      </c>
      <c r="F8" s="3">
        <v>3798200</v>
      </c>
    </row>
    <row r="9" spans="1:6" x14ac:dyDescent="0.3">
      <c r="A9" s="2" t="s">
        <v>11</v>
      </c>
      <c r="B9" s="3">
        <f t="shared" si="0"/>
        <v>-978911</v>
      </c>
      <c r="C9" s="3">
        <v>0</v>
      </c>
      <c r="D9" s="3">
        <v>0</v>
      </c>
      <c r="E9" s="3">
        <v>978911</v>
      </c>
      <c r="F9" s="3">
        <v>750628</v>
      </c>
    </row>
    <row r="10" spans="1:6" x14ac:dyDescent="0.3">
      <c r="A10" s="2" t="s">
        <v>12</v>
      </c>
      <c r="B10" s="3">
        <f t="shared" si="0"/>
        <v>-5258062</v>
      </c>
      <c r="C10" s="3">
        <v>0</v>
      </c>
      <c r="D10" s="3">
        <v>0</v>
      </c>
      <c r="E10" s="3">
        <v>5258062</v>
      </c>
      <c r="F10" s="3">
        <v>4105091</v>
      </c>
    </row>
    <row r="11" spans="1:6" x14ac:dyDescent="0.3">
      <c r="A11" s="2" t="s">
        <v>13</v>
      </c>
      <c r="B11" s="3">
        <f t="shared" si="0"/>
        <v>-1307528</v>
      </c>
      <c r="C11" s="3">
        <v>0</v>
      </c>
      <c r="D11" s="3">
        <v>0</v>
      </c>
      <c r="E11" s="3">
        <v>1307528</v>
      </c>
      <c r="F11" s="3">
        <v>1011155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/>
      <c r="F12" s="3"/>
    </row>
    <row r="13" spans="1:6" x14ac:dyDescent="0.3">
      <c r="A13" s="2" t="s">
        <v>15</v>
      </c>
      <c r="B13" s="3">
        <f t="shared" si="0"/>
        <v>-3065801</v>
      </c>
      <c r="C13" s="3">
        <v>0</v>
      </c>
      <c r="D13" s="3">
        <v>0</v>
      </c>
      <c r="E13" s="3">
        <v>3065801</v>
      </c>
      <c r="F13" s="3">
        <v>2808945</v>
      </c>
    </row>
    <row r="14" spans="1:6" x14ac:dyDescent="0.3">
      <c r="A14" s="2" t="s">
        <v>16</v>
      </c>
      <c r="B14" s="3">
        <f t="shared" si="0"/>
        <v>-8379809</v>
      </c>
      <c r="C14" s="3">
        <v>0</v>
      </c>
      <c r="D14" s="3">
        <v>0</v>
      </c>
      <c r="E14" s="3">
        <v>8379809</v>
      </c>
      <c r="F14" s="3">
        <v>8222048</v>
      </c>
    </row>
    <row r="15" spans="1:6" ht="17.25" thickBot="1" x14ac:dyDescent="0.35">
      <c r="A15" s="4" t="s">
        <v>26</v>
      </c>
      <c r="B15" s="5">
        <f>SUM(B3:B14)</f>
        <v>-37886050</v>
      </c>
      <c r="C15" s="5">
        <f t="shared" ref="C15:F15" si="1">SUM(C3:C14)</f>
        <v>0</v>
      </c>
      <c r="D15" s="5">
        <f t="shared" si="1"/>
        <v>0</v>
      </c>
      <c r="E15" s="5">
        <f t="shared" si="1"/>
        <v>37886050</v>
      </c>
      <c r="F15" s="5">
        <f t="shared" si="1"/>
        <v>31507267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-517273</v>
      </c>
      <c r="C3" s="3">
        <v>0</v>
      </c>
      <c r="D3" s="3">
        <v>0</v>
      </c>
      <c r="E3" s="3">
        <v>517273</v>
      </c>
      <c r="F3" s="3">
        <v>525000</v>
      </c>
    </row>
    <row r="4" spans="1:6" x14ac:dyDescent="0.3">
      <c r="A4" s="2" t="s">
        <v>24</v>
      </c>
      <c r="B4" s="3">
        <f t="shared" si="0"/>
        <v>-1000988</v>
      </c>
      <c r="C4" s="3">
        <v>0</v>
      </c>
      <c r="D4" s="3">
        <v>0</v>
      </c>
      <c r="E4" s="3">
        <v>1000988</v>
      </c>
      <c r="F4" s="3">
        <v>1002861</v>
      </c>
    </row>
    <row r="5" spans="1:6" x14ac:dyDescent="0.3">
      <c r="A5" s="2" t="s">
        <v>35</v>
      </c>
      <c r="B5" s="3">
        <f t="shared" si="0"/>
        <v>-1300141</v>
      </c>
      <c r="C5" s="3">
        <v>0</v>
      </c>
      <c r="D5" s="3">
        <v>0</v>
      </c>
      <c r="E5" s="3">
        <v>1300141</v>
      </c>
      <c r="F5" s="3">
        <v>1296559</v>
      </c>
    </row>
    <row r="6" spans="1:6" x14ac:dyDescent="0.3">
      <c r="A6" s="2" t="s">
        <v>8</v>
      </c>
      <c r="B6" s="3">
        <f t="shared" si="0"/>
        <v>-1097316</v>
      </c>
      <c r="C6" s="3">
        <v>0</v>
      </c>
      <c r="D6" s="3">
        <v>0</v>
      </c>
      <c r="E6" s="3">
        <v>1097316</v>
      </c>
      <c r="F6" s="3">
        <v>1100000</v>
      </c>
    </row>
    <row r="7" spans="1:6" x14ac:dyDescent="0.3">
      <c r="A7" s="2" t="s">
        <v>9</v>
      </c>
      <c r="B7" s="3">
        <f t="shared" si="0"/>
        <v>-5392774</v>
      </c>
      <c r="C7" s="3">
        <v>0</v>
      </c>
      <c r="D7" s="3">
        <v>0</v>
      </c>
      <c r="E7" s="3">
        <v>5392774</v>
      </c>
      <c r="F7" s="3">
        <v>5297852</v>
      </c>
    </row>
    <row r="8" spans="1:6" x14ac:dyDescent="0.3">
      <c r="A8" s="2" t="s">
        <v>10</v>
      </c>
      <c r="B8" s="3">
        <f t="shared" si="0"/>
        <v>-4684187</v>
      </c>
      <c r="C8" s="3">
        <v>0</v>
      </c>
      <c r="D8" s="3">
        <v>0</v>
      </c>
      <c r="E8" s="3">
        <v>4684187</v>
      </c>
      <c r="F8" s="3">
        <v>4399580</v>
      </c>
    </row>
    <row r="9" spans="1:6" x14ac:dyDescent="0.3">
      <c r="A9" s="2" t="s">
        <v>11</v>
      </c>
      <c r="B9" s="3">
        <f t="shared" si="0"/>
        <v>-3559856</v>
      </c>
      <c r="C9" s="3">
        <v>0</v>
      </c>
      <c r="D9" s="3">
        <v>0</v>
      </c>
      <c r="E9" s="3">
        <v>3559856</v>
      </c>
      <c r="F9" s="3">
        <v>3559164</v>
      </c>
    </row>
    <row r="10" spans="1:6" x14ac:dyDescent="0.3">
      <c r="A10" s="2" t="s">
        <v>12</v>
      </c>
      <c r="B10" s="3">
        <f t="shared" si="0"/>
        <v>-4160032</v>
      </c>
      <c r="C10" s="3">
        <v>0</v>
      </c>
      <c r="D10" s="3">
        <v>0</v>
      </c>
      <c r="E10" s="3">
        <v>4160032</v>
      </c>
      <c r="F10" s="3">
        <v>4203032</v>
      </c>
    </row>
    <row r="11" spans="1:6" x14ac:dyDescent="0.3">
      <c r="A11" s="2" t="s">
        <v>13</v>
      </c>
      <c r="B11" s="3">
        <f t="shared" si="0"/>
        <v>-5717607</v>
      </c>
      <c r="C11" s="3">
        <v>0</v>
      </c>
      <c r="D11" s="3">
        <v>0</v>
      </c>
      <c r="E11" s="3">
        <v>5717607</v>
      </c>
      <c r="F11" s="3">
        <v>6395201</v>
      </c>
    </row>
    <row r="12" spans="1:6" x14ac:dyDescent="0.3">
      <c r="A12" s="2" t="s">
        <v>14</v>
      </c>
      <c r="B12" s="3">
        <f t="shared" si="0"/>
        <v>-9125743</v>
      </c>
      <c r="C12" s="3">
        <v>0</v>
      </c>
      <c r="D12" s="3">
        <v>0</v>
      </c>
      <c r="E12" s="3">
        <v>9125743</v>
      </c>
      <c r="F12" s="3">
        <v>9775096</v>
      </c>
    </row>
    <row r="13" spans="1:6" x14ac:dyDescent="0.3">
      <c r="A13" s="2" t="s">
        <v>15</v>
      </c>
      <c r="B13" s="3">
        <f t="shared" si="0"/>
        <v>-7997879</v>
      </c>
      <c r="C13" s="3">
        <v>0</v>
      </c>
      <c r="D13" s="3">
        <v>0</v>
      </c>
      <c r="E13" s="3">
        <v>7997879</v>
      </c>
      <c r="F13" s="3">
        <v>8904612</v>
      </c>
    </row>
    <row r="14" spans="1:6" x14ac:dyDescent="0.3">
      <c r="A14" s="2" t="s">
        <v>16</v>
      </c>
      <c r="B14" s="3">
        <f t="shared" si="0"/>
        <v>-6515587</v>
      </c>
      <c r="C14" s="3">
        <v>0</v>
      </c>
      <c r="D14" s="3">
        <v>0</v>
      </c>
      <c r="E14" s="3">
        <v>6515587</v>
      </c>
      <c r="F14" s="3">
        <v>7402291</v>
      </c>
    </row>
    <row r="15" spans="1:6" ht="17.25" thickBot="1" x14ac:dyDescent="0.35">
      <c r="A15" s="4" t="s">
        <v>26</v>
      </c>
      <c r="B15" s="5">
        <f>SUM(B3:B14)</f>
        <v>-51069383</v>
      </c>
      <c r="C15" s="5">
        <f t="shared" ref="C15:F15" si="1">SUM(C3:C14)</f>
        <v>0</v>
      </c>
      <c r="D15" s="5">
        <f t="shared" si="1"/>
        <v>0</v>
      </c>
      <c r="E15" s="5">
        <f t="shared" si="1"/>
        <v>51069383</v>
      </c>
      <c r="F15" s="5">
        <f t="shared" si="1"/>
        <v>53861248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-7614363</v>
      </c>
      <c r="C3" s="3">
        <v>0</v>
      </c>
      <c r="D3" s="3">
        <v>0</v>
      </c>
      <c r="E3" s="3">
        <v>7614363</v>
      </c>
      <c r="F3" s="3">
        <v>9045923</v>
      </c>
    </row>
    <row r="4" spans="1:6" x14ac:dyDescent="0.3">
      <c r="A4" s="2" t="s">
        <v>24</v>
      </c>
      <c r="B4" s="3">
        <f t="shared" si="0"/>
        <v>-1734097</v>
      </c>
      <c r="C4" s="3">
        <v>0</v>
      </c>
      <c r="D4" s="3">
        <v>0</v>
      </c>
      <c r="E4" s="3">
        <v>1734097</v>
      </c>
      <c r="F4" s="3">
        <v>2047505</v>
      </c>
    </row>
    <row r="5" spans="1:6" x14ac:dyDescent="0.3">
      <c r="A5" s="2" t="s">
        <v>25</v>
      </c>
      <c r="B5" s="3">
        <f t="shared" si="0"/>
        <v>-5198220</v>
      </c>
      <c r="C5" s="3">
        <v>0</v>
      </c>
      <c r="D5" s="3">
        <v>0</v>
      </c>
      <c r="E5" s="3">
        <v>5198220</v>
      </c>
      <c r="F5" s="3">
        <v>6141306</v>
      </c>
    </row>
    <row r="6" spans="1:6" x14ac:dyDescent="0.3">
      <c r="A6" s="2" t="s">
        <v>8</v>
      </c>
      <c r="B6" s="3">
        <f t="shared" si="0"/>
        <v>-4115436</v>
      </c>
      <c r="C6" s="3">
        <v>0</v>
      </c>
      <c r="D6" s="3">
        <v>0</v>
      </c>
      <c r="E6" s="3">
        <v>4115436</v>
      </c>
      <c r="F6" s="3">
        <v>5043248</v>
      </c>
    </row>
    <row r="7" spans="1:6" x14ac:dyDescent="0.3">
      <c r="A7" s="2" t="s">
        <v>9</v>
      </c>
      <c r="B7" s="3">
        <f t="shared" si="0"/>
        <v>-6637363</v>
      </c>
      <c r="C7" s="3">
        <v>0</v>
      </c>
      <c r="D7" s="3">
        <v>0</v>
      </c>
      <c r="E7" s="3">
        <v>6637363</v>
      </c>
      <c r="F7" s="3">
        <v>8403300</v>
      </c>
    </row>
    <row r="8" spans="1:6" x14ac:dyDescent="0.3">
      <c r="A8" s="2" t="s">
        <v>10</v>
      </c>
      <c r="B8" s="3">
        <f t="shared" si="0"/>
        <v>-5841919</v>
      </c>
      <c r="C8" s="3">
        <v>0</v>
      </c>
      <c r="D8" s="3">
        <v>0</v>
      </c>
      <c r="E8" s="3">
        <v>5841919</v>
      </c>
      <c r="F8" s="3">
        <v>7351285</v>
      </c>
    </row>
    <row r="9" spans="1:6" x14ac:dyDescent="0.3">
      <c r="A9" s="2" t="s">
        <v>11</v>
      </c>
      <c r="B9" s="3">
        <f t="shared" si="0"/>
        <v>-6076695</v>
      </c>
      <c r="C9" s="3">
        <v>0</v>
      </c>
      <c r="D9" s="3">
        <v>0</v>
      </c>
      <c r="E9" s="3">
        <v>6076695</v>
      </c>
      <c r="F9" s="3">
        <v>7130975</v>
      </c>
    </row>
    <row r="10" spans="1:6" x14ac:dyDescent="0.3">
      <c r="A10" s="2" t="s">
        <v>12</v>
      </c>
      <c r="B10" s="3">
        <f t="shared" si="0"/>
        <v>-7306949</v>
      </c>
      <c r="C10" s="3">
        <v>0</v>
      </c>
      <c r="D10" s="3">
        <v>0</v>
      </c>
      <c r="E10" s="3">
        <v>7306949</v>
      </c>
      <c r="F10" s="3">
        <v>9055045</v>
      </c>
    </row>
    <row r="11" spans="1:6" x14ac:dyDescent="0.3">
      <c r="A11" s="2" t="s">
        <v>13</v>
      </c>
      <c r="B11" s="3">
        <f t="shared" si="0"/>
        <v>-1991953</v>
      </c>
      <c r="C11" s="3">
        <v>0</v>
      </c>
      <c r="D11" s="3">
        <v>0</v>
      </c>
      <c r="E11" s="3">
        <v>1991953</v>
      </c>
      <c r="F11" s="3">
        <v>2549166</v>
      </c>
    </row>
    <row r="12" spans="1:6" x14ac:dyDescent="0.3">
      <c r="A12" s="2" t="s">
        <v>14</v>
      </c>
      <c r="B12" s="3">
        <f t="shared" si="0"/>
        <v>-5645251</v>
      </c>
      <c r="C12" s="3">
        <v>0</v>
      </c>
      <c r="D12" s="3">
        <v>0</v>
      </c>
      <c r="E12" s="3">
        <v>5645251</v>
      </c>
      <c r="F12" s="3">
        <v>7397863</v>
      </c>
    </row>
    <row r="13" spans="1:6" x14ac:dyDescent="0.3">
      <c r="A13" s="2" t="s">
        <v>15</v>
      </c>
      <c r="B13" s="3">
        <f t="shared" si="0"/>
        <v>-5066631</v>
      </c>
      <c r="C13" s="3">
        <v>0</v>
      </c>
      <c r="D13" s="3">
        <v>0</v>
      </c>
      <c r="E13" s="3">
        <v>5066631</v>
      </c>
      <c r="F13" s="3">
        <v>6655366</v>
      </c>
    </row>
    <row r="14" spans="1:6" x14ac:dyDescent="0.3">
      <c r="A14" s="2" t="s">
        <v>16</v>
      </c>
      <c r="B14" s="3">
        <f t="shared" si="0"/>
        <v>-8124215</v>
      </c>
      <c r="C14" s="3">
        <v>0</v>
      </c>
      <c r="D14" s="3">
        <v>0</v>
      </c>
      <c r="E14" s="3">
        <v>8124215</v>
      </c>
      <c r="F14" s="3">
        <v>10846213</v>
      </c>
    </row>
    <row r="15" spans="1:6" ht="17.25" thickBot="1" x14ac:dyDescent="0.35">
      <c r="A15" s="4" t="s">
        <v>26</v>
      </c>
      <c r="B15" s="5">
        <f>SUM(B3:B14)</f>
        <v>-65353092</v>
      </c>
      <c r="C15" s="5">
        <f t="shared" ref="C15:F15" si="1">SUM(C3:C14)</f>
        <v>0</v>
      </c>
      <c r="D15" s="5">
        <f t="shared" si="1"/>
        <v>0</v>
      </c>
      <c r="E15" s="5">
        <f t="shared" si="1"/>
        <v>65353092</v>
      </c>
      <c r="F15" s="5">
        <f t="shared" si="1"/>
        <v>81667195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-7849050</v>
      </c>
      <c r="C3" s="3">
        <v>0</v>
      </c>
      <c r="D3" s="3">
        <v>0</v>
      </c>
      <c r="E3" s="3">
        <v>7849050</v>
      </c>
      <c r="F3" s="3">
        <v>10697845</v>
      </c>
    </row>
    <row r="4" spans="1:6" x14ac:dyDescent="0.3">
      <c r="A4" s="2" t="s">
        <v>24</v>
      </c>
      <c r="B4" s="3">
        <f t="shared" si="0"/>
        <v>-1855709</v>
      </c>
      <c r="C4" s="3">
        <v>0</v>
      </c>
      <c r="D4" s="3">
        <v>0</v>
      </c>
      <c r="E4" s="3">
        <v>1855709</v>
      </c>
      <c r="F4" s="3">
        <v>2575404</v>
      </c>
    </row>
    <row r="5" spans="1:6" x14ac:dyDescent="0.3">
      <c r="A5" s="2" t="s">
        <v>25</v>
      </c>
      <c r="B5" s="3">
        <f t="shared" si="0"/>
        <v>-6570830</v>
      </c>
      <c r="C5" s="3">
        <v>0</v>
      </c>
      <c r="D5" s="3">
        <v>0</v>
      </c>
      <c r="E5" s="3">
        <v>6570830</v>
      </c>
      <c r="F5" s="3">
        <v>9013962</v>
      </c>
    </row>
    <row r="6" spans="1:6" x14ac:dyDescent="0.3">
      <c r="A6" s="2" t="s">
        <v>8</v>
      </c>
      <c r="B6" s="3">
        <f t="shared" si="0"/>
        <v>-3123539</v>
      </c>
      <c r="C6" s="3">
        <v>0</v>
      </c>
      <c r="D6" s="3">
        <v>0</v>
      </c>
      <c r="E6" s="3">
        <v>3123539</v>
      </c>
      <c r="F6" s="3">
        <v>4354697</v>
      </c>
    </row>
    <row r="7" spans="1:6" x14ac:dyDescent="0.3">
      <c r="A7" s="2" t="s">
        <v>9</v>
      </c>
      <c r="B7" s="3">
        <f t="shared" si="0"/>
        <v>-8458062</v>
      </c>
      <c r="C7" s="3">
        <v>0</v>
      </c>
      <c r="D7" s="3">
        <v>0</v>
      </c>
      <c r="E7" s="3">
        <v>8458062</v>
      </c>
      <c r="F7" s="3">
        <v>11706481</v>
      </c>
    </row>
    <row r="8" spans="1:6" x14ac:dyDescent="0.3">
      <c r="A8" s="2" t="s">
        <v>10</v>
      </c>
      <c r="B8" s="3">
        <f t="shared" si="0"/>
        <v>-9858580</v>
      </c>
      <c r="C8" s="3">
        <v>0</v>
      </c>
      <c r="D8" s="3">
        <v>0</v>
      </c>
      <c r="E8" s="3">
        <v>9858580</v>
      </c>
      <c r="F8" s="3">
        <v>12576471</v>
      </c>
    </row>
    <row r="9" spans="1:6" x14ac:dyDescent="0.3">
      <c r="A9" s="2" t="s">
        <v>11</v>
      </c>
      <c r="B9" s="3">
        <f t="shared" si="0"/>
        <v>-3306964</v>
      </c>
      <c r="C9" s="3">
        <v>0</v>
      </c>
      <c r="D9" s="3">
        <v>0</v>
      </c>
      <c r="E9" s="3">
        <v>3306964</v>
      </c>
      <c r="F9" s="3">
        <v>4349279</v>
      </c>
    </row>
    <row r="10" spans="1:6" x14ac:dyDescent="0.3">
      <c r="A10" s="2" t="s">
        <v>12</v>
      </c>
      <c r="B10" s="3">
        <f t="shared" si="0"/>
        <v>-5373211</v>
      </c>
      <c r="C10" s="3">
        <v>0</v>
      </c>
      <c r="D10" s="3">
        <v>0</v>
      </c>
      <c r="E10" s="3">
        <v>5373211</v>
      </c>
      <c r="F10" s="3">
        <v>7036710</v>
      </c>
    </row>
    <row r="11" spans="1:6" x14ac:dyDescent="0.3">
      <c r="A11" s="2" t="s">
        <v>13</v>
      </c>
      <c r="B11" s="3">
        <f t="shared" si="0"/>
        <v>-7999134</v>
      </c>
      <c r="C11" s="3">
        <v>0</v>
      </c>
      <c r="D11" s="3">
        <v>0</v>
      </c>
      <c r="E11" s="3">
        <v>7999134</v>
      </c>
      <c r="F11" s="3">
        <v>10364807</v>
      </c>
    </row>
    <row r="12" spans="1:6" x14ac:dyDescent="0.3">
      <c r="A12" s="2" t="s">
        <v>14</v>
      </c>
      <c r="B12" s="3">
        <f t="shared" si="0"/>
        <v>-3495333</v>
      </c>
      <c r="C12" s="3">
        <v>0</v>
      </c>
      <c r="D12" s="3">
        <v>0</v>
      </c>
      <c r="E12" s="3">
        <v>3495333</v>
      </c>
      <c r="F12" s="3">
        <v>4498397</v>
      </c>
    </row>
    <row r="13" spans="1:6" x14ac:dyDescent="0.3">
      <c r="A13" s="2" t="s">
        <v>15</v>
      </c>
      <c r="B13" s="3">
        <f t="shared" si="0"/>
        <v>-16051441</v>
      </c>
      <c r="C13" s="3">
        <v>0</v>
      </c>
      <c r="D13" s="3">
        <v>0</v>
      </c>
      <c r="E13" s="3">
        <v>16051441</v>
      </c>
      <c r="F13" s="3">
        <v>20006506</v>
      </c>
    </row>
    <row r="14" spans="1:6" x14ac:dyDescent="0.3">
      <c r="A14" s="2" t="s">
        <v>16</v>
      </c>
      <c r="B14" s="3">
        <f t="shared" si="0"/>
        <v>-7090194</v>
      </c>
      <c r="C14" s="3">
        <v>0</v>
      </c>
      <c r="D14" s="3">
        <v>0</v>
      </c>
      <c r="E14" s="3">
        <v>7090194</v>
      </c>
      <c r="F14" s="3">
        <v>8852065</v>
      </c>
    </row>
    <row r="15" spans="1:6" ht="17.25" thickBot="1" x14ac:dyDescent="0.35">
      <c r="A15" s="4" t="s">
        <v>26</v>
      </c>
      <c r="B15" s="5">
        <f>SUM(B3:B14)</f>
        <v>-81032047</v>
      </c>
      <c r="C15" s="5">
        <f t="shared" ref="C15:F15" si="1">SUM(C3:C14)</f>
        <v>0</v>
      </c>
      <c r="D15" s="5">
        <f t="shared" si="1"/>
        <v>0</v>
      </c>
      <c r="E15" s="5">
        <f t="shared" si="1"/>
        <v>81032047</v>
      </c>
      <c r="F15" s="5">
        <f t="shared" si="1"/>
        <v>106032624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-9815656</v>
      </c>
      <c r="C3" s="3">
        <v>0</v>
      </c>
      <c r="D3" s="3">
        <v>0</v>
      </c>
      <c r="E3" s="3">
        <v>9815656</v>
      </c>
      <c r="F3" s="3">
        <v>11882229</v>
      </c>
    </row>
    <row r="4" spans="1:6" x14ac:dyDescent="0.3">
      <c r="A4" s="2" t="s">
        <v>6</v>
      </c>
      <c r="B4" s="3">
        <f t="shared" ref="B4:B14" si="0">C4-E4</f>
        <v>-5905132</v>
      </c>
      <c r="C4" s="3">
        <v>0</v>
      </c>
      <c r="D4" s="3">
        <v>0</v>
      </c>
      <c r="E4" s="3">
        <v>5905132</v>
      </c>
      <c r="F4" s="3">
        <v>6931198</v>
      </c>
    </row>
    <row r="5" spans="1:6" x14ac:dyDescent="0.3">
      <c r="A5" s="2" t="s">
        <v>7</v>
      </c>
      <c r="B5" s="3">
        <f t="shared" si="0"/>
        <v>-6428512</v>
      </c>
      <c r="C5" s="3">
        <v>0</v>
      </c>
      <c r="D5" s="3">
        <v>0</v>
      </c>
      <c r="E5" s="3">
        <v>6428512</v>
      </c>
      <c r="F5" s="3">
        <v>7505325</v>
      </c>
    </row>
    <row r="6" spans="1:6" x14ac:dyDescent="0.3">
      <c r="A6" s="2" t="s">
        <v>8</v>
      </c>
      <c r="B6" s="3">
        <f t="shared" si="0"/>
        <v>-4015762</v>
      </c>
      <c r="C6" s="3">
        <v>0</v>
      </c>
      <c r="D6" s="3">
        <v>0</v>
      </c>
      <c r="E6" s="3">
        <v>4015762</v>
      </c>
      <c r="F6" s="3">
        <v>4741145</v>
      </c>
    </row>
    <row r="7" spans="1:6" x14ac:dyDescent="0.3">
      <c r="A7" s="2" t="s">
        <v>9</v>
      </c>
      <c r="B7" s="3">
        <f t="shared" si="0"/>
        <v>-13258594</v>
      </c>
      <c r="C7" s="3">
        <v>0</v>
      </c>
      <c r="D7" s="3">
        <v>0</v>
      </c>
      <c r="E7" s="3">
        <v>13258594</v>
      </c>
      <c r="F7" s="3">
        <v>15599684</v>
      </c>
    </row>
    <row r="8" spans="1:6" x14ac:dyDescent="0.3">
      <c r="A8" s="2" t="s">
        <v>10</v>
      </c>
      <c r="B8" s="3">
        <f t="shared" si="0"/>
        <v>-5914613</v>
      </c>
      <c r="C8" s="3">
        <v>0</v>
      </c>
      <c r="D8" s="3">
        <v>0</v>
      </c>
      <c r="E8" s="3">
        <v>5914613</v>
      </c>
      <c r="F8" s="3">
        <v>7313731</v>
      </c>
    </row>
    <row r="9" spans="1:6" x14ac:dyDescent="0.3">
      <c r="A9" s="2" t="s">
        <v>11</v>
      </c>
      <c r="B9" s="3">
        <f t="shared" si="0"/>
        <v>-6739424</v>
      </c>
      <c r="C9" s="3">
        <v>0</v>
      </c>
      <c r="D9" s="3">
        <v>0</v>
      </c>
      <c r="E9" s="3">
        <v>6739424</v>
      </c>
      <c r="F9" s="3">
        <v>8494247</v>
      </c>
    </row>
    <row r="10" spans="1:6" x14ac:dyDescent="0.3">
      <c r="A10" s="2" t="s">
        <v>12</v>
      </c>
      <c r="B10" s="3">
        <f t="shared" si="0"/>
        <v>-6659354</v>
      </c>
      <c r="C10" s="3">
        <v>0</v>
      </c>
      <c r="D10" s="3">
        <v>0</v>
      </c>
      <c r="E10" s="3">
        <v>6659354</v>
      </c>
      <c r="F10" s="3">
        <v>8299330</v>
      </c>
    </row>
    <row r="11" spans="1:6" x14ac:dyDescent="0.3">
      <c r="A11" s="2" t="s">
        <v>13</v>
      </c>
      <c r="B11" s="3">
        <f t="shared" si="0"/>
        <v>-3104393</v>
      </c>
      <c r="C11" s="3">
        <v>0</v>
      </c>
      <c r="D11" s="3">
        <v>0</v>
      </c>
      <c r="E11" s="3">
        <v>3104393</v>
      </c>
      <c r="F11" s="3">
        <v>4005409</v>
      </c>
    </row>
    <row r="12" spans="1:6" x14ac:dyDescent="0.3">
      <c r="A12" s="2" t="s">
        <v>14</v>
      </c>
      <c r="B12" s="3">
        <f t="shared" si="0"/>
        <v>-11640113</v>
      </c>
      <c r="C12" s="3">
        <v>0</v>
      </c>
      <c r="D12" s="3">
        <v>0</v>
      </c>
      <c r="E12" s="3">
        <v>11640113</v>
      </c>
      <c r="F12" s="3">
        <v>13988254</v>
      </c>
    </row>
    <row r="13" spans="1:6" x14ac:dyDescent="0.3">
      <c r="A13" s="2" t="s">
        <v>15</v>
      </c>
      <c r="B13" s="3">
        <f t="shared" si="0"/>
        <v>-4387702</v>
      </c>
      <c r="C13" s="3">
        <v>0</v>
      </c>
      <c r="D13" s="3">
        <v>0</v>
      </c>
      <c r="E13" s="3">
        <v>4387702</v>
      </c>
      <c r="F13" s="3">
        <v>5504228</v>
      </c>
    </row>
    <row r="14" spans="1:6" x14ac:dyDescent="0.3">
      <c r="A14" s="2" t="s">
        <v>16</v>
      </c>
      <c r="B14" s="3">
        <f t="shared" si="0"/>
        <v>-14431274</v>
      </c>
      <c r="C14" s="3">
        <v>0</v>
      </c>
      <c r="D14" s="3">
        <v>0</v>
      </c>
      <c r="E14" s="3">
        <v>14431274</v>
      </c>
      <c r="F14" s="3">
        <v>17164945</v>
      </c>
    </row>
    <row r="15" spans="1:6" ht="17.25" thickBot="1" x14ac:dyDescent="0.35">
      <c r="A15" s="4" t="s">
        <v>17</v>
      </c>
      <c r="B15" s="5">
        <f>SUM(B3:B14)</f>
        <v>-92300529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92300529</v>
      </c>
      <c r="F15" s="5">
        <f t="shared" si="2"/>
        <v>111429725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-12507745</v>
      </c>
      <c r="C3" s="3">
        <v>0</v>
      </c>
      <c r="D3" s="3">
        <v>0</v>
      </c>
      <c r="E3" s="3">
        <v>12507745</v>
      </c>
      <c r="F3" s="3">
        <v>14756932</v>
      </c>
    </row>
    <row r="4" spans="1:6" x14ac:dyDescent="0.3">
      <c r="A4" s="2" t="s">
        <v>6</v>
      </c>
      <c r="B4" s="3">
        <f t="shared" ref="B4:B14" si="0">C4-E4</f>
        <v>-6667182</v>
      </c>
      <c r="C4" s="3">
        <v>0</v>
      </c>
      <c r="D4" s="3">
        <v>0</v>
      </c>
      <c r="E4" s="3">
        <v>6667182</v>
      </c>
      <c r="F4" s="3">
        <v>7936812</v>
      </c>
    </row>
    <row r="5" spans="1:6" x14ac:dyDescent="0.3">
      <c r="A5" s="2" t="s">
        <v>7</v>
      </c>
      <c r="B5" s="3">
        <f t="shared" si="0"/>
        <v>-5808066</v>
      </c>
      <c r="C5" s="3">
        <v>0</v>
      </c>
      <c r="D5" s="3">
        <v>0</v>
      </c>
      <c r="E5" s="3">
        <v>5808066</v>
      </c>
      <c r="F5" s="3">
        <v>7001669</v>
      </c>
    </row>
    <row r="6" spans="1:6" x14ac:dyDescent="0.3">
      <c r="A6" s="2" t="s">
        <v>8</v>
      </c>
      <c r="B6" s="3">
        <f t="shared" si="0"/>
        <v>-5812609</v>
      </c>
      <c r="C6" s="3">
        <v>0</v>
      </c>
      <c r="D6" s="3">
        <v>0</v>
      </c>
      <c r="E6" s="3">
        <v>5812609</v>
      </c>
      <c r="F6" s="3">
        <v>6990873</v>
      </c>
    </row>
    <row r="7" spans="1:6" x14ac:dyDescent="0.3">
      <c r="A7" s="2" t="s">
        <v>9</v>
      </c>
      <c r="B7" s="3">
        <f t="shared" si="0"/>
        <v>-10171046</v>
      </c>
      <c r="C7" s="3">
        <v>0</v>
      </c>
      <c r="D7" s="3">
        <v>0</v>
      </c>
      <c r="E7" s="3">
        <v>10171046</v>
      </c>
      <c r="F7" s="3">
        <v>12067620</v>
      </c>
    </row>
    <row r="8" spans="1:6" x14ac:dyDescent="0.3">
      <c r="A8" s="2" t="s">
        <v>10</v>
      </c>
      <c r="B8" s="3">
        <f t="shared" si="0"/>
        <v>-7044009</v>
      </c>
      <c r="C8" s="3">
        <v>0</v>
      </c>
      <c r="D8" s="3">
        <v>0</v>
      </c>
      <c r="E8" s="3">
        <v>7044009</v>
      </c>
      <c r="F8" s="3">
        <v>8577008</v>
      </c>
    </row>
    <row r="9" spans="1:6" x14ac:dyDescent="0.3">
      <c r="A9" s="2" t="s">
        <v>11</v>
      </c>
      <c r="B9" s="3">
        <f t="shared" si="0"/>
        <v>-6061026</v>
      </c>
      <c r="C9" s="3">
        <v>0</v>
      </c>
      <c r="D9" s="3">
        <v>0</v>
      </c>
      <c r="E9" s="3">
        <v>6061026</v>
      </c>
      <c r="F9" s="3">
        <v>7321543</v>
      </c>
    </row>
    <row r="10" spans="1:6" x14ac:dyDescent="0.3">
      <c r="A10" s="2" t="s">
        <v>12</v>
      </c>
      <c r="B10" s="3">
        <f t="shared" si="0"/>
        <v>-5719219</v>
      </c>
      <c r="C10" s="3">
        <v>0</v>
      </c>
      <c r="D10" s="3">
        <v>0</v>
      </c>
      <c r="E10" s="3">
        <v>5719219</v>
      </c>
      <c r="F10" s="3">
        <v>6918544</v>
      </c>
    </row>
    <row r="11" spans="1:6" x14ac:dyDescent="0.3">
      <c r="A11" s="2" t="s">
        <v>13</v>
      </c>
      <c r="B11" s="3">
        <f t="shared" si="0"/>
        <v>-9288125</v>
      </c>
      <c r="C11" s="3">
        <v>0</v>
      </c>
      <c r="D11" s="3">
        <v>0</v>
      </c>
      <c r="E11" s="3">
        <v>9288125</v>
      </c>
      <c r="F11" s="3">
        <v>10991008</v>
      </c>
    </row>
    <row r="12" spans="1:6" x14ac:dyDescent="0.3">
      <c r="A12" s="2" t="s">
        <v>14</v>
      </c>
      <c r="B12" s="3">
        <f t="shared" si="0"/>
        <v>-4570510</v>
      </c>
      <c r="C12" s="3">
        <v>0</v>
      </c>
      <c r="D12" s="3">
        <v>0</v>
      </c>
      <c r="E12" s="3">
        <v>4570510</v>
      </c>
      <c r="F12" s="3">
        <v>5447289</v>
      </c>
    </row>
    <row r="13" spans="1:6" x14ac:dyDescent="0.3">
      <c r="A13" s="2" t="s">
        <v>15</v>
      </c>
      <c r="B13" s="3">
        <f t="shared" si="0"/>
        <v>-5876068</v>
      </c>
      <c r="C13" s="3">
        <v>0</v>
      </c>
      <c r="D13" s="3">
        <v>0</v>
      </c>
      <c r="E13" s="3">
        <v>5876068</v>
      </c>
      <c r="F13" s="3">
        <v>7019350</v>
      </c>
    </row>
    <row r="14" spans="1:6" x14ac:dyDescent="0.3">
      <c r="A14" s="2" t="s">
        <v>16</v>
      </c>
      <c r="B14" s="3">
        <f t="shared" si="0"/>
        <v>-3678651</v>
      </c>
      <c r="C14" s="3">
        <v>0</v>
      </c>
      <c r="D14" s="3">
        <v>0</v>
      </c>
      <c r="E14" s="3">
        <v>3678651</v>
      </c>
      <c r="F14" s="3">
        <v>4360303</v>
      </c>
    </row>
    <row r="15" spans="1:6" ht="17.25" thickBot="1" x14ac:dyDescent="0.35">
      <c r="A15" s="4" t="s">
        <v>17</v>
      </c>
      <c r="B15" s="5">
        <f>SUM(B3:B14)</f>
        <v>-83204256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83204256</v>
      </c>
      <c r="F15" s="5">
        <f t="shared" si="2"/>
        <v>99388951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-11661321</v>
      </c>
      <c r="C3" s="3">
        <v>0</v>
      </c>
      <c r="D3" s="3">
        <v>0</v>
      </c>
      <c r="E3" s="3">
        <v>11661321</v>
      </c>
      <c r="F3" s="3">
        <v>13862178</v>
      </c>
    </row>
    <row r="4" spans="1:6" x14ac:dyDescent="0.3">
      <c r="A4" s="2" t="s">
        <v>6</v>
      </c>
      <c r="B4" s="3">
        <f t="shared" ref="B4:B14" si="0">C4-E4</f>
        <v>-7121130</v>
      </c>
      <c r="C4" s="3">
        <v>0</v>
      </c>
      <c r="D4" s="3">
        <v>0</v>
      </c>
      <c r="E4" s="3">
        <v>7121130</v>
      </c>
      <c r="F4" s="3">
        <v>8934512</v>
      </c>
    </row>
    <row r="5" spans="1:6" x14ac:dyDescent="0.3">
      <c r="A5" s="2" t="s">
        <v>7</v>
      </c>
      <c r="B5" s="3">
        <f t="shared" si="0"/>
        <v>-5008893</v>
      </c>
      <c r="C5" s="3">
        <v>0</v>
      </c>
      <c r="D5" s="3">
        <v>0</v>
      </c>
      <c r="E5" s="3">
        <v>5008893</v>
      </c>
      <c r="F5" s="3">
        <v>6004680</v>
      </c>
    </row>
    <row r="6" spans="1:6" x14ac:dyDescent="0.3">
      <c r="A6" s="2" t="s">
        <v>8</v>
      </c>
      <c r="B6" s="3">
        <f t="shared" si="0"/>
        <v>-7342900</v>
      </c>
      <c r="C6" s="3">
        <v>0</v>
      </c>
      <c r="D6" s="3">
        <v>0</v>
      </c>
      <c r="E6" s="3">
        <v>7342900</v>
      </c>
      <c r="F6" s="3">
        <v>8881499</v>
      </c>
    </row>
    <row r="7" spans="1:6" x14ac:dyDescent="0.3">
      <c r="A7" s="2" t="s">
        <v>9</v>
      </c>
      <c r="B7" s="3">
        <f t="shared" si="0"/>
        <v>-6765899</v>
      </c>
      <c r="C7" s="3">
        <v>0</v>
      </c>
      <c r="D7" s="3">
        <v>0</v>
      </c>
      <c r="E7" s="3">
        <v>6765899</v>
      </c>
      <c r="F7" s="3">
        <v>8817938</v>
      </c>
    </row>
    <row r="8" spans="1:6" x14ac:dyDescent="0.3">
      <c r="A8" s="2" t="s">
        <v>10</v>
      </c>
      <c r="B8" s="3">
        <f t="shared" si="0"/>
        <v>-7933986</v>
      </c>
      <c r="C8" s="3">
        <v>0</v>
      </c>
      <c r="D8" s="3">
        <v>0</v>
      </c>
      <c r="E8" s="3">
        <v>7933986</v>
      </c>
      <c r="F8" s="3">
        <v>9920795</v>
      </c>
    </row>
    <row r="9" spans="1:6" x14ac:dyDescent="0.3">
      <c r="A9" s="2" t="s">
        <v>11</v>
      </c>
      <c r="B9" s="3">
        <f t="shared" si="0"/>
        <v>-6184077</v>
      </c>
      <c r="C9" s="3">
        <v>0</v>
      </c>
      <c r="D9" s="3">
        <v>0</v>
      </c>
      <c r="E9" s="3">
        <v>6184077</v>
      </c>
      <c r="F9" s="3">
        <v>8483649</v>
      </c>
    </row>
    <row r="10" spans="1:6" x14ac:dyDescent="0.3">
      <c r="A10" s="2" t="s">
        <v>12</v>
      </c>
      <c r="B10" s="3">
        <f t="shared" si="0"/>
        <v>-6997770</v>
      </c>
      <c r="C10" s="3">
        <v>0</v>
      </c>
      <c r="D10" s="3">
        <v>0</v>
      </c>
      <c r="E10" s="3">
        <v>6997770</v>
      </c>
      <c r="F10" s="3">
        <v>9220656</v>
      </c>
    </row>
    <row r="11" spans="1:6" x14ac:dyDescent="0.3">
      <c r="A11" s="2" t="s">
        <v>13</v>
      </c>
      <c r="B11" s="3">
        <f t="shared" si="0"/>
        <v>-6219162</v>
      </c>
      <c r="C11" s="3">
        <v>0</v>
      </c>
      <c r="D11" s="3">
        <v>0</v>
      </c>
      <c r="E11" s="3">
        <v>6219162</v>
      </c>
      <c r="F11" s="3">
        <v>8598217</v>
      </c>
    </row>
    <row r="12" spans="1:6" x14ac:dyDescent="0.3">
      <c r="A12" s="2" t="s">
        <v>14</v>
      </c>
      <c r="B12" s="3">
        <f t="shared" si="0"/>
        <v>-16074439</v>
      </c>
      <c r="C12" s="3">
        <v>0</v>
      </c>
      <c r="D12" s="3">
        <v>0</v>
      </c>
      <c r="E12" s="3">
        <v>16074439</v>
      </c>
      <c r="F12" s="3">
        <v>21720762</v>
      </c>
    </row>
    <row r="13" spans="1:6" x14ac:dyDescent="0.3">
      <c r="A13" s="2" t="s">
        <v>15</v>
      </c>
      <c r="B13" s="3">
        <f t="shared" si="0"/>
        <v>-15877433</v>
      </c>
      <c r="C13" s="3">
        <v>0</v>
      </c>
      <c r="D13" s="3">
        <v>0</v>
      </c>
      <c r="E13" s="3">
        <v>15877433</v>
      </c>
      <c r="F13" s="3">
        <v>21502806</v>
      </c>
    </row>
    <row r="14" spans="1:6" x14ac:dyDescent="0.3">
      <c r="A14" s="2" t="s">
        <v>16</v>
      </c>
      <c r="B14" s="3">
        <f t="shared" si="0"/>
        <v>-5308301</v>
      </c>
      <c r="C14" s="3">
        <v>0</v>
      </c>
      <c r="D14" s="3">
        <v>0</v>
      </c>
      <c r="E14" s="3">
        <v>5308301</v>
      </c>
      <c r="F14" s="3">
        <v>7087800</v>
      </c>
    </row>
    <row r="15" spans="1:6" ht="17.25" thickBot="1" x14ac:dyDescent="0.35">
      <c r="A15" s="4" t="s">
        <v>17</v>
      </c>
      <c r="B15" s="5">
        <f>SUM(B3:B14)</f>
        <v>-102495311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102495311</v>
      </c>
      <c r="F15" s="5">
        <f t="shared" si="2"/>
        <v>133035492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-13873252</v>
      </c>
      <c r="C3" s="3">
        <v>0</v>
      </c>
      <c r="D3" s="3">
        <v>0</v>
      </c>
      <c r="E3" s="3">
        <v>13873252</v>
      </c>
      <c r="F3" s="3">
        <v>18127297</v>
      </c>
    </row>
    <row r="4" spans="1:6" x14ac:dyDescent="0.3">
      <c r="A4" s="2" t="s">
        <v>6</v>
      </c>
      <c r="B4" s="3">
        <f t="shared" ref="B4:B14" si="0">C4-E4</f>
        <v>-5328049</v>
      </c>
      <c r="C4" s="3">
        <v>0</v>
      </c>
      <c r="D4" s="3">
        <v>0</v>
      </c>
      <c r="E4" s="3">
        <v>5328049</v>
      </c>
      <c r="F4" s="3">
        <v>6799084</v>
      </c>
    </row>
    <row r="5" spans="1:6" x14ac:dyDescent="0.3">
      <c r="A5" s="2" t="s">
        <v>7</v>
      </c>
      <c r="B5" s="3">
        <f t="shared" si="0"/>
        <v>-5042021</v>
      </c>
      <c r="C5" s="3">
        <v>0</v>
      </c>
      <c r="D5" s="3">
        <v>0</v>
      </c>
      <c r="E5" s="3">
        <v>5042021</v>
      </c>
      <c r="F5" s="3">
        <v>6490470</v>
      </c>
    </row>
    <row r="6" spans="1:6" x14ac:dyDescent="0.3">
      <c r="A6" s="2" t="s">
        <v>8</v>
      </c>
      <c r="B6" s="3">
        <f t="shared" si="0"/>
        <v>-12988310</v>
      </c>
      <c r="C6" s="3">
        <v>0</v>
      </c>
      <c r="D6" s="3">
        <v>0</v>
      </c>
      <c r="E6" s="3">
        <v>12988310</v>
      </c>
      <c r="F6" s="3">
        <v>15753312</v>
      </c>
    </row>
    <row r="7" spans="1:6" x14ac:dyDescent="0.3">
      <c r="A7" s="2" t="s">
        <v>9</v>
      </c>
      <c r="B7" s="3">
        <f t="shared" si="0"/>
        <v>-8081457</v>
      </c>
      <c r="C7" s="3">
        <v>0</v>
      </c>
      <c r="D7" s="3">
        <v>0</v>
      </c>
      <c r="E7" s="3">
        <v>8081457</v>
      </c>
      <c r="F7" s="3">
        <v>10234416</v>
      </c>
    </row>
    <row r="8" spans="1:6" x14ac:dyDescent="0.3">
      <c r="A8" s="2" t="s">
        <v>10</v>
      </c>
      <c r="B8" s="3">
        <f t="shared" si="0"/>
        <v>-6708319</v>
      </c>
      <c r="C8" s="3">
        <v>0</v>
      </c>
      <c r="D8" s="3">
        <v>0</v>
      </c>
      <c r="E8" s="3">
        <v>6708319</v>
      </c>
      <c r="F8" s="3">
        <v>8562004</v>
      </c>
    </row>
    <row r="9" spans="1:6" x14ac:dyDescent="0.3">
      <c r="A9" s="2" t="s">
        <v>11</v>
      </c>
      <c r="B9" s="3">
        <f t="shared" si="0"/>
        <v>-5467897</v>
      </c>
      <c r="C9" s="3">
        <v>0</v>
      </c>
      <c r="D9" s="3">
        <v>0</v>
      </c>
      <c r="E9" s="3">
        <v>5467897</v>
      </c>
      <c r="F9" s="3">
        <v>6988943</v>
      </c>
    </row>
    <row r="10" spans="1:6" x14ac:dyDescent="0.3">
      <c r="A10" s="2" t="s">
        <v>12</v>
      </c>
      <c r="B10" s="3">
        <f t="shared" si="0"/>
        <v>-8548657</v>
      </c>
      <c r="C10" s="3">
        <v>0</v>
      </c>
      <c r="D10" s="3">
        <v>0</v>
      </c>
      <c r="E10" s="3">
        <v>8548657</v>
      </c>
      <c r="F10" s="3">
        <v>10983338</v>
      </c>
    </row>
    <row r="11" spans="1:6" x14ac:dyDescent="0.3">
      <c r="A11" s="2" t="s">
        <v>13</v>
      </c>
      <c r="B11" s="3">
        <f t="shared" si="0"/>
        <v>-7046728</v>
      </c>
      <c r="C11" s="3">
        <v>0</v>
      </c>
      <c r="D11" s="3">
        <v>0</v>
      </c>
      <c r="E11" s="3">
        <v>7046728</v>
      </c>
      <c r="F11" s="3">
        <v>8509032</v>
      </c>
    </row>
    <row r="12" spans="1:6" x14ac:dyDescent="0.3">
      <c r="A12" s="2" t="s">
        <v>14</v>
      </c>
      <c r="B12" s="3">
        <f t="shared" si="0"/>
        <v>-7595983</v>
      </c>
      <c r="C12" s="3">
        <v>0</v>
      </c>
      <c r="D12" s="3">
        <v>0</v>
      </c>
      <c r="E12" s="3">
        <v>7595983</v>
      </c>
      <c r="F12" s="3">
        <v>8492735</v>
      </c>
    </row>
    <row r="13" spans="1:6" x14ac:dyDescent="0.3">
      <c r="A13" s="2" t="s">
        <v>15</v>
      </c>
      <c r="B13" s="3">
        <f t="shared" si="0"/>
        <v>-4803035</v>
      </c>
      <c r="C13" s="3">
        <v>0</v>
      </c>
      <c r="D13" s="3">
        <v>0</v>
      </c>
      <c r="E13" s="3">
        <v>4803035</v>
      </c>
      <c r="F13" s="3">
        <v>5226628</v>
      </c>
    </row>
    <row r="14" spans="1:6" x14ac:dyDescent="0.3">
      <c r="A14" s="2" t="s">
        <v>16</v>
      </c>
      <c r="B14" s="3">
        <f t="shared" si="0"/>
        <v>-7493352</v>
      </c>
      <c r="C14" s="3">
        <v>0</v>
      </c>
      <c r="D14" s="3">
        <v>0</v>
      </c>
      <c r="E14" s="3">
        <v>7493352</v>
      </c>
      <c r="F14" s="3">
        <v>7941949</v>
      </c>
    </row>
    <row r="15" spans="1:6" ht="17.25" thickBot="1" x14ac:dyDescent="0.35">
      <c r="A15" s="4" t="s">
        <v>17</v>
      </c>
      <c r="B15" s="5">
        <f>SUM(B3:B14)</f>
        <v>-92977060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92977060</v>
      </c>
      <c r="F15" s="5">
        <f t="shared" si="2"/>
        <v>114109208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-9279564</v>
      </c>
      <c r="C3" s="3">
        <v>0</v>
      </c>
      <c r="D3" s="3">
        <v>0</v>
      </c>
      <c r="E3" s="3">
        <v>9279564</v>
      </c>
      <c r="F3" s="3">
        <v>9431921</v>
      </c>
    </row>
    <row r="4" spans="1:6" x14ac:dyDescent="0.3">
      <c r="A4" s="2" t="s">
        <v>6</v>
      </c>
      <c r="B4" s="3">
        <f t="shared" ref="B4:B14" si="0">C4-E4</f>
        <v>-15570448</v>
      </c>
      <c r="C4" s="3">
        <v>0</v>
      </c>
      <c r="D4" s="3">
        <v>0</v>
      </c>
      <c r="E4" s="3">
        <v>15570448</v>
      </c>
      <c r="F4" s="3">
        <v>13939063</v>
      </c>
    </row>
    <row r="5" spans="1:6" x14ac:dyDescent="0.3">
      <c r="A5" s="2" t="s">
        <v>7</v>
      </c>
      <c r="B5" s="3">
        <f t="shared" si="0"/>
        <v>-9809236</v>
      </c>
      <c r="C5" s="3">
        <v>0</v>
      </c>
      <c r="D5" s="3">
        <v>0</v>
      </c>
      <c r="E5" s="3">
        <v>9809236</v>
      </c>
      <c r="F5" s="3">
        <v>9121212</v>
      </c>
    </row>
    <row r="6" spans="1:6" x14ac:dyDescent="0.3">
      <c r="A6" s="2" t="s">
        <v>8</v>
      </c>
      <c r="B6" s="3">
        <f t="shared" si="0"/>
        <v>-18236859</v>
      </c>
      <c r="C6" s="3">
        <v>0</v>
      </c>
      <c r="D6" s="3">
        <v>0</v>
      </c>
      <c r="E6" s="3">
        <v>18236859</v>
      </c>
      <c r="F6" s="3">
        <v>13979440</v>
      </c>
    </row>
    <row r="7" spans="1:6" x14ac:dyDescent="0.3">
      <c r="A7" s="2" t="s">
        <v>9</v>
      </c>
      <c r="B7" s="3">
        <f t="shared" si="0"/>
        <v>-16171896</v>
      </c>
      <c r="C7" s="3">
        <v>0</v>
      </c>
      <c r="D7" s="3">
        <v>0</v>
      </c>
      <c r="E7" s="3">
        <v>16171896</v>
      </c>
      <c r="F7" s="3">
        <v>13281684</v>
      </c>
    </row>
    <row r="8" spans="1:6" x14ac:dyDescent="0.3">
      <c r="A8" s="2" t="s">
        <v>10</v>
      </c>
      <c r="B8" s="3">
        <f t="shared" si="0"/>
        <v>-19426459</v>
      </c>
      <c r="C8" s="3">
        <v>0</v>
      </c>
      <c r="D8" s="3">
        <v>0</v>
      </c>
      <c r="E8" s="3">
        <v>19426459</v>
      </c>
      <c r="F8" s="3">
        <v>13641112</v>
      </c>
    </row>
    <row r="9" spans="1:6" x14ac:dyDescent="0.3">
      <c r="A9" s="2" t="s">
        <v>11</v>
      </c>
      <c r="B9" s="3">
        <f t="shared" si="0"/>
        <v>-14402541</v>
      </c>
      <c r="C9" s="3">
        <v>0</v>
      </c>
      <c r="D9" s="3">
        <v>0</v>
      </c>
      <c r="E9" s="3">
        <v>14402541</v>
      </c>
      <c r="F9" s="3">
        <v>9716963</v>
      </c>
    </row>
    <row r="10" spans="1:6" x14ac:dyDescent="0.3">
      <c r="A10" s="2" t="s">
        <v>12</v>
      </c>
      <c r="B10" s="3">
        <f t="shared" si="0"/>
        <v>-29325222</v>
      </c>
      <c r="C10" s="3">
        <v>0</v>
      </c>
      <c r="D10" s="3">
        <v>0</v>
      </c>
      <c r="E10" s="3">
        <v>29325222</v>
      </c>
      <c r="F10" s="3">
        <v>18465051</v>
      </c>
    </row>
    <row r="11" spans="1:6" x14ac:dyDescent="0.3">
      <c r="A11" s="2" t="s">
        <v>13</v>
      </c>
      <c r="B11" s="3">
        <f t="shared" si="0"/>
        <v>-22341536</v>
      </c>
      <c r="C11" s="3">
        <v>0</v>
      </c>
      <c r="D11" s="3">
        <v>0</v>
      </c>
      <c r="E11" s="3">
        <v>22341536</v>
      </c>
      <c r="F11" s="3">
        <v>15000779</v>
      </c>
    </row>
    <row r="12" spans="1:6" x14ac:dyDescent="0.3">
      <c r="A12" s="2" t="s">
        <v>14</v>
      </c>
      <c r="B12" s="3">
        <f t="shared" si="0"/>
        <v>-8788832</v>
      </c>
      <c r="C12" s="3">
        <v>0</v>
      </c>
      <c r="D12" s="3">
        <v>0</v>
      </c>
      <c r="E12" s="3">
        <v>8788832</v>
      </c>
      <c r="F12" s="3">
        <v>5302092</v>
      </c>
    </row>
    <row r="13" spans="1:6" x14ac:dyDescent="0.3">
      <c r="A13" s="2" t="s">
        <v>15</v>
      </c>
      <c r="B13" s="3">
        <f t="shared" si="0"/>
        <v>-21822594</v>
      </c>
      <c r="C13" s="3">
        <v>0</v>
      </c>
      <c r="D13" s="3">
        <v>0</v>
      </c>
      <c r="E13" s="3">
        <v>21822594</v>
      </c>
      <c r="F13" s="3">
        <v>14267792</v>
      </c>
    </row>
    <row r="14" spans="1:6" x14ac:dyDescent="0.3">
      <c r="A14" s="2" t="s">
        <v>16</v>
      </c>
      <c r="B14" s="3">
        <f t="shared" si="0"/>
        <v>-12109897</v>
      </c>
      <c r="C14" s="3">
        <v>0</v>
      </c>
      <c r="D14" s="3">
        <v>0</v>
      </c>
      <c r="E14" s="3">
        <v>12109897</v>
      </c>
      <c r="F14" s="3">
        <v>8449223</v>
      </c>
    </row>
    <row r="15" spans="1:6" ht="17.25" thickBot="1" x14ac:dyDescent="0.35">
      <c r="A15" s="4" t="s">
        <v>17</v>
      </c>
      <c r="B15" s="5">
        <f>SUM(B3:B14)</f>
        <v>-197285084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197285084</v>
      </c>
      <c r="F15" s="5">
        <f t="shared" si="2"/>
        <v>144596332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-8389080</v>
      </c>
      <c r="C3" s="3">
        <v>0</v>
      </c>
      <c r="D3" s="3">
        <v>0</v>
      </c>
      <c r="E3" s="3">
        <v>8389080</v>
      </c>
      <c r="F3" s="3">
        <v>5805386</v>
      </c>
    </row>
    <row r="4" spans="1:6" x14ac:dyDescent="0.3">
      <c r="A4" s="2" t="s">
        <v>6</v>
      </c>
      <c r="B4" s="3">
        <f t="shared" ref="B4:B14" si="0">C4-E4</f>
        <v>-437052</v>
      </c>
      <c r="C4" s="3">
        <v>0</v>
      </c>
      <c r="D4" s="3">
        <v>0</v>
      </c>
      <c r="E4" s="3">
        <v>437052</v>
      </c>
      <c r="F4" s="3">
        <v>199008</v>
      </c>
    </row>
    <row r="5" spans="1:6" x14ac:dyDescent="0.3">
      <c r="A5" s="2" t="s">
        <v>7</v>
      </c>
      <c r="B5" s="3">
        <f t="shared" si="0"/>
        <v>-25328542</v>
      </c>
      <c r="C5" s="3">
        <v>0</v>
      </c>
      <c r="D5" s="3">
        <v>0</v>
      </c>
      <c r="E5" s="3">
        <v>25328542</v>
      </c>
      <c r="F5" s="3">
        <v>16426165</v>
      </c>
    </row>
    <row r="6" spans="1:6" x14ac:dyDescent="0.3">
      <c r="A6" s="2" t="s">
        <v>8</v>
      </c>
      <c r="B6" s="3">
        <f t="shared" si="0"/>
        <v>-17681625</v>
      </c>
      <c r="C6" s="3">
        <v>0</v>
      </c>
      <c r="D6" s="3">
        <v>0</v>
      </c>
      <c r="E6" s="3">
        <v>17681625</v>
      </c>
      <c r="F6" s="3">
        <v>11220759</v>
      </c>
    </row>
    <row r="7" spans="1:6" x14ac:dyDescent="0.3">
      <c r="A7" s="2" t="s">
        <v>9</v>
      </c>
      <c r="B7" s="3">
        <f t="shared" si="0"/>
        <v>-14451104</v>
      </c>
      <c r="C7" s="3">
        <v>0</v>
      </c>
      <c r="D7" s="3">
        <v>0</v>
      </c>
      <c r="E7" s="3">
        <v>14451104</v>
      </c>
      <c r="F7" s="3">
        <v>8764041</v>
      </c>
    </row>
    <row r="8" spans="1:6" x14ac:dyDescent="0.3">
      <c r="A8" s="2" t="s">
        <v>10</v>
      </c>
      <c r="B8" s="3">
        <f t="shared" si="0"/>
        <v>-9493121</v>
      </c>
      <c r="C8" s="3">
        <v>0</v>
      </c>
      <c r="D8" s="3">
        <v>0</v>
      </c>
      <c r="E8" s="3">
        <v>9493121</v>
      </c>
      <c r="F8" s="3">
        <v>5650200</v>
      </c>
    </row>
    <row r="9" spans="1:6" x14ac:dyDescent="0.3">
      <c r="A9" s="2" t="s">
        <v>11</v>
      </c>
      <c r="B9" s="3">
        <f t="shared" si="0"/>
        <v>-17759080</v>
      </c>
      <c r="C9" s="3">
        <v>0</v>
      </c>
      <c r="D9" s="3">
        <v>0</v>
      </c>
      <c r="E9" s="3">
        <v>17759080</v>
      </c>
      <c r="F9" s="3">
        <v>9446769</v>
      </c>
    </row>
    <row r="10" spans="1:6" x14ac:dyDescent="0.3">
      <c r="A10" s="2" t="s">
        <v>12</v>
      </c>
      <c r="B10" s="3">
        <f t="shared" si="0"/>
        <v>-26640475</v>
      </c>
      <c r="C10" s="3">
        <v>0</v>
      </c>
      <c r="D10" s="3">
        <v>0</v>
      </c>
      <c r="E10" s="3">
        <v>26640475</v>
      </c>
      <c r="F10" s="3">
        <v>13593338</v>
      </c>
    </row>
    <row r="11" spans="1:6" x14ac:dyDescent="0.3">
      <c r="A11" s="2" t="s">
        <v>13</v>
      </c>
      <c r="B11" s="3">
        <f t="shared" si="0"/>
        <v>-17044417</v>
      </c>
      <c r="C11" s="3">
        <v>0</v>
      </c>
      <c r="D11" s="3">
        <v>0</v>
      </c>
      <c r="E11" s="3">
        <v>17044417</v>
      </c>
      <c r="F11" s="3">
        <v>9240814</v>
      </c>
    </row>
    <row r="12" spans="1:6" x14ac:dyDescent="0.3">
      <c r="A12" s="2" t="s">
        <v>14</v>
      </c>
      <c r="B12" s="3">
        <f t="shared" si="0"/>
        <v>-24598320</v>
      </c>
      <c r="C12" s="3">
        <v>0</v>
      </c>
      <c r="D12" s="3">
        <v>0</v>
      </c>
      <c r="E12" s="3">
        <v>24598320</v>
      </c>
      <c r="F12" s="3">
        <v>14428504</v>
      </c>
    </row>
    <row r="13" spans="1:6" x14ac:dyDescent="0.3">
      <c r="A13" s="2" t="s">
        <v>15</v>
      </c>
      <c r="B13" s="3">
        <f t="shared" si="0"/>
        <v>-19661547</v>
      </c>
      <c r="C13" s="3">
        <v>0</v>
      </c>
      <c r="D13" s="3">
        <v>0</v>
      </c>
      <c r="E13" s="3">
        <v>19661547</v>
      </c>
      <c r="F13" s="3">
        <v>11605667</v>
      </c>
    </row>
    <row r="14" spans="1:6" x14ac:dyDescent="0.3">
      <c r="A14" s="2" t="s">
        <v>16</v>
      </c>
      <c r="B14" s="3">
        <f t="shared" si="0"/>
        <v>-25033334</v>
      </c>
      <c r="C14" s="3">
        <v>0</v>
      </c>
      <c r="D14" s="3">
        <v>0</v>
      </c>
      <c r="E14" s="3">
        <v>25033334</v>
      </c>
      <c r="F14" s="3">
        <v>14031791</v>
      </c>
    </row>
    <row r="15" spans="1:6" ht="17.25" thickBot="1" x14ac:dyDescent="0.35">
      <c r="A15" s="4" t="s">
        <v>17</v>
      </c>
      <c r="B15" s="5">
        <f>SUM(B3:B14)</f>
        <v>-206517697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206517697</v>
      </c>
      <c r="F15" s="5">
        <f t="shared" si="2"/>
        <v>120412442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-5240427</v>
      </c>
      <c r="C3" s="3">
        <v>0</v>
      </c>
      <c r="D3" s="3">
        <v>0</v>
      </c>
      <c r="E3" s="3">
        <v>5240427</v>
      </c>
      <c r="F3" s="3">
        <v>3017865</v>
      </c>
    </row>
    <row r="4" spans="1:6" x14ac:dyDescent="0.3">
      <c r="A4" s="2" t="s">
        <v>6</v>
      </c>
      <c r="B4" s="3">
        <f t="shared" ref="B4:B14" si="0">C4-E4</f>
        <v>-8384512</v>
      </c>
      <c r="C4" s="3">
        <v>0</v>
      </c>
      <c r="D4" s="3">
        <v>0</v>
      </c>
      <c r="E4" s="3">
        <v>8384512</v>
      </c>
      <c r="F4" s="3">
        <v>4896226</v>
      </c>
    </row>
    <row r="5" spans="1:6" x14ac:dyDescent="0.3">
      <c r="A5" s="2" t="s">
        <v>7</v>
      </c>
      <c r="B5" s="3">
        <f t="shared" si="0"/>
        <v>-10733249</v>
      </c>
      <c r="C5" s="3">
        <v>0</v>
      </c>
      <c r="D5" s="3">
        <v>0</v>
      </c>
      <c r="E5" s="3">
        <v>10733249</v>
      </c>
      <c r="F5" s="3">
        <v>6004085</v>
      </c>
    </row>
    <row r="6" spans="1:6" x14ac:dyDescent="0.3">
      <c r="A6" s="2" t="s">
        <v>8</v>
      </c>
      <c r="B6" s="3">
        <f t="shared" si="0"/>
        <v>-4452498</v>
      </c>
      <c r="C6" s="3">
        <v>0</v>
      </c>
      <c r="D6" s="3">
        <v>0</v>
      </c>
      <c r="E6" s="3">
        <v>4452498</v>
      </c>
      <c r="F6" s="3">
        <v>2997282</v>
      </c>
    </row>
    <row r="7" spans="1:6" x14ac:dyDescent="0.3">
      <c r="A7" s="2" t="s">
        <v>9</v>
      </c>
      <c r="B7" s="3">
        <f t="shared" si="0"/>
        <v>-14663593</v>
      </c>
      <c r="C7" s="3">
        <v>0</v>
      </c>
      <c r="D7" s="3">
        <v>0</v>
      </c>
      <c r="E7" s="3">
        <v>14663593</v>
      </c>
      <c r="F7" s="3">
        <v>10580795</v>
      </c>
    </row>
    <row r="8" spans="1:6" x14ac:dyDescent="0.3">
      <c r="A8" s="2" t="s">
        <v>10</v>
      </c>
      <c r="B8" s="3">
        <f t="shared" si="0"/>
        <v>-10246864</v>
      </c>
      <c r="C8" s="3">
        <v>0</v>
      </c>
      <c r="D8" s="3">
        <v>0</v>
      </c>
      <c r="E8" s="3">
        <v>10246864</v>
      </c>
      <c r="F8" s="3">
        <v>7373134</v>
      </c>
    </row>
    <row r="9" spans="1:6" x14ac:dyDescent="0.3">
      <c r="A9" s="2" t="s">
        <v>11</v>
      </c>
      <c r="B9" s="3">
        <f t="shared" si="0"/>
        <v>-2401513</v>
      </c>
      <c r="C9" s="3">
        <v>0</v>
      </c>
      <c r="D9" s="3">
        <v>0</v>
      </c>
      <c r="E9" s="3">
        <v>2401513</v>
      </c>
      <c r="F9" s="3">
        <v>1829345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-11826025</v>
      </c>
      <c r="C11" s="3">
        <v>0</v>
      </c>
      <c r="D11" s="3">
        <v>0</v>
      </c>
      <c r="E11" s="3">
        <v>11826025</v>
      </c>
      <c r="F11" s="3">
        <v>8094284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-67948681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67948681</v>
      </c>
      <c r="F15" s="5">
        <f t="shared" si="2"/>
        <v>44793016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-47</v>
      </c>
      <c r="C7" s="3">
        <v>0</v>
      </c>
      <c r="D7" s="3">
        <v>0</v>
      </c>
      <c r="E7" s="3">
        <v>47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-213</v>
      </c>
      <c r="C9" s="3">
        <v>0</v>
      </c>
      <c r="D9" s="3">
        <v>0</v>
      </c>
      <c r="E9" s="3">
        <v>213</v>
      </c>
      <c r="F9" s="3">
        <v>1</v>
      </c>
    </row>
    <row r="10" spans="1:6" x14ac:dyDescent="0.3">
      <c r="A10" s="2" t="s">
        <v>12</v>
      </c>
      <c r="B10" s="3">
        <f t="shared" si="0"/>
        <v>-3337605</v>
      </c>
      <c r="C10" s="3">
        <v>0</v>
      </c>
      <c r="D10" s="3">
        <v>0</v>
      </c>
      <c r="E10" s="3">
        <v>3337605</v>
      </c>
      <c r="F10" s="3">
        <v>3009333</v>
      </c>
    </row>
    <row r="11" spans="1:6" x14ac:dyDescent="0.3">
      <c r="A11" s="2" t="s">
        <v>13</v>
      </c>
      <c r="B11" s="3">
        <f t="shared" si="0"/>
        <v>-16178655</v>
      </c>
      <c r="C11" s="3">
        <v>0</v>
      </c>
      <c r="D11" s="3">
        <v>0</v>
      </c>
      <c r="E11" s="3">
        <v>16178655</v>
      </c>
      <c r="F11" s="3">
        <v>15001725</v>
      </c>
    </row>
    <row r="12" spans="1:6" x14ac:dyDescent="0.3">
      <c r="A12" s="2" t="s">
        <v>14</v>
      </c>
      <c r="B12" s="3">
        <f t="shared" si="0"/>
        <v>-6413588</v>
      </c>
      <c r="C12" s="3">
        <v>0</v>
      </c>
      <c r="D12" s="3">
        <v>0</v>
      </c>
      <c r="E12" s="3">
        <v>6413588</v>
      </c>
      <c r="F12" s="3">
        <v>6009006</v>
      </c>
    </row>
    <row r="13" spans="1:6" x14ac:dyDescent="0.3">
      <c r="A13" s="2" t="s">
        <v>15</v>
      </c>
      <c r="B13" s="3">
        <f t="shared" si="0"/>
        <v>-2169500</v>
      </c>
      <c r="C13" s="3">
        <v>0</v>
      </c>
      <c r="D13" s="3">
        <v>0</v>
      </c>
      <c r="E13" s="3">
        <v>2169500</v>
      </c>
      <c r="F13" s="3">
        <v>1900000</v>
      </c>
    </row>
    <row r="14" spans="1:6" x14ac:dyDescent="0.3">
      <c r="A14" s="2" t="s">
        <v>16</v>
      </c>
      <c r="B14" s="3">
        <f t="shared" si="0"/>
        <v>-18986582</v>
      </c>
      <c r="C14" s="3">
        <v>0</v>
      </c>
      <c r="D14" s="3">
        <v>0</v>
      </c>
      <c r="E14" s="3">
        <v>18986582</v>
      </c>
      <c r="F14" s="3">
        <v>17262988</v>
      </c>
    </row>
    <row r="15" spans="1:6" ht="17.25" thickBot="1" x14ac:dyDescent="0.35">
      <c r="A15" s="4" t="s">
        <v>17</v>
      </c>
      <c r="B15" s="5">
        <f>SUM(B3:B14)</f>
        <v>-47086190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47086190</v>
      </c>
      <c r="F15" s="5">
        <f t="shared" si="2"/>
        <v>43183055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-575018</v>
      </c>
      <c r="C3" s="3">
        <v>0</v>
      </c>
      <c r="D3" s="3">
        <v>0</v>
      </c>
      <c r="E3" s="3">
        <v>575018</v>
      </c>
      <c r="F3" s="3">
        <v>500003</v>
      </c>
    </row>
    <row r="4" spans="1:6" x14ac:dyDescent="0.3">
      <c r="A4" s="2" t="s">
        <v>6</v>
      </c>
      <c r="B4" s="3">
        <f t="shared" ref="B4:B14" si="0">C4-E4</f>
        <v>-9306128</v>
      </c>
      <c r="C4" s="3">
        <v>0</v>
      </c>
      <c r="D4" s="3">
        <v>0</v>
      </c>
      <c r="E4" s="3">
        <v>9306128</v>
      </c>
      <c r="F4" s="3">
        <v>8390865</v>
      </c>
    </row>
    <row r="5" spans="1:6" x14ac:dyDescent="0.3">
      <c r="A5" s="2" t="s">
        <v>7</v>
      </c>
      <c r="B5" s="3">
        <f t="shared" si="0"/>
        <v>-5940018</v>
      </c>
      <c r="C5" s="3">
        <v>0</v>
      </c>
      <c r="D5" s="3">
        <v>0</v>
      </c>
      <c r="E5" s="3">
        <v>5940018</v>
      </c>
      <c r="F5" s="3">
        <v>5556567</v>
      </c>
    </row>
    <row r="6" spans="1:6" x14ac:dyDescent="0.3">
      <c r="A6" s="2" t="s">
        <v>8</v>
      </c>
      <c r="B6" s="3">
        <f t="shared" si="0"/>
        <v>-38862007</v>
      </c>
      <c r="C6" s="3">
        <v>0</v>
      </c>
      <c r="D6" s="3">
        <v>0</v>
      </c>
      <c r="E6" s="3">
        <v>38862007</v>
      </c>
      <c r="F6" s="3">
        <v>36330287</v>
      </c>
    </row>
    <row r="7" spans="1:6" x14ac:dyDescent="0.3">
      <c r="A7" s="2" t="s">
        <v>9</v>
      </c>
      <c r="B7" s="3">
        <f t="shared" si="0"/>
        <v>-23751419</v>
      </c>
      <c r="C7" s="3">
        <v>0</v>
      </c>
      <c r="D7" s="3">
        <v>0</v>
      </c>
      <c r="E7" s="3">
        <v>23751419</v>
      </c>
      <c r="F7" s="3">
        <v>22202717</v>
      </c>
    </row>
    <row r="8" spans="1:6" x14ac:dyDescent="0.3">
      <c r="A8" s="2" t="s">
        <v>10</v>
      </c>
      <c r="B8" s="3">
        <f t="shared" si="0"/>
        <v>-9620068</v>
      </c>
      <c r="C8" s="3">
        <v>0</v>
      </c>
      <c r="D8" s="3">
        <v>0</v>
      </c>
      <c r="E8" s="3">
        <v>9620068</v>
      </c>
      <c r="F8" s="3">
        <v>8893806</v>
      </c>
    </row>
    <row r="9" spans="1:6" x14ac:dyDescent="0.3">
      <c r="A9" s="2" t="s">
        <v>11</v>
      </c>
      <c r="B9" s="3">
        <f t="shared" si="0"/>
        <v>-5652489</v>
      </c>
      <c r="C9" s="3">
        <v>0</v>
      </c>
      <c r="D9" s="3">
        <v>0</v>
      </c>
      <c r="E9" s="3">
        <v>5652489</v>
      </c>
      <c r="F9" s="3">
        <v>5304990</v>
      </c>
    </row>
    <row r="10" spans="1:6" x14ac:dyDescent="0.3">
      <c r="A10" s="2" t="s">
        <v>12</v>
      </c>
      <c r="B10" s="3">
        <f t="shared" si="0"/>
        <v>-2908699</v>
      </c>
      <c r="C10" s="3">
        <v>0</v>
      </c>
      <c r="D10" s="3">
        <v>0</v>
      </c>
      <c r="E10" s="3">
        <v>2908699</v>
      </c>
      <c r="F10" s="3">
        <v>2697918</v>
      </c>
    </row>
    <row r="11" spans="1:6" x14ac:dyDescent="0.3">
      <c r="A11" s="2" t="s">
        <v>13</v>
      </c>
      <c r="B11" s="3">
        <f t="shared" si="0"/>
        <v>-3967554</v>
      </c>
      <c r="C11" s="3">
        <v>0</v>
      </c>
      <c r="D11" s="3">
        <v>0</v>
      </c>
      <c r="E11" s="3">
        <v>3967554</v>
      </c>
      <c r="F11" s="3">
        <v>3728062</v>
      </c>
    </row>
    <row r="12" spans="1:6" x14ac:dyDescent="0.3">
      <c r="A12" s="2" t="s">
        <v>14</v>
      </c>
      <c r="B12" s="3">
        <f t="shared" si="0"/>
        <v>-11496845</v>
      </c>
      <c r="C12" s="3">
        <v>0</v>
      </c>
      <c r="D12" s="3">
        <v>0</v>
      </c>
      <c r="E12" s="3">
        <v>11496845</v>
      </c>
      <c r="F12" s="3">
        <v>9964782</v>
      </c>
    </row>
    <row r="13" spans="1:6" x14ac:dyDescent="0.3">
      <c r="A13" s="2" t="s">
        <v>15</v>
      </c>
      <c r="B13" s="3">
        <f t="shared" si="0"/>
        <v>-11186868</v>
      </c>
      <c r="C13" s="3">
        <v>0</v>
      </c>
      <c r="D13" s="3">
        <v>0</v>
      </c>
      <c r="E13" s="3">
        <v>11186868</v>
      </c>
      <c r="F13" s="3">
        <v>9609904</v>
      </c>
    </row>
    <row r="14" spans="1:6" x14ac:dyDescent="0.3">
      <c r="A14" s="2" t="s">
        <v>16</v>
      </c>
      <c r="B14" s="3">
        <f t="shared" si="0"/>
        <v>-8005282</v>
      </c>
      <c r="C14" s="3">
        <v>0</v>
      </c>
      <c r="D14" s="3">
        <v>0</v>
      </c>
      <c r="E14" s="3">
        <v>8005282</v>
      </c>
      <c r="F14" s="3">
        <v>6503055</v>
      </c>
    </row>
    <row r="15" spans="1:6" ht="17.25" thickBot="1" x14ac:dyDescent="0.35">
      <c r="A15" s="4" t="s">
        <v>17</v>
      </c>
      <c r="B15" s="5">
        <f>SUM(B3:B14)</f>
        <v>-131272395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131272395</v>
      </c>
      <c r="F15" s="5">
        <f t="shared" si="2"/>
        <v>119682956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-24883318</v>
      </c>
      <c r="C3" s="3">
        <v>0</v>
      </c>
      <c r="D3" s="3">
        <v>0</v>
      </c>
      <c r="E3" s="3">
        <v>24883318</v>
      </c>
      <c r="F3" s="3">
        <v>21322235</v>
      </c>
    </row>
    <row r="4" spans="1:6" x14ac:dyDescent="0.3">
      <c r="A4" s="2" t="s">
        <v>6</v>
      </c>
      <c r="B4" s="3">
        <f t="shared" ref="B4:B14" si="0">C4-E4</f>
        <v>-12338744</v>
      </c>
      <c r="C4" s="3">
        <v>0</v>
      </c>
      <c r="D4" s="3">
        <v>0</v>
      </c>
      <c r="E4" s="3">
        <v>12338744</v>
      </c>
      <c r="F4" s="3">
        <v>10778651</v>
      </c>
    </row>
    <row r="5" spans="1:6" x14ac:dyDescent="0.3">
      <c r="A5" s="2" t="s">
        <v>7</v>
      </c>
      <c r="B5" s="3">
        <f t="shared" si="0"/>
        <v>-15130604</v>
      </c>
      <c r="C5" s="3">
        <v>0</v>
      </c>
      <c r="D5" s="3">
        <v>0</v>
      </c>
      <c r="E5" s="3">
        <v>15130604</v>
      </c>
      <c r="F5" s="3">
        <v>13068756</v>
      </c>
    </row>
    <row r="6" spans="1:6" x14ac:dyDescent="0.3">
      <c r="A6" s="2" t="s">
        <v>8</v>
      </c>
      <c r="B6" s="3">
        <f t="shared" si="0"/>
        <v>-2366534</v>
      </c>
      <c r="C6" s="3">
        <v>0</v>
      </c>
      <c r="D6" s="3">
        <v>0</v>
      </c>
      <c r="E6" s="3">
        <v>2366534</v>
      </c>
      <c r="F6" s="3">
        <v>1957632</v>
      </c>
    </row>
    <row r="7" spans="1:6" x14ac:dyDescent="0.3">
      <c r="A7" s="2" t="s">
        <v>9</v>
      </c>
      <c r="B7" s="3">
        <f t="shared" si="0"/>
        <v>-491250</v>
      </c>
      <c r="C7" s="3">
        <v>0</v>
      </c>
      <c r="D7" s="3">
        <v>0</v>
      </c>
      <c r="E7" s="3">
        <v>491250</v>
      </c>
      <c r="F7" s="3">
        <v>396563</v>
      </c>
    </row>
    <row r="8" spans="1:6" x14ac:dyDescent="0.3">
      <c r="A8" s="2" t="s">
        <v>10</v>
      </c>
      <c r="B8" s="3">
        <f t="shared" si="0"/>
        <v>-3703850</v>
      </c>
      <c r="C8" s="3">
        <v>0</v>
      </c>
      <c r="D8" s="3">
        <v>0</v>
      </c>
      <c r="E8" s="3">
        <v>3703850</v>
      </c>
      <c r="F8" s="3">
        <v>3163050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-58914300</v>
      </c>
      <c r="C15" s="5">
        <f t="shared" ref="C15:F15" si="1">SUM(C3:C14)</f>
        <v>0</v>
      </c>
      <c r="D15" s="5">
        <f t="shared" si="1"/>
        <v>0</v>
      </c>
      <c r="E15" s="5">
        <f t="shared" si="1"/>
        <v>58914300</v>
      </c>
      <c r="F15" s="5">
        <f t="shared" si="1"/>
        <v>50686887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2026-09-03T11:10:00Z</dcterms:modified>
</cp:coreProperties>
</file>