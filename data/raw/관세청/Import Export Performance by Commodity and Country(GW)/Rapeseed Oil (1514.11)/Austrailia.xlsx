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8800" windowHeight="11640" firstSheet="3" activeTab="16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1" l="1"/>
  <c r="B15" i="10"/>
  <c r="B15" i="16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<sst xmlns="http://schemas.openxmlformats.org/spreadsheetml/2006/main" count="306" uniqueCount="36">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</sst>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-1065960</v>
      </c>
      <c r="C3" s="3">
        <v>0</v>
      </c>
      <c r="D3" s="3">
        <v>0</v>
      </c>
      <c r="E3" s="3">
        <v>1065960</v>
      </c>
      <c r="F3" s="3">
        <v>1109969</v>
      </c>
    </row>
    <row r="4" spans="1:6" x14ac:dyDescent="0.3">
      <c r="A4" s="2" t="s">
        <v>24</v>
      </c>
      <c r="B4" s="3">
        <f t="shared" ref="B4:B14" si="0">C4-E4</f>
        <v>-1669605</v>
      </c>
      <c r="C4" s="3">
        <v>0</v>
      </c>
      <c r="D4" s="3">
        <v>0</v>
      </c>
      <c r="E4" s="3">
        <v>1669605</v>
      </c>
      <c r="F4" s="3">
        <v>1770889</v>
      </c>
    </row>
    <row r="5" spans="1:6" x14ac:dyDescent="0.3">
      <c r="A5" s="2" t="s">
        <v>25</v>
      </c>
      <c r="B5" s="3">
        <f t="shared" si="0"/>
        <v>-1198244</v>
      </c>
      <c r="C5" s="3">
        <v>0</v>
      </c>
      <c r="D5" s="3">
        <v>0</v>
      </c>
      <c r="E5" s="3">
        <v>1198244</v>
      </c>
      <c r="F5" s="3">
        <v>1284578</v>
      </c>
    </row>
    <row r="6" spans="1:6" x14ac:dyDescent="0.3">
      <c r="A6" s="2" t="s">
        <v>8</v>
      </c>
      <c r="B6" s="3">
        <f t="shared" si="0"/>
        <v>-1498651</v>
      </c>
      <c r="C6" s="3">
        <v>0</v>
      </c>
      <c r="D6" s="3">
        <v>0</v>
      </c>
      <c r="E6" s="3">
        <v>1498651</v>
      </c>
      <c r="F6" s="3">
        <v>1617428</v>
      </c>
    </row>
    <row r="7" spans="1:6" x14ac:dyDescent="0.3">
      <c r="A7" s="2" t="s">
        <v>9</v>
      </c>
      <c r="B7" s="3">
        <f t="shared" si="0"/>
        <v>-1128565</v>
      </c>
      <c r="C7" s="3">
        <v>0</v>
      </c>
      <c r="D7" s="3">
        <v>0</v>
      </c>
      <c r="E7" s="3">
        <v>1128565</v>
      </c>
      <c r="F7" s="3">
        <v>1214730</v>
      </c>
    </row>
    <row r="8" spans="1:6" x14ac:dyDescent="0.3">
      <c r="A8" s="2" t="s">
        <v>10</v>
      </c>
      <c r="B8" s="3">
        <f t="shared" si="0"/>
        <v>-2191524</v>
      </c>
      <c r="C8" s="3">
        <v>0</v>
      </c>
      <c r="D8" s="3">
        <v>0</v>
      </c>
      <c r="E8" s="3">
        <v>2191524</v>
      </c>
      <c r="F8" s="3">
        <v>2329892</v>
      </c>
    </row>
    <row r="9" spans="1:6" x14ac:dyDescent="0.3">
      <c r="A9" s="2" t="s">
        <v>11</v>
      </c>
      <c r="B9" s="3">
        <f t="shared" si="0"/>
        <v>-2077629</v>
      </c>
      <c r="C9" s="3">
        <v>0</v>
      </c>
      <c r="D9" s="3">
        <v>0</v>
      </c>
      <c r="E9" s="3">
        <v>2077629</v>
      </c>
      <c r="F9" s="3">
        <v>2258698</v>
      </c>
    </row>
    <row r="10" spans="1:6" x14ac:dyDescent="0.3">
      <c r="A10" s="2" t="s">
        <v>12</v>
      </c>
      <c r="B10" s="3">
        <f t="shared" si="0"/>
        <v>-3355459</v>
      </c>
      <c r="C10" s="3">
        <v>0</v>
      </c>
      <c r="D10" s="3">
        <v>0</v>
      </c>
      <c r="E10" s="3">
        <v>3355459</v>
      </c>
      <c r="F10" s="3">
        <v>3534293</v>
      </c>
    </row>
    <row r="11" spans="1:6" x14ac:dyDescent="0.3">
      <c r="A11" s="2" t="s">
        <v>13</v>
      </c>
      <c r="B11" s="3">
        <f t="shared" si="0"/>
        <v>-1802579</v>
      </c>
      <c r="C11" s="3">
        <v>0</v>
      </c>
      <c r="D11" s="3">
        <v>0</v>
      </c>
      <c r="E11" s="3">
        <v>1802579</v>
      </c>
      <c r="F11" s="3">
        <v>1966265</v>
      </c>
    </row>
    <row r="12" spans="1:6" x14ac:dyDescent="0.3">
      <c r="A12" s="2" t="s">
        <v>14</v>
      </c>
      <c r="B12" s="3">
        <f t="shared" si="0"/>
        <v>-2380522</v>
      </c>
      <c r="C12" s="3">
        <v>0</v>
      </c>
      <c r="D12" s="3">
        <v>0</v>
      </c>
      <c r="E12" s="3">
        <v>2380522</v>
      </c>
      <c r="F12" s="3">
        <v>2329374</v>
      </c>
    </row>
    <row r="13" spans="1:6" x14ac:dyDescent="0.3">
      <c r="A13" s="2" t="s">
        <v>15</v>
      </c>
      <c r="B13" s="3">
        <f t="shared" si="0"/>
        <v>-564864</v>
      </c>
      <c r="C13" s="3">
        <v>0</v>
      </c>
      <c r="D13" s="3">
        <v>0</v>
      </c>
      <c r="E13" s="3">
        <v>564864</v>
      </c>
      <c r="F13" s="3">
        <v>511000</v>
      </c>
    </row>
    <row r="14" spans="1:6" x14ac:dyDescent="0.3">
      <c r="A14" s="2" t="s">
        <v>16</v>
      </c>
      <c r="B14" s="3">
        <f t="shared" si="0"/>
        <v>-1653705</v>
      </c>
      <c r="C14" s="3">
        <v>0</v>
      </c>
      <c r="D14" s="3">
        <v>0</v>
      </c>
      <c r="E14" s="3">
        <v>1653705</v>
      </c>
      <c r="F14" s="3">
        <v>1334700</v>
      </c>
    </row>
    <row r="15" spans="1:6" ht="17.25" thickBot="1" x14ac:dyDescent="0.35">
      <c r="A15" s="4" t="s">
        <v>26</v>
      </c>
      <c r="B15" s="5">
        <f>SUM(B3:B14)</f>
        <v>-20587307</v>
      </c>
      <c r="C15" s="5">
        <f t="shared" ref="C15:F15" si="1">SUM(C3:C14)</f>
        <v>0</v>
      </c>
      <c r="D15" s="5">
        <f t="shared" si="1"/>
        <v>0</v>
      </c>
      <c r="E15" s="5">
        <f t="shared" si="1"/>
        <v>20587307</v>
      </c>
      <c r="F15" s="5">
        <f t="shared" si="1"/>
        <v>21261816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-980617</v>
      </c>
      <c r="C3" s="3">
        <v>0</v>
      </c>
      <c r="D3" s="3">
        <v>0</v>
      </c>
      <c r="E3" s="3">
        <v>980617</v>
      </c>
      <c r="F3" s="3">
        <v>980554</v>
      </c>
    </row>
    <row r="4" spans="1:6" x14ac:dyDescent="0.3">
      <c r="A4" s="2" t="s">
        <v>33</v>
      </c>
      <c r="B4" s="3">
        <f t="shared" ref="B4:B14" si="0">C4-E4</f>
        <v>-2553995</v>
      </c>
      <c r="C4" s="3">
        <v>0</v>
      </c>
      <c r="D4" s="3">
        <v>0</v>
      </c>
      <c r="E4" s="3">
        <v>2553995</v>
      </c>
      <c r="F4" s="3">
        <v>2071454</v>
      </c>
    </row>
    <row r="5" spans="1:6" x14ac:dyDescent="0.3">
      <c r="A5" s="2" t="s">
        <v>25</v>
      </c>
      <c r="B5" s="3">
        <f t="shared" si="0"/>
        <v>-5171358</v>
      </c>
      <c r="C5" s="3">
        <v>0</v>
      </c>
      <c r="D5" s="3">
        <v>0</v>
      </c>
      <c r="E5" s="3">
        <v>5171358</v>
      </c>
      <c r="F5" s="3">
        <v>3940723</v>
      </c>
    </row>
    <row r="6" spans="1:6" x14ac:dyDescent="0.3">
      <c r="A6" s="2" t="s">
        <v>8</v>
      </c>
      <c r="B6" s="3">
        <f t="shared" si="0"/>
        <v>-6516760</v>
      </c>
      <c r="C6" s="3">
        <v>0</v>
      </c>
      <c r="D6" s="3">
        <v>0</v>
      </c>
      <c r="E6" s="3">
        <v>6516760</v>
      </c>
      <c r="F6" s="3">
        <v>4943963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-7452170</v>
      </c>
      <c r="C8" s="3">
        <v>0</v>
      </c>
      <c r="D8" s="3">
        <v>0</v>
      </c>
      <c r="E8" s="3">
        <v>7452170</v>
      </c>
      <c r="F8" s="3">
        <v>5789087</v>
      </c>
    </row>
    <row r="9" spans="1:6" x14ac:dyDescent="0.3">
      <c r="A9" s="2" t="s">
        <v>11</v>
      </c>
      <c r="B9" s="3">
        <f t="shared" si="0"/>
        <v>-2057332</v>
      </c>
      <c r="C9" s="3">
        <v>0</v>
      </c>
      <c r="D9" s="3">
        <v>0</v>
      </c>
      <c r="E9" s="3">
        <v>2057332</v>
      </c>
      <c r="F9" s="3">
        <v>1516449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-3466750</v>
      </c>
      <c r="C11" s="3">
        <v>0</v>
      </c>
      <c r="D11" s="3">
        <v>0</v>
      </c>
      <c r="E11" s="3">
        <v>3466750</v>
      </c>
      <c r="F11" s="3">
        <v>2686513</v>
      </c>
    </row>
    <row r="12" spans="1:6" x14ac:dyDescent="0.3">
      <c r="A12" s="2" t="s">
        <v>14</v>
      </c>
      <c r="B12" s="3">
        <f t="shared" si="0"/>
        <v>-1928058</v>
      </c>
      <c r="C12" s="3">
        <v>0</v>
      </c>
      <c r="D12" s="3">
        <v>0</v>
      </c>
      <c r="E12" s="3">
        <v>1928058</v>
      </c>
      <c r="F12" s="3">
        <v>1516409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-3099251</v>
      </c>
      <c r="C14" s="3">
        <v>0</v>
      </c>
      <c r="D14" s="3">
        <v>0</v>
      </c>
      <c r="E14" s="3">
        <v>3099251</v>
      </c>
      <c r="F14" s="3">
        <v>2446911</v>
      </c>
    </row>
    <row r="15" spans="1:6" ht="17.25" thickBot="1" x14ac:dyDescent="0.35">
      <c r="A15" s="4" t="s">
        <v>34</v>
      </c>
      <c r="B15" s="5">
        <f>SUM(B3:B14)</f>
        <v>-33226291</v>
      </c>
      <c r="C15" s="5">
        <f t="shared" ref="C15:F15" si="1">SUM(C3:C14)</f>
        <v>0</v>
      </c>
      <c r="D15" s="5">
        <f t="shared" si="1"/>
        <v>0</v>
      </c>
      <c r="E15" s="5">
        <f t="shared" si="1"/>
        <v>33226291</v>
      </c>
      <c r="F15" s="5">
        <f t="shared" si="1"/>
        <v>25892063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-2950942</v>
      </c>
      <c r="C3" s="3">
        <v>0</v>
      </c>
      <c r="D3" s="3">
        <v>0</v>
      </c>
      <c r="E3" s="3">
        <v>2950942</v>
      </c>
      <c r="F3" s="3">
        <v>2411812</v>
      </c>
    </row>
    <row r="4" spans="1:6" x14ac:dyDescent="0.3">
      <c r="A4" s="2" t="s">
        <v>24</v>
      </c>
      <c r="B4" s="3">
        <f t="shared" ref="B4:B14" si="0">C4-E4</f>
        <v>-3201443</v>
      </c>
      <c r="C4" s="3">
        <v>0</v>
      </c>
      <c r="D4" s="3">
        <v>0</v>
      </c>
      <c r="E4" s="3">
        <v>3201443</v>
      </c>
      <c r="F4" s="3">
        <v>2578463</v>
      </c>
    </row>
    <row r="5" spans="1:6" x14ac:dyDescent="0.3">
      <c r="A5" s="2" t="s">
        <v>25</v>
      </c>
      <c r="B5" s="3">
        <f t="shared" si="0"/>
        <v>-3153763</v>
      </c>
      <c r="C5" s="3">
        <v>0</v>
      </c>
      <c r="D5" s="3">
        <v>0</v>
      </c>
      <c r="E5" s="3">
        <v>3153763</v>
      </c>
      <c r="F5" s="3">
        <v>2569345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-3149133</v>
      </c>
      <c r="C7" s="3">
        <v>0</v>
      </c>
      <c r="D7" s="3">
        <v>0</v>
      </c>
      <c r="E7" s="3">
        <v>3149133</v>
      </c>
      <c r="F7" s="3">
        <v>2458748</v>
      </c>
    </row>
    <row r="8" spans="1:6" x14ac:dyDescent="0.3">
      <c r="A8" s="2" t="s">
        <v>10</v>
      </c>
      <c r="B8" s="3">
        <f t="shared" si="0"/>
        <v>-5086860</v>
      </c>
      <c r="C8" s="3">
        <v>0</v>
      </c>
      <c r="D8" s="3">
        <v>0</v>
      </c>
      <c r="E8" s="3">
        <v>5086860</v>
      </c>
      <c r="F8" s="3">
        <v>4060577</v>
      </c>
    </row>
    <row r="9" spans="1:6" x14ac:dyDescent="0.3">
      <c r="A9" s="2" t="s">
        <v>11</v>
      </c>
      <c r="B9" s="3">
        <f t="shared" si="0"/>
        <v>-3058533</v>
      </c>
      <c r="C9" s="3">
        <v>0</v>
      </c>
      <c r="D9" s="3">
        <v>0</v>
      </c>
      <c r="E9" s="3">
        <v>3058533</v>
      </c>
      <c r="F9" s="3">
        <v>2247029</v>
      </c>
    </row>
    <row r="10" spans="1:6" x14ac:dyDescent="0.3">
      <c r="A10" s="2" t="s">
        <v>12</v>
      </c>
      <c r="B10" s="3">
        <f t="shared" si="0"/>
        <v>-354729</v>
      </c>
      <c r="C10" s="3">
        <v>0</v>
      </c>
      <c r="D10" s="3">
        <v>0</v>
      </c>
      <c r="E10" s="3">
        <v>354729</v>
      </c>
      <c r="F10" s="3">
        <v>260830</v>
      </c>
    </row>
    <row r="11" spans="1:6" x14ac:dyDescent="0.3">
      <c r="A11" s="2" t="s">
        <v>13</v>
      </c>
      <c r="B11" s="3">
        <f t="shared" si="0"/>
        <v>-2813513</v>
      </c>
      <c r="C11" s="3">
        <v>0</v>
      </c>
      <c r="D11" s="3">
        <v>0</v>
      </c>
      <c r="E11" s="3">
        <v>2813513</v>
      </c>
      <c r="F11" s="3">
        <v>2068766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-2826867</v>
      </c>
      <c r="C13" s="3">
        <v>0</v>
      </c>
      <c r="D13" s="3">
        <v>0</v>
      </c>
      <c r="E13" s="3">
        <v>2826867</v>
      </c>
      <c r="F13" s="3">
        <v>2097465</v>
      </c>
    </row>
    <row r="14" spans="1:6" x14ac:dyDescent="0.3">
      <c r="A14" s="2" t="s">
        <v>16</v>
      </c>
      <c r="B14" s="3">
        <f t="shared" si="0"/>
        <v>-4240275</v>
      </c>
      <c r="C14" s="3">
        <v>0</v>
      </c>
      <c r="D14" s="3">
        <v>0</v>
      </c>
      <c r="E14" s="3">
        <v>4240275</v>
      </c>
      <c r="F14" s="3">
        <v>3243509</v>
      </c>
    </row>
    <row r="15" spans="1:6" ht="17.25" thickBot="1" x14ac:dyDescent="0.35">
      <c r="A15" s="4" t="s">
        <v>26</v>
      </c>
      <c r="B15" s="5">
        <f>SUM(B3:B14)</f>
        <v>-30836058</v>
      </c>
      <c r="C15" s="5">
        <f t="shared" ref="C15:F15" si="1">SUM(C3:C14)</f>
        <v>0</v>
      </c>
      <c r="D15" s="5">
        <f t="shared" si="1"/>
        <v>0</v>
      </c>
      <c r="E15" s="5">
        <f t="shared" si="1"/>
        <v>30836058</v>
      </c>
      <c r="F15" s="5">
        <f t="shared" si="1"/>
        <v>23996544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-449570</v>
      </c>
      <c r="C5" s="3">
        <v>0</v>
      </c>
      <c r="D5" s="3">
        <v>0</v>
      </c>
      <c r="E5" s="3">
        <v>449570</v>
      </c>
      <c r="F5" s="3">
        <v>340680</v>
      </c>
    </row>
    <row r="6" spans="1:6" x14ac:dyDescent="0.3">
      <c r="A6" s="2" t="s">
        <v>8</v>
      </c>
      <c r="B6" s="3">
        <f t="shared" si="0"/>
        <v>-2099928</v>
      </c>
      <c r="C6" s="3">
        <v>0</v>
      </c>
      <c r="D6" s="3">
        <v>0</v>
      </c>
      <c r="E6" s="3">
        <v>2099928</v>
      </c>
      <c r="F6" s="3">
        <v>1646502</v>
      </c>
    </row>
    <row r="7" spans="1:6" x14ac:dyDescent="0.3">
      <c r="A7" s="2" t="s">
        <v>9</v>
      </c>
      <c r="B7" s="3">
        <f t="shared" si="0"/>
        <v>-6635759</v>
      </c>
      <c r="C7" s="3">
        <v>0</v>
      </c>
      <c r="D7" s="3">
        <v>0</v>
      </c>
      <c r="E7" s="3">
        <v>6635759</v>
      </c>
      <c r="F7" s="3">
        <v>5057164</v>
      </c>
    </row>
    <row r="8" spans="1:6" x14ac:dyDescent="0.3">
      <c r="A8" s="2" t="s">
        <v>10</v>
      </c>
      <c r="B8" s="3">
        <f t="shared" si="0"/>
        <v>-6404935</v>
      </c>
      <c r="C8" s="3">
        <v>0</v>
      </c>
      <c r="D8" s="3">
        <v>0</v>
      </c>
      <c r="E8" s="3">
        <v>6404935</v>
      </c>
      <c r="F8" s="3">
        <v>4983735</v>
      </c>
    </row>
    <row r="9" spans="1:6" x14ac:dyDescent="0.3">
      <c r="A9" s="2" t="s">
        <v>11</v>
      </c>
      <c r="B9" s="3">
        <f t="shared" si="0"/>
        <v>-2700299</v>
      </c>
      <c r="C9" s="3">
        <v>0</v>
      </c>
      <c r="D9" s="3">
        <v>0</v>
      </c>
      <c r="E9" s="3">
        <v>2700299</v>
      </c>
      <c r="F9" s="3">
        <v>2089580</v>
      </c>
    </row>
    <row r="10" spans="1:6" x14ac:dyDescent="0.3">
      <c r="A10" s="2" t="s">
        <v>12</v>
      </c>
      <c r="B10" s="3">
        <f t="shared" si="0"/>
        <v>-3418898</v>
      </c>
      <c r="C10" s="3">
        <v>0</v>
      </c>
      <c r="D10" s="3">
        <v>0</v>
      </c>
      <c r="E10" s="3">
        <v>3418898</v>
      </c>
      <c r="F10" s="3">
        <v>2757543</v>
      </c>
    </row>
    <row r="11" spans="1:6" x14ac:dyDescent="0.3">
      <c r="A11" s="2" t="s">
        <v>13</v>
      </c>
      <c r="B11" s="3">
        <f t="shared" si="0"/>
        <v>-4707459</v>
      </c>
      <c r="C11" s="3">
        <v>271</v>
      </c>
      <c r="D11" s="3">
        <v>32</v>
      </c>
      <c r="E11" s="3">
        <v>4707730</v>
      </c>
      <c r="F11" s="3">
        <v>4075082</v>
      </c>
    </row>
    <row r="12" spans="1:6" x14ac:dyDescent="0.3">
      <c r="A12" s="2" t="s">
        <v>14</v>
      </c>
      <c r="B12" s="3">
        <f t="shared" si="0"/>
        <v>-2119712</v>
      </c>
      <c r="C12" s="3">
        <v>0</v>
      </c>
      <c r="D12" s="3">
        <v>0</v>
      </c>
      <c r="E12" s="3">
        <v>2119712</v>
      </c>
      <c r="F12" s="3">
        <v>1704840</v>
      </c>
    </row>
    <row r="13" spans="1:6" x14ac:dyDescent="0.3">
      <c r="A13" s="2" t="s">
        <v>15</v>
      </c>
      <c r="B13" s="3">
        <f t="shared" si="0"/>
        <v>-700276</v>
      </c>
      <c r="C13" s="3">
        <v>0</v>
      </c>
      <c r="D13" s="3">
        <v>0</v>
      </c>
      <c r="E13" s="3">
        <v>700276</v>
      </c>
      <c r="F13" s="3">
        <v>604739</v>
      </c>
    </row>
    <row r="14" spans="1:6" x14ac:dyDescent="0.3">
      <c r="A14" s="2" t="s">
        <v>16</v>
      </c>
      <c r="B14" s="3">
        <f t="shared" si="0"/>
        <v>-2163972</v>
      </c>
      <c r="C14" s="3">
        <v>0</v>
      </c>
      <c r="D14" s="3">
        <v>0</v>
      </c>
      <c r="E14" s="3">
        <v>2163972</v>
      </c>
      <c r="F14" s="3">
        <v>1936755</v>
      </c>
    </row>
    <row r="15" spans="1:6" ht="17.25" thickBot="1" x14ac:dyDescent="0.35">
      <c r="A15" s="4" t="s">
        <v>26</v>
      </c>
      <c r="B15" s="5">
        <f>SUM(B3:B14)</f>
        <v>-31400808</v>
      </c>
      <c r="C15" s="5">
        <f t="shared" ref="C15:F15" si="1">SUM(C3:C14)</f>
        <v>271</v>
      </c>
      <c r="D15" s="5">
        <f t="shared" si="1"/>
        <v>32</v>
      </c>
      <c r="E15" s="5">
        <f t="shared" si="1"/>
        <v>31401079</v>
      </c>
      <c r="F15" s="5">
        <f t="shared" si="1"/>
        <v>25196620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-4548304</v>
      </c>
      <c r="C3" s="3">
        <v>1578</v>
      </c>
      <c r="D3" s="3">
        <v>295</v>
      </c>
      <c r="E3" s="3">
        <v>4549882</v>
      </c>
      <c r="F3" s="3">
        <v>4494280</v>
      </c>
    </row>
    <row r="4" spans="1:6" x14ac:dyDescent="0.3">
      <c r="A4" s="2" t="s">
        <v>24</v>
      </c>
      <c r="B4" s="3">
        <f t="shared" si="0"/>
        <v>-2413170</v>
      </c>
      <c r="C4" s="3">
        <v>0</v>
      </c>
      <c r="D4" s="3">
        <v>0</v>
      </c>
      <c r="E4" s="3">
        <v>2413170</v>
      </c>
      <c r="F4" s="3">
        <v>2371190</v>
      </c>
    </row>
    <row r="5" spans="1:6" x14ac:dyDescent="0.3">
      <c r="A5" s="2" t="s">
        <v>35</v>
      </c>
      <c r="B5" s="3">
        <f t="shared" si="0"/>
        <v>-2092636</v>
      </c>
      <c r="C5" s="3">
        <v>0</v>
      </c>
      <c r="D5" s="3">
        <v>0</v>
      </c>
      <c r="E5" s="3">
        <v>2092636</v>
      </c>
      <c r="F5" s="3">
        <v>2116513</v>
      </c>
    </row>
    <row r="6" spans="1:6" x14ac:dyDescent="0.3">
      <c r="A6" s="2" t="s">
        <v>8</v>
      </c>
      <c r="B6" s="3">
        <f t="shared" si="0"/>
        <v>-6197330</v>
      </c>
      <c r="C6" s="3">
        <v>271</v>
      </c>
      <c r="D6" s="3">
        <v>32</v>
      </c>
      <c r="E6" s="3">
        <v>6197601</v>
      </c>
      <c r="F6" s="3">
        <v>6288614</v>
      </c>
    </row>
    <row r="7" spans="1:6" x14ac:dyDescent="0.3">
      <c r="A7" s="2" t="s">
        <v>9</v>
      </c>
      <c r="B7" s="3">
        <f t="shared" si="0"/>
        <v>-2073841</v>
      </c>
      <c r="C7" s="3">
        <v>226</v>
      </c>
      <c r="D7" s="3">
        <v>32</v>
      </c>
      <c r="E7" s="3">
        <v>2074067</v>
      </c>
      <c r="F7" s="3">
        <v>2030919</v>
      </c>
    </row>
    <row r="8" spans="1:6" x14ac:dyDescent="0.3">
      <c r="A8" s="2" t="s">
        <v>10</v>
      </c>
      <c r="B8" s="3">
        <f t="shared" si="0"/>
        <v>-3327138</v>
      </c>
      <c r="C8" s="3">
        <v>497</v>
      </c>
      <c r="D8" s="3">
        <v>63</v>
      </c>
      <c r="E8" s="3">
        <v>3327635</v>
      </c>
      <c r="F8" s="3">
        <v>3470370</v>
      </c>
    </row>
    <row r="9" spans="1:6" x14ac:dyDescent="0.3">
      <c r="A9" s="2" t="s">
        <v>11</v>
      </c>
      <c r="B9" s="3">
        <f t="shared" si="0"/>
        <v>-4336512</v>
      </c>
      <c r="C9" s="3">
        <v>0</v>
      </c>
      <c r="D9" s="3">
        <v>0</v>
      </c>
      <c r="E9" s="3">
        <v>4336512</v>
      </c>
      <c r="F9" s="3">
        <v>4275688</v>
      </c>
    </row>
    <row r="10" spans="1:6" x14ac:dyDescent="0.3">
      <c r="A10" s="2" t="s">
        <v>12</v>
      </c>
      <c r="B10" s="3">
        <f t="shared" si="0"/>
        <v>-4594533</v>
      </c>
      <c r="C10" s="3">
        <v>0</v>
      </c>
      <c r="D10" s="3">
        <v>0</v>
      </c>
      <c r="E10" s="3">
        <v>4594533</v>
      </c>
      <c r="F10" s="3">
        <v>4653932</v>
      </c>
    </row>
    <row r="11" spans="1:6" x14ac:dyDescent="0.3">
      <c r="A11" s="2" t="s">
        <v>13</v>
      </c>
      <c r="B11" s="3">
        <f t="shared" si="0"/>
        <v>-3727908</v>
      </c>
      <c r="C11" s="3">
        <v>226</v>
      </c>
      <c r="D11" s="3">
        <v>60</v>
      </c>
      <c r="E11" s="3">
        <v>3728134</v>
      </c>
      <c r="F11" s="3">
        <v>3791975</v>
      </c>
    </row>
    <row r="12" spans="1:6" x14ac:dyDescent="0.3">
      <c r="A12" s="2" t="s">
        <v>14</v>
      </c>
      <c r="B12" s="3">
        <f t="shared" si="0"/>
        <v>-3687619</v>
      </c>
      <c r="C12" s="3">
        <v>0</v>
      </c>
      <c r="D12" s="3">
        <v>0</v>
      </c>
      <c r="E12" s="3">
        <v>3687619</v>
      </c>
      <c r="F12" s="3">
        <v>3795468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-38874</v>
      </c>
      <c r="C14" s="3">
        <v>226</v>
      </c>
      <c r="D14" s="3">
        <v>56</v>
      </c>
      <c r="E14" s="3">
        <v>39100</v>
      </c>
      <c r="F14" s="3">
        <v>43200</v>
      </c>
    </row>
    <row r="15" spans="1:6" ht="17.25" thickBot="1" x14ac:dyDescent="0.35">
      <c r="A15" s="4" t="s">
        <v>26</v>
      </c>
      <c r="B15" s="5">
        <f>SUM(B3:B14)</f>
        <v>-37037865</v>
      </c>
      <c r="C15" s="5">
        <f t="shared" ref="C15:F15" si="1">SUM(C3:C14)</f>
        <v>3024</v>
      </c>
      <c r="D15" s="5">
        <f t="shared" si="1"/>
        <v>538</v>
      </c>
      <c r="E15" s="5">
        <f t="shared" si="1"/>
        <v>37040889</v>
      </c>
      <c r="F15" s="5">
        <f t="shared" si="1"/>
        <v>37332149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-1806030</v>
      </c>
      <c r="C3" s="3">
        <v>0</v>
      </c>
      <c r="D3" s="3">
        <v>0</v>
      </c>
      <c r="E3" s="3">
        <v>1806030</v>
      </c>
      <c r="F3" s="3">
        <v>1898518</v>
      </c>
    </row>
    <row r="4" spans="1:6" x14ac:dyDescent="0.3">
      <c r="A4" s="2" t="s">
        <v>24</v>
      </c>
      <c r="B4" s="3">
        <f t="shared" si="0"/>
        <v>-2071173</v>
      </c>
      <c r="C4" s="3">
        <v>226</v>
      </c>
      <c r="D4" s="3">
        <v>56</v>
      </c>
      <c r="E4" s="3">
        <v>2071399</v>
      </c>
      <c r="F4" s="3">
        <v>2160409</v>
      </c>
    </row>
    <row r="5" spans="1:6" x14ac:dyDescent="0.3">
      <c r="A5" s="2" t="s">
        <v>25</v>
      </c>
      <c r="B5" s="3">
        <f t="shared" si="0"/>
        <v>-66137</v>
      </c>
      <c r="C5" s="3">
        <v>113</v>
      </c>
      <c r="D5" s="3">
        <v>28</v>
      </c>
      <c r="E5" s="3">
        <v>66250</v>
      </c>
      <c r="F5" s="3">
        <v>80280</v>
      </c>
    </row>
    <row r="6" spans="1:6" x14ac:dyDescent="0.3">
      <c r="A6" s="2" t="s">
        <v>8</v>
      </c>
      <c r="B6" s="3">
        <f t="shared" si="0"/>
        <v>-1799477</v>
      </c>
      <c r="C6" s="3">
        <v>339</v>
      </c>
      <c r="D6" s="3">
        <v>90</v>
      </c>
      <c r="E6" s="3">
        <v>1799816</v>
      </c>
      <c r="F6" s="3">
        <v>2046181</v>
      </c>
    </row>
    <row r="7" spans="1:6" x14ac:dyDescent="0.3">
      <c r="A7" s="2" t="s">
        <v>9</v>
      </c>
      <c r="B7" s="3">
        <f t="shared" si="0"/>
        <v>-114112</v>
      </c>
      <c r="C7" s="3">
        <v>0</v>
      </c>
      <c r="D7" s="3">
        <v>0</v>
      </c>
      <c r="E7" s="3">
        <v>114112</v>
      </c>
      <c r="F7" s="3">
        <v>132030</v>
      </c>
    </row>
    <row r="8" spans="1:6" x14ac:dyDescent="0.3">
      <c r="A8" s="2" t="s">
        <v>10</v>
      </c>
      <c r="B8" s="3">
        <f t="shared" si="0"/>
        <v>-36815</v>
      </c>
      <c r="C8" s="3">
        <v>0</v>
      </c>
      <c r="D8" s="3">
        <v>0</v>
      </c>
      <c r="E8" s="3">
        <v>36815</v>
      </c>
      <c r="F8" s="3">
        <v>44090</v>
      </c>
    </row>
    <row r="9" spans="1:6" x14ac:dyDescent="0.3">
      <c r="A9" s="2" t="s">
        <v>11</v>
      </c>
      <c r="B9" s="3">
        <f t="shared" si="0"/>
        <v>283</v>
      </c>
      <c r="C9" s="3">
        <v>283</v>
      </c>
      <c r="D9" s="3">
        <v>84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-1361284</v>
      </c>
      <c r="C10" s="3">
        <v>0</v>
      </c>
      <c r="D10" s="3">
        <v>0</v>
      </c>
      <c r="E10" s="3">
        <v>1361284</v>
      </c>
      <c r="F10" s="3">
        <v>1565606</v>
      </c>
    </row>
    <row r="11" spans="1:6" x14ac:dyDescent="0.3">
      <c r="A11" s="2" t="s">
        <v>13</v>
      </c>
      <c r="B11" s="3">
        <f t="shared" si="0"/>
        <v>-1732085</v>
      </c>
      <c r="C11" s="3">
        <v>0</v>
      </c>
      <c r="D11" s="3">
        <v>0</v>
      </c>
      <c r="E11" s="3">
        <v>1732085</v>
      </c>
      <c r="F11" s="3">
        <v>2076988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-224561</v>
      </c>
      <c r="C13" s="3">
        <v>340</v>
      </c>
      <c r="D13" s="3">
        <v>108</v>
      </c>
      <c r="E13" s="3">
        <v>224901</v>
      </c>
      <c r="F13" s="3">
        <v>290190</v>
      </c>
    </row>
    <row r="14" spans="1:6" x14ac:dyDescent="0.3">
      <c r="A14" s="2" t="s">
        <v>16</v>
      </c>
      <c r="B14" s="3">
        <f t="shared" si="0"/>
        <v>-881816</v>
      </c>
      <c r="C14" s="3">
        <v>0</v>
      </c>
      <c r="D14" s="3">
        <v>0</v>
      </c>
      <c r="E14" s="3">
        <v>881816</v>
      </c>
      <c r="F14" s="3">
        <v>1143190</v>
      </c>
    </row>
    <row r="15" spans="1:6" ht="17.25" thickBot="1" x14ac:dyDescent="0.35">
      <c r="A15" s="4" t="s">
        <v>26</v>
      </c>
      <c r="B15" s="5">
        <f>SUM(B3:B14)</f>
        <v>-10093207</v>
      </c>
      <c r="C15" s="5">
        <f t="shared" ref="C15:F15" si="1">SUM(C3:C14)</f>
        <v>1301</v>
      </c>
      <c r="D15" s="5">
        <f t="shared" si="1"/>
        <v>366</v>
      </c>
      <c r="E15" s="5">
        <f t="shared" si="1"/>
        <v>10094508</v>
      </c>
      <c r="F15" s="5">
        <f t="shared" si="1"/>
        <v>11437482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-491391</v>
      </c>
      <c r="C3" s="3">
        <v>0</v>
      </c>
      <c r="D3" s="3">
        <v>0</v>
      </c>
      <c r="E3" s="3">
        <v>491391</v>
      </c>
      <c r="F3" s="3">
        <v>608720</v>
      </c>
    </row>
    <row r="4" spans="1:6" x14ac:dyDescent="0.3">
      <c r="A4" s="2" t="s">
        <v>24</v>
      </c>
      <c r="B4" s="3">
        <f t="shared" si="0"/>
        <v>-1588993</v>
      </c>
      <c r="C4" s="3">
        <v>0</v>
      </c>
      <c r="D4" s="3">
        <v>0</v>
      </c>
      <c r="E4" s="3">
        <v>1588993</v>
      </c>
      <c r="F4" s="3">
        <v>1956791</v>
      </c>
    </row>
    <row r="5" spans="1:6" x14ac:dyDescent="0.3">
      <c r="A5" s="2" t="s">
        <v>25</v>
      </c>
      <c r="B5" s="3">
        <f t="shared" si="0"/>
        <v>-1377147</v>
      </c>
      <c r="C5" s="3">
        <v>226</v>
      </c>
      <c r="D5" s="3">
        <v>60</v>
      </c>
      <c r="E5" s="3">
        <v>1377373</v>
      </c>
      <c r="F5" s="3">
        <v>1584008</v>
      </c>
    </row>
    <row r="6" spans="1:6" x14ac:dyDescent="0.3">
      <c r="A6" s="2" t="s">
        <v>8</v>
      </c>
      <c r="B6" s="3">
        <f t="shared" si="0"/>
        <v>-120001</v>
      </c>
      <c r="C6" s="3">
        <v>0</v>
      </c>
      <c r="D6" s="3">
        <v>0</v>
      </c>
      <c r="E6" s="3">
        <v>120001</v>
      </c>
      <c r="F6" s="3">
        <v>134530</v>
      </c>
    </row>
    <row r="7" spans="1:6" x14ac:dyDescent="0.3">
      <c r="A7" s="2" t="s">
        <v>9</v>
      </c>
      <c r="B7" s="3">
        <f t="shared" si="0"/>
        <v>-81137</v>
      </c>
      <c r="C7" s="3">
        <v>0</v>
      </c>
      <c r="D7" s="3">
        <v>0</v>
      </c>
      <c r="E7" s="3">
        <v>81137</v>
      </c>
      <c r="F7" s="3">
        <v>90120</v>
      </c>
    </row>
    <row r="8" spans="1:6" x14ac:dyDescent="0.3">
      <c r="A8" s="2" t="s">
        <v>10</v>
      </c>
      <c r="B8" s="3">
        <f t="shared" si="0"/>
        <v>-1380712</v>
      </c>
      <c r="C8" s="3">
        <v>0</v>
      </c>
      <c r="D8" s="3">
        <v>0</v>
      </c>
      <c r="E8" s="3">
        <v>1380712</v>
      </c>
      <c r="F8" s="3">
        <v>1578411</v>
      </c>
    </row>
    <row r="9" spans="1:6" x14ac:dyDescent="0.3">
      <c r="A9" s="2" t="s">
        <v>11</v>
      </c>
      <c r="B9" s="3">
        <f t="shared" si="0"/>
        <v>-82416</v>
      </c>
      <c r="C9" s="3">
        <v>0</v>
      </c>
      <c r="D9" s="3">
        <v>0</v>
      </c>
      <c r="E9" s="3">
        <v>82416</v>
      </c>
      <c r="F9" s="3">
        <v>88101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-14</v>
      </c>
      <c r="C11" s="3">
        <v>0</v>
      </c>
      <c r="D11" s="3">
        <v>0</v>
      </c>
      <c r="E11" s="3">
        <v>14</v>
      </c>
      <c r="F11" s="3">
        <v>1</v>
      </c>
    </row>
    <row r="12" spans="1:6" x14ac:dyDescent="0.3">
      <c r="A12" s="2" t="s">
        <v>14</v>
      </c>
      <c r="B12" s="3">
        <f t="shared" si="0"/>
        <v>-81677</v>
      </c>
      <c r="C12" s="3">
        <v>0</v>
      </c>
      <c r="D12" s="3">
        <v>0</v>
      </c>
      <c r="E12" s="3">
        <v>81677</v>
      </c>
      <c r="F12" s="3">
        <v>87781</v>
      </c>
    </row>
    <row r="13" spans="1:6" x14ac:dyDescent="0.3">
      <c r="A13" s="2" t="s">
        <v>15</v>
      </c>
      <c r="B13" s="3">
        <f t="shared" si="0"/>
        <v>-82585</v>
      </c>
      <c r="C13" s="3">
        <v>0</v>
      </c>
      <c r="D13" s="3">
        <v>0</v>
      </c>
      <c r="E13" s="3">
        <v>82585</v>
      </c>
      <c r="F13" s="3">
        <v>88770</v>
      </c>
    </row>
    <row r="14" spans="1:6" x14ac:dyDescent="0.3">
      <c r="A14" s="2" t="s">
        <v>16</v>
      </c>
      <c r="B14" s="3">
        <f t="shared" si="0"/>
        <v>-1388304</v>
      </c>
      <c r="C14" s="3">
        <v>0</v>
      </c>
      <c r="D14" s="3">
        <v>0</v>
      </c>
      <c r="E14" s="3">
        <v>1388304</v>
      </c>
      <c r="F14" s="3">
        <v>1587249</v>
      </c>
    </row>
    <row r="15" spans="1:6" ht="17.25" thickBot="1" x14ac:dyDescent="0.35">
      <c r="A15" s="4" t="s">
        <v>26</v>
      </c>
      <c r="B15" s="5">
        <f>SUM(B3:B14)</f>
        <v>-6674377</v>
      </c>
      <c r="C15" s="5">
        <f t="shared" ref="C15:F15" si="1">SUM(C3:C14)</f>
        <v>226</v>
      </c>
      <c r="D15" s="5">
        <f t="shared" si="1"/>
        <v>60</v>
      </c>
      <c r="E15" s="5">
        <f t="shared" si="1"/>
        <v>6674603</v>
      </c>
      <c r="F15" s="5">
        <f t="shared" si="1"/>
        <v>7804482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-1464606</v>
      </c>
      <c r="C4" s="3">
        <v>0</v>
      </c>
      <c r="D4" s="3">
        <v>0</v>
      </c>
      <c r="E4" s="3">
        <v>1464606</v>
      </c>
      <c r="F4" s="3">
        <v>1506622</v>
      </c>
    </row>
    <row r="5" spans="1:6" x14ac:dyDescent="0.3">
      <c r="A5" s="2" t="s">
        <v>7</v>
      </c>
      <c r="B5" s="3">
        <f t="shared" si="0"/>
        <v>-85340</v>
      </c>
      <c r="C5" s="3">
        <v>0</v>
      </c>
      <c r="D5" s="3">
        <v>0</v>
      </c>
      <c r="E5" s="3">
        <v>85340</v>
      </c>
      <c r="F5" s="3">
        <v>89800</v>
      </c>
    </row>
    <row r="6" spans="1:6" x14ac:dyDescent="0.3">
      <c r="A6" s="2" t="s">
        <v>8</v>
      </c>
      <c r="B6" s="3">
        <f t="shared" si="0"/>
        <v>-1499605</v>
      </c>
      <c r="C6" s="3">
        <v>0</v>
      </c>
      <c r="D6" s="3">
        <v>0</v>
      </c>
      <c r="E6" s="3">
        <v>1499605</v>
      </c>
      <c r="F6" s="3">
        <v>1552140</v>
      </c>
    </row>
    <row r="7" spans="1:6" x14ac:dyDescent="0.3">
      <c r="A7" s="2" t="s">
        <v>9</v>
      </c>
      <c r="B7" s="3">
        <f t="shared" si="0"/>
        <v>-102442</v>
      </c>
      <c r="C7" s="3">
        <v>0</v>
      </c>
      <c r="D7" s="3">
        <v>0</v>
      </c>
      <c r="E7" s="3">
        <v>102442</v>
      </c>
      <c r="F7" s="3">
        <v>110620</v>
      </c>
    </row>
    <row r="8" spans="1:6" x14ac:dyDescent="0.3">
      <c r="A8" s="2" t="s">
        <v>10</v>
      </c>
      <c r="B8" s="3">
        <f t="shared" si="0"/>
        <v>-84267</v>
      </c>
      <c r="C8" s="3">
        <v>0</v>
      </c>
      <c r="D8" s="3">
        <v>0</v>
      </c>
      <c r="E8" s="3">
        <v>84267</v>
      </c>
      <c r="F8" s="3">
        <v>88670</v>
      </c>
    </row>
    <row r="9" spans="1:6" x14ac:dyDescent="0.3">
      <c r="A9" s="2" t="s">
        <v>11</v>
      </c>
      <c r="B9" s="3">
        <f t="shared" si="0"/>
        <v>-116931</v>
      </c>
      <c r="C9" s="3">
        <v>0</v>
      </c>
      <c r="D9" s="3">
        <v>0</v>
      </c>
      <c r="E9" s="3">
        <v>116931</v>
      </c>
      <c r="F9" s="3">
        <v>132230</v>
      </c>
    </row>
    <row r="10" spans="1:6" x14ac:dyDescent="0.3">
      <c r="A10" s="2" t="s">
        <v>12</v>
      </c>
      <c r="B10" s="3">
        <f t="shared" si="0"/>
        <v>-82389</v>
      </c>
      <c r="C10" s="3">
        <v>0</v>
      </c>
      <c r="D10" s="3">
        <v>0</v>
      </c>
      <c r="E10" s="3">
        <v>82389</v>
      </c>
      <c r="F10" s="3">
        <v>88750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-640224</v>
      </c>
      <c r="C12" s="3">
        <v>0</v>
      </c>
      <c r="D12" s="3">
        <v>0</v>
      </c>
      <c r="E12" s="3">
        <v>640224</v>
      </c>
      <c r="F12" s="3">
        <v>708441</v>
      </c>
    </row>
    <row r="13" spans="1:6" x14ac:dyDescent="0.3">
      <c r="A13" s="2" t="s">
        <v>15</v>
      </c>
      <c r="B13" s="3">
        <f t="shared" si="0"/>
        <v>-319855</v>
      </c>
      <c r="C13" s="3">
        <v>0</v>
      </c>
      <c r="D13" s="3">
        <v>0</v>
      </c>
      <c r="E13" s="3">
        <v>319855</v>
      </c>
      <c r="F13" s="3">
        <v>354500</v>
      </c>
    </row>
    <row r="14" spans="1:6" x14ac:dyDescent="0.3">
      <c r="A14" s="2" t="s">
        <v>16</v>
      </c>
      <c r="B14" s="3">
        <f t="shared" si="0"/>
        <v>-86291</v>
      </c>
      <c r="C14" s="3">
        <v>0</v>
      </c>
      <c r="D14" s="3">
        <v>0</v>
      </c>
      <c r="E14" s="3">
        <v>86291</v>
      </c>
      <c r="F14" s="3">
        <v>87123</v>
      </c>
    </row>
    <row r="15" spans="1:6" ht="17.25" thickBot="1" x14ac:dyDescent="0.35">
      <c r="A15" s="4" t="s">
        <v>17</v>
      </c>
      <c r="B15" s="5">
        <f>SUM(B3:B14)</f>
        <v>-4481950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4481950</v>
      </c>
      <c r="F15" s="5">
        <f t="shared" si="2"/>
        <v>4718896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-193610</v>
      </c>
      <c r="C3" s="3">
        <v>0</v>
      </c>
      <c r="D3" s="3">
        <v>0</v>
      </c>
      <c r="E3" s="3">
        <v>193610</v>
      </c>
      <c r="F3" s="3">
        <v>197110</v>
      </c>
    </row>
    <row r="4" spans="1:6" x14ac:dyDescent="0.3">
      <c r="A4" s="2" t="s">
        <v>6</v>
      </c>
      <c r="B4" s="3">
        <f t="shared" ref="B4:B14" si="0">C4-E4</f>
        <v>-124307</v>
      </c>
      <c r="C4" s="3">
        <v>0</v>
      </c>
      <c r="D4" s="3">
        <v>0</v>
      </c>
      <c r="E4" s="3">
        <v>124307</v>
      </c>
      <c r="F4" s="3">
        <v>131220</v>
      </c>
    </row>
    <row r="5" spans="1:6" x14ac:dyDescent="0.3">
      <c r="A5" s="2" t="s">
        <v>7</v>
      </c>
      <c r="B5" s="3">
        <f t="shared" si="0"/>
        <v>-246873</v>
      </c>
      <c r="C5" s="3">
        <v>0</v>
      </c>
      <c r="D5" s="3">
        <v>0</v>
      </c>
      <c r="E5" s="3">
        <v>246873</v>
      </c>
      <c r="F5" s="3">
        <v>263470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-216698</v>
      </c>
      <c r="C7" s="3">
        <v>0</v>
      </c>
      <c r="D7" s="3">
        <v>0</v>
      </c>
      <c r="E7" s="3">
        <v>216698</v>
      </c>
      <c r="F7" s="3">
        <v>240921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-238313</v>
      </c>
      <c r="C9" s="3">
        <v>0</v>
      </c>
      <c r="D9" s="3">
        <v>0</v>
      </c>
      <c r="E9" s="3">
        <v>238313</v>
      </c>
      <c r="F9" s="3">
        <v>263220</v>
      </c>
    </row>
    <row r="10" spans="1:6" x14ac:dyDescent="0.3">
      <c r="A10" s="2" t="s">
        <v>12</v>
      </c>
      <c r="B10" s="3">
        <f t="shared" si="0"/>
        <v>-117782</v>
      </c>
      <c r="C10" s="3">
        <v>0</v>
      </c>
      <c r="D10" s="3">
        <v>0</v>
      </c>
      <c r="E10" s="3">
        <v>117782</v>
      </c>
      <c r="F10" s="3">
        <v>132000</v>
      </c>
    </row>
    <row r="11" spans="1:6" x14ac:dyDescent="0.3">
      <c r="A11" s="2" t="s">
        <v>13</v>
      </c>
      <c r="B11" s="3">
        <f t="shared" si="0"/>
        <v>-17</v>
      </c>
      <c r="C11" s="3">
        <v>0</v>
      </c>
      <c r="D11" s="3">
        <v>0</v>
      </c>
      <c r="E11" s="3">
        <v>17</v>
      </c>
      <c r="F11" s="3">
        <v>2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-194851</v>
      </c>
      <c r="C13" s="3">
        <v>0</v>
      </c>
      <c r="D13" s="3">
        <v>0</v>
      </c>
      <c r="E13" s="3">
        <v>194851</v>
      </c>
      <c r="F13" s="3">
        <v>218052</v>
      </c>
    </row>
    <row r="14" spans="1:6" x14ac:dyDescent="0.3">
      <c r="A14" s="2" t="s">
        <v>16</v>
      </c>
      <c r="B14" s="3">
        <f t="shared" si="0"/>
        <v>-202150</v>
      </c>
      <c r="C14" s="3">
        <v>0</v>
      </c>
      <c r="D14" s="3">
        <v>0</v>
      </c>
      <c r="E14" s="3">
        <v>202150</v>
      </c>
      <c r="F14" s="3">
        <v>219310</v>
      </c>
    </row>
    <row r="15" spans="1:6" ht="17.25" thickBot="1" x14ac:dyDescent="0.35">
      <c r="A15" s="4" t="s">
        <v>17</v>
      </c>
      <c r="B15" s="5">
        <f>SUM(B3:B14)</f>
        <v>-1534601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1534601</v>
      </c>
      <c r="F15" s="5">
        <f t="shared" si="2"/>
        <v>1665305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-100032</v>
      </c>
      <c r="C3" s="3">
        <v>0</v>
      </c>
      <c r="D3" s="3">
        <v>0</v>
      </c>
      <c r="E3" s="3">
        <v>100032</v>
      </c>
      <c r="F3" s="3">
        <v>109290</v>
      </c>
    </row>
    <row r="4" spans="1:6" x14ac:dyDescent="0.3">
      <c r="A4" s="2" t="s">
        <v>6</v>
      </c>
      <c r="B4" s="3">
        <f t="shared" ref="B4:B14" si="0">C4-E4</f>
        <v>-120861</v>
      </c>
      <c r="C4" s="3">
        <v>0</v>
      </c>
      <c r="D4" s="3">
        <v>0</v>
      </c>
      <c r="E4" s="3">
        <v>120861</v>
      </c>
      <c r="F4" s="3">
        <v>131300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-1654508</v>
      </c>
      <c r="C6" s="3">
        <v>0</v>
      </c>
      <c r="D6" s="3">
        <v>0</v>
      </c>
      <c r="E6" s="3">
        <v>1654508</v>
      </c>
      <c r="F6" s="3">
        <v>1841346</v>
      </c>
    </row>
    <row r="7" spans="1:6" x14ac:dyDescent="0.3">
      <c r="A7" s="2" t="s">
        <v>9</v>
      </c>
      <c r="B7" s="3">
        <f t="shared" si="0"/>
        <v>-1427746</v>
      </c>
      <c r="C7" s="3">
        <v>0</v>
      </c>
      <c r="D7" s="3">
        <v>0</v>
      </c>
      <c r="E7" s="3">
        <v>1427746</v>
      </c>
      <c r="F7" s="3">
        <v>1606988</v>
      </c>
    </row>
    <row r="8" spans="1:6" x14ac:dyDescent="0.3">
      <c r="A8" s="2" t="s">
        <v>10</v>
      </c>
      <c r="B8" s="3">
        <f t="shared" si="0"/>
        <v>-235056</v>
      </c>
      <c r="C8" s="3">
        <v>0</v>
      </c>
      <c r="D8" s="3">
        <v>0</v>
      </c>
      <c r="E8" s="3">
        <v>235056</v>
      </c>
      <c r="F8" s="3">
        <v>263530</v>
      </c>
    </row>
    <row r="9" spans="1:6" x14ac:dyDescent="0.3">
      <c r="A9" s="2" t="s">
        <v>11</v>
      </c>
      <c r="B9" s="3">
        <f t="shared" si="0"/>
        <v>-136882</v>
      </c>
      <c r="C9" s="3">
        <v>0</v>
      </c>
      <c r="D9" s="3">
        <v>0</v>
      </c>
      <c r="E9" s="3">
        <v>136882</v>
      </c>
      <c r="F9" s="3">
        <v>153550</v>
      </c>
    </row>
    <row r="10" spans="1:6" x14ac:dyDescent="0.3">
      <c r="A10" s="2" t="s">
        <v>12</v>
      </c>
      <c r="B10" s="3">
        <f t="shared" si="0"/>
        <v>-309779</v>
      </c>
      <c r="C10" s="3">
        <v>0</v>
      </c>
      <c r="D10" s="3">
        <v>0</v>
      </c>
      <c r="E10" s="3">
        <v>309779</v>
      </c>
      <c r="F10" s="3">
        <v>347560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-389342</v>
      </c>
      <c r="C12" s="3">
        <v>0</v>
      </c>
      <c r="D12" s="3">
        <v>0</v>
      </c>
      <c r="E12" s="3">
        <v>389342</v>
      </c>
      <c r="F12" s="3">
        <v>436020</v>
      </c>
    </row>
    <row r="13" spans="1:6" x14ac:dyDescent="0.3">
      <c r="A13" s="2" t="s">
        <v>15</v>
      </c>
      <c r="B13" s="3">
        <f t="shared" si="0"/>
        <v>-178927</v>
      </c>
      <c r="C13" s="3">
        <v>0</v>
      </c>
      <c r="D13" s="3">
        <v>0</v>
      </c>
      <c r="E13" s="3">
        <v>178927</v>
      </c>
      <c r="F13" s="3">
        <v>196560</v>
      </c>
    </row>
    <row r="14" spans="1:6" x14ac:dyDescent="0.3">
      <c r="A14" s="2" t="s">
        <v>16</v>
      </c>
      <c r="B14" s="3">
        <f t="shared" si="0"/>
        <v>-278525</v>
      </c>
      <c r="C14" s="3">
        <v>0</v>
      </c>
      <c r="D14" s="3">
        <v>0</v>
      </c>
      <c r="E14" s="3">
        <v>278525</v>
      </c>
      <c r="F14" s="3">
        <v>304420</v>
      </c>
    </row>
    <row r="15" spans="1:6" ht="17.25" thickBot="1" x14ac:dyDescent="0.35">
      <c r="A15" s="4" t="s">
        <v>17</v>
      </c>
      <c r="B15" s="5">
        <f>SUM(B3:B14)</f>
        <v>-4831658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4831658</v>
      </c>
      <c r="F15" s="5">
        <f t="shared" si="2"/>
        <v>5390564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-285629</v>
      </c>
      <c r="C3" s="3">
        <v>0</v>
      </c>
      <c r="D3" s="3">
        <v>0</v>
      </c>
      <c r="E3" s="3">
        <v>285629</v>
      </c>
      <c r="F3" s="3">
        <v>306500</v>
      </c>
    </row>
    <row r="4" spans="1:6" x14ac:dyDescent="0.3">
      <c r="A4" s="2" t="s">
        <v>6</v>
      </c>
      <c r="B4" s="3">
        <f t="shared" ref="B4:B14" si="0">C4-E4</f>
        <v>-210312</v>
      </c>
      <c r="C4" s="3">
        <v>0</v>
      </c>
      <c r="D4" s="3">
        <v>0</v>
      </c>
      <c r="E4" s="3">
        <v>210312</v>
      </c>
      <c r="F4" s="3">
        <v>219100</v>
      </c>
    </row>
    <row r="5" spans="1:6" x14ac:dyDescent="0.3">
      <c r="A5" s="2" t="s">
        <v>7</v>
      </c>
      <c r="B5" s="3">
        <f t="shared" si="0"/>
        <v>-1867445</v>
      </c>
      <c r="C5" s="3">
        <v>0</v>
      </c>
      <c r="D5" s="3">
        <v>0</v>
      </c>
      <c r="E5" s="3">
        <v>1867445</v>
      </c>
      <c r="F5" s="3">
        <v>1996411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-637173</v>
      </c>
      <c r="C7" s="3">
        <v>0</v>
      </c>
      <c r="D7" s="3">
        <v>0</v>
      </c>
      <c r="E7" s="3">
        <v>637173</v>
      </c>
      <c r="F7" s="3">
        <v>657050</v>
      </c>
    </row>
    <row r="8" spans="1:6" x14ac:dyDescent="0.3">
      <c r="A8" s="2" t="s">
        <v>10</v>
      </c>
      <c r="B8" s="3">
        <f t="shared" si="0"/>
        <v>-231965</v>
      </c>
      <c r="C8" s="3">
        <v>0</v>
      </c>
      <c r="D8" s="3">
        <v>0</v>
      </c>
      <c r="E8" s="3">
        <v>231965</v>
      </c>
      <c r="F8" s="3">
        <v>239020</v>
      </c>
    </row>
    <row r="9" spans="1:6" x14ac:dyDescent="0.3">
      <c r="A9" s="2" t="s">
        <v>11</v>
      </c>
      <c r="B9" s="3">
        <f t="shared" si="0"/>
        <v>-337589</v>
      </c>
      <c r="C9" s="3">
        <v>0</v>
      </c>
      <c r="D9" s="3">
        <v>0</v>
      </c>
      <c r="E9" s="3">
        <v>337589</v>
      </c>
      <c r="F9" s="3">
        <v>349870</v>
      </c>
    </row>
    <row r="10" spans="1:6" x14ac:dyDescent="0.3">
      <c r="A10" s="2" t="s">
        <v>12</v>
      </c>
      <c r="B10" s="3">
        <f t="shared" si="0"/>
        <v>-549199</v>
      </c>
      <c r="C10" s="3">
        <v>0</v>
      </c>
      <c r="D10" s="3">
        <v>0</v>
      </c>
      <c r="E10" s="3">
        <v>549199</v>
      </c>
      <c r="F10" s="3">
        <v>572922</v>
      </c>
    </row>
    <row r="11" spans="1:6" x14ac:dyDescent="0.3">
      <c r="A11" s="2" t="s">
        <v>13</v>
      </c>
      <c r="B11" s="3">
        <f t="shared" si="0"/>
        <v>-85461</v>
      </c>
      <c r="C11" s="3">
        <v>0</v>
      </c>
      <c r="D11" s="3">
        <v>0</v>
      </c>
      <c r="E11" s="3">
        <v>85461</v>
      </c>
      <c r="F11" s="3">
        <v>87180</v>
      </c>
    </row>
    <row r="12" spans="1:6" x14ac:dyDescent="0.3">
      <c r="A12" s="2" t="s">
        <v>14</v>
      </c>
      <c r="B12" s="3">
        <f t="shared" si="0"/>
        <v>-443165</v>
      </c>
      <c r="C12" s="3">
        <v>0</v>
      </c>
      <c r="D12" s="3">
        <v>0</v>
      </c>
      <c r="E12" s="3">
        <v>443165</v>
      </c>
      <c r="F12" s="3">
        <v>476280</v>
      </c>
    </row>
    <row r="13" spans="1:6" x14ac:dyDescent="0.3">
      <c r="A13" s="2" t="s">
        <v>15</v>
      </c>
      <c r="B13" s="3">
        <f t="shared" si="0"/>
        <v>-242397</v>
      </c>
      <c r="C13" s="3">
        <v>0</v>
      </c>
      <c r="D13" s="3">
        <v>0</v>
      </c>
      <c r="E13" s="3">
        <v>242397</v>
      </c>
      <c r="F13" s="3">
        <v>260031</v>
      </c>
    </row>
    <row r="14" spans="1:6" x14ac:dyDescent="0.3">
      <c r="A14" s="2" t="s">
        <v>16</v>
      </c>
      <c r="B14" s="3">
        <f t="shared" si="0"/>
        <v>-244416</v>
      </c>
      <c r="C14" s="3">
        <v>0</v>
      </c>
      <c r="D14" s="3">
        <v>0</v>
      </c>
      <c r="E14" s="3">
        <v>244416</v>
      </c>
      <c r="F14" s="3">
        <v>260100</v>
      </c>
    </row>
    <row r="15" spans="1:6" ht="17.25" thickBot="1" x14ac:dyDescent="0.35">
      <c r="A15" s="4" t="s">
        <v>17</v>
      </c>
      <c r="B15" s="5">
        <f>SUM(B3:B14)</f>
        <v>-5134751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5134751</v>
      </c>
      <c r="F15" s="5">
        <f t="shared" si="2"/>
        <v>5424464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-161072</v>
      </c>
      <c r="C3" s="3">
        <v>0</v>
      </c>
      <c r="D3" s="3">
        <v>0</v>
      </c>
      <c r="E3" s="3">
        <v>161072</v>
      </c>
      <c r="F3" s="3">
        <v>173120</v>
      </c>
    </row>
    <row r="4" spans="1:6" x14ac:dyDescent="0.3">
      <c r="A4" s="2" t="s">
        <v>6</v>
      </c>
      <c r="B4" s="3">
        <f t="shared" ref="B4:B14" si="0">C4-E4</f>
        <v>-532901</v>
      </c>
      <c r="C4" s="3">
        <v>0</v>
      </c>
      <c r="D4" s="3">
        <v>0</v>
      </c>
      <c r="E4" s="3">
        <v>532901</v>
      </c>
      <c r="F4" s="3">
        <v>498140</v>
      </c>
    </row>
    <row r="5" spans="1:6" x14ac:dyDescent="0.3">
      <c r="A5" s="2" t="s">
        <v>7</v>
      </c>
      <c r="B5" s="3">
        <f t="shared" si="0"/>
        <v>-214769</v>
      </c>
      <c r="C5" s="3">
        <v>0</v>
      </c>
      <c r="D5" s="3">
        <v>0</v>
      </c>
      <c r="E5" s="3">
        <v>214769</v>
      </c>
      <c r="F5" s="3">
        <v>195160</v>
      </c>
    </row>
    <row r="6" spans="1:6" x14ac:dyDescent="0.3">
      <c r="A6" s="2" t="s">
        <v>8</v>
      </c>
      <c r="B6" s="3">
        <f t="shared" si="0"/>
        <v>-482909</v>
      </c>
      <c r="C6" s="3">
        <v>0</v>
      </c>
      <c r="D6" s="3">
        <v>0</v>
      </c>
      <c r="E6" s="3">
        <v>482909</v>
      </c>
      <c r="F6" s="3">
        <v>414400</v>
      </c>
    </row>
    <row r="7" spans="1:6" x14ac:dyDescent="0.3">
      <c r="A7" s="2" t="s">
        <v>9</v>
      </c>
      <c r="B7" s="3">
        <f t="shared" si="0"/>
        <v>-256283</v>
      </c>
      <c r="C7" s="3">
        <v>0</v>
      </c>
      <c r="D7" s="3">
        <v>0</v>
      </c>
      <c r="E7" s="3">
        <v>256283</v>
      </c>
      <c r="F7" s="3">
        <v>196300</v>
      </c>
    </row>
    <row r="8" spans="1:6" x14ac:dyDescent="0.3">
      <c r="A8" s="2" t="s">
        <v>10</v>
      </c>
      <c r="B8" s="3">
        <f t="shared" si="0"/>
        <v>-643821</v>
      </c>
      <c r="C8" s="3">
        <v>0</v>
      </c>
      <c r="D8" s="3">
        <v>0</v>
      </c>
      <c r="E8" s="3">
        <v>643821</v>
      </c>
      <c r="F8" s="3">
        <v>505330</v>
      </c>
    </row>
    <row r="9" spans="1:6" x14ac:dyDescent="0.3">
      <c r="A9" s="2" t="s">
        <v>11</v>
      </c>
      <c r="B9" s="3">
        <f t="shared" si="0"/>
        <v>-1079244</v>
      </c>
      <c r="C9" s="3">
        <v>0</v>
      </c>
      <c r="D9" s="3">
        <v>0</v>
      </c>
      <c r="E9" s="3">
        <v>1079244</v>
      </c>
      <c r="F9" s="3">
        <v>772360</v>
      </c>
    </row>
    <row r="10" spans="1:6" x14ac:dyDescent="0.3">
      <c r="A10" s="2" t="s">
        <v>12</v>
      </c>
      <c r="B10" s="3">
        <f t="shared" si="0"/>
        <v>-2549391</v>
      </c>
      <c r="C10" s="3">
        <v>0</v>
      </c>
      <c r="D10" s="3">
        <v>0</v>
      </c>
      <c r="E10" s="3">
        <v>2549391</v>
      </c>
      <c r="F10" s="3">
        <v>1760862</v>
      </c>
    </row>
    <row r="11" spans="1:6" x14ac:dyDescent="0.3">
      <c r="A11" s="2" t="s">
        <v>13</v>
      </c>
      <c r="B11" s="3">
        <f t="shared" si="0"/>
        <v>-780630</v>
      </c>
      <c r="C11" s="3">
        <v>0</v>
      </c>
      <c r="D11" s="3">
        <v>0</v>
      </c>
      <c r="E11" s="3">
        <v>780630</v>
      </c>
      <c r="F11" s="3">
        <v>547950</v>
      </c>
    </row>
    <row r="12" spans="1:6" x14ac:dyDescent="0.3">
      <c r="A12" s="2" t="s">
        <v>14</v>
      </c>
      <c r="B12" s="3">
        <f t="shared" si="0"/>
        <v>-273187</v>
      </c>
      <c r="C12" s="3">
        <v>0</v>
      </c>
      <c r="D12" s="3">
        <v>0</v>
      </c>
      <c r="E12" s="3">
        <v>273187</v>
      </c>
      <c r="F12" s="3">
        <v>196430</v>
      </c>
    </row>
    <row r="13" spans="1:6" x14ac:dyDescent="0.3">
      <c r="A13" s="2" t="s">
        <v>15</v>
      </c>
      <c r="B13" s="3">
        <f t="shared" si="0"/>
        <v>-1103258</v>
      </c>
      <c r="C13" s="3">
        <v>0</v>
      </c>
      <c r="D13" s="3">
        <v>0</v>
      </c>
      <c r="E13" s="3">
        <v>1103258</v>
      </c>
      <c r="F13" s="3">
        <v>745250</v>
      </c>
    </row>
    <row r="14" spans="1:6" x14ac:dyDescent="0.3">
      <c r="A14" s="2" t="s">
        <v>16</v>
      </c>
      <c r="B14" s="3">
        <f t="shared" si="0"/>
        <v>-830754</v>
      </c>
      <c r="C14" s="3">
        <v>0</v>
      </c>
      <c r="D14" s="3">
        <v>0</v>
      </c>
      <c r="E14" s="3">
        <v>830754</v>
      </c>
      <c r="F14" s="3">
        <v>537694</v>
      </c>
    </row>
    <row r="15" spans="1:6" ht="17.25" thickBot="1" x14ac:dyDescent="0.35">
      <c r="A15" s="4" t="s">
        <v>17</v>
      </c>
      <c r="B15" s="5">
        <f>SUM(B3:B14)</f>
        <v>-8908219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8908219</v>
      </c>
      <c r="F15" s="5">
        <f t="shared" si="2"/>
        <v>6542996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-408139</v>
      </c>
      <c r="C3" s="3">
        <v>0</v>
      </c>
      <c r="D3" s="3">
        <v>0</v>
      </c>
      <c r="E3" s="3">
        <v>408139</v>
      </c>
      <c r="F3" s="3">
        <v>219900</v>
      </c>
    </row>
    <row r="4" spans="1:6" x14ac:dyDescent="0.3">
      <c r="A4" s="2" t="s">
        <v>6</v>
      </c>
      <c r="B4" s="3">
        <f t="shared" ref="B4:B14" si="0">C4-E4</f>
        <v>-978880</v>
      </c>
      <c r="C4" s="3">
        <v>0</v>
      </c>
      <c r="D4" s="3">
        <v>0</v>
      </c>
      <c r="E4" s="3">
        <v>978880</v>
      </c>
      <c r="F4" s="3">
        <v>528380</v>
      </c>
    </row>
    <row r="5" spans="1:6" x14ac:dyDescent="0.3">
      <c r="A5" s="2" t="s">
        <v>7</v>
      </c>
      <c r="B5" s="3">
        <f t="shared" si="0"/>
        <v>-1831299</v>
      </c>
      <c r="C5" s="3">
        <v>0</v>
      </c>
      <c r="D5" s="3">
        <v>0</v>
      </c>
      <c r="E5" s="3">
        <v>1831299</v>
      </c>
      <c r="F5" s="3">
        <v>989380</v>
      </c>
    </row>
    <row r="6" spans="1:6" x14ac:dyDescent="0.3">
      <c r="A6" s="2" t="s">
        <v>8</v>
      </c>
      <c r="B6" s="3">
        <f t="shared" si="0"/>
        <v>-438919</v>
      </c>
      <c r="C6" s="3">
        <v>0</v>
      </c>
      <c r="D6" s="3">
        <v>0</v>
      </c>
      <c r="E6" s="3">
        <v>438919</v>
      </c>
      <c r="F6" s="3">
        <v>239642</v>
      </c>
    </row>
    <row r="7" spans="1:6" x14ac:dyDescent="0.3">
      <c r="A7" s="2" t="s">
        <v>9</v>
      </c>
      <c r="B7" s="3">
        <f t="shared" si="0"/>
        <v>-4987242</v>
      </c>
      <c r="C7" s="3">
        <v>0</v>
      </c>
      <c r="D7" s="3">
        <v>0</v>
      </c>
      <c r="E7" s="3">
        <v>4987242</v>
      </c>
      <c r="F7" s="3">
        <v>2723942</v>
      </c>
    </row>
    <row r="8" spans="1:6" x14ac:dyDescent="0.3">
      <c r="A8" s="2" t="s">
        <v>10</v>
      </c>
      <c r="B8" s="3">
        <f t="shared" si="0"/>
        <v>-555028</v>
      </c>
      <c r="C8" s="3">
        <v>0</v>
      </c>
      <c r="D8" s="3">
        <v>0</v>
      </c>
      <c r="E8" s="3">
        <v>555028</v>
      </c>
      <c r="F8" s="3">
        <v>305830</v>
      </c>
    </row>
    <row r="9" spans="1:6" x14ac:dyDescent="0.3">
      <c r="A9" s="2" t="s">
        <v>11</v>
      </c>
      <c r="B9" s="3">
        <f t="shared" si="0"/>
        <v>-1533432</v>
      </c>
      <c r="C9" s="3">
        <v>0</v>
      </c>
      <c r="D9" s="3">
        <v>0</v>
      </c>
      <c r="E9" s="3">
        <v>1533432</v>
      </c>
      <c r="F9" s="3">
        <v>769420</v>
      </c>
    </row>
    <row r="10" spans="1:6" x14ac:dyDescent="0.3">
      <c r="A10" s="2" t="s">
        <v>12</v>
      </c>
      <c r="B10" s="3">
        <f t="shared" si="0"/>
        <v>-586189</v>
      </c>
      <c r="C10" s="3">
        <v>0</v>
      </c>
      <c r="D10" s="3">
        <v>0</v>
      </c>
      <c r="E10" s="3">
        <v>586189</v>
      </c>
      <c r="F10" s="3">
        <v>326482</v>
      </c>
    </row>
    <row r="11" spans="1:6" x14ac:dyDescent="0.3">
      <c r="A11" s="2" t="s">
        <v>13</v>
      </c>
      <c r="B11" s="3">
        <f t="shared" si="0"/>
        <v>-8327240</v>
      </c>
      <c r="C11" s="3">
        <v>0</v>
      </c>
      <c r="D11" s="3">
        <v>0</v>
      </c>
      <c r="E11" s="3">
        <v>8327240</v>
      </c>
      <c r="F11" s="3">
        <v>4105062</v>
      </c>
    </row>
    <row r="12" spans="1:6" x14ac:dyDescent="0.3">
      <c r="A12" s="2" t="s">
        <v>14</v>
      </c>
      <c r="B12" s="3">
        <f t="shared" si="0"/>
        <v>-665109</v>
      </c>
      <c r="C12" s="3">
        <v>0</v>
      </c>
      <c r="D12" s="3">
        <v>0</v>
      </c>
      <c r="E12" s="3">
        <v>665109</v>
      </c>
      <c r="F12" s="3">
        <v>329420</v>
      </c>
    </row>
    <row r="13" spans="1:6" x14ac:dyDescent="0.3">
      <c r="A13" s="2" t="s">
        <v>15</v>
      </c>
      <c r="B13" s="3">
        <f t="shared" si="0"/>
        <v>-4577054</v>
      </c>
      <c r="C13" s="3">
        <v>0</v>
      </c>
      <c r="D13" s="3">
        <v>0</v>
      </c>
      <c r="E13" s="3">
        <v>4577054</v>
      </c>
      <c r="F13" s="3">
        <v>2138835</v>
      </c>
    </row>
    <row r="14" spans="1:6" x14ac:dyDescent="0.3">
      <c r="A14" s="2" t="s">
        <v>16</v>
      </c>
      <c r="B14" s="3">
        <f t="shared" si="0"/>
        <v>-197772</v>
      </c>
      <c r="C14" s="3">
        <v>0</v>
      </c>
      <c r="D14" s="3">
        <v>0</v>
      </c>
      <c r="E14" s="3">
        <v>197772</v>
      </c>
      <c r="F14" s="3">
        <v>87840</v>
      </c>
    </row>
    <row r="15" spans="1:6" ht="17.25" thickBot="1" x14ac:dyDescent="0.35">
      <c r="A15" s="4" t="s">
        <v>17</v>
      </c>
      <c r="B15" s="5">
        <f>SUM(B3:B14)</f>
        <v>-25086303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25086303</v>
      </c>
      <c r="F15" s="5">
        <f t="shared" si="2"/>
        <v>12764133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-8495754</v>
      </c>
      <c r="C3" s="3">
        <v>0</v>
      </c>
      <c r="D3" s="3">
        <v>0</v>
      </c>
      <c r="E3" s="3">
        <v>8495754</v>
      </c>
      <c r="F3" s="3">
        <v>3914683</v>
      </c>
    </row>
    <row r="4" spans="1:6" x14ac:dyDescent="0.3">
      <c r="A4" s="2" t="s">
        <v>6</v>
      </c>
      <c r="B4" s="3">
        <f t="shared" ref="B4:B14" si="0">C4-E4</f>
        <v>-3194350</v>
      </c>
      <c r="C4" s="3">
        <v>0</v>
      </c>
      <c r="D4" s="3">
        <v>0</v>
      </c>
      <c r="E4" s="3">
        <v>3194350</v>
      </c>
      <c r="F4" s="3">
        <v>1646735</v>
      </c>
    </row>
    <row r="5" spans="1:6" x14ac:dyDescent="0.3">
      <c r="A5" s="2" t="s">
        <v>7</v>
      </c>
      <c r="B5" s="3">
        <f t="shared" si="0"/>
        <v>-205695</v>
      </c>
      <c r="C5" s="3">
        <v>0</v>
      </c>
      <c r="D5" s="3">
        <v>0</v>
      </c>
      <c r="E5" s="3">
        <v>205695</v>
      </c>
      <c r="F5" s="3">
        <v>109970</v>
      </c>
    </row>
    <row r="6" spans="1:6" x14ac:dyDescent="0.3">
      <c r="A6" s="2" t="s">
        <v>8</v>
      </c>
      <c r="B6" s="3">
        <f t="shared" si="0"/>
        <v>-434631</v>
      </c>
      <c r="C6" s="3">
        <v>0</v>
      </c>
      <c r="D6" s="3">
        <v>0</v>
      </c>
      <c r="E6" s="3">
        <v>434631</v>
      </c>
      <c r="F6" s="3">
        <v>260905</v>
      </c>
    </row>
    <row r="7" spans="1:6" x14ac:dyDescent="0.3">
      <c r="A7" s="2" t="s">
        <v>9</v>
      </c>
      <c r="B7" s="3">
        <f t="shared" si="0"/>
        <v>-2828590</v>
      </c>
      <c r="C7" s="3">
        <v>0</v>
      </c>
      <c r="D7" s="3">
        <v>0</v>
      </c>
      <c r="E7" s="3">
        <v>2828590</v>
      </c>
      <c r="F7" s="3">
        <v>1618371</v>
      </c>
    </row>
    <row r="8" spans="1:6" x14ac:dyDescent="0.3">
      <c r="A8" s="2" t="s">
        <v>10</v>
      </c>
      <c r="B8" s="3">
        <f t="shared" si="0"/>
        <v>-618718</v>
      </c>
      <c r="C8" s="3">
        <v>0</v>
      </c>
      <c r="D8" s="3">
        <v>0</v>
      </c>
      <c r="E8" s="3">
        <v>618718</v>
      </c>
      <c r="F8" s="3">
        <v>482160</v>
      </c>
    </row>
    <row r="9" spans="1:6" x14ac:dyDescent="0.3">
      <c r="A9" s="2" t="s">
        <v>11</v>
      </c>
      <c r="B9" s="3">
        <f t="shared" si="0"/>
        <v>-274069</v>
      </c>
      <c r="C9" s="3">
        <v>0</v>
      </c>
      <c r="D9" s="3">
        <v>0</v>
      </c>
      <c r="E9" s="3">
        <v>274069</v>
      </c>
      <c r="F9" s="3">
        <v>218025</v>
      </c>
    </row>
    <row r="10" spans="1:6" x14ac:dyDescent="0.3">
      <c r="A10" s="2" t="s">
        <v>12</v>
      </c>
      <c r="B10" s="3">
        <f t="shared" si="0"/>
        <v>-1994730</v>
      </c>
      <c r="C10" s="3">
        <v>0</v>
      </c>
      <c r="D10" s="3">
        <v>0</v>
      </c>
      <c r="E10" s="3">
        <v>1994730</v>
      </c>
      <c r="F10" s="3">
        <v>1932427</v>
      </c>
    </row>
    <row r="11" spans="1:6" x14ac:dyDescent="0.3">
      <c r="A11" s="2" t="s">
        <v>13</v>
      </c>
      <c r="B11" s="3">
        <f t="shared" si="0"/>
        <v>-3435999</v>
      </c>
      <c r="C11" s="3">
        <v>0</v>
      </c>
      <c r="D11" s="3">
        <v>0</v>
      </c>
      <c r="E11" s="3">
        <v>3435999</v>
      </c>
      <c r="F11" s="3">
        <v>3314484</v>
      </c>
    </row>
    <row r="12" spans="1:6" x14ac:dyDescent="0.3">
      <c r="A12" s="2" t="s">
        <v>14</v>
      </c>
      <c r="B12" s="3">
        <f t="shared" si="0"/>
        <v>-8564301</v>
      </c>
      <c r="C12" s="3">
        <v>0</v>
      </c>
      <c r="D12" s="3">
        <v>0</v>
      </c>
      <c r="E12" s="3">
        <v>8564301</v>
      </c>
      <c r="F12" s="3">
        <v>7790743</v>
      </c>
    </row>
    <row r="13" spans="1:6" x14ac:dyDescent="0.3">
      <c r="A13" s="2" t="s">
        <v>15</v>
      </c>
      <c r="B13" s="3">
        <f t="shared" si="0"/>
        <v>-722022</v>
      </c>
      <c r="C13" s="3">
        <v>0</v>
      </c>
      <c r="D13" s="3">
        <v>0</v>
      </c>
      <c r="E13" s="3">
        <v>722022</v>
      </c>
      <c r="F13" s="3">
        <v>631493</v>
      </c>
    </row>
    <row r="14" spans="1:6" x14ac:dyDescent="0.3">
      <c r="A14" s="2" t="s">
        <v>16</v>
      </c>
      <c r="B14" s="3">
        <f t="shared" si="0"/>
        <v>-13765067</v>
      </c>
      <c r="C14" s="3">
        <v>0</v>
      </c>
      <c r="D14" s="3">
        <v>0</v>
      </c>
      <c r="E14" s="3">
        <v>13765067</v>
      </c>
      <c r="F14" s="3">
        <v>12256615</v>
      </c>
    </row>
    <row r="15" spans="1:6" ht="17.25" thickBot="1" x14ac:dyDescent="0.35">
      <c r="A15" s="4" t="s">
        <v>17</v>
      </c>
      <c r="B15" s="5">
        <f>SUM(B3:B14)</f>
        <v>-44533926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44533926</v>
      </c>
      <c r="F15" s="5">
        <f t="shared" si="2"/>
        <v>34176611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-494071</v>
      </c>
      <c r="C3" s="3">
        <v>0</v>
      </c>
      <c r="D3" s="3">
        <v>0</v>
      </c>
      <c r="E3" s="3">
        <v>494071</v>
      </c>
      <c r="F3" s="3">
        <v>434411</v>
      </c>
    </row>
    <row r="4" spans="1:6" x14ac:dyDescent="0.3">
      <c r="A4" s="2" t="s">
        <v>6</v>
      </c>
      <c r="B4" s="3">
        <f t="shared" ref="B4:B14" si="0">C4-E4</f>
        <v>-5665329</v>
      </c>
      <c r="C4" s="3">
        <v>0</v>
      </c>
      <c r="D4" s="3">
        <v>0</v>
      </c>
      <c r="E4" s="3">
        <v>5665329</v>
      </c>
      <c r="F4" s="3">
        <v>4989524</v>
      </c>
    </row>
    <row r="5" spans="1:6" x14ac:dyDescent="0.3">
      <c r="A5" s="2" t="s">
        <v>7</v>
      </c>
      <c r="B5" s="3">
        <f t="shared" si="0"/>
        <v>-10991151</v>
      </c>
      <c r="C5" s="3">
        <v>0</v>
      </c>
      <c r="D5" s="3">
        <v>0</v>
      </c>
      <c r="E5" s="3">
        <v>10991151</v>
      </c>
      <c r="F5" s="3">
        <v>10125778</v>
      </c>
    </row>
    <row r="6" spans="1:6" x14ac:dyDescent="0.3">
      <c r="A6" s="2" t="s">
        <v>8</v>
      </c>
      <c r="B6" s="3">
        <f t="shared" si="0"/>
        <v>-10255811</v>
      </c>
      <c r="C6" s="3">
        <v>0</v>
      </c>
      <c r="D6" s="3">
        <v>0</v>
      </c>
      <c r="E6" s="3">
        <v>10255811</v>
      </c>
      <c r="F6" s="3">
        <v>9736714</v>
      </c>
    </row>
    <row r="7" spans="1:6" x14ac:dyDescent="0.3">
      <c r="A7" s="2" t="s">
        <v>9</v>
      </c>
      <c r="B7" s="3">
        <f t="shared" si="0"/>
        <v>-8360732</v>
      </c>
      <c r="C7" s="3">
        <v>0</v>
      </c>
      <c r="D7" s="3">
        <v>0</v>
      </c>
      <c r="E7" s="3">
        <v>8360732</v>
      </c>
      <c r="F7" s="3">
        <v>8079822</v>
      </c>
    </row>
    <row r="8" spans="1:6" x14ac:dyDescent="0.3">
      <c r="A8" s="2" t="s">
        <v>10</v>
      </c>
      <c r="B8" s="3">
        <f t="shared" si="0"/>
        <v>-6455103</v>
      </c>
      <c r="C8" s="3">
        <v>0</v>
      </c>
      <c r="D8" s="3">
        <v>0</v>
      </c>
      <c r="E8" s="3">
        <v>6455103</v>
      </c>
      <c r="F8" s="3">
        <v>6236059</v>
      </c>
    </row>
    <row r="9" spans="1:6" x14ac:dyDescent="0.3">
      <c r="A9" s="2" t="s">
        <v>11</v>
      </c>
      <c r="B9" s="3">
        <f t="shared" si="0"/>
        <v>-6954891</v>
      </c>
      <c r="C9" s="3">
        <v>0</v>
      </c>
      <c r="D9" s="3">
        <v>0</v>
      </c>
      <c r="E9" s="3">
        <v>6954891</v>
      </c>
      <c r="F9" s="3">
        <v>6537065</v>
      </c>
    </row>
    <row r="10" spans="1:6" x14ac:dyDescent="0.3">
      <c r="A10" s="2" t="s">
        <v>12</v>
      </c>
      <c r="B10" s="3">
        <f t="shared" si="0"/>
        <v>-4118781</v>
      </c>
      <c r="C10" s="3">
        <v>0</v>
      </c>
      <c r="D10" s="3">
        <v>0</v>
      </c>
      <c r="E10" s="3">
        <v>4118781</v>
      </c>
      <c r="F10" s="3">
        <v>3810968</v>
      </c>
    </row>
    <row r="11" spans="1:6" x14ac:dyDescent="0.3">
      <c r="A11" s="2" t="s">
        <v>13</v>
      </c>
      <c r="B11" s="3">
        <f t="shared" si="0"/>
        <v>-5362413</v>
      </c>
      <c r="C11" s="3">
        <v>0</v>
      </c>
      <c r="D11" s="3">
        <v>0</v>
      </c>
      <c r="E11" s="3">
        <v>5362413</v>
      </c>
      <c r="F11" s="3">
        <v>5011808</v>
      </c>
    </row>
    <row r="12" spans="1:6" x14ac:dyDescent="0.3">
      <c r="A12" s="2" t="s">
        <v>14</v>
      </c>
      <c r="B12" s="3">
        <f t="shared" si="0"/>
        <v>-4872870</v>
      </c>
      <c r="C12" s="3">
        <v>0</v>
      </c>
      <c r="D12" s="3">
        <v>0</v>
      </c>
      <c r="E12" s="3">
        <v>4872870</v>
      </c>
      <c r="F12" s="3">
        <v>4265012</v>
      </c>
    </row>
    <row r="13" spans="1:6" x14ac:dyDescent="0.3">
      <c r="A13" s="2" t="s">
        <v>15</v>
      </c>
      <c r="B13" s="3">
        <f t="shared" si="0"/>
        <v>-320522</v>
      </c>
      <c r="C13" s="3">
        <v>0</v>
      </c>
      <c r="D13" s="3">
        <v>0</v>
      </c>
      <c r="E13" s="3">
        <v>320522</v>
      </c>
      <c r="F13" s="3">
        <v>284000</v>
      </c>
    </row>
    <row r="14" spans="1:6" x14ac:dyDescent="0.3">
      <c r="A14" s="2" t="s">
        <v>16</v>
      </c>
      <c r="B14" s="3">
        <f t="shared" si="0"/>
        <v>-11068208</v>
      </c>
      <c r="C14" s="3">
        <v>0</v>
      </c>
      <c r="D14" s="3">
        <v>0</v>
      </c>
      <c r="E14" s="3">
        <v>11068208</v>
      </c>
      <c r="F14" s="3">
        <v>10409530</v>
      </c>
    </row>
    <row r="15" spans="1:6" ht="17.25" thickBot="1" x14ac:dyDescent="0.35">
      <c r="A15" s="4" t="s">
        <v>17</v>
      </c>
      <c r="B15" s="5">
        <f>SUM(B3:B14)</f>
        <v>-74919882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74919882</v>
      </c>
      <c r="F15" s="5">
        <f t="shared" si="2"/>
        <v>69920691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-531739</v>
      </c>
      <c r="C3" s="3">
        <v>0</v>
      </c>
      <c r="D3" s="3">
        <v>0</v>
      </c>
      <c r="E3" s="3">
        <v>531739</v>
      </c>
      <c r="F3" s="3">
        <v>478819</v>
      </c>
    </row>
    <row r="4" spans="1:6" x14ac:dyDescent="0.3">
      <c r="A4" s="2" t="s">
        <v>6</v>
      </c>
      <c r="B4" s="3">
        <f t="shared" ref="B4:B14" si="0">C4-E4</f>
        <v>-2573090</v>
      </c>
      <c r="C4" s="3">
        <v>0</v>
      </c>
      <c r="D4" s="3">
        <v>0</v>
      </c>
      <c r="E4" s="3">
        <v>2573090</v>
      </c>
      <c r="F4" s="3">
        <v>2144213</v>
      </c>
    </row>
    <row r="5" spans="1:6" x14ac:dyDescent="0.3">
      <c r="A5" s="2" t="s">
        <v>7</v>
      </c>
      <c r="B5" s="3">
        <f t="shared" si="0"/>
        <v>-688488</v>
      </c>
      <c r="C5" s="3">
        <v>0</v>
      </c>
      <c r="D5" s="3">
        <v>0</v>
      </c>
      <c r="E5" s="3">
        <v>688488</v>
      </c>
      <c r="F5" s="3">
        <v>628895</v>
      </c>
    </row>
    <row r="6" spans="1:6" x14ac:dyDescent="0.3">
      <c r="A6" s="2" t="s">
        <v>8</v>
      </c>
      <c r="B6" s="3">
        <f t="shared" si="0"/>
        <v>-739463</v>
      </c>
      <c r="C6" s="3">
        <v>0</v>
      </c>
      <c r="D6" s="3">
        <v>0</v>
      </c>
      <c r="E6" s="3">
        <v>739463</v>
      </c>
      <c r="F6" s="3">
        <v>633540</v>
      </c>
    </row>
    <row r="7" spans="1:6" x14ac:dyDescent="0.3">
      <c r="A7" s="2" t="s">
        <v>9</v>
      </c>
      <c r="B7" s="3">
        <f t="shared" si="0"/>
        <v>-4015177</v>
      </c>
      <c r="C7" s="3">
        <v>0</v>
      </c>
      <c r="D7" s="3">
        <v>0</v>
      </c>
      <c r="E7" s="3">
        <v>4015177</v>
      </c>
      <c r="F7" s="3">
        <v>3252420</v>
      </c>
    </row>
    <row r="8" spans="1:6" x14ac:dyDescent="0.3">
      <c r="A8" s="2" t="s">
        <v>10</v>
      </c>
      <c r="B8" s="3">
        <f t="shared" si="0"/>
        <v>-407662</v>
      </c>
      <c r="C8" s="3">
        <v>0</v>
      </c>
      <c r="D8" s="3">
        <v>0</v>
      </c>
      <c r="E8" s="3">
        <v>407662</v>
      </c>
      <c r="F8" s="3">
        <v>326780</v>
      </c>
    </row>
    <row r="9" spans="1:6" x14ac:dyDescent="0.3">
      <c r="A9" s="2" t="s">
        <v>11</v>
      </c>
      <c r="B9" s="3">
        <f t="shared" si="0"/>
        <v>-216911</v>
      </c>
      <c r="C9" s="3">
        <v>0</v>
      </c>
      <c r="D9" s="3">
        <v>0</v>
      </c>
      <c r="E9" s="3">
        <v>216911</v>
      </c>
      <c r="F9" s="3">
        <v>175080</v>
      </c>
    </row>
    <row r="10" spans="1:6" x14ac:dyDescent="0.3">
      <c r="A10" s="2" t="s">
        <v>12</v>
      </c>
      <c r="B10" s="3">
        <f t="shared" si="0"/>
        <v>-4036652</v>
      </c>
      <c r="C10" s="3">
        <v>0</v>
      </c>
      <c r="D10" s="3">
        <v>0</v>
      </c>
      <c r="E10" s="3">
        <v>4036652</v>
      </c>
      <c r="F10" s="3">
        <v>3552912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-4427440</v>
      </c>
      <c r="C12" s="3">
        <v>0</v>
      </c>
      <c r="D12" s="3">
        <v>0</v>
      </c>
      <c r="E12" s="3">
        <v>4427440</v>
      </c>
      <c r="F12" s="3">
        <v>3403805</v>
      </c>
    </row>
    <row r="13" spans="1:6" x14ac:dyDescent="0.3">
      <c r="A13" s="2" t="s">
        <v>15</v>
      </c>
      <c r="B13" s="3">
        <f t="shared" si="0"/>
        <v>-7726043</v>
      </c>
      <c r="C13" s="3">
        <v>0</v>
      </c>
      <c r="D13" s="3">
        <v>0</v>
      </c>
      <c r="E13" s="3">
        <v>7726043</v>
      </c>
      <c r="F13" s="3">
        <v>5981097</v>
      </c>
    </row>
    <row r="14" spans="1:6" x14ac:dyDescent="0.3">
      <c r="A14" s="2" t="s">
        <v>16</v>
      </c>
      <c r="B14" s="3">
        <f t="shared" si="0"/>
        <v>-4639233</v>
      </c>
      <c r="C14" s="3">
        <v>0</v>
      </c>
      <c r="D14" s="3">
        <v>0</v>
      </c>
      <c r="E14" s="3">
        <v>4639233</v>
      </c>
      <c r="F14" s="3">
        <v>3737442</v>
      </c>
    </row>
    <row r="15" spans="1:6" ht="17.25" thickBot="1" x14ac:dyDescent="0.35">
      <c r="A15" s="4" t="s">
        <v>17</v>
      </c>
      <c r="B15" s="5">
        <f>SUM(B3:B14)</f>
        <v>-30001898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30001898</v>
      </c>
      <c r="F15" s="5">
        <f t="shared" si="2"/>
        <v>24315003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-362647</v>
      </c>
      <c r="C3" s="3">
        <v>0</v>
      </c>
      <c r="D3" s="3">
        <v>0</v>
      </c>
      <c r="E3" s="3">
        <v>362647</v>
      </c>
      <c r="F3" s="3">
        <v>283890</v>
      </c>
    </row>
    <row r="4" spans="1:6" x14ac:dyDescent="0.3">
      <c r="A4" s="2" t="s">
        <v>6</v>
      </c>
      <c r="B4" s="3">
        <f t="shared" ref="B4:B14" si="0">C4-E4</f>
        <v>-2635418</v>
      </c>
      <c r="C4" s="3">
        <v>0</v>
      </c>
      <c r="D4" s="3">
        <v>0</v>
      </c>
      <c r="E4" s="3">
        <v>2635418</v>
      </c>
      <c r="F4" s="3">
        <v>2089004</v>
      </c>
    </row>
    <row r="5" spans="1:6" x14ac:dyDescent="0.3">
      <c r="A5" s="2" t="s">
        <v>7</v>
      </c>
      <c r="B5" s="3">
        <f t="shared" si="0"/>
        <v>-2413024</v>
      </c>
      <c r="C5" s="3">
        <v>0</v>
      </c>
      <c r="D5" s="3">
        <v>0</v>
      </c>
      <c r="E5" s="3">
        <v>2413024</v>
      </c>
      <c r="F5" s="3">
        <v>1997689</v>
      </c>
    </row>
    <row r="6" spans="1:6" x14ac:dyDescent="0.3">
      <c r="A6" s="2" t="s">
        <v>8</v>
      </c>
      <c r="B6" s="3">
        <f t="shared" si="0"/>
        <v>-4806641</v>
      </c>
      <c r="C6" s="3">
        <v>0</v>
      </c>
      <c r="D6" s="3">
        <v>0</v>
      </c>
      <c r="E6" s="3">
        <v>4806641</v>
      </c>
      <c r="F6" s="3">
        <v>3885787</v>
      </c>
    </row>
    <row r="7" spans="1:6" x14ac:dyDescent="0.3">
      <c r="A7" s="2" t="s">
        <v>9</v>
      </c>
      <c r="B7" s="3">
        <f t="shared" si="0"/>
        <v>-8651856</v>
      </c>
      <c r="C7" s="3">
        <v>0</v>
      </c>
      <c r="D7" s="3">
        <v>0</v>
      </c>
      <c r="E7" s="3">
        <v>8651856</v>
      </c>
      <c r="F7" s="3">
        <v>7099781</v>
      </c>
    </row>
    <row r="8" spans="1:6" x14ac:dyDescent="0.3">
      <c r="A8" s="2" t="s">
        <v>10</v>
      </c>
      <c r="B8" s="3">
        <f t="shared" si="0"/>
        <v>-8022012</v>
      </c>
      <c r="C8" s="3">
        <v>0</v>
      </c>
      <c r="D8" s="3">
        <v>0</v>
      </c>
      <c r="E8" s="3">
        <v>8022012</v>
      </c>
      <c r="F8" s="3">
        <v>6185435</v>
      </c>
    </row>
    <row r="9" spans="1:6" x14ac:dyDescent="0.3">
      <c r="A9" s="2" t="s">
        <v>11</v>
      </c>
      <c r="B9" s="3">
        <f t="shared" si="0"/>
        <v>-6568824</v>
      </c>
      <c r="C9" s="3">
        <v>0</v>
      </c>
      <c r="D9" s="3">
        <v>0</v>
      </c>
      <c r="E9" s="3">
        <v>6568824</v>
      </c>
      <c r="F9" s="3">
        <v>4817492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-33460422</v>
      </c>
      <c r="C15" s="5">
        <f t="shared" ref="C15:F15" si="1">SUM(C3:C14)</f>
        <v>0</v>
      </c>
      <c r="D15" s="5">
        <f t="shared" si="1"/>
        <v>0</v>
      </c>
      <c r="E15" s="5">
        <f t="shared" si="1"/>
        <v>33460422</v>
      </c>
      <c r="F15" s="5">
        <f t="shared" si="1"/>
        <v>26359078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2026-09-07T00:59:06Z</dcterms:modified>
</cp:coreProperties>
</file>