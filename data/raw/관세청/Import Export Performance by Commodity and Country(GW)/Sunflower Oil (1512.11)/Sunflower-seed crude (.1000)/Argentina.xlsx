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해바라기유\1512.11(조유)\.100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E15" i="1"/>
  <c r="D15" i="1"/>
  <c r="C15" i="1"/>
  <c r="B15" i="1"/>
  <c r="C15" i="13" l="1"/>
  <c r="D15" i="13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7" l="1"/>
  <c r="B15" i="16"/>
  <c r="B15" i="15"/>
  <c r="B15" i="14"/>
  <c r="B15" i="13"/>
  <c r="B15" i="12"/>
  <c r="B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s="1"/>
  <c r="B14" i="1" l="1"/>
  <c r="B13" i="1"/>
  <c r="B12" i="1"/>
  <c r="B11" i="1"/>
  <c r="B10" i="1"/>
  <c r="B9" i="1"/>
  <c r="B8" i="1"/>
  <c r="B7" i="1"/>
  <c r="B6" i="1"/>
  <c r="B5" i="1"/>
  <c r="B4" i="1"/>
  <c r="B3" i="1"/>
  <c r="F15" i="9" l="1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2"/>
  <c r="C15" i="2"/>
  <c r="F15" i="2"/>
  <c r="E15" i="2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<sst xmlns="http://schemas.openxmlformats.org/spreadsheetml/2006/main" count="306" uniqueCount="36">
  <si>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</si>
  <si>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</si>
  <si>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</si>
  <si>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</si>
  <si>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</si>
  <si>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</si>
  <si>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</si>
  <si>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</si>
  <si>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</si>
  <si>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</si>
  <si>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</si>
  <si>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</si>
  <si>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</si>
  <si>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</si>
  <si>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</si>
  <si>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</si>
  <si>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</si>
  <si>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</si>
  <si>
    <t>수출액(달러)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</si>
  <si>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</si>
  <si>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</si>
  <si>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</si>
  <si>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</si>
  <si>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</si>
  <si>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수입량(kg)</t>
    <phoneticPr fontId="1" type="noConversion"/>
  </si>
  <si>
    <t>1월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</si>
  <si>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</si>
  <si>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</si>
  <si>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</si>
  <si>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3월</t>
    <phoneticPr fontId="1" type="noConversion"/>
  </si>
  <si>
    <t>총계</t>
    <phoneticPr fontId="1" type="noConversion"/>
  </si>
  <si>
    <t>총계</t>
    <phoneticPr fontId="1" type="noConversion"/>
  </si>
  <si>
    <t>무역수지(달러)</t>
    <phoneticPr fontId="1" type="noConversion"/>
  </si>
  <si>
    <t>무역수지(달러)</t>
    <phoneticPr fontId="1" type="noConversion"/>
  </si>
  <si>
    <t>2월</t>
    <phoneticPr fontId="1" type="noConversion"/>
  </si>
  <si>
    <t>총계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</si>
</sst>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0" fillId="0" borderId="0" xfId="0" quotePrefix="1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26</v>
      </c>
      <c r="B3" s="2">
        <f>C3-E3</f>
        <v>-81212</v>
      </c>
      <c r="C3" s="2">
        <v>0</v>
      </c>
      <c r="D3" s="2">
        <v>0</v>
      </c>
      <c r="E3" s="2">
        <v>81212</v>
      </c>
      <c r="F3" s="2">
        <v>99358</v>
      </c>
    </row>
    <row r="4" spans="1:6" x14ac:dyDescent="0.3">
      <c r="A4" s="1" t="s">
        <v>27</v>
      </c>
      <c r="B4" s="2">
        <f t="shared" ref="B4:B14" si="0">C4-E4</f>
        <v>-81212</v>
      </c>
      <c r="C4" s="2">
        <v>0</v>
      </c>
      <c r="D4" s="2">
        <v>0</v>
      </c>
      <c r="E4" s="2">
        <v>81212</v>
      </c>
      <c r="F4" s="2">
        <v>99358</v>
      </c>
    </row>
    <row r="5" spans="1:6" x14ac:dyDescent="0.3">
      <c r="A5" s="1" t="s">
        <v>29</v>
      </c>
      <c r="B5" s="2">
        <f t="shared" si="0"/>
        <v>-91128</v>
      </c>
      <c r="C5" s="2">
        <v>0</v>
      </c>
      <c r="D5" s="2">
        <v>0</v>
      </c>
      <c r="E5" s="2">
        <v>91128</v>
      </c>
      <c r="F5" s="2">
        <v>107065</v>
      </c>
    </row>
    <row r="6" spans="1:6" x14ac:dyDescent="0.3">
      <c r="A6" s="1" t="s">
        <v>3</v>
      </c>
      <c r="B6" s="2">
        <f t="shared" si="0"/>
        <v>-103795</v>
      </c>
      <c r="C6" s="2">
        <v>0</v>
      </c>
      <c r="D6" s="2">
        <v>0</v>
      </c>
      <c r="E6" s="2">
        <v>103795</v>
      </c>
      <c r="F6" s="2">
        <v>116974</v>
      </c>
    </row>
    <row r="7" spans="1:6" x14ac:dyDescent="0.3">
      <c r="A7" s="1" t="s">
        <v>4</v>
      </c>
      <c r="B7" s="2">
        <f t="shared" si="0"/>
        <v>-91034</v>
      </c>
      <c r="C7" s="2">
        <v>0</v>
      </c>
      <c r="D7" s="2">
        <v>0</v>
      </c>
      <c r="E7" s="2">
        <v>91034</v>
      </c>
      <c r="F7" s="2">
        <v>107065</v>
      </c>
    </row>
    <row r="8" spans="1:6" x14ac:dyDescent="0.3">
      <c r="A8" s="1" t="s">
        <v>5</v>
      </c>
      <c r="B8" s="2">
        <f t="shared" si="0"/>
        <v>-13765</v>
      </c>
      <c r="C8" s="2">
        <v>0</v>
      </c>
      <c r="D8" s="2">
        <v>0</v>
      </c>
      <c r="E8" s="2">
        <v>13765</v>
      </c>
      <c r="F8" s="2">
        <v>11011</v>
      </c>
    </row>
    <row r="9" spans="1:6" x14ac:dyDescent="0.3">
      <c r="A9" s="1" t="s">
        <v>6</v>
      </c>
      <c r="B9" s="2">
        <f t="shared" si="0"/>
        <v>-300482</v>
      </c>
      <c r="C9" s="2">
        <v>0</v>
      </c>
      <c r="D9" s="2">
        <v>0</v>
      </c>
      <c r="E9" s="2">
        <v>300482</v>
      </c>
      <c r="F9" s="2">
        <v>366660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-8489</v>
      </c>
      <c r="C13" s="2">
        <v>0</v>
      </c>
      <c r="D13" s="2">
        <v>0</v>
      </c>
      <c r="E13" s="2">
        <v>8489</v>
      </c>
      <c r="F13" s="2">
        <v>6166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31</v>
      </c>
      <c r="B15" s="5">
        <f>SUM(B3:B14)</f>
        <v>-771117</v>
      </c>
      <c r="C15" s="5">
        <f t="shared" ref="C15:F15" si="1">SUM(C3:C14)</f>
        <v>0</v>
      </c>
      <c r="D15" s="5">
        <f t="shared" si="1"/>
        <v>0</v>
      </c>
      <c r="E15" s="5">
        <f t="shared" si="1"/>
        <v>771117</v>
      </c>
      <c r="F15" s="5">
        <f t="shared" si="1"/>
        <v>913657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26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-211812</v>
      </c>
      <c r="C4" s="2">
        <v>0</v>
      </c>
      <c r="D4" s="2">
        <v>0</v>
      </c>
      <c r="E4" s="2">
        <v>211812</v>
      </c>
      <c r="F4" s="2">
        <v>124830</v>
      </c>
    </row>
    <row r="5" spans="1:6" x14ac:dyDescent="0.3">
      <c r="A5" s="1" t="s">
        <v>29</v>
      </c>
      <c r="B5" s="2">
        <f t="shared" si="0"/>
        <v>-208673</v>
      </c>
      <c r="C5" s="2">
        <v>0</v>
      </c>
      <c r="D5" s="2">
        <v>0</v>
      </c>
      <c r="E5" s="2">
        <v>208673</v>
      </c>
      <c r="F5" s="2">
        <v>122980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-360458</v>
      </c>
      <c r="C9" s="2">
        <v>0</v>
      </c>
      <c r="D9" s="2">
        <v>0</v>
      </c>
      <c r="E9" s="2">
        <v>360458</v>
      </c>
      <c r="F9" s="2">
        <v>211310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31</v>
      </c>
      <c r="B15" s="5">
        <f>SUM(B3:B14)</f>
        <v>-780943</v>
      </c>
      <c r="C15" s="5">
        <f t="shared" ref="C15:F15" si="1">SUM(C3:C14)</f>
        <v>0</v>
      </c>
      <c r="D15" s="5">
        <f t="shared" si="1"/>
        <v>0</v>
      </c>
      <c r="E15" s="5">
        <f t="shared" si="1"/>
        <v>780943</v>
      </c>
      <c r="F15" s="5">
        <f t="shared" si="1"/>
        <v>459120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26</v>
      </c>
      <c r="B3" s="2">
        <f>C3-E3</f>
        <v>-14</v>
      </c>
      <c r="C3" s="2">
        <v>0</v>
      </c>
      <c r="D3" s="2">
        <v>0</v>
      </c>
      <c r="E3" s="2">
        <v>14</v>
      </c>
      <c r="F3" s="2">
        <v>1</v>
      </c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29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-6086155</v>
      </c>
      <c r="C8" s="2">
        <v>0</v>
      </c>
      <c r="D8" s="2">
        <v>0</v>
      </c>
      <c r="E8" s="2">
        <v>6086155</v>
      </c>
      <c r="F8" s="2">
        <v>4994923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-82060</v>
      </c>
      <c r="C12" s="2">
        <v>0</v>
      </c>
      <c r="D12" s="2">
        <v>0</v>
      </c>
      <c r="E12" s="2">
        <v>82060</v>
      </c>
      <c r="F12" s="2">
        <v>44000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-6168229</v>
      </c>
      <c r="C15" s="5">
        <f t="shared" ref="C15:F15" si="1">SUM(C3:C14)</f>
        <v>0</v>
      </c>
      <c r="D15" s="5">
        <f t="shared" si="1"/>
        <v>0</v>
      </c>
      <c r="E15" s="5">
        <f t="shared" si="1"/>
        <v>6168229</v>
      </c>
      <c r="F15" s="5">
        <f t="shared" si="1"/>
        <v>5038924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32</v>
      </c>
      <c r="C2" s="3" t="s">
        <v>20</v>
      </c>
      <c r="D2" s="3" t="s">
        <v>21</v>
      </c>
      <c r="E2" s="3" t="s">
        <v>22</v>
      </c>
      <c r="F2" s="3" t="s">
        <v>23</v>
      </c>
    </row>
    <row r="3" spans="1:6" x14ac:dyDescent="0.3">
      <c r="A3" s="1" t="s">
        <v>26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29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-87780</v>
      </c>
      <c r="C8" s="2">
        <v>0</v>
      </c>
      <c r="D8" s="2">
        <v>0</v>
      </c>
      <c r="E8" s="2">
        <v>87780</v>
      </c>
      <c r="F8" s="2">
        <v>44000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31</v>
      </c>
      <c r="B15" s="5">
        <f>SUM(B3:B14)</f>
        <v>-87780</v>
      </c>
      <c r="C15" s="5">
        <f t="shared" ref="C15:F15" si="1">SUM(C3:C14)</f>
        <v>0</v>
      </c>
      <c r="D15" s="5">
        <f t="shared" si="1"/>
        <v>0</v>
      </c>
      <c r="E15" s="5">
        <f t="shared" si="1"/>
        <v>87780</v>
      </c>
      <c r="F15" s="5">
        <f t="shared" si="1"/>
        <v>44000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33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26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34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29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-15</v>
      </c>
      <c r="C7" s="2">
        <v>0</v>
      </c>
      <c r="D7" s="2">
        <v>0</v>
      </c>
      <c r="E7" s="2">
        <v>15</v>
      </c>
      <c r="F7" s="2">
        <v>1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-15</v>
      </c>
      <c r="C9" s="2">
        <v>0</v>
      </c>
      <c r="D9" s="2">
        <v>0</v>
      </c>
      <c r="E9" s="2">
        <v>15</v>
      </c>
      <c r="F9" s="2">
        <v>1</v>
      </c>
    </row>
    <row r="10" spans="1:6" x14ac:dyDescent="0.3">
      <c r="A10" s="1" t="s">
        <v>7</v>
      </c>
      <c r="B10" s="2">
        <f t="shared" si="0"/>
        <v>-15</v>
      </c>
      <c r="C10" s="2">
        <v>0</v>
      </c>
      <c r="D10" s="2">
        <v>0</v>
      </c>
      <c r="E10" s="2">
        <v>15</v>
      </c>
      <c r="F10" s="2">
        <v>1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-29</v>
      </c>
      <c r="C12" s="2">
        <v>0</v>
      </c>
      <c r="D12" s="2">
        <v>0</v>
      </c>
      <c r="E12" s="2">
        <v>29</v>
      </c>
      <c r="F12" s="2">
        <v>2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35</v>
      </c>
      <c r="B15" s="5">
        <f>SUM(B3:B14)</f>
        <v>-74</v>
      </c>
      <c r="C15" s="5">
        <f t="shared" ref="C15:F15" si="1">SUM(C3:C14)</f>
        <v>0</v>
      </c>
      <c r="D15" s="5">
        <f t="shared" si="1"/>
        <v>0</v>
      </c>
      <c r="E15" s="5">
        <f t="shared" si="1"/>
        <v>74</v>
      </c>
      <c r="F15" s="5">
        <f t="shared" si="1"/>
        <v>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</row>
    <row r="3" spans="1:6" x14ac:dyDescent="0.3">
      <c r="A3" s="1" t="s">
        <v>26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29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31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25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31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18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-21</v>
      </c>
      <c r="C4" s="2">
        <v>0</v>
      </c>
      <c r="D4" s="2">
        <v>0</v>
      </c>
      <c r="E4" s="2">
        <v>21</v>
      </c>
      <c r="F4" s="2">
        <v>3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-15</v>
      </c>
      <c r="C10" s="2">
        <v>0</v>
      </c>
      <c r="D10" s="2">
        <v>0</v>
      </c>
      <c r="E10" s="2">
        <v>15</v>
      </c>
      <c r="F10" s="2">
        <v>1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-36</v>
      </c>
      <c r="C15" s="5">
        <f t="shared" ref="C15:F15" si="1">SUM(C3:C14)</f>
        <v>0</v>
      </c>
      <c r="D15" s="5">
        <f t="shared" si="1"/>
        <v>0</v>
      </c>
      <c r="E15" s="5">
        <f t="shared" si="1"/>
        <v>36</v>
      </c>
      <c r="F15" s="5">
        <f t="shared" si="1"/>
        <v>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18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-19</v>
      </c>
      <c r="C5" s="2">
        <v>0</v>
      </c>
      <c r="D5" s="2">
        <v>0</v>
      </c>
      <c r="E5" s="2">
        <v>19</v>
      </c>
      <c r="F5" s="2">
        <v>2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-19</v>
      </c>
      <c r="C15" s="5">
        <f t="shared" ref="C15:F15" si="1">SUM(C3:C14)</f>
        <v>0</v>
      </c>
      <c r="D15" s="5">
        <f t="shared" si="1"/>
        <v>0</v>
      </c>
      <c r="E15" s="5">
        <f t="shared" si="1"/>
        <v>19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-111</v>
      </c>
      <c r="C8" s="2">
        <v>0</v>
      </c>
      <c r="D8" s="2">
        <v>0</v>
      </c>
      <c r="E8" s="2">
        <v>111</v>
      </c>
      <c r="F8" s="2">
        <v>25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6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-111</v>
      </c>
      <c r="C15" s="5">
        <f t="shared" ref="C15:F15" si="1">SUM(C3:C14)</f>
        <v>0</v>
      </c>
      <c r="D15" s="5">
        <f t="shared" si="1"/>
        <v>0</v>
      </c>
      <c r="E15" s="5">
        <f t="shared" si="1"/>
        <v>111</v>
      </c>
      <c r="F15" s="5">
        <f t="shared" si="1"/>
        <v>25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2026-09-01T03:15:48Z</dcterms:modified>
</cp:coreProperties>
</file>