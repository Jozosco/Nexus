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9000(기타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6" l="1"/>
  <c r="D15" i="6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1" l="1"/>
  <c r="B15" i="10"/>
  <c r="B15" i="17"/>
  <c r="B15" i="12"/>
  <c r="B15" i="13"/>
  <c r="B15" i="14"/>
  <c r="B15" i="15"/>
  <c r="B15" i="16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<sst xmlns="http://schemas.openxmlformats.org/spreadsheetml/2006/main" count="306" uniqueCount="37">
  <si>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</si>
  <si>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</si>
  <si>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</si>
  <si>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</si>
  <si>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</si>
  <si>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</si>
  <si>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</si>
  <si>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</si>
  <si>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</si>
  <si>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</si>
  <si>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</si>
  <si>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</si>
  <si>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</si>
  <si>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</si>
  <si>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</si>
  <si>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</si>
  <si>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</si>
  <si>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</si>
  <si>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</si>
  <si>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</si>
  <si>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</si>
  <si>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</si>
  <si>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</si>
  <si>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</si>
  <si>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</si>
  <si>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</si>
  <si>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</si>
  <si>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</si>
  <si>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</si>
  <si>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</si>
  <si>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</si>
  <si>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</si>
  <si>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수입량(kg)</t>
    <phoneticPr fontId="1" type="noConversion"/>
  </si>
  <si>
    <t>3월</t>
    <phoneticPr fontId="1" type="noConversion"/>
  </si>
  <si>
    <t>총계</t>
    <phoneticPr fontId="1" type="noConversion"/>
  </si>
  <si>
    <t>수출량(kg)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</si>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</sst>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18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-185</v>
      </c>
      <c r="C7" s="3">
        <v>0</v>
      </c>
      <c r="D7" s="3">
        <v>0</v>
      </c>
      <c r="E7" s="3">
        <v>185</v>
      </c>
      <c r="F7" s="3">
        <v>77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20</v>
      </c>
      <c r="B15" s="5">
        <f>SUM(B3:B14)</f>
        <v>-185</v>
      </c>
      <c r="C15" s="5">
        <f t="shared" ref="C15:F15" si="1">SUM(C3:C14)</f>
        <v>0</v>
      </c>
      <c r="D15" s="5">
        <f t="shared" si="1"/>
        <v>0</v>
      </c>
      <c r="E15" s="5">
        <f t="shared" si="1"/>
        <v>185</v>
      </c>
      <c r="F15" s="5">
        <f t="shared" si="1"/>
        <v>77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28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29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2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-138</v>
      </c>
      <c r="C8" s="3">
        <v>0</v>
      </c>
      <c r="D8" s="3">
        <v>0</v>
      </c>
      <c r="E8" s="3">
        <v>138</v>
      </c>
      <c r="F8" s="3">
        <v>16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-138</v>
      </c>
      <c r="C15" s="5">
        <f t="shared" ref="C15:F15" si="1">SUM(C3:C14)</f>
        <v>0</v>
      </c>
      <c r="D15" s="5">
        <f t="shared" si="1"/>
        <v>0</v>
      </c>
      <c r="E15" s="5">
        <f t="shared" si="1"/>
        <v>138</v>
      </c>
      <c r="F15" s="5">
        <f t="shared" si="1"/>
        <v>16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4</v>
      </c>
    </row>
    <row r="3" spans="1:6" x14ac:dyDescent="0.3">
      <c r="A3" s="2" t="s">
        <v>26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-33</v>
      </c>
      <c r="C8" s="3">
        <v>0</v>
      </c>
      <c r="D8" s="3">
        <v>0</v>
      </c>
      <c r="E8" s="3">
        <v>33</v>
      </c>
      <c r="F8" s="3">
        <v>1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-760</v>
      </c>
      <c r="C10" s="3">
        <v>0</v>
      </c>
      <c r="D10" s="3">
        <v>0</v>
      </c>
      <c r="E10" s="3">
        <v>760</v>
      </c>
      <c r="F10" s="3">
        <v>66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-793</v>
      </c>
      <c r="C15" s="5">
        <f t="shared" ref="C15:F15" si="1">SUM(C3:C14)</f>
        <v>0</v>
      </c>
      <c r="D15" s="5">
        <f t="shared" si="1"/>
        <v>0</v>
      </c>
      <c r="E15" s="5">
        <f t="shared" si="1"/>
        <v>793</v>
      </c>
      <c r="F15" s="5">
        <f t="shared" si="1"/>
        <v>67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27</v>
      </c>
      <c r="B4" s="3">
        <f t="shared" si="0"/>
        <v>-44</v>
      </c>
      <c r="C4" s="3">
        <v>0</v>
      </c>
      <c r="D4" s="3">
        <v>0</v>
      </c>
      <c r="E4" s="3">
        <v>44</v>
      </c>
      <c r="F4" s="3">
        <v>8</v>
      </c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-22</v>
      </c>
      <c r="C10" s="3">
        <v>0</v>
      </c>
      <c r="D10" s="3">
        <v>0</v>
      </c>
      <c r="E10" s="3">
        <v>22</v>
      </c>
      <c r="F10" s="3">
        <v>4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-66</v>
      </c>
      <c r="C15" s="5">
        <f t="shared" ref="C15:F15" si="1">SUM(C3:C14)</f>
        <v>0</v>
      </c>
      <c r="D15" s="5">
        <f t="shared" si="1"/>
        <v>0</v>
      </c>
      <c r="E15" s="5">
        <f t="shared" si="1"/>
        <v>66</v>
      </c>
      <c r="F15" s="5">
        <f t="shared" si="1"/>
        <v>12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18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19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-1651</v>
      </c>
      <c r="C5" s="3">
        <v>0</v>
      </c>
      <c r="D5" s="3">
        <v>0</v>
      </c>
      <c r="E5" s="3">
        <v>1651</v>
      </c>
      <c r="F5" s="3">
        <v>114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-96172</v>
      </c>
      <c r="C7" s="3">
        <v>0</v>
      </c>
      <c r="D7" s="3">
        <v>0</v>
      </c>
      <c r="E7" s="3">
        <v>96172</v>
      </c>
      <c r="F7" s="3">
        <v>72413</v>
      </c>
    </row>
    <row r="8" spans="1:6" x14ac:dyDescent="0.3">
      <c r="A8" s="2" t="s">
        <v>10</v>
      </c>
      <c r="B8" s="3">
        <f t="shared" si="0"/>
        <v>-100618</v>
      </c>
      <c r="C8" s="3">
        <v>0</v>
      </c>
      <c r="D8" s="3">
        <v>0</v>
      </c>
      <c r="E8" s="3">
        <v>100618</v>
      </c>
      <c r="F8" s="3">
        <v>76204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-98030</v>
      </c>
      <c r="C11" s="3">
        <v>0</v>
      </c>
      <c r="D11" s="3">
        <v>0</v>
      </c>
      <c r="E11" s="3">
        <v>98030</v>
      </c>
      <c r="F11" s="3">
        <v>76205</v>
      </c>
    </row>
    <row r="12" spans="1:6" x14ac:dyDescent="0.3">
      <c r="A12" s="2" t="s">
        <v>14</v>
      </c>
      <c r="B12" s="3">
        <f t="shared" si="0"/>
        <v>-98015</v>
      </c>
      <c r="C12" s="3">
        <v>0</v>
      </c>
      <c r="D12" s="3">
        <v>0</v>
      </c>
      <c r="E12" s="3">
        <v>98015</v>
      </c>
      <c r="F12" s="3">
        <v>76205</v>
      </c>
    </row>
    <row r="13" spans="1:6" x14ac:dyDescent="0.3">
      <c r="A13" s="2" t="s">
        <v>15</v>
      </c>
      <c r="B13" s="3">
        <f t="shared" si="0"/>
        <v>-98042</v>
      </c>
      <c r="C13" s="3">
        <v>0</v>
      </c>
      <c r="D13" s="3">
        <v>0</v>
      </c>
      <c r="E13" s="3">
        <v>98042</v>
      </c>
      <c r="F13" s="3">
        <v>76206</v>
      </c>
    </row>
    <row r="14" spans="1:6" x14ac:dyDescent="0.3">
      <c r="A14" s="2" t="s">
        <v>16</v>
      </c>
      <c r="B14" s="3">
        <f t="shared" si="0"/>
        <v>-97944</v>
      </c>
      <c r="C14" s="3">
        <v>0</v>
      </c>
      <c r="D14" s="3">
        <v>0</v>
      </c>
      <c r="E14" s="3">
        <v>97944</v>
      </c>
      <c r="F14" s="3">
        <v>76204</v>
      </c>
    </row>
    <row r="15" spans="1:6" ht="17.25" thickBot="1" x14ac:dyDescent="0.35">
      <c r="A15" s="4" t="s">
        <v>20</v>
      </c>
      <c r="B15" s="5">
        <f>SUM(B3:B14)</f>
        <v>-590472</v>
      </c>
      <c r="C15" s="5">
        <f t="shared" ref="C15:F15" si="1">SUM(C3:C14)</f>
        <v>0</v>
      </c>
      <c r="D15" s="5">
        <f t="shared" si="1"/>
        <v>0</v>
      </c>
      <c r="E15" s="5">
        <f t="shared" si="1"/>
        <v>590472</v>
      </c>
      <c r="F15" s="5">
        <f t="shared" si="1"/>
        <v>453551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30</v>
      </c>
      <c r="C2" s="1" t="s">
        <v>31</v>
      </c>
      <c r="D2" s="1" t="s">
        <v>35</v>
      </c>
      <c r="E2" s="1" t="s">
        <v>24</v>
      </c>
      <c r="F2" s="1" t="s">
        <v>32</v>
      </c>
    </row>
    <row r="3" spans="1:6" x14ac:dyDescent="0.3">
      <c r="A3" s="2" t="s">
        <v>26</v>
      </c>
      <c r="B3" s="3">
        <f t="shared" ref="B3:B14" si="0">C3-E3</f>
        <v>-92184</v>
      </c>
      <c r="C3" s="3">
        <v>0</v>
      </c>
      <c r="D3" s="3">
        <v>0</v>
      </c>
      <c r="E3" s="3">
        <v>92184</v>
      </c>
      <c r="F3" s="3">
        <v>76205</v>
      </c>
    </row>
    <row r="4" spans="1:6" x14ac:dyDescent="0.3">
      <c r="A4" s="2" t="s">
        <v>27</v>
      </c>
      <c r="B4" s="3">
        <f t="shared" si="0"/>
        <v>-92184</v>
      </c>
      <c r="C4" s="3">
        <v>0</v>
      </c>
      <c r="D4" s="3">
        <v>0</v>
      </c>
      <c r="E4" s="3">
        <v>92184</v>
      </c>
      <c r="F4" s="3">
        <v>76205</v>
      </c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-58</v>
      </c>
      <c r="C10" s="3">
        <v>0</v>
      </c>
      <c r="D10" s="3">
        <v>0</v>
      </c>
      <c r="E10" s="3">
        <v>58</v>
      </c>
      <c r="F10" s="3">
        <v>14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-8</v>
      </c>
      <c r="C13" s="3">
        <v>0</v>
      </c>
      <c r="D13" s="3">
        <v>0</v>
      </c>
      <c r="E13" s="3">
        <v>8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36</v>
      </c>
      <c r="B15" s="5">
        <f>SUM(B3:B14)</f>
        <v>-184434</v>
      </c>
      <c r="C15" s="5">
        <f t="shared" ref="C15:F15" si="1">SUM(C3:C14)</f>
        <v>0</v>
      </c>
      <c r="D15" s="5">
        <f t="shared" si="1"/>
        <v>0</v>
      </c>
      <c r="E15" s="5">
        <f t="shared" si="1"/>
        <v>184434</v>
      </c>
      <c r="F15" s="5">
        <f t="shared" si="1"/>
        <v>152424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-4277</v>
      </c>
      <c r="C7" s="3">
        <v>0</v>
      </c>
      <c r="D7" s="3">
        <v>0</v>
      </c>
      <c r="E7" s="3">
        <v>4277</v>
      </c>
      <c r="F7" s="3">
        <v>500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-50</v>
      </c>
      <c r="C10" s="3">
        <v>0</v>
      </c>
      <c r="D10" s="3">
        <v>0</v>
      </c>
      <c r="E10" s="3">
        <v>50</v>
      </c>
      <c r="F10" s="3">
        <v>12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-4327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4327</v>
      </c>
      <c r="F15" s="5">
        <f t="shared" si="2"/>
        <v>512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-540</v>
      </c>
      <c r="C6" s="3">
        <v>0</v>
      </c>
      <c r="D6" s="3">
        <v>0</v>
      </c>
      <c r="E6" s="3">
        <v>540</v>
      </c>
      <c r="F6" s="3">
        <v>111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-540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540</v>
      </c>
      <c r="F15" s="5">
        <f t="shared" si="2"/>
        <v>111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-22</v>
      </c>
      <c r="C3" s="3">
        <v>0</v>
      </c>
      <c r="D3" s="3">
        <v>0</v>
      </c>
      <c r="E3" s="3">
        <v>22</v>
      </c>
      <c r="F3" s="3">
        <v>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-322</v>
      </c>
      <c r="C6" s="3">
        <v>0</v>
      </c>
      <c r="D6" s="3">
        <v>0</v>
      </c>
      <c r="E6" s="3">
        <v>322</v>
      </c>
      <c r="F6" s="3">
        <v>2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-28</v>
      </c>
      <c r="C9" s="3">
        <v>0</v>
      </c>
      <c r="D9" s="3">
        <v>0</v>
      </c>
      <c r="E9" s="3">
        <v>28</v>
      </c>
      <c r="F9" s="3">
        <v>0</v>
      </c>
    </row>
    <row r="10" spans="1:6" x14ac:dyDescent="0.3">
      <c r="A10" s="2" t="s">
        <v>12</v>
      </c>
      <c r="B10" s="3">
        <f t="shared" si="0"/>
        <v>-25</v>
      </c>
      <c r="C10" s="3">
        <v>0</v>
      </c>
      <c r="D10" s="3">
        <v>0</v>
      </c>
      <c r="E10" s="3">
        <v>25</v>
      </c>
      <c r="F10" s="3">
        <v>0</v>
      </c>
    </row>
    <row r="11" spans="1:6" x14ac:dyDescent="0.3">
      <c r="A11" s="2" t="s">
        <v>13</v>
      </c>
      <c r="B11" s="3">
        <f t="shared" si="0"/>
        <v>-39</v>
      </c>
      <c r="C11" s="3">
        <v>0</v>
      </c>
      <c r="D11" s="3">
        <v>0</v>
      </c>
      <c r="E11" s="3">
        <v>39</v>
      </c>
      <c r="F11" s="3">
        <v>1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-22</v>
      </c>
      <c r="C13" s="3">
        <v>0</v>
      </c>
      <c r="D13" s="3">
        <v>0</v>
      </c>
      <c r="E13" s="3">
        <v>22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-458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458</v>
      </c>
      <c r="F15" s="5">
        <f t="shared" si="2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-387</v>
      </c>
      <c r="C5" s="3">
        <v>0</v>
      </c>
      <c r="D5" s="3">
        <v>0</v>
      </c>
      <c r="E5" s="3">
        <v>387</v>
      </c>
      <c r="F5" s="3">
        <v>20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-3567</v>
      </c>
      <c r="C8" s="3">
        <v>0</v>
      </c>
      <c r="D8" s="3">
        <v>0</v>
      </c>
      <c r="E8" s="3">
        <v>3567</v>
      </c>
      <c r="F8" s="3">
        <v>450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-33</v>
      </c>
      <c r="C11" s="3">
        <v>0</v>
      </c>
      <c r="D11" s="3">
        <v>0</v>
      </c>
      <c r="E11" s="3">
        <v>33</v>
      </c>
      <c r="F11" s="3">
        <v>1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-3987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3987</v>
      </c>
      <c r="F15" s="5">
        <f t="shared" si="2"/>
        <v>471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-6910</v>
      </c>
      <c r="C8" s="3">
        <v>0</v>
      </c>
      <c r="D8" s="3">
        <v>0</v>
      </c>
      <c r="E8" s="3">
        <v>6910</v>
      </c>
      <c r="F8" s="3">
        <v>359</v>
      </c>
    </row>
    <row r="9" spans="1:6" x14ac:dyDescent="0.3">
      <c r="A9" s="2" t="s">
        <v>11</v>
      </c>
      <c r="B9" s="3">
        <f t="shared" si="0"/>
        <v>-18</v>
      </c>
      <c r="C9" s="3">
        <v>0</v>
      </c>
      <c r="D9" s="3">
        <v>0</v>
      </c>
      <c r="E9" s="3">
        <v>18</v>
      </c>
      <c r="F9" s="3">
        <v>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-6928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6928</v>
      </c>
      <c r="F15" s="5">
        <f t="shared" si="2"/>
        <v>360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555</v>
      </c>
      <c r="C9" s="3">
        <v>575</v>
      </c>
      <c r="D9" s="3">
        <v>100</v>
      </c>
      <c r="E9" s="3">
        <v>20</v>
      </c>
      <c r="F9" s="3">
        <v>2</v>
      </c>
    </row>
    <row r="10" spans="1:6" x14ac:dyDescent="0.3">
      <c r="A10" s="2" t="s">
        <v>12</v>
      </c>
      <c r="B10" s="3">
        <f t="shared" si="0"/>
        <v>-54</v>
      </c>
      <c r="C10" s="3">
        <v>0</v>
      </c>
      <c r="D10" s="3">
        <v>0</v>
      </c>
      <c r="E10" s="3">
        <v>54</v>
      </c>
      <c r="F10" s="3">
        <v>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501</v>
      </c>
      <c r="C15" s="5">
        <f t="shared" ref="C15" si="1">SUM(C3:C14)</f>
        <v>575</v>
      </c>
      <c r="D15" s="5">
        <f t="shared" ref="D15:F15" si="2">SUM(D3:D14)</f>
        <v>100</v>
      </c>
      <c r="E15" s="5">
        <f t="shared" si="2"/>
        <v>74</v>
      </c>
      <c r="F15" s="5">
        <f t="shared" si="2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-41</v>
      </c>
      <c r="C7" s="3">
        <v>0</v>
      </c>
      <c r="D7" s="3">
        <v>0</v>
      </c>
      <c r="E7" s="3">
        <v>41</v>
      </c>
      <c r="F7" s="3">
        <v>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-15</v>
      </c>
      <c r="C9" s="3">
        <v>0</v>
      </c>
      <c r="D9" s="3">
        <v>0</v>
      </c>
      <c r="E9" s="3">
        <v>15</v>
      </c>
      <c r="F9" s="3">
        <v>1</v>
      </c>
    </row>
    <row r="10" spans="1:6" x14ac:dyDescent="0.3">
      <c r="A10" s="2" t="s">
        <v>12</v>
      </c>
      <c r="B10" s="3">
        <f t="shared" si="0"/>
        <v>-15</v>
      </c>
      <c r="C10" s="3">
        <v>0</v>
      </c>
      <c r="D10" s="3">
        <v>0</v>
      </c>
      <c r="E10" s="3">
        <v>15</v>
      </c>
      <c r="F10" s="3">
        <v>1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-162</v>
      </c>
      <c r="C12" s="3">
        <v>0</v>
      </c>
      <c r="D12" s="3">
        <v>0</v>
      </c>
      <c r="E12" s="3">
        <v>162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-233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233</v>
      </c>
      <c r="F15" s="5">
        <f t="shared" si="2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-14</v>
      </c>
      <c r="C3" s="3">
        <v>0</v>
      </c>
      <c r="D3" s="3">
        <v>0</v>
      </c>
      <c r="E3" s="3">
        <v>14</v>
      </c>
      <c r="F3" s="3">
        <v>1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-15</v>
      </c>
      <c r="C9" s="3">
        <v>0</v>
      </c>
      <c r="D9" s="3">
        <v>0</v>
      </c>
      <c r="E9" s="3">
        <v>15</v>
      </c>
      <c r="F9" s="3">
        <v>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-149</v>
      </c>
      <c r="C13" s="3">
        <v>0</v>
      </c>
      <c r="D13" s="3">
        <v>0</v>
      </c>
      <c r="E13" s="3">
        <v>149</v>
      </c>
      <c r="F13" s="3">
        <v>0</v>
      </c>
    </row>
    <row r="14" spans="1:6" x14ac:dyDescent="0.3">
      <c r="A14" s="2" t="s">
        <v>16</v>
      </c>
      <c r="B14" s="3">
        <f t="shared" si="0"/>
        <v>-19</v>
      </c>
      <c r="C14" s="3">
        <v>0</v>
      </c>
      <c r="D14" s="3">
        <v>0</v>
      </c>
      <c r="E14" s="3">
        <v>19</v>
      </c>
      <c r="F14" s="3">
        <v>1</v>
      </c>
    </row>
    <row r="15" spans="1:6" ht="17.25" thickBot="1" x14ac:dyDescent="0.35">
      <c r="A15" s="4" t="s">
        <v>17</v>
      </c>
      <c r="B15" s="5">
        <f>SUM(B3:B14)</f>
        <v>-197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197</v>
      </c>
      <c r="F15" s="5">
        <f t="shared" si="2"/>
        <v>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-28</v>
      </c>
      <c r="C4" s="3">
        <v>0</v>
      </c>
      <c r="D4" s="3">
        <v>0</v>
      </c>
      <c r="E4" s="3">
        <v>28</v>
      </c>
      <c r="F4" s="3">
        <v>3</v>
      </c>
    </row>
    <row r="5" spans="1:6" x14ac:dyDescent="0.3">
      <c r="A5" s="2" t="s">
        <v>7</v>
      </c>
      <c r="B5" s="3">
        <f t="shared" si="0"/>
        <v>-4189</v>
      </c>
      <c r="C5" s="3">
        <v>0</v>
      </c>
      <c r="D5" s="3">
        <v>0</v>
      </c>
      <c r="E5" s="3">
        <v>4189</v>
      </c>
      <c r="F5" s="3">
        <v>186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-47</v>
      </c>
      <c r="C7" s="3">
        <v>0</v>
      </c>
      <c r="D7" s="3">
        <v>0</v>
      </c>
      <c r="E7" s="3">
        <v>47</v>
      </c>
      <c r="F7" s="3">
        <v>3</v>
      </c>
    </row>
    <row r="8" spans="1:6" x14ac:dyDescent="0.3">
      <c r="A8" s="2" t="s">
        <v>10</v>
      </c>
      <c r="B8" s="3">
        <f t="shared" si="0"/>
        <v>-3218</v>
      </c>
      <c r="C8" s="3">
        <v>0</v>
      </c>
      <c r="D8" s="3">
        <v>0</v>
      </c>
      <c r="E8" s="3">
        <v>3218</v>
      </c>
      <c r="F8" s="3">
        <v>239</v>
      </c>
    </row>
    <row r="9" spans="1:6" x14ac:dyDescent="0.3">
      <c r="A9" s="2" t="s">
        <v>11</v>
      </c>
      <c r="B9" s="3">
        <f t="shared" si="0"/>
        <v>-46</v>
      </c>
      <c r="C9" s="3">
        <v>0</v>
      </c>
      <c r="D9" s="3">
        <v>0</v>
      </c>
      <c r="E9" s="3">
        <v>46</v>
      </c>
      <c r="F9" s="3">
        <v>3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-7528</v>
      </c>
      <c r="C15" s="5">
        <f t="shared" ref="C15:F15" si="1">SUM(C3:C14)</f>
        <v>0</v>
      </c>
      <c r="D15" s="5">
        <f t="shared" si="1"/>
        <v>0</v>
      </c>
      <c r="E15" s="5">
        <f t="shared" si="1"/>
        <v>7528</v>
      </c>
      <c r="F15" s="5">
        <f t="shared" si="1"/>
        <v>434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2026-09-01T02:53:20Z</dcterms:modified>
</cp:coreProperties>
</file>