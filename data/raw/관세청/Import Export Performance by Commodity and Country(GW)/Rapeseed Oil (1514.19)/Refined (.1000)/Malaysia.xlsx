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대체재, 보완재\관세청\15개년_품목별 국가별 수출입실적\유채유\1514.19(정제유 및 기타)\.1000(정제유)\"/>
    </mc:Choice>
  </mc:AlternateContent>
  <bookViews>
    <workbookView xWindow="0" yWindow="0" windowWidth="25125" windowHeight="11640"/>
  </bookViews>
  <sheets>
    <sheet name="2010년" sheetId="11" r:id="rId1"/>
    <sheet name="2011년" sheetId="12" r:id="rId2"/>
    <sheet name="2012년" sheetId="13" r:id="rId3"/>
    <sheet name="2013년" sheetId="14" r:id="rId4"/>
    <sheet name="2014년" sheetId="15" r:id="rId5"/>
    <sheet name="2015년" sheetId="16" r:id="rId6"/>
    <sheet name="2016년" sheetId="17" r:id="rId7"/>
    <sheet name="2017년" sheetId="1" r:id="rId8"/>
    <sheet name="2018년" sheetId="2" r:id="rId9"/>
    <sheet name="2019년" sheetId="3" r:id="rId10"/>
    <sheet name="2020년" sheetId="4" r:id="rId11"/>
    <sheet name="2021년" sheetId="5" r:id="rId12"/>
    <sheet name="2022년" sheetId="6" r:id="rId13"/>
    <sheet name="2023년" sheetId="7" r:id="rId14"/>
    <sheet name="2024년" sheetId="8" r:id="rId15"/>
    <sheet name="2025년" sheetId="9" r:id="rId16"/>
    <sheet name="2026년" sheetId="10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4" i="15" l="1"/>
  <c r="B13" i="15"/>
  <c r="B12" i="15"/>
  <c r="B11" i="15"/>
  <c r="B10" i="15"/>
  <c r="B9" i="15"/>
  <c r="B8" i="15"/>
  <c r="B7" i="15"/>
  <c r="B6" i="15"/>
  <c r="B5" i="15"/>
  <c r="B4" i="15"/>
  <c r="B3" i="15"/>
  <c r="B14" i="13"/>
  <c r="B13" i="13"/>
  <c r="B12" i="13"/>
  <c r="B11" i="13"/>
  <c r="B10" i="13"/>
  <c r="B9" i="13"/>
  <c r="B8" i="13"/>
  <c r="B7" i="13"/>
  <c r="B6" i="13"/>
  <c r="B5" i="13"/>
  <c r="B4" i="13"/>
  <c r="B3" i="13"/>
  <c r="B14" i="12"/>
  <c r="B13" i="12"/>
  <c r="B12" i="12"/>
  <c r="B11" i="12"/>
  <c r="B10" i="12"/>
  <c r="B9" i="12"/>
  <c r="B8" i="12"/>
  <c r="B7" i="12"/>
  <c r="B6" i="12"/>
  <c r="B5" i="12"/>
  <c r="B4" i="12"/>
  <c r="B3" i="12"/>
  <c r="B14" i="11"/>
  <c r="B13" i="11"/>
  <c r="B12" i="11"/>
  <c r="B11" i="11"/>
  <c r="B10" i="11"/>
  <c r="B9" i="11"/>
  <c r="B8" i="11"/>
  <c r="B7" i="11"/>
  <c r="B6" i="11"/>
  <c r="B5" i="11"/>
  <c r="B4" i="11"/>
  <c r="B3" i="11"/>
  <c r="F15" i="17"/>
  <c r="E15" i="17"/>
  <c r="D15" i="17"/>
  <c r="C15" i="17"/>
  <c r="B14" i="17"/>
  <c r="B13" i="17"/>
  <c r="B12" i="17"/>
  <c r="B11" i="17"/>
  <c r="B10" i="17"/>
  <c r="B9" i="17"/>
  <c r="B8" i="17"/>
  <c r="B7" i="17"/>
  <c r="B6" i="17"/>
  <c r="B5" i="17"/>
  <c r="B4" i="17"/>
  <c r="B3" i="17"/>
  <c r="F15" i="16"/>
  <c r="E15" i="16"/>
  <c r="D15" i="16"/>
  <c r="C15" i="16"/>
  <c r="B14" i="16"/>
  <c r="B13" i="16"/>
  <c r="B12" i="16"/>
  <c r="B11" i="16"/>
  <c r="B10" i="16"/>
  <c r="B9" i="16"/>
  <c r="B8" i="16"/>
  <c r="B7" i="16"/>
  <c r="B6" i="16"/>
  <c r="B5" i="16"/>
  <c r="B4" i="16"/>
  <c r="B3" i="16"/>
  <c r="F15" i="15"/>
  <c r="E15" i="15"/>
  <c r="D15" i="15"/>
  <c r="C15" i="15"/>
  <c r="F15" i="14"/>
  <c r="E15" i="14"/>
  <c r="D15" i="14"/>
  <c r="C15" i="14"/>
  <c r="B14" i="14"/>
  <c r="B13" i="14"/>
  <c r="B12" i="14"/>
  <c r="B11" i="14"/>
  <c r="B10" i="14"/>
  <c r="B9" i="14"/>
  <c r="B8" i="14"/>
  <c r="B7" i="14"/>
  <c r="B6" i="14"/>
  <c r="B5" i="14"/>
  <c r="B4" i="14"/>
  <c r="B3" i="14"/>
  <c r="F15" i="13"/>
  <c r="E15" i="13"/>
  <c r="D15" i="13"/>
  <c r="C15" i="13"/>
  <c r="F15" i="12"/>
  <c r="E15" i="12"/>
  <c r="D15" i="12"/>
  <c r="C15" i="12"/>
  <c r="F15" i="11"/>
  <c r="E15" i="11"/>
  <c r="D15" i="11"/>
  <c r="C15" i="11"/>
  <c r="F15" i="10"/>
  <c r="E15" i="10"/>
  <c r="D15" i="10"/>
  <c r="C15" i="10"/>
  <c r="B14" i="10"/>
  <c r="B13" i="10"/>
  <c r="B12" i="10"/>
  <c r="B11" i="10"/>
  <c r="B10" i="10"/>
  <c r="B9" i="10"/>
  <c r="B8" i="10"/>
  <c r="B7" i="10"/>
  <c r="B6" i="10"/>
  <c r="B5" i="10"/>
  <c r="B4" i="10"/>
  <c r="B3" i="10"/>
  <c r="B15" i="10" l="1"/>
  <c r="B15" i="16"/>
  <c r="B15" i="11"/>
  <c r="B15" i="12"/>
  <c r="B15" i="13"/>
  <c r="B15" i="14"/>
  <c r="B15" i="15"/>
  <c r="B15" i="17"/>
  <c r="F15" i="9"/>
  <c r="E15" i="9"/>
  <c r="D15" i="9"/>
  <c r="C15" i="9"/>
  <c r="B14" i="9"/>
  <c r="B13" i="9"/>
  <c r="B12" i="9"/>
  <c r="B11" i="9"/>
  <c r="B10" i="9"/>
  <c r="B9" i="9"/>
  <c r="B8" i="9"/>
  <c r="B7" i="9"/>
  <c r="B6" i="9"/>
  <c r="B5" i="9"/>
  <c r="B4" i="9"/>
  <c r="B3" i="9"/>
  <c r="F15" i="8"/>
  <c r="E15" i="8"/>
  <c r="D15" i="8"/>
  <c r="C15" i="8"/>
  <c r="B14" i="8"/>
  <c r="B13" i="8"/>
  <c r="B12" i="8"/>
  <c r="B11" i="8"/>
  <c r="B10" i="8"/>
  <c r="B9" i="8"/>
  <c r="B8" i="8"/>
  <c r="B7" i="8"/>
  <c r="B6" i="8"/>
  <c r="B5" i="8"/>
  <c r="B4" i="8"/>
  <c r="B3" i="8"/>
  <c r="F15" i="7"/>
  <c r="E15" i="7"/>
  <c r="D15" i="7"/>
  <c r="C15" i="7"/>
  <c r="B14" i="7"/>
  <c r="B13" i="7"/>
  <c r="B12" i="7"/>
  <c r="B11" i="7"/>
  <c r="B10" i="7"/>
  <c r="B9" i="7"/>
  <c r="B8" i="7"/>
  <c r="B7" i="7"/>
  <c r="B6" i="7"/>
  <c r="B5" i="7"/>
  <c r="B4" i="7"/>
  <c r="B3" i="7"/>
  <c r="B14" i="6"/>
  <c r="B13" i="6"/>
  <c r="B12" i="6"/>
  <c r="B11" i="6"/>
  <c r="B10" i="6"/>
  <c r="B9" i="6"/>
  <c r="B8" i="6"/>
  <c r="B7" i="6"/>
  <c r="B6" i="6"/>
  <c r="B5" i="6"/>
  <c r="B4" i="6"/>
  <c r="B3" i="6"/>
  <c r="B14" i="5"/>
  <c r="B13" i="5"/>
  <c r="B12" i="5"/>
  <c r="B11" i="5"/>
  <c r="B10" i="5"/>
  <c r="B9" i="5"/>
  <c r="B8" i="5"/>
  <c r="B7" i="5"/>
  <c r="B6" i="5"/>
  <c r="B5" i="5"/>
  <c r="B4" i="5"/>
  <c r="B3" i="5"/>
  <c r="B14" i="4"/>
  <c r="B13" i="4"/>
  <c r="B12" i="4"/>
  <c r="B11" i="4"/>
  <c r="B10" i="4"/>
  <c r="B9" i="4"/>
  <c r="B8" i="4"/>
  <c r="B7" i="4"/>
  <c r="B6" i="4"/>
  <c r="B5" i="4"/>
  <c r="B4" i="4"/>
  <c r="B3" i="4"/>
  <c r="B14" i="3"/>
  <c r="B13" i="3"/>
  <c r="B12" i="3"/>
  <c r="B11" i="3"/>
  <c r="B10" i="3"/>
  <c r="B9" i="3"/>
  <c r="B8" i="3"/>
  <c r="B7" i="3"/>
  <c r="B6" i="3"/>
  <c r="B5" i="3"/>
  <c r="B4" i="3"/>
  <c r="B3" i="3"/>
  <c r="B14" i="2"/>
  <c r="B13" i="2"/>
  <c r="B12" i="2"/>
  <c r="B11" i="2"/>
  <c r="B10" i="2"/>
  <c r="B9" i="2"/>
  <c r="B8" i="2"/>
  <c r="B7" i="2"/>
  <c r="B6" i="2"/>
  <c r="B5" i="2"/>
  <c r="B4" i="2"/>
  <c r="B3" i="2"/>
  <c r="F15" i="6"/>
  <c r="E15" i="6"/>
  <c r="D15" i="6"/>
  <c r="C15" i="6"/>
  <c r="F15" i="5"/>
  <c r="E15" i="5"/>
  <c r="D15" i="5"/>
  <c r="C15" i="5"/>
  <c r="F15" i="4"/>
  <c r="E15" i="4"/>
  <c r="D15" i="4"/>
  <c r="C15" i="4"/>
  <c r="F15" i="3"/>
  <c r="E15" i="3"/>
  <c r="D15" i="3"/>
  <c r="C15" i="3"/>
  <c r="D15" i="1"/>
  <c r="C15" i="1"/>
  <c r="B14" i="1"/>
  <c r="B13" i="1"/>
  <c r="B12" i="1"/>
  <c r="B11" i="1"/>
  <c r="B10" i="1"/>
  <c r="B9" i="1"/>
  <c r="B8" i="1"/>
  <c r="B7" i="1"/>
  <c r="B6" i="1"/>
  <c r="B5" i="1"/>
  <c r="B4" i="1"/>
  <c r="B3" i="1"/>
  <c r="D15" i="2"/>
  <c r="C15" i="2"/>
  <c r="F15" i="2"/>
  <c r="E15" i="2"/>
  <c r="F15" i="1"/>
  <c r="E15" i="1"/>
  <c r="B15" i="1" l="1"/>
  <c r="B15" i="9"/>
  <c r="B15" i="8"/>
  <c r="B15" i="7"/>
  <c r="B15" i="6"/>
  <c r="B15" i="5"/>
  <c r="B15" i="4"/>
  <c r="B15" i="3"/>
  <c r="B15" i="2"/>
</calcChain>
</file>

<file path=xl/sharedStrings.xml><?xml version="1.0" encoding="utf-8"?>
<sst xmlns="http://schemas.openxmlformats.org/spreadsheetml/2006/main" count="306" uniqueCount="18">
  <si>
    <t>1월</t>
    <phoneticPr fontId="1" type="noConversion"/>
  </si>
  <si>
    <t>2월</t>
    <phoneticPr fontId="1" type="noConversion"/>
  </si>
  <si>
    <t>3월</t>
    <phoneticPr fontId="1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</si>
  <si>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</si>
  <si>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</si>
  <si>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</si>
  <si>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</si>
  <si>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</si>
  <si>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</si>
  <si>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</si>
  <si>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</si>
  <si>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</si>
  <si>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무역수지(달러)</t>
    <phoneticPr fontId="1" type="noConversion"/>
  </si>
  <si>
    <t>총계</t>
    <phoneticPr fontId="1" type="noConversion"/>
  </si>
  <si>
    <t>수입액(달러)</t>
    <phoneticPr fontId="1" type="noConversion"/>
  </si>
  <si>
    <t>수입량(kg)</t>
    <phoneticPr fontId="1" type="noConversion"/>
  </si>
  <si>
    <t>수출량(kg)</t>
    <phoneticPr fontId="1" type="noConversion"/>
  </si>
  <si>
    <t>수출액(달러)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</si>
</sst>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tabSelected="1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-10</v>
      </c>
      <c r="C7" s="2">
        <v>0</v>
      </c>
      <c r="D7" s="2">
        <v>0</v>
      </c>
      <c r="E7" s="2">
        <v>10</v>
      </c>
      <c r="F7" s="2">
        <v>1</v>
      </c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-10</v>
      </c>
      <c r="C15" s="5">
        <f t="shared" ref="C15:F15" si="1">SUM(C3:C14)</f>
        <v>0</v>
      </c>
      <c r="D15" s="5">
        <f t="shared" si="1"/>
        <v>0</v>
      </c>
      <c r="E15" s="5">
        <f t="shared" si="1"/>
        <v>10</v>
      </c>
      <c r="F15" s="5">
        <f t="shared" si="1"/>
        <v>1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-26137</v>
      </c>
      <c r="C13" s="2">
        <v>0</v>
      </c>
      <c r="D13" s="2">
        <v>0</v>
      </c>
      <c r="E13" s="2">
        <v>26137</v>
      </c>
      <c r="F13" s="2">
        <v>15361</v>
      </c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-26137</v>
      </c>
      <c r="C15" s="5">
        <f t="shared" ref="C15:F15" si="1">SUM(C3:C14)</f>
        <v>0</v>
      </c>
      <c r="D15" s="5">
        <f t="shared" si="1"/>
        <v>0</v>
      </c>
      <c r="E15" s="5">
        <f t="shared" si="1"/>
        <v>26137</v>
      </c>
      <c r="F15" s="5">
        <f t="shared" si="1"/>
        <v>15361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198</v>
      </c>
      <c r="C5" s="2">
        <v>198</v>
      </c>
      <c r="D5" s="2">
        <v>85</v>
      </c>
      <c r="E5" s="2">
        <v>0</v>
      </c>
      <c r="F5" s="2">
        <v>0</v>
      </c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198</v>
      </c>
      <c r="C15" s="5">
        <f t="shared" ref="C15:F15" si="1">SUM(C3:C14)</f>
        <v>198</v>
      </c>
      <c r="D15" s="5">
        <f t="shared" si="1"/>
        <v>85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-88</v>
      </c>
      <c r="C7" s="2">
        <v>0</v>
      </c>
      <c r="D7" s="2">
        <v>0</v>
      </c>
      <c r="E7" s="2">
        <v>88</v>
      </c>
      <c r="F7" s="2">
        <v>33</v>
      </c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-111</v>
      </c>
      <c r="C9" s="2">
        <v>0</v>
      </c>
      <c r="D9" s="2">
        <v>0</v>
      </c>
      <c r="E9" s="2">
        <v>111</v>
      </c>
      <c r="F9" s="2">
        <v>18</v>
      </c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18</v>
      </c>
      <c r="C12" s="2">
        <v>18</v>
      </c>
      <c r="D12" s="2">
        <v>6</v>
      </c>
      <c r="E12" s="2">
        <v>0</v>
      </c>
      <c r="F12" s="2">
        <v>0</v>
      </c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-181</v>
      </c>
      <c r="C15" s="5">
        <f t="shared" ref="C15:F15" si="1">SUM(C3:C14)</f>
        <v>18</v>
      </c>
      <c r="D15" s="5">
        <f t="shared" si="1"/>
        <v>6</v>
      </c>
      <c r="E15" s="5">
        <f t="shared" si="1"/>
        <v>199</v>
      </c>
      <c r="F15" s="5">
        <f t="shared" si="1"/>
        <v>51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24</v>
      </c>
      <c r="C3" s="2">
        <v>24</v>
      </c>
      <c r="D3" s="2">
        <v>11</v>
      </c>
      <c r="E3" s="2">
        <v>0</v>
      </c>
      <c r="F3" s="2">
        <v>0</v>
      </c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53</v>
      </c>
      <c r="C11" s="2">
        <v>53</v>
      </c>
      <c r="D11" s="2">
        <v>22</v>
      </c>
      <c r="E11" s="2">
        <v>0</v>
      </c>
      <c r="F11" s="2">
        <v>0</v>
      </c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606</v>
      </c>
      <c r="C14" s="2">
        <v>606</v>
      </c>
      <c r="D14" s="2">
        <v>124</v>
      </c>
      <c r="E14" s="2">
        <v>0</v>
      </c>
      <c r="F14" s="2">
        <v>0</v>
      </c>
    </row>
    <row r="15" spans="1:6" ht="17.25" thickBot="1" x14ac:dyDescent="0.35">
      <c r="A15" s="4" t="s">
        <v>13</v>
      </c>
      <c r="B15" s="5">
        <f>SUM(B3:B14)</f>
        <v>683</v>
      </c>
      <c r="C15" s="5">
        <f t="shared" ref="C15:F15" si="1">SUM(C3:C14)</f>
        <v>683</v>
      </c>
      <c r="D15" s="5">
        <f t="shared" si="1"/>
        <v>157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E3-C3</f>
        <v>-45</v>
      </c>
      <c r="C3" s="2">
        <v>45</v>
      </c>
      <c r="D3" s="2">
        <v>17</v>
      </c>
      <c r="E3" s="2">
        <v>0</v>
      </c>
      <c r="F3" s="2">
        <v>0</v>
      </c>
    </row>
    <row r="4" spans="1:6" x14ac:dyDescent="0.3">
      <c r="A4" s="1" t="s">
        <v>1</v>
      </c>
      <c r="B4" s="2">
        <f t="shared" ref="B4:B15" si="0">E4-C4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30</v>
      </c>
      <c r="C6" s="2">
        <v>0</v>
      </c>
      <c r="D6" s="2">
        <v>0</v>
      </c>
      <c r="E6" s="2">
        <v>30</v>
      </c>
      <c r="F6" s="2">
        <v>10</v>
      </c>
    </row>
    <row r="7" spans="1:6" x14ac:dyDescent="0.3">
      <c r="A7" s="1" t="s">
        <v>4</v>
      </c>
      <c r="B7" s="2">
        <f t="shared" si="0"/>
        <v>-18</v>
      </c>
      <c r="C7" s="2">
        <v>18</v>
      </c>
      <c r="D7" s="2">
        <v>6</v>
      </c>
      <c r="E7" s="2">
        <v>0</v>
      </c>
      <c r="F7" s="2">
        <v>0</v>
      </c>
    </row>
    <row r="8" spans="1:6" x14ac:dyDescent="0.3">
      <c r="A8" s="1" t="s">
        <v>5</v>
      </c>
      <c r="B8" s="2">
        <f t="shared" si="0"/>
        <v>-36</v>
      </c>
      <c r="C8" s="2">
        <v>36</v>
      </c>
      <c r="D8" s="2">
        <v>12</v>
      </c>
      <c r="E8" s="2">
        <v>0</v>
      </c>
      <c r="F8" s="2">
        <v>0</v>
      </c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-52</v>
      </c>
      <c r="C10" s="2">
        <v>52</v>
      </c>
      <c r="D10" s="2">
        <v>22</v>
      </c>
      <c r="E10" s="2">
        <v>0</v>
      </c>
      <c r="F10" s="2">
        <v>0</v>
      </c>
    </row>
    <row r="11" spans="1:6" x14ac:dyDescent="0.3">
      <c r="A11" s="1" t="s">
        <v>8</v>
      </c>
      <c r="B11" s="2">
        <f t="shared" si="0"/>
        <v>-89</v>
      </c>
      <c r="C11" s="2">
        <v>89</v>
      </c>
      <c r="D11" s="2">
        <v>34</v>
      </c>
      <c r="E11" s="2">
        <v>0</v>
      </c>
      <c r="F11" s="2">
        <v>0</v>
      </c>
    </row>
    <row r="12" spans="1:6" x14ac:dyDescent="0.3">
      <c r="A12" s="1" t="s">
        <v>9</v>
      </c>
      <c r="B12" s="2">
        <f t="shared" si="0"/>
        <v>-55</v>
      </c>
      <c r="C12" s="2">
        <v>71</v>
      </c>
      <c r="D12" s="2">
        <v>28</v>
      </c>
      <c r="E12" s="2">
        <v>16</v>
      </c>
      <c r="F12" s="2">
        <v>1</v>
      </c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-3790</v>
      </c>
      <c r="C14" s="2">
        <v>3790</v>
      </c>
      <c r="D14" s="2">
        <v>913</v>
      </c>
      <c r="E14" s="2">
        <v>0</v>
      </c>
      <c r="F14" s="2">
        <v>0</v>
      </c>
    </row>
    <row r="15" spans="1:6" ht="17.25" thickBot="1" x14ac:dyDescent="0.35">
      <c r="A15" s="4" t="s">
        <v>13</v>
      </c>
      <c r="B15" s="5">
        <f t="shared" si="0"/>
        <v>-4055</v>
      </c>
      <c r="C15" s="5">
        <f t="shared" ref="C15" si="1">SUM(C3:C14)</f>
        <v>4101</v>
      </c>
      <c r="D15" s="5">
        <f t="shared" ref="D15" si="2">SUM(D3:D14)</f>
        <v>1032</v>
      </c>
      <c r="E15" s="5">
        <f t="shared" ref="E15:F15" si="3">SUM(E3:E14)</f>
        <v>46</v>
      </c>
      <c r="F15" s="5">
        <f t="shared" si="3"/>
        <v>11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119</v>
      </c>
      <c r="C3" s="2">
        <v>119</v>
      </c>
      <c r="D3" s="2">
        <v>50</v>
      </c>
      <c r="E3" s="2">
        <v>0</v>
      </c>
      <c r="F3" s="2">
        <v>0</v>
      </c>
    </row>
    <row r="4" spans="1:6" x14ac:dyDescent="0.3">
      <c r="A4" s="1" t="s">
        <v>1</v>
      </c>
      <c r="B4" s="2">
        <f t="shared" ref="B4:B14" si="0">C4-E4</f>
        <v>43</v>
      </c>
      <c r="C4" s="2">
        <v>43</v>
      </c>
      <c r="D4" s="2">
        <v>18</v>
      </c>
      <c r="E4" s="2">
        <v>0</v>
      </c>
      <c r="F4" s="2">
        <v>0</v>
      </c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181</v>
      </c>
      <c r="C6" s="2">
        <v>181</v>
      </c>
      <c r="D6" s="2">
        <v>70</v>
      </c>
      <c r="E6" s="2">
        <v>0</v>
      </c>
      <c r="F6" s="2">
        <v>0</v>
      </c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134</v>
      </c>
      <c r="C8" s="2">
        <v>134</v>
      </c>
      <c r="D8" s="2">
        <v>50</v>
      </c>
      <c r="E8" s="2">
        <v>0</v>
      </c>
      <c r="F8" s="2">
        <v>0</v>
      </c>
    </row>
    <row r="9" spans="1:6" x14ac:dyDescent="0.3">
      <c r="A9" s="1" t="s">
        <v>6</v>
      </c>
      <c r="B9" s="2">
        <f t="shared" si="0"/>
        <v>83</v>
      </c>
      <c r="C9" s="2">
        <v>83</v>
      </c>
      <c r="D9" s="2">
        <v>27</v>
      </c>
      <c r="E9" s="2">
        <v>0</v>
      </c>
      <c r="F9" s="2">
        <v>0</v>
      </c>
    </row>
    <row r="10" spans="1:6" x14ac:dyDescent="0.3">
      <c r="A10" s="1" t="s">
        <v>7</v>
      </c>
      <c r="B10" s="2">
        <f t="shared" si="0"/>
        <v>318</v>
      </c>
      <c r="C10" s="2">
        <v>318</v>
      </c>
      <c r="D10" s="2">
        <v>60</v>
      </c>
      <c r="E10" s="2">
        <v>0</v>
      </c>
      <c r="F10" s="2">
        <v>0</v>
      </c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46</v>
      </c>
      <c r="C14" s="2">
        <v>46</v>
      </c>
      <c r="D14" s="2">
        <v>15</v>
      </c>
      <c r="E14" s="2">
        <v>0</v>
      </c>
      <c r="F14" s="2">
        <v>0</v>
      </c>
    </row>
    <row r="15" spans="1:6" ht="17.25" thickBot="1" x14ac:dyDescent="0.35">
      <c r="A15" s="4" t="s">
        <v>13</v>
      </c>
      <c r="B15" s="5">
        <f>SUM(B3:B14)</f>
        <v>924</v>
      </c>
      <c r="C15" s="5">
        <f t="shared" ref="C15:F15" si="1">SUM(C3:C14)</f>
        <v>924</v>
      </c>
      <c r="D15" s="5">
        <f t="shared" si="1"/>
        <v>290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136</v>
      </c>
      <c r="C3" s="2">
        <v>136</v>
      </c>
      <c r="D3" s="2">
        <v>45</v>
      </c>
      <c r="E3" s="2">
        <v>0</v>
      </c>
      <c r="F3" s="2">
        <v>0</v>
      </c>
    </row>
    <row r="4" spans="1:6" x14ac:dyDescent="0.3">
      <c r="A4" s="1" t="s">
        <v>1</v>
      </c>
      <c r="B4" s="2">
        <f t="shared" si="0"/>
        <v>-22410</v>
      </c>
      <c r="C4" s="2">
        <v>0</v>
      </c>
      <c r="D4" s="2">
        <v>0</v>
      </c>
      <c r="E4" s="2">
        <v>22410</v>
      </c>
      <c r="F4" s="2">
        <v>21870</v>
      </c>
    </row>
    <row r="5" spans="1:6" x14ac:dyDescent="0.3">
      <c r="A5" s="1" t="s">
        <v>2</v>
      </c>
      <c r="B5" s="2">
        <f t="shared" si="0"/>
        <v>-22808</v>
      </c>
      <c r="C5" s="2">
        <v>18</v>
      </c>
      <c r="D5" s="2">
        <v>6</v>
      </c>
      <c r="E5" s="2">
        <v>22826</v>
      </c>
      <c r="F5" s="2">
        <v>20996</v>
      </c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37</v>
      </c>
      <c r="C8" s="2">
        <v>37</v>
      </c>
      <c r="D8" s="2">
        <v>12</v>
      </c>
      <c r="E8" s="2">
        <v>0</v>
      </c>
      <c r="F8" s="2">
        <v>0</v>
      </c>
    </row>
    <row r="9" spans="1:6" x14ac:dyDescent="0.3">
      <c r="A9" s="1" t="s">
        <v>6</v>
      </c>
      <c r="B9" s="2">
        <f t="shared" si="0"/>
        <v>-21689</v>
      </c>
      <c r="C9" s="2">
        <v>0</v>
      </c>
      <c r="D9" s="2">
        <v>0</v>
      </c>
      <c r="E9" s="2">
        <v>21689</v>
      </c>
      <c r="F9" s="2">
        <v>21887</v>
      </c>
    </row>
    <row r="10" spans="1:6" x14ac:dyDescent="0.3">
      <c r="A10" s="1" t="s">
        <v>7</v>
      </c>
      <c r="B10" s="2">
        <f t="shared" si="0"/>
        <v>18</v>
      </c>
      <c r="C10" s="2">
        <v>18</v>
      </c>
      <c r="D10" s="2">
        <v>6</v>
      </c>
      <c r="E10" s="2">
        <v>0</v>
      </c>
      <c r="F10" s="2">
        <v>0</v>
      </c>
    </row>
    <row r="11" spans="1:6" x14ac:dyDescent="0.3">
      <c r="A11" s="1" t="s">
        <v>8</v>
      </c>
      <c r="B11" s="2">
        <f t="shared" si="0"/>
        <v>-21530</v>
      </c>
      <c r="C11" s="2">
        <v>110</v>
      </c>
      <c r="D11" s="2">
        <v>36</v>
      </c>
      <c r="E11" s="2">
        <v>21640</v>
      </c>
      <c r="F11" s="2">
        <v>21870</v>
      </c>
    </row>
    <row r="12" spans="1:6" x14ac:dyDescent="0.3">
      <c r="A12" s="1" t="s">
        <v>9</v>
      </c>
      <c r="B12" s="2">
        <f t="shared" si="0"/>
        <v>-7901</v>
      </c>
      <c r="C12" s="2">
        <v>114</v>
      </c>
      <c r="D12" s="2">
        <v>38</v>
      </c>
      <c r="E12" s="2">
        <v>8015</v>
      </c>
      <c r="F12" s="2">
        <v>6804</v>
      </c>
    </row>
    <row r="13" spans="1:6" x14ac:dyDescent="0.3">
      <c r="A13" s="1" t="s">
        <v>10</v>
      </c>
      <c r="B13" s="2">
        <f t="shared" si="0"/>
        <v>18</v>
      </c>
      <c r="C13" s="2">
        <v>18</v>
      </c>
      <c r="D13" s="2">
        <v>6</v>
      </c>
      <c r="E13" s="2">
        <v>0</v>
      </c>
      <c r="F13" s="2">
        <v>0</v>
      </c>
    </row>
    <row r="14" spans="1:6" x14ac:dyDescent="0.3">
      <c r="A14" s="1" t="s">
        <v>11</v>
      </c>
      <c r="B14" s="2">
        <f t="shared" si="0"/>
        <v>-44314</v>
      </c>
      <c r="C14" s="2">
        <v>0</v>
      </c>
      <c r="D14" s="2">
        <v>0</v>
      </c>
      <c r="E14" s="2">
        <v>44314</v>
      </c>
      <c r="F14" s="2">
        <v>43740</v>
      </c>
    </row>
    <row r="15" spans="1:6" ht="17.25" thickBot="1" x14ac:dyDescent="0.35">
      <c r="A15" s="4" t="s">
        <v>13</v>
      </c>
      <c r="B15" s="5">
        <f>SUM(B3:B14)</f>
        <v>-140443</v>
      </c>
      <c r="C15" s="5">
        <f t="shared" ref="C15:F15" si="1">SUM(C3:C14)</f>
        <v>451</v>
      </c>
      <c r="D15" s="5">
        <f t="shared" si="1"/>
        <v>149</v>
      </c>
      <c r="E15" s="5">
        <f t="shared" si="1"/>
        <v>140894</v>
      </c>
      <c r="F15" s="5">
        <f t="shared" si="1"/>
        <v>137167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-23240</v>
      </c>
      <c r="C3" s="2">
        <v>105</v>
      </c>
      <c r="D3" s="2">
        <v>35</v>
      </c>
      <c r="E3" s="2">
        <v>23345</v>
      </c>
      <c r="F3" s="2">
        <v>20995</v>
      </c>
    </row>
    <row r="4" spans="1:6" x14ac:dyDescent="0.3">
      <c r="A4" s="1" t="s">
        <v>1</v>
      </c>
      <c r="B4" s="2">
        <f t="shared" si="0"/>
        <v>174</v>
      </c>
      <c r="C4" s="2">
        <v>174</v>
      </c>
      <c r="D4" s="2">
        <v>57</v>
      </c>
      <c r="E4" s="2">
        <v>0</v>
      </c>
      <c r="F4" s="2">
        <v>0</v>
      </c>
    </row>
    <row r="5" spans="1:6" x14ac:dyDescent="0.3">
      <c r="A5" s="1" t="s">
        <v>2</v>
      </c>
      <c r="B5" s="2">
        <f t="shared" si="0"/>
        <v>-23588</v>
      </c>
      <c r="C5" s="2">
        <v>37</v>
      </c>
      <c r="D5" s="2">
        <v>12</v>
      </c>
      <c r="E5" s="2">
        <v>23625</v>
      </c>
      <c r="F5" s="2">
        <v>21870</v>
      </c>
    </row>
    <row r="6" spans="1:6" x14ac:dyDescent="0.3">
      <c r="A6" s="1" t="s">
        <v>3</v>
      </c>
      <c r="B6" s="2">
        <f t="shared" si="0"/>
        <v>46</v>
      </c>
      <c r="C6" s="2">
        <v>46</v>
      </c>
      <c r="D6" s="2">
        <v>15</v>
      </c>
      <c r="E6" s="2">
        <v>0</v>
      </c>
      <c r="F6" s="2">
        <v>0</v>
      </c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-23084</v>
      </c>
      <c r="C10" s="2">
        <v>114</v>
      </c>
      <c r="D10" s="2">
        <v>38</v>
      </c>
      <c r="E10" s="2">
        <v>23198</v>
      </c>
      <c r="F10" s="2">
        <v>20995</v>
      </c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-20033</v>
      </c>
      <c r="C12" s="2">
        <v>114</v>
      </c>
      <c r="D12" s="2">
        <v>38</v>
      </c>
      <c r="E12" s="2">
        <v>20147</v>
      </c>
      <c r="F12" s="2">
        <v>17739</v>
      </c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-89725</v>
      </c>
      <c r="C15" s="5">
        <f t="shared" ref="C15:F15" si="1">SUM(C3:C14)</f>
        <v>590</v>
      </c>
      <c r="D15" s="5">
        <f t="shared" si="1"/>
        <v>195</v>
      </c>
      <c r="E15" s="5">
        <f t="shared" si="1"/>
        <v>90315</v>
      </c>
      <c r="F15" s="5">
        <f t="shared" si="1"/>
        <v>81599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-16596</v>
      </c>
      <c r="C5" s="2">
        <v>0</v>
      </c>
      <c r="D5" s="2">
        <v>0</v>
      </c>
      <c r="E5" s="2">
        <v>16596</v>
      </c>
      <c r="F5" s="2">
        <v>10481</v>
      </c>
    </row>
    <row r="6" spans="1:6" x14ac:dyDescent="0.3">
      <c r="A6" s="1" t="s">
        <v>3</v>
      </c>
      <c r="B6" s="2">
        <f t="shared" si="0"/>
        <v>68</v>
      </c>
      <c r="C6" s="2">
        <v>68</v>
      </c>
      <c r="D6" s="2">
        <v>23</v>
      </c>
      <c r="E6" s="2">
        <v>0</v>
      </c>
      <c r="F6" s="2">
        <v>0</v>
      </c>
    </row>
    <row r="7" spans="1:6" x14ac:dyDescent="0.3">
      <c r="A7" s="1" t="s">
        <v>4</v>
      </c>
      <c r="B7" s="2">
        <f t="shared" si="0"/>
        <v>311</v>
      </c>
      <c r="C7" s="2">
        <v>311</v>
      </c>
      <c r="D7" s="2">
        <v>103</v>
      </c>
      <c r="E7" s="2">
        <v>0</v>
      </c>
      <c r="F7" s="2">
        <v>0</v>
      </c>
    </row>
    <row r="8" spans="1:6" x14ac:dyDescent="0.3">
      <c r="A8" s="1" t="s">
        <v>5</v>
      </c>
      <c r="B8" s="2">
        <f t="shared" si="0"/>
        <v>68</v>
      </c>
      <c r="C8" s="2">
        <v>68</v>
      </c>
      <c r="D8" s="2">
        <v>23</v>
      </c>
      <c r="E8" s="2">
        <v>0</v>
      </c>
      <c r="F8" s="2">
        <v>0</v>
      </c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-20736</v>
      </c>
      <c r="C10" s="2">
        <v>0</v>
      </c>
      <c r="D10" s="2">
        <v>0</v>
      </c>
      <c r="E10" s="2">
        <v>20736</v>
      </c>
      <c r="F10" s="2">
        <v>10498</v>
      </c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274</v>
      </c>
      <c r="C12" s="2">
        <v>274</v>
      </c>
      <c r="D12" s="2">
        <v>119</v>
      </c>
      <c r="E12" s="2">
        <v>0</v>
      </c>
      <c r="F12" s="2">
        <v>0</v>
      </c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-36611</v>
      </c>
      <c r="C15" s="5">
        <f t="shared" ref="C15:F15" si="1">SUM(C3:C14)</f>
        <v>721</v>
      </c>
      <c r="D15" s="5">
        <f t="shared" si="1"/>
        <v>268</v>
      </c>
      <c r="E15" s="5">
        <f t="shared" si="1"/>
        <v>37332</v>
      </c>
      <c r="F15" s="5">
        <f t="shared" si="1"/>
        <v>20979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-37584</v>
      </c>
      <c r="C4" s="2">
        <v>0</v>
      </c>
      <c r="D4" s="2">
        <v>0</v>
      </c>
      <c r="E4" s="2">
        <v>37584</v>
      </c>
      <c r="F4" s="2">
        <v>20995</v>
      </c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102</v>
      </c>
      <c r="C7" s="2">
        <v>136</v>
      </c>
      <c r="D7" s="2">
        <v>30</v>
      </c>
      <c r="E7" s="2">
        <v>34</v>
      </c>
      <c r="F7" s="2">
        <v>5</v>
      </c>
    </row>
    <row r="8" spans="1:6" x14ac:dyDescent="0.3">
      <c r="A8" s="1" t="s">
        <v>5</v>
      </c>
      <c r="B8" s="2">
        <f t="shared" si="0"/>
        <v>-19</v>
      </c>
      <c r="C8" s="2">
        <v>0</v>
      </c>
      <c r="D8" s="2">
        <v>0</v>
      </c>
      <c r="E8" s="2">
        <v>19</v>
      </c>
      <c r="F8" s="2">
        <v>1</v>
      </c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-68460</v>
      </c>
      <c r="C10" s="2">
        <v>0</v>
      </c>
      <c r="D10" s="2">
        <v>0</v>
      </c>
      <c r="E10" s="2">
        <v>68460</v>
      </c>
      <c r="F10" s="2">
        <v>40860</v>
      </c>
    </row>
    <row r="11" spans="1:6" x14ac:dyDescent="0.3">
      <c r="A11" s="1" t="s">
        <v>8</v>
      </c>
      <c r="B11" s="2">
        <f t="shared" si="0"/>
        <v>-69510</v>
      </c>
      <c r="C11" s="2">
        <v>0</v>
      </c>
      <c r="D11" s="2">
        <v>0</v>
      </c>
      <c r="E11" s="2">
        <v>69510</v>
      </c>
      <c r="F11" s="2">
        <v>40740</v>
      </c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-100120</v>
      </c>
      <c r="C13" s="2">
        <v>0</v>
      </c>
      <c r="D13" s="2">
        <v>0</v>
      </c>
      <c r="E13" s="2">
        <v>100120</v>
      </c>
      <c r="F13" s="2">
        <v>61146</v>
      </c>
    </row>
    <row r="14" spans="1:6" x14ac:dyDescent="0.3">
      <c r="A14" s="1" t="s">
        <v>11</v>
      </c>
      <c r="B14" s="2">
        <f t="shared" si="0"/>
        <v>-133996</v>
      </c>
      <c r="C14" s="2">
        <v>0</v>
      </c>
      <c r="D14" s="2">
        <v>0</v>
      </c>
      <c r="E14" s="2">
        <v>133996</v>
      </c>
      <c r="F14" s="2">
        <v>80930</v>
      </c>
    </row>
    <row r="15" spans="1:6" ht="17.25" thickBot="1" x14ac:dyDescent="0.35">
      <c r="A15" s="4" t="s">
        <v>13</v>
      </c>
      <c r="B15" s="5">
        <f>SUM(B3:B14)</f>
        <v>-409587</v>
      </c>
      <c r="C15" s="5">
        <f t="shared" ref="C15:F15" si="1">SUM(C3:C14)</f>
        <v>136</v>
      </c>
      <c r="D15" s="5">
        <f t="shared" si="1"/>
        <v>30</v>
      </c>
      <c r="E15" s="5">
        <f t="shared" si="1"/>
        <v>409723</v>
      </c>
      <c r="F15" s="5">
        <f t="shared" si="1"/>
        <v>244677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2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-136781</v>
      </c>
      <c r="C3" s="2">
        <v>0</v>
      </c>
      <c r="D3" s="2">
        <v>0</v>
      </c>
      <c r="E3" s="2">
        <v>136781</v>
      </c>
      <c r="F3" s="2">
        <v>82630</v>
      </c>
    </row>
    <row r="4" spans="1:6" x14ac:dyDescent="0.3">
      <c r="A4" s="1" t="s">
        <v>1</v>
      </c>
      <c r="B4" s="2">
        <f t="shared" si="0"/>
        <v>-137506</v>
      </c>
      <c r="C4" s="2">
        <v>0</v>
      </c>
      <c r="D4" s="2">
        <v>0</v>
      </c>
      <c r="E4" s="2">
        <v>137506</v>
      </c>
      <c r="F4" s="2">
        <v>83060</v>
      </c>
    </row>
    <row r="5" spans="1:6" x14ac:dyDescent="0.3">
      <c r="A5" s="1" t="s">
        <v>2</v>
      </c>
      <c r="B5" s="2">
        <f t="shared" si="0"/>
        <v>-91822</v>
      </c>
      <c r="C5" s="2">
        <v>0</v>
      </c>
      <c r="D5" s="2">
        <v>0</v>
      </c>
      <c r="E5" s="2">
        <v>91822</v>
      </c>
      <c r="F5" s="2">
        <v>62105</v>
      </c>
    </row>
    <row r="6" spans="1:6" x14ac:dyDescent="0.3">
      <c r="A6" s="1" t="s">
        <v>3</v>
      </c>
      <c r="B6" s="2">
        <f t="shared" si="0"/>
        <v>-121195</v>
      </c>
      <c r="C6" s="2">
        <v>360</v>
      </c>
      <c r="D6" s="2">
        <v>102</v>
      </c>
      <c r="E6" s="2">
        <v>121555</v>
      </c>
      <c r="F6" s="2">
        <v>81580</v>
      </c>
    </row>
    <row r="7" spans="1:6" x14ac:dyDescent="0.3">
      <c r="A7" s="1" t="s">
        <v>4</v>
      </c>
      <c r="B7" s="2">
        <f t="shared" si="0"/>
        <v>-114598</v>
      </c>
      <c r="C7" s="2">
        <v>0</v>
      </c>
      <c r="D7" s="2">
        <v>0</v>
      </c>
      <c r="E7" s="2">
        <v>114598</v>
      </c>
      <c r="F7" s="2">
        <v>81250</v>
      </c>
    </row>
    <row r="8" spans="1:6" x14ac:dyDescent="0.3">
      <c r="A8" s="1" t="s">
        <v>5</v>
      </c>
      <c r="B8" s="2">
        <f t="shared" si="0"/>
        <v>-116179</v>
      </c>
      <c r="C8" s="2">
        <v>26</v>
      </c>
      <c r="D8" s="2">
        <v>11</v>
      </c>
      <c r="E8" s="2">
        <v>116205</v>
      </c>
      <c r="F8" s="2">
        <v>82390</v>
      </c>
    </row>
    <row r="9" spans="1:6" x14ac:dyDescent="0.3">
      <c r="A9" s="1" t="s">
        <v>6</v>
      </c>
      <c r="B9" s="2">
        <f t="shared" si="0"/>
        <v>-57546</v>
      </c>
      <c r="C9" s="2">
        <v>0</v>
      </c>
      <c r="D9" s="2">
        <v>0</v>
      </c>
      <c r="E9" s="2">
        <v>57546</v>
      </c>
      <c r="F9" s="2">
        <v>40800</v>
      </c>
    </row>
    <row r="10" spans="1:6" x14ac:dyDescent="0.3">
      <c r="A10" s="1" t="s">
        <v>7</v>
      </c>
      <c r="B10" s="2">
        <f t="shared" si="0"/>
        <v>-57658</v>
      </c>
      <c r="C10" s="2">
        <v>0</v>
      </c>
      <c r="D10" s="2">
        <v>0</v>
      </c>
      <c r="E10" s="2">
        <v>57658</v>
      </c>
      <c r="F10" s="2">
        <v>40800</v>
      </c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-833285</v>
      </c>
      <c r="C15" s="5">
        <f t="shared" ref="C15:F15" si="1">SUM(C3:C14)</f>
        <v>386</v>
      </c>
      <c r="D15" s="5">
        <f t="shared" si="1"/>
        <v>113</v>
      </c>
      <c r="E15" s="5">
        <f t="shared" si="1"/>
        <v>833671</v>
      </c>
      <c r="F15" s="5">
        <f t="shared" si="1"/>
        <v>554615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196</v>
      </c>
      <c r="C8" s="2">
        <v>196</v>
      </c>
      <c r="D8" s="2">
        <v>54</v>
      </c>
      <c r="E8" s="2">
        <v>0</v>
      </c>
      <c r="F8" s="2">
        <v>0</v>
      </c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95</v>
      </c>
      <c r="C12" s="2">
        <v>95</v>
      </c>
      <c r="D12" s="2">
        <v>50</v>
      </c>
      <c r="E12" s="2">
        <v>0</v>
      </c>
      <c r="F12" s="2">
        <v>0</v>
      </c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291</v>
      </c>
      <c r="C15" s="5">
        <f t="shared" ref="C15:F15" si="1">SUM(C3:C14)</f>
        <v>291</v>
      </c>
      <c r="D15" s="5">
        <f t="shared" si="1"/>
        <v>104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2026-05-27T05:29:32Z</dcterms:created>
  <dcterms:modified xsi:type="dcterms:W3CDTF">2026-08-31T10:10:04Z</dcterms:modified>
</cp:coreProperties>
</file>