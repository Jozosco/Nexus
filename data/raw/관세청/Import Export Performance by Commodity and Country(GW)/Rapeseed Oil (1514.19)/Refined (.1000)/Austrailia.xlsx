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1000(정제유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B15" i="1" l="1"/>
  <c r="B14" i="15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<sst xmlns="http://schemas.openxmlformats.org/spreadsheetml/2006/main" count="306" uniqueCount="18">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</sst>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-948572</v>
      </c>
      <c r="C3" s="2">
        <v>0</v>
      </c>
      <c r="D3" s="2">
        <v>0</v>
      </c>
      <c r="E3" s="2">
        <v>948572</v>
      </c>
      <c r="F3" s="2">
        <v>999787</v>
      </c>
    </row>
    <row r="4" spans="1:6" x14ac:dyDescent="0.3">
      <c r="A4" s="1" t="s">
        <v>1</v>
      </c>
      <c r="B4" s="2">
        <f t="shared" ref="B4:B14" si="0">C4-E4</f>
        <v>-903660</v>
      </c>
      <c r="C4" s="2">
        <v>0</v>
      </c>
      <c r="D4" s="2">
        <v>0</v>
      </c>
      <c r="E4" s="2">
        <v>903660</v>
      </c>
      <c r="F4" s="2">
        <v>1007689</v>
      </c>
    </row>
    <row r="5" spans="1:6" x14ac:dyDescent="0.3">
      <c r="A5" s="1" t="s">
        <v>2</v>
      </c>
      <c r="B5" s="2">
        <f t="shared" si="0"/>
        <v>-2416865</v>
      </c>
      <c r="C5" s="2">
        <v>0</v>
      </c>
      <c r="D5" s="2">
        <v>0</v>
      </c>
      <c r="E5" s="2">
        <v>2416865</v>
      </c>
      <c r="F5" s="2">
        <v>2581815</v>
      </c>
    </row>
    <row r="6" spans="1:6" x14ac:dyDescent="0.3">
      <c r="A6" s="1" t="s">
        <v>3</v>
      </c>
      <c r="B6" s="2">
        <f t="shared" si="0"/>
        <v>-2553295</v>
      </c>
      <c r="C6" s="2">
        <v>0</v>
      </c>
      <c r="D6" s="2">
        <v>0</v>
      </c>
      <c r="E6" s="2">
        <v>2553295</v>
      </c>
      <c r="F6" s="2">
        <v>2845603</v>
      </c>
    </row>
    <row r="7" spans="1:6" x14ac:dyDescent="0.3">
      <c r="A7" s="1" t="s">
        <v>4</v>
      </c>
      <c r="B7" s="2">
        <f t="shared" si="0"/>
        <v>-1436858</v>
      </c>
      <c r="C7" s="2">
        <v>0</v>
      </c>
      <c r="D7" s="2">
        <v>0</v>
      </c>
      <c r="E7" s="2">
        <v>1436858</v>
      </c>
      <c r="F7" s="2">
        <v>1525611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-1430768</v>
      </c>
      <c r="C9" s="2">
        <v>0</v>
      </c>
      <c r="D9" s="2">
        <v>0</v>
      </c>
      <c r="E9" s="2">
        <v>1430768</v>
      </c>
      <c r="F9" s="2">
        <v>1525586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-378000</v>
      </c>
      <c r="C12" s="2">
        <v>0</v>
      </c>
      <c r="D12" s="2">
        <v>0</v>
      </c>
      <c r="E12" s="2">
        <v>378000</v>
      </c>
      <c r="F12" s="2">
        <v>400000</v>
      </c>
    </row>
    <row r="13" spans="1:6" x14ac:dyDescent="0.3">
      <c r="A13" s="1" t="s">
        <v>10</v>
      </c>
      <c r="B13" s="2">
        <f t="shared" si="0"/>
        <v>-1512322</v>
      </c>
      <c r="C13" s="2">
        <v>0</v>
      </c>
      <c r="D13" s="2">
        <v>0</v>
      </c>
      <c r="E13" s="2">
        <v>1512322</v>
      </c>
      <c r="F13" s="2">
        <v>1593815</v>
      </c>
    </row>
    <row r="14" spans="1:6" x14ac:dyDescent="0.3">
      <c r="A14" s="1" t="s">
        <v>11</v>
      </c>
      <c r="B14" s="2">
        <f t="shared" si="0"/>
        <v>-1560390</v>
      </c>
      <c r="C14" s="2">
        <v>0</v>
      </c>
      <c r="D14" s="2">
        <v>0</v>
      </c>
      <c r="E14" s="2">
        <v>1560390</v>
      </c>
      <c r="F14" s="2">
        <v>1514620</v>
      </c>
    </row>
    <row r="15" spans="1:6" ht="17.25" thickBot="1" x14ac:dyDescent="0.35">
      <c r="A15" s="4" t="s">
        <v>13</v>
      </c>
      <c r="B15" s="5">
        <f>SUM(B3:B14)</f>
        <v>-13140730</v>
      </c>
      <c r="C15" s="5">
        <f t="shared" ref="C15:F15" si="1">SUM(C3:C14)</f>
        <v>0</v>
      </c>
      <c r="D15" s="5">
        <f t="shared" si="1"/>
        <v>0</v>
      </c>
      <c r="E15" s="5">
        <f t="shared" si="1"/>
        <v>13140730</v>
      </c>
      <c r="F15" s="5">
        <f t="shared" si="1"/>
        <v>13994526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-582963</v>
      </c>
      <c r="C3" s="2">
        <v>0</v>
      </c>
      <c r="D3" s="2">
        <v>0</v>
      </c>
      <c r="E3" s="2">
        <v>582963</v>
      </c>
      <c r="F3" s="2">
        <v>499550</v>
      </c>
    </row>
    <row r="4" spans="1:6" x14ac:dyDescent="0.3">
      <c r="A4" s="1" t="s">
        <v>1</v>
      </c>
      <c r="B4" s="2">
        <f t="shared" ref="B4:B14" si="0">C4-E4</f>
        <v>-1571328</v>
      </c>
      <c r="C4" s="2">
        <v>0</v>
      </c>
      <c r="D4" s="2">
        <v>0</v>
      </c>
      <c r="E4" s="2">
        <v>1571328</v>
      </c>
      <c r="F4" s="2">
        <v>1325930</v>
      </c>
    </row>
    <row r="5" spans="1:6" x14ac:dyDescent="0.3">
      <c r="A5" s="1" t="s">
        <v>2</v>
      </c>
      <c r="B5" s="2">
        <f t="shared" si="0"/>
        <v>-37</v>
      </c>
      <c r="C5" s="2">
        <v>0</v>
      </c>
      <c r="D5" s="2">
        <v>0</v>
      </c>
      <c r="E5" s="2">
        <v>37</v>
      </c>
      <c r="F5" s="2">
        <v>4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-2154328</v>
      </c>
      <c r="C15" s="5">
        <f t="shared" ref="C15:F15" si="1">SUM(C3:C14)</f>
        <v>0</v>
      </c>
      <c r="D15" s="5">
        <f t="shared" si="1"/>
        <v>0</v>
      </c>
      <c r="E15" s="5">
        <f t="shared" si="1"/>
        <v>2154328</v>
      </c>
      <c r="F15" s="5">
        <f t="shared" si="1"/>
        <v>1825484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-1201724</v>
      </c>
      <c r="C3" s="2">
        <v>0</v>
      </c>
      <c r="D3" s="2">
        <v>0</v>
      </c>
      <c r="E3" s="2">
        <v>1201724</v>
      </c>
      <c r="F3" s="2">
        <v>1009852</v>
      </c>
    </row>
    <row r="4" spans="1:6" x14ac:dyDescent="0.3">
      <c r="A4" s="1" t="s">
        <v>1</v>
      </c>
      <c r="B4" s="2">
        <f t="shared" ref="B4:B14" si="0">C4-E4</f>
        <v>340</v>
      </c>
      <c r="C4" s="2">
        <v>340</v>
      </c>
      <c r="D4" s="2">
        <v>110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566</v>
      </c>
      <c r="C5" s="2">
        <v>566</v>
      </c>
      <c r="D5" s="2">
        <v>170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-90641</v>
      </c>
      <c r="C6" s="2">
        <v>0</v>
      </c>
      <c r="D6" s="2">
        <v>0</v>
      </c>
      <c r="E6" s="2">
        <v>90641</v>
      </c>
      <c r="F6" s="2">
        <v>40540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-88143</v>
      </c>
      <c r="C9" s="2">
        <v>566</v>
      </c>
      <c r="D9" s="2">
        <v>170</v>
      </c>
      <c r="E9" s="2">
        <v>88709</v>
      </c>
      <c r="F9" s="2">
        <v>40757</v>
      </c>
    </row>
    <row r="10" spans="1:6" x14ac:dyDescent="0.3">
      <c r="A10" s="1" t="s">
        <v>7</v>
      </c>
      <c r="B10" s="2">
        <f t="shared" si="0"/>
        <v>226</v>
      </c>
      <c r="C10" s="2">
        <v>226</v>
      </c>
      <c r="D10" s="2">
        <v>60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-176829</v>
      </c>
      <c r="C11" s="2">
        <v>0</v>
      </c>
      <c r="D11" s="2">
        <v>0</v>
      </c>
      <c r="E11" s="2">
        <v>176829</v>
      </c>
      <c r="F11" s="2">
        <v>78945</v>
      </c>
    </row>
    <row r="12" spans="1:6" x14ac:dyDescent="0.3">
      <c r="A12" s="1" t="s">
        <v>9</v>
      </c>
      <c r="B12" s="2">
        <f t="shared" si="0"/>
        <v>-1</v>
      </c>
      <c r="C12" s="2">
        <v>0</v>
      </c>
      <c r="D12" s="2">
        <v>0</v>
      </c>
      <c r="E12" s="2">
        <v>1</v>
      </c>
      <c r="F12" s="2">
        <v>1</v>
      </c>
    </row>
    <row r="13" spans="1:6" x14ac:dyDescent="0.3">
      <c r="A13" s="1" t="s">
        <v>10</v>
      </c>
      <c r="B13" s="2">
        <f t="shared" si="0"/>
        <v>-87392</v>
      </c>
      <c r="C13" s="2">
        <v>510</v>
      </c>
      <c r="D13" s="2">
        <v>150</v>
      </c>
      <c r="E13" s="2">
        <v>87902</v>
      </c>
      <c r="F13" s="2">
        <v>39420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-1643598</v>
      </c>
      <c r="C15" s="5">
        <f t="shared" ref="C15:F15" si="1">SUM(C3:C14)</f>
        <v>2208</v>
      </c>
      <c r="D15" s="5">
        <f t="shared" si="1"/>
        <v>660</v>
      </c>
      <c r="E15" s="5">
        <f t="shared" si="1"/>
        <v>1645806</v>
      </c>
      <c r="F15" s="5">
        <f t="shared" si="1"/>
        <v>1209515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-2</v>
      </c>
      <c r="C4" s="2">
        <v>0</v>
      </c>
      <c r="D4" s="2">
        <v>0</v>
      </c>
      <c r="E4" s="2">
        <v>2</v>
      </c>
      <c r="F4" s="2">
        <v>4</v>
      </c>
    </row>
    <row r="5" spans="1:6" x14ac:dyDescent="0.3">
      <c r="A5" s="1" t="s">
        <v>2</v>
      </c>
      <c r="B5" s="2">
        <f t="shared" si="0"/>
        <v>-46794</v>
      </c>
      <c r="C5" s="2">
        <v>0</v>
      </c>
      <c r="D5" s="2">
        <v>0</v>
      </c>
      <c r="E5" s="2">
        <v>46794</v>
      </c>
      <c r="F5" s="2">
        <v>20041</v>
      </c>
    </row>
    <row r="6" spans="1:6" x14ac:dyDescent="0.3">
      <c r="A6" s="1" t="s">
        <v>3</v>
      </c>
      <c r="B6" s="2">
        <f t="shared" si="0"/>
        <v>-48974</v>
      </c>
      <c r="C6" s="2">
        <v>0</v>
      </c>
      <c r="D6" s="2">
        <v>0</v>
      </c>
      <c r="E6" s="2">
        <v>48974</v>
      </c>
      <c r="F6" s="2">
        <v>21480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-48767</v>
      </c>
      <c r="C8" s="2">
        <v>0</v>
      </c>
      <c r="D8" s="2">
        <v>0</v>
      </c>
      <c r="E8" s="2">
        <v>48767</v>
      </c>
      <c r="F8" s="2">
        <v>21382</v>
      </c>
    </row>
    <row r="9" spans="1:6" x14ac:dyDescent="0.3">
      <c r="A9" s="1" t="s">
        <v>6</v>
      </c>
      <c r="B9" s="2">
        <f t="shared" si="0"/>
        <v>-48321</v>
      </c>
      <c r="C9" s="2">
        <v>0</v>
      </c>
      <c r="D9" s="2">
        <v>0</v>
      </c>
      <c r="E9" s="2">
        <v>48321</v>
      </c>
      <c r="F9" s="2">
        <v>21190</v>
      </c>
    </row>
    <row r="10" spans="1:6" x14ac:dyDescent="0.3">
      <c r="A10" s="1" t="s">
        <v>7</v>
      </c>
      <c r="B10" s="2">
        <f t="shared" si="0"/>
        <v>-48427</v>
      </c>
      <c r="C10" s="2">
        <v>0</v>
      </c>
      <c r="D10" s="2">
        <v>0</v>
      </c>
      <c r="E10" s="2">
        <v>48427</v>
      </c>
      <c r="F10" s="2">
        <v>21240</v>
      </c>
    </row>
    <row r="11" spans="1:6" x14ac:dyDescent="0.3">
      <c r="A11" s="1" t="s">
        <v>8</v>
      </c>
      <c r="B11" s="2">
        <f t="shared" si="0"/>
        <v>-292</v>
      </c>
      <c r="C11" s="2">
        <v>0</v>
      </c>
      <c r="D11" s="2">
        <v>0</v>
      </c>
      <c r="E11" s="2">
        <v>292</v>
      </c>
      <c r="F11" s="2">
        <v>100</v>
      </c>
    </row>
    <row r="12" spans="1:6" x14ac:dyDescent="0.3">
      <c r="A12" s="1" t="s">
        <v>9</v>
      </c>
      <c r="B12" s="2">
        <f t="shared" si="0"/>
        <v>-49248</v>
      </c>
      <c r="C12" s="2">
        <v>0</v>
      </c>
      <c r="D12" s="2">
        <v>0</v>
      </c>
      <c r="E12" s="2">
        <v>49248</v>
      </c>
      <c r="F12" s="2">
        <v>21600</v>
      </c>
    </row>
    <row r="13" spans="1:6" x14ac:dyDescent="0.3">
      <c r="A13" s="1" t="s">
        <v>10</v>
      </c>
      <c r="B13" s="2">
        <f t="shared" si="0"/>
        <v>-49225</v>
      </c>
      <c r="C13" s="2">
        <v>0</v>
      </c>
      <c r="D13" s="2">
        <v>0</v>
      </c>
      <c r="E13" s="2">
        <v>49225</v>
      </c>
      <c r="F13" s="2">
        <v>21590</v>
      </c>
    </row>
    <row r="14" spans="1:6" x14ac:dyDescent="0.3">
      <c r="A14" s="1" t="s">
        <v>11</v>
      </c>
      <c r="B14" s="2">
        <f t="shared" si="0"/>
        <v>-766950</v>
      </c>
      <c r="C14" s="2">
        <v>0</v>
      </c>
      <c r="D14" s="2">
        <v>0</v>
      </c>
      <c r="E14" s="2">
        <v>766950</v>
      </c>
      <c r="F14" s="2">
        <v>709993</v>
      </c>
    </row>
    <row r="15" spans="1:6" ht="17.25" thickBot="1" x14ac:dyDescent="0.35">
      <c r="A15" s="4" t="s">
        <v>13</v>
      </c>
      <c r="B15" s="5">
        <f>SUM(B3:B14)</f>
        <v>-1107000</v>
      </c>
      <c r="C15" s="5">
        <f t="shared" ref="C15:F15" si="1">SUM(C3:C14)</f>
        <v>0</v>
      </c>
      <c r="D15" s="5">
        <f t="shared" si="1"/>
        <v>0</v>
      </c>
      <c r="E15" s="5">
        <f t="shared" si="1"/>
        <v>1107000</v>
      </c>
      <c r="F15" s="5">
        <f t="shared" si="1"/>
        <v>858620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-48440</v>
      </c>
      <c r="C3" s="2">
        <v>0</v>
      </c>
      <c r="D3" s="2">
        <v>0</v>
      </c>
      <c r="E3" s="2">
        <v>48440</v>
      </c>
      <c r="F3" s="2">
        <v>21242</v>
      </c>
    </row>
    <row r="4" spans="1:6" x14ac:dyDescent="0.3">
      <c r="A4" s="1" t="s">
        <v>1</v>
      </c>
      <c r="B4" s="2">
        <f t="shared" si="0"/>
        <v>-48723</v>
      </c>
      <c r="C4" s="2">
        <v>0</v>
      </c>
      <c r="D4" s="2">
        <v>0</v>
      </c>
      <c r="E4" s="2">
        <v>48723</v>
      </c>
      <c r="F4" s="2">
        <v>21577</v>
      </c>
    </row>
    <row r="5" spans="1:6" x14ac:dyDescent="0.3">
      <c r="A5" s="1" t="s">
        <v>2</v>
      </c>
      <c r="B5" s="2">
        <f t="shared" si="0"/>
        <v>-49366</v>
      </c>
      <c r="C5" s="2">
        <v>0</v>
      </c>
      <c r="D5" s="2">
        <v>0</v>
      </c>
      <c r="E5" s="2">
        <v>49366</v>
      </c>
      <c r="F5" s="2">
        <v>22001</v>
      </c>
    </row>
    <row r="6" spans="1:6" x14ac:dyDescent="0.3">
      <c r="A6" s="1" t="s">
        <v>3</v>
      </c>
      <c r="B6" s="2">
        <f t="shared" si="0"/>
        <v>-1414</v>
      </c>
      <c r="C6" s="2">
        <v>0</v>
      </c>
      <c r="D6" s="2">
        <v>0</v>
      </c>
      <c r="E6" s="2">
        <v>1414</v>
      </c>
      <c r="F6" s="2">
        <v>1147</v>
      </c>
    </row>
    <row r="7" spans="1:6" x14ac:dyDescent="0.3">
      <c r="A7" s="1" t="s">
        <v>4</v>
      </c>
      <c r="B7" s="2">
        <f t="shared" si="0"/>
        <v>-112891</v>
      </c>
      <c r="C7" s="2">
        <v>0</v>
      </c>
      <c r="D7" s="2">
        <v>0</v>
      </c>
      <c r="E7" s="2">
        <v>112891</v>
      </c>
      <c r="F7" s="2">
        <v>45013</v>
      </c>
    </row>
    <row r="8" spans="1:6" x14ac:dyDescent="0.3">
      <c r="A8" s="1" t="s">
        <v>5</v>
      </c>
      <c r="B8" s="2">
        <f t="shared" si="0"/>
        <v>-53727</v>
      </c>
      <c r="C8" s="2">
        <v>0</v>
      </c>
      <c r="D8" s="2">
        <v>0</v>
      </c>
      <c r="E8" s="2">
        <v>53727</v>
      </c>
      <c r="F8" s="2">
        <v>22807</v>
      </c>
    </row>
    <row r="9" spans="1:6" x14ac:dyDescent="0.3">
      <c r="A9" s="1" t="s">
        <v>6</v>
      </c>
      <c r="B9" s="2">
        <f t="shared" si="0"/>
        <v>-50298</v>
      </c>
      <c r="C9" s="2">
        <v>0</v>
      </c>
      <c r="D9" s="2">
        <v>0</v>
      </c>
      <c r="E9" s="2">
        <v>50298</v>
      </c>
      <c r="F9" s="2">
        <v>21680</v>
      </c>
    </row>
    <row r="10" spans="1:6" x14ac:dyDescent="0.3">
      <c r="A10" s="1" t="s">
        <v>7</v>
      </c>
      <c r="B10" s="2">
        <f t="shared" si="0"/>
        <v>-21143</v>
      </c>
      <c r="C10" s="2">
        <v>0</v>
      </c>
      <c r="D10" s="2">
        <v>0</v>
      </c>
      <c r="E10" s="2">
        <v>21143</v>
      </c>
      <c r="F10" s="2">
        <v>7800</v>
      </c>
    </row>
    <row r="11" spans="1:6" x14ac:dyDescent="0.3">
      <c r="A11" s="1" t="s">
        <v>8</v>
      </c>
      <c r="B11" s="2">
        <f t="shared" si="0"/>
        <v>-49602</v>
      </c>
      <c r="C11" s="2">
        <v>0</v>
      </c>
      <c r="D11" s="2">
        <v>0</v>
      </c>
      <c r="E11" s="2">
        <v>49602</v>
      </c>
      <c r="F11" s="2">
        <v>21380</v>
      </c>
    </row>
    <row r="12" spans="1:6" x14ac:dyDescent="0.3">
      <c r="A12" s="1" t="s">
        <v>9</v>
      </c>
      <c r="B12" s="2">
        <f t="shared" si="0"/>
        <v>-49926</v>
      </c>
      <c r="C12" s="2">
        <v>0</v>
      </c>
      <c r="D12" s="2">
        <v>0</v>
      </c>
      <c r="E12" s="2">
        <v>49926</v>
      </c>
      <c r="F12" s="2">
        <v>21520</v>
      </c>
    </row>
    <row r="13" spans="1:6" x14ac:dyDescent="0.3">
      <c r="A13" s="1" t="s">
        <v>10</v>
      </c>
      <c r="B13" s="2">
        <f t="shared" si="0"/>
        <v>-50622</v>
      </c>
      <c r="C13" s="2">
        <v>0</v>
      </c>
      <c r="D13" s="2">
        <v>0</v>
      </c>
      <c r="E13" s="2">
        <v>50622</v>
      </c>
      <c r="F13" s="2">
        <v>21820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-536152</v>
      </c>
      <c r="C15" s="5">
        <f t="shared" ref="C15:F15" si="1">SUM(C3:C14)</f>
        <v>0</v>
      </c>
      <c r="D15" s="5">
        <f t="shared" si="1"/>
        <v>0</v>
      </c>
      <c r="E15" s="5">
        <f t="shared" si="1"/>
        <v>536152</v>
      </c>
      <c r="F15" s="5">
        <f t="shared" si="1"/>
        <v>227987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-49741</v>
      </c>
      <c r="C3" s="2">
        <v>0</v>
      </c>
      <c r="D3" s="2">
        <v>0</v>
      </c>
      <c r="E3" s="2">
        <v>49741</v>
      </c>
      <c r="F3" s="2">
        <v>21440</v>
      </c>
    </row>
    <row r="4" spans="1:6" x14ac:dyDescent="0.3">
      <c r="A4" s="1" t="s">
        <v>1</v>
      </c>
      <c r="B4" s="2">
        <f t="shared" si="0"/>
        <v>-46586</v>
      </c>
      <c r="C4" s="2">
        <v>0</v>
      </c>
      <c r="D4" s="2">
        <v>0</v>
      </c>
      <c r="E4" s="2">
        <v>46586</v>
      </c>
      <c r="F4" s="2">
        <v>20080</v>
      </c>
    </row>
    <row r="5" spans="1:6" x14ac:dyDescent="0.3">
      <c r="A5" s="1" t="s">
        <v>2</v>
      </c>
      <c r="B5" s="2">
        <f t="shared" si="0"/>
        <v>-47189</v>
      </c>
      <c r="C5" s="2">
        <v>0</v>
      </c>
      <c r="D5" s="2">
        <v>0</v>
      </c>
      <c r="E5" s="2">
        <v>47189</v>
      </c>
      <c r="F5" s="2">
        <v>20340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-87559</v>
      </c>
      <c r="C7" s="2">
        <v>0</v>
      </c>
      <c r="D7" s="2">
        <v>0</v>
      </c>
      <c r="E7" s="2">
        <v>87559</v>
      </c>
      <c r="F7" s="2">
        <v>35627</v>
      </c>
    </row>
    <row r="8" spans="1:6" x14ac:dyDescent="0.3">
      <c r="A8" s="1" t="s">
        <v>5</v>
      </c>
      <c r="B8" s="2">
        <f t="shared" si="0"/>
        <v>-91918</v>
      </c>
      <c r="C8" s="2">
        <v>0</v>
      </c>
      <c r="D8" s="2">
        <v>0</v>
      </c>
      <c r="E8" s="2">
        <v>91918</v>
      </c>
      <c r="F8" s="2">
        <v>39620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-22016</v>
      </c>
      <c r="C10" s="2">
        <v>0</v>
      </c>
      <c r="D10" s="2">
        <v>0</v>
      </c>
      <c r="E10" s="2">
        <v>22016</v>
      </c>
      <c r="F10" s="2">
        <v>7800</v>
      </c>
    </row>
    <row r="11" spans="1:6" x14ac:dyDescent="0.3">
      <c r="A11" s="1" t="s">
        <v>8</v>
      </c>
      <c r="B11" s="2">
        <f t="shared" si="0"/>
        <v>-137196</v>
      </c>
      <c r="C11" s="2">
        <v>566</v>
      </c>
      <c r="D11" s="2">
        <v>168</v>
      </c>
      <c r="E11" s="2">
        <v>137762</v>
      </c>
      <c r="F11" s="2">
        <v>59380</v>
      </c>
    </row>
    <row r="12" spans="1:6" x14ac:dyDescent="0.3">
      <c r="A12" s="1" t="s">
        <v>9</v>
      </c>
      <c r="B12" s="2">
        <f t="shared" si="0"/>
        <v>-44776</v>
      </c>
      <c r="C12" s="2">
        <v>0</v>
      </c>
      <c r="D12" s="2">
        <v>0</v>
      </c>
      <c r="E12" s="2">
        <v>44776</v>
      </c>
      <c r="F12" s="2">
        <v>19300</v>
      </c>
    </row>
    <row r="13" spans="1:6" x14ac:dyDescent="0.3">
      <c r="A13" s="1" t="s">
        <v>10</v>
      </c>
      <c r="B13" s="2">
        <f t="shared" si="0"/>
        <v>-88051</v>
      </c>
      <c r="C13" s="2">
        <v>113</v>
      </c>
      <c r="D13" s="2">
        <v>30</v>
      </c>
      <c r="E13" s="2">
        <v>88164</v>
      </c>
      <c r="F13" s="2">
        <v>35080</v>
      </c>
    </row>
    <row r="14" spans="1:6" x14ac:dyDescent="0.3">
      <c r="A14" s="1" t="s">
        <v>11</v>
      </c>
      <c r="B14" s="2">
        <f t="shared" si="0"/>
        <v>-239215</v>
      </c>
      <c r="C14" s="2">
        <v>226</v>
      </c>
      <c r="D14" s="2">
        <v>60</v>
      </c>
      <c r="E14" s="2">
        <v>239441</v>
      </c>
      <c r="F14" s="2">
        <v>260180</v>
      </c>
    </row>
    <row r="15" spans="1:6" ht="17.25" thickBot="1" x14ac:dyDescent="0.35">
      <c r="A15" s="4" t="s">
        <v>13</v>
      </c>
      <c r="B15" s="5">
        <f>SUM(B3:B14)</f>
        <v>-854247</v>
      </c>
      <c r="C15" s="5">
        <f t="shared" ref="C15:F15" si="1">SUM(C3:C14)</f>
        <v>905</v>
      </c>
      <c r="D15" s="5">
        <f t="shared" si="1"/>
        <v>258</v>
      </c>
      <c r="E15" s="5">
        <f t="shared" si="1"/>
        <v>855152</v>
      </c>
      <c r="F15" s="5">
        <f t="shared" si="1"/>
        <v>518847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-264613</v>
      </c>
      <c r="C3" s="2">
        <v>0</v>
      </c>
      <c r="D3" s="2">
        <v>0</v>
      </c>
      <c r="E3" s="2">
        <v>264613</v>
      </c>
      <c r="F3" s="2">
        <v>259410</v>
      </c>
    </row>
    <row r="4" spans="1:6" x14ac:dyDescent="0.3">
      <c r="A4" s="1" t="s">
        <v>1</v>
      </c>
      <c r="B4" s="2">
        <f t="shared" si="0"/>
        <v>-45262</v>
      </c>
      <c r="C4" s="2">
        <v>138</v>
      </c>
      <c r="D4" s="2">
        <v>60</v>
      </c>
      <c r="E4" s="2">
        <v>45400</v>
      </c>
      <c r="F4" s="2">
        <v>19564</v>
      </c>
    </row>
    <row r="5" spans="1:6" x14ac:dyDescent="0.3">
      <c r="A5" s="1" t="s">
        <v>2</v>
      </c>
      <c r="B5" s="2">
        <f t="shared" si="0"/>
        <v>-45124</v>
      </c>
      <c r="C5" s="2">
        <v>0</v>
      </c>
      <c r="D5" s="2">
        <v>0</v>
      </c>
      <c r="E5" s="2">
        <v>45124</v>
      </c>
      <c r="F5" s="2">
        <v>19450</v>
      </c>
    </row>
    <row r="6" spans="1:6" x14ac:dyDescent="0.3">
      <c r="A6" s="1" t="s">
        <v>3</v>
      </c>
      <c r="B6" s="2">
        <f t="shared" si="0"/>
        <v>-1302259</v>
      </c>
      <c r="C6" s="2">
        <v>14350</v>
      </c>
      <c r="D6" s="2">
        <v>5400</v>
      </c>
      <c r="E6" s="2">
        <v>1316609</v>
      </c>
      <c r="F6" s="2">
        <v>1502295</v>
      </c>
    </row>
    <row r="7" spans="1:6" x14ac:dyDescent="0.3">
      <c r="A7" s="1" t="s">
        <v>4</v>
      </c>
      <c r="B7" s="2">
        <f t="shared" si="0"/>
        <v>-132622</v>
      </c>
      <c r="C7" s="2">
        <v>0</v>
      </c>
      <c r="D7" s="2">
        <v>0</v>
      </c>
      <c r="E7" s="2">
        <v>132622</v>
      </c>
      <c r="F7" s="2">
        <v>54640</v>
      </c>
    </row>
    <row r="8" spans="1:6" x14ac:dyDescent="0.3">
      <c r="A8" s="1" t="s">
        <v>5</v>
      </c>
      <c r="B8" s="2">
        <f t="shared" si="0"/>
        <v>-45107</v>
      </c>
      <c r="C8" s="2">
        <v>226</v>
      </c>
      <c r="D8" s="2">
        <v>60</v>
      </c>
      <c r="E8" s="2">
        <v>45333</v>
      </c>
      <c r="F8" s="2">
        <v>19540</v>
      </c>
    </row>
    <row r="9" spans="1:6" x14ac:dyDescent="0.3">
      <c r="A9" s="1" t="s">
        <v>6</v>
      </c>
      <c r="B9" s="2">
        <f t="shared" si="0"/>
        <v>-1313984</v>
      </c>
      <c r="C9" s="2">
        <v>0</v>
      </c>
      <c r="D9" s="2">
        <v>0</v>
      </c>
      <c r="E9" s="2">
        <v>1313984</v>
      </c>
      <c r="F9" s="2">
        <v>1513182</v>
      </c>
    </row>
    <row r="10" spans="1:6" x14ac:dyDescent="0.3">
      <c r="A10" s="1" t="s">
        <v>7</v>
      </c>
      <c r="B10" s="2">
        <f t="shared" si="0"/>
        <v>-1345141</v>
      </c>
      <c r="C10" s="2">
        <v>68</v>
      </c>
      <c r="D10" s="2">
        <v>18</v>
      </c>
      <c r="E10" s="2">
        <v>1345209</v>
      </c>
      <c r="F10" s="2">
        <v>1522926</v>
      </c>
    </row>
    <row r="11" spans="1:6" x14ac:dyDescent="0.3">
      <c r="A11" s="1" t="s">
        <v>8</v>
      </c>
      <c r="B11" s="2">
        <f t="shared" si="0"/>
        <v>-1401782</v>
      </c>
      <c r="C11" s="2">
        <v>0</v>
      </c>
      <c r="D11" s="2">
        <v>0</v>
      </c>
      <c r="E11" s="2">
        <v>1401782</v>
      </c>
      <c r="F11" s="2">
        <v>1548202</v>
      </c>
    </row>
    <row r="12" spans="1:6" x14ac:dyDescent="0.3">
      <c r="A12" s="1" t="s">
        <v>9</v>
      </c>
      <c r="B12" s="2">
        <f t="shared" si="0"/>
        <v>-46307</v>
      </c>
      <c r="C12" s="2">
        <v>0</v>
      </c>
      <c r="D12" s="2">
        <v>0</v>
      </c>
      <c r="E12" s="2">
        <v>46307</v>
      </c>
      <c r="F12" s="2">
        <v>19960</v>
      </c>
    </row>
    <row r="13" spans="1:6" x14ac:dyDescent="0.3">
      <c r="A13" s="1" t="s">
        <v>10</v>
      </c>
      <c r="B13" s="2">
        <f t="shared" si="0"/>
        <v>-1509625</v>
      </c>
      <c r="C13" s="2">
        <v>780</v>
      </c>
      <c r="D13" s="2">
        <v>312</v>
      </c>
      <c r="E13" s="2">
        <v>1510405</v>
      </c>
      <c r="F13" s="2">
        <v>1578477</v>
      </c>
    </row>
    <row r="14" spans="1:6" x14ac:dyDescent="0.3">
      <c r="A14" s="1" t="s">
        <v>11</v>
      </c>
      <c r="B14" s="2">
        <f t="shared" si="0"/>
        <v>-114168</v>
      </c>
      <c r="C14" s="2">
        <v>0</v>
      </c>
      <c r="D14" s="2">
        <v>0</v>
      </c>
      <c r="E14" s="2">
        <v>114168</v>
      </c>
      <c r="F14" s="2">
        <v>61100</v>
      </c>
    </row>
    <row r="15" spans="1:6" ht="17.25" thickBot="1" x14ac:dyDescent="0.35">
      <c r="A15" s="4" t="s">
        <v>13</v>
      </c>
      <c r="B15" s="5">
        <f>SUM(B3:B14)</f>
        <v>-7565994</v>
      </c>
      <c r="C15" s="5">
        <f t="shared" ref="C15:F15" si="1">SUM(C3:C14)</f>
        <v>15562</v>
      </c>
      <c r="D15" s="5">
        <f t="shared" si="1"/>
        <v>5850</v>
      </c>
      <c r="E15" s="5">
        <f t="shared" si="1"/>
        <v>7581556</v>
      </c>
      <c r="F15" s="5">
        <f t="shared" si="1"/>
        <v>8118746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-67856</v>
      </c>
      <c r="C4" s="2">
        <v>0</v>
      </c>
      <c r="D4" s="2">
        <v>0</v>
      </c>
      <c r="E4" s="2">
        <v>67856</v>
      </c>
      <c r="F4" s="2">
        <v>41000</v>
      </c>
    </row>
    <row r="5" spans="1:6" x14ac:dyDescent="0.3">
      <c r="A5" s="1" t="s">
        <v>2</v>
      </c>
      <c r="B5" s="2">
        <f t="shared" si="0"/>
        <v>-45704</v>
      </c>
      <c r="C5" s="2">
        <v>0</v>
      </c>
      <c r="D5" s="2">
        <v>0</v>
      </c>
      <c r="E5" s="2">
        <v>45704</v>
      </c>
      <c r="F5" s="2">
        <v>19700</v>
      </c>
    </row>
    <row r="6" spans="1:6" x14ac:dyDescent="0.3">
      <c r="A6" s="1" t="s">
        <v>3</v>
      </c>
      <c r="B6" s="2">
        <f t="shared" si="0"/>
        <v>-45588</v>
      </c>
      <c r="C6" s="2">
        <v>316</v>
      </c>
      <c r="D6" s="2">
        <v>84</v>
      </c>
      <c r="E6" s="2">
        <v>45904</v>
      </c>
      <c r="F6" s="2">
        <v>19781</v>
      </c>
    </row>
    <row r="7" spans="1:6" x14ac:dyDescent="0.3">
      <c r="A7" s="1" t="s">
        <v>4</v>
      </c>
      <c r="B7" s="2">
        <f t="shared" si="0"/>
        <v>-1453508</v>
      </c>
      <c r="C7" s="2">
        <v>0</v>
      </c>
      <c r="D7" s="2">
        <v>0</v>
      </c>
      <c r="E7" s="2">
        <v>1453508</v>
      </c>
      <c r="F7" s="2">
        <v>1519433</v>
      </c>
    </row>
    <row r="8" spans="1:6" x14ac:dyDescent="0.3">
      <c r="A8" s="1" t="s">
        <v>5</v>
      </c>
      <c r="B8" s="2">
        <f t="shared" si="0"/>
        <v>-1444417</v>
      </c>
      <c r="C8" s="2">
        <v>226</v>
      </c>
      <c r="D8" s="2">
        <v>60</v>
      </c>
      <c r="E8" s="2">
        <v>1444643</v>
      </c>
      <c r="F8" s="2">
        <v>1547940</v>
      </c>
    </row>
    <row r="9" spans="1:6" x14ac:dyDescent="0.3">
      <c r="A9" s="1" t="s">
        <v>6</v>
      </c>
      <c r="B9" s="2">
        <f t="shared" si="0"/>
        <v>-1452116</v>
      </c>
      <c r="C9" s="2">
        <v>0</v>
      </c>
      <c r="D9" s="2">
        <v>0</v>
      </c>
      <c r="E9" s="2">
        <v>1452116</v>
      </c>
      <c r="F9" s="2">
        <v>1548304</v>
      </c>
    </row>
    <row r="10" spans="1:6" x14ac:dyDescent="0.3">
      <c r="A10" s="1" t="s">
        <v>7</v>
      </c>
      <c r="B10" s="2">
        <f t="shared" si="0"/>
        <v>-44426</v>
      </c>
      <c r="C10" s="2">
        <v>0</v>
      </c>
      <c r="D10" s="2">
        <v>0</v>
      </c>
      <c r="E10" s="2">
        <v>44426</v>
      </c>
      <c r="F10" s="2">
        <v>19651</v>
      </c>
    </row>
    <row r="11" spans="1:6" x14ac:dyDescent="0.3">
      <c r="A11" s="1" t="s">
        <v>8</v>
      </c>
      <c r="B11" s="2">
        <f t="shared" si="0"/>
        <v>-1477260</v>
      </c>
      <c r="C11" s="2">
        <v>1246</v>
      </c>
      <c r="D11" s="2">
        <v>384</v>
      </c>
      <c r="E11" s="2">
        <v>1478506</v>
      </c>
      <c r="F11" s="2">
        <v>1548032</v>
      </c>
    </row>
    <row r="12" spans="1:6" x14ac:dyDescent="0.3">
      <c r="A12" s="1" t="s">
        <v>9</v>
      </c>
      <c r="B12" s="2">
        <f t="shared" si="0"/>
        <v>-67206</v>
      </c>
      <c r="C12" s="2">
        <v>0</v>
      </c>
      <c r="D12" s="2">
        <v>0</v>
      </c>
      <c r="E12" s="2">
        <v>67206</v>
      </c>
      <c r="F12" s="2">
        <v>41100</v>
      </c>
    </row>
    <row r="13" spans="1:6" x14ac:dyDescent="0.3">
      <c r="A13" s="1" t="s">
        <v>10</v>
      </c>
      <c r="B13" s="2">
        <f t="shared" si="0"/>
        <v>-1590748</v>
      </c>
      <c r="C13" s="2">
        <v>0</v>
      </c>
      <c r="D13" s="2">
        <v>0</v>
      </c>
      <c r="E13" s="2">
        <v>1590748</v>
      </c>
      <c r="F13" s="2">
        <v>1543698</v>
      </c>
    </row>
    <row r="14" spans="1:6" x14ac:dyDescent="0.3">
      <c r="A14" s="1" t="s">
        <v>11</v>
      </c>
      <c r="B14" s="2">
        <f t="shared" si="0"/>
        <v>-44748</v>
      </c>
      <c r="C14" s="2">
        <v>0</v>
      </c>
      <c r="D14" s="2">
        <v>0</v>
      </c>
      <c r="E14" s="2">
        <v>44748</v>
      </c>
      <c r="F14" s="2">
        <v>19800</v>
      </c>
    </row>
    <row r="15" spans="1:6" ht="17.25" thickBot="1" x14ac:dyDescent="0.35">
      <c r="A15" s="4" t="s">
        <v>13</v>
      </c>
      <c r="B15" s="5">
        <f>SUM(B3:B14)</f>
        <v>-7733577</v>
      </c>
      <c r="C15" s="5">
        <f t="shared" ref="C15:F15" si="1">SUM(C3:C14)</f>
        <v>1788</v>
      </c>
      <c r="D15" s="5">
        <f t="shared" si="1"/>
        <v>528</v>
      </c>
      <c r="E15" s="5">
        <f t="shared" si="1"/>
        <v>7735365</v>
      </c>
      <c r="F15" s="5">
        <f t="shared" si="1"/>
        <v>7868439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-1516728</v>
      </c>
      <c r="C3" s="2">
        <v>0</v>
      </c>
      <c r="D3" s="2">
        <v>0</v>
      </c>
      <c r="E3" s="2">
        <v>1516728</v>
      </c>
      <c r="F3" s="2">
        <v>1512976</v>
      </c>
    </row>
    <row r="4" spans="1:6" x14ac:dyDescent="0.3">
      <c r="A4" s="1" t="s">
        <v>1</v>
      </c>
      <c r="B4" s="2">
        <f t="shared" ref="B4:B14" si="0">C4-E4</f>
        <v>-88157</v>
      </c>
      <c r="C4" s="2">
        <v>166</v>
      </c>
      <c r="D4" s="2">
        <v>84</v>
      </c>
      <c r="E4" s="2">
        <v>88323</v>
      </c>
      <c r="F4" s="2">
        <v>50675</v>
      </c>
    </row>
    <row r="5" spans="1:6" x14ac:dyDescent="0.3">
      <c r="A5" s="1" t="s">
        <v>2</v>
      </c>
      <c r="B5" s="2">
        <f t="shared" si="0"/>
        <v>95</v>
      </c>
      <c r="C5" s="2">
        <v>113</v>
      </c>
      <c r="D5" s="2">
        <v>30</v>
      </c>
      <c r="E5" s="2">
        <v>18</v>
      </c>
      <c r="F5" s="2">
        <v>2</v>
      </c>
    </row>
    <row r="6" spans="1:6" x14ac:dyDescent="0.3">
      <c r="A6" s="1" t="s">
        <v>3</v>
      </c>
      <c r="B6" s="2">
        <f t="shared" si="0"/>
        <v>-1538791</v>
      </c>
      <c r="C6" s="2">
        <v>339</v>
      </c>
      <c r="D6" s="2">
        <v>90</v>
      </c>
      <c r="E6" s="2">
        <v>1539130</v>
      </c>
      <c r="F6" s="2">
        <v>1541142</v>
      </c>
    </row>
    <row r="7" spans="1:6" x14ac:dyDescent="0.3">
      <c r="A7" s="1" t="s">
        <v>4</v>
      </c>
      <c r="B7" s="2">
        <f t="shared" si="0"/>
        <v>-1511379</v>
      </c>
      <c r="C7" s="2">
        <v>21641</v>
      </c>
      <c r="D7" s="2">
        <v>19186</v>
      </c>
      <c r="E7" s="2">
        <v>1533020</v>
      </c>
      <c r="F7" s="2">
        <v>1522449</v>
      </c>
    </row>
    <row r="8" spans="1:6" x14ac:dyDescent="0.3">
      <c r="A8" s="1" t="s">
        <v>5</v>
      </c>
      <c r="B8" s="2">
        <f t="shared" si="0"/>
        <v>18289</v>
      </c>
      <c r="C8" s="2">
        <v>18289</v>
      </c>
      <c r="D8" s="2">
        <v>15874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-16373</v>
      </c>
      <c r="C9" s="2">
        <v>28392</v>
      </c>
      <c r="D9" s="2">
        <v>20824</v>
      </c>
      <c r="E9" s="2">
        <v>44765</v>
      </c>
      <c r="F9" s="2">
        <v>19802</v>
      </c>
    </row>
    <row r="10" spans="1:6" x14ac:dyDescent="0.3">
      <c r="A10" s="1" t="s">
        <v>7</v>
      </c>
      <c r="B10" s="2">
        <f t="shared" si="0"/>
        <v>-1459622</v>
      </c>
      <c r="C10" s="2">
        <v>26033</v>
      </c>
      <c r="D10" s="2">
        <v>13192</v>
      </c>
      <c r="E10" s="2">
        <v>1485655</v>
      </c>
      <c r="F10" s="2">
        <v>1548141</v>
      </c>
    </row>
    <row r="11" spans="1:6" x14ac:dyDescent="0.3">
      <c r="A11" s="1" t="s">
        <v>8</v>
      </c>
      <c r="B11" s="2">
        <f t="shared" si="0"/>
        <v>-1479921</v>
      </c>
      <c r="C11" s="2">
        <v>25112</v>
      </c>
      <c r="D11" s="2">
        <v>22896</v>
      </c>
      <c r="E11" s="2">
        <v>1505033</v>
      </c>
      <c r="F11" s="2">
        <v>1565113</v>
      </c>
    </row>
    <row r="12" spans="1:6" x14ac:dyDescent="0.3">
      <c r="A12" s="1" t="s">
        <v>9</v>
      </c>
      <c r="B12" s="2">
        <f t="shared" si="0"/>
        <v>-113094</v>
      </c>
      <c r="C12" s="2">
        <v>22789</v>
      </c>
      <c r="D12" s="2">
        <v>20362</v>
      </c>
      <c r="E12" s="2">
        <v>135883</v>
      </c>
      <c r="F12" s="2">
        <v>82240</v>
      </c>
    </row>
    <row r="13" spans="1:6" x14ac:dyDescent="0.3">
      <c r="A13" s="1" t="s">
        <v>10</v>
      </c>
      <c r="B13" s="2">
        <f t="shared" si="0"/>
        <v>27537</v>
      </c>
      <c r="C13" s="2">
        <v>27537</v>
      </c>
      <c r="D13" s="2">
        <v>24834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-19237</v>
      </c>
      <c r="C14" s="2">
        <v>24191</v>
      </c>
      <c r="D14" s="2">
        <v>21494</v>
      </c>
      <c r="E14" s="2">
        <v>43428</v>
      </c>
      <c r="F14" s="2">
        <v>19740</v>
      </c>
    </row>
    <row r="15" spans="1:6" ht="17.25" thickBot="1" x14ac:dyDescent="0.35">
      <c r="A15" s="4" t="s">
        <v>13</v>
      </c>
      <c r="B15" s="5">
        <f>SUM(B3:B14)</f>
        <v>-7697381</v>
      </c>
      <c r="C15" s="5">
        <f t="shared" ref="C15:F15" si="1">SUM(C3:C14)</f>
        <v>194602</v>
      </c>
      <c r="D15" s="5">
        <f t="shared" si="1"/>
        <v>158866</v>
      </c>
      <c r="E15" s="5">
        <f t="shared" si="1"/>
        <v>7891983</v>
      </c>
      <c r="F15" s="5">
        <f t="shared" si="1"/>
        <v>7862280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-1544751</v>
      </c>
      <c r="C3" s="2">
        <v>37000</v>
      </c>
      <c r="D3" s="2">
        <v>33676</v>
      </c>
      <c r="E3" s="2">
        <v>1581751</v>
      </c>
      <c r="F3" s="2">
        <v>1648061</v>
      </c>
    </row>
    <row r="4" spans="1:6" x14ac:dyDescent="0.3">
      <c r="A4" s="1" t="s">
        <v>1</v>
      </c>
      <c r="B4" s="2">
        <f t="shared" si="0"/>
        <v>-1436531</v>
      </c>
      <c r="C4" s="2">
        <v>22792</v>
      </c>
      <c r="D4" s="2">
        <v>20124</v>
      </c>
      <c r="E4" s="2">
        <v>1459323</v>
      </c>
      <c r="F4" s="2">
        <v>1499079</v>
      </c>
    </row>
    <row r="5" spans="1:6" x14ac:dyDescent="0.3">
      <c r="A5" s="1" t="s">
        <v>2</v>
      </c>
      <c r="B5" s="2">
        <f t="shared" si="0"/>
        <v>-15781</v>
      </c>
      <c r="C5" s="2">
        <v>27444</v>
      </c>
      <c r="D5" s="2">
        <v>25120</v>
      </c>
      <c r="E5" s="2">
        <v>43225</v>
      </c>
      <c r="F5" s="2">
        <v>19641</v>
      </c>
    </row>
    <row r="6" spans="1:6" x14ac:dyDescent="0.3">
      <c r="A6" s="1" t="s">
        <v>3</v>
      </c>
      <c r="B6" s="2">
        <f t="shared" si="0"/>
        <v>-57035</v>
      </c>
      <c r="C6" s="2">
        <v>28941</v>
      </c>
      <c r="D6" s="2">
        <v>24977</v>
      </c>
      <c r="E6" s="2">
        <v>85976</v>
      </c>
      <c r="F6" s="2">
        <v>39080</v>
      </c>
    </row>
    <row r="7" spans="1:6" x14ac:dyDescent="0.3">
      <c r="A7" s="1" t="s">
        <v>4</v>
      </c>
      <c r="B7" s="2">
        <f t="shared" si="0"/>
        <v>-136045</v>
      </c>
      <c r="C7" s="2">
        <v>19500</v>
      </c>
      <c r="D7" s="2">
        <v>18000</v>
      </c>
      <c r="E7" s="2">
        <v>155545</v>
      </c>
      <c r="F7" s="2">
        <v>118750</v>
      </c>
    </row>
    <row r="8" spans="1:6" x14ac:dyDescent="0.3">
      <c r="A8" s="1" t="s">
        <v>5</v>
      </c>
      <c r="B8" s="2">
        <f t="shared" si="0"/>
        <v>-43158</v>
      </c>
      <c r="C8" s="2">
        <v>226</v>
      </c>
      <c r="D8" s="2">
        <v>60</v>
      </c>
      <c r="E8" s="2">
        <v>43384</v>
      </c>
      <c r="F8" s="2">
        <v>19720</v>
      </c>
    </row>
    <row r="9" spans="1:6" x14ac:dyDescent="0.3">
      <c r="A9" s="1" t="s">
        <v>6</v>
      </c>
      <c r="B9" s="2">
        <f t="shared" si="0"/>
        <v>-41944</v>
      </c>
      <c r="C9" s="2">
        <v>340</v>
      </c>
      <c r="D9" s="2">
        <v>108</v>
      </c>
      <c r="E9" s="2">
        <v>42284</v>
      </c>
      <c r="F9" s="2">
        <v>19220</v>
      </c>
    </row>
    <row r="10" spans="1:6" x14ac:dyDescent="0.3">
      <c r="A10" s="1" t="s">
        <v>7</v>
      </c>
      <c r="B10" s="2">
        <f t="shared" si="0"/>
        <v>-43444</v>
      </c>
      <c r="C10" s="2">
        <v>0</v>
      </c>
      <c r="D10" s="2">
        <v>0</v>
      </c>
      <c r="E10" s="2">
        <v>43444</v>
      </c>
      <c r="F10" s="2">
        <v>19741</v>
      </c>
    </row>
    <row r="11" spans="1:6" x14ac:dyDescent="0.3">
      <c r="A11" s="1" t="s">
        <v>8</v>
      </c>
      <c r="B11" s="2">
        <f t="shared" si="0"/>
        <v>-1341217</v>
      </c>
      <c r="C11" s="2">
        <v>226</v>
      </c>
      <c r="D11" s="2">
        <v>60</v>
      </c>
      <c r="E11" s="2">
        <v>1341443</v>
      </c>
      <c r="F11" s="2">
        <v>1469913</v>
      </c>
    </row>
    <row r="12" spans="1:6" x14ac:dyDescent="0.3">
      <c r="A12" s="1" t="s">
        <v>9</v>
      </c>
      <c r="B12" s="2">
        <f t="shared" si="0"/>
        <v>-85882</v>
      </c>
      <c r="C12" s="2">
        <v>459</v>
      </c>
      <c r="D12" s="2">
        <v>162</v>
      </c>
      <c r="E12" s="2">
        <v>86341</v>
      </c>
      <c r="F12" s="2">
        <v>39241</v>
      </c>
    </row>
    <row r="13" spans="1:6" x14ac:dyDescent="0.3">
      <c r="A13" s="1" t="s">
        <v>10</v>
      </c>
      <c r="B13" s="2">
        <f t="shared" si="0"/>
        <v>-16</v>
      </c>
      <c r="C13" s="2">
        <v>0</v>
      </c>
      <c r="D13" s="2">
        <v>0</v>
      </c>
      <c r="E13" s="2">
        <v>16</v>
      </c>
      <c r="F13" s="2">
        <v>1</v>
      </c>
    </row>
    <row r="14" spans="1:6" x14ac:dyDescent="0.3">
      <c r="A14" s="1" t="s">
        <v>11</v>
      </c>
      <c r="B14" s="2">
        <f t="shared" si="0"/>
        <v>-1509866</v>
      </c>
      <c r="C14" s="2">
        <v>0</v>
      </c>
      <c r="D14" s="2">
        <v>0</v>
      </c>
      <c r="E14" s="2">
        <v>1509866</v>
      </c>
      <c r="F14" s="2">
        <v>1564497</v>
      </c>
    </row>
    <row r="15" spans="1:6" ht="17.25" thickBot="1" x14ac:dyDescent="0.35">
      <c r="A15" s="4" t="s">
        <v>13</v>
      </c>
      <c r="B15" s="5">
        <f>SUM(B3:B14)</f>
        <v>-6255670</v>
      </c>
      <c r="C15" s="5">
        <f t="shared" ref="C15:F15" si="1">SUM(C3:C14)</f>
        <v>136928</v>
      </c>
      <c r="D15" s="5">
        <f t="shared" si="1"/>
        <v>122287</v>
      </c>
      <c r="E15" s="5">
        <f t="shared" si="1"/>
        <v>6392598</v>
      </c>
      <c r="F15" s="5">
        <f t="shared" si="1"/>
        <v>6456944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-1427021</v>
      </c>
      <c r="C3" s="2">
        <v>203</v>
      </c>
      <c r="D3" s="2">
        <v>60</v>
      </c>
      <c r="E3" s="2">
        <v>1427224</v>
      </c>
      <c r="F3" s="2">
        <v>1516030</v>
      </c>
    </row>
    <row r="4" spans="1:6" x14ac:dyDescent="0.3">
      <c r="A4" s="1" t="s">
        <v>1</v>
      </c>
      <c r="B4" s="2">
        <f t="shared" si="0"/>
        <v>-43945</v>
      </c>
      <c r="C4" s="2">
        <v>0</v>
      </c>
      <c r="D4" s="2">
        <v>0</v>
      </c>
      <c r="E4" s="2">
        <v>43945</v>
      </c>
      <c r="F4" s="2">
        <v>19962</v>
      </c>
    </row>
    <row r="5" spans="1:6" x14ac:dyDescent="0.3">
      <c r="A5" s="1" t="s">
        <v>2</v>
      </c>
      <c r="B5" s="2">
        <f t="shared" si="0"/>
        <v>-43797</v>
      </c>
      <c r="C5" s="2">
        <v>203</v>
      </c>
      <c r="D5" s="2">
        <v>60</v>
      </c>
      <c r="E5" s="2">
        <v>44000</v>
      </c>
      <c r="F5" s="2">
        <v>20000</v>
      </c>
    </row>
    <row r="6" spans="1:6" x14ac:dyDescent="0.3">
      <c r="A6" s="1" t="s">
        <v>3</v>
      </c>
      <c r="B6" s="2">
        <f t="shared" si="0"/>
        <v>-66594</v>
      </c>
      <c r="C6" s="2">
        <v>676</v>
      </c>
      <c r="D6" s="2">
        <v>276</v>
      </c>
      <c r="E6" s="2">
        <v>67270</v>
      </c>
      <c r="F6" s="2">
        <v>41962</v>
      </c>
    </row>
    <row r="7" spans="1:6" x14ac:dyDescent="0.3">
      <c r="A7" s="1" t="s">
        <v>4</v>
      </c>
      <c r="B7" s="2">
        <f t="shared" si="0"/>
        <v>-43397</v>
      </c>
      <c r="C7" s="2">
        <v>153</v>
      </c>
      <c r="D7" s="2">
        <v>54</v>
      </c>
      <c r="E7" s="2">
        <v>43550</v>
      </c>
      <c r="F7" s="2">
        <v>19781</v>
      </c>
    </row>
    <row r="8" spans="1:6" x14ac:dyDescent="0.3">
      <c r="A8" s="1" t="s">
        <v>5</v>
      </c>
      <c r="B8" s="2">
        <f t="shared" si="0"/>
        <v>-1569153</v>
      </c>
      <c r="C8" s="2">
        <v>508</v>
      </c>
      <c r="D8" s="2">
        <v>300</v>
      </c>
      <c r="E8" s="2">
        <v>1569661</v>
      </c>
      <c r="F8" s="2">
        <v>1645765</v>
      </c>
    </row>
    <row r="9" spans="1:6" x14ac:dyDescent="0.3">
      <c r="A9" s="1" t="s">
        <v>6</v>
      </c>
      <c r="B9" s="2">
        <f t="shared" si="0"/>
        <v>-1545917</v>
      </c>
      <c r="C9" s="2">
        <v>2471</v>
      </c>
      <c r="D9" s="2">
        <v>1422</v>
      </c>
      <c r="E9" s="2">
        <v>1548388</v>
      </c>
      <c r="F9" s="2">
        <v>1522583</v>
      </c>
    </row>
    <row r="10" spans="1:6" x14ac:dyDescent="0.3">
      <c r="A10" s="1" t="s">
        <v>7</v>
      </c>
      <c r="B10" s="2">
        <f t="shared" si="0"/>
        <v>-41486</v>
      </c>
      <c r="C10" s="2">
        <v>2330</v>
      </c>
      <c r="D10" s="2">
        <v>1848</v>
      </c>
      <c r="E10" s="2">
        <v>43816</v>
      </c>
      <c r="F10" s="2">
        <v>19901</v>
      </c>
    </row>
    <row r="11" spans="1:6" x14ac:dyDescent="0.3">
      <c r="A11" s="1" t="s">
        <v>8</v>
      </c>
      <c r="B11" s="2">
        <f t="shared" si="0"/>
        <v>-66712</v>
      </c>
      <c r="C11" s="2">
        <v>153</v>
      </c>
      <c r="D11" s="2">
        <v>54</v>
      </c>
      <c r="E11" s="2">
        <v>66865</v>
      </c>
      <c r="F11" s="2">
        <v>41781</v>
      </c>
    </row>
    <row r="12" spans="1:6" x14ac:dyDescent="0.3">
      <c r="A12" s="1" t="s">
        <v>9</v>
      </c>
      <c r="B12" s="2">
        <f t="shared" si="0"/>
        <v>-44011</v>
      </c>
      <c r="C12" s="2">
        <v>0</v>
      </c>
      <c r="D12" s="2">
        <v>0</v>
      </c>
      <c r="E12" s="2">
        <v>44011</v>
      </c>
      <c r="F12" s="2">
        <v>20001</v>
      </c>
    </row>
    <row r="13" spans="1:6" x14ac:dyDescent="0.3">
      <c r="A13" s="1" t="s">
        <v>10</v>
      </c>
      <c r="B13" s="2">
        <f t="shared" si="0"/>
        <v>-42897</v>
      </c>
      <c r="C13" s="2">
        <v>306</v>
      </c>
      <c r="D13" s="2">
        <v>108</v>
      </c>
      <c r="E13" s="2">
        <v>43203</v>
      </c>
      <c r="F13" s="2">
        <v>19622</v>
      </c>
    </row>
    <row r="14" spans="1:6" x14ac:dyDescent="0.3">
      <c r="A14" s="1" t="s">
        <v>11</v>
      </c>
      <c r="B14" s="2">
        <f t="shared" si="0"/>
        <v>-1653260</v>
      </c>
      <c r="C14" s="2">
        <v>0</v>
      </c>
      <c r="D14" s="2">
        <v>0</v>
      </c>
      <c r="E14" s="2">
        <v>1653260</v>
      </c>
      <c r="F14" s="2">
        <v>1614919</v>
      </c>
    </row>
    <row r="15" spans="1:6" ht="17.25" thickBot="1" x14ac:dyDescent="0.35">
      <c r="A15" s="4" t="s">
        <v>13</v>
      </c>
      <c r="B15" s="5">
        <f>SUM(B3:B14)</f>
        <v>-6588190</v>
      </c>
      <c r="C15" s="5">
        <f t="shared" ref="C15:F15" si="1">SUM(C3:C14)</f>
        <v>7003</v>
      </c>
      <c r="D15" s="5">
        <f t="shared" si="1"/>
        <v>4182</v>
      </c>
      <c r="E15" s="5">
        <f t="shared" si="1"/>
        <v>6595193</v>
      </c>
      <c r="F15" s="5">
        <f t="shared" si="1"/>
        <v>6502307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-135897</v>
      </c>
      <c r="C3" s="2">
        <v>0</v>
      </c>
      <c r="D3" s="2">
        <v>0</v>
      </c>
      <c r="E3" s="2">
        <v>135897</v>
      </c>
      <c r="F3" s="2">
        <v>107370</v>
      </c>
    </row>
    <row r="4" spans="1:6" x14ac:dyDescent="0.3">
      <c r="A4" s="1" t="s">
        <v>1</v>
      </c>
      <c r="B4" s="2">
        <f t="shared" si="0"/>
        <v>-86604</v>
      </c>
      <c r="C4" s="2">
        <v>0</v>
      </c>
      <c r="D4" s="2">
        <v>0</v>
      </c>
      <c r="E4" s="2">
        <v>86604</v>
      </c>
      <c r="F4" s="2">
        <v>39323</v>
      </c>
    </row>
    <row r="5" spans="1:6" x14ac:dyDescent="0.3">
      <c r="A5" s="1" t="s">
        <v>2</v>
      </c>
      <c r="B5" s="2">
        <f t="shared" si="0"/>
        <v>-1826531</v>
      </c>
      <c r="C5" s="2">
        <v>63</v>
      </c>
      <c r="D5" s="2">
        <v>30</v>
      </c>
      <c r="E5" s="2">
        <v>1826594</v>
      </c>
      <c r="F5" s="2">
        <v>1557251</v>
      </c>
    </row>
    <row r="6" spans="1:6" x14ac:dyDescent="0.3">
      <c r="A6" s="1" t="s">
        <v>3</v>
      </c>
      <c r="B6" s="2">
        <f t="shared" si="0"/>
        <v>-94040</v>
      </c>
      <c r="C6" s="2">
        <v>0</v>
      </c>
      <c r="D6" s="2">
        <v>0</v>
      </c>
      <c r="E6" s="2">
        <v>94040</v>
      </c>
      <c r="F6" s="2">
        <v>65321</v>
      </c>
    </row>
    <row r="7" spans="1:6" x14ac:dyDescent="0.3">
      <c r="A7" s="1" t="s">
        <v>4</v>
      </c>
      <c r="B7" s="2">
        <f t="shared" si="0"/>
        <v>-96527</v>
      </c>
      <c r="C7" s="2">
        <v>0</v>
      </c>
      <c r="D7" s="2">
        <v>0</v>
      </c>
      <c r="E7" s="2">
        <v>96527</v>
      </c>
      <c r="F7" s="2">
        <v>43682</v>
      </c>
    </row>
    <row r="8" spans="1:6" x14ac:dyDescent="0.3">
      <c r="A8" s="1" t="s">
        <v>5</v>
      </c>
      <c r="B8" s="2">
        <f t="shared" si="0"/>
        <v>-1852497</v>
      </c>
      <c r="C8" s="2">
        <v>0</v>
      </c>
      <c r="D8" s="2">
        <v>0</v>
      </c>
      <c r="E8" s="2">
        <v>1852497</v>
      </c>
      <c r="F8" s="2">
        <v>1469553</v>
      </c>
    </row>
    <row r="9" spans="1:6" x14ac:dyDescent="0.3">
      <c r="A9" s="1" t="s">
        <v>6</v>
      </c>
      <c r="B9" s="2">
        <f t="shared" si="0"/>
        <v>-48465</v>
      </c>
      <c r="C9" s="2">
        <v>0</v>
      </c>
      <c r="D9" s="2">
        <v>0</v>
      </c>
      <c r="E9" s="2">
        <v>48465</v>
      </c>
      <c r="F9" s="2">
        <v>21940</v>
      </c>
    </row>
    <row r="10" spans="1:6" x14ac:dyDescent="0.3">
      <c r="A10" s="1" t="s">
        <v>7</v>
      </c>
      <c r="B10" s="2">
        <f t="shared" si="0"/>
        <v>-47543</v>
      </c>
      <c r="C10" s="2">
        <v>0</v>
      </c>
      <c r="D10" s="2">
        <v>0</v>
      </c>
      <c r="E10" s="2">
        <v>47543</v>
      </c>
      <c r="F10" s="2">
        <v>21520</v>
      </c>
    </row>
    <row r="11" spans="1:6" x14ac:dyDescent="0.3">
      <c r="A11" s="1" t="s">
        <v>8</v>
      </c>
      <c r="B11" s="2">
        <f t="shared" si="0"/>
        <v>479</v>
      </c>
      <c r="C11" s="2">
        <v>524</v>
      </c>
      <c r="D11" s="2">
        <v>118</v>
      </c>
      <c r="E11" s="2">
        <v>45</v>
      </c>
      <c r="F11" s="2">
        <v>6</v>
      </c>
    </row>
    <row r="12" spans="1:6" x14ac:dyDescent="0.3">
      <c r="A12" s="1" t="s">
        <v>9</v>
      </c>
      <c r="B12" s="2">
        <f t="shared" si="0"/>
        <v>-95302</v>
      </c>
      <c r="C12" s="2">
        <v>60</v>
      </c>
      <c r="D12" s="2">
        <v>30</v>
      </c>
      <c r="E12" s="2">
        <v>95362</v>
      </c>
      <c r="F12" s="2">
        <v>43420</v>
      </c>
    </row>
    <row r="13" spans="1:6" x14ac:dyDescent="0.3">
      <c r="A13" s="1" t="s">
        <v>10</v>
      </c>
      <c r="B13" s="2">
        <f t="shared" si="0"/>
        <v>228</v>
      </c>
      <c r="C13" s="2">
        <v>260</v>
      </c>
      <c r="D13" s="2">
        <v>108</v>
      </c>
      <c r="E13" s="2">
        <v>32</v>
      </c>
      <c r="F13" s="2">
        <v>7</v>
      </c>
    </row>
    <row r="14" spans="1:6" x14ac:dyDescent="0.3">
      <c r="A14" s="1" t="s">
        <v>11</v>
      </c>
      <c r="B14" s="2">
        <f t="shared" si="0"/>
        <v>-2300802</v>
      </c>
      <c r="C14" s="2">
        <v>0</v>
      </c>
      <c r="D14" s="2">
        <v>0</v>
      </c>
      <c r="E14" s="2">
        <v>2300802</v>
      </c>
      <c r="F14" s="2">
        <v>1477484</v>
      </c>
    </row>
    <row r="15" spans="1:6" ht="17.25" thickBot="1" x14ac:dyDescent="0.35">
      <c r="A15" s="4" t="s">
        <v>13</v>
      </c>
      <c r="B15" s="5">
        <f>SUM(B3:B14)</f>
        <v>-6583501</v>
      </c>
      <c r="C15" s="5">
        <f t="shared" ref="C15:F15" si="1">SUM(C3:C14)</f>
        <v>907</v>
      </c>
      <c r="D15" s="5">
        <f t="shared" si="1"/>
        <v>286</v>
      </c>
      <c r="E15" s="5">
        <f t="shared" si="1"/>
        <v>6584408</v>
      </c>
      <c r="F15" s="5">
        <f t="shared" si="1"/>
        <v>4846877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-95052</v>
      </c>
      <c r="C3" s="2">
        <v>762</v>
      </c>
      <c r="D3" s="2">
        <v>414</v>
      </c>
      <c r="E3" s="2">
        <v>95814</v>
      </c>
      <c r="F3" s="2">
        <v>43523</v>
      </c>
    </row>
    <row r="4" spans="1:6" x14ac:dyDescent="0.3">
      <c r="A4" s="1" t="s">
        <v>1</v>
      </c>
      <c r="B4" s="2">
        <f t="shared" si="0"/>
        <v>-3634657</v>
      </c>
      <c r="C4" s="2">
        <v>0</v>
      </c>
      <c r="D4" s="2">
        <v>0</v>
      </c>
      <c r="E4" s="2">
        <v>3634657</v>
      </c>
      <c r="F4" s="2">
        <v>1965104</v>
      </c>
    </row>
    <row r="5" spans="1:6" x14ac:dyDescent="0.3">
      <c r="A5" s="1" t="s">
        <v>2</v>
      </c>
      <c r="B5" s="2">
        <f t="shared" si="0"/>
        <v>-95453</v>
      </c>
      <c r="C5" s="2">
        <v>0</v>
      </c>
      <c r="D5" s="2">
        <v>0</v>
      </c>
      <c r="E5" s="2">
        <v>95453</v>
      </c>
      <c r="F5" s="2">
        <v>43380</v>
      </c>
    </row>
    <row r="6" spans="1:6" x14ac:dyDescent="0.3">
      <c r="A6" s="1" t="s">
        <v>3</v>
      </c>
      <c r="B6" s="2">
        <f t="shared" si="0"/>
        <v>-47934</v>
      </c>
      <c r="C6" s="2">
        <v>0</v>
      </c>
      <c r="D6" s="2">
        <v>0</v>
      </c>
      <c r="E6" s="2">
        <v>47934</v>
      </c>
      <c r="F6" s="2">
        <v>21781</v>
      </c>
    </row>
    <row r="7" spans="1:6" x14ac:dyDescent="0.3">
      <c r="A7" s="1" t="s">
        <v>4</v>
      </c>
      <c r="B7" s="2">
        <f t="shared" si="0"/>
        <v>-47321</v>
      </c>
      <c r="C7" s="2">
        <v>0</v>
      </c>
      <c r="D7" s="2">
        <v>0</v>
      </c>
      <c r="E7" s="2">
        <v>47321</v>
      </c>
      <c r="F7" s="2">
        <v>21503</v>
      </c>
    </row>
    <row r="8" spans="1:6" x14ac:dyDescent="0.3">
      <c r="A8" s="1" t="s">
        <v>5</v>
      </c>
      <c r="B8" s="2">
        <f t="shared" si="0"/>
        <v>-10</v>
      </c>
      <c r="C8" s="2">
        <v>0</v>
      </c>
      <c r="D8" s="2">
        <v>0</v>
      </c>
      <c r="E8" s="2">
        <v>10</v>
      </c>
      <c r="F8" s="2">
        <v>1</v>
      </c>
    </row>
    <row r="9" spans="1:6" x14ac:dyDescent="0.3">
      <c r="A9" s="1" t="s">
        <v>6</v>
      </c>
      <c r="B9" s="2">
        <f t="shared" si="0"/>
        <v>-49134</v>
      </c>
      <c r="C9" s="2">
        <v>0</v>
      </c>
      <c r="D9" s="2">
        <v>0</v>
      </c>
      <c r="E9" s="2">
        <v>49134</v>
      </c>
      <c r="F9" s="2">
        <v>21974</v>
      </c>
    </row>
    <row r="10" spans="1:6" x14ac:dyDescent="0.3">
      <c r="A10" s="1" t="s">
        <v>7</v>
      </c>
      <c r="B10" s="2">
        <f t="shared" si="0"/>
        <v>-233902</v>
      </c>
      <c r="C10" s="2">
        <v>0</v>
      </c>
      <c r="D10" s="2">
        <v>0</v>
      </c>
      <c r="E10" s="2">
        <v>233902</v>
      </c>
      <c r="F10" s="2">
        <v>101307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-230921</v>
      </c>
      <c r="C12" s="2">
        <v>0</v>
      </c>
      <c r="D12" s="2">
        <v>0</v>
      </c>
      <c r="E12" s="2">
        <v>230921</v>
      </c>
      <c r="F12" s="2">
        <v>102140</v>
      </c>
    </row>
    <row r="13" spans="1:6" x14ac:dyDescent="0.3">
      <c r="A13" s="1" t="s">
        <v>10</v>
      </c>
      <c r="B13" s="2">
        <f t="shared" si="0"/>
        <v>-132841</v>
      </c>
      <c r="C13" s="2">
        <v>0</v>
      </c>
      <c r="D13" s="2">
        <v>0</v>
      </c>
      <c r="E13" s="2">
        <v>132841</v>
      </c>
      <c r="F13" s="2">
        <v>57284</v>
      </c>
    </row>
    <row r="14" spans="1:6" x14ac:dyDescent="0.3">
      <c r="A14" s="1" t="s">
        <v>11</v>
      </c>
      <c r="B14" s="2">
        <f t="shared" si="0"/>
        <v>-95956</v>
      </c>
      <c r="C14" s="2">
        <v>0</v>
      </c>
      <c r="D14" s="2">
        <v>0</v>
      </c>
      <c r="E14" s="2">
        <v>95956</v>
      </c>
      <c r="F14" s="2">
        <v>43602</v>
      </c>
    </row>
    <row r="15" spans="1:6" ht="17.25" thickBot="1" x14ac:dyDescent="0.35">
      <c r="A15" s="4" t="s">
        <v>13</v>
      </c>
      <c r="B15" s="5">
        <f>SUM(B3:B14)</f>
        <v>-4663181</v>
      </c>
      <c r="C15" s="5">
        <f t="shared" ref="C15:F15" si="1">SUM(C3:C14)</f>
        <v>762</v>
      </c>
      <c r="D15" s="5">
        <f t="shared" si="1"/>
        <v>414</v>
      </c>
      <c r="E15" s="5">
        <f t="shared" si="1"/>
        <v>4663943</v>
      </c>
      <c r="F15" s="5">
        <f t="shared" si="1"/>
        <v>2421599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-43149</v>
      </c>
      <c r="C3" s="2">
        <v>354</v>
      </c>
      <c r="D3" s="2">
        <v>120</v>
      </c>
      <c r="E3" s="2">
        <v>43503</v>
      </c>
      <c r="F3" s="2">
        <v>17315</v>
      </c>
    </row>
    <row r="4" spans="1:6" x14ac:dyDescent="0.3">
      <c r="A4" s="1" t="s">
        <v>1</v>
      </c>
      <c r="B4" s="2">
        <f t="shared" si="0"/>
        <v>-95164</v>
      </c>
      <c r="C4" s="2">
        <v>0</v>
      </c>
      <c r="D4" s="2">
        <v>0</v>
      </c>
      <c r="E4" s="2">
        <v>95164</v>
      </c>
      <c r="F4" s="2">
        <v>43245</v>
      </c>
    </row>
    <row r="5" spans="1:6" x14ac:dyDescent="0.3">
      <c r="A5" s="1" t="s">
        <v>2</v>
      </c>
      <c r="B5" s="2">
        <f t="shared" si="0"/>
        <v>-242534</v>
      </c>
      <c r="C5" s="2">
        <v>0</v>
      </c>
      <c r="D5" s="2">
        <v>0</v>
      </c>
      <c r="E5" s="2">
        <v>242534</v>
      </c>
      <c r="F5" s="2">
        <v>123771</v>
      </c>
    </row>
    <row r="6" spans="1:6" x14ac:dyDescent="0.3">
      <c r="A6" s="1" t="s">
        <v>3</v>
      </c>
      <c r="B6" s="2">
        <f t="shared" si="0"/>
        <v>-122498</v>
      </c>
      <c r="C6" s="2">
        <v>0</v>
      </c>
      <c r="D6" s="2">
        <v>0</v>
      </c>
      <c r="E6" s="2">
        <v>122498</v>
      </c>
      <c r="F6" s="2">
        <v>62451</v>
      </c>
    </row>
    <row r="7" spans="1:6" x14ac:dyDescent="0.3">
      <c r="A7" s="1" t="s">
        <v>4</v>
      </c>
      <c r="B7" s="2">
        <f t="shared" si="0"/>
        <v>-99367</v>
      </c>
      <c r="C7" s="2">
        <v>0</v>
      </c>
      <c r="D7" s="2">
        <v>0</v>
      </c>
      <c r="E7" s="2">
        <v>99367</v>
      </c>
      <c r="F7" s="2">
        <v>43054</v>
      </c>
    </row>
    <row r="8" spans="1:6" x14ac:dyDescent="0.3">
      <c r="A8" s="1" t="s">
        <v>5</v>
      </c>
      <c r="B8" s="2">
        <f t="shared" si="0"/>
        <v>-595475</v>
      </c>
      <c r="C8" s="2">
        <v>0</v>
      </c>
      <c r="D8" s="2">
        <v>0</v>
      </c>
      <c r="E8" s="2">
        <v>595475</v>
      </c>
      <c r="F8" s="2">
        <v>437717</v>
      </c>
    </row>
    <row r="9" spans="1:6" x14ac:dyDescent="0.3">
      <c r="A9" s="1" t="s">
        <v>6</v>
      </c>
      <c r="B9" s="2">
        <f t="shared" si="0"/>
        <v>-52082</v>
      </c>
      <c r="C9" s="2">
        <v>0</v>
      </c>
      <c r="D9" s="2">
        <v>0</v>
      </c>
      <c r="E9" s="2">
        <v>52082</v>
      </c>
      <c r="F9" s="2">
        <v>23170</v>
      </c>
    </row>
    <row r="10" spans="1:6" x14ac:dyDescent="0.3">
      <c r="A10" s="1" t="s">
        <v>7</v>
      </c>
      <c r="B10" s="2">
        <f t="shared" si="0"/>
        <v>-553489</v>
      </c>
      <c r="C10" s="2">
        <v>0</v>
      </c>
      <c r="D10" s="2">
        <v>0</v>
      </c>
      <c r="E10" s="2">
        <v>553489</v>
      </c>
      <c r="F10" s="2">
        <v>480363</v>
      </c>
    </row>
    <row r="11" spans="1:6" x14ac:dyDescent="0.3">
      <c r="A11" s="1" t="s">
        <v>8</v>
      </c>
      <c r="B11" s="2">
        <f t="shared" si="0"/>
        <v>-2691828</v>
      </c>
      <c r="C11" s="2">
        <v>203</v>
      </c>
      <c r="D11" s="2">
        <v>50</v>
      </c>
      <c r="E11" s="2">
        <v>2692031</v>
      </c>
      <c r="F11" s="2">
        <v>2228231</v>
      </c>
    </row>
    <row r="12" spans="1:6" x14ac:dyDescent="0.3">
      <c r="A12" s="1" t="s">
        <v>9</v>
      </c>
      <c r="B12" s="2">
        <f t="shared" si="0"/>
        <v>-143840</v>
      </c>
      <c r="C12" s="2">
        <v>903</v>
      </c>
      <c r="D12" s="2">
        <v>290</v>
      </c>
      <c r="E12" s="2">
        <v>144743</v>
      </c>
      <c r="F12" s="2">
        <v>105854</v>
      </c>
    </row>
    <row r="13" spans="1:6" x14ac:dyDescent="0.3">
      <c r="A13" s="1" t="s">
        <v>10</v>
      </c>
      <c r="B13" s="2">
        <f t="shared" si="0"/>
        <v>-170226</v>
      </c>
      <c r="C13" s="2">
        <v>204</v>
      </c>
      <c r="D13" s="2">
        <v>50</v>
      </c>
      <c r="E13" s="2">
        <v>170430</v>
      </c>
      <c r="F13" s="2">
        <v>129869</v>
      </c>
    </row>
    <row r="14" spans="1:6" x14ac:dyDescent="0.3">
      <c r="A14" s="1" t="s">
        <v>11</v>
      </c>
      <c r="B14" s="2">
        <f t="shared" si="0"/>
        <v>-145932</v>
      </c>
      <c r="C14" s="2">
        <v>0</v>
      </c>
      <c r="D14" s="2">
        <v>0</v>
      </c>
      <c r="E14" s="2">
        <v>145932</v>
      </c>
      <c r="F14" s="2">
        <v>104945</v>
      </c>
    </row>
    <row r="15" spans="1:6" ht="17.25" thickBot="1" x14ac:dyDescent="0.35">
      <c r="A15" s="4" t="s">
        <v>13</v>
      </c>
      <c r="B15" s="5">
        <f>SUM(B3:B14)</f>
        <v>-4955584</v>
      </c>
      <c r="C15" s="5">
        <f t="shared" ref="C15:F15" si="1">SUM(C3:C14)</f>
        <v>1664</v>
      </c>
      <c r="D15" s="5">
        <f t="shared" si="1"/>
        <v>510</v>
      </c>
      <c r="E15" s="5">
        <f t="shared" si="1"/>
        <v>4957248</v>
      </c>
      <c r="F15" s="5">
        <f t="shared" si="1"/>
        <v>3799985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-142046</v>
      </c>
      <c r="C3" s="2">
        <v>0</v>
      </c>
      <c r="D3" s="2">
        <v>0</v>
      </c>
      <c r="E3" s="2">
        <v>142046</v>
      </c>
      <c r="F3" s="2">
        <v>102965</v>
      </c>
    </row>
    <row r="4" spans="1:6" x14ac:dyDescent="0.3">
      <c r="A4" s="1" t="s">
        <v>1</v>
      </c>
      <c r="B4" s="2">
        <f t="shared" si="0"/>
        <v>-2542692</v>
      </c>
      <c r="C4" s="2">
        <v>0</v>
      </c>
      <c r="D4" s="2">
        <v>0</v>
      </c>
      <c r="E4" s="2">
        <v>2542692</v>
      </c>
      <c r="F4" s="2">
        <v>2119093</v>
      </c>
    </row>
    <row r="5" spans="1:6" x14ac:dyDescent="0.3">
      <c r="A5" s="1" t="s">
        <v>2</v>
      </c>
      <c r="B5" s="2">
        <f t="shared" si="0"/>
        <v>-169811</v>
      </c>
      <c r="C5" s="2">
        <v>0</v>
      </c>
      <c r="D5" s="2">
        <v>0</v>
      </c>
      <c r="E5" s="2">
        <v>169811</v>
      </c>
      <c r="F5" s="2">
        <v>125841</v>
      </c>
    </row>
    <row r="6" spans="1:6" x14ac:dyDescent="0.3">
      <c r="A6" s="1" t="s">
        <v>3</v>
      </c>
      <c r="B6" s="2">
        <f t="shared" si="0"/>
        <v>-400233</v>
      </c>
      <c r="C6" s="2">
        <v>495</v>
      </c>
      <c r="D6" s="2">
        <v>160</v>
      </c>
      <c r="E6" s="2">
        <v>400728</v>
      </c>
      <c r="F6" s="2">
        <v>318571</v>
      </c>
    </row>
    <row r="7" spans="1:6" x14ac:dyDescent="0.3">
      <c r="A7" s="1" t="s">
        <v>4</v>
      </c>
      <c r="B7" s="2">
        <f t="shared" si="0"/>
        <v>313</v>
      </c>
      <c r="C7" s="2">
        <v>313</v>
      </c>
      <c r="D7" s="2">
        <v>102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-146459</v>
      </c>
      <c r="C8" s="2">
        <v>470</v>
      </c>
      <c r="D8" s="2">
        <v>160</v>
      </c>
      <c r="E8" s="2">
        <v>146929</v>
      </c>
      <c r="F8" s="2">
        <v>103244</v>
      </c>
    </row>
    <row r="9" spans="1:6" x14ac:dyDescent="0.3">
      <c r="A9" s="1" t="s">
        <v>6</v>
      </c>
      <c r="B9" s="2">
        <f t="shared" si="0"/>
        <v>-147278</v>
      </c>
      <c r="C9" s="2">
        <v>180</v>
      </c>
      <c r="D9" s="2">
        <v>58</v>
      </c>
      <c r="E9" s="2">
        <v>147458</v>
      </c>
      <c r="F9" s="2">
        <v>103733</v>
      </c>
    </row>
    <row r="10" spans="1:6" x14ac:dyDescent="0.3">
      <c r="A10" s="1" t="s">
        <v>7</v>
      </c>
      <c r="B10" s="2">
        <f t="shared" si="0"/>
        <v>-229585</v>
      </c>
      <c r="C10" s="2">
        <v>177</v>
      </c>
      <c r="D10" s="2">
        <v>58</v>
      </c>
      <c r="E10" s="2">
        <v>229762</v>
      </c>
      <c r="F10" s="2">
        <v>172560</v>
      </c>
    </row>
    <row r="11" spans="1:6" x14ac:dyDescent="0.3">
      <c r="A11" s="1" t="s">
        <v>8</v>
      </c>
      <c r="B11" s="2">
        <f t="shared" si="0"/>
        <v>-69930</v>
      </c>
      <c r="C11" s="2">
        <v>0</v>
      </c>
      <c r="D11" s="2">
        <v>0</v>
      </c>
      <c r="E11" s="2">
        <v>69930</v>
      </c>
      <c r="F11" s="2">
        <v>62046</v>
      </c>
    </row>
    <row r="12" spans="1:6" x14ac:dyDescent="0.3">
      <c r="A12" s="1" t="s">
        <v>9</v>
      </c>
      <c r="B12" s="2">
        <f t="shared" si="0"/>
        <v>-158772</v>
      </c>
      <c r="C12" s="2">
        <v>297</v>
      </c>
      <c r="D12" s="2">
        <v>102</v>
      </c>
      <c r="E12" s="2">
        <v>159069</v>
      </c>
      <c r="F12" s="2">
        <v>128345</v>
      </c>
    </row>
    <row r="13" spans="1:6" x14ac:dyDescent="0.3">
      <c r="A13" s="1" t="s">
        <v>10</v>
      </c>
      <c r="B13" s="2">
        <f t="shared" si="0"/>
        <v>-209742</v>
      </c>
      <c r="C13" s="2">
        <v>293</v>
      </c>
      <c r="D13" s="2">
        <v>69</v>
      </c>
      <c r="E13" s="2">
        <v>210035</v>
      </c>
      <c r="F13" s="2">
        <v>165027</v>
      </c>
    </row>
    <row r="14" spans="1:6" x14ac:dyDescent="0.3">
      <c r="A14" s="1" t="s">
        <v>11</v>
      </c>
      <c r="B14" s="2">
        <f t="shared" si="0"/>
        <v>202</v>
      </c>
      <c r="C14" s="2">
        <v>202</v>
      </c>
      <c r="D14" s="2">
        <v>50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-4216033</v>
      </c>
      <c r="C15" s="5">
        <f t="shared" ref="C15:F15" si="1">SUM(C3:C14)</f>
        <v>2427</v>
      </c>
      <c r="D15" s="5">
        <f t="shared" si="1"/>
        <v>759</v>
      </c>
      <c r="E15" s="5">
        <f t="shared" si="1"/>
        <v>4218460</v>
      </c>
      <c r="F15" s="5">
        <f t="shared" si="1"/>
        <v>3401425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-563857</v>
      </c>
      <c r="C3" s="2">
        <v>178</v>
      </c>
      <c r="D3" s="2">
        <v>52</v>
      </c>
      <c r="E3" s="2">
        <v>564035</v>
      </c>
      <c r="F3" s="2">
        <v>425543</v>
      </c>
    </row>
    <row r="4" spans="1:6" x14ac:dyDescent="0.3">
      <c r="A4" s="1" t="s">
        <v>1</v>
      </c>
      <c r="B4" s="2">
        <f t="shared" si="0"/>
        <v>-156253</v>
      </c>
      <c r="C4" s="2">
        <v>133</v>
      </c>
      <c r="D4" s="2">
        <v>28</v>
      </c>
      <c r="E4" s="2">
        <v>156386</v>
      </c>
      <c r="F4" s="2">
        <v>126010</v>
      </c>
    </row>
    <row r="5" spans="1:6" x14ac:dyDescent="0.3">
      <c r="A5" s="1" t="s">
        <v>2</v>
      </c>
      <c r="B5" s="2">
        <f t="shared" si="0"/>
        <v>-321559</v>
      </c>
      <c r="C5" s="2">
        <v>0</v>
      </c>
      <c r="D5" s="2">
        <v>0</v>
      </c>
      <c r="E5" s="2">
        <v>321559</v>
      </c>
      <c r="F5" s="2">
        <v>252778</v>
      </c>
    </row>
    <row r="6" spans="1:6" x14ac:dyDescent="0.3">
      <c r="A6" s="1" t="s">
        <v>3</v>
      </c>
      <c r="B6" s="2">
        <f t="shared" si="0"/>
        <v>-453675</v>
      </c>
      <c r="C6" s="2">
        <v>182</v>
      </c>
      <c r="D6" s="2">
        <v>52</v>
      </c>
      <c r="E6" s="2">
        <v>453857</v>
      </c>
      <c r="F6" s="2">
        <v>335652</v>
      </c>
    </row>
    <row r="7" spans="1:6" x14ac:dyDescent="0.3">
      <c r="A7" s="1" t="s">
        <v>4</v>
      </c>
      <c r="B7" s="2">
        <f t="shared" si="0"/>
        <v>-148522</v>
      </c>
      <c r="C7" s="2">
        <v>0</v>
      </c>
      <c r="D7" s="2">
        <v>0</v>
      </c>
      <c r="E7" s="2">
        <v>148522</v>
      </c>
      <c r="F7" s="2">
        <v>102980</v>
      </c>
    </row>
    <row r="8" spans="1:6" x14ac:dyDescent="0.3">
      <c r="A8" s="1" t="s">
        <v>5</v>
      </c>
      <c r="B8" s="2">
        <f t="shared" si="0"/>
        <v>-92904</v>
      </c>
      <c r="C8" s="2">
        <v>0</v>
      </c>
      <c r="D8" s="2">
        <v>0</v>
      </c>
      <c r="E8" s="2">
        <v>92904</v>
      </c>
      <c r="F8" s="2">
        <v>60000</v>
      </c>
    </row>
    <row r="9" spans="1:6" x14ac:dyDescent="0.3">
      <c r="A9" s="1" t="s">
        <v>6</v>
      </c>
      <c r="B9" s="2">
        <f t="shared" si="0"/>
        <v>-265868</v>
      </c>
      <c r="C9" s="2">
        <v>494</v>
      </c>
      <c r="D9" s="2">
        <v>144</v>
      </c>
      <c r="E9" s="2">
        <v>266362</v>
      </c>
      <c r="F9" s="2">
        <v>190136</v>
      </c>
    </row>
    <row r="10" spans="1:6" x14ac:dyDescent="0.3">
      <c r="A10" s="1" t="s">
        <v>7</v>
      </c>
      <c r="B10" s="2">
        <f t="shared" si="0"/>
        <v>-117739</v>
      </c>
      <c r="C10" s="2">
        <v>0</v>
      </c>
      <c r="D10" s="2">
        <v>0</v>
      </c>
      <c r="E10" s="2">
        <v>117739</v>
      </c>
      <c r="F10" s="2">
        <v>86102</v>
      </c>
    </row>
    <row r="11" spans="1:6" x14ac:dyDescent="0.3">
      <c r="A11" s="1" t="s">
        <v>8</v>
      </c>
      <c r="B11" s="2">
        <f t="shared" si="0"/>
        <v>-150205</v>
      </c>
      <c r="C11" s="2">
        <v>0</v>
      </c>
      <c r="D11" s="2">
        <v>0</v>
      </c>
      <c r="E11" s="2">
        <v>150205</v>
      </c>
      <c r="F11" s="2">
        <v>103277</v>
      </c>
    </row>
    <row r="12" spans="1:6" x14ac:dyDescent="0.3">
      <c r="A12" s="1" t="s">
        <v>9</v>
      </c>
      <c r="B12" s="2">
        <f t="shared" si="0"/>
        <v>-446300</v>
      </c>
      <c r="C12" s="2">
        <v>0</v>
      </c>
      <c r="D12" s="2">
        <v>0</v>
      </c>
      <c r="E12" s="2">
        <v>446300</v>
      </c>
      <c r="F12" s="2">
        <v>320361</v>
      </c>
    </row>
    <row r="13" spans="1:6" x14ac:dyDescent="0.3">
      <c r="A13" s="1" t="s">
        <v>10</v>
      </c>
      <c r="B13" s="2">
        <f t="shared" si="0"/>
        <v>-31718</v>
      </c>
      <c r="C13" s="2">
        <v>186</v>
      </c>
      <c r="D13" s="2">
        <v>50</v>
      </c>
      <c r="E13" s="2">
        <v>31904</v>
      </c>
      <c r="F13" s="2">
        <v>17076</v>
      </c>
    </row>
    <row r="14" spans="1:6" x14ac:dyDescent="0.3">
      <c r="A14" s="1" t="s">
        <v>11</v>
      </c>
      <c r="B14" s="2">
        <f t="shared" si="0"/>
        <v>-377636</v>
      </c>
      <c r="C14" s="2">
        <v>0</v>
      </c>
      <c r="D14" s="2">
        <v>0</v>
      </c>
      <c r="E14" s="2">
        <v>377636</v>
      </c>
      <c r="F14" s="2">
        <v>255821</v>
      </c>
    </row>
    <row r="15" spans="1:6" ht="17.25" thickBot="1" x14ac:dyDescent="0.35">
      <c r="A15" s="4" t="s">
        <v>13</v>
      </c>
      <c r="B15" s="5">
        <f>SUM(B3:B14)</f>
        <v>-3126236</v>
      </c>
      <c r="C15" s="5">
        <f t="shared" ref="C15:F15" si="1">SUM(C3:C14)</f>
        <v>1173</v>
      </c>
      <c r="D15" s="5">
        <f t="shared" si="1"/>
        <v>326</v>
      </c>
      <c r="E15" s="5">
        <f t="shared" si="1"/>
        <v>3127409</v>
      </c>
      <c r="F15" s="5">
        <f t="shared" si="1"/>
        <v>2275736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-484365</v>
      </c>
      <c r="C3" s="2">
        <v>0</v>
      </c>
      <c r="D3" s="2">
        <v>0</v>
      </c>
      <c r="E3" s="2">
        <v>484365</v>
      </c>
      <c r="F3" s="2">
        <v>321400</v>
      </c>
    </row>
    <row r="4" spans="1:6" x14ac:dyDescent="0.3">
      <c r="A4" s="1" t="s">
        <v>1</v>
      </c>
      <c r="B4" s="2">
        <f t="shared" si="0"/>
        <v>-382469</v>
      </c>
      <c r="C4" s="2">
        <v>0</v>
      </c>
      <c r="D4" s="2">
        <v>0</v>
      </c>
      <c r="E4" s="2">
        <v>382469</v>
      </c>
      <c r="F4" s="2">
        <v>252216</v>
      </c>
    </row>
    <row r="5" spans="1:6" x14ac:dyDescent="0.3">
      <c r="A5" s="1" t="s">
        <v>2</v>
      </c>
      <c r="B5" s="2">
        <f t="shared" si="0"/>
        <v>-191311</v>
      </c>
      <c r="C5" s="2">
        <v>0</v>
      </c>
      <c r="D5" s="2">
        <v>0</v>
      </c>
      <c r="E5" s="2">
        <v>191311</v>
      </c>
      <c r="F5" s="2">
        <v>127600</v>
      </c>
    </row>
    <row r="6" spans="1:6" x14ac:dyDescent="0.3">
      <c r="A6" s="1" t="s">
        <v>3</v>
      </c>
      <c r="B6" s="2">
        <f t="shared" si="0"/>
        <v>-478018</v>
      </c>
      <c r="C6" s="2">
        <v>0</v>
      </c>
      <c r="D6" s="2">
        <v>0</v>
      </c>
      <c r="E6" s="2">
        <v>478018</v>
      </c>
      <c r="F6" s="2">
        <v>320276</v>
      </c>
    </row>
    <row r="7" spans="1:6" x14ac:dyDescent="0.3">
      <c r="A7" s="1" t="s">
        <v>4</v>
      </c>
      <c r="B7" s="2">
        <f t="shared" si="0"/>
        <v>-254231</v>
      </c>
      <c r="C7" s="2">
        <v>490</v>
      </c>
      <c r="D7" s="2">
        <v>144</v>
      </c>
      <c r="E7" s="2">
        <v>254721</v>
      </c>
      <c r="F7" s="2">
        <v>175500</v>
      </c>
    </row>
    <row r="8" spans="1:6" x14ac:dyDescent="0.3">
      <c r="A8" s="1" t="s">
        <v>5</v>
      </c>
      <c r="B8" s="2">
        <f t="shared" si="0"/>
        <v>-254884</v>
      </c>
      <c r="C8" s="2">
        <v>0</v>
      </c>
      <c r="D8" s="2">
        <v>0</v>
      </c>
      <c r="E8" s="2">
        <v>254884</v>
      </c>
      <c r="F8" s="2">
        <v>175602</v>
      </c>
    </row>
    <row r="9" spans="1:6" x14ac:dyDescent="0.3">
      <c r="A9" s="1" t="s">
        <v>6</v>
      </c>
      <c r="B9" s="2">
        <f t="shared" si="0"/>
        <v>-286514</v>
      </c>
      <c r="C9" s="2">
        <v>198</v>
      </c>
      <c r="D9" s="2">
        <v>50</v>
      </c>
      <c r="E9" s="2">
        <v>286712</v>
      </c>
      <c r="F9" s="2">
        <v>193260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-2331792</v>
      </c>
      <c r="C15" s="5">
        <f t="shared" ref="C15:F15" si="1">SUM(C3:C14)</f>
        <v>688</v>
      </c>
      <c r="D15" s="5">
        <f t="shared" si="1"/>
        <v>194</v>
      </c>
      <c r="E15" s="5">
        <f t="shared" si="1"/>
        <v>2332480</v>
      </c>
      <c r="F15" s="5">
        <f t="shared" si="1"/>
        <v>1565854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2026-09-01T00:42:51Z</dcterms:modified>
</cp:coreProperties>
</file>