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1" l="1"/>
  <c r="B15" i="10"/>
  <c r="B15" i="17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<sst xmlns="http://schemas.openxmlformats.org/spreadsheetml/2006/main" count="306" uniqueCount="37">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</sst>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-20394</v>
      </c>
      <c r="C3" s="3">
        <v>4595</v>
      </c>
      <c r="D3" s="3">
        <v>2340</v>
      </c>
      <c r="E3" s="3">
        <v>24989</v>
      </c>
      <c r="F3" s="3">
        <v>14456</v>
      </c>
    </row>
    <row r="4" spans="1:6" x14ac:dyDescent="0.3">
      <c r="A4" s="2" t="s">
        <v>19</v>
      </c>
      <c r="B4" s="3">
        <f t="shared" ref="B4:B14" si="0">C4-E4</f>
        <v>-16526</v>
      </c>
      <c r="C4" s="3">
        <v>4590</v>
      </c>
      <c r="D4" s="3">
        <v>1840</v>
      </c>
      <c r="E4" s="3">
        <v>21116</v>
      </c>
      <c r="F4" s="3">
        <v>12583</v>
      </c>
    </row>
    <row r="5" spans="1:6" x14ac:dyDescent="0.3">
      <c r="A5" s="2" t="s">
        <v>7</v>
      </c>
      <c r="B5" s="3">
        <f t="shared" si="0"/>
        <v>-20620</v>
      </c>
      <c r="C5" s="3">
        <v>500</v>
      </c>
      <c r="D5" s="3">
        <v>180</v>
      </c>
      <c r="E5" s="3">
        <v>21120</v>
      </c>
      <c r="F5" s="3">
        <v>12583</v>
      </c>
    </row>
    <row r="6" spans="1:6" x14ac:dyDescent="0.3">
      <c r="A6" s="2" t="s">
        <v>8</v>
      </c>
      <c r="B6" s="3">
        <f t="shared" si="0"/>
        <v>-17235</v>
      </c>
      <c r="C6" s="3">
        <v>14869</v>
      </c>
      <c r="D6" s="3">
        <v>5136</v>
      </c>
      <c r="E6" s="3">
        <v>32104</v>
      </c>
      <c r="F6" s="3">
        <v>17690</v>
      </c>
    </row>
    <row r="7" spans="1:6" x14ac:dyDescent="0.3">
      <c r="A7" s="2" t="s">
        <v>9</v>
      </c>
      <c r="B7" s="3">
        <f t="shared" si="0"/>
        <v>-35502</v>
      </c>
      <c r="C7" s="3">
        <v>0</v>
      </c>
      <c r="D7" s="3">
        <v>0</v>
      </c>
      <c r="E7" s="3">
        <v>35502</v>
      </c>
      <c r="F7" s="3">
        <v>23781</v>
      </c>
    </row>
    <row r="8" spans="1:6" x14ac:dyDescent="0.3">
      <c r="A8" s="2" t="s">
        <v>10</v>
      </c>
      <c r="B8" s="3">
        <f t="shared" si="0"/>
        <v>-90263</v>
      </c>
      <c r="C8" s="3">
        <v>1180</v>
      </c>
      <c r="D8" s="3">
        <v>200</v>
      </c>
      <c r="E8" s="3">
        <v>91443</v>
      </c>
      <c r="F8" s="3">
        <v>62542</v>
      </c>
    </row>
    <row r="9" spans="1:6" x14ac:dyDescent="0.3">
      <c r="A9" s="2" t="s">
        <v>11</v>
      </c>
      <c r="B9" s="3">
        <f t="shared" si="0"/>
        <v>-16397</v>
      </c>
      <c r="C9" s="3">
        <v>6618</v>
      </c>
      <c r="D9" s="3">
        <v>2444</v>
      </c>
      <c r="E9" s="3">
        <v>23015</v>
      </c>
      <c r="F9" s="3">
        <v>15379</v>
      </c>
    </row>
    <row r="10" spans="1:6" x14ac:dyDescent="0.3">
      <c r="A10" s="2" t="s">
        <v>12</v>
      </c>
      <c r="B10" s="3">
        <f t="shared" si="0"/>
        <v>-22993</v>
      </c>
      <c r="C10" s="3">
        <v>1688</v>
      </c>
      <c r="D10" s="3">
        <v>400</v>
      </c>
      <c r="E10" s="3">
        <v>24681</v>
      </c>
      <c r="F10" s="3">
        <v>13219</v>
      </c>
    </row>
    <row r="11" spans="1:6" x14ac:dyDescent="0.3">
      <c r="A11" s="2" t="s">
        <v>13</v>
      </c>
      <c r="B11" s="3">
        <f t="shared" si="0"/>
        <v>-80104</v>
      </c>
      <c r="C11" s="3">
        <v>5632</v>
      </c>
      <c r="D11" s="3">
        <v>1847</v>
      </c>
      <c r="E11" s="3">
        <v>85736</v>
      </c>
      <c r="F11" s="3">
        <v>48008</v>
      </c>
    </row>
    <row r="12" spans="1:6" x14ac:dyDescent="0.3">
      <c r="A12" s="2" t="s">
        <v>14</v>
      </c>
      <c r="B12" s="3">
        <f t="shared" si="0"/>
        <v>-25202</v>
      </c>
      <c r="C12" s="3">
        <v>0</v>
      </c>
      <c r="D12" s="3">
        <v>0</v>
      </c>
      <c r="E12" s="3">
        <v>25202</v>
      </c>
      <c r="F12" s="3">
        <v>16777</v>
      </c>
    </row>
    <row r="13" spans="1:6" x14ac:dyDescent="0.3">
      <c r="A13" s="2" t="s">
        <v>15</v>
      </c>
      <c r="B13" s="3">
        <f t="shared" si="0"/>
        <v>-23267</v>
      </c>
      <c r="C13" s="3">
        <v>0</v>
      </c>
      <c r="D13" s="3">
        <v>0</v>
      </c>
      <c r="E13" s="3">
        <v>23267</v>
      </c>
      <c r="F13" s="3">
        <v>15379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-368503</v>
      </c>
      <c r="C15" s="5">
        <f t="shared" ref="C15:F15" si="1">SUM(C3:C14)</f>
        <v>39672</v>
      </c>
      <c r="D15" s="5">
        <f t="shared" si="1"/>
        <v>14387</v>
      </c>
      <c r="E15" s="5">
        <f t="shared" si="1"/>
        <v>408175</v>
      </c>
      <c r="F15" s="5">
        <f t="shared" si="1"/>
        <v>252397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-18807</v>
      </c>
      <c r="C3" s="3">
        <v>4411</v>
      </c>
      <c r="D3" s="3">
        <v>2412</v>
      </c>
      <c r="E3" s="3">
        <v>23218</v>
      </c>
      <c r="F3" s="3">
        <v>15379</v>
      </c>
    </row>
    <row r="4" spans="1:6" x14ac:dyDescent="0.3">
      <c r="A4" s="2" t="s">
        <v>27</v>
      </c>
      <c r="B4" s="3">
        <f t="shared" ref="B4:B14" si="0">C4-E4</f>
        <v>-32740</v>
      </c>
      <c r="C4" s="3">
        <v>23144</v>
      </c>
      <c r="D4" s="3">
        <v>6160</v>
      </c>
      <c r="E4" s="3">
        <v>55884</v>
      </c>
      <c r="F4" s="3">
        <v>38629</v>
      </c>
    </row>
    <row r="5" spans="1:6" x14ac:dyDescent="0.3">
      <c r="A5" s="2" t="s">
        <v>28</v>
      </c>
      <c r="B5" s="3">
        <f t="shared" si="0"/>
        <v>-25152</v>
      </c>
      <c r="C5" s="3">
        <v>1939</v>
      </c>
      <c r="D5" s="3">
        <v>918</v>
      </c>
      <c r="E5" s="3">
        <v>27091</v>
      </c>
      <c r="F5" s="3">
        <v>15379</v>
      </c>
    </row>
    <row r="6" spans="1:6" x14ac:dyDescent="0.3">
      <c r="A6" s="2" t="s">
        <v>8</v>
      </c>
      <c r="B6" s="3">
        <f t="shared" si="0"/>
        <v>-39627</v>
      </c>
      <c r="C6" s="3">
        <v>0</v>
      </c>
      <c r="D6" s="3">
        <v>0</v>
      </c>
      <c r="E6" s="3">
        <v>39627</v>
      </c>
      <c r="F6" s="3">
        <v>23744</v>
      </c>
    </row>
    <row r="7" spans="1:6" x14ac:dyDescent="0.3">
      <c r="A7" s="2" t="s">
        <v>9</v>
      </c>
      <c r="B7" s="3">
        <f t="shared" si="0"/>
        <v>-44346</v>
      </c>
      <c r="C7" s="3">
        <v>0</v>
      </c>
      <c r="D7" s="3">
        <v>0</v>
      </c>
      <c r="E7" s="3">
        <v>44346</v>
      </c>
      <c r="F7" s="3">
        <v>25166</v>
      </c>
    </row>
    <row r="8" spans="1:6" x14ac:dyDescent="0.3">
      <c r="A8" s="2" t="s">
        <v>10</v>
      </c>
      <c r="B8" s="3">
        <f t="shared" si="0"/>
        <v>-21816</v>
      </c>
      <c r="C8" s="3">
        <v>0</v>
      </c>
      <c r="D8" s="3">
        <v>0</v>
      </c>
      <c r="E8" s="3">
        <v>21816</v>
      </c>
      <c r="F8" s="3">
        <v>12583</v>
      </c>
    </row>
    <row r="9" spans="1:6" x14ac:dyDescent="0.3">
      <c r="A9" s="2" t="s">
        <v>11</v>
      </c>
      <c r="B9" s="3">
        <f t="shared" si="0"/>
        <v>-77303</v>
      </c>
      <c r="C9" s="3">
        <v>1854</v>
      </c>
      <c r="D9" s="3">
        <v>696</v>
      </c>
      <c r="E9" s="3">
        <v>79157</v>
      </c>
      <c r="F9" s="3">
        <v>44335</v>
      </c>
    </row>
    <row r="10" spans="1:6" x14ac:dyDescent="0.3">
      <c r="A10" s="2" t="s">
        <v>12</v>
      </c>
      <c r="B10" s="3">
        <f t="shared" si="0"/>
        <v>-31219</v>
      </c>
      <c r="C10" s="3">
        <v>10166</v>
      </c>
      <c r="D10" s="3">
        <v>2930</v>
      </c>
      <c r="E10" s="3">
        <v>41385</v>
      </c>
      <c r="F10" s="3">
        <v>18200</v>
      </c>
    </row>
    <row r="11" spans="1:6" x14ac:dyDescent="0.3">
      <c r="A11" s="2" t="s">
        <v>13</v>
      </c>
      <c r="B11" s="3">
        <f t="shared" si="0"/>
        <v>559</v>
      </c>
      <c r="C11" s="3">
        <v>559</v>
      </c>
      <c r="D11" s="3">
        <v>216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-51973</v>
      </c>
      <c r="C12" s="3">
        <v>324</v>
      </c>
      <c r="D12" s="3">
        <v>120</v>
      </c>
      <c r="E12" s="3">
        <v>52297</v>
      </c>
      <c r="F12" s="3">
        <v>25166</v>
      </c>
    </row>
    <row r="13" spans="1:6" x14ac:dyDescent="0.3">
      <c r="A13" s="2" t="s">
        <v>15</v>
      </c>
      <c r="B13" s="3">
        <f t="shared" si="0"/>
        <v>-22901</v>
      </c>
      <c r="C13" s="3">
        <v>3224</v>
      </c>
      <c r="D13" s="3">
        <v>1260</v>
      </c>
      <c r="E13" s="3">
        <v>26125</v>
      </c>
      <c r="F13" s="3">
        <v>12583</v>
      </c>
    </row>
    <row r="14" spans="1:6" x14ac:dyDescent="0.3">
      <c r="A14" s="2" t="s">
        <v>16</v>
      </c>
      <c r="B14" s="3">
        <f t="shared" si="0"/>
        <v>-19755</v>
      </c>
      <c r="C14" s="3">
        <v>604</v>
      </c>
      <c r="D14" s="3">
        <v>228</v>
      </c>
      <c r="E14" s="3">
        <v>20359</v>
      </c>
      <c r="F14" s="3">
        <v>7107</v>
      </c>
    </row>
    <row r="15" spans="1:6" ht="17.25" thickBot="1" x14ac:dyDescent="0.35">
      <c r="A15" s="4" t="s">
        <v>29</v>
      </c>
      <c r="B15" s="5">
        <f>SUM(B3:B14)</f>
        <v>-385080</v>
      </c>
      <c r="C15" s="5">
        <f t="shared" ref="C15:F15" si="1">SUM(C3:C14)</f>
        <v>46225</v>
      </c>
      <c r="D15" s="5">
        <f t="shared" si="1"/>
        <v>14940</v>
      </c>
      <c r="E15" s="5">
        <f t="shared" si="1"/>
        <v>431305</v>
      </c>
      <c r="F15" s="5">
        <f t="shared" si="1"/>
        <v>238271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-13850</v>
      </c>
      <c r="C3" s="3">
        <v>1527</v>
      </c>
      <c r="D3" s="3">
        <v>576</v>
      </c>
      <c r="E3" s="3">
        <v>15377</v>
      </c>
      <c r="F3" s="3">
        <v>2809</v>
      </c>
    </row>
    <row r="4" spans="1:6" x14ac:dyDescent="0.3">
      <c r="A4" s="2" t="s">
        <v>27</v>
      </c>
      <c r="B4" s="3">
        <f t="shared" ref="B4:B14" si="0">C4-E4</f>
        <v>-7764</v>
      </c>
      <c r="C4" s="3">
        <v>1391</v>
      </c>
      <c r="D4" s="3">
        <v>540</v>
      </c>
      <c r="E4" s="3">
        <v>9155</v>
      </c>
      <c r="F4" s="3">
        <v>3279</v>
      </c>
    </row>
    <row r="5" spans="1:6" x14ac:dyDescent="0.3">
      <c r="A5" s="2" t="s">
        <v>33</v>
      </c>
      <c r="B5" s="3">
        <f t="shared" si="0"/>
        <v>-9164</v>
      </c>
      <c r="C5" s="3">
        <v>1162</v>
      </c>
      <c r="D5" s="3">
        <v>444</v>
      </c>
      <c r="E5" s="3">
        <v>10326</v>
      </c>
      <c r="F5" s="3">
        <v>2030</v>
      </c>
    </row>
    <row r="6" spans="1:6" x14ac:dyDescent="0.3">
      <c r="A6" s="2" t="s">
        <v>8</v>
      </c>
      <c r="B6" s="3">
        <f t="shared" si="0"/>
        <v>-10852</v>
      </c>
      <c r="C6" s="3">
        <v>1645</v>
      </c>
      <c r="D6" s="3">
        <v>624</v>
      </c>
      <c r="E6" s="3">
        <v>12497</v>
      </c>
      <c r="F6" s="3">
        <v>2642</v>
      </c>
    </row>
    <row r="7" spans="1:6" x14ac:dyDescent="0.3">
      <c r="A7" s="2" t="s">
        <v>9</v>
      </c>
      <c r="B7" s="3">
        <f t="shared" si="0"/>
        <v>-24110</v>
      </c>
      <c r="C7" s="3">
        <v>3057</v>
      </c>
      <c r="D7" s="3">
        <v>1164</v>
      </c>
      <c r="E7" s="3">
        <v>27167</v>
      </c>
      <c r="F7" s="3">
        <v>9540</v>
      </c>
    </row>
    <row r="8" spans="1:6" x14ac:dyDescent="0.3">
      <c r="A8" s="2" t="s">
        <v>10</v>
      </c>
      <c r="B8" s="3">
        <f t="shared" si="0"/>
        <v>-41701</v>
      </c>
      <c r="C8" s="3">
        <v>885</v>
      </c>
      <c r="D8" s="3">
        <v>336</v>
      </c>
      <c r="E8" s="3">
        <v>42586</v>
      </c>
      <c r="F8" s="3">
        <v>16202</v>
      </c>
    </row>
    <row r="9" spans="1:6" x14ac:dyDescent="0.3">
      <c r="A9" s="2" t="s">
        <v>11</v>
      </c>
      <c r="B9" s="3">
        <f t="shared" si="0"/>
        <v>-8150</v>
      </c>
      <c r="C9" s="3">
        <v>788</v>
      </c>
      <c r="D9" s="3">
        <v>366</v>
      </c>
      <c r="E9" s="3">
        <v>8938</v>
      </c>
      <c r="F9" s="3">
        <v>979</v>
      </c>
    </row>
    <row r="10" spans="1:6" x14ac:dyDescent="0.3">
      <c r="A10" s="2" t="s">
        <v>12</v>
      </c>
      <c r="B10" s="3">
        <f t="shared" si="0"/>
        <v>-4061</v>
      </c>
      <c r="C10" s="3">
        <v>1188</v>
      </c>
      <c r="D10" s="3">
        <v>458</v>
      </c>
      <c r="E10" s="3">
        <v>5249</v>
      </c>
      <c r="F10" s="3">
        <v>1873</v>
      </c>
    </row>
    <row r="11" spans="1:6" x14ac:dyDescent="0.3">
      <c r="A11" s="2" t="s">
        <v>13</v>
      </c>
      <c r="B11" s="3">
        <f t="shared" si="0"/>
        <v>-43</v>
      </c>
      <c r="C11" s="3">
        <v>0</v>
      </c>
      <c r="D11" s="3">
        <v>0</v>
      </c>
      <c r="E11" s="3">
        <v>43</v>
      </c>
      <c r="F11" s="3">
        <v>15</v>
      </c>
    </row>
    <row r="12" spans="1:6" x14ac:dyDescent="0.3">
      <c r="A12" s="2" t="s">
        <v>14</v>
      </c>
      <c r="B12" s="3">
        <f t="shared" si="0"/>
        <v>-4408</v>
      </c>
      <c r="C12" s="3">
        <v>2132</v>
      </c>
      <c r="D12" s="3">
        <v>876</v>
      </c>
      <c r="E12" s="3">
        <v>6540</v>
      </c>
      <c r="F12" s="3">
        <v>707</v>
      </c>
    </row>
    <row r="13" spans="1:6" x14ac:dyDescent="0.3">
      <c r="A13" s="2" t="s">
        <v>15</v>
      </c>
      <c r="B13" s="3">
        <f t="shared" si="0"/>
        <v>1477</v>
      </c>
      <c r="C13" s="3">
        <v>1477</v>
      </c>
      <c r="D13" s="3">
        <v>642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1313</v>
      </c>
      <c r="C14" s="3">
        <v>1313</v>
      </c>
      <c r="D14" s="3">
        <v>552</v>
      </c>
      <c r="E14" s="3">
        <v>0</v>
      </c>
      <c r="F14" s="3">
        <v>0</v>
      </c>
    </row>
    <row r="15" spans="1:6" ht="17.25" thickBot="1" x14ac:dyDescent="0.35">
      <c r="A15" s="4" t="s">
        <v>34</v>
      </c>
      <c r="B15" s="5">
        <f>SUM(B3:B14)</f>
        <v>-121313</v>
      </c>
      <c r="C15" s="5">
        <f t="shared" ref="C15:F15" si="1">SUM(C3:C14)</f>
        <v>16565</v>
      </c>
      <c r="D15" s="5">
        <f t="shared" si="1"/>
        <v>6578</v>
      </c>
      <c r="E15" s="5">
        <f t="shared" si="1"/>
        <v>137878</v>
      </c>
      <c r="F15" s="5">
        <f t="shared" si="1"/>
        <v>40076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-19842</v>
      </c>
      <c r="C3" s="3">
        <v>474</v>
      </c>
      <c r="D3" s="3">
        <v>204</v>
      </c>
      <c r="E3" s="3">
        <v>20316</v>
      </c>
      <c r="F3" s="3">
        <v>6554</v>
      </c>
    </row>
    <row r="4" spans="1:6" x14ac:dyDescent="0.3">
      <c r="A4" s="2" t="s">
        <v>27</v>
      </c>
      <c r="B4" s="3">
        <f t="shared" si="0"/>
        <v>768</v>
      </c>
      <c r="C4" s="3">
        <v>768</v>
      </c>
      <c r="D4" s="3">
        <v>324</v>
      </c>
      <c r="E4" s="3">
        <v>0</v>
      </c>
      <c r="F4" s="3">
        <v>0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-23664</v>
      </c>
      <c r="C6" s="3">
        <v>0</v>
      </c>
      <c r="D6" s="3">
        <v>0</v>
      </c>
      <c r="E6" s="3">
        <v>23664</v>
      </c>
      <c r="F6" s="3">
        <v>10341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4006</v>
      </c>
      <c r="C9" s="3">
        <v>4006</v>
      </c>
      <c r="D9" s="3">
        <v>990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19366</v>
      </c>
      <c r="C10" s="3">
        <v>19366</v>
      </c>
      <c r="D10" s="3">
        <v>3625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-2828</v>
      </c>
      <c r="C11" s="3">
        <v>0</v>
      </c>
      <c r="D11" s="3">
        <v>0</v>
      </c>
      <c r="E11" s="3">
        <v>2828</v>
      </c>
      <c r="F11" s="3">
        <v>1030</v>
      </c>
    </row>
    <row r="12" spans="1:6" x14ac:dyDescent="0.3">
      <c r="A12" s="2" t="s">
        <v>14</v>
      </c>
      <c r="B12" s="3">
        <f t="shared" si="0"/>
        <v>-12500</v>
      </c>
      <c r="C12" s="3">
        <v>227</v>
      </c>
      <c r="D12" s="3">
        <v>62</v>
      </c>
      <c r="E12" s="3">
        <v>12727</v>
      </c>
      <c r="F12" s="3">
        <v>1392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-29114</v>
      </c>
      <c r="C14" s="3">
        <v>0</v>
      </c>
      <c r="D14" s="3">
        <v>0</v>
      </c>
      <c r="E14" s="3">
        <v>29114</v>
      </c>
      <c r="F14" s="3">
        <v>19056</v>
      </c>
    </row>
    <row r="15" spans="1:6" ht="17.25" thickBot="1" x14ac:dyDescent="0.35">
      <c r="A15" s="4" t="s">
        <v>36</v>
      </c>
      <c r="B15" s="5">
        <f>SUM(B3:B14)</f>
        <v>-63808</v>
      </c>
      <c r="C15" s="5">
        <f t="shared" ref="C15:F15" si="1">SUM(C3:C14)</f>
        <v>24841</v>
      </c>
      <c r="D15" s="5">
        <f t="shared" si="1"/>
        <v>5205</v>
      </c>
      <c r="E15" s="5">
        <f t="shared" si="1"/>
        <v>88649</v>
      </c>
      <c r="F15" s="5">
        <f t="shared" si="1"/>
        <v>38373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-6183</v>
      </c>
      <c r="C3" s="3">
        <v>0</v>
      </c>
      <c r="D3" s="3">
        <v>0</v>
      </c>
      <c r="E3" s="3">
        <v>6183</v>
      </c>
      <c r="F3" s="3">
        <v>652</v>
      </c>
    </row>
    <row r="4" spans="1:6" x14ac:dyDescent="0.3">
      <c r="A4" s="2" t="s">
        <v>27</v>
      </c>
      <c r="B4" s="3">
        <f t="shared" si="0"/>
        <v>-56284</v>
      </c>
      <c r="C4" s="3">
        <v>0</v>
      </c>
      <c r="D4" s="3">
        <v>0</v>
      </c>
      <c r="E4" s="3">
        <v>56284</v>
      </c>
      <c r="F4" s="3">
        <v>38112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-27521</v>
      </c>
      <c r="C7" s="3">
        <v>0</v>
      </c>
      <c r="D7" s="3">
        <v>0</v>
      </c>
      <c r="E7" s="3">
        <v>27521</v>
      </c>
      <c r="F7" s="3">
        <v>19056</v>
      </c>
    </row>
    <row r="8" spans="1:6" x14ac:dyDescent="0.3">
      <c r="A8" s="2" t="s">
        <v>10</v>
      </c>
      <c r="B8" s="3">
        <f t="shared" si="0"/>
        <v>-9364</v>
      </c>
      <c r="C8" s="3">
        <v>0</v>
      </c>
      <c r="D8" s="3">
        <v>0</v>
      </c>
      <c r="E8" s="3">
        <v>9364</v>
      </c>
      <c r="F8" s="3">
        <v>1905</v>
      </c>
    </row>
    <row r="9" spans="1:6" x14ac:dyDescent="0.3">
      <c r="A9" s="2" t="s">
        <v>11</v>
      </c>
      <c r="B9" s="3">
        <f t="shared" si="0"/>
        <v>-15399</v>
      </c>
      <c r="C9" s="3">
        <v>12122</v>
      </c>
      <c r="D9" s="3">
        <v>4613</v>
      </c>
      <c r="E9" s="3">
        <v>27521</v>
      </c>
      <c r="F9" s="3">
        <v>19056</v>
      </c>
    </row>
    <row r="10" spans="1:6" x14ac:dyDescent="0.3">
      <c r="A10" s="2" t="s">
        <v>12</v>
      </c>
      <c r="B10" s="3">
        <f t="shared" si="0"/>
        <v>1602</v>
      </c>
      <c r="C10" s="3">
        <v>1602</v>
      </c>
      <c r="D10" s="3">
        <v>540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-41176</v>
      </c>
      <c r="C11" s="3">
        <v>0</v>
      </c>
      <c r="D11" s="3">
        <v>0</v>
      </c>
      <c r="E11" s="3">
        <v>41176</v>
      </c>
      <c r="F11" s="3">
        <v>20688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-25386</v>
      </c>
      <c r="C13" s="3">
        <v>560</v>
      </c>
      <c r="D13" s="3">
        <v>216</v>
      </c>
      <c r="E13" s="3">
        <v>25946</v>
      </c>
      <c r="F13" s="3">
        <v>19051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-179711</v>
      </c>
      <c r="C15" s="5">
        <f t="shared" ref="C15:F15" si="1">SUM(C3:C14)</f>
        <v>14284</v>
      </c>
      <c r="D15" s="5">
        <f t="shared" si="1"/>
        <v>5369</v>
      </c>
      <c r="E15" s="5">
        <f t="shared" si="1"/>
        <v>193995</v>
      </c>
      <c r="F15" s="5">
        <f t="shared" si="1"/>
        <v>118520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-12922</v>
      </c>
      <c r="C3" s="3">
        <v>12604</v>
      </c>
      <c r="D3" s="3">
        <v>1224</v>
      </c>
      <c r="E3" s="3">
        <v>25526</v>
      </c>
      <c r="F3" s="3">
        <v>19051</v>
      </c>
    </row>
    <row r="4" spans="1:6" x14ac:dyDescent="0.3">
      <c r="A4" s="2" t="s">
        <v>19</v>
      </c>
      <c r="B4" s="3">
        <f t="shared" si="0"/>
        <v>-21804</v>
      </c>
      <c r="C4" s="3">
        <v>0</v>
      </c>
      <c r="D4" s="3">
        <v>0</v>
      </c>
      <c r="E4" s="3">
        <v>21804</v>
      </c>
      <c r="F4" s="3">
        <v>7811</v>
      </c>
    </row>
    <row r="5" spans="1:6" x14ac:dyDescent="0.3">
      <c r="A5" s="2" t="s">
        <v>7</v>
      </c>
      <c r="B5" s="3">
        <f t="shared" si="0"/>
        <v>-23239</v>
      </c>
      <c r="C5" s="3">
        <v>126</v>
      </c>
      <c r="D5" s="3">
        <v>42</v>
      </c>
      <c r="E5" s="3">
        <v>23365</v>
      </c>
      <c r="F5" s="3">
        <v>17146</v>
      </c>
    </row>
    <row r="6" spans="1:6" x14ac:dyDescent="0.3">
      <c r="A6" s="2" t="s">
        <v>8</v>
      </c>
      <c r="B6" s="3">
        <f t="shared" si="0"/>
        <v>-16957</v>
      </c>
      <c r="C6" s="3">
        <v>0</v>
      </c>
      <c r="D6" s="3">
        <v>0</v>
      </c>
      <c r="E6" s="3">
        <v>16957</v>
      </c>
      <c r="F6" s="3">
        <v>1698</v>
      </c>
    </row>
    <row r="7" spans="1:6" x14ac:dyDescent="0.3">
      <c r="A7" s="2" t="s">
        <v>9</v>
      </c>
      <c r="B7" s="3">
        <f t="shared" si="0"/>
        <v>-24763</v>
      </c>
      <c r="C7" s="3">
        <v>0</v>
      </c>
      <c r="D7" s="3">
        <v>0</v>
      </c>
      <c r="E7" s="3">
        <v>24763</v>
      </c>
      <c r="F7" s="3">
        <v>19051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-30980</v>
      </c>
      <c r="C9" s="3">
        <v>0</v>
      </c>
      <c r="D9" s="3">
        <v>0</v>
      </c>
      <c r="E9" s="3">
        <v>30980</v>
      </c>
      <c r="F9" s="3">
        <v>20958</v>
      </c>
    </row>
    <row r="10" spans="1:6" x14ac:dyDescent="0.3">
      <c r="A10" s="2" t="s">
        <v>12</v>
      </c>
      <c r="B10" s="3">
        <f t="shared" si="0"/>
        <v>-24656</v>
      </c>
      <c r="C10" s="3">
        <v>0</v>
      </c>
      <c r="D10" s="3">
        <v>0</v>
      </c>
      <c r="E10" s="3">
        <v>24656</v>
      </c>
      <c r="F10" s="3">
        <v>19051</v>
      </c>
    </row>
    <row r="11" spans="1:6" x14ac:dyDescent="0.3">
      <c r="A11" s="2" t="s">
        <v>13</v>
      </c>
      <c r="B11" s="3">
        <f t="shared" si="0"/>
        <v>-24448</v>
      </c>
      <c r="C11" s="3">
        <v>9613</v>
      </c>
      <c r="D11" s="3">
        <v>1984</v>
      </c>
      <c r="E11" s="3">
        <v>34061</v>
      </c>
      <c r="F11" s="3">
        <v>26877</v>
      </c>
    </row>
    <row r="12" spans="1:6" x14ac:dyDescent="0.3">
      <c r="A12" s="2" t="s">
        <v>14</v>
      </c>
      <c r="B12" s="3">
        <f t="shared" si="0"/>
        <v>-24693</v>
      </c>
      <c r="C12" s="3">
        <v>0</v>
      </c>
      <c r="D12" s="3">
        <v>0</v>
      </c>
      <c r="E12" s="3">
        <v>24693</v>
      </c>
      <c r="F12" s="3">
        <v>19055</v>
      </c>
    </row>
    <row r="13" spans="1:6" x14ac:dyDescent="0.3">
      <c r="A13" s="2" t="s">
        <v>15</v>
      </c>
      <c r="B13" s="3">
        <f t="shared" si="0"/>
        <v>-2538</v>
      </c>
      <c r="C13" s="3">
        <v>0</v>
      </c>
      <c r="D13" s="3">
        <v>0</v>
      </c>
      <c r="E13" s="3">
        <v>2538</v>
      </c>
      <c r="F13" s="3">
        <v>726</v>
      </c>
    </row>
    <row r="14" spans="1:6" x14ac:dyDescent="0.3">
      <c r="A14" s="2" t="s">
        <v>16</v>
      </c>
      <c r="B14" s="3">
        <f t="shared" si="0"/>
        <v>-31937</v>
      </c>
      <c r="C14" s="3">
        <v>0</v>
      </c>
      <c r="D14" s="3">
        <v>0</v>
      </c>
      <c r="E14" s="3">
        <v>31937</v>
      </c>
      <c r="F14" s="3">
        <v>19797</v>
      </c>
    </row>
    <row r="15" spans="1:6" ht="17.25" thickBot="1" x14ac:dyDescent="0.35">
      <c r="A15" s="4" t="s">
        <v>20</v>
      </c>
      <c r="B15" s="5">
        <f>SUM(B3:B14)</f>
        <v>-238937</v>
      </c>
      <c r="C15" s="5">
        <f t="shared" ref="C15:F15" si="1">SUM(C3:C14)</f>
        <v>22343</v>
      </c>
      <c r="D15" s="5">
        <f t="shared" si="1"/>
        <v>3250</v>
      </c>
      <c r="E15" s="5">
        <f t="shared" si="1"/>
        <v>261280</v>
      </c>
      <c r="F15" s="5">
        <f t="shared" si="1"/>
        <v>171221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-38127</v>
      </c>
      <c r="C3" s="3">
        <v>0</v>
      </c>
      <c r="D3" s="3">
        <v>0</v>
      </c>
      <c r="E3" s="3">
        <v>38127</v>
      </c>
      <c r="F3" s="3">
        <v>23732</v>
      </c>
    </row>
    <row r="4" spans="1:6" x14ac:dyDescent="0.3">
      <c r="A4" s="2" t="s">
        <v>27</v>
      </c>
      <c r="B4" s="3">
        <f t="shared" si="0"/>
        <v>-68829</v>
      </c>
      <c r="C4" s="3">
        <v>0</v>
      </c>
      <c r="D4" s="3">
        <v>0</v>
      </c>
      <c r="E4" s="3">
        <v>68829</v>
      </c>
      <c r="F4" s="3">
        <v>33421</v>
      </c>
    </row>
    <row r="5" spans="1:6" x14ac:dyDescent="0.3">
      <c r="A5" s="2" t="s">
        <v>33</v>
      </c>
      <c r="B5" s="3">
        <f t="shared" si="0"/>
        <v>811</v>
      </c>
      <c r="C5" s="3">
        <v>955</v>
      </c>
      <c r="D5" s="3">
        <v>375</v>
      </c>
      <c r="E5" s="3">
        <v>144</v>
      </c>
      <c r="F5" s="3">
        <v>122</v>
      </c>
    </row>
    <row r="6" spans="1:6" x14ac:dyDescent="0.3">
      <c r="A6" s="2" t="s">
        <v>8</v>
      </c>
      <c r="B6" s="3">
        <f t="shared" si="0"/>
        <v>-4431</v>
      </c>
      <c r="C6" s="3">
        <v>0</v>
      </c>
      <c r="D6" s="3">
        <v>0</v>
      </c>
      <c r="E6" s="3">
        <v>4431</v>
      </c>
      <c r="F6" s="3">
        <v>479</v>
      </c>
    </row>
    <row r="7" spans="1:6" x14ac:dyDescent="0.3">
      <c r="A7" s="2" t="s">
        <v>9</v>
      </c>
      <c r="B7" s="3">
        <f t="shared" si="0"/>
        <v>3650</v>
      </c>
      <c r="C7" s="3">
        <v>3650</v>
      </c>
      <c r="D7" s="3">
        <v>1680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-1075</v>
      </c>
      <c r="C8" s="3">
        <v>0</v>
      </c>
      <c r="D8" s="3">
        <v>0</v>
      </c>
      <c r="E8" s="3">
        <v>1075</v>
      </c>
      <c r="F8" s="3">
        <v>381</v>
      </c>
    </row>
    <row r="9" spans="1:6" x14ac:dyDescent="0.3">
      <c r="A9" s="2" t="s">
        <v>11</v>
      </c>
      <c r="B9" s="3">
        <f t="shared" si="0"/>
        <v>-6615</v>
      </c>
      <c r="C9" s="3">
        <v>0</v>
      </c>
      <c r="D9" s="3">
        <v>0</v>
      </c>
      <c r="E9" s="3">
        <v>6615</v>
      </c>
      <c r="F9" s="3">
        <v>1149</v>
      </c>
    </row>
    <row r="10" spans="1:6" x14ac:dyDescent="0.3">
      <c r="A10" s="2" t="s">
        <v>12</v>
      </c>
      <c r="B10" s="3">
        <f t="shared" si="0"/>
        <v>-13468</v>
      </c>
      <c r="C10" s="3">
        <v>0</v>
      </c>
      <c r="D10" s="3">
        <v>0</v>
      </c>
      <c r="E10" s="3">
        <v>13468</v>
      </c>
      <c r="F10" s="3">
        <v>4682</v>
      </c>
    </row>
    <row r="11" spans="1:6" x14ac:dyDescent="0.3">
      <c r="A11" s="2" t="s">
        <v>13</v>
      </c>
      <c r="B11" s="3">
        <f t="shared" si="0"/>
        <v>-17816</v>
      </c>
      <c r="C11" s="3">
        <v>0</v>
      </c>
      <c r="D11" s="3">
        <v>0</v>
      </c>
      <c r="E11" s="3">
        <v>17816</v>
      </c>
      <c r="F11" s="3">
        <v>2710</v>
      </c>
    </row>
    <row r="12" spans="1:6" x14ac:dyDescent="0.3">
      <c r="A12" s="2" t="s">
        <v>14</v>
      </c>
      <c r="B12" s="3">
        <f t="shared" si="0"/>
        <v>-31950</v>
      </c>
      <c r="C12" s="3">
        <v>0</v>
      </c>
      <c r="D12" s="3">
        <v>0</v>
      </c>
      <c r="E12" s="3">
        <v>31950</v>
      </c>
      <c r="F12" s="3">
        <v>11735</v>
      </c>
    </row>
    <row r="13" spans="1:6" x14ac:dyDescent="0.3">
      <c r="A13" s="2" t="s">
        <v>15</v>
      </c>
      <c r="B13" s="3">
        <f t="shared" si="0"/>
        <v>186</v>
      </c>
      <c r="C13" s="3">
        <v>2620</v>
      </c>
      <c r="D13" s="3">
        <v>704</v>
      </c>
      <c r="E13" s="3">
        <v>2434</v>
      </c>
      <c r="F13" s="3">
        <v>625</v>
      </c>
    </row>
    <row r="14" spans="1:6" x14ac:dyDescent="0.3">
      <c r="A14" s="2" t="s">
        <v>16</v>
      </c>
      <c r="B14" s="3">
        <f t="shared" si="0"/>
        <v>-85888</v>
      </c>
      <c r="C14" s="3">
        <v>0</v>
      </c>
      <c r="D14" s="3">
        <v>0</v>
      </c>
      <c r="E14" s="3">
        <v>85888</v>
      </c>
      <c r="F14" s="3">
        <v>35651</v>
      </c>
    </row>
    <row r="15" spans="1:6" ht="17.25" thickBot="1" x14ac:dyDescent="0.35">
      <c r="A15" s="4" t="s">
        <v>36</v>
      </c>
      <c r="B15" s="5">
        <f>SUM(B3:B14)</f>
        <v>-263552</v>
      </c>
      <c r="C15" s="5">
        <f t="shared" ref="C15:F15" si="1">SUM(C3:C14)</f>
        <v>7225</v>
      </c>
      <c r="D15" s="5">
        <f t="shared" si="1"/>
        <v>2759</v>
      </c>
      <c r="E15" s="5">
        <f t="shared" si="1"/>
        <v>270777</v>
      </c>
      <c r="F15" s="5">
        <f t="shared" si="1"/>
        <v>114687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6856</v>
      </c>
      <c r="C3" s="3">
        <v>6856</v>
      </c>
      <c r="D3" s="3">
        <v>3360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16265</v>
      </c>
      <c r="C4" s="3">
        <v>18818</v>
      </c>
      <c r="D4" s="3">
        <v>1329</v>
      </c>
      <c r="E4" s="3">
        <v>2553</v>
      </c>
      <c r="F4" s="3">
        <v>762</v>
      </c>
    </row>
    <row r="5" spans="1:6" x14ac:dyDescent="0.3">
      <c r="A5" s="2" t="s">
        <v>7</v>
      </c>
      <c r="B5" s="3">
        <f t="shared" si="0"/>
        <v>-9233</v>
      </c>
      <c r="C5" s="3">
        <v>0</v>
      </c>
      <c r="D5" s="3">
        <v>0</v>
      </c>
      <c r="E5" s="3">
        <v>9233</v>
      </c>
      <c r="F5" s="3">
        <v>919</v>
      </c>
    </row>
    <row r="6" spans="1:6" x14ac:dyDescent="0.3">
      <c r="A6" s="2" t="s">
        <v>8</v>
      </c>
      <c r="B6" s="3">
        <f t="shared" si="0"/>
        <v>917</v>
      </c>
      <c r="C6" s="3">
        <v>2899</v>
      </c>
      <c r="D6" s="3">
        <v>1620</v>
      </c>
      <c r="E6" s="3">
        <v>1982</v>
      </c>
      <c r="F6" s="3">
        <v>762</v>
      </c>
    </row>
    <row r="7" spans="1:6" x14ac:dyDescent="0.3">
      <c r="A7" s="2" t="s">
        <v>9</v>
      </c>
      <c r="B7" s="3">
        <f t="shared" si="0"/>
        <v>7347</v>
      </c>
      <c r="C7" s="3">
        <v>7347</v>
      </c>
      <c r="D7" s="3">
        <v>2023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-9272</v>
      </c>
      <c r="C8" s="3">
        <v>1032</v>
      </c>
      <c r="D8" s="3">
        <v>540</v>
      </c>
      <c r="E8" s="3">
        <v>10304</v>
      </c>
      <c r="F8" s="3">
        <v>4140</v>
      </c>
    </row>
    <row r="9" spans="1:6" x14ac:dyDescent="0.3">
      <c r="A9" s="2" t="s">
        <v>11</v>
      </c>
      <c r="B9" s="3">
        <f t="shared" si="0"/>
        <v>-35651</v>
      </c>
      <c r="C9" s="3">
        <v>0</v>
      </c>
      <c r="D9" s="3">
        <v>0</v>
      </c>
      <c r="E9" s="3">
        <v>35651</v>
      </c>
      <c r="F9" s="3">
        <v>13247</v>
      </c>
    </row>
    <row r="10" spans="1:6" x14ac:dyDescent="0.3">
      <c r="A10" s="2" t="s">
        <v>12</v>
      </c>
      <c r="B10" s="3">
        <f t="shared" si="0"/>
        <v>3768</v>
      </c>
      <c r="C10" s="3">
        <v>3768</v>
      </c>
      <c r="D10" s="3">
        <v>1131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1053</v>
      </c>
      <c r="C11" s="3">
        <v>1053</v>
      </c>
      <c r="D11" s="3">
        <v>540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-4724</v>
      </c>
      <c r="C12" s="3">
        <v>0</v>
      </c>
      <c r="D12" s="3">
        <v>0</v>
      </c>
      <c r="E12" s="3">
        <v>4724</v>
      </c>
      <c r="F12" s="3">
        <v>1524</v>
      </c>
    </row>
    <row r="13" spans="1:6" x14ac:dyDescent="0.3">
      <c r="A13" s="2" t="s">
        <v>15</v>
      </c>
      <c r="B13" s="3">
        <f t="shared" si="0"/>
        <v>695</v>
      </c>
      <c r="C13" s="3">
        <v>695</v>
      </c>
      <c r="D13" s="3">
        <v>376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-14061</v>
      </c>
      <c r="C14" s="3">
        <v>0</v>
      </c>
      <c r="D14" s="3">
        <v>0</v>
      </c>
      <c r="E14" s="3">
        <v>14061</v>
      </c>
      <c r="F14" s="3">
        <v>5095</v>
      </c>
    </row>
    <row r="15" spans="1:6" ht="17.25" thickBot="1" x14ac:dyDescent="0.35">
      <c r="A15" s="4" t="s">
        <v>17</v>
      </c>
      <c r="B15" s="5">
        <f>SUM(B3:B14)</f>
        <v>-36040</v>
      </c>
      <c r="C15" s="5">
        <f t="shared" ref="C15" si="1">SUM(C3:C14)</f>
        <v>42468</v>
      </c>
      <c r="D15" s="5">
        <f t="shared" ref="D15:F15" si="2">SUM(D3:D14)</f>
        <v>10919</v>
      </c>
      <c r="E15" s="5">
        <f t="shared" si="2"/>
        <v>78508</v>
      </c>
      <c r="F15" s="5">
        <f t="shared" si="2"/>
        <v>26449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5453</v>
      </c>
      <c r="C3" s="3">
        <v>5453</v>
      </c>
      <c r="D3" s="3">
        <v>1656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-8417</v>
      </c>
      <c r="C4" s="3">
        <v>321</v>
      </c>
      <c r="D4" s="3">
        <v>144</v>
      </c>
      <c r="E4" s="3">
        <v>8738</v>
      </c>
      <c r="F4" s="3">
        <v>914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2977</v>
      </c>
      <c r="C6" s="3">
        <v>3532</v>
      </c>
      <c r="D6" s="3">
        <v>1776</v>
      </c>
      <c r="E6" s="3">
        <v>555</v>
      </c>
      <c r="F6" s="3">
        <v>127</v>
      </c>
    </row>
    <row r="7" spans="1:6" x14ac:dyDescent="0.3">
      <c r="A7" s="2" t="s">
        <v>9</v>
      </c>
      <c r="B7" s="3">
        <f t="shared" si="0"/>
        <v>-560</v>
      </c>
      <c r="C7" s="3">
        <v>4678</v>
      </c>
      <c r="D7" s="3">
        <v>2326</v>
      </c>
      <c r="E7" s="3">
        <v>5238</v>
      </c>
      <c r="F7" s="3">
        <v>1905</v>
      </c>
    </row>
    <row r="8" spans="1:6" x14ac:dyDescent="0.3">
      <c r="A8" s="2" t="s">
        <v>10</v>
      </c>
      <c r="B8" s="3">
        <f t="shared" si="0"/>
        <v>12726</v>
      </c>
      <c r="C8" s="3">
        <v>23610</v>
      </c>
      <c r="D8" s="3">
        <v>10722</v>
      </c>
      <c r="E8" s="3">
        <v>10884</v>
      </c>
      <c r="F8" s="3">
        <v>3810</v>
      </c>
    </row>
    <row r="9" spans="1:6" x14ac:dyDescent="0.3">
      <c r="A9" s="2" t="s">
        <v>11</v>
      </c>
      <c r="B9" s="3">
        <f t="shared" si="0"/>
        <v>1553</v>
      </c>
      <c r="C9" s="3">
        <v>3250</v>
      </c>
      <c r="D9" s="3">
        <v>931</v>
      </c>
      <c r="E9" s="3">
        <v>1697</v>
      </c>
      <c r="F9" s="3">
        <v>381</v>
      </c>
    </row>
    <row r="10" spans="1:6" x14ac:dyDescent="0.3">
      <c r="A10" s="2" t="s">
        <v>12</v>
      </c>
      <c r="B10" s="3">
        <f t="shared" si="0"/>
        <v>-7281</v>
      </c>
      <c r="C10" s="3">
        <v>3800</v>
      </c>
      <c r="D10" s="3">
        <v>634</v>
      </c>
      <c r="E10" s="3">
        <v>11081</v>
      </c>
      <c r="F10" s="3">
        <v>3571</v>
      </c>
    </row>
    <row r="11" spans="1:6" x14ac:dyDescent="0.3">
      <c r="A11" s="2" t="s">
        <v>13</v>
      </c>
      <c r="B11" s="3">
        <f t="shared" si="0"/>
        <v>8524</v>
      </c>
      <c r="C11" s="3">
        <v>8524</v>
      </c>
      <c r="D11" s="3">
        <v>2718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-770</v>
      </c>
      <c r="C12" s="3">
        <v>12597</v>
      </c>
      <c r="D12" s="3">
        <v>6427</v>
      </c>
      <c r="E12" s="3">
        <v>13367</v>
      </c>
      <c r="F12" s="3">
        <v>2644</v>
      </c>
    </row>
    <row r="13" spans="1:6" x14ac:dyDescent="0.3">
      <c r="A13" s="2" t="s">
        <v>15</v>
      </c>
      <c r="B13" s="3">
        <f t="shared" si="0"/>
        <v>-16952</v>
      </c>
      <c r="C13" s="3">
        <v>2665</v>
      </c>
      <c r="D13" s="3">
        <v>1381</v>
      </c>
      <c r="E13" s="3">
        <v>19617</v>
      </c>
      <c r="F13" s="3">
        <v>6325</v>
      </c>
    </row>
    <row r="14" spans="1:6" x14ac:dyDescent="0.3">
      <c r="A14" s="2" t="s">
        <v>16</v>
      </c>
      <c r="B14" s="3">
        <f t="shared" si="0"/>
        <v>9740</v>
      </c>
      <c r="C14" s="3">
        <v>11350</v>
      </c>
      <c r="D14" s="3">
        <v>5552</v>
      </c>
      <c r="E14" s="3">
        <v>1610</v>
      </c>
      <c r="F14" s="3">
        <v>762</v>
      </c>
    </row>
    <row r="15" spans="1:6" ht="17.25" thickBot="1" x14ac:dyDescent="0.35">
      <c r="A15" s="4" t="s">
        <v>17</v>
      </c>
      <c r="B15" s="5">
        <f>SUM(B3:B14)</f>
        <v>6993</v>
      </c>
      <c r="C15" s="5">
        <f t="shared" ref="C15" si="1">SUM(C3:C14)</f>
        <v>79780</v>
      </c>
      <c r="D15" s="5">
        <f t="shared" ref="D15:F15" si="2">SUM(D3:D14)</f>
        <v>34267</v>
      </c>
      <c r="E15" s="5">
        <f t="shared" si="2"/>
        <v>72787</v>
      </c>
      <c r="F15" s="5">
        <f t="shared" si="2"/>
        <v>20439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791</v>
      </c>
      <c r="C3" s="3">
        <v>6579</v>
      </c>
      <c r="D3" s="3">
        <v>3327</v>
      </c>
      <c r="E3" s="3">
        <v>5788</v>
      </c>
      <c r="F3" s="3">
        <v>613</v>
      </c>
    </row>
    <row r="4" spans="1:6" x14ac:dyDescent="0.3">
      <c r="A4" s="2" t="s">
        <v>6</v>
      </c>
      <c r="B4" s="3">
        <f t="shared" ref="B4:B14" si="0">C4-E4</f>
        <v>-8359</v>
      </c>
      <c r="C4" s="3">
        <v>2675</v>
      </c>
      <c r="D4" s="3">
        <v>1210</v>
      </c>
      <c r="E4" s="3">
        <v>11034</v>
      </c>
      <c r="F4" s="3">
        <v>3810</v>
      </c>
    </row>
    <row r="5" spans="1:6" x14ac:dyDescent="0.3">
      <c r="A5" s="2" t="s">
        <v>7</v>
      </c>
      <c r="B5" s="3">
        <f t="shared" si="0"/>
        <v>5764</v>
      </c>
      <c r="C5" s="3">
        <v>5825</v>
      </c>
      <c r="D5" s="3">
        <v>2653</v>
      </c>
      <c r="E5" s="3">
        <v>61</v>
      </c>
      <c r="F5" s="3">
        <v>4</v>
      </c>
    </row>
    <row r="6" spans="1:6" x14ac:dyDescent="0.3">
      <c r="A6" s="2" t="s">
        <v>8</v>
      </c>
      <c r="B6" s="3">
        <f t="shared" si="0"/>
        <v>4271</v>
      </c>
      <c r="C6" s="3">
        <v>4800</v>
      </c>
      <c r="D6" s="3">
        <v>2471</v>
      </c>
      <c r="E6" s="3">
        <v>529</v>
      </c>
      <c r="F6" s="3">
        <v>28</v>
      </c>
    </row>
    <row r="7" spans="1:6" x14ac:dyDescent="0.3">
      <c r="A7" s="2" t="s">
        <v>9</v>
      </c>
      <c r="B7" s="3">
        <f t="shared" si="0"/>
        <v>-11500</v>
      </c>
      <c r="C7" s="3">
        <v>4561</v>
      </c>
      <c r="D7" s="3">
        <v>1909</v>
      </c>
      <c r="E7" s="3">
        <v>16061</v>
      </c>
      <c r="F7" s="3">
        <v>3959</v>
      </c>
    </row>
    <row r="8" spans="1:6" x14ac:dyDescent="0.3">
      <c r="A8" s="2" t="s">
        <v>10</v>
      </c>
      <c r="B8" s="3">
        <f t="shared" si="0"/>
        <v>-20231</v>
      </c>
      <c r="C8" s="3">
        <v>0</v>
      </c>
      <c r="D8" s="3">
        <v>0</v>
      </c>
      <c r="E8" s="3">
        <v>20231</v>
      </c>
      <c r="F8" s="3">
        <v>19075</v>
      </c>
    </row>
    <row r="9" spans="1:6" x14ac:dyDescent="0.3">
      <c r="A9" s="2" t="s">
        <v>11</v>
      </c>
      <c r="B9" s="3">
        <f t="shared" si="0"/>
        <v>-34228</v>
      </c>
      <c r="C9" s="3">
        <v>2002</v>
      </c>
      <c r="D9" s="3">
        <v>1023</v>
      </c>
      <c r="E9" s="3">
        <v>36230</v>
      </c>
      <c r="F9" s="3">
        <v>10151</v>
      </c>
    </row>
    <row r="10" spans="1:6" x14ac:dyDescent="0.3">
      <c r="A10" s="2" t="s">
        <v>12</v>
      </c>
      <c r="B10" s="3">
        <f t="shared" si="0"/>
        <v>1984</v>
      </c>
      <c r="C10" s="3">
        <v>2229</v>
      </c>
      <c r="D10" s="3">
        <v>687</v>
      </c>
      <c r="E10" s="3">
        <v>245</v>
      </c>
      <c r="F10" s="3">
        <v>17</v>
      </c>
    </row>
    <row r="11" spans="1:6" x14ac:dyDescent="0.3">
      <c r="A11" s="2" t="s">
        <v>13</v>
      </c>
      <c r="B11" s="3">
        <f t="shared" si="0"/>
        <v>-26788</v>
      </c>
      <c r="C11" s="3">
        <v>0</v>
      </c>
      <c r="D11" s="3">
        <v>0</v>
      </c>
      <c r="E11" s="3">
        <v>26788</v>
      </c>
      <c r="F11" s="3">
        <v>6858</v>
      </c>
    </row>
    <row r="12" spans="1:6" x14ac:dyDescent="0.3">
      <c r="A12" s="2" t="s">
        <v>14</v>
      </c>
      <c r="B12" s="3">
        <f t="shared" si="0"/>
        <v>-1555</v>
      </c>
      <c r="C12" s="3">
        <v>1346</v>
      </c>
      <c r="D12" s="3">
        <v>453</v>
      </c>
      <c r="E12" s="3">
        <v>2901</v>
      </c>
      <c r="F12" s="3">
        <v>284</v>
      </c>
    </row>
    <row r="13" spans="1:6" x14ac:dyDescent="0.3">
      <c r="A13" s="2" t="s">
        <v>15</v>
      </c>
      <c r="B13" s="3">
        <f t="shared" si="0"/>
        <v>172</v>
      </c>
      <c r="C13" s="3">
        <v>1804</v>
      </c>
      <c r="D13" s="3">
        <v>905</v>
      </c>
      <c r="E13" s="3">
        <v>1632</v>
      </c>
      <c r="F13" s="3">
        <v>771</v>
      </c>
    </row>
    <row r="14" spans="1:6" x14ac:dyDescent="0.3">
      <c r="A14" s="2" t="s">
        <v>16</v>
      </c>
      <c r="B14" s="3">
        <f t="shared" si="0"/>
        <v>-7843</v>
      </c>
      <c r="C14" s="3">
        <v>247</v>
      </c>
      <c r="D14" s="3">
        <v>120</v>
      </c>
      <c r="E14" s="3">
        <v>8090</v>
      </c>
      <c r="F14" s="3">
        <v>1909</v>
      </c>
    </row>
    <row r="15" spans="1:6" ht="17.25" thickBot="1" x14ac:dyDescent="0.35">
      <c r="A15" s="4" t="s">
        <v>17</v>
      </c>
      <c r="B15" s="5">
        <f>SUM(B3:B14)</f>
        <v>-97522</v>
      </c>
      <c r="C15" s="5">
        <f t="shared" ref="C15" si="1">SUM(C3:C14)</f>
        <v>32068</v>
      </c>
      <c r="D15" s="5">
        <f t="shared" ref="D15:F15" si="2">SUM(D3:D14)</f>
        <v>14758</v>
      </c>
      <c r="E15" s="5">
        <f t="shared" si="2"/>
        <v>129590</v>
      </c>
      <c r="F15" s="5">
        <f t="shared" si="2"/>
        <v>47479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10147</v>
      </c>
      <c r="C3" s="3">
        <v>10485</v>
      </c>
      <c r="D3" s="3">
        <v>4060</v>
      </c>
      <c r="E3" s="3">
        <v>338</v>
      </c>
      <c r="F3" s="3">
        <v>17</v>
      </c>
    </row>
    <row r="4" spans="1:6" x14ac:dyDescent="0.3">
      <c r="A4" s="2" t="s">
        <v>6</v>
      </c>
      <c r="B4" s="3">
        <f t="shared" ref="B4:B14" si="0">C4-E4</f>
        <v>-8386</v>
      </c>
      <c r="C4" s="3">
        <v>1492</v>
      </c>
      <c r="D4" s="3">
        <v>720</v>
      </c>
      <c r="E4" s="3">
        <v>9878</v>
      </c>
      <c r="F4" s="3">
        <v>1032</v>
      </c>
    </row>
    <row r="5" spans="1:6" x14ac:dyDescent="0.3">
      <c r="A5" s="2" t="s">
        <v>7</v>
      </c>
      <c r="B5" s="3">
        <f t="shared" si="0"/>
        <v>884</v>
      </c>
      <c r="C5" s="3">
        <v>884</v>
      </c>
      <c r="D5" s="3">
        <v>408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-2151</v>
      </c>
      <c r="C6" s="3">
        <v>4783</v>
      </c>
      <c r="D6" s="3">
        <v>2430</v>
      </c>
      <c r="E6" s="3">
        <v>6934</v>
      </c>
      <c r="F6" s="3">
        <v>706</v>
      </c>
    </row>
    <row r="7" spans="1:6" x14ac:dyDescent="0.3">
      <c r="A7" s="2" t="s">
        <v>9</v>
      </c>
      <c r="B7" s="3">
        <f t="shared" si="0"/>
        <v>-17593</v>
      </c>
      <c r="C7" s="3">
        <v>539</v>
      </c>
      <c r="D7" s="3">
        <v>276</v>
      </c>
      <c r="E7" s="3">
        <v>18132</v>
      </c>
      <c r="F7" s="3">
        <v>4572</v>
      </c>
    </row>
    <row r="8" spans="1:6" x14ac:dyDescent="0.3">
      <c r="A8" s="2" t="s">
        <v>10</v>
      </c>
      <c r="B8" s="3">
        <f t="shared" si="0"/>
        <v>-9934</v>
      </c>
      <c r="C8" s="3">
        <v>630</v>
      </c>
      <c r="D8" s="3">
        <v>324</v>
      </c>
      <c r="E8" s="3">
        <v>10564</v>
      </c>
      <c r="F8" s="3">
        <v>3274</v>
      </c>
    </row>
    <row r="9" spans="1:6" x14ac:dyDescent="0.3">
      <c r="A9" s="2" t="s">
        <v>11</v>
      </c>
      <c r="B9" s="3">
        <f t="shared" si="0"/>
        <v>561</v>
      </c>
      <c r="C9" s="3">
        <v>561</v>
      </c>
      <c r="D9" s="3">
        <v>216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4375</v>
      </c>
      <c r="C10" s="3">
        <v>4375</v>
      </c>
      <c r="D10" s="3">
        <v>2004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-23723</v>
      </c>
      <c r="C11" s="3">
        <v>468</v>
      </c>
      <c r="D11" s="3">
        <v>228</v>
      </c>
      <c r="E11" s="3">
        <v>24191</v>
      </c>
      <c r="F11" s="3">
        <v>5170</v>
      </c>
    </row>
    <row r="12" spans="1:6" x14ac:dyDescent="0.3">
      <c r="A12" s="2" t="s">
        <v>14</v>
      </c>
      <c r="B12" s="3">
        <f t="shared" si="0"/>
        <v>-764</v>
      </c>
      <c r="C12" s="3">
        <v>610</v>
      </c>
      <c r="D12" s="3">
        <v>324</v>
      </c>
      <c r="E12" s="3">
        <v>1374</v>
      </c>
      <c r="F12" s="3">
        <v>578</v>
      </c>
    </row>
    <row r="13" spans="1:6" x14ac:dyDescent="0.3">
      <c r="A13" s="2" t="s">
        <v>15</v>
      </c>
      <c r="B13" s="3">
        <f t="shared" si="0"/>
        <v>-33312</v>
      </c>
      <c r="C13" s="3">
        <v>0</v>
      </c>
      <c r="D13" s="3">
        <v>0</v>
      </c>
      <c r="E13" s="3">
        <v>33312</v>
      </c>
      <c r="F13" s="3">
        <v>7672</v>
      </c>
    </row>
    <row r="14" spans="1:6" x14ac:dyDescent="0.3">
      <c r="A14" s="2" t="s">
        <v>16</v>
      </c>
      <c r="B14" s="3">
        <f t="shared" si="0"/>
        <v>-7823</v>
      </c>
      <c r="C14" s="3">
        <v>2766</v>
      </c>
      <c r="D14" s="3">
        <v>1380</v>
      </c>
      <c r="E14" s="3">
        <v>10589</v>
      </c>
      <c r="F14" s="3">
        <v>3578</v>
      </c>
    </row>
    <row r="15" spans="1:6" ht="17.25" thickBot="1" x14ac:dyDescent="0.35">
      <c r="A15" s="4" t="s">
        <v>17</v>
      </c>
      <c r="B15" s="5">
        <f>SUM(B3:B14)</f>
        <v>-87719</v>
      </c>
      <c r="C15" s="5">
        <f t="shared" ref="C15" si="1">SUM(C3:C14)</f>
        <v>27593</v>
      </c>
      <c r="D15" s="5">
        <f t="shared" ref="D15:F15" si="2">SUM(D3:D14)</f>
        <v>12370</v>
      </c>
      <c r="E15" s="5">
        <f t="shared" si="2"/>
        <v>115312</v>
      </c>
      <c r="F15" s="5">
        <f t="shared" si="2"/>
        <v>26599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4176</v>
      </c>
      <c r="C3" s="3">
        <v>4176</v>
      </c>
      <c r="D3" s="3">
        <v>2088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1054</v>
      </c>
      <c r="C5" s="3">
        <v>1054</v>
      </c>
      <c r="D5" s="3">
        <v>540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-5444</v>
      </c>
      <c r="C7" s="3">
        <v>0</v>
      </c>
      <c r="D7" s="3">
        <v>0</v>
      </c>
      <c r="E7" s="3">
        <v>5444</v>
      </c>
      <c r="F7" s="3">
        <v>576</v>
      </c>
    </row>
    <row r="8" spans="1:6" x14ac:dyDescent="0.3">
      <c r="A8" s="2" t="s">
        <v>10</v>
      </c>
      <c r="B8" s="3">
        <f t="shared" si="0"/>
        <v>578</v>
      </c>
      <c r="C8" s="3">
        <v>578</v>
      </c>
      <c r="D8" s="3">
        <v>225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-32473</v>
      </c>
      <c r="C9" s="3">
        <v>2367</v>
      </c>
      <c r="D9" s="3">
        <v>1280</v>
      </c>
      <c r="E9" s="3">
        <v>34840</v>
      </c>
      <c r="F9" s="3">
        <v>9658</v>
      </c>
    </row>
    <row r="10" spans="1:6" x14ac:dyDescent="0.3">
      <c r="A10" s="2" t="s">
        <v>12</v>
      </c>
      <c r="B10" s="3">
        <f t="shared" si="0"/>
        <v>375</v>
      </c>
      <c r="C10" s="3">
        <v>375</v>
      </c>
      <c r="D10" s="3">
        <v>238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-1755</v>
      </c>
      <c r="C11" s="3">
        <v>0</v>
      </c>
      <c r="D11" s="3">
        <v>0</v>
      </c>
      <c r="E11" s="3">
        <v>1755</v>
      </c>
      <c r="F11" s="3">
        <v>572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-3449</v>
      </c>
      <c r="C13" s="3">
        <v>886</v>
      </c>
      <c r="D13" s="3">
        <v>426</v>
      </c>
      <c r="E13" s="3">
        <v>4335</v>
      </c>
      <c r="F13" s="3">
        <v>435</v>
      </c>
    </row>
    <row r="14" spans="1:6" x14ac:dyDescent="0.3">
      <c r="A14" s="2" t="s">
        <v>16</v>
      </c>
      <c r="B14" s="3">
        <f t="shared" si="0"/>
        <v>-8853</v>
      </c>
      <c r="C14" s="3">
        <v>0</v>
      </c>
      <c r="D14" s="3">
        <v>0</v>
      </c>
      <c r="E14" s="3">
        <v>8853</v>
      </c>
      <c r="F14" s="3">
        <v>1789</v>
      </c>
    </row>
    <row r="15" spans="1:6" ht="17.25" thickBot="1" x14ac:dyDescent="0.35">
      <c r="A15" s="4" t="s">
        <v>17</v>
      </c>
      <c r="B15" s="5">
        <f>SUM(B3:B14)</f>
        <v>-45791</v>
      </c>
      <c r="C15" s="5">
        <f t="shared" ref="C15" si="1">SUM(C3:C14)</f>
        <v>9436</v>
      </c>
      <c r="D15" s="5">
        <f t="shared" ref="D15:F15" si="2">SUM(D3:D14)</f>
        <v>4797</v>
      </c>
      <c r="E15" s="5">
        <f t="shared" si="2"/>
        <v>55227</v>
      </c>
      <c r="F15" s="5">
        <f t="shared" si="2"/>
        <v>13030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161</v>
      </c>
      <c r="C3" s="3">
        <v>161</v>
      </c>
      <c r="D3" s="3">
        <v>108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-7542</v>
      </c>
      <c r="C4" s="3">
        <v>1799</v>
      </c>
      <c r="D4" s="3">
        <v>996</v>
      </c>
      <c r="E4" s="3">
        <v>9341</v>
      </c>
      <c r="F4" s="3">
        <v>1905</v>
      </c>
    </row>
    <row r="5" spans="1:6" x14ac:dyDescent="0.3">
      <c r="A5" s="2" t="s">
        <v>7</v>
      </c>
      <c r="B5" s="3">
        <f t="shared" si="0"/>
        <v>-689</v>
      </c>
      <c r="C5" s="3">
        <v>7008</v>
      </c>
      <c r="D5" s="3">
        <v>3822</v>
      </c>
      <c r="E5" s="3">
        <v>7697</v>
      </c>
      <c r="F5" s="3">
        <v>815</v>
      </c>
    </row>
    <row r="6" spans="1:6" x14ac:dyDescent="0.3">
      <c r="A6" s="2" t="s">
        <v>8</v>
      </c>
      <c r="B6" s="3">
        <f t="shared" si="0"/>
        <v>-27304</v>
      </c>
      <c r="C6" s="3">
        <v>0</v>
      </c>
      <c r="D6" s="3">
        <v>0</v>
      </c>
      <c r="E6" s="3">
        <v>27304</v>
      </c>
      <c r="F6" s="3">
        <v>6096</v>
      </c>
    </row>
    <row r="7" spans="1:6" x14ac:dyDescent="0.3">
      <c r="A7" s="2" t="s">
        <v>9</v>
      </c>
      <c r="B7" s="3">
        <f t="shared" si="0"/>
        <v>201</v>
      </c>
      <c r="C7" s="3">
        <v>201</v>
      </c>
      <c r="D7" s="3">
        <v>108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-15048</v>
      </c>
      <c r="C8" s="3">
        <v>0</v>
      </c>
      <c r="D8" s="3">
        <v>0</v>
      </c>
      <c r="E8" s="3">
        <v>15048</v>
      </c>
      <c r="F8" s="3">
        <v>2513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10353</v>
      </c>
      <c r="C10" s="3">
        <v>10353</v>
      </c>
      <c r="D10" s="3">
        <v>3663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-7291</v>
      </c>
      <c r="C11" s="3">
        <v>0</v>
      </c>
      <c r="D11" s="3">
        <v>0</v>
      </c>
      <c r="E11" s="3">
        <v>7291</v>
      </c>
      <c r="F11" s="3">
        <v>766</v>
      </c>
    </row>
    <row r="12" spans="1:6" x14ac:dyDescent="0.3">
      <c r="A12" s="2" t="s">
        <v>14</v>
      </c>
      <c r="B12" s="3">
        <f t="shared" si="0"/>
        <v>574</v>
      </c>
      <c r="C12" s="3">
        <v>574</v>
      </c>
      <c r="D12" s="3">
        <v>216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-11537</v>
      </c>
      <c r="C13" s="3">
        <v>0</v>
      </c>
      <c r="D13" s="3">
        <v>0</v>
      </c>
      <c r="E13" s="3">
        <v>11537</v>
      </c>
      <c r="F13" s="3">
        <v>1619</v>
      </c>
    </row>
    <row r="14" spans="1:6" x14ac:dyDescent="0.3">
      <c r="A14" s="2" t="s">
        <v>16</v>
      </c>
      <c r="B14" s="3">
        <f t="shared" si="0"/>
        <v>-49165</v>
      </c>
      <c r="C14" s="3">
        <v>0</v>
      </c>
      <c r="D14" s="3">
        <v>0</v>
      </c>
      <c r="E14" s="3">
        <v>49165</v>
      </c>
      <c r="F14" s="3">
        <v>12193</v>
      </c>
    </row>
    <row r="15" spans="1:6" ht="17.25" thickBot="1" x14ac:dyDescent="0.35">
      <c r="A15" s="4" t="s">
        <v>17</v>
      </c>
      <c r="B15" s="5">
        <f>SUM(B3:B14)</f>
        <v>-107287</v>
      </c>
      <c r="C15" s="5">
        <f t="shared" ref="C15" si="1">SUM(C3:C14)</f>
        <v>20096</v>
      </c>
      <c r="D15" s="5">
        <f t="shared" ref="D15:F15" si="2">SUM(D3:D14)</f>
        <v>8913</v>
      </c>
      <c r="E15" s="5">
        <f t="shared" si="2"/>
        <v>127383</v>
      </c>
      <c r="F15" s="5">
        <f t="shared" si="2"/>
        <v>25907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-64724</v>
      </c>
      <c r="C3" s="3">
        <v>4129</v>
      </c>
      <c r="D3" s="3">
        <v>1416</v>
      </c>
      <c r="E3" s="3">
        <v>68853</v>
      </c>
      <c r="F3" s="3">
        <v>16002</v>
      </c>
    </row>
    <row r="4" spans="1:6" x14ac:dyDescent="0.3">
      <c r="A4" s="2" t="s">
        <v>6</v>
      </c>
      <c r="B4" s="3">
        <f t="shared" ref="B4:B14" si="0">C4-E4</f>
        <v>-117537</v>
      </c>
      <c r="C4" s="3">
        <v>2353</v>
      </c>
      <c r="D4" s="3">
        <v>820</v>
      </c>
      <c r="E4" s="3">
        <v>119890</v>
      </c>
      <c r="F4" s="3">
        <v>28956</v>
      </c>
    </row>
    <row r="5" spans="1:6" x14ac:dyDescent="0.3">
      <c r="A5" s="2" t="s">
        <v>7</v>
      </c>
      <c r="B5" s="3">
        <f t="shared" si="0"/>
        <v>-56133</v>
      </c>
      <c r="C5" s="3">
        <v>3206</v>
      </c>
      <c r="D5" s="3">
        <v>1164</v>
      </c>
      <c r="E5" s="3">
        <v>59339</v>
      </c>
      <c r="F5" s="3">
        <v>14478</v>
      </c>
    </row>
    <row r="6" spans="1:6" x14ac:dyDescent="0.3">
      <c r="A6" s="2" t="s">
        <v>8</v>
      </c>
      <c r="B6" s="3">
        <f t="shared" si="0"/>
        <v>-56757</v>
      </c>
      <c r="C6" s="3">
        <v>0</v>
      </c>
      <c r="D6" s="3">
        <v>0</v>
      </c>
      <c r="E6" s="3">
        <v>56757</v>
      </c>
      <c r="F6" s="3">
        <v>13716</v>
      </c>
    </row>
    <row r="7" spans="1:6" x14ac:dyDescent="0.3">
      <c r="A7" s="2" t="s">
        <v>9</v>
      </c>
      <c r="B7" s="3">
        <f t="shared" si="0"/>
        <v>1665</v>
      </c>
      <c r="C7" s="3">
        <v>1665</v>
      </c>
      <c r="D7" s="3">
        <v>552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911</v>
      </c>
      <c r="C8" s="3">
        <v>911</v>
      </c>
      <c r="D8" s="3">
        <v>306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1643</v>
      </c>
      <c r="C9" s="3">
        <v>1643</v>
      </c>
      <c r="D9" s="3">
        <v>492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2899</v>
      </c>
      <c r="C10" s="3">
        <v>5529</v>
      </c>
      <c r="D10" s="3">
        <v>1813</v>
      </c>
      <c r="E10" s="3">
        <v>2630</v>
      </c>
      <c r="F10" s="3">
        <v>762</v>
      </c>
    </row>
    <row r="11" spans="1:6" x14ac:dyDescent="0.3">
      <c r="A11" s="2" t="s">
        <v>13</v>
      </c>
      <c r="B11" s="3">
        <f t="shared" si="0"/>
        <v>2385</v>
      </c>
      <c r="C11" s="3">
        <v>4277</v>
      </c>
      <c r="D11" s="3">
        <v>1308</v>
      </c>
      <c r="E11" s="3">
        <v>1892</v>
      </c>
      <c r="F11" s="3">
        <v>163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2792</v>
      </c>
      <c r="C13" s="3">
        <v>2792</v>
      </c>
      <c r="D13" s="3">
        <v>820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-24009</v>
      </c>
      <c r="C14" s="3">
        <v>740</v>
      </c>
      <c r="D14" s="3">
        <v>54</v>
      </c>
      <c r="E14" s="3">
        <v>24749</v>
      </c>
      <c r="F14" s="3">
        <v>5148</v>
      </c>
    </row>
    <row r="15" spans="1:6" ht="17.25" thickBot="1" x14ac:dyDescent="0.35">
      <c r="A15" s="4" t="s">
        <v>17</v>
      </c>
      <c r="B15" s="5">
        <f>SUM(B3:B14)</f>
        <v>-306865</v>
      </c>
      <c r="C15" s="5">
        <f t="shared" ref="C15" si="1">SUM(C3:C14)</f>
        <v>27245</v>
      </c>
      <c r="D15" s="5">
        <f t="shared" ref="D15:F15" si="2">SUM(D3:D14)</f>
        <v>8745</v>
      </c>
      <c r="E15" s="5">
        <f t="shared" si="2"/>
        <v>334110</v>
      </c>
      <c r="F15" s="5">
        <f t="shared" si="2"/>
        <v>79225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-38048</v>
      </c>
      <c r="C3" s="3">
        <v>808</v>
      </c>
      <c r="D3" s="3">
        <v>306</v>
      </c>
      <c r="E3" s="3">
        <v>38856</v>
      </c>
      <c r="F3" s="3">
        <v>14478</v>
      </c>
    </row>
    <row r="4" spans="1:6" x14ac:dyDescent="0.3">
      <c r="A4" s="2" t="s">
        <v>6</v>
      </c>
      <c r="B4" s="3">
        <f t="shared" ref="B4:B14" si="0">C4-E4</f>
        <v>341</v>
      </c>
      <c r="C4" s="3">
        <v>341</v>
      </c>
      <c r="D4" s="3">
        <v>116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2505</v>
      </c>
      <c r="C5" s="3">
        <v>2505</v>
      </c>
      <c r="D5" s="3">
        <v>922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-40161</v>
      </c>
      <c r="C6" s="3">
        <v>1382</v>
      </c>
      <c r="D6" s="3">
        <v>492</v>
      </c>
      <c r="E6" s="3">
        <v>41543</v>
      </c>
      <c r="F6" s="3">
        <v>14478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145</v>
      </c>
      <c r="C8" s="3">
        <v>3021</v>
      </c>
      <c r="D8" s="3">
        <v>994</v>
      </c>
      <c r="E8" s="3">
        <v>2876</v>
      </c>
      <c r="F8" s="3">
        <v>762</v>
      </c>
    </row>
    <row r="9" spans="1:6" x14ac:dyDescent="0.3">
      <c r="A9" s="2" t="s">
        <v>11</v>
      </c>
      <c r="B9" s="3">
        <f t="shared" si="0"/>
        <v>6495</v>
      </c>
      <c r="C9" s="3">
        <v>6495</v>
      </c>
      <c r="D9" s="3">
        <v>1510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-1949</v>
      </c>
      <c r="C10" s="3">
        <v>323</v>
      </c>
      <c r="D10" s="3">
        <v>108</v>
      </c>
      <c r="E10" s="3">
        <v>2272</v>
      </c>
      <c r="F10" s="3">
        <v>185</v>
      </c>
    </row>
    <row r="11" spans="1:6" x14ac:dyDescent="0.3">
      <c r="A11" s="2" t="s">
        <v>13</v>
      </c>
      <c r="B11" s="3">
        <f t="shared" si="0"/>
        <v>332</v>
      </c>
      <c r="C11" s="3">
        <v>332</v>
      </c>
      <c r="D11" s="3">
        <v>115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-40417</v>
      </c>
      <c r="C12" s="3">
        <v>3263</v>
      </c>
      <c r="D12" s="3">
        <v>937</v>
      </c>
      <c r="E12" s="3">
        <v>43680</v>
      </c>
      <c r="F12" s="3">
        <v>15241</v>
      </c>
    </row>
    <row r="13" spans="1:6" x14ac:dyDescent="0.3">
      <c r="A13" s="2" t="s">
        <v>15</v>
      </c>
      <c r="B13" s="3">
        <f t="shared" si="0"/>
        <v>3477</v>
      </c>
      <c r="C13" s="3">
        <v>3477</v>
      </c>
      <c r="D13" s="3">
        <v>1077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1200</v>
      </c>
      <c r="C14" s="3">
        <v>1200</v>
      </c>
      <c r="D14" s="3">
        <v>494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-106080</v>
      </c>
      <c r="C15" s="5">
        <f t="shared" ref="C15" si="1">SUM(C3:C14)</f>
        <v>23147</v>
      </c>
      <c r="D15" s="5">
        <f t="shared" ref="D15:F15" si="2">SUM(D3:D14)</f>
        <v>7071</v>
      </c>
      <c r="E15" s="5">
        <f t="shared" si="2"/>
        <v>129227</v>
      </c>
      <c r="F15" s="5">
        <f t="shared" si="2"/>
        <v>45144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1175</v>
      </c>
      <c r="C3" s="3">
        <v>1175</v>
      </c>
      <c r="D3" s="3">
        <v>367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5801</v>
      </c>
      <c r="C4" s="3">
        <v>5847</v>
      </c>
      <c r="D4" s="3">
        <v>2117</v>
      </c>
      <c r="E4" s="3">
        <v>46</v>
      </c>
      <c r="F4" s="3">
        <v>6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-3192</v>
      </c>
      <c r="C6" s="3">
        <v>1767</v>
      </c>
      <c r="D6" s="3">
        <v>610</v>
      </c>
      <c r="E6" s="3">
        <v>4959</v>
      </c>
      <c r="F6" s="3">
        <v>424</v>
      </c>
    </row>
    <row r="7" spans="1:6" x14ac:dyDescent="0.3">
      <c r="A7" s="2" t="s">
        <v>9</v>
      </c>
      <c r="B7" s="3">
        <f t="shared" si="0"/>
        <v>600</v>
      </c>
      <c r="C7" s="3">
        <v>710</v>
      </c>
      <c r="D7" s="3">
        <v>259</v>
      </c>
      <c r="E7" s="3">
        <v>110</v>
      </c>
      <c r="F7" s="3">
        <v>38</v>
      </c>
    </row>
    <row r="8" spans="1:6" x14ac:dyDescent="0.3">
      <c r="A8" s="2" t="s">
        <v>10</v>
      </c>
      <c r="B8" s="3">
        <f t="shared" si="0"/>
        <v>4342</v>
      </c>
      <c r="C8" s="3">
        <v>4342</v>
      </c>
      <c r="D8" s="3">
        <v>1571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1121</v>
      </c>
      <c r="C12" s="3">
        <v>1121</v>
      </c>
      <c r="D12" s="3">
        <v>379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55</v>
      </c>
      <c r="C13" s="3">
        <v>55</v>
      </c>
      <c r="D13" s="3">
        <v>33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-51537</v>
      </c>
      <c r="C14" s="3">
        <v>545</v>
      </c>
      <c r="D14" s="3">
        <v>202</v>
      </c>
      <c r="E14" s="3">
        <v>52082</v>
      </c>
      <c r="F14" s="3">
        <v>15241</v>
      </c>
    </row>
    <row r="15" spans="1:6" ht="17.25" thickBot="1" x14ac:dyDescent="0.35">
      <c r="A15" s="4" t="s">
        <v>17</v>
      </c>
      <c r="B15" s="5">
        <f>SUM(B3:B14)</f>
        <v>-41635</v>
      </c>
      <c r="C15" s="5">
        <f t="shared" ref="C15" si="1">SUM(C3:C14)</f>
        <v>15562</v>
      </c>
      <c r="D15" s="5">
        <f t="shared" ref="D15:F15" si="2">SUM(D3:D14)</f>
        <v>5538</v>
      </c>
      <c r="E15" s="5">
        <f t="shared" si="2"/>
        <v>57197</v>
      </c>
      <c r="F15" s="5">
        <f t="shared" si="2"/>
        <v>15709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1123</v>
      </c>
      <c r="C3" s="3">
        <v>1123</v>
      </c>
      <c r="D3" s="3">
        <v>492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759</v>
      </c>
      <c r="C4" s="3">
        <v>759</v>
      </c>
      <c r="D4" s="3">
        <v>223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2268</v>
      </c>
      <c r="C5" s="3">
        <v>2268</v>
      </c>
      <c r="D5" s="3">
        <v>766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814</v>
      </c>
      <c r="C6" s="3">
        <v>814</v>
      </c>
      <c r="D6" s="3">
        <v>275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991</v>
      </c>
      <c r="C8" s="3">
        <v>991</v>
      </c>
      <c r="D8" s="3">
        <v>362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5955</v>
      </c>
      <c r="C15" s="5">
        <f t="shared" ref="C15:F15" si="1">SUM(C3:C14)</f>
        <v>5955</v>
      </c>
      <c r="D15" s="5">
        <f t="shared" si="1"/>
        <v>2118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2026-08-31T09:02:54Z</dcterms:modified>
</cp:coreProperties>
</file>