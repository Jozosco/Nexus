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1000(정제유)\"/>
    </mc:Choice>
  </mc:AlternateContent>
  <bookViews>
    <workbookView xWindow="0" yWindow="0" windowWidth="25125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<sst xmlns="http://schemas.openxmlformats.org/spreadsheetml/2006/main" count="306" uniqueCount="18">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</sst>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1482</v>
      </c>
      <c r="C10" s="2">
        <v>1482</v>
      </c>
      <c r="D10" s="2">
        <v>200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1482</v>
      </c>
      <c r="C15" s="5">
        <f t="shared" ref="C15:F15" si="1">SUM(C3:C14)</f>
        <v>1482</v>
      </c>
      <c r="D15" s="5">
        <f t="shared" si="1"/>
        <v>200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781</v>
      </c>
      <c r="C9" s="2">
        <v>781</v>
      </c>
      <c r="D9" s="2">
        <v>180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781</v>
      </c>
      <c r="C15" s="5">
        <f t="shared" ref="C15:F15" si="1">SUM(C3:C14)</f>
        <v>781</v>
      </c>
      <c r="D15" s="5">
        <f t="shared" si="1"/>
        <v>180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225</v>
      </c>
      <c r="C5" s="2">
        <v>225</v>
      </c>
      <c r="D5" s="2">
        <v>84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292</v>
      </c>
      <c r="C7" s="2">
        <v>292</v>
      </c>
      <c r="D7" s="2">
        <v>92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345</v>
      </c>
      <c r="C9" s="2">
        <v>345</v>
      </c>
      <c r="D9" s="2">
        <v>108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6200</v>
      </c>
      <c r="C13" s="2">
        <v>6200</v>
      </c>
      <c r="D13" s="2">
        <v>2030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7062</v>
      </c>
      <c r="C15" s="5">
        <f t="shared" ref="C15:F15" si="1">SUM(C3:C14)</f>
        <v>7062</v>
      </c>
      <c r="D15" s="5">
        <f t="shared" si="1"/>
        <v>2314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9525</v>
      </c>
      <c r="C3" s="2">
        <v>9525</v>
      </c>
      <c r="D3" s="2">
        <v>1595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105</v>
      </c>
      <c r="C4" s="2">
        <v>105</v>
      </c>
      <c r="D4" s="2">
        <v>25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11294</v>
      </c>
      <c r="C10" s="2">
        <v>11294</v>
      </c>
      <c r="D10" s="2">
        <v>300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778</v>
      </c>
      <c r="C14" s="2">
        <v>778</v>
      </c>
      <c r="D14" s="2">
        <v>300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21702</v>
      </c>
      <c r="C15" s="5">
        <f t="shared" ref="C15:F15" si="1">SUM(C3:C14)</f>
        <v>21702</v>
      </c>
      <c r="D15" s="5">
        <f t="shared" si="1"/>
        <v>2220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3552</v>
      </c>
      <c r="C10" s="2">
        <v>3552</v>
      </c>
      <c r="D10" s="2">
        <v>1440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802</v>
      </c>
      <c r="C12" s="2">
        <v>802</v>
      </c>
      <c r="D12" s="2">
        <v>300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1680</v>
      </c>
      <c r="C13" s="2">
        <v>1680</v>
      </c>
      <c r="D13" s="2">
        <v>630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5082</v>
      </c>
      <c r="C14" s="2">
        <v>5082</v>
      </c>
      <c r="D14" s="2">
        <v>1932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11116</v>
      </c>
      <c r="C15" s="5">
        <f t="shared" ref="C15:F15" si="1">SUM(C3:C14)</f>
        <v>11116</v>
      </c>
      <c r="D15" s="5">
        <f t="shared" si="1"/>
        <v>4302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1448</v>
      </c>
      <c r="C5" s="2">
        <v>1448</v>
      </c>
      <c r="D5" s="2">
        <v>550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263</v>
      </c>
      <c r="C8" s="2">
        <v>263</v>
      </c>
      <c r="D8" s="2">
        <v>108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1474</v>
      </c>
      <c r="C9" s="2">
        <v>1474</v>
      </c>
      <c r="D9" s="2">
        <v>594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3327</v>
      </c>
      <c r="C10" s="2">
        <v>3327</v>
      </c>
      <c r="D10" s="2">
        <v>1078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4815</v>
      </c>
      <c r="C11" s="2">
        <v>4815</v>
      </c>
      <c r="D11" s="2">
        <v>2040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643</v>
      </c>
      <c r="C12" s="2">
        <v>643</v>
      </c>
      <c r="D12" s="2">
        <v>228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1502</v>
      </c>
      <c r="C13" s="2">
        <v>1502</v>
      </c>
      <c r="D13" s="2">
        <v>40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1954</v>
      </c>
      <c r="C14" s="2">
        <v>1954</v>
      </c>
      <c r="D14" s="2">
        <v>816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15426</v>
      </c>
      <c r="C15" s="5">
        <f t="shared" ref="C15:F15" si="1">SUM(C3:C14)</f>
        <v>15426</v>
      </c>
      <c r="D15" s="5">
        <f t="shared" si="1"/>
        <v>5454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743</v>
      </c>
      <c r="C3" s="2">
        <v>743</v>
      </c>
      <c r="D3" s="2">
        <v>20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588</v>
      </c>
      <c r="C4" s="2">
        <v>588</v>
      </c>
      <c r="D4" s="2">
        <v>238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221</v>
      </c>
      <c r="C9" s="2">
        <v>221</v>
      </c>
      <c r="D9" s="2">
        <v>97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778</v>
      </c>
      <c r="C12" s="2">
        <v>778</v>
      </c>
      <c r="D12" s="2">
        <v>304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2330</v>
      </c>
      <c r="C15" s="5">
        <f t="shared" ref="C15:F15" si="1">SUM(C3:C14)</f>
        <v>2330</v>
      </c>
      <c r="D15" s="5">
        <f t="shared" si="1"/>
        <v>659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483</v>
      </c>
      <c r="C3" s="2">
        <v>483</v>
      </c>
      <c r="D3" s="2">
        <v>185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1353</v>
      </c>
      <c r="C5" s="2">
        <v>1353</v>
      </c>
      <c r="D5" s="2">
        <v>258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254</v>
      </c>
      <c r="C6" s="2">
        <v>254</v>
      </c>
      <c r="D6" s="2">
        <v>119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771</v>
      </c>
      <c r="C7" s="2">
        <v>771</v>
      </c>
      <c r="D7" s="2">
        <v>20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860</v>
      </c>
      <c r="C8" s="2">
        <v>860</v>
      </c>
      <c r="D8" s="2">
        <v>356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3796</v>
      </c>
      <c r="C9" s="2">
        <v>3796</v>
      </c>
      <c r="D9" s="2">
        <v>1555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-4607</v>
      </c>
      <c r="C10" s="2">
        <v>574</v>
      </c>
      <c r="D10" s="2">
        <v>220</v>
      </c>
      <c r="E10" s="2">
        <v>5181</v>
      </c>
      <c r="F10" s="2">
        <v>704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-12326</v>
      </c>
      <c r="C12" s="2">
        <v>194</v>
      </c>
      <c r="D12" s="2">
        <v>66</v>
      </c>
      <c r="E12" s="2">
        <v>12520</v>
      </c>
      <c r="F12" s="2">
        <v>1756</v>
      </c>
    </row>
    <row r="13" spans="1:6" x14ac:dyDescent="0.3">
      <c r="A13" s="1" t="s">
        <v>10</v>
      </c>
      <c r="B13" s="2">
        <f t="shared" si="0"/>
        <v>6337</v>
      </c>
      <c r="C13" s="2">
        <v>6337</v>
      </c>
      <c r="D13" s="2">
        <v>2175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918</v>
      </c>
      <c r="C14" s="2">
        <v>918</v>
      </c>
      <c r="D14" s="2">
        <v>300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-2161</v>
      </c>
      <c r="C15" s="5">
        <f t="shared" ref="C15:F15" si="1">SUM(C3:C14)</f>
        <v>15540</v>
      </c>
      <c r="D15" s="5">
        <f t="shared" si="1"/>
        <v>5254</v>
      </c>
      <c r="E15" s="5">
        <f t="shared" si="1"/>
        <v>17701</v>
      </c>
      <c r="F15" s="5">
        <f t="shared" si="1"/>
        <v>2460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730</v>
      </c>
      <c r="C3" s="2">
        <v>730</v>
      </c>
      <c r="D3" s="2">
        <v>20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167</v>
      </c>
      <c r="C4" s="2">
        <v>167</v>
      </c>
      <c r="D4" s="2">
        <v>61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1191</v>
      </c>
      <c r="C5" s="2">
        <v>1191</v>
      </c>
      <c r="D5" s="2">
        <v>190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595</v>
      </c>
      <c r="C6" s="2">
        <v>595</v>
      </c>
      <c r="D6" s="2">
        <v>238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1693</v>
      </c>
      <c r="C7" s="2">
        <v>1693</v>
      </c>
      <c r="D7" s="2">
        <v>654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2474</v>
      </c>
      <c r="C8" s="2">
        <v>2474</v>
      </c>
      <c r="D8" s="2">
        <v>907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3305</v>
      </c>
      <c r="C9" s="2">
        <v>3305</v>
      </c>
      <c r="D9" s="2">
        <v>657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9105</v>
      </c>
      <c r="C10" s="2">
        <v>9105</v>
      </c>
      <c r="D10" s="2">
        <v>1984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225</v>
      </c>
      <c r="C11" s="2">
        <v>225</v>
      </c>
      <c r="D11" s="2">
        <v>99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405</v>
      </c>
      <c r="C13" s="2">
        <v>405</v>
      </c>
      <c r="D13" s="2">
        <v>190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528</v>
      </c>
      <c r="C14" s="2">
        <v>528</v>
      </c>
      <c r="D14" s="2">
        <v>200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20418</v>
      </c>
      <c r="C15" s="5">
        <f t="shared" ref="C15:F15" si="1">SUM(C3:C14)</f>
        <v>20418</v>
      </c>
      <c r="D15" s="5">
        <f t="shared" si="1"/>
        <v>5200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5244</v>
      </c>
      <c r="C3" s="2">
        <v>5244</v>
      </c>
      <c r="D3" s="2">
        <v>963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599</v>
      </c>
      <c r="C4" s="2">
        <v>599</v>
      </c>
      <c r="D4" s="2">
        <v>154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-6</v>
      </c>
      <c r="C7" s="2">
        <v>0</v>
      </c>
      <c r="D7" s="2">
        <v>0</v>
      </c>
      <c r="E7" s="2">
        <v>6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21847</v>
      </c>
      <c r="C10" s="2">
        <v>21847</v>
      </c>
      <c r="D10" s="2">
        <v>4143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870</v>
      </c>
      <c r="C12" s="2">
        <v>870</v>
      </c>
      <c r="D12" s="2">
        <v>238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746</v>
      </c>
      <c r="C14" s="2">
        <v>746</v>
      </c>
      <c r="D14" s="2">
        <v>20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29300</v>
      </c>
      <c r="C15" s="5">
        <f t="shared" ref="C15:F15" si="1">SUM(C3:C14)</f>
        <v>29306</v>
      </c>
      <c r="D15" s="5">
        <f t="shared" si="1"/>
        <v>5518</v>
      </c>
      <c r="E15" s="5">
        <f t="shared" si="1"/>
        <v>6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2221</v>
      </c>
      <c r="C3" s="2">
        <v>2221</v>
      </c>
      <c r="D3" s="2">
        <v>560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457</v>
      </c>
      <c r="C7" s="2">
        <v>462</v>
      </c>
      <c r="D7" s="2">
        <v>139</v>
      </c>
      <c r="E7" s="2">
        <v>5</v>
      </c>
      <c r="F7" s="2">
        <v>3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696</v>
      </c>
      <c r="C13" s="2">
        <v>696</v>
      </c>
      <c r="D13" s="2">
        <v>20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3374</v>
      </c>
      <c r="C15" s="5">
        <f t="shared" ref="C15:F15" si="1">SUM(C3:C14)</f>
        <v>3379</v>
      </c>
      <c r="D15" s="5">
        <f t="shared" si="1"/>
        <v>719</v>
      </c>
      <c r="E15" s="5">
        <f t="shared" si="1"/>
        <v>5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-54</v>
      </c>
      <c r="C7" s="2">
        <v>0</v>
      </c>
      <c r="D7" s="2">
        <v>0</v>
      </c>
      <c r="E7" s="2">
        <v>54</v>
      </c>
      <c r="F7" s="2">
        <v>12</v>
      </c>
    </row>
    <row r="8" spans="1:6" x14ac:dyDescent="0.3">
      <c r="A8" s="1" t="s">
        <v>5</v>
      </c>
      <c r="B8" s="2">
        <f t="shared" si="0"/>
        <v>734</v>
      </c>
      <c r="C8" s="2">
        <v>734</v>
      </c>
      <c r="D8" s="2">
        <v>20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-5</v>
      </c>
      <c r="C11" s="2">
        <v>0</v>
      </c>
      <c r="D11" s="2">
        <v>0</v>
      </c>
      <c r="E11" s="2">
        <v>5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-670936</v>
      </c>
      <c r="C13" s="2">
        <v>0</v>
      </c>
      <c r="D13" s="2">
        <v>0</v>
      </c>
      <c r="E13" s="2">
        <v>670936</v>
      </c>
      <c r="F13" s="2">
        <v>559000</v>
      </c>
    </row>
    <row r="14" spans="1:6" x14ac:dyDescent="0.3">
      <c r="A14" s="1" t="s">
        <v>11</v>
      </c>
      <c r="B14" s="2">
        <f t="shared" si="0"/>
        <v>-1148422</v>
      </c>
      <c r="C14" s="2">
        <v>0</v>
      </c>
      <c r="D14" s="2">
        <v>0</v>
      </c>
      <c r="E14" s="2">
        <v>1148422</v>
      </c>
      <c r="F14" s="2">
        <v>946920</v>
      </c>
    </row>
    <row r="15" spans="1:6" ht="17.25" thickBot="1" x14ac:dyDescent="0.35">
      <c r="A15" s="4" t="s">
        <v>13</v>
      </c>
      <c r="B15" s="5">
        <f>SUM(B3:B14)</f>
        <v>-1818683</v>
      </c>
      <c r="C15" s="5">
        <f t="shared" ref="C15:F15" si="1">SUM(C3:C14)</f>
        <v>734</v>
      </c>
      <c r="D15" s="5">
        <f t="shared" si="1"/>
        <v>20</v>
      </c>
      <c r="E15" s="5">
        <f t="shared" si="1"/>
        <v>1819417</v>
      </c>
      <c r="F15" s="5">
        <f t="shared" si="1"/>
        <v>1505932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-135532</v>
      </c>
      <c r="C3" s="2">
        <v>674</v>
      </c>
      <c r="D3" s="2">
        <v>20</v>
      </c>
      <c r="E3" s="2">
        <v>136206</v>
      </c>
      <c r="F3" s="2">
        <v>109480</v>
      </c>
    </row>
    <row r="4" spans="1:6" x14ac:dyDescent="0.3">
      <c r="A4" s="1" t="s">
        <v>1</v>
      </c>
      <c r="B4" s="2">
        <f t="shared" si="0"/>
        <v>-227273</v>
      </c>
      <c r="C4" s="2">
        <v>0</v>
      </c>
      <c r="D4" s="2">
        <v>0</v>
      </c>
      <c r="E4" s="2">
        <v>227273</v>
      </c>
      <c r="F4" s="2">
        <v>192840</v>
      </c>
    </row>
    <row r="5" spans="1:6" x14ac:dyDescent="0.3">
      <c r="A5" s="1" t="s">
        <v>2</v>
      </c>
      <c r="B5" s="2">
        <f t="shared" si="0"/>
        <v>-1748322</v>
      </c>
      <c r="C5" s="2">
        <v>676</v>
      </c>
      <c r="D5" s="2">
        <v>20</v>
      </c>
      <c r="E5" s="2">
        <v>1748998</v>
      </c>
      <c r="F5" s="2">
        <v>1458780</v>
      </c>
    </row>
    <row r="6" spans="1:6" x14ac:dyDescent="0.3">
      <c r="A6" s="1" t="s">
        <v>3</v>
      </c>
      <c r="B6" s="2">
        <f t="shared" si="0"/>
        <v>-556189</v>
      </c>
      <c r="C6" s="2">
        <v>0</v>
      </c>
      <c r="D6" s="2">
        <v>0</v>
      </c>
      <c r="E6" s="2">
        <v>556189</v>
      </c>
      <c r="F6" s="2">
        <v>451280</v>
      </c>
    </row>
    <row r="7" spans="1:6" x14ac:dyDescent="0.3">
      <c r="A7" s="1" t="s">
        <v>4</v>
      </c>
      <c r="B7" s="2">
        <f t="shared" si="0"/>
        <v>-197066</v>
      </c>
      <c r="C7" s="2">
        <v>0</v>
      </c>
      <c r="D7" s="2">
        <v>0</v>
      </c>
      <c r="E7" s="2">
        <v>197066</v>
      </c>
      <c r="F7" s="2">
        <v>152163</v>
      </c>
    </row>
    <row r="8" spans="1:6" x14ac:dyDescent="0.3">
      <c r="A8" s="1" t="s">
        <v>5</v>
      </c>
      <c r="B8" s="2">
        <f t="shared" si="0"/>
        <v>-597853</v>
      </c>
      <c r="C8" s="2">
        <v>0</v>
      </c>
      <c r="D8" s="2">
        <v>0</v>
      </c>
      <c r="E8" s="2">
        <v>597853</v>
      </c>
      <c r="F8" s="2">
        <v>479165</v>
      </c>
    </row>
    <row r="9" spans="1:6" x14ac:dyDescent="0.3">
      <c r="A9" s="1" t="s">
        <v>6</v>
      </c>
      <c r="B9" s="2">
        <f t="shared" si="0"/>
        <v>-424354</v>
      </c>
      <c r="C9" s="2">
        <v>0</v>
      </c>
      <c r="D9" s="2">
        <v>0</v>
      </c>
      <c r="E9" s="2">
        <v>424354</v>
      </c>
      <c r="F9" s="2">
        <v>301740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-3886589</v>
      </c>
      <c r="C15" s="5">
        <f t="shared" ref="C15:F15" si="1">SUM(C3:C14)</f>
        <v>1350</v>
      </c>
      <c r="D15" s="5">
        <f t="shared" si="1"/>
        <v>40</v>
      </c>
      <c r="E15" s="5">
        <f t="shared" si="1"/>
        <v>3887939</v>
      </c>
      <c r="F15" s="5">
        <f t="shared" si="1"/>
        <v>3145448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2026-08-31T09:23:45Z</dcterms:modified>
</cp:coreProperties>
</file>