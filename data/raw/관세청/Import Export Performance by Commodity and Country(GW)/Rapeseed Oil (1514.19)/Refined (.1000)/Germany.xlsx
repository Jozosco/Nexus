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유채유\1514.19(정제유 및 기타)\.1000(정제유)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  <c r="E15" i="1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B15" i="1" l="1"/>
  <c r="B14" i="15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2"/>
  <c r="C15" i="2"/>
  <c r="F15" i="2"/>
  <c r="E15" i="2"/>
  <c r="B15" i="9" l="1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<sst xmlns="http://schemas.openxmlformats.org/spreadsheetml/2006/main" count="306" uniqueCount="18">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</sst>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-1225</v>
      </c>
      <c r="C11" s="2">
        <v>0</v>
      </c>
      <c r="D11" s="2">
        <v>0</v>
      </c>
      <c r="E11" s="2">
        <v>1225</v>
      </c>
      <c r="F11" s="2">
        <v>125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-1225</v>
      </c>
      <c r="C15" s="5">
        <f t="shared" ref="C15:F15" si="1">SUM(C3:C14)</f>
        <v>0</v>
      </c>
      <c r="D15" s="5">
        <f t="shared" si="1"/>
        <v>0</v>
      </c>
      <c r="E15" s="5">
        <f t="shared" si="1"/>
        <v>1225</v>
      </c>
      <c r="F15" s="5">
        <f t="shared" si="1"/>
        <v>125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-20468</v>
      </c>
      <c r="C5" s="2">
        <v>0</v>
      </c>
      <c r="D5" s="2">
        <v>0</v>
      </c>
      <c r="E5" s="2">
        <v>20468</v>
      </c>
      <c r="F5" s="2">
        <v>500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2556</v>
      </c>
      <c r="C10" s="2">
        <v>2556</v>
      </c>
      <c r="D10" s="2">
        <v>230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-21732</v>
      </c>
      <c r="C13" s="2">
        <v>0</v>
      </c>
      <c r="D13" s="2">
        <v>0</v>
      </c>
      <c r="E13" s="2">
        <v>21732</v>
      </c>
      <c r="F13" s="2">
        <v>500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-39644</v>
      </c>
      <c r="C15" s="5">
        <f t="shared" ref="C15:F15" si="1">SUM(C3:C14)</f>
        <v>2556</v>
      </c>
      <c r="D15" s="5">
        <f t="shared" si="1"/>
        <v>230</v>
      </c>
      <c r="E15" s="5">
        <f t="shared" si="1"/>
        <v>42200</v>
      </c>
      <c r="F15" s="5">
        <f t="shared" si="1"/>
        <v>1000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-24753</v>
      </c>
      <c r="C8" s="2">
        <v>0</v>
      </c>
      <c r="D8" s="2">
        <v>0</v>
      </c>
      <c r="E8" s="2">
        <v>24753</v>
      </c>
      <c r="F8" s="2">
        <v>500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-26135</v>
      </c>
      <c r="C13" s="2">
        <v>0</v>
      </c>
      <c r="D13" s="2">
        <v>0</v>
      </c>
      <c r="E13" s="2">
        <v>26135</v>
      </c>
      <c r="F13" s="2">
        <v>500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-50888</v>
      </c>
      <c r="C15" s="5">
        <f t="shared" ref="C15:F15" si="1">SUM(C3:C14)</f>
        <v>0</v>
      </c>
      <c r="D15" s="5">
        <f t="shared" si="1"/>
        <v>0</v>
      </c>
      <c r="E15" s="5">
        <f t="shared" si="1"/>
        <v>50888</v>
      </c>
      <c r="F15" s="5">
        <f t="shared" si="1"/>
        <v>1000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-4068</v>
      </c>
      <c r="C7" s="2">
        <v>0</v>
      </c>
      <c r="D7" s="2">
        <v>0</v>
      </c>
      <c r="E7" s="2">
        <v>4068</v>
      </c>
      <c r="F7" s="2">
        <v>920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-14</v>
      </c>
      <c r="C12" s="2">
        <v>0</v>
      </c>
      <c r="D12" s="2">
        <v>0</v>
      </c>
      <c r="E12" s="2">
        <v>14</v>
      </c>
      <c r="F12" s="2">
        <v>1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-4082</v>
      </c>
      <c r="C15" s="5">
        <f t="shared" ref="C15:F15" si="1">SUM(C3:C14)</f>
        <v>0</v>
      </c>
      <c r="D15" s="5">
        <f t="shared" si="1"/>
        <v>0</v>
      </c>
      <c r="E15" s="5">
        <f t="shared" si="1"/>
        <v>4082</v>
      </c>
      <c r="F15" s="5">
        <f t="shared" si="1"/>
        <v>921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-173997</v>
      </c>
      <c r="C3" s="2">
        <v>0</v>
      </c>
      <c r="D3" s="2">
        <v>0</v>
      </c>
      <c r="E3" s="2">
        <v>173997</v>
      </c>
      <c r="F3" s="2">
        <v>108700</v>
      </c>
    </row>
    <row r="4" spans="1:6" x14ac:dyDescent="0.3">
      <c r="A4" s="1" t="s">
        <v>1</v>
      </c>
      <c r="B4" s="2">
        <f t="shared" si="0"/>
        <v>-26</v>
      </c>
      <c r="C4" s="2">
        <v>0</v>
      </c>
      <c r="D4" s="2">
        <v>0</v>
      </c>
      <c r="E4" s="2">
        <v>26</v>
      </c>
      <c r="F4" s="2">
        <v>4</v>
      </c>
    </row>
    <row r="5" spans="1:6" x14ac:dyDescent="0.3">
      <c r="A5" s="1" t="s">
        <v>2</v>
      </c>
      <c r="B5" s="2">
        <f t="shared" si="0"/>
        <v>-39596</v>
      </c>
      <c r="C5" s="2">
        <v>0</v>
      </c>
      <c r="D5" s="2">
        <v>0</v>
      </c>
      <c r="E5" s="2">
        <v>39596</v>
      </c>
      <c r="F5" s="2">
        <v>800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-54457</v>
      </c>
      <c r="C7" s="2">
        <v>0</v>
      </c>
      <c r="D7" s="2">
        <v>0</v>
      </c>
      <c r="E7" s="2">
        <v>54457</v>
      </c>
      <c r="F7" s="2">
        <v>23000</v>
      </c>
    </row>
    <row r="8" spans="1:6" x14ac:dyDescent="0.3">
      <c r="A8" s="1" t="s">
        <v>5</v>
      </c>
      <c r="B8" s="2">
        <f t="shared" si="0"/>
        <v>-1000151</v>
      </c>
      <c r="C8" s="2">
        <v>0</v>
      </c>
      <c r="D8" s="2">
        <v>0</v>
      </c>
      <c r="E8" s="2">
        <v>1000151</v>
      </c>
      <c r="F8" s="2">
        <v>699640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-42467</v>
      </c>
      <c r="C11" s="2">
        <v>0</v>
      </c>
      <c r="D11" s="2">
        <v>0</v>
      </c>
      <c r="E11" s="2">
        <v>42467</v>
      </c>
      <c r="F11" s="2">
        <v>18400</v>
      </c>
    </row>
    <row r="12" spans="1:6" x14ac:dyDescent="0.3">
      <c r="A12" s="1" t="s">
        <v>9</v>
      </c>
      <c r="B12" s="2">
        <f t="shared" si="0"/>
        <v>-3964</v>
      </c>
      <c r="C12" s="2">
        <v>0</v>
      </c>
      <c r="D12" s="2">
        <v>0</v>
      </c>
      <c r="E12" s="2">
        <v>3964</v>
      </c>
      <c r="F12" s="2">
        <v>920</v>
      </c>
    </row>
    <row r="13" spans="1:6" x14ac:dyDescent="0.3">
      <c r="A13" s="1" t="s">
        <v>10</v>
      </c>
      <c r="B13" s="2">
        <f t="shared" si="0"/>
        <v>-830697</v>
      </c>
      <c r="C13" s="2">
        <v>0</v>
      </c>
      <c r="D13" s="2">
        <v>0</v>
      </c>
      <c r="E13" s="2">
        <v>830697</v>
      </c>
      <c r="F13" s="2">
        <v>699300</v>
      </c>
    </row>
    <row r="14" spans="1:6" x14ac:dyDescent="0.3">
      <c r="A14" s="1" t="s">
        <v>11</v>
      </c>
      <c r="B14" s="2">
        <f t="shared" si="0"/>
        <v>-2689775</v>
      </c>
      <c r="C14" s="2">
        <v>0</v>
      </c>
      <c r="D14" s="2">
        <v>0</v>
      </c>
      <c r="E14" s="2">
        <v>2689775</v>
      </c>
      <c r="F14" s="2">
        <v>2264320</v>
      </c>
    </row>
    <row r="15" spans="1:6" ht="17.25" thickBot="1" x14ac:dyDescent="0.35">
      <c r="A15" s="4" t="s">
        <v>13</v>
      </c>
      <c r="B15" s="5">
        <f>SUM(B3:B14)</f>
        <v>-4835130</v>
      </c>
      <c r="C15" s="5">
        <f t="shared" ref="C15:F15" si="1">SUM(C3:C14)</f>
        <v>0</v>
      </c>
      <c r="D15" s="5">
        <f t="shared" si="1"/>
        <v>0</v>
      </c>
      <c r="E15" s="5">
        <f t="shared" si="1"/>
        <v>4835130</v>
      </c>
      <c r="F15" s="5">
        <f t="shared" si="1"/>
        <v>3815084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-2343198</v>
      </c>
      <c r="C3" s="2">
        <v>0</v>
      </c>
      <c r="D3" s="2">
        <v>0</v>
      </c>
      <c r="E3" s="2">
        <v>2343198</v>
      </c>
      <c r="F3" s="2">
        <v>1972580</v>
      </c>
    </row>
    <row r="4" spans="1:6" x14ac:dyDescent="0.3">
      <c r="A4" s="1" t="s">
        <v>1</v>
      </c>
      <c r="B4" s="2">
        <f t="shared" si="0"/>
        <v>-1204175</v>
      </c>
      <c r="C4" s="2">
        <v>0</v>
      </c>
      <c r="D4" s="2">
        <v>0</v>
      </c>
      <c r="E4" s="2">
        <v>1204175</v>
      </c>
      <c r="F4" s="2">
        <v>999420</v>
      </c>
    </row>
    <row r="5" spans="1:6" x14ac:dyDescent="0.3">
      <c r="A5" s="1" t="s">
        <v>2</v>
      </c>
      <c r="B5" s="2">
        <f t="shared" si="0"/>
        <v>-1121520</v>
      </c>
      <c r="C5" s="2">
        <v>0</v>
      </c>
      <c r="D5" s="2">
        <v>0</v>
      </c>
      <c r="E5" s="2">
        <v>1121520</v>
      </c>
      <c r="F5" s="2">
        <v>944100</v>
      </c>
    </row>
    <row r="6" spans="1:6" x14ac:dyDescent="0.3">
      <c r="A6" s="1" t="s">
        <v>3</v>
      </c>
      <c r="B6" s="2">
        <f t="shared" si="0"/>
        <v>-77774</v>
      </c>
      <c r="C6" s="2">
        <v>0</v>
      </c>
      <c r="D6" s="2">
        <v>0</v>
      </c>
      <c r="E6" s="2">
        <v>77774</v>
      </c>
      <c r="F6" s="2">
        <v>36800</v>
      </c>
    </row>
    <row r="7" spans="1:6" x14ac:dyDescent="0.3">
      <c r="A7" s="1" t="s">
        <v>4</v>
      </c>
      <c r="B7" s="2">
        <f t="shared" si="0"/>
        <v>-25997</v>
      </c>
      <c r="C7" s="2">
        <v>0</v>
      </c>
      <c r="D7" s="2">
        <v>0</v>
      </c>
      <c r="E7" s="2">
        <v>25997</v>
      </c>
      <c r="F7" s="2">
        <v>21880</v>
      </c>
    </row>
    <row r="8" spans="1:6" x14ac:dyDescent="0.3">
      <c r="A8" s="1" t="s">
        <v>5</v>
      </c>
      <c r="B8" s="2">
        <f t="shared" si="0"/>
        <v>-104252</v>
      </c>
      <c r="C8" s="2">
        <v>0</v>
      </c>
      <c r="D8" s="2">
        <v>0</v>
      </c>
      <c r="E8" s="2">
        <v>104252</v>
      </c>
      <c r="F8" s="2">
        <v>37300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-39787</v>
      </c>
      <c r="C10" s="2">
        <v>0</v>
      </c>
      <c r="D10" s="2">
        <v>0</v>
      </c>
      <c r="E10" s="2">
        <v>39787</v>
      </c>
      <c r="F10" s="2">
        <v>18400</v>
      </c>
    </row>
    <row r="11" spans="1:6" x14ac:dyDescent="0.3">
      <c r="A11" s="1" t="s">
        <v>8</v>
      </c>
      <c r="B11" s="2">
        <f t="shared" si="0"/>
        <v>-40101</v>
      </c>
      <c r="C11" s="2">
        <v>0</v>
      </c>
      <c r="D11" s="2">
        <v>0</v>
      </c>
      <c r="E11" s="2">
        <v>40101</v>
      </c>
      <c r="F11" s="2">
        <v>18400</v>
      </c>
    </row>
    <row r="12" spans="1:6" x14ac:dyDescent="0.3">
      <c r="A12" s="1" t="s">
        <v>9</v>
      </c>
      <c r="B12" s="2">
        <f t="shared" si="0"/>
        <v>-39809</v>
      </c>
      <c r="C12" s="2">
        <v>0</v>
      </c>
      <c r="D12" s="2">
        <v>0</v>
      </c>
      <c r="E12" s="2">
        <v>39809</v>
      </c>
      <c r="F12" s="2">
        <v>18400</v>
      </c>
    </row>
    <row r="13" spans="1:6" x14ac:dyDescent="0.3">
      <c r="A13" s="1" t="s">
        <v>10</v>
      </c>
      <c r="B13" s="2">
        <f t="shared" si="0"/>
        <v>-37996</v>
      </c>
      <c r="C13" s="2">
        <v>0</v>
      </c>
      <c r="D13" s="2">
        <v>0</v>
      </c>
      <c r="E13" s="2">
        <v>37996</v>
      </c>
      <c r="F13" s="2">
        <v>18400</v>
      </c>
    </row>
    <row r="14" spans="1:6" x14ac:dyDescent="0.3">
      <c r="A14" s="1" t="s">
        <v>11</v>
      </c>
      <c r="B14" s="2">
        <f t="shared" si="0"/>
        <v>-37932</v>
      </c>
      <c r="C14" s="2">
        <v>0</v>
      </c>
      <c r="D14" s="2">
        <v>0</v>
      </c>
      <c r="E14" s="2">
        <v>37932</v>
      </c>
      <c r="F14" s="2">
        <v>18400</v>
      </c>
    </row>
    <row r="15" spans="1:6" ht="17.25" thickBot="1" x14ac:dyDescent="0.35">
      <c r="A15" s="4" t="s">
        <v>13</v>
      </c>
      <c r="B15" s="5">
        <f>SUM(B3:B14)</f>
        <v>-5072541</v>
      </c>
      <c r="C15" s="5">
        <f t="shared" ref="C15:F15" si="1">SUM(C3:C14)</f>
        <v>0</v>
      </c>
      <c r="D15" s="5">
        <f t="shared" si="1"/>
        <v>0</v>
      </c>
      <c r="E15" s="5">
        <f t="shared" si="1"/>
        <v>5072541</v>
      </c>
      <c r="F15" s="5">
        <f t="shared" si="1"/>
        <v>4104080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-62219</v>
      </c>
      <c r="C4" s="2">
        <v>0</v>
      </c>
      <c r="D4" s="2">
        <v>0</v>
      </c>
      <c r="E4" s="2">
        <v>62219</v>
      </c>
      <c r="F4" s="2">
        <v>18900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-6</v>
      </c>
      <c r="C8" s="2">
        <v>0</v>
      </c>
      <c r="D8" s="2">
        <v>0</v>
      </c>
      <c r="E8" s="2">
        <v>6</v>
      </c>
      <c r="F8" s="2">
        <v>1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-9</v>
      </c>
      <c r="C14" s="2">
        <v>0</v>
      </c>
      <c r="D14" s="2">
        <v>0</v>
      </c>
      <c r="E14" s="2">
        <v>9</v>
      </c>
      <c r="F14" s="2">
        <v>0</v>
      </c>
    </row>
    <row r="15" spans="1:6" ht="17.25" thickBot="1" x14ac:dyDescent="0.35">
      <c r="A15" s="4" t="s">
        <v>13</v>
      </c>
      <c r="B15" s="5">
        <f>SUM(B3:B14)</f>
        <v>-62234</v>
      </c>
      <c r="C15" s="5">
        <f t="shared" ref="C15:F15" si="1">SUM(C3:C14)</f>
        <v>0</v>
      </c>
      <c r="D15" s="5">
        <f t="shared" si="1"/>
        <v>0</v>
      </c>
      <c r="E15" s="5">
        <f t="shared" si="1"/>
        <v>62234</v>
      </c>
      <c r="F15" s="5">
        <f t="shared" si="1"/>
        <v>18901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2026-09-01T00:02:01Z</dcterms:modified>
</cp:coreProperties>
</file>