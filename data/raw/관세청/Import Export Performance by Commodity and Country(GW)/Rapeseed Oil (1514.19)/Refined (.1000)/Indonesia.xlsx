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대체재, 보완재\관세청\15개년_품목별 국가별 수출입실적\유채유\1514.19(정제유 및 기타)\.1000(정제유)\"/>
    </mc:Choice>
  </mc:AlternateContent>
  <bookViews>
    <workbookView xWindow="0" yWindow="0" windowWidth="25125" windowHeight="11640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15" l="1"/>
  <c r="B13" i="15"/>
  <c r="B12" i="15"/>
  <c r="B11" i="15"/>
  <c r="B10" i="15"/>
  <c r="B9" i="15"/>
  <c r="B8" i="15"/>
  <c r="B7" i="15"/>
  <c r="B6" i="15"/>
  <c r="B5" i="15"/>
  <c r="B4" i="15"/>
  <c r="B3" i="15"/>
  <c r="B14" i="13"/>
  <c r="B13" i="13"/>
  <c r="B12" i="13"/>
  <c r="B11" i="13"/>
  <c r="B10" i="13"/>
  <c r="B9" i="13"/>
  <c r="B8" i="13"/>
  <c r="B7" i="13"/>
  <c r="B6" i="13"/>
  <c r="B5" i="13"/>
  <c r="B4" i="13"/>
  <c r="B3" i="13"/>
  <c r="B14" i="12"/>
  <c r="B13" i="12"/>
  <c r="B12" i="12"/>
  <c r="B11" i="12"/>
  <c r="B10" i="12"/>
  <c r="B9" i="12"/>
  <c r="B8" i="12"/>
  <c r="B7" i="12"/>
  <c r="B6" i="12"/>
  <c r="B5" i="12"/>
  <c r="B4" i="12"/>
  <c r="B3" i="12"/>
  <c r="B14" i="11"/>
  <c r="B13" i="11"/>
  <c r="B12" i="11"/>
  <c r="B11" i="11"/>
  <c r="B10" i="11"/>
  <c r="B9" i="11"/>
  <c r="B8" i="11"/>
  <c r="B7" i="11"/>
  <c r="B6" i="11"/>
  <c r="B5" i="11"/>
  <c r="B4" i="11"/>
  <c r="B3" i="11"/>
  <c r="F15" i="17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F15" i="12"/>
  <c r="E15" i="12"/>
  <c r="D15" i="12"/>
  <c r="C15" i="12"/>
  <c r="F15" i="11"/>
  <c r="E15" i="11"/>
  <c r="D15" i="11"/>
  <c r="C15" i="11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0" l="1"/>
  <c r="B15" i="16"/>
  <c r="B15" i="11"/>
  <c r="B15" i="12"/>
  <c r="B15" i="13"/>
  <c r="B15" i="14"/>
  <c r="B15" i="15"/>
  <c r="B15" i="17"/>
  <c r="F15" i="9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B14" i="6"/>
  <c r="B13" i="6"/>
  <c r="B12" i="6"/>
  <c r="B11" i="6"/>
  <c r="B10" i="6"/>
  <c r="B9" i="6"/>
  <c r="B8" i="6"/>
  <c r="B7" i="6"/>
  <c r="B6" i="6"/>
  <c r="B5" i="6"/>
  <c r="B4" i="6"/>
  <c r="B3" i="6"/>
  <c r="B14" i="5"/>
  <c r="B13" i="5"/>
  <c r="B12" i="5"/>
  <c r="B11" i="5"/>
  <c r="B10" i="5"/>
  <c r="B9" i="5"/>
  <c r="B8" i="5"/>
  <c r="B7" i="5"/>
  <c r="B6" i="5"/>
  <c r="B5" i="5"/>
  <c r="B4" i="5"/>
  <c r="B3" i="5"/>
  <c r="B14" i="4"/>
  <c r="B13" i="4"/>
  <c r="B12" i="4"/>
  <c r="B11" i="4"/>
  <c r="B10" i="4"/>
  <c r="B9" i="4"/>
  <c r="B8" i="4"/>
  <c r="B7" i="4"/>
  <c r="B6" i="4"/>
  <c r="B5" i="4"/>
  <c r="B4" i="4"/>
  <c r="B3" i="4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F15" i="6"/>
  <c r="E15" i="6"/>
  <c r="D15" i="6"/>
  <c r="C15" i="6"/>
  <c r="F15" i="5"/>
  <c r="E15" i="5"/>
  <c r="D15" i="5"/>
  <c r="C15" i="5"/>
  <c r="F15" i="4"/>
  <c r="E15" i="4"/>
  <c r="D15" i="4"/>
  <c r="C15" i="4"/>
  <c r="F15" i="3"/>
  <c r="E15" i="3"/>
  <c r="D15" i="3"/>
  <c r="C15" i="3"/>
  <c r="D15" i="1"/>
  <c r="C15" i="1"/>
  <c r="B14" i="1"/>
  <c r="B13" i="1"/>
  <c r="B12" i="1"/>
  <c r="B11" i="1"/>
  <c r="B10" i="1"/>
  <c r="B9" i="1"/>
  <c r="B8" i="1"/>
  <c r="B7" i="1"/>
  <c r="B6" i="1"/>
  <c r="B5" i="1"/>
  <c r="B4" i="1"/>
  <c r="B3" i="1"/>
  <c r="D15" i="2"/>
  <c r="C15" i="2"/>
  <c r="F15" i="2"/>
  <c r="E15" i="2"/>
  <c r="F15" i="1"/>
  <c r="E15" i="1"/>
  <c r="B15" i="1" l="1"/>
  <c r="B15" i="9"/>
  <c r="B15" i="8"/>
  <c r="B15" i="7"/>
  <c r="B15" i="6"/>
  <c r="B15" i="5"/>
  <c r="B15" i="4"/>
  <c r="B15" i="3"/>
  <c r="B15" i="2"/>
</calcChain>
</file>

<file path=xl/sharedStrings.xml><?xml version="1.0" encoding="utf-8"?>
<sst xmlns="http://schemas.openxmlformats.org/spreadsheetml/2006/main" count="306" uniqueCount="18">
  <si>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</si>
  <si>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</si>
  <si>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</si>
  <si>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</si>
  <si>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</si>
  <si>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</si>
  <si>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</si>
  <si>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</si>
  <si>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</si>
  <si>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</si>
  <si>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</si>
  <si>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</si>
  <si>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무역수지(달러)</t>
    <phoneticPr fontId="1" type="noConversion"/>
  </si>
  <si>
    <t>총계</t>
    <phoneticPr fontId="1" type="noConversion"/>
  </si>
  <si>
    <t>수입액(달러)</t>
    <phoneticPr fontId="1" type="noConversion"/>
  </si>
  <si>
    <t>수입량(kg)</t>
    <phoneticPr fontId="1" type="noConversion"/>
  </si>
  <si>
    <t>수출량(kg)</t>
    <phoneticPr fontId="1" type="noConversion"/>
  </si>
  <si>
    <t>수출액(달러)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</si>
</sst>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335</v>
      </c>
      <c r="C9" s="2">
        <v>335</v>
      </c>
      <c r="D9" s="2">
        <v>170</v>
      </c>
      <c r="E9" s="2">
        <v>0</v>
      </c>
      <c r="F9" s="2">
        <v>0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335</v>
      </c>
      <c r="C15" s="5">
        <f t="shared" ref="C15:F15" si="1">SUM(C3:C14)</f>
        <v>335</v>
      </c>
      <c r="D15" s="5">
        <f t="shared" si="1"/>
        <v>170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285</v>
      </c>
      <c r="C10" s="2">
        <v>285</v>
      </c>
      <c r="D10" s="2">
        <v>108</v>
      </c>
      <c r="E10" s="2">
        <v>0</v>
      </c>
      <c r="F10" s="2">
        <v>0</v>
      </c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285</v>
      </c>
      <c r="C15" s="5">
        <f t="shared" ref="C15:F15" si="1">SUM(C3:C14)</f>
        <v>285</v>
      </c>
      <c r="D15" s="5">
        <f t="shared" si="1"/>
        <v>108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E3-C3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5" si="0">E4-C4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 t="shared" si="0"/>
        <v>0</v>
      </c>
      <c r="C15" s="5">
        <f t="shared" ref="C15" si="1">SUM(C3:C14)</f>
        <v>0</v>
      </c>
      <c r="D15" s="5">
        <f t="shared" ref="D15" si="2">SUM(D3:D14)</f>
        <v>0</v>
      </c>
      <c r="E15" s="5">
        <f t="shared" ref="E15:F15" si="3">SUM(E3:E14)</f>
        <v>0</v>
      </c>
      <c r="F15" s="5">
        <f t="shared" si="3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904</v>
      </c>
      <c r="C5" s="2">
        <v>904</v>
      </c>
      <c r="D5" s="2">
        <v>396</v>
      </c>
      <c r="E5" s="2">
        <v>0</v>
      </c>
      <c r="F5" s="2">
        <v>0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446</v>
      </c>
      <c r="C9" s="2">
        <v>446</v>
      </c>
      <c r="D9" s="2">
        <v>198</v>
      </c>
      <c r="E9" s="2">
        <v>0</v>
      </c>
      <c r="F9" s="2">
        <v>0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448</v>
      </c>
      <c r="C12" s="2">
        <v>448</v>
      </c>
      <c r="D12" s="2">
        <v>198</v>
      </c>
      <c r="E12" s="2">
        <v>0</v>
      </c>
      <c r="F12" s="2">
        <v>0</v>
      </c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136</v>
      </c>
      <c r="C14" s="2">
        <v>136</v>
      </c>
      <c r="D14" s="2">
        <v>42</v>
      </c>
      <c r="E14" s="2">
        <v>0</v>
      </c>
      <c r="F14" s="2">
        <v>0</v>
      </c>
    </row>
    <row r="15" spans="1:6" ht="17.25" thickBot="1" x14ac:dyDescent="0.35">
      <c r="A15" s="4" t="s">
        <v>13</v>
      </c>
      <c r="B15" s="5">
        <f>SUM(B3:B14)</f>
        <v>1934</v>
      </c>
      <c r="C15" s="5">
        <f t="shared" ref="C15:F15" si="1">SUM(C3:C14)</f>
        <v>1934</v>
      </c>
      <c r="D15" s="5">
        <f t="shared" si="1"/>
        <v>834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345</v>
      </c>
      <c r="C4" s="2">
        <v>345</v>
      </c>
      <c r="D4" s="2">
        <v>162</v>
      </c>
      <c r="E4" s="2">
        <v>0</v>
      </c>
      <c r="F4" s="2">
        <v>0</v>
      </c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340</v>
      </c>
      <c r="C9" s="2">
        <v>340</v>
      </c>
      <c r="D9" s="2">
        <v>108</v>
      </c>
      <c r="E9" s="2">
        <v>0</v>
      </c>
      <c r="F9" s="2">
        <v>0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760</v>
      </c>
      <c r="C11" s="2">
        <v>760</v>
      </c>
      <c r="D11" s="2">
        <v>228</v>
      </c>
      <c r="E11" s="2">
        <v>0</v>
      </c>
      <c r="F11" s="2">
        <v>0</v>
      </c>
    </row>
    <row r="12" spans="1:6" x14ac:dyDescent="0.3">
      <c r="A12" s="1" t="s">
        <v>9</v>
      </c>
      <c r="B12" s="2">
        <f t="shared" si="0"/>
        <v>561</v>
      </c>
      <c r="C12" s="2">
        <v>561</v>
      </c>
      <c r="D12" s="2">
        <v>114</v>
      </c>
      <c r="E12" s="2">
        <v>0</v>
      </c>
      <c r="F12" s="2">
        <v>0</v>
      </c>
    </row>
    <row r="13" spans="1:6" x14ac:dyDescent="0.3">
      <c r="A13" s="1" t="s">
        <v>10</v>
      </c>
      <c r="B13" s="2">
        <f t="shared" si="0"/>
        <v>210</v>
      </c>
      <c r="C13" s="2">
        <v>210</v>
      </c>
      <c r="D13" s="2">
        <v>60</v>
      </c>
      <c r="E13" s="2">
        <v>0</v>
      </c>
      <c r="F13" s="2">
        <v>0</v>
      </c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2216</v>
      </c>
      <c r="C15" s="5">
        <f t="shared" ref="C15:F15" si="1">SUM(C3:C14)</f>
        <v>2216</v>
      </c>
      <c r="D15" s="5">
        <f t="shared" si="1"/>
        <v>672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209</v>
      </c>
      <c r="C3" s="2">
        <v>209</v>
      </c>
      <c r="D3" s="2">
        <v>60</v>
      </c>
      <c r="E3" s="2">
        <v>0</v>
      </c>
      <c r="F3" s="2">
        <v>0</v>
      </c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380</v>
      </c>
      <c r="C5" s="2">
        <v>380</v>
      </c>
      <c r="D5" s="2">
        <v>108</v>
      </c>
      <c r="E5" s="2">
        <v>0</v>
      </c>
      <c r="F5" s="2">
        <v>0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589</v>
      </c>
      <c r="C15" s="5">
        <f t="shared" ref="C15:F15" si="1">SUM(C3:C14)</f>
        <v>589</v>
      </c>
      <c r="D15" s="5">
        <f t="shared" si="1"/>
        <v>168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2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-14</v>
      </c>
      <c r="C13" s="2">
        <v>0</v>
      </c>
      <c r="D13" s="2">
        <v>0</v>
      </c>
      <c r="E13" s="2">
        <v>14</v>
      </c>
      <c r="F13" s="2">
        <v>1</v>
      </c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-14</v>
      </c>
      <c r="C15" s="5">
        <f t="shared" ref="C15:F15" si="1">SUM(C3:C14)</f>
        <v>0</v>
      </c>
      <c r="D15" s="5">
        <f t="shared" si="1"/>
        <v>0</v>
      </c>
      <c r="E15" s="5">
        <f t="shared" si="1"/>
        <v>14</v>
      </c>
      <c r="F15" s="5">
        <f t="shared" si="1"/>
        <v>1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2026-05-27T05:29:32Z</dcterms:created>
  <dcterms:modified xsi:type="dcterms:W3CDTF">2026-08-31T09:35:20Z</dcterms:modified>
</cp:coreProperties>
</file>