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핵유\1513.29(정제유)\.101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B15" i="1" l="1"/>
  <c r="B14" i="15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<sst xmlns="http://schemas.openxmlformats.org/spreadsheetml/2006/main" count="306" uniqueCount="18">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</sst>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-25</v>
      </c>
      <c r="C13" s="2">
        <v>0</v>
      </c>
      <c r="D13" s="2">
        <v>0</v>
      </c>
      <c r="E13" s="2">
        <v>25</v>
      </c>
      <c r="F13" s="2">
        <v>9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-25</v>
      </c>
      <c r="C15" s="5">
        <f t="shared" ref="C15:F15" si="1">SUM(C3:C14)</f>
        <v>0</v>
      </c>
      <c r="D15" s="5">
        <f t="shared" si="1"/>
        <v>0</v>
      </c>
      <c r="E15" s="5">
        <f t="shared" si="1"/>
        <v>25</v>
      </c>
      <c r="F15" s="5">
        <f t="shared" si="1"/>
        <v>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-1978</v>
      </c>
      <c r="C5" s="2">
        <v>0</v>
      </c>
      <c r="D5" s="2">
        <v>0</v>
      </c>
      <c r="E5" s="2">
        <v>1978</v>
      </c>
      <c r="F5" s="2">
        <v>105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-19</v>
      </c>
      <c r="C13" s="2">
        <v>0</v>
      </c>
      <c r="D13" s="2">
        <v>0</v>
      </c>
      <c r="E13" s="2">
        <v>19</v>
      </c>
      <c r="F13" s="2">
        <v>5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-1997</v>
      </c>
      <c r="C15" s="5">
        <f t="shared" ref="C15:F15" si="1">SUM(C3:C14)</f>
        <v>0</v>
      </c>
      <c r="D15" s="5">
        <f t="shared" si="1"/>
        <v>0</v>
      </c>
      <c r="E15" s="5">
        <f t="shared" si="1"/>
        <v>1997</v>
      </c>
      <c r="F15" s="5">
        <f t="shared" si="1"/>
        <v>110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-13</v>
      </c>
      <c r="C4" s="2">
        <v>0</v>
      </c>
      <c r="D4" s="2">
        <v>0</v>
      </c>
      <c r="E4" s="2">
        <v>13</v>
      </c>
      <c r="F4" s="2">
        <v>1</v>
      </c>
    </row>
    <row r="5" spans="1:6" x14ac:dyDescent="0.3">
      <c r="A5" s="1" t="s">
        <v>2</v>
      </c>
      <c r="B5" s="2">
        <f t="shared" si="0"/>
        <v>-13</v>
      </c>
      <c r="C5" s="2">
        <v>0</v>
      </c>
      <c r="D5" s="2">
        <v>0</v>
      </c>
      <c r="E5" s="2">
        <v>13</v>
      </c>
      <c r="F5" s="2">
        <v>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-11</v>
      </c>
      <c r="C11" s="2">
        <v>0</v>
      </c>
      <c r="D11" s="2">
        <v>0</v>
      </c>
      <c r="E11" s="2">
        <v>11</v>
      </c>
      <c r="F11" s="2">
        <v>1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-50810</v>
      </c>
      <c r="C13" s="2">
        <v>0</v>
      </c>
      <c r="D13" s="2">
        <v>0</v>
      </c>
      <c r="E13" s="2">
        <v>50810</v>
      </c>
      <c r="F13" s="2">
        <v>42185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-50847</v>
      </c>
      <c r="C15" s="5">
        <f t="shared" ref="C15:F15" si="1">SUM(C3:C14)</f>
        <v>0</v>
      </c>
      <c r="D15" s="5">
        <f t="shared" si="1"/>
        <v>0</v>
      </c>
      <c r="E15" s="5">
        <f t="shared" si="1"/>
        <v>50847</v>
      </c>
      <c r="F15" s="5">
        <f t="shared" si="1"/>
        <v>42188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-1901</v>
      </c>
      <c r="C5" s="2">
        <v>0</v>
      </c>
      <c r="D5" s="2">
        <v>0</v>
      </c>
      <c r="E5" s="2">
        <v>1901</v>
      </c>
      <c r="F5" s="2">
        <v>1110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-18630</v>
      </c>
      <c r="C7" s="2">
        <v>0</v>
      </c>
      <c r="D7" s="2">
        <v>0</v>
      </c>
      <c r="E7" s="2">
        <v>18630</v>
      </c>
      <c r="F7" s="2">
        <v>21000</v>
      </c>
    </row>
    <row r="8" spans="1:6" x14ac:dyDescent="0.3">
      <c r="A8" s="1" t="s">
        <v>5</v>
      </c>
      <c r="B8" s="2">
        <f t="shared" si="0"/>
        <v>-41281</v>
      </c>
      <c r="C8" s="2">
        <v>0</v>
      </c>
      <c r="D8" s="2">
        <v>0</v>
      </c>
      <c r="E8" s="2">
        <v>41281</v>
      </c>
      <c r="F8" s="2">
        <v>42340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-190000</v>
      </c>
      <c r="C10" s="2">
        <v>0</v>
      </c>
      <c r="D10" s="2">
        <v>0</v>
      </c>
      <c r="E10" s="2">
        <v>190000</v>
      </c>
      <c r="F10" s="2">
        <v>200000</v>
      </c>
    </row>
    <row r="11" spans="1:6" x14ac:dyDescent="0.3">
      <c r="A11" s="1" t="s">
        <v>8</v>
      </c>
      <c r="B11" s="2">
        <f t="shared" si="0"/>
        <v>-90</v>
      </c>
      <c r="C11" s="2">
        <v>0</v>
      </c>
      <c r="D11" s="2">
        <v>0</v>
      </c>
      <c r="E11" s="2">
        <v>90</v>
      </c>
      <c r="F11" s="2">
        <v>34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-251902</v>
      </c>
      <c r="C15" s="5">
        <f t="shared" ref="C15:F15" si="1">SUM(C3:C14)</f>
        <v>0</v>
      </c>
      <c r="D15" s="5">
        <f t="shared" si="1"/>
        <v>0</v>
      </c>
      <c r="E15" s="5">
        <f t="shared" si="1"/>
        <v>251902</v>
      </c>
      <c r="F15" s="5">
        <f t="shared" si="1"/>
        <v>264484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-103</v>
      </c>
      <c r="C4" s="2">
        <v>0</v>
      </c>
      <c r="D4" s="2">
        <v>0</v>
      </c>
      <c r="E4" s="2">
        <v>103</v>
      </c>
      <c r="F4" s="2">
        <v>25</v>
      </c>
    </row>
    <row r="5" spans="1:6" x14ac:dyDescent="0.3">
      <c r="A5" s="1" t="s">
        <v>2</v>
      </c>
      <c r="B5" s="2">
        <f t="shared" si="0"/>
        <v>-67</v>
      </c>
      <c r="C5" s="2">
        <v>0</v>
      </c>
      <c r="D5" s="2">
        <v>0</v>
      </c>
      <c r="E5" s="2">
        <v>67</v>
      </c>
      <c r="F5" s="2">
        <v>20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-504088</v>
      </c>
      <c r="C8" s="2">
        <v>0</v>
      </c>
      <c r="D8" s="2">
        <v>0</v>
      </c>
      <c r="E8" s="2">
        <v>504088</v>
      </c>
      <c r="F8" s="2">
        <v>399996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-16</v>
      </c>
      <c r="C12" s="2">
        <v>0</v>
      </c>
      <c r="D12" s="2">
        <v>0</v>
      </c>
      <c r="E12" s="2">
        <v>16</v>
      </c>
      <c r="F12" s="2">
        <v>2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-504274</v>
      </c>
      <c r="C15" s="5">
        <f t="shared" ref="C15:F15" si="1">SUM(C3:C14)</f>
        <v>0</v>
      </c>
      <c r="D15" s="5">
        <f t="shared" si="1"/>
        <v>0</v>
      </c>
      <c r="E15" s="5">
        <f t="shared" si="1"/>
        <v>504274</v>
      </c>
      <c r="F15" s="5">
        <f t="shared" si="1"/>
        <v>400043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-761345</v>
      </c>
      <c r="C5" s="2">
        <v>0</v>
      </c>
      <c r="D5" s="2">
        <v>0</v>
      </c>
      <c r="E5" s="2">
        <v>761345</v>
      </c>
      <c r="F5" s="2">
        <v>699918</v>
      </c>
    </row>
    <row r="6" spans="1:6" x14ac:dyDescent="0.3">
      <c r="A6" s="1" t="s">
        <v>3</v>
      </c>
      <c r="B6" s="2">
        <f t="shared" si="0"/>
        <v>-25978</v>
      </c>
      <c r="C6" s="2">
        <v>0</v>
      </c>
      <c r="D6" s="2">
        <v>0</v>
      </c>
      <c r="E6" s="2">
        <v>25978</v>
      </c>
      <c r="F6" s="2">
        <v>18000</v>
      </c>
    </row>
    <row r="7" spans="1:6" x14ac:dyDescent="0.3">
      <c r="A7" s="1" t="s">
        <v>4</v>
      </c>
      <c r="B7" s="2">
        <f t="shared" si="0"/>
        <v>-762275</v>
      </c>
      <c r="C7" s="2">
        <v>0</v>
      </c>
      <c r="D7" s="2">
        <v>0</v>
      </c>
      <c r="E7" s="2">
        <v>762275</v>
      </c>
      <c r="F7" s="2">
        <v>717897</v>
      </c>
    </row>
    <row r="8" spans="1:6" x14ac:dyDescent="0.3">
      <c r="A8" s="1" t="s">
        <v>5</v>
      </c>
      <c r="B8" s="2">
        <f t="shared" si="0"/>
        <v>-25170</v>
      </c>
      <c r="C8" s="2">
        <v>0</v>
      </c>
      <c r="D8" s="2">
        <v>0</v>
      </c>
      <c r="E8" s="2">
        <v>25170</v>
      </c>
      <c r="F8" s="2">
        <v>18000</v>
      </c>
    </row>
    <row r="9" spans="1:6" x14ac:dyDescent="0.3">
      <c r="A9" s="1" t="s">
        <v>6</v>
      </c>
      <c r="B9" s="2">
        <f t="shared" si="0"/>
        <v>-419409</v>
      </c>
      <c r="C9" s="2">
        <v>0</v>
      </c>
      <c r="D9" s="2">
        <v>0</v>
      </c>
      <c r="E9" s="2">
        <v>419409</v>
      </c>
      <c r="F9" s="2">
        <v>417874</v>
      </c>
    </row>
    <row r="10" spans="1:6" x14ac:dyDescent="0.3">
      <c r="A10" s="1" t="s">
        <v>7</v>
      </c>
      <c r="B10" s="2">
        <f t="shared" si="0"/>
        <v>-540632</v>
      </c>
      <c r="C10" s="2">
        <v>0</v>
      </c>
      <c r="D10" s="2">
        <v>0</v>
      </c>
      <c r="E10" s="2">
        <v>540632</v>
      </c>
      <c r="F10" s="2">
        <v>518000</v>
      </c>
    </row>
    <row r="11" spans="1:6" x14ac:dyDescent="0.3">
      <c r="A11" s="1" t="s">
        <v>8</v>
      </c>
      <c r="B11" s="2">
        <f t="shared" si="0"/>
        <v>-22200</v>
      </c>
      <c r="C11" s="2">
        <v>0</v>
      </c>
      <c r="D11" s="2">
        <v>0</v>
      </c>
      <c r="E11" s="2">
        <v>22200</v>
      </c>
      <c r="F11" s="2">
        <v>18000</v>
      </c>
    </row>
    <row r="12" spans="1:6" x14ac:dyDescent="0.3">
      <c r="A12" s="1" t="s">
        <v>9</v>
      </c>
      <c r="B12" s="2">
        <f t="shared" si="0"/>
        <v>-368689</v>
      </c>
      <c r="C12" s="2">
        <v>0</v>
      </c>
      <c r="D12" s="2">
        <v>0</v>
      </c>
      <c r="E12" s="2">
        <v>368689</v>
      </c>
      <c r="F12" s="2">
        <v>399960</v>
      </c>
    </row>
    <row r="13" spans="1:6" x14ac:dyDescent="0.3">
      <c r="A13" s="1" t="s">
        <v>10</v>
      </c>
      <c r="B13" s="2">
        <f t="shared" si="0"/>
        <v>-19159</v>
      </c>
      <c r="C13" s="2">
        <v>0</v>
      </c>
      <c r="D13" s="2">
        <v>0</v>
      </c>
      <c r="E13" s="2">
        <v>19159</v>
      </c>
      <c r="F13" s="2">
        <v>18004</v>
      </c>
    </row>
    <row r="14" spans="1:6" x14ac:dyDescent="0.3">
      <c r="A14" s="1" t="s">
        <v>11</v>
      </c>
      <c r="B14" s="2">
        <f t="shared" si="0"/>
        <v>-387702</v>
      </c>
      <c r="C14" s="2">
        <v>0</v>
      </c>
      <c r="D14" s="2">
        <v>0</v>
      </c>
      <c r="E14" s="2">
        <v>387702</v>
      </c>
      <c r="F14" s="2">
        <v>417994</v>
      </c>
    </row>
    <row r="15" spans="1:6" ht="17.25" thickBot="1" x14ac:dyDescent="0.35">
      <c r="A15" s="4" t="s">
        <v>13</v>
      </c>
      <c r="B15" s="5">
        <f>SUM(B3:B14)</f>
        <v>-3332559</v>
      </c>
      <c r="C15" s="5">
        <f t="shared" ref="C15:F15" si="1">SUM(C3:C14)</f>
        <v>0</v>
      </c>
      <c r="D15" s="5">
        <f t="shared" si="1"/>
        <v>0</v>
      </c>
      <c r="E15" s="5">
        <f t="shared" si="1"/>
        <v>3332559</v>
      </c>
      <c r="F15" s="5">
        <f t="shared" si="1"/>
        <v>3243647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-22410</v>
      </c>
      <c r="C4" s="2">
        <v>0</v>
      </c>
      <c r="D4" s="2">
        <v>0</v>
      </c>
      <c r="E4" s="2">
        <v>22410</v>
      </c>
      <c r="F4" s="2">
        <v>18000</v>
      </c>
    </row>
    <row r="5" spans="1:6" x14ac:dyDescent="0.3">
      <c r="A5" s="1" t="s">
        <v>2</v>
      </c>
      <c r="B5" s="2">
        <f t="shared" si="0"/>
        <v>-22770</v>
      </c>
      <c r="C5" s="2">
        <v>0</v>
      </c>
      <c r="D5" s="2">
        <v>0</v>
      </c>
      <c r="E5" s="2">
        <v>22770</v>
      </c>
      <c r="F5" s="2">
        <v>18000</v>
      </c>
    </row>
    <row r="6" spans="1:6" x14ac:dyDescent="0.3">
      <c r="A6" s="1" t="s">
        <v>3</v>
      </c>
      <c r="B6" s="2">
        <f t="shared" si="0"/>
        <v>-25380</v>
      </c>
      <c r="C6" s="2">
        <v>0</v>
      </c>
      <c r="D6" s="2">
        <v>0</v>
      </c>
      <c r="E6" s="2">
        <v>25380</v>
      </c>
      <c r="F6" s="2">
        <v>18000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-31680</v>
      </c>
      <c r="C8" s="2">
        <v>0</v>
      </c>
      <c r="D8" s="2">
        <v>0</v>
      </c>
      <c r="E8" s="2">
        <v>31680</v>
      </c>
      <c r="F8" s="2">
        <v>18000</v>
      </c>
    </row>
    <row r="9" spans="1:6" x14ac:dyDescent="0.3">
      <c r="A9" s="1" t="s">
        <v>6</v>
      </c>
      <c r="B9" s="2">
        <f t="shared" si="0"/>
        <v>-555529</v>
      </c>
      <c r="C9" s="2">
        <v>0</v>
      </c>
      <c r="D9" s="2">
        <v>0</v>
      </c>
      <c r="E9" s="2">
        <v>555529</v>
      </c>
      <c r="F9" s="2">
        <v>417899</v>
      </c>
    </row>
    <row r="10" spans="1:6" x14ac:dyDescent="0.3">
      <c r="A10" s="1" t="s">
        <v>7</v>
      </c>
      <c r="B10" s="2">
        <f t="shared" si="0"/>
        <v>-29098</v>
      </c>
      <c r="C10" s="2">
        <v>0</v>
      </c>
      <c r="D10" s="2">
        <v>0</v>
      </c>
      <c r="E10" s="2">
        <v>29098</v>
      </c>
      <c r="F10" s="2">
        <v>18000</v>
      </c>
    </row>
    <row r="11" spans="1:6" x14ac:dyDescent="0.3">
      <c r="A11" s="1" t="s">
        <v>8</v>
      </c>
      <c r="B11" s="2">
        <f t="shared" si="0"/>
        <v>-21</v>
      </c>
      <c r="C11" s="2">
        <v>0</v>
      </c>
      <c r="D11" s="2">
        <v>0</v>
      </c>
      <c r="E11" s="2">
        <v>21</v>
      </c>
      <c r="F11" s="2">
        <v>5</v>
      </c>
    </row>
    <row r="12" spans="1:6" x14ac:dyDescent="0.3">
      <c r="A12" s="1" t="s">
        <v>9</v>
      </c>
      <c r="B12" s="2">
        <f t="shared" si="0"/>
        <v>-715100</v>
      </c>
      <c r="C12" s="2">
        <v>0</v>
      </c>
      <c r="D12" s="2">
        <v>0</v>
      </c>
      <c r="E12" s="2">
        <v>715100</v>
      </c>
      <c r="F12" s="2">
        <v>435863</v>
      </c>
    </row>
    <row r="13" spans="1:6" x14ac:dyDescent="0.3">
      <c r="A13" s="1" t="s">
        <v>10</v>
      </c>
      <c r="B13" s="2">
        <f t="shared" si="0"/>
        <v>-696665</v>
      </c>
      <c r="C13" s="2">
        <v>0</v>
      </c>
      <c r="D13" s="2">
        <v>0</v>
      </c>
      <c r="E13" s="2">
        <v>696665</v>
      </c>
      <c r="F13" s="2">
        <v>435006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-2098653</v>
      </c>
      <c r="C15" s="5">
        <f t="shared" ref="C15:F15" si="1">SUM(C3:C14)</f>
        <v>0</v>
      </c>
      <c r="D15" s="5">
        <f t="shared" si="1"/>
        <v>0</v>
      </c>
      <c r="E15" s="5">
        <f t="shared" si="1"/>
        <v>2098653</v>
      </c>
      <c r="F15" s="5">
        <f t="shared" si="1"/>
        <v>1378773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-740190</v>
      </c>
      <c r="C3" s="2">
        <v>0</v>
      </c>
      <c r="D3" s="2">
        <v>0</v>
      </c>
      <c r="E3" s="2">
        <v>740190</v>
      </c>
      <c r="F3" s="2">
        <v>517874</v>
      </c>
    </row>
    <row r="4" spans="1:6" x14ac:dyDescent="0.3">
      <c r="A4" s="1" t="s">
        <v>1</v>
      </c>
      <c r="B4" s="2">
        <f t="shared" si="0"/>
        <v>-36240</v>
      </c>
      <c r="C4" s="2">
        <v>0</v>
      </c>
      <c r="D4" s="2">
        <v>0</v>
      </c>
      <c r="E4" s="2">
        <v>36240</v>
      </c>
      <c r="F4" s="2">
        <v>18040</v>
      </c>
    </row>
    <row r="5" spans="1:6" x14ac:dyDescent="0.3">
      <c r="A5" s="1" t="s">
        <v>2</v>
      </c>
      <c r="B5" s="2">
        <f t="shared" si="0"/>
        <v>-722877</v>
      </c>
      <c r="C5" s="2">
        <v>0</v>
      </c>
      <c r="D5" s="2">
        <v>0</v>
      </c>
      <c r="E5" s="2">
        <v>722877</v>
      </c>
      <c r="F5" s="2">
        <v>385810</v>
      </c>
    </row>
    <row r="6" spans="1:6" x14ac:dyDescent="0.3">
      <c r="A6" s="1" t="s">
        <v>3</v>
      </c>
      <c r="B6" s="2">
        <f t="shared" si="0"/>
        <v>-703982</v>
      </c>
      <c r="C6" s="2">
        <v>0</v>
      </c>
      <c r="D6" s="2">
        <v>0</v>
      </c>
      <c r="E6" s="2">
        <v>703982</v>
      </c>
      <c r="F6" s="2">
        <v>417998</v>
      </c>
    </row>
    <row r="7" spans="1:6" x14ac:dyDescent="0.3">
      <c r="A7" s="1" t="s">
        <v>4</v>
      </c>
      <c r="B7" s="2">
        <f t="shared" si="0"/>
        <v>-54960</v>
      </c>
      <c r="C7" s="2">
        <v>0</v>
      </c>
      <c r="D7" s="2">
        <v>0</v>
      </c>
      <c r="E7" s="2">
        <v>54960</v>
      </c>
      <c r="F7" s="2">
        <v>36000</v>
      </c>
    </row>
    <row r="8" spans="1:6" x14ac:dyDescent="0.3">
      <c r="A8" s="1" t="s">
        <v>5</v>
      </c>
      <c r="B8" s="2">
        <f t="shared" si="0"/>
        <v>-676689</v>
      </c>
      <c r="C8" s="2">
        <v>0</v>
      </c>
      <c r="D8" s="2">
        <v>0</v>
      </c>
      <c r="E8" s="2">
        <v>676689</v>
      </c>
      <c r="F8" s="2">
        <v>499934</v>
      </c>
    </row>
    <row r="9" spans="1:6" x14ac:dyDescent="0.3">
      <c r="A9" s="1" t="s">
        <v>6</v>
      </c>
      <c r="B9" s="2">
        <f t="shared" si="0"/>
        <v>-25428</v>
      </c>
      <c r="C9" s="2">
        <v>0</v>
      </c>
      <c r="D9" s="2">
        <v>0</v>
      </c>
      <c r="E9" s="2">
        <v>25428</v>
      </c>
      <c r="F9" s="2">
        <v>18005</v>
      </c>
    </row>
    <row r="10" spans="1:6" x14ac:dyDescent="0.3">
      <c r="A10" s="1" t="s">
        <v>7</v>
      </c>
      <c r="B10" s="2">
        <f t="shared" si="0"/>
        <v>-20140</v>
      </c>
      <c r="C10" s="2">
        <v>0</v>
      </c>
      <c r="D10" s="2">
        <v>0</v>
      </c>
      <c r="E10" s="2">
        <v>20140</v>
      </c>
      <c r="F10" s="2">
        <v>15302</v>
      </c>
    </row>
    <row r="11" spans="1:6" x14ac:dyDescent="0.3">
      <c r="A11" s="1" t="s">
        <v>8</v>
      </c>
      <c r="B11" s="2">
        <f t="shared" si="0"/>
        <v>-23252</v>
      </c>
      <c r="C11" s="2">
        <v>0</v>
      </c>
      <c r="D11" s="2">
        <v>0</v>
      </c>
      <c r="E11" s="2">
        <v>23252</v>
      </c>
      <c r="F11" s="2">
        <v>18000</v>
      </c>
    </row>
    <row r="12" spans="1:6" x14ac:dyDescent="0.3">
      <c r="A12" s="1" t="s">
        <v>9</v>
      </c>
      <c r="B12" s="2">
        <f t="shared" si="0"/>
        <v>-703139</v>
      </c>
      <c r="C12" s="2">
        <v>0</v>
      </c>
      <c r="D12" s="2">
        <v>0</v>
      </c>
      <c r="E12" s="2">
        <v>703139</v>
      </c>
      <c r="F12" s="2">
        <v>517881</v>
      </c>
    </row>
    <row r="13" spans="1:6" x14ac:dyDescent="0.3">
      <c r="A13" s="1" t="s">
        <v>10</v>
      </c>
      <c r="B13" s="2">
        <f t="shared" si="0"/>
        <v>-47473</v>
      </c>
      <c r="C13" s="2">
        <v>0</v>
      </c>
      <c r="D13" s="2">
        <v>0</v>
      </c>
      <c r="E13" s="2">
        <v>47473</v>
      </c>
      <c r="F13" s="2">
        <v>27000</v>
      </c>
    </row>
    <row r="14" spans="1:6" x14ac:dyDescent="0.3">
      <c r="A14" s="1" t="s">
        <v>11</v>
      </c>
      <c r="B14" s="2">
        <f t="shared" si="0"/>
        <v>-61841</v>
      </c>
      <c r="C14" s="2">
        <v>0</v>
      </c>
      <c r="D14" s="2">
        <v>0</v>
      </c>
      <c r="E14" s="2">
        <v>61841</v>
      </c>
      <c r="F14" s="2">
        <v>36000</v>
      </c>
    </row>
    <row r="15" spans="1:6" ht="17.25" thickBot="1" x14ac:dyDescent="0.35">
      <c r="A15" s="4" t="s">
        <v>13</v>
      </c>
      <c r="B15" s="5">
        <f>SUM(B3:B14)</f>
        <v>-3816211</v>
      </c>
      <c r="C15" s="5">
        <f t="shared" ref="C15:F15" si="1">SUM(C3:C14)</f>
        <v>0</v>
      </c>
      <c r="D15" s="5">
        <f t="shared" si="1"/>
        <v>0</v>
      </c>
      <c r="E15" s="5">
        <f t="shared" si="1"/>
        <v>3816211</v>
      </c>
      <c r="F15" s="5">
        <f t="shared" si="1"/>
        <v>2507844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-631149</v>
      </c>
      <c r="C3" s="2">
        <v>0</v>
      </c>
      <c r="D3" s="2">
        <v>0</v>
      </c>
      <c r="E3" s="2">
        <v>631149</v>
      </c>
      <c r="F3" s="2">
        <v>417897</v>
      </c>
    </row>
    <row r="4" spans="1:6" x14ac:dyDescent="0.3">
      <c r="A4" s="1" t="s">
        <v>1</v>
      </c>
      <c r="B4" s="2">
        <f t="shared" ref="B4:B14" si="0">C4-E4</f>
        <v>-31618</v>
      </c>
      <c r="C4" s="2">
        <v>0</v>
      </c>
      <c r="D4" s="2">
        <v>0</v>
      </c>
      <c r="E4" s="2">
        <v>31618</v>
      </c>
      <c r="F4" s="2">
        <v>18000</v>
      </c>
    </row>
    <row r="5" spans="1:6" x14ac:dyDescent="0.3">
      <c r="A5" s="1" t="s">
        <v>2</v>
      </c>
      <c r="B5" s="2">
        <f t="shared" si="0"/>
        <v>-726554</v>
      </c>
      <c r="C5" s="2">
        <v>0</v>
      </c>
      <c r="D5" s="2">
        <v>0</v>
      </c>
      <c r="E5" s="2">
        <v>726554</v>
      </c>
      <c r="F5" s="2">
        <v>517895</v>
      </c>
    </row>
    <row r="6" spans="1:6" x14ac:dyDescent="0.3">
      <c r="A6" s="1" t="s">
        <v>3</v>
      </c>
      <c r="B6" s="2">
        <f t="shared" si="0"/>
        <v>-692244</v>
      </c>
      <c r="C6" s="2">
        <v>0</v>
      </c>
      <c r="D6" s="2">
        <v>0</v>
      </c>
      <c r="E6" s="2">
        <v>692244</v>
      </c>
      <c r="F6" s="2">
        <v>535886</v>
      </c>
    </row>
    <row r="7" spans="1:6" x14ac:dyDescent="0.3">
      <c r="A7" s="1" t="s">
        <v>4</v>
      </c>
      <c r="B7" s="2">
        <f t="shared" si="0"/>
        <v>-26402</v>
      </c>
      <c r="C7" s="2">
        <v>0</v>
      </c>
      <c r="D7" s="2">
        <v>0</v>
      </c>
      <c r="E7" s="2">
        <v>26402</v>
      </c>
      <c r="F7" s="2">
        <v>18000</v>
      </c>
    </row>
    <row r="8" spans="1:6" x14ac:dyDescent="0.3">
      <c r="A8" s="1" t="s">
        <v>5</v>
      </c>
      <c r="B8" s="2">
        <f t="shared" si="0"/>
        <v>-459702</v>
      </c>
      <c r="C8" s="2">
        <v>0</v>
      </c>
      <c r="D8" s="2">
        <v>0</v>
      </c>
      <c r="E8" s="2">
        <v>459702</v>
      </c>
      <c r="F8" s="2">
        <v>417983</v>
      </c>
    </row>
    <row r="9" spans="1:6" x14ac:dyDescent="0.3">
      <c r="A9" s="1" t="s">
        <v>6</v>
      </c>
      <c r="B9" s="2">
        <f t="shared" si="0"/>
        <v>-75090</v>
      </c>
      <c r="C9" s="2">
        <v>0</v>
      </c>
      <c r="D9" s="2">
        <v>0</v>
      </c>
      <c r="E9" s="2">
        <v>75090</v>
      </c>
      <c r="F9" s="2">
        <v>54002</v>
      </c>
    </row>
    <row r="10" spans="1:6" x14ac:dyDescent="0.3">
      <c r="A10" s="1" t="s">
        <v>7</v>
      </c>
      <c r="B10" s="2">
        <f t="shared" si="0"/>
        <v>-23340</v>
      </c>
      <c r="C10" s="2">
        <v>0</v>
      </c>
      <c r="D10" s="2">
        <v>0</v>
      </c>
      <c r="E10" s="2">
        <v>23340</v>
      </c>
      <c r="F10" s="2">
        <v>18000</v>
      </c>
    </row>
    <row r="11" spans="1:6" x14ac:dyDescent="0.3">
      <c r="A11" s="1" t="s">
        <v>8</v>
      </c>
      <c r="B11" s="2">
        <f t="shared" si="0"/>
        <v>-817819</v>
      </c>
      <c r="C11" s="2">
        <v>0</v>
      </c>
      <c r="D11" s="2">
        <v>0</v>
      </c>
      <c r="E11" s="2">
        <v>817819</v>
      </c>
      <c r="F11" s="2">
        <v>817964</v>
      </c>
    </row>
    <row r="12" spans="1:6" x14ac:dyDescent="0.3">
      <c r="A12" s="1" t="s">
        <v>9</v>
      </c>
      <c r="B12" s="2">
        <f t="shared" si="0"/>
        <v>-47395</v>
      </c>
      <c r="C12" s="2">
        <v>0</v>
      </c>
      <c r="D12" s="2">
        <v>0</v>
      </c>
      <c r="E12" s="2">
        <v>47395</v>
      </c>
      <c r="F12" s="2">
        <v>36000</v>
      </c>
    </row>
    <row r="13" spans="1:6" x14ac:dyDescent="0.3">
      <c r="A13" s="1" t="s">
        <v>10</v>
      </c>
      <c r="B13" s="2">
        <f t="shared" si="0"/>
        <v>-563695</v>
      </c>
      <c r="C13" s="2">
        <v>0</v>
      </c>
      <c r="D13" s="2">
        <v>0</v>
      </c>
      <c r="E13" s="2">
        <v>563695</v>
      </c>
      <c r="F13" s="2">
        <v>617951</v>
      </c>
    </row>
    <row r="14" spans="1:6" x14ac:dyDescent="0.3">
      <c r="A14" s="1" t="s">
        <v>11</v>
      </c>
      <c r="B14" s="2">
        <f t="shared" si="0"/>
        <v>-510876</v>
      </c>
      <c r="C14" s="2">
        <v>0</v>
      </c>
      <c r="D14" s="2">
        <v>0</v>
      </c>
      <c r="E14" s="2">
        <v>510876</v>
      </c>
      <c r="F14" s="2">
        <v>635916</v>
      </c>
    </row>
    <row r="15" spans="1:6" ht="17.25" thickBot="1" x14ac:dyDescent="0.35">
      <c r="A15" s="4" t="s">
        <v>13</v>
      </c>
      <c r="B15" s="5">
        <f>SUM(B3:B14)</f>
        <v>-4605884</v>
      </c>
      <c r="C15" s="5">
        <f t="shared" ref="C15:F15" si="1">SUM(C3:C14)</f>
        <v>0</v>
      </c>
      <c r="D15" s="5">
        <f t="shared" si="1"/>
        <v>0</v>
      </c>
      <c r="E15" s="5">
        <f t="shared" si="1"/>
        <v>4605884</v>
      </c>
      <c r="F15" s="5">
        <f t="shared" si="1"/>
        <v>4105494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-20639</v>
      </c>
      <c r="C3" s="2">
        <v>0</v>
      </c>
      <c r="D3" s="2">
        <v>0</v>
      </c>
      <c r="E3" s="2">
        <v>20639</v>
      </c>
      <c r="F3" s="2">
        <v>18000</v>
      </c>
    </row>
    <row r="4" spans="1:6" x14ac:dyDescent="0.3">
      <c r="A4" s="1" t="s">
        <v>1</v>
      </c>
      <c r="B4" s="2">
        <f t="shared" si="0"/>
        <v>-42900</v>
      </c>
      <c r="C4" s="2">
        <v>0</v>
      </c>
      <c r="D4" s="2">
        <v>0</v>
      </c>
      <c r="E4" s="2">
        <v>42900</v>
      </c>
      <c r="F4" s="2">
        <v>36000</v>
      </c>
    </row>
    <row r="5" spans="1:6" x14ac:dyDescent="0.3">
      <c r="A5" s="1" t="s">
        <v>2</v>
      </c>
      <c r="B5" s="2">
        <f t="shared" si="0"/>
        <v>-523819</v>
      </c>
      <c r="C5" s="2">
        <v>0</v>
      </c>
      <c r="D5" s="2">
        <v>0</v>
      </c>
      <c r="E5" s="2">
        <v>523819</v>
      </c>
      <c r="F5" s="2">
        <v>617893</v>
      </c>
    </row>
    <row r="6" spans="1:6" x14ac:dyDescent="0.3">
      <c r="A6" s="1" t="s">
        <v>3</v>
      </c>
      <c r="B6" s="2">
        <f t="shared" si="0"/>
        <v>-478176</v>
      </c>
      <c r="C6" s="2">
        <v>0</v>
      </c>
      <c r="D6" s="2">
        <v>0</v>
      </c>
      <c r="E6" s="2">
        <v>478176</v>
      </c>
      <c r="F6" s="2">
        <v>641876</v>
      </c>
    </row>
    <row r="7" spans="1:6" x14ac:dyDescent="0.3">
      <c r="A7" s="1" t="s">
        <v>4</v>
      </c>
      <c r="B7" s="2">
        <f t="shared" si="0"/>
        <v>-304938</v>
      </c>
      <c r="C7" s="2">
        <v>0</v>
      </c>
      <c r="D7" s="2">
        <v>0</v>
      </c>
      <c r="E7" s="2">
        <v>304938</v>
      </c>
      <c r="F7" s="2">
        <v>420890</v>
      </c>
    </row>
    <row r="8" spans="1:6" x14ac:dyDescent="0.3">
      <c r="A8" s="1" t="s">
        <v>5</v>
      </c>
      <c r="B8" s="2">
        <f t="shared" si="0"/>
        <v>-283288</v>
      </c>
      <c r="C8" s="2">
        <v>0</v>
      </c>
      <c r="D8" s="2">
        <v>0</v>
      </c>
      <c r="E8" s="2">
        <v>283288</v>
      </c>
      <c r="F8" s="2">
        <v>420910</v>
      </c>
    </row>
    <row r="9" spans="1:6" x14ac:dyDescent="0.3">
      <c r="A9" s="1" t="s">
        <v>6</v>
      </c>
      <c r="B9" s="2">
        <f t="shared" si="0"/>
        <v>-346906</v>
      </c>
      <c r="C9" s="2">
        <v>0</v>
      </c>
      <c r="D9" s="2">
        <v>0</v>
      </c>
      <c r="E9" s="2">
        <v>346906</v>
      </c>
      <c r="F9" s="2">
        <v>520870</v>
      </c>
    </row>
    <row r="10" spans="1:6" x14ac:dyDescent="0.3">
      <c r="A10" s="1" t="s">
        <v>7</v>
      </c>
      <c r="B10" s="2">
        <f t="shared" si="0"/>
        <v>-268077</v>
      </c>
      <c r="C10" s="2">
        <v>0</v>
      </c>
      <c r="D10" s="2">
        <v>0</v>
      </c>
      <c r="E10" s="2">
        <v>268077</v>
      </c>
      <c r="F10" s="2">
        <v>420883</v>
      </c>
    </row>
    <row r="11" spans="1:6" x14ac:dyDescent="0.3">
      <c r="A11" s="1" t="s">
        <v>8</v>
      </c>
      <c r="B11" s="2">
        <f t="shared" si="0"/>
        <v>-18900</v>
      </c>
      <c r="C11" s="2">
        <v>0</v>
      </c>
      <c r="D11" s="2">
        <v>0</v>
      </c>
      <c r="E11" s="2">
        <v>18900</v>
      </c>
      <c r="F11" s="2">
        <v>21000</v>
      </c>
    </row>
    <row r="12" spans="1:6" x14ac:dyDescent="0.3">
      <c r="A12" s="1" t="s">
        <v>9</v>
      </c>
      <c r="B12" s="2">
        <f t="shared" si="0"/>
        <v>-18480</v>
      </c>
      <c r="C12" s="2">
        <v>0</v>
      </c>
      <c r="D12" s="2">
        <v>0</v>
      </c>
      <c r="E12" s="2">
        <v>18480</v>
      </c>
      <c r="F12" s="2">
        <v>21000</v>
      </c>
    </row>
    <row r="13" spans="1:6" x14ac:dyDescent="0.3">
      <c r="A13" s="1" t="s">
        <v>10</v>
      </c>
      <c r="B13" s="2">
        <f t="shared" si="0"/>
        <v>-39420</v>
      </c>
      <c r="C13" s="2">
        <v>0</v>
      </c>
      <c r="D13" s="2">
        <v>0</v>
      </c>
      <c r="E13" s="2">
        <v>39420</v>
      </c>
      <c r="F13" s="2">
        <v>42000</v>
      </c>
    </row>
    <row r="14" spans="1:6" x14ac:dyDescent="0.3">
      <c r="A14" s="1" t="s">
        <v>11</v>
      </c>
      <c r="B14" s="2">
        <f t="shared" si="0"/>
        <v>-734581</v>
      </c>
      <c r="C14" s="2">
        <v>0</v>
      </c>
      <c r="D14" s="2">
        <v>0</v>
      </c>
      <c r="E14" s="2">
        <v>734581</v>
      </c>
      <c r="F14" s="2">
        <v>1020915</v>
      </c>
    </row>
    <row r="15" spans="1:6" ht="17.25" thickBot="1" x14ac:dyDescent="0.35">
      <c r="A15" s="4" t="s">
        <v>13</v>
      </c>
      <c r="B15" s="5">
        <f>SUM(B3:B14)</f>
        <v>-3080124</v>
      </c>
      <c r="C15" s="5">
        <f t="shared" ref="C15:F15" si="1">SUM(C3:C14)</f>
        <v>0</v>
      </c>
      <c r="D15" s="5">
        <f t="shared" si="1"/>
        <v>0</v>
      </c>
      <c r="E15" s="5">
        <f t="shared" si="1"/>
        <v>3080124</v>
      </c>
      <c r="F15" s="5">
        <f t="shared" si="1"/>
        <v>4202237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-541494</v>
      </c>
      <c r="C3" s="2">
        <v>0</v>
      </c>
      <c r="D3" s="2">
        <v>0</v>
      </c>
      <c r="E3" s="2">
        <v>541494</v>
      </c>
      <c r="F3" s="2">
        <v>620890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-643968</v>
      </c>
      <c r="C5" s="2">
        <v>0</v>
      </c>
      <c r="D5" s="2">
        <v>0</v>
      </c>
      <c r="E5" s="2">
        <v>643968</v>
      </c>
      <c r="F5" s="2">
        <v>599873</v>
      </c>
    </row>
    <row r="6" spans="1:6" x14ac:dyDescent="0.3">
      <c r="A6" s="1" t="s">
        <v>3</v>
      </c>
      <c r="B6" s="2">
        <f t="shared" si="0"/>
        <v>-824572</v>
      </c>
      <c r="C6" s="2">
        <v>0</v>
      </c>
      <c r="D6" s="2">
        <v>0</v>
      </c>
      <c r="E6" s="2">
        <v>824572</v>
      </c>
      <c r="F6" s="2">
        <v>920913</v>
      </c>
    </row>
    <row r="7" spans="1:6" x14ac:dyDescent="0.3">
      <c r="A7" s="1" t="s">
        <v>4</v>
      </c>
      <c r="B7" s="2">
        <f t="shared" si="0"/>
        <v>-23460</v>
      </c>
      <c r="C7" s="2">
        <v>0</v>
      </c>
      <c r="D7" s="2">
        <v>0</v>
      </c>
      <c r="E7" s="2">
        <v>23460</v>
      </c>
      <c r="F7" s="2">
        <v>21000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-310356</v>
      </c>
      <c r="C9" s="2">
        <v>0</v>
      </c>
      <c r="D9" s="2">
        <v>0</v>
      </c>
      <c r="E9" s="2">
        <v>310356</v>
      </c>
      <c r="F9" s="2">
        <v>399906</v>
      </c>
    </row>
    <row r="10" spans="1:6" x14ac:dyDescent="0.3">
      <c r="A10" s="1" t="s">
        <v>7</v>
      </c>
      <c r="B10" s="2">
        <f t="shared" si="0"/>
        <v>-23460</v>
      </c>
      <c r="C10" s="2">
        <v>0</v>
      </c>
      <c r="D10" s="2">
        <v>0</v>
      </c>
      <c r="E10" s="2">
        <v>23460</v>
      </c>
      <c r="F10" s="2">
        <v>21000</v>
      </c>
    </row>
    <row r="11" spans="1:6" x14ac:dyDescent="0.3">
      <c r="A11" s="1" t="s">
        <v>8</v>
      </c>
      <c r="B11" s="2">
        <f t="shared" si="0"/>
        <v>-157022</v>
      </c>
      <c r="C11" s="2">
        <v>0</v>
      </c>
      <c r="D11" s="2">
        <v>0</v>
      </c>
      <c r="E11" s="2">
        <v>157022</v>
      </c>
      <c r="F11" s="2">
        <v>220921</v>
      </c>
    </row>
    <row r="12" spans="1:6" x14ac:dyDescent="0.3">
      <c r="A12" s="1" t="s">
        <v>9</v>
      </c>
      <c r="B12" s="2">
        <f t="shared" si="0"/>
        <v>-381547</v>
      </c>
      <c r="C12" s="2">
        <v>0</v>
      </c>
      <c r="D12" s="2">
        <v>0</v>
      </c>
      <c r="E12" s="2">
        <v>381547</v>
      </c>
      <c r="F12" s="2">
        <v>499926</v>
      </c>
    </row>
    <row r="13" spans="1:6" x14ac:dyDescent="0.3">
      <c r="A13" s="1" t="s">
        <v>10</v>
      </c>
      <c r="B13" s="2">
        <f t="shared" si="0"/>
        <v>-346585</v>
      </c>
      <c r="C13" s="2">
        <v>0</v>
      </c>
      <c r="D13" s="2">
        <v>0</v>
      </c>
      <c r="E13" s="2">
        <v>346585</v>
      </c>
      <c r="F13" s="2">
        <v>420928</v>
      </c>
    </row>
    <row r="14" spans="1:6" x14ac:dyDescent="0.3">
      <c r="A14" s="1" t="s">
        <v>11</v>
      </c>
      <c r="B14" s="2">
        <f t="shared" si="0"/>
        <v>-481707</v>
      </c>
      <c r="C14" s="2">
        <v>0</v>
      </c>
      <c r="D14" s="2">
        <v>0</v>
      </c>
      <c r="E14" s="2">
        <v>481707</v>
      </c>
      <c r="F14" s="2">
        <v>541963</v>
      </c>
    </row>
    <row r="15" spans="1:6" ht="17.25" thickBot="1" x14ac:dyDescent="0.35">
      <c r="A15" s="4" t="s">
        <v>13</v>
      </c>
      <c r="B15" s="5">
        <f>SUM(B3:B14)</f>
        <v>-3734171</v>
      </c>
      <c r="C15" s="5">
        <f t="shared" ref="C15:F15" si="1">SUM(C3:C14)</f>
        <v>0</v>
      </c>
      <c r="D15" s="5">
        <f t="shared" si="1"/>
        <v>0</v>
      </c>
      <c r="E15" s="5">
        <f t="shared" si="1"/>
        <v>3734171</v>
      </c>
      <c r="F15" s="5">
        <f t="shared" si="1"/>
        <v>4267320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-371527</v>
      </c>
      <c r="C4" s="2">
        <v>0</v>
      </c>
      <c r="D4" s="2">
        <v>0</v>
      </c>
      <c r="E4" s="2">
        <v>371527</v>
      </c>
      <c r="F4" s="2">
        <v>420886</v>
      </c>
    </row>
    <row r="5" spans="1:6" x14ac:dyDescent="0.3">
      <c r="A5" s="1" t="s">
        <v>2</v>
      </c>
      <c r="B5" s="2">
        <f t="shared" si="0"/>
        <v>-497743</v>
      </c>
      <c r="C5" s="2">
        <v>0</v>
      </c>
      <c r="D5" s="2">
        <v>0</v>
      </c>
      <c r="E5" s="2">
        <v>497743</v>
      </c>
      <c r="F5" s="2">
        <v>420906</v>
      </c>
    </row>
    <row r="6" spans="1:6" x14ac:dyDescent="0.3">
      <c r="A6" s="1" t="s">
        <v>3</v>
      </c>
      <c r="B6" s="2">
        <f t="shared" si="0"/>
        <v>-548000</v>
      </c>
      <c r="C6" s="2">
        <v>0</v>
      </c>
      <c r="D6" s="2">
        <v>0</v>
      </c>
      <c r="E6" s="2">
        <v>548000</v>
      </c>
      <c r="F6" s="2">
        <v>399951</v>
      </c>
    </row>
    <row r="7" spans="1:6" x14ac:dyDescent="0.3">
      <c r="A7" s="1" t="s">
        <v>4</v>
      </c>
      <c r="B7" s="2">
        <f t="shared" si="0"/>
        <v>-582194</v>
      </c>
      <c r="C7" s="2">
        <v>0</v>
      </c>
      <c r="D7" s="2">
        <v>0</v>
      </c>
      <c r="E7" s="2">
        <v>582194</v>
      </c>
      <c r="F7" s="2">
        <v>420942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-654429</v>
      </c>
      <c r="C9" s="2">
        <v>0</v>
      </c>
      <c r="D9" s="2">
        <v>0</v>
      </c>
      <c r="E9" s="2">
        <v>654429</v>
      </c>
      <c r="F9" s="2">
        <v>441973</v>
      </c>
    </row>
    <row r="10" spans="1:6" x14ac:dyDescent="0.3">
      <c r="A10" s="1" t="s">
        <v>7</v>
      </c>
      <c r="B10" s="2">
        <f t="shared" si="0"/>
        <v>-593367</v>
      </c>
      <c r="C10" s="2">
        <v>0</v>
      </c>
      <c r="D10" s="2">
        <v>0</v>
      </c>
      <c r="E10" s="2">
        <v>593367</v>
      </c>
      <c r="F10" s="2">
        <v>399962</v>
      </c>
    </row>
    <row r="11" spans="1:6" x14ac:dyDescent="0.3">
      <c r="A11" s="1" t="s">
        <v>8</v>
      </c>
      <c r="B11" s="2">
        <f t="shared" si="0"/>
        <v>-34486</v>
      </c>
      <c r="C11" s="2">
        <v>0</v>
      </c>
      <c r="D11" s="2">
        <v>0</v>
      </c>
      <c r="E11" s="2">
        <v>34486</v>
      </c>
      <c r="F11" s="2">
        <v>21000</v>
      </c>
    </row>
    <row r="12" spans="1:6" x14ac:dyDescent="0.3">
      <c r="A12" s="1" t="s">
        <v>9</v>
      </c>
      <c r="B12" s="2">
        <f t="shared" si="0"/>
        <v>-32175</v>
      </c>
      <c r="C12" s="2">
        <v>0</v>
      </c>
      <c r="D12" s="2">
        <v>0</v>
      </c>
      <c r="E12" s="2">
        <v>32175</v>
      </c>
      <c r="F12" s="2">
        <v>21000</v>
      </c>
    </row>
    <row r="13" spans="1:6" x14ac:dyDescent="0.3">
      <c r="A13" s="1" t="s">
        <v>10</v>
      </c>
      <c r="B13" s="2">
        <f t="shared" si="0"/>
        <v>-617398</v>
      </c>
      <c r="C13" s="2">
        <v>0</v>
      </c>
      <c r="D13" s="2">
        <v>0</v>
      </c>
      <c r="E13" s="2">
        <v>617398</v>
      </c>
      <c r="F13" s="2">
        <v>420921</v>
      </c>
    </row>
    <row r="14" spans="1:6" x14ac:dyDescent="0.3">
      <c r="A14" s="1" t="s">
        <v>11</v>
      </c>
      <c r="B14" s="2">
        <f t="shared" si="0"/>
        <v>-536927</v>
      </c>
      <c r="C14" s="2">
        <v>0</v>
      </c>
      <c r="D14" s="2">
        <v>0</v>
      </c>
      <c r="E14" s="2">
        <v>536927</v>
      </c>
      <c r="F14" s="2">
        <v>399892</v>
      </c>
    </row>
    <row r="15" spans="1:6" ht="17.25" thickBot="1" x14ac:dyDescent="0.35">
      <c r="A15" s="4" t="s">
        <v>13</v>
      </c>
      <c r="B15" s="5">
        <f>SUM(B3:B14)</f>
        <v>-4468246</v>
      </c>
      <c r="C15" s="5">
        <f t="shared" ref="C15:F15" si="1">SUM(C3:C14)</f>
        <v>0</v>
      </c>
      <c r="D15" s="5">
        <f t="shared" si="1"/>
        <v>0</v>
      </c>
      <c r="E15" s="5">
        <f t="shared" si="1"/>
        <v>4468246</v>
      </c>
      <c r="F15" s="5">
        <f t="shared" si="1"/>
        <v>3367433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-35327</v>
      </c>
      <c r="C3" s="2">
        <v>0</v>
      </c>
      <c r="D3" s="2">
        <v>0</v>
      </c>
      <c r="E3" s="2">
        <v>35327</v>
      </c>
      <c r="F3" s="2">
        <v>21000</v>
      </c>
    </row>
    <row r="4" spans="1:6" x14ac:dyDescent="0.3">
      <c r="A4" s="1" t="s">
        <v>1</v>
      </c>
      <c r="B4" s="2">
        <f t="shared" si="0"/>
        <v>-729474</v>
      </c>
      <c r="C4" s="2">
        <v>0</v>
      </c>
      <c r="D4" s="2">
        <v>0</v>
      </c>
      <c r="E4" s="2">
        <v>729474</v>
      </c>
      <c r="F4" s="2">
        <v>399930</v>
      </c>
    </row>
    <row r="5" spans="1:6" x14ac:dyDescent="0.3">
      <c r="A5" s="1" t="s">
        <v>2</v>
      </c>
      <c r="B5" s="2">
        <f t="shared" si="0"/>
        <v>-48030</v>
      </c>
      <c r="C5" s="2">
        <v>0</v>
      </c>
      <c r="D5" s="2">
        <v>0</v>
      </c>
      <c r="E5" s="2">
        <v>48030</v>
      </c>
      <c r="F5" s="2">
        <v>21000</v>
      </c>
    </row>
    <row r="6" spans="1:6" x14ac:dyDescent="0.3">
      <c r="A6" s="1" t="s">
        <v>3</v>
      </c>
      <c r="B6" s="2">
        <f t="shared" si="0"/>
        <v>-942075</v>
      </c>
      <c r="C6" s="2">
        <v>0</v>
      </c>
      <c r="D6" s="2">
        <v>0</v>
      </c>
      <c r="E6" s="2">
        <v>942075</v>
      </c>
      <c r="F6" s="2">
        <v>399924</v>
      </c>
    </row>
    <row r="7" spans="1:6" x14ac:dyDescent="0.3">
      <c r="A7" s="1" t="s">
        <v>4</v>
      </c>
      <c r="B7" s="2">
        <f t="shared" si="0"/>
        <v>-1017413</v>
      </c>
      <c r="C7" s="2">
        <v>0</v>
      </c>
      <c r="D7" s="2">
        <v>0</v>
      </c>
      <c r="E7" s="2">
        <v>1017413</v>
      </c>
      <c r="F7" s="2">
        <v>399977</v>
      </c>
    </row>
    <row r="8" spans="1:6" x14ac:dyDescent="0.3">
      <c r="A8" s="1" t="s">
        <v>5</v>
      </c>
      <c r="B8" s="2">
        <f t="shared" si="0"/>
        <v>-792490</v>
      </c>
      <c r="C8" s="2">
        <v>0</v>
      </c>
      <c r="D8" s="2">
        <v>0</v>
      </c>
      <c r="E8" s="2">
        <v>792490</v>
      </c>
      <c r="F8" s="2">
        <v>320994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-849115</v>
      </c>
      <c r="C10" s="2">
        <v>0</v>
      </c>
      <c r="D10" s="2">
        <v>0</v>
      </c>
      <c r="E10" s="2">
        <v>849115</v>
      </c>
      <c r="F10" s="2">
        <v>520029</v>
      </c>
    </row>
    <row r="11" spans="1:6" x14ac:dyDescent="0.3">
      <c r="A11" s="1" t="s">
        <v>8</v>
      </c>
      <c r="B11" s="2">
        <f t="shared" si="0"/>
        <v>-806176</v>
      </c>
      <c r="C11" s="2">
        <v>0</v>
      </c>
      <c r="D11" s="2">
        <v>0</v>
      </c>
      <c r="E11" s="2">
        <v>806176</v>
      </c>
      <c r="F11" s="2">
        <v>641973</v>
      </c>
    </row>
    <row r="12" spans="1:6" x14ac:dyDescent="0.3">
      <c r="A12" s="1" t="s">
        <v>9</v>
      </c>
      <c r="B12" s="2">
        <f t="shared" si="0"/>
        <v>-48242</v>
      </c>
      <c r="C12" s="2">
        <v>0</v>
      </c>
      <c r="D12" s="2">
        <v>0</v>
      </c>
      <c r="E12" s="2">
        <v>48242</v>
      </c>
      <c r="F12" s="2">
        <v>21000</v>
      </c>
    </row>
    <row r="13" spans="1:6" x14ac:dyDescent="0.3">
      <c r="A13" s="1" t="s">
        <v>10</v>
      </c>
      <c r="B13" s="2">
        <f t="shared" si="0"/>
        <v>-585772</v>
      </c>
      <c r="C13" s="2">
        <v>0</v>
      </c>
      <c r="D13" s="2">
        <v>0</v>
      </c>
      <c r="E13" s="2">
        <v>585772</v>
      </c>
      <c r="F13" s="2">
        <v>520917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-5854114</v>
      </c>
      <c r="C15" s="5">
        <f t="shared" ref="C15:F15" si="1">SUM(C3:C14)</f>
        <v>0</v>
      </c>
      <c r="D15" s="5">
        <f t="shared" si="1"/>
        <v>0</v>
      </c>
      <c r="E15" s="5">
        <f t="shared" si="1"/>
        <v>5854114</v>
      </c>
      <c r="F15" s="5">
        <f t="shared" si="1"/>
        <v>3266744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-540446</v>
      </c>
      <c r="C3" s="2">
        <v>0</v>
      </c>
      <c r="D3" s="2">
        <v>0</v>
      </c>
      <c r="E3" s="2">
        <v>540446</v>
      </c>
      <c r="F3" s="2">
        <v>520930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-546191</v>
      </c>
      <c r="C5" s="2">
        <v>0</v>
      </c>
      <c r="D5" s="2">
        <v>0</v>
      </c>
      <c r="E5" s="2">
        <v>546191</v>
      </c>
      <c r="F5" s="2">
        <v>520889</v>
      </c>
    </row>
    <row r="6" spans="1:6" x14ac:dyDescent="0.3">
      <c r="A6" s="1" t="s">
        <v>3</v>
      </c>
      <c r="B6" s="2">
        <f t="shared" si="0"/>
        <v>-501233</v>
      </c>
      <c r="C6" s="2">
        <v>0</v>
      </c>
      <c r="D6" s="2">
        <v>0</v>
      </c>
      <c r="E6" s="2">
        <v>501233</v>
      </c>
      <c r="F6" s="2">
        <v>499930</v>
      </c>
    </row>
    <row r="7" spans="1:6" x14ac:dyDescent="0.3">
      <c r="A7" s="1" t="s">
        <v>4</v>
      </c>
      <c r="B7" s="2">
        <f t="shared" si="0"/>
        <v>-62777</v>
      </c>
      <c r="C7" s="2">
        <v>0</v>
      </c>
      <c r="D7" s="2">
        <v>0</v>
      </c>
      <c r="E7" s="2">
        <v>62777</v>
      </c>
      <c r="F7" s="2">
        <v>42000</v>
      </c>
    </row>
    <row r="8" spans="1:6" x14ac:dyDescent="0.3">
      <c r="A8" s="1" t="s">
        <v>5</v>
      </c>
      <c r="B8" s="2">
        <f t="shared" si="0"/>
        <v>-431273</v>
      </c>
      <c r="C8" s="2">
        <v>0</v>
      </c>
      <c r="D8" s="2">
        <v>0</v>
      </c>
      <c r="E8" s="2">
        <v>431273</v>
      </c>
      <c r="F8" s="2">
        <v>399983</v>
      </c>
    </row>
    <row r="9" spans="1:6" x14ac:dyDescent="0.3">
      <c r="A9" s="1" t="s">
        <v>6</v>
      </c>
      <c r="B9" s="2">
        <f t="shared" si="0"/>
        <v>-475460</v>
      </c>
      <c r="C9" s="2">
        <v>0</v>
      </c>
      <c r="D9" s="2">
        <v>0</v>
      </c>
      <c r="E9" s="2">
        <v>475460</v>
      </c>
      <c r="F9" s="2">
        <v>441941</v>
      </c>
    </row>
    <row r="10" spans="1:6" x14ac:dyDescent="0.3">
      <c r="A10" s="1" t="s">
        <v>7</v>
      </c>
      <c r="B10" s="2">
        <f t="shared" si="0"/>
        <v>-26401</v>
      </c>
      <c r="C10" s="2">
        <v>0</v>
      </c>
      <c r="D10" s="2">
        <v>0</v>
      </c>
      <c r="E10" s="2">
        <v>26401</v>
      </c>
      <c r="F10" s="2">
        <v>21000</v>
      </c>
    </row>
    <row r="11" spans="1:6" x14ac:dyDescent="0.3">
      <c r="A11" s="1" t="s">
        <v>8</v>
      </c>
      <c r="B11" s="2">
        <f t="shared" si="0"/>
        <v>-359670</v>
      </c>
      <c r="C11" s="2">
        <v>0</v>
      </c>
      <c r="D11" s="2">
        <v>0</v>
      </c>
      <c r="E11" s="2">
        <v>359670</v>
      </c>
      <c r="F11" s="2">
        <v>399922</v>
      </c>
    </row>
    <row r="12" spans="1:6" x14ac:dyDescent="0.3">
      <c r="A12" s="1" t="s">
        <v>9</v>
      </c>
      <c r="B12" s="2">
        <f t="shared" si="0"/>
        <v>-617683</v>
      </c>
      <c r="C12" s="2">
        <v>0</v>
      </c>
      <c r="D12" s="2">
        <v>0</v>
      </c>
      <c r="E12" s="2">
        <v>617683</v>
      </c>
      <c r="F12" s="2">
        <v>641946</v>
      </c>
    </row>
    <row r="13" spans="1:6" x14ac:dyDescent="0.3">
      <c r="A13" s="1" t="s">
        <v>10</v>
      </c>
      <c r="B13" s="2">
        <f t="shared" si="0"/>
        <v>-23879</v>
      </c>
      <c r="C13" s="2">
        <v>0</v>
      </c>
      <c r="D13" s="2">
        <v>0</v>
      </c>
      <c r="E13" s="2">
        <v>23879</v>
      </c>
      <c r="F13" s="2">
        <v>21000</v>
      </c>
    </row>
    <row r="14" spans="1:6" x14ac:dyDescent="0.3">
      <c r="A14" s="1" t="s">
        <v>11</v>
      </c>
      <c r="B14" s="2">
        <f t="shared" si="0"/>
        <v>-452520</v>
      </c>
      <c r="C14" s="2">
        <v>0</v>
      </c>
      <c r="D14" s="2">
        <v>0</v>
      </c>
      <c r="E14" s="2">
        <v>452520</v>
      </c>
      <c r="F14" s="2">
        <v>499984</v>
      </c>
    </row>
    <row r="15" spans="1:6" ht="17.25" thickBot="1" x14ac:dyDescent="0.35">
      <c r="A15" s="4" t="s">
        <v>13</v>
      </c>
      <c r="B15" s="5">
        <f>SUM(B3:B14)</f>
        <v>-4037533</v>
      </c>
      <c r="C15" s="5">
        <f t="shared" ref="C15:F15" si="1">SUM(C3:C14)</f>
        <v>0</v>
      </c>
      <c r="D15" s="5">
        <f t="shared" si="1"/>
        <v>0</v>
      </c>
      <c r="E15" s="5">
        <f t="shared" si="1"/>
        <v>4037533</v>
      </c>
      <c r="F15" s="5">
        <f t="shared" si="1"/>
        <v>4009525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-463458</v>
      </c>
      <c r="C3" s="2">
        <v>0</v>
      </c>
      <c r="D3" s="2">
        <v>0</v>
      </c>
      <c r="E3" s="2">
        <v>463458</v>
      </c>
      <c r="F3" s="2">
        <v>499949</v>
      </c>
    </row>
    <row r="4" spans="1:6" x14ac:dyDescent="0.3">
      <c r="A4" s="1" t="s">
        <v>1</v>
      </c>
      <c r="B4" s="2">
        <f t="shared" si="0"/>
        <v>-23880</v>
      </c>
      <c r="C4" s="2">
        <v>0</v>
      </c>
      <c r="D4" s="2">
        <v>0</v>
      </c>
      <c r="E4" s="2">
        <v>23880</v>
      </c>
      <c r="F4" s="2">
        <v>21000</v>
      </c>
    </row>
    <row r="5" spans="1:6" x14ac:dyDescent="0.3">
      <c r="A5" s="1" t="s">
        <v>2</v>
      </c>
      <c r="B5" s="2">
        <f t="shared" si="0"/>
        <v>-856196</v>
      </c>
      <c r="C5" s="2">
        <v>0</v>
      </c>
      <c r="D5" s="2">
        <v>0</v>
      </c>
      <c r="E5" s="2">
        <v>856196</v>
      </c>
      <c r="F5" s="2">
        <v>899966</v>
      </c>
    </row>
    <row r="6" spans="1:6" x14ac:dyDescent="0.3">
      <c r="A6" s="1" t="s">
        <v>3</v>
      </c>
      <c r="B6" s="2">
        <f t="shared" si="0"/>
        <v>-24930</v>
      </c>
      <c r="C6" s="2">
        <v>0</v>
      </c>
      <c r="D6" s="2">
        <v>0</v>
      </c>
      <c r="E6" s="2">
        <v>24930</v>
      </c>
      <c r="F6" s="2">
        <v>21000</v>
      </c>
    </row>
    <row r="7" spans="1:6" x14ac:dyDescent="0.3">
      <c r="A7" s="1" t="s">
        <v>4</v>
      </c>
      <c r="B7" s="2">
        <f t="shared" si="0"/>
        <v>-555418</v>
      </c>
      <c r="C7" s="2">
        <v>0</v>
      </c>
      <c r="D7" s="2">
        <v>0</v>
      </c>
      <c r="E7" s="2">
        <v>555418</v>
      </c>
      <c r="F7" s="2">
        <v>520880</v>
      </c>
    </row>
    <row r="8" spans="1:6" x14ac:dyDescent="0.3">
      <c r="A8" s="1" t="s">
        <v>5</v>
      </c>
      <c r="B8" s="2">
        <f t="shared" si="0"/>
        <v>-525663</v>
      </c>
      <c r="C8" s="2">
        <v>0</v>
      </c>
      <c r="D8" s="2">
        <v>0</v>
      </c>
      <c r="E8" s="2">
        <v>525663</v>
      </c>
      <c r="F8" s="2">
        <v>420960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-837260</v>
      </c>
      <c r="C10" s="2">
        <v>0</v>
      </c>
      <c r="D10" s="2">
        <v>0</v>
      </c>
      <c r="E10" s="2">
        <v>837260</v>
      </c>
      <c r="F10" s="2">
        <v>720999</v>
      </c>
    </row>
    <row r="11" spans="1:6" x14ac:dyDescent="0.3">
      <c r="A11" s="1" t="s">
        <v>8</v>
      </c>
      <c r="B11" s="2">
        <f t="shared" si="0"/>
        <v>-29341</v>
      </c>
      <c r="C11" s="2">
        <v>0</v>
      </c>
      <c r="D11" s="2">
        <v>0</v>
      </c>
      <c r="E11" s="2">
        <v>29341</v>
      </c>
      <c r="F11" s="2">
        <v>21000</v>
      </c>
    </row>
    <row r="12" spans="1:6" x14ac:dyDescent="0.3">
      <c r="A12" s="1" t="s">
        <v>9</v>
      </c>
      <c r="B12" s="2">
        <f t="shared" si="0"/>
        <v>-333288</v>
      </c>
      <c r="C12" s="2">
        <v>0</v>
      </c>
      <c r="D12" s="2">
        <v>0</v>
      </c>
      <c r="E12" s="2">
        <v>333288</v>
      </c>
      <c r="F12" s="2">
        <v>220869</v>
      </c>
    </row>
    <row r="13" spans="1:6" x14ac:dyDescent="0.3">
      <c r="A13" s="1" t="s">
        <v>10</v>
      </c>
      <c r="B13" s="2">
        <f t="shared" si="0"/>
        <v>-453023</v>
      </c>
      <c r="C13" s="2">
        <v>0</v>
      </c>
      <c r="D13" s="2">
        <v>0</v>
      </c>
      <c r="E13" s="2">
        <v>453023</v>
      </c>
      <c r="F13" s="2">
        <v>300000</v>
      </c>
    </row>
    <row r="14" spans="1:6" x14ac:dyDescent="0.3">
      <c r="A14" s="1" t="s">
        <v>11</v>
      </c>
      <c r="B14" s="2">
        <f t="shared" si="0"/>
        <v>-647172</v>
      </c>
      <c r="C14" s="2">
        <v>0</v>
      </c>
      <c r="D14" s="2">
        <v>0</v>
      </c>
      <c r="E14" s="2">
        <v>647172</v>
      </c>
      <c r="F14" s="2">
        <v>420897</v>
      </c>
    </row>
    <row r="15" spans="1:6" ht="17.25" thickBot="1" x14ac:dyDescent="0.35">
      <c r="A15" s="4" t="s">
        <v>13</v>
      </c>
      <c r="B15" s="5">
        <f>SUM(B3:B14)</f>
        <v>-4749629</v>
      </c>
      <c r="C15" s="5">
        <f t="shared" ref="C15:F15" si="1">SUM(C3:C14)</f>
        <v>0</v>
      </c>
      <c r="D15" s="5">
        <f t="shared" si="1"/>
        <v>0</v>
      </c>
      <c r="E15" s="5">
        <f t="shared" si="1"/>
        <v>4749629</v>
      </c>
      <c r="F15" s="5">
        <f t="shared" si="1"/>
        <v>4067520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-35805</v>
      </c>
      <c r="C3" s="2">
        <v>0</v>
      </c>
      <c r="D3" s="2">
        <v>0</v>
      </c>
      <c r="E3" s="2">
        <v>35805</v>
      </c>
      <c r="F3" s="2">
        <v>21000</v>
      </c>
    </row>
    <row r="4" spans="1:6" x14ac:dyDescent="0.3">
      <c r="A4" s="1" t="s">
        <v>1</v>
      </c>
      <c r="B4" s="2">
        <f t="shared" si="0"/>
        <v>-661795</v>
      </c>
      <c r="C4" s="2">
        <v>0</v>
      </c>
      <c r="D4" s="2">
        <v>0</v>
      </c>
      <c r="E4" s="2">
        <v>661795</v>
      </c>
      <c r="F4" s="2">
        <v>420905</v>
      </c>
    </row>
    <row r="5" spans="1:6" x14ac:dyDescent="0.3">
      <c r="A5" s="1" t="s">
        <v>2</v>
      </c>
      <c r="B5" s="2">
        <f t="shared" si="0"/>
        <v>-728982</v>
      </c>
      <c r="C5" s="2">
        <v>0</v>
      </c>
      <c r="D5" s="2">
        <v>0</v>
      </c>
      <c r="E5" s="2">
        <v>728982</v>
      </c>
      <c r="F5" s="2">
        <v>399967</v>
      </c>
    </row>
    <row r="6" spans="1:6" x14ac:dyDescent="0.3">
      <c r="A6" s="1" t="s">
        <v>3</v>
      </c>
      <c r="B6" s="2">
        <f t="shared" si="0"/>
        <v>-623440</v>
      </c>
      <c r="C6" s="2">
        <v>0</v>
      </c>
      <c r="D6" s="2">
        <v>0</v>
      </c>
      <c r="E6" s="2">
        <v>623440</v>
      </c>
      <c r="F6" s="2">
        <v>341951</v>
      </c>
    </row>
    <row r="7" spans="1:6" x14ac:dyDescent="0.3">
      <c r="A7" s="1" t="s">
        <v>4</v>
      </c>
      <c r="B7" s="2">
        <f t="shared" si="0"/>
        <v>-1014678</v>
      </c>
      <c r="C7" s="2">
        <v>0</v>
      </c>
      <c r="D7" s="2">
        <v>0</v>
      </c>
      <c r="E7" s="2">
        <v>1014678</v>
      </c>
      <c r="F7" s="2">
        <v>499989</v>
      </c>
    </row>
    <row r="8" spans="1:6" x14ac:dyDescent="0.3">
      <c r="A8" s="1" t="s">
        <v>5</v>
      </c>
      <c r="B8" s="2">
        <f t="shared" si="0"/>
        <v>-58396</v>
      </c>
      <c r="C8" s="2">
        <v>0</v>
      </c>
      <c r="D8" s="2">
        <v>0</v>
      </c>
      <c r="E8" s="2">
        <v>58396</v>
      </c>
      <c r="F8" s="2">
        <v>27000</v>
      </c>
    </row>
    <row r="9" spans="1:6" x14ac:dyDescent="0.3">
      <c r="A9" s="1" t="s">
        <v>6</v>
      </c>
      <c r="B9" s="2">
        <f t="shared" si="0"/>
        <v>-1509405</v>
      </c>
      <c r="C9" s="2">
        <v>0</v>
      </c>
      <c r="D9" s="2">
        <v>0</v>
      </c>
      <c r="E9" s="2">
        <v>1509405</v>
      </c>
      <c r="F9" s="2">
        <v>799869</v>
      </c>
    </row>
    <row r="10" spans="1:6" x14ac:dyDescent="0.3">
      <c r="A10" s="1" t="s">
        <v>7</v>
      </c>
      <c r="B10" s="2">
        <f t="shared" si="0"/>
        <v>-14</v>
      </c>
      <c r="C10" s="2">
        <v>0</v>
      </c>
      <c r="D10" s="2">
        <v>0</v>
      </c>
      <c r="E10" s="2">
        <v>14</v>
      </c>
      <c r="F10" s="2">
        <v>2</v>
      </c>
    </row>
    <row r="11" spans="1:6" x14ac:dyDescent="0.3">
      <c r="A11" s="1" t="s">
        <v>8</v>
      </c>
      <c r="B11" s="2">
        <f t="shared" si="0"/>
        <v>-1180805</v>
      </c>
      <c r="C11" s="2">
        <v>0</v>
      </c>
      <c r="D11" s="2">
        <v>0</v>
      </c>
      <c r="E11" s="2">
        <v>1180805</v>
      </c>
      <c r="F11" s="2">
        <v>720870</v>
      </c>
    </row>
    <row r="12" spans="1:6" x14ac:dyDescent="0.3">
      <c r="A12" s="1" t="s">
        <v>9</v>
      </c>
      <c r="B12" s="2">
        <f t="shared" si="0"/>
        <v>-38325</v>
      </c>
      <c r="C12" s="2">
        <v>0</v>
      </c>
      <c r="D12" s="2">
        <v>0</v>
      </c>
      <c r="E12" s="2">
        <v>38325</v>
      </c>
      <c r="F12" s="2">
        <v>21000</v>
      </c>
    </row>
    <row r="13" spans="1:6" x14ac:dyDescent="0.3">
      <c r="A13" s="1" t="s">
        <v>10</v>
      </c>
      <c r="B13" s="2">
        <f t="shared" si="0"/>
        <v>-417858</v>
      </c>
      <c r="C13" s="2">
        <v>0</v>
      </c>
      <c r="D13" s="2">
        <v>0</v>
      </c>
      <c r="E13" s="2">
        <v>417858</v>
      </c>
      <c r="F13" s="2">
        <v>214916</v>
      </c>
    </row>
    <row r="14" spans="1:6" x14ac:dyDescent="0.3">
      <c r="A14" s="1" t="s">
        <v>11</v>
      </c>
      <c r="B14" s="2">
        <f t="shared" si="0"/>
        <v>-1644553</v>
      </c>
      <c r="C14" s="2">
        <v>0</v>
      </c>
      <c r="D14" s="2">
        <v>0</v>
      </c>
      <c r="E14" s="2">
        <v>1644553</v>
      </c>
      <c r="F14" s="2">
        <v>820981</v>
      </c>
    </row>
    <row r="15" spans="1:6" ht="17.25" thickBot="1" x14ac:dyDescent="0.35">
      <c r="A15" s="4" t="s">
        <v>13</v>
      </c>
      <c r="B15" s="5">
        <f>SUM(B3:B14)</f>
        <v>-7914056</v>
      </c>
      <c r="C15" s="5">
        <f t="shared" ref="C15:F15" si="1">SUM(C3:C14)</f>
        <v>0</v>
      </c>
      <c r="D15" s="5">
        <f t="shared" si="1"/>
        <v>0</v>
      </c>
      <c r="E15" s="5">
        <f t="shared" si="1"/>
        <v>7914056</v>
      </c>
      <c r="F15" s="5">
        <f t="shared" si="1"/>
        <v>4288450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-82736</v>
      </c>
      <c r="C3" s="2">
        <v>0</v>
      </c>
      <c r="D3" s="2">
        <v>0</v>
      </c>
      <c r="E3" s="2">
        <v>82736</v>
      </c>
      <c r="F3" s="2">
        <v>42000</v>
      </c>
    </row>
    <row r="4" spans="1:6" x14ac:dyDescent="0.3">
      <c r="A4" s="1" t="s">
        <v>1</v>
      </c>
      <c r="B4" s="2">
        <f t="shared" si="0"/>
        <v>-44592</v>
      </c>
      <c r="C4" s="2">
        <v>0</v>
      </c>
      <c r="D4" s="2">
        <v>0</v>
      </c>
      <c r="E4" s="2">
        <v>44592</v>
      </c>
      <c r="F4" s="2">
        <v>21000</v>
      </c>
    </row>
    <row r="5" spans="1:6" x14ac:dyDescent="0.3">
      <c r="A5" s="1" t="s">
        <v>2</v>
      </c>
      <c r="B5" s="2">
        <f t="shared" si="0"/>
        <v>-693412</v>
      </c>
      <c r="C5" s="2">
        <v>0</v>
      </c>
      <c r="D5" s="2">
        <v>0</v>
      </c>
      <c r="E5" s="2">
        <v>693412</v>
      </c>
      <c r="F5" s="2">
        <v>399924</v>
      </c>
    </row>
    <row r="6" spans="1:6" x14ac:dyDescent="0.3">
      <c r="A6" s="1" t="s">
        <v>3</v>
      </c>
      <c r="B6" s="2">
        <f t="shared" si="0"/>
        <v>-1114582</v>
      </c>
      <c r="C6" s="2">
        <v>0</v>
      </c>
      <c r="D6" s="2">
        <v>0</v>
      </c>
      <c r="E6" s="2">
        <v>1114582</v>
      </c>
      <c r="F6" s="2">
        <v>620876</v>
      </c>
    </row>
    <row r="7" spans="1:6" x14ac:dyDescent="0.3">
      <c r="A7" s="1" t="s">
        <v>4</v>
      </c>
      <c r="B7" s="2">
        <f t="shared" si="0"/>
        <v>-920901</v>
      </c>
      <c r="C7" s="2">
        <v>0</v>
      </c>
      <c r="D7" s="2">
        <v>0</v>
      </c>
      <c r="E7" s="2">
        <v>920901</v>
      </c>
      <c r="F7" s="2">
        <v>399880</v>
      </c>
    </row>
    <row r="8" spans="1:6" x14ac:dyDescent="0.3">
      <c r="A8" s="1" t="s">
        <v>5</v>
      </c>
      <c r="B8" s="2">
        <f t="shared" si="0"/>
        <v>-1176212</v>
      </c>
      <c r="C8" s="2">
        <v>0</v>
      </c>
      <c r="D8" s="2">
        <v>0</v>
      </c>
      <c r="E8" s="2">
        <v>1176212</v>
      </c>
      <c r="F8" s="2">
        <v>520946</v>
      </c>
    </row>
    <row r="9" spans="1:6" x14ac:dyDescent="0.3">
      <c r="A9" s="1" t="s">
        <v>6</v>
      </c>
      <c r="B9" s="2">
        <f t="shared" si="0"/>
        <v>-40472</v>
      </c>
      <c r="C9" s="2">
        <v>0</v>
      </c>
      <c r="D9" s="2">
        <v>0</v>
      </c>
      <c r="E9" s="2">
        <v>40472</v>
      </c>
      <c r="F9" s="2">
        <v>21000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-4072907</v>
      </c>
      <c r="C15" s="5">
        <f t="shared" ref="C15:F15" si="1">SUM(C3:C14)</f>
        <v>0</v>
      </c>
      <c r="D15" s="5">
        <f t="shared" si="1"/>
        <v>0</v>
      </c>
      <c r="E15" s="5">
        <f t="shared" si="1"/>
        <v>4072907</v>
      </c>
      <c r="F15" s="5">
        <f t="shared" si="1"/>
        <v>2025626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2026-09-10T06:20:25Z</dcterms:modified>
</cp:coreProperties>
</file>