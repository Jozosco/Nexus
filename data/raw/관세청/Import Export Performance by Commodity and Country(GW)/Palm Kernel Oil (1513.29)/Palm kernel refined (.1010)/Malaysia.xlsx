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핵유\1513.29(정제유)\.1010\"/>
    </mc:Choice>
  </mc:AlternateContent>
  <bookViews>
    <workbookView xWindow="0" yWindow="0" windowWidth="25125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B15" i="1" l="1"/>
  <c r="B14" i="15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<sst xmlns="http://schemas.openxmlformats.org/spreadsheetml/2006/main" count="306" uniqueCount="18">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</sst>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-1266783</v>
      </c>
      <c r="C4" s="2">
        <v>0</v>
      </c>
      <c r="D4" s="2">
        <v>0</v>
      </c>
      <c r="E4" s="2">
        <v>1266783</v>
      </c>
      <c r="F4" s="2">
        <v>1296883</v>
      </c>
    </row>
    <row r="5" spans="1:6" x14ac:dyDescent="0.3">
      <c r="A5" s="1" t="s">
        <v>2</v>
      </c>
      <c r="B5" s="2">
        <f t="shared" si="0"/>
        <v>-9565</v>
      </c>
      <c r="C5" s="2">
        <v>0</v>
      </c>
      <c r="D5" s="2">
        <v>0</v>
      </c>
      <c r="E5" s="2">
        <v>9565</v>
      </c>
      <c r="F5" s="2">
        <v>19130</v>
      </c>
    </row>
    <row r="6" spans="1:6" x14ac:dyDescent="0.3">
      <c r="A6" s="1" t="s">
        <v>3</v>
      </c>
      <c r="B6" s="2">
        <f t="shared" si="0"/>
        <v>-798536</v>
      </c>
      <c r="C6" s="2">
        <v>0</v>
      </c>
      <c r="D6" s="2">
        <v>0</v>
      </c>
      <c r="E6" s="2">
        <v>798536</v>
      </c>
      <c r="F6" s="2">
        <v>698877</v>
      </c>
    </row>
    <row r="7" spans="1:6" x14ac:dyDescent="0.3">
      <c r="A7" s="1" t="s">
        <v>4</v>
      </c>
      <c r="B7" s="2">
        <f t="shared" si="0"/>
        <v>-702182</v>
      </c>
      <c r="C7" s="2">
        <v>0</v>
      </c>
      <c r="D7" s="2">
        <v>0</v>
      </c>
      <c r="E7" s="2">
        <v>702182</v>
      </c>
      <c r="F7" s="2">
        <v>615647</v>
      </c>
    </row>
    <row r="8" spans="1:6" x14ac:dyDescent="0.3">
      <c r="A8" s="1" t="s">
        <v>5</v>
      </c>
      <c r="B8" s="2">
        <f t="shared" si="0"/>
        <v>-1264116</v>
      </c>
      <c r="C8" s="2">
        <v>0</v>
      </c>
      <c r="D8" s="2">
        <v>0</v>
      </c>
      <c r="E8" s="2">
        <v>1264116</v>
      </c>
      <c r="F8" s="2">
        <v>1094771</v>
      </c>
    </row>
    <row r="9" spans="1:6" x14ac:dyDescent="0.3">
      <c r="A9" s="1" t="s">
        <v>6</v>
      </c>
      <c r="B9" s="2">
        <f t="shared" si="0"/>
        <v>-677011</v>
      </c>
      <c r="C9" s="2">
        <v>0</v>
      </c>
      <c r="D9" s="2">
        <v>0</v>
      </c>
      <c r="E9" s="2">
        <v>677011</v>
      </c>
      <c r="F9" s="2">
        <v>597514</v>
      </c>
    </row>
    <row r="10" spans="1:6" x14ac:dyDescent="0.3">
      <c r="A10" s="1" t="s">
        <v>7</v>
      </c>
      <c r="B10" s="2">
        <f t="shared" si="0"/>
        <v>-701011</v>
      </c>
      <c r="C10" s="2">
        <v>0</v>
      </c>
      <c r="D10" s="2">
        <v>0</v>
      </c>
      <c r="E10" s="2">
        <v>701011</v>
      </c>
      <c r="F10" s="2">
        <v>596301</v>
      </c>
    </row>
    <row r="11" spans="1:6" x14ac:dyDescent="0.3">
      <c r="A11" s="1" t="s">
        <v>8</v>
      </c>
      <c r="B11" s="2">
        <f t="shared" si="0"/>
        <v>-118187</v>
      </c>
      <c r="C11" s="2">
        <v>0</v>
      </c>
      <c r="D11" s="2">
        <v>0</v>
      </c>
      <c r="E11" s="2">
        <v>118187</v>
      </c>
      <c r="F11" s="2">
        <v>99568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-1018233</v>
      </c>
      <c r="C13" s="2">
        <v>0</v>
      </c>
      <c r="D13" s="2">
        <v>0</v>
      </c>
      <c r="E13" s="2">
        <v>1018233</v>
      </c>
      <c r="F13" s="2">
        <v>647718</v>
      </c>
    </row>
    <row r="14" spans="1:6" x14ac:dyDescent="0.3">
      <c r="A14" s="1" t="s">
        <v>11</v>
      </c>
      <c r="B14" s="2">
        <f t="shared" si="0"/>
        <v>-1044154</v>
      </c>
      <c r="C14" s="2">
        <v>0</v>
      </c>
      <c r="D14" s="2">
        <v>0</v>
      </c>
      <c r="E14" s="2">
        <v>1044154</v>
      </c>
      <c r="F14" s="2">
        <v>597601</v>
      </c>
    </row>
    <row r="15" spans="1:6" ht="17.25" thickBot="1" x14ac:dyDescent="0.35">
      <c r="A15" s="4" t="s">
        <v>13</v>
      </c>
      <c r="B15" s="5">
        <f>SUM(B3:B14)</f>
        <v>-7599778</v>
      </c>
      <c r="C15" s="5">
        <f t="shared" ref="C15:F15" si="1">SUM(C3:C14)</f>
        <v>0</v>
      </c>
      <c r="D15" s="5">
        <f t="shared" si="1"/>
        <v>0</v>
      </c>
      <c r="E15" s="5">
        <f t="shared" si="1"/>
        <v>7599778</v>
      </c>
      <c r="F15" s="5">
        <f t="shared" si="1"/>
        <v>6264010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-1499936</v>
      </c>
      <c r="C3" s="2">
        <v>0</v>
      </c>
      <c r="D3" s="2">
        <v>0</v>
      </c>
      <c r="E3" s="2">
        <v>1499936</v>
      </c>
      <c r="F3" s="2">
        <v>797582</v>
      </c>
    </row>
    <row r="4" spans="1:6" x14ac:dyDescent="0.3">
      <c r="A4" s="1" t="s">
        <v>1</v>
      </c>
      <c r="B4" s="2">
        <f t="shared" ref="B4:B14" si="0">C4-E4</f>
        <v>-1542184</v>
      </c>
      <c r="C4" s="2">
        <v>0</v>
      </c>
      <c r="D4" s="2">
        <v>0</v>
      </c>
      <c r="E4" s="2">
        <v>1542184</v>
      </c>
      <c r="F4" s="2">
        <v>697844</v>
      </c>
    </row>
    <row r="5" spans="1:6" x14ac:dyDescent="0.3">
      <c r="A5" s="1" t="s">
        <v>2</v>
      </c>
      <c r="B5" s="2">
        <f t="shared" si="0"/>
        <v>-984552</v>
      </c>
      <c r="C5" s="2">
        <v>0</v>
      </c>
      <c r="D5" s="2">
        <v>0</v>
      </c>
      <c r="E5" s="2">
        <v>984552</v>
      </c>
      <c r="F5" s="2">
        <v>397156</v>
      </c>
    </row>
    <row r="6" spans="1:6" x14ac:dyDescent="0.3">
      <c r="A6" s="1" t="s">
        <v>3</v>
      </c>
      <c r="B6" s="2">
        <f t="shared" si="0"/>
        <v>-740284</v>
      </c>
      <c r="C6" s="2">
        <v>0</v>
      </c>
      <c r="D6" s="2">
        <v>0</v>
      </c>
      <c r="E6" s="2">
        <v>740284</v>
      </c>
      <c r="F6" s="2">
        <v>299933</v>
      </c>
    </row>
    <row r="7" spans="1:6" x14ac:dyDescent="0.3">
      <c r="A7" s="1" t="s">
        <v>4</v>
      </c>
      <c r="B7" s="2">
        <f t="shared" si="0"/>
        <v>-984342</v>
      </c>
      <c r="C7" s="2">
        <v>0</v>
      </c>
      <c r="D7" s="2">
        <v>0</v>
      </c>
      <c r="E7" s="2">
        <v>984342</v>
      </c>
      <c r="F7" s="2">
        <v>498434</v>
      </c>
    </row>
    <row r="8" spans="1:6" x14ac:dyDescent="0.3">
      <c r="A8" s="1" t="s">
        <v>5</v>
      </c>
      <c r="B8" s="2">
        <f t="shared" si="0"/>
        <v>-1443019</v>
      </c>
      <c r="C8" s="2">
        <v>0</v>
      </c>
      <c r="D8" s="2">
        <v>0</v>
      </c>
      <c r="E8" s="2">
        <v>1443019</v>
      </c>
      <c r="F8" s="2">
        <v>697703</v>
      </c>
    </row>
    <row r="9" spans="1:6" x14ac:dyDescent="0.3">
      <c r="A9" s="1" t="s">
        <v>6</v>
      </c>
      <c r="B9" s="2">
        <f t="shared" si="0"/>
        <v>-2068010</v>
      </c>
      <c r="C9" s="2">
        <v>0</v>
      </c>
      <c r="D9" s="2">
        <v>0</v>
      </c>
      <c r="E9" s="2">
        <v>2068010</v>
      </c>
      <c r="F9" s="2">
        <v>1097718</v>
      </c>
    </row>
    <row r="10" spans="1:6" x14ac:dyDescent="0.3">
      <c r="A10" s="1" t="s">
        <v>7</v>
      </c>
      <c r="B10" s="2">
        <f t="shared" si="0"/>
        <v>-995164</v>
      </c>
      <c r="C10" s="2">
        <v>0</v>
      </c>
      <c r="D10" s="2">
        <v>0</v>
      </c>
      <c r="E10" s="2">
        <v>995164</v>
      </c>
      <c r="F10" s="2">
        <v>599130</v>
      </c>
    </row>
    <row r="11" spans="1:6" x14ac:dyDescent="0.3">
      <c r="A11" s="1" t="s">
        <v>8</v>
      </c>
      <c r="B11" s="2">
        <f t="shared" si="0"/>
        <v>-908500</v>
      </c>
      <c r="C11" s="2">
        <v>0</v>
      </c>
      <c r="D11" s="2">
        <v>0</v>
      </c>
      <c r="E11" s="2">
        <v>908500</v>
      </c>
      <c r="F11" s="2">
        <v>598141</v>
      </c>
    </row>
    <row r="12" spans="1:6" x14ac:dyDescent="0.3">
      <c r="A12" s="1" t="s">
        <v>9</v>
      </c>
      <c r="B12" s="2">
        <f t="shared" si="0"/>
        <v>-907861</v>
      </c>
      <c r="C12" s="2">
        <v>0</v>
      </c>
      <c r="D12" s="2">
        <v>0</v>
      </c>
      <c r="E12" s="2">
        <v>907861</v>
      </c>
      <c r="F12" s="2">
        <v>599726</v>
      </c>
    </row>
    <row r="13" spans="1:6" x14ac:dyDescent="0.3">
      <c r="A13" s="1" t="s">
        <v>10</v>
      </c>
      <c r="B13" s="2">
        <f t="shared" si="0"/>
        <v>-1252520</v>
      </c>
      <c r="C13" s="2">
        <v>0</v>
      </c>
      <c r="D13" s="2">
        <v>0</v>
      </c>
      <c r="E13" s="2">
        <v>1252520</v>
      </c>
      <c r="F13" s="2">
        <v>906359</v>
      </c>
    </row>
    <row r="14" spans="1:6" x14ac:dyDescent="0.3">
      <c r="A14" s="1" t="s">
        <v>11</v>
      </c>
      <c r="B14" s="2">
        <f t="shared" si="0"/>
        <v>-1319582</v>
      </c>
      <c r="C14" s="2">
        <v>0</v>
      </c>
      <c r="D14" s="2">
        <v>0</v>
      </c>
      <c r="E14" s="2">
        <v>1319582</v>
      </c>
      <c r="F14" s="2">
        <v>897511</v>
      </c>
    </row>
    <row r="15" spans="1:6" ht="17.25" thickBot="1" x14ac:dyDescent="0.35">
      <c r="A15" s="4" t="s">
        <v>13</v>
      </c>
      <c r="B15" s="5">
        <f>SUM(B3:B14)</f>
        <v>-14645954</v>
      </c>
      <c r="C15" s="5">
        <f t="shared" ref="C15:F15" si="1">SUM(C3:C14)</f>
        <v>0</v>
      </c>
      <c r="D15" s="5">
        <f t="shared" si="1"/>
        <v>0</v>
      </c>
      <c r="E15" s="5">
        <f t="shared" si="1"/>
        <v>14645954</v>
      </c>
      <c r="F15" s="5">
        <f t="shared" si="1"/>
        <v>8087237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-1498772</v>
      </c>
      <c r="C3" s="2">
        <v>0</v>
      </c>
      <c r="D3" s="2">
        <v>0</v>
      </c>
      <c r="E3" s="2">
        <v>1498772</v>
      </c>
      <c r="F3" s="2">
        <v>1014216</v>
      </c>
    </row>
    <row r="4" spans="1:6" x14ac:dyDescent="0.3">
      <c r="A4" s="1" t="s">
        <v>1</v>
      </c>
      <c r="B4" s="2">
        <f t="shared" ref="B4:B14" si="0">C4-E4</f>
        <v>-1516872</v>
      </c>
      <c r="C4" s="2">
        <v>0</v>
      </c>
      <c r="D4" s="2">
        <v>0</v>
      </c>
      <c r="E4" s="2">
        <v>1516872</v>
      </c>
      <c r="F4" s="2">
        <v>993686</v>
      </c>
    </row>
    <row r="5" spans="1:6" x14ac:dyDescent="0.3">
      <c r="A5" s="1" t="s">
        <v>2</v>
      </c>
      <c r="B5" s="2">
        <f t="shared" si="0"/>
        <v>-863513</v>
      </c>
      <c r="C5" s="2">
        <v>0</v>
      </c>
      <c r="D5" s="2">
        <v>0</v>
      </c>
      <c r="E5" s="2">
        <v>863513</v>
      </c>
      <c r="F5" s="2">
        <v>597838</v>
      </c>
    </row>
    <row r="6" spans="1:6" x14ac:dyDescent="0.3">
      <c r="A6" s="1" t="s">
        <v>3</v>
      </c>
      <c r="B6" s="2">
        <f t="shared" si="0"/>
        <v>-459133</v>
      </c>
      <c r="C6" s="2">
        <v>0</v>
      </c>
      <c r="D6" s="2">
        <v>0</v>
      </c>
      <c r="E6" s="2">
        <v>459133</v>
      </c>
      <c r="F6" s="2">
        <v>298865</v>
      </c>
    </row>
    <row r="7" spans="1:6" x14ac:dyDescent="0.3">
      <c r="A7" s="1" t="s">
        <v>4</v>
      </c>
      <c r="B7" s="2">
        <f t="shared" si="0"/>
        <v>-1544584</v>
      </c>
      <c r="C7" s="2">
        <v>0</v>
      </c>
      <c r="D7" s="2">
        <v>0</v>
      </c>
      <c r="E7" s="2">
        <v>1544584</v>
      </c>
      <c r="F7" s="2">
        <v>995245</v>
      </c>
    </row>
    <row r="8" spans="1:6" x14ac:dyDescent="0.3">
      <c r="A8" s="1" t="s">
        <v>5</v>
      </c>
      <c r="B8" s="2">
        <f t="shared" si="0"/>
        <v>-1196250</v>
      </c>
      <c r="C8" s="2">
        <v>0</v>
      </c>
      <c r="D8" s="2">
        <v>0</v>
      </c>
      <c r="E8" s="2">
        <v>1196250</v>
      </c>
      <c r="F8" s="2">
        <v>792545</v>
      </c>
    </row>
    <row r="9" spans="1:6" x14ac:dyDescent="0.3">
      <c r="A9" s="1" t="s">
        <v>6</v>
      </c>
      <c r="B9" s="2">
        <f t="shared" si="0"/>
        <v>-779754</v>
      </c>
      <c r="C9" s="2">
        <v>0</v>
      </c>
      <c r="D9" s="2">
        <v>0</v>
      </c>
      <c r="E9" s="2">
        <v>779754</v>
      </c>
      <c r="F9" s="2">
        <v>596844</v>
      </c>
    </row>
    <row r="10" spans="1:6" x14ac:dyDescent="0.3">
      <c r="A10" s="1" t="s">
        <v>7</v>
      </c>
      <c r="B10" s="2">
        <f t="shared" si="0"/>
        <v>-858386</v>
      </c>
      <c r="C10" s="2">
        <v>0</v>
      </c>
      <c r="D10" s="2">
        <v>0</v>
      </c>
      <c r="E10" s="2">
        <v>858386</v>
      </c>
      <c r="F10" s="2">
        <v>696864</v>
      </c>
    </row>
    <row r="11" spans="1:6" x14ac:dyDescent="0.3">
      <c r="A11" s="1" t="s">
        <v>8</v>
      </c>
      <c r="B11" s="2">
        <f t="shared" si="0"/>
        <v>-119328</v>
      </c>
      <c r="C11" s="2">
        <v>0</v>
      </c>
      <c r="D11" s="2">
        <v>0</v>
      </c>
      <c r="E11" s="2">
        <v>119328</v>
      </c>
      <c r="F11" s="2">
        <v>99458</v>
      </c>
    </row>
    <row r="12" spans="1:6" x14ac:dyDescent="0.3">
      <c r="A12" s="1" t="s">
        <v>9</v>
      </c>
      <c r="B12" s="2">
        <f t="shared" si="0"/>
        <v>-686529</v>
      </c>
      <c r="C12" s="2">
        <v>0</v>
      </c>
      <c r="D12" s="2">
        <v>0</v>
      </c>
      <c r="E12" s="2">
        <v>686529</v>
      </c>
      <c r="F12" s="2">
        <v>599541</v>
      </c>
    </row>
    <row r="13" spans="1:6" x14ac:dyDescent="0.3">
      <c r="A13" s="1" t="s">
        <v>10</v>
      </c>
      <c r="B13" s="2">
        <f t="shared" si="0"/>
        <v>-612941</v>
      </c>
      <c r="C13" s="2">
        <v>0</v>
      </c>
      <c r="D13" s="2">
        <v>0</v>
      </c>
      <c r="E13" s="2">
        <v>612941</v>
      </c>
      <c r="F13" s="2">
        <v>539319</v>
      </c>
    </row>
    <row r="14" spans="1:6" x14ac:dyDescent="0.3">
      <c r="A14" s="1" t="s">
        <v>11</v>
      </c>
      <c r="B14" s="2">
        <f t="shared" si="0"/>
        <v>-759268</v>
      </c>
      <c r="C14" s="2">
        <v>0</v>
      </c>
      <c r="D14" s="2">
        <v>0</v>
      </c>
      <c r="E14" s="2">
        <v>759268</v>
      </c>
      <c r="F14" s="2">
        <v>739351</v>
      </c>
    </row>
    <row r="15" spans="1:6" ht="17.25" thickBot="1" x14ac:dyDescent="0.35">
      <c r="A15" s="4" t="s">
        <v>13</v>
      </c>
      <c r="B15" s="5">
        <f>SUM(B3:B14)</f>
        <v>-10895330</v>
      </c>
      <c r="C15" s="5">
        <f t="shared" ref="C15:F15" si="1">SUM(C3:C14)</f>
        <v>0</v>
      </c>
      <c r="D15" s="5">
        <f t="shared" si="1"/>
        <v>0</v>
      </c>
      <c r="E15" s="5">
        <f t="shared" si="1"/>
        <v>10895330</v>
      </c>
      <c r="F15" s="5">
        <f t="shared" si="1"/>
        <v>7963772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-716385</v>
      </c>
      <c r="C3" s="2">
        <v>0</v>
      </c>
      <c r="D3" s="2">
        <v>0</v>
      </c>
      <c r="E3" s="2">
        <v>716385</v>
      </c>
      <c r="F3" s="2">
        <v>698251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-711598</v>
      </c>
      <c r="C5" s="2">
        <v>0</v>
      </c>
      <c r="D5" s="2">
        <v>0</v>
      </c>
      <c r="E5" s="2">
        <v>711598</v>
      </c>
      <c r="F5" s="2">
        <v>798170</v>
      </c>
    </row>
    <row r="6" spans="1:6" x14ac:dyDescent="0.3">
      <c r="A6" s="1" t="s">
        <v>3</v>
      </c>
      <c r="B6" s="2">
        <f t="shared" si="0"/>
        <v>-635241</v>
      </c>
      <c r="C6" s="2">
        <v>0</v>
      </c>
      <c r="D6" s="2">
        <v>0</v>
      </c>
      <c r="E6" s="2">
        <v>635241</v>
      </c>
      <c r="F6" s="2">
        <v>698099</v>
      </c>
    </row>
    <row r="7" spans="1:6" x14ac:dyDescent="0.3">
      <c r="A7" s="1" t="s">
        <v>4</v>
      </c>
      <c r="B7" s="2">
        <f t="shared" si="0"/>
        <v>-86255</v>
      </c>
      <c r="C7" s="2">
        <v>0</v>
      </c>
      <c r="D7" s="2">
        <v>0</v>
      </c>
      <c r="E7" s="2">
        <v>86255</v>
      </c>
      <c r="F7" s="2">
        <v>99306</v>
      </c>
    </row>
    <row r="8" spans="1:6" x14ac:dyDescent="0.3">
      <c r="A8" s="1" t="s">
        <v>5</v>
      </c>
      <c r="B8" s="2">
        <f t="shared" si="0"/>
        <v>-703614</v>
      </c>
      <c r="C8" s="2">
        <v>0</v>
      </c>
      <c r="D8" s="2">
        <v>0</v>
      </c>
      <c r="E8" s="2">
        <v>703614</v>
      </c>
      <c r="F8" s="2">
        <v>798470</v>
      </c>
    </row>
    <row r="9" spans="1:6" x14ac:dyDescent="0.3">
      <c r="A9" s="1" t="s">
        <v>6</v>
      </c>
      <c r="B9" s="2">
        <f t="shared" si="0"/>
        <v>-454058</v>
      </c>
      <c r="C9" s="2">
        <v>0</v>
      </c>
      <c r="D9" s="2">
        <v>0</v>
      </c>
      <c r="E9" s="2">
        <v>454058</v>
      </c>
      <c r="F9" s="2">
        <v>498765</v>
      </c>
    </row>
    <row r="10" spans="1:6" x14ac:dyDescent="0.3">
      <c r="A10" s="1" t="s">
        <v>7</v>
      </c>
      <c r="B10" s="2">
        <f t="shared" si="0"/>
        <v>-443999</v>
      </c>
      <c r="C10" s="2">
        <v>0</v>
      </c>
      <c r="D10" s="2">
        <v>0</v>
      </c>
      <c r="E10" s="2">
        <v>443999</v>
      </c>
      <c r="F10" s="2">
        <v>498099</v>
      </c>
    </row>
    <row r="11" spans="1:6" x14ac:dyDescent="0.3">
      <c r="A11" s="1" t="s">
        <v>8</v>
      </c>
      <c r="B11" s="2">
        <f t="shared" si="0"/>
        <v>-265278</v>
      </c>
      <c r="C11" s="2">
        <v>0</v>
      </c>
      <c r="D11" s="2">
        <v>0</v>
      </c>
      <c r="E11" s="2">
        <v>265278</v>
      </c>
      <c r="F11" s="2">
        <v>298639</v>
      </c>
    </row>
    <row r="12" spans="1:6" x14ac:dyDescent="0.3">
      <c r="A12" s="1" t="s">
        <v>9</v>
      </c>
      <c r="B12" s="2">
        <f t="shared" si="0"/>
        <v>-292103</v>
      </c>
      <c r="C12" s="2">
        <v>0</v>
      </c>
      <c r="D12" s="2">
        <v>0</v>
      </c>
      <c r="E12" s="2">
        <v>292103</v>
      </c>
      <c r="F12" s="2">
        <v>299040</v>
      </c>
    </row>
    <row r="13" spans="1:6" x14ac:dyDescent="0.3">
      <c r="A13" s="1" t="s">
        <v>10</v>
      </c>
      <c r="B13" s="2">
        <f t="shared" si="0"/>
        <v>-480506</v>
      </c>
      <c r="C13" s="2">
        <v>0</v>
      </c>
      <c r="D13" s="2">
        <v>0</v>
      </c>
      <c r="E13" s="2">
        <v>480506</v>
      </c>
      <c r="F13" s="2">
        <v>499125</v>
      </c>
    </row>
    <row r="14" spans="1:6" x14ac:dyDescent="0.3">
      <c r="A14" s="1" t="s">
        <v>11</v>
      </c>
      <c r="B14" s="2">
        <f t="shared" si="0"/>
        <v>-425143</v>
      </c>
      <c r="C14" s="2">
        <v>0</v>
      </c>
      <c r="D14" s="2">
        <v>0</v>
      </c>
      <c r="E14" s="2">
        <v>425143</v>
      </c>
      <c r="F14" s="2">
        <v>397593</v>
      </c>
    </row>
    <row r="15" spans="1:6" ht="17.25" thickBot="1" x14ac:dyDescent="0.35">
      <c r="A15" s="4" t="s">
        <v>13</v>
      </c>
      <c r="B15" s="5">
        <f>SUM(B3:B14)</f>
        <v>-5214180</v>
      </c>
      <c r="C15" s="5">
        <f t="shared" ref="C15:F15" si="1">SUM(C3:C14)</f>
        <v>0</v>
      </c>
      <c r="D15" s="5">
        <f t="shared" si="1"/>
        <v>0</v>
      </c>
      <c r="E15" s="5">
        <f t="shared" si="1"/>
        <v>5214180</v>
      </c>
      <c r="F15" s="5">
        <f t="shared" si="1"/>
        <v>5583557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-877907</v>
      </c>
      <c r="C3" s="2">
        <v>0</v>
      </c>
      <c r="D3" s="2">
        <v>0</v>
      </c>
      <c r="E3" s="2">
        <v>877907</v>
      </c>
      <c r="F3" s="2">
        <v>695359</v>
      </c>
    </row>
    <row r="4" spans="1:6" x14ac:dyDescent="0.3">
      <c r="A4" s="1" t="s">
        <v>1</v>
      </c>
      <c r="B4" s="2">
        <f t="shared" si="0"/>
        <v>-871192</v>
      </c>
      <c r="C4" s="2">
        <v>0</v>
      </c>
      <c r="D4" s="2">
        <v>0</v>
      </c>
      <c r="E4" s="2">
        <v>871192</v>
      </c>
      <c r="F4" s="2">
        <v>698757</v>
      </c>
    </row>
    <row r="5" spans="1:6" x14ac:dyDescent="0.3">
      <c r="A5" s="1" t="s">
        <v>2</v>
      </c>
      <c r="B5" s="2">
        <f t="shared" si="0"/>
        <v>-1178819</v>
      </c>
      <c r="C5" s="2">
        <v>0</v>
      </c>
      <c r="D5" s="2">
        <v>0</v>
      </c>
      <c r="E5" s="2">
        <v>1178819</v>
      </c>
      <c r="F5" s="2">
        <v>896482</v>
      </c>
    </row>
    <row r="6" spans="1:6" x14ac:dyDescent="0.3">
      <c r="A6" s="1" t="s">
        <v>3</v>
      </c>
      <c r="B6" s="2">
        <f t="shared" si="0"/>
        <v>-1437696</v>
      </c>
      <c r="C6" s="2">
        <v>0</v>
      </c>
      <c r="D6" s="2">
        <v>0</v>
      </c>
      <c r="E6" s="2">
        <v>1437696</v>
      </c>
      <c r="F6" s="2">
        <v>938906</v>
      </c>
    </row>
    <row r="7" spans="1:6" x14ac:dyDescent="0.3">
      <c r="A7" s="1" t="s">
        <v>4</v>
      </c>
      <c r="B7" s="2">
        <f t="shared" si="0"/>
        <v>-1159819</v>
      </c>
      <c r="C7" s="2">
        <v>0</v>
      </c>
      <c r="D7" s="2">
        <v>0</v>
      </c>
      <c r="E7" s="2">
        <v>1159819</v>
      </c>
      <c r="F7" s="2">
        <v>799031</v>
      </c>
    </row>
    <row r="8" spans="1:6" x14ac:dyDescent="0.3">
      <c r="A8" s="1" t="s">
        <v>5</v>
      </c>
      <c r="B8" s="2">
        <f t="shared" si="0"/>
        <v>-1028534</v>
      </c>
      <c r="C8" s="2">
        <v>0</v>
      </c>
      <c r="D8" s="2">
        <v>0</v>
      </c>
      <c r="E8" s="2">
        <v>1028534</v>
      </c>
      <c r="F8" s="2">
        <v>758260</v>
      </c>
    </row>
    <row r="9" spans="1:6" x14ac:dyDescent="0.3">
      <c r="A9" s="1" t="s">
        <v>6</v>
      </c>
      <c r="B9" s="2">
        <f t="shared" si="0"/>
        <v>-700267</v>
      </c>
      <c r="C9" s="2">
        <v>0</v>
      </c>
      <c r="D9" s="2">
        <v>0</v>
      </c>
      <c r="E9" s="2">
        <v>700267</v>
      </c>
      <c r="F9" s="2">
        <v>497983</v>
      </c>
    </row>
    <row r="10" spans="1:6" x14ac:dyDescent="0.3">
      <c r="A10" s="1" t="s">
        <v>7</v>
      </c>
      <c r="B10" s="2">
        <f t="shared" si="0"/>
        <v>-963367</v>
      </c>
      <c r="C10" s="2">
        <v>0</v>
      </c>
      <c r="D10" s="2">
        <v>0</v>
      </c>
      <c r="E10" s="2">
        <v>963367</v>
      </c>
      <c r="F10" s="2">
        <v>699059</v>
      </c>
    </row>
    <row r="11" spans="1:6" x14ac:dyDescent="0.3">
      <c r="A11" s="1" t="s">
        <v>8</v>
      </c>
      <c r="B11" s="2">
        <f t="shared" si="0"/>
        <v>-686648</v>
      </c>
      <c r="C11" s="2">
        <v>0</v>
      </c>
      <c r="D11" s="2">
        <v>0</v>
      </c>
      <c r="E11" s="2">
        <v>686648</v>
      </c>
      <c r="F11" s="2">
        <v>498751</v>
      </c>
    </row>
    <row r="12" spans="1:6" x14ac:dyDescent="0.3">
      <c r="A12" s="1" t="s">
        <v>9</v>
      </c>
      <c r="B12" s="2">
        <f t="shared" si="0"/>
        <v>-1366693</v>
      </c>
      <c r="C12" s="2">
        <v>0</v>
      </c>
      <c r="D12" s="2">
        <v>0</v>
      </c>
      <c r="E12" s="2">
        <v>1366693</v>
      </c>
      <c r="F12" s="2">
        <v>1194678</v>
      </c>
    </row>
    <row r="13" spans="1:6" x14ac:dyDescent="0.3">
      <c r="A13" s="1" t="s">
        <v>10</v>
      </c>
      <c r="B13" s="2">
        <f t="shared" si="0"/>
        <v>-629161</v>
      </c>
      <c r="C13" s="2">
        <v>0</v>
      </c>
      <c r="D13" s="2">
        <v>0</v>
      </c>
      <c r="E13" s="2">
        <v>629161</v>
      </c>
      <c r="F13" s="2">
        <v>498944</v>
      </c>
    </row>
    <row r="14" spans="1:6" x14ac:dyDescent="0.3">
      <c r="A14" s="1" t="s">
        <v>11</v>
      </c>
      <c r="B14" s="2">
        <f t="shared" si="0"/>
        <v>-702736</v>
      </c>
      <c r="C14" s="2">
        <v>0</v>
      </c>
      <c r="D14" s="2">
        <v>0</v>
      </c>
      <c r="E14" s="2">
        <v>702736</v>
      </c>
      <c r="F14" s="2">
        <v>597145</v>
      </c>
    </row>
    <row r="15" spans="1:6" ht="17.25" thickBot="1" x14ac:dyDescent="0.35">
      <c r="A15" s="4" t="s">
        <v>13</v>
      </c>
      <c r="B15" s="5">
        <f>SUM(B3:B14)</f>
        <v>-11602839</v>
      </c>
      <c r="C15" s="5">
        <f t="shared" ref="C15:F15" si="1">SUM(C3:C14)</f>
        <v>0</v>
      </c>
      <c r="D15" s="5">
        <f t="shared" si="1"/>
        <v>0</v>
      </c>
      <c r="E15" s="5">
        <f t="shared" si="1"/>
        <v>11602839</v>
      </c>
      <c r="F15" s="5">
        <f t="shared" si="1"/>
        <v>8773355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-710671</v>
      </c>
      <c r="C3" s="2">
        <v>0</v>
      </c>
      <c r="D3" s="2">
        <v>0</v>
      </c>
      <c r="E3" s="2">
        <v>710671</v>
      </c>
      <c r="F3" s="2">
        <v>697515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-241298</v>
      </c>
      <c r="C5" s="2">
        <v>0</v>
      </c>
      <c r="D5" s="2">
        <v>0</v>
      </c>
      <c r="E5" s="2">
        <v>241298</v>
      </c>
      <c r="F5" s="2">
        <v>199497</v>
      </c>
    </row>
    <row r="6" spans="1:6" x14ac:dyDescent="0.3">
      <c r="A6" s="1" t="s">
        <v>3</v>
      </c>
      <c r="B6" s="2">
        <f t="shared" si="0"/>
        <v>-981263</v>
      </c>
      <c r="C6" s="2">
        <v>0</v>
      </c>
      <c r="D6" s="2">
        <v>0</v>
      </c>
      <c r="E6" s="2">
        <v>981263</v>
      </c>
      <c r="F6" s="2">
        <v>797314</v>
      </c>
    </row>
    <row r="7" spans="1:6" x14ac:dyDescent="0.3">
      <c r="A7" s="1" t="s">
        <v>4</v>
      </c>
      <c r="B7" s="2">
        <f t="shared" si="0"/>
        <v>-554880</v>
      </c>
      <c r="C7" s="2">
        <v>0</v>
      </c>
      <c r="D7" s="2">
        <v>0</v>
      </c>
      <c r="E7" s="2">
        <v>554880</v>
      </c>
      <c r="F7" s="2">
        <v>499113</v>
      </c>
    </row>
    <row r="8" spans="1:6" x14ac:dyDescent="0.3">
      <c r="A8" s="1" t="s">
        <v>5</v>
      </c>
      <c r="B8" s="2">
        <f t="shared" si="0"/>
        <v>-1292087</v>
      </c>
      <c r="C8" s="2">
        <v>0</v>
      </c>
      <c r="D8" s="2">
        <v>0</v>
      </c>
      <c r="E8" s="2">
        <v>1292087</v>
      </c>
      <c r="F8" s="2">
        <v>1196387</v>
      </c>
    </row>
    <row r="9" spans="1:6" x14ac:dyDescent="0.3">
      <c r="A9" s="1" t="s">
        <v>6</v>
      </c>
      <c r="B9" s="2">
        <f t="shared" si="0"/>
        <v>-743236</v>
      </c>
      <c r="C9" s="2">
        <v>0</v>
      </c>
      <c r="D9" s="2">
        <v>0</v>
      </c>
      <c r="E9" s="2">
        <v>743236</v>
      </c>
      <c r="F9" s="2">
        <v>698990</v>
      </c>
    </row>
    <row r="10" spans="1:6" x14ac:dyDescent="0.3">
      <c r="A10" s="1" t="s">
        <v>7</v>
      </c>
      <c r="B10" s="2">
        <f t="shared" si="0"/>
        <v>-93574</v>
      </c>
      <c r="C10" s="2">
        <v>0</v>
      </c>
      <c r="D10" s="2">
        <v>0</v>
      </c>
      <c r="E10" s="2">
        <v>93574</v>
      </c>
      <c r="F10" s="2">
        <v>99654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-91312</v>
      </c>
      <c r="C12" s="2">
        <v>0</v>
      </c>
      <c r="D12" s="2">
        <v>0</v>
      </c>
      <c r="E12" s="2">
        <v>91312</v>
      </c>
      <c r="F12" s="2">
        <v>99642</v>
      </c>
    </row>
    <row r="13" spans="1:6" x14ac:dyDescent="0.3">
      <c r="A13" s="1" t="s">
        <v>10</v>
      </c>
      <c r="B13" s="2">
        <f t="shared" si="0"/>
        <v>-278714</v>
      </c>
      <c r="C13" s="2">
        <v>0</v>
      </c>
      <c r="D13" s="2">
        <v>0</v>
      </c>
      <c r="E13" s="2">
        <v>278714</v>
      </c>
      <c r="F13" s="2">
        <v>299610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-4987035</v>
      </c>
      <c r="C15" s="5">
        <f t="shared" ref="C15:F15" si="1">SUM(C3:C14)</f>
        <v>0</v>
      </c>
      <c r="D15" s="5">
        <f t="shared" si="1"/>
        <v>0</v>
      </c>
      <c r="E15" s="5">
        <f t="shared" si="1"/>
        <v>4987035</v>
      </c>
      <c r="F15" s="5">
        <f t="shared" si="1"/>
        <v>4587722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-196721</v>
      </c>
      <c r="C3" s="2">
        <v>0</v>
      </c>
      <c r="D3" s="2">
        <v>0</v>
      </c>
      <c r="E3" s="2">
        <v>196721</v>
      </c>
      <c r="F3" s="2">
        <v>200006</v>
      </c>
    </row>
    <row r="4" spans="1:6" x14ac:dyDescent="0.3">
      <c r="A4" s="1" t="s">
        <v>1</v>
      </c>
      <c r="B4" s="2">
        <f t="shared" si="0"/>
        <v>-317264</v>
      </c>
      <c r="C4" s="2">
        <v>0</v>
      </c>
      <c r="D4" s="2">
        <v>0</v>
      </c>
      <c r="E4" s="2">
        <v>317264</v>
      </c>
      <c r="F4" s="2">
        <v>298804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-113862</v>
      </c>
      <c r="C6" s="2">
        <v>0</v>
      </c>
      <c r="D6" s="2">
        <v>0</v>
      </c>
      <c r="E6" s="2">
        <v>113862</v>
      </c>
      <c r="F6" s="2">
        <v>99365</v>
      </c>
    </row>
    <row r="7" spans="1:6" x14ac:dyDescent="0.3">
      <c r="A7" s="1" t="s">
        <v>4</v>
      </c>
      <c r="B7" s="2">
        <f t="shared" si="0"/>
        <v>-285558</v>
      </c>
      <c r="C7" s="2">
        <v>0</v>
      </c>
      <c r="D7" s="2">
        <v>0</v>
      </c>
      <c r="E7" s="2">
        <v>285558</v>
      </c>
      <c r="F7" s="2">
        <v>199135</v>
      </c>
    </row>
    <row r="8" spans="1:6" x14ac:dyDescent="0.3">
      <c r="A8" s="1" t="s">
        <v>5</v>
      </c>
      <c r="B8" s="2">
        <f t="shared" si="0"/>
        <v>-276328</v>
      </c>
      <c r="C8" s="2">
        <v>0</v>
      </c>
      <c r="D8" s="2">
        <v>0</v>
      </c>
      <c r="E8" s="2">
        <v>276328</v>
      </c>
      <c r="F8" s="2">
        <v>199882</v>
      </c>
    </row>
    <row r="9" spans="1:6" x14ac:dyDescent="0.3">
      <c r="A9" s="1" t="s">
        <v>6</v>
      </c>
      <c r="B9" s="2">
        <f t="shared" si="0"/>
        <v>-408099</v>
      </c>
      <c r="C9" s="2">
        <v>0</v>
      </c>
      <c r="D9" s="2">
        <v>0</v>
      </c>
      <c r="E9" s="2">
        <v>408099</v>
      </c>
      <c r="F9" s="2">
        <v>297092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-148701</v>
      </c>
      <c r="C12" s="2">
        <v>0</v>
      </c>
      <c r="D12" s="2">
        <v>0</v>
      </c>
      <c r="E12" s="2">
        <v>148701</v>
      </c>
      <c r="F12" s="2">
        <v>99801</v>
      </c>
    </row>
    <row r="13" spans="1:6" x14ac:dyDescent="0.3">
      <c r="A13" s="1" t="s">
        <v>10</v>
      </c>
      <c r="B13" s="2">
        <f t="shared" si="0"/>
        <v>-331782</v>
      </c>
      <c r="C13" s="2">
        <v>0</v>
      </c>
      <c r="D13" s="2">
        <v>0</v>
      </c>
      <c r="E13" s="2">
        <v>331782</v>
      </c>
      <c r="F13" s="2">
        <v>199318</v>
      </c>
    </row>
    <row r="14" spans="1:6" x14ac:dyDescent="0.3">
      <c r="A14" s="1" t="s">
        <v>11</v>
      </c>
      <c r="B14" s="2">
        <f t="shared" si="0"/>
        <v>-68435</v>
      </c>
      <c r="C14" s="2">
        <v>0</v>
      </c>
      <c r="D14" s="2">
        <v>0</v>
      </c>
      <c r="E14" s="2">
        <v>68435</v>
      </c>
      <c r="F14" s="2">
        <v>40300</v>
      </c>
    </row>
    <row r="15" spans="1:6" ht="17.25" thickBot="1" x14ac:dyDescent="0.35">
      <c r="A15" s="4" t="s">
        <v>13</v>
      </c>
      <c r="B15" s="5">
        <f>SUM(B3:B14)</f>
        <v>-2146750</v>
      </c>
      <c r="C15" s="5">
        <f t="shared" ref="C15:F15" si="1">SUM(C3:C14)</f>
        <v>0</v>
      </c>
      <c r="D15" s="5">
        <f t="shared" si="1"/>
        <v>0</v>
      </c>
      <c r="E15" s="5">
        <f t="shared" si="1"/>
        <v>2146750</v>
      </c>
      <c r="F15" s="5">
        <f t="shared" si="1"/>
        <v>1633703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-912209</v>
      </c>
      <c r="C3" s="2">
        <v>0</v>
      </c>
      <c r="D3" s="2">
        <v>0</v>
      </c>
      <c r="E3" s="2">
        <v>912209</v>
      </c>
      <c r="F3" s="2">
        <v>520533</v>
      </c>
    </row>
    <row r="4" spans="1:6" x14ac:dyDescent="0.3">
      <c r="A4" s="1" t="s">
        <v>1</v>
      </c>
      <c r="B4" s="2">
        <f t="shared" si="0"/>
        <v>-38</v>
      </c>
      <c r="C4" s="2">
        <v>0</v>
      </c>
      <c r="D4" s="2">
        <v>0</v>
      </c>
      <c r="E4" s="2">
        <v>38</v>
      </c>
      <c r="F4" s="2">
        <v>6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-140958</v>
      </c>
      <c r="C6" s="2">
        <v>0</v>
      </c>
      <c r="D6" s="2">
        <v>0</v>
      </c>
      <c r="E6" s="2">
        <v>140958</v>
      </c>
      <c r="F6" s="2">
        <v>99684</v>
      </c>
    </row>
    <row r="7" spans="1:6" x14ac:dyDescent="0.3">
      <c r="A7" s="1" t="s">
        <v>4</v>
      </c>
      <c r="B7" s="2">
        <f t="shared" si="0"/>
        <v>-1098352</v>
      </c>
      <c r="C7" s="2">
        <v>0</v>
      </c>
      <c r="D7" s="2">
        <v>0</v>
      </c>
      <c r="E7" s="2">
        <v>1098352</v>
      </c>
      <c r="F7" s="2">
        <v>846377</v>
      </c>
    </row>
    <row r="8" spans="1:6" x14ac:dyDescent="0.3">
      <c r="A8" s="1" t="s">
        <v>5</v>
      </c>
      <c r="B8" s="2">
        <f t="shared" si="0"/>
        <v>-828631</v>
      </c>
      <c r="C8" s="2">
        <v>0</v>
      </c>
      <c r="D8" s="2">
        <v>0</v>
      </c>
      <c r="E8" s="2">
        <v>828631</v>
      </c>
      <c r="F8" s="2">
        <v>698488</v>
      </c>
    </row>
    <row r="9" spans="1:6" x14ac:dyDescent="0.3">
      <c r="A9" s="1" t="s">
        <v>6</v>
      </c>
      <c r="B9" s="2">
        <f t="shared" si="0"/>
        <v>-650080</v>
      </c>
      <c r="C9" s="2">
        <v>0</v>
      </c>
      <c r="D9" s="2">
        <v>0</v>
      </c>
      <c r="E9" s="2">
        <v>650080</v>
      </c>
      <c r="F9" s="2">
        <v>599083</v>
      </c>
    </row>
    <row r="10" spans="1:6" x14ac:dyDescent="0.3">
      <c r="A10" s="1" t="s">
        <v>7</v>
      </c>
      <c r="B10" s="2">
        <f t="shared" si="0"/>
        <v>-1097760</v>
      </c>
      <c r="C10" s="2">
        <v>0</v>
      </c>
      <c r="D10" s="2">
        <v>0</v>
      </c>
      <c r="E10" s="2">
        <v>1097760</v>
      </c>
      <c r="F10" s="2">
        <v>898745</v>
      </c>
    </row>
    <row r="11" spans="1:6" x14ac:dyDescent="0.3">
      <c r="A11" s="1" t="s">
        <v>8</v>
      </c>
      <c r="B11" s="2">
        <f t="shared" si="0"/>
        <v>-800346</v>
      </c>
      <c r="C11" s="2">
        <v>0</v>
      </c>
      <c r="D11" s="2">
        <v>0</v>
      </c>
      <c r="E11" s="2">
        <v>800346</v>
      </c>
      <c r="F11" s="2">
        <v>698986</v>
      </c>
    </row>
    <row r="12" spans="1:6" x14ac:dyDescent="0.3">
      <c r="A12" s="1" t="s">
        <v>9</v>
      </c>
      <c r="B12" s="2">
        <f t="shared" si="0"/>
        <v>-1005461</v>
      </c>
      <c r="C12" s="2">
        <v>0</v>
      </c>
      <c r="D12" s="2">
        <v>0</v>
      </c>
      <c r="E12" s="2">
        <v>1005461</v>
      </c>
      <c r="F12" s="2">
        <v>895283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-10</v>
      </c>
      <c r="C14" s="2">
        <v>0</v>
      </c>
      <c r="D14" s="2">
        <v>0</v>
      </c>
      <c r="E14" s="2">
        <v>10</v>
      </c>
      <c r="F14" s="2">
        <v>1</v>
      </c>
    </row>
    <row r="15" spans="1:6" ht="17.25" thickBot="1" x14ac:dyDescent="0.35">
      <c r="A15" s="4" t="s">
        <v>13</v>
      </c>
      <c r="B15" s="5">
        <f>SUM(B3:B14)</f>
        <v>-6533845</v>
      </c>
      <c r="C15" s="5">
        <f t="shared" ref="C15:F15" si="1">SUM(C3:C14)</f>
        <v>0</v>
      </c>
      <c r="D15" s="5">
        <f t="shared" si="1"/>
        <v>0</v>
      </c>
      <c r="E15" s="5">
        <f t="shared" si="1"/>
        <v>6533845</v>
      </c>
      <c r="F15" s="5">
        <f t="shared" si="1"/>
        <v>5257186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-1585358</v>
      </c>
      <c r="C4" s="2">
        <v>0</v>
      </c>
      <c r="D4" s="2">
        <v>0</v>
      </c>
      <c r="E4" s="2">
        <v>1585358</v>
      </c>
      <c r="F4" s="2">
        <v>1097524</v>
      </c>
    </row>
    <row r="5" spans="1:6" x14ac:dyDescent="0.3">
      <c r="A5" s="1" t="s">
        <v>2</v>
      </c>
      <c r="B5" s="2">
        <f t="shared" si="0"/>
        <v>-684540</v>
      </c>
      <c r="C5" s="2">
        <v>0</v>
      </c>
      <c r="D5" s="2">
        <v>0</v>
      </c>
      <c r="E5" s="2">
        <v>684540</v>
      </c>
      <c r="F5" s="2">
        <v>499549</v>
      </c>
    </row>
    <row r="6" spans="1:6" x14ac:dyDescent="0.3">
      <c r="A6" s="1" t="s">
        <v>3</v>
      </c>
      <c r="B6" s="2">
        <f t="shared" si="0"/>
        <v>-669542</v>
      </c>
      <c r="C6" s="2">
        <v>0</v>
      </c>
      <c r="D6" s="2">
        <v>0</v>
      </c>
      <c r="E6" s="2">
        <v>669542</v>
      </c>
      <c r="F6" s="2">
        <v>499034</v>
      </c>
    </row>
    <row r="7" spans="1:6" x14ac:dyDescent="0.3">
      <c r="A7" s="1" t="s">
        <v>4</v>
      </c>
      <c r="B7" s="2">
        <f t="shared" si="0"/>
        <v>-832875</v>
      </c>
      <c r="C7" s="2">
        <v>0</v>
      </c>
      <c r="D7" s="2">
        <v>0</v>
      </c>
      <c r="E7" s="2">
        <v>832875</v>
      </c>
      <c r="F7" s="2">
        <v>698984</v>
      </c>
    </row>
    <row r="8" spans="1:6" x14ac:dyDescent="0.3">
      <c r="A8" s="1" t="s">
        <v>5</v>
      </c>
      <c r="B8" s="2">
        <f t="shared" si="0"/>
        <v>-810917</v>
      </c>
      <c r="C8" s="2">
        <v>0</v>
      </c>
      <c r="D8" s="2">
        <v>0</v>
      </c>
      <c r="E8" s="2">
        <v>810917</v>
      </c>
      <c r="F8" s="2">
        <v>698602</v>
      </c>
    </row>
    <row r="9" spans="1:6" x14ac:dyDescent="0.3">
      <c r="A9" s="1" t="s">
        <v>6</v>
      </c>
      <c r="B9" s="2">
        <f t="shared" si="0"/>
        <v>-764145</v>
      </c>
      <c r="C9" s="2">
        <v>0</v>
      </c>
      <c r="D9" s="2">
        <v>0</v>
      </c>
      <c r="E9" s="2">
        <v>764145</v>
      </c>
      <c r="F9" s="2">
        <v>698603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-666719</v>
      </c>
      <c r="C11" s="2">
        <v>0</v>
      </c>
      <c r="D11" s="2">
        <v>0</v>
      </c>
      <c r="E11" s="2">
        <v>666719</v>
      </c>
      <c r="F11" s="2">
        <v>599429</v>
      </c>
    </row>
    <row r="12" spans="1:6" x14ac:dyDescent="0.3">
      <c r="A12" s="1" t="s">
        <v>9</v>
      </c>
      <c r="B12" s="2">
        <f t="shared" si="0"/>
        <v>-368561</v>
      </c>
      <c r="C12" s="2">
        <v>0</v>
      </c>
      <c r="D12" s="2">
        <v>0</v>
      </c>
      <c r="E12" s="2">
        <v>368561</v>
      </c>
      <c r="F12" s="2">
        <v>349601</v>
      </c>
    </row>
    <row r="13" spans="1:6" x14ac:dyDescent="0.3">
      <c r="A13" s="1" t="s">
        <v>10</v>
      </c>
      <c r="B13" s="2">
        <f t="shared" si="0"/>
        <v>-406458</v>
      </c>
      <c r="C13" s="2">
        <v>0</v>
      </c>
      <c r="D13" s="2">
        <v>0</v>
      </c>
      <c r="E13" s="2">
        <v>406458</v>
      </c>
      <c r="F13" s="2">
        <v>399437</v>
      </c>
    </row>
    <row r="14" spans="1:6" x14ac:dyDescent="0.3">
      <c r="A14" s="1" t="s">
        <v>11</v>
      </c>
      <c r="B14" s="2">
        <f t="shared" si="0"/>
        <v>-298133</v>
      </c>
      <c r="C14" s="2">
        <v>0</v>
      </c>
      <c r="D14" s="2">
        <v>0</v>
      </c>
      <c r="E14" s="2">
        <v>298133</v>
      </c>
      <c r="F14" s="2">
        <v>298218</v>
      </c>
    </row>
    <row r="15" spans="1:6" ht="17.25" thickBot="1" x14ac:dyDescent="0.35">
      <c r="A15" s="4" t="s">
        <v>13</v>
      </c>
      <c r="B15" s="5">
        <f>SUM(B3:B14)</f>
        <v>-7087248</v>
      </c>
      <c r="C15" s="5">
        <f t="shared" ref="C15:F15" si="1">SUM(C3:C14)</f>
        <v>0</v>
      </c>
      <c r="D15" s="5">
        <f t="shared" si="1"/>
        <v>0</v>
      </c>
      <c r="E15" s="5">
        <f t="shared" si="1"/>
        <v>7087248</v>
      </c>
      <c r="F15" s="5">
        <f t="shared" si="1"/>
        <v>5838981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-20</v>
      </c>
      <c r="C3" s="2">
        <v>0</v>
      </c>
      <c r="D3" s="2">
        <v>0</v>
      </c>
      <c r="E3" s="2">
        <v>20</v>
      </c>
      <c r="F3" s="2">
        <v>2</v>
      </c>
    </row>
    <row r="4" spans="1:6" x14ac:dyDescent="0.3">
      <c r="A4" s="1" t="s">
        <v>1</v>
      </c>
      <c r="B4" s="2">
        <f t="shared" si="0"/>
        <v>-339944</v>
      </c>
      <c r="C4" s="2">
        <v>0</v>
      </c>
      <c r="D4" s="2">
        <v>0</v>
      </c>
      <c r="E4" s="2">
        <v>339944</v>
      </c>
      <c r="F4" s="2">
        <v>399055</v>
      </c>
    </row>
    <row r="5" spans="1:6" x14ac:dyDescent="0.3">
      <c r="A5" s="1" t="s">
        <v>2</v>
      </c>
      <c r="B5" s="2">
        <f t="shared" si="0"/>
        <v>-359835</v>
      </c>
      <c r="C5" s="2">
        <v>0</v>
      </c>
      <c r="D5" s="2">
        <v>0</v>
      </c>
      <c r="E5" s="2">
        <v>359835</v>
      </c>
      <c r="F5" s="2">
        <v>399088</v>
      </c>
    </row>
    <row r="6" spans="1:6" x14ac:dyDescent="0.3">
      <c r="A6" s="1" t="s">
        <v>3</v>
      </c>
      <c r="B6" s="2">
        <f t="shared" si="0"/>
        <v>-157305</v>
      </c>
      <c r="C6" s="2">
        <v>0</v>
      </c>
      <c r="D6" s="2">
        <v>0</v>
      </c>
      <c r="E6" s="2">
        <v>157305</v>
      </c>
      <c r="F6" s="2">
        <v>199235</v>
      </c>
    </row>
    <row r="7" spans="1:6" x14ac:dyDescent="0.3">
      <c r="A7" s="1" t="s">
        <v>4</v>
      </c>
      <c r="B7" s="2">
        <f t="shared" si="0"/>
        <v>-570834</v>
      </c>
      <c r="C7" s="2">
        <v>0</v>
      </c>
      <c r="D7" s="2">
        <v>0</v>
      </c>
      <c r="E7" s="2">
        <v>570834</v>
      </c>
      <c r="F7" s="2">
        <v>699682</v>
      </c>
    </row>
    <row r="8" spans="1:6" x14ac:dyDescent="0.3">
      <c r="A8" s="1" t="s">
        <v>5</v>
      </c>
      <c r="B8" s="2">
        <f t="shared" si="0"/>
        <v>-320931</v>
      </c>
      <c r="C8" s="2">
        <v>0</v>
      </c>
      <c r="D8" s="2">
        <v>0</v>
      </c>
      <c r="E8" s="2">
        <v>320931</v>
      </c>
      <c r="F8" s="2">
        <v>399085</v>
      </c>
    </row>
    <row r="9" spans="1:6" x14ac:dyDescent="0.3">
      <c r="A9" s="1" t="s">
        <v>6</v>
      </c>
      <c r="B9" s="2">
        <f t="shared" si="0"/>
        <v>-283440</v>
      </c>
      <c r="C9" s="2">
        <v>0</v>
      </c>
      <c r="D9" s="2">
        <v>0</v>
      </c>
      <c r="E9" s="2">
        <v>283440</v>
      </c>
      <c r="F9" s="2">
        <v>399508</v>
      </c>
    </row>
    <row r="10" spans="1:6" x14ac:dyDescent="0.3">
      <c r="A10" s="1" t="s">
        <v>7</v>
      </c>
      <c r="B10" s="2">
        <f t="shared" si="0"/>
        <v>-409248</v>
      </c>
      <c r="C10" s="2">
        <v>0</v>
      </c>
      <c r="D10" s="2">
        <v>0</v>
      </c>
      <c r="E10" s="2">
        <v>409248</v>
      </c>
      <c r="F10" s="2">
        <v>598143</v>
      </c>
    </row>
    <row r="11" spans="1:6" x14ac:dyDescent="0.3">
      <c r="A11" s="1" t="s">
        <v>8</v>
      </c>
      <c r="B11" s="2">
        <f t="shared" si="0"/>
        <v>-441425</v>
      </c>
      <c r="C11" s="2">
        <v>0</v>
      </c>
      <c r="D11" s="2">
        <v>0</v>
      </c>
      <c r="E11" s="2">
        <v>441425</v>
      </c>
      <c r="F11" s="2">
        <v>601796</v>
      </c>
    </row>
    <row r="12" spans="1:6" x14ac:dyDescent="0.3">
      <c r="A12" s="1" t="s">
        <v>9</v>
      </c>
      <c r="B12" s="2">
        <f t="shared" si="0"/>
        <v>-415416</v>
      </c>
      <c r="C12" s="2">
        <v>0</v>
      </c>
      <c r="D12" s="2">
        <v>0</v>
      </c>
      <c r="E12" s="2">
        <v>415416</v>
      </c>
      <c r="F12" s="2">
        <v>599145</v>
      </c>
    </row>
    <row r="13" spans="1:6" x14ac:dyDescent="0.3">
      <c r="A13" s="1" t="s">
        <v>10</v>
      </c>
      <c r="B13" s="2">
        <f t="shared" si="0"/>
        <v>-284569</v>
      </c>
      <c r="C13" s="2">
        <v>0</v>
      </c>
      <c r="D13" s="2">
        <v>0</v>
      </c>
      <c r="E13" s="2">
        <v>284569</v>
      </c>
      <c r="F13" s="2">
        <v>399394</v>
      </c>
    </row>
    <row r="14" spans="1:6" x14ac:dyDescent="0.3">
      <c r="A14" s="1" t="s">
        <v>11</v>
      </c>
      <c r="B14" s="2">
        <f t="shared" si="0"/>
        <v>-402248</v>
      </c>
      <c r="C14" s="2">
        <v>0</v>
      </c>
      <c r="D14" s="2">
        <v>0</v>
      </c>
      <c r="E14" s="2">
        <v>402248</v>
      </c>
      <c r="F14" s="2">
        <v>599110</v>
      </c>
    </row>
    <row r="15" spans="1:6" ht="17.25" thickBot="1" x14ac:dyDescent="0.35">
      <c r="A15" s="4" t="s">
        <v>13</v>
      </c>
      <c r="B15" s="5">
        <f>SUM(B3:B14)</f>
        <v>-3985215</v>
      </c>
      <c r="C15" s="5">
        <f t="shared" ref="C15:F15" si="1">SUM(C3:C14)</f>
        <v>0</v>
      </c>
      <c r="D15" s="5">
        <f t="shared" si="1"/>
        <v>0</v>
      </c>
      <c r="E15" s="5">
        <f t="shared" si="1"/>
        <v>3985215</v>
      </c>
      <c r="F15" s="5">
        <f t="shared" si="1"/>
        <v>5293243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-633362</v>
      </c>
      <c r="C4" s="2">
        <v>0</v>
      </c>
      <c r="D4" s="2">
        <v>0</v>
      </c>
      <c r="E4" s="2">
        <v>633362</v>
      </c>
      <c r="F4" s="2">
        <v>598352</v>
      </c>
    </row>
    <row r="5" spans="1:6" x14ac:dyDescent="0.3">
      <c r="A5" s="1" t="s">
        <v>2</v>
      </c>
      <c r="B5" s="2">
        <f t="shared" si="0"/>
        <v>-15</v>
      </c>
      <c r="C5" s="2">
        <v>0</v>
      </c>
      <c r="D5" s="2">
        <v>0</v>
      </c>
      <c r="E5" s="2">
        <v>15</v>
      </c>
      <c r="F5" s="2">
        <v>1</v>
      </c>
    </row>
    <row r="6" spans="1:6" x14ac:dyDescent="0.3">
      <c r="A6" s="1" t="s">
        <v>3</v>
      </c>
      <c r="B6" s="2">
        <f t="shared" si="0"/>
        <v>-434348</v>
      </c>
      <c r="C6" s="2">
        <v>0</v>
      </c>
      <c r="D6" s="2">
        <v>0</v>
      </c>
      <c r="E6" s="2">
        <v>434348</v>
      </c>
      <c r="F6" s="2">
        <v>399660</v>
      </c>
    </row>
    <row r="7" spans="1:6" x14ac:dyDescent="0.3">
      <c r="A7" s="1" t="s">
        <v>4</v>
      </c>
      <c r="B7" s="2">
        <f t="shared" si="0"/>
        <v>-290568</v>
      </c>
      <c r="C7" s="2">
        <v>0</v>
      </c>
      <c r="D7" s="2">
        <v>0</v>
      </c>
      <c r="E7" s="2">
        <v>290568</v>
      </c>
      <c r="F7" s="2">
        <v>299219</v>
      </c>
    </row>
    <row r="8" spans="1:6" x14ac:dyDescent="0.3">
      <c r="A8" s="1" t="s">
        <v>5</v>
      </c>
      <c r="B8" s="2">
        <f t="shared" si="0"/>
        <v>-286646</v>
      </c>
      <c r="C8" s="2">
        <v>0</v>
      </c>
      <c r="D8" s="2">
        <v>0</v>
      </c>
      <c r="E8" s="2">
        <v>286646</v>
      </c>
      <c r="F8" s="2">
        <v>349165</v>
      </c>
    </row>
    <row r="9" spans="1:6" x14ac:dyDescent="0.3">
      <c r="A9" s="1" t="s">
        <v>6</v>
      </c>
      <c r="B9" s="2">
        <f t="shared" si="0"/>
        <v>-426240</v>
      </c>
      <c r="C9" s="2">
        <v>0</v>
      </c>
      <c r="D9" s="2">
        <v>0</v>
      </c>
      <c r="E9" s="2">
        <v>426240</v>
      </c>
      <c r="F9" s="2">
        <v>599006</v>
      </c>
    </row>
    <row r="10" spans="1:6" x14ac:dyDescent="0.3">
      <c r="A10" s="1" t="s">
        <v>7</v>
      </c>
      <c r="B10" s="2">
        <f t="shared" si="0"/>
        <v>-309146</v>
      </c>
      <c r="C10" s="2">
        <v>0</v>
      </c>
      <c r="D10" s="2">
        <v>0</v>
      </c>
      <c r="E10" s="2">
        <v>309146</v>
      </c>
      <c r="F10" s="2">
        <v>398914</v>
      </c>
    </row>
    <row r="11" spans="1:6" x14ac:dyDescent="0.3">
      <c r="A11" s="1" t="s">
        <v>8</v>
      </c>
      <c r="B11" s="2">
        <f t="shared" si="0"/>
        <v>-301779</v>
      </c>
      <c r="C11" s="2">
        <v>0</v>
      </c>
      <c r="D11" s="2">
        <v>0</v>
      </c>
      <c r="E11" s="2">
        <v>301779</v>
      </c>
      <c r="F11" s="2">
        <v>399532</v>
      </c>
    </row>
    <row r="12" spans="1:6" x14ac:dyDescent="0.3">
      <c r="A12" s="1" t="s">
        <v>9</v>
      </c>
      <c r="B12" s="2">
        <f t="shared" si="0"/>
        <v>-528258</v>
      </c>
      <c r="C12" s="2">
        <v>0</v>
      </c>
      <c r="D12" s="2">
        <v>0</v>
      </c>
      <c r="E12" s="2">
        <v>528258</v>
      </c>
      <c r="F12" s="2">
        <v>617344</v>
      </c>
    </row>
    <row r="13" spans="1:6" x14ac:dyDescent="0.3">
      <c r="A13" s="1" t="s">
        <v>10</v>
      </c>
      <c r="B13" s="2">
        <f t="shared" si="0"/>
        <v>-705060</v>
      </c>
      <c r="C13" s="2">
        <v>0</v>
      </c>
      <c r="D13" s="2">
        <v>0</v>
      </c>
      <c r="E13" s="2">
        <v>705060</v>
      </c>
      <c r="F13" s="2">
        <v>799267</v>
      </c>
    </row>
    <row r="14" spans="1:6" x14ac:dyDescent="0.3">
      <c r="A14" s="1" t="s">
        <v>11</v>
      </c>
      <c r="B14" s="2">
        <f t="shared" si="0"/>
        <v>-277484</v>
      </c>
      <c r="C14" s="2">
        <v>0</v>
      </c>
      <c r="D14" s="2">
        <v>0</v>
      </c>
      <c r="E14" s="2">
        <v>277484</v>
      </c>
      <c r="F14" s="2">
        <v>299345</v>
      </c>
    </row>
    <row r="15" spans="1:6" ht="17.25" thickBot="1" x14ac:dyDescent="0.35">
      <c r="A15" s="4" t="s">
        <v>13</v>
      </c>
      <c r="B15" s="5">
        <f>SUM(B3:B14)</f>
        <v>-4192906</v>
      </c>
      <c r="C15" s="5">
        <f t="shared" ref="C15:F15" si="1">SUM(C3:C14)</f>
        <v>0</v>
      </c>
      <c r="D15" s="5">
        <f t="shared" si="1"/>
        <v>0</v>
      </c>
      <c r="E15" s="5">
        <f t="shared" si="1"/>
        <v>4192906</v>
      </c>
      <c r="F15" s="5">
        <f t="shared" si="1"/>
        <v>4759805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-757620</v>
      </c>
      <c r="C3" s="2">
        <v>0</v>
      </c>
      <c r="D3" s="2">
        <v>0</v>
      </c>
      <c r="E3" s="2">
        <v>757620</v>
      </c>
      <c r="F3" s="2">
        <v>599390</v>
      </c>
    </row>
    <row r="4" spans="1:6" x14ac:dyDescent="0.3">
      <c r="A4" s="1" t="s">
        <v>1</v>
      </c>
      <c r="B4" s="2">
        <f t="shared" si="0"/>
        <v>-676194</v>
      </c>
      <c r="C4" s="2">
        <v>0</v>
      </c>
      <c r="D4" s="2">
        <v>0</v>
      </c>
      <c r="E4" s="2">
        <v>676194</v>
      </c>
      <c r="F4" s="2">
        <v>497959</v>
      </c>
    </row>
    <row r="5" spans="1:6" x14ac:dyDescent="0.3">
      <c r="A5" s="1" t="s">
        <v>2</v>
      </c>
      <c r="B5" s="2">
        <f t="shared" si="0"/>
        <v>-882352</v>
      </c>
      <c r="C5" s="2">
        <v>0</v>
      </c>
      <c r="D5" s="2">
        <v>0</v>
      </c>
      <c r="E5" s="2">
        <v>882352</v>
      </c>
      <c r="F5" s="2">
        <v>599423</v>
      </c>
    </row>
    <row r="6" spans="1:6" x14ac:dyDescent="0.3">
      <c r="A6" s="1" t="s">
        <v>3</v>
      </c>
      <c r="B6" s="2">
        <f t="shared" si="0"/>
        <v>-838415</v>
      </c>
      <c r="C6" s="2">
        <v>0</v>
      </c>
      <c r="D6" s="2">
        <v>0</v>
      </c>
      <c r="E6" s="2">
        <v>838415</v>
      </c>
      <c r="F6" s="2">
        <v>598098</v>
      </c>
    </row>
    <row r="7" spans="1:6" x14ac:dyDescent="0.3">
      <c r="A7" s="1" t="s">
        <v>4</v>
      </c>
      <c r="B7" s="2">
        <f t="shared" si="0"/>
        <v>-431914</v>
      </c>
      <c r="C7" s="2">
        <v>0</v>
      </c>
      <c r="D7" s="2">
        <v>0</v>
      </c>
      <c r="E7" s="2">
        <v>431914</v>
      </c>
      <c r="F7" s="2">
        <v>299367</v>
      </c>
    </row>
    <row r="8" spans="1:6" x14ac:dyDescent="0.3">
      <c r="A8" s="1" t="s">
        <v>5</v>
      </c>
      <c r="B8" s="2">
        <f t="shared" si="0"/>
        <v>-281737</v>
      </c>
      <c r="C8" s="2">
        <v>0</v>
      </c>
      <c r="D8" s="2">
        <v>0</v>
      </c>
      <c r="E8" s="2">
        <v>281737</v>
      </c>
      <c r="F8" s="2">
        <v>199157</v>
      </c>
    </row>
    <row r="9" spans="1:6" x14ac:dyDescent="0.3">
      <c r="A9" s="1" t="s">
        <v>6</v>
      </c>
      <c r="B9" s="2">
        <f t="shared" si="0"/>
        <v>-628886</v>
      </c>
      <c r="C9" s="2">
        <v>0</v>
      </c>
      <c r="D9" s="2">
        <v>0</v>
      </c>
      <c r="E9" s="2">
        <v>628886</v>
      </c>
      <c r="F9" s="2">
        <v>399458</v>
      </c>
    </row>
    <row r="10" spans="1:6" x14ac:dyDescent="0.3">
      <c r="A10" s="1" t="s">
        <v>7</v>
      </c>
      <c r="B10" s="2">
        <f t="shared" si="0"/>
        <v>-865095</v>
      </c>
      <c r="C10" s="2">
        <v>0</v>
      </c>
      <c r="D10" s="2">
        <v>0</v>
      </c>
      <c r="E10" s="2">
        <v>865095</v>
      </c>
      <c r="F10" s="2">
        <v>594805</v>
      </c>
    </row>
    <row r="11" spans="1:6" x14ac:dyDescent="0.3">
      <c r="A11" s="1" t="s">
        <v>8</v>
      </c>
      <c r="B11" s="2">
        <f t="shared" si="0"/>
        <v>-808050</v>
      </c>
      <c r="C11" s="2">
        <v>0</v>
      </c>
      <c r="D11" s="2">
        <v>0</v>
      </c>
      <c r="E11" s="2">
        <v>808050</v>
      </c>
      <c r="F11" s="2">
        <v>599546</v>
      </c>
    </row>
    <row r="12" spans="1:6" x14ac:dyDescent="0.3">
      <c r="A12" s="1" t="s">
        <v>9</v>
      </c>
      <c r="B12" s="2">
        <f t="shared" si="0"/>
        <v>-547195</v>
      </c>
      <c r="C12" s="2">
        <v>0</v>
      </c>
      <c r="D12" s="2">
        <v>0</v>
      </c>
      <c r="E12" s="2">
        <v>547195</v>
      </c>
      <c r="F12" s="2">
        <v>399123</v>
      </c>
    </row>
    <row r="13" spans="1:6" x14ac:dyDescent="0.3">
      <c r="A13" s="1" t="s">
        <v>10</v>
      </c>
      <c r="B13" s="2">
        <f t="shared" si="0"/>
        <v>-862359</v>
      </c>
      <c r="C13" s="2">
        <v>0</v>
      </c>
      <c r="D13" s="2">
        <v>0</v>
      </c>
      <c r="E13" s="2">
        <v>862359</v>
      </c>
      <c r="F13" s="2">
        <v>599636</v>
      </c>
    </row>
    <row r="14" spans="1:6" x14ac:dyDescent="0.3">
      <c r="A14" s="1" t="s">
        <v>11</v>
      </c>
      <c r="B14" s="2">
        <f t="shared" si="0"/>
        <v>-1454858</v>
      </c>
      <c r="C14" s="2">
        <v>0</v>
      </c>
      <c r="D14" s="2">
        <v>0</v>
      </c>
      <c r="E14" s="2">
        <v>1454858</v>
      </c>
      <c r="F14" s="2">
        <v>698658</v>
      </c>
    </row>
    <row r="15" spans="1:6" ht="17.25" thickBot="1" x14ac:dyDescent="0.35">
      <c r="A15" s="4" t="s">
        <v>13</v>
      </c>
      <c r="B15" s="5">
        <f>SUM(B3:B14)</f>
        <v>-9034675</v>
      </c>
      <c r="C15" s="5">
        <f t="shared" ref="C15:F15" si="1">SUM(C3:C14)</f>
        <v>0</v>
      </c>
      <c r="D15" s="5">
        <f t="shared" si="1"/>
        <v>0</v>
      </c>
      <c r="E15" s="5">
        <f t="shared" si="1"/>
        <v>9034675</v>
      </c>
      <c r="F15" s="5">
        <f t="shared" si="1"/>
        <v>6084620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-1134236</v>
      </c>
      <c r="C3" s="2">
        <v>0</v>
      </c>
      <c r="D3" s="2">
        <v>0</v>
      </c>
      <c r="E3" s="2">
        <v>1134236</v>
      </c>
      <c r="F3" s="2">
        <v>499449</v>
      </c>
    </row>
    <row r="4" spans="1:6" x14ac:dyDescent="0.3">
      <c r="A4" s="1" t="s">
        <v>1</v>
      </c>
      <c r="B4" s="2">
        <f t="shared" si="0"/>
        <v>-1724722</v>
      </c>
      <c r="C4" s="2">
        <v>0</v>
      </c>
      <c r="D4" s="2">
        <v>0</v>
      </c>
      <c r="E4" s="2">
        <v>1724722</v>
      </c>
      <c r="F4" s="2">
        <v>799063</v>
      </c>
    </row>
    <row r="5" spans="1:6" x14ac:dyDescent="0.3">
      <c r="A5" s="1" t="s">
        <v>2</v>
      </c>
      <c r="B5" s="2">
        <f t="shared" si="0"/>
        <v>-2740790</v>
      </c>
      <c r="C5" s="2">
        <v>0</v>
      </c>
      <c r="D5" s="2">
        <v>0</v>
      </c>
      <c r="E5" s="2">
        <v>2740790</v>
      </c>
      <c r="F5" s="2">
        <v>1098288</v>
      </c>
    </row>
    <row r="6" spans="1:6" x14ac:dyDescent="0.3">
      <c r="A6" s="1" t="s">
        <v>3</v>
      </c>
      <c r="B6" s="2">
        <f t="shared" si="0"/>
        <v>-782102</v>
      </c>
      <c r="C6" s="2">
        <v>0</v>
      </c>
      <c r="D6" s="2">
        <v>0</v>
      </c>
      <c r="E6" s="2">
        <v>782102</v>
      </c>
      <c r="F6" s="2">
        <v>299616</v>
      </c>
    </row>
    <row r="7" spans="1:6" x14ac:dyDescent="0.3">
      <c r="A7" s="1" t="s">
        <v>4</v>
      </c>
      <c r="B7" s="2">
        <f t="shared" si="0"/>
        <v>-1504173</v>
      </c>
      <c r="C7" s="2">
        <v>0</v>
      </c>
      <c r="D7" s="2">
        <v>0</v>
      </c>
      <c r="E7" s="2">
        <v>1504173</v>
      </c>
      <c r="F7" s="2">
        <v>599170</v>
      </c>
    </row>
    <row r="8" spans="1:6" x14ac:dyDescent="0.3">
      <c r="A8" s="1" t="s">
        <v>5</v>
      </c>
      <c r="B8" s="2">
        <f t="shared" si="0"/>
        <v>-694796</v>
      </c>
      <c r="C8" s="2">
        <v>0</v>
      </c>
      <c r="D8" s="2">
        <v>0</v>
      </c>
      <c r="E8" s="2">
        <v>694796</v>
      </c>
      <c r="F8" s="2">
        <v>299659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-1338749</v>
      </c>
      <c r="C10" s="2">
        <v>0</v>
      </c>
      <c r="D10" s="2">
        <v>0</v>
      </c>
      <c r="E10" s="2">
        <v>1338749</v>
      </c>
      <c r="F10" s="2">
        <v>698096</v>
      </c>
    </row>
    <row r="11" spans="1:6" x14ac:dyDescent="0.3">
      <c r="A11" s="1" t="s">
        <v>8</v>
      </c>
      <c r="B11" s="2">
        <f t="shared" si="0"/>
        <v>-649977</v>
      </c>
      <c r="C11" s="2">
        <v>0</v>
      </c>
      <c r="D11" s="2">
        <v>0</v>
      </c>
      <c r="E11" s="2">
        <v>649977</v>
      </c>
      <c r="F11" s="2">
        <v>399080</v>
      </c>
    </row>
    <row r="12" spans="1:6" x14ac:dyDescent="0.3">
      <c r="A12" s="1" t="s">
        <v>9</v>
      </c>
      <c r="B12" s="2">
        <f t="shared" si="0"/>
        <v>-674605</v>
      </c>
      <c r="C12" s="2">
        <v>0</v>
      </c>
      <c r="D12" s="2">
        <v>0</v>
      </c>
      <c r="E12" s="2">
        <v>674605</v>
      </c>
      <c r="F12" s="2">
        <v>499225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-11244150</v>
      </c>
      <c r="C15" s="5">
        <f t="shared" ref="C15:F15" si="1">SUM(C3:C14)</f>
        <v>0</v>
      </c>
      <c r="D15" s="5">
        <f t="shared" si="1"/>
        <v>0</v>
      </c>
      <c r="E15" s="5">
        <f t="shared" si="1"/>
        <v>11244150</v>
      </c>
      <c r="F15" s="5">
        <f t="shared" si="1"/>
        <v>5191646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-443766</v>
      </c>
      <c r="C3" s="2">
        <v>0</v>
      </c>
      <c r="D3" s="2">
        <v>0</v>
      </c>
      <c r="E3" s="2">
        <v>443766</v>
      </c>
      <c r="F3" s="2">
        <v>399055</v>
      </c>
    </row>
    <row r="4" spans="1:6" x14ac:dyDescent="0.3">
      <c r="A4" s="1" t="s">
        <v>1</v>
      </c>
      <c r="B4" s="2">
        <f t="shared" si="0"/>
        <v>-546933</v>
      </c>
      <c r="C4" s="2">
        <v>0</v>
      </c>
      <c r="D4" s="2">
        <v>0</v>
      </c>
      <c r="E4" s="2">
        <v>546933</v>
      </c>
      <c r="F4" s="2">
        <v>499134</v>
      </c>
    </row>
    <row r="5" spans="1:6" x14ac:dyDescent="0.3">
      <c r="A5" s="1" t="s">
        <v>2</v>
      </c>
      <c r="B5" s="2">
        <f t="shared" si="0"/>
        <v>-328471</v>
      </c>
      <c r="C5" s="2">
        <v>0</v>
      </c>
      <c r="D5" s="2">
        <v>0</v>
      </c>
      <c r="E5" s="2">
        <v>328471</v>
      </c>
      <c r="F5" s="2">
        <v>299543</v>
      </c>
    </row>
    <row r="6" spans="1:6" x14ac:dyDescent="0.3">
      <c r="A6" s="1" t="s">
        <v>3</v>
      </c>
      <c r="B6" s="2">
        <f t="shared" si="0"/>
        <v>-212166</v>
      </c>
      <c r="C6" s="2">
        <v>0</v>
      </c>
      <c r="D6" s="2">
        <v>0</v>
      </c>
      <c r="E6" s="2">
        <v>212166</v>
      </c>
      <c r="F6" s="2">
        <v>199682</v>
      </c>
    </row>
    <row r="7" spans="1:6" x14ac:dyDescent="0.3">
      <c r="A7" s="1" t="s">
        <v>4</v>
      </c>
      <c r="B7" s="2">
        <f t="shared" si="0"/>
        <v>-258126</v>
      </c>
      <c r="C7" s="2">
        <v>0</v>
      </c>
      <c r="D7" s="2">
        <v>0</v>
      </c>
      <c r="E7" s="2">
        <v>258126</v>
      </c>
      <c r="F7" s="2">
        <v>241438</v>
      </c>
    </row>
    <row r="8" spans="1:6" x14ac:dyDescent="0.3">
      <c r="A8" s="1" t="s">
        <v>5</v>
      </c>
      <c r="B8" s="2">
        <f t="shared" si="0"/>
        <v>-206309</v>
      </c>
      <c r="C8" s="2">
        <v>0</v>
      </c>
      <c r="D8" s="2">
        <v>0</v>
      </c>
      <c r="E8" s="2">
        <v>206309</v>
      </c>
      <c r="F8" s="2">
        <v>199846</v>
      </c>
    </row>
    <row r="9" spans="1:6" x14ac:dyDescent="0.3">
      <c r="A9" s="1" t="s">
        <v>6</v>
      </c>
      <c r="B9" s="2">
        <f t="shared" si="0"/>
        <v>-707943</v>
      </c>
      <c r="C9" s="2">
        <v>0</v>
      </c>
      <c r="D9" s="2">
        <v>0</v>
      </c>
      <c r="E9" s="2">
        <v>707943</v>
      </c>
      <c r="F9" s="2">
        <v>702109</v>
      </c>
    </row>
    <row r="10" spans="1:6" x14ac:dyDescent="0.3">
      <c r="A10" s="1" t="s">
        <v>7</v>
      </c>
      <c r="B10" s="2">
        <f t="shared" si="0"/>
        <v>-471364</v>
      </c>
      <c r="C10" s="2">
        <v>0</v>
      </c>
      <c r="D10" s="2">
        <v>0</v>
      </c>
      <c r="E10" s="2">
        <v>471364</v>
      </c>
      <c r="F10" s="2">
        <v>496077</v>
      </c>
    </row>
    <row r="11" spans="1:6" x14ac:dyDescent="0.3">
      <c r="A11" s="1" t="s">
        <v>8</v>
      </c>
      <c r="B11" s="2">
        <f t="shared" si="0"/>
        <v>-602446</v>
      </c>
      <c r="C11" s="2">
        <v>0</v>
      </c>
      <c r="D11" s="2">
        <v>0</v>
      </c>
      <c r="E11" s="2">
        <v>602446</v>
      </c>
      <c r="F11" s="2">
        <v>600793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-493712</v>
      </c>
      <c r="C13" s="2">
        <v>0</v>
      </c>
      <c r="D13" s="2">
        <v>0</v>
      </c>
      <c r="E13" s="2">
        <v>493712</v>
      </c>
      <c r="F13" s="2">
        <v>499650</v>
      </c>
    </row>
    <row r="14" spans="1:6" x14ac:dyDescent="0.3">
      <c r="A14" s="1" t="s">
        <v>11</v>
      </c>
      <c r="B14" s="2">
        <f t="shared" si="0"/>
        <v>-581541</v>
      </c>
      <c r="C14" s="2">
        <v>0</v>
      </c>
      <c r="D14" s="2">
        <v>0</v>
      </c>
      <c r="E14" s="2">
        <v>581541</v>
      </c>
      <c r="F14" s="2">
        <v>602516</v>
      </c>
    </row>
    <row r="15" spans="1:6" ht="17.25" thickBot="1" x14ac:dyDescent="0.35">
      <c r="A15" s="4" t="s">
        <v>13</v>
      </c>
      <c r="B15" s="5">
        <f>SUM(B3:B14)</f>
        <v>-4852777</v>
      </c>
      <c r="C15" s="5">
        <f t="shared" ref="C15:F15" si="1">SUM(C3:C14)</f>
        <v>0</v>
      </c>
      <c r="D15" s="5">
        <f t="shared" si="1"/>
        <v>0</v>
      </c>
      <c r="E15" s="5">
        <f t="shared" si="1"/>
        <v>4852777</v>
      </c>
      <c r="F15" s="5">
        <f t="shared" si="1"/>
        <v>4739843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-584259</v>
      </c>
      <c r="C3" s="2">
        <v>0</v>
      </c>
      <c r="D3" s="2">
        <v>0</v>
      </c>
      <c r="E3" s="2">
        <v>584259</v>
      </c>
      <c r="F3" s="2">
        <v>604071</v>
      </c>
    </row>
    <row r="4" spans="1:6" x14ac:dyDescent="0.3">
      <c r="A4" s="1" t="s">
        <v>1</v>
      </c>
      <c r="B4" s="2">
        <f t="shared" si="0"/>
        <v>-204405</v>
      </c>
      <c r="C4" s="2">
        <v>0</v>
      </c>
      <c r="D4" s="2">
        <v>0</v>
      </c>
      <c r="E4" s="2">
        <v>204405</v>
      </c>
      <c r="F4" s="2">
        <v>199699</v>
      </c>
    </row>
    <row r="5" spans="1:6" x14ac:dyDescent="0.3">
      <c r="A5" s="1" t="s">
        <v>2</v>
      </c>
      <c r="B5" s="2">
        <f t="shared" si="0"/>
        <v>-719111</v>
      </c>
      <c r="C5" s="2">
        <v>0</v>
      </c>
      <c r="D5" s="2">
        <v>0</v>
      </c>
      <c r="E5" s="2">
        <v>719111</v>
      </c>
      <c r="F5" s="2">
        <v>702497</v>
      </c>
    </row>
    <row r="6" spans="1:6" x14ac:dyDescent="0.3">
      <c r="A6" s="1" t="s">
        <v>3</v>
      </c>
      <c r="B6" s="2">
        <f t="shared" si="0"/>
        <v>-102216</v>
      </c>
      <c r="C6" s="2">
        <v>0</v>
      </c>
      <c r="D6" s="2">
        <v>0</v>
      </c>
      <c r="E6" s="2">
        <v>102216</v>
      </c>
      <c r="F6" s="2">
        <v>99694</v>
      </c>
    </row>
    <row r="7" spans="1:6" x14ac:dyDescent="0.3">
      <c r="A7" s="1" t="s">
        <v>4</v>
      </c>
      <c r="B7" s="2">
        <f t="shared" si="0"/>
        <v>-560577</v>
      </c>
      <c r="C7" s="2">
        <v>0</v>
      </c>
      <c r="D7" s="2">
        <v>0</v>
      </c>
      <c r="E7" s="2">
        <v>560577</v>
      </c>
      <c r="F7" s="2">
        <v>449129</v>
      </c>
    </row>
    <row r="8" spans="1:6" x14ac:dyDescent="0.3">
      <c r="A8" s="1" t="s">
        <v>5</v>
      </c>
      <c r="B8" s="2">
        <f t="shared" si="0"/>
        <v>-365828</v>
      </c>
      <c r="C8" s="2">
        <v>0</v>
      </c>
      <c r="D8" s="2">
        <v>0</v>
      </c>
      <c r="E8" s="2">
        <v>365828</v>
      </c>
      <c r="F8" s="2">
        <v>276600</v>
      </c>
    </row>
    <row r="9" spans="1:6" x14ac:dyDescent="0.3">
      <c r="A9" s="1" t="s">
        <v>6</v>
      </c>
      <c r="B9" s="2">
        <f t="shared" si="0"/>
        <v>-611462</v>
      </c>
      <c r="C9" s="2">
        <v>0</v>
      </c>
      <c r="D9" s="2">
        <v>0</v>
      </c>
      <c r="E9" s="2">
        <v>611462</v>
      </c>
      <c r="F9" s="2">
        <v>504529</v>
      </c>
    </row>
    <row r="10" spans="1:6" x14ac:dyDescent="0.3">
      <c r="A10" s="1" t="s">
        <v>7</v>
      </c>
      <c r="B10" s="2">
        <f t="shared" si="0"/>
        <v>-596156</v>
      </c>
      <c r="C10" s="2">
        <v>0</v>
      </c>
      <c r="D10" s="2">
        <v>0</v>
      </c>
      <c r="E10" s="2">
        <v>596156</v>
      </c>
      <c r="F10" s="2">
        <v>478950</v>
      </c>
    </row>
    <row r="11" spans="1:6" x14ac:dyDescent="0.3">
      <c r="A11" s="1" t="s">
        <v>8</v>
      </c>
      <c r="B11" s="2">
        <f t="shared" si="0"/>
        <v>-636449</v>
      </c>
      <c r="C11" s="2">
        <v>0</v>
      </c>
      <c r="D11" s="2">
        <v>0</v>
      </c>
      <c r="E11" s="2">
        <v>636449</v>
      </c>
      <c r="F11" s="2">
        <v>498515</v>
      </c>
    </row>
    <row r="12" spans="1:6" x14ac:dyDescent="0.3">
      <c r="A12" s="1" t="s">
        <v>9</v>
      </c>
      <c r="B12" s="2">
        <f t="shared" si="0"/>
        <v>-641976</v>
      </c>
      <c r="C12" s="2">
        <v>0</v>
      </c>
      <c r="D12" s="2">
        <v>0</v>
      </c>
      <c r="E12" s="2">
        <v>641976</v>
      </c>
      <c r="F12" s="2">
        <v>458568</v>
      </c>
    </row>
    <row r="13" spans="1:6" x14ac:dyDescent="0.3">
      <c r="A13" s="1" t="s">
        <v>10</v>
      </c>
      <c r="B13" s="2">
        <f t="shared" si="0"/>
        <v>-324654</v>
      </c>
      <c r="C13" s="2">
        <v>0</v>
      </c>
      <c r="D13" s="2">
        <v>0</v>
      </c>
      <c r="E13" s="2">
        <v>324654</v>
      </c>
      <c r="F13" s="2">
        <v>216523</v>
      </c>
    </row>
    <row r="14" spans="1:6" x14ac:dyDescent="0.3">
      <c r="A14" s="1" t="s">
        <v>11</v>
      </c>
      <c r="B14" s="2">
        <f t="shared" si="0"/>
        <v>-1088759</v>
      </c>
      <c r="C14" s="2">
        <v>0</v>
      </c>
      <c r="D14" s="2">
        <v>0</v>
      </c>
      <c r="E14" s="2">
        <v>1088759</v>
      </c>
      <c r="F14" s="2">
        <v>628657</v>
      </c>
    </row>
    <row r="15" spans="1:6" ht="17.25" thickBot="1" x14ac:dyDescent="0.35">
      <c r="A15" s="4" t="s">
        <v>13</v>
      </c>
      <c r="B15" s="5">
        <f>SUM(B3:B14)</f>
        <v>-6435852</v>
      </c>
      <c r="C15" s="5">
        <f t="shared" ref="C15:F15" si="1">SUM(C3:C14)</f>
        <v>0</v>
      </c>
      <c r="D15" s="5">
        <f t="shared" si="1"/>
        <v>0</v>
      </c>
      <c r="E15" s="5">
        <f t="shared" si="1"/>
        <v>6435852</v>
      </c>
      <c r="F15" s="5">
        <f t="shared" si="1"/>
        <v>5117432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-1734113</v>
      </c>
      <c r="C3" s="2">
        <v>0</v>
      </c>
      <c r="D3" s="2">
        <v>0</v>
      </c>
      <c r="E3" s="2">
        <v>1734113</v>
      </c>
      <c r="F3" s="2">
        <v>857143</v>
      </c>
    </row>
    <row r="4" spans="1:6" x14ac:dyDescent="0.3">
      <c r="A4" s="1" t="s">
        <v>1</v>
      </c>
      <c r="B4" s="2">
        <f t="shared" si="0"/>
        <v>-1540323</v>
      </c>
      <c r="C4" s="2">
        <v>0</v>
      </c>
      <c r="D4" s="2">
        <v>0</v>
      </c>
      <c r="E4" s="2">
        <v>1540323</v>
      </c>
      <c r="F4" s="2">
        <v>718059</v>
      </c>
    </row>
    <row r="5" spans="1:6" x14ac:dyDescent="0.3">
      <c r="A5" s="1" t="s">
        <v>2</v>
      </c>
      <c r="B5" s="2">
        <f t="shared" si="0"/>
        <v>-1215912</v>
      </c>
      <c r="C5" s="2">
        <v>0</v>
      </c>
      <c r="D5" s="2">
        <v>0</v>
      </c>
      <c r="E5" s="2">
        <v>1215912</v>
      </c>
      <c r="F5" s="2">
        <v>598578</v>
      </c>
    </row>
    <row r="6" spans="1:6" x14ac:dyDescent="0.3">
      <c r="A6" s="1" t="s">
        <v>3</v>
      </c>
      <c r="B6" s="2">
        <f t="shared" si="0"/>
        <v>-1400716</v>
      </c>
      <c r="C6" s="2">
        <v>0</v>
      </c>
      <c r="D6" s="2">
        <v>0</v>
      </c>
      <c r="E6" s="2">
        <v>1400716</v>
      </c>
      <c r="F6" s="2">
        <v>715061</v>
      </c>
    </row>
    <row r="7" spans="1:6" x14ac:dyDescent="0.3">
      <c r="A7" s="1" t="s">
        <v>4</v>
      </c>
      <c r="B7" s="2">
        <f t="shared" si="0"/>
        <v>-2182221</v>
      </c>
      <c r="C7" s="2">
        <v>0</v>
      </c>
      <c r="D7" s="2">
        <v>0</v>
      </c>
      <c r="E7" s="2">
        <v>2182221</v>
      </c>
      <c r="F7" s="2">
        <v>1103149</v>
      </c>
    </row>
    <row r="8" spans="1:6" x14ac:dyDescent="0.3">
      <c r="A8" s="1" t="s">
        <v>5</v>
      </c>
      <c r="B8" s="2">
        <f t="shared" si="0"/>
        <v>-721908</v>
      </c>
      <c r="C8" s="2">
        <v>0</v>
      </c>
      <c r="D8" s="2">
        <v>0</v>
      </c>
      <c r="E8" s="2">
        <v>721908</v>
      </c>
      <c r="F8" s="2">
        <v>336353</v>
      </c>
    </row>
    <row r="9" spans="1:6" x14ac:dyDescent="0.3">
      <c r="A9" s="1" t="s">
        <v>6</v>
      </c>
      <c r="B9" s="2">
        <f t="shared" si="0"/>
        <v>-1171771</v>
      </c>
      <c r="C9" s="2">
        <v>0</v>
      </c>
      <c r="D9" s="2">
        <v>0</v>
      </c>
      <c r="E9" s="2">
        <v>1171771</v>
      </c>
      <c r="F9" s="2">
        <v>596910</v>
      </c>
    </row>
    <row r="10" spans="1:6" x14ac:dyDescent="0.3">
      <c r="A10" s="1" t="s">
        <v>7</v>
      </c>
      <c r="B10" s="2">
        <f t="shared" si="0"/>
        <v>-1433816</v>
      </c>
      <c r="C10" s="2">
        <v>0</v>
      </c>
      <c r="D10" s="2">
        <v>0</v>
      </c>
      <c r="E10" s="2">
        <v>1433816</v>
      </c>
      <c r="F10" s="2">
        <v>814973</v>
      </c>
    </row>
    <row r="11" spans="1:6" x14ac:dyDescent="0.3">
      <c r="A11" s="1" t="s">
        <v>8</v>
      </c>
      <c r="B11" s="2">
        <f t="shared" si="0"/>
        <v>-1277284</v>
      </c>
      <c r="C11" s="2">
        <v>0</v>
      </c>
      <c r="D11" s="2">
        <v>0</v>
      </c>
      <c r="E11" s="2">
        <v>1277284</v>
      </c>
      <c r="F11" s="2">
        <v>715483</v>
      </c>
    </row>
    <row r="12" spans="1:6" x14ac:dyDescent="0.3">
      <c r="A12" s="1" t="s">
        <v>9</v>
      </c>
      <c r="B12" s="2">
        <f t="shared" si="0"/>
        <v>-828688</v>
      </c>
      <c r="C12" s="2">
        <v>0</v>
      </c>
      <c r="D12" s="2">
        <v>0</v>
      </c>
      <c r="E12" s="2">
        <v>828688</v>
      </c>
      <c r="F12" s="2">
        <v>398730</v>
      </c>
    </row>
    <row r="13" spans="1:6" x14ac:dyDescent="0.3">
      <c r="A13" s="1" t="s">
        <v>10</v>
      </c>
      <c r="B13" s="2">
        <f t="shared" si="0"/>
        <v>-1036859</v>
      </c>
      <c r="C13" s="2">
        <v>0</v>
      </c>
      <c r="D13" s="2">
        <v>0</v>
      </c>
      <c r="E13" s="2">
        <v>1036859</v>
      </c>
      <c r="F13" s="2">
        <v>497097</v>
      </c>
    </row>
    <row r="14" spans="1:6" x14ac:dyDescent="0.3">
      <c r="A14" s="1" t="s">
        <v>11</v>
      </c>
      <c r="B14" s="2">
        <f t="shared" si="0"/>
        <v>-1263695</v>
      </c>
      <c r="C14" s="2">
        <v>0</v>
      </c>
      <c r="D14" s="2">
        <v>0</v>
      </c>
      <c r="E14" s="2">
        <v>1263695</v>
      </c>
      <c r="F14" s="2">
        <v>613335</v>
      </c>
    </row>
    <row r="15" spans="1:6" ht="17.25" thickBot="1" x14ac:dyDescent="0.35">
      <c r="A15" s="4" t="s">
        <v>13</v>
      </c>
      <c r="B15" s="5">
        <f>SUM(B3:B14)</f>
        <v>-15807306</v>
      </c>
      <c r="C15" s="5">
        <f t="shared" ref="C15:F15" si="1">SUM(C3:C14)</f>
        <v>0</v>
      </c>
      <c r="D15" s="5">
        <f t="shared" si="1"/>
        <v>0</v>
      </c>
      <c r="E15" s="5">
        <f t="shared" si="1"/>
        <v>15807306</v>
      </c>
      <c r="F15" s="5">
        <f t="shared" si="1"/>
        <v>7964871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-2563522</v>
      </c>
      <c r="C3" s="2">
        <v>0</v>
      </c>
      <c r="D3" s="2">
        <v>0</v>
      </c>
      <c r="E3" s="2">
        <v>2563522</v>
      </c>
      <c r="F3" s="2">
        <v>1334084</v>
      </c>
    </row>
    <row r="4" spans="1:6" x14ac:dyDescent="0.3">
      <c r="A4" s="1" t="s">
        <v>1</v>
      </c>
      <c r="B4" s="2">
        <f t="shared" si="0"/>
        <v>-299703</v>
      </c>
      <c r="C4" s="2">
        <v>0</v>
      </c>
      <c r="D4" s="2">
        <v>0</v>
      </c>
      <c r="E4" s="2">
        <v>299703</v>
      </c>
      <c r="F4" s="2">
        <v>144208</v>
      </c>
    </row>
    <row r="5" spans="1:6" x14ac:dyDescent="0.3">
      <c r="A5" s="1" t="s">
        <v>2</v>
      </c>
      <c r="B5" s="2">
        <f t="shared" si="0"/>
        <v>-1014381</v>
      </c>
      <c r="C5" s="2">
        <v>0</v>
      </c>
      <c r="D5" s="2">
        <v>0</v>
      </c>
      <c r="E5" s="2">
        <v>1014381</v>
      </c>
      <c r="F5" s="2">
        <v>516780</v>
      </c>
    </row>
    <row r="6" spans="1:6" x14ac:dyDescent="0.3">
      <c r="A6" s="1" t="s">
        <v>3</v>
      </c>
      <c r="B6" s="2">
        <f t="shared" si="0"/>
        <v>-846972</v>
      </c>
      <c r="C6" s="2">
        <v>0</v>
      </c>
      <c r="D6" s="2">
        <v>0</v>
      </c>
      <c r="E6" s="2">
        <v>846972</v>
      </c>
      <c r="F6" s="2">
        <v>415318</v>
      </c>
    </row>
    <row r="7" spans="1:6" x14ac:dyDescent="0.3">
      <c r="A7" s="1" t="s">
        <v>4</v>
      </c>
      <c r="B7" s="2">
        <f t="shared" si="0"/>
        <v>-1763919</v>
      </c>
      <c r="C7" s="2">
        <v>0</v>
      </c>
      <c r="D7" s="2">
        <v>0</v>
      </c>
      <c r="E7" s="2">
        <v>1763919</v>
      </c>
      <c r="F7" s="2">
        <v>812516</v>
      </c>
    </row>
    <row r="8" spans="1:6" x14ac:dyDescent="0.3">
      <c r="A8" s="1" t="s">
        <v>5</v>
      </c>
      <c r="B8" s="2">
        <f t="shared" si="0"/>
        <v>-1567155</v>
      </c>
      <c r="C8" s="2">
        <v>0</v>
      </c>
      <c r="D8" s="2">
        <v>0</v>
      </c>
      <c r="E8" s="2">
        <v>1567155</v>
      </c>
      <c r="F8" s="2">
        <v>697988</v>
      </c>
    </row>
    <row r="9" spans="1:6" x14ac:dyDescent="0.3">
      <c r="A9" s="1" t="s">
        <v>6</v>
      </c>
      <c r="B9" s="2">
        <f t="shared" si="0"/>
        <v>-2005226</v>
      </c>
      <c r="C9" s="2">
        <v>0</v>
      </c>
      <c r="D9" s="2">
        <v>0</v>
      </c>
      <c r="E9" s="2">
        <v>2005226</v>
      </c>
      <c r="F9" s="2">
        <v>956450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-10060878</v>
      </c>
      <c r="C15" s="5">
        <f t="shared" ref="C15:F15" si="1">SUM(C3:C14)</f>
        <v>0</v>
      </c>
      <c r="D15" s="5">
        <f t="shared" si="1"/>
        <v>0</v>
      </c>
      <c r="E15" s="5">
        <f t="shared" si="1"/>
        <v>10060878</v>
      </c>
      <c r="F15" s="5">
        <f t="shared" si="1"/>
        <v>4877344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2026-09-10T08:07:17Z</dcterms:modified>
</cp:coreProperties>
</file>