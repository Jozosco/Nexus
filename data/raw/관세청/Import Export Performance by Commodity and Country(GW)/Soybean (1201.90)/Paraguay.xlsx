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채유 및 탈지대두박용(.1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5" i="16" l="1"/>
  <c r="B15" i="15"/>
  <c r="B15" i="14"/>
  <c r="B15" i="13"/>
  <c r="B15" i="12"/>
  <c r="B15" i="17"/>
  <c r="B13" i="5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<sst xmlns="http://schemas.openxmlformats.org/spreadsheetml/2006/main" count="306" uniqueCount="36">
  <si>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</si>
  <si>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</si>
  <si>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</si>
  <si>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</si>
  <si>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</si>
  <si>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</si>
  <si>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</si>
  <si>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</si>
  <si>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</si>
  <si>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</si>
  <si>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</si>
  <si>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</si>
  <si>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</si>
  <si>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</si>
  <si>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</si>
  <si>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</si>
  <si>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</si>
  <si>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</si>
  <si>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</si>
  <si>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</si>
  <si>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</si>
  <si>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</si>
  <si>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</si>
  <si>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</si>
  <si>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</si>
  <si>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</si>
  <si>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</si>
  <si>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</si>
  <si>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</si>
  <si>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</si>
  <si>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</si>
  <si>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</si>
  <si>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</si>
  <si>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</si>
  <si>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</si>
  <si>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3월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</si>
</sst>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-36703830</v>
      </c>
      <c r="C3" s="3">
        <v>0</v>
      </c>
      <c r="D3" s="3">
        <v>0</v>
      </c>
      <c r="E3" s="3">
        <v>36703830</v>
      </c>
      <c r="F3" s="3">
        <v>68346905</v>
      </c>
    </row>
    <row r="4" spans="1:6" x14ac:dyDescent="0.3">
      <c r="A4" s="2" t="s">
        <v>24</v>
      </c>
      <c r="B4" s="3">
        <f t="shared" ref="B4:B14" si="0">C4-E4</f>
        <v>-21268609</v>
      </c>
      <c r="C4" s="3">
        <v>0</v>
      </c>
      <c r="D4" s="3">
        <v>0</v>
      </c>
      <c r="E4" s="3">
        <v>21268609</v>
      </c>
      <c r="F4" s="3">
        <v>40325216</v>
      </c>
    </row>
    <row r="5" spans="1:6" x14ac:dyDescent="0.3">
      <c r="A5" s="2" t="s">
        <v>25</v>
      </c>
      <c r="B5" s="3">
        <f t="shared" si="0"/>
        <v>-1206237</v>
      </c>
      <c r="C5" s="3">
        <v>0</v>
      </c>
      <c r="D5" s="3">
        <v>0</v>
      </c>
      <c r="E5" s="3">
        <v>1206237</v>
      </c>
      <c r="F5" s="3">
        <v>2275002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-23486570</v>
      </c>
      <c r="C11" s="3">
        <v>0</v>
      </c>
      <c r="D11" s="3">
        <v>0</v>
      </c>
      <c r="E11" s="3">
        <v>23486570</v>
      </c>
      <c r="F11" s="3">
        <v>38313179</v>
      </c>
    </row>
    <row r="12" spans="1:6" x14ac:dyDescent="0.3">
      <c r="A12" s="2" t="s">
        <v>14</v>
      </c>
      <c r="B12" s="3">
        <f t="shared" si="0"/>
        <v>-3852030</v>
      </c>
      <c r="C12" s="3">
        <v>0</v>
      </c>
      <c r="D12" s="3">
        <v>0</v>
      </c>
      <c r="E12" s="3">
        <v>3852030</v>
      </c>
      <c r="F12" s="3">
        <v>6378649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-86517276</v>
      </c>
      <c r="C15" s="5">
        <f t="shared" ref="C15:F15" si="1">SUM(C3:C14)</f>
        <v>0</v>
      </c>
      <c r="D15" s="5">
        <f t="shared" si="1"/>
        <v>0</v>
      </c>
      <c r="E15" s="5">
        <f t="shared" si="1"/>
        <v>86517276</v>
      </c>
      <c r="F15" s="5">
        <f t="shared" si="1"/>
        <v>155638951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-26826163</v>
      </c>
      <c r="C10" s="3">
        <v>0</v>
      </c>
      <c r="D10" s="3">
        <v>0</v>
      </c>
      <c r="E10" s="3">
        <v>26826163</v>
      </c>
      <c r="F10" s="3">
        <v>46017580</v>
      </c>
    </row>
    <row r="11" spans="1:6" x14ac:dyDescent="0.3">
      <c r="A11" s="2" t="s">
        <v>13</v>
      </c>
      <c r="B11" s="3">
        <f t="shared" si="0"/>
        <v>-617503</v>
      </c>
      <c r="C11" s="3">
        <v>0</v>
      </c>
      <c r="D11" s="3">
        <v>0</v>
      </c>
      <c r="E11" s="3">
        <v>617503</v>
      </c>
      <c r="F11" s="3">
        <v>1000000</v>
      </c>
    </row>
    <row r="12" spans="1:6" x14ac:dyDescent="0.3">
      <c r="A12" s="2" t="s">
        <v>14</v>
      </c>
      <c r="B12" s="3">
        <f t="shared" si="0"/>
        <v>-5568672</v>
      </c>
      <c r="C12" s="3">
        <v>0</v>
      </c>
      <c r="D12" s="3">
        <v>0</v>
      </c>
      <c r="E12" s="3">
        <v>5568672</v>
      </c>
      <c r="F12" s="3">
        <v>9900000</v>
      </c>
    </row>
    <row r="13" spans="1:6" x14ac:dyDescent="0.3">
      <c r="A13" s="2" t="s">
        <v>15</v>
      </c>
      <c r="B13" s="3">
        <f t="shared" si="0"/>
        <v>-19369203</v>
      </c>
      <c r="C13" s="3">
        <v>0</v>
      </c>
      <c r="D13" s="3">
        <v>0</v>
      </c>
      <c r="E13" s="3">
        <v>19369203</v>
      </c>
      <c r="F13" s="3">
        <v>33537684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-52381541</v>
      </c>
      <c r="C15" s="5">
        <f t="shared" ref="C15:F15" si="1">SUM(C3:C14)</f>
        <v>0</v>
      </c>
      <c r="D15" s="5">
        <f t="shared" si="1"/>
        <v>0</v>
      </c>
      <c r="E15" s="5">
        <f t="shared" si="1"/>
        <v>52381541</v>
      </c>
      <c r="F15" s="5">
        <f t="shared" si="1"/>
        <v>90455264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31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-12140262</v>
      </c>
      <c r="C9" s="3">
        <v>0</v>
      </c>
      <c r="D9" s="3">
        <v>0</v>
      </c>
      <c r="E9" s="3">
        <v>12140262</v>
      </c>
      <c r="F9" s="3">
        <v>19664950</v>
      </c>
    </row>
    <row r="10" spans="1:6" x14ac:dyDescent="0.3">
      <c r="A10" s="2" t="s">
        <v>12</v>
      </c>
      <c r="B10" s="3">
        <f t="shared" si="0"/>
        <v>-6703282</v>
      </c>
      <c r="C10" s="3">
        <v>0</v>
      </c>
      <c r="D10" s="3">
        <v>0</v>
      </c>
      <c r="E10" s="3">
        <v>6703282</v>
      </c>
      <c r="F10" s="3">
        <v>11000000</v>
      </c>
    </row>
    <row r="11" spans="1:6" x14ac:dyDescent="0.3">
      <c r="A11" s="2" t="s">
        <v>13</v>
      </c>
      <c r="B11" s="3">
        <f t="shared" si="0"/>
        <v>-15620871</v>
      </c>
      <c r="C11" s="3">
        <v>0</v>
      </c>
      <c r="D11" s="3">
        <v>0</v>
      </c>
      <c r="E11" s="3">
        <v>15620871</v>
      </c>
      <c r="F11" s="3">
        <v>27718405</v>
      </c>
    </row>
    <row r="12" spans="1:6" x14ac:dyDescent="0.3">
      <c r="A12" s="2" t="s">
        <v>14</v>
      </c>
      <c r="B12" s="3">
        <f t="shared" si="0"/>
        <v>-23472108</v>
      </c>
      <c r="C12" s="3">
        <v>0</v>
      </c>
      <c r="D12" s="3">
        <v>0</v>
      </c>
      <c r="E12" s="3">
        <v>23472108</v>
      </c>
      <c r="F12" s="3">
        <v>42507332</v>
      </c>
    </row>
    <row r="13" spans="1:6" x14ac:dyDescent="0.3">
      <c r="A13" s="2" t="s">
        <v>15</v>
      </c>
      <c r="B13" s="3">
        <f t="shared" si="0"/>
        <v>-4604103</v>
      </c>
      <c r="C13" s="3">
        <v>0</v>
      </c>
      <c r="D13" s="3">
        <v>0</v>
      </c>
      <c r="E13" s="3">
        <v>4604103</v>
      </c>
      <c r="F13" s="3">
        <v>8301070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-62540626</v>
      </c>
      <c r="C15" s="5">
        <f t="shared" ref="C15:F15" si="1">SUM(C3:C14)</f>
        <v>0</v>
      </c>
      <c r="D15" s="5">
        <f t="shared" si="1"/>
        <v>0</v>
      </c>
      <c r="E15" s="5">
        <f t="shared" si="1"/>
        <v>62540626</v>
      </c>
      <c r="F15" s="5">
        <f t="shared" si="1"/>
        <v>109191757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-119032</v>
      </c>
      <c r="C4" s="3">
        <v>0</v>
      </c>
      <c r="D4" s="3">
        <v>0</v>
      </c>
      <c r="E4" s="3">
        <v>119032</v>
      </c>
      <c r="F4" s="3">
        <v>217000</v>
      </c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-119032</v>
      </c>
      <c r="C15" s="5">
        <f t="shared" ref="C15:F15" si="1">SUM(C3:C14)</f>
        <v>0</v>
      </c>
      <c r="D15" s="5">
        <f t="shared" si="1"/>
        <v>0</v>
      </c>
      <c r="E15" s="5">
        <f t="shared" si="1"/>
        <v>119032</v>
      </c>
      <c r="F15" s="5">
        <f t="shared" si="1"/>
        <v>217000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-14715745</v>
      </c>
      <c r="C9" s="3">
        <v>0</v>
      </c>
      <c r="D9" s="3">
        <v>0</v>
      </c>
      <c r="E9" s="3">
        <v>14715745</v>
      </c>
      <c r="F9" s="3">
        <v>38723310</v>
      </c>
    </row>
    <row r="10" spans="1:6" x14ac:dyDescent="0.3">
      <c r="A10" s="2" t="s">
        <v>12</v>
      </c>
      <c r="B10" s="3">
        <f t="shared" si="0"/>
        <v>-19745368</v>
      </c>
      <c r="C10" s="3">
        <v>0</v>
      </c>
      <c r="D10" s="3">
        <v>0</v>
      </c>
      <c r="E10" s="3">
        <v>19745368</v>
      </c>
      <c r="F10" s="3">
        <v>51236178</v>
      </c>
    </row>
    <row r="11" spans="1:6" x14ac:dyDescent="0.3">
      <c r="A11" s="2" t="s">
        <v>13</v>
      </c>
      <c r="B11" s="3">
        <f t="shared" si="0"/>
        <v>-18308080</v>
      </c>
      <c r="C11" s="3">
        <v>0</v>
      </c>
      <c r="D11" s="3">
        <v>0</v>
      </c>
      <c r="E11" s="3">
        <v>18308080</v>
      </c>
      <c r="F11" s="3">
        <v>44809441</v>
      </c>
    </row>
    <row r="12" spans="1:6" x14ac:dyDescent="0.3">
      <c r="A12" s="2" t="s">
        <v>14</v>
      </c>
      <c r="B12" s="3">
        <f t="shared" si="0"/>
        <v>-11948543</v>
      </c>
      <c r="C12" s="3">
        <v>0</v>
      </c>
      <c r="D12" s="3">
        <v>0</v>
      </c>
      <c r="E12" s="3">
        <v>11948543</v>
      </c>
      <c r="F12" s="3">
        <v>27857734</v>
      </c>
    </row>
    <row r="13" spans="1:6" x14ac:dyDescent="0.3">
      <c r="A13" s="2" t="s">
        <v>15</v>
      </c>
      <c r="B13" s="3">
        <f t="shared" si="0"/>
        <v>-64223</v>
      </c>
      <c r="C13" s="3">
        <v>0</v>
      </c>
      <c r="D13" s="3">
        <v>0</v>
      </c>
      <c r="E13" s="3">
        <v>64223</v>
      </c>
      <c r="F13" s="3">
        <v>141539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-64781959</v>
      </c>
      <c r="C15" s="5">
        <f t="shared" ref="C15:F15" si="1">SUM(C3:C14)</f>
        <v>0</v>
      </c>
      <c r="D15" s="5">
        <f t="shared" si="1"/>
        <v>0</v>
      </c>
      <c r="E15" s="5">
        <f t="shared" si="1"/>
        <v>64781959</v>
      </c>
      <c r="F15" s="5">
        <f t="shared" si="1"/>
        <v>162768202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-103</v>
      </c>
      <c r="C6" s="3">
        <v>0</v>
      </c>
      <c r="D6" s="3">
        <v>0</v>
      </c>
      <c r="E6" s="3">
        <v>103</v>
      </c>
      <c r="F6" s="3">
        <v>2</v>
      </c>
    </row>
    <row r="7" spans="1:6" x14ac:dyDescent="0.3">
      <c r="A7" s="2" t="s">
        <v>9</v>
      </c>
      <c r="B7" s="3">
        <f t="shared" si="0"/>
        <v>-13839387</v>
      </c>
      <c r="C7" s="3">
        <v>0</v>
      </c>
      <c r="D7" s="3">
        <v>0</v>
      </c>
      <c r="E7" s="3">
        <v>13839387</v>
      </c>
      <c r="F7" s="3">
        <v>33313865</v>
      </c>
    </row>
    <row r="8" spans="1:6" x14ac:dyDescent="0.3">
      <c r="A8" s="2" t="s">
        <v>10</v>
      </c>
      <c r="B8" s="3">
        <f t="shared" si="0"/>
        <v>-28</v>
      </c>
      <c r="C8" s="3">
        <v>0</v>
      </c>
      <c r="D8" s="3">
        <v>0</v>
      </c>
      <c r="E8" s="3">
        <v>28</v>
      </c>
      <c r="F8" s="3">
        <v>2</v>
      </c>
    </row>
    <row r="9" spans="1:6" x14ac:dyDescent="0.3">
      <c r="A9" s="2" t="s">
        <v>11</v>
      </c>
      <c r="B9" s="3">
        <f t="shared" si="0"/>
        <v>-88</v>
      </c>
      <c r="C9" s="3">
        <v>0</v>
      </c>
      <c r="D9" s="3">
        <v>0</v>
      </c>
      <c r="E9" s="3">
        <v>88</v>
      </c>
      <c r="F9" s="3">
        <v>5</v>
      </c>
    </row>
    <row r="10" spans="1:6" x14ac:dyDescent="0.3">
      <c r="A10" s="2" t="s">
        <v>12</v>
      </c>
      <c r="B10" s="3">
        <f t="shared" si="0"/>
        <v>-22723222</v>
      </c>
      <c r="C10" s="3">
        <v>0</v>
      </c>
      <c r="D10" s="3">
        <v>0</v>
      </c>
      <c r="E10" s="3">
        <v>22723222</v>
      </c>
      <c r="F10" s="3">
        <v>56010870</v>
      </c>
    </row>
    <row r="11" spans="1:6" x14ac:dyDescent="0.3">
      <c r="A11" s="2" t="s">
        <v>13</v>
      </c>
      <c r="B11" s="3">
        <f t="shared" si="0"/>
        <v>-4761262</v>
      </c>
      <c r="C11" s="3">
        <v>0</v>
      </c>
      <c r="D11" s="3">
        <v>0</v>
      </c>
      <c r="E11" s="3">
        <v>4761262</v>
      </c>
      <c r="F11" s="3">
        <v>11798825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-17727050</v>
      </c>
      <c r="C13" s="3">
        <v>0</v>
      </c>
      <c r="D13" s="3">
        <v>0</v>
      </c>
      <c r="E13" s="3">
        <v>17727050</v>
      </c>
      <c r="F13" s="3">
        <v>44260560</v>
      </c>
    </row>
    <row r="14" spans="1:6" x14ac:dyDescent="0.3">
      <c r="A14" s="2" t="s">
        <v>16</v>
      </c>
      <c r="B14" s="3">
        <f t="shared" si="0"/>
        <v>-1697740</v>
      </c>
      <c r="C14" s="3">
        <v>0</v>
      </c>
      <c r="D14" s="3">
        <v>0</v>
      </c>
      <c r="E14" s="3">
        <v>1697740</v>
      </c>
      <c r="F14" s="3">
        <v>4205600</v>
      </c>
    </row>
    <row r="15" spans="1:6" ht="17.25" thickBot="1" x14ac:dyDescent="0.35">
      <c r="A15" s="4" t="s">
        <v>17</v>
      </c>
      <c r="B15" s="5">
        <f>SUM(B3:B14)</f>
        <v>-60748880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60748880</v>
      </c>
      <c r="F15" s="5">
        <f t="shared" si="2"/>
        <v>149589729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-29</v>
      </c>
      <c r="C6" s="3">
        <v>0</v>
      </c>
      <c r="D6" s="3">
        <v>0</v>
      </c>
      <c r="E6" s="3">
        <v>29</v>
      </c>
      <c r="F6" s="3">
        <v>1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29</v>
      </c>
      <c r="F15" s="5">
        <f t="shared" si="2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-13933</v>
      </c>
      <c r="C3" s="3">
        <v>0</v>
      </c>
      <c r="D3" s="3">
        <v>0</v>
      </c>
      <c r="E3" s="3">
        <v>13933</v>
      </c>
      <c r="F3" s="3">
        <v>14160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-1</v>
      </c>
      <c r="C14" s="3">
        <v>0</v>
      </c>
      <c r="D14" s="3">
        <v>0</v>
      </c>
      <c r="E14" s="3">
        <v>1</v>
      </c>
      <c r="F14" s="3">
        <v>2</v>
      </c>
    </row>
    <row r="15" spans="1:6" ht="17.25" thickBot="1" x14ac:dyDescent="0.35">
      <c r="A15" s="4" t="s">
        <v>17</v>
      </c>
      <c r="B15" s="5">
        <f>SUM(B3:B14)</f>
        <v>-13934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13934</v>
      </c>
      <c r="F15" s="5">
        <f t="shared" si="2"/>
        <v>14162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-72316</v>
      </c>
      <c r="C4" s="3">
        <v>0</v>
      </c>
      <c r="D4" s="3">
        <v>0</v>
      </c>
      <c r="E4" s="3">
        <v>72316</v>
      </c>
      <c r="F4" s="3">
        <v>74000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-26</v>
      </c>
      <c r="C11" s="3">
        <v>0</v>
      </c>
      <c r="D11" s="3">
        <v>0</v>
      </c>
      <c r="E11" s="3">
        <v>26</v>
      </c>
      <c r="F11" s="3">
        <v>2</v>
      </c>
    </row>
    <row r="12" spans="1:6" x14ac:dyDescent="0.3">
      <c r="A12" s="2" t="s">
        <v>14</v>
      </c>
      <c r="B12" s="3">
        <f t="shared" si="0"/>
        <v>-74999</v>
      </c>
      <c r="C12" s="3">
        <v>0</v>
      </c>
      <c r="D12" s="3">
        <v>0</v>
      </c>
      <c r="E12" s="3">
        <v>74999</v>
      </c>
      <c r="F12" s="3">
        <v>75360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-147341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147341</v>
      </c>
      <c r="F15" s="5">
        <f t="shared" si="2"/>
        <v>149362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-27</v>
      </c>
      <c r="C5" s="3">
        <v>0</v>
      </c>
      <c r="D5" s="3">
        <v>0</v>
      </c>
      <c r="E5" s="3">
        <v>27</v>
      </c>
      <c r="F5" s="3">
        <v>2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-93304</v>
      </c>
      <c r="C7" s="3">
        <v>0</v>
      </c>
      <c r="D7" s="3">
        <v>0</v>
      </c>
      <c r="E7" s="3">
        <v>93304</v>
      </c>
      <c r="F7" s="3">
        <v>76150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-93331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93331</v>
      </c>
      <c r="F15" s="5">
        <f t="shared" si="2"/>
        <v>76152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-25</v>
      </c>
      <c r="C8" s="3">
        <v>0</v>
      </c>
      <c r="D8" s="3">
        <v>0</v>
      </c>
      <c r="E8" s="3">
        <v>25</v>
      </c>
      <c r="F8" s="3">
        <v>2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-121877</v>
      </c>
      <c r="C10" s="3">
        <v>0</v>
      </c>
      <c r="D10" s="3">
        <v>0</v>
      </c>
      <c r="E10" s="3">
        <v>121877</v>
      </c>
      <c r="F10" s="3">
        <v>74890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-121902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121902</v>
      </c>
      <c r="F15" s="5">
        <f t="shared" si="2"/>
        <v>74892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-31</v>
      </c>
      <c r="C5" s="3">
        <v>0</v>
      </c>
      <c r="D5" s="3">
        <v>0</v>
      </c>
      <c r="E5" s="3">
        <v>31</v>
      </c>
      <c r="F5" s="3">
        <v>2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-115569</v>
      </c>
      <c r="C8" s="3">
        <v>0</v>
      </c>
      <c r="D8" s="3">
        <v>0</v>
      </c>
      <c r="E8" s="3">
        <v>115569</v>
      </c>
      <c r="F8" s="3">
        <v>74590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-115600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115600</v>
      </c>
      <c r="F15" s="5">
        <f t="shared" si="2"/>
        <v>74592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-61</v>
      </c>
      <c r="C6" s="3">
        <v>0</v>
      </c>
      <c r="D6" s="3">
        <v>0</v>
      </c>
      <c r="E6" s="3">
        <v>61</v>
      </c>
      <c r="F6" s="3">
        <v>4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-92925</v>
      </c>
      <c r="C8" s="3">
        <v>0</v>
      </c>
      <c r="D8" s="3">
        <v>0</v>
      </c>
      <c r="E8" s="3">
        <v>92925</v>
      </c>
      <c r="F8" s="3">
        <v>72000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-92986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92986</v>
      </c>
      <c r="F15" s="5">
        <f t="shared" si="2"/>
        <v>72004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-54</v>
      </c>
      <c r="C6" s="3">
        <v>0</v>
      </c>
      <c r="D6" s="3">
        <v>0</v>
      </c>
      <c r="E6" s="3">
        <v>54</v>
      </c>
      <c r="F6" s="3">
        <v>2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-106734</v>
      </c>
      <c r="C8" s="3">
        <v>0</v>
      </c>
      <c r="D8" s="3">
        <v>0</v>
      </c>
      <c r="E8" s="3">
        <v>106734</v>
      </c>
      <c r="F8" s="3">
        <v>99570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-106788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106788</v>
      </c>
      <c r="F15" s="5">
        <f t="shared" si="2"/>
        <v>99572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-21</v>
      </c>
      <c r="C6" s="3">
        <v>0</v>
      </c>
      <c r="D6" s="3">
        <v>0</v>
      </c>
      <c r="E6" s="3">
        <v>21</v>
      </c>
      <c r="F6" s="3">
        <v>2</v>
      </c>
    </row>
    <row r="7" spans="1:6" x14ac:dyDescent="0.3">
      <c r="A7" s="2" t="s">
        <v>9</v>
      </c>
      <c r="B7" s="3">
        <f t="shared" si="0"/>
        <v>-21</v>
      </c>
      <c r="C7" s="3">
        <v>0</v>
      </c>
      <c r="D7" s="3">
        <v>0</v>
      </c>
      <c r="E7" s="3">
        <v>21</v>
      </c>
      <c r="F7" s="3">
        <v>2</v>
      </c>
    </row>
    <row r="8" spans="1:6" x14ac:dyDescent="0.3">
      <c r="A8" s="2" t="s">
        <v>10</v>
      </c>
      <c r="B8" s="3">
        <f t="shared" si="0"/>
        <v>-33</v>
      </c>
      <c r="C8" s="3">
        <v>0</v>
      </c>
      <c r="D8" s="3">
        <v>0</v>
      </c>
      <c r="E8" s="3">
        <v>33</v>
      </c>
      <c r="F8" s="3">
        <v>30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-75</v>
      </c>
      <c r="C15" s="5">
        <f t="shared" ref="C15:F15" si="1">SUM(C3:C14)</f>
        <v>0</v>
      </c>
      <c r="D15" s="5">
        <f t="shared" si="1"/>
        <v>0</v>
      </c>
      <c r="E15" s="5">
        <f t="shared" si="1"/>
        <v>75</v>
      </c>
      <c r="F15" s="5">
        <f t="shared" si="1"/>
        <v>34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2026-08-23T08:55:51Z</dcterms:modified>
</cp:coreProperties>
</file>