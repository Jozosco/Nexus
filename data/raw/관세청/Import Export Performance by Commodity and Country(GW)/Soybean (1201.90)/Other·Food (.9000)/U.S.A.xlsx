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\1201.90\기타 식용 대두 및 일반용(.9000)\"/>
    </mc:Choice>
  </mc:AlternateContent>
  <bookViews>
    <workbookView xWindow="0" yWindow="0" windowWidth="28800" windowHeight="11640"/>
  </bookViews>
  <sheets>
    <sheet name="2010년" sheetId="10" r:id="rId1"/>
    <sheet name="2011년" sheetId="11" r:id="rId2"/>
    <sheet name="2012년" sheetId="12" r:id="rId3"/>
    <sheet name="2013년" sheetId="13" r:id="rId4"/>
    <sheet name="2014년" sheetId="14" r:id="rId5"/>
    <sheet name="2015년" sheetId="15" r:id="rId6"/>
    <sheet name="2016년" sheetId="16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7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6" l="1"/>
  <c r="D15" i="6"/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B15" i="11" s="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s="1"/>
  <c r="B15" i="17" l="1"/>
  <c r="B15" i="12"/>
  <c r="B15" i="13"/>
  <c r="B15" i="14"/>
  <c r="B15" i="15"/>
  <c r="B15" i="16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B14" i="1"/>
  <c r="B13" i="1"/>
  <c r="B12" i="1"/>
  <c r="B11" i="1"/>
  <c r="B10" i="1"/>
  <c r="B9" i="1"/>
  <c r="B8" i="1"/>
  <c r="B7" i="1"/>
  <c r="B6" i="1"/>
  <c r="B5" i="1"/>
  <c r="B4" i="1"/>
  <c r="B3" i="1"/>
  <c r="F15" i="2"/>
  <c r="E15" i="2"/>
  <c r="D15" i="2"/>
  <c r="C15" i="2"/>
  <c r="F15" i="1"/>
  <c r="E15" i="1"/>
  <c r="D15" i="1"/>
  <c r="C15" i="1"/>
  <c r="B15" i="9" l="1"/>
  <c r="B15" i="8"/>
  <c r="B15" i="7"/>
  <c r="B15" i="6"/>
  <c r="B15" i="5"/>
  <c r="B15" i="4"/>
  <c r="B15" i="3"/>
  <c r="B15" i="2"/>
  <c r="B15" i="1"/>
</calcChain>
</file>

<file path=xl/sharedStrings.xml><?xml version="1.0" encoding="utf-8"?>
<sst xmlns="http://schemas.openxmlformats.org/spreadsheetml/2006/main" count="306" uniqueCount="37">
  <si>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</si>
  <si>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</si>
  <si>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</si>
  <si>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</si>
  <si>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</si>
  <si>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</si>
  <si>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</si>
  <si>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</si>
  <si>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</si>
  <si>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</si>
  <si>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</si>
  <si>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</si>
  <si>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</si>
  <si>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</si>
  <si>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</si>
  <si>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</si>
  <si>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</si>
  <si>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</si>
  <si>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1월</t>
    <phoneticPr fontId="1" type="noConversion"/>
  </si>
  <si>
    <t>2월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</si>
  <si>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</si>
  <si>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</si>
  <si>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</si>
  <si>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</si>
  <si>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</si>
  <si>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</si>
  <si>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</si>
  <si>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</si>
  <si>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</si>
  <si>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</si>
  <si>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</si>
  <si>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</si>
  <si>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수입량(kg)</t>
    <phoneticPr fontId="1" type="noConversion"/>
  </si>
  <si>
    <t>3월</t>
    <phoneticPr fontId="1" type="noConversion"/>
  </si>
  <si>
    <t>총계</t>
    <phoneticPr fontId="1" type="noConversion"/>
  </si>
  <si>
    <t>수출량(kg)</t>
    <phoneticPr fontId="1" type="noConversion"/>
  </si>
  <si>
    <t>총계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</si>
</sst>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18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19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</row>
    <row r="3" spans="1:6" x14ac:dyDescent="0.3">
      <c r="A3" s="2" t="s">
        <v>26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27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28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29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30</v>
      </c>
      <c r="C2" s="1" t="s">
        <v>31</v>
      </c>
      <c r="D2" s="1" t="s">
        <v>2</v>
      </c>
      <c r="E2" s="1" t="s">
        <v>24</v>
      </c>
      <c r="F2" s="1" t="s">
        <v>32</v>
      </c>
    </row>
    <row r="3" spans="1:6" x14ac:dyDescent="0.3">
      <c r="A3" s="2" t="s">
        <v>26</v>
      </c>
      <c r="B3" s="3">
        <f>C3-E3</f>
        <v>3287</v>
      </c>
      <c r="C3" s="3">
        <v>3326</v>
      </c>
      <c r="D3" s="3">
        <v>300</v>
      </c>
      <c r="E3" s="3">
        <v>39</v>
      </c>
      <c r="F3" s="3">
        <v>8</v>
      </c>
    </row>
    <row r="4" spans="1:6" x14ac:dyDescent="0.3">
      <c r="A4" s="2" t="s">
        <v>27</v>
      </c>
      <c r="B4" s="3">
        <f t="shared" ref="B4:B14" si="0">C4-E4</f>
        <v>-20585173</v>
      </c>
      <c r="C4" s="3">
        <v>870</v>
      </c>
      <c r="D4" s="3">
        <v>75</v>
      </c>
      <c r="E4" s="3">
        <v>20586043</v>
      </c>
      <c r="F4" s="3">
        <v>32376394</v>
      </c>
    </row>
    <row r="5" spans="1:6" x14ac:dyDescent="0.3">
      <c r="A5" s="2" t="s">
        <v>33</v>
      </c>
      <c r="B5" s="3">
        <f t="shared" si="0"/>
        <v>-17610116</v>
      </c>
      <c r="C5" s="3">
        <v>5793</v>
      </c>
      <c r="D5" s="3">
        <v>455</v>
      </c>
      <c r="E5" s="3">
        <v>17615909</v>
      </c>
      <c r="F5" s="3">
        <v>29001415</v>
      </c>
    </row>
    <row r="6" spans="1:6" x14ac:dyDescent="0.3">
      <c r="A6" s="2" t="s">
        <v>8</v>
      </c>
      <c r="B6" s="3">
        <f t="shared" si="0"/>
        <v>-15378882</v>
      </c>
      <c r="C6" s="3">
        <v>0</v>
      </c>
      <c r="D6" s="3">
        <v>0</v>
      </c>
      <c r="E6" s="3">
        <v>15378882</v>
      </c>
      <c r="F6" s="3">
        <v>25299101</v>
      </c>
    </row>
    <row r="7" spans="1:6" x14ac:dyDescent="0.3">
      <c r="A7" s="2" t="s">
        <v>9</v>
      </c>
      <c r="B7" s="3">
        <f t="shared" si="0"/>
        <v>-5704963</v>
      </c>
      <c r="C7" s="3">
        <v>0</v>
      </c>
      <c r="D7" s="3">
        <v>0</v>
      </c>
      <c r="E7" s="3">
        <v>5704963</v>
      </c>
      <c r="F7" s="3">
        <v>7941708</v>
      </c>
    </row>
    <row r="8" spans="1:6" x14ac:dyDescent="0.3">
      <c r="A8" s="2" t="s">
        <v>10</v>
      </c>
      <c r="B8" s="3">
        <f t="shared" si="0"/>
        <v>-38665914</v>
      </c>
      <c r="C8" s="3">
        <v>257</v>
      </c>
      <c r="D8" s="3">
        <v>20</v>
      </c>
      <c r="E8" s="3">
        <v>38666171</v>
      </c>
      <c r="F8" s="3">
        <v>58207276</v>
      </c>
    </row>
    <row r="9" spans="1:6" x14ac:dyDescent="0.3">
      <c r="A9" s="2" t="s">
        <v>11</v>
      </c>
      <c r="B9" s="3">
        <f t="shared" si="0"/>
        <v>-4702030</v>
      </c>
      <c r="C9" s="3">
        <v>1714</v>
      </c>
      <c r="D9" s="3">
        <v>200</v>
      </c>
      <c r="E9" s="3">
        <v>4703744</v>
      </c>
      <c r="F9" s="3">
        <v>6395693</v>
      </c>
    </row>
    <row r="10" spans="1:6" x14ac:dyDescent="0.3">
      <c r="A10" s="2" t="s">
        <v>12</v>
      </c>
      <c r="B10" s="3">
        <f t="shared" si="0"/>
        <v>-4970629</v>
      </c>
      <c r="C10" s="3">
        <v>1990</v>
      </c>
      <c r="D10" s="3">
        <v>150</v>
      </c>
      <c r="E10" s="3">
        <v>4972619</v>
      </c>
      <c r="F10" s="3">
        <v>6788470</v>
      </c>
    </row>
    <row r="11" spans="1:6" x14ac:dyDescent="0.3">
      <c r="A11" s="2" t="s">
        <v>13</v>
      </c>
      <c r="B11" s="3">
        <f t="shared" si="0"/>
        <v>-8399557</v>
      </c>
      <c r="C11" s="3">
        <v>0</v>
      </c>
      <c r="D11" s="3">
        <v>0</v>
      </c>
      <c r="E11" s="3">
        <v>8399557</v>
      </c>
      <c r="F11" s="3">
        <v>11191296</v>
      </c>
    </row>
    <row r="12" spans="1:6" x14ac:dyDescent="0.3">
      <c r="A12" s="2" t="s">
        <v>14</v>
      </c>
      <c r="B12" s="3">
        <f t="shared" si="0"/>
        <v>-1811770</v>
      </c>
      <c r="C12" s="3">
        <v>0</v>
      </c>
      <c r="D12" s="3">
        <v>0</v>
      </c>
      <c r="E12" s="3">
        <v>1811770</v>
      </c>
      <c r="F12" s="3">
        <v>2379183</v>
      </c>
    </row>
    <row r="13" spans="1:6" x14ac:dyDescent="0.3">
      <c r="A13" s="2" t="s">
        <v>15</v>
      </c>
      <c r="B13" s="3">
        <f t="shared" si="0"/>
        <v>-1213660</v>
      </c>
      <c r="C13" s="3">
        <v>0</v>
      </c>
      <c r="D13" s="3">
        <v>0</v>
      </c>
      <c r="E13" s="3">
        <v>1213660</v>
      </c>
      <c r="F13" s="3">
        <v>1463008</v>
      </c>
    </row>
    <row r="14" spans="1:6" x14ac:dyDescent="0.3">
      <c r="A14" s="2" t="s">
        <v>16</v>
      </c>
      <c r="B14" s="3">
        <f t="shared" si="0"/>
        <v>-1387474</v>
      </c>
      <c r="C14" s="3">
        <v>0</v>
      </c>
      <c r="D14" s="3">
        <v>0</v>
      </c>
      <c r="E14" s="3">
        <v>1387474</v>
      </c>
      <c r="F14" s="3">
        <v>1716029</v>
      </c>
    </row>
    <row r="15" spans="1:6" ht="17.25" thickBot="1" x14ac:dyDescent="0.35">
      <c r="A15" s="4" t="s">
        <v>34</v>
      </c>
      <c r="B15" s="5">
        <f>SUM(B3:B14)</f>
        <v>-120426881</v>
      </c>
      <c r="C15" s="5">
        <f t="shared" ref="C15:F15" si="1">SUM(C3:C14)</f>
        <v>13950</v>
      </c>
      <c r="D15" s="5">
        <f t="shared" si="1"/>
        <v>1200</v>
      </c>
      <c r="E15" s="5">
        <f t="shared" si="1"/>
        <v>120440831</v>
      </c>
      <c r="F15" s="5">
        <f t="shared" si="1"/>
        <v>182759581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30</v>
      </c>
      <c r="C2" s="1" t="s">
        <v>31</v>
      </c>
      <c r="D2" s="1" t="s">
        <v>35</v>
      </c>
      <c r="E2" s="1" t="s">
        <v>24</v>
      </c>
      <c r="F2" s="1" t="s">
        <v>4</v>
      </c>
    </row>
    <row r="3" spans="1:6" x14ac:dyDescent="0.3">
      <c r="A3" s="2" t="s">
        <v>26</v>
      </c>
      <c r="B3" s="3">
        <f t="shared" ref="B3:B14" si="0">C3-E3</f>
        <v>-29603289</v>
      </c>
      <c r="C3" s="3">
        <v>0</v>
      </c>
      <c r="D3" s="3">
        <v>0</v>
      </c>
      <c r="E3" s="3">
        <v>29603289</v>
      </c>
      <c r="F3" s="3">
        <v>39473596</v>
      </c>
    </row>
    <row r="4" spans="1:6" x14ac:dyDescent="0.3">
      <c r="A4" s="2" t="s">
        <v>27</v>
      </c>
      <c r="B4" s="3">
        <f t="shared" si="0"/>
        <v>-2496450</v>
      </c>
      <c r="C4" s="3">
        <v>0</v>
      </c>
      <c r="D4" s="3">
        <v>0</v>
      </c>
      <c r="E4" s="3">
        <v>2496450</v>
      </c>
      <c r="F4" s="3">
        <v>3295728</v>
      </c>
    </row>
    <row r="5" spans="1:6" x14ac:dyDescent="0.3">
      <c r="A5" s="2" t="s">
        <v>33</v>
      </c>
      <c r="B5" s="3">
        <f t="shared" si="0"/>
        <v>-25745847</v>
      </c>
      <c r="C5" s="3">
        <v>0</v>
      </c>
      <c r="D5" s="3">
        <v>0</v>
      </c>
      <c r="E5" s="3">
        <v>25745847</v>
      </c>
      <c r="F5" s="3">
        <v>35486640</v>
      </c>
    </row>
    <row r="6" spans="1:6" x14ac:dyDescent="0.3">
      <c r="A6" s="2" t="s">
        <v>8</v>
      </c>
      <c r="B6" s="3">
        <f t="shared" si="0"/>
        <v>-23646613</v>
      </c>
      <c r="C6" s="3">
        <v>5496</v>
      </c>
      <c r="D6" s="3">
        <v>400</v>
      </c>
      <c r="E6" s="3">
        <v>23652109</v>
      </c>
      <c r="F6" s="3">
        <v>33663061</v>
      </c>
    </row>
    <row r="7" spans="1:6" x14ac:dyDescent="0.3">
      <c r="A7" s="2" t="s">
        <v>9</v>
      </c>
      <c r="B7" s="3">
        <f t="shared" si="0"/>
        <v>-42737557</v>
      </c>
      <c r="C7" s="3">
        <v>0</v>
      </c>
      <c r="D7" s="3">
        <v>0</v>
      </c>
      <c r="E7" s="3">
        <v>42737557</v>
      </c>
      <c r="F7" s="3">
        <v>58751815</v>
      </c>
    </row>
    <row r="8" spans="1:6" x14ac:dyDescent="0.3">
      <c r="A8" s="2" t="s">
        <v>10</v>
      </c>
      <c r="B8" s="3">
        <f t="shared" si="0"/>
        <v>-6652406</v>
      </c>
      <c r="C8" s="3">
        <v>0</v>
      </c>
      <c r="D8" s="3">
        <v>0</v>
      </c>
      <c r="E8" s="3">
        <v>6652406</v>
      </c>
      <c r="F8" s="3">
        <v>8744839</v>
      </c>
    </row>
    <row r="9" spans="1:6" x14ac:dyDescent="0.3">
      <c r="A9" s="2" t="s">
        <v>11</v>
      </c>
      <c r="B9" s="3">
        <f t="shared" si="0"/>
        <v>-3408202</v>
      </c>
      <c r="C9" s="3">
        <v>276</v>
      </c>
      <c r="D9" s="3">
        <v>50</v>
      </c>
      <c r="E9" s="3">
        <v>3408478</v>
      </c>
      <c r="F9" s="3">
        <v>4534206</v>
      </c>
    </row>
    <row r="10" spans="1:6" x14ac:dyDescent="0.3">
      <c r="A10" s="2" t="s">
        <v>12</v>
      </c>
      <c r="B10" s="3">
        <f t="shared" si="0"/>
        <v>516</v>
      </c>
      <c r="C10" s="3">
        <v>607</v>
      </c>
      <c r="D10" s="3">
        <v>30</v>
      </c>
      <c r="E10" s="3">
        <v>91</v>
      </c>
      <c r="F10" s="3">
        <v>19</v>
      </c>
    </row>
    <row r="11" spans="1:6" x14ac:dyDescent="0.3">
      <c r="A11" s="2" t="s">
        <v>13</v>
      </c>
      <c r="B11" s="3">
        <f t="shared" si="0"/>
        <v>-190679</v>
      </c>
      <c r="C11" s="3">
        <v>3803</v>
      </c>
      <c r="D11" s="3">
        <v>781</v>
      </c>
      <c r="E11" s="3">
        <v>194482</v>
      </c>
      <c r="F11" s="3">
        <v>240001</v>
      </c>
    </row>
    <row r="12" spans="1:6" x14ac:dyDescent="0.3">
      <c r="A12" s="2" t="s">
        <v>14</v>
      </c>
      <c r="B12" s="3">
        <f t="shared" si="0"/>
        <v>-16075164</v>
      </c>
      <c r="C12" s="3">
        <v>0</v>
      </c>
      <c r="D12" s="3">
        <v>0</v>
      </c>
      <c r="E12" s="3">
        <v>16075164</v>
      </c>
      <c r="F12" s="3">
        <v>19716480</v>
      </c>
    </row>
    <row r="13" spans="1:6" x14ac:dyDescent="0.3">
      <c r="A13" s="2" t="s">
        <v>15</v>
      </c>
      <c r="B13" s="3">
        <f t="shared" si="0"/>
        <v>-414667</v>
      </c>
      <c r="C13" s="3">
        <v>395</v>
      </c>
      <c r="D13" s="3">
        <v>136</v>
      </c>
      <c r="E13" s="3">
        <v>415062</v>
      </c>
      <c r="F13" s="3">
        <v>500007</v>
      </c>
    </row>
    <row r="14" spans="1:6" x14ac:dyDescent="0.3">
      <c r="A14" s="2" t="s">
        <v>16</v>
      </c>
      <c r="B14" s="3">
        <f t="shared" si="0"/>
        <v>-2362806</v>
      </c>
      <c r="C14" s="3">
        <v>263</v>
      </c>
      <c r="D14" s="3">
        <v>91</v>
      </c>
      <c r="E14" s="3">
        <v>2363069</v>
      </c>
      <c r="F14" s="3">
        <v>2879059</v>
      </c>
    </row>
    <row r="15" spans="1:6" ht="17.25" thickBot="1" x14ac:dyDescent="0.35">
      <c r="A15" s="4" t="s">
        <v>36</v>
      </c>
      <c r="B15" s="5">
        <f>SUM(B3:B14)</f>
        <v>-153333164</v>
      </c>
      <c r="C15" s="5">
        <f t="shared" ref="C15:F15" si="1">SUM(C3:C14)</f>
        <v>10840</v>
      </c>
      <c r="D15" s="5">
        <f t="shared" si="1"/>
        <v>1488</v>
      </c>
      <c r="E15" s="5">
        <f t="shared" si="1"/>
        <v>153344004</v>
      </c>
      <c r="F15" s="5">
        <f t="shared" si="1"/>
        <v>207285451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30</v>
      </c>
      <c r="C2" s="1" t="s">
        <v>31</v>
      </c>
      <c r="D2" s="1" t="s">
        <v>35</v>
      </c>
      <c r="E2" s="1" t="s">
        <v>24</v>
      </c>
      <c r="F2" s="1" t="s">
        <v>32</v>
      </c>
    </row>
    <row r="3" spans="1:6" x14ac:dyDescent="0.3">
      <c r="A3" s="2" t="s">
        <v>26</v>
      </c>
      <c r="B3" s="3">
        <f t="shared" ref="B3:B14" si="0">C3-E3</f>
        <v>-2042103</v>
      </c>
      <c r="C3" s="3">
        <v>1353</v>
      </c>
      <c r="D3" s="3">
        <v>363</v>
      </c>
      <c r="E3" s="3">
        <v>2043456</v>
      </c>
      <c r="F3" s="3">
        <v>2789219</v>
      </c>
    </row>
    <row r="4" spans="1:6" x14ac:dyDescent="0.3">
      <c r="A4" s="2" t="s">
        <v>27</v>
      </c>
      <c r="B4" s="3">
        <f t="shared" si="0"/>
        <v>-6540730</v>
      </c>
      <c r="C4" s="3">
        <v>2080</v>
      </c>
      <c r="D4" s="3">
        <v>185</v>
      </c>
      <c r="E4" s="3">
        <v>6542810</v>
      </c>
      <c r="F4" s="3">
        <v>8825540</v>
      </c>
    </row>
    <row r="5" spans="1:6" x14ac:dyDescent="0.3">
      <c r="A5" s="2" t="s">
        <v>33</v>
      </c>
      <c r="B5" s="3">
        <f t="shared" si="0"/>
        <v>-3295598</v>
      </c>
      <c r="C5" s="3">
        <v>1829</v>
      </c>
      <c r="D5" s="3">
        <v>150</v>
      </c>
      <c r="E5" s="3">
        <v>3297427</v>
      </c>
      <c r="F5" s="3">
        <v>4239766</v>
      </c>
    </row>
    <row r="6" spans="1:6" x14ac:dyDescent="0.3">
      <c r="A6" s="2" t="s">
        <v>8</v>
      </c>
      <c r="B6" s="3">
        <f t="shared" si="0"/>
        <v>-7117039</v>
      </c>
      <c r="C6" s="3">
        <v>261</v>
      </c>
      <c r="D6" s="3">
        <v>91</v>
      </c>
      <c r="E6" s="3">
        <v>7117300</v>
      </c>
      <c r="F6" s="3">
        <v>9220420</v>
      </c>
    </row>
    <row r="7" spans="1:6" x14ac:dyDescent="0.3">
      <c r="A7" s="2" t="s">
        <v>9</v>
      </c>
      <c r="B7" s="3">
        <f t="shared" si="0"/>
        <v>-10732489</v>
      </c>
      <c r="C7" s="3">
        <v>534</v>
      </c>
      <c r="D7" s="3">
        <v>182</v>
      </c>
      <c r="E7" s="3">
        <v>10733023</v>
      </c>
      <c r="F7" s="3">
        <v>13581119</v>
      </c>
    </row>
    <row r="8" spans="1:6" x14ac:dyDescent="0.3">
      <c r="A8" s="2" t="s">
        <v>10</v>
      </c>
      <c r="B8" s="3">
        <f t="shared" si="0"/>
        <v>-22641683</v>
      </c>
      <c r="C8" s="3">
        <v>445</v>
      </c>
      <c r="D8" s="3">
        <v>98</v>
      </c>
      <c r="E8" s="3">
        <v>22642128</v>
      </c>
      <c r="F8" s="3">
        <v>33655352</v>
      </c>
    </row>
    <row r="9" spans="1:6" x14ac:dyDescent="0.3">
      <c r="A9" s="2" t="s">
        <v>11</v>
      </c>
      <c r="B9" s="3">
        <f t="shared" si="0"/>
        <v>-3416747</v>
      </c>
      <c r="C9" s="3">
        <v>1987</v>
      </c>
      <c r="D9" s="3">
        <v>183</v>
      </c>
      <c r="E9" s="3">
        <v>3418734</v>
      </c>
      <c r="F9" s="3">
        <v>4795628</v>
      </c>
    </row>
    <row r="10" spans="1:6" x14ac:dyDescent="0.3">
      <c r="A10" s="2" t="s">
        <v>12</v>
      </c>
      <c r="B10" s="3">
        <f t="shared" si="0"/>
        <v>-14120</v>
      </c>
      <c r="C10" s="3">
        <v>3096</v>
      </c>
      <c r="D10" s="3">
        <v>375</v>
      </c>
      <c r="E10" s="3">
        <v>17216</v>
      </c>
      <c r="F10" s="3">
        <v>19964</v>
      </c>
    </row>
    <row r="11" spans="1:6" x14ac:dyDescent="0.3">
      <c r="A11" s="2" t="s">
        <v>13</v>
      </c>
      <c r="B11" s="3">
        <f t="shared" si="0"/>
        <v>-100512957</v>
      </c>
      <c r="C11" s="3">
        <v>0</v>
      </c>
      <c r="D11" s="3">
        <v>0</v>
      </c>
      <c r="E11" s="3">
        <v>100512957</v>
      </c>
      <c r="F11" s="3">
        <v>143404590</v>
      </c>
    </row>
    <row r="12" spans="1:6" x14ac:dyDescent="0.3">
      <c r="A12" s="2" t="s">
        <v>14</v>
      </c>
      <c r="B12" s="3">
        <f t="shared" si="0"/>
        <v>-725</v>
      </c>
      <c r="C12" s="3">
        <v>65</v>
      </c>
      <c r="D12" s="3">
        <v>10</v>
      </c>
      <c r="E12" s="3">
        <v>790</v>
      </c>
      <c r="F12" s="3">
        <v>117</v>
      </c>
    </row>
    <row r="13" spans="1:6" x14ac:dyDescent="0.3">
      <c r="A13" s="2" t="s">
        <v>15</v>
      </c>
      <c r="B13" s="3">
        <f t="shared" si="0"/>
        <v>-1044322</v>
      </c>
      <c r="C13" s="3">
        <v>0</v>
      </c>
      <c r="D13" s="3">
        <v>0</v>
      </c>
      <c r="E13" s="3">
        <v>1044322</v>
      </c>
      <c r="F13" s="3">
        <v>1378329</v>
      </c>
    </row>
    <row r="14" spans="1:6" x14ac:dyDescent="0.3">
      <c r="A14" s="2" t="s">
        <v>16</v>
      </c>
      <c r="B14" s="3">
        <f t="shared" si="0"/>
        <v>-3856774</v>
      </c>
      <c r="C14" s="3">
        <v>6298</v>
      </c>
      <c r="D14" s="3">
        <v>800</v>
      </c>
      <c r="E14" s="3">
        <v>3863072</v>
      </c>
      <c r="F14" s="3">
        <v>4889763</v>
      </c>
    </row>
    <row r="15" spans="1:6" ht="17.25" thickBot="1" x14ac:dyDescent="0.35">
      <c r="A15" s="4" t="s">
        <v>36</v>
      </c>
      <c r="B15" s="5">
        <f>SUM(B3:B14)</f>
        <v>-161215287</v>
      </c>
      <c r="C15" s="5">
        <f t="shared" ref="C15:F15" si="1">SUM(C3:C14)</f>
        <v>17948</v>
      </c>
      <c r="D15" s="5">
        <f t="shared" si="1"/>
        <v>2437</v>
      </c>
      <c r="E15" s="5">
        <f t="shared" si="1"/>
        <v>161233235</v>
      </c>
      <c r="F15" s="5">
        <f t="shared" si="1"/>
        <v>226799807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30</v>
      </c>
      <c r="C2" s="1" t="s">
        <v>31</v>
      </c>
      <c r="D2" s="1" t="s">
        <v>35</v>
      </c>
      <c r="E2" s="1" t="s">
        <v>24</v>
      </c>
      <c r="F2" s="1" t="s">
        <v>32</v>
      </c>
    </row>
    <row r="3" spans="1:6" x14ac:dyDescent="0.3">
      <c r="A3" s="2" t="s">
        <v>18</v>
      </c>
      <c r="B3" s="3">
        <f t="shared" ref="B3:B14" si="0">C3-E3</f>
        <v>-1997385</v>
      </c>
      <c r="C3" s="3">
        <v>0</v>
      </c>
      <c r="D3" s="3">
        <v>0</v>
      </c>
      <c r="E3" s="3">
        <v>1997385</v>
      </c>
      <c r="F3" s="3">
        <v>2453302</v>
      </c>
    </row>
    <row r="4" spans="1:6" x14ac:dyDescent="0.3">
      <c r="A4" s="2" t="s">
        <v>19</v>
      </c>
      <c r="B4" s="3">
        <f t="shared" si="0"/>
        <v>-6812147</v>
      </c>
      <c r="C4" s="3">
        <v>0</v>
      </c>
      <c r="D4" s="3">
        <v>0</v>
      </c>
      <c r="E4" s="3">
        <v>6812147</v>
      </c>
      <c r="F4" s="3">
        <v>10732446</v>
      </c>
    </row>
    <row r="5" spans="1:6" x14ac:dyDescent="0.3">
      <c r="A5" s="2" t="s">
        <v>7</v>
      </c>
      <c r="B5" s="3">
        <f t="shared" si="0"/>
        <v>-4443852</v>
      </c>
      <c r="C5" s="3">
        <v>4440</v>
      </c>
      <c r="D5" s="3">
        <v>567</v>
      </c>
      <c r="E5" s="3">
        <v>4448292</v>
      </c>
      <c r="F5" s="3">
        <v>5668792</v>
      </c>
    </row>
    <row r="6" spans="1:6" x14ac:dyDescent="0.3">
      <c r="A6" s="2" t="s">
        <v>8</v>
      </c>
      <c r="B6" s="3">
        <f t="shared" si="0"/>
        <v>-9223323</v>
      </c>
      <c r="C6" s="3">
        <v>0</v>
      </c>
      <c r="D6" s="3">
        <v>0</v>
      </c>
      <c r="E6" s="3">
        <v>9223323</v>
      </c>
      <c r="F6" s="3">
        <v>13363496</v>
      </c>
    </row>
    <row r="7" spans="1:6" x14ac:dyDescent="0.3">
      <c r="A7" s="2" t="s">
        <v>9</v>
      </c>
      <c r="B7" s="3">
        <f t="shared" si="0"/>
        <v>-6109288</v>
      </c>
      <c r="C7" s="3">
        <v>12110</v>
      </c>
      <c r="D7" s="3">
        <v>1000</v>
      </c>
      <c r="E7" s="3">
        <v>6121398</v>
      </c>
      <c r="F7" s="3">
        <v>9360823</v>
      </c>
    </row>
    <row r="8" spans="1:6" x14ac:dyDescent="0.3">
      <c r="A8" s="2" t="s">
        <v>10</v>
      </c>
      <c r="B8" s="3">
        <f t="shared" si="0"/>
        <v>-4758597</v>
      </c>
      <c r="C8" s="3">
        <v>1298</v>
      </c>
      <c r="D8" s="3">
        <v>188</v>
      </c>
      <c r="E8" s="3">
        <v>4759895</v>
      </c>
      <c r="F8" s="3">
        <v>6972095</v>
      </c>
    </row>
    <row r="9" spans="1:6" x14ac:dyDescent="0.3">
      <c r="A9" s="2" t="s">
        <v>11</v>
      </c>
      <c r="B9" s="3">
        <f t="shared" si="0"/>
        <v>-2842735</v>
      </c>
      <c r="C9" s="3">
        <v>10638</v>
      </c>
      <c r="D9" s="3">
        <v>2616</v>
      </c>
      <c r="E9" s="3">
        <v>2853373</v>
      </c>
      <c r="F9" s="3">
        <v>4241397</v>
      </c>
    </row>
    <row r="10" spans="1:6" x14ac:dyDescent="0.3">
      <c r="A10" s="2" t="s">
        <v>12</v>
      </c>
      <c r="B10" s="3">
        <f t="shared" si="0"/>
        <v>-2129804</v>
      </c>
      <c r="C10" s="3">
        <v>0</v>
      </c>
      <c r="D10" s="3">
        <v>0</v>
      </c>
      <c r="E10" s="3">
        <v>2129804</v>
      </c>
      <c r="F10" s="3">
        <v>2904292</v>
      </c>
    </row>
    <row r="11" spans="1:6" x14ac:dyDescent="0.3">
      <c r="A11" s="2" t="s">
        <v>13</v>
      </c>
      <c r="B11" s="3">
        <f t="shared" si="0"/>
        <v>-1213502</v>
      </c>
      <c r="C11" s="3">
        <v>9661</v>
      </c>
      <c r="D11" s="3">
        <v>2000</v>
      </c>
      <c r="E11" s="3">
        <v>1223163</v>
      </c>
      <c r="F11" s="3">
        <v>1760579</v>
      </c>
    </row>
    <row r="12" spans="1:6" x14ac:dyDescent="0.3">
      <c r="A12" s="2" t="s">
        <v>14</v>
      </c>
      <c r="B12" s="3">
        <f t="shared" si="0"/>
        <v>-1207693</v>
      </c>
      <c r="C12" s="3">
        <v>2677</v>
      </c>
      <c r="D12" s="3">
        <v>375</v>
      </c>
      <c r="E12" s="3">
        <v>1210370</v>
      </c>
      <c r="F12" s="3">
        <v>1866382</v>
      </c>
    </row>
    <row r="13" spans="1:6" x14ac:dyDescent="0.3">
      <c r="A13" s="2" t="s">
        <v>15</v>
      </c>
      <c r="B13" s="3">
        <f t="shared" si="0"/>
        <v>-677851</v>
      </c>
      <c r="C13" s="3">
        <v>916</v>
      </c>
      <c r="D13" s="3">
        <v>138</v>
      </c>
      <c r="E13" s="3">
        <v>678767</v>
      </c>
      <c r="F13" s="3">
        <v>961144</v>
      </c>
    </row>
    <row r="14" spans="1:6" x14ac:dyDescent="0.3">
      <c r="A14" s="2" t="s">
        <v>16</v>
      </c>
      <c r="B14" s="3">
        <f t="shared" si="0"/>
        <v>-107132331</v>
      </c>
      <c r="C14" s="3">
        <v>0</v>
      </c>
      <c r="D14" s="3">
        <v>0</v>
      </c>
      <c r="E14" s="3">
        <v>107132331</v>
      </c>
      <c r="F14" s="3">
        <v>182782734</v>
      </c>
    </row>
    <row r="15" spans="1:6" ht="17.25" thickBot="1" x14ac:dyDescent="0.35">
      <c r="A15" s="4" t="s">
        <v>20</v>
      </c>
      <c r="B15" s="5">
        <f>SUM(B3:B14)</f>
        <v>-148548508</v>
      </c>
      <c r="C15" s="5">
        <f t="shared" ref="C15:F15" si="1">SUM(C3:C14)</f>
        <v>41740</v>
      </c>
      <c r="D15" s="5">
        <f t="shared" si="1"/>
        <v>6884</v>
      </c>
      <c r="E15" s="5">
        <f t="shared" si="1"/>
        <v>148590248</v>
      </c>
      <c r="F15" s="5">
        <f t="shared" si="1"/>
        <v>243067482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30</v>
      </c>
      <c r="C2" s="1" t="s">
        <v>31</v>
      </c>
      <c r="D2" s="1" t="s">
        <v>35</v>
      </c>
      <c r="E2" s="1" t="s">
        <v>24</v>
      </c>
      <c r="F2" s="1" t="s">
        <v>32</v>
      </c>
    </row>
    <row r="3" spans="1:6" x14ac:dyDescent="0.3">
      <c r="A3" s="2" t="s">
        <v>26</v>
      </c>
      <c r="B3" s="3">
        <f t="shared" ref="B3:B14" si="0">C3-E3</f>
        <v>-2140289</v>
      </c>
      <c r="C3" s="3">
        <v>0</v>
      </c>
      <c r="D3" s="3">
        <v>0</v>
      </c>
      <c r="E3" s="3">
        <v>2140289</v>
      </c>
      <c r="F3" s="3">
        <v>3631021</v>
      </c>
    </row>
    <row r="4" spans="1:6" x14ac:dyDescent="0.3">
      <c r="A4" s="2" t="s">
        <v>27</v>
      </c>
      <c r="B4" s="3">
        <f t="shared" si="0"/>
        <v>-7387040</v>
      </c>
      <c r="C4" s="3">
        <v>0</v>
      </c>
      <c r="D4" s="3">
        <v>0</v>
      </c>
      <c r="E4" s="3">
        <v>7387040</v>
      </c>
      <c r="F4" s="3">
        <v>12932405</v>
      </c>
    </row>
    <row r="5" spans="1:6" x14ac:dyDescent="0.3">
      <c r="A5" s="2" t="s">
        <v>33</v>
      </c>
      <c r="B5" s="3">
        <f t="shared" si="0"/>
        <v>-3339563</v>
      </c>
      <c r="C5" s="3">
        <v>5273</v>
      </c>
      <c r="D5" s="3">
        <v>780</v>
      </c>
      <c r="E5" s="3">
        <v>3344836</v>
      </c>
      <c r="F5" s="3">
        <v>5760053</v>
      </c>
    </row>
    <row r="6" spans="1:6" x14ac:dyDescent="0.3">
      <c r="A6" s="2" t="s">
        <v>8</v>
      </c>
      <c r="B6" s="3">
        <f t="shared" si="0"/>
        <v>-5626305</v>
      </c>
      <c r="C6" s="3">
        <v>0</v>
      </c>
      <c r="D6" s="3">
        <v>0</v>
      </c>
      <c r="E6" s="3">
        <v>5626305</v>
      </c>
      <c r="F6" s="3">
        <v>10000143</v>
      </c>
    </row>
    <row r="7" spans="1:6" x14ac:dyDescent="0.3">
      <c r="A7" s="2" t="s">
        <v>9</v>
      </c>
      <c r="B7" s="3">
        <f t="shared" si="0"/>
        <v>-20625648</v>
      </c>
      <c r="C7" s="3">
        <v>440</v>
      </c>
      <c r="D7" s="3">
        <v>120</v>
      </c>
      <c r="E7" s="3">
        <v>20626088</v>
      </c>
      <c r="F7" s="3">
        <v>39440496</v>
      </c>
    </row>
    <row r="8" spans="1:6" x14ac:dyDescent="0.3">
      <c r="A8" s="2" t="s">
        <v>10</v>
      </c>
      <c r="B8" s="3">
        <f t="shared" si="0"/>
        <v>-2877804</v>
      </c>
      <c r="C8" s="3">
        <v>5130</v>
      </c>
      <c r="D8" s="3">
        <v>800</v>
      </c>
      <c r="E8" s="3">
        <v>2882934</v>
      </c>
      <c r="F8" s="3">
        <v>5139203</v>
      </c>
    </row>
    <row r="9" spans="1:6" x14ac:dyDescent="0.3">
      <c r="A9" s="2" t="s">
        <v>11</v>
      </c>
      <c r="B9" s="3">
        <f t="shared" si="0"/>
        <v>-13227330</v>
      </c>
      <c r="C9" s="3">
        <v>0</v>
      </c>
      <c r="D9" s="3">
        <v>0</v>
      </c>
      <c r="E9" s="3">
        <v>13227330</v>
      </c>
      <c r="F9" s="3">
        <v>26905950</v>
      </c>
    </row>
    <row r="10" spans="1:6" x14ac:dyDescent="0.3">
      <c r="A10" s="2" t="s">
        <v>12</v>
      </c>
      <c r="B10" s="3">
        <f t="shared" si="0"/>
        <v>-13454999</v>
      </c>
      <c r="C10" s="3">
        <v>224</v>
      </c>
      <c r="D10" s="3">
        <v>25</v>
      </c>
      <c r="E10" s="3">
        <v>13455223</v>
      </c>
      <c r="F10" s="3">
        <v>26892065</v>
      </c>
    </row>
    <row r="11" spans="1:6" x14ac:dyDescent="0.3">
      <c r="A11" s="2" t="s">
        <v>13</v>
      </c>
      <c r="B11" s="3">
        <f t="shared" si="0"/>
        <v>-722596</v>
      </c>
      <c r="C11" s="3">
        <v>0</v>
      </c>
      <c r="D11" s="3">
        <v>0</v>
      </c>
      <c r="E11" s="3">
        <v>722596</v>
      </c>
      <c r="F11" s="3">
        <v>1167402</v>
      </c>
    </row>
    <row r="12" spans="1:6" x14ac:dyDescent="0.3">
      <c r="A12" s="2" t="s">
        <v>14</v>
      </c>
      <c r="B12" s="3">
        <f t="shared" si="0"/>
        <v>-40423194</v>
      </c>
      <c r="C12" s="3">
        <v>0</v>
      </c>
      <c r="D12" s="3">
        <v>0</v>
      </c>
      <c r="E12" s="3">
        <v>40423194</v>
      </c>
      <c r="F12" s="3">
        <v>74935260</v>
      </c>
    </row>
    <row r="13" spans="1:6" x14ac:dyDescent="0.3">
      <c r="A13" s="2" t="s">
        <v>15</v>
      </c>
      <c r="B13" s="3">
        <f t="shared" si="0"/>
        <v>-2945437</v>
      </c>
      <c r="C13" s="3">
        <v>0</v>
      </c>
      <c r="D13" s="3">
        <v>0</v>
      </c>
      <c r="E13" s="3">
        <v>2945437</v>
      </c>
      <c r="F13" s="3">
        <v>5744212</v>
      </c>
    </row>
    <row r="14" spans="1:6" x14ac:dyDescent="0.3">
      <c r="A14" s="2" t="s">
        <v>16</v>
      </c>
      <c r="B14" s="3">
        <f t="shared" si="0"/>
        <v>-1621998</v>
      </c>
      <c r="C14" s="3">
        <v>0</v>
      </c>
      <c r="D14" s="3">
        <v>0</v>
      </c>
      <c r="E14" s="3">
        <v>1621998</v>
      </c>
      <c r="F14" s="3">
        <v>3034065</v>
      </c>
    </row>
    <row r="15" spans="1:6" ht="17.25" thickBot="1" x14ac:dyDescent="0.35">
      <c r="A15" s="4" t="s">
        <v>36</v>
      </c>
      <c r="B15" s="5">
        <f>SUM(B3:B14)</f>
        <v>-114392203</v>
      </c>
      <c r="C15" s="5">
        <f t="shared" ref="C15:F15" si="1">SUM(C3:C14)</f>
        <v>11067</v>
      </c>
      <c r="D15" s="5">
        <f t="shared" si="1"/>
        <v>1725</v>
      </c>
      <c r="E15" s="5">
        <f t="shared" si="1"/>
        <v>114403270</v>
      </c>
      <c r="F15" s="5">
        <f t="shared" si="1"/>
        <v>215582275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-4142668</v>
      </c>
      <c r="C3" s="3">
        <v>0</v>
      </c>
      <c r="D3" s="3">
        <v>0</v>
      </c>
      <c r="E3" s="3">
        <v>4142668</v>
      </c>
      <c r="F3" s="3">
        <v>7799714</v>
      </c>
    </row>
    <row r="4" spans="1:6" x14ac:dyDescent="0.3">
      <c r="A4" s="2" t="s">
        <v>6</v>
      </c>
      <c r="B4" s="3">
        <f t="shared" ref="B4:B14" si="0">C4-E4</f>
        <v>-16679390</v>
      </c>
      <c r="C4" s="3">
        <v>3084</v>
      </c>
      <c r="D4" s="3">
        <v>463</v>
      </c>
      <c r="E4" s="3">
        <v>16682474</v>
      </c>
      <c r="F4" s="3">
        <v>27135009</v>
      </c>
    </row>
    <row r="5" spans="1:6" x14ac:dyDescent="0.3">
      <c r="A5" s="2" t="s">
        <v>7</v>
      </c>
      <c r="B5" s="3">
        <f t="shared" si="0"/>
        <v>-5382227</v>
      </c>
      <c r="C5" s="3">
        <v>0</v>
      </c>
      <c r="D5" s="3">
        <v>0</v>
      </c>
      <c r="E5" s="3">
        <v>5382227</v>
      </c>
      <c r="F5" s="3">
        <v>9533478</v>
      </c>
    </row>
    <row r="6" spans="1:6" x14ac:dyDescent="0.3">
      <c r="A6" s="2" t="s">
        <v>8</v>
      </c>
      <c r="B6" s="3">
        <f t="shared" si="0"/>
        <v>-4554547</v>
      </c>
      <c r="C6" s="3">
        <v>0</v>
      </c>
      <c r="D6" s="3">
        <v>0</v>
      </c>
      <c r="E6" s="3">
        <v>4554547</v>
      </c>
      <c r="F6" s="3">
        <v>8357312</v>
      </c>
    </row>
    <row r="7" spans="1:6" x14ac:dyDescent="0.3">
      <c r="A7" s="2" t="s">
        <v>9</v>
      </c>
      <c r="B7" s="3">
        <f t="shared" si="0"/>
        <v>-1024120</v>
      </c>
      <c r="C7" s="3">
        <v>2646</v>
      </c>
      <c r="D7" s="3">
        <v>300</v>
      </c>
      <c r="E7" s="3">
        <v>1026766</v>
      </c>
      <c r="F7" s="3">
        <v>1806837</v>
      </c>
    </row>
    <row r="8" spans="1:6" x14ac:dyDescent="0.3">
      <c r="A8" s="2" t="s">
        <v>10</v>
      </c>
      <c r="B8" s="3">
        <f t="shared" si="0"/>
        <v>-1938369</v>
      </c>
      <c r="C8" s="3">
        <v>0</v>
      </c>
      <c r="D8" s="3">
        <v>0</v>
      </c>
      <c r="E8" s="3">
        <v>1938369</v>
      </c>
      <c r="F8" s="3">
        <v>3251551</v>
      </c>
    </row>
    <row r="9" spans="1:6" x14ac:dyDescent="0.3">
      <c r="A9" s="2" t="s">
        <v>11</v>
      </c>
      <c r="B9" s="3">
        <f t="shared" si="0"/>
        <v>-1998198</v>
      </c>
      <c r="C9" s="3">
        <v>0</v>
      </c>
      <c r="D9" s="3">
        <v>0</v>
      </c>
      <c r="E9" s="3">
        <v>1998198</v>
      </c>
      <c r="F9" s="3">
        <v>3597068</v>
      </c>
    </row>
    <row r="10" spans="1:6" x14ac:dyDescent="0.3">
      <c r="A10" s="2" t="s">
        <v>12</v>
      </c>
      <c r="B10" s="3">
        <f t="shared" si="0"/>
        <v>-786747</v>
      </c>
      <c r="C10" s="3">
        <v>0</v>
      </c>
      <c r="D10" s="3">
        <v>0</v>
      </c>
      <c r="E10" s="3">
        <v>786747</v>
      </c>
      <c r="F10" s="3">
        <v>1404007</v>
      </c>
    </row>
    <row r="11" spans="1:6" x14ac:dyDescent="0.3">
      <c r="A11" s="2" t="s">
        <v>13</v>
      </c>
      <c r="B11" s="3">
        <f t="shared" si="0"/>
        <v>-657429</v>
      </c>
      <c r="C11" s="3">
        <v>0</v>
      </c>
      <c r="D11" s="3">
        <v>0</v>
      </c>
      <c r="E11" s="3">
        <v>657429</v>
      </c>
      <c r="F11" s="3">
        <v>1103716</v>
      </c>
    </row>
    <row r="12" spans="1:6" x14ac:dyDescent="0.3">
      <c r="A12" s="2" t="s">
        <v>14</v>
      </c>
      <c r="B12" s="3">
        <f t="shared" si="0"/>
        <v>-27087857</v>
      </c>
      <c r="C12" s="3">
        <v>0</v>
      </c>
      <c r="D12" s="3">
        <v>0</v>
      </c>
      <c r="E12" s="3">
        <v>27087857</v>
      </c>
      <c r="F12" s="3">
        <v>53076224</v>
      </c>
    </row>
    <row r="13" spans="1:6" x14ac:dyDescent="0.3">
      <c r="A13" s="2" t="s">
        <v>15</v>
      </c>
      <c r="B13" s="3">
        <f t="shared" si="0"/>
        <v>-17543559</v>
      </c>
      <c r="C13" s="3">
        <v>0</v>
      </c>
      <c r="D13" s="3">
        <v>0</v>
      </c>
      <c r="E13" s="3">
        <v>17543559</v>
      </c>
      <c r="F13" s="3">
        <v>32573939</v>
      </c>
    </row>
    <row r="14" spans="1:6" x14ac:dyDescent="0.3">
      <c r="A14" s="2" t="s">
        <v>16</v>
      </c>
      <c r="B14" s="3">
        <f t="shared" si="0"/>
        <v>-19535513</v>
      </c>
      <c r="C14" s="3">
        <v>0</v>
      </c>
      <c r="D14" s="3">
        <v>0</v>
      </c>
      <c r="E14" s="3">
        <v>19535513</v>
      </c>
      <c r="F14" s="3">
        <v>36532372</v>
      </c>
    </row>
    <row r="15" spans="1:6" ht="17.25" thickBot="1" x14ac:dyDescent="0.35">
      <c r="A15" s="4" t="s">
        <v>17</v>
      </c>
      <c r="B15" s="5">
        <f>SUM(B3:B14)</f>
        <v>-101330624</v>
      </c>
      <c r="C15" s="5">
        <f t="shared" ref="C15" si="1">SUM(C3:C14)</f>
        <v>5730</v>
      </c>
      <c r="D15" s="5">
        <f t="shared" ref="D15:F15" si="2">SUM(D3:D14)</f>
        <v>763</v>
      </c>
      <c r="E15" s="5">
        <f t="shared" si="2"/>
        <v>101336354</v>
      </c>
      <c r="F15" s="5">
        <f t="shared" si="2"/>
        <v>186171227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-2466161</v>
      </c>
      <c r="C3" s="3">
        <v>0</v>
      </c>
      <c r="D3" s="3">
        <v>0</v>
      </c>
      <c r="E3" s="3">
        <v>2466161</v>
      </c>
      <c r="F3" s="3">
        <v>4227657</v>
      </c>
    </row>
    <row r="4" spans="1:6" x14ac:dyDescent="0.3">
      <c r="A4" s="2" t="s">
        <v>6</v>
      </c>
      <c r="B4" s="3">
        <f t="shared" ref="B4:B14" si="0">C4-E4</f>
        <v>-4776829</v>
      </c>
      <c r="C4" s="3">
        <v>0</v>
      </c>
      <c r="D4" s="3">
        <v>0</v>
      </c>
      <c r="E4" s="3">
        <v>4776829</v>
      </c>
      <c r="F4" s="3">
        <v>8782244</v>
      </c>
    </row>
    <row r="5" spans="1:6" x14ac:dyDescent="0.3">
      <c r="A5" s="2" t="s">
        <v>7</v>
      </c>
      <c r="B5" s="3">
        <f t="shared" si="0"/>
        <v>-3832427</v>
      </c>
      <c r="C5" s="3">
        <v>1215</v>
      </c>
      <c r="D5" s="3">
        <v>225</v>
      </c>
      <c r="E5" s="3">
        <v>3833642</v>
      </c>
      <c r="F5" s="3">
        <v>7010684</v>
      </c>
    </row>
    <row r="6" spans="1:6" x14ac:dyDescent="0.3">
      <c r="A6" s="2" t="s">
        <v>8</v>
      </c>
      <c r="B6" s="3">
        <f t="shared" si="0"/>
        <v>-3898001</v>
      </c>
      <c r="C6" s="3">
        <v>0</v>
      </c>
      <c r="D6" s="3">
        <v>0</v>
      </c>
      <c r="E6" s="3">
        <v>3898001</v>
      </c>
      <c r="F6" s="3">
        <v>6813765</v>
      </c>
    </row>
    <row r="7" spans="1:6" x14ac:dyDescent="0.3">
      <c r="A7" s="2" t="s">
        <v>9</v>
      </c>
      <c r="B7" s="3">
        <f t="shared" si="0"/>
        <v>-3587445</v>
      </c>
      <c r="C7" s="3">
        <v>0</v>
      </c>
      <c r="D7" s="3">
        <v>0</v>
      </c>
      <c r="E7" s="3">
        <v>3587445</v>
      </c>
      <c r="F7" s="3">
        <v>6201425</v>
      </c>
    </row>
    <row r="8" spans="1:6" x14ac:dyDescent="0.3">
      <c r="A8" s="2" t="s">
        <v>10</v>
      </c>
      <c r="B8" s="3">
        <f t="shared" si="0"/>
        <v>-3784686</v>
      </c>
      <c r="C8" s="3">
        <v>0</v>
      </c>
      <c r="D8" s="3">
        <v>0</v>
      </c>
      <c r="E8" s="3">
        <v>3784686</v>
      </c>
      <c r="F8" s="3">
        <v>6579497</v>
      </c>
    </row>
    <row r="9" spans="1:6" x14ac:dyDescent="0.3">
      <c r="A9" s="2" t="s">
        <v>11</v>
      </c>
      <c r="B9" s="3">
        <f t="shared" si="0"/>
        <v>-1329343</v>
      </c>
      <c r="C9" s="3">
        <v>0</v>
      </c>
      <c r="D9" s="3">
        <v>0</v>
      </c>
      <c r="E9" s="3">
        <v>1329343</v>
      </c>
      <c r="F9" s="3">
        <v>2316541</v>
      </c>
    </row>
    <row r="10" spans="1:6" x14ac:dyDescent="0.3">
      <c r="A10" s="2" t="s">
        <v>12</v>
      </c>
      <c r="B10" s="3">
        <f t="shared" si="0"/>
        <v>-15178190</v>
      </c>
      <c r="C10" s="3">
        <v>0</v>
      </c>
      <c r="D10" s="3">
        <v>0</v>
      </c>
      <c r="E10" s="3">
        <v>15178190</v>
      </c>
      <c r="F10" s="3">
        <v>30747520</v>
      </c>
    </row>
    <row r="11" spans="1:6" x14ac:dyDescent="0.3">
      <c r="A11" s="2" t="s">
        <v>13</v>
      </c>
      <c r="B11" s="3">
        <f t="shared" si="0"/>
        <v>-3150085</v>
      </c>
      <c r="C11" s="3">
        <v>0</v>
      </c>
      <c r="D11" s="3">
        <v>0</v>
      </c>
      <c r="E11" s="3">
        <v>3150085</v>
      </c>
      <c r="F11" s="3">
        <v>5705068</v>
      </c>
    </row>
    <row r="12" spans="1:6" x14ac:dyDescent="0.3">
      <c r="A12" s="2" t="s">
        <v>14</v>
      </c>
      <c r="B12" s="3">
        <f t="shared" si="0"/>
        <v>-18364933</v>
      </c>
      <c r="C12" s="3">
        <v>540</v>
      </c>
      <c r="D12" s="3">
        <v>50</v>
      </c>
      <c r="E12" s="3">
        <v>18365473</v>
      </c>
      <c r="F12" s="3">
        <v>34944372</v>
      </c>
    </row>
    <row r="13" spans="1:6" x14ac:dyDescent="0.3">
      <c r="A13" s="2" t="s">
        <v>15</v>
      </c>
      <c r="B13" s="3">
        <f t="shared" si="0"/>
        <v>-16995934</v>
      </c>
      <c r="C13" s="3">
        <v>0</v>
      </c>
      <c r="D13" s="3">
        <v>0</v>
      </c>
      <c r="E13" s="3">
        <v>16995934</v>
      </c>
      <c r="F13" s="3">
        <v>32417284</v>
      </c>
    </row>
    <row r="14" spans="1:6" x14ac:dyDescent="0.3">
      <c r="A14" s="2" t="s">
        <v>16</v>
      </c>
      <c r="B14" s="3">
        <f t="shared" si="0"/>
        <v>-7900104</v>
      </c>
      <c r="C14" s="3">
        <v>0</v>
      </c>
      <c r="D14" s="3">
        <v>0</v>
      </c>
      <c r="E14" s="3">
        <v>7900104</v>
      </c>
      <c r="F14" s="3">
        <v>13662537</v>
      </c>
    </row>
    <row r="15" spans="1:6" ht="17.25" thickBot="1" x14ac:dyDescent="0.35">
      <c r="A15" s="4" t="s">
        <v>17</v>
      </c>
      <c r="B15" s="5">
        <f>SUM(B3:B14)</f>
        <v>-85264138</v>
      </c>
      <c r="C15" s="5">
        <f t="shared" ref="C15" si="1">SUM(C3:C14)</f>
        <v>1755</v>
      </c>
      <c r="D15" s="5">
        <f t="shared" ref="D15:F15" si="2">SUM(D3:D14)</f>
        <v>275</v>
      </c>
      <c r="E15" s="5">
        <f t="shared" si="2"/>
        <v>85265893</v>
      </c>
      <c r="F15" s="5">
        <f t="shared" si="2"/>
        <v>159408594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-18531012</v>
      </c>
      <c r="C3" s="3">
        <v>6330</v>
      </c>
      <c r="D3" s="3">
        <v>440</v>
      </c>
      <c r="E3" s="3">
        <v>18537342</v>
      </c>
      <c r="F3" s="3">
        <v>37413338</v>
      </c>
    </row>
    <row r="4" spans="1:6" x14ac:dyDescent="0.3">
      <c r="A4" s="2" t="s">
        <v>6</v>
      </c>
      <c r="B4" s="3">
        <f t="shared" ref="B4:B14" si="0">C4-E4</f>
        <v>-2812785</v>
      </c>
      <c r="C4" s="3">
        <v>0</v>
      </c>
      <c r="D4" s="3">
        <v>0</v>
      </c>
      <c r="E4" s="3">
        <v>2812785</v>
      </c>
      <c r="F4" s="3">
        <v>4952067</v>
      </c>
    </row>
    <row r="5" spans="1:6" x14ac:dyDescent="0.3">
      <c r="A5" s="2" t="s">
        <v>7</v>
      </c>
      <c r="B5" s="3">
        <f t="shared" si="0"/>
        <v>-17927321</v>
      </c>
      <c r="C5" s="3">
        <v>0</v>
      </c>
      <c r="D5" s="3">
        <v>0</v>
      </c>
      <c r="E5" s="3">
        <v>17927321</v>
      </c>
      <c r="F5" s="3">
        <v>36313226</v>
      </c>
    </row>
    <row r="6" spans="1:6" x14ac:dyDescent="0.3">
      <c r="A6" s="2" t="s">
        <v>8</v>
      </c>
      <c r="B6" s="3">
        <f t="shared" si="0"/>
        <v>-5826467</v>
      </c>
      <c r="C6" s="3">
        <v>2629</v>
      </c>
      <c r="D6" s="3">
        <v>200</v>
      </c>
      <c r="E6" s="3">
        <v>5829096</v>
      </c>
      <c r="F6" s="3">
        <v>10157437</v>
      </c>
    </row>
    <row r="7" spans="1:6" x14ac:dyDescent="0.3">
      <c r="A7" s="2" t="s">
        <v>9</v>
      </c>
      <c r="B7" s="3">
        <f t="shared" si="0"/>
        <v>-18681403</v>
      </c>
      <c r="C7" s="3">
        <v>0</v>
      </c>
      <c r="D7" s="3">
        <v>0</v>
      </c>
      <c r="E7" s="3">
        <v>18681403</v>
      </c>
      <c r="F7" s="3">
        <v>37215840</v>
      </c>
    </row>
    <row r="8" spans="1:6" x14ac:dyDescent="0.3">
      <c r="A8" s="2" t="s">
        <v>10</v>
      </c>
      <c r="B8" s="3">
        <f t="shared" si="0"/>
        <v>-18238461</v>
      </c>
      <c r="C8" s="3">
        <v>2536</v>
      </c>
      <c r="D8" s="3">
        <v>168</v>
      </c>
      <c r="E8" s="3">
        <v>18240997</v>
      </c>
      <c r="F8" s="3">
        <v>37123410</v>
      </c>
    </row>
    <row r="9" spans="1:6" x14ac:dyDescent="0.3">
      <c r="A9" s="2" t="s">
        <v>11</v>
      </c>
      <c r="B9" s="3">
        <f t="shared" si="0"/>
        <v>-2415230</v>
      </c>
      <c r="C9" s="3">
        <v>0</v>
      </c>
      <c r="D9" s="3">
        <v>0</v>
      </c>
      <c r="E9" s="3">
        <v>2415230</v>
      </c>
      <c r="F9" s="3">
        <v>3925454</v>
      </c>
    </row>
    <row r="10" spans="1:6" x14ac:dyDescent="0.3">
      <c r="A10" s="2" t="s">
        <v>12</v>
      </c>
      <c r="B10" s="3">
        <f t="shared" si="0"/>
        <v>-473641</v>
      </c>
      <c r="C10" s="3">
        <v>0</v>
      </c>
      <c r="D10" s="3">
        <v>0</v>
      </c>
      <c r="E10" s="3">
        <v>473641</v>
      </c>
      <c r="F10" s="3">
        <v>730431</v>
      </c>
    </row>
    <row r="11" spans="1:6" x14ac:dyDescent="0.3">
      <c r="A11" s="2" t="s">
        <v>13</v>
      </c>
      <c r="B11" s="3">
        <f t="shared" si="0"/>
        <v>-13324201</v>
      </c>
      <c r="C11" s="3">
        <v>0</v>
      </c>
      <c r="D11" s="3">
        <v>0</v>
      </c>
      <c r="E11" s="3">
        <v>13324201</v>
      </c>
      <c r="F11" s="3">
        <v>28561533</v>
      </c>
    </row>
    <row r="12" spans="1:6" x14ac:dyDescent="0.3">
      <c r="A12" s="2" t="s">
        <v>14</v>
      </c>
      <c r="B12" s="3">
        <f t="shared" si="0"/>
        <v>-1746882</v>
      </c>
      <c r="C12" s="3">
        <v>3433</v>
      </c>
      <c r="D12" s="3">
        <v>367</v>
      </c>
      <c r="E12" s="3">
        <v>1750315</v>
      </c>
      <c r="F12" s="3">
        <v>2816820</v>
      </c>
    </row>
    <row r="13" spans="1:6" x14ac:dyDescent="0.3">
      <c r="A13" s="2" t="s">
        <v>15</v>
      </c>
      <c r="B13" s="3">
        <f t="shared" si="0"/>
        <v>-3490875</v>
      </c>
      <c r="C13" s="3">
        <v>2648</v>
      </c>
      <c r="D13" s="3">
        <v>312</v>
      </c>
      <c r="E13" s="3">
        <v>3493523</v>
      </c>
      <c r="F13" s="3">
        <v>5591900</v>
      </c>
    </row>
    <row r="14" spans="1:6" x14ac:dyDescent="0.3">
      <c r="A14" s="2" t="s">
        <v>16</v>
      </c>
      <c r="B14" s="3">
        <f t="shared" si="0"/>
        <v>-2668367</v>
      </c>
      <c r="C14" s="3">
        <v>4169</v>
      </c>
      <c r="D14" s="3">
        <v>395</v>
      </c>
      <c r="E14" s="3">
        <v>2672536</v>
      </c>
      <c r="F14" s="3">
        <v>4331858</v>
      </c>
    </row>
    <row r="15" spans="1:6" ht="17.25" thickBot="1" x14ac:dyDescent="0.35">
      <c r="A15" s="4" t="s">
        <v>17</v>
      </c>
      <c r="B15" s="5">
        <f>SUM(B3:B14)</f>
        <v>-106136645</v>
      </c>
      <c r="C15" s="5">
        <f t="shared" ref="C15" si="1">SUM(C3:C14)</f>
        <v>21745</v>
      </c>
      <c r="D15" s="5">
        <f t="shared" ref="D15:F15" si="2">SUM(D3:D14)</f>
        <v>1882</v>
      </c>
      <c r="E15" s="5">
        <f t="shared" si="2"/>
        <v>106158390</v>
      </c>
      <c r="F15" s="5">
        <f t="shared" si="2"/>
        <v>209133314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4.7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-2809818</v>
      </c>
      <c r="C3" s="3">
        <v>4550</v>
      </c>
      <c r="D3" s="3">
        <v>690</v>
      </c>
      <c r="E3" s="3">
        <v>2814368</v>
      </c>
      <c r="F3" s="3">
        <v>4536288</v>
      </c>
    </row>
    <row r="4" spans="1:6" x14ac:dyDescent="0.3">
      <c r="A4" s="2" t="s">
        <v>6</v>
      </c>
      <c r="B4" s="3">
        <f t="shared" ref="B4:B14" si="0">C4-E4</f>
        <v>-20242551</v>
      </c>
      <c r="C4" s="3">
        <v>0</v>
      </c>
      <c r="D4" s="3">
        <v>0</v>
      </c>
      <c r="E4" s="3">
        <v>20242551</v>
      </c>
      <c r="F4" s="3">
        <v>36352335</v>
      </c>
    </row>
    <row r="5" spans="1:6" x14ac:dyDescent="0.3">
      <c r="A5" s="2" t="s">
        <v>7</v>
      </c>
      <c r="B5" s="3">
        <f t="shared" si="0"/>
        <v>-18689655</v>
      </c>
      <c r="C5" s="3">
        <v>2346</v>
      </c>
      <c r="D5" s="3">
        <v>350</v>
      </c>
      <c r="E5" s="3">
        <v>18692001</v>
      </c>
      <c r="F5" s="3">
        <v>33864526</v>
      </c>
    </row>
    <row r="6" spans="1:6" x14ac:dyDescent="0.3">
      <c r="A6" s="2" t="s">
        <v>8</v>
      </c>
      <c r="B6" s="3">
        <f t="shared" si="0"/>
        <v>-17283461</v>
      </c>
      <c r="C6" s="3">
        <v>0</v>
      </c>
      <c r="D6" s="3">
        <v>0</v>
      </c>
      <c r="E6" s="3">
        <v>17283461</v>
      </c>
      <c r="F6" s="3">
        <v>30480070</v>
      </c>
    </row>
    <row r="7" spans="1:6" x14ac:dyDescent="0.3">
      <c r="A7" s="2" t="s">
        <v>9</v>
      </c>
      <c r="B7" s="3">
        <f t="shared" si="0"/>
        <v>-2110916</v>
      </c>
      <c r="C7" s="3">
        <v>3347</v>
      </c>
      <c r="D7" s="3">
        <v>500</v>
      </c>
      <c r="E7" s="3">
        <v>2114263</v>
      </c>
      <c r="F7" s="3">
        <v>3291530</v>
      </c>
    </row>
    <row r="8" spans="1:6" x14ac:dyDescent="0.3">
      <c r="A8" s="2" t="s">
        <v>10</v>
      </c>
      <c r="B8" s="3">
        <f t="shared" si="0"/>
        <v>-32104293</v>
      </c>
      <c r="C8" s="3">
        <v>152</v>
      </c>
      <c r="D8" s="3">
        <v>19</v>
      </c>
      <c r="E8" s="3">
        <v>32104445</v>
      </c>
      <c r="F8" s="3">
        <v>59882066</v>
      </c>
    </row>
    <row r="9" spans="1:6" x14ac:dyDescent="0.3">
      <c r="A9" s="2" t="s">
        <v>11</v>
      </c>
      <c r="B9" s="3">
        <f t="shared" si="0"/>
        <v>-3484134</v>
      </c>
      <c r="C9" s="3">
        <v>0</v>
      </c>
      <c r="D9" s="3">
        <v>0</v>
      </c>
      <c r="E9" s="3">
        <v>3484134</v>
      </c>
      <c r="F9" s="3">
        <v>6250072</v>
      </c>
    </row>
    <row r="10" spans="1:6" x14ac:dyDescent="0.3">
      <c r="A10" s="2" t="s">
        <v>12</v>
      </c>
      <c r="B10" s="3">
        <f t="shared" si="0"/>
        <v>-12092019</v>
      </c>
      <c r="C10" s="3">
        <v>1895</v>
      </c>
      <c r="D10" s="3">
        <v>260</v>
      </c>
      <c r="E10" s="3">
        <v>12093914</v>
      </c>
      <c r="F10" s="3">
        <v>22533113</v>
      </c>
    </row>
    <row r="11" spans="1:6" x14ac:dyDescent="0.3">
      <c r="A11" s="2" t="s">
        <v>13</v>
      </c>
      <c r="B11" s="3">
        <f t="shared" si="0"/>
        <v>-2832792</v>
      </c>
      <c r="C11" s="3">
        <v>0</v>
      </c>
      <c r="D11" s="3">
        <v>0</v>
      </c>
      <c r="E11" s="3">
        <v>2832792</v>
      </c>
      <c r="F11" s="3">
        <v>4530927</v>
      </c>
    </row>
    <row r="12" spans="1:6" x14ac:dyDescent="0.3">
      <c r="A12" s="2" t="s">
        <v>14</v>
      </c>
      <c r="B12" s="3">
        <f t="shared" si="0"/>
        <v>-2482990</v>
      </c>
      <c r="C12" s="3">
        <v>1890</v>
      </c>
      <c r="D12" s="3">
        <v>108</v>
      </c>
      <c r="E12" s="3">
        <v>2484880</v>
      </c>
      <c r="F12" s="3">
        <v>4073145</v>
      </c>
    </row>
    <row r="13" spans="1:6" x14ac:dyDescent="0.3">
      <c r="A13" s="2" t="s">
        <v>15</v>
      </c>
      <c r="B13" s="3">
        <f t="shared" si="0"/>
        <v>-1712374</v>
      </c>
      <c r="C13" s="3">
        <v>0</v>
      </c>
      <c r="D13" s="3">
        <v>0</v>
      </c>
      <c r="E13" s="3">
        <v>1712374</v>
      </c>
      <c r="F13" s="3">
        <v>2894524</v>
      </c>
    </row>
    <row r="14" spans="1:6" x14ac:dyDescent="0.3">
      <c r="A14" s="2" t="s">
        <v>16</v>
      </c>
      <c r="B14" s="3">
        <f t="shared" si="0"/>
        <v>-483469</v>
      </c>
      <c r="C14" s="3">
        <v>0</v>
      </c>
      <c r="D14" s="3">
        <v>0</v>
      </c>
      <c r="E14" s="3">
        <v>483469</v>
      </c>
      <c r="F14" s="3">
        <v>791017</v>
      </c>
    </row>
    <row r="15" spans="1:6" ht="17.25" thickBot="1" x14ac:dyDescent="0.35">
      <c r="A15" s="4" t="s">
        <v>17</v>
      </c>
      <c r="B15" s="5">
        <f>SUM(B3:B14)</f>
        <v>-116328472</v>
      </c>
      <c r="C15" s="5">
        <f t="shared" ref="C15" si="1">SUM(C3:C14)</f>
        <v>14180</v>
      </c>
      <c r="D15" s="5">
        <f t="shared" ref="D15:F15" si="2">SUM(D3:D14)</f>
        <v>1927</v>
      </c>
      <c r="E15" s="5">
        <f t="shared" si="2"/>
        <v>116342652</v>
      </c>
      <c r="F15" s="5">
        <f t="shared" si="2"/>
        <v>209479613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-1211470</v>
      </c>
      <c r="C3" s="3">
        <v>936</v>
      </c>
      <c r="D3" s="3">
        <v>50</v>
      </c>
      <c r="E3" s="3">
        <v>1212406</v>
      </c>
      <c r="F3" s="3">
        <v>2024309</v>
      </c>
    </row>
    <row r="4" spans="1:6" x14ac:dyDescent="0.3">
      <c r="A4" s="2" t="s">
        <v>6</v>
      </c>
      <c r="B4" s="3">
        <f t="shared" ref="B4:B14" si="0">C4-E4</f>
        <v>-3219039</v>
      </c>
      <c r="C4" s="3">
        <v>0</v>
      </c>
      <c r="D4" s="3">
        <v>0</v>
      </c>
      <c r="E4" s="3">
        <v>3219039</v>
      </c>
      <c r="F4" s="3">
        <v>5377483</v>
      </c>
    </row>
    <row r="5" spans="1:6" x14ac:dyDescent="0.3">
      <c r="A5" s="2" t="s">
        <v>7</v>
      </c>
      <c r="B5" s="3">
        <f t="shared" si="0"/>
        <v>-20802082</v>
      </c>
      <c r="C5" s="3">
        <v>0</v>
      </c>
      <c r="D5" s="3">
        <v>0</v>
      </c>
      <c r="E5" s="3">
        <v>20802082</v>
      </c>
      <c r="F5" s="3">
        <v>33427402</v>
      </c>
    </row>
    <row r="6" spans="1:6" x14ac:dyDescent="0.3">
      <c r="A6" s="2" t="s">
        <v>8</v>
      </c>
      <c r="B6" s="3">
        <f t="shared" si="0"/>
        <v>-18233000</v>
      </c>
      <c r="C6" s="3">
        <v>0</v>
      </c>
      <c r="D6" s="3">
        <v>0</v>
      </c>
      <c r="E6" s="3">
        <v>18233000</v>
      </c>
      <c r="F6" s="3">
        <v>28558395</v>
      </c>
    </row>
    <row r="7" spans="1:6" x14ac:dyDescent="0.3">
      <c r="A7" s="2" t="s">
        <v>9</v>
      </c>
      <c r="B7" s="3">
        <f t="shared" si="0"/>
        <v>-4101018</v>
      </c>
      <c r="C7" s="3">
        <v>2866</v>
      </c>
      <c r="D7" s="3">
        <v>160</v>
      </c>
      <c r="E7" s="3">
        <v>4103884</v>
      </c>
      <c r="F7" s="3">
        <v>6036561</v>
      </c>
    </row>
    <row r="8" spans="1:6" x14ac:dyDescent="0.3">
      <c r="A8" s="2" t="s">
        <v>10</v>
      </c>
      <c r="B8" s="3">
        <f t="shared" si="0"/>
        <v>-24077601</v>
      </c>
      <c r="C8" s="3">
        <v>0</v>
      </c>
      <c r="D8" s="3">
        <v>0</v>
      </c>
      <c r="E8" s="3">
        <v>24077601</v>
      </c>
      <c r="F8" s="3">
        <v>33986069</v>
      </c>
    </row>
    <row r="9" spans="1:6" x14ac:dyDescent="0.3">
      <c r="A9" s="2" t="s">
        <v>11</v>
      </c>
      <c r="B9" s="3">
        <f t="shared" si="0"/>
        <v>-21616652</v>
      </c>
      <c r="C9" s="3">
        <v>1339</v>
      </c>
      <c r="D9" s="3">
        <v>141</v>
      </c>
      <c r="E9" s="3">
        <v>21617991</v>
      </c>
      <c r="F9" s="3">
        <v>29983734</v>
      </c>
    </row>
    <row r="10" spans="1:6" x14ac:dyDescent="0.3">
      <c r="A10" s="2" t="s">
        <v>12</v>
      </c>
      <c r="B10" s="3">
        <f t="shared" si="0"/>
        <v>-5878483</v>
      </c>
      <c r="C10" s="3">
        <v>4688</v>
      </c>
      <c r="D10" s="3">
        <v>295</v>
      </c>
      <c r="E10" s="3">
        <v>5883171</v>
      </c>
      <c r="F10" s="3">
        <v>8230890</v>
      </c>
    </row>
    <row r="11" spans="1:6" x14ac:dyDescent="0.3">
      <c r="A11" s="2" t="s">
        <v>13</v>
      </c>
      <c r="B11" s="3">
        <f t="shared" si="0"/>
        <v>-21275703</v>
      </c>
      <c r="C11" s="3">
        <v>24306</v>
      </c>
      <c r="D11" s="3">
        <v>1376</v>
      </c>
      <c r="E11" s="3">
        <v>21300009</v>
      </c>
      <c r="F11" s="3">
        <v>34141503</v>
      </c>
    </row>
    <row r="12" spans="1:6" x14ac:dyDescent="0.3">
      <c r="A12" s="2" t="s">
        <v>14</v>
      </c>
      <c r="B12" s="3">
        <f t="shared" si="0"/>
        <v>-4259658</v>
      </c>
      <c r="C12" s="3">
        <v>7429</v>
      </c>
      <c r="D12" s="3">
        <v>683</v>
      </c>
      <c r="E12" s="3">
        <v>4267087</v>
      </c>
      <c r="F12" s="3">
        <v>5778716</v>
      </c>
    </row>
    <row r="13" spans="1:6" x14ac:dyDescent="0.3">
      <c r="A13" s="2" t="s">
        <v>15</v>
      </c>
      <c r="B13" s="3">
        <f t="shared" si="0"/>
        <v>-5745421</v>
      </c>
      <c r="C13" s="3">
        <v>0</v>
      </c>
      <c r="D13" s="3">
        <v>0</v>
      </c>
      <c r="E13" s="3">
        <v>5745421</v>
      </c>
      <c r="F13" s="3">
        <v>7370421</v>
      </c>
    </row>
    <row r="14" spans="1:6" x14ac:dyDescent="0.3">
      <c r="A14" s="2" t="s">
        <v>16</v>
      </c>
      <c r="B14" s="3">
        <f t="shared" si="0"/>
        <v>-9748547</v>
      </c>
      <c r="C14" s="3">
        <v>688</v>
      </c>
      <c r="D14" s="3">
        <v>100</v>
      </c>
      <c r="E14" s="3">
        <v>9749235</v>
      </c>
      <c r="F14" s="3">
        <v>11769294</v>
      </c>
    </row>
    <row r="15" spans="1:6" ht="17.25" thickBot="1" x14ac:dyDescent="0.35">
      <c r="A15" s="4" t="s">
        <v>17</v>
      </c>
      <c r="B15" s="5">
        <f>SUM(B3:B14)</f>
        <v>-140168674</v>
      </c>
      <c r="C15" s="5">
        <f t="shared" ref="C15" si="1">SUM(C3:C14)</f>
        <v>42252</v>
      </c>
      <c r="D15" s="5">
        <f t="shared" ref="D15:F15" si="2">SUM(D3:D14)</f>
        <v>2805</v>
      </c>
      <c r="E15" s="5">
        <f t="shared" si="2"/>
        <v>140210926</v>
      </c>
      <c r="F15" s="5">
        <f t="shared" si="2"/>
        <v>206684777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-21143302</v>
      </c>
      <c r="C3" s="3">
        <v>2037</v>
      </c>
      <c r="D3" s="3">
        <v>180</v>
      </c>
      <c r="E3" s="3">
        <v>21145339</v>
      </c>
      <c r="F3" s="3">
        <v>30957647</v>
      </c>
    </row>
    <row r="4" spans="1:6" x14ac:dyDescent="0.3">
      <c r="A4" s="2" t="s">
        <v>6</v>
      </c>
      <c r="B4" s="3">
        <f t="shared" ref="B4:B14" si="0">C4-E4</f>
        <v>-21964888</v>
      </c>
      <c r="C4" s="3">
        <v>0</v>
      </c>
      <c r="D4" s="3">
        <v>0</v>
      </c>
      <c r="E4" s="3">
        <v>21964888</v>
      </c>
      <c r="F4" s="3">
        <v>32707982</v>
      </c>
    </row>
    <row r="5" spans="1:6" x14ac:dyDescent="0.3">
      <c r="A5" s="2" t="s">
        <v>7</v>
      </c>
      <c r="B5" s="3">
        <f t="shared" si="0"/>
        <v>-2984769</v>
      </c>
      <c r="C5" s="3">
        <v>0</v>
      </c>
      <c r="D5" s="3">
        <v>0</v>
      </c>
      <c r="E5" s="3">
        <v>2984769</v>
      </c>
      <c r="F5" s="3">
        <v>3920655</v>
      </c>
    </row>
    <row r="6" spans="1:6" x14ac:dyDescent="0.3">
      <c r="A6" s="2" t="s">
        <v>8</v>
      </c>
      <c r="B6" s="3">
        <f t="shared" si="0"/>
        <v>-22049188</v>
      </c>
      <c r="C6" s="3">
        <v>16097</v>
      </c>
      <c r="D6" s="3">
        <v>1076</v>
      </c>
      <c r="E6" s="3">
        <v>22065285</v>
      </c>
      <c r="F6" s="3">
        <v>31419868</v>
      </c>
    </row>
    <row r="7" spans="1:6" x14ac:dyDescent="0.3">
      <c r="A7" s="2" t="s">
        <v>9</v>
      </c>
      <c r="B7" s="3">
        <f t="shared" si="0"/>
        <v>-5705940</v>
      </c>
      <c r="C7" s="3">
        <v>724</v>
      </c>
      <c r="D7" s="3">
        <v>50</v>
      </c>
      <c r="E7" s="3">
        <v>5706664</v>
      </c>
      <c r="F7" s="3">
        <v>6923578</v>
      </c>
    </row>
    <row r="8" spans="1:6" x14ac:dyDescent="0.3">
      <c r="A8" s="2" t="s">
        <v>10</v>
      </c>
      <c r="B8" s="3">
        <f t="shared" si="0"/>
        <v>-22615866</v>
      </c>
      <c r="C8" s="3">
        <v>801</v>
      </c>
      <c r="D8" s="3">
        <v>75</v>
      </c>
      <c r="E8" s="3">
        <v>22616667</v>
      </c>
      <c r="F8" s="3">
        <v>28224360</v>
      </c>
    </row>
    <row r="9" spans="1:6" x14ac:dyDescent="0.3">
      <c r="A9" s="2" t="s">
        <v>11</v>
      </c>
      <c r="B9" s="3">
        <f t="shared" si="0"/>
        <v>-2629184</v>
      </c>
      <c r="C9" s="3">
        <v>0</v>
      </c>
      <c r="D9" s="3">
        <v>0</v>
      </c>
      <c r="E9" s="3">
        <v>2629184</v>
      </c>
      <c r="F9" s="3">
        <v>3051587</v>
      </c>
    </row>
    <row r="10" spans="1:6" x14ac:dyDescent="0.3">
      <c r="A10" s="2" t="s">
        <v>12</v>
      </c>
      <c r="B10" s="3">
        <f t="shared" si="0"/>
        <v>-25696580</v>
      </c>
      <c r="C10" s="3">
        <v>0</v>
      </c>
      <c r="D10" s="3">
        <v>0</v>
      </c>
      <c r="E10" s="3">
        <v>25696580</v>
      </c>
      <c r="F10" s="3">
        <v>30845981</v>
      </c>
    </row>
    <row r="11" spans="1:6" x14ac:dyDescent="0.3">
      <c r="A11" s="2" t="s">
        <v>13</v>
      </c>
      <c r="B11" s="3">
        <f t="shared" si="0"/>
        <v>-4542965</v>
      </c>
      <c r="C11" s="3">
        <v>4327</v>
      </c>
      <c r="D11" s="3">
        <v>240</v>
      </c>
      <c r="E11" s="3">
        <v>4547292</v>
      </c>
      <c r="F11" s="3">
        <v>5254197</v>
      </c>
    </row>
    <row r="12" spans="1:6" x14ac:dyDescent="0.3">
      <c r="A12" s="2" t="s">
        <v>14</v>
      </c>
      <c r="B12" s="3">
        <f t="shared" si="0"/>
        <v>-5705291</v>
      </c>
      <c r="C12" s="3">
        <v>0</v>
      </c>
      <c r="D12" s="3">
        <v>0</v>
      </c>
      <c r="E12" s="3">
        <v>5705291</v>
      </c>
      <c r="F12" s="3">
        <v>6344474</v>
      </c>
    </row>
    <row r="13" spans="1:6" x14ac:dyDescent="0.3">
      <c r="A13" s="2" t="s">
        <v>15</v>
      </c>
      <c r="B13" s="3">
        <f t="shared" si="0"/>
        <v>-1975170</v>
      </c>
      <c r="C13" s="3">
        <v>5961</v>
      </c>
      <c r="D13" s="3">
        <v>336</v>
      </c>
      <c r="E13" s="3">
        <v>1981131</v>
      </c>
      <c r="F13" s="3">
        <v>2308086</v>
      </c>
    </row>
    <row r="14" spans="1:6" x14ac:dyDescent="0.3">
      <c r="A14" s="2" t="s">
        <v>16</v>
      </c>
      <c r="B14" s="3">
        <f t="shared" si="0"/>
        <v>-3921093</v>
      </c>
      <c r="C14" s="3">
        <v>0</v>
      </c>
      <c r="D14" s="3">
        <v>0</v>
      </c>
      <c r="E14" s="3">
        <v>3921093</v>
      </c>
      <c r="F14" s="3">
        <v>4454135</v>
      </c>
    </row>
    <row r="15" spans="1:6" ht="17.25" thickBot="1" x14ac:dyDescent="0.35">
      <c r="A15" s="4" t="s">
        <v>17</v>
      </c>
      <c r="B15" s="5">
        <f>SUM(B3:B14)</f>
        <v>-140934236</v>
      </c>
      <c r="C15" s="5">
        <f t="shared" ref="C15" si="1">SUM(C3:C14)</f>
        <v>29947</v>
      </c>
      <c r="D15" s="5">
        <f t="shared" ref="D15:F15" si="2">SUM(D3:D14)</f>
        <v>1957</v>
      </c>
      <c r="E15" s="5">
        <f t="shared" si="2"/>
        <v>140964183</v>
      </c>
      <c r="F15" s="5">
        <f t="shared" si="2"/>
        <v>186412550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-3375503</v>
      </c>
      <c r="C3" s="3">
        <v>3929</v>
      </c>
      <c r="D3" s="3">
        <v>490</v>
      </c>
      <c r="E3" s="3">
        <v>3379432</v>
      </c>
      <c r="F3" s="3">
        <v>3848562</v>
      </c>
    </row>
    <row r="4" spans="1:6" x14ac:dyDescent="0.3">
      <c r="A4" s="2" t="s">
        <v>6</v>
      </c>
      <c r="B4" s="3">
        <f t="shared" ref="B4:B14" si="0">C4-E4</f>
        <v>-24749727</v>
      </c>
      <c r="C4" s="3">
        <v>2640</v>
      </c>
      <c r="D4" s="3">
        <v>300</v>
      </c>
      <c r="E4" s="3">
        <v>24752367</v>
      </c>
      <c r="F4" s="3">
        <v>29953837</v>
      </c>
    </row>
    <row r="5" spans="1:6" x14ac:dyDescent="0.3">
      <c r="A5" s="2" t="s">
        <v>7</v>
      </c>
      <c r="B5" s="3">
        <f t="shared" si="0"/>
        <v>-7729916</v>
      </c>
      <c r="C5" s="3">
        <v>4560</v>
      </c>
      <c r="D5" s="3">
        <v>402</v>
      </c>
      <c r="E5" s="3">
        <v>7734476</v>
      </c>
      <c r="F5" s="3">
        <v>8603891</v>
      </c>
    </row>
    <row r="6" spans="1:6" x14ac:dyDescent="0.3">
      <c r="A6" s="2" t="s">
        <v>8</v>
      </c>
      <c r="B6" s="3">
        <f t="shared" si="0"/>
        <v>-27357137</v>
      </c>
      <c r="C6" s="3">
        <v>15328</v>
      </c>
      <c r="D6" s="3">
        <v>1882</v>
      </c>
      <c r="E6" s="3">
        <v>27372465</v>
      </c>
      <c r="F6" s="3">
        <v>31421148</v>
      </c>
    </row>
    <row r="7" spans="1:6" x14ac:dyDescent="0.3">
      <c r="A7" s="2" t="s">
        <v>9</v>
      </c>
      <c r="B7" s="3">
        <f t="shared" si="0"/>
        <v>-27763715</v>
      </c>
      <c r="C7" s="3">
        <v>6954</v>
      </c>
      <c r="D7" s="3">
        <v>420</v>
      </c>
      <c r="E7" s="3">
        <v>27770669</v>
      </c>
      <c r="F7" s="3">
        <v>32009236</v>
      </c>
    </row>
    <row r="8" spans="1:6" x14ac:dyDescent="0.3">
      <c r="A8" s="2" t="s">
        <v>10</v>
      </c>
      <c r="B8" s="3">
        <f t="shared" si="0"/>
        <v>-32887024</v>
      </c>
      <c r="C8" s="3">
        <v>2480</v>
      </c>
      <c r="D8" s="3">
        <v>426</v>
      </c>
      <c r="E8" s="3">
        <v>32889504</v>
      </c>
      <c r="F8" s="3">
        <v>36357159</v>
      </c>
    </row>
    <row r="9" spans="1:6" x14ac:dyDescent="0.3">
      <c r="A9" s="2" t="s">
        <v>11</v>
      </c>
      <c r="B9" s="3">
        <f t="shared" si="0"/>
        <v>-23434191</v>
      </c>
      <c r="C9" s="3">
        <v>0</v>
      </c>
      <c r="D9" s="3">
        <v>0</v>
      </c>
      <c r="E9" s="3">
        <v>23434191</v>
      </c>
      <c r="F9" s="3">
        <v>26566480</v>
      </c>
    </row>
    <row r="10" spans="1:6" x14ac:dyDescent="0.3">
      <c r="A10" s="2" t="s">
        <v>12</v>
      </c>
      <c r="B10" s="3">
        <f t="shared" si="0"/>
        <v>-3584723</v>
      </c>
      <c r="C10" s="3">
        <v>880</v>
      </c>
      <c r="D10" s="3">
        <v>98</v>
      </c>
      <c r="E10" s="3">
        <v>3585603</v>
      </c>
      <c r="F10" s="3">
        <v>3525649</v>
      </c>
    </row>
    <row r="11" spans="1:6" x14ac:dyDescent="0.3">
      <c r="A11" s="2" t="s">
        <v>13</v>
      </c>
      <c r="B11" s="3">
        <f t="shared" si="0"/>
        <v>-19347091</v>
      </c>
      <c r="C11" s="3">
        <v>2892</v>
      </c>
      <c r="D11" s="3">
        <v>229</v>
      </c>
      <c r="E11" s="3">
        <v>19349983</v>
      </c>
      <c r="F11" s="3">
        <v>22323430</v>
      </c>
    </row>
    <row r="12" spans="1:6" x14ac:dyDescent="0.3">
      <c r="A12" s="2" t="s">
        <v>14</v>
      </c>
      <c r="B12" s="3">
        <f t="shared" si="0"/>
        <v>-1443932</v>
      </c>
      <c r="C12" s="3">
        <v>8128</v>
      </c>
      <c r="D12" s="3">
        <v>1016</v>
      </c>
      <c r="E12" s="3">
        <v>1452060</v>
      </c>
      <c r="F12" s="3">
        <v>1595159</v>
      </c>
    </row>
    <row r="13" spans="1:6" x14ac:dyDescent="0.3">
      <c r="A13" s="2" t="s">
        <v>15</v>
      </c>
      <c r="B13" s="3">
        <f t="shared" si="0"/>
        <v>-1746061</v>
      </c>
      <c r="C13" s="3">
        <v>3854</v>
      </c>
      <c r="D13" s="3">
        <v>342</v>
      </c>
      <c r="E13" s="3">
        <v>1749915</v>
      </c>
      <c r="F13" s="3">
        <v>1838817</v>
      </c>
    </row>
    <row r="14" spans="1:6" x14ac:dyDescent="0.3">
      <c r="A14" s="2" t="s">
        <v>16</v>
      </c>
      <c r="B14" s="3">
        <f t="shared" si="0"/>
        <v>-2559958</v>
      </c>
      <c r="C14" s="3">
        <v>446</v>
      </c>
      <c r="D14" s="3">
        <v>75</v>
      </c>
      <c r="E14" s="3">
        <v>2560404</v>
      </c>
      <c r="F14" s="3">
        <v>2822031</v>
      </c>
    </row>
    <row r="15" spans="1:6" ht="17.25" thickBot="1" x14ac:dyDescent="0.35">
      <c r="A15" s="4" t="s">
        <v>17</v>
      </c>
      <c r="B15" s="5">
        <f>SUM(B3:B14)</f>
        <v>-175978978</v>
      </c>
      <c r="C15" s="5">
        <f t="shared" ref="C15" si="1">SUM(C3:C14)</f>
        <v>52091</v>
      </c>
      <c r="D15" s="5">
        <f t="shared" ref="D15:F15" si="2">SUM(D3:D14)</f>
        <v>5680</v>
      </c>
      <c r="E15" s="5">
        <f t="shared" si="2"/>
        <v>176031069</v>
      </c>
      <c r="F15" s="5">
        <f t="shared" si="2"/>
        <v>200865399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-22273310</v>
      </c>
      <c r="C3" s="3">
        <v>0</v>
      </c>
      <c r="D3" s="3">
        <v>0</v>
      </c>
      <c r="E3" s="3">
        <v>22273310</v>
      </c>
      <c r="F3" s="3">
        <v>28097310</v>
      </c>
    </row>
    <row r="4" spans="1:6" x14ac:dyDescent="0.3">
      <c r="A4" s="2" t="s">
        <v>6</v>
      </c>
      <c r="B4" s="3">
        <f t="shared" ref="B4:B14" si="0">C4-E4</f>
        <v>-4276076</v>
      </c>
      <c r="C4" s="3">
        <v>3763</v>
      </c>
      <c r="D4" s="3">
        <v>490</v>
      </c>
      <c r="E4" s="3">
        <v>4279839</v>
      </c>
      <c r="F4" s="3">
        <v>4823655</v>
      </c>
    </row>
    <row r="5" spans="1:6" x14ac:dyDescent="0.3">
      <c r="A5" s="2" t="s">
        <v>7</v>
      </c>
      <c r="B5" s="3">
        <f t="shared" si="0"/>
        <v>-20542007</v>
      </c>
      <c r="C5" s="3">
        <v>6506</v>
      </c>
      <c r="D5" s="3">
        <v>868</v>
      </c>
      <c r="E5" s="3">
        <v>20548513</v>
      </c>
      <c r="F5" s="3">
        <v>24702133</v>
      </c>
    </row>
    <row r="6" spans="1:6" x14ac:dyDescent="0.3">
      <c r="A6" s="2" t="s">
        <v>8</v>
      </c>
      <c r="B6" s="3">
        <f t="shared" si="0"/>
        <v>-5974314</v>
      </c>
      <c r="C6" s="3">
        <v>1888</v>
      </c>
      <c r="D6" s="3">
        <v>320</v>
      </c>
      <c r="E6" s="3">
        <v>5976202</v>
      </c>
      <c r="F6" s="3">
        <v>6465042</v>
      </c>
    </row>
    <row r="7" spans="1:6" x14ac:dyDescent="0.3">
      <c r="A7" s="2" t="s">
        <v>9</v>
      </c>
      <c r="B7" s="3">
        <f t="shared" si="0"/>
        <v>-26399515</v>
      </c>
      <c r="C7" s="3">
        <v>7899</v>
      </c>
      <c r="D7" s="3">
        <v>677</v>
      </c>
      <c r="E7" s="3">
        <v>26407414</v>
      </c>
      <c r="F7" s="3">
        <v>32283555</v>
      </c>
    </row>
    <row r="8" spans="1:6" x14ac:dyDescent="0.3">
      <c r="A8" s="2" t="s">
        <v>10</v>
      </c>
      <c r="B8" s="3">
        <f t="shared" si="0"/>
        <v>-22443108</v>
      </c>
      <c r="C8" s="3">
        <v>215</v>
      </c>
      <c r="D8" s="3">
        <v>4</v>
      </c>
      <c r="E8" s="3">
        <v>22443323</v>
      </c>
      <c r="F8" s="3">
        <v>29499617</v>
      </c>
    </row>
    <row r="9" spans="1:6" x14ac:dyDescent="0.3">
      <c r="A9" s="2" t="s">
        <v>11</v>
      </c>
      <c r="B9" s="3">
        <f t="shared" si="0"/>
        <v>-19705993</v>
      </c>
      <c r="C9" s="3">
        <v>0</v>
      </c>
      <c r="D9" s="3">
        <v>0</v>
      </c>
      <c r="E9" s="3">
        <v>19705993</v>
      </c>
      <c r="F9" s="3">
        <v>25301812</v>
      </c>
    </row>
    <row r="10" spans="1:6" x14ac:dyDescent="0.3">
      <c r="A10" s="2" t="s">
        <v>12</v>
      </c>
      <c r="B10" s="3">
        <f t="shared" si="0"/>
        <v>-5467930</v>
      </c>
      <c r="C10" s="3">
        <v>2254</v>
      </c>
      <c r="D10" s="3">
        <v>180</v>
      </c>
      <c r="E10" s="3">
        <v>5470184</v>
      </c>
      <c r="F10" s="3">
        <v>6177382</v>
      </c>
    </row>
    <row r="11" spans="1:6" x14ac:dyDescent="0.3">
      <c r="A11" s="2" t="s">
        <v>13</v>
      </c>
      <c r="B11" s="3">
        <f t="shared" si="0"/>
        <v>-24592052</v>
      </c>
      <c r="C11" s="3">
        <v>2392</v>
      </c>
      <c r="D11" s="3">
        <v>225</v>
      </c>
      <c r="E11" s="3">
        <v>24594444</v>
      </c>
      <c r="F11" s="3">
        <v>31611221</v>
      </c>
    </row>
    <row r="12" spans="1:6" x14ac:dyDescent="0.3">
      <c r="A12" s="2" t="s">
        <v>14</v>
      </c>
      <c r="B12" s="3">
        <f t="shared" si="0"/>
        <v>-6145767</v>
      </c>
      <c r="C12" s="3">
        <v>1314</v>
      </c>
      <c r="D12" s="3">
        <v>100</v>
      </c>
      <c r="E12" s="3">
        <v>6147081</v>
      </c>
      <c r="F12" s="3">
        <v>7340262</v>
      </c>
    </row>
    <row r="13" spans="1:6" x14ac:dyDescent="0.3">
      <c r="A13" s="2" t="s">
        <v>15</v>
      </c>
      <c r="B13" s="3">
        <f t="shared" si="0"/>
        <v>-3751781</v>
      </c>
      <c r="C13" s="3">
        <v>10864</v>
      </c>
      <c r="D13" s="3">
        <v>1005</v>
      </c>
      <c r="E13" s="3">
        <v>3762645</v>
      </c>
      <c r="F13" s="3">
        <v>4544870</v>
      </c>
    </row>
    <row r="14" spans="1:6" x14ac:dyDescent="0.3">
      <c r="A14" s="2" t="s">
        <v>16</v>
      </c>
      <c r="B14" s="3">
        <f t="shared" si="0"/>
        <v>-3501850</v>
      </c>
      <c r="C14" s="3">
        <v>3822</v>
      </c>
      <c r="D14" s="3">
        <v>568</v>
      </c>
      <c r="E14" s="3">
        <v>3505672</v>
      </c>
      <c r="F14" s="3">
        <v>4282299</v>
      </c>
    </row>
    <row r="15" spans="1:6" ht="17.25" thickBot="1" x14ac:dyDescent="0.35">
      <c r="A15" s="4" t="s">
        <v>17</v>
      </c>
      <c r="B15" s="5">
        <f>SUM(B3:B14)</f>
        <v>-165073703</v>
      </c>
      <c r="C15" s="5">
        <f t="shared" ref="C15" si="1">SUM(C3:C14)</f>
        <v>40917</v>
      </c>
      <c r="D15" s="5">
        <f t="shared" ref="D15:F15" si="2">SUM(D3:D14)</f>
        <v>4437</v>
      </c>
      <c r="E15" s="5">
        <f t="shared" si="2"/>
        <v>165114620</v>
      </c>
      <c r="F15" s="5">
        <f t="shared" si="2"/>
        <v>205129158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-4903955</v>
      </c>
      <c r="C3" s="3">
        <v>16533</v>
      </c>
      <c r="D3" s="3">
        <v>2000</v>
      </c>
      <c r="E3" s="3">
        <v>4920488</v>
      </c>
      <c r="F3" s="3">
        <v>6875633</v>
      </c>
    </row>
    <row r="4" spans="1:6" x14ac:dyDescent="0.3">
      <c r="A4" s="2" t="s">
        <v>6</v>
      </c>
      <c r="B4" s="3">
        <f t="shared" ref="B4:B14" si="0">C4-E4</f>
        <v>-40472258</v>
      </c>
      <c r="C4" s="3">
        <v>0</v>
      </c>
      <c r="D4" s="3">
        <v>0</v>
      </c>
      <c r="E4" s="3">
        <v>40472258</v>
      </c>
      <c r="F4" s="3">
        <v>54623404</v>
      </c>
    </row>
    <row r="5" spans="1:6" x14ac:dyDescent="0.3">
      <c r="A5" s="2" t="s">
        <v>7</v>
      </c>
      <c r="B5" s="3">
        <f t="shared" si="0"/>
        <v>-5168916</v>
      </c>
      <c r="C5" s="3">
        <v>6664</v>
      </c>
      <c r="D5" s="3">
        <v>714</v>
      </c>
      <c r="E5" s="3">
        <v>5175580</v>
      </c>
      <c r="F5" s="3">
        <v>7230188</v>
      </c>
    </row>
    <row r="6" spans="1:6" x14ac:dyDescent="0.3">
      <c r="A6" s="2" t="s">
        <v>8</v>
      </c>
      <c r="B6" s="3">
        <f t="shared" si="0"/>
        <v>-24023084</v>
      </c>
      <c r="C6" s="3">
        <v>1</v>
      </c>
      <c r="D6" s="3">
        <v>520</v>
      </c>
      <c r="E6" s="3">
        <v>24023085</v>
      </c>
      <c r="F6" s="3">
        <v>32469532</v>
      </c>
    </row>
    <row r="7" spans="1:6" x14ac:dyDescent="0.3">
      <c r="A7" s="2" t="s">
        <v>9</v>
      </c>
      <c r="B7" s="3">
        <f t="shared" si="0"/>
        <v>-9454911</v>
      </c>
      <c r="C7" s="3">
        <v>4093</v>
      </c>
      <c r="D7" s="3">
        <v>315</v>
      </c>
      <c r="E7" s="3">
        <v>9459004</v>
      </c>
      <c r="F7" s="3">
        <v>11883019</v>
      </c>
    </row>
    <row r="8" spans="1:6" x14ac:dyDescent="0.3">
      <c r="A8" s="2" t="s">
        <v>10</v>
      </c>
      <c r="B8" s="3">
        <f t="shared" si="0"/>
        <v>-21895122</v>
      </c>
      <c r="C8" s="3">
        <v>267</v>
      </c>
      <c r="D8" s="3">
        <v>45</v>
      </c>
      <c r="E8" s="3">
        <v>21895389</v>
      </c>
      <c r="F8" s="3">
        <v>28898716</v>
      </c>
    </row>
    <row r="9" spans="1:6" x14ac:dyDescent="0.3">
      <c r="A9" s="2" t="s">
        <v>11</v>
      </c>
      <c r="B9" s="3">
        <f t="shared" si="0"/>
        <v>-6028760</v>
      </c>
      <c r="C9" s="3">
        <v>777</v>
      </c>
      <c r="D9" s="3">
        <v>100</v>
      </c>
      <c r="E9" s="3">
        <v>6029537</v>
      </c>
      <c r="F9" s="3">
        <v>7366760</v>
      </c>
    </row>
    <row r="10" spans="1:6" x14ac:dyDescent="0.3">
      <c r="A10" s="2" t="s">
        <v>12</v>
      </c>
      <c r="B10" s="3">
        <f t="shared" si="0"/>
        <v>-2764307</v>
      </c>
      <c r="C10" s="3">
        <v>2948</v>
      </c>
      <c r="D10" s="3">
        <v>256</v>
      </c>
      <c r="E10" s="3">
        <v>2767255</v>
      </c>
      <c r="F10" s="3">
        <v>3351727</v>
      </c>
    </row>
    <row r="11" spans="1:6" x14ac:dyDescent="0.3">
      <c r="A11" s="2" t="s">
        <v>13</v>
      </c>
      <c r="B11" s="3">
        <f t="shared" si="0"/>
        <v>-19603860</v>
      </c>
      <c r="C11" s="3">
        <v>3670</v>
      </c>
      <c r="D11" s="3">
        <v>325</v>
      </c>
      <c r="E11" s="3">
        <v>19607530</v>
      </c>
      <c r="F11" s="3">
        <v>25858271</v>
      </c>
    </row>
    <row r="12" spans="1:6" x14ac:dyDescent="0.3">
      <c r="A12" s="2" t="s">
        <v>14</v>
      </c>
      <c r="B12" s="3">
        <f t="shared" si="0"/>
        <v>-1048671</v>
      </c>
      <c r="C12" s="3">
        <v>0</v>
      </c>
      <c r="D12" s="3">
        <v>0</v>
      </c>
      <c r="E12" s="3">
        <v>1048671</v>
      </c>
      <c r="F12" s="3">
        <v>1415726</v>
      </c>
    </row>
    <row r="13" spans="1:6" x14ac:dyDescent="0.3">
      <c r="A13" s="2" t="s">
        <v>15</v>
      </c>
      <c r="B13" s="3">
        <f t="shared" si="0"/>
        <v>-2680103</v>
      </c>
      <c r="C13" s="3">
        <v>2315</v>
      </c>
      <c r="D13" s="3">
        <v>354</v>
      </c>
      <c r="E13" s="3">
        <v>2682418</v>
      </c>
      <c r="F13" s="3">
        <v>3831057</v>
      </c>
    </row>
    <row r="14" spans="1:6" x14ac:dyDescent="0.3">
      <c r="A14" s="2" t="s">
        <v>16</v>
      </c>
      <c r="B14" s="3">
        <f t="shared" si="0"/>
        <v>-3428025</v>
      </c>
      <c r="C14" s="3">
        <v>26363</v>
      </c>
      <c r="D14" s="3">
        <v>2940</v>
      </c>
      <c r="E14" s="3">
        <v>3454388</v>
      </c>
      <c r="F14" s="3">
        <v>5084484</v>
      </c>
    </row>
    <row r="15" spans="1:6" ht="17.25" thickBot="1" x14ac:dyDescent="0.35">
      <c r="A15" s="4" t="s">
        <v>17</v>
      </c>
      <c r="B15" s="5">
        <f>SUM(B3:B14)</f>
        <v>-141471972</v>
      </c>
      <c r="C15" s="5">
        <f t="shared" ref="C15" si="1">SUM(C3:C14)</f>
        <v>63631</v>
      </c>
      <c r="D15" s="5">
        <f t="shared" ref="D15:F15" si="2">SUM(D3:D14)</f>
        <v>7569</v>
      </c>
      <c r="E15" s="5">
        <f t="shared" si="2"/>
        <v>141535603</v>
      </c>
      <c r="F15" s="5">
        <f t="shared" si="2"/>
        <v>188888517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-3872293</v>
      </c>
      <c r="C3" s="3">
        <v>15188</v>
      </c>
      <c r="D3" s="3">
        <v>1477</v>
      </c>
      <c r="E3" s="3">
        <v>3887481</v>
      </c>
      <c r="F3" s="3">
        <v>5759443</v>
      </c>
    </row>
    <row r="4" spans="1:6" x14ac:dyDescent="0.3">
      <c r="A4" s="2" t="s">
        <v>6</v>
      </c>
      <c r="B4" s="3">
        <f t="shared" ref="B4:B14" si="0">C4-E4</f>
        <v>-4269673</v>
      </c>
      <c r="C4" s="3">
        <v>6632</v>
      </c>
      <c r="D4" s="3">
        <v>1005</v>
      </c>
      <c r="E4" s="3">
        <v>4276305</v>
      </c>
      <c r="F4" s="3">
        <v>6163403</v>
      </c>
    </row>
    <row r="5" spans="1:6" x14ac:dyDescent="0.3">
      <c r="A5" s="2" t="s">
        <v>7</v>
      </c>
      <c r="B5" s="3">
        <f t="shared" si="0"/>
        <v>-2240962</v>
      </c>
      <c r="C5" s="3">
        <v>2429</v>
      </c>
      <c r="D5" s="3">
        <v>300</v>
      </c>
      <c r="E5" s="3">
        <v>2243391</v>
      </c>
      <c r="F5" s="3">
        <v>3108432</v>
      </c>
    </row>
    <row r="6" spans="1:6" x14ac:dyDescent="0.3">
      <c r="A6" s="2" t="s">
        <v>8</v>
      </c>
      <c r="B6" s="3">
        <f t="shared" si="0"/>
        <v>-24523874</v>
      </c>
      <c r="C6" s="3">
        <v>12797</v>
      </c>
      <c r="D6" s="3">
        <v>2098</v>
      </c>
      <c r="E6" s="3">
        <v>24536671</v>
      </c>
      <c r="F6" s="3">
        <v>34248900</v>
      </c>
    </row>
    <row r="7" spans="1:6" x14ac:dyDescent="0.3">
      <c r="A7" s="2" t="s">
        <v>9</v>
      </c>
      <c r="B7" s="3">
        <f t="shared" si="0"/>
        <v>-5881865</v>
      </c>
      <c r="C7" s="3">
        <v>8859</v>
      </c>
      <c r="D7" s="3">
        <v>1285</v>
      </c>
      <c r="E7" s="3">
        <v>5890724</v>
      </c>
      <c r="F7" s="3">
        <v>8147873</v>
      </c>
    </row>
    <row r="8" spans="1:6" x14ac:dyDescent="0.3">
      <c r="A8" s="2" t="s">
        <v>10</v>
      </c>
      <c r="B8" s="3">
        <f t="shared" si="0"/>
        <v>-3310833</v>
      </c>
      <c r="C8" s="3">
        <v>42061</v>
      </c>
      <c r="D8" s="3">
        <v>5509</v>
      </c>
      <c r="E8" s="3">
        <v>3352894</v>
      </c>
      <c r="F8" s="3">
        <v>4617447</v>
      </c>
    </row>
    <row r="9" spans="1:6" x14ac:dyDescent="0.3">
      <c r="A9" s="2" t="s">
        <v>11</v>
      </c>
      <c r="B9" s="3">
        <f t="shared" si="0"/>
        <v>-2534727</v>
      </c>
      <c r="C9" s="3">
        <v>8693</v>
      </c>
      <c r="D9" s="3">
        <v>937</v>
      </c>
      <c r="E9" s="3">
        <v>2543420</v>
      </c>
      <c r="F9" s="3">
        <v>3436491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-46634227</v>
      </c>
      <c r="C15" s="5">
        <f t="shared" ref="C15:F15" si="1">SUM(C3:C14)</f>
        <v>96659</v>
      </c>
      <c r="D15" s="5">
        <f t="shared" si="1"/>
        <v>12611</v>
      </c>
      <c r="E15" s="5">
        <f t="shared" si="1"/>
        <v>46730886</v>
      </c>
      <c r="F15" s="5">
        <f t="shared" si="1"/>
        <v>65481989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2026-08-24T09:26:21Z</dcterms:modified>
</cp:coreProperties>
</file>