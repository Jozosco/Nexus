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<sst xmlns="http://schemas.openxmlformats.org/spreadsheetml/2006/main" count="306" uniqueCount="18">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</sst>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1" spans="1:6" x14ac:dyDescent="0.3">
      <c r="A1">
        <v>9</v>
      </c>
    </row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-28785</v>
      </c>
      <c r="C3" s="2">
        <v>0</v>
      </c>
      <c r="D3" s="2">
        <v>0</v>
      </c>
      <c r="E3" s="2">
        <v>28785</v>
      </c>
      <c r="F3" s="2">
        <v>95000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-8157</v>
      </c>
      <c r="C5" s="2">
        <v>0</v>
      </c>
      <c r="D5" s="2">
        <v>0</v>
      </c>
      <c r="E5" s="2">
        <v>8157</v>
      </c>
      <c r="F5" s="2">
        <v>10000</v>
      </c>
    </row>
    <row r="6" spans="1:6" x14ac:dyDescent="0.3">
      <c r="A6" s="1" t="s">
        <v>3</v>
      </c>
      <c r="B6" s="2">
        <f t="shared" si="0"/>
        <v>-145000</v>
      </c>
      <c r="C6" s="2">
        <v>0</v>
      </c>
      <c r="D6" s="2">
        <v>0</v>
      </c>
      <c r="E6" s="2">
        <v>145000</v>
      </c>
      <c r="F6" s="2">
        <v>200000</v>
      </c>
    </row>
    <row r="7" spans="1:6" x14ac:dyDescent="0.3">
      <c r="A7" s="1" t="s">
        <v>4</v>
      </c>
      <c r="B7" s="2">
        <f t="shared" si="0"/>
        <v>-426346</v>
      </c>
      <c r="C7" s="2">
        <v>0</v>
      </c>
      <c r="D7" s="2">
        <v>0</v>
      </c>
      <c r="E7" s="2">
        <v>426346</v>
      </c>
      <c r="F7" s="2">
        <v>572401</v>
      </c>
    </row>
    <row r="8" spans="1:6" x14ac:dyDescent="0.3">
      <c r="A8" s="1" t="s">
        <v>5</v>
      </c>
      <c r="B8" s="2">
        <f t="shared" si="0"/>
        <v>-400587</v>
      </c>
      <c r="C8" s="2">
        <v>0</v>
      </c>
      <c r="D8" s="2">
        <v>0</v>
      </c>
      <c r="E8" s="2">
        <v>400587</v>
      </c>
      <c r="F8" s="2">
        <v>471700</v>
      </c>
    </row>
    <row r="9" spans="1:6" x14ac:dyDescent="0.3">
      <c r="A9" s="1" t="s">
        <v>6</v>
      </c>
      <c r="B9" s="2">
        <f t="shared" si="0"/>
        <v>-315363</v>
      </c>
      <c r="C9" s="2">
        <v>0</v>
      </c>
      <c r="D9" s="2">
        <v>0</v>
      </c>
      <c r="E9" s="2">
        <v>315363</v>
      </c>
      <c r="F9" s="2">
        <v>407100</v>
      </c>
    </row>
    <row r="10" spans="1:6" x14ac:dyDescent="0.3">
      <c r="A10" s="1" t="s">
        <v>7</v>
      </c>
      <c r="B10" s="2">
        <f t="shared" si="0"/>
        <v>-18777515</v>
      </c>
      <c r="C10" s="2">
        <v>0</v>
      </c>
      <c r="D10" s="2">
        <v>0</v>
      </c>
      <c r="E10" s="2">
        <v>18777515</v>
      </c>
      <c r="F10" s="2">
        <v>24519970</v>
      </c>
    </row>
    <row r="11" spans="1:6" x14ac:dyDescent="0.3">
      <c r="A11" s="1" t="s">
        <v>8</v>
      </c>
      <c r="B11" s="2">
        <f t="shared" si="0"/>
        <v>-14296726</v>
      </c>
      <c r="C11" s="2">
        <v>0</v>
      </c>
      <c r="D11" s="2">
        <v>0</v>
      </c>
      <c r="E11" s="2">
        <v>14296726</v>
      </c>
      <c r="F11" s="2">
        <v>18293680</v>
      </c>
    </row>
    <row r="12" spans="1:6" x14ac:dyDescent="0.3">
      <c r="A12" s="1" t="s">
        <v>9</v>
      </c>
      <c r="B12" s="2">
        <f t="shared" si="0"/>
        <v>-10273406</v>
      </c>
      <c r="C12" s="2">
        <v>0</v>
      </c>
      <c r="D12" s="2">
        <v>0</v>
      </c>
      <c r="E12" s="2">
        <v>10273406</v>
      </c>
      <c r="F12" s="2">
        <v>12315100</v>
      </c>
    </row>
    <row r="13" spans="1:6" x14ac:dyDescent="0.3">
      <c r="A13" s="1" t="s">
        <v>10</v>
      </c>
      <c r="B13" s="2">
        <f t="shared" si="0"/>
        <v>-9586771</v>
      </c>
      <c r="C13" s="2">
        <v>0</v>
      </c>
      <c r="D13" s="2">
        <v>0</v>
      </c>
      <c r="E13" s="2">
        <v>9586771</v>
      </c>
      <c r="F13" s="2">
        <v>11258010</v>
      </c>
    </row>
    <row r="14" spans="1:6" x14ac:dyDescent="0.3">
      <c r="A14" s="1" t="s">
        <v>11</v>
      </c>
      <c r="B14" s="2">
        <f t="shared" si="0"/>
        <v>-10985127</v>
      </c>
      <c r="C14" s="2">
        <v>0</v>
      </c>
      <c r="D14" s="2">
        <v>0</v>
      </c>
      <c r="E14" s="2">
        <v>10985127</v>
      </c>
      <c r="F14" s="2">
        <v>12714820</v>
      </c>
    </row>
    <row r="15" spans="1:6" ht="17.25" thickBot="1" x14ac:dyDescent="0.35">
      <c r="A15" s="4" t="s">
        <v>13</v>
      </c>
      <c r="B15" s="5">
        <f>SUM(B3:B14)</f>
        <v>-65243783</v>
      </c>
      <c r="C15" s="5">
        <f t="shared" ref="C15:F15" si="1">SUM(C3:C14)</f>
        <v>0</v>
      </c>
      <c r="D15" s="5">
        <f t="shared" si="1"/>
        <v>0</v>
      </c>
      <c r="E15" s="5">
        <f t="shared" si="1"/>
        <v>65243783</v>
      </c>
      <c r="F15" s="5">
        <f t="shared" si="1"/>
        <v>80857781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-118462</v>
      </c>
      <c r="C3" s="2">
        <v>0</v>
      </c>
      <c r="D3" s="2">
        <v>0</v>
      </c>
      <c r="E3" s="2">
        <v>118462</v>
      </c>
      <c r="F3" s="2">
        <v>136000</v>
      </c>
    </row>
    <row r="4" spans="1:6" x14ac:dyDescent="0.3">
      <c r="A4" s="1" t="s">
        <v>1</v>
      </c>
      <c r="B4" s="2">
        <f t="shared" si="0"/>
        <v>-148330</v>
      </c>
      <c r="C4" s="2">
        <v>0</v>
      </c>
      <c r="D4" s="2">
        <v>0</v>
      </c>
      <c r="E4" s="2">
        <v>148330</v>
      </c>
      <c r="F4" s="2">
        <v>183010</v>
      </c>
    </row>
    <row r="5" spans="1:6" x14ac:dyDescent="0.3">
      <c r="A5" s="1" t="s">
        <v>2</v>
      </c>
      <c r="B5" s="2">
        <f t="shared" si="0"/>
        <v>-274322</v>
      </c>
      <c r="C5" s="2">
        <v>0</v>
      </c>
      <c r="D5" s="2">
        <v>0</v>
      </c>
      <c r="E5" s="2">
        <v>274322</v>
      </c>
      <c r="F5" s="2">
        <v>265145</v>
      </c>
    </row>
    <row r="6" spans="1:6" x14ac:dyDescent="0.3">
      <c r="A6" s="1" t="s">
        <v>3</v>
      </c>
      <c r="B6" s="2">
        <f t="shared" si="0"/>
        <v>-5208098</v>
      </c>
      <c r="C6" s="2">
        <v>0</v>
      </c>
      <c r="D6" s="2">
        <v>0</v>
      </c>
      <c r="E6" s="2">
        <v>5208098</v>
      </c>
      <c r="F6" s="2">
        <v>6057030</v>
      </c>
    </row>
    <row r="7" spans="1:6" x14ac:dyDescent="0.3">
      <c r="A7" s="1" t="s">
        <v>4</v>
      </c>
      <c r="B7" s="2">
        <f t="shared" si="0"/>
        <v>-819304</v>
      </c>
      <c r="C7" s="2">
        <v>0</v>
      </c>
      <c r="D7" s="2">
        <v>0</v>
      </c>
      <c r="E7" s="2">
        <v>819304</v>
      </c>
      <c r="F7" s="2">
        <v>762780</v>
      </c>
    </row>
    <row r="8" spans="1:6" x14ac:dyDescent="0.3">
      <c r="A8" s="1" t="s">
        <v>5</v>
      </c>
      <c r="B8" s="2">
        <f t="shared" si="0"/>
        <v>-608361</v>
      </c>
      <c r="C8" s="2">
        <v>0</v>
      </c>
      <c r="D8" s="2">
        <v>0</v>
      </c>
      <c r="E8" s="2">
        <v>608361</v>
      </c>
      <c r="F8" s="2">
        <v>668060</v>
      </c>
    </row>
    <row r="9" spans="1:6" x14ac:dyDescent="0.3">
      <c r="A9" s="1" t="s">
        <v>6</v>
      </c>
      <c r="B9" s="2">
        <f t="shared" si="0"/>
        <v>-459988</v>
      </c>
      <c r="C9" s="2">
        <v>0</v>
      </c>
      <c r="D9" s="2">
        <v>0</v>
      </c>
      <c r="E9" s="2">
        <v>459988</v>
      </c>
      <c r="F9" s="2">
        <v>411990</v>
      </c>
    </row>
    <row r="10" spans="1:6" x14ac:dyDescent="0.3">
      <c r="A10" s="1" t="s">
        <v>7</v>
      </c>
      <c r="B10" s="2">
        <f t="shared" si="0"/>
        <v>-509303</v>
      </c>
      <c r="C10" s="2">
        <v>0</v>
      </c>
      <c r="D10" s="2">
        <v>0</v>
      </c>
      <c r="E10" s="2">
        <v>509303</v>
      </c>
      <c r="F10" s="2">
        <v>473906</v>
      </c>
    </row>
    <row r="11" spans="1:6" x14ac:dyDescent="0.3">
      <c r="A11" s="1" t="s">
        <v>8</v>
      </c>
      <c r="B11" s="2">
        <f t="shared" si="0"/>
        <v>-165385</v>
      </c>
      <c r="C11" s="2">
        <v>0</v>
      </c>
      <c r="D11" s="2">
        <v>0</v>
      </c>
      <c r="E11" s="2">
        <v>165385</v>
      </c>
      <c r="F11" s="2">
        <v>163515</v>
      </c>
    </row>
    <row r="12" spans="1:6" x14ac:dyDescent="0.3">
      <c r="A12" s="1" t="s">
        <v>9</v>
      </c>
      <c r="B12" s="2">
        <f t="shared" si="0"/>
        <v>-9029395</v>
      </c>
      <c r="C12" s="2">
        <v>0</v>
      </c>
      <c r="D12" s="2">
        <v>0</v>
      </c>
      <c r="E12" s="2">
        <v>9029395</v>
      </c>
      <c r="F12" s="2">
        <v>10207740</v>
      </c>
    </row>
    <row r="13" spans="1:6" x14ac:dyDescent="0.3">
      <c r="A13" s="1" t="s">
        <v>10</v>
      </c>
      <c r="B13" s="2">
        <f t="shared" si="0"/>
        <v>-321557</v>
      </c>
      <c r="C13" s="2">
        <v>0</v>
      </c>
      <c r="D13" s="2">
        <v>0</v>
      </c>
      <c r="E13" s="2">
        <v>321557</v>
      </c>
      <c r="F13" s="2">
        <v>284010</v>
      </c>
    </row>
    <row r="14" spans="1:6" x14ac:dyDescent="0.3">
      <c r="A14" s="1" t="s">
        <v>11</v>
      </c>
      <c r="B14" s="2">
        <f t="shared" si="0"/>
        <v>-1173462</v>
      </c>
      <c r="C14" s="2">
        <v>0</v>
      </c>
      <c r="D14" s="2">
        <v>0</v>
      </c>
      <c r="E14" s="2">
        <v>1173462</v>
      </c>
      <c r="F14" s="2">
        <v>1023515</v>
      </c>
    </row>
    <row r="15" spans="1:6" ht="17.25" thickBot="1" x14ac:dyDescent="0.35">
      <c r="A15" s="4" t="s">
        <v>13</v>
      </c>
      <c r="B15" s="5">
        <f>SUM(B3:B14)</f>
        <v>-18835967</v>
      </c>
      <c r="C15" s="5">
        <f t="shared" ref="C15:F15" si="1">SUM(C3:C14)</f>
        <v>0</v>
      </c>
      <c r="D15" s="5">
        <f t="shared" si="1"/>
        <v>0</v>
      </c>
      <c r="E15" s="5">
        <f t="shared" si="1"/>
        <v>18835967</v>
      </c>
      <c r="F15" s="5">
        <f t="shared" si="1"/>
        <v>20636701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-144214</v>
      </c>
      <c r="C3" s="2">
        <v>0</v>
      </c>
      <c r="D3" s="2">
        <v>0</v>
      </c>
      <c r="E3" s="2">
        <v>144214</v>
      </c>
      <c r="F3" s="2">
        <v>170009</v>
      </c>
    </row>
    <row r="4" spans="1:6" x14ac:dyDescent="0.3">
      <c r="A4" s="1" t="s">
        <v>1</v>
      </c>
      <c r="B4" s="2">
        <f t="shared" si="0"/>
        <v>-30404</v>
      </c>
      <c r="C4" s="2">
        <v>0</v>
      </c>
      <c r="D4" s="2">
        <v>0</v>
      </c>
      <c r="E4" s="2">
        <v>30404</v>
      </c>
      <c r="F4" s="2">
        <v>40005</v>
      </c>
    </row>
    <row r="5" spans="1:6" x14ac:dyDescent="0.3">
      <c r="A5" s="1" t="s">
        <v>2</v>
      </c>
      <c r="B5" s="2">
        <f t="shared" si="0"/>
        <v>-1981</v>
      </c>
      <c r="C5" s="2">
        <v>23364</v>
      </c>
      <c r="D5" s="2">
        <v>22470</v>
      </c>
      <c r="E5" s="2">
        <v>25345</v>
      </c>
      <c r="F5" s="2">
        <v>41550</v>
      </c>
    </row>
    <row r="6" spans="1:6" x14ac:dyDescent="0.3">
      <c r="A6" s="1" t="s">
        <v>3</v>
      </c>
      <c r="B6" s="2">
        <f t="shared" si="0"/>
        <v>-633669</v>
      </c>
      <c r="C6" s="2">
        <v>0</v>
      </c>
      <c r="D6" s="2">
        <v>0</v>
      </c>
      <c r="E6" s="2">
        <v>633669</v>
      </c>
      <c r="F6" s="2">
        <v>569050</v>
      </c>
    </row>
    <row r="7" spans="1:6" x14ac:dyDescent="0.3">
      <c r="A7" s="1" t="s">
        <v>4</v>
      </c>
      <c r="B7" s="2">
        <f t="shared" si="0"/>
        <v>-654565</v>
      </c>
      <c r="C7" s="2">
        <v>0</v>
      </c>
      <c r="D7" s="2">
        <v>0</v>
      </c>
      <c r="E7" s="2">
        <v>654565</v>
      </c>
      <c r="F7" s="2">
        <v>548050</v>
      </c>
    </row>
    <row r="8" spans="1:6" x14ac:dyDescent="0.3">
      <c r="A8" s="1" t="s">
        <v>5</v>
      </c>
      <c r="B8" s="2">
        <f t="shared" si="0"/>
        <v>-25841339</v>
      </c>
      <c r="C8" s="2">
        <v>0</v>
      </c>
      <c r="D8" s="2">
        <v>0</v>
      </c>
      <c r="E8" s="2">
        <v>25841339</v>
      </c>
      <c r="F8" s="2">
        <v>31191630</v>
      </c>
    </row>
    <row r="9" spans="1:6" x14ac:dyDescent="0.3">
      <c r="A9" s="1" t="s">
        <v>6</v>
      </c>
      <c r="B9" s="2">
        <f t="shared" si="0"/>
        <v>-285098</v>
      </c>
      <c r="C9" s="2">
        <v>0</v>
      </c>
      <c r="D9" s="2">
        <v>0</v>
      </c>
      <c r="E9" s="2">
        <v>285098</v>
      </c>
      <c r="F9" s="2">
        <v>244070</v>
      </c>
    </row>
    <row r="10" spans="1:6" x14ac:dyDescent="0.3">
      <c r="A10" s="1" t="s">
        <v>7</v>
      </c>
      <c r="B10" s="2">
        <f t="shared" si="0"/>
        <v>-214582</v>
      </c>
      <c r="C10" s="2">
        <v>0</v>
      </c>
      <c r="D10" s="2">
        <v>0</v>
      </c>
      <c r="E10" s="2">
        <v>214582</v>
      </c>
      <c r="F10" s="2">
        <v>183030</v>
      </c>
    </row>
    <row r="11" spans="1:6" x14ac:dyDescent="0.3">
      <c r="A11" s="1" t="s">
        <v>8</v>
      </c>
      <c r="B11" s="2">
        <f t="shared" si="0"/>
        <v>-136382</v>
      </c>
      <c r="C11" s="2">
        <v>0</v>
      </c>
      <c r="D11" s="2">
        <v>0</v>
      </c>
      <c r="E11" s="2">
        <v>136382</v>
      </c>
      <c r="F11" s="2">
        <v>104040</v>
      </c>
    </row>
    <row r="12" spans="1:6" x14ac:dyDescent="0.3">
      <c r="A12" s="1" t="s">
        <v>9</v>
      </c>
      <c r="B12" s="2">
        <f t="shared" si="0"/>
        <v>-449241</v>
      </c>
      <c r="C12" s="2">
        <v>0</v>
      </c>
      <c r="D12" s="2">
        <v>0</v>
      </c>
      <c r="E12" s="2">
        <v>449241</v>
      </c>
      <c r="F12" s="2">
        <v>404985</v>
      </c>
    </row>
    <row r="13" spans="1:6" x14ac:dyDescent="0.3">
      <c r="A13" s="1" t="s">
        <v>10</v>
      </c>
      <c r="B13" s="2">
        <f t="shared" si="0"/>
        <v>-975147</v>
      </c>
      <c r="C13" s="2">
        <v>0</v>
      </c>
      <c r="D13" s="2">
        <v>0</v>
      </c>
      <c r="E13" s="2">
        <v>975147</v>
      </c>
      <c r="F13" s="2">
        <v>839555</v>
      </c>
    </row>
    <row r="14" spans="1:6" x14ac:dyDescent="0.3">
      <c r="A14" s="1" t="s">
        <v>11</v>
      </c>
      <c r="B14" s="2">
        <f t="shared" si="0"/>
        <v>-733753</v>
      </c>
      <c r="C14" s="2">
        <v>0</v>
      </c>
      <c r="D14" s="2">
        <v>0</v>
      </c>
      <c r="E14" s="2">
        <v>733753</v>
      </c>
      <c r="F14" s="2">
        <v>656480</v>
      </c>
    </row>
    <row r="15" spans="1:6" ht="17.25" thickBot="1" x14ac:dyDescent="0.35">
      <c r="A15" s="4" t="s">
        <v>13</v>
      </c>
      <c r="B15" s="5">
        <f>SUM(B3:B14)</f>
        <v>-30100375</v>
      </c>
      <c r="C15" s="5">
        <f t="shared" ref="C15:F15" si="1">SUM(C3:C14)</f>
        <v>23364</v>
      </c>
      <c r="D15" s="5">
        <f t="shared" si="1"/>
        <v>22470</v>
      </c>
      <c r="E15" s="5">
        <f t="shared" si="1"/>
        <v>30123739</v>
      </c>
      <c r="F15" s="5">
        <f t="shared" si="1"/>
        <v>34992454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-24780</v>
      </c>
      <c r="C3" s="2">
        <v>0</v>
      </c>
      <c r="D3" s="2">
        <v>0</v>
      </c>
      <c r="E3" s="2">
        <v>24780</v>
      </c>
      <c r="F3" s="2">
        <v>21000</v>
      </c>
    </row>
    <row r="4" spans="1:6" x14ac:dyDescent="0.3">
      <c r="A4" s="1" t="s">
        <v>1</v>
      </c>
      <c r="B4" s="2">
        <f t="shared" si="0"/>
        <v>-84051</v>
      </c>
      <c r="C4" s="2">
        <v>0</v>
      </c>
      <c r="D4" s="2">
        <v>0</v>
      </c>
      <c r="E4" s="2">
        <v>84051</v>
      </c>
      <c r="F4" s="2">
        <v>62001</v>
      </c>
    </row>
    <row r="5" spans="1:6" x14ac:dyDescent="0.3">
      <c r="A5" s="1" t="s">
        <v>2</v>
      </c>
      <c r="B5" s="2">
        <f t="shared" si="0"/>
        <v>-46725</v>
      </c>
      <c r="C5" s="2">
        <v>0</v>
      </c>
      <c r="D5" s="2">
        <v>0</v>
      </c>
      <c r="E5" s="2">
        <v>46725</v>
      </c>
      <c r="F5" s="2">
        <v>41000</v>
      </c>
    </row>
    <row r="6" spans="1:6" x14ac:dyDescent="0.3">
      <c r="A6" s="1" t="s">
        <v>3</v>
      </c>
      <c r="B6" s="2">
        <f t="shared" si="0"/>
        <v>-112000</v>
      </c>
      <c r="C6" s="2">
        <v>0</v>
      </c>
      <c r="D6" s="2">
        <v>0</v>
      </c>
      <c r="E6" s="2">
        <v>112000</v>
      </c>
      <c r="F6" s="2">
        <v>120000</v>
      </c>
    </row>
    <row r="7" spans="1:6" x14ac:dyDescent="0.3">
      <c r="A7" s="1" t="s">
        <v>4</v>
      </c>
      <c r="B7" s="2">
        <f t="shared" si="0"/>
        <v>-114650</v>
      </c>
      <c r="C7" s="2">
        <v>0</v>
      </c>
      <c r="D7" s="2">
        <v>0</v>
      </c>
      <c r="E7" s="2">
        <v>114650</v>
      </c>
      <c r="F7" s="2">
        <v>145000</v>
      </c>
    </row>
    <row r="8" spans="1:6" x14ac:dyDescent="0.3">
      <c r="A8" s="1" t="s">
        <v>5</v>
      </c>
      <c r="B8" s="2">
        <f t="shared" si="0"/>
        <v>-141411</v>
      </c>
      <c r="C8" s="2">
        <v>0</v>
      </c>
      <c r="D8" s="2">
        <v>0</v>
      </c>
      <c r="E8" s="2">
        <v>141411</v>
      </c>
      <c r="F8" s="2">
        <v>180002</v>
      </c>
    </row>
    <row r="9" spans="1:6" x14ac:dyDescent="0.3">
      <c r="A9" s="1" t="s">
        <v>6</v>
      </c>
      <c r="B9" s="2">
        <f t="shared" si="0"/>
        <v>-337094</v>
      </c>
      <c r="C9" s="2">
        <v>0</v>
      </c>
      <c r="D9" s="2">
        <v>0</v>
      </c>
      <c r="E9" s="2">
        <v>337094</v>
      </c>
      <c r="F9" s="2">
        <v>319995</v>
      </c>
    </row>
    <row r="10" spans="1:6" x14ac:dyDescent="0.3">
      <c r="A10" s="1" t="s">
        <v>7</v>
      </c>
      <c r="B10" s="2">
        <f t="shared" si="0"/>
        <v>-262500</v>
      </c>
      <c r="C10" s="2">
        <v>0</v>
      </c>
      <c r="D10" s="2">
        <v>0</v>
      </c>
      <c r="E10" s="2">
        <v>262500</v>
      </c>
      <c r="F10" s="2">
        <v>283000</v>
      </c>
    </row>
    <row r="11" spans="1:6" x14ac:dyDescent="0.3">
      <c r="A11" s="1" t="s">
        <v>8</v>
      </c>
      <c r="B11" s="2">
        <f t="shared" si="0"/>
        <v>-274121</v>
      </c>
      <c r="C11" s="2">
        <v>0</v>
      </c>
      <c r="D11" s="2">
        <v>0</v>
      </c>
      <c r="E11" s="2">
        <v>274121</v>
      </c>
      <c r="F11" s="2">
        <v>258009</v>
      </c>
    </row>
    <row r="12" spans="1:6" x14ac:dyDescent="0.3">
      <c r="A12" s="1" t="s">
        <v>9</v>
      </c>
      <c r="B12" s="2">
        <f t="shared" si="0"/>
        <v>-23000</v>
      </c>
      <c r="C12" s="2">
        <v>0</v>
      </c>
      <c r="D12" s="2">
        <v>0</v>
      </c>
      <c r="E12" s="2">
        <v>23000</v>
      </c>
      <c r="F12" s="2">
        <v>20000</v>
      </c>
    </row>
    <row r="13" spans="1:6" x14ac:dyDescent="0.3">
      <c r="A13" s="1" t="s">
        <v>10</v>
      </c>
      <c r="B13" s="2">
        <f t="shared" si="0"/>
        <v>-290215</v>
      </c>
      <c r="C13" s="2">
        <v>0</v>
      </c>
      <c r="D13" s="2">
        <v>0</v>
      </c>
      <c r="E13" s="2">
        <v>290215</v>
      </c>
      <c r="F13" s="2">
        <v>279995</v>
      </c>
    </row>
    <row r="14" spans="1:6" x14ac:dyDescent="0.3">
      <c r="A14" s="1" t="s">
        <v>11</v>
      </c>
      <c r="B14" s="2">
        <f t="shared" si="0"/>
        <v>-182077</v>
      </c>
      <c r="C14" s="2">
        <v>0</v>
      </c>
      <c r="D14" s="2">
        <v>0</v>
      </c>
      <c r="E14" s="2">
        <v>182077</v>
      </c>
      <c r="F14" s="2">
        <v>187005</v>
      </c>
    </row>
    <row r="15" spans="1:6" ht="17.25" thickBot="1" x14ac:dyDescent="0.35">
      <c r="A15" s="4" t="s">
        <v>13</v>
      </c>
      <c r="B15" s="5">
        <f>SUM(B3:B14)</f>
        <v>-1892624</v>
      </c>
      <c r="C15" s="5">
        <f t="shared" ref="C15:F15" si="1">SUM(C3:C14)</f>
        <v>0</v>
      </c>
      <c r="D15" s="5">
        <f t="shared" si="1"/>
        <v>0</v>
      </c>
      <c r="E15" s="5">
        <f t="shared" si="1"/>
        <v>1892624</v>
      </c>
      <c r="F15" s="5">
        <f t="shared" si="1"/>
        <v>1917007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117700</v>
      </c>
      <c r="C3" s="2">
        <v>117700</v>
      </c>
      <c r="D3" s="2">
        <v>200000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-19115</v>
      </c>
      <c r="C4" s="2">
        <v>0</v>
      </c>
      <c r="D4" s="2">
        <v>0</v>
      </c>
      <c r="E4" s="2">
        <v>19115</v>
      </c>
      <c r="F4" s="2">
        <v>23035</v>
      </c>
    </row>
    <row r="5" spans="1:6" x14ac:dyDescent="0.3">
      <c r="A5" s="1" t="s">
        <v>2</v>
      </c>
      <c r="B5" s="2">
        <f t="shared" si="0"/>
        <v>-202285</v>
      </c>
      <c r="C5" s="2">
        <v>177750</v>
      </c>
      <c r="D5" s="2">
        <v>300000</v>
      </c>
      <c r="E5" s="2">
        <v>380035</v>
      </c>
      <c r="F5" s="2">
        <v>386031</v>
      </c>
    </row>
    <row r="6" spans="1:6" x14ac:dyDescent="0.3">
      <c r="A6" s="1" t="s">
        <v>3</v>
      </c>
      <c r="B6" s="2">
        <f t="shared" si="0"/>
        <v>-584552</v>
      </c>
      <c r="C6" s="2">
        <v>0</v>
      </c>
      <c r="D6" s="2">
        <v>0</v>
      </c>
      <c r="E6" s="2">
        <v>584552</v>
      </c>
      <c r="F6" s="2">
        <v>610509</v>
      </c>
    </row>
    <row r="7" spans="1:6" x14ac:dyDescent="0.3">
      <c r="A7" s="1" t="s">
        <v>4</v>
      </c>
      <c r="B7" s="2">
        <f t="shared" si="0"/>
        <v>-532554</v>
      </c>
      <c r="C7" s="2">
        <v>0</v>
      </c>
      <c r="D7" s="2">
        <v>0</v>
      </c>
      <c r="E7" s="2">
        <v>532554</v>
      </c>
      <c r="F7" s="2">
        <v>564075</v>
      </c>
    </row>
    <row r="8" spans="1:6" x14ac:dyDescent="0.3">
      <c r="A8" s="1" t="s">
        <v>5</v>
      </c>
      <c r="B8" s="2">
        <f t="shared" si="0"/>
        <v>-372371</v>
      </c>
      <c r="C8" s="2">
        <v>0</v>
      </c>
      <c r="D8" s="2">
        <v>0</v>
      </c>
      <c r="E8" s="2">
        <v>372371</v>
      </c>
      <c r="F8" s="2">
        <v>359847</v>
      </c>
    </row>
    <row r="9" spans="1:6" x14ac:dyDescent="0.3">
      <c r="A9" s="1" t="s">
        <v>6</v>
      </c>
      <c r="B9" s="2">
        <f t="shared" si="0"/>
        <v>-229172</v>
      </c>
      <c r="C9" s="2">
        <v>240</v>
      </c>
      <c r="D9" s="2">
        <v>50</v>
      </c>
      <c r="E9" s="2">
        <v>229412</v>
      </c>
      <c r="F9" s="2">
        <v>242135</v>
      </c>
    </row>
    <row r="10" spans="1:6" x14ac:dyDescent="0.3">
      <c r="A10" s="1" t="s">
        <v>7</v>
      </c>
      <c r="B10" s="2">
        <f t="shared" si="0"/>
        <v>-37273</v>
      </c>
      <c r="C10" s="2">
        <v>0</v>
      </c>
      <c r="D10" s="2">
        <v>0</v>
      </c>
      <c r="E10" s="2">
        <v>37273</v>
      </c>
      <c r="F10" s="2">
        <v>40541</v>
      </c>
    </row>
    <row r="11" spans="1:6" x14ac:dyDescent="0.3">
      <c r="A11" s="1" t="s">
        <v>8</v>
      </c>
      <c r="B11" s="2">
        <f t="shared" si="0"/>
        <v>-86293</v>
      </c>
      <c r="C11" s="2">
        <v>0</v>
      </c>
      <c r="D11" s="2">
        <v>0</v>
      </c>
      <c r="E11" s="2">
        <v>86293</v>
      </c>
      <c r="F11" s="2">
        <v>100005</v>
      </c>
    </row>
    <row r="12" spans="1:6" x14ac:dyDescent="0.3">
      <c r="A12" s="1" t="s">
        <v>9</v>
      </c>
      <c r="B12" s="2">
        <f t="shared" si="0"/>
        <v>-493436</v>
      </c>
      <c r="C12" s="2">
        <v>0</v>
      </c>
      <c r="D12" s="2">
        <v>0</v>
      </c>
      <c r="E12" s="2">
        <v>493436</v>
      </c>
      <c r="F12" s="2">
        <v>525907</v>
      </c>
    </row>
    <row r="13" spans="1:6" x14ac:dyDescent="0.3">
      <c r="A13" s="1" t="s">
        <v>10</v>
      </c>
      <c r="B13" s="2">
        <f t="shared" si="0"/>
        <v>-1694607</v>
      </c>
      <c r="C13" s="2">
        <v>0</v>
      </c>
      <c r="D13" s="2">
        <v>0</v>
      </c>
      <c r="E13" s="2">
        <v>1694607</v>
      </c>
      <c r="F13" s="2">
        <v>1846878</v>
      </c>
    </row>
    <row r="14" spans="1:6" x14ac:dyDescent="0.3">
      <c r="A14" s="1" t="s">
        <v>11</v>
      </c>
      <c r="B14" s="2">
        <f t="shared" si="0"/>
        <v>-1922448</v>
      </c>
      <c r="C14" s="2">
        <v>0</v>
      </c>
      <c r="D14" s="2">
        <v>0</v>
      </c>
      <c r="E14" s="2">
        <v>1922448</v>
      </c>
      <c r="F14" s="2">
        <v>2236415</v>
      </c>
    </row>
    <row r="15" spans="1:6" ht="17.25" thickBot="1" x14ac:dyDescent="0.35">
      <c r="A15" s="4" t="s">
        <v>13</v>
      </c>
      <c r="B15" s="5">
        <f>SUM(B3:B14)</f>
        <v>-6056406</v>
      </c>
      <c r="C15" s="5">
        <f t="shared" ref="C15:F15" si="1">SUM(C3:C14)</f>
        <v>295690</v>
      </c>
      <c r="D15" s="5">
        <f t="shared" si="1"/>
        <v>500050</v>
      </c>
      <c r="E15" s="5">
        <f t="shared" si="1"/>
        <v>6352096</v>
      </c>
      <c r="F15" s="5">
        <f t="shared" si="1"/>
        <v>6935378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3677</v>
      </c>
      <c r="C3" s="2">
        <v>0</v>
      </c>
      <c r="D3" s="2">
        <v>0</v>
      </c>
      <c r="E3" s="2">
        <v>3677</v>
      </c>
      <c r="F3" s="2">
        <v>862</v>
      </c>
    </row>
    <row r="4" spans="1:6" x14ac:dyDescent="0.3">
      <c r="A4" s="1" t="s">
        <v>1</v>
      </c>
      <c r="B4" s="2">
        <f t="shared" ref="B4:B15" si="0">E4-C4</f>
        <v>20157</v>
      </c>
      <c r="C4" s="2">
        <v>0</v>
      </c>
      <c r="D4" s="2">
        <v>0</v>
      </c>
      <c r="E4" s="2">
        <v>20157</v>
      </c>
      <c r="F4" s="2">
        <v>20843</v>
      </c>
    </row>
    <row r="5" spans="1:6" x14ac:dyDescent="0.3">
      <c r="A5" s="1" t="s">
        <v>2</v>
      </c>
      <c r="B5" s="2">
        <f t="shared" si="0"/>
        <v>169881</v>
      </c>
      <c r="C5" s="2">
        <v>0</v>
      </c>
      <c r="D5" s="2">
        <v>0</v>
      </c>
      <c r="E5" s="2">
        <v>169881</v>
      </c>
      <c r="F5" s="2">
        <v>180434</v>
      </c>
    </row>
    <row r="6" spans="1:6" x14ac:dyDescent="0.3">
      <c r="A6" s="1" t="s">
        <v>3</v>
      </c>
      <c r="B6" s="2">
        <f t="shared" si="0"/>
        <v>781684</v>
      </c>
      <c r="C6" s="2">
        <v>0</v>
      </c>
      <c r="D6" s="2">
        <v>0</v>
      </c>
      <c r="E6" s="2">
        <v>781684</v>
      </c>
      <c r="F6" s="2">
        <v>823305</v>
      </c>
    </row>
    <row r="7" spans="1:6" x14ac:dyDescent="0.3">
      <c r="A7" s="1" t="s">
        <v>4</v>
      </c>
      <c r="B7" s="2">
        <f t="shared" si="0"/>
        <v>381476</v>
      </c>
      <c r="C7" s="2">
        <v>0</v>
      </c>
      <c r="D7" s="2">
        <v>0</v>
      </c>
      <c r="E7" s="2">
        <v>381476</v>
      </c>
      <c r="F7" s="2">
        <v>393456</v>
      </c>
    </row>
    <row r="8" spans="1:6" x14ac:dyDescent="0.3">
      <c r="A8" s="1" t="s">
        <v>5</v>
      </c>
      <c r="B8" s="2">
        <f t="shared" si="0"/>
        <v>739563</v>
      </c>
      <c r="C8" s="2">
        <v>0</v>
      </c>
      <c r="D8" s="2">
        <v>0</v>
      </c>
      <c r="E8" s="2">
        <v>739563</v>
      </c>
      <c r="F8" s="2">
        <v>822295</v>
      </c>
    </row>
    <row r="9" spans="1:6" x14ac:dyDescent="0.3">
      <c r="A9" s="1" t="s">
        <v>6</v>
      </c>
      <c r="B9" s="2">
        <f t="shared" si="0"/>
        <v>200787</v>
      </c>
      <c r="C9" s="2">
        <v>0</v>
      </c>
      <c r="D9" s="2">
        <v>0</v>
      </c>
      <c r="E9" s="2">
        <v>200787</v>
      </c>
      <c r="F9" s="2">
        <v>208027</v>
      </c>
    </row>
    <row r="10" spans="1:6" x14ac:dyDescent="0.3">
      <c r="A10" s="1" t="s">
        <v>7</v>
      </c>
      <c r="B10" s="2">
        <f t="shared" si="0"/>
        <v>123640</v>
      </c>
      <c r="C10" s="2">
        <v>0</v>
      </c>
      <c r="D10" s="2">
        <v>0</v>
      </c>
      <c r="E10" s="2">
        <v>123640</v>
      </c>
      <c r="F10" s="2">
        <v>140178</v>
      </c>
    </row>
    <row r="11" spans="1:6" x14ac:dyDescent="0.3">
      <c r="A11" s="1" t="s">
        <v>8</v>
      </c>
      <c r="B11" s="2">
        <f t="shared" si="0"/>
        <v>95019</v>
      </c>
      <c r="C11" s="2">
        <v>0</v>
      </c>
      <c r="D11" s="2">
        <v>0</v>
      </c>
      <c r="E11" s="2">
        <v>95019</v>
      </c>
      <c r="F11" s="2">
        <v>102313</v>
      </c>
    </row>
    <row r="12" spans="1:6" x14ac:dyDescent="0.3">
      <c r="A12" s="1" t="s">
        <v>9</v>
      </c>
      <c r="B12" s="2">
        <f t="shared" si="0"/>
        <v>513104</v>
      </c>
      <c r="C12" s="2">
        <v>0</v>
      </c>
      <c r="D12" s="2">
        <v>0</v>
      </c>
      <c r="E12" s="2">
        <v>513104</v>
      </c>
      <c r="F12" s="2">
        <v>601093</v>
      </c>
    </row>
    <row r="13" spans="1:6" x14ac:dyDescent="0.3">
      <c r="A13" s="1" t="s">
        <v>10</v>
      </c>
      <c r="B13" s="2">
        <f t="shared" si="0"/>
        <v>2103548</v>
      </c>
      <c r="C13" s="2">
        <v>0</v>
      </c>
      <c r="D13" s="2">
        <v>0</v>
      </c>
      <c r="E13" s="2">
        <v>2103548</v>
      </c>
      <c r="F13" s="2">
        <v>2544047</v>
      </c>
    </row>
    <row r="14" spans="1:6" x14ac:dyDescent="0.3">
      <c r="A14" s="1" t="s">
        <v>11</v>
      </c>
      <c r="B14" s="2">
        <f t="shared" si="0"/>
        <v>931768</v>
      </c>
      <c r="C14" s="2">
        <v>0</v>
      </c>
      <c r="D14" s="2">
        <v>0</v>
      </c>
      <c r="E14" s="2">
        <v>931768</v>
      </c>
      <c r="F14" s="2">
        <v>1216103</v>
      </c>
    </row>
    <row r="15" spans="1:6" ht="17.25" thickBot="1" x14ac:dyDescent="0.35">
      <c r="A15" s="4" t="s">
        <v>13</v>
      </c>
      <c r="B15" s="5">
        <f t="shared" si="0"/>
        <v>6064304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6064304</v>
      </c>
      <c r="F15" s="5">
        <f t="shared" si="3"/>
        <v>7052956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-34808</v>
      </c>
      <c r="C3" s="2">
        <v>0</v>
      </c>
      <c r="D3" s="2">
        <v>0</v>
      </c>
      <c r="E3" s="2">
        <v>34808</v>
      </c>
      <c r="F3" s="2">
        <v>33841</v>
      </c>
    </row>
    <row r="4" spans="1:6" x14ac:dyDescent="0.3">
      <c r="A4" s="1" t="s">
        <v>1</v>
      </c>
      <c r="B4" s="2">
        <f t="shared" ref="B4:B14" si="0">C4-E4</f>
        <v>-2586</v>
      </c>
      <c r="C4" s="2">
        <v>0</v>
      </c>
      <c r="D4" s="2">
        <v>0</v>
      </c>
      <c r="E4" s="2">
        <v>2586</v>
      </c>
      <c r="F4" s="2">
        <v>2190</v>
      </c>
    </row>
    <row r="5" spans="1:6" x14ac:dyDescent="0.3">
      <c r="A5" s="1" t="s">
        <v>2</v>
      </c>
      <c r="B5" s="2">
        <f t="shared" si="0"/>
        <v>-423174</v>
      </c>
      <c r="C5" s="2">
        <v>0</v>
      </c>
      <c r="D5" s="2">
        <v>0</v>
      </c>
      <c r="E5" s="2">
        <v>423174</v>
      </c>
      <c r="F5" s="2">
        <v>490026</v>
      </c>
    </row>
    <row r="6" spans="1:6" x14ac:dyDescent="0.3">
      <c r="A6" s="1" t="s">
        <v>3</v>
      </c>
      <c r="B6" s="2">
        <f t="shared" si="0"/>
        <v>-803794</v>
      </c>
      <c r="C6" s="2">
        <v>0</v>
      </c>
      <c r="D6" s="2">
        <v>0</v>
      </c>
      <c r="E6" s="2">
        <v>803794</v>
      </c>
      <c r="F6" s="2">
        <v>964025</v>
      </c>
    </row>
    <row r="7" spans="1:6" x14ac:dyDescent="0.3">
      <c r="A7" s="1" t="s">
        <v>4</v>
      </c>
      <c r="B7" s="2">
        <f t="shared" si="0"/>
        <v>-1373718</v>
      </c>
      <c r="C7" s="2">
        <v>82000</v>
      </c>
      <c r="D7" s="2">
        <v>100000</v>
      </c>
      <c r="E7" s="2">
        <v>1455718</v>
      </c>
      <c r="F7" s="2">
        <v>1854765</v>
      </c>
    </row>
    <row r="8" spans="1:6" x14ac:dyDescent="0.3">
      <c r="A8" s="1" t="s">
        <v>5</v>
      </c>
      <c r="B8" s="2">
        <f t="shared" si="0"/>
        <v>-960397</v>
      </c>
      <c r="C8" s="2">
        <v>0</v>
      </c>
      <c r="D8" s="2">
        <v>0</v>
      </c>
      <c r="E8" s="2">
        <v>960397</v>
      </c>
      <c r="F8" s="2">
        <v>1227009</v>
      </c>
    </row>
    <row r="9" spans="1:6" x14ac:dyDescent="0.3">
      <c r="A9" s="1" t="s">
        <v>6</v>
      </c>
      <c r="B9" s="2">
        <f t="shared" si="0"/>
        <v>-1563734</v>
      </c>
      <c r="C9" s="2">
        <v>0</v>
      </c>
      <c r="D9" s="2">
        <v>0</v>
      </c>
      <c r="E9" s="2">
        <v>1563734</v>
      </c>
      <c r="F9" s="2">
        <v>2102525</v>
      </c>
    </row>
    <row r="10" spans="1:6" x14ac:dyDescent="0.3">
      <c r="A10" s="1" t="s">
        <v>7</v>
      </c>
      <c r="B10" s="2">
        <f t="shared" si="0"/>
        <v>-522690</v>
      </c>
      <c r="C10" s="2">
        <v>0</v>
      </c>
      <c r="D10" s="2">
        <v>0</v>
      </c>
      <c r="E10" s="2">
        <v>522690</v>
      </c>
      <c r="F10" s="2">
        <v>673365</v>
      </c>
    </row>
    <row r="11" spans="1:6" x14ac:dyDescent="0.3">
      <c r="A11" s="1" t="s">
        <v>8</v>
      </c>
      <c r="B11" s="2">
        <f t="shared" si="0"/>
        <v>-184520</v>
      </c>
      <c r="C11" s="2">
        <v>0</v>
      </c>
      <c r="D11" s="2">
        <v>0</v>
      </c>
      <c r="E11" s="2">
        <v>184520</v>
      </c>
      <c r="F11" s="2">
        <v>200025</v>
      </c>
    </row>
    <row r="12" spans="1:6" x14ac:dyDescent="0.3">
      <c r="A12" s="1" t="s">
        <v>9</v>
      </c>
      <c r="B12" s="2">
        <f t="shared" si="0"/>
        <v>-147460</v>
      </c>
      <c r="C12" s="2">
        <v>0</v>
      </c>
      <c r="D12" s="2">
        <v>0</v>
      </c>
      <c r="E12" s="2">
        <v>147460</v>
      </c>
      <c r="F12" s="2">
        <v>170059</v>
      </c>
    </row>
    <row r="13" spans="1:6" x14ac:dyDescent="0.3">
      <c r="A13" s="1" t="s">
        <v>10</v>
      </c>
      <c r="B13" s="2">
        <f t="shared" si="0"/>
        <v>-337742</v>
      </c>
      <c r="C13" s="2">
        <v>0</v>
      </c>
      <c r="D13" s="2">
        <v>0</v>
      </c>
      <c r="E13" s="2">
        <v>337742</v>
      </c>
      <c r="F13" s="2">
        <v>445170</v>
      </c>
    </row>
    <row r="14" spans="1:6" x14ac:dyDescent="0.3">
      <c r="A14" s="1" t="s">
        <v>11</v>
      </c>
      <c r="B14" s="2">
        <f t="shared" si="0"/>
        <v>-6124780</v>
      </c>
      <c r="C14" s="2">
        <v>0</v>
      </c>
      <c r="D14" s="2">
        <v>0</v>
      </c>
      <c r="E14" s="2">
        <v>6124780</v>
      </c>
      <c r="F14" s="2">
        <v>9803311</v>
      </c>
    </row>
    <row r="15" spans="1:6" ht="17.25" thickBot="1" x14ac:dyDescent="0.35">
      <c r="A15" s="4" t="s">
        <v>13</v>
      </c>
      <c r="B15" s="5">
        <f>SUM(B3:B14)</f>
        <v>-12479403</v>
      </c>
      <c r="C15" s="5">
        <f t="shared" ref="C15:F15" si="1">SUM(C3:C14)</f>
        <v>82000</v>
      </c>
      <c r="D15" s="5">
        <f t="shared" si="1"/>
        <v>100000</v>
      </c>
      <c r="E15" s="5">
        <f t="shared" si="1"/>
        <v>12561403</v>
      </c>
      <c r="F15" s="5">
        <f t="shared" si="1"/>
        <v>17966311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-103497</v>
      </c>
      <c r="C3" s="2">
        <v>0</v>
      </c>
      <c r="D3" s="2">
        <v>0</v>
      </c>
      <c r="E3" s="2">
        <v>103497</v>
      </c>
      <c r="F3" s="2">
        <v>103496</v>
      </c>
    </row>
    <row r="4" spans="1:6" x14ac:dyDescent="0.3">
      <c r="A4" s="1" t="s">
        <v>1</v>
      </c>
      <c r="B4" s="2">
        <f t="shared" si="0"/>
        <v>-67742</v>
      </c>
      <c r="C4" s="2">
        <v>0</v>
      </c>
      <c r="D4" s="2">
        <v>0</v>
      </c>
      <c r="E4" s="2">
        <v>67742</v>
      </c>
      <c r="F4" s="2">
        <v>70027</v>
      </c>
    </row>
    <row r="5" spans="1:6" x14ac:dyDescent="0.3">
      <c r="A5" s="1" t="s">
        <v>2</v>
      </c>
      <c r="B5" s="2">
        <f t="shared" si="0"/>
        <v>-678179</v>
      </c>
      <c r="C5" s="2">
        <v>0</v>
      </c>
      <c r="D5" s="2">
        <v>0</v>
      </c>
      <c r="E5" s="2">
        <v>678179</v>
      </c>
      <c r="F5" s="2">
        <v>818855</v>
      </c>
    </row>
    <row r="6" spans="1:6" x14ac:dyDescent="0.3">
      <c r="A6" s="1" t="s">
        <v>3</v>
      </c>
      <c r="B6" s="2">
        <f t="shared" si="0"/>
        <v>-1542669</v>
      </c>
      <c r="C6" s="2">
        <v>0</v>
      </c>
      <c r="D6" s="2">
        <v>0</v>
      </c>
      <c r="E6" s="2">
        <v>1542669</v>
      </c>
      <c r="F6" s="2">
        <v>1996693</v>
      </c>
    </row>
    <row r="7" spans="1:6" x14ac:dyDescent="0.3">
      <c r="A7" s="1" t="s">
        <v>4</v>
      </c>
      <c r="B7" s="2">
        <f t="shared" si="0"/>
        <v>-1493290</v>
      </c>
      <c r="C7" s="2">
        <v>0</v>
      </c>
      <c r="D7" s="2">
        <v>0</v>
      </c>
      <c r="E7" s="2">
        <v>1493290</v>
      </c>
      <c r="F7" s="2">
        <v>2124351</v>
      </c>
    </row>
    <row r="8" spans="1:6" x14ac:dyDescent="0.3">
      <c r="A8" s="1" t="s">
        <v>5</v>
      </c>
      <c r="B8" s="2">
        <f t="shared" si="0"/>
        <v>-991966</v>
      </c>
      <c r="C8" s="2">
        <v>0</v>
      </c>
      <c r="D8" s="2">
        <v>0</v>
      </c>
      <c r="E8" s="2">
        <v>991966</v>
      </c>
      <c r="F8" s="2">
        <v>1276380</v>
      </c>
    </row>
    <row r="9" spans="1:6" x14ac:dyDescent="0.3">
      <c r="A9" s="1" t="s">
        <v>6</v>
      </c>
      <c r="B9" s="2">
        <f t="shared" si="0"/>
        <v>-240935</v>
      </c>
      <c r="C9" s="2">
        <v>0</v>
      </c>
      <c r="D9" s="2">
        <v>0</v>
      </c>
      <c r="E9" s="2">
        <v>240935</v>
      </c>
      <c r="F9" s="2">
        <v>349531</v>
      </c>
    </row>
    <row r="10" spans="1:6" x14ac:dyDescent="0.3">
      <c r="A10" s="1" t="s">
        <v>7</v>
      </c>
      <c r="B10" s="2">
        <f t="shared" si="0"/>
        <v>-314409</v>
      </c>
      <c r="C10" s="2">
        <v>0</v>
      </c>
      <c r="D10" s="2">
        <v>0</v>
      </c>
      <c r="E10" s="2">
        <v>314409</v>
      </c>
      <c r="F10" s="2">
        <v>411000</v>
      </c>
    </row>
    <row r="11" spans="1:6" x14ac:dyDescent="0.3">
      <c r="A11" s="1" t="s">
        <v>8</v>
      </c>
      <c r="B11" s="2">
        <f t="shared" si="0"/>
        <v>-2110385</v>
      </c>
      <c r="C11" s="2">
        <v>0</v>
      </c>
      <c r="D11" s="2">
        <v>0</v>
      </c>
      <c r="E11" s="2">
        <v>2110385</v>
      </c>
      <c r="F11" s="2">
        <v>3245121</v>
      </c>
    </row>
    <row r="12" spans="1:6" x14ac:dyDescent="0.3">
      <c r="A12" s="1" t="s">
        <v>9</v>
      </c>
      <c r="B12" s="2">
        <f t="shared" si="0"/>
        <v>-265314</v>
      </c>
      <c r="C12" s="2">
        <v>0</v>
      </c>
      <c r="D12" s="2">
        <v>0</v>
      </c>
      <c r="E12" s="2">
        <v>265314</v>
      </c>
      <c r="F12" s="2">
        <v>320000</v>
      </c>
    </row>
    <row r="13" spans="1:6" x14ac:dyDescent="0.3">
      <c r="A13" s="1" t="s">
        <v>10</v>
      </c>
      <c r="B13" s="2">
        <f t="shared" si="0"/>
        <v>-289045</v>
      </c>
      <c r="C13" s="2">
        <v>0</v>
      </c>
      <c r="D13" s="2">
        <v>0</v>
      </c>
      <c r="E13" s="2">
        <v>289045</v>
      </c>
      <c r="F13" s="2">
        <v>425415</v>
      </c>
    </row>
    <row r="14" spans="1:6" x14ac:dyDescent="0.3">
      <c r="A14" s="1" t="s">
        <v>11</v>
      </c>
      <c r="B14" s="2">
        <f t="shared" si="0"/>
        <v>-537357</v>
      </c>
      <c r="C14" s="2">
        <v>0</v>
      </c>
      <c r="D14" s="2">
        <v>0</v>
      </c>
      <c r="E14" s="2">
        <v>537357</v>
      </c>
      <c r="F14" s="2">
        <v>695025</v>
      </c>
    </row>
    <row r="15" spans="1:6" ht="17.25" thickBot="1" x14ac:dyDescent="0.35">
      <c r="A15" s="4" t="s">
        <v>13</v>
      </c>
      <c r="B15" s="5">
        <f>SUM(B3:B14)</f>
        <v>-8634788</v>
      </c>
      <c r="C15" s="5">
        <f t="shared" ref="C15:F15" si="1">SUM(C3:C14)</f>
        <v>0</v>
      </c>
      <c r="D15" s="5">
        <f t="shared" si="1"/>
        <v>0</v>
      </c>
      <c r="E15" s="5">
        <f t="shared" si="1"/>
        <v>8634788</v>
      </c>
      <c r="F15" s="5">
        <f t="shared" si="1"/>
        <v>11835894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-32711</v>
      </c>
      <c r="C3" s="2">
        <v>0</v>
      </c>
      <c r="D3" s="2">
        <v>0</v>
      </c>
      <c r="E3" s="2">
        <v>32711</v>
      </c>
      <c r="F3" s="2">
        <v>40025</v>
      </c>
    </row>
    <row r="4" spans="1:6" x14ac:dyDescent="0.3">
      <c r="A4" s="1" t="s">
        <v>1</v>
      </c>
      <c r="B4" s="2">
        <f t="shared" si="0"/>
        <v>-13239</v>
      </c>
      <c r="C4" s="2">
        <v>0</v>
      </c>
      <c r="D4" s="2">
        <v>0</v>
      </c>
      <c r="E4" s="2">
        <v>13239</v>
      </c>
      <c r="F4" s="2">
        <v>20000</v>
      </c>
    </row>
    <row r="5" spans="1:6" x14ac:dyDescent="0.3">
      <c r="A5" s="1" t="s">
        <v>2</v>
      </c>
      <c r="B5" s="2">
        <f t="shared" si="0"/>
        <v>-746627</v>
      </c>
      <c r="C5" s="2">
        <v>0</v>
      </c>
      <c r="D5" s="2">
        <v>0</v>
      </c>
      <c r="E5" s="2">
        <v>746627</v>
      </c>
      <c r="F5" s="2">
        <v>930000</v>
      </c>
    </row>
    <row r="6" spans="1:6" x14ac:dyDescent="0.3">
      <c r="A6" s="1" t="s">
        <v>3</v>
      </c>
      <c r="B6" s="2">
        <f t="shared" si="0"/>
        <v>-1559830</v>
      </c>
      <c r="C6" s="2">
        <v>0</v>
      </c>
      <c r="D6" s="2">
        <v>0</v>
      </c>
      <c r="E6" s="2">
        <v>1559830</v>
      </c>
      <c r="F6" s="2">
        <v>1829920</v>
      </c>
    </row>
    <row r="7" spans="1:6" x14ac:dyDescent="0.3">
      <c r="A7" s="1" t="s">
        <v>4</v>
      </c>
      <c r="B7" s="2">
        <f t="shared" si="0"/>
        <v>-820636</v>
      </c>
      <c r="C7" s="2">
        <v>0</v>
      </c>
      <c r="D7" s="2">
        <v>0</v>
      </c>
      <c r="E7" s="2">
        <v>820636</v>
      </c>
      <c r="F7" s="2">
        <v>1000005</v>
      </c>
    </row>
    <row r="8" spans="1:6" x14ac:dyDescent="0.3">
      <c r="A8" s="1" t="s">
        <v>5</v>
      </c>
      <c r="B8" s="2">
        <f t="shared" si="0"/>
        <v>-278018</v>
      </c>
      <c r="C8" s="2">
        <v>0</v>
      </c>
      <c r="D8" s="2">
        <v>0</v>
      </c>
      <c r="E8" s="2">
        <v>278018</v>
      </c>
      <c r="F8" s="2">
        <v>300021</v>
      </c>
    </row>
    <row r="9" spans="1:6" x14ac:dyDescent="0.3">
      <c r="A9" s="1" t="s">
        <v>6</v>
      </c>
      <c r="B9" s="2">
        <f t="shared" si="0"/>
        <v>-720215</v>
      </c>
      <c r="C9" s="2">
        <v>0</v>
      </c>
      <c r="D9" s="2">
        <v>0</v>
      </c>
      <c r="E9" s="2">
        <v>720215</v>
      </c>
      <c r="F9" s="2">
        <v>894873</v>
      </c>
    </row>
    <row r="10" spans="1:6" x14ac:dyDescent="0.3">
      <c r="A10" s="1" t="s">
        <v>7</v>
      </c>
      <c r="B10" s="2">
        <f t="shared" si="0"/>
        <v>-723232</v>
      </c>
      <c r="C10" s="2">
        <v>0</v>
      </c>
      <c r="D10" s="2">
        <v>0</v>
      </c>
      <c r="E10" s="2">
        <v>723232</v>
      </c>
      <c r="F10" s="2">
        <v>698160</v>
      </c>
    </row>
    <row r="11" spans="1:6" x14ac:dyDescent="0.3">
      <c r="A11" s="1" t="s">
        <v>8</v>
      </c>
      <c r="B11" s="2">
        <f t="shared" si="0"/>
        <v>-166275</v>
      </c>
      <c r="C11" s="2">
        <v>0</v>
      </c>
      <c r="D11" s="2">
        <v>0</v>
      </c>
      <c r="E11" s="2">
        <v>166275</v>
      </c>
      <c r="F11" s="2">
        <v>195128</v>
      </c>
    </row>
    <row r="12" spans="1:6" x14ac:dyDescent="0.3">
      <c r="A12" s="1" t="s">
        <v>9</v>
      </c>
      <c r="B12" s="2">
        <f t="shared" si="0"/>
        <v>-557003</v>
      </c>
      <c r="C12" s="2">
        <v>0</v>
      </c>
      <c r="D12" s="2">
        <v>0</v>
      </c>
      <c r="E12" s="2">
        <v>557003</v>
      </c>
      <c r="F12" s="2">
        <v>656633</v>
      </c>
    </row>
    <row r="13" spans="1:6" x14ac:dyDescent="0.3">
      <c r="A13" s="1" t="s">
        <v>10</v>
      </c>
      <c r="B13" s="2">
        <f t="shared" si="0"/>
        <v>-1825871</v>
      </c>
      <c r="C13" s="2">
        <v>0</v>
      </c>
      <c r="D13" s="2">
        <v>0</v>
      </c>
      <c r="E13" s="2">
        <v>1825871</v>
      </c>
      <c r="F13" s="2">
        <v>1716561</v>
      </c>
    </row>
    <row r="14" spans="1:6" x14ac:dyDescent="0.3">
      <c r="A14" s="1" t="s">
        <v>11</v>
      </c>
      <c r="B14" s="2">
        <f t="shared" si="0"/>
        <v>-2781763</v>
      </c>
      <c r="C14" s="2">
        <v>0</v>
      </c>
      <c r="D14" s="2">
        <v>0</v>
      </c>
      <c r="E14" s="2">
        <v>2781763</v>
      </c>
      <c r="F14" s="2">
        <v>2346539</v>
      </c>
    </row>
    <row r="15" spans="1:6" ht="17.25" thickBot="1" x14ac:dyDescent="0.35">
      <c r="A15" s="4" t="s">
        <v>13</v>
      </c>
      <c r="B15" s="5">
        <f>SUM(B3:B14)</f>
        <v>-10225420</v>
      </c>
      <c r="C15" s="5">
        <f t="shared" ref="C15:F15" si="1">SUM(C3:C14)</f>
        <v>0</v>
      </c>
      <c r="D15" s="5">
        <f t="shared" si="1"/>
        <v>0</v>
      </c>
      <c r="E15" s="5">
        <f t="shared" si="1"/>
        <v>10225420</v>
      </c>
      <c r="F15" s="5">
        <f t="shared" si="1"/>
        <v>10627865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-70835</v>
      </c>
      <c r="C3" s="2">
        <v>0</v>
      </c>
      <c r="D3" s="2">
        <v>0</v>
      </c>
      <c r="E3" s="2">
        <v>70835</v>
      </c>
      <c r="F3" s="2">
        <v>65526</v>
      </c>
    </row>
    <row r="4" spans="1:6" x14ac:dyDescent="0.3">
      <c r="A4" s="1" t="s">
        <v>1</v>
      </c>
      <c r="B4" s="2">
        <f t="shared" si="0"/>
        <v>-23372</v>
      </c>
      <c r="C4" s="2">
        <v>0</v>
      </c>
      <c r="D4" s="2">
        <v>0</v>
      </c>
      <c r="E4" s="2">
        <v>23372</v>
      </c>
      <c r="F4" s="2">
        <v>20068</v>
      </c>
    </row>
    <row r="5" spans="1:6" x14ac:dyDescent="0.3">
      <c r="A5" s="1" t="s">
        <v>2</v>
      </c>
      <c r="B5" s="2">
        <f t="shared" si="0"/>
        <v>-1307637</v>
      </c>
      <c r="C5" s="2">
        <v>0</v>
      </c>
      <c r="D5" s="2">
        <v>0</v>
      </c>
      <c r="E5" s="2">
        <v>1307637</v>
      </c>
      <c r="F5" s="2">
        <v>1255084</v>
      </c>
    </row>
    <row r="6" spans="1:6" x14ac:dyDescent="0.3">
      <c r="A6" s="1" t="s">
        <v>3</v>
      </c>
      <c r="B6" s="2">
        <f t="shared" si="0"/>
        <v>-2838758</v>
      </c>
      <c r="C6" s="2">
        <v>0</v>
      </c>
      <c r="D6" s="2">
        <v>0</v>
      </c>
      <c r="E6" s="2">
        <v>2838758</v>
      </c>
      <c r="F6" s="2">
        <v>2335051</v>
      </c>
    </row>
    <row r="7" spans="1:6" x14ac:dyDescent="0.3">
      <c r="A7" s="1" t="s">
        <v>4</v>
      </c>
      <c r="B7" s="2">
        <f t="shared" si="0"/>
        <v>-1326900</v>
      </c>
      <c r="C7" s="2">
        <v>0</v>
      </c>
      <c r="D7" s="2">
        <v>0</v>
      </c>
      <c r="E7" s="2">
        <v>1326900</v>
      </c>
      <c r="F7" s="2">
        <v>1092528</v>
      </c>
    </row>
    <row r="8" spans="1:6" x14ac:dyDescent="0.3">
      <c r="A8" s="1" t="s">
        <v>5</v>
      </c>
      <c r="B8" s="2">
        <f t="shared" si="0"/>
        <v>-1414449</v>
      </c>
      <c r="C8" s="2">
        <v>0</v>
      </c>
      <c r="D8" s="2">
        <v>0</v>
      </c>
      <c r="E8" s="2">
        <v>1414449</v>
      </c>
      <c r="F8" s="2">
        <v>1169914</v>
      </c>
    </row>
    <row r="9" spans="1:6" x14ac:dyDescent="0.3">
      <c r="A9" s="1" t="s">
        <v>6</v>
      </c>
      <c r="B9" s="2">
        <f t="shared" si="0"/>
        <v>-674358</v>
      </c>
      <c r="C9" s="2">
        <v>0</v>
      </c>
      <c r="D9" s="2">
        <v>0</v>
      </c>
      <c r="E9" s="2">
        <v>674358</v>
      </c>
      <c r="F9" s="2">
        <v>537059</v>
      </c>
    </row>
    <row r="10" spans="1:6" x14ac:dyDescent="0.3">
      <c r="A10" s="1" t="s">
        <v>7</v>
      </c>
      <c r="B10" s="2">
        <f t="shared" si="0"/>
        <v>-600415</v>
      </c>
      <c r="C10" s="2">
        <v>3060</v>
      </c>
      <c r="D10" s="2">
        <v>1218</v>
      </c>
      <c r="E10" s="2">
        <v>603475</v>
      </c>
      <c r="F10" s="2">
        <v>549685</v>
      </c>
    </row>
    <row r="11" spans="1:6" x14ac:dyDescent="0.3">
      <c r="A11" s="1" t="s">
        <v>8</v>
      </c>
      <c r="B11" s="2">
        <f t="shared" si="0"/>
        <v>-433443</v>
      </c>
      <c r="C11" s="2">
        <v>0</v>
      </c>
      <c r="D11" s="2">
        <v>0</v>
      </c>
      <c r="E11" s="2">
        <v>433443</v>
      </c>
      <c r="F11" s="2">
        <v>424081</v>
      </c>
    </row>
    <row r="12" spans="1:6" x14ac:dyDescent="0.3">
      <c r="A12" s="1" t="s">
        <v>9</v>
      </c>
      <c r="B12" s="2">
        <f t="shared" si="0"/>
        <v>-211133</v>
      </c>
      <c r="C12" s="2">
        <v>0</v>
      </c>
      <c r="D12" s="2">
        <v>0</v>
      </c>
      <c r="E12" s="2">
        <v>211133</v>
      </c>
      <c r="F12" s="2">
        <v>156054</v>
      </c>
    </row>
    <row r="13" spans="1:6" x14ac:dyDescent="0.3">
      <c r="A13" s="1" t="s">
        <v>10</v>
      </c>
      <c r="B13" s="2">
        <f t="shared" si="0"/>
        <v>-4416371</v>
      </c>
      <c r="C13" s="2">
        <v>0</v>
      </c>
      <c r="D13" s="2">
        <v>0</v>
      </c>
      <c r="E13" s="2">
        <v>4416371</v>
      </c>
      <c r="F13" s="2">
        <v>3905131</v>
      </c>
    </row>
    <row r="14" spans="1:6" x14ac:dyDescent="0.3">
      <c r="A14" s="1" t="s">
        <v>11</v>
      </c>
      <c r="B14" s="2">
        <f t="shared" si="0"/>
        <v>-5180407</v>
      </c>
      <c r="C14" s="2">
        <v>0</v>
      </c>
      <c r="D14" s="2">
        <v>0</v>
      </c>
      <c r="E14" s="2">
        <v>5180407</v>
      </c>
      <c r="F14" s="2">
        <v>4139381</v>
      </c>
    </row>
    <row r="15" spans="1:6" ht="17.25" thickBot="1" x14ac:dyDescent="0.35">
      <c r="A15" s="4" t="s">
        <v>13</v>
      </c>
      <c r="B15" s="5">
        <f>SUM(B3:B14)</f>
        <v>-18498078</v>
      </c>
      <c r="C15" s="5">
        <f t="shared" ref="C15:F15" si="1">SUM(C3:C14)</f>
        <v>3060</v>
      </c>
      <c r="D15" s="5">
        <f t="shared" si="1"/>
        <v>1218</v>
      </c>
      <c r="E15" s="5">
        <f t="shared" si="1"/>
        <v>18501138</v>
      </c>
      <c r="F15" s="5">
        <f t="shared" si="1"/>
        <v>15649562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-69647</v>
      </c>
      <c r="C3" s="2">
        <v>0</v>
      </c>
      <c r="D3" s="2">
        <v>0</v>
      </c>
      <c r="E3" s="2">
        <v>69647</v>
      </c>
      <c r="F3" s="2">
        <v>40673</v>
      </c>
    </row>
    <row r="4" spans="1:6" x14ac:dyDescent="0.3">
      <c r="A4" s="1" t="s">
        <v>1</v>
      </c>
      <c r="B4" s="2">
        <f t="shared" si="0"/>
        <v>-751</v>
      </c>
      <c r="C4" s="2">
        <v>0</v>
      </c>
      <c r="D4" s="2">
        <v>0</v>
      </c>
      <c r="E4" s="2">
        <v>751</v>
      </c>
      <c r="F4" s="2">
        <v>148</v>
      </c>
    </row>
    <row r="5" spans="1:6" x14ac:dyDescent="0.3">
      <c r="A5" s="1" t="s">
        <v>2</v>
      </c>
      <c r="B5" s="2">
        <f t="shared" si="0"/>
        <v>-1106</v>
      </c>
      <c r="C5" s="2">
        <v>0</v>
      </c>
      <c r="D5" s="2">
        <v>0</v>
      </c>
      <c r="E5" s="2">
        <v>1106</v>
      </c>
      <c r="F5" s="2">
        <v>161</v>
      </c>
    </row>
    <row r="6" spans="1:6" x14ac:dyDescent="0.3">
      <c r="A6" s="1" t="s">
        <v>3</v>
      </c>
      <c r="B6" s="2">
        <f t="shared" si="0"/>
        <v>-1077450</v>
      </c>
      <c r="C6" s="2">
        <v>0</v>
      </c>
      <c r="D6" s="2">
        <v>0</v>
      </c>
      <c r="E6" s="2">
        <v>1077450</v>
      </c>
      <c r="F6" s="2">
        <v>722380</v>
      </c>
    </row>
    <row r="7" spans="1:6" x14ac:dyDescent="0.3">
      <c r="A7" s="1" t="s">
        <v>4</v>
      </c>
      <c r="B7" s="2">
        <f t="shared" si="0"/>
        <v>-2314758</v>
      </c>
      <c r="C7" s="2">
        <v>0</v>
      </c>
      <c r="D7" s="2">
        <v>0</v>
      </c>
      <c r="E7" s="2">
        <v>2314758</v>
      </c>
      <c r="F7" s="2">
        <v>1643264</v>
      </c>
    </row>
    <row r="8" spans="1:6" x14ac:dyDescent="0.3">
      <c r="A8" s="1" t="s">
        <v>5</v>
      </c>
      <c r="B8" s="2">
        <f t="shared" si="0"/>
        <v>-780353</v>
      </c>
      <c r="C8" s="2">
        <v>0</v>
      </c>
      <c r="D8" s="2">
        <v>0</v>
      </c>
      <c r="E8" s="2">
        <v>780353</v>
      </c>
      <c r="F8" s="2">
        <v>560050</v>
      </c>
    </row>
    <row r="9" spans="1:6" x14ac:dyDescent="0.3">
      <c r="A9" s="1" t="s">
        <v>6</v>
      </c>
      <c r="B9" s="2">
        <f t="shared" si="0"/>
        <v>-5101972</v>
      </c>
      <c r="C9" s="2">
        <v>0</v>
      </c>
      <c r="D9" s="2">
        <v>0</v>
      </c>
      <c r="E9" s="2">
        <v>5101972</v>
      </c>
      <c r="F9" s="2">
        <v>4373116</v>
      </c>
    </row>
    <row r="10" spans="1:6" x14ac:dyDescent="0.3">
      <c r="A10" s="1" t="s">
        <v>7</v>
      </c>
      <c r="B10" s="2">
        <f t="shared" si="0"/>
        <v>-1194712</v>
      </c>
      <c r="C10" s="2">
        <v>0</v>
      </c>
      <c r="D10" s="2">
        <v>0</v>
      </c>
      <c r="E10" s="2">
        <v>1194712</v>
      </c>
      <c r="F10" s="2">
        <v>880275</v>
      </c>
    </row>
    <row r="11" spans="1:6" x14ac:dyDescent="0.3">
      <c r="A11" s="1" t="s">
        <v>8</v>
      </c>
      <c r="B11" s="2">
        <f t="shared" si="0"/>
        <v>-3898803</v>
      </c>
      <c r="C11" s="2">
        <v>0</v>
      </c>
      <c r="D11" s="2">
        <v>0</v>
      </c>
      <c r="E11" s="2">
        <v>3898803</v>
      </c>
      <c r="F11" s="2">
        <v>3323037</v>
      </c>
    </row>
    <row r="12" spans="1:6" x14ac:dyDescent="0.3">
      <c r="A12" s="1" t="s">
        <v>9</v>
      </c>
      <c r="B12" s="2">
        <f t="shared" si="0"/>
        <v>-17762729</v>
      </c>
      <c r="C12" s="2">
        <v>0</v>
      </c>
      <c r="D12" s="2">
        <v>0</v>
      </c>
      <c r="E12" s="2">
        <v>17762729</v>
      </c>
      <c r="F12" s="2">
        <v>16511883</v>
      </c>
    </row>
    <row r="13" spans="1:6" x14ac:dyDescent="0.3">
      <c r="A13" s="1" t="s">
        <v>10</v>
      </c>
      <c r="B13" s="2">
        <f t="shared" si="0"/>
        <v>-2555036</v>
      </c>
      <c r="C13" s="2">
        <v>0</v>
      </c>
      <c r="D13" s="2">
        <v>0</v>
      </c>
      <c r="E13" s="2">
        <v>2555036</v>
      </c>
      <c r="F13" s="2">
        <v>1899287</v>
      </c>
    </row>
    <row r="14" spans="1:6" x14ac:dyDescent="0.3">
      <c r="A14" s="1" t="s">
        <v>11</v>
      </c>
      <c r="B14" s="2">
        <f t="shared" si="0"/>
        <v>-22868451</v>
      </c>
      <c r="C14" s="2">
        <v>0</v>
      </c>
      <c r="D14" s="2">
        <v>0</v>
      </c>
      <c r="E14" s="2">
        <v>22868451</v>
      </c>
      <c r="F14" s="2">
        <v>22957760</v>
      </c>
    </row>
    <row r="15" spans="1:6" ht="17.25" thickBot="1" x14ac:dyDescent="0.35">
      <c r="A15" s="4" t="s">
        <v>13</v>
      </c>
      <c r="B15" s="5">
        <f>SUM(B3:B14)</f>
        <v>-57625768</v>
      </c>
      <c r="C15" s="5">
        <f t="shared" ref="C15:F15" si="1">SUM(C3:C14)</f>
        <v>0</v>
      </c>
      <c r="D15" s="5">
        <f t="shared" si="1"/>
        <v>0</v>
      </c>
      <c r="E15" s="5">
        <f t="shared" si="1"/>
        <v>57625768</v>
      </c>
      <c r="F15" s="5">
        <f t="shared" si="1"/>
        <v>52912034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-65695</v>
      </c>
      <c r="C3" s="2">
        <v>0</v>
      </c>
      <c r="D3" s="2">
        <v>0</v>
      </c>
      <c r="E3" s="2">
        <v>65695</v>
      </c>
      <c r="F3" s="2">
        <v>59022</v>
      </c>
    </row>
    <row r="4" spans="1:6" x14ac:dyDescent="0.3">
      <c r="A4" s="1" t="s">
        <v>1</v>
      </c>
      <c r="B4" s="2">
        <f t="shared" si="0"/>
        <v>-89</v>
      </c>
      <c r="C4" s="2">
        <v>0</v>
      </c>
      <c r="D4" s="2">
        <v>0</v>
      </c>
      <c r="E4" s="2">
        <v>89</v>
      </c>
      <c r="F4" s="2">
        <v>11</v>
      </c>
    </row>
    <row r="5" spans="1:6" x14ac:dyDescent="0.3">
      <c r="A5" s="1" t="s">
        <v>2</v>
      </c>
      <c r="B5" s="2">
        <f t="shared" si="0"/>
        <v>-130</v>
      </c>
      <c r="C5" s="2">
        <v>0</v>
      </c>
      <c r="D5" s="2">
        <v>0</v>
      </c>
      <c r="E5" s="2">
        <v>130</v>
      </c>
      <c r="F5" s="2">
        <v>20</v>
      </c>
    </row>
    <row r="6" spans="1:6" x14ac:dyDescent="0.3">
      <c r="A6" s="1" t="s">
        <v>3</v>
      </c>
      <c r="B6" s="2">
        <f t="shared" si="0"/>
        <v>-875592</v>
      </c>
      <c r="C6" s="2">
        <v>0</v>
      </c>
      <c r="D6" s="2">
        <v>0</v>
      </c>
      <c r="E6" s="2">
        <v>875592</v>
      </c>
      <c r="F6" s="2">
        <v>700006</v>
      </c>
    </row>
    <row r="7" spans="1:6" x14ac:dyDescent="0.3">
      <c r="A7" s="1" t="s">
        <v>4</v>
      </c>
      <c r="B7" s="2">
        <f t="shared" si="0"/>
        <v>-3463983</v>
      </c>
      <c r="C7" s="2">
        <v>0</v>
      </c>
      <c r="D7" s="2">
        <v>0</v>
      </c>
      <c r="E7" s="2">
        <v>3463983</v>
      </c>
      <c r="F7" s="2">
        <v>2688760</v>
      </c>
    </row>
    <row r="8" spans="1:6" x14ac:dyDescent="0.3">
      <c r="A8" s="1" t="s">
        <v>5</v>
      </c>
      <c r="B8" s="2">
        <f t="shared" si="0"/>
        <v>-988430</v>
      </c>
      <c r="C8" s="2">
        <v>0</v>
      </c>
      <c r="D8" s="2">
        <v>0</v>
      </c>
      <c r="E8" s="2">
        <v>988430</v>
      </c>
      <c r="F8" s="2">
        <v>712332</v>
      </c>
    </row>
    <row r="9" spans="1:6" x14ac:dyDescent="0.3">
      <c r="A9" s="1" t="s">
        <v>6</v>
      </c>
      <c r="B9" s="2">
        <f t="shared" si="0"/>
        <v>-569910</v>
      </c>
      <c r="C9" s="2">
        <v>0</v>
      </c>
      <c r="D9" s="2">
        <v>0</v>
      </c>
      <c r="E9" s="2">
        <v>569910</v>
      </c>
      <c r="F9" s="2">
        <v>465025</v>
      </c>
    </row>
    <row r="10" spans="1:6" x14ac:dyDescent="0.3">
      <c r="A10" s="1" t="s">
        <v>7</v>
      </c>
      <c r="B10" s="2">
        <f t="shared" si="0"/>
        <v>-100934</v>
      </c>
      <c r="C10" s="2">
        <v>0</v>
      </c>
      <c r="D10" s="2">
        <v>0</v>
      </c>
      <c r="E10" s="2">
        <v>100934</v>
      </c>
      <c r="F10" s="2">
        <v>80014</v>
      </c>
    </row>
    <row r="11" spans="1:6" x14ac:dyDescent="0.3">
      <c r="A11" s="1" t="s">
        <v>8</v>
      </c>
      <c r="B11" s="2">
        <f t="shared" si="0"/>
        <v>-310905</v>
      </c>
      <c r="C11" s="2">
        <v>0</v>
      </c>
      <c r="D11" s="2">
        <v>0</v>
      </c>
      <c r="E11" s="2">
        <v>310905</v>
      </c>
      <c r="F11" s="2">
        <v>220009</v>
      </c>
    </row>
    <row r="12" spans="1:6" x14ac:dyDescent="0.3">
      <c r="A12" s="1" t="s">
        <v>9</v>
      </c>
      <c r="B12" s="2">
        <f t="shared" si="0"/>
        <v>-998763</v>
      </c>
      <c r="C12" s="2">
        <v>0</v>
      </c>
      <c r="D12" s="2">
        <v>0</v>
      </c>
      <c r="E12" s="2">
        <v>998763</v>
      </c>
      <c r="F12" s="2">
        <v>810023</v>
      </c>
    </row>
    <row r="13" spans="1:6" x14ac:dyDescent="0.3">
      <c r="A13" s="1" t="s">
        <v>10</v>
      </c>
      <c r="B13" s="2">
        <f t="shared" si="0"/>
        <v>-3250495</v>
      </c>
      <c r="C13" s="2">
        <v>0</v>
      </c>
      <c r="D13" s="2">
        <v>0</v>
      </c>
      <c r="E13" s="2">
        <v>3250495</v>
      </c>
      <c r="F13" s="2">
        <v>2738042</v>
      </c>
    </row>
    <row r="14" spans="1:6" x14ac:dyDescent="0.3">
      <c r="A14" s="1" t="s">
        <v>11</v>
      </c>
      <c r="B14" s="2">
        <f t="shared" si="0"/>
        <v>-4746257</v>
      </c>
      <c r="C14" s="2">
        <v>0</v>
      </c>
      <c r="D14" s="2">
        <v>0</v>
      </c>
      <c r="E14" s="2">
        <v>4746257</v>
      </c>
      <c r="F14" s="2">
        <v>4466189</v>
      </c>
    </row>
    <row r="15" spans="1:6" ht="17.25" thickBot="1" x14ac:dyDescent="0.35">
      <c r="A15" s="4" t="s">
        <v>13</v>
      </c>
      <c r="B15" s="5">
        <f>SUM(B3:B14)</f>
        <v>-15371183</v>
      </c>
      <c r="C15" s="5">
        <f t="shared" ref="C15:F15" si="1">SUM(C3:C14)</f>
        <v>0</v>
      </c>
      <c r="D15" s="5">
        <f t="shared" si="1"/>
        <v>0</v>
      </c>
      <c r="E15" s="5">
        <f t="shared" si="1"/>
        <v>15371183</v>
      </c>
      <c r="F15" s="5">
        <f t="shared" si="1"/>
        <v>12939453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-418279</v>
      </c>
      <c r="C3" s="2">
        <v>0</v>
      </c>
      <c r="D3" s="2">
        <v>0</v>
      </c>
      <c r="E3" s="2">
        <v>418279</v>
      </c>
      <c r="F3" s="2">
        <v>440129</v>
      </c>
    </row>
    <row r="4" spans="1:6" x14ac:dyDescent="0.3">
      <c r="A4" s="1" t="s">
        <v>1</v>
      </c>
      <c r="B4" s="2">
        <f t="shared" si="0"/>
        <v>-115503</v>
      </c>
      <c r="C4" s="2">
        <v>0</v>
      </c>
      <c r="D4" s="2">
        <v>0</v>
      </c>
      <c r="E4" s="2">
        <v>115503</v>
      </c>
      <c r="F4" s="2">
        <v>100245</v>
      </c>
    </row>
    <row r="5" spans="1:6" x14ac:dyDescent="0.3">
      <c r="A5" s="1" t="s">
        <v>2</v>
      </c>
      <c r="B5" s="2">
        <f t="shared" si="0"/>
        <v>-208559</v>
      </c>
      <c r="C5" s="2">
        <v>0</v>
      </c>
      <c r="D5" s="2">
        <v>0</v>
      </c>
      <c r="E5" s="2">
        <v>208559</v>
      </c>
      <c r="F5" s="2">
        <v>180201</v>
      </c>
    </row>
    <row r="6" spans="1:6" x14ac:dyDescent="0.3">
      <c r="A6" s="1" t="s">
        <v>3</v>
      </c>
      <c r="B6" s="2">
        <f t="shared" si="0"/>
        <v>-1297045</v>
      </c>
      <c r="C6" s="2">
        <v>0</v>
      </c>
      <c r="D6" s="2">
        <v>0</v>
      </c>
      <c r="E6" s="2">
        <v>1297045</v>
      </c>
      <c r="F6" s="2">
        <v>1260086</v>
      </c>
    </row>
    <row r="7" spans="1:6" x14ac:dyDescent="0.3">
      <c r="A7" s="1" t="s">
        <v>4</v>
      </c>
      <c r="B7" s="2">
        <f t="shared" si="0"/>
        <v>-1631737</v>
      </c>
      <c r="C7" s="2">
        <v>0</v>
      </c>
      <c r="D7" s="2">
        <v>0</v>
      </c>
      <c r="E7" s="2">
        <v>1631737</v>
      </c>
      <c r="F7" s="2">
        <v>1510031</v>
      </c>
    </row>
    <row r="8" spans="1:6" x14ac:dyDescent="0.3">
      <c r="A8" s="1" t="s">
        <v>5</v>
      </c>
      <c r="B8" s="2">
        <f t="shared" si="0"/>
        <v>-1096323</v>
      </c>
      <c r="C8" s="2">
        <v>0</v>
      </c>
      <c r="D8" s="2">
        <v>0</v>
      </c>
      <c r="E8" s="2">
        <v>1096323</v>
      </c>
      <c r="F8" s="2">
        <v>1119019</v>
      </c>
    </row>
    <row r="9" spans="1:6" x14ac:dyDescent="0.3">
      <c r="A9" s="1" t="s">
        <v>6</v>
      </c>
      <c r="B9" s="2">
        <f t="shared" si="0"/>
        <v>-809573</v>
      </c>
      <c r="C9" s="2">
        <v>0</v>
      </c>
      <c r="D9" s="2">
        <v>0</v>
      </c>
      <c r="E9" s="2">
        <v>809573</v>
      </c>
      <c r="F9" s="2">
        <v>840697</v>
      </c>
    </row>
    <row r="10" spans="1:6" x14ac:dyDescent="0.3">
      <c r="A10" s="1" t="s">
        <v>7</v>
      </c>
      <c r="B10" s="2">
        <f t="shared" si="0"/>
        <v>-573125</v>
      </c>
      <c r="C10" s="2">
        <v>0</v>
      </c>
      <c r="D10" s="2">
        <v>0</v>
      </c>
      <c r="E10" s="2">
        <v>573125</v>
      </c>
      <c r="F10" s="2">
        <v>589990</v>
      </c>
    </row>
    <row r="11" spans="1:6" x14ac:dyDescent="0.3">
      <c r="A11" s="1" t="s">
        <v>8</v>
      </c>
      <c r="B11" s="2">
        <f t="shared" si="0"/>
        <v>-450779</v>
      </c>
      <c r="C11" s="2">
        <v>0</v>
      </c>
      <c r="D11" s="2">
        <v>0</v>
      </c>
      <c r="E11" s="2">
        <v>450779</v>
      </c>
      <c r="F11" s="2">
        <v>480050</v>
      </c>
    </row>
    <row r="12" spans="1:6" x14ac:dyDescent="0.3">
      <c r="A12" s="1" t="s">
        <v>9</v>
      </c>
      <c r="B12" s="2">
        <f t="shared" si="0"/>
        <v>-539839</v>
      </c>
      <c r="C12" s="2">
        <v>0</v>
      </c>
      <c r="D12" s="2">
        <v>0</v>
      </c>
      <c r="E12" s="2">
        <v>539839</v>
      </c>
      <c r="F12" s="2">
        <v>540067</v>
      </c>
    </row>
    <row r="13" spans="1:6" x14ac:dyDescent="0.3">
      <c r="A13" s="1" t="s">
        <v>10</v>
      </c>
      <c r="B13" s="2">
        <f t="shared" si="0"/>
        <v>-2035218</v>
      </c>
      <c r="C13" s="2">
        <v>0</v>
      </c>
      <c r="D13" s="2">
        <v>0</v>
      </c>
      <c r="E13" s="2">
        <v>2035218</v>
      </c>
      <c r="F13" s="2">
        <v>2040635</v>
      </c>
    </row>
    <row r="14" spans="1:6" x14ac:dyDescent="0.3">
      <c r="A14" s="1" t="s">
        <v>11</v>
      </c>
      <c r="B14" s="2">
        <f t="shared" si="0"/>
        <v>-1868905</v>
      </c>
      <c r="C14" s="2">
        <v>0</v>
      </c>
      <c r="D14" s="2">
        <v>0</v>
      </c>
      <c r="E14" s="2">
        <v>1868905</v>
      </c>
      <c r="F14" s="2">
        <v>1807053</v>
      </c>
    </row>
    <row r="15" spans="1:6" ht="17.25" thickBot="1" x14ac:dyDescent="0.35">
      <c r="A15" s="4" t="s">
        <v>13</v>
      </c>
      <c r="B15" s="5">
        <f>SUM(B3:B14)</f>
        <v>-11044885</v>
      </c>
      <c r="C15" s="5">
        <f t="shared" ref="C15:F15" si="1">SUM(C3:C14)</f>
        <v>0</v>
      </c>
      <c r="D15" s="5">
        <f t="shared" si="1"/>
        <v>0</v>
      </c>
      <c r="E15" s="5">
        <f t="shared" si="1"/>
        <v>11044885</v>
      </c>
      <c r="F15" s="5">
        <f t="shared" si="1"/>
        <v>10908203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-755197</v>
      </c>
      <c r="C3" s="2">
        <v>0</v>
      </c>
      <c r="D3" s="2">
        <v>0</v>
      </c>
      <c r="E3" s="2">
        <v>755197</v>
      </c>
      <c r="F3" s="2">
        <v>881865</v>
      </c>
    </row>
    <row r="4" spans="1:6" x14ac:dyDescent="0.3">
      <c r="A4" s="1" t="s">
        <v>1</v>
      </c>
      <c r="B4" s="2">
        <f t="shared" si="0"/>
        <v>-151142</v>
      </c>
      <c r="C4" s="2">
        <v>0</v>
      </c>
      <c r="D4" s="2">
        <v>0</v>
      </c>
      <c r="E4" s="2">
        <v>151142</v>
      </c>
      <c r="F4" s="2">
        <v>170061</v>
      </c>
    </row>
    <row r="5" spans="1:6" x14ac:dyDescent="0.3">
      <c r="A5" s="1" t="s">
        <v>2</v>
      </c>
      <c r="B5" s="2">
        <f t="shared" si="0"/>
        <v>-534022</v>
      </c>
      <c r="C5" s="2">
        <v>0</v>
      </c>
      <c r="D5" s="2">
        <v>0</v>
      </c>
      <c r="E5" s="2">
        <v>534022</v>
      </c>
      <c r="F5" s="2">
        <v>580123</v>
      </c>
    </row>
    <row r="6" spans="1:6" x14ac:dyDescent="0.3">
      <c r="A6" s="1" t="s">
        <v>3</v>
      </c>
      <c r="B6" s="2">
        <f t="shared" si="0"/>
        <v>-1374443</v>
      </c>
      <c r="C6" s="2">
        <v>0</v>
      </c>
      <c r="D6" s="2">
        <v>0</v>
      </c>
      <c r="E6" s="2">
        <v>1374443</v>
      </c>
      <c r="F6" s="2">
        <v>1520062</v>
      </c>
    </row>
    <row r="7" spans="1:6" x14ac:dyDescent="0.3">
      <c r="A7" s="1" t="s">
        <v>4</v>
      </c>
      <c r="B7" s="2">
        <f t="shared" si="0"/>
        <v>-941715</v>
      </c>
      <c r="C7" s="2">
        <v>0</v>
      </c>
      <c r="D7" s="2">
        <v>0</v>
      </c>
      <c r="E7" s="2">
        <v>941715</v>
      </c>
      <c r="F7" s="2">
        <v>1010080</v>
      </c>
    </row>
    <row r="8" spans="1:6" x14ac:dyDescent="0.3">
      <c r="A8" s="1" t="s">
        <v>5</v>
      </c>
      <c r="B8" s="2">
        <f t="shared" si="0"/>
        <v>-1471056</v>
      </c>
      <c r="C8" s="2">
        <v>0</v>
      </c>
      <c r="D8" s="2">
        <v>0</v>
      </c>
      <c r="E8" s="2">
        <v>1471056</v>
      </c>
      <c r="F8" s="2">
        <v>1680433</v>
      </c>
    </row>
    <row r="9" spans="1:6" x14ac:dyDescent="0.3">
      <c r="A9" s="1" t="s">
        <v>6</v>
      </c>
      <c r="B9" s="2">
        <f t="shared" si="0"/>
        <v>-497780</v>
      </c>
      <c r="C9" s="2">
        <v>0</v>
      </c>
      <c r="D9" s="2">
        <v>0</v>
      </c>
      <c r="E9" s="2">
        <v>497780</v>
      </c>
      <c r="F9" s="2">
        <v>520302</v>
      </c>
    </row>
    <row r="10" spans="1:6" x14ac:dyDescent="0.3">
      <c r="A10" s="1" t="s">
        <v>7</v>
      </c>
      <c r="B10" s="2">
        <f t="shared" si="0"/>
        <v>-842226</v>
      </c>
      <c r="C10" s="2">
        <v>0</v>
      </c>
      <c r="D10" s="2">
        <v>0</v>
      </c>
      <c r="E10" s="2">
        <v>842226</v>
      </c>
      <c r="F10" s="2">
        <v>820386</v>
      </c>
    </row>
    <row r="11" spans="1:6" x14ac:dyDescent="0.3">
      <c r="A11" s="1" t="s">
        <v>8</v>
      </c>
      <c r="B11" s="2">
        <f t="shared" si="0"/>
        <v>-611186</v>
      </c>
      <c r="C11" s="2">
        <v>0</v>
      </c>
      <c r="D11" s="2">
        <v>0</v>
      </c>
      <c r="E11" s="2">
        <v>611186</v>
      </c>
      <c r="F11" s="2">
        <v>583763</v>
      </c>
    </row>
    <row r="12" spans="1:6" x14ac:dyDescent="0.3">
      <c r="A12" s="1" t="s">
        <v>9</v>
      </c>
      <c r="B12" s="2">
        <f t="shared" si="0"/>
        <v>-253677</v>
      </c>
      <c r="C12" s="2">
        <v>0</v>
      </c>
      <c r="D12" s="2">
        <v>0</v>
      </c>
      <c r="E12" s="2">
        <v>253677</v>
      </c>
      <c r="F12" s="2">
        <v>299421</v>
      </c>
    </row>
    <row r="13" spans="1:6" x14ac:dyDescent="0.3">
      <c r="A13" s="1" t="s">
        <v>10</v>
      </c>
      <c r="B13" s="2">
        <f t="shared" si="0"/>
        <v>-2336905</v>
      </c>
      <c r="C13" s="2">
        <v>0</v>
      </c>
      <c r="D13" s="2">
        <v>0</v>
      </c>
      <c r="E13" s="2">
        <v>2336905</v>
      </c>
      <c r="F13" s="2">
        <v>2464955</v>
      </c>
    </row>
    <row r="14" spans="1:6" x14ac:dyDescent="0.3">
      <c r="A14" s="1" t="s">
        <v>11</v>
      </c>
      <c r="B14" s="2">
        <f t="shared" si="0"/>
        <v>-2258992</v>
      </c>
      <c r="C14" s="2">
        <v>0</v>
      </c>
      <c r="D14" s="2">
        <v>0</v>
      </c>
      <c r="E14" s="2">
        <v>2258992</v>
      </c>
      <c r="F14" s="2">
        <v>2342966</v>
      </c>
    </row>
    <row r="15" spans="1:6" ht="17.25" thickBot="1" x14ac:dyDescent="0.35">
      <c r="A15" s="4" t="s">
        <v>13</v>
      </c>
      <c r="B15" s="5">
        <f>SUM(B3:B14)</f>
        <v>-12028341</v>
      </c>
      <c r="C15" s="5">
        <f t="shared" ref="C15:F15" si="1">SUM(C3:C14)</f>
        <v>0</v>
      </c>
      <c r="D15" s="5">
        <f t="shared" si="1"/>
        <v>0</v>
      </c>
      <c r="E15" s="5">
        <f t="shared" si="1"/>
        <v>12028341</v>
      </c>
      <c r="F15" s="5">
        <f t="shared" si="1"/>
        <v>12874417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-16499166</v>
      </c>
      <c r="C3" s="2">
        <v>0</v>
      </c>
      <c r="D3" s="2">
        <v>0</v>
      </c>
      <c r="E3" s="2">
        <v>16499166</v>
      </c>
      <c r="F3" s="2">
        <v>26040506</v>
      </c>
    </row>
    <row r="4" spans="1:6" x14ac:dyDescent="0.3">
      <c r="A4" s="1" t="s">
        <v>1</v>
      </c>
      <c r="B4" s="2">
        <f t="shared" si="0"/>
        <v>-17944007</v>
      </c>
      <c r="C4" s="2">
        <v>0</v>
      </c>
      <c r="D4" s="2">
        <v>0</v>
      </c>
      <c r="E4" s="2">
        <v>17944007</v>
      </c>
      <c r="F4" s="2">
        <v>26250040</v>
      </c>
    </row>
    <row r="5" spans="1:6" x14ac:dyDescent="0.3">
      <c r="A5" s="1" t="s">
        <v>2</v>
      </c>
      <c r="B5" s="2">
        <f t="shared" si="0"/>
        <v>-1725</v>
      </c>
      <c r="C5" s="2">
        <v>0</v>
      </c>
      <c r="D5" s="2">
        <v>0</v>
      </c>
      <c r="E5" s="2">
        <v>1725</v>
      </c>
      <c r="F5" s="2">
        <v>768</v>
      </c>
    </row>
    <row r="6" spans="1:6" x14ac:dyDescent="0.3">
      <c r="A6" s="1" t="s">
        <v>3</v>
      </c>
      <c r="B6" s="2">
        <f t="shared" si="0"/>
        <v>-1054127</v>
      </c>
      <c r="C6" s="2">
        <v>0</v>
      </c>
      <c r="D6" s="2">
        <v>0</v>
      </c>
      <c r="E6" s="2">
        <v>1054127</v>
      </c>
      <c r="F6" s="2">
        <v>1080122</v>
      </c>
    </row>
    <row r="7" spans="1:6" x14ac:dyDescent="0.3">
      <c r="A7" s="1" t="s">
        <v>4</v>
      </c>
      <c r="B7" s="2">
        <f t="shared" si="0"/>
        <v>-2102739</v>
      </c>
      <c r="C7" s="2">
        <v>0</v>
      </c>
      <c r="D7" s="2">
        <v>0</v>
      </c>
      <c r="E7" s="2">
        <v>2102739</v>
      </c>
      <c r="F7" s="2">
        <v>2180234</v>
      </c>
    </row>
    <row r="8" spans="1:6" x14ac:dyDescent="0.3">
      <c r="A8" s="1" t="s">
        <v>5</v>
      </c>
      <c r="B8" s="2">
        <f t="shared" si="0"/>
        <v>-1897604</v>
      </c>
      <c r="C8" s="2">
        <v>0</v>
      </c>
      <c r="D8" s="2">
        <v>0</v>
      </c>
      <c r="E8" s="2">
        <v>1897604</v>
      </c>
      <c r="F8" s="2">
        <v>1952650</v>
      </c>
    </row>
    <row r="9" spans="1:6" x14ac:dyDescent="0.3">
      <c r="A9" s="1" t="s">
        <v>6</v>
      </c>
      <c r="B9" s="2">
        <f t="shared" si="0"/>
        <v>-560381</v>
      </c>
      <c r="C9" s="2">
        <v>0</v>
      </c>
      <c r="D9" s="2">
        <v>0</v>
      </c>
      <c r="E9" s="2">
        <v>560381</v>
      </c>
      <c r="F9" s="2">
        <v>530144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-40059749</v>
      </c>
      <c r="C15" s="5">
        <f t="shared" ref="C15:F15" si="1">SUM(C3:C14)</f>
        <v>0</v>
      </c>
      <c r="D15" s="5">
        <f t="shared" si="1"/>
        <v>0</v>
      </c>
      <c r="E15" s="5">
        <f t="shared" si="1"/>
        <v>40059749</v>
      </c>
      <c r="F15" s="5">
        <f t="shared" si="1"/>
        <v>58034464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2026-08-24T10:34:51Z</dcterms:modified>
</cp:coreProperties>
</file>