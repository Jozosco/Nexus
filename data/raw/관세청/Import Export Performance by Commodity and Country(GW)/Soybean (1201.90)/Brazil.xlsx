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관세청\15개년_품목별 국가별 수출입실적\대두\1201.90\채유 및 탈지대두박용(.1000)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B15" i="11" s="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s="1"/>
  <c r="B15" i="16" l="1"/>
  <c r="B15" i="15"/>
  <c r="B15" i="14"/>
  <c r="B15" i="13"/>
  <c r="B15" i="12"/>
  <c r="B15" i="17"/>
  <c r="B13" i="5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F15" i="6"/>
  <c r="E15" i="6"/>
  <c r="D15" i="6"/>
  <c r="C15" i="6"/>
  <c r="B14" i="6"/>
  <c r="B13" i="6"/>
  <c r="B12" i="6"/>
  <c r="B11" i="6"/>
  <c r="B10" i="6"/>
  <c r="B9" i="6"/>
  <c r="B8" i="6"/>
  <c r="B7" i="6"/>
  <c r="B6" i="6"/>
  <c r="B5" i="6"/>
  <c r="B4" i="6"/>
  <c r="B3" i="6"/>
  <c r="F15" i="5"/>
  <c r="E15" i="5"/>
  <c r="D15" i="5"/>
  <c r="C15" i="5"/>
  <c r="B14" i="5"/>
  <c r="B12" i="5"/>
  <c r="B11" i="5"/>
  <c r="B10" i="5"/>
  <c r="B9" i="5"/>
  <c r="B8" i="5"/>
  <c r="B7" i="5"/>
  <c r="B6" i="5"/>
  <c r="B5" i="5"/>
  <c r="B4" i="5"/>
  <c r="B3" i="5"/>
  <c r="F15" i="4"/>
  <c r="E15" i="4"/>
  <c r="D15" i="4"/>
  <c r="C15" i="4"/>
  <c r="B14" i="4"/>
  <c r="B13" i="4"/>
  <c r="B12" i="4"/>
  <c r="B11" i="4"/>
  <c r="B10" i="4"/>
  <c r="B9" i="4"/>
  <c r="B8" i="4"/>
  <c r="B7" i="4"/>
  <c r="B6" i="4"/>
  <c r="B5" i="4"/>
  <c r="B4" i="4"/>
  <c r="B3" i="4"/>
  <c r="F15" i="3"/>
  <c r="E15" i="3"/>
  <c r="D15" i="3"/>
  <c r="C15" i="3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B14" i="1"/>
  <c r="B13" i="1"/>
  <c r="B12" i="1"/>
  <c r="B11" i="1"/>
  <c r="B10" i="1"/>
  <c r="B9" i="1"/>
  <c r="B8" i="1"/>
  <c r="B7" i="1"/>
  <c r="B6" i="1"/>
  <c r="B5" i="1"/>
  <c r="B4" i="1"/>
  <c r="B3" i="1"/>
  <c r="F15" i="2"/>
  <c r="E15" i="2"/>
  <c r="D15" i="2"/>
  <c r="C15" i="2"/>
  <c r="F15" i="1"/>
  <c r="E15" i="1"/>
  <c r="D15" i="1"/>
  <c r="C15" i="1"/>
  <c r="B15" i="9" l="1"/>
  <c r="B15" i="8"/>
  <c r="B15" i="7"/>
  <c r="B15" i="6"/>
  <c r="B15" i="5"/>
  <c r="B15" i="4"/>
  <c r="B15" i="3"/>
  <c r="B15" i="2"/>
  <c r="B15" i="1"/>
</calcChain>
</file>

<file path=xl/sharedStrings.xml><?xml version="1.0" encoding="utf-8"?>
<sst xmlns="http://schemas.openxmlformats.org/spreadsheetml/2006/main" count="306" uniqueCount="36">
  <si>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</si>
  <si>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</si>
  <si>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</si>
  <si>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</si>
  <si>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</si>
  <si>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</si>
  <si>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</si>
  <si>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</si>
  <si>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</si>
  <si>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</si>
  <si>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</si>
  <si>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</si>
  <si>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</si>
  <si>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</si>
  <si>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</si>
  <si>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</si>
  <si>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</si>
  <si>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</si>
  <si>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</si>
  <si>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</si>
  <si>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</si>
  <si>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</si>
  <si>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</si>
  <si>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</si>
  <si>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</si>
  <si>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</si>
  <si>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</si>
  <si>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</si>
  <si>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</si>
  <si>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</si>
  <si>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</si>
  <si>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</si>
  <si>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</si>
  <si>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</si>
  <si>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총계</t>
    <phoneticPr fontId="1" type="noConversion"/>
  </si>
  <si>
    <t>3월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</si>
</sst>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</row>
    <row r="3" spans="1:6" x14ac:dyDescent="0.3">
      <c r="A3" s="2" t="s">
        <v>32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33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0</v>
      </c>
      <c r="C9" s="3"/>
      <c r="D9" s="3"/>
      <c r="E9" s="3"/>
      <c r="F9" s="3"/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34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>C3-E3</f>
        <v>-7349645</v>
      </c>
      <c r="C3" s="3">
        <v>0</v>
      </c>
      <c r="D3" s="3">
        <v>0</v>
      </c>
      <c r="E3" s="3">
        <v>7349645</v>
      </c>
      <c r="F3" s="3">
        <v>13840829</v>
      </c>
    </row>
    <row r="4" spans="1:6" x14ac:dyDescent="0.3">
      <c r="A4" s="2" t="s">
        <v>24</v>
      </c>
      <c r="B4" s="3">
        <f t="shared" ref="B4:B14" si="0">C4-E4</f>
        <v>-22803355</v>
      </c>
      <c r="C4" s="3">
        <v>0</v>
      </c>
      <c r="D4" s="3">
        <v>0</v>
      </c>
      <c r="E4" s="3">
        <v>22803355</v>
      </c>
      <c r="F4" s="3">
        <v>46311886</v>
      </c>
    </row>
    <row r="5" spans="1:6" x14ac:dyDescent="0.3">
      <c r="A5" s="2" t="s">
        <v>25</v>
      </c>
      <c r="B5" s="3">
        <f t="shared" si="0"/>
        <v>-6870606</v>
      </c>
      <c r="C5" s="3">
        <v>0</v>
      </c>
      <c r="D5" s="3">
        <v>0</v>
      </c>
      <c r="E5" s="3">
        <v>6870606</v>
      </c>
      <c r="F5" s="3">
        <v>13072003</v>
      </c>
    </row>
    <row r="6" spans="1:6" x14ac:dyDescent="0.3">
      <c r="A6" s="2" t="s">
        <v>8</v>
      </c>
      <c r="B6" s="3">
        <f t="shared" si="0"/>
        <v>-2628034</v>
      </c>
      <c r="C6" s="3">
        <v>0</v>
      </c>
      <c r="D6" s="3">
        <v>0</v>
      </c>
      <c r="E6" s="3">
        <v>2628034</v>
      </c>
      <c r="F6" s="3">
        <v>5000005</v>
      </c>
    </row>
    <row r="7" spans="1:6" x14ac:dyDescent="0.3">
      <c r="A7" s="2" t="s">
        <v>9</v>
      </c>
      <c r="B7" s="3">
        <f t="shared" si="0"/>
        <v>-15055695</v>
      </c>
      <c r="C7" s="3">
        <v>0</v>
      </c>
      <c r="D7" s="3">
        <v>0</v>
      </c>
      <c r="E7" s="3">
        <v>15055695</v>
      </c>
      <c r="F7" s="3">
        <v>26488573</v>
      </c>
    </row>
    <row r="8" spans="1:6" x14ac:dyDescent="0.3">
      <c r="A8" s="2" t="s">
        <v>10</v>
      </c>
      <c r="B8" s="3">
        <f t="shared" si="0"/>
        <v>-26456676</v>
      </c>
      <c r="C8" s="3">
        <v>0</v>
      </c>
      <c r="D8" s="3">
        <v>0</v>
      </c>
      <c r="E8" s="3">
        <v>26456676</v>
      </c>
      <c r="F8" s="3">
        <v>44986800</v>
      </c>
    </row>
    <row r="9" spans="1:6" x14ac:dyDescent="0.3">
      <c r="A9" s="2" t="s">
        <v>11</v>
      </c>
      <c r="B9" s="3">
        <f t="shared" si="0"/>
        <v>-46273701</v>
      </c>
      <c r="C9" s="3">
        <v>0</v>
      </c>
      <c r="D9" s="3">
        <v>0</v>
      </c>
      <c r="E9" s="3">
        <v>46273701</v>
      </c>
      <c r="F9" s="3">
        <v>75864748</v>
      </c>
    </row>
    <row r="10" spans="1:6" x14ac:dyDescent="0.3">
      <c r="A10" s="2" t="s">
        <v>12</v>
      </c>
      <c r="B10" s="3">
        <f t="shared" si="0"/>
        <v>-40165395</v>
      </c>
      <c r="C10" s="3">
        <v>0</v>
      </c>
      <c r="D10" s="3">
        <v>0</v>
      </c>
      <c r="E10" s="3">
        <v>40165395</v>
      </c>
      <c r="F10" s="3">
        <v>65019203</v>
      </c>
    </row>
    <row r="11" spans="1:6" x14ac:dyDescent="0.3">
      <c r="A11" s="2" t="s">
        <v>13</v>
      </c>
      <c r="B11" s="3">
        <f t="shared" si="0"/>
        <v>-12772658</v>
      </c>
      <c r="C11" s="3">
        <v>0</v>
      </c>
      <c r="D11" s="3">
        <v>0</v>
      </c>
      <c r="E11" s="3">
        <v>12772658</v>
      </c>
      <c r="F11" s="3">
        <v>20940613</v>
      </c>
    </row>
    <row r="12" spans="1:6" x14ac:dyDescent="0.3">
      <c r="A12" s="2" t="s">
        <v>14</v>
      </c>
      <c r="B12" s="3">
        <f t="shared" si="0"/>
        <v>-23515065</v>
      </c>
      <c r="C12" s="3">
        <v>0</v>
      </c>
      <c r="D12" s="3">
        <v>0</v>
      </c>
      <c r="E12" s="3">
        <v>23515065</v>
      </c>
      <c r="F12" s="3">
        <v>38804382</v>
      </c>
    </row>
    <row r="13" spans="1:6" x14ac:dyDescent="0.3">
      <c r="A13" s="2" t="s">
        <v>15</v>
      </c>
      <c r="B13" s="3">
        <f t="shared" si="0"/>
        <v>-1868852</v>
      </c>
      <c r="C13" s="3">
        <v>0</v>
      </c>
      <c r="D13" s="3">
        <v>0</v>
      </c>
      <c r="E13" s="3">
        <v>1868852</v>
      </c>
      <c r="F13" s="3">
        <v>3136084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-205759682</v>
      </c>
      <c r="C15" s="5">
        <f t="shared" ref="C15:F15" si="1">SUM(C3:C14)</f>
        <v>0</v>
      </c>
      <c r="D15" s="5">
        <f t="shared" si="1"/>
        <v>0</v>
      </c>
      <c r="E15" s="5">
        <f t="shared" si="1"/>
        <v>205759682</v>
      </c>
      <c r="F15" s="5">
        <f t="shared" si="1"/>
        <v>353465126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0</v>
      </c>
      <c r="C5" s="3"/>
      <c r="D5" s="3"/>
      <c r="E5" s="3"/>
      <c r="F5" s="3"/>
    </row>
    <row r="6" spans="1:6" x14ac:dyDescent="0.3">
      <c r="A6" s="2" t="s">
        <v>8</v>
      </c>
      <c r="B6" s="3">
        <f t="shared" si="0"/>
        <v>-30015017</v>
      </c>
      <c r="C6" s="3">
        <v>0</v>
      </c>
      <c r="D6" s="3">
        <v>0</v>
      </c>
      <c r="E6" s="3">
        <v>30015017</v>
      </c>
      <c r="F6" s="3">
        <v>51240151</v>
      </c>
    </row>
    <row r="7" spans="1:6" x14ac:dyDescent="0.3">
      <c r="A7" s="2" t="s">
        <v>9</v>
      </c>
      <c r="B7" s="3">
        <f t="shared" si="0"/>
        <v>-38846177</v>
      </c>
      <c r="C7" s="3">
        <v>0</v>
      </c>
      <c r="D7" s="3">
        <v>0</v>
      </c>
      <c r="E7" s="3">
        <v>38846177</v>
      </c>
      <c r="F7" s="3">
        <v>64714231</v>
      </c>
    </row>
    <row r="8" spans="1:6" x14ac:dyDescent="0.3">
      <c r="A8" s="2" t="s">
        <v>10</v>
      </c>
      <c r="B8" s="3">
        <f t="shared" si="0"/>
        <v>-34132731</v>
      </c>
      <c r="C8" s="3">
        <v>0</v>
      </c>
      <c r="D8" s="3">
        <v>0</v>
      </c>
      <c r="E8" s="3">
        <v>34132731</v>
      </c>
      <c r="F8" s="3">
        <v>59351407</v>
      </c>
    </row>
    <row r="9" spans="1:6" x14ac:dyDescent="0.3">
      <c r="A9" s="2" t="s">
        <v>11</v>
      </c>
      <c r="B9" s="3">
        <f t="shared" si="0"/>
        <v>-39517517</v>
      </c>
      <c r="C9" s="3">
        <v>0</v>
      </c>
      <c r="D9" s="3">
        <v>0</v>
      </c>
      <c r="E9" s="3">
        <v>39517517</v>
      </c>
      <c r="F9" s="3">
        <v>66421000</v>
      </c>
    </row>
    <row r="10" spans="1:6" x14ac:dyDescent="0.3">
      <c r="A10" s="2" t="s">
        <v>12</v>
      </c>
      <c r="B10" s="3">
        <f t="shared" si="0"/>
        <v>-9165620</v>
      </c>
      <c r="C10" s="3">
        <v>0</v>
      </c>
      <c r="D10" s="3">
        <v>0</v>
      </c>
      <c r="E10" s="3">
        <v>9165620</v>
      </c>
      <c r="F10" s="3">
        <v>15577562</v>
      </c>
    </row>
    <row r="11" spans="1:6" x14ac:dyDescent="0.3">
      <c r="A11" s="2" t="s">
        <v>13</v>
      </c>
      <c r="B11" s="3">
        <f t="shared" si="0"/>
        <v>-50415654</v>
      </c>
      <c r="C11" s="3">
        <v>0</v>
      </c>
      <c r="D11" s="3">
        <v>0</v>
      </c>
      <c r="E11" s="3">
        <v>50415654</v>
      </c>
      <c r="F11" s="3">
        <v>85018002</v>
      </c>
    </row>
    <row r="12" spans="1:6" x14ac:dyDescent="0.3">
      <c r="A12" s="2" t="s">
        <v>14</v>
      </c>
      <c r="B12" s="3">
        <f t="shared" si="0"/>
        <v>-19925804</v>
      </c>
      <c r="C12" s="3">
        <v>0</v>
      </c>
      <c r="D12" s="3">
        <v>0</v>
      </c>
      <c r="E12" s="3">
        <v>19925804</v>
      </c>
      <c r="F12" s="3">
        <v>34862722</v>
      </c>
    </row>
    <row r="13" spans="1:6" x14ac:dyDescent="0.3">
      <c r="A13" s="2" t="s">
        <v>15</v>
      </c>
      <c r="B13" s="3">
        <f t="shared" si="0"/>
        <v>-11553679</v>
      </c>
      <c r="C13" s="3">
        <v>0</v>
      </c>
      <c r="D13" s="3">
        <v>0</v>
      </c>
      <c r="E13" s="3">
        <v>11553679</v>
      </c>
      <c r="F13" s="3">
        <v>19639000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26</v>
      </c>
      <c r="B15" s="5">
        <f>SUM(B3:B14)</f>
        <v>-233572199</v>
      </c>
      <c r="C15" s="5">
        <f t="shared" ref="C15:F15" si="1">SUM(C3:C14)</f>
        <v>0</v>
      </c>
      <c r="D15" s="5">
        <f t="shared" si="1"/>
        <v>0</v>
      </c>
      <c r="E15" s="5">
        <f t="shared" si="1"/>
        <v>233572199</v>
      </c>
      <c r="F15" s="5">
        <f t="shared" si="1"/>
        <v>396824075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31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35</v>
      </c>
      <c r="B5" s="3">
        <f t="shared" si="0"/>
        <v>-15949915</v>
      </c>
      <c r="C5" s="3">
        <v>0</v>
      </c>
      <c r="D5" s="3">
        <v>0</v>
      </c>
      <c r="E5" s="3">
        <v>15949915</v>
      </c>
      <c r="F5" s="3">
        <v>27765552</v>
      </c>
    </row>
    <row r="6" spans="1:6" x14ac:dyDescent="0.3">
      <c r="A6" s="2" t="s">
        <v>8</v>
      </c>
      <c r="B6" s="3">
        <f t="shared" si="0"/>
        <v>-18317438</v>
      </c>
      <c r="C6" s="3">
        <v>0</v>
      </c>
      <c r="D6" s="3">
        <v>0</v>
      </c>
      <c r="E6" s="3">
        <v>18317438</v>
      </c>
      <c r="F6" s="3">
        <v>31786451</v>
      </c>
    </row>
    <row r="7" spans="1:6" x14ac:dyDescent="0.3">
      <c r="A7" s="2" t="s">
        <v>9</v>
      </c>
      <c r="B7" s="3">
        <f t="shared" si="0"/>
        <v>-35209841</v>
      </c>
      <c r="C7" s="3">
        <v>0</v>
      </c>
      <c r="D7" s="3">
        <v>0</v>
      </c>
      <c r="E7" s="3">
        <v>35209841</v>
      </c>
      <c r="F7" s="3">
        <v>59696367</v>
      </c>
    </row>
    <row r="8" spans="1:6" x14ac:dyDescent="0.3">
      <c r="A8" s="2" t="s">
        <v>10</v>
      </c>
      <c r="B8" s="3">
        <f t="shared" si="0"/>
        <v>-63308351</v>
      </c>
      <c r="C8" s="3">
        <v>0</v>
      </c>
      <c r="D8" s="3">
        <v>0</v>
      </c>
      <c r="E8" s="3">
        <v>63308351</v>
      </c>
      <c r="F8" s="3">
        <v>104281740</v>
      </c>
    </row>
    <row r="9" spans="1:6" x14ac:dyDescent="0.3">
      <c r="A9" s="2" t="s">
        <v>11</v>
      </c>
      <c r="B9" s="3">
        <f t="shared" si="0"/>
        <v>-36736922</v>
      </c>
      <c r="C9" s="3">
        <v>0</v>
      </c>
      <c r="D9" s="3">
        <v>0</v>
      </c>
      <c r="E9" s="3">
        <v>36736922</v>
      </c>
      <c r="F9" s="3">
        <v>60825001</v>
      </c>
    </row>
    <row r="10" spans="1:6" x14ac:dyDescent="0.3">
      <c r="A10" s="2" t="s">
        <v>12</v>
      </c>
      <c r="B10" s="3">
        <f t="shared" si="0"/>
        <v>-44244872</v>
      </c>
      <c r="C10" s="3">
        <v>0</v>
      </c>
      <c r="D10" s="3">
        <v>0</v>
      </c>
      <c r="E10" s="3">
        <v>44244872</v>
      </c>
      <c r="F10" s="3">
        <v>73559886</v>
      </c>
    </row>
    <row r="11" spans="1:6" x14ac:dyDescent="0.3">
      <c r="A11" s="2" t="s">
        <v>13</v>
      </c>
      <c r="B11" s="3">
        <f t="shared" si="0"/>
        <v>-25235798</v>
      </c>
      <c r="C11" s="3">
        <v>0</v>
      </c>
      <c r="D11" s="3">
        <v>0</v>
      </c>
      <c r="E11" s="3">
        <v>25235798</v>
      </c>
      <c r="F11" s="3">
        <v>43503502</v>
      </c>
    </row>
    <row r="12" spans="1:6" x14ac:dyDescent="0.3">
      <c r="A12" s="2" t="s">
        <v>14</v>
      </c>
      <c r="B12" s="3">
        <f t="shared" si="0"/>
        <v>-28225302</v>
      </c>
      <c r="C12" s="3">
        <v>0</v>
      </c>
      <c r="D12" s="3">
        <v>0</v>
      </c>
      <c r="E12" s="3">
        <v>28225302</v>
      </c>
      <c r="F12" s="3">
        <v>49854575</v>
      </c>
    </row>
    <row r="13" spans="1:6" x14ac:dyDescent="0.3">
      <c r="A13" s="2" t="s">
        <v>15</v>
      </c>
      <c r="B13" s="3">
        <f t="shared" si="0"/>
        <v>-7162259</v>
      </c>
      <c r="C13" s="3">
        <v>0</v>
      </c>
      <c r="D13" s="3">
        <v>0</v>
      </c>
      <c r="E13" s="3">
        <v>7162259</v>
      </c>
      <c r="F13" s="3">
        <v>12951500</v>
      </c>
    </row>
    <row r="14" spans="1:6" x14ac:dyDescent="0.3">
      <c r="A14" s="2" t="s">
        <v>16</v>
      </c>
      <c r="B14" s="3">
        <f t="shared" si="0"/>
        <v>-157338</v>
      </c>
      <c r="C14" s="3">
        <v>0</v>
      </c>
      <c r="D14" s="3">
        <v>0</v>
      </c>
      <c r="E14" s="3">
        <v>157338</v>
      </c>
      <c r="F14" s="3">
        <v>286009</v>
      </c>
    </row>
    <row r="15" spans="1:6" ht="17.25" thickBot="1" x14ac:dyDescent="0.35">
      <c r="A15" s="4" t="s">
        <v>26</v>
      </c>
      <c r="B15" s="5">
        <f>SUM(B3:B14)</f>
        <v>-274548036</v>
      </c>
      <c r="C15" s="5">
        <f t="shared" ref="C15:F15" si="1">SUM(C3:C14)</f>
        <v>0</v>
      </c>
      <c r="D15" s="5">
        <f t="shared" si="1"/>
        <v>0</v>
      </c>
      <c r="E15" s="5">
        <f t="shared" si="1"/>
        <v>274548036</v>
      </c>
      <c r="F15" s="5">
        <f t="shared" si="1"/>
        <v>464510583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0</v>
      </c>
      <c r="C3" s="3"/>
      <c r="D3" s="3"/>
      <c r="E3" s="3"/>
      <c r="F3" s="3"/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-8348444</v>
      </c>
      <c r="C5" s="3">
        <v>0</v>
      </c>
      <c r="D5" s="3">
        <v>0</v>
      </c>
      <c r="E5" s="3">
        <v>8348444</v>
      </c>
      <c r="F5" s="3">
        <v>18000000</v>
      </c>
    </row>
    <row r="6" spans="1:6" x14ac:dyDescent="0.3">
      <c r="A6" s="2" t="s">
        <v>8</v>
      </c>
      <c r="B6" s="3">
        <f t="shared" si="0"/>
        <v>-20025035</v>
      </c>
      <c r="C6" s="3">
        <v>0</v>
      </c>
      <c r="D6" s="3">
        <v>0</v>
      </c>
      <c r="E6" s="3">
        <v>20025035</v>
      </c>
      <c r="F6" s="3">
        <v>42900136</v>
      </c>
    </row>
    <row r="7" spans="1:6" x14ac:dyDescent="0.3">
      <c r="A7" s="2" t="s">
        <v>9</v>
      </c>
      <c r="B7" s="3">
        <f t="shared" si="0"/>
        <v>-52747148</v>
      </c>
      <c r="C7" s="3">
        <v>0</v>
      </c>
      <c r="D7" s="3">
        <v>0</v>
      </c>
      <c r="E7" s="3">
        <v>52747148</v>
      </c>
      <c r="F7" s="3">
        <v>121549793</v>
      </c>
    </row>
    <row r="8" spans="1:6" x14ac:dyDescent="0.3">
      <c r="A8" s="2" t="s">
        <v>10</v>
      </c>
      <c r="B8" s="3">
        <f t="shared" si="0"/>
        <v>-41274385</v>
      </c>
      <c r="C8" s="3">
        <v>0</v>
      </c>
      <c r="D8" s="3">
        <v>0</v>
      </c>
      <c r="E8" s="3">
        <v>41274385</v>
      </c>
      <c r="F8" s="3">
        <v>95871394</v>
      </c>
    </row>
    <row r="9" spans="1:6" x14ac:dyDescent="0.3">
      <c r="A9" s="2" t="s">
        <v>11</v>
      </c>
      <c r="B9" s="3">
        <f t="shared" si="0"/>
        <v>-43963303</v>
      </c>
      <c r="C9" s="3">
        <v>0</v>
      </c>
      <c r="D9" s="3">
        <v>0</v>
      </c>
      <c r="E9" s="3">
        <v>43963303</v>
      </c>
      <c r="F9" s="3">
        <v>104495505</v>
      </c>
    </row>
    <row r="10" spans="1:6" x14ac:dyDescent="0.3">
      <c r="A10" s="2" t="s">
        <v>12</v>
      </c>
      <c r="B10" s="3">
        <f t="shared" si="0"/>
        <v>-30979646</v>
      </c>
      <c r="C10" s="3">
        <v>0</v>
      </c>
      <c r="D10" s="3">
        <v>0</v>
      </c>
      <c r="E10" s="3">
        <v>30979646</v>
      </c>
      <c r="F10" s="3">
        <v>74387908</v>
      </c>
    </row>
    <row r="11" spans="1:6" x14ac:dyDescent="0.3">
      <c r="A11" s="2" t="s">
        <v>13</v>
      </c>
      <c r="B11" s="3">
        <f t="shared" si="0"/>
        <v>-45135587</v>
      </c>
      <c r="C11" s="3">
        <v>0</v>
      </c>
      <c r="D11" s="3">
        <v>0</v>
      </c>
      <c r="E11" s="3">
        <v>45135587</v>
      </c>
      <c r="F11" s="3">
        <v>107911552</v>
      </c>
    </row>
    <row r="12" spans="1:6" x14ac:dyDescent="0.3">
      <c r="A12" s="2" t="s">
        <v>14</v>
      </c>
      <c r="B12" s="3">
        <f t="shared" si="0"/>
        <v>-24523370</v>
      </c>
      <c r="C12" s="3">
        <v>0</v>
      </c>
      <c r="D12" s="3">
        <v>0</v>
      </c>
      <c r="E12" s="3">
        <v>24523370</v>
      </c>
      <c r="F12" s="3">
        <v>59159412</v>
      </c>
    </row>
    <row r="13" spans="1:6" x14ac:dyDescent="0.3">
      <c r="A13" s="2" t="s">
        <v>15</v>
      </c>
      <c r="B13" s="3">
        <f t="shared" si="0"/>
        <v>-27861332</v>
      </c>
      <c r="C13" s="3">
        <v>0</v>
      </c>
      <c r="D13" s="3">
        <v>0</v>
      </c>
      <c r="E13" s="3">
        <v>27861332</v>
      </c>
      <c r="F13" s="3">
        <v>68824180</v>
      </c>
    </row>
    <row r="14" spans="1:6" x14ac:dyDescent="0.3">
      <c r="A14" s="2" t="s">
        <v>16</v>
      </c>
      <c r="B14" s="3">
        <f t="shared" si="0"/>
        <v>-20466253</v>
      </c>
      <c r="C14" s="3">
        <v>0</v>
      </c>
      <c r="D14" s="3">
        <v>0</v>
      </c>
      <c r="E14" s="3">
        <v>20466253</v>
      </c>
      <c r="F14" s="3">
        <v>50134536</v>
      </c>
    </row>
    <row r="15" spans="1:6" ht="17.25" thickBot="1" x14ac:dyDescent="0.35">
      <c r="A15" s="4" t="s">
        <v>26</v>
      </c>
      <c r="B15" s="5">
        <f>SUM(B3:B14)</f>
        <v>-315324503</v>
      </c>
      <c r="C15" s="5">
        <f t="shared" ref="C15:F15" si="1">SUM(C3:C14)</f>
        <v>0</v>
      </c>
      <c r="D15" s="5">
        <f t="shared" si="1"/>
        <v>0</v>
      </c>
      <c r="E15" s="5">
        <f t="shared" si="1"/>
        <v>315324503</v>
      </c>
      <c r="F15" s="5">
        <f t="shared" si="1"/>
        <v>743234416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</row>
    <row r="3" spans="1:6" x14ac:dyDescent="0.3">
      <c r="A3" s="2" t="s">
        <v>23</v>
      </c>
      <c r="B3" s="3">
        <f t="shared" ref="B3:B14" si="0">C3-E3</f>
        <v>-4366813</v>
      </c>
      <c r="C3" s="3">
        <v>0</v>
      </c>
      <c r="D3" s="3">
        <v>0</v>
      </c>
      <c r="E3" s="3">
        <v>4366813</v>
      </c>
      <c r="F3" s="3">
        <v>10500000</v>
      </c>
    </row>
    <row r="4" spans="1:6" x14ac:dyDescent="0.3">
      <c r="A4" s="2" t="s">
        <v>24</v>
      </c>
      <c r="B4" s="3">
        <f t="shared" si="0"/>
        <v>0</v>
      </c>
      <c r="C4" s="3"/>
      <c r="D4" s="3"/>
      <c r="E4" s="3"/>
      <c r="F4" s="3"/>
    </row>
    <row r="5" spans="1:6" x14ac:dyDescent="0.3">
      <c r="A5" s="2" t="s">
        <v>25</v>
      </c>
      <c r="B5" s="3">
        <f t="shared" si="0"/>
        <v>-3745933</v>
      </c>
      <c r="C5" s="3">
        <v>0</v>
      </c>
      <c r="D5" s="3">
        <v>0</v>
      </c>
      <c r="E5" s="3">
        <v>3745933</v>
      </c>
      <c r="F5" s="3">
        <v>9633871</v>
      </c>
    </row>
    <row r="6" spans="1:6" x14ac:dyDescent="0.3">
      <c r="A6" s="2" t="s">
        <v>8</v>
      </c>
      <c r="B6" s="3">
        <f t="shared" si="0"/>
        <v>-26220651</v>
      </c>
      <c r="C6" s="3">
        <v>0</v>
      </c>
      <c r="D6" s="3">
        <v>0</v>
      </c>
      <c r="E6" s="3">
        <v>26220651</v>
      </c>
      <c r="F6" s="3">
        <v>67474374</v>
      </c>
    </row>
    <row r="7" spans="1:6" x14ac:dyDescent="0.3">
      <c r="A7" s="2" t="s">
        <v>9</v>
      </c>
      <c r="B7" s="3">
        <f t="shared" si="0"/>
        <v>-36962105</v>
      </c>
      <c r="C7" s="3">
        <v>0</v>
      </c>
      <c r="D7" s="3">
        <v>0</v>
      </c>
      <c r="E7" s="3">
        <v>36962105</v>
      </c>
      <c r="F7" s="3">
        <v>100300006</v>
      </c>
    </row>
    <row r="8" spans="1:6" x14ac:dyDescent="0.3">
      <c r="A8" s="2" t="s">
        <v>10</v>
      </c>
      <c r="B8" s="3">
        <f t="shared" si="0"/>
        <v>-28340310</v>
      </c>
      <c r="C8" s="3">
        <v>0</v>
      </c>
      <c r="D8" s="3">
        <v>0</v>
      </c>
      <c r="E8" s="3">
        <v>28340310</v>
      </c>
      <c r="F8" s="3">
        <v>79386048</v>
      </c>
    </row>
    <row r="9" spans="1:6" x14ac:dyDescent="0.3">
      <c r="A9" s="2" t="s">
        <v>11</v>
      </c>
      <c r="B9" s="3">
        <f t="shared" si="0"/>
        <v>-22769618</v>
      </c>
      <c r="C9" s="3">
        <v>0</v>
      </c>
      <c r="D9" s="3">
        <v>0</v>
      </c>
      <c r="E9" s="3">
        <v>22769618</v>
      </c>
      <c r="F9" s="3">
        <v>59755733</v>
      </c>
    </row>
    <row r="10" spans="1:6" x14ac:dyDescent="0.3">
      <c r="A10" s="2" t="s">
        <v>12</v>
      </c>
      <c r="B10" s="3">
        <f t="shared" si="0"/>
        <v>-13928944</v>
      </c>
      <c r="C10" s="3">
        <v>0</v>
      </c>
      <c r="D10" s="3">
        <v>0</v>
      </c>
      <c r="E10" s="3">
        <v>13928944</v>
      </c>
      <c r="F10" s="3">
        <v>34792404</v>
      </c>
    </row>
    <row r="11" spans="1:6" x14ac:dyDescent="0.3">
      <c r="A11" s="2" t="s">
        <v>13</v>
      </c>
      <c r="B11" s="3">
        <f t="shared" si="0"/>
        <v>-15241684</v>
      </c>
      <c r="C11" s="3">
        <v>0</v>
      </c>
      <c r="D11" s="3">
        <v>0</v>
      </c>
      <c r="E11" s="3">
        <v>15241684</v>
      </c>
      <c r="F11" s="3">
        <v>33875121</v>
      </c>
    </row>
    <row r="12" spans="1:6" x14ac:dyDescent="0.3">
      <c r="A12" s="2" t="s">
        <v>14</v>
      </c>
      <c r="B12" s="3">
        <f t="shared" si="0"/>
        <v>-13148970</v>
      </c>
      <c r="C12" s="3">
        <v>0</v>
      </c>
      <c r="D12" s="3">
        <v>0</v>
      </c>
      <c r="E12" s="3">
        <v>13148970</v>
      </c>
      <c r="F12" s="3">
        <v>30371993</v>
      </c>
    </row>
    <row r="13" spans="1:6" x14ac:dyDescent="0.3">
      <c r="A13" s="2" t="s">
        <v>15</v>
      </c>
      <c r="B13" s="3">
        <f t="shared" si="0"/>
        <v>-23864773</v>
      </c>
      <c r="C13" s="3">
        <v>0</v>
      </c>
      <c r="D13" s="3">
        <v>0</v>
      </c>
      <c r="E13" s="3">
        <v>23864773</v>
      </c>
      <c r="F13" s="3">
        <v>50672000</v>
      </c>
    </row>
    <row r="14" spans="1:6" x14ac:dyDescent="0.3">
      <c r="A14" s="2" t="s">
        <v>16</v>
      </c>
      <c r="B14" s="3">
        <f t="shared" si="0"/>
        <v>-3115676</v>
      </c>
      <c r="C14" s="3">
        <v>0</v>
      </c>
      <c r="D14" s="3">
        <v>0</v>
      </c>
      <c r="E14" s="3">
        <v>3115676</v>
      </c>
      <c r="F14" s="3">
        <v>6931000</v>
      </c>
    </row>
    <row r="15" spans="1:6" ht="17.25" thickBot="1" x14ac:dyDescent="0.35">
      <c r="A15" s="4" t="s">
        <v>26</v>
      </c>
      <c r="B15" s="5">
        <f>SUM(B3:B14)</f>
        <v>-191705477</v>
      </c>
      <c r="C15" s="5">
        <f t="shared" ref="C15:F15" si="1">SUM(C3:C14)</f>
        <v>0</v>
      </c>
      <c r="D15" s="5">
        <f t="shared" si="1"/>
        <v>0</v>
      </c>
      <c r="E15" s="5">
        <f t="shared" si="1"/>
        <v>191705477</v>
      </c>
      <c r="F15" s="5">
        <f t="shared" si="1"/>
        <v>483692550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-38659</v>
      </c>
      <c r="C3" s="3">
        <v>0</v>
      </c>
      <c r="D3" s="3">
        <v>0</v>
      </c>
      <c r="E3" s="3">
        <v>38659</v>
      </c>
      <c r="F3" s="3">
        <v>86000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-27</v>
      </c>
      <c r="C5" s="3">
        <v>0</v>
      </c>
      <c r="D5" s="3">
        <v>0</v>
      </c>
      <c r="E5" s="3">
        <v>27</v>
      </c>
      <c r="F5" s="3">
        <v>1</v>
      </c>
    </row>
    <row r="6" spans="1:6" x14ac:dyDescent="0.3">
      <c r="A6" s="2" t="s">
        <v>8</v>
      </c>
      <c r="B6" s="3">
        <f t="shared" si="0"/>
        <v>-20816834</v>
      </c>
      <c r="C6" s="3">
        <v>0</v>
      </c>
      <c r="D6" s="3">
        <v>0</v>
      </c>
      <c r="E6" s="3">
        <v>20816834</v>
      </c>
      <c r="F6" s="3">
        <v>49050004</v>
      </c>
    </row>
    <row r="7" spans="1:6" x14ac:dyDescent="0.3">
      <c r="A7" s="2" t="s">
        <v>9</v>
      </c>
      <c r="B7" s="3">
        <f t="shared" si="0"/>
        <v>-27970323</v>
      </c>
      <c r="C7" s="3">
        <v>0</v>
      </c>
      <c r="D7" s="3">
        <v>0</v>
      </c>
      <c r="E7" s="3">
        <v>27970323</v>
      </c>
      <c r="F7" s="3">
        <v>65092013</v>
      </c>
    </row>
    <row r="8" spans="1:6" x14ac:dyDescent="0.3">
      <c r="A8" s="2" t="s">
        <v>10</v>
      </c>
      <c r="B8" s="3">
        <f t="shared" si="0"/>
        <v>-21624765</v>
      </c>
      <c r="C8" s="3">
        <v>0</v>
      </c>
      <c r="D8" s="3">
        <v>0</v>
      </c>
      <c r="E8" s="3">
        <v>21624765</v>
      </c>
      <c r="F8" s="3">
        <v>51594216</v>
      </c>
    </row>
    <row r="9" spans="1:6" x14ac:dyDescent="0.3">
      <c r="A9" s="2" t="s">
        <v>11</v>
      </c>
      <c r="B9" s="3">
        <f t="shared" si="0"/>
        <v>-29214243</v>
      </c>
      <c r="C9" s="3">
        <v>0</v>
      </c>
      <c r="D9" s="3">
        <v>0</v>
      </c>
      <c r="E9" s="3">
        <v>29214243</v>
      </c>
      <c r="F9" s="3">
        <v>70311489</v>
      </c>
    </row>
    <row r="10" spans="1:6" x14ac:dyDescent="0.3">
      <c r="A10" s="2" t="s">
        <v>12</v>
      </c>
      <c r="B10" s="3">
        <f t="shared" si="0"/>
        <v>-21759159</v>
      </c>
      <c r="C10" s="3">
        <v>0</v>
      </c>
      <c r="D10" s="3">
        <v>0</v>
      </c>
      <c r="E10" s="3">
        <v>21759159</v>
      </c>
      <c r="F10" s="3">
        <v>54176252</v>
      </c>
    </row>
    <row r="11" spans="1:6" x14ac:dyDescent="0.3">
      <c r="A11" s="2" t="s">
        <v>13</v>
      </c>
      <c r="B11" s="3">
        <f t="shared" si="0"/>
        <v>-42228663</v>
      </c>
      <c r="C11" s="3">
        <v>0</v>
      </c>
      <c r="D11" s="3">
        <v>0</v>
      </c>
      <c r="E11" s="3">
        <v>42228663</v>
      </c>
      <c r="F11" s="3">
        <v>106220022</v>
      </c>
    </row>
    <row r="12" spans="1:6" x14ac:dyDescent="0.3">
      <c r="A12" s="2" t="s">
        <v>14</v>
      </c>
      <c r="B12" s="3">
        <f t="shared" si="0"/>
        <v>-11317138</v>
      </c>
      <c r="C12" s="3">
        <v>0</v>
      </c>
      <c r="D12" s="3">
        <v>0</v>
      </c>
      <c r="E12" s="3">
        <v>11317138</v>
      </c>
      <c r="F12" s="3">
        <v>28086985</v>
      </c>
    </row>
    <row r="13" spans="1:6" x14ac:dyDescent="0.3">
      <c r="A13" s="2" t="s">
        <v>15</v>
      </c>
      <c r="B13" s="3">
        <f t="shared" si="0"/>
        <v>-24328690</v>
      </c>
      <c r="C13" s="3">
        <v>0</v>
      </c>
      <c r="D13" s="3">
        <v>0</v>
      </c>
      <c r="E13" s="3">
        <v>24328690</v>
      </c>
      <c r="F13" s="3">
        <v>59462177</v>
      </c>
    </row>
    <row r="14" spans="1:6" x14ac:dyDescent="0.3">
      <c r="A14" s="2" t="s">
        <v>16</v>
      </c>
      <c r="B14" s="3">
        <f t="shared" si="0"/>
        <v>-4890326</v>
      </c>
      <c r="C14" s="3">
        <v>0</v>
      </c>
      <c r="D14" s="3">
        <v>0</v>
      </c>
      <c r="E14" s="3">
        <v>4890326</v>
      </c>
      <c r="F14" s="3">
        <v>11836331</v>
      </c>
    </row>
    <row r="15" spans="1:6" ht="17.25" thickBot="1" x14ac:dyDescent="0.35">
      <c r="A15" s="4" t="s">
        <v>17</v>
      </c>
      <c r="B15" s="5">
        <f>SUM(B3:B14)</f>
        <v>-204188827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204188827</v>
      </c>
      <c r="F15" s="5">
        <f t="shared" si="2"/>
        <v>495915490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-64</v>
      </c>
      <c r="C5" s="3">
        <v>0</v>
      </c>
      <c r="D5" s="3">
        <v>0</v>
      </c>
      <c r="E5" s="3">
        <v>64</v>
      </c>
      <c r="F5" s="3">
        <v>3</v>
      </c>
    </row>
    <row r="6" spans="1:6" x14ac:dyDescent="0.3">
      <c r="A6" s="2" t="s">
        <v>8</v>
      </c>
      <c r="B6" s="3">
        <f t="shared" si="0"/>
        <v>-5927620</v>
      </c>
      <c r="C6" s="3">
        <v>0</v>
      </c>
      <c r="D6" s="3">
        <v>0</v>
      </c>
      <c r="E6" s="3">
        <v>5927620</v>
      </c>
      <c r="F6" s="3">
        <v>14268122</v>
      </c>
    </row>
    <row r="7" spans="1:6" x14ac:dyDescent="0.3">
      <c r="A7" s="2" t="s">
        <v>9</v>
      </c>
      <c r="B7" s="3">
        <f t="shared" si="0"/>
        <v>-37292066</v>
      </c>
      <c r="C7" s="3">
        <v>0</v>
      </c>
      <c r="D7" s="3">
        <v>0</v>
      </c>
      <c r="E7" s="3">
        <v>37292066</v>
      </c>
      <c r="F7" s="3">
        <v>89619227.938999996</v>
      </c>
    </row>
    <row r="8" spans="1:6" x14ac:dyDescent="0.3">
      <c r="A8" s="2" t="s">
        <v>10</v>
      </c>
      <c r="B8" s="3">
        <f t="shared" si="0"/>
        <v>-24216107</v>
      </c>
      <c r="C8" s="3">
        <v>0</v>
      </c>
      <c r="D8" s="3">
        <v>0</v>
      </c>
      <c r="E8" s="3">
        <v>24216107</v>
      </c>
      <c r="F8" s="3">
        <v>54572179</v>
      </c>
    </row>
    <row r="9" spans="1:6" x14ac:dyDescent="0.3">
      <c r="A9" s="2" t="s">
        <v>11</v>
      </c>
      <c r="B9" s="3">
        <f t="shared" si="0"/>
        <v>-53238032</v>
      </c>
      <c r="C9" s="3">
        <v>0</v>
      </c>
      <c r="D9" s="3">
        <v>0</v>
      </c>
      <c r="E9" s="3">
        <v>53238032</v>
      </c>
      <c r="F9" s="3">
        <v>118709759.5</v>
      </c>
    </row>
    <row r="10" spans="1:6" x14ac:dyDescent="0.3">
      <c r="A10" s="2" t="s">
        <v>12</v>
      </c>
      <c r="B10" s="3">
        <f t="shared" si="0"/>
        <v>-25866760</v>
      </c>
      <c r="C10" s="3">
        <v>0</v>
      </c>
      <c r="D10" s="3">
        <v>0</v>
      </c>
      <c r="E10" s="3">
        <v>25866760</v>
      </c>
      <c r="F10" s="3">
        <v>57045252</v>
      </c>
    </row>
    <row r="11" spans="1:6" x14ac:dyDescent="0.3">
      <c r="A11" s="2" t="s">
        <v>13</v>
      </c>
      <c r="B11" s="3">
        <f t="shared" si="0"/>
        <v>-28406735</v>
      </c>
      <c r="C11" s="3">
        <v>0</v>
      </c>
      <c r="D11" s="3">
        <v>0</v>
      </c>
      <c r="E11" s="3">
        <v>28406735</v>
      </c>
      <c r="F11" s="3">
        <v>62669611</v>
      </c>
    </row>
    <row r="12" spans="1:6" x14ac:dyDescent="0.3">
      <c r="A12" s="2" t="s">
        <v>14</v>
      </c>
      <c r="B12" s="3">
        <f t="shared" si="0"/>
        <v>-21695029</v>
      </c>
      <c r="C12" s="3">
        <v>0</v>
      </c>
      <c r="D12" s="3">
        <v>0</v>
      </c>
      <c r="E12" s="3">
        <v>21695029</v>
      </c>
      <c r="F12" s="3">
        <v>48242682</v>
      </c>
    </row>
    <row r="13" spans="1:6" x14ac:dyDescent="0.3">
      <c r="A13" s="2" t="s">
        <v>15</v>
      </c>
      <c r="B13" s="3">
        <f t="shared" si="0"/>
        <v>-5402276</v>
      </c>
      <c r="C13" s="3">
        <v>0</v>
      </c>
      <c r="D13" s="3">
        <v>0</v>
      </c>
      <c r="E13" s="3">
        <v>5402276</v>
      </c>
      <c r="F13" s="3">
        <v>12052422</v>
      </c>
    </row>
    <row r="14" spans="1:6" x14ac:dyDescent="0.3">
      <c r="A14" s="2" t="s">
        <v>16</v>
      </c>
      <c r="B14" s="3">
        <f t="shared" si="0"/>
        <v>-6736589</v>
      </c>
      <c r="C14" s="3">
        <v>0</v>
      </c>
      <c r="D14" s="3">
        <v>0</v>
      </c>
      <c r="E14" s="3">
        <v>6736589</v>
      </c>
      <c r="F14" s="3">
        <v>15100050</v>
      </c>
    </row>
    <row r="15" spans="1:6" ht="17.25" thickBot="1" x14ac:dyDescent="0.35">
      <c r="A15" s="4" t="s">
        <v>17</v>
      </c>
      <c r="B15" s="5">
        <f>SUM(B3:B14)</f>
        <v>-208781278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208781278</v>
      </c>
      <c r="F15" s="5">
        <f t="shared" si="2"/>
        <v>472279308.43900001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-162200</v>
      </c>
      <c r="C3" s="3">
        <v>0</v>
      </c>
      <c r="D3" s="3">
        <v>0</v>
      </c>
      <c r="E3" s="3">
        <v>162200</v>
      </c>
      <c r="F3" s="3">
        <v>363570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-123</v>
      </c>
      <c r="C5" s="3">
        <v>0</v>
      </c>
      <c r="D5" s="3">
        <v>0</v>
      </c>
      <c r="E5" s="3">
        <v>123</v>
      </c>
      <c r="F5" s="3">
        <v>30.8</v>
      </c>
    </row>
    <row r="6" spans="1:6" x14ac:dyDescent="0.3">
      <c r="A6" s="2" t="s">
        <v>8</v>
      </c>
      <c r="B6" s="3">
        <f t="shared" si="0"/>
        <v>0</v>
      </c>
      <c r="C6" s="3"/>
      <c r="D6" s="3"/>
      <c r="E6" s="3"/>
      <c r="F6" s="3"/>
    </row>
    <row r="7" spans="1:6" x14ac:dyDescent="0.3">
      <c r="A7" s="2" t="s">
        <v>9</v>
      </c>
      <c r="B7" s="3">
        <f t="shared" si="0"/>
        <v>0</v>
      </c>
      <c r="C7" s="3"/>
      <c r="D7" s="3"/>
      <c r="E7" s="3"/>
      <c r="F7" s="3"/>
    </row>
    <row r="8" spans="1:6" x14ac:dyDescent="0.3">
      <c r="A8" s="2" t="s">
        <v>10</v>
      </c>
      <c r="B8" s="3">
        <f t="shared" si="0"/>
        <v>0</v>
      </c>
      <c r="C8" s="3"/>
      <c r="D8" s="3"/>
      <c r="E8" s="3"/>
      <c r="F8" s="3"/>
    </row>
    <row r="9" spans="1:6" x14ac:dyDescent="0.3">
      <c r="A9" s="2" t="s">
        <v>11</v>
      </c>
      <c r="B9" s="3">
        <f t="shared" si="0"/>
        <v>-44</v>
      </c>
      <c r="C9" s="3">
        <v>0</v>
      </c>
      <c r="D9" s="3">
        <v>0</v>
      </c>
      <c r="E9" s="3">
        <v>44</v>
      </c>
      <c r="F9" s="3">
        <v>4.5999999999999996</v>
      </c>
    </row>
    <row r="10" spans="1:6" x14ac:dyDescent="0.3">
      <c r="A10" s="2" t="s">
        <v>12</v>
      </c>
      <c r="B10" s="3">
        <f t="shared" si="0"/>
        <v>-22102722</v>
      </c>
      <c r="C10" s="3">
        <v>0</v>
      </c>
      <c r="D10" s="3">
        <v>0</v>
      </c>
      <c r="E10" s="3">
        <v>22102722</v>
      </c>
      <c r="F10" s="3">
        <v>57285159</v>
      </c>
    </row>
    <row r="11" spans="1:6" x14ac:dyDescent="0.3">
      <c r="A11" s="2" t="s">
        <v>13</v>
      </c>
      <c r="B11" s="3">
        <f t="shared" si="0"/>
        <v>-22637718</v>
      </c>
      <c r="C11" s="3">
        <v>0</v>
      </c>
      <c r="D11" s="3">
        <v>0</v>
      </c>
      <c r="E11" s="3">
        <v>22637718</v>
      </c>
      <c r="F11" s="3">
        <v>59851540</v>
      </c>
    </row>
    <row r="12" spans="1:6" x14ac:dyDescent="0.3">
      <c r="A12" s="2" t="s">
        <v>14</v>
      </c>
      <c r="B12" s="3">
        <f t="shared" si="0"/>
        <v>-289196</v>
      </c>
      <c r="C12" s="3">
        <v>0</v>
      </c>
      <c r="D12" s="3">
        <v>0</v>
      </c>
      <c r="E12" s="3">
        <v>289196</v>
      </c>
      <c r="F12" s="3">
        <v>800000</v>
      </c>
    </row>
    <row r="13" spans="1:6" x14ac:dyDescent="0.3">
      <c r="A13" s="2" t="s">
        <v>15</v>
      </c>
      <c r="B13" s="3">
        <f t="shared" si="0"/>
        <v>-69845</v>
      </c>
      <c r="C13" s="3">
        <v>0</v>
      </c>
      <c r="D13" s="3">
        <v>0</v>
      </c>
      <c r="E13" s="3">
        <v>69845</v>
      </c>
      <c r="F13" s="3">
        <v>193210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-45261848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45261848</v>
      </c>
      <c r="F15" s="5">
        <f t="shared" si="2"/>
        <v>118493514.40000001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4.7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-57</v>
      </c>
      <c r="C4" s="3">
        <v>0</v>
      </c>
      <c r="D4" s="3">
        <v>0</v>
      </c>
      <c r="E4" s="3">
        <v>57</v>
      </c>
      <c r="F4" s="3">
        <v>3.2</v>
      </c>
    </row>
    <row r="5" spans="1:6" x14ac:dyDescent="0.3">
      <c r="A5" s="2" t="s">
        <v>7</v>
      </c>
      <c r="B5" s="3">
        <f t="shared" si="0"/>
        <v>-133</v>
      </c>
      <c r="C5" s="3">
        <v>0</v>
      </c>
      <c r="D5" s="3">
        <v>0</v>
      </c>
      <c r="E5" s="3">
        <v>133</v>
      </c>
      <c r="F5" s="3">
        <v>12.8</v>
      </c>
    </row>
    <row r="6" spans="1:6" x14ac:dyDescent="0.3">
      <c r="A6" s="2" t="s">
        <v>8</v>
      </c>
      <c r="B6" s="3">
        <f t="shared" si="0"/>
        <v>-25265426</v>
      </c>
      <c r="C6" s="3">
        <v>0</v>
      </c>
      <c r="D6" s="3">
        <v>0</v>
      </c>
      <c r="E6" s="3">
        <v>25265426</v>
      </c>
      <c r="F6" s="3">
        <v>61822004.799999997</v>
      </c>
    </row>
    <row r="7" spans="1:6" x14ac:dyDescent="0.3">
      <c r="A7" s="2" t="s">
        <v>9</v>
      </c>
      <c r="B7" s="3">
        <f t="shared" si="0"/>
        <v>-33940365</v>
      </c>
      <c r="C7" s="3">
        <v>0</v>
      </c>
      <c r="D7" s="3">
        <v>0</v>
      </c>
      <c r="E7" s="3">
        <v>33940365</v>
      </c>
      <c r="F7" s="3">
        <v>85681301.200000003</v>
      </c>
    </row>
    <row r="8" spans="1:6" x14ac:dyDescent="0.3">
      <c r="A8" s="2" t="s">
        <v>10</v>
      </c>
      <c r="B8" s="3">
        <f t="shared" si="0"/>
        <v>-35840466</v>
      </c>
      <c r="C8" s="3">
        <v>0</v>
      </c>
      <c r="D8" s="3">
        <v>0</v>
      </c>
      <c r="E8" s="3">
        <v>35840466</v>
      </c>
      <c r="F8" s="3">
        <v>89602456.799999997</v>
      </c>
    </row>
    <row r="9" spans="1:6" x14ac:dyDescent="0.3">
      <c r="A9" s="2" t="s">
        <v>11</v>
      </c>
      <c r="B9" s="3">
        <f t="shared" si="0"/>
        <v>-40601806</v>
      </c>
      <c r="C9" s="3">
        <v>0</v>
      </c>
      <c r="D9" s="3">
        <v>0</v>
      </c>
      <c r="E9" s="3">
        <v>40601806</v>
      </c>
      <c r="F9" s="3">
        <v>101942318.3</v>
      </c>
    </row>
    <row r="10" spans="1:6" x14ac:dyDescent="0.3">
      <c r="A10" s="2" t="s">
        <v>12</v>
      </c>
      <c r="B10" s="3">
        <f t="shared" si="0"/>
        <v>-10894548</v>
      </c>
      <c r="C10" s="3">
        <v>0</v>
      </c>
      <c r="D10" s="3">
        <v>0</v>
      </c>
      <c r="E10" s="3">
        <v>10894548</v>
      </c>
      <c r="F10" s="3">
        <v>26967385.600000001</v>
      </c>
    </row>
    <row r="11" spans="1:6" x14ac:dyDescent="0.3">
      <c r="A11" s="2" t="s">
        <v>13</v>
      </c>
      <c r="B11" s="3">
        <f t="shared" si="0"/>
        <v>-50266650</v>
      </c>
      <c r="C11" s="3">
        <v>0</v>
      </c>
      <c r="D11" s="3">
        <v>0</v>
      </c>
      <c r="E11" s="3">
        <v>50266650</v>
      </c>
      <c r="F11" s="3">
        <v>127092956.48</v>
      </c>
    </row>
    <row r="12" spans="1:6" x14ac:dyDescent="0.3">
      <c r="A12" s="2" t="s">
        <v>14</v>
      </c>
      <c r="B12" s="3">
        <f t="shared" si="0"/>
        <v>-18706955</v>
      </c>
      <c r="C12" s="3">
        <v>0</v>
      </c>
      <c r="D12" s="3">
        <v>0</v>
      </c>
      <c r="E12" s="3">
        <v>18706955</v>
      </c>
      <c r="F12" s="3">
        <v>48042201</v>
      </c>
    </row>
    <row r="13" spans="1:6" x14ac:dyDescent="0.3">
      <c r="A13" s="2" t="s">
        <v>15</v>
      </c>
      <c r="B13" s="3">
        <f t="shared" si="0"/>
        <v>-25123008</v>
      </c>
      <c r="C13" s="3">
        <v>0</v>
      </c>
      <c r="D13" s="3">
        <v>0</v>
      </c>
      <c r="E13" s="3">
        <v>25123008</v>
      </c>
      <c r="F13" s="3">
        <v>65135841</v>
      </c>
    </row>
    <row r="14" spans="1:6" x14ac:dyDescent="0.3">
      <c r="A14" s="2" t="s">
        <v>16</v>
      </c>
      <c r="B14" s="3">
        <f t="shared" si="0"/>
        <v>-2440305</v>
      </c>
      <c r="C14" s="3">
        <v>0</v>
      </c>
      <c r="D14" s="3">
        <v>0</v>
      </c>
      <c r="E14" s="3">
        <v>2440305</v>
      </c>
      <c r="F14" s="3">
        <v>6300000</v>
      </c>
    </row>
    <row r="15" spans="1:6" ht="17.25" thickBot="1" x14ac:dyDescent="0.35">
      <c r="A15" s="4" t="s">
        <v>17</v>
      </c>
      <c r="B15" s="5">
        <f>SUM(B3:B14)</f>
        <v>-243079719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243079719</v>
      </c>
      <c r="F15" s="5">
        <f t="shared" si="2"/>
        <v>612586481.18000007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-60</v>
      </c>
      <c r="C5" s="3">
        <v>0</v>
      </c>
      <c r="D5" s="3">
        <v>0</v>
      </c>
      <c r="E5" s="3">
        <v>60</v>
      </c>
      <c r="F5" s="3">
        <v>4.0999999999999996</v>
      </c>
    </row>
    <row r="6" spans="1:6" x14ac:dyDescent="0.3">
      <c r="A6" s="2" t="s">
        <v>8</v>
      </c>
      <c r="B6" s="3">
        <f t="shared" si="0"/>
        <v>-26444436</v>
      </c>
      <c r="C6" s="3">
        <v>0</v>
      </c>
      <c r="D6" s="3">
        <v>0</v>
      </c>
      <c r="E6" s="3">
        <v>26444436</v>
      </c>
      <c r="F6" s="3">
        <v>53566826</v>
      </c>
    </row>
    <row r="7" spans="1:6" x14ac:dyDescent="0.3">
      <c r="A7" s="2" t="s">
        <v>9</v>
      </c>
      <c r="B7" s="3">
        <f t="shared" si="0"/>
        <v>-30064020</v>
      </c>
      <c r="C7" s="3">
        <v>0</v>
      </c>
      <c r="D7" s="3">
        <v>0</v>
      </c>
      <c r="E7" s="3">
        <v>30064020</v>
      </c>
      <c r="F7" s="3">
        <v>63613577.380000003</v>
      </c>
    </row>
    <row r="8" spans="1:6" x14ac:dyDescent="0.3">
      <c r="A8" s="2" t="s">
        <v>10</v>
      </c>
      <c r="B8" s="3">
        <f t="shared" si="0"/>
        <v>-33599171</v>
      </c>
      <c r="C8" s="3">
        <v>0</v>
      </c>
      <c r="D8" s="3">
        <v>0</v>
      </c>
      <c r="E8" s="3">
        <v>33599171</v>
      </c>
      <c r="F8" s="3">
        <v>66824820.380000003</v>
      </c>
    </row>
    <row r="9" spans="1:6" x14ac:dyDescent="0.3">
      <c r="A9" s="2" t="s">
        <v>11</v>
      </c>
      <c r="B9" s="3">
        <f t="shared" si="0"/>
        <v>-73572811</v>
      </c>
      <c r="C9" s="3">
        <v>0</v>
      </c>
      <c r="D9" s="3">
        <v>0</v>
      </c>
      <c r="E9" s="3">
        <v>73572811</v>
      </c>
      <c r="F9" s="3">
        <v>151487504.5</v>
      </c>
    </row>
    <row r="10" spans="1:6" x14ac:dyDescent="0.3">
      <c r="A10" s="2" t="s">
        <v>12</v>
      </c>
      <c r="B10" s="3">
        <f t="shared" si="0"/>
        <v>-68093599</v>
      </c>
      <c r="C10" s="3">
        <v>0</v>
      </c>
      <c r="D10" s="3">
        <v>0</v>
      </c>
      <c r="E10" s="3">
        <v>68093599</v>
      </c>
      <c r="F10" s="3">
        <v>116963126.98999999</v>
      </c>
    </row>
    <row r="11" spans="1:6" x14ac:dyDescent="0.3">
      <c r="A11" s="2" t="s">
        <v>13</v>
      </c>
      <c r="B11" s="3">
        <f t="shared" si="0"/>
        <v>-36606862</v>
      </c>
      <c r="C11" s="3">
        <v>0</v>
      </c>
      <c r="D11" s="3">
        <v>0</v>
      </c>
      <c r="E11" s="3">
        <v>36606862</v>
      </c>
      <c r="F11" s="3">
        <v>61086371.100000001</v>
      </c>
    </row>
    <row r="12" spans="1:6" x14ac:dyDescent="0.3">
      <c r="A12" s="2" t="s">
        <v>14</v>
      </c>
      <c r="B12" s="3">
        <f t="shared" si="0"/>
        <v>-37572089</v>
      </c>
      <c r="C12" s="3">
        <v>0</v>
      </c>
      <c r="D12" s="3">
        <v>0</v>
      </c>
      <c r="E12" s="3">
        <v>37572089</v>
      </c>
      <c r="F12" s="3">
        <v>60656043</v>
      </c>
    </row>
    <row r="13" spans="1:6" x14ac:dyDescent="0.3">
      <c r="A13" s="2" t="s">
        <v>15</v>
      </c>
      <c r="B13" s="3">
        <f t="shared" si="0"/>
        <v>-41598909</v>
      </c>
      <c r="C13" s="3">
        <v>0</v>
      </c>
      <c r="D13" s="3">
        <v>0</v>
      </c>
      <c r="E13" s="3">
        <v>41598909</v>
      </c>
      <c r="F13" s="3">
        <v>67379745</v>
      </c>
    </row>
    <row r="14" spans="1:6" x14ac:dyDescent="0.3">
      <c r="A14" s="2" t="s">
        <v>16</v>
      </c>
      <c r="B14" s="3">
        <f t="shared" si="0"/>
        <v>-8107876</v>
      </c>
      <c r="C14" s="3">
        <v>0</v>
      </c>
      <c r="D14" s="3">
        <v>0</v>
      </c>
      <c r="E14" s="3">
        <v>8107876</v>
      </c>
      <c r="F14" s="3">
        <v>13290523</v>
      </c>
    </row>
    <row r="15" spans="1:6" ht="17.25" thickBot="1" x14ac:dyDescent="0.35">
      <c r="A15" s="4" t="s">
        <v>17</v>
      </c>
      <c r="B15" s="5">
        <f>SUM(B3:B14)</f>
        <v>-355659833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355659833</v>
      </c>
      <c r="F15" s="5">
        <f t="shared" si="2"/>
        <v>654868541.45000005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-610723</v>
      </c>
      <c r="C3" s="3">
        <v>0</v>
      </c>
      <c r="D3" s="3">
        <v>0</v>
      </c>
      <c r="E3" s="3">
        <v>610723</v>
      </c>
      <c r="F3" s="3">
        <v>1000000</v>
      </c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-127</v>
      </c>
      <c r="C5" s="3">
        <v>0</v>
      </c>
      <c r="D5" s="3">
        <v>0</v>
      </c>
      <c r="E5" s="3">
        <v>127</v>
      </c>
      <c r="F5" s="3">
        <v>9.3000000000000007</v>
      </c>
    </row>
    <row r="6" spans="1:6" x14ac:dyDescent="0.3">
      <c r="A6" s="2" t="s">
        <v>8</v>
      </c>
      <c r="B6" s="3">
        <f t="shared" si="0"/>
        <v>-67380563</v>
      </c>
      <c r="C6" s="3">
        <v>0</v>
      </c>
      <c r="D6" s="3">
        <v>0</v>
      </c>
      <c r="E6" s="3">
        <v>67380563</v>
      </c>
      <c r="F6" s="3">
        <v>115077936.2</v>
      </c>
    </row>
    <row r="7" spans="1:6" x14ac:dyDescent="0.3">
      <c r="A7" s="2" t="s">
        <v>9</v>
      </c>
      <c r="B7" s="3">
        <f t="shared" si="0"/>
        <v>-36114791</v>
      </c>
      <c r="C7" s="3">
        <v>0</v>
      </c>
      <c r="D7" s="3">
        <v>0</v>
      </c>
      <c r="E7" s="3">
        <v>36114791</v>
      </c>
      <c r="F7" s="3">
        <v>55855739.310000002</v>
      </c>
    </row>
    <row r="8" spans="1:6" x14ac:dyDescent="0.3">
      <c r="A8" s="2" t="s">
        <v>10</v>
      </c>
      <c r="B8" s="3">
        <f t="shared" si="0"/>
        <v>-49173312</v>
      </c>
      <c r="C8" s="3">
        <v>0</v>
      </c>
      <c r="D8" s="3">
        <v>0</v>
      </c>
      <c r="E8" s="3">
        <v>49173312</v>
      </c>
      <c r="F8" s="3">
        <v>72772347.219999999</v>
      </c>
    </row>
    <row r="9" spans="1:6" x14ac:dyDescent="0.3">
      <c r="A9" s="2" t="s">
        <v>11</v>
      </c>
      <c r="B9" s="3">
        <f t="shared" si="0"/>
        <v>-73107744</v>
      </c>
      <c r="C9" s="3">
        <v>0</v>
      </c>
      <c r="D9" s="3">
        <v>0</v>
      </c>
      <c r="E9" s="3">
        <v>73107744</v>
      </c>
      <c r="F9" s="3">
        <v>105303558.22</v>
      </c>
    </row>
    <row r="10" spans="1:6" x14ac:dyDescent="0.3">
      <c r="A10" s="2" t="s">
        <v>12</v>
      </c>
      <c r="B10" s="3">
        <f t="shared" si="0"/>
        <v>-82782891</v>
      </c>
      <c r="C10" s="3">
        <v>0</v>
      </c>
      <c r="D10" s="3">
        <v>0</v>
      </c>
      <c r="E10" s="3">
        <v>82782891</v>
      </c>
      <c r="F10" s="3">
        <v>117006376</v>
      </c>
    </row>
    <row r="11" spans="1:6" x14ac:dyDescent="0.3">
      <c r="A11" s="2" t="s">
        <v>13</v>
      </c>
      <c r="B11" s="3">
        <f t="shared" si="0"/>
        <v>-49158178</v>
      </c>
      <c r="C11" s="3">
        <v>0</v>
      </c>
      <c r="D11" s="3">
        <v>0</v>
      </c>
      <c r="E11" s="3">
        <v>49158178</v>
      </c>
      <c r="F11" s="3">
        <v>65526557</v>
      </c>
    </row>
    <row r="12" spans="1:6" x14ac:dyDescent="0.3">
      <c r="A12" s="2" t="s">
        <v>14</v>
      </c>
      <c r="B12" s="3">
        <f t="shared" si="0"/>
        <v>-4387409</v>
      </c>
      <c r="C12" s="3">
        <v>0</v>
      </c>
      <c r="D12" s="3">
        <v>0</v>
      </c>
      <c r="E12" s="3">
        <v>4387409</v>
      </c>
      <c r="F12" s="3">
        <v>6119833</v>
      </c>
    </row>
    <row r="13" spans="1:6" x14ac:dyDescent="0.3">
      <c r="A13" s="2" t="s">
        <v>15</v>
      </c>
      <c r="B13" s="3">
        <f t="shared" si="0"/>
        <v>-20</v>
      </c>
      <c r="C13" s="3">
        <v>0</v>
      </c>
      <c r="D13" s="3">
        <v>0</v>
      </c>
      <c r="E13" s="3">
        <v>20</v>
      </c>
      <c r="F13" s="3">
        <v>2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-362715758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362715758</v>
      </c>
      <c r="F15" s="5">
        <f t="shared" si="2"/>
        <v>538662358.25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-22</v>
      </c>
      <c r="C5" s="3">
        <v>0</v>
      </c>
      <c r="D5" s="3">
        <v>0</v>
      </c>
      <c r="E5" s="3">
        <v>22</v>
      </c>
      <c r="F5" s="3">
        <v>2.1</v>
      </c>
    </row>
    <row r="6" spans="1:6" x14ac:dyDescent="0.3">
      <c r="A6" s="2" t="s">
        <v>8</v>
      </c>
      <c r="B6" s="3">
        <f t="shared" si="0"/>
        <v>-82</v>
      </c>
      <c r="C6" s="3">
        <v>0</v>
      </c>
      <c r="D6" s="3">
        <v>0</v>
      </c>
      <c r="E6" s="3">
        <v>82</v>
      </c>
      <c r="F6" s="3">
        <v>6.1</v>
      </c>
    </row>
    <row r="7" spans="1:6" x14ac:dyDescent="0.3">
      <c r="A7" s="2" t="s">
        <v>9</v>
      </c>
      <c r="B7" s="3">
        <f t="shared" si="0"/>
        <v>-56810402</v>
      </c>
      <c r="C7" s="3">
        <v>0</v>
      </c>
      <c r="D7" s="3">
        <v>0</v>
      </c>
      <c r="E7" s="3">
        <v>56810402</v>
      </c>
      <c r="F7" s="3">
        <v>87336342.200000003</v>
      </c>
    </row>
    <row r="8" spans="1:6" x14ac:dyDescent="0.3">
      <c r="A8" s="2" t="s">
        <v>10</v>
      </c>
      <c r="B8" s="3">
        <f t="shared" si="0"/>
        <v>-54104192</v>
      </c>
      <c r="C8" s="3">
        <v>0</v>
      </c>
      <c r="D8" s="3">
        <v>0</v>
      </c>
      <c r="E8" s="3">
        <v>54104192</v>
      </c>
      <c r="F8" s="3">
        <v>86145113.099999994</v>
      </c>
    </row>
    <row r="9" spans="1:6" x14ac:dyDescent="0.3">
      <c r="A9" s="2" t="s">
        <v>11</v>
      </c>
      <c r="B9" s="3">
        <f t="shared" si="0"/>
        <v>-72065597</v>
      </c>
      <c r="C9" s="3">
        <v>0</v>
      </c>
      <c r="D9" s="3">
        <v>0</v>
      </c>
      <c r="E9" s="3">
        <v>72065597</v>
      </c>
      <c r="F9" s="3">
        <v>116839889.09999999</v>
      </c>
    </row>
    <row r="10" spans="1:6" x14ac:dyDescent="0.3">
      <c r="A10" s="2" t="s">
        <v>12</v>
      </c>
      <c r="B10" s="3">
        <f t="shared" si="0"/>
        <v>-41819699</v>
      </c>
      <c r="C10" s="3">
        <v>0</v>
      </c>
      <c r="D10" s="3">
        <v>0</v>
      </c>
      <c r="E10" s="3">
        <v>41819699</v>
      </c>
      <c r="F10" s="3">
        <v>70642804.099999994</v>
      </c>
    </row>
    <row r="11" spans="1:6" x14ac:dyDescent="0.3">
      <c r="A11" s="2" t="s">
        <v>13</v>
      </c>
      <c r="B11" s="3">
        <f t="shared" si="0"/>
        <v>-59230858</v>
      </c>
      <c r="C11" s="3">
        <v>0</v>
      </c>
      <c r="D11" s="3">
        <v>0</v>
      </c>
      <c r="E11" s="3">
        <v>59230858</v>
      </c>
      <c r="F11" s="3">
        <v>105661449</v>
      </c>
    </row>
    <row r="12" spans="1:6" x14ac:dyDescent="0.3">
      <c r="A12" s="2" t="s">
        <v>14</v>
      </c>
      <c r="B12" s="3">
        <f t="shared" si="0"/>
        <v>-6677132</v>
      </c>
      <c r="C12" s="3">
        <v>0</v>
      </c>
      <c r="D12" s="3">
        <v>0</v>
      </c>
      <c r="E12" s="3">
        <v>6677132</v>
      </c>
      <c r="F12" s="3">
        <v>12139550.1</v>
      </c>
    </row>
    <row r="13" spans="1:6" x14ac:dyDescent="0.3">
      <c r="A13" s="2" t="s">
        <v>15</v>
      </c>
      <c r="B13" s="3">
        <f t="shared" si="0"/>
        <v>-37481815</v>
      </c>
      <c r="C13" s="3">
        <v>0</v>
      </c>
      <c r="D13" s="3">
        <v>0</v>
      </c>
      <c r="E13" s="3">
        <v>37481815</v>
      </c>
      <c r="F13" s="3">
        <v>61898579.100000001</v>
      </c>
    </row>
    <row r="14" spans="1:6" x14ac:dyDescent="0.3">
      <c r="A14" s="2" t="s">
        <v>16</v>
      </c>
      <c r="B14" s="3">
        <f t="shared" si="0"/>
        <v>-33485018</v>
      </c>
      <c r="C14" s="3">
        <v>0</v>
      </c>
      <c r="D14" s="3">
        <v>0</v>
      </c>
      <c r="E14" s="3">
        <v>33485018</v>
      </c>
      <c r="F14" s="3">
        <v>58155000</v>
      </c>
    </row>
    <row r="15" spans="1:6" ht="17.25" thickBot="1" x14ac:dyDescent="0.35">
      <c r="A15" s="4" t="s">
        <v>17</v>
      </c>
      <c r="B15" s="5">
        <f>SUM(B3:B14)</f>
        <v>-361674817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361674817</v>
      </c>
      <c r="F15" s="5">
        <f t="shared" si="2"/>
        <v>598818734.9000001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-44</v>
      </c>
      <c r="C5" s="3">
        <v>0</v>
      </c>
      <c r="D5" s="3">
        <v>0</v>
      </c>
      <c r="E5" s="3">
        <v>44</v>
      </c>
      <c r="F5" s="3">
        <v>4.8</v>
      </c>
    </row>
    <row r="6" spans="1:6" x14ac:dyDescent="0.3">
      <c r="A6" s="2" t="s">
        <v>8</v>
      </c>
      <c r="B6" s="3">
        <f t="shared" si="0"/>
        <v>-143</v>
      </c>
      <c r="C6" s="3">
        <v>0</v>
      </c>
      <c r="D6" s="3">
        <v>0</v>
      </c>
      <c r="E6" s="3">
        <v>143</v>
      </c>
      <c r="F6" s="3">
        <v>8</v>
      </c>
    </row>
    <row r="7" spans="1:6" x14ac:dyDescent="0.3">
      <c r="A7" s="2" t="s">
        <v>9</v>
      </c>
      <c r="B7" s="3">
        <f t="shared" si="0"/>
        <v>-56937138</v>
      </c>
      <c r="C7" s="3">
        <v>0</v>
      </c>
      <c r="D7" s="3">
        <v>0</v>
      </c>
      <c r="E7" s="3">
        <v>56937138</v>
      </c>
      <c r="F7" s="3">
        <v>111355779</v>
      </c>
    </row>
    <row r="8" spans="1:6" x14ac:dyDescent="0.3">
      <c r="A8" s="2" t="s">
        <v>10</v>
      </c>
      <c r="B8" s="3">
        <f t="shared" si="0"/>
        <v>-24773897</v>
      </c>
      <c r="C8" s="3">
        <v>0</v>
      </c>
      <c r="D8" s="3">
        <v>0</v>
      </c>
      <c r="E8" s="3">
        <v>24773897</v>
      </c>
      <c r="F8" s="3">
        <v>50398965.149999999</v>
      </c>
    </row>
    <row r="9" spans="1:6" x14ac:dyDescent="0.3">
      <c r="A9" s="2" t="s">
        <v>11</v>
      </c>
      <c r="B9" s="3">
        <f t="shared" si="0"/>
        <v>-14120669</v>
      </c>
      <c r="C9" s="3">
        <v>0</v>
      </c>
      <c r="D9" s="3">
        <v>0</v>
      </c>
      <c r="E9" s="3">
        <v>14120669</v>
      </c>
      <c r="F9" s="3">
        <v>28371804.800000001</v>
      </c>
    </row>
    <row r="10" spans="1:6" x14ac:dyDescent="0.3">
      <c r="A10" s="2" t="s">
        <v>12</v>
      </c>
      <c r="B10" s="3">
        <f t="shared" si="0"/>
        <v>-51264615</v>
      </c>
      <c r="C10" s="3">
        <v>0</v>
      </c>
      <c r="D10" s="3">
        <v>0</v>
      </c>
      <c r="E10" s="3">
        <v>51264615</v>
      </c>
      <c r="F10" s="3">
        <v>97696128.200000003</v>
      </c>
    </row>
    <row r="11" spans="1:6" x14ac:dyDescent="0.3">
      <c r="A11" s="2" t="s">
        <v>13</v>
      </c>
      <c r="B11" s="3">
        <f t="shared" si="0"/>
        <v>-26074632</v>
      </c>
      <c r="C11" s="3">
        <v>0</v>
      </c>
      <c r="D11" s="3">
        <v>0</v>
      </c>
      <c r="E11" s="3">
        <v>26074632</v>
      </c>
      <c r="F11" s="3">
        <v>49974491.5</v>
      </c>
    </row>
    <row r="12" spans="1:6" x14ac:dyDescent="0.3">
      <c r="A12" s="2" t="s">
        <v>14</v>
      </c>
      <c r="B12" s="3">
        <f t="shared" si="0"/>
        <v>-46847146</v>
      </c>
      <c r="C12" s="3">
        <v>0</v>
      </c>
      <c r="D12" s="3">
        <v>0</v>
      </c>
      <c r="E12" s="3">
        <v>46847146</v>
      </c>
      <c r="F12" s="3">
        <v>90120424</v>
      </c>
    </row>
    <row r="13" spans="1:6" x14ac:dyDescent="0.3">
      <c r="A13" s="2" t="s">
        <v>15</v>
      </c>
      <c r="B13" s="3">
        <f t="shared" si="0"/>
        <v>-31246675</v>
      </c>
      <c r="C13" s="3">
        <v>0</v>
      </c>
      <c r="D13" s="3">
        <v>0</v>
      </c>
      <c r="E13" s="3">
        <v>31246675</v>
      </c>
      <c r="F13" s="3">
        <v>58900000.5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-251264959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251264959</v>
      </c>
      <c r="F15" s="5">
        <f t="shared" si="2"/>
        <v>486817605.94999999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0</v>
      </c>
      <c r="C4" s="3"/>
      <c r="D4" s="3"/>
      <c r="E4" s="3"/>
      <c r="F4" s="3"/>
    </row>
    <row r="5" spans="1:6" x14ac:dyDescent="0.3">
      <c r="A5" s="2" t="s">
        <v>7</v>
      </c>
      <c r="B5" s="3">
        <f t="shared" si="0"/>
        <v>-79</v>
      </c>
      <c r="C5" s="3">
        <v>0</v>
      </c>
      <c r="D5" s="3">
        <v>0</v>
      </c>
      <c r="E5" s="3">
        <v>79</v>
      </c>
      <c r="F5" s="3">
        <v>3</v>
      </c>
    </row>
    <row r="6" spans="1:6" x14ac:dyDescent="0.3">
      <c r="A6" s="2" t="s">
        <v>8</v>
      </c>
      <c r="B6" s="3">
        <f t="shared" si="0"/>
        <v>-27514950</v>
      </c>
      <c r="C6" s="3">
        <v>0</v>
      </c>
      <c r="D6" s="3">
        <v>0</v>
      </c>
      <c r="E6" s="3">
        <v>27514950</v>
      </c>
      <c r="F6" s="3">
        <v>60900008.100000001</v>
      </c>
    </row>
    <row r="7" spans="1:6" x14ac:dyDescent="0.3">
      <c r="A7" s="2" t="s">
        <v>9</v>
      </c>
      <c r="B7" s="3">
        <f t="shared" si="0"/>
        <v>-25185578</v>
      </c>
      <c r="C7" s="3">
        <v>0</v>
      </c>
      <c r="D7" s="3">
        <v>0</v>
      </c>
      <c r="E7" s="3">
        <v>25185578</v>
      </c>
      <c r="F7" s="3">
        <v>60900004.5</v>
      </c>
    </row>
    <row r="8" spans="1:6" x14ac:dyDescent="0.3">
      <c r="A8" s="2" t="s">
        <v>10</v>
      </c>
      <c r="B8" s="3">
        <f t="shared" si="0"/>
        <v>-25522296</v>
      </c>
      <c r="C8" s="3">
        <v>0</v>
      </c>
      <c r="D8" s="3">
        <v>0</v>
      </c>
      <c r="E8" s="3">
        <v>25522296</v>
      </c>
      <c r="F8" s="3">
        <v>60900002</v>
      </c>
    </row>
    <row r="9" spans="1:6" x14ac:dyDescent="0.3">
      <c r="A9" s="2" t="s">
        <v>11</v>
      </c>
      <c r="B9" s="3">
        <f t="shared" si="0"/>
        <v>-49131855</v>
      </c>
      <c r="C9" s="3">
        <v>0</v>
      </c>
      <c r="D9" s="3">
        <v>0</v>
      </c>
      <c r="E9" s="3">
        <v>49131855</v>
      </c>
      <c r="F9" s="3">
        <v>106640947</v>
      </c>
    </row>
    <row r="10" spans="1:6" x14ac:dyDescent="0.3">
      <c r="A10" s="2" t="s">
        <v>12</v>
      </c>
      <c r="B10" s="3">
        <f t="shared" si="0"/>
        <v>-29834341</v>
      </c>
      <c r="C10" s="3">
        <v>0</v>
      </c>
      <c r="D10" s="3">
        <v>0</v>
      </c>
      <c r="E10" s="3">
        <v>29834341</v>
      </c>
      <c r="F10" s="3">
        <v>64014790.799999997</v>
      </c>
    </row>
    <row r="11" spans="1:6" x14ac:dyDescent="0.3">
      <c r="A11" s="2" t="s">
        <v>13</v>
      </c>
      <c r="B11" s="3">
        <f t="shared" si="0"/>
        <v>-18382275</v>
      </c>
      <c r="C11" s="3">
        <v>0</v>
      </c>
      <c r="D11" s="3">
        <v>0</v>
      </c>
      <c r="E11" s="3">
        <v>18382275</v>
      </c>
      <c r="F11" s="3">
        <v>38955215</v>
      </c>
    </row>
    <row r="12" spans="1:6" x14ac:dyDescent="0.3">
      <c r="A12" s="2" t="s">
        <v>14</v>
      </c>
      <c r="B12" s="3">
        <f t="shared" si="0"/>
        <v>-14562498</v>
      </c>
      <c r="C12" s="3">
        <v>0</v>
      </c>
      <c r="D12" s="3">
        <v>0</v>
      </c>
      <c r="E12" s="3">
        <v>14562498</v>
      </c>
      <c r="F12" s="3">
        <v>30677615</v>
      </c>
    </row>
    <row r="13" spans="1:6" x14ac:dyDescent="0.3">
      <c r="A13" s="2" t="s">
        <v>15</v>
      </c>
      <c r="B13" s="3">
        <f t="shared" si="0"/>
        <v>-705188</v>
      </c>
      <c r="C13" s="3">
        <v>0</v>
      </c>
      <c r="D13" s="3">
        <v>0</v>
      </c>
      <c r="E13" s="3">
        <v>705188</v>
      </c>
      <c r="F13" s="3">
        <v>1525487</v>
      </c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-190839060</v>
      </c>
      <c r="C15" s="5">
        <f t="shared" ref="C15" si="1">SUM(C3:C14)</f>
        <v>0</v>
      </c>
      <c r="D15" s="5">
        <f t="shared" ref="D15:F15" si="2">SUM(D3:D14)</f>
        <v>0</v>
      </c>
      <c r="E15" s="5">
        <f t="shared" si="2"/>
        <v>190839060</v>
      </c>
      <c r="F15" s="5">
        <f t="shared" si="2"/>
        <v>424514072.40000004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x14ac:dyDescent="0.3">
      <c r="A3" s="2" t="s">
        <v>5</v>
      </c>
      <c r="B3" s="3">
        <f>C3-E3</f>
        <v>0</v>
      </c>
      <c r="C3" s="3"/>
      <c r="D3" s="3"/>
      <c r="E3" s="3"/>
      <c r="F3" s="3"/>
    </row>
    <row r="4" spans="1:6" x14ac:dyDescent="0.3">
      <c r="A4" s="2" t="s">
        <v>6</v>
      </c>
      <c r="B4" s="3">
        <f t="shared" ref="B4:B14" si="0">C4-E4</f>
        <v>-24727296</v>
      </c>
      <c r="C4" s="3">
        <v>0</v>
      </c>
      <c r="D4" s="3">
        <v>0</v>
      </c>
      <c r="E4" s="3">
        <v>24727296</v>
      </c>
      <c r="F4" s="3">
        <v>48300004</v>
      </c>
    </row>
    <row r="5" spans="1:6" x14ac:dyDescent="0.3">
      <c r="A5" s="2" t="s">
        <v>7</v>
      </c>
      <c r="B5" s="3">
        <f t="shared" si="0"/>
        <v>-6042171</v>
      </c>
      <c r="C5" s="3">
        <v>0</v>
      </c>
      <c r="D5" s="3">
        <v>0</v>
      </c>
      <c r="E5" s="3">
        <v>6042171</v>
      </c>
      <c r="F5" s="3">
        <v>12600006</v>
      </c>
    </row>
    <row r="6" spans="1:6" x14ac:dyDescent="0.3">
      <c r="A6" s="2" t="s">
        <v>8</v>
      </c>
      <c r="B6" s="3">
        <f t="shared" si="0"/>
        <v>-40609942</v>
      </c>
      <c r="C6" s="3">
        <v>0</v>
      </c>
      <c r="D6" s="3">
        <v>0</v>
      </c>
      <c r="E6" s="3">
        <v>40609942</v>
      </c>
      <c r="F6" s="3">
        <v>88691716</v>
      </c>
    </row>
    <row r="7" spans="1:6" x14ac:dyDescent="0.3">
      <c r="A7" s="2" t="s">
        <v>9</v>
      </c>
      <c r="B7" s="3">
        <f t="shared" si="0"/>
        <v>-39077780</v>
      </c>
      <c r="C7" s="3">
        <v>0</v>
      </c>
      <c r="D7" s="3">
        <v>0</v>
      </c>
      <c r="E7" s="3">
        <v>39077780</v>
      </c>
      <c r="F7" s="3">
        <v>81933305</v>
      </c>
    </row>
    <row r="8" spans="1:6" x14ac:dyDescent="0.3">
      <c r="A8" s="2" t="s">
        <v>10</v>
      </c>
      <c r="B8" s="3">
        <f t="shared" si="0"/>
        <v>-31309350</v>
      </c>
      <c r="C8" s="3">
        <v>0</v>
      </c>
      <c r="D8" s="3">
        <v>0</v>
      </c>
      <c r="E8" s="3">
        <v>31309350</v>
      </c>
      <c r="F8" s="3">
        <v>64975002</v>
      </c>
    </row>
    <row r="9" spans="1:6" x14ac:dyDescent="0.3">
      <c r="A9" s="2" t="s">
        <v>11</v>
      </c>
      <c r="B9" s="3">
        <f t="shared" si="0"/>
        <v>-29450120</v>
      </c>
      <c r="C9" s="3">
        <v>0</v>
      </c>
      <c r="D9" s="3">
        <v>0</v>
      </c>
      <c r="E9" s="3">
        <v>29450120</v>
      </c>
      <c r="F9" s="3">
        <v>59250005</v>
      </c>
    </row>
    <row r="10" spans="1:6" x14ac:dyDescent="0.3">
      <c r="A10" s="2" t="s">
        <v>12</v>
      </c>
      <c r="B10" s="3">
        <f t="shared" si="0"/>
        <v>0</v>
      </c>
      <c r="C10" s="3"/>
      <c r="D10" s="3"/>
      <c r="E10" s="3"/>
      <c r="F10" s="3"/>
    </row>
    <row r="11" spans="1:6" x14ac:dyDescent="0.3">
      <c r="A11" s="2" t="s">
        <v>13</v>
      </c>
      <c r="B11" s="3">
        <f t="shared" si="0"/>
        <v>0</v>
      </c>
      <c r="C11" s="3"/>
      <c r="D11" s="3"/>
      <c r="E11" s="3"/>
      <c r="F11" s="3"/>
    </row>
    <row r="12" spans="1:6" x14ac:dyDescent="0.3">
      <c r="A12" s="2" t="s">
        <v>14</v>
      </c>
      <c r="B12" s="3">
        <f t="shared" si="0"/>
        <v>0</v>
      </c>
      <c r="C12" s="3"/>
      <c r="D12" s="3"/>
      <c r="E12" s="3"/>
      <c r="F12" s="3"/>
    </row>
    <row r="13" spans="1:6" x14ac:dyDescent="0.3">
      <c r="A13" s="2" t="s">
        <v>15</v>
      </c>
      <c r="B13" s="3">
        <f t="shared" si="0"/>
        <v>0</v>
      </c>
      <c r="C13" s="3"/>
      <c r="D13" s="3"/>
      <c r="E13" s="3"/>
      <c r="F13" s="3"/>
    </row>
    <row r="14" spans="1:6" x14ac:dyDescent="0.3">
      <c r="A14" s="2" t="s">
        <v>16</v>
      </c>
      <c r="B14" s="3">
        <f t="shared" si="0"/>
        <v>0</v>
      </c>
      <c r="C14" s="3"/>
      <c r="D14" s="3"/>
      <c r="E14" s="3"/>
      <c r="F14" s="3"/>
    </row>
    <row r="15" spans="1:6" ht="17.25" thickBot="1" x14ac:dyDescent="0.35">
      <c r="A15" s="4" t="s">
        <v>17</v>
      </c>
      <c r="B15" s="5">
        <f>SUM(B3:B14)</f>
        <v>-171216659</v>
      </c>
      <c r="C15" s="5">
        <f t="shared" ref="C15:F15" si="1">SUM(C3:C14)</f>
        <v>0</v>
      </c>
      <c r="D15" s="5">
        <f t="shared" si="1"/>
        <v>0</v>
      </c>
      <c r="E15" s="5">
        <f t="shared" si="1"/>
        <v>171216659</v>
      </c>
      <c r="F15" s="5">
        <f t="shared" si="1"/>
        <v>355750038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2026-06-01T00:19:24Z</dcterms:created>
  <dcterms:modified xsi:type="dcterms:W3CDTF">2026-08-23T08:22:45Z</dcterms:modified>
</cp:coreProperties>
</file>