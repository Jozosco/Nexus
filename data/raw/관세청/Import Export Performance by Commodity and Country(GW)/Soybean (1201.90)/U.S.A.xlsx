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채유 및 탈지대두박용(.1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7" l="1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<sst xmlns="http://schemas.openxmlformats.org/spreadsheetml/2006/main" count="306" uniqueCount="37">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</sst>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28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-6775994</v>
      </c>
      <c r="C3" s="3">
        <v>0</v>
      </c>
      <c r="D3" s="3">
        <v>0</v>
      </c>
      <c r="E3" s="3">
        <v>6775994</v>
      </c>
      <c r="F3" s="3">
        <v>13486383</v>
      </c>
    </row>
    <row r="4" spans="1:6" x14ac:dyDescent="0.3">
      <c r="A4" s="2" t="s">
        <v>27</v>
      </c>
      <c r="B4" s="3">
        <f t="shared" ref="B4:B14" si="0">C4-E4</f>
        <v>-6807816</v>
      </c>
      <c r="C4" s="3">
        <v>0</v>
      </c>
      <c r="D4" s="3">
        <v>0</v>
      </c>
      <c r="E4" s="3">
        <v>6807816</v>
      </c>
      <c r="F4" s="3">
        <v>13945533</v>
      </c>
    </row>
    <row r="5" spans="1:6" x14ac:dyDescent="0.3">
      <c r="A5" s="2" t="s">
        <v>33</v>
      </c>
      <c r="B5" s="3">
        <f t="shared" si="0"/>
        <v>-19529892</v>
      </c>
      <c r="C5" s="3">
        <v>0</v>
      </c>
      <c r="D5" s="3">
        <v>0</v>
      </c>
      <c r="E5" s="3">
        <v>19529892</v>
      </c>
      <c r="F5" s="3">
        <v>37799841</v>
      </c>
    </row>
    <row r="6" spans="1:6" x14ac:dyDescent="0.3">
      <c r="A6" s="2" t="s">
        <v>8</v>
      </c>
      <c r="B6" s="3">
        <f t="shared" si="0"/>
        <v>-9624356</v>
      </c>
      <c r="C6" s="3">
        <v>0</v>
      </c>
      <c r="D6" s="3">
        <v>0</v>
      </c>
      <c r="E6" s="3">
        <v>9624356</v>
      </c>
      <c r="F6" s="3">
        <v>18949927</v>
      </c>
    </row>
    <row r="7" spans="1:6" x14ac:dyDescent="0.3">
      <c r="A7" s="2" t="s">
        <v>9</v>
      </c>
      <c r="B7" s="3">
        <f t="shared" si="0"/>
        <v>-26841958</v>
      </c>
      <c r="C7" s="3">
        <v>0</v>
      </c>
      <c r="D7" s="3">
        <v>0</v>
      </c>
      <c r="E7" s="3">
        <v>26841958</v>
      </c>
      <c r="F7" s="3">
        <v>50672123</v>
      </c>
    </row>
    <row r="8" spans="1:6" x14ac:dyDescent="0.3">
      <c r="A8" s="2" t="s">
        <v>10</v>
      </c>
      <c r="B8" s="3">
        <f t="shared" si="0"/>
        <v>-22404708</v>
      </c>
      <c r="C8" s="3">
        <v>0</v>
      </c>
      <c r="D8" s="3">
        <v>0</v>
      </c>
      <c r="E8" s="3">
        <v>22404708</v>
      </c>
      <c r="F8" s="3">
        <v>38463422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-16</v>
      </c>
      <c r="C10" s="3">
        <v>0</v>
      </c>
      <c r="D10" s="3">
        <v>0</v>
      </c>
      <c r="E10" s="3">
        <v>16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-16</v>
      </c>
      <c r="C12" s="3">
        <v>0</v>
      </c>
      <c r="D12" s="3">
        <v>0</v>
      </c>
      <c r="E12" s="3">
        <v>16</v>
      </c>
      <c r="F12" s="3">
        <v>1</v>
      </c>
    </row>
    <row r="13" spans="1:6" x14ac:dyDescent="0.3">
      <c r="A13" s="2" t="s">
        <v>15</v>
      </c>
      <c r="B13" s="3">
        <f t="shared" si="0"/>
        <v>-39933184</v>
      </c>
      <c r="C13" s="3">
        <v>0</v>
      </c>
      <c r="D13" s="3">
        <v>0</v>
      </c>
      <c r="E13" s="3">
        <v>39933184</v>
      </c>
      <c r="F13" s="3">
        <v>59796338</v>
      </c>
    </row>
    <row r="14" spans="1:6" x14ac:dyDescent="0.3">
      <c r="A14" s="2" t="s">
        <v>16</v>
      </c>
      <c r="B14" s="3">
        <f t="shared" si="0"/>
        <v>-49197959</v>
      </c>
      <c r="C14" s="3">
        <v>0</v>
      </c>
      <c r="D14" s="3">
        <v>0</v>
      </c>
      <c r="E14" s="3">
        <v>49197959</v>
      </c>
      <c r="F14" s="3">
        <v>71921943</v>
      </c>
    </row>
    <row r="15" spans="1:6" ht="17.25" thickBot="1" x14ac:dyDescent="0.35">
      <c r="A15" s="4" t="s">
        <v>34</v>
      </c>
      <c r="B15" s="5">
        <f>SUM(B3:B14)</f>
        <v>-181115899</v>
      </c>
      <c r="C15" s="5">
        <f t="shared" ref="C15:F15" si="1">SUM(C3:C14)</f>
        <v>0</v>
      </c>
      <c r="D15" s="5">
        <f t="shared" si="1"/>
        <v>0</v>
      </c>
      <c r="E15" s="5">
        <f t="shared" si="1"/>
        <v>181115899</v>
      </c>
      <c r="F15" s="5">
        <f t="shared" si="1"/>
        <v>305035513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-57551098</v>
      </c>
      <c r="C3" s="3">
        <v>0</v>
      </c>
      <c r="D3" s="3">
        <v>0</v>
      </c>
      <c r="E3" s="3">
        <v>57551098</v>
      </c>
      <c r="F3" s="3">
        <v>86282238</v>
      </c>
    </row>
    <row r="4" spans="1:6" x14ac:dyDescent="0.3">
      <c r="A4" s="2" t="s">
        <v>27</v>
      </c>
      <c r="B4" s="3">
        <f t="shared" si="0"/>
        <v>-39456809</v>
      </c>
      <c r="C4" s="3">
        <v>0</v>
      </c>
      <c r="D4" s="3">
        <v>0</v>
      </c>
      <c r="E4" s="3">
        <v>39456809</v>
      </c>
      <c r="F4" s="3">
        <v>63227691</v>
      </c>
    </row>
    <row r="5" spans="1:6" x14ac:dyDescent="0.3">
      <c r="A5" s="2" t="s">
        <v>33</v>
      </c>
      <c r="B5" s="3">
        <f t="shared" si="0"/>
        <v>-42182524</v>
      </c>
      <c r="C5" s="3">
        <v>0</v>
      </c>
      <c r="D5" s="3">
        <v>0</v>
      </c>
      <c r="E5" s="3">
        <v>42182524</v>
      </c>
      <c r="F5" s="3">
        <v>69267282</v>
      </c>
    </row>
    <row r="6" spans="1:6" x14ac:dyDescent="0.3">
      <c r="A6" s="2" t="s">
        <v>8</v>
      </c>
      <c r="B6" s="3">
        <f t="shared" si="0"/>
        <v>-14010141</v>
      </c>
      <c r="C6" s="3">
        <v>0</v>
      </c>
      <c r="D6" s="3">
        <v>0</v>
      </c>
      <c r="E6" s="3">
        <v>14010141</v>
      </c>
      <c r="F6" s="3">
        <v>23116294</v>
      </c>
    </row>
    <row r="7" spans="1:6" x14ac:dyDescent="0.3">
      <c r="A7" s="2" t="s">
        <v>9</v>
      </c>
      <c r="B7" s="3">
        <f t="shared" si="0"/>
        <v>-332524</v>
      </c>
      <c r="C7" s="3">
        <v>0</v>
      </c>
      <c r="D7" s="3">
        <v>0</v>
      </c>
      <c r="E7" s="3">
        <v>332524</v>
      </c>
      <c r="F7" s="3">
        <v>550001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-13</v>
      </c>
      <c r="C12" s="3">
        <v>0</v>
      </c>
      <c r="D12" s="3">
        <v>0</v>
      </c>
      <c r="E12" s="3">
        <v>13</v>
      </c>
      <c r="F12" s="3">
        <v>0</v>
      </c>
    </row>
    <row r="13" spans="1:6" x14ac:dyDescent="0.3">
      <c r="A13" s="2" t="s">
        <v>15</v>
      </c>
      <c r="B13" s="3">
        <f t="shared" si="0"/>
        <v>-41</v>
      </c>
      <c r="C13" s="3">
        <v>0</v>
      </c>
      <c r="D13" s="3">
        <v>0</v>
      </c>
      <c r="E13" s="3">
        <v>41</v>
      </c>
      <c r="F13" s="3">
        <v>2</v>
      </c>
    </row>
    <row r="14" spans="1:6" x14ac:dyDescent="0.3">
      <c r="A14" s="2" t="s">
        <v>16</v>
      </c>
      <c r="B14" s="3">
        <f t="shared" si="0"/>
        <v>-57949105</v>
      </c>
      <c r="C14" s="3">
        <v>0</v>
      </c>
      <c r="D14" s="3">
        <v>0</v>
      </c>
      <c r="E14" s="3">
        <v>57949105</v>
      </c>
      <c r="F14" s="3">
        <v>99890619</v>
      </c>
    </row>
    <row r="15" spans="1:6" ht="17.25" thickBot="1" x14ac:dyDescent="0.35">
      <c r="A15" s="4" t="s">
        <v>36</v>
      </c>
      <c r="B15" s="5">
        <f>SUM(B3:B14)</f>
        <v>-211482255</v>
      </c>
      <c r="C15" s="5">
        <f t="shared" ref="C15:F15" si="1">SUM(C3:C14)</f>
        <v>0</v>
      </c>
      <c r="D15" s="5">
        <f t="shared" si="1"/>
        <v>0</v>
      </c>
      <c r="E15" s="5">
        <f t="shared" si="1"/>
        <v>211482255</v>
      </c>
      <c r="F15" s="5">
        <f t="shared" si="1"/>
        <v>342334127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-31848017</v>
      </c>
      <c r="C3" s="3">
        <v>0</v>
      </c>
      <c r="D3" s="3">
        <v>0</v>
      </c>
      <c r="E3" s="3">
        <v>31848017</v>
      </c>
      <c r="F3" s="3">
        <v>56139276</v>
      </c>
    </row>
    <row r="4" spans="1:6" x14ac:dyDescent="0.3">
      <c r="A4" s="2" t="s">
        <v>27</v>
      </c>
      <c r="B4" s="3">
        <f t="shared" si="0"/>
        <v>-49016546</v>
      </c>
      <c r="C4" s="3">
        <v>0</v>
      </c>
      <c r="D4" s="3">
        <v>0</v>
      </c>
      <c r="E4" s="3">
        <v>49016546</v>
      </c>
      <c r="F4" s="3">
        <v>85772439</v>
      </c>
    </row>
    <row r="5" spans="1:6" x14ac:dyDescent="0.3">
      <c r="A5" s="2" t="s">
        <v>33</v>
      </c>
      <c r="B5" s="3">
        <f t="shared" si="0"/>
        <v>-46531996</v>
      </c>
      <c r="C5" s="3">
        <v>0</v>
      </c>
      <c r="D5" s="3">
        <v>0</v>
      </c>
      <c r="E5" s="3">
        <v>46531996</v>
      </c>
      <c r="F5" s="3">
        <v>78981704</v>
      </c>
    </row>
    <row r="6" spans="1:6" x14ac:dyDescent="0.3">
      <c r="A6" s="2" t="s">
        <v>8</v>
      </c>
      <c r="B6" s="3">
        <f t="shared" si="0"/>
        <v>-26011392</v>
      </c>
      <c r="C6" s="3">
        <v>0</v>
      </c>
      <c r="D6" s="3">
        <v>0</v>
      </c>
      <c r="E6" s="3">
        <v>26011392</v>
      </c>
      <c r="F6" s="3">
        <v>44885944</v>
      </c>
    </row>
    <row r="7" spans="1:6" x14ac:dyDescent="0.3">
      <c r="A7" s="2" t="s">
        <v>9</v>
      </c>
      <c r="B7" s="3">
        <f t="shared" si="0"/>
        <v>-1637999</v>
      </c>
      <c r="C7" s="3">
        <v>0</v>
      </c>
      <c r="D7" s="3">
        <v>0</v>
      </c>
      <c r="E7" s="3">
        <v>1637999</v>
      </c>
      <c r="F7" s="3">
        <v>2834966</v>
      </c>
    </row>
    <row r="8" spans="1:6" x14ac:dyDescent="0.3">
      <c r="A8" s="2" t="s">
        <v>10</v>
      </c>
      <c r="B8" s="3">
        <f t="shared" si="0"/>
        <v>-2298896</v>
      </c>
      <c r="C8" s="3">
        <v>0</v>
      </c>
      <c r="D8" s="3">
        <v>0</v>
      </c>
      <c r="E8" s="3">
        <v>2298896</v>
      </c>
      <c r="F8" s="3">
        <v>4000000</v>
      </c>
    </row>
    <row r="9" spans="1:6" x14ac:dyDescent="0.3">
      <c r="A9" s="2" t="s">
        <v>11</v>
      </c>
      <c r="B9" s="3">
        <f t="shared" si="0"/>
        <v>-14</v>
      </c>
      <c r="C9" s="3">
        <v>0</v>
      </c>
      <c r="D9" s="3">
        <v>0</v>
      </c>
      <c r="E9" s="3">
        <v>14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-14</v>
      </c>
      <c r="C12" s="3">
        <v>0</v>
      </c>
      <c r="D12" s="3">
        <v>0</v>
      </c>
      <c r="E12" s="3">
        <v>14</v>
      </c>
      <c r="F12" s="3">
        <v>1</v>
      </c>
    </row>
    <row r="13" spans="1:6" x14ac:dyDescent="0.3">
      <c r="A13" s="2" t="s">
        <v>15</v>
      </c>
      <c r="B13" s="3">
        <f t="shared" si="0"/>
        <v>-130</v>
      </c>
      <c r="C13" s="3">
        <v>0</v>
      </c>
      <c r="D13" s="3">
        <v>0</v>
      </c>
      <c r="E13" s="3">
        <v>130</v>
      </c>
      <c r="F13" s="3">
        <v>2</v>
      </c>
    </row>
    <row r="14" spans="1:6" x14ac:dyDescent="0.3">
      <c r="A14" s="2" t="s">
        <v>16</v>
      </c>
      <c r="B14" s="3">
        <f t="shared" si="0"/>
        <v>-52770196</v>
      </c>
      <c r="C14" s="3">
        <v>0</v>
      </c>
      <c r="D14" s="3">
        <v>0</v>
      </c>
      <c r="E14" s="3">
        <v>52770196</v>
      </c>
      <c r="F14" s="3">
        <v>104477535</v>
      </c>
    </row>
    <row r="15" spans="1:6" ht="17.25" thickBot="1" x14ac:dyDescent="0.35">
      <c r="A15" s="4" t="s">
        <v>36</v>
      </c>
      <c r="B15" s="5">
        <f>SUM(B3:B14)</f>
        <v>-210115200</v>
      </c>
      <c r="C15" s="5">
        <f t="shared" ref="C15:F15" si="1">SUM(C3:C14)</f>
        <v>0</v>
      </c>
      <c r="D15" s="5">
        <f t="shared" si="1"/>
        <v>0</v>
      </c>
      <c r="E15" s="5">
        <f t="shared" si="1"/>
        <v>210115200</v>
      </c>
      <c r="F15" s="5">
        <f t="shared" si="1"/>
        <v>377091868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-31841883</v>
      </c>
      <c r="C3" s="3">
        <v>0</v>
      </c>
      <c r="D3" s="3">
        <v>0</v>
      </c>
      <c r="E3" s="3">
        <v>31841883</v>
      </c>
      <c r="F3" s="3">
        <v>67797726</v>
      </c>
    </row>
    <row r="4" spans="1:6" x14ac:dyDescent="0.3">
      <c r="A4" s="2" t="s">
        <v>19</v>
      </c>
      <c r="B4" s="3">
        <f t="shared" si="0"/>
        <v>-27965727</v>
      </c>
      <c r="C4" s="3">
        <v>0</v>
      </c>
      <c r="D4" s="3">
        <v>0</v>
      </c>
      <c r="E4" s="3">
        <v>27965727</v>
      </c>
      <c r="F4" s="3">
        <v>58779947</v>
      </c>
    </row>
    <row r="5" spans="1:6" x14ac:dyDescent="0.3">
      <c r="A5" s="2" t="s">
        <v>7</v>
      </c>
      <c r="B5" s="3">
        <f t="shared" si="0"/>
        <v>-34683399</v>
      </c>
      <c r="C5" s="3">
        <v>0</v>
      </c>
      <c r="D5" s="3">
        <v>0</v>
      </c>
      <c r="E5" s="3">
        <v>34683399</v>
      </c>
      <c r="F5" s="3">
        <v>72491111</v>
      </c>
    </row>
    <row r="6" spans="1:6" x14ac:dyDescent="0.3">
      <c r="A6" s="2" t="s">
        <v>8</v>
      </c>
      <c r="B6" s="3">
        <f t="shared" si="0"/>
        <v>-10342446</v>
      </c>
      <c r="C6" s="3">
        <v>0</v>
      </c>
      <c r="D6" s="3">
        <v>0</v>
      </c>
      <c r="E6" s="3">
        <v>10342446</v>
      </c>
      <c r="F6" s="3">
        <v>22622507</v>
      </c>
    </row>
    <row r="7" spans="1:6" x14ac:dyDescent="0.3">
      <c r="A7" s="2" t="s">
        <v>9</v>
      </c>
      <c r="B7" s="3">
        <f t="shared" si="0"/>
        <v>-8</v>
      </c>
      <c r="C7" s="3">
        <v>0</v>
      </c>
      <c r="D7" s="3">
        <v>0</v>
      </c>
      <c r="E7" s="3">
        <v>8</v>
      </c>
      <c r="F7" s="3">
        <v>0</v>
      </c>
    </row>
    <row r="8" spans="1:6" x14ac:dyDescent="0.3">
      <c r="A8" s="2" t="s">
        <v>10</v>
      </c>
      <c r="B8" s="3">
        <f t="shared" si="0"/>
        <v>-10</v>
      </c>
      <c r="C8" s="3">
        <v>0</v>
      </c>
      <c r="D8" s="3">
        <v>0</v>
      </c>
      <c r="E8" s="3">
        <v>10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-13</v>
      </c>
      <c r="C10" s="3">
        <v>0</v>
      </c>
      <c r="D10" s="3">
        <v>0</v>
      </c>
      <c r="E10" s="3">
        <v>13</v>
      </c>
      <c r="F10" s="3">
        <v>0</v>
      </c>
    </row>
    <row r="11" spans="1:6" x14ac:dyDescent="0.3">
      <c r="A11" s="2" t="s">
        <v>13</v>
      </c>
      <c r="B11" s="3">
        <f t="shared" si="0"/>
        <v>-14</v>
      </c>
      <c r="C11" s="3">
        <v>0</v>
      </c>
      <c r="D11" s="3">
        <v>0</v>
      </c>
      <c r="E11" s="3">
        <v>14</v>
      </c>
      <c r="F11" s="3">
        <v>1</v>
      </c>
    </row>
    <row r="12" spans="1:6" x14ac:dyDescent="0.3">
      <c r="A12" s="2" t="s">
        <v>14</v>
      </c>
      <c r="B12" s="3">
        <f t="shared" si="0"/>
        <v>-18</v>
      </c>
      <c r="C12" s="3">
        <v>0</v>
      </c>
      <c r="D12" s="3">
        <v>0</v>
      </c>
      <c r="E12" s="3">
        <v>18</v>
      </c>
      <c r="F12" s="3">
        <v>2</v>
      </c>
    </row>
    <row r="13" spans="1:6" x14ac:dyDescent="0.3">
      <c r="A13" s="2" t="s">
        <v>15</v>
      </c>
      <c r="B13" s="3">
        <f t="shared" si="0"/>
        <v>-21</v>
      </c>
      <c r="C13" s="3">
        <v>0</v>
      </c>
      <c r="D13" s="3">
        <v>0</v>
      </c>
      <c r="E13" s="3">
        <v>21</v>
      </c>
      <c r="F13" s="3">
        <v>2</v>
      </c>
    </row>
    <row r="14" spans="1:6" x14ac:dyDescent="0.3">
      <c r="A14" s="2" t="s">
        <v>16</v>
      </c>
      <c r="B14" s="3">
        <f t="shared" si="0"/>
        <v>-22827644</v>
      </c>
      <c r="C14" s="3">
        <v>0</v>
      </c>
      <c r="D14" s="3">
        <v>0</v>
      </c>
      <c r="E14" s="3">
        <v>22827644</v>
      </c>
      <c r="F14" s="3">
        <v>57600425</v>
      </c>
    </row>
    <row r="15" spans="1:6" ht="17.25" thickBot="1" x14ac:dyDescent="0.35">
      <c r="A15" s="4" t="s">
        <v>20</v>
      </c>
      <c r="B15" s="5">
        <f>SUM(B3:B14)</f>
        <v>-127661183</v>
      </c>
      <c r="C15" s="5">
        <f t="shared" ref="C15:F15" si="1">SUM(C3:C14)</f>
        <v>0</v>
      </c>
      <c r="D15" s="5">
        <f t="shared" si="1"/>
        <v>0</v>
      </c>
      <c r="E15" s="5">
        <f t="shared" si="1"/>
        <v>127661183</v>
      </c>
      <c r="F15" s="5">
        <f t="shared" si="1"/>
        <v>279291721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-30211134</v>
      </c>
      <c r="C3" s="3">
        <v>0</v>
      </c>
      <c r="D3" s="3">
        <v>0</v>
      </c>
      <c r="E3" s="3">
        <v>30211134</v>
      </c>
      <c r="F3" s="3">
        <v>75499805</v>
      </c>
    </row>
    <row r="4" spans="1:6" x14ac:dyDescent="0.3">
      <c r="A4" s="2" t="s">
        <v>27</v>
      </c>
      <c r="B4" s="3">
        <f t="shared" si="0"/>
        <v>-31105345</v>
      </c>
      <c r="C4" s="3">
        <v>0</v>
      </c>
      <c r="D4" s="3">
        <v>0</v>
      </c>
      <c r="E4" s="3">
        <v>31105345</v>
      </c>
      <c r="F4" s="3">
        <v>78281339</v>
      </c>
    </row>
    <row r="5" spans="1:6" x14ac:dyDescent="0.3">
      <c r="A5" s="2" t="s">
        <v>33</v>
      </c>
      <c r="B5" s="3">
        <f t="shared" si="0"/>
        <v>-22678655</v>
      </c>
      <c r="C5" s="3">
        <v>0</v>
      </c>
      <c r="D5" s="3">
        <v>0</v>
      </c>
      <c r="E5" s="3">
        <v>22678655</v>
      </c>
      <c r="F5" s="3">
        <v>57654938</v>
      </c>
    </row>
    <row r="6" spans="1:6" x14ac:dyDescent="0.3">
      <c r="A6" s="2" t="s">
        <v>8</v>
      </c>
      <c r="B6" s="3">
        <f t="shared" si="0"/>
        <v>-7732961</v>
      </c>
      <c r="C6" s="3">
        <v>0</v>
      </c>
      <c r="D6" s="3">
        <v>0</v>
      </c>
      <c r="E6" s="3">
        <v>7732961</v>
      </c>
      <c r="F6" s="3">
        <v>19509053</v>
      </c>
    </row>
    <row r="7" spans="1:6" x14ac:dyDescent="0.3">
      <c r="A7" s="2" t="s">
        <v>9</v>
      </c>
      <c r="B7" s="3">
        <f t="shared" si="0"/>
        <v>-1324933</v>
      </c>
      <c r="C7" s="3">
        <v>0</v>
      </c>
      <c r="D7" s="3">
        <v>0</v>
      </c>
      <c r="E7" s="3">
        <v>1324933</v>
      </c>
      <c r="F7" s="3">
        <v>3348363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-9590957</v>
      </c>
      <c r="C12" s="3">
        <v>0</v>
      </c>
      <c r="D12" s="3">
        <v>0</v>
      </c>
      <c r="E12" s="3">
        <v>9590957</v>
      </c>
      <c r="F12" s="3">
        <v>20492056</v>
      </c>
    </row>
    <row r="13" spans="1:6" x14ac:dyDescent="0.3">
      <c r="A13" s="2" t="s">
        <v>15</v>
      </c>
      <c r="B13" s="3">
        <f t="shared" si="0"/>
        <v>-37693816</v>
      </c>
      <c r="C13" s="3">
        <v>0</v>
      </c>
      <c r="D13" s="3">
        <v>0</v>
      </c>
      <c r="E13" s="3">
        <v>37693816</v>
      </c>
      <c r="F13" s="3">
        <v>84060429</v>
      </c>
    </row>
    <row r="14" spans="1:6" x14ac:dyDescent="0.3">
      <c r="A14" s="2" t="s">
        <v>16</v>
      </c>
      <c r="B14" s="3">
        <f t="shared" si="0"/>
        <v>-25468943</v>
      </c>
      <c r="C14" s="3">
        <v>0</v>
      </c>
      <c r="D14" s="3">
        <v>0</v>
      </c>
      <c r="E14" s="3">
        <v>25468943</v>
      </c>
      <c r="F14" s="3">
        <v>57846797</v>
      </c>
    </row>
    <row r="15" spans="1:6" ht="17.25" thickBot="1" x14ac:dyDescent="0.35">
      <c r="A15" s="4" t="s">
        <v>36</v>
      </c>
      <c r="B15" s="5">
        <f>SUM(B3:B14)</f>
        <v>-165806744</v>
      </c>
      <c r="C15" s="5">
        <f t="shared" ref="C15:F15" si="1">SUM(C3:C14)</f>
        <v>0</v>
      </c>
      <c r="D15" s="5">
        <f t="shared" si="1"/>
        <v>0</v>
      </c>
      <c r="E15" s="5">
        <f t="shared" si="1"/>
        <v>165806744</v>
      </c>
      <c r="F15" s="5">
        <f t="shared" si="1"/>
        <v>396692780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-30077737</v>
      </c>
      <c r="C3" s="3">
        <v>0</v>
      </c>
      <c r="D3" s="3">
        <v>0</v>
      </c>
      <c r="E3" s="3">
        <v>30077737</v>
      </c>
      <c r="F3" s="3">
        <v>69489911.599999994</v>
      </c>
    </row>
    <row r="4" spans="1:6" x14ac:dyDescent="0.3">
      <c r="A4" s="2" t="s">
        <v>6</v>
      </c>
      <c r="B4" s="3">
        <f t="shared" ref="B4:B14" si="0">C4-E4</f>
        <v>-27714768</v>
      </c>
      <c r="C4" s="3">
        <v>0</v>
      </c>
      <c r="D4" s="3">
        <v>0</v>
      </c>
      <c r="E4" s="3">
        <v>27714768</v>
      </c>
      <c r="F4" s="3">
        <v>63610730.25</v>
      </c>
    </row>
    <row r="5" spans="1:6" x14ac:dyDescent="0.3">
      <c r="A5" s="2" t="s">
        <v>7</v>
      </c>
      <c r="B5" s="3">
        <f t="shared" si="0"/>
        <v>-41539153</v>
      </c>
      <c r="C5" s="3">
        <v>0</v>
      </c>
      <c r="D5" s="3">
        <v>0</v>
      </c>
      <c r="E5" s="3">
        <v>41539153</v>
      </c>
      <c r="F5" s="3">
        <v>93103564.170000002</v>
      </c>
    </row>
    <row r="6" spans="1:6" x14ac:dyDescent="0.3">
      <c r="A6" s="2" t="s">
        <v>8</v>
      </c>
      <c r="B6" s="3">
        <f t="shared" si="0"/>
        <v>-20467603</v>
      </c>
      <c r="C6" s="3">
        <v>0</v>
      </c>
      <c r="D6" s="3">
        <v>0</v>
      </c>
      <c r="E6" s="3">
        <v>20467603</v>
      </c>
      <c r="F6" s="3">
        <v>46810588</v>
      </c>
    </row>
    <row r="7" spans="1:6" x14ac:dyDescent="0.3">
      <c r="A7" s="2" t="s">
        <v>9</v>
      </c>
      <c r="B7" s="3">
        <f t="shared" si="0"/>
        <v>-6895544</v>
      </c>
      <c r="C7" s="3">
        <v>0</v>
      </c>
      <c r="D7" s="3">
        <v>0</v>
      </c>
      <c r="E7" s="3">
        <v>6895544</v>
      </c>
      <c r="F7" s="3">
        <v>15749162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-136</v>
      </c>
      <c r="C13" s="3">
        <v>0</v>
      </c>
      <c r="D13" s="3">
        <v>0</v>
      </c>
      <c r="E13" s="3">
        <v>136</v>
      </c>
      <c r="F13" s="3">
        <v>11.8</v>
      </c>
    </row>
    <row r="14" spans="1:6" x14ac:dyDescent="0.3">
      <c r="A14" s="2" t="s">
        <v>16</v>
      </c>
      <c r="B14" s="3">
        <f t="shared" si="0"/>
        <v>-41690498</v>
      </c>
      <c r="C14" s="3">
        <v>0</v>
      </c>
      <c r="D14" s="3">
        <v>0</v>
      </c>
      <c r="E14" s="3">
        <v>41690498</v>
      </c>
      <c r="F14" s="3">
        <v>99770873.900000006</v>
      </c>
    </row>
    <row r="15" spans="1:6" ht="17.25" thickBot="1" x14ac:dyDescent="0.35">
      <c r="A15" s="4" t="s">
        <v>17</v>
      </c>
      <c r="B15" s="5">
        <f>SUM(B3:B14)</f>
        <v>-168385439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168385439</v>
      </c>
      <c r="F15" s="5">
        <f t="shared" si="2"/>
        <v>388534841.72000003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-36136322</v>
      </c>
      <c r="C3" s="3">
        <v>0</v>
      </c>
      <c r="D3" s="3">
        <v>0</v>
      </c>
      <c r="E3" s="3">
        <v>36136322</v>
      </c>
      <c r="F3" s="3">
        <v>86099218.450000003</v>
      </c>
    </row>
    <row r="4" spans="1:6" x14ac:dyDescent="0.3">
      <c r="A4" s="2" t="s">
        <v>6</v>
      </c>
      <c r="B4" s="3">
        <f t="shared" ref="B4:B14" si="0">C4-E4</f>
        <v>-23702505</v>
      </c>
      <c r="C4" s="3">
        <v>0</v>
      </c>
      <c r="D4" s="3">
        <v>0</v>
      </c>
      <c r="E4" s="3">
        <v>23702505</v>
      </c>
      <c r="F4" s="3">
        <v>55039052.600000001</v>
      </c>
    </row>
    <row r="5" spans="1:6" x14ac:dyDescent="0.3">
      <c r="A5" s="2" t="s">
        <v>7</v>
      </c>
      <c r="B5" s="3">
        <f t="shared" si="0"/>
        <v>-33034897</v>
      </c>
      <c r="C5" s="3">
        <v>0</v>
      </c>
      <c r="D5" s="3">
        <v>0</v>
      </c>
      <c r="E5" s="3">
        <v>33034897</v>
      </c>
      <c r="F5" s="3">
        <v>78076558.75</v>
      </c>
    </row>
    <row r="6" spans="1:6" x14ac:dyDescent="0.3">
      <c r="A6" s="2" t="s">
        <v>8</v>
      </c>
      <c r="B6" s="3">
        <f t="shared" si="0"/>
        <v>-24922200</v>
      </c>
      <c r="C6" s="3">
        <v>0</v>
      </c>
      <c r="D6" s="3">
        <v>0</v>
      </c>
      <c r="E6" s="3">
        <v>24922200</v>
      </c>
      <c r="F6" s="3">
        <v>59820670.75</v>
      </c>
    </row>
    <row r="7" spans="1:6" x14ac:dyDescent="0.3">
      <c r="A7" s="2" t="s">
        <v>9</v>
      </c>
      <c r="B7" s="3">
        <f t="shared" si="0"/>
        <v>-5823921</v>
      </c>
      <c r="C7" s="3">
        <v>0</v>
      </c>
      <c r="D7" s="3">
        <v>0</v>
      </c>
      <c r="E7" s="3">
        <v>5823921</v>
      </c>
      <c r="F7" s="3">
        <v>13932849.300000001</v>
      </c>
    </row>
    <row r="8" spans="1:6" x14ac:dyDescent="0.3">
      <c r="A8" s="2" t="s">
        <v>10</v>
      </c>
      <c r="B8" s="3">
        <f t="shared" si="0"/>
        <v>-2199550</v>
      </c>
      <c r="C8" s="3">
        <v>0</v>
      </c>
      <c r="D8" s="3">
        <v>0</v>
      </c>
      <c r="E8" s="3">
        <v>2199550</v>
      </c>
      <c r="F8" s="3">
        <v>5326471.0199999996</v>
      </c>
    </row>
    <row r="9" spans="1:6" x14ac:dyDescent="0.3">
      <c r="A9" s="2" t="s">
        <v>11</v>
      </c>
      <c r="B9" s="3">
        <f t="shared" si="0"/>
        <v>-23</v>
      </c>
      <c r="C9" s="3">
        <v>0</v>
      </c>
      <c r="D9" s="3">
        <v>0</v>
      </c>
      <c r="E9" s="3">
        <v>23</v>
      </c>
      <c r="F9" s="3">
        <v>2.2999999999999998</v>
      </c>
    </row>
    <row r="10" spans="1:6" x14ac:dyDescent="0.3">
      <c r="A10" s="2" t="s">
        <v>12</v>
      </c>
      <c r="B10" s="3">
        <f t="shared" si="0"/>
        <v>-73</v>
      </c>
      <c r="C10" s="3">
        <v>0</v>
      </c>
      <c r="D10" s="3">
        <v>0</v>
      </c>
      <c r="E10" s="3">
        <v>73</v>
      </c>
      <c r="F10" s="3">
        <v>5.05</v>
      </c>
    </row>
    <row r="11" spans="1:6" x14ac:dyDescent="0.3">
      <c r="A11" s="2" t="s">
        <v>13</v>
      </c>
      <c r="B11" s="3">
        <f t="shared" si="0"/>
        <v>-17380096</v>
      </c>
      <c r="C11" s="3">
        <v>0</v>
      </c>
      <c r="D11" s="3">
        <v>0</v>
      </c>
      <c r="E11" s="3">
        <v>17380096</v>
      </c>
      <c r="F11" s="3">
        <v>39309757.450000003</v>
      </c>
    </row>
    <row r="12" spans="1:6" x14ac:dyDescent="0.3">
      <c r="A12" s="2" t="s">
        <v>14</v>
      </c>
      <c r="B12" s="3">
        <f t="shared" si="0"/>
        <v>-22203576</v>
      </c>
      <c r="C12" s="3">
        <v>0</v>
      </c>
      <c r="D12" s="3">
        <v>0</v>
      </c>
      <c r="E12" s="3">
        <v>22203576</v>
      </c>
      <c r="F12" s="3">
        <v>50995420.5</v>
      </c>
    </row>
    <row r="13" spans="1:6" x14ac:dyDescent="0.3">
      <c r="A13" s="2" t="s">
        <v>15</v>
      </c>
      <c r="B13" s="3">
        <f t="shared" si="0"/>
        <v>-10535930</v>
      </c>
      <c r="C13" s="3">
        <v>0</v>
      </c>
      <c r="D13" s="3">
        <v>0</v>
      </c>
      <c r="E13" s="3">
        <v>10535930</v>
      </c>
      <c r="F13" s="3">
        <v>24899352.949999999</v>
      </c>
    </row>
    <row r="14" spans="1:6" x14ac:dyDescent="0.3">
      <c r="A14" s="2" t="s">
        <v>16</v>
      </c>
      <c r="B14" s="3">
        <f t="shared" si="0"/>
        <v>-48661741</v>
      </c>
      <c r="C14" s="3">
        <v>0</v>
      </c>
      <c r="D14" s="3">
        <v>0</v>
      </c>
      <c r="E14" s="3">
        <v>48661741</v>
      </c>
      <c r="F14" s="3">
        <v>115670698.51000001</v>
      </c>
    </row>
    <row r="15" spans="1:6" ht="17.25" thickBot="1" x14ac:dyDescent="0.35">
      <c r="A15" s="4" t="s">
        <v>17</v>
      </c>
      <c r="B15" s="5">
        <f>SUM(B3:B14)</f>
        <v>-224600834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224600834</v>
      </c>
      <c r="F15" s="5">
        <f t="shared" si="2"/>
        <v>529170057.63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-20732097</v>
      </c>
      <c r="C3" s="3">
        <v>0</v>
      </c>
      <c r="D3" s="3">
        <v>0</v>
      </c>
      <c r="E3" s="3">
        <v>20732097</v>
      </c>
      <c r="F3" s="3">
        <v>50000416.600000001</v>
      </c>
    </row>
    <row r="4" spans="1:6" x14ac:dyDescent="0.3">
      <c r="A4" s="2" t="s">
        <v>6</v>
      </c>
      <c r="B4" s="3">
        <f t="shared" ref="B4:B14" si="0">C4-E4</f>
        <v>-21268633</v>
      </c>
      <c r="C4" s="3">
        <v>0</v>
      </c>
      <c r="D4" s="3">
        <v>0</v>
      </c>
      <c r="E4" s="3">
        <v>21268633</v>
      </c>
      <c r="F4" s="3">
        <v>51618969.200000003</v>
      </c>
    </row>
    <row r="5" spans="1:6" x14ac:dyDescent="0.3">
      <c r="A5" s="2" t="s">
        <v>7</v>
      </c>
      <c r="B5" s="3">
        <f t="shared" si="0"/>
        <v>-40095613</v>
      </c>
      <c r="C5" s="3">
        <v>0</v>
      </c>
      <c r="D5" s="3">
        <v>0</v>
      </c>
      <c r="E5" s="3">
        <v>40095613</v>
      </c>
      <c r="F5" s="3">
        <v>99321522.75</v>
      </c>
    </row>
    <row r="6" spans="1:6" x14ac:dyDescent="0.3">
      <c r="A6" s="2" t="s">
        <v>8</v>
      </c>
      <c r="B6" s="3">
        <f t="shared" si="0"/>
        <v>-27793947</v>
      </c>
      <c r="C6" s="3">
        <v>0</v>
      </c>
      <c r="D6" s="3">
        <v>0</v>
      </c>
      <c r="E6" s="3">
        <v>27793947</v>
      </c>
      <c r="F6" s="3">
        <v>68917343</v>
      </c>
    </row>
    <row r="7" spans="1:6" x14ac:dyDescent="0.3">
      <c r="A7" s="2" t="s">
        <v>9</v>
      </c>
      <c r="B7" s="3">
        <f t="shared" si="0"/>
        <v>-44455822</v>
      </c>
      <c r="C7" s="3">
        <v>0</v>
      </c>
      <c r="D7" s="3">
        <v>0</v>
      </c>
      <c r="E7" s="3">
        <v>44455822</v>
      </c>
      <c r="F7" s="3">
        <v>112037780.15000001</v>
      </c>
    </row>
    <row r="8" spans="1:6" x14ac:dyDescent="0.3">
      <c r="A8" s="2" t="s">
        <v>10</v>
      </c>
      <c r="B8" s="3">
        <f t="shared" si="0"/>
        <v>-40651495</v>
      </c>
      <c r="C8" s="3">
        <v>0</v>
      </c>
      <c r="D8" s="3">
        <v>0</v>
      </c>
      <c r="E8" s="3">
        <v>40651495</v>
      </c>
      <c r="F8" s="3">
        <v>103229699.59999999</v>
      </c>
    </row>
    <row r="9" spans="1:6" x14ac:dyDescent="0.3">
      <c r="A9" s="2" t="s">
        <v>11</v>
      </c>
      <c r="B9" s="3">
        <f t="shared" si="0"/>
        <v>-21815405</v>
      </c>
      <c r="C9" s="3">
        <v>0</v>
      </c>
      <c r="D9" s="3">
        <v>0</v>
      </c>
      <c r="E9" s="3">
        <v>21815405</v>
      </c>
      <c r="F9" s="3">
        <v>56156175.75</v>
      </c>
    </row>
    <row r="10" spans="1:6" x14ac:dyDescent="0.3">
      <c r="A10" s="2" t="s">
        <v>12</v>
      </c>
      <c r="B10" s="3">
        <f t="shared" si="0"/>
        <v>-18082617</v>
      </c>
      <c r="C10" s="3">
        <v>0</v>
      </c>
      <c r="D10" s="3">
        <v>0</v>
      </c>
      <c r="E10" s="3">
        <v>18082617</v>
      </c>
      <c r="F10" s="3">
        <v>46555516.75</v>
      </c>
    </row>
    <row r="11" spans="1:6" x14ac:dyDescent="0.3">
      <c r="A11" s="2" t="s">
        <v>13</v>
      </c>
      <c r="B11" s="3">
        <f t="shared" si="0"/>
        <v>-18726730</v>
      </c>
      <c r="C11" s="3">
        <v>0</v>
      </c>
      <c r="D11" s="3">
        <v>0</v>
      </c>
      <c r="E11" s="3">
        <v>18726730</v>
      </c>
      <c r="F11" s="3">
        <v>49600003.200000003</v>
      </c>
    </row>
    <row r="12" spans="1:6" x14ac:dyDescent="0.3">
      <c r="A12" s="2" t="s">
        <v>14</v>
      </c>
      <c r="B12" s="3">
        <f t="shared" si="0"/>
        <v>-38951085</v>
      </c>
      <c r="C12" s="3">
        <v>0</v>
      </c>
      <c r="D12" s="3">
        <v>0</v>
      </c>
      <c r="E12" s="3">
        <v>38951085</v>
      </c>
      <c r="F12" s="3">
        <v>99264038.163000003</v>
      </c>
    </row>
    <row r="13" spans="1:6" x14ac:dyDescent="0.3">
      <c r="A13" s="2" t="s">
        <v>15</v>
      </c>
      <c r="B13" s="3">
        <f t="shared" si="0"/>
        <v>-24595215</v>
      </c>
      <c r="C13" s="3">
        <v>0</v>
      </c>
      <c r="D13" s="3">
        <v>0</v>
      </c>
      <c r="E13" s="3">
        <v>24595215</v>
      </c>
      <c r="F13" s="3">
        <v>62662517.806000002</v>
      </c>
    </row>
    <row r="14" spans="1:6" x14ac:dyDescent="0.3">
      <c r="A14" s="2" t="s">
        <v>16</v>
      </c>
      <c r="B14" s="3">
        <f t="shared" si="0"/>
        <v>-24549353</v>
      </c>
      <c r="C14" s="3">
        <v>0</v>
      </c>
      <c r="D14" s="3">
        <v>0</v>
      </c>
      <c r="E14" s="3">
        <v>24549353</v>
      </c>
      <c r="F14" s="3">
        <v>61204347.527000003</v>
      </c>
    </row>
    <row r="15" spans="1:6" ht="17.25" thickBot="1" x14ac:dyDescent="0.35">
      <c r="A15" s="4" t="s">
        <v>17</v>
      </c>
      <c r="B15" s="5">
        <f>SUM(B3:B14)</f>
        <v>-341718012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341718012</v>
      </c>
      <c r="F15" s="5">
        <f t="shared" si="2"/>
        <v>860568330.49600005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-34175987</v>
      </c>
      <c r="C3" s="3">
        <v>0</v>
      </c>
      <c r="D3" s="3">
        <v>0</v>
      </c>
      <c r="E3" s="3">
        <v>34175987</v>
      </c>
      <c r="F3" s="3">
        <v>84493997.394999996</v>
      </c>
    </row>
    <row r="4" spans="1:6" x14ac:dyDescent="0.3">
      <c r="A4" s="2" t="s">
        <v>6</v>
      </c>
      <c r="B4" s="3">
        <f t="shared" ref="B4:B14" si="0">C4-E4</f>
        <v>-24999193</v>
      </c>
      <c r="C4" s="3">
        <v>0</v>
      </c>
      <c r="D4" s="3">
        <v>0</v>
      </c>
      <c r="E4" s="3">
        <v>24999193</v>
      </c>
      <c r="F4" s="3">
        <v>61161108.049999997</v>
      </c>
    </row>
    <row r="5" spans="1:6" x14ac:dyDescent="0.3">
      <c r="A5" s="2" t="s">
        <v>7</v>
      </c>
      <c r="B5" s="3">
        <f t="shared" si="0"/>
        <v>-38120715</v>
      </c>
      <c r="C5" s="3">
        <v>0</v>
      </c>
      <c r="D5" s="3">
        <v>0</v>
      </c>
      <c r="E5" s="3">
        <v>38120715</v>
      </c>
      <c r="F5" s="3">
        <v>92519395.75</v>
      </c>
    </row>
    <row r="6" spans="1:6" x14ac:dyDescent="0.3">
      <c r="A6" s="2" t="s">
        <v>8</v>
      </c>
      <c r="B6" s="3">
        <f t="shared" si="0"/>
        <v>-13072308</v>
      </c>
      <c r="C6" s="3">
        <v>0</v>
      </c>
      <c r="D6" s="3">
        <v>0</v>
      </c>
      <c r="E6" s="3">
        <v>13072308</v>
      </c>
      <c r="F6" s="3">
        <v>32214901</v>
      </c>
    </row>
    <row r="7" spans="1:6" x14ac:dyDescent="0.3">
      <c r="A7" s="2" t="s">
        <v>9</v>
      </c>
      <c r="B7" s="3">
        <f t="shared" si="0"/>
        <v>-128340</v>
      </c>
      <c r="C7" s="3">
        <v>0</v>
      </c>
      <c r="D7" s="3">
        <v>0</v>
      </c>
      <c r="E7" s="3">
        <v>128340</v>
      </c>
      <c r="F7" s="3">
        <v>309959</v>
      </c>
    </row>
    <row r="8" spans="1:6" x14ac:dyDescent="0.3">
      <c r="A8" s="2" t="s">
        <v>10</v>
      </c>
      <c r="B8" s="3">
        <f t="shared" si="0"/>
        <v>-3080640</v>
      </c>
      <c r="C8" s="3">
        <v>0</v>
      </c>
      <c r="D8" s="3">
        <v>0</v>
      </c>
      <c r="E8" s="3">
        <v>3080640</v>
      </c>
      <c r="F8" s="3">
        <v>7699816</v>
      </c>
    </row>
    <row r="9" spans="1:6" x14ac:dyDescent="0.3">
      <c r="A9" s="2" t="s">
        <v>11</v>
      </c>
      <c r="B9" s="3">
        <f t="shared" si="0"/>
        <v>-1320276</v>
      </c>
      <c r="C9" s="3">
        <v>0</v>
      </c>
      <c r="D9" s="3">
        <v>0</v>
      </c>
      <c r="E9" s="3">
        <v>1320276</v>
      </c>
      <c r="F9" s="3">
        <v>3299921</v>
      </c>
    </row>
    <row r="10" spans="1:6" x14ac:dyDescent="0.3">
      <c r="A10" s="2" t="s">
        <v>12</v>
      </c>
      <c r="B10" s="3">
        <f t="shared" si="0"/>
        <v>-21</v>
      </c>
      <c r="C10" s="3">
        <v>0</v>
      </c>
      <c r="D10" s="3">
        <v>0</v>
      </c>
      <c r="E10" s="3">
        <v>21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-50</v>
      </c>
      <c r="C12" s="3">
        <v>0</v>
      </c>
      <c r="D12" s="3">
        <v>0</v>
      </c>
      <c r="E12" s="3">
        <v>50</v>
      </c>
      <c r="F12" s="3">
        <v>2.95</v>
      </c>
    </row>
    <row r="13" spans="1:6" x14ac:dyDescent="0.3">
      <c r="A13" s="2" t="s">
        <v>15</v>
      </c>
      <c r="B13" s="3">
        <f t="shared" si="0"/>
        <v>-19654956</v>
      </c>
      <c r="C13" s="3">
        <v>0</v>
      </c>
      <c r="D13" s="3">
        <v>0</v>
      </c>
      <c r="E13" s="3">
        <v>19654956</v>
      </c>
      <c r="F13" s="3">
        <v>47810031.899999999</v>
      </c>
    </row>
    <row r="14" spans="1:6" x14ac:dyDescent="0.3">
      <c r="A14" s="2" t="s">
        <v>16</v>
      </c>
      <c r="B14" s="3">
        <f t="shared" si="0"/>
        <v>-48099206</v>
      </c>
      <c r="C14" s="3">
        <v>0</v>
      </c>
      <c r="D14" s="3">
        <v>0</v>
      </c>
      <c r="E14" s="3">
        <v>48099206</v>
      </c>
      <c r="F14" s="3">
        <v>105608271</v>
      </c>
    </row>
    <row r="15" spans="1:6" ht="17.25" thickBot="1" x14ac:dyDescent="0.35">
      <c r="A15" s="4" t="s">
        <v>17</v>
      </c>
      <c r="B15" s="5">
        <f>SUM(B3:B14)</f>
        <v>-182651692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182651692</v>
      </c>
      <c r="F15" s="5">
        <f t="shared" si="2"/>
        <v>435117406.04499996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-12050650</v>
      </c>
      <c r="C3" s="3">
        <v>0</v>
      </c>
      <c r="D3" s="3">
        <v>0</v>
      </c>
      <c r="E3" s="3">
        <v>12050650</v>
      </c>
      <c r="F3" s="3">
        <v>26158434.350000001</v>
      </c>
    </row>
    <row r="4" spans="1:6" x14ac:dyDescent="0.3">
      <c r="A4" s="2" t="s">
        <v>6</v>
      </c>
      <c r="B4" s="3">
        <f t="shared" ref="B4:B14" si="0">C4-E4</f>
        <v>-56938517</v>
      </c>
      <c r="C4" s="3">
        <v>0</v>
      </c>
      <c r="D4" s="3">
        <v>0</v>
      </c>
      <c r="E4" s="3">
        <v>56938517</v>
      </c>
      <c r="F4" s="3">
        <v>115943097.90000001</v>
      </c>
    </row>
    <row r="5" spans="1:6" x14ac:dyDescent="0.3">
      <c r="A5" s="2" t="s">
        <v>7</v>
      </c>
      <c r="B5" s="3">
        <f t="shared" si="0"/>
        <v>-41592764</v>
      </c>
      <c r="C5" s="3">
        <v>0</v>
      </c>
      <c r="D5" s="3">
        <v>0</v>
      </c>
      <c r="E5" s="3">
        <v>41592764</v>
      </c>
      <c r="F5" s="3">
        <v>82380214.450000003</v>
      </c>
    </row>
    <row r="6" spans="1:6" x14ac:dyDescent="0.3">
      <c r="A6" s="2" t="s">
        <v>8</v>
      </c>
      <c r="B6" s="3">
        <f t="shared" si="0"/>
        <v>-29880278</v>
      </c>
      <c r="C6" s="3">
        <v>0</v>
      </c>
      <c r="D6" s="3">
        <v>0</v>
      </c>
      <c r="E6" s="3">
        <v>29880278</v>
      </c>
      <c r="F6" s="3">
        <v>54833405.299999997</v>
      </c>
    </row>
    <row r="7" spans="1:6" x14ac:dyDescent="0.3">
      <c r="A7" s="2" t="s">
        <v>9</v>
      </c>
      <c r="B7" s="3">
        <f t="shared" si="0"/>
        <v>-6129961</v>
      </c>
      <c r="C7" s="3">
        <v>0</v>
      </c>
      <c r="D7" s="3">
        <v>0</v>
      </c>
      <c r="E7" s="3">
        <v>6129961</v>
      </c>
      <c r="F7" s="3">
        <v>10343132.265000001</v>
      </c>
    </row>
    <row r="8" spans="1:6" x14ac:dyDescent="0.3">
      <c r="A8" s="2" t="s">
        <v>10</v>
      </c>
      <c r="B8" s="3">
        <f t="shared" si="0"/>
        <v>-23</v>
      </c>
      <c r="C8" s="3">
        <v>0</v>
      </c>
      <c r="D8" s="3">
        <v>0</v>
      </c>
      <c r="E8" s="3">
        <v>23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-61</v>
      </c>
      <c r="C13" s="3">
        <v>0</v>
      </c>
      <c r="D13" s="3">
        <v>0</v>
      </c>
      <c r="E13" s="3">
        <v>61</v>
      </c>
      <c r="F13" s="3">
        <v>5.05</v>
      </c>
    </row>
    <row r="14" spans="1:6" x14ac:dyDescent="0.3">
      <c r="A14" s="2" t="s">
        <v>16</v>
      </c>
      <c r="B14" s="3">
        <f t="shared" si="0"/>
        <v>-26642164</v>
      </c>
      <c r="C14" s="3">
        <v>0</v>
      </c>
      <c r="D14" s="3">
        <v>0</v>
      </c>
      <c r="E14" s="3">
        <v>26642164</v>
      </c>
      <c r="F14" s="3">
        <v>44463262.899999999</v>
      </c>
    </row>
    <row r="15" spans="1:6" ht="17.25" thickBot="1" x14ac:dyDescent="0.35">
      <c r="A15" s="4" t="s">
        <v>17</v>
      </c>
      <c r="B15" s="5">
        <f>SUM(B3:B14)</f>
        <v>-173234418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173234418</v>
      </c>
      <c r="F15" s="5">
        <f t="shared" si="2"/>
        <v>334121554.21499997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-52178290</v>
      </c>
      <c r="C3" s="3">
        <v>0</v>
      </c>
      <c r="D3" s="3">
        <v>0</v>
      </c>
      <c r="E3" s="3">
        <v>52178290</v>
      </c>
      <c r="F3" s="3">
        <v>88062159.75</v>
      </c>
    </row>
    <row r="4" spans="1:6" x14ac:dyDescent="0.3">
      <c r="A4" s="2" t="s">
        <v>6</v>
      </c>
      <c r="B4" s="3">
        <f t="shared" ref="B4:B14" si="0">C4-E4</f>
        <v>-34948725</v>
      </c>
      <c r="C4" s="3">
        <v>0</v>
      </c>
      <c r="D4" s="3">
        <v>0</v>
      </c>
      <c r="E4" s="3">
        <v>34948725</v>
      </c>
      <c r="F4" s="3">
        <v>59268904.899999999</v>
      </c>
    </row>
    <row r="5" spans="1:6" x14ac:dyDescent="0.3">
      <c r="A5" s="2" t="s">
        <v>7</v>
      </c>
      <c r="B5" s="3">
        <f t="shared" si="0"/>
        <v>-47394112</v>
      </c>
      <c r="C5" s="3">
        <v>0</v>
      </c>
      <c r="D5" s="3">
        <v>0</v>
      </c>
      <c r="E5" s="3">
        <v>47394112</v>
      </c>
      <c r="F5" s="3">
        <v>78923563.450000003</v>
      </c>
    </row>
    <row r="6" spans="1:6" x14ac:dyDescent="0.3">
      <c r="A6" s="2" t="s">
        <v>8</v>
      </c>
      <c r="B6" s="3">
        <f t="shared" si="0"/>
        <v>-13370983</v>
      </c>
      <c r="C6" s="3">
        <v>0</v>
      </c>
      <c r="D6" s="3">
        <v>0</v>
      </c>
      <c r="E6" s="3">
        <v>13370983</v>
      </c>
      <c r="F6" s="3">
        <v>21899222.300000001</v>
      </c>
    </row>
    <row r="7" spans="1:6" x14ac:dyDescent="0.3">
      <c r="A7" s="2" t="s">
        <v>9</v>
      </c>
      <c r="B7" s="3">
        <f t="shared" si="0"/>
        <v>-25</v>
      </c>
      <c r="C7" s="3">
        <v>0</v>
      </c>
      <c r="D7" s="3">
        <v>0</v>
      </c>
      <c r="E7" s="3">
        <v>25</v>
      </c>
      <c r="F7" s="3">
        <v>4.5</v>
      </c>
    </row>
    <row r="8" spans="1:6" x14ac:dyDescent="0.3">
      <c r="A8" s="2" t="s">
        <v>10</v>
      </c>
      <c r="B8" s="3">
        <f t="shared" si="0"/>
        <v>-16</v>
      </c>
      <c r="C8" s="3">
        <v>0</v>
      </c>
      <c r="D8" s="3">
        <v>0</v>
      </c>
      <c r="E8" s="3">
        <v>16</v>
      </c>
      <c r="F8" s="3">
        <v>0.45</v>
      </c>
    </row>
    <row r="9" spans="1:6" x14ac:dyDescent="0.3">
      <c r="A9" s="2" t="s">
        <v>11</v>
      </c>
      <c r="B9" s="3">
        <f t="shared" si="0"/>
        <v>-11158076</v>
      </c>
      <c r="C9" s="3">
        <v>0</v>
      </c>
      <c r="D9" s="3">
        <v>0</v>
      </c>
      <c r="E9" s="3">
        <v>11158076</v>
      </c>
      <c r="F9" s="3">
        <v>16499945.52</v>
      </c>
    </row>
    <row r="10" spans="1:6" x14ac:dyDescent="0.3">
      <c r="A10" s="2" t="s">
        <v>12</v>
      </c>
      <c r="B10" s="3">
        <f t="shared" si="0"/>
        <v>-3395936</v>
      </c>
      <c r="C10" s="3">
        <v>0</v>
      </c>
      <c r="D10" s="3">
        <v>0</v>
      </c>
      <c r="E10" s="3">
        <v>3395936</v>
      </c>
      <c r="F10" s="3">
        <v>5499984</v>
      </c>
    </row>
    <row r="11" spans="1:6" x14ac:dyDescent="0.3">
      <c r="A11" s="2" t="s">
        <v>13</v>
      </c>
      <c r="B11" s="3">
        <f t="shared" si="0"/>
        <v>-4585673</v>
      </c>
      <c r="C11" s="3">
        <v>0</v>
      </c>
      <c r="D11" s="3">
        <v>0</v>
      </c>
      <c r="E11" s="3">
        <v>4585673</v>
      </c>
      <c r="F11" s="3">
        <v>6165104.75</v>
      </c>
    </row>
    <row r="12" spans="1:6" x14ac:dyDescent="0.3">
      <c r="A12" s="2" t="s">
        <v>14</v>
      </c>
      <c r="B12" s="3">
        <f t="shared" si="0"/>
        <v>-43159559</v>
      </c>
      <c r="C12" s="3">
        <v>0</v>
      </c>
      <c r="D12" s="3">
        <v>0</v>
      </c>
      <c r="E12" s="3">
        <v>43159559</v>
      </c>
      <c r="F12" s="3">
        <v>58548529.200000003</v>
      </c>
    </row>
    <row r="13" spans="1:6" x14ac:dyDescent="0.3">
      <c r="A13" s="2" t="s">
        <v>15</v>
      </c>
      <c r="B13" s="3">
        <f t="shared" si="0"/>
        <v>-41597698</v>
      </c>
      <c r="C13" s="3">
        <v>0</v>
      </c>
      <c r="D13" s="3">
        <v>0</v>
      </c>
      <c r="E13" s="3">
        <v>41597698</v>
      </c>
      <c r="F13" s="3">
        <v>56256692.75</v>
      </c>
    </row>
    <row r="14" spans="1:6" x14ac:dyDescent="0.3">
      <c r="A14" s="2" t="s">
        <v>16</v>
      </c>
      <c r="B14" s="3">
        <f t="shared" si="0"/>
        <v>-37958773</v>
      </c>
      <c r="C14" s="3">
        <v>0</v>
      </c>
      <c r="D14" s="3">
        <v>0</v>
      </c>
      <c r="E14" s="3">
        <v>37958773</v>
      </c>
      <c r="F14" s="3">
        <v>54455259.850000001</v>
      </c>
    </row>
    <row r="15" spans="1:6" ht="17.25" thickBot="1" x14ac:dyDescent="0.35">
      <c r="A15" s="4" t="s">
        <v>17</v>
      </c>
      <c r="B15" s="5">
        <f>SUM(B3:B14)</f>
        <v>-289747866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289747866</v>
      </c>
      <c r="F15" s="5">
        <f t="shared" si="2"/>
        <v>445579371.42000002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>
      <selection activeCell="F3" sqref="F3"/>
    </sheetView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-73473330</v>
      </c>
      <c r="C3" s="3">
        <v>0</v>
      </c>
      <c r="D3" s="3">
        <v>0</v>
      </c>
      <c r="E3" s="3">
        <v>73473330</v>
      </c>
      <c r="F3" s="3">
        <v>106340541.34999999</v>
      </c>
    </row>
    <row r="4" spans="1:6" x14ac:dyDescent="0.3">
      <c r="A4" s="2" t="s">
        <v>6</v>
      </c>
      <c r="B4" s="3">
        <f t="shared" ref="B4:B14" si="0">C4-E4</f>
        <v>-91960764</v>
      </c>
      <c r="C4" s="3">
        <v>0</v>
      </c>
      <c r="D4" s="3">
        <v>0</v>
      </c>
      <c r="E4" s="3">
        <v>91960764</v>
      </c>
      <c r="F4" s="3">
        <v>137721126</v>
      </c>
    </row>
    <row r="5" spans="1:6" x14ac:dyDescent="0.3">
      <c r="A5" s="2" t="s">
        <v>7</v>
      </c>
      <c r="B5" s="3">
        <f t="shared" si="0"/>
        <v>-30782191</v>
      </c>
      <c r="C5" s="3">
        <v>0</v>
      </c>
      <c r="D5" s="3">
        <v>0</v>
      </c>
      <c r="E5" s="3">
        <v>30782191</v>
      </c>
      <c r="F5" s="3">
        <v>45510331.450000003</v>
      </c>
    </row>
    <row r="6" spans="1:6" x14ac:dyDescent="0.3">
      <c r="A6" s="2" t="s">
        <v>8</v>
      </c>
      <c r="B6" s="3">
        <f t="shared" si="0"/>
        <v>-51486600</v>
      </c>
      <c r="C6" s="3">
        <v>0</v>
      </c>
      <c r="D6" s="3">
        <v>0</v>
      </c>
      <c r="E6" s="3">
        <v>51486600</v>
      </c>
      <c r="F6" s="3">
        <v>74955650</v>
      </c>
    </row>
    <row r="7" spans="1:6" x14ac:dyDescent="0.3">
      <c r="A7" s="2" t="s">
        <v>9</v>
      </c>
      <c r="B7" s="3">
        <f t="shared" si="0"/>
        <v>-291267</v>
      </c>
      <c r="C7" s="3">
        <v>0</v>
      </c>
      <c r="D7" s="3">
        <v>0</v>
      </c>
      <c r="E7" s="3">
        <v>291267</v>
      </c>
      <c r="F7" s="3">
        <v>452474</v>
      </c>
    </row>
    <row r="8" spans="1:6" x14ac:dyDescent="0.3">
      <c r="A8" s="2" t="s">
        <v>10</v>
      </c>
      <c r="B8" s="3">
        <f t="shared" si="0"/>
        <v>-48</v>
      </c>
      <c r="C8" s="3">
        <v>0</v>
      </c>
      <c r="D8" s="3">
        <v>0</v>
      </c>
      <c r="E8" s="3">
        <v>48</v>
      </c>
      <c r="F8" s="3">
        <v>8.6969999999999992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-46</v>
      </c>
      <c r="C13" s="3">
        <v>0</v>
      </c>
      <c r="D13" s="3">
        <v>0</v>
      </c>
      <c r="E13" s="3">
        <v>46</v>
      </c>
      <c r="F13" s="3">
        <v>2.4500000000000002</v>
      </c>
    </row>
    <row r="14" spans="1:6" x14ac:dyDescent="0.3">
      <c r="A14" s="2" t="s">
        <v>16</v>
      </c>
      <c r="B14" s="3">
        <f t="shared" si="0"/>
        <v>-30696217</v>
      </c>
      <c r="C14" s="3">
        <v>0</v>
      </c>
      <c r="D14" s="3">
        <v>0</v>
      </c>
      <c r="E14" s="3">
        <v>30696217</v>
      </c>
      <c r="F14" s="3">
        <v>50899458.850000001</v>
      </c>
    </row>
    <row r="15" spans="1:6" ht="17.25" thickBot="1" x14ac:dyDescent="0.35">
      <c r="A15" s="4" t="s">
        <v>17</v>
      </c>
      <c r="B15" s="5">
        <f>SUM(B3:B14)</f>
        <v>-278690463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278690463</v>
      </c>
      <c r="F15" s="5">
        <f t="shared" si="2"/>
        <v>415879592.79700005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-42233401</v>
      </c>
      <c r="C3" s="3">
        <v>0</v>
      </c>
      <c r="D3" s="3">
        <v>0</v>
      </c>
      <c r="E3" s="3">
        <v>42233401</v>
      </c>
      <c r="F3" s="3">
        <v>71249095.75</v>
      </c>
    </row>
    <row r="4" spans="1:6" x14ac:dyDescent="0.3">
      <c r="A4" s="2" t="s">
        <v>6</v>
      </c>
      <c r="B4" s="3">
        <f t="shared" ref="B4:B14" si="0">C4-E4</f>
        <v>-44224091</v>
      </c>
      <c r="C4" s="3">
        <v>0</v>
      </c>
      <c r="D4" s="3">
        <v>0</v>
      </c>
      <c r="E4" s="3">
        <v>44224091</v>
      </c>
      <c r="F4" s="3">
        <v>73851851.5</v>
      </c>
    </row>
    <row r="5" spans="1:6" x14ac:dyDescent="0.3">
      <c r="A5" s="2" t="s">
        <v>7</v>
      </c>
      <c r="B5" s="3">
        <f t="shared" si="0"/>
        <v>-25535248</v>
      </c>
      <c r="C5" s="3">
        <v>0</v>
      </c>
      <c r="D5" s="3">
        <v>0</v>
      </c>
      <c r="E5" s="3">
        <v>25535248</v>
      </c>
      <c r="F5" s="3">
        <v>42999178.049999997</v>
      </c>
    </row>
    <row r="6" spans="1:6" x14ac:dyDescent="0.3">
      <c r="A6" s="2" t="s">
        <v>8</v>
      </c>
      <c r="B6" s="3">
        <f t="shared" si="0"/>
        <v>-35908404</v>
      </c>
      <c r="C6" s="3">
        <v>0</v>
      </c>
      <c r="D6" s="3">
        <v>0</v>
      </c>
      <c r="E6" s="3">
        <v>35908404</v>
      </c>
      <c r="F6" s="3">
        <v>60899259.814000003</v>
      </c>
    </row>
    <row r="7" spans="1:6" x14ac:dyDescent="0.3">
      <c r="A7" s="2" t="s">
        <v>9</v>
      </c>
      <c r="B7" s="3">
        <f t="shared" si="0"/>
        <v>-27134446</v>
      </c>
      <c r="C7" s="3">
        <v>0</v>
      </c>
      <c r="D7" s="3">
        <v>0</v>
      </c>
      <c r="E7" s="3">
        <v>27134446</v>
      </c>
      <c r="F7" s="3">
        <v>46861723</v>
      </c>
    </row>
    <row r="8" spans="1:6" x14ac:dyDescent="0.3">
      <c r="A8" s="2" t="s">
        <v>10</v>
      </c>
      <c r="B8" s="3">
        <f t="shared" si="0"/>
        <v>-7775287</v>
      </c>
      <c r="C8" s="3">
        <v>0</v>
      </c>
      <c r="D8" s="3">
        <v>0</v>
      </c>
      <c r="E8" s="3">
        <v>7775287</v>
      </c>
      <c r="F8" s="3">
        <v>13537830</v>
      </c>
    </row>
    <row r="9" spans="1:6" x14ac:dyDescent="0.3">
      <c r="A9" s="2" t="s">
        <v>11</v>
      </c>
      <c r="B9" s="3">
        <f t="shared" si="0"/>
        <v>-38</v>
      </c>
      <c r="C9" s="3">
        <v>0</v>
      </c>
      <c r="D9" s="3">
        <v>0</v>
      </c>
      <c r="E9" s="3">
        <v>38</v>
      </c>
      <c r="F9" s="3">
        <v>6.8540000000000001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-19</v>
      </c>
      <c r="C12" s="3">
        <v>0</v>
      </c>
      <c r="D12" s="3">
        <v>0</v>
      </c>
      <c r="E12" s="3">
        <v>19</v>
      </c>
      <c r="F12" s="3">
        <v>2</v>
      </c>
    </row>
    <row r="13" spans="1:6" x14ac:dyDescent="0.3">
      <c r="A13" s="2" t="s">
        <v>15</v>
      </c>
      <c r="B13" s="3">
        <f t="shared" si="0"/>
        <v>-3682150</v>
      </c>
      <c r="C13" s="3">
        <v>0</v>
      </c>
      <c r="D13" s="3">
        <v>0</v>
      </c>
      <c r="E13" s="3">
        <v>3682150</v>
      </c>
      <c r="F13" s="3">
        <v>7349876.4000000004</v>
      </c>
    </row>
    <row r="14" spans="1:6" x14ac:dyDescent="0.3">
      <c r="A14" s="2" t="s">
        <v>16</v>
      </c>
      <c r="B14" s="3">
        <f t="shared" si="0"/>
        <v>-27140004</v>
      </c>
      <c r="C14" s="3">
        <v>0</v>
      </c>
      <c r="D14" s="3">
        <v>0</v>
      </c>
      <c r="E14" s="3">
        <v>27140004</v>
      </c>
      <c r="F14" s="3">
        <v>53549096.399999999</v>
      </c>
    </row>
    <row r="15" spans="1:6" ht="17.25" thickBot="1" x14ac:dyDescent="0.35">
      <c r="A15" s="4" t="s">
        <v>17</v>
      </c>
      <c r="B15" s="5">
        <f>SUM(B3:B14)</f>
        <v>-213633088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213633088</v>
      </c>
      <c r="F15" s="5">
        <f t="shared" si="2"/>
        <v>370297919.76799995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-41683466</v>
      </c>
      <c r="C3" s="3">
        <v>0</v>
      </c>
      <c r="D3" s="3">
        <v>0</v>
      </c>
      <c r="E3" s="3">
        <v>41683466</v>
      </c>
      <c r="F3" s="3">
        <v>81303972.799999997</v>
      </c>
    </row>
    <row r="4" spans="1:6" x14ac:dyDescent="0.3">
      <c r="A4" s="2" t="s">
        <v>6</v>
      </c>
      <c r="B4" s="3">
        <f t="shared" ref="B4:B14" si="0">C4-E4</f>
        <v>-40382541</v>
      </c>
      <c r="C4" s="3">
        <v>0</v>
      </c>
      <c r="D4" s="3">
        <v>0</v>
      </c>
      <c r="E4" s="3">
        <v>40382541</v>
      </c>
      <c r="F4" s="3">
        <v>82593871.341999993</v>
      </c>
    </row>
    <row r="5" spans="1:6" x14ac:dyDescent="0.3">
      <c r="A5" s="2" t="s">
        <v>7</v>
      </c>
      <c r="B5" s="3">
        <f t="shared" si="0"/>
        <v>-33817792</v>
      </c>
      <c r="C5" s="3">
        <v>0</v>
      </c>
      <c r="D5" s="3">
        <v>0</v>
      </c>
      <c r="E5" s="3">
        <v>33817792</v>
      </c>
      <c r="F5" s="3">
        <v>71524094.591999993</v>
      </c>
    </row>
    <row r="6" spans="1:6" x14ac:dyDescent="0.3">
      <c r="A6" s="2" t="s">
        <v>8</v>
      </c>
      <c r="B6" s="3">
        <f t="shared" si="0"/>
        <v>-5663526</v>
      </c>
      <c r="C6" s="3">
        <v>0</v>
      </c>
      <c r="D6" s="3">
        <v>0</v>
      </c>
      <c r="E6" s="3">
        <v>5663526</v>
      </c>
      <c r="F6" s="3">
        <v>12074328.66</v>
      </c>
    </row>
    <row r="7" spans="1:6" x14ac:dyDescent="0.3">
      <c r="A7" s="2" t="s">
        <v>9</v>
      </c>
      <c r="B7" s="3">
        <f t="shared" si="0"/>
        <v>-11</v>
      </c>
      <c r="C7" s="3">
        <v>0</v>
      </c>
      <c r="D7" s="3">
        <v>0</v>
      </c>
      <c r="E7" s="3">
        <v>11</v>
      </c>
      <c r="F7" s="3">
        <v>0.45300000000000001</v>
      </c>
    </row>
    <row r="8" spans="1:6" x14ac:dyDescent="0.3">
      <c r="A8" s="2" t="s">
        <v>10</v>
      </c>
      <c r="B8" s="3">
        <f t="shared" si="0"/>
        <v>-50</v>
      </c>
      <c r="C8" s="3">
        <v>0</v>
      </c>
      <c r="D8" s="3">
        <v>0</v>
      </c>
      <c r="E8" s="3">
        <v>50</v>
      </c>
      <c r="F8" s="3">
        <v>2.7210000000000001</v>
      </c>
    </row>
    <row r="9" spans="1:6" x14ac:dyDescent="0.3">
      <c r="A9" s="2" t="s">
        <v>11</v>
      </c>
      <c r="B9" s="3">
        <f t="shared" si="0"/>
        <v>-28</v>
      </c>
      <c r="C9" s="3">
        <v>0</v>
      </c>
      <c r="D9" s="3">
        <v>0</v>
      </c>
      <c r="E9" s="3">
        <v>28</v>
      </c>
      <c r="F9" s="3">
        <v>7.1</v>
      </c>
    </row>
    <row r="10" spans="1:6" x14ac:dyDescent="0.3">
      <c r="A10" s="2" t="s">
        <v>12</v>
      </c>
      <c r="B10" s="3">
        <f t="shared" si="0"/>
        <v>-107</v>
      </c>
      <c r="C10" s="3">
        <v>0</v>
      </c>
      <c r="D10" s="3">
        <v>0</v>
      </c>
      <c r="E10" s="3">
        <v>107</v>
      </c>
      <c r="F10" s="3">
        <v>5.8570000000000002</v>
      </c>
    </row>
    <row r="11" spans="1:6" x14ac:dyDescent="0.3">
      <c r="A11" s="2" t="s">
        <v>13</v>
      </c>
      <c r="B11" s="3">
        <f t="shared" si="0"/>
        <v>-45</v>
      </c>
      <c r="C11" s="3">
        <v>0</v>
      </c>
      <c r="D11" s="3">
        <v>0</v>
      </c>
      <c r="E11" s="3">
        <v>45</v>
      </c>
      <c r="F11" s="3">
        <v>2.4</v>
      </c>
    </row>
    <row r="12" spans="1:6" x14ac:dyDescent="0.3">
      <c r="A12" s="2" t="s">
        <v>14</v>
      </c>
      <c r="B12" s="3">
        <f t="shared" si="0"/>
        <v>-27954881</v>
      </c>
      <c r="C12" s="3">
        <v>0</v>
      </c>
      <c r="D12" s="3">
        <v>0</v>
      </c>
      <c r="E12" s="3">
        <v>27954881</v>
      </c>
      <c r="F12" s="3">
        <v>58908639.954999998</v>
      </c>
    </row>
    <row r="13" spans="1:6" x14ac:dyDescent="0.3">
      <c r="A13" s="2" t="s">
        <v>15</v>
      </c>
      <c r="B13" s="3">
        <f t="shared" si="0"/>
        <v>-28452172</v>
      </c>
      <c r="C13" s="3">
        <v>0</v>
      </c>
      <c r="D13" s="3">
        <v>0</v>
      </c>
      <c r="E13" s="3">
        <v>28452172</v>
      </c>
      <c r="F13" s="3">
        <v>59298879.890000001</v>
      </c>
    </row>
    <row r="14" spans="1:6" x14ac:dyDescent="0.3">
      <c r="A14" s="2" t="s">
        <v>16</v>
      </c>
      <c r="B14" s="3">
        <f t="shared" si="0"/>
        <v>-32722601</v>
      </c>
      <c r="C14" s="3">
        <v>0</v>
      </c>
      <c r="D14" s="3">
        <v>0</v>
      </c>
      <c r="E14" s="3">
        <v>32722601</v>
      </c>
      <c r="F14" s="3">
        <v>68567822.861000001</v>
      </c>
    </row>
    <row r="15" spans="1:6" ht="17.25" thickBot="1" x14ac:dyDescent="0.35">
      <c r="A15" s="4" t="s">
        <v>17</v>
      </c>
      <c r="B15" s="5">
        <f>SUM(B3:B14)</f>
        <v>-210677220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210677220</v>
      </c>
      <c r="F15" s="5">
        <f t="shared" si="2"/>
        <v>434271628.63099992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-24708210</v>
      </c>
      <c r="C3" s="3">
        <v>0</v>
      </c>
      <c r="D3" s="3">
        <v>0</v>
      </c>
      <c r="E3" s="3">
        <v>24708210</v>
      </c>
      <c r="F3" s="3">
        <v>51994734</v>
      </c>
    </row>
    <row r="4" spans="1:6" x14ac:dyDescent="0.3">
      <c r="A4" s="2" t="s">
        <v>6</v>
      </c>
      <c r="B4" s="3">
        <f t="shared" ref="B4:B14" si="0">C4-E4</f>
        <v>-11394767</v>
      </c>
      <c r="C4" s="3">
        <v>0</v>
      </c>
      <c r="D4" s="3">
        <v>0</v>
      </c>
      <c r="E4" s="3">
        <v>11394767</v>
      </c>
      <c r="F4" s="3">
        <v>22375338</v>
      </c>
    </row>
    <row r="5" spans="1:6" x14ac:dyDescent="0.3">
      <c r="A5" s="2" t="s">
        <v>7</v>
      </c>
      <c r="B5" s="3">
        <f t="shared" si="0"/>
        <v>-19248334</v>
      </c>
      <c r="C5" s="3">
        <v>0</v>
      </c>
      <c r="D5" s="3">
        <v>0</v>
      </c>
      <c r="E5" s="3">
        <v>19248334</v>
      </c>
      <c r="F5" s="3">
        <v>37638772</v>
      </c>
    </row>
    <row r="6" spans="1:6" x14ac:dyDescent="0.3">
      <c r="A6" s="2" t="s">
        <v>8</v>
      </c>
      <c r="B6" s="3">
        <f t="shared" si="0"/>
        <v>-40</v>
      </c>
      <c r="C6" s="3">
        <v>0</v>
      </c>
      <c r="D6" s="3">
        <v>0</v>
      </c>
      <c r="E6" s="3">
        <v>40</v>
      </c>
      <c r="F6" s="3">
        <v>8</v>
      </c>
    </row>
    <row r="7" spans="1:6" x14ac:dyDescent="0.3">
      <c r="A7" s="2" t="s">
        <v>9</v>
      </c>
      <c r="B7" s="3">
        <f t="shared" si="0"/>
        <v>-94</v>
      </c>
      <c r="C7" s="3">
        <v>0</v>
      </c>
      <c r="D7" s="3">
        <v>0</v>
      </c>
      <c r="E7" s="3">
        <v>94</v>
      </c>
      <c r="F7" s="3">
        <v>25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-46</v>
      </c>
      <c r="C9" s="3">
        <v>0</v>
      </c>
      <c r="D9" s="3">
        <v>0</v>
      </c>
      <c r="E9" s="3">
        <v>46</v>
      </c>
      <c r="F9" s="3">
        <v>9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-55351491</v>
      </c>
      <c r="C15" s="5">
        <f t="shared" ref="C15:F15" si="1">SUM(C3:C14)</f>
        <v>0</v>
      </c>
      <c r="D15" s="5">
        <f t="shared" si="1"/>
        <v>0</v>
      </c>
      <c r="E15" s="5">
        <f t="shared" si="1"/>
        <v>55351491</v>
      </c>
      <c r="F15" s="5">
        <f t="shared" si="1"/>
        <v>112008886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2026-08-23T07:15:06Z</dcterms:modified>
</cp:coreProperties>
</file>