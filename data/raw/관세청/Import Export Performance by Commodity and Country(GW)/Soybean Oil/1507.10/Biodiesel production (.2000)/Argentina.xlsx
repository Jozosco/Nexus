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9개년_품목별 국가별 수출입실적\대두유\1507.10\바이오디젤 제조용(.2000)\"/>
    </mc:Choice>
  </mc:AlternateContent>
  <bookViews>
    <workbookView xWindow="0" yWindow="0" windowWidth="28800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15" i="17" s="1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B15" i="16" s="1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B15" i="13" s="1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15" i="10" s="1"/>
  <c r="B3" i="10"/>
  <c r="B15" i="11" l="1"/>
  <c r="B15" i="12"/>
  <c r="B15" i="14"/>
  <c r="B15" i="15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B15" i="9" s="1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B15" i="8" s="1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B15" i="6" s="1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15" i="4" s="1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5" i="3" s="1"/>
  <c r="F15" i="2"/>
  <c r="E15" i="2"/>
  <c r="D15" i="2"/>
  <c r="C15" i="2"/>
  <c r="B14" i="2"/>
  <c r="B13" i="2"/>
  <c r="B12" i="2"/>
  <c r="B11" i="2"/>
  <c r="B10" i="2"/>
  <c r="B9" i="2"/>
  <c r="B8" i="2"/>
  <c r="B7" i="2"/>
  <c r="B6" i="2"/>
  <c r="B5" i="2"/>
  <c r="B4" i="2"/>
  <c r="B3" i="2"/>
  <c r="B15" i="2" s="1"/>
  <c r="F15" i="1"/>
  <c r="E15" i="1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B15" i="7" l="1"/>
  <c r="B15" i="5"/>
  <c r="B15" i="1"/>
</calcChain>
</file>

<file path=xl/sharedStrings.xml><?xml version="1.0" encoding="utf-8"?>
<sst xmlns="http://schemas.openxmlformats.org/spreadsheetml/2006/main" count="306" uniqueCount="44">
  <si>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</si>
  <si>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</si>
  <si>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</si>
  <si>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</si>
  <si>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</si>
  <si>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</si>
  <si>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</si>
  <si>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</si>
  <si>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</si>
  <si>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</si>
  <si>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</si>
  <si>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</si>
  <si>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</si>
  <si>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</si>
  <si>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</si>
  <si>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</si>
  <si>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</si>
  <si>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</si>
  <si>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</si>
  <si>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수출량(kg)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</si>
  <si>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</si>
  <si>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</si>
  <si>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</si>
  <si>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</si>
  <si>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</si>
  <si>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</si>
  <si>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</si>
  <si>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</si>
  <si>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</si>
  <si>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</si>
  <si>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</si>
  <si>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</si>
  <si>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</si>
  <si>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</si>
  <si>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</si>
  <si>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</si>
  <si>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</si>
  <si>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</si>
  <si>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</si>
  <si>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</si>
  <si>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</si>
  <si>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</si>
  <si>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</si>
  <si>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수출량(kg)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</si>
</sst>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62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</row>
    <row r="3" spans="1:6" x14ac:dyDescent="0.3">
      <c r="A3" s="2" t="s">
        <v>28</v>
      </c>
      <c r="B3" s="3">
        <f t="shared" ref="B3:B8" si="0">C3-E3</f>
        <v>-7918995</v>
      </c>
      <c r="C3" s="3">
        <v>0</v>
      </c>
      <c r="D3" s="3">
        <v>0</v>
      </c>
      <c r="E3" s="3">
        <v>7918995</v>
      </c>
      <c r="F3" s="3">
        <v>9014237</v>
      </c>
    </row>
    <row r="4" spans="1:6" x14ac:dyDescent="0.3">
      <c r="A4" s="2" t="s">
        <v>29</v>
      </c>
      <c r="B4" s="3">
        <f t="shared" si="0"/>
        <v>-8566913</v>
      </c>
      <c r="C4" s="3">
        <v>0</v>
      </c>
      <c r="D4" s="3">
        <v>0</v>
      </c>
      <c r="E4" s="3">
        <v>8566913</v>
      </c>
      <c r="F4" s="3">
        <v>10099634</v>
      </c>
    </row>
    <row r="5" spans="1:6" x14ac:dyDescent="0.3">
      <c r="A5" s="2" t="s">
        <v>30</v>
      </c>
      <c r="B5" s="3">
        <f t="shared" si="0"/>
        <v>-1049151</v>
      </c>
      <c r="C5" s="3">
        <v>0</v>
      </c>
      <c r="D5" s="3">
        <v>0</v>
      </c>
      <c r="E5" s="3">
        <v>1049151</v>
      </c>
      <c r="F5" s="3">
        <v>1297852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>C9-E9</f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ref="B10:B14" si="1">C10-E10</f>
        <v>-97812</v>
      </c>
      <c r="C10" s="3">
        <v>0</v>
      </c>
      <c r="D10" s="3">
        <v>0</v>
      </c>
      <c r="E10" s="3">
        <v>97812</v>
      </c>
      <c r="F10" s="3">
        <v>120000</v>
      </c>
    </row>
    <row r="11" spans="1:6" x14ac:dyDescent="0.3">
      <c r="A11" s="2" t="s">
        <v>13</v>
      </c>
      <c r="B11" s="3">
        <f t="shared" si="1"/>
        <v>-13809048</v>
      </c>
      <c r="C11" s="3">
        <v>0</v>
      </c>
      <c r="D11" s="3">
        <v>0</v>
      </c>
      <c r="E11" s="3">
        <v>13809048</v>
      </c>
      <c r="F11" s="3">
        <v>16244070</v>
      </c>
    </row>
    <row r="12" spans="1:6" x14ac:dyDescent="0.3">
      <c r="A12" s="2" t="s">
        <v>14</v>
      </c>
      <c r="B12" s="3">
        <f t="shared" si="1"/>
        <v>-4796879</v>
      </c>
      <c r="C12" s="3">
        <v>0</v>
      </c>
      <c r="D12" s="3">
        <v>0</v>
      </c>
      <c r="E12" s="3">
        <v>4796879</v>
      </c>
      <c r="F12" s="3">
        <v>5419796</v>
      </c>
    </row>
    <row r="13" spans="1:6" x14ac:dyDescent="0.3">
      <c r="A13" s="2" t="s">
        <v>15</v>
      </c>
      <c r="B13" s="3">
        <f t="shared" si="1"/>
        <v>-12490635</v>
      </c>
      <c r="C13" s="3">
        <v>0</v>
      </c>
      <c r="D13" s="3">
        <v>0</v>
      </c>
      <c r="E13" s="3">
        <v>12490635</v>
      </c>
      <c r="F13" s="3">
        <v>14416585</v>
      </c>
    </row>
    <row r="14" spans="1:6" x14ac:dyDescent="0.3">
      <c r="A14" s="2" t="s">
        <v>16</v>
      </c>
      <c r="B14" s="3">
        <f t="shared" si="1"/>
        <v>-8287707</v>
      </c>
      <c r="C14" s="3">
        <v>0</v>
      </c>
      <c r="D14" s="3">
        <v>0</v>
      </c>
      <c r="E14" s="3">
        <v>8287707</v>
      </c>
      <c r="F14" s="3">
        <v>7897345</v>
      </c>
    </row>
    <row r="15" spans="1:6" ht="17.25" thickBot="1" x14ac:dyDescent="0.35">
      <c r="A15" s="4" t="s">
        <v>31</v>
      </c>
      <c r="B15" s="5">
        <f>SUM(B3:B14)</f>
        <v>-57017140</v>
      </c>
      <c r="C15" s="5">
        <f t="shared" ref="C15:F15" si="2">SUM(C3:C14)</f>
        <v>0</v>
      </c>
      <c r="D15" s="5">
        <f t="shared" si="2"/>
        <v>0</v>
      </c>
      <c r="E15" s="5">
        <f t="shared" si="2"/>
        <v>57017140</v>
      </c>
      <c r="F15" s="5">
        <f t="shared" si="2"/>
        <v>64509519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</row>
    <row r="3" spans="1:6" x14ac:dyDescent="0.3">
      <c r="A3" s="2" t="s">
        <v>28</v>
      </c>
      <c r="B3" s="3">
        <f>C3-E3</f>
        <v>-3869391</v>
      </c>
      <c r="C3" s="3">
        <v>0</v>
      </c>
      <c r="D3" s="3">
        <v>0</v>
      </c>
      <c r="E3" s="3">
        <v>3869391</v>
      </c>
      <c r="F3" s="3">
        <v>3796799</v>
      </c>
    </row>
    <row r="4" spans="1:6" x14ac:dyDescent="0.3">
      <c r="A4" s="2" t="s">
        <v>29</v>
      </c>
      <c r="B4" s="3">
        <f t="shared" ref="B4:B14" si="0">C4-E4</f>
        <v>-3037796</v>
      </c>
      <c r="C4" s="3">
        <v>0</v>
      </c>
      <c r="D4" s="3">
        <v>0</v>
      </c>
      <c r="E4" s="3">
        <v>3037796</v>
      </c>
      <c r="F4" s="3">
        <v>2405057</v>
      </c>
    </row>
    <row r="5" spans="1:6" x14ac:dyDescent="0.3">
      <c r="A5" s="2" t="s">
        <v>30</v>
      </c>
      <c r="B5" s="3">
        <f t="shared" si="0"/>
        <v>-98900</v>
      </c>
      <c r="C5" s="3">
        <v>0</v>
      </c>
      <c r="D5" s="3">
        <v>0</v>
      </c>
      <c r="E5" s="3">
        <v>98900</v>
      </c>
      <c r="F5" s="3">
        <v>100000</v>
      </c>
    </row>
    <row r="6" spans="1:6" x14ac:dyDescent="0.3">
      <c r="A6" s="2" t="s">
        <v>8</v>
      </c>
      <c r="B6" s="3">
        <f t="shared" si="0"/>
        <v>-1994415</v>
      </c>
      <c r="C6" s="3">
        <v>0</v>
      </c>
      <c r="D6" s="3">
        <v>0</v>
      </c>
      <c r="E6" s="3">
        <v>1994415</v>
      </c>
      <c r="F6" s="3">
        <v>1500000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-1302803</v>
      </c>
      <c r="C8" s="3">
        <v>0</v>
      </c>
      <c r="D8" s="3">
        <v>0</v>
      </c>
      <c r="E8" s="3">
        <v>1302803</v>
      </c>
      <c r="F8" s="3">
        <v>964800</v>
      </c>
    </row>
    <row r="9" spans="1:6" x14ac:dyDescent="0.3">
      <c r="A9" s="2" t="s">
        <v>11</v>
      </c>
      <c r="B9" s="3">
        <f t="shared" si="0"/>
        <v>-820786</v>
      </c>
      <c r="C9" s="3">
        <v>0</v>
      </c>
      <c r="D9" s="3">
        <v>0</v>
      </c>
      <c r="E9" s="3">
        <v>820786</v>
      </c>
      <c r="F9" s="3">
        <v>619172</v>
      </c>
    </row>
    <row r="10" spans="1:6" x14ac:dyDescent="0.3">
      <c r="A10" s="2" t="s">
        <v>12</v>
      </c>
      <c r="B10" s="3">
        <f t="shared" si="0"/>
        <v>-956891</v>
      </c>
      <c r="C10" s="3">
        <v>0</v>
      </c>
      <c r="D10" s="3">
        <v>0</v>
      </c>
      <c r="E10" s="3">
        <v>956891</v>
      </c>
      <c r="F10" s="3">
        <v>737946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-6657464</v>
      </c>
      <c r="C12" s="3">
        <v>0</v>
      </c>
      <c r="D12" s="3">
        <v>0</v>
      </c>
      <c r="E12" s="3">
        <v>6657464</v>
      </c>
      <c r="F12" s="3">
        <v>5194482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31</v>
      </c>
      <c r="B15" s="5">
        <f>SUM(B3:B14)</f>
        <v>-18738446</v>
      </c>
      <c r="C15" s="5">
        <f t="shared" ref="C15:F15" si="1">SUM(C3:C14)</f>
        <v>0</v>
      </c>
      <c r="D15" s="5">
        <f t="shared" si="1"/>
        <v>0</v>
      </c>
      <c r="E15" s="5">
        <f t="shared" si="1"/>
        <v>18738446</v>
      </c>
      <c r="F15" s="5">
        <f t="shared" si="1"/>
        <v>15318256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32</v>
      </c>
      <c r="D2" s="1" t="s">
        <v>33</v>
      </c>
      <c r="E2" s="1" t="s">
        <v>34</v>
      </c>
      <c r="F2" s="1" t="s">
        <v>20</v>
      </c>
    </row>
    <row r="3" spans="1:6" x14ac:dyDescent="0.3">
      <c r="A3" s="2" t="s">
        <v>21</v>
      </c>
      <c r="B3" s="3">
        <f t="shared" ref="B3:B14" si="0">C3-E3</f>
        <v>-8447219</v>
      </c>
      <c r="C3" s="3">
        <v>0</v>
      </c>
      <c r="D3" s="3">
        <v>0</v>
      </c>
      <c r="E3" s="3">
        <v>8447219</v>
      </c>
      <c r="F3" s="3">
        <v>7109919</v>
      </c>
    </row>
    <row r="4" spans="1:6" x14ac:dyDescent="0.3">
      <c r="A4" s="2" t="s">
        <v>22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36</v>
      </c>
      <c r="B15" s="5">
        <f>SUM(B3:B14)</f>
        <v>-8447219</v>
      </c>
      <c r="C15" s="5">
        <f t="shared" ref="C15:F15" si="1">SUM(C3:C14)</f>
        <v>0</v>
      </c>
      <c r="D15" s="5">
        <f t="shared" si="1"/>
        <v>0</v>
      </c>
      <c r="E15" s="5">
        <f t="shared" si="1"/>
        <v>8447219</v>
      </c>
      <c r="F15" s="5">
        <f t="shared" si="1"/>
        <v>7109919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32</v>
      </c>
      <c r="D2" s="1" t="s">
        <v>33</v>
      </c>
      <c r="E2" s="1" t="s">
        <v>34</v>
      </c>
      <c r="F2" s="1" t="s">
        <v>20</v>
      </c>
    </row>
    <row r="3" spans="1:6" x14ac:dyDescent="0.3">
      <c r="A3" s="2" t="s">
        <v>21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22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-1300312</v>
      </c>
      <c r="C10" s="3">
        <v>0</v>
      </c>
      <c r="D10" s="3">
        <v>0</v>
      </c>
      <c r="E10" s="3">
        <v>1300312</v>
      </c>
      <c r="F10" s="3">
        <v>1300000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-470000</v>
      </c>
      <c r="C12" s="3">
        <v>0</v>
      </c>
      <c r="D12" s="3">
        <v>0</v>
      </c>
      <c r="E12" s="3">
        <v>470000</v>
      </c>
      <c r="F12" s="3">
        <v>500000</v>
      </c>
    </row>
    <row r="13" spans="1:6" x14ac:dyDescent="0.3">
      <c r="A13" s="2" t="s">
        <v>15</v>
      </c>
      <c r="B13" s="3">
        <f t="shared" si="0"/>
        <v>-7747280</v>
      </c>
      <c r="C13" s="3">
        <v>0</v>
      </c>
      <c r="D13" s="3">
        <v>0</v>
      </c>
      <c r="E13" s="3">
        <v>7747280</v>
      </c>
      <c r="F13" s="3">
        <v>8500000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36</v>
      </c>
      <c r="B15" s="5">
        <f>SUM(B3:B14)</f>
        <v>-9517592</v>
      </c>
      <c r="C15" s="5">
        <f t="shared" ref="C15:F15" si="1">SUM(C3:C14)</f>
        <v>0</v>
      </c>
      <c r="D15" s="5">
        <f t="shared" si="1"/>
        <v>0</v>
      </c>
      <c r="E15" s="5">
        <f t="shared" si="1"/>
        <v>9517592</v>
      </c>
      <c r="F15" s="5">
        <f t="shared" si="1"/>
        <v>10300000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</row>
    <row r="3" spans="1:6" x14ac:dyDescent="0.3">
      <c r="A3" s="2" t="s">
        <v>42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22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-314650</v>
      </c>
      <c r="C13" s="3">
        <v>0</v>
      </c>
      <c r="D13" s="3">
        <v>0</v>
      </c>
      <c r="E13" s="3">
        <v>314650</v>
      </c>
      <c r="F13" s="3">
        <v>349115</v>
      </c>
    </row>
    <row r="14" spans="1:6" x14ac:dyDescent="0.3">
      <c r="A14" s="2" t="s">
        <v>16</v>
      </c>
      <c r="B14" s="3">
        <f t="shared" si="0"/>
        <v>-3281350</v>
      </c>
      <c r="C14" s="3">
        <v>0</v>
      </c>
      <c r="D14" s="3">
        <v>0</v>
      </c>
      <c r="E14" s="3">
        <v>3281350</v>
      </c>
      <c r="F14" s="3">
        <v>3650000</v>
      </c>
    </row>
    <row r="15" spans="1:6" ht="17.25" thickBot="1" x14ac:dyDescent="0.35">
      <c r="A15" s="4" t="s">
        <v>36</v>
      </c>
      <c r="B15" s="5">
        <f>SUM(B3:B14)</f>
        <v>-3596000</v>
      </c>
      <c r="C15" s="5">
        <f t="shared" ref="C15:F15" si="1">SUM(C3:C14)</f>
        <v>0</v>
      </c>
      <c r="D15" s="5">
        <f t="shared" si="1"/>
        <v>0</v>
      </c>
      <c r="E15" s="5">
        <f t="shared" si="1"/>
        <v>3596000</v>
      </c>
      <c r="F15" s="5">
        <f t="shared" si="1"/>
        <v>3999115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23</v>
      </c>
      <c r="C2" s="1" t="s">
        <v>24</v>
      </c>
      <c r="D2" s="1" t="s">
        <v>43</v>
      </c>
      <c r="E2" s="1" t="s">
        <v>26</v>
      </c>
      <c r="F2" s="1" t="s">
        <v>27</v>
      </c>
    </row>
    <row r="3" spans="1:6" x14ac:dyDescent="0.3">
      <c r="A3" s="2" t="s">
        <v>28</v>
      </c>
      <c r="B3" s="3">
        <f t="shared" ref="B3:B8" si="0">C3-E3</f>
        <v>0</v>
      </c>
      <c r="C3" s="3"/>
      <c r="D3" s="3"/>
      <c r="E3" s="3"/>
      <c r="F3" s="3"/>
    </row>
    <row r="4" spans="1:6" x14ac:dyDescent="0.3">
      <c r="A4" s="2" t="s">
        <v>29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>C9-E9</f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ref="B10:B14" si="1">C10-E10</f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1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1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1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1"/>
        <v>0</v>
      </c>
      <c r="C14" s="3"/>
      <c r="D14" s="3"/>
      <c r="E14" s="3"/>
      <c r="F14" s="3"/>
    </row>
    <row r="15" spans="1:6" ht="17.25" thickBot="1" x14ac:dyDescent="0.35">
      <c r="A15" s="4" t="s">
        <v>31</v>
      </c>
      <c r="B15" s="5">
        <f>SUM(B3:B14)</f>
        <v>0</v>
      </c>
      <c r="C15" s="5">
        <f t="shared" ref="C15:F15" si="2">SUM(C3:C14)</f>
        <v>0</v>
      </c>
      <c r="D15" s="5">
        <f t="shared" si="2"/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</row>
    <row r="3" spans="1:6" x14ac:dyDescent="0.3">
      <c r="A3" s="2" t="s">
        <v>28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29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30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31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-1156573</v>
      </c>
      <c r="C3" s="3">
        <v>0</v>
      </c>
      <c r="D3" s="3">
        <v>0</v>
      </c>
      <c r="E3" s="3">
        <v>1156573</v>
      </c>
      <c r="F3" s="3">
        <v>1500000</v>
      </c>
    </row>
    <row r="4" spans="1:6" x14ac:dyDescent="0.3">
      <c r="A4" s="2" t="s">
        <v>6</v>
      </c>
      <c r="B4" s="3">
        <f t="shared" ref="B4:B14" si="0">C4-E4</f>
        <v>0</v>
      </c>
      <c r="C4" s="3">
        <v>0</v>
      </c>
      <c r="D4" s="3">
        <v>0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0</v>
      </c>
      <c r="C5" s="3">
        <v>0</v>
      </c>
      <c r="D5" s="3">
        <v>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0</v>
      </c>
      <c r="C6" s="3">
        <v>0</v>
      </c>
      <c r="D6" s="3">
        <v>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0</v>
      </c>
      <c r="C7" s="3">
        <v>0</v>
      </c>
      <c r="D7" s="3">
        <v>0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0</v>
      </c>
      <c r="C8" s="3">
        <v>0</v>
      </c>
      <c r="D8" s="3">
        <v>0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0</v>
      </c>
      <c r="C9" s="3">
        <v>0</v>
      </c>
      <c r="D9" s="3">
        <v>0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0</v>
      </c>
      <c r="C10" s="3">
        <v>0</v>
      </c>
      <c r="D10" s="3">
        <v>0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0</v>
      </c>
      <c r="C11" s="3">
        <v>0</v>
      </c>
      <c r="D11" s="3">
        <v>0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0</v>
      </c>
      <c r="C12" s="3">
        <v>0</v>
      </c>
      <c r="D12" s="3">
        <v>0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0</v>
      </c>
      <c r="C13" s="3">
        <v>0</v>
      </c>
      <c r="D13" s="3">
        <v>0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0</v>
      </c>
      <c r="C14" s="3">
        <v>0</v>
      </c>
      <c r="D14" s="3">
        <v>0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-1156573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1156573</v>
      </c>
      <c r="F15" s="5">
        <f t="shared" si="2"/>
        <v>1500000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>
        <v>0</v>
      </c>
      <c r="D3" s="3">
        <v>0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0</v>
      </c>
      <c r="C4" s="3">
        <v>0</v>
      </c>
      <c r="D4" s="3">
        <v>0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0</v>
      </c>
      <c r="C5" s="3">
        <v>0</v>
      </c>
      <c r="D5" s="3">
        <v>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0</v>
      </c>
      <c r="C6" s="3">
        <v>0</v>
      </c>
      <c r="D6" s="3">
        <v>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0</v>
      </c>
      <c r="C7" s="3">
        <v>0</v>
      </c>
      <c r="D7" s="3">
        <v>0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0</v>
      </c>
      <c r="C8" s="3">
        <v>0</v>
      </c>
      <c r="D8" s="3">
        <v>0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0</v>
      </c>
      <c r="C9" s="3">
        <v>0</v>
      </c>
      <c r="D9" s="3">
        <v>0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0</v>
      </c>
      <c r="C10" s="3">
        <v>0</v>
      </c>
      <c r="D10" s="3">
        <v>0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0</v>
      </c>
      <c r="C11" s="3">
        <v>0</v>
      </c>
      <c r="D11" s="3">
        <v>0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0</v>
      </c>
      <c r="C12" s="3">
        <v>0</v>
      </c>
      <c r="D12" s="3">
        <v>0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0</v>
      </c>
      <c r="C13" s="3">
        <v>0</v>
      </c>
      <c r="D13" s="3">
        <v>0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0</v>
      </c>
      <c r="C14" s="3">
        <v>0</v>
      </c>
      <c r="D14" s="3">
        <v>0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>
        <v>0</v>
      </c>
      <c r="D3" s="3">
        <v>0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0</v>
      </c>
      <c r="C4" s="3">
        <v>0</v>
      </c>
      <c r="D4" s="3">
        <v>0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0</v>
      </c>
      <c r="C5" s="3">
        <v>0</v>
      </c>
      <c r="D5" s="3">
        <v>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0</v>
      </c>
      <c r="C6" s="3">
        <v>0</v>
      </c>
      <c r="D6" s="3">
        <v>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0</v>
      </c>
      <c r="C7" s="3">
        <v>0</v>
      </c>
      <c r="D7" s="3">
        <v>0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0</v>
      </c>
      <c r="C8" s="3">
        <v>0</v>
      </c>
      <c r="D8" s="3">
        <v>0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0</v>
      </c>
      <c r="C9" s="3">
        <v>0</v>
      </c>
      <c r="D9" s="3">
        <v>0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0</v>
      </c>
      <c r="C10" s="3">
        <v>0</v>
      </c>
      <c r="D10" s="3">
        <v>0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0</v>
      </c>
      <c r="C11" s="3">
        <v>0</v>
      </c>
      <c r="D11" s="3">
        <v>0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0</v>
      </c>
      <c r="C12" s="3">
        <v>0</v>
      </c>
      <c r="D12" s="3">
        <v>0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0</v>
      </c>
      <c r="C13" s="3">
        <v>0</v>
      </c>
      <c r="D13" s="3">
        <v>0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0</v>
      </c>
      <c r="C14" s="3">
        <v>0</v>
      </c>
      <c r="D14" s="3">
        <v>0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F16"/>
  <sheetViews>
    <sheetView showGridLines="0" workbookViewId="0">
      <selection activeCell="N7" sqref="N7"/>
    </sheetView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>
        <v>0</v>
      </c>
      <c r="D3" s="3">
        <v>0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0</v>
      </c>
      <c r="C4" s="3">
        <v>0</v>
      </c>
      <c r="D4" s="3">
        <v>0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0</v>
      </c>
      <c r="C5" s="3">
        <v>0</v>
      </c>
      <c r="D5" s="3">
        <v>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0</v>
      </c>
      <c r="C6" s="3">
        <v>0</v>
      </c>
      <c r="D6" s="3">
        <v>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0</v>
      </c>
      <c r="C7" s="3">
        <v>0</v>
      </c>
      <c r="D7" s="3">
        <v>0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0</v>
      </c>
      <c r="C8" s="3">
        <v>0</v>
      </c>
      <c r="D8" s="3">
        <v>0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0</v>
      </c>
      <c r="C9" s="3">
        <v>0</v>
      </c>
      <c r="D9" s="3">
        <v>0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0</v>
      </c>
      <c r="C10" s="3">
        <v>0</v>
      </c>
      <c r="D10" s="3">
        <v>0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0</v>
      </c>
      <c r="C11" s="3">
        <v>0</v>
      </c>
      <c r="D11" s="3">
        <v>0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0</v>
      </c>
      <c r="C12" s="3">
        <v>0</v>
      </c>
      <c r="D12" s="3">
        <v>0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0</v>
      </c>
      <c r="C13" s="3">
        <v>0</v>
      </c>
      <c r="D13" s="3">
        <v>0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0</v>
      </c>
      <c r="C14" s="3">
        <v>0</v>
      </c>
      <c r="D14" s="3">
        <v>0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>
        <v>0</v>
      </c>
      <c r="D3" s="3">
        <v>0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0</v>
      </c>
      <c r="C4" s="3">
        <v>0</v>
      </c>
      <c r="D4" s="3">
        <v>0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0</v>
      </c>
      <c r="C5" s="3">
        <v>0</v>
      </c>
      <c r="D5" s="3">
        <v>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-30</v>
      </c>
      <c r="C6" s="3">
        <v>0</v>
      </c>
      <c r="D6" s="3">
        <v>0</v>
      </c>
      <c r="E6" s="3">
        <v>30</v>
      </c>
      <c r="F6" s="3">
        <v>2.5</v>
      </c>
    </row>
    <row r="7" spans="1:6" x14ac:dyDescent="0.3">
      <c r="A7" s="2" t="s">
        <v>9</v>
      </c>
      <c r="B7" s="3">
        <f t="shared" si="0"/>
        <v>0</v>
      </c>
      <c r="C7" s="3">
        <v>0</v>
      </c>
      <c r="D7" s="3">
        <v>0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0</v>
      </c>
      <c r="C8" s="3">
        <v>0</v>
      </c>
      <c r="D8" s="3">
        <v>0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0</v>
      </c>
      <c r="C9" s="3">
        <v>0</v>
      </c>
      <c r="D9" s="3">
        <v>0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0</v>
      </c>
      <c r="C10" s="3">
        <v>0</v>
      </c>
      <c r="D10" s="3">
        <v>0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0</v>
      </c>
      <c r="C11" s="3">
        <v>0</v>
      </c>
      <c r="D11" s="3">
        <v>0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-6303976</v>
      </c>
      <c r="C12" s="3">
        <v>0</v>
      </c>
      <c r="D12" s="3">
        <v>0</v>
      </c>
      <c r="E12" s="3">
        <v>6303976</v>
      </c>
      <c r="F12" s="3">
        <v>5000000</v>
      </c>
    </row>
    <row r="13" spans="1:6" x14ac:dyDescent="0.3">
      <c r="A13" s="2" t="s">
        <v>15</v>
      </c>
      <c r="B13" s="3">
        <f t="shared" si="0"/>
        <v>-6353748</v>
      </c>
      <c r="C13" s="3">
        <v>0</v>
      </c>
      <c r="D13" s="3">
        <v>0</v>
      </c>
      <c r="E13" s="3">
        <v>6353748</v>
      </c>
      <c r="F13" s="3">
        <v>5000000</v>
      </c>
    </row>
    <row r="14" spans="1:6" x14ac:dyDescent="0.3">
      <c r="A14" s="2" t="s">
        <v>16</v>
      </c>
      <c r="B14" s="3">
        <f t="shared" si="0"/>
        <v>-7714107</v>
      </c>
      <c r="C14" s="3">
        <v>0</v>
      </c>
      <c r="D14" s="3">
        <v>0</v>
      </c>
      <c r="E14" s="3">
        <v>7714107</v>
      </c>
      <c r="F14" s="3">
        <v>5500000</v>
      </c>
    </row>
    <row r="15" spans="1:6" ht="17.25" thickBot="1" x14ac:dyDescent="0.35">
      <c r="A15" s="4" t="s">
        <v>17</v>
      </c>
      <c r="B15" s="5">
        <f>SUM(B3:B14)</f>
        <v>-20371861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20371861</v>
      </c>
      <c r="F15" s="5">
        <f t="shared" si="2"/>
        <v>15500002.5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>
        <v>0</v>
      </c>
      <c r="D3" s="3">
        <v>0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0</v>
      </c>
      <c r="C4" s="3">
        <v>0</v>
      </c>
      <c r="D4" s="3">
        <v>0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0</v>
      </c>
      <c r="C5" s="3">
        <v>0</v>
      </c>
      <c r="D5" s="3">
        <v>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0</v>
      </c>
      <c r="C6" s="3">
        <v>0</v>
      </c>
      <c r="D6" s="3">
        <v>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0</v>
      </c>
      <c r="C7" s="3">
        <v>0</v>
      </c>
      <c r="D7" s="3">
        <v>0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0</v>
      </c>
      <c r="C8" s="3">
        <v>0</v>
      </c>
      <c r="D8" s="3">
        <v>0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0</v>
      </c>
      <c r="C9" s="3">
        <v>0</v>
      </c>
      <c r="D9" s="3">
        <v>0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0</v>
      </c>
      <c r="C10" s="3">
        <v>0</v>
      </c>
      <c r="D10" s="3">
        <v>0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0</v>
      </c>
      <c r="C11" s="3">
        <v>0</v>
      </c>
      <c r="D11" s="3">
        <v>0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0</v>
      </c>
      <c r="C12" s="3">
        <v>0</v>
      </c>
      <c r="D12" s="3">
        <v>0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-2757958</v>
      </c>
      <c r="C13" s="3">
        <v>0</v>
      </c>
      <c r="D13" s="3">
        <v>0</v>
      </c>
      <c r="E13" s="3">
        <v>2757958</v>
      </c>
      <c r="F13" s="3">
        <v>1696644</v>
      </c>
    </row>
    <row r="14" spans="1:6" x14ac:dyDescent="0.3">
      <c r="A14" s="2" t="s">
        <v>16</v>
      </c>
      <c r="B14" s="3">
        <f t="shared" si="0"/>
        <v>0</v>
      </c>
      <c r="C14" s="3">
        <v>0</v>
      </c>
      <c r="D14" s="3">
        <v>0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-2757958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2757958</v>
      </c>
      <c r="F15" s="5">
        <f t="shared" si="2"/>
        <v>1696644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-2800000</v>
      </c>
      <c r="C3" s="3">
        <v>0</v>
      </c>
      <c r="D3" s="3">
        <v>0</v>
      </c>
      <c r="E3" s="3">
        <v>2800000</v>
      </c>
      <c r="F3" s="3">
        <v>2000000</v>
      </c>
    </row>
    <row r="4" spans="1:6" x14ac:dyDescent="0.3">
      <c r="A4" s="2" t="s">
        <v>6</v>
      </c>
      <c r="B4" s="3">
        <f t="shared" ref="B4:B14" si="0">C4-E4</f>
        <v>0</v>
      </c>
      <c r="C4" s="3">
        <v>0</v>
      </c>
      <c r="D4" s="3">
        <v>0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0</v>
      </c>
      <c r="C5" s="3">
        <v>0</v>
      </c>
      <c r="D5" s="3">
        <v>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0</v>
      </c>
      <c r="C6" s="3">
        <v>0</v>
      </c>
      <c r="D6" s="3">
        <v>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0</v>
      </c>
      <c r="C7" s="3">
        <v>0</v>
      </c>
      <c r="D7" s="3">
        <v>0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0</v>
      </c>
      <c r="C8" s="3">
        <v>0</v>
      </c>
      <c r="D8" s="3">
        <v>0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-18</v>
      </c>
      <c r="C9" s="3">
        <v>0</v>
      </c>
      <c r="D9" s="3">
        <v>0</v>
      </c>
      <c r="E9" s="3">
        <v>18</v>
      </c>
      <c r="F9" s="3">
        <v>1.25</v>
      </c>
    </row>
    <row r="10" spans="1:6" x14ac:dyDescent="0.3">
      <c r="A10" s="2" t="s">
        <v>12</v>
      </c>
      <c r="B10" s="3">
        <f t="shared" si="0"/>
        <v>0</v>
      </c>
      <c r="C10" s="3">
        <v>0</v>
      </c>
      <c r="D10" s="3">
        <v>0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0</v>
      </c>
      <c r="C11" s="3">
        <v>0</v>
      </c>
      <c r="D11" s="3">
        <v>0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0</v>
      </c>
      <c r="C12" s="3">
        <v>0</v>
      </c>
      <c r="D12" s="3">
        <v>0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0</v>
      </c>
      <c r="C13" s="3">
        <v>0</v>
      </c>
      <c r="D13" s="3">
        <v>0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-1060116</v>
      </c>
      <c r="C14" s="3">
        <v>0</v>
      </c>
      <c r="D14" s="3">
        <v>0</v>
      </c>
      <c r="E14" s="3">
        <v>1060116</v>
      </c>
      <c r="F14" s="3">
        <v>1000000</v>
      </c>
    </row>
    <row r="15" spans="1:6" ht="17.25" thickBot="1" x14ac:dyDescent="0.35">
      <c r="A15" s="4" t="s">
        <v>17</v>
      </c>
      <c r="B15" s="5">
        <f>SUM(B3:B14)</f>
        <v>-3860134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3860134</v>
      </c>
      <c r="F15" s="5">
        <f t="shared" si="2"/>
        <v>3000001.25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>
        <v>0</v>
      </c>
      <c r="D3" s="3">
        <v>0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0</v>
      </c>
      <c r="C4" s="3">
        <v>0</v>
      </c>
      <c r="D4" s="3">
        <v>0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0</v>
      </c>
      <c r="C5" s="3">
        <v>0</v>
      </c>
      <c r="D5" s="3">
        <v>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0</v>
      </c>
      <c r="C6" s="3">
        <v>0</v>
      </c>
      <c r="D6" s="3">
        <v>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-20</v>
      </c>
      <c r="C7" s="3">
        <v>0</v>
      </c>
      <c r="D7" s="3">
        <v>0</v>
      </c>
      <c r="E7" s="3">
        <v>20</v>
      </c>
      <c r="F7" s="3">
        <v>1.105</v>
      </c>
    </row>
    <row r="8" spans="1:6" x14ac:dyDescent="0.3">
      <c r="A8" s="2" t="s">
        <v>10</v>
      </c>
      <c r="B8" s="3">
        <f t="shared" si="0"/>
        <v>0</v>
      </c>
      <c r="C8" s="3">
        <v>0</v>
      </c>
      <c r="D8" s="3">
        <v>0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0</v>
      </c>
      <c r="C9" s="3">
        <v>0</v>
      </c>
      <c r="D9" s="3">
        <v>0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0</v>
      </c>
      <c r="C10" s="3">
        <v>0</v>
      </c>
      <c r="D10" s="3">
        <v>0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0</v>
      </c>
      <c r="C11" s="3">
        <v>0</v>
      </c>
      <c r="D11" s="3">
        <v>0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0</v>
      </c>
      <c r="C12" s="3">
        <v>0</v>
      </c>
      <c r="D12" s="3">
        <v>0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0</v>
      </c>
      <c r="C13" s="3">
        <v>0</v>
      </c>
      <c r="D13" s="3">
        <v>0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-1990217</v>
      </c>
      <c r="C14" s="3">
        <v>0</v>
      </c>
      <c r="D14" s="3">
        <v>0</v>
      </c>
      <c r="E14" s="3">
        <v>1990217</v>
      </c>
      <c r="F14" s="3">
        <v>2000000</v>
      </c>
    </row>
    <row r="15" spans="1:6" ht="17.25" thickBot="1" x14ac:dyDescent="0.35">
      <c r="A15" s="4" t="s">
        <v>17</v>
      </c>
      <c r="B15" s="5">
        <f>SUM(B3:B14)</f>
        <v>-1990237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1990237</v>
      </c>
      <c r="F15" s="5">
        <f t="shared" si="2"/>
        <v>2000001.105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>
        <v>0</v>
      </c>
      <c r="D3" s="3">
        <v>0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0</v>
      </c>
      <c r="C4" s="3">
        <v>0</v>
      </c>
      <c r="D4" s="3">
        <v>0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0</v>
      </c>
      <c r="C5" s="3">
        <v>0</v>
      </c>
      <c r="D5" s="3">
        <v>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0</v>
      </c>
      <c r="C6" s="3">
        <v>0</v>
      </c>
      <c r="D6" s="3">
        <v>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0</v>
      </c>
      <c r="C7" s="3">
        <v>0</v>
      </c>
      <c r="D7" s="3">
        <v>0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0</v>
      </c>
      <c r="C8" s="3">
        <v>0</v>
      </c>
      <c r="D8" s="3">
        <v>0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0</v>
      </c>
      <c r="C9" s="3">
        <v>0</v>
      </c>
      <c r="D9" s="3">
        <v>0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0</v>
      </c>
      <c r="C10" s="3">
        <v>0</v>
      </c>
      <c r="D10" s="3">
        <v>0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0</v>
      </c>
      <c r="C11" s="3">
        <v>0</v>
      </c>
      <c r="D11" s="3">
        <v>0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0</v>
      </c>
      <c r="C12" s="3">
        <v>0</v>
      </c>
      <c r="D12" s="3">
        <v>0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0</v>
      </c>
      <c r="C13" s="3">
        <v>0</v>
      </c>
      <c r="D13" s="3">
        <v>0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0</v>
      </c>
      <c r="C14" s="3">
        <v>0</v>
      </c>
      <c r="D14" s="3">
        <v>0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1" t="s">
        <v>18</v>
      </c>
      <c r="C2" s="1" t="s">
        <v>1</v>
      </c>
      <c r="D2" s="1" t="s">
        <v>19</v>
      </c>
      <c r="E2" s="1" t="s">
        <v>3</v>
      </c>
      <c r="F2" s="1" t="s">
        <v>20</v>
      </c>
    </row>
    <row r="3" spans="1:6" x14ac:dyDescent="0.3">
      <c r="A3" s="2" t="s">
        <v>21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22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2026-06-01T05:13:12Z</dcterms:created>
  <dcterms:modified xsi:type="dcterms:W3CDTF">2026-07-16T06:07:28Z</dcterms:modified>
</cp:coreProperties>
</file>