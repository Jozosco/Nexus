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9개년_품목별 국가별 수출입실적\대두유\1507.10\바이오디젤 제조용(.200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B15" i="15" s="1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7" l="1"/>
  <c r="B15" i="16"/>
  <c r="B15" i="14"/>
  <c r="B15" i="13"/>
  <c r="B15" i="12"/>
  <c r="B15" i="11"/>
  <c r="B15" i="10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F15" i="2"/>
  <c r="E15" i="2"/>
  <c r="D15" i="2"/>
  <c r="C15" i="2"/>
  <c r="B14" i="2"/>
  <c r="B13" i="2"/>
  <c r="B12" i="2"/>
  <c r="B11" i="2"/>
  <c r="B10" i="2"/>
  <c r="B9" i="2"/>
  <c r="B8" i="2"/>
  <c r="B7" i="2"/>
  <c r="B6" i="2"/>
  <c r="B5" i="2"/>
  <c r="B4" i="2"/>
  <c r="B3" i="2"/>
  <c r="F15" i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B15" i="9" l="1"/>
  <c r="B15" i="8"/>
  <c r="B15" i="6"/>
  <c r="B15" i="4"/>
  <c r="B15" i="3"/>
  <c r="B15" i="2"/>
  <c r="B15" i="7"/>
  <c r="B15" i="5"/>
  <c r="B15" i="1"/>
</calcChain>
</file>

<file path=xl/sharedStrings.xml><?xml version="1.0" encoding="utf-8"?>
<sst xmlns="http://schemas.openxmlformats.org/spreadsheetml/2006/main" count="306" uniqueCount="18">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</sst>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-10365504</v>
      </c>
      <c r="C3" s="3">
        <v>0</v>
      </c>
      <c r="D3" s="3">
        <v>0</v>
      </c>
      <c r="E3" s="3">
        <v>10365504</v>
      </c>
      <c r="F3" s="3">
        <v>11664284</v>
      </c>
    </row>
    <row r="4" spans="1:6" x14ac:dyDescent="0.3">
      <c r="A4" s="2" t="s">
        <v>6</v>
      </c>
      <c r="B4" s="3">
        <f t="shared" ref="B4:B14" si="0">C4-E4</f>
        <v>-9026883</v>
      </c>
      <c r="C4" s="3">
        <v>0</v>
      </c>
      <c r="D4" s="3">
        <v>0</v>
      </c>
      <c r="E4" s="3">
        <v>9026883</v>
      </c>
      <c r="F4" s="3">
        <v>10582473</v>
      </c>
    </row>
    <row r="5" spans="1:6" x14ac:dyDescent="0.3">
      <c r="A5" s="2" t="s">
        <v>7</v>
      </c>
      <c r="B5" s="3">
        <f t="shared" si="0"/>
        <v>-1049151</v>
      </c>
      <c r="C5" s="3">
        <v>0</v>
      </c>
      <c r="D5" s="3">
        <v>0</v>
      </c>
      <c r="E5" s="3">
        <v>1049151</v>
      </c>
      <c r="F5" s="3">
        <v>1297852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-97812</v>
      </c>
      <c r="C10" s="3">
        <v>0</v>
      </c>
      <c r="D10" s="3">
        <v>0</v>
      </c>
      <c r="E10" s="3">
        <v>97812</v>
      </c>
      <c r="F10" s="3">
        <v>120000</v>
      </c>
    </row>
    <row r="11" spans="1:6" x14ac:dyDescent="0.3">
      <c r="A11" s="2" t="s">
        <v>13</v>
      </c>
      <c r="B11" s="3">
        <f t="shared" si="0"/>
        <v>-13583119</v>
      </c>
      <c r="C11" s="3">
        <v>225929</v>
      </c>
      <c r="D11" s="3">
        <v>209000</v>
      </c>
      <c r="E11" s="3">
        <v>13809048</v>
      </c>
      <c r="F11" s="3">
        <v>16244070</v>
      </c>
    </row>
    <row r="12" spans="1:6" x14ac:dyDescent="0.3">
      <c r="A12" s="2" t="s">
        <v>14</v>
      </c>
      <c r="B12" s="3">
        <f t="shared" si="0"/>
        <v>-4559428</v>
      </c>
      <c r="C12" s="3">
        <v>237451</v>
      </c>
      <c r="D12" s="3">
        <v>213920</v>
      </c>
      <c r="E12" s="3">
        <v>4796879</v>
      </c>
      <c r="F12" s="3">
        <v>5419796</v>
      </c>
    </row>
    <row r="13" spans="1:6" x14ac:dyDescent="0.3">
      <c r="A13" s="2" t="s">
        <v>15</v>
      </c>
      <c r="B13" s="3">
        <f t="shared" si="0"/>
        <v>-12490635</v>
      </c>
      <c r="C13" s="3">
        <v>0</v>
      </c>
      <c r="D13" s="3">
        <v>0</v>
      </c>
      <c r="E13" s="3">
        <v>12490635</v>
      </c>
      <c r="F13" s="3">
        <v>14416585</v>
      </c>
    </row>
    <row r="14" spans="1:6" x14ac:dyDescent="0.3">
      <c r="A14" s="2" t="s">
        <v>16</v>
      </c>
      <c r="B14" s="3">
        <f t="shared" si="0"/>
        <v>-8287707</v>
      </c>
      <c r="C14" s="3">
        <v>0</v>
      </c>
      <c r="D14" s="3">
        <v>0</v>
      </c>
      <c r="E14" s="3">
        <v>8287707</v>
      </c>
      <c r="F14" s="3">
        <v>7897345</v>
      </c>
    </row>
    <row r="15" spans="1:6" ht="17.25" thickBot="1" x14ac:dyDescent="0.35">
      <c r="A15" s="4" t="s">
        <v>17</v>
      </c>
      <c r="B15" s="5">
        <f>SUM(B3:B14)</f>
        <v>-59460239</v>
      </c>
      <c r="C15" s="5">
        <f t="shared" ref="C15:F15" si="1">SUM(C3:C14)</f>
        <v>463380</v>
      </c>
      <c r="D15" s="5">
        <f t="shared" si="1"/>
        <v>422920</v>
      </c>
      <c r="E15" s="5">
        <f t="shared" si="1"/>
        <v>59923619</v>
      </c>
      <c r="F15" s="5">
        <f t="shared" si="1"/>
        <v>67642405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-3869391</v>
      </c>
      <c r="C3" s="3">
        <v>0</v>
      </c>
      <c r="D3" s="3">
        <v>0</v>
      </c>
      <c r="E3" s="3">
        <v>3869391</v>
      </c>
      <c r="F3" s="3">
        <v>3796799</v>
      </c>
    </row>
    <row r="4" spans="1:6" x14ac:dyDescent="0.3">
      <c r="A4" s="2" t="s">
        <v>6</v>
      </c>
      <c r="B4" s="3">
        <f t="shared" ref="B4:B14" si="0">C4-E4</f>
        <v>-3037796</v>
      </c>
      <c r="C4" s="3">
        <v>0</v>
      </c>
      <c r="D4" s="3">
        <v>0</v>
      </c>
      <c r="E4" s="3">
        <v>3037796</v>
      </c>
      <c r="F4" s="3">
        <v>2405057</v>
      </c>
    </row>
    <row r="5" spans="1:6" x14ac:dyDescent="0.3">
      <c r="A5" s="2" t="s">
        <v>7</v>
      </c>
      <c r="B5" s="3">
        <f t="shared" si="0"/>
        <v>-4130</v>
      </c>
      <c r="C5" s="3">
        <v>94770</v>
      </c>
      <c r="D5" s="3">
        <v>60000</v>
      </c>
      <c r="E5" s="3">
        <v>98900</v>
      </c>
      <c r="F5" s="3">
        <v>100000</v>
      </c>
    </row>
    <row r="6" spans="1:6" x14ac:dyDescent="0.3">
      <c r="A6" s="2" t="s">
        <v>8</v>
      </c>
      <c r="B6" s="3">
        <f t="shared" si="0"/>
        <v>-1194922</v>
      </c>
      <c r="C6" s="3">
        <v>799493</v>
      </c>
      <c r="D6" s="3">
        <v>504000</v>
      </c>
      <c r="E6" s="3">
        <v>1994415</v>
      </c>
      <c r="F6" s="3">
        <v>1500000</v>
      </c>
    </row>
    <row r="7" spans="1:6" x14ac:dyDescent="0.3">
      <c r="A7" s="2" t="s">
        <v>9</v>
      </c>
      <c r="B7" s="3">
        <f t="shared" si="0"/>
        <v>805784</v>
      </c>
      <c r="C7" s="3">
        <v>805784</v>
      </c>
      <c r="D7" s="3">
        <v>504000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614368</v>
      </c>
      <c r="C8" s="3">
        <v>1917171</v>
      </c>
      <c r="D8" s="3">
        <v>1195200</v>
      </c>
      <c r="E8" s="3">
        <v>1302803</v>
      </c>
      <c r="F8" s="3">
        <v>964800</v>
      </c>
    </row>
    <row r="9" spans="1:6" x14ac:dyDescent="0.3">
      <c r="A9" s="2" t="s">
        <v>11</v>
      </c>
      <c r="B9" s="3">
        <f t="shared" si="0"/>
        <v>-127666</v>
      </c>
      <c r="C9" s="3">
        <v>693120</v>
      </c>
      <c r="D9" s="3">
        <v>432000</v>
      </c>
      <c r="E9" s="3">
        <v>820786</v>
      </c>
      <c r="F9" s="3">
        <v>619172</v>
      </c>
    </row>
    <row r="10" spans="1:6" x14ac:dyDescent="0.3">
      <c r="A10" s="2" t="s">
        <v>12</v>
      </c>
      <c r="B10" s="3">
        <f t="shared" si="0"/>
        <v>506206</v>
      </c>
      <c r="C10" s="3">
        <v>1463097</v>
      </c>
      <c r="D10" s="3">
        <v>907020</v>
      </c>
      <c r="E10" s="3">
        <v>956891</v>
      </c>
      <c r="F10" s="3">
        <v>737946</v>
      </c>
    </row>
    <row r="11" spans="1:6" x14ac:dyDescent="0.3">
      <c r="A11" s="2" t="s">
        <v>13</v>
      </c>
      <c r="B11" s="3">
        <f t="shared" si="0"/>
        <v>159712</v>
      </c>
      <c r="C11" s="3">
        <v>159712</v>
      </c>
      <c r="D11" s="3">
        <v>100800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-6116820</v>
      </c>
      <c r="C12" s="3">
        <v>540644</v>
      </c>
      <c r="D12" s="3">
        <v>343980</v>
      </c>
      <c r="E12" s="3">
        <v>6657464</v>
      </c>
      <c r="F12" s="3">
        <v>5194482</v>
      </c>
    </row>
    <row r="13" spans="1:6" x14ac:dyDescent="0.3">
      <c r="A13" s="2" t="s">
        <v>15</v>
      </c>
      <c r="B13" s="3">
        <f t="shared" si="0"/>
        <v>-5506344</v>
      </c>
      <c r="C13" s="3">
        <v>0</v>
      </c>
      <c r="D13" s="3">
        <v>0</v>
      </c>
      <c r="E13" s="3">
        <v>5506344</v>
      </c>
      <c r="F13" s="3">
        <v>4486846</v>
      </c>
    </row>
    <row r="14" spans="1:6" x14ac:dyDescent="0.3">
      <c r="A14" s="2" t="s">
        <v>16</v>
      </c>
      <c r="B14" s="3">
        <f t="shared" si="0"/>
        <v>-4973790</v>
      </c>
      <c r="C14" s="3">
        <v>0</v>
      </c>
      <c r="D14" s="3">
        <v>0</v>
      </c>
      <c r="E14" s="3">
        <v>4973790</v>
      </c>
      <c r="F14" s="3">
        <v>4001706</v>
      </c>
    </row>
    <row r="15" spans="1:6" ht="17.25" thickBot="1" x14ac:dyDescent="0.35">
      <c r="A15" s="4" t="s">
        <v>17</v>
      </c>
      <c r="B15" s="5">
        <f>SUM(B3:B14)</f>
        <v>-22744789</v>
      </c>
      <c r="C15" s="5">
        <f t="shared" ref="C15:F15" si="1">SUM(C3:C14)</f>
        <v>6473791</v>
      </c>
      <c r="D15" s="5">
        <f t="shared" si="1"/>
        <v>4047000</v>
      </c>
      <c r="E15" s="5">
        <f t="shared" si="1"/>
        <v>29218580</v>
      </c>
      <c r="F15" s="5">
        <f t="shared" si="1"/>
        <v>23806808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-8447219</v>
      </c>
      <c r="C3" s="3">
        <v>0</v>
      </c>
      <c r="D3" s="3">
        <v>0</v>
      </c>
      <c r="E3" s="3">
        <v>8447219</v>
      </c>
      <c r="F3" s="3">
        <v>7109919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-24</v>
      </c>
      <c r="C12" s="3">
        <v>0</v>
      </c>
      <c r="D12" s="3">
        <v>0</v>
      </c>
      <c r="E12" s="3">
        <v>24</v>
      </c>
      <c r="F12" s="3">
        <v>4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-8447243</v>
      </c>
      <c r="C15" s="5">
        <f t="shared" ref="C15:F15" si="1">SUM(C3:C14)</f>
        <v>0</v>
      </c>
      <c r="D15" s="5">
        <f t="shared" si="1"/>
        <v>0</v>
      </c>
      <c r="E15" s="5">
        <f t="shared" si="1"/>
        <v>8447243</v>
      </c>
      <c r="F15" s="5">
        <f t="shared" si="1"/>
        <v>7109923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-1300330</v>
      </c>
      <c r="C10" s="3">
        <v>0</v>
      </c>
      <c r="D10" s="3">
        <v>0</v>
      </c>
      <c r="E10" s="3">
        <v>1300330</v>
      </c>
      <c r="F10" s="3">
        <v>1300002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-470000</v>
      </c>
      <c r="C12" s="3">
        <v>0</v>
      </c>
      <c r="D12" s="3">
        <v>0</v>
      </c>
      <c r="E12" s="3">
        <v>470000</v>
      </c>
      <c r="F12" s="3">
        <v>500000</v>
      </c>
    </row>
    <row r="13" spans="1:6" x14ac:dyDescent="0.3">
      <c r="A13" s="2" t="s">
        <v>15</v>
      </c>
      <c r="B13" s="3">
        <f t="shared" si="0"/>
        <v>-7747280</v>
      </c>
      <c r="C13" s="3">
        <v>0</v>
      </c>
      <c r="D13" s="3">
        <v>0</v>
      </c>
      <c r="E13" s="3">
        <v>7747280</v>
      </c>
      <c r="F13" s="3">
        <v>8500000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-9517610</v>
      </c>
      <c r="C15" s="5">
        <f t="shared" ref="C15:F15" si="1">SUM(C3:C14)</f>
        <v>0</v>
      </c>
      <c r="D15" s="5">
        <f t="shared" si="1"/>
        <v>0</v>
      </c>
      <c r="E15" s="5">
        <f t="shared" si="1"/>
        <v>9517610</v>
      </c>
      <c r="F15" s="5">
        <f t="shared" si="1"/>
        <v>10300002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-36</v>
      </c>
      <c r="C7" s="3">
        <v>0</v>
      </c>
      <c r="D7" s="3">
        <v>0</v>
      </c>
      <c r="E7" s="3">
        <v>36</v>
      </c>
      <c r="F7" s="3">
        <v>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-14</v>
      </c>
      <c r="C9" s="3">
        <v>0</v>
      </c>
      <c r="D9" s="3">
        <v>0</v>
      </c>
      <c r="E9" s="3">
        <v>14</v>
      </c>
      <c r="F9" s="3">
        <v>1</v>
      </c>
    </row>
    <row r="10" spans="1:6" x14ac:dyDescent="0.3">
      <c r="A10" s="2" t="s">
        <v>12</v>
      </c>
      <c r="B10" s="3">
        <f t="shared" si="0"/>
        <v>-20</v>
      </c>
      <c r="C10" s="3">
        <v>0</v>
      </c>
      <c r="D10" s="3">
        <v>0</v>
      </c>
      <c r="E10" s="3">
        <v>20</v>
      </c>
      <c r="F10" s="3">
        <v>0</v>
      </c>
    </row>
    <row r="11" spans="1:6" x14ac:dyDescent="0.3">
      <c r="A11" s="2" t="s">
        <v>13</v>
      </c>
      <c r="B11" s="3">
        <f t="shared" si="0"/>
        <v>-16</v>
      </c>
      <c r="C11" s="3">
        <v>0</v>
      </c>
      <c r="D11" s="3">
        <v>0</v>
      </c>
      <c r="E11" s="3">
        <v>16</v>
      </c>
      <c r="F11" s="3">
        <v>2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-314650</v>
      </c>
      <c r="C13" s="3">
        <v>0</v>
      </c>
      <c r="D13" s="3">
        <v>0</v>
      </c>
      <c r="E13" s="3">
        <v>314650</v>
      </c>
      <c r="F13" s="3">
        <v>349115</v>
      </c>
    </row>
    <row r="14" spans="1:6" x14ac:dyDescent="0.3">
      <c r="A14" s="2" t="s">
        <v>16</v>
      </c>
      <c r="B14" s="3">
        <f t="shared" si="0"/>
        <v>-3281362</v>
      </c>
      <c r="C14" s="3">
        <v>0</v>
      </c>
      <c r="D14" s="3">
        <v>0</v>
      </c>
      <c r="E14" s="3">
        <v>3281362</v>
      </c>
      <c r="F14" s="3">
        <v>3650001</v>
      </c>
    </row>
    <row r="15" spans="1:6" ht="17.25" thickBot="1" x14ac:dyDescent="0.35">
      <c r="A15" s="4" t="s">
        <v>17</v>
      </c>
      <c r="B15" s="5">
        <f>SUM(B3:B14)</f>
        <v>-3596098</v>
      </c>
      <c r="C15" s="5">
        <f t="shared" ref="C15:F15" si="1">SUM(C3:C14)</f>
        <v>0</v>
      </c>
      <c r="D15" s="5">
        <f t="shared" si="1"/>
        <v>0</v>
      </c>
      <c r="E15" s="5">
        <f t="shared" si="1"/>
        <v>3596098</v>
      </c>
      <c r="F15" s="5">
        <f t="shared" si="1"/>
        <v>3999119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-36</v>
      </c>
      <c r="C7" s="3">
        <v>0</v>
      </c>
      <c r="D7" s="3">
        <v>0</v>
      </c>
      <c r="E7" s="3">
        <v>36</v>
      </c>
      <c r="F7" s="3">
        <v>2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-36</v>
      </c>
      <c r="C15" s="5">
        <f t="shared" ref="C15:F15" si="1">SUM(C3:C14)</f>
        <v>0</v>
      </c>
      <c r="D15" s="5">
        <f t="shared" si="1"/>
        <v>0</v>
      </c>
      <c r="E15" s="5">
        <f t="shared" si="1"/>
        <v>36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73427</v>
      </c>
      <c r="C3" s="3">
        <v>1230000</v>
      </c>
      <c r="D3" s="3">
        <v>1500000</v>
      </c>
      <c r="E3" s="3">
        <v>1156573</v>
      </c>
      <c r="F3" s="3">
        <v>1500000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73427</v>
      </c>
      <c r="C15" s="5">
        <f t="shared" ref="C15" si="1">SUM(C3:C14)</f>
        <v>1230000</v>
      </c>
      <c r="D15" s="5">
        <f t="shared" ref="D15:F15" si="2">SUM(D3:D14)</f>
        <v>1500000</v>
      </c>
      <c r="E15" s="5">
        <f t="shared" si="2"/>
        <v>1156573</v>
      </c>
      <c r="F15" s="5">
        <f t="shared" si="2"/>
        <v>1500000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-15</v>
      </c>
      <c r="C9" s="3">
        <v>0</v>
      </c>
      <c r="D9" s="3">
        <v>0</v>
      </c>
      <c r="E9" s="3">
        <v>15</v>
      </c>
      <c r="F9" s="3">
        <v>1</v>
      </c>
    </row>
    <row r="10" spans="1:6" x14ac:dyDescent="0.3">
      <c r="A10" s="2" t="s">
        <v>12</v>
      </c>
      <c r="B10" s="3">
        <f t="shared" si="0"/>
        <v>-116</v>
      </c>
      <c r="C10" s="3">
        <v>0</v>
      </c>
      <c r="D10" s="3">
        <v>0</v>
      </c>
      <c r="E10" s="3">
        <v>116</v>
      </c>
      <c r="F10" s="3">
        <v>21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-3010760</v>
      </c>
      <c r="C12" s="3">
        <v>0</v>
      </c>
      <c r="D12" s="3">
        <v>0</v>
      </c>
      <c r="E12" s="3">
        <v>3010760</v>
      </c>
      <c r="F12" s="3">
        <v>4000000</v>
      </c>
    </row>
    <row r="13" spans="1:6" x14ac:dyDescent="0.3">
      <c r="A13" s="2" t="s">
        <v>15</v>
      </c>
      <c r="B13" s="3">
        <f t="shared" si="0"/>
        <v>-639786</v>
      </c>
      <c r="C13" s="3">
        <v>0</v>
      </c>
      <c r="D13" s="3">
        <v>0</v>
      </c>
      <c r="E13" s="3">
        <v>639786</v>
      </c>
      <c r="F13" s="3">
        <v>850000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-3650677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3650677</v>
      </c>
      <c r="F15" s="5">
        <f t="shared" si="2"/>
        <v>4850022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F16"/>
  <sheetViews>
    <sheetView showGridLines="0" workbookViewId="0">
      <selection activeCell="C3" sqref="C3"/>
    </sheetView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-4355020</v>
      </c>
      <c r="C11" s="3">
        <v>0</v>
      </c>
      <c r="D11" s="3">
        <v>0</v>
      </c>
      <c r="E11" s="3">
        <v>4355020</v>
      </c>
      <c r="F11" s="3">
        <v>5016152</v>
      </c>
    </row>
    <row r="12" spans="1:6" x14ac:dyDescent="0.3">
      <c r="A12" s="2" t="s">
        <v>14</v>
      </c>
      <c r="B12" s="3">
        <f t="shared" si="0"/>
        <v>-1553837</v>
      </c>
      <c r="C12" s="3">
        <v>0</v>
      </c>
      <c r="D12" s="3">
        <v>0</v>
      </c>
      <c r="E12" s="3">
        <v>1553837</v>
      </c>
      <c r="F12" s="3">
        <v>1933655</v>
      </c>
    </row>
    <row r="13" spans="1:6" x14ac:dyDescent="0.3">
      <c r="A13" s="2" t="s">
        <v>15</v>
      </c>
      <c r="B13" s="3">
        <f t="shared" si="0"/>
        <v>-8672761</v>
      </c>
      <c r="C13" s="3">
        <v>0</v>
      </c>
      <c r="D13" s="3">
        <v>0</v>
      </c>
      <c r="E13" s="3">
        <v>8672761</v>
      </c>
      <c r="F13" s="3">
        <v>10049751</v>
      </c>
    </row>
    <row r="14" spans="1:6" x14ac:dyDescent="0.3">
      <c r="A14" s="2" t="s">
        <v>16</v>
      </c>
      <c r="B14" s="3">
        <f t="shared" si="0"/>
        <v>-324895</v>
      </c>
      <c r="C14" s="3">
        <v>0</v>
      </c>
      <c r="D14" s="3">
        <v>0</v>
      </c>
      <c r="E14" s="3">
        <v>324895</v>
      </c>
      <c r="F14" s="3">
        <v>350000</v>
      </c>
    </row>
    <row r="15" spans="1:6" ht="17.25" thickBot="1" x14ac:dyDescent="0.35">
      <c r="A15" s="4" t="s">
        <v>17</v>
      </c>
      <c r="B15" s="5">
        <f>SUM(B3:B14)</f>
        <v>-14906513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14906513</v>
      </c>
      <c r="F15" s="5">
        <f t="shared" si="2"/>
        <v>17349558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-1085415</v>
      </c>
      <c r="C3" s="3">
        <v>0</v>
      </c>
      <c r="D3" s="3">
        <v>0</v>
      </c>
      <c r="E3" s="3">
        <v>1085415</v>
      </c>
      <c r="F3" s="3">
        <v>1049944</v>
      </c>
    </row>
    <row r="4" spans="1:6" x14ac:dyDescent="0.3">
      <c r="A4" s="2" t="s">
        <v>6</v>
      </c>
      <c r="B4" s="3">
        <f t="shared" ref="B4:B14" si="0">C4-E4</f>
        <v>-157560</v>
      </c>
      <c r="C4" s="3">
        <v>0</v>
      </c>
      <c r="D4" s="3">
        <v>0</v>
      </c>
      <c r="E4" s="3">
        <v>157560</v>
      </c>
      <c r="F4" s="3">
        <v>151500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-30</v>
      </c>
      <c r="C6" s="3">
        <v>0</v>
      </c>
      <c r="D6" s="3">
        <v>0</v>
      </c>
      <c r="E6" s="3">
        <v>30</v>
      </c>
      <c r="F6" s="3">
        <v>3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-25</v>
      </c>
      <c r="C10" s="3">
        <v>0</v>
      </c>
      <c r="D10" s="3">
        <v>0</v>
      </c>
      <c r="E10" s="3">
        <v>25</v>
      </c>
      <c r="F10" s="3">
        <v>2</v>
      </c>
    </row>
    <row r="11" spans="1:6" x14ac:dyDescent="0.3">
      <c r="A11" s="2" t="s">
        <v>13</v>
      </c>
      <c r="B11" s="3">
        <f t="shared" si="0"/>
        <v>-34</v>
      </c>
      <c r="C11" s="3">
        <v>0</v>
      </c>
      <c r="D11" s="3">
        <v>0</v>
      </c>
      <c r="E11" s="3">
        <v>34</v>
      </c>
      <c r="F11" s="3">
        <v>3</v>
      </c>
    </row>
    <row r="12" spans="1:6" x14ac:dyDescent="0.3">
      <c r="A12" s="2" t="s">
        <v>14</v>
      </c>
      <c r="B12" s="3">
        <f t="shared" si="0"/>
        <v>-6303976</v>
      </c>
      <c r="C12" s="3">
        <v>0</v>
      </c>
      <c r="D12" s="3">
        <v>0</v>
      </c>
      <c r="E12" s="3">
        <v>6303976</v>
      </c>
      <c r="F12" s="3">
        <v>5000000</v>
      </c>
    </row>
    <row r="13" spans="1:6" x14ac:dyDescent="0.3">
      <c r="A13" s="2" t="s">
        <v>15</v>
      </c>
      <c r="B13" s="3">
        <f t="shared" si="0"/>
        <v>-6353758</v>
      </c>
      <c r="C13" s="3">
        <v>0</v>
      </c>
      <c r="D13" s="3">
        <v>0</v>
      </c>
      <c r="E13" s="3">
        <v>6353758</v>
      </c>
      <c r="F13" s="3">
        <v>5000001</v>
      </c>
    </row>
    <row r="14" spans="1:6" x14ac:dyDescent="0.3">
      <c r="A14" s="2" t="s">
        <v>16</v>
      </c>
      <c r="B14" s="3">
        <f t="shared" si="0"/>
        <v>-7714107</v>
      </c>
      <c r="C14" s="3">
        <v>0</v>
      </c>
      <c r="D14" s="3">
        <v>0</v>
      </c>
      <c r="E14" s="3">
        <v>7714107</v>
      </c>
      <c r="F14" s="3">
        <v>5500000</v>
      </c>
    </row>
    <row r="15" spans="1:6" ht="17.25" thickBot="1" x14ac:dyDescent="0.35">
      <c r="A15" s="4" t="s">
        <v>17</v>
      </c>
      <c r="B15" s="5">
        <f>SUM(B3:B14)</f>
        <v>-21614905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21614905</v>
      </c>
      <c r="F15" s="5">
        <f t="shared" si="2"/>
        <v>16701453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-32</v>
      </c>
      <c r="C4" s="3">
        <v>0</v>
      </c>
      <c r="D4" s="3">
        <v>0</v>
      </c>
      <c r="E4" s="3">
        <v>32</v>
      </c>
      <c r="F4" s="3">
        <v>2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-3227462</v>
      </c>
      <c r="C12" s="3">
        <v>0</v>
      </c>
      <c r="D12" s="3">
        <v>0</v>
      </c>
      <c r="E12" s="3">
        <v>3227462</v>
      </c>
      <c r="F12" s="3">
        <v>2500000</v>
      </c>
    </row>
    <row r="13" spans="1:6" x14ac:dyDescent="0.3">
      <c r="A13" s="2" t="s">
        <v>15</v>
      </c>
      <c r="B13" s="3">
        <f t="shared" si="0"/>
        <v>-4450394</v>
      </c>
      <c r="C13" s="3">
        <v>0</v>
      </c>
      <c r="D13" s="3">
        <v>0</v>
      </c>
      <c r="E13" s="3">
        <v>4450394</v>
      </c>
      <c r="F13" s="3">
        <v>2780647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-7677888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7677888</v>
      </c>
      <c r="F15" s="5">
        <f t="shared" si="2"/>
        <v>5280649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-2800000</v>
      </c>
      <c r="C3" s="3">
        <v>0</v>
      </c>
      <c r="D3" s="3">
        <v>0</v>
      </c>
      <c r="E3" s="3">
        <v>2800000</v>
      </c>
      <c r="F3" s="3">
        <v>2000000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-15</v>
      </c>
      <c r="C7" s="3">
        <v>0</v>
      </c>
      <c r="D7" s="3">
        <v>0</v>
      </c>
      <c r="E7" s="3">
        <v>15</v>
      </c>
      <c r="F7" s="3">
        <v>2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-37</v>
      </c>
      <c r="C9" s="3">
        <v>0</v>
      </c>
      <c r="D9" s="3">
        <v>0</v>
      </c>
      <c r="E9" s="3">
        <v>37</v>
      </c>
      <c r="F9" s="3">
        <v>3</v>
      </c>
    </row>
    <row r="10" spans="1:6" x14ac:dyDescent="0.3">
      <c r="A10" s="2" t="s">
        <v>12</v>
      </c>
      <c r="B10" s="3">
        <f t="shared" si="0"/>
        <v>-23</v>
      </c>
      <c r="C10" s="3">
        <v>0</v>
      </c>
      <c r="D10" s="3">
        <v>0</v>
      </c>
      <c r="E10" s="3">
        <v>23</v>
      </c>
      <c r="F10" s="3">
        <v>2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-1060116</v>
      </c>
      <c r="C14" s="3">
        <v>0</v>
      </c>
      <c r="D14" s="3">
        <v>0</v>
      </c>
      <c r="E14" s="3">
        <v>1060116</v>
      </c>
      <c r="F14" s="3">
        <v>1000000</v>
      </c>
    </row>
    <row r="15" spans="1:6" ht="17.25" thickBot="1" x14ac:dyDescent="0.35">
      <c r="A15" s="4" t="s">
        <v>17</v>
      </c>
      <c r="B15" s="5">
        <f>SUM(B3:B14)</f>
        <v>-3860191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3860191</v>
      </c>
      <c r="F15" s="5">
        <f t="shared" si="2"/>
        <v>3000007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-17</v>
      </c>
      <c r="C3" s="3">
        <v>0</v>
      </c>
      <c r="D3" s="3">
        <v>0</v>
      </c>
      <c r="E3" s="3">
        <v>17</v>
      </c>
      <c r="F3" s="3">
        <v>1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-31</v>
      </c>
      <c r="C5" s="3">
        <v>0</v>
      </c>
      <c r="D5" s="3">
        <v>0</v>
      </c>
      <c r="E5" s="3">
        <v>31</v>
      </c>
      <c r="F5" s="3">
        <v>3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-40</v>
      </c>
      <c r="C7" s="3">
        <v>0</v>
      </c>
      <c r="D7" s="3">
        <v>0</v>
      </c>
      <c r="E7" s="3">
        <v>40</v>
      </c>
      <c r="F7" s="3">
        <v>3</v>
      </c>
    </row>
    <row r="8" spans="1:6" x14ac:dyDescent="0.3">
      <c r="A8" s="2" t="s">
        <v>10</v>
      </c>
      <c r="B8" s="3">
        <f t="shared" si="0"/>
        <v>-54</v>
      </c>
      <c r="C8" s="3">
        <v>0</v>
      </c>
      <c r="D8" s="3">
        <v>0</v>
      </c>
      <c r="E8" s="3">
        <v>54</v>
      </c>
      <c r="F8" s="3">
        <v>3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-22</v>
      </c>
      <c r="C11" s="3">
        <v>0</v>
      </c>
      <c r="D11" s="3">
        <v>0</v>
      </c>
      <c r="E11" s="3">
        <v>22</v>
      </c>
      <c r="F11" s="3">
        <v>4</v>
      </c>
    </row>
    <row r="12" spans="1:6" x14ac:dyDescent="0.3">
      <c r="A12" s="2" t="s">
        <v>14</v>
      </c>
      <c r="B12" s="3">
        <f t="shared" si="0"/>
        <v>-517125</v>
      </c>
      <c r="C12" s="3">
        <v>0</v>
      </c>
      <c r="D12" s="3">
        <v>0</v>
      </c>
      <c r="E12" s="3">
        <v>517125</v>
      </c>
      <c r="F12" s="3">
        <v>525000</v>
      </c>
    </row>
    <row r="13" spans="1:6" x14ac:dyDescent="0.3">
      <c r="A13" s="2" t="s">
        <v>15</v>
      </c>
      <c r="B13" s="3">
        <f t="shared" si="0"/>
        <v>-329805</v>
      </c>
      <c r="C13" s="3">
        <v>0</v>
      </c>
      <c r="D13" s="3">
        <v>0</v>
      </c>
      <c r="E13" s="3">
        <v>329805</v>
      </c>
      <c r="F13" s="3">
        <v>315000</v>
      </c>
    </row>
    <row r="14" spans="1:6" x14ac:dyDescent="0.3">
      <c r="A14" s="2" t="s">
        <v>16</v>
      </c>
      <c r="B14" s="3">
        <f t="shared" si="0"/>
        <v>-1990217</v>
      </c>
      <c r="C14" s="3">
        <v>0</v>
      </c>
      <c r="D14" s="3">
        <v>0</v>
      </c>
      <c r="E14" s="3">
        <v>1990217</v>
      </c>
      <c r="F14" s="3">
        <v>2000000</v>
      </c>
    </row>
    <row r="15" spans="1:6" ht="17.25" thickBot="1" x14ac:dyDescent="0.35">
      <c r="A15" s="4" t="s">
        <v>17</v>
      </c>
      <c r="B15" s="5">
        <f>SUM(B3:B14)</f>
        <v>-2837311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2837311</v>
      </c>
      <c r="F15" s="5">
        <f t="shared" si="2"/>
        <v>2840014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-78</v>
      </c>
      <c r="C5" s="3">
        <v>0</v>
      </c>
      <c r="D5" s="3">
        <v>0</v>
      </c>
      <c r="E5" s="3">
        <v>78</v>
      </c>
      <c r="F5" s="3">
        <v>4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-33</v>
      </c>
      <c r="C8" s="3">
        <v>0</v>
      </c>
      <c r="D8" s="3">
        <v>0</v>
      </c>
      <c r="E8" s="3">
        <v>33</v>
      </c>
      <c r="F8" s="3">
        <v>2</v>
      </c>
    </row>
    <row r="9" spans="1:6" x14ac:dyDescent="0.3">
      <c r="A9" s="2" t="s">
        <v>11</v>
      </c>
      <c r="B9" s="3">
        <f t="shared" si="0"/>
        <v>-22</v>
      </c>
      <c r="C9" s="3">
        <v>0</v>
      </c>
      <c r="D9" s="3">
        <v>0</v>
      </c>
      <c r="E9" s="3">
        <v>22</v>
      </c>
      <c r="F9" s="3">
        <v>2</v>
      </c>
    </row>
    <row r="10" spans="1:6" x14ac:dyDescent="0.3">
      <c r="A10" s="2" t="s">
        <v>12</v>
      </c>
      <c r="B10" s="3">
        <f t="shared" si="0"/>
        <v>-40</v>
      </c>
      <c r="C10" s="3">
        <v>0</v>
      </c>
      <c r="D10" s="3">
        <v>0</v>
      </c>
      <c r="E10" s="3">
        <v>40</v>
      </c>
      <c r="F10" s="3">
        <v>4</v>
      </c>
    </row>
    <row r="11" spans="1:6" x14ac:dyDescent="0.3">
      <c r="A11" s="2" t="s">
        <v>13</v>
      </c>
      <c r="B11" s="3">
        <f t="shared" si="0"/>
        <v>-7122086</v>
      </c>
      <c r="C11" s="3">
        <v>0</v>
      </c>
      <c r="D11" s="3">
        <v>0</v>
      </c>
      <c r="E11" s="3">
        <v>7122086</v>
      </c>
      <c r="F11" s="3">
        <v>5998408</v>
      </c>
    </row>
    <row r="12" spans="1:6" x14ac:dyDescent="0.3">
      <c r="A12" s="2" t="s">
        <v>14</v>
      </c>
      <c r="B12" s="3">
        <f t="shared" si="0"/>
        <v>-1743342</v>
      </c>
      <c r="C12" s="3">
        <v>0</v>
      </c>
      <c r="D12" s="3">
        <v>0</v>
      </c>
      <c r="E12" s="3">
        <v>1743342</v>
      </c>
      <c r="F12" s="3">
        <v>1476640</v>
      </c>
    </row>
    <row r="13" spans="1:6" x14ac:dyDescent="0.3">
      <c r="A13" s="2" t="s">
        <v>15</v>
      </c>
      <c r="B13" s="3">
        <f t="shared" si="0"/>
        <v>-1747669</v>
      </c>
      <c r="C13" s="3">
        <v>0</v>
      </c>
      <c r="D13" s="3">
        <v>0</v>
      </c>
      <c r="E13" s="3">
        <v>1747669</v>
      </c>
      <c r="F13" s="3">
        <v>1510380</v>
      </c>
    </row>
    <row r="14" spans="1:6" x14ac:dyDescent="0.3">
      <c r="A14" s="2" t="s">
        <v>16</v>
      </c>
      <c r="B14" s="3">
        <f t="shared" si="0"/>
        <v>-1826702</v>
      </c>
      <c r="C14" s="3">
        <v>0</v>
      </c>
      <c r="D14" s="3">
        <v>0</v>
      </c>
      <c r="E14" s="3">
        <v>1826702</v>
      </c>
      <c r="F14" s="3">
        <v>1499040</v>
      </c>
    </row>
    <row r="15" spans="1:6" ht="17.25" thickBot="1" x14ac:dyDescent="0.35">
      <c r="A15" s="4" t="s">
        <v>17</v>
      </c>
      <c r="B15" s="5">
        <f>SUM(B3:B14)</f>
        <v>-12439972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12439972</v>
      </c>
      <c r="F15" s="5">
        <f t="shared" si="2"/>
        <v>10484480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2026-06-01T05:13:12Z</dcterms:created>
  <dcterms:modified xsi:type="dcterms:W3CDTF">2026-07-14T09:37:38Z</dcterms:modified>
</cp:coreProperties>
</file>