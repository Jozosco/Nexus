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10\바이오디젤 제조용(.2000)\"/>
    </mc:Choice>
  </mc:AlternateContent>
  <bookViews>
    <workbookView xWindow="0" yWindow="0" windowWidth="28800" windowHeight="11640"/>
  </bookViews>
  <sheets>
    <sheet name="2010년" sheetId="12" r:id="rId1"/>
    <sheet name="2011년" sheetId="13" r:id="rId2"/>
    <sheet name="2012년" sheetId="14" r:id="rId3"/>
    <sheet name="2013년" sheetId="15" r:id="rId4"/>
    <sheet name="2014년" sheetId="16" r:id="rId5"/>
    <sheet name="2015년" sheetId="17" r:id="rId6"/>
    <sheet name="2016년" sheetId="18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1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8" l="1"/>
  <c r="E15" i="18"/>
  <c r="D15" i="18"/>
  <c r="C15" i="18"/>
  <c r="B14" i="18"/>
  <c r="B13" i="18"/>
  <c r="B12" i="18"/>
  <c r="B11" i="18"/>
  <c r="B10" i="18"/>
  <c r="B9" i="18"/>
  <c r="B8" i="18"/>
  <c r="B7" i="18"/>
  <c r="B6" i="18"/>
  <c r="B5" i="18"/>
  <c r="B4" i="18"/>
  <c r="B3" i="18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2" l="1"/>
  <c r="B15" i="18"/>
  <c r="B15" i="17"/>
  <c r="B15" i="13"/>
  <c r="B15" i="14"/>
  <c r="B15" i="15"/>
  <c r="B15" i="16"/>
  <c r="B15" i="11"/>
  <c r="B3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F15" i="2"/>
  <c r="E15" i="2"/>
  <c r="D15" i="2"/>
  <c r="C15" i="2"/>
  <c r="B14" i="2"/>
  <c r="B13" i="2"/>
  <c r="B12" i="2"/>
  <c r="B11" i="2"/>
  <c r="B10" i="2"/>
  <c r="B9" i="2"/>
  <c r="B8" i="2"/>
  <c r="B7" i="2"/>
  <c r="B6" i="2"/>
  <c r="B5" i="2"/>
  <c r="B4" i="2"/>
  <c r="B3" i="2"/>
  <c r="F15" i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<sst xmlns="http://schemas.openxmlformats.org/spreadsheetml/2006/main" count="306" uniqueCount="43">
  <si>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</si>
  <si>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</si>
  <si>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</si>
  <si>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</si>
  <si>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</si>
  <si>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</si>
  <si>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</si>
  <si>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</si>
  <si>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</si>
  <si>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</si>
  <si>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</si>
  <si>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</si>
  <si>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</si>
  <si>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</si>
  <si>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</si>
  <si>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</si>
  <si>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</si>
  <si>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</si>
  <si>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</si>
  <si>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</si>
  <si>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</si>
  <si>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</si>
  <si>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</si>
  <si>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</si>
  <si>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</si>
  <si>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</si>
  <si>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</si>
  <si>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</si>
  <si>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</si>
  <si>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</si>
  <si>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</si>
  <si>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</si>
  <si>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</si>
  <si>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</si>
  <si>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</si>
  <si>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</si>
  <si>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수입액(달러)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</si>
  <si>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</si>
  <si>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</si>
  <si>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</si>
  <si>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</si>
  <si>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2월</t>
    <phoneticPr fontId="1" type="noConversion"/>
  </si>
  <si>
    <t>무역수지(달러)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</si>
</sst>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1"/>
        <v>225929</v>
      </c>
      <c r="C11" s="3">
        <v>225929</v>
      </c>
      <c r="D11" s="3">
        <v>209000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1"/>
        <v>237451</v>
      </c>
      <c r="C12" s="3">
        <v>237451</v>
      </c>
      <c r="D12" s="3">
        <v>213920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1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1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463380</v>
      </c>
      <c r="C15" s="5">
        <f t="shared" ref="C15:F15" si="2">SUM(C3:C14)</f>
        <v>463380</v>
      </c>
      <c r="D15" s="5">
        <f t="shared" si="2"/>
        <v>422920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94770</v>
      </c>
      <c r="C5" s="3">
        <v>94770</v>
      </c>
      <c r="D5" s="3">
        <v>60000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799493</v>
      </c>
      <c r="C6" s="3">
        <v>799493</v>
      </c>
      <c r="D6" s="3">
        <v>504000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805784</v>
      </c>
      <c r="C7" s="3">
        <v>805784</v>
      </c>
      <c r="D7" s="3">
        <v>504000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1917171</v>
      </c>
      <c r="C8" s="3">
        <v>1917171</v>
      </c>
      <c r="D8" s="3">
        <v>1195200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693120</v>
      </c>
      <c r="C9" s="3">
        <v>693120</v>
      </c>
      <c r="D9" s="3">
        <v>432000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1463097</v>
      </c>
      <c r="C10" s="3">
        <v>1463097</v>
      </c>
      <c r="D10" s="3">
        <v>907020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159712</v>
      </c>
      <c r="C11" s="3">
        <v>159712</v>
      </c>
      <c r="D11" s="3">
        <v>100800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540644</v>
      </c>
      <c r="C12" s="3">
        <v>540644</v>
      </c>
      <c r="D12" s="3">
        <v>343980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6473791</v>
      </c>
      <c r="C15" s="5">
        <f t="shared" ref="C15:F15" si="1">SUM(C3:C14)</f>
        <v>6473791</v>
      </c>
      <c r="D15" s="5">
        <f t="shared" si="1"/>
        <v>4047000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38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40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1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1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1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1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2">SUM(C3:C14)</f>
        <v>0</v>
      </c>
      <c r="D15" s="5">
        <f t="shared" si="2"/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1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1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1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1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2">SUM(C3:C14)</f>
        <v>0</v>
      </c>
      <c r="D15" s="5">
        <f t="shared" si="2"/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-17</v>
      </c>
      <c r="C10" s="3">
        <v>0</v>
      </c>
      <c r="D10" s="3">
        <v>0</v>
      </c>
      <c r="E10" s="3">
        <v>17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-17</v>
      </c>
      <c r="C15" s="5">
        <f t="shared" ref="C15:F15" si="1">SUM(C3:C14)</f>
        <v>0</v>
      </c>
      <c r="D15" s="5">
        <f t="shared" si="1"/>
        <v>0</v>
      </c>
      <c r="E15" s="5">
        <f t="shared" si="1"/>
        <v>17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38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39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40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41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41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-40</v>
      </c>
      <c r="C10" s="3">
        <v>0</v>
      </c>
      <c r="D10" s="3">
        <v>0</v>
      </c>
      <c r="E10" s="3">
        <v>40</v>
      </c>
      <c r="F10" s="3">
        <v>4</v>
      </c>
    </row>
    <row r="11" spans="1:6" x14ac:dyDescent="0.3">
      <c r="A11" s="2" t="s">
        <v>13</v>
      </c>
      <c r="B11" s="3">
        <f t="shared" si="0"/>
        <v>-1171867</v>
      </c>
      <c r="C11" s="3">
        <v>0</v>
      </c>
      <c r="D11" s="3">
        <v>0</v>
      </c>
      <c r="E11" s="3">
        <v>1171867</v>
      </c>
      <c r="F11" s="3">
        <v>1000240</v>
      </c>
    </row>
    <row r="12" spans="1:6" x14ac:dyDescent="0.3">
      <c r="A12" s="2" t="s">
        <v>14</v>
      </c>
      <c r="B12" s="3">
        <f t="shared" si="0"/>
        <v>-594222</v>
      </c>
      <c r="C12" s="3">
        <v>0</v>
      </c>
      <c r="D12" s="3">
        <v>0</v>
      </c>
      <c r="E12" s="3">
        <v>594222</v>
      </c>
      <c r="F12" s="3">
        <v>468640</v>
      </c>
    </row>
    <row r="13" spans="1:6" x14ac:dyDescent="0.3">
      <c r="A13" s="2" t="s">
        <v>15</v>
      </c>
      <c r="B13" s="3">
        <f t="shared" si="0"/>
        <v>-598549</v>
      </c>
      <c r="C13" s="3">
        <v>0</v>
      </c>
      <c r="D13" s="3">
        <v>0</v>
      </c>
      <c r="E13" s="3">
        <v>598549</v>
      </c>
      <c r="F13" s="3">
        <v>502380</v>
      </c>
    </row>
    <row r="14" spans="1:6" x14ac:dyDescent="0.3">
      <c r="A14" s="2" t="s">
        <v>16</v>
      </c>
      <c r="B14" s="3">
        <f t="shared" si="0"/>
        <v>-1826702</v>
      </c>
      <c r="C14" s="3">
        <v>0</v>
      </c>
      <c r="D14" s="3">
        <v>0</v>
      </c>
      <c r="E14" s="3">
        <v>1826702</v>
      </c>
      <c r="F14" s="3">
        <v>1499040</v>
      </c>
    </row>
    <row r="15" spans="1:6" ht="17.25" thickBot="1" x14ac:dyDescent="0.35">
      <c r="A15" s="4" t="s">
        <v>34</v>
      </c>
      <c r="B15" s="5">
        <f>SUM(B3:B14)</f>
        <v>-4191380</v>
      </c>
      <c r="C15" s="5">
        <f t="shared" ref="C15:F15" si="1">SUM(C3:C14)</f>
        <v>0</v>
      </c>
      <c r="D15" s="5">
        <f t="shared" si="1"/>
        <v>0</v>
      </c>
      <c r="E15" s="5">
        <f t="shared" si="1"/>
        <v>4191380</v>
      </c>
      <c r="F15" s="5">
        <f t="shared" si="1"/>
        <v>3470304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41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2026-07-14T07:08:56Z</dcterms:created>
  <dcterms:modified xsi:type="dcterms:W3CDTF">2026-07-16T05:50:20Z</dcterms:modified>
</cp:coreProperties>
</file>