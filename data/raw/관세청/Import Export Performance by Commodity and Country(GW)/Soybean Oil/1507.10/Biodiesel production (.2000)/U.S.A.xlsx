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10\바이오디젤 제조용(.2000)\"/>
    </mc:Choice>
  </mc:AlternateContent>
  <bookViews>
    <workbookView xWindow="0" yWindow="0" windowWidth="28800" windowHeight="11640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E15" i="18"/>
  <c r="D15" i="18"/>
  <c r="C15" i="18"/>
  <c r="B14" i="18"/>
  <c r="B13" i="18"/>
  <c r="B12" i="18"/>
  <c r="B11" i="18"/>
  <c r="B10" i="18"/>
  <c r="B9" i="18"/>
  <c r="B8" i="18"/>
  <c r="B7" i="18"/>
  <c r="B6" i="18"/>
  <c r="B5" i="18"/>
  <c r="B4" i="18"/>
  <c r="B3" i="18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2" l="1"/>
  <c r="B15" i="18"/>
  <c r="B15" i="17"/>
  <c r="B15" i="13"/>
  <c r="B15" i="14"/>
  <c r="B15" i="15"/>
  <c r="B15" i="16"/>
  <c r="B15" i="1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<sst xmlns="http://schemas.openxmlformats.org/spreadsheetml/2006/main" count="306" uniqueCount="43">
  <si>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</si>
  <si>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</si>
  <si>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</si>
  <si>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</si>
  <si>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</si>
  <si>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</si>
  <si>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</si>
  <si>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</si>
  <si>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</si>
  <si>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</si>
  <si>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</si>
  <si>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</si>
  <si>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</si>
  <si>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</si>
  <si>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</si>
  <si>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</si>
  <si>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</si>
  <si>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</si>
  <si>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</si>
  <si>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</si>
  <si>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</si>
  <si>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</si>
  <si>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</si>
  <si>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</si>
  <si>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</si>
  <si>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</si>
  <si>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</si>
  <si>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</si>
  <si>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</si>
  <si>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</si>
  <si>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</si>
  <si>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</si>
  <si>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</si>
  <si>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</si>
  <si>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</si>
  <si>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</si>
  <si>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수입액(달러)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</si>
  <si>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</si>
  <si>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</si>
  <si>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</si>
  <si>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</si>
  <si>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2월</t>
    <phoneticPr fontId="1" type="noConversion"/>
  </si>
  <si>
    <t>무역수지(달러)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</si>
</sst>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-2446509</v>
      </c>
      <c r="C3" s="3">
        <v>0</v>
      </c>
      <c r="D3" s="3">
        <v>0</v>
      </c>
      <c r="E3" s="3">
        <v>2446509</v>
      </c>
      <c r="F3" s="3">
        <v>2650047</v>
      </c>
    </row>
    <row r="4" spans="1:6" x14ac:dyDescent="0.3">
      <c r="A4" s="2" t="s">
        <v>6</v>
      </c>
      <c r="B4" s="3">
        <f t="shared" si="0"/>
        <v>-459970</v>
      </c>
      <c r="C4" s="3">
        <v>0</v>
      </c>
      <c r="D4" s="3">
        <v>0</v>
      </c>
      <c r="E4" s="3">
        <v>459970</v>
      </c>
      <c r="F4" s="3">
        <v>482839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-2906479</v>
      </c>
      <c r="C15" s="5">
        <f t="shared" ref="C15:F15" si="2">SUM(C3:C14)</f>
        <v>0</v>
      </c>
      <c r="D15" s="5">
        <f t="shared" si="2"/>
        <v>0</v>
      </c>
      <c r="E15" s="5">
        <f t="shared" si="2"/>
        <v>2906479</v>
      </c>
      <c r="F15" s="5">
        <f t="shared" si="2"/>
        <v>3132886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-24</v>
      </c>
      <c r="C12" s="3">
        <v>0</v>
      </c>
      <c r="D12" s="3">
        <v>0</v>
      </c>
      <c r="E12" s="3">
        <v>24</v>
      </c>
      <c r="F12" s="3">
        <v>4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-18</v>
      </c>
      <c r="C10" s="3">
        <v>0</v>
      </c>
      <c r="D10" s="3">
        <v>0</v>
      </c>
      <c r="E10" s="3">
        <v>18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-18</v>
      </c>
      <c r="C15" s="5">
        <f t="shared" ref="C15:F15" si="1">SUM(C3:C14)</f>
        <v>0</v>
      </c>
      <c r="D15" s="5">
        <f t="shared" si="1"/>
        <v>0</v>
      </c>
      <c r="E15" s="5">
        <f t="shared" si="1"/>
        <v>18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2">SUM(C3:C14)</f>
        <v>0</v>
      </c>
      <c r="D15" s="5">
        <f t="shared" si="2"/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2">SUM(C3:C14)</f>
        <v>0</v>
      </c>
      <c r="D15" s="5">
        <f t="shared" si="2"/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-3010760</v>
      </c>
      <c r="C12" s="3">
        <v>0</v>
      </c>
      <c r="D12" s="3">
        <v>0</v>
      </c>
      <c r="E12" s="3">
        <v>3010760</v>
      </c>
      <c r="F12" s="3">
        <v>4000000</v>
      </c>
    </row>
    <row r="13" spans="1:6" x14ac:dyDescent="0.3">
      <c r="A13" s="2" t="s">
        <v>15</v>
      </c>
      <c r="B13" s="3">
        <f t="shared" si="0"/>
        <v>-639786</v>
      </c>
      <c r="C13" s="3">
        <v>0</v>
      </c>
      <c r="D13" s="3">
        <v>0</v>
      </c>
      <c r="E13" s="3">
        <v>639786</v>
      </c>
      <c r="F13" s="3">
        <v>850000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-3650546</v>
      </c>
      <c r="C15" s="5">
        <f t="shared" ref="C15:F15" si="1">SUM(C3:C14)</f>
        <v>0</v>
      </c>
      <c r="D15" s="5">
        <f t="shared" si="1"/>
        <v>0</v>
      </c>
      <c r="E15" s="5">
        <f t="shared" si="1"/>
        <v>3650546</v>
      </c>
      <c r="F15" s="5">
        <f t="shared" si="1"/>
        <v>4850000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-1553837</v>
      </c>
      <c r="C12" s="3">
        <v>0</v>
      </c>
      <c r="D12" s="3">
        <v>0</v>
      </c>
      <c r="E12" s="3">
        <v>1553837</v>
      </c>
      <c r="F12" s="3">
        <v>1933655</v>
      </c>
    </row>
    <row r="13" spans="1:6" x14ac:dyDescent="0.3">
      <c r="A13" s="2" t="s">
        <v>15</v>
      </c>
      <c r="B13" s="3">
        <f t="shared" si="0"/>
        <v>-8672761</v>
      </c>
      <c r="C13" s="3">
        <v>0</v>
      </c>
      <c r="D13" s="3">
        <v>0</v>
      </c>
      <c r="E13" s="3">
        <v>8672761</v>
      </c>
      <c r="F13" s="3">
        <v>10049751</v>
      </c>
    </row>
    <row r="14" spans="1:6" x14ac:dyDescent="0.3">
      <c r="A14" s="2" t="s">
        <v>16</v>
      </c>
      <c r="B14" s="3">
        <f t="shared" si="0"/>
        <v>-324895</v>
      </c>
      <c r="C14" s="3">
        <v>0</v>
      </c>
      <c r="D14" s="3">
        <v>0</v>
      </c>
      <c r="E14" s="3">
        <v>324895</v>
      </c>
      <c r="F14" s="3">
        <v>350000</v>
      </c>
    </row>
    <row r="15" spans="1:6" ht="17.25" thickBot="1" x14ac:dyDescent="0.35">
      <c r="A15" s="4" t="s">
        <v>26</v>
      </c>
      <c r="B15" s="5">
        <f>SUM(B3:B14)</f>
        <v>-10551493</v>
      </c>
      <c r="C15" s="5">
        <f t="shared" ref="C15:F15" si="1">SUM(C3:C14)</f>
        <v>0</v>
      </c>
      <c r="D15" s="5">
        <f t="shared" si="1"/>
        <v>0</v>
      </c>
      <c r="E15" s="5">
        <f t="shared" si="1"/>
        <v>10551493</v>
      </c>
      <c r="F15" s="5">
        <f t="shared" si="1"/>
        <v>12333406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-45415</v>
      </c>
      <c r="C3" s="3">
        <v>0</v>
      </c>
      <c r="D3" s="3">
        <v>0</v>
      </c>
      <c r="E3" s="3">
        <v>45415</v>
      </c>
      <c r="F3" s="3">
        <v>49944</v>
      </c>
    </row>
    <row r="4" spans="1:6" x14ac:dyDescent="0.3">
      <c r="A4" s="2" t="s">
        <v>38</v>
      </c>
      <c r="B4" s="3">
        <f t="shared" si="0"/>
        <v>-157560</v>
      </c>
      <c r="C4" s="3">
        <v>0</v>
      </c>
      <c r="D4" s="3">
        <v>0</v>
      </c>
      <c r="E4" s="3">
        <v>157560</v>
      </c>
      <c r="F4" s="3">
        <v>151500</v>
      </c>
    </row>
    <row r="5" spans="1:6" x14ac:dyDescent="0.3">
      <c r="A5" s="2" t="s">
        <v>39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40</v>
      </c>
      <c r="B15" s="5">
        <f>SUM(B3:B14)</f>
        <v>-202975</v>
      </c>
      <c r="C15" s="5">
        <f t="shared" ref="C15:F15" si="1">SUM(C3:C14)</f>
        <v>0</v>
      </c>
      <c r="D15" s="5">
        <f t="shared" si="1"/>
        <v>0</v>
      </c>
      <c r="E15" s="5">
        <f t="shared" si="1"/>
        <v>202975</v>
      </c>
      <c r="F15" s="5">
        <f t="shared" si="1"/>
        <v>201444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41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41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41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2026-07-14T07:08:56Z</dcterms:created>
  <dcterms:modified xsi:type="dcterms:W3CDTF">2026-07-16T06:19:49Z</dcterms:modified>
</cp:coreProperties>
</file>