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U:\데이터플랫폼팀\00 데이터플랫폼팀_공유\데이터플랫폼팀(23.03~)\08 데이터 분석\00 분석과제정의서\☆구매\수입원료\대두유\데이터\외부\경제, 무역\관세청\9개년_품목별 국가별 수출입실적\대두유\1507.10\식품용(.1000)\"/>
    </mc:Choice>
  </mc:AlternateContent>
  <bookViews>
    <workbookView xWindow="0" yWindow="0" windowWidth="25125" windowHeight="11640" firstSheet="4" activeTab="16"/>
  </bookViews>
  <sheets>
    <sheet name="2010년" sheetId="10" r:id="rId1"/>
    <sheet name="2011년" sheetId="11" r:id="rId2"/>
    <sheet name="2012년" sheetId="12" r:id="rId3"/>
    <sheet name="2013년" sheetId="13" r:id="rId4"/>
    <sheet name="2014년" sheetId="14" r:id="rId5"/>
    <sheet name="2015년" sheetId="15" r:id="rId6"/>
    <sheet name="2016년" sheetId="16" r:id="rId7"/>
    <sheet name="2017년" sheetId="1" r:id="rId8"/>
    <sheet name="2018년" sheetId="2" r:id="rId9"/>
    <sheet name="2019년" sheetId="3" r:id="rId10"/>
    <sheet name="2020년" sheetId="4" r:id="rId11"/>
    <sheet name="2021년" sheetId="5" r:id="rId12"/>
    <sheet name="2022년" sheetId="6" r:id="rId13"/>
    <sheet name="2023년" sheetId="7" r:id="rId14"/>
    <sheet name="2024년" sheetId="8" r:id="rId15"/>
    <sheet name="2025년" sheetId="9" r:id="rId16"/>
    <sheet name="2026년" sheetId="17" r:id="rId1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7" l="1"/>
  <c r="E15" i="17"/>
  <c r="D15" i="17"/>
  <c r="C15" i="17"/>
  <c r="B14" i="17"/>
  <c r="B13" i="17"/>
  <c r="B12" i="17"/>
  <c r="B11" i="17"/>
  <c r="B10" i="17"/>
  <c r="B9" i="17"/>
  <c r="B8" i="17"/>
  <c r="B7" i="17"/>
  <c r="B6" i="17"/>
  <c r="B5" i="17"/>
  <c r="B4" i="17"/>
  <c r="B3" i="17"/>
  <c r="F15" i="16"/>
  <c r="E15" i="16"/>
  <c r="D15" i="16"/>
  <c r="C15" i="16"/>
  <c r="B14" i="16"/>
  <c r="B13" i="16"/>
  <c r="B12" i="16"/>
  <c r="B11" i="16"/>
  <c r="B10" i="16"/>
  <c r="B9" i="16"/>
  <c r="B8" i="16"/>
  <c r="B7" i="16"/>
  <c r="B6" i="16"/>
  <c r="B5" i="16"/>
  <c r="B4" i="16"/>
  <c r="B3" i="16"/>
  <c r="F15" i="15"/>
  <c r="E15" i="15"/>
  <c r="D15" i="15"/>
  <c r="C15" i="15"/>
  <c r="B14" i="15"/>
  <c r="B13" i="15"/>
  <c r="B12" i="15"/>
  <c r="B11" i="15"/>
  <c r="B10" i="15"/>
  <c r="B9" i="15"/>
  <c r="B8" i="15"/>
  <c r="B7" i="15"/>
  <c r="B6" i="15"/>
  <c r="B5" i="15"/>
  <c r="B4" i="15"/>
  <c r="B3" i="15"/>
  <c r="F15" i="14"/>
  <c r="E15" i="14"/>
  <c r="D15" i="14"/>
  <c r="C15" i="14"/>
  <c r="B14" i="14"/>
  <c r="B13" i="14"/>
  <c r="B12" i="14"/>
  <c r="B11" i="14"/>
  <c r="B10" i="14"/>
  <c r="B9" i="14"/>
  <c r="B8" i="14"/>
  <c r="B7" i="14"/>
  <c r="B6" i="14"/>
  <c r="B5" i="14"/>
  <c r="B4" i="14"/>
  <c r="B3" i="14"/>
  <c r="F15" i="13"/>
  <c r="E15" i="13"/>
  <c r="D15" i="13"/>
  <c r="C15" i="13"/>
  <c r="B14" i="13"/>
  <c r="B13" i="13"/>
  <c r="B12" i="13"/>
  <c r="B11" i="13"/>
  <c r="B10" i="13"/>
  <c r="B9" i="13"/>
  <c r="B8" i="13"/>
  <c r="B7" i="13"/>
  <c r="B6" i="13"/>
  <c r="B5" i="13"/>
  <c r="B4" i="13"/>
  <c r="B15" i="13" s="1"/>
  <c r="B3" i="13"/>
  <c r="F15" i="12"/>
  <c r="E15" i="12"/>
  <c r="D15" i="12"/>
  <c r="C15" i="12"/>
  <c r="B14" i="12"/>
  <c r="B13" i="12"/>
  <c r="B12" i="12"/>
  <c r="B11" i="12"/>
  <c r="B10" i="12"/>
  <c r="B9" i="12"/>
  <c r="B8" i="12"/>
  <c r="B7" i="12"/>
  <c r="B6" i="12"/>
  <c r="B5" i="12"/>
  <c r="B4" i="12"/>
  <c r="B3" i="12"/>
  <c r="F15" i="11"/>
  <c r="E15" i="11"/>
  <c r="D15" i="11"/>
  <c r="C15" i="11"/>
  <c r="B14" i="11"/>
  <c r="B13" i="11"/>
  <c r="B12" i="11"/>
  <c r="B11" i="11"/>
  <c r="B10" i="11"/>
  <c r="B9" i="11"/>
  <c r="B8" i="11"/>
  <c r="B7" i="11"/>
  <c r="B6" i="11"/>
  <c r="B5" i="11"/>
  <c r="B4" i="11"/>
  <c r="B3" i="11"/>
  <c r="F15" i="10"/>
  <c r="E15" i="10"/>
  <c r="D15" i="10"/>
  <c r="C15" i="10"/>
  <c r="B14" i="10"/>
  <c r="B13" i="10"/>
  <c r="B12" i="10"/>
  <c r="B11" i="10"/>
  <c r="B10" i="10"/>
  <c r="B9" i="10"/>
  <c r="B8" i="10"/>
  <c r="B7" i="10"/>
  <c r="B6" i="10"/>
  <c r="B5" i="10"/>
  <c r="B4" i="10"/>
  <c r="B3" i="10"/>
  <c r="B15" i="17" l="1"/>
  <c r="B15" i="16"/>
  <c r="B15" i="15"/>
  <c r="B15" i="14"/>
  <c r="B15" i="12"/>
  <c r="B15" i="11"/>
  <c r="B15" i="10"/>
  <c r="B14" i="1"/>
  <c r="B13" i="1"/>
  <c r="B12" i="1"/>
  <c r="B11" i="1"/>
  <c r="B10" i="1"/>
  <c r="B8" i="1"/>
  <c r="B7" i="1"/>
  <c r="B6" i="1"/>
  <c r="B5" i="1"/>
  <c r="B4" i="1"/>
  <c r="B3" i="1"/>
  <c r="B9" i="1"/>
  <c r="F15" i="9" l="1"/>
  <c r="E15" i="9"/>
  <c r="D15" i="9"/>
  <c r="C15" i="9"/>
  <c r="B14" i="9"/>
  <c r="B13" i="9"/>
  <c r="B12" i="9"/>
  <c r="B11" i="9"/>
  <c r="B10" i="9"/>
  <c r="B9" i="9"/>
  <c r="B8" i="9"/>
  <c r="B7" i="9"/>
  <c r="B6" i="9"/>
  <c r="B5" i="9"/>
  <c r="B4" i="9"/>
  <c r="B3" i="9"/>
  <c r="F15" i="8"/>
  <c r="E15" i="8"/>
  <c r="D15" i="8"/>
  <c r="C15" i="8"/>
  <c r="B14" i="8"/>
  <c r="B13" i="8"/>
  <c r="B12" i="8"/>
  <c r="B11" i="8"/>
  <c r="B10" i="8"/>
  <c r="B9" i="8"/>
  <c r="B8" i="8"/>
  <c r="B7" i="8"/>
  <c r="B6" i="8"/>
  <c r="B5" i="8"/>
  <c r="B4" i="8"/>
  <c r="B3" i="8"/>
  <c r="F15" i="7"/>
  <c r="E15" i="7"/>
  <c r="D15" i="7"/>
  <c r="C15" i="7"/>
  <c r="B14" i="7"/>
  <c r="B13" i="7"/>
  <c r="B12" i="7"/>
  <c r="B11" i="7"/>
  <c r="B10" i="7"/>
  <c r="B9" i="7"/>
  <c r="B8" i="7"/>
  <c r="B7" i="7"/>
  <c r="B6" i="7"/>
  <c r="B5" i="7"/>
  <c r="B4" i="7"/>
  <c r="B3" i="7"/>
  <c r="B14" i="6"/>
  <c r="B13" i="6"/>
  <c r="B12" i="6"/>
  <c r="B11" i="6"/>
  <c r="B10" i="6"/>
  <c r="B9" i="6"/>
  <c r="B8" i="6"/>
  <c r="B7" i="6"/>
  <c r="B6" i="6"/>
  <c r="B5" i="6"/>
  <c r="B4" i="6"/>
  <c r="B3" i="6"/>
  <c r="B14" i="5"/>
  <c r="B13" i="5"/>
  <c r="B12" i="5"/>
  <c r="B11" i="5"/>
  <c r="B10" i="5"/>
  <c r="B9" i="5"/>
  <c r="B8" i="5"/>
  <c r="B7" i="5"/>
  <c r="B6" i="5"/>
  <c r="B5" i="5"/>
  <c r="B4" i="5"/>
  <c r="B3" i="5"/>
  <c r="B14" i="4"/>
  <c r="B13" i="4"/>
  <c r="B12" i="4"/>
  <c r="B11" i="4"/>
  <c r="B10" i="4"/>
  <c r="B9" i="4"/>
  <c r="B8" i="4"/>
  <c r="B7" i="4"/>
  <c r="B6" i="4"/>
  <c r="B5" i="4"/>
  <c r="B4" i="4"/>
  <c r="B3" i="4"/>
  <c r="B14" i="3"/>
  <c r="B13" i="3"/>
  <c r="B12" i="3"/>
  <c r="B11" i="3"/>
  <c r="B10" i="3"/>
  <c r="B9" i="3"/>
  <c r="B8" i="3"/>
  <c r="B7" i="3"/>
  <c r="B6" i="3"/>
  <c r="B5" i="3"/>
  <c r="B4" i="3"/>
  <c r="B3" i="3"/>
  <c r="B14" i="2"/>
  <c r="B13" i="2"/>
  <c r="B12" i="2"/>
  <c r="B11" i="2"/>
  <c r="B10" i="2"/>
  <c r="B9" i="2"/>
  <c r="B8" i="2"/>
  <c r="B7" i="2"/>
  <c r="B6" i="2"/>
  <c r="B5" i="2"/>
  <c r="B4" i="2"/>
  <c r="B3" i="2"/>
  <c r="F15" i="6"/>
  <c r="E15" i="6"/>
  <c r="D15" i="6"/>
  <c r="C15" i="6"/>
  <c r="F15" i="5"/>
  <c r="E15" i="5"/>
  <c r="D15" i="5"/>
  <c r="C15" i="5"/>
  <c r="F15" i="4"/>
  <c r="E15" i="4"/>
  <c r="D15" i="4"/>
  <c r="C15" i="4"/>
  <c r="F15" i="3"/>
  <c r="E15" i="3"/>
  <c r="D15" i="3"/>
  <c r="C15" i="3"/>
  <c r="D15" i="1"/>
  <c r="C15" i="1"/>
  <c r="D15" i="2"/>
  <c r="C15" i="2"/>
  <c r="F15" i="2"/>
  <c r="E15" i="2"/>
  <c r="F15" i="1"/>
  <c r="E15" i="1"/>
  <c r="B15" i="1" l="1"/>
  <c r="B15" i="9"/>
  <c r="B15" i="8"/>
  <c r="B15" i="7"/>
  <c r="B15" i="6"/>
  <c r="B15" i="5"/>
  <c r="B15" i="4"/>
  <c r="B15" i="3"/>
  <c r="B15" i="2"/>
</calcChain>
</file>

<file path=xl/sharedStrings.xml><?xml version="1.0" encoding="utf-8"?>
<sst xmlns="http://schemas.openxmlformats.org/spreadsheetml/2006/main" count="306" uniqueCount="45">
  <si>
    <t>1월</t>
    <phoneticPr fontId="1" type="noConversion"/>
  </si>
  <si>
    <t>2월</t>
    <phoneticPr fontId="1" type="noConversion"/>
  </si>
  <si>
    <t>3월</t>
    <phoneticPr fontId="1" type="noConversion"/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</si>
  <si>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</si>
  <si>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</si>
  <si>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</si>
  <si>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</si>
  <si>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</si>
  <si>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</si>
  <si>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</si>
  <si>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</si>
  <si>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</si>
  <si>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무역수지(달러)</t>
    <phoneticPr fontId="1" type="noConversion"/>
  </si>
  <si>
    <t>총계</t>
    <phoneticPr fontId="1" type="noConversion"/>
  </si>
  <si>
    <t>수입액(달러)</t>
    <phoneticPr fontId="1" type="noConversion"/>
  </si>
  <si>
    <t>수입량(kg)</t>
    <phoneticPr fontId="1" type="noConversion"/>
  </si>
  <si>
    <t>수출량(kg)</t>
    <phoneticPr fontId="1" type="noConversion"/>
  </si>
  <si>
    <t>수출액(달러)</t>
    <phoneticPr fontId="1" type="noConversion"/>
  </si>
  <si>
    <t>무역수지(달러)</t>
    <phoneticPr fontId="1" type="noConversion"/>
  </si>
  <si>
    <t>수출액(달러)</t>
    <phoneticPr fontId="1" type="noConversion"/>
  </si>
  <si>
    <t>수출량(kg)</t>
    <phoneticPr fontId="1" type="noConversion"/>
  </si>
  <si>
    <t>수입액(달러)</t>
    <phoneticPr fontId="1" type="noConversion"/>
  </si>
  <si>
    <t>수입량(kg)</t>
    <phoneticPr fontId="1" type="noConversion"/>
  </si>
  <si>
    <t>수입량(kg)</t>
    <phoneticPr fontId="1" type="noConversion"/>
  </si>
  <si>
    <t>1월</t>
    <phoneticPr fontId="1" type="noConversion"/>
  </si>
  <si>
    <t>2월</t>
    <phoneticPr fontId="1" type="noConversion"/>
  </si>
  <si>
    <t>3월</t>
    <phoneticPr fontId="1" type="noConversion"/>
  </si>
  <si>
    <t>총계</t>
    <phoneticPr fontId="1" type="noConversion"/>
  </si>
  <si>
    <t>총계</t>
    <phoneticPr fontId="1" type="noConversion"/>
  </si>
  <si>
    <t>무역수지(달러)</t>
    <phoneticPr fontId="1" type="noConversion"/>
  </si>
  <si>
    <t>수출액(달러)</t>
    <phoneticPr fontId="1" type="noConversion"/>
  </si>
  <si>
    <t>수출량(kg)</t>
    <phoneticPr fontId="1" type="noConversion"/>
  </si>
  <si>
    <t>수입량(kg)</t>
    <phoneticPr fontId="1" type="noConversion"/>
  </si>
  <si>
    <t>무역수지(달러)</t>
    <phoneticPr fontId="1" type="noConversion"/>
  </si>
  <si>
    <t>수출액(달러)</t>
    <phoneticPr fontId="1" type="noConversion"/>
  </si>
  <si>
    <t>수출량(kg)</t>
    <phoneticPr fontId="1" type="noConversion"/>
  </si>
  <si>
    <t>수입액(달러)</t>
    <phoneticPr fontId="1" type="noConversion"/>
  </si>
  <si>
    <t>수입량(kg)</t>
    <phoneticPr fontId="1" type="noConversion"/>
  </si>
  <si>
    <t>1월</t>
    <phoneticPr fontId="1" type="noConversion"/>
  </si>
  <si>
    <t>2월</t>
    <phoneticPr fontId="1" type="noConversion"/>
  </si>
  <si>
    <t>3월</t>
    <phoneticPr fontId="1" type="noConversion"/>
  </si>
  <si>
    <t>총계</t>
    <phoneticPr fontId="1" type="noConversion"/>
  </si>
  <si>
    <t>수입량(kg)</t>
    <phoneticPr fontId="1" type="noConversion"/>
  </si>
  <si>
    <t>2월</t>
    <phoneticPr fontId="1" type="noConversion"/>
  </si>
  <si>
    <t>수출액(달러)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</si>
</sst>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_ 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3" t="s">
        <v>18</v>
      </c>
      <c r="C2" s="3" t="s">
        <v>19</v>
      </c>
      <c r="D2" s="3" t="s">
        <v>20</v>
      </c>
      <c r="E2" s="3" t="s">
        <v>21</v>
      </c>
      <c r="F2" s="3" t="s">
        <v>23</v>
      </c>
    </row>
    <row r="3" spans="1:6" x14ac:dyDescent="0.3">
      <c r="A3" s="1" t="s">
        <v>24</v>
      </c>
      <c r="B3" s="2">
        <f>C3-E3</f>
        <v>0</v>
      </c>
      <c r="C3" s="2"/>
      <c r="D3" s="2"/>
      <c r="E3" s="2"/>
      <c r="F3" s="2"/>
    </row>
    <row r="4" spans="1:6" x14ac:dyDescent="0.3">
      <c r="A4" s="1" t="s">
        <v>25</v>
      </c>
      <c r="B4" s="2">
        <f t="shared" ref="B4:B14" si="0">C4-E4</f>
        <v>0</v>
      </c>
      <c r="C4" s="2"/>
      <c r="D4" s="2"/>
      <c r="E4" s="2"/>
      <c r="F4" s="2"/>
    </row>
    <row r="5" spans="1:6" x14ac:dyDescent="0.3">
      <c r="A5" s="1" t="s">
        <v>26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-27840</v>
      </c>
      <c r="C10" s="2">
        <v>0</v>
      </c>
      <c r="D10" s="2">
        <v>0</v>
      </c>
      <c r="E10" s="2">
        <v>27840</v>
      </c>
      <c r="F10" s="2">
        <v>21750</v>
      </c>
    </row>
    <row r="11" spans="1:6" x14ac:dyDescent="0.3">
      <c r="A11" s="1" t="s">
        <v>8</v>
      </c>
      <c r="B11" s="2">
        <f t="shared" si="0"/>
        <v>-27840</v>
      </c>
      <c r="C11" s="2">
        <v>0</v>
      </c>
      <c r="D11" s="2">
        <v>0</v>
      </c>
      <c r="E11" s="2">
        <v>27840</v>
      </c>
      <c r="F11" s="2">
        <v>21750</v>
      </c>
    </row>
    <row r="12" spans="1:6" x14ac:dyDescent="0.3">
      <c r="A12" s="1" t="s">
        <v>9</v>
      </c>
      <c r="B12" s="2">
        <f t="shared" si="0"/>
        <v>-28941</v>
      </c>
      <c r="C12" s="2">
        <v>0</v>
      </c>
      <c r="D12" s="2">
        <v>0</v>
      </c>
      <c r="E12" s="2">
        <v>28941</v>
      </c>
      <c r="F12" s="2">
        <v>21760</v>
      </c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28</v>
      </c>
      <c r="B15" s="5">
        <f>SUM(B3:B14)</f>
        <v>-84621</v>
      </c>
      <c r="C15" s="5">
        <f t="shared" ref="C15:F15" si="1">SUM(C3:C14)</f>
        <v>0</v>
      </c>
      <c r="D15" s="5">
        <f t="shared" si="1"/>
        <v>0</v>
      </c>
      <c r="E15" s="5">
        <f t="shared" si="1"/>
        <v>84621</v>
      </c>
      <c r="F15" s="5">
        <f t="shared" si="1"/>
        <v>65260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4" width="14.625" customWidth="1"/>
    <col min="5" max="5" width="14.625" bestFit="1" customWidth="1"/>
    <col min="6" max="6" width="13.875" bestFit="1" customWidth="1"/>
  </cols>
  <sheetData>
    <row r="2" spans="1:6" x14ac:dyDescent="0.3">
      <c r="B2" s="3" t="s">
        <v>29</v>
      </c>
      <c r="C2" s="3" t="s">
        <v>30</v>
      </c>
      <c r="D2" s="3" t="s">
        <v>31</v>
      </c>
      <c r="E2" s="3" t="s">
        <v>21</v>
      </c>
      <c r="F2" s="3" t="s">
        <v>22</v>
      </c>
    </row>
    <row r="3" spans="1:6" x14ac:dyDescent="0.3">
      <c r="A3" s="1" t="s">
        <v>24</v>
      </c>
      <c r="B3" s="2">
        <f>C3-E3</f>
        <v>-74958</v>
      </c>
      <c r="C3" s="2">
        <v>0</v>
      </c>
      <c r="D3" s="2">
        <v>0</v>
      </c>
      <c r="E3" s="2">
        <v>74958</v>
      </c>
      <c r="F3" s="2">
        <v>43580</v>
      </c>
    </row>
    <row r="4" spans="1:6" x14ac:dyDescent="0.3">
      <c r="A4" s="1" t="s">
        <v>25</v>
      </c>
      <c r="B4" s="2">
        <f t="shared" ref="B4:B14" si="0">C4-E4</f>
        <v>-2453100</v>
      </c>
      <c r="C4" s="2">
        <v>0</v>
      </c>
      <c r="D4" s="2">
        <v>0</v>
      </c>
      <c r="E4" s="2">
        <v>2453100</v>
      </c>
      <c r="F4" s="2">
        <v>1887000</v>
      </c>
    </row>
    <row r="5" spans="1:6" x14ac:dyDescent="0.3">
      <c r="A5" s="1" t="s">
        <v>26</v>
      </c>
      <c r="B5" s="2">
        <f t="shared" si="0"/>
        <v>-1721200</v>
      </c>
      <c r="C5" s="2">
        <v>0</v>
      </c>
      <c r="D5" s="2">
        <v>0</v>
      </c>
      <c r="E5" s="2">
        <v>1721200</v>
      </c>
      <c r="F5" s="2">
        <v>1324000</v>
      </c>
    </row>
    <row r="6" spans="1:6" x14ac:dyDescent="0.3">
      <c r="A6" s="1" t="s">
        <v>3</v>
      </c>
      <c r="B6" s="2">
        <f t="shared" si="0"/>
        <v>-1038700</v>
      </c>
      <c r="C6" s="2">
        <v>0</v>
      </c>
      <c r="D6" s="2">
        <v>0</v>
      </c>
      <c r="E6" s="2">
        <v>1038700</v>
      </c>
      <c r="F6" s="2">
        <v>799000</v>
      </c>
    </row>
    <row r="7" spans="1:6" x14ac:dyDescent="0.3">
      <c r="A7" s="1" t="s">
        <v>4</v>
      </c>
      <c r="B7" s="2">
        <f t="shared" si="0"/>
        <v>-1508000</v>
      </c>
      <c r="C7" s="2">
        <v>0</v>
      </c>
      <c r="D7" s="2">
        <v>0</v>
      </c>
      <c r="E7" s="2">
        <v>1508000</v>
      </c>
      <c r="F7" s="2">
        <v>1160000</v>
      </c>
    </row>
    <row r="8" spans="1:6" x14ac:dyDescent="0.3">
      <c r="A8" s="1" t="s">
        <v>5</v>
      </c>
      <c r="B8" s="2">
        <f t="shared" si="0"/>
        <v>-2185771</v>
      </c>
      <c r="C8" s="2">
        <v>0</v>
      </c>
      <c r="D8" s="2">
        <v>0</v>
      </c>
      <c r="E8" s="2">
        <v>2185771</v>
      </c>
      <c r="F8" s="2">
        <v>1683655</v>
      </c>
    </row>
    <row r="9" spans="1:6" x14ac:dyDescent="0.3">
      <c r="A9" s="1" t="s">
        <v>6</v>
      </c>
      <c r="B9" s="2">
        <f t="shared" si="0"/>
        <v>-77564</v>
      </c>
      <c r="C9" s="2">
        <v>0</v>
      </c>
      <c r="D9" s="2">
        <v>0</v>
      </c>
      <c r="E9" s="2">
        <v>77564</v>
      </c>
      <c r="F9" s="2">
        <v>43930</v>
      </c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-4229231</v>
      </c>
      <c r="C12" s="2">
        <v>0</v>
      </c>
      <c r="D12" s="2">
        <v>0</v>
      </c>
      <c r="E12" s="2">
        <v>4229231</v>
      </c>
      <c r="F12" s="2">
        <v>3321268</v>
      </c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27</v>
      </c>
      <c r="B15" s="5">
        <f>SUM(B3:B14)</f>
        <v>-13288524</v>
      </c>
      <c r="C15" s="5">
        <f t="shared" ref="C15:F15" si="1">SUM(C3:C14)</f>
        <v>0</v>
      </c>
      <c r="D15" s="5">
        <f t="shared" si="1"/>
        <v>0</v>
      </c>
      <c r="E15" s="5">
        <f t="shared" si="1"/>
        <v>13288524</v>
      </c>
      <c r="F15" s="5">
        <f t="shared" si="1"/>
        <v>10262433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29</v>
      </c>
      <c r="C2" s="3" t="s">
        <v>30</v>
      </c>
      <c r="D2" s="3" t="s">
        <v>31</v>
      </c>
      <c r="E2" s="3" t="s">
        <v>21</v>
      </c>
      <c r="F2" s="3" t="s">
        <v>32</v>
      </c>
    </row>
    <row r="3" spans="1:6" x14ac:dyDescent="0.3">
      <c r="A3" s="1" t="s">
        <v>24</v>
      </c>
      <c r="B3" s="2">
        <f>C3-E3</f>
        <v>-75787</v>
      </c>
      <c r="C3" s="2">
        <v>0</v>
      </c>
      <c r="D3" s="2">
        <v>0</v>
      </c>
      <c r="E3" s="2">
        <v>75787</v>
      </c>
      <c r="F3" s="2">
        <v>43540</v>
      </c>
    </row>
    <row r="4" spans="1:6" x14ac:dyDescent="0.3">
      <c r="A4" s="1" t="s">
        <v>25</v>
      </c>
      <c r="B4" s="2">
        <f t="shared" ref="B4:B14" si="0">C4-E4</f>
        <v>0</v>
      </c>
      <c r="C4" s="2"/>
      <c r="D4" s="2"/>
      <c r="E4" s="2"/>
      <c r="F4" s="2"/>
    </row>
    <row r="5" spans="1:6" x14ac:dyDescent="0.3">
      <c r="A5" s="1" t="s">
        <v>26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-71851</v>
      </c>
      <c r="C7" s="2">
        <v>0</v>
      </c>
      <c r="D7" s="2">
        <v>0</v>
      </c>
      <c r="E7" s="2">
        <v>71851</v>
      </c>
      <c r="F7" s="2">
        <v>43010</v>
      </c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-70136</v>
      </c>
      <c r="C10" s="2">
        <v>0</v>
      </c>
      <c r="D10" s="2">
        <v>0</v>
      </c>
      <c r="E10" s="2">
        <v>70136</v>
      </c>
      <c r="F10" s="2">
        <v>44390</v>
      </c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-59186</v>
      </c>
      <c r="C13" s="2">
        <v>0</v>
      </c>
      <c r="D13" s="2">
        <v>0</v>
      </c>
      <c r="E13" s="2">
        <v>59186</v>
      </c>
      <c r="F13" s="2">
        <v>42580</v>
      </c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28</v>
      </c>
      <c r="B15" s="5">
        <f>SUM(B3:B14)</f>
        <v>-276960</v>
      </c>
      <c r="C15" s="5">
        <f t="shared" ref="C15:F15" si="1">SUM(C3:C14)</f>
        <v>0</v>
      </c>
      <c r="D15" s="5">
        <f t="shared" si="1"/>
        <v>0</v>
      </c>
      <c r="E15" s="5">
        <f t="shared" si="1"/>
        <v>276960</v>
      </c>
      <c r="F15" s="5">
        <f t="shared" si="1"/>
        <v>173520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29</v>
      </c>
      <c r="C2" s="3" t="s">
        <v>30</v>
      </c>
      <c r="D2" s="3" t="s">
        <v>31</v>
      </c>
      <c r="E2" s="3" t="s">
        <v>21</v>
      </c>
      <c r="F2" s="3" t="s">
        <v>32</v>
      </c>
    </row>
    <row r="3" spans="1:6" x14ac:dyDescent="0.3">
      <c r="A3" s="1" t="s">
        <v>24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25</v>
      </c>
      <c r="B4" s="2">
        <f t="shared" si="0"/>
        <v>-104701</v>
      </c>
      <c r="C4" s="2">
        <v>0</v>
      </c>
      <c r="D4" s="2">
        <v>0</v>
      </c>
      <c r="E4" s="2">
        <v>104701</v>
      </c>
      <c r="F4" s="2">
        <v>65850</v>
      </c>
    </row>
    <row r="5" spans="1:6" x14ac:dyDescent="0.3">
      <c r="A5" s="1" t="s">
        <v>26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-86777</v>
      </c>
      <c r="C10" s="2">
        <v>0</v>
      </c>
      <c r="D10" s="2">
        <v>0</v>
      </c>
      <c r="E10" s="2">
        <v>86777</v>
      </c>
      <c r="F10" s="2">
        <v>65740</v>
      </c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28</v>
      </c>
      <c r="B15" s="5">
        <f>SUM(B3:B14)</f>
        <v>-191478</v>
      </c>
      <c r="C15" s="5">
        <f t="shared" ref="C15:F15" si="1">SUM(C3:C14)</f>
        <v>0</v>
      </c>
      <c r="D15" s="5">
        <f t="shared" si="1"/>
        <v>0</v>
      </c>
      <c r="E15" s="5">
        <f t="shared" si="1"/>
        <v>191478</v>
      </c>
      <c r="F15" s="5">
        <f t="shared" si="1"/>
        <v>131590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33</v>
      </c>
      <c r="C2" s="3" t="s">
        <v>34</v>
      </c>
      <c r="D2" s="3" t="s">
        <v>35</v>
      </c>
      <c r="E2" s="3" t="s">
        <v>36</v>
      </c>
      <c r="F2" s="3" t="s">
        <v>37</v>
      </c>
    </row>
    <row r="3" spans="1:6" x14ac:dyDescent="0.3">
      <c r="A3" s="1" t="s">
        <v>38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39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40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-3775410</v>
      </c>
      <c r="C8" s="2">
        <v>0</v>
      </c>
      <c r="D8" s="2">
        <v>0</v>
      </c>
      <c r="E8" s="2">
        <v>3775410</v>
      </c>
      <c r="F8" s="2">
        <v>3976000</v>
      </c>
    </row>
    <row r="9" spans="1:6" x14ac:dyDescent="0.3">
      <c r="A9" s="1" t="s">
        <v>6</v>
      </c>
      <c r="B9" s="2">
        <f t="shared" si="0"/>
        <v>-1889720</v>
      </c>
      <c r="C9" s="2">
        <v>0</v>
      </c>
      <c r="D9" s="2">
        <v>0</v>
      </c>
      <c r="E9" s="2">
        <v>1889720</v>
      </c>
      <c r="F9" s="2">
        <v>1988000</v>
      </c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-60310</v>
      </c>
      <c r="C11" s="2">
        <v>0</v>
      </c>
      <c r="D11" s="2">
        <v>0</v>
      </c>
      <c r="E11" s="2">
        <v>60310</v>
      </c>
      <c r="F11" s="2">
        <v>69707</v>
      </c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-699375</v>
      </c>
      <c r="C13" s="2">
        <v>0</v>
      </c>
      <c r="D13" s="2">
        <v>0</v>
      </c>
      <c r="E13" s="2">
        <v>699375</v>
      </c>
      <c r="F13" s="2">
        <v>783357</v>
      </c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41</v>
      </c>
      <c r="B15" s="5">
        <f>SUM(B3:B14)</f>
        <v>-6424815</v>
      </c>
      <c r="C15" s="5">
        <f t="shared" ref="C15:F15" si="1">SUM(C3:C14)</f>
        <v>0</v>
      </c>
      <c r="D15" s="5">
        <f t="shared" si="1"/>
        <v>0</v>
      </c>
      <c r="E15" s="5">
        <f t="shared" si="1"/>
        <v>6424815</v>
      </c>
      <c r="F15" s="5">
        <f t="shared" si="1"/>
        <v>6817064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33</v>
      </c>
      <c r="C2" s="3" t="s">
        <v>34</v>
      </c>
      <c r="D2" s="3" t="s">
        <v>35</v>
      </c>
      <c r="E2" s="3" t="s">
        <v>36</v>
      </c>
      <c r="F2" s="3" t="s">
        <v>42</v>
      </c>
    </row>
    <row r="3" spans="1:6" x14ac:dyDescent="0.3">
      <c r="A3" s="1" t="s">
        <v>38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43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40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41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33</v>
      </c>
      <c r="C2" s="3" t="s">
        <v>44</v>
      </c>
      <c r="D2" s="3" t="s">
        <v>35</v>
      </c>
      <c r="E2" s="3" t="s">
        <v>36</v>
      </c>
      <c r="F2" s="3" t="s">
        <v>37</v>
      </c>
    </row>
    <row r="3" spans="1:6" x14ac:dyDescent="0.3">
      <c r="A3" s="1" t="s">
        <v>38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39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40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-89</v>
      </c>
      <c r="C13" s="2">
        <v>0</v>
      </c>
      <c r="D13" s="2">
        <v>0</v>
      </c>
      <c r="E13" s="2">
        <v>89</v>
      </c>
      <c r="F13" s="2">
        <v>18</v>
      </c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41</v>
      </c>
      <c r="B15" s="5">
        <f>SUM(B3:B14)</f>
        <v>-89</v>
      </c>
      <c r="C15" s="5">
        <f t="shared" ref="C15:F15" si="1">SUM(C3:C14)</f>
        <v>0</v>
      </c>
      <c r="D15" s="5">
        <f t="shared" si="1"/>
        <v>0</v>
      </c>
      <c r="E15" s="5">
        <f t="shared" si="1"/>
        <v>89</v>
      </c>
      <c r="F15" s="5">
        <f t="shared" si="1"/>
        <v>18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8" si="0">C3-E3</f>
        <v>0</v>
      </c>
      <c r="C3" s="2">
        <v>0</v>
      </c>
      <c r="D3" s="2">
        <v>0</v>
      </c>
      <c r="E3" s="2">
        <v>0</v>
      </c>
      <c r="F3" s="2">
        <v>0</v>
      </c>
    </row>
    <row r="4" spans="1:6" x14ac:dyDescent="0.3">
      <c r="A4" s="1" t="s">
        <v>1</v>
      </c>
      <c r="B4" s="2">
        <f t="shared" si="0"/>
        <v>0</v>
      </c>
      <c r="C4" s="2">
        <v>0</v>
      </c>
      <c r="D4" s="2">
        <v>0</v>
      </c>
      <c r="E4" s="2">
        <v>0</v>
      </c>
      <c r="F4" s="2">
        <v>0</v>
      </c>
    </row>
    <row r="5" spans="1:6" x14ac:dyDescent="0.3">
      <c r="A5" s="1" t="s">
        <v>2</v>
      </c>
      <c r="B5" s="2">
        <f t="shared" si="0"/>
        <v>0</v>
      </c>
      <c r="C5" s="2">
        <v>0</v>
      </c>
      <c r="D5" s="2">
        <v>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0</v>
      </c>
      <c r="C6" s="2">
        <v>0</v>
      </c>
      <c r="D6" s="2">
        <v>0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0</v>
      </c>
      <c r="C7" s="2">
        <v>0</v>
      </c>
      <c r="D7" s="2">
        <v>0</v>
      </c>
      <c r="E7" s="2">
        <v>0</v>
      </c>
      <c r="F7" s="2">
        <v>0</v>
      </c>
    </row>
    <row r="8" spans="1:6" x14ac:dyDescent="0.3">
      <c r="A8" s="1" t="s">
        <v>5</v>
      </c>
      <c r="B8" s="2">
        <f t="shared" si="0"/>
        <v>0</v>
      </c>
      <c r="C8" s="2">
        <v>0</v>
      </c>
      <c r="D8" s="2">
        <v>0</v>
      </c>
      <c r="E8" s="2">
        <v>0</v>
      </c>
      <c r="F8" s="2">
        <v>0</v>
      </c>
    </row>
    <row r="9" spans="1:6" x14ac:dyDescent="0.3">
      <c r="A9" s="1" t="s">
        <v>6</v>
      </c>
      <c r="B9" s="2">
        <f>C9-E9</f>
        <v>-18874</v>
      </c>
      <c r="C9" s="2">
        <v>0</v>
      </c>
      <c r="D9" s="2">
        <v>0</v>
      </c>
      <c r="E9" s="2">
        <v>18874</v>
      </c>
      <c r="F9" s="2">
        <v>21820</v>
      </c>
    </row>
    <row r="10" spans="1:6" x14ac:dyDescent="0.3">
      <c r="A10" s="1" t="s">
        <v>7</v>
      </c>
      <c r="B10" s="2">
        <f t="shared" ref="B10:B14" si="1">C10-E10</f>
        <v>0</v>
      </c>
      <c r="C10" s="2">
        <v>0</v>
      </c>
      <c r="D10" s="2">
        <v>0</v>
      </c>
      <c r="E10" s="2">
        <v>0</v>
      </c>
      <c r="F10" s="2">
        <v>0</v>
      </c>
    </row>
    <row r="11" spans="1:6" x14ac:dyDescent="0.3">
      <c r="A11" s="1" t="s">
        <v>8</v>
      </c>
      <c r="B11" s="2">
        <f t="shared" si="1"/>
        <v>0</v>
      </c>
      <c r="C11" s="2">
        <v>0</v>
      </c>
      <c r="D11" s="2">
        <v>0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1"/>
        <v>0</v>
      </c>
      <c r="C12" s="2">
        <v>0</v>
      </c>
      <c r="D12" s="2">
        <v>0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1"/>
        <v>0</v>
      </c>
      <c r="C13" s="2">
        <v>0</v>
      </c>
      <c r="D13" s="2">
        <v>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1"/>
        <v>0</v>
      </c>
      <c r="C14" s="2">
        <v>0</v>
      </c>
      <c r="D14" s="2">
        <v>0</v>
      </c>
      <c r="E14" s="2">
        <v>0</v>
      </c>
      <c r="F14" s="2">
        <v>0</v>
      </c>
    </row>
    <row r="15" spans="1:6" ht="17.25" thickBot="1" x14ac:dyDescent="0.35">
      <c r="A15" s="4" t="s">
        <v>13</v>
      </c>
      <c r="B15" s="5">
        <f t="shared" ref="B15" si="2">E15-C15</f>
        <v>18874</v>
      </c>
      <c r="C15" s="5">
        <f t="shared" ref="C15" si="3">SUM(C3:C14)</f>
        <v>0</v>
      </c>
      <c r="D15" s="5">
        <f t="shared" ref="D15" si="4">SUM(D3:D14)</f>
        <v>0</v>
      </c>
      <c r="E15" s="5">
        <f t="shared" ref="E15:F15" si="5">SUM(E3:E14)</f>
        <v>18874</v>
      </c>
      <c r="F15" s="5">
        <f t="shared" si="5"/>
        <v>21820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4" width="14.625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>C3-E3</f>
        <v>0</v>
      </c>
      <c r="C3" s="2">
        <v>0</v>
      </c>
      <c r="D3" s="2">
        <v>0</v>
      </c>
      <c r="E3" s="2">
        <v>0</v>
      </c>
      <c r="F3" s="2">
        <v>0</v>
      </c>
    </row>
    <row r="4" spans="1:6" x14ac:dyDescent="0.3">
      <c r="A4" s="1" t="s">
        <v>1</v>
      </c>
      <c r="B4" s="2">
        <f t="shared" ref="B4:B14" si="0">C4-E4</f>
        <v>0</v>
      </c>
      <c r="C4" s="2">
        <v>0</v>
      </c>
      <c r="D4" s="2">
        <v>0</v>
      </c>
      <c r="E4" s="2">
        <v>0</v>
      </c>
      <c r="F4" s="2">
        <v>0</v>
      </c>
    </row>
    <row r="5" spans="1:6" x14ac:dyDescent="0.3">
      <c r="A5" s="1" t="s">
        <v>2</v>
      </c>
      <c r="B5" s="2">
        <f t="shared" si="0"/>
        <v>0</v>
      </c>
      <c r="C5" s="2">
        <v>0</v>
      </c>
      <c r="D5" s="2">
        <v>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0</v>
      </c>
      <c r="C6" s="2">
        <v>0</v>
      </c>
      <c r="D6" s="2">
        <v>0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0</v>
      </c>
      <c r="C7" s="2">
        <v>0</v>
      </c>
      <c r="D7" s="2">
        <v>0</v>
      </c>
      <c r="E7" s="2">
        <v>0</v>
      </c>
      <c r="F7" s="2">
        <v>0</v>
      </c>
    </row>
    <row r="8" spans="1:6" x14ac:dyDescent="0.3">
      <c r="A8" s="1" t="s">
        <v>5</v>
      </c>
      <c r="B8" s="2">
        <f t="shared" si="0"/>
        <v>0</v>
      </c>
      <c r="C8" s="2">
        <v>0</v>
      </c>
      <c r="D8" s="2">
        <v>0</v>
      </c>
      <c r="E8" s="2">
        <v>0</v>
      </c>
      <c r="F8" s="2">
        <v>0</v>
      </c>
    </row>
    <row r="9" spans="1:6" x14ac:dyDescent="0.3">
      <c r="A9" s="1" t="s">
        <v>6</v>
      </c>
      <c r="B9" s="2">
        <f t="shared" si="0"/>
        <v>0</v>
      </c>
      <c r="C9" s="2">
        <v>0</v>
      </c>
      <c r="D9" s="2">
        <v>0</v>
      </c>
      <c r="E9" s="2">
        <v>0</v>
      </c>
      <c r="F9" s="2">
        <v>0</v>
      </c>
    </row>
    <row r="10" spans="1:6" x14ac:dyDescent="0.3">
      <c r="A10" s="1" t="s">
        <v>7</v>
      </c>
      <c r="B10" s="2">
        <f t="shared" si="0"/>
        <v>-21</v>
      </c>
      <c r="C10" s="2">
        <v>0</v>
      </c>
      <c r="D10" s="2">
        <v>0</v>
      </c>
      <c r="E10" s="2">
        <v>21</v>
      </c>
      <c r="F10" s="2">
        <v>3</v>
      </c>
    </row>
    <row r="11" spans="1:6" x14ac:dyDescent="0.3">
      <c r="A11" s="1" t="s">
        <v>8</v>
      </c>
      <c r="B11" s="2">
        <f t="shared" si="0"/>
        <v>0</v>
      </c>
      <c r="C11" s="2">
        <v>0</v>
      </c>
      <c r="D11" s="2">
        <v>0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0"/>
        <v>0</v>
      </c>
      <c r="C12" s="2">
        <v>0</v>
      </c>
      <c r="D12" s="2">
        <v>0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0</v>
      </c>
      <c r="C13" s="2">
        <v>0</v>
      </c>
      <c r="D13" s="2">
        <v>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0</v>
      </c>
      <c r="C14" s="2">
        <v>0</v>
      </c>
      <c r="D14" s="2">
        <v>0</v>
      </c>
      <c r="E14" s="2">
        <v>0</v>
      </c>
      <c r="F14" s="2">
        <v>0</v>
      </c>
    </row>
    <row r="15" spans="1:6" ht="17.25" thickBot="1" x14ac:dyDescent="0.35">
      <c r="A15" s="4" t="s">
        <v>13</v>
      </c>
      <c r="B15" s="5">
        <f>SUM(B3:B14)</f>
        <v>-21</v>
      </c>
      <c r="C15" s="5">
        <f t="shared" ref="C15:F15" si="1">SUM(C3:C14)</f>
        <v>0</v>
      </c>
      <c r="D15" s="5">
        <f t="shared" si="1"/>
        <v>0</v>
      </c>
      <c r="E15" s="5">
        <f t="shared" si="1"/>
        <v>21</v>
      </c>
      <c r="F15" s="5">
        <f t="shared" si="1"/>
        <v>3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>
        <v>0</v>
      </c>
      <c r="D3" s="2">
        <v>0</v>
      </c>
      <c r="E3" s="2">
        <v>0</v>
      </c>
      <c r="F3" s="2">
        <v>0</v>
      </c>
    </row>
    <row r="4" spans="1:6" x14ac:dyDescent="0.3">
      <c r="A4" s="1" t="s">
        <v>1</v>
      </c>
      <c r="B4" s="2">
        <f t="shared" si="0"/>
        <v>0</v>
      </c>
      <c r="C4" s="2">
        <v>0</v>
      </c>
      <c r="D4" s="2">
        <v>0</v>
      </c>
      <c r="E4" s="2">
        <v>0</v>
      </c>
      <c r="F4" s="2">
        <v>0</v>
      </c>
    </row>
    <row r="5" spans="1:6" x14ac:dyDescent="0.3">
      <c r="A5" s="1" t="s">
        <v>2</v>
      </c>
      <c r="B5" s="2">
        <f t="shared" si="0"/>
        <v>0</v>
      </c>
      <c r="C5" s="2">
        <v>0</v>
      </c>
      <c r="D5" s="2">
        <v>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0</v>
      </c>
      <c r="C6" s="2">
        <v>0</v>
      </c>
      <c r="D6" s="2">
        <v>0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0</v>
      </c>
      <c r="C7" s="2">
        <v>0</v>
      </c>
      <c r="D7" s="2">
        <v>0</v>
      </c>
      <c r="E7" s="2">
        <v>0</v>
      </c>
      <c r="F7" s="2">
        <v>0</v>
      </c>
    </row>
    <row r="8" spans="1:6" x14ac:dyDescent="0.3">
      <c r="A8" s="1" t="s">
        <v>5</v>
      </c>
      <c r="B8" s="2">
        <f t="shared" si="0"/>
        <v>0</v>
      </c>
      <c r="C8" s="2">
        <v>0</v>
      </c>
      <c r="D8" s="2">
        <v>0</v>
      </c>
      <c r="E8" s="2">
        <v>0</v>
      </c>
      <c r="F8" s="2">
        <v>0</v>
      </c>
    </row>
    <row r="9" spans="1:6" x14ac:dyDescent="0.3">
      <c r="A9" s="1" t="s">
        <v>6</v>
      </c>
      <c r="B9" s="2">
        <f t="shared" si="0"/>
        <v>0</v>
      </c>
      <c r="C9" s="2">
        <v>0</v>
      </c>
      <c r="D9" s="2">
        <v>0</v>
      </c>
      <c r="E9" s="2">
        <v>0</v>
      </c>
      <c r="F9" s="2">
        <v>0</v>
      </c>
    </row>
    <row r="10" spans="1:6" x14ac:dyDescent="0.3">
      <c r="A10" s="1" t="s">
        <v>7</v>
      </c>
      <c r="B10" s="2">
        <f t="shared" si="0"/>
        <v>0</v>
      </c>
      <c r="C10" s="2">
        <v>0</v>
      </c>
      <c r="D10" s="2">
        <v>0</v>
      </c>
      <c r="E10" s="2">
        <v>0</v>
      </c>
      <c r="F10" s="2">
        <v>0</v>
      </c>
    </row>
    <row r="11" spans="1:6" x14ac:dyDescent="0.3">
      <c r="A11" s="1" t="s">
        <v>8</v>
      </c>
      <c r="B11" s="2">
        <f t="shared" si="0"/>
        <v>0</v>
      </c>
      <c r="C11" s="2">
        <v>0</v>
      </c>
      <c r="D11" s="2">
        <v>0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0"/>
        <v>0</v>
      </c>
      <c r="C12" s="2">
        <v>0</v>
      </c>
      <c r="D12" s="2">
        <v>0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0</v>
      </c>
      <c r="C13" s="2">
        <v>0</v>
      </c>
      <c r="D13" s="2">
        <v>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0</v>
      </c>
      <c r="C14" s="2">
        <v>0</v>
      </c>
      <c r="D14" s="2">
        <v>0</v>
      </c>
      <c r="E14" s="2">
        <v>0</v>
      </c>
      <c r="F14" s="2">
        <v>0</v>
      </c>
    </row>
    <row r="15" spans="1:6" ht="17.25" thickBot="1" x14ac:dyDescent="0.35">
      <c r="A15" s="4" t="s">
        <v>13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>
        <v>0</v>
      </c>
      <c r="D3" s="2">
        <v>0</v>
      </c>
      <c r="E3" s="2">
        <v>0</v>
      </c>
      <c r="F3" s="2">
        <v>0</v>
      </c>
    </row>
    <row r="4" spans="1:6" x14ac:dyDescent="0.3">
      <c r="A4" s="1" t="s">
        <v>1</v>
      </c>
      <c r="B4" s="2">
        <f t="shared" si="0"/>
        <v>0</v>
      </c>
      <c r="C4" s="2">
        <v>0</v>
      </c>
      <c r="D4" s="2">
        <v>0</v>
      </c>
      <c r="E4" s="2">
        <v>0</v>
      </c>
      <c r="F4" s="2">
        <v>0</v>
      </c>
    </row>
    <row r="5" spans="1:6" x14ac:dyDescent="0.3">
      <c r="A5" s="1" t="s">
        <v>2</v>
      </c>
      <c r="B5" s="2">
        <f t="shared" si="0"/>
        <v>0</v>
      </c>
      <c r="C5" s="2">
        <v>0</v>
      </c>
      <c r="D5" s="2">
        <v>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0</v>
      </c>
      <c r="C6" s="2">
        <v>0</v>
      </c>
      <c r="D6" s="2">
        <v>0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0</v>
      </c>
      <c r="C7" s="2">
        <v>0</v>
      </c>
      <c r="D7" s="2">
        <v>0</v>
      </c>
      <c r="E7" s="2">
        <v>0</v>
      </c>
      <c r="F7" s="2">
        <v>0</v>
      </c>
    </row>
    <row r="8" spans="1:6" x14ac:dyDescent="0.3">
      <c r="A8" s="1" t="s">
        <v>5</v>
      </c>
      <c r="B8" s="2">
        <f t="shared" si="0"/>
        <v>0</v>
      </c>
      <c r="C8" s="2">
        <v>0</v>
      </c>
      <c r="D8" s="2">
        <v>0</v>
      </c>
      <c r="E8" s="2">
        <v>0</v>
      </c>
      <c r="F8" s="2">
        <v>0</v>
      </c>
    </row>
    <row r="9" spans="1:6" x14ac:dyDescent="0.3">
      <c r="A9" s="1" t="s">
        <v>6</v>
      </c>
      <c r="B9" s="2">
        <f t="shared" si="0"/>
        <v>0</v>
      </c>
      <c r="C9" s="2">
        <v>0</v>
      </c>
      <c r="D9" s="2">
        <v>0</v>
      </c>
      <c r="E9" s="2">
        <v>0</v>
      </c>
      <c r="F9" s="2">
        <v>0</v>
      </c>
    </row>
    <row r="10" spans="1:6" x14ac:dyDescent="0.3">
      <c r="A10" s="1" t="s">
        <v>7</v>
      </c>
      <c r="B10" s="2">
        <f t="shared" si="0"/>
        <v>0</v>
      </c>
      <c r="C10" s="2">
        <v>0</v>
      </c>
      <c r="D10" s="2">
        <v>0</v>
      </c>
      <c r="E10" s="2">
        <v>0</v>
      </c>
      <c r="F10" s="2">
        <v>0</v>
      </c>
    </row>
    <row r="11" spans="1:6" x14ac:dyDescent="0.3">
      <c r="A11" s="1" t="s">
        <v>8</v>
      </c>
      <c r="B11" s="2">
        <f t="shared" si="0"/>
        <v>0</v>
      </c>
      <c r="C11" s="2">
        <v>0</v>
      </c>
      <c r="D11" s="2">
        <v>0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0"/>
        <v>0</v>
      </c>
      <c r="C12" s="2">
        <v>0</v>
      </c>
      <c r="D12" s="2">
        <v>0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0</v>
      </c>
      <c r="C13" s="2">
        <v>0</v>
      </c>
      <c r="D13" s="2">
        <v>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0</v>
      </c>
      <c r="C14" s="2">
        <v>0</v>
      </c>
      <c r="D14" s="2">
        <v>0</v>
      </c>
      <c r="E14" s="2">
        <v>0</v>
      </c>
      <c r="F14" s="2">
        <v>0</v>
      </c>
    </row>
    <row r="15" spans="1:6" ht="17.25" thickBot="1" x14ac:dyDescent="0.35">
      <c r="A15" s="4" t="s">
        <v>13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-24764</v>
      </c>
      <c r="C3" s="2">
        <v>0</v>
      </c>
      <c r="D3" s="2">
        <v>0</v>
      </c>
      <c r="E3" s="2">
        <v>24764</v>
      </c>
      <c r="F3" s="2">
        <v>21000</v>
      </c>
    </row>
    <row r="4" spans="1:6" x14ac:dyDescent="0.3">
      <c r="A4" s="1" t="s">
        <v>1</v>
      </c>
      <c r="B4" s="2">
        <f t="shared" si="0"/>
        <v>0</v>
      </c>
      <c r="C4" s="2">
        <v>0</v>
      </c>
      <c r="D4" s="2">
        <v>0</v>
      </c>
      <c r="E4" s="2">
        <v>0</v>
      </c>
      <c r="F4" s="2">
        <v>0</v>
      </c>
    </row>
    <row r="5" spans="1:6" x14ac:dyDescent="0.3">
      <c r="A5" s="1" t="s">
        <v>2</v>
      </c>
      <c r="B5" s="2">
        <f t="shared" si="0"/>
        <v>0</v>
      </c>
      <c r="C5" s="2">
        <v>0</v>
      </c>
      <c r="D5" s="2">
        <v>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0</v>
      </c>
      <c r="C6" s="2">
        <v>0</v>
      </c>
      <c r="D6" s="2">
        <v>0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0</v>
      </c>
      <c r="C7" s="2">
        <v>0</v>
      </c>
      <c r="D7" s="2">
        <v>0</v>
      </c>
      <c r="E7" s="2">
        <v>0</v>
      </c>
      <c r="F7" s="2">
        <v>0</v>
      </c>
    </row>
    <row r="8" spans="1:6" x14ac:dyDescent="0.3">
      <c r="A8" s="1" t="s">
        <v>5</v>
      </c>
      <c r="B8" s="2">
        <f t="shared" si="0"/>
        <v>-1178392</v>
      </c>
      <c r="C8" s="2">
        <v>0</v>
      </c>
      <c r="D8" s="2">
        <v>0</v>
      </c>
      <c r="E8" s="2">
        <v>1178392</v>
      </c>
      <c r="F8" s="2">
        <v>998128</v>
      </c>
    </row>
    <row r="9" spans="1:6" x14ac:dyDescent="0.3">
      <c r="A9" s="1" t="s">
        <v>6</v>
      </c>
      <c r="B9" s="2">
        <f t="shared" si="0"/>
        <v>-3495975</v>
      </c>
      <c r="C9" s="2">
        <v>0</v>
      </c>
      <c r="D9" s="2">
        <v>0</v>
      </c>
      <c r="E9" s="2">
        <v>3495975</v>
      </c>
      <c r="F9" s="2">
        <v>2994385</v>
      </c>
    </row>
    <row r="10" spans="1:6" x14ac:dyDescent="0.3">
      <c r="A10" s="1" t="s">
        <v>7</v>
      </c>
      <c r="B10" s="2">
        <f t="shared" si="0"/>
        <v>-2297505</v>
      </c>
      <c r="C10" s="2">
        <v>0</v>
      </c>
      <c r="D10" s="2">
        <v>0</v>
      </c>
      <c r="E10" s="2">
        <v>2297505</v>
      </c>
      <c r="F10" s="2">
        <v>1438039</v>
      </c>
    </row>
    <row r="11" spans="1:6" x14ac:dyDescent="0.3">
      <c r="A11" s="1" t="s">
        <v>8</v>
      </c>
      <c r="B11" s="2">
        <f t="shared" si="0"/>
        <v>-3650000</v>
      </c>
      <c r="C11" s="2">
        <v>0</v>
      </c>
      <c r="D11" s="2">
        <v>0</v>
      </c>
      <c r="E11" s="2">
        <v>3650000</v>
      </c>
      <c r="F11" s="2">
        <v>2551474</v>
      </c>
    </row>
    <row r="12" spans="1:6" x14ac:dyDescent="0.3">
      <c r="A12" s="1" t="s">
        <v>9</v>
      </c>
      <c r="B12" s="2">
        <f t="shared" si="0"/>
        <v>0</v>
      </c>
      <c r="C12" s="2">
        <v>0</v>
      </c>
      <c r="D12" s="2">
        <v>0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0</v>
      </c>
      <c r="C13" s="2">
        <v>0</v>
      </c>
      <c r="D13" s="2">
        <v>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0</v>
      </c>
      <c r="C14" s="2">
        <v>0</v>
      </c>
      <c r="D14" s="2">
        <v>0</v>
      </c>
      <c r="E14" s="2">
        <v>0</v>
      </c>
      <c r="F14" s="2">
        <v>0</v>
      </c>
    </row>
    <row r="15" spans="1:6" ht="17.25" thickBot="1" x14ac:dyDescent="0.35">
      <c r="A15" s="4" t="s">
        <v>13</v>
      </c>
      <c r="B15" s="5">
        <f>SUM(B3:B14)</f>
        <v>-10646636</v>
      </c>
      <c r="C15" s="5">
        <f t="shared" ref="C15:F15" si="1">SUM(C3:C14)</f>
        <v>0</v>
      </c>
      <c r="D15" s="5">
        <f t="shared" si="1"/>
        <v>0</v>
      </c>
      <c r="E15" s="5">
        <f t="shared" si="1"/>
        <v>10646636</v>
      </c>
      <c r="F15" s="5">
        <f t="shared" si="1"/>
        <v>8003026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>
        <v>0</v>
      </c>
      <c r="D3" s="2">
        <v>0</v>
      </c>
      <c r="E3" s="2">
        <v>0</v>
      </c>
      <c r="F3" s="2">
        <v>0</v>
      </c>
    </row>
    <row r="4" spans="1:6" x14ac:dyDescent="0.3">
      <c r="A4" s="1" t="s">
        <v>1</v>
      </c>
      <c r="B4" s="2">
        <f t="shared" si="0"/>
        <v>0</v>
      </c>
      <c r="C4" s="2">
        <v>0</v>
      </c>
      <c r="D4" s="2">
        <v>0</v>
      </c>
      <c r="E4" s="2">
        <v>0</v>
      </c>
      <c r="F4" s="2">
        <v>0</v>
      </c>
    </row>
    <row r="5" spans="1:6" x14ac:dyDescent="0.3">
      <c r="A5" s="1" t="s">
        <v>2</v>
      </c>
      <c r="B5" s="2">
        <f t="shared" si="0"/>
        <v>0</v>
      </c>
      <c r="C5" s="2">
        <v>0</v>
      </c>
      <c r="D5" s="2">
        <v>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0</v>
      </c>
      <c r="C6" s="2">
        <v>0</v>
      </c>
      <c r="D6" s="2">
        <v>0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0</v>
      </c>
      <c r="C7" s="2">
        <v>0</v>
      </c>
      <c r="D7" s="2">
        <v>0</v>
      </c>
      <c r="E7" s="2">
        <v>0</v>
      </c>
      <c r="F7" s="2">
        <v>0</v>
      </c>
    </row>
    <row r="8" spans="1:6" x14ac:dyDescent="0.3">
      <c r="A8" s="1" t="s">
        <v>5</v>
      </c>
      <c r="B8" s="2">
        <f t="shared" si="0"/>
        <v>0</v>
      </c>
      <c r="C8" s="2">
        <v>0</v>
      </c>
      <c r="D8" s="2">
        <v>0</v>
      </c>
      <c r="E8" s="2">
        <v>0</v>
      </c>
      <c r="F8" s="2">
        <v>0</v>
      </c>
    </row>
    <row r="9" spans="1:6" x14ac:dyDescent="0.3">
      <c r="A9" s="1" t="s">
        <v>6</v>
      </c>
      <c r="B9" s="2">
        <f t="shared" si="0"/>
        <v>-11921551</v>
      </c>
      <c r="C9" s="2">
        <v>0</v>
      </c>
      <c r="D9" s="2">
        <v>0</v>
      </c>
      <c r="E9" s="2">
        <v>11921551</v>
      </c>
      <c r="F9" s="2">
        <v>6789241</v>
      </c>
    </row>
    <row r="10" spans="1:6" x14ac:dyDescent="0.3">
      <c r="A10" s="1" t="s">
        <v>7</v>
      </c>
      <c r="B10" s="2">
        <f t="shared" si="0"/>
        <v>-4806940</v>
      </c>
      <c r="C10" s="2">
        <v>0</v>
      </c>
      <c r="D10" s="2">
        <v>0</v>
      </c>
      <c r="E10" s="2">
        <v>4806940</v>
      </c>
      <c r="F10" s="2">
        <v>2332510</v>
      </c>
    </row>
    <row r="11" spans="1:6" x14ac:dyDescent="0.3">
      <c r="A11" s="1" t="s">
        <v>8</v>
      </c>
      <c r="B11" s="2">
        <f t="shared" si="0"/>
        <v>-4519302</v>
      </c>
      <c r="C11" s="2">
        <v>0</v>
      </c>
      <c r="D11" s="2">
        <v>0</v>
      </c>
      <c r="E11" s="2">
        <v>4519302</v>
      </c>
      <c r="F11" s="2">
        <v>2192958</v>
      </c>
    </row>
    <row r="12" spans="1:6" x14ac:dyDescent="0.3">
      <c r="A12" s="1" t="s">
        <v>9</v>
      </c>
      <c r="B12" s="2">
        <f t="shared" si="0"/>
        <v>-944931</v>
      </c>
      <c r="C12" s="2">
        <v>0</v>
      </c>
      <c r="D12" s="2">
        <v>0</v>
      </c>
      <c r="E12" s="2">
        <v>944931</v>
      </c>
      <c r="F12" s="2">
        <v>458528</v>
      </c>
    </row>
    <row r="13" spans="1:6" x14ac:dyDescent="0.3">
      <c r="A13" s="1" t="s">
        <v>10</v>
      </c>
      <c r="B13" s="2">
        <f t="shared" si="0"/>
        <v>-15542520</v>
      </c>
      <c r="C13" s="2">
        <v>0</v>
      </c>
      <c r="D13" s="2">
        <v>0</v>
      </c>
      <c r="E13" s="2">
        <v>15542520</v>
      </c>
      <c r="F13" s="2">
        <v>8585384</v>
      </c>
    </row>
    <row r="14" spans="1:6" x14ac:dyDescent="0.3">
      <c r="A14" s="1" t="s">
        <v>11</v>
      </c>
      <c r="B14" s="2">
        <f t="shared" si="0"/>
        <v>0</v>
      </c>
      <c r="C14" s="2">
        <v>0</v>
      </c>
      <c r="D14" s="2">
        <v>0</v>
      </c>
      <c r="E14" s="2">
        <v>0</v>
      </c>
      <c r="F14" s="2">
        <v>0</v>
      </c>
    </row>
    <row r="15" spans="1:6" ht="17.25" thickBot="1" x14ac:dyDescent="0.35">
      <c r="A15" s="4" t="s">
        <v>13</v>
      </c>
      <c r="B15" s="5">
        <f>SUM(B3:B14)</f>
        <v>-37735244</v>
      </c>
      <c r="C15" s="5">
        <f t="shared" ref="C15:F15" si="1">SUM(C3:C14)</f>
        <v>0</v>
      </c>
      <c r="D15" s="5">
        <f t="shared" si="1"/>
        <v>0</v>
      </c>
      <c r="E15" s="5">
        <f t="shared" si="1"/>
        <v>37735244</v>
      </c>
      <c r="F15" s="5">
        <f t="shared" si="1"/>
        <v>20358621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-18091738</v>
      </c>
      <c r="C3" s="2">
        <v>0</v>
      </c>
      <c r="D3" s="2">
        <v>0</v>
      </c>
      <c r="E3" s="2">
        <v>18091738</v>
      </c>
      <c r="F3" s="2">
        <v>10530186</v>
      </c>
    </row>
    <row r="4" spans="1:6" x14ac:dyDescent="0.3">
      <c r="A4" s="1" t="s">
        <v>1</v>
      </c>
      <c r="B4" s="2">
        <f t="shared" si="0"/>
        <v>0</v>
      </c>
      <c r="C4" s="2">
        <v>0</v>
      </c>
      <c r="D4" s="2">
        <v>0</v>
      </c>
      <c r="E4" s="2">
        <v>0</v>
      </c>
      <c r="F4" s="2">
        <v>0</v>
      </c>
    </row>
    <row r="5" spans="1:6" x14ac:dyDescent="0.3">
      <c r="A5" s="1" t="s">
        <v>2</v>
      </c>
      <c r="B5" s="2">
        <f t="shared" si="0"/>
        <v>-6352213</v>
      </c>
      <c r="C5" s="2">
        <v>0</v>
      </c>
      <c r="D5" s="2">
        <v>0</v>
      </c>
      <c r="E5" s="2">
        <v>6352213</v>
      </c>
      <c r="F5" s="2">
        <v>4852462</v>
      </c>
    </row>
    <row r="6" spans="1:6" x14ac:dyDescent="0.3">
      <c r="A6" s="1" t="s">
        <v>3</v>
      </c>
      <c r="B6" s="2">
        <f t="shared" si="0"/>
        <v>0</v>
      </c>
      <c r="C6" s="2">
        <v>0</v>
      </c>
      <c r="D6" s="2">
        <v>0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0</v>
      </c>
      <c r="C7" s="2">
        <v>0</v>
      </c>
      <c r="D7" s="2">
        <v>0</v>
      </c>
      <c r="E7" s="2">
        <v>0</v>
      </c>
      <c r="F7" s="2">
        <v>0</v>
      </c>
    </row>
    <row r="8" spans="1:6" x14ac:dyDescent="0.3">
      <c r="A8" s="1" t="s">
        <v>5</v>
      </c>
      <c r="B8" s="2">
        <f t="shared" si="0"/>
        <v>-7286000</v>
      </c>
      <c r="C8" s="2">
        <v>0</v>
      </c>
      <c r="D8" s="2">
        <v>0</v>
      </c>
      <c r="E8" s="2">
        <v>7286000</v>
      </c>
      <c r="F8" s="2">
        <v>5999365</v>
      </c>
    </row>
    <row r="9" spans="1:6" x14ac:dyDescent="0.3">
      <c r="A9" s="1" t="s">
        <v>6</v>
      </c>
      <c r="B9" s="2">
        <f t="shared" si="0"/>
        <v>0</v>
      </c>
      <c r="C9" s="2">
        <v>0</v>
      </c>
      <c r="D9" s="2">
        <v>0</v>
      </c>
      <c r="E9" s="2">
        <v>0</v>
      </c>
      <c r="F9" s="2">
        <v>0</v>
      </c>
    </row>
    <row r="10" spans="1:6" x14ac:dyDescent="0.3">
      <c r="A10" s="1" t="s">
        <v>7</v>
      </c>
      <c r="B10" s="2">
        <f t="shared" si="0"/>
        <v>-23</v>
      </c>
      <c r="C10" s="2">
        <v>0</v>
      </c>
      <c r="D10" s="2">
        <v>0</v>
      </c>
      <c r="E10" s="2">
        <v>23</v>
      </c>
      <c r="F10" s="2">
        <v>2</v>
      </c>
    </row>
    <row r="11" spans="1:6" x14ac:dyDescent="0.3">
      <c r="A11" s="1" t="s">
        <v>8</v>
      </c>
      <c r="B11" s="2">
        <f t="shared" si="0"/>
        <v>0</v>
      </c>
      <c r="C11" s="2">
        <v>0</v>
      </c>
      <c r="D11" s="2">
        <v>0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0"/>
        <v>0</v>
      </c>
      <c r="C12" s="2">
        <v>0</v>
      </c>
      <c r="D12" s="2">
        <v>0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0</v>
      </c>
      <c r="C13" s="2">
        <v>0</v>
      </c>
      <c r="D13" s="2">
        <v>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0</v>
      </c>
      <c r="C14" s="2">
        <v>0</v>
      </c>
      <c r="D14" s="2">
        <v>0</v>
      </c>
      <c r="E14" s="2">
        <v>0</v>
      </c>
      <c r="F14" s="2">
        <v>0</v>
      </c>
    </row>
    <row r="15" spans="1:6" ht="17.25" thickBot="1" x14ac:dyDescent="0.35">
      <c r="A15" s="4" t="s">
        <v>13</v>
      </c>
      <c r="B15" s="5">
        <f>SUM(B3:B14)</f>
        <v>-31729974</v>
      </c>
      <c r="C15" s="5">
        <f t="shared" ref="C15:F15" si="1">SUM(C3:C14)</f>
        <v>0</v>
      </c>
      <c r="D15" s="5">
        <f t="shared" si="1"/>
        <v>0</v>
      </c>
      <c r="E15" s="5">
        <f t="shared" si="1"/>
        <v>31729974</v>
      </c>
      <c r="F15" s="5">
        <f t="shared" si="1"/>
        <v>21382015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2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-480761</v>
      </c>
      <c r="C3" s="2">
        <v>0</v>
      </c>
      <c r="D3" s="2">
        <v>0</v>
      </c>
      <c r="E3" s="2">
        <v>480761</v>
      </c>
      <c r="F3" s="2">
        <v>417915</v>
      </c>
    </row>
    <row r="4" spans="1:6" x14ac:dyDescent="0.3">
      <c r="A4" s="1" t="s">
        <v>1</v>
      </c>
      <c r="B4" s="2">
        <f t="shared" si="0"/>
        <v>0</v>
      </c>
      <c r="C4" s="2">
        <v>0</v>
      </c>
      <c r="D4" s="2">
        <v>0</v>
      </c>
      <c r="E4" s="2">
        <v>0</v>
      </c>
      <c r="F4" s="2">
        <v>0</v>
      </c>
    </row>
    <row r="5" spans="1:6" x14ac:dyDescent="0.3">
      <c r="A5" s="1" t="s">
        <v>2</v>
      </c>
      <c r="B5" s="2">
        <f t="shared" si="0"/>
        <v>0</v>
      </c>
      <c r="C5" s="2">
        <v>0</v>
      </c>
      <c r="D5" s="2">
        <v>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-303525</v>
      </c>
      <c r="C6" s="2">
        <v>0</v>
      </c>
      <c r="D6" s="2">
        <v>0</v>
      </c>
      <c r="E6" s="2">
        <v>303525</v>
      </c>
      <c r="F6" s="2">
        <v>263870</v>
      </c>
    </row>
    <row r="7" spans="1:6" x14ac:dyDescent="0.3">
      <c r="A7" s="1" t="s">
        <v>4</v>
      </c>
      <c r="B7" s="2">
        <f t="shared" si="0"/>
        <v>-312047</v>
      </c>
      <c r="C7" s="2">
        <v>0</v>
      </c>
      <c r="D7" s="2">
        <v>0</v>
      </c>
      <c r="E7" s="2">
        <v>312047</v>
      </c>
      <c r="F7" s="2">
        <v>286210</v>
      </c>
    </row>
    <row r="8" spans="1:6" x14ac:dyDescent="0.3">
      <c r="A8" s="1" t="s">
        <v>5</v>
      </c>
      <c r="B8" s="2">
        <f t="shared" si="0"/>
        <v>-312574</v>
      </c>
      <c r="C8" s="2">
        <v>0</v>
      </c>
      <c r="D8" s="2">
        <v>0</v>
      </c>
      <c r="E8" s="2">
        <v>312574</v>
      </c>
      <c r="F8" s="2">
        <v>285130</v>
      </c>
    </row>
    <row r="9" spans="1:6" x14ac:dyDescent="0.3">
      <c r="A9" s="1" t="s">
        <v>6</v>
      </c>
      <c r="B9" s="2">
        <f t="shared" si="0"/>
        <v>-514082</v>
      </c>
      <c r="C9" s="2">
        <v>0</v>
      </c>
      <c r="D9" s="2">
        <v>0</v>
      </c>
      <c r="E9" s="2">
        <v>514082</v>
      </c>
      <c r="F9" s="2">
        <v>458890</v>
      </c>
    </row>
    <row r="10" spans="1:6" x14ac:dyDescent="0.3">
      <c r="A10" s="1" t="s">
        <v>7</v>
      </c>
      <c r="B10" s="2">
        <f t="shared" si="0"/>
        <v>0</v>
      </c>
      <c r="C10" s="2">
        <v>0</v>
      </c>
      <c r="D10" s="2">
        <v>0</v>
      </c>
      <c r="E10" s="2">
        <v>0</v>
      </c>
      <c r="F10" s="2">
        <v>0</v>
      </c>
    </row>
    <row r="11" spans="1:6" x14ac:dyDescent="0.3">
      <c r="A11" s="1" t="s">
        <v>8</v>
      </c>
      <c r="B11" s="2">
        <f t="shared" si="0"/>
        <v>0</v>
      </c>
      <c r="C11" s="2">
        <v>0</v>
      </c>
      <c r="D11" s="2">
        <v>0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0"/>
        <v>-374795</v>
      </c>
      <c r="C12" s="2">
        <v>0</v>
      </c>
      <c r="D12" s="2">
        <v>0</v>
      </c>
      <c r="E12" s="2">
        <v>374795</v>
      </c>
      <c r="F12" s="2">
        <v>305880</v>
      </c>
    </row>
    <row r="13" spans="1:6" x14ac:dyDescent="0.3">
      <c r="A13" s="1" t="s">
        <v>10</v>
      </c>
      <c r="B13" s="2">
        <f t="shared" si="0"/>
        <v>0</v>
      </c>
      <c r="C13" s="2">
        <v>0</v>
      </c>
      <c r="D13" s="2">
        <v>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0</v>
      </c>
      <c r="C14" s="2">
        <v>0</v>
      </c>
      <c r="D14" s="2">
        <v>0</v>
      </c>
      <c r="E14" s="2">
        <v>0</v>
      </c>
      <c r="F14" s="2">
        <v>0</v>
      </c>
    </row>
    <row r="15" spans="1:6" ht="17.25" thickBot="1" x14ac:dyDescent="0.35">
      <c r="A15" s="4" t="s">
        <v>13</v>
      </c>
      <c r="B15" s="5">
        <f>SUM(B3:B14)</f>
        <v>-2297784</v>
      </c>
      <c r="C15" s="5">
        <f t="shared" ref="C15:F15" si="1">SUM(C3:C14)</f>
        <v>0</v>
      </c>
      <c r="D15" s="5">
        <f t="shared" si="1"/>
        <v>0</v>
      </c>
      <c r="E15" s="5">
        <f t="shared" si="1"/>
        <v>2297784</v>
      </c>
      <c r="F15" s="5">
        <f t="shared" si="1"/>
        <v>2017895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3" width="12.625" bestFit="1" customWidth="1"/>
    <col min="4" max="4" width="10.75" bestFit="1" customWidth="1"/>
    <col min="5" max="6" width="12.62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>
        <v>0</v>
      </c>
      <c r="D3" s="2">
        <v>0</v>
      </c>
      <c r="E3" s="2">
        <v>0</v>
      </c>
      <c r="F3" s="2">
        <v>0</v>
      </c>
    </row>
    <row r="4" spans="1:6" x14ac:dyDescent="0.3">
      <c r="A4" s="1" t="s">
        <v>1</v>
      </c>
      <c r="B4" s="2">
        <f t="shared" si="0"/>
        <v>0</v>
      </c>
      <c r="C4" s="2">
        <v>0</v>
      </c>
      <c r="D4" s="2">
        <v>0</v>
      </c>
      <c r="E4" s="2">
        <v>0</v>
      </c>
      <c r="F4" s="2">
        <v>0</v>
      </c>
    </row>
    <row r="5" spans="1:6" x14ac:dyDescent="0.3">
      <c r="A5" s="1" t="s">
        <v>2</v>
      </c>
      <c r="B5" s="2">
        <f t="shared" si="0"/>
        <v>0</v>
      </c>
      <c r="C5" s="2">
        <v>0</v>
      </c>
      <c r="D5" s="2">
        <v>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0</v>
      </c>
      <c r="C6" s="2">
        <v>0</v>
      </c>
      <c r="D6" s="2">
        <v>0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0</v>
      </c>
      <c r="C7" s="2">
        <v>0</v>
      </c>
      <c r="D7" s="2">
        <v>0</v>
      </c>
      <c r="E7" s="2">
        <v>0</v>
      </c>
      <c r="F7" s="2">
        <v>0</v>
      </c>
    </row>
    <row r="8" spans="1:6" x14ac:dyDescent="0.3">
      <c r="A8" s="1" t="s">
        <v>5</v>
      </c>
      <c r="B8" s="2">
        <f t="shared" si="0"/>
        <v>0</v>
      </c>
      <c r="C8" s="2">
        <v>0</v>
      </c>
      <c r="D8" s="2">
        <v>0</v>
      </c>
      <c r="E8" s="2">
        <v>0</v>
      </c>
      <c r="F8" s="2">
        <v>0</v>
      </c>
    </row>
    <row r="9" spans="1:6" x14ac:dyDescent="0.3">
      <c r="A9" s="1" t="s">
        <v>6</v>
      </c>
      <c r="B9" s="2">
        <f t="shared" si="0"/>
        <v>-31261</v>
      </c>
      <c r="C9" s="2">
        <v>0</v>
      </c>
      <c r="D9" s="2">
        <v>0</v>
      </c>
      <c r="E9" s="2">
        <v>31261</v>
      </c>
      <c r="F9" s="2">
        <v>21860</v>
      </c>
    </row>
    <row r="10" spans="1:6" x14ac:dyDescent="0.3">
      <c r="A10" s="1" t="s">
        <v>7</v>
      </c>
      <c r="B10" s="2">
        <f t="shared" si="0"/>
        <v>-62983</v>
      </c>
      <c r="C10" s="2">
        <v>0</v>
      </c>
      <c r="D10" s="2">
        <v>0</v>
      </c>
      <c r="E10" s="2">
        <v>62983</v>
      </c>
      <c r="F10" s="2">
        <v>43920</v>
      </c>
    </row>
    <row r="11" spans="1:6" x14ac:dyDescent="0.3">
      <c r="A11" s="1" t="s">
        <v>8</v>
      </c>
      <c r="B11" s="2">
        <f t="shared" si="0"/>
        <v>-120020</v>
      </c>
      <c r="C11" s="2">
        <v>0</v>
      </c>
      <c r="D11" s="2">
        <v>0</v>
      </c>
      <c r="E11" s="2">
        <v>120020</v>
      </c>
      <c r="F11" s="2">
        <v>87580</v>
      </c>
    </row>
    <row r="12" spans="1:6" x14ac:dyDescent="0.3">
      <c r="A12" s="1" t="s">
        <v>9</v>
      </c>
      <c r="B12" s="2">
        <f t="shared" si="0"/>
        <v>0</v>
      </c>
      <c r="C12" s="2">
        <v>0</v>
      </c>
      <c r="D12" s="2">
        <v>0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0</v>
      </c>
      <c r="C13" s="2">
        <v>0</v>
      </c>
      <c r="D13" s="2">
        <v>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0</v>
      </c>
      <c r="C14" s="2">
        <v>0</v>
      </c>
      <c r="D14" s="2">
        <v>0</v>
      </c>
      <c r="E14" s="2">
        <v>0</v>
      </c>
      <c r="F14" s="2">
        <v>0</v>
      </c>
    </row>
    <row r="15" spans="1:6" ht="17.25" thickBot="1" x14ac:dyDescent="0.35">
      <c r="A15" s="4" t="s">
        <v>13</v>
      </c>
      <c r="B15" s="5">
        <f>SUM(B3:B14)</f>
        <v>-214264</v>
      </c>
      <c r="C15" s="5">
        <f t="shared" ref="C15:F15" si="1">SUM(C3:C14)</f>
        <v>0</v>
      </c>
      <c r="D15" s="5">
        <f t="shared" si="1"/>
        <v>0</v>
      </c>
      <c r="E15" s="5">
        <f t="shared" si="1"/>
        <v>214264</v>
      </c>
      <c r="F15" s="5">
        <f t="shared" si="1"/>
        <v>153360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tabSelected="1" workbookViewId="0"/>
  </sheetViews>
  <sheetFormatPr defaultRowHeight="16.5" x14ac:dyDescent="0.3"/>
  <cols>
    <col min="2" max="2" width="14.625" bestFit="1" customWidth="1"/>
    <col min="3" max="3" width="12.625" bestFit="1" customWidth="1"/>
    <col min="4" max="4" width="10.75" bestFit="1" customWidth="1"/>
    <col min="5" max="6" width="12.62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-23</v>
      </c>
      <c r="C6" s="2">
        <v>0</v>
      </c>
      <c r="D6" s="2">
        <v>0</v>
      </c>
      <c r="E6" s="2">
        <v>23</v>
      </c>
      <c r="F6" s="2">
        <v>2</v>
      </c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-94268</v>
      </c>
      <c r="C8" s="2">
        <v>0</v>
      </c>
      <c r="D8" s="2">
        <v>0</v>
      </c>
      <c r="E8" s="2">
        <v>94268</v>
      </c>
      <c r="F8" s="2">
        <v>66896</v>
      </c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-94291</v>
      </c>
      <c r="C15" s="5">
        <f t="shared" ref="C15:F15" si="1">SUM(C3:C14)</f>
        <v>0</v>
      </c>
      <c r="D15" s="5">
        <f t="shared" si="1"/>
        <v>0</v>
      </c>
      <c r="E15" s="5">
        <f t="shared" si="1"/>
        <v>94291</v>
      </c>
      <c r="F15" s="5">
        <f t="shared" si="1"/>
        <v>66898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2010년</vt:lpstr>
      <vt:lpstr>2011년</vt:lpstr>
      <vt:lpstr>2012년</vt:lpstr>
      <vt:lpstr>2013년</vt:lpstr>
      <vt:lpstr>2014년</vt:lpstr>
      <vt:lpstr>2015년</vt:lpstr>
      <vt:lpstr>2016년</vt:lpstr>
      <vt:lpstr>2017년</vt:lpstr>
      <vt:lpstr>2018년</vt:lpstr>
      <vt:lpstr>2019년</vt:lpstr>
      <vt:lpstr>2020년</vt:lpstr>
      <vt:lpstr>2021년</vt:lpstr>
      <vt:lpstr>2022년</vt:lpstr>
      <vt:lpstr>2023년</vt:lpstr>
      <vt:lpstr>2024년</vt:lpstr>
      <vt:lpstr>2025년</vt:lpstr>
      <vt:lpstr>2026년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</dc:creator>
  <cp:lastModifiedBy>ds</cp:lastModifiedBy>
  <dcterms:created xsi:type="dcterms:W3CDTF">2026-05-27T05:29:32Z</dcterms:created>
  <dcterms:modified xsi:type="dcterms:W3CDTF">2026-07-14T10:11:23Z</dcterms:modified>
</cp:coreProperties>
</file>