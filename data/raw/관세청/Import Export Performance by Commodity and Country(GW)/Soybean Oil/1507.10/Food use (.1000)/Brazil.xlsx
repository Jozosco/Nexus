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15" i="13" s="1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7" l="1"/>
  <c r="B15" i="16"/>
  <c r="B15" i="15"/>
  <c r="B15" i="14"/>
  <c r="B15" i="12"/>
  <c r="B15" i="11"/>
  <c r="B15" i="10"/>
  <c r="B14" i="1"/>
  <c r="B13" i="1"/>
  <c r="B12" i="1"/>
  <c r="B11" i="1"/>
  <c r="B10" i="1"/>
  <c r="B8" i="1"/>
  <c r="B7" i="1"/>
  <c r="B6" i="1"/>
  <c r="B5" i="1"/>
  <c r="B4" i="1"/>
  <c r="B3" i="1"/>
  <c r="B9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<sst xmlns="http://schemas.openxmlformats.org/spreadsheetml/2006/main" count="306" uniqueCount="45">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</sst>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18</v>
      </c>
      <c r="C2" s="3" t="s">
        <v>19</v>
      </c>
      <c r="D2" s="3" t="s">
        <v>20</v>
      </c>
      <c r="E2" s="3" t="s">
        <v>21</v>
      </c>
      <c r="F2" s="3" t="s">
        <v>23</v>
      </c>
    </row>
    <row r="3" spans="1:6" x14ac:dyDescent="0.3">
      <c r="A3" s="1" t="s">
        <v>24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25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-27840</v>
      </c>
      <c r="C10" s="2">
        <v>0</v>
      </c>
      <c r="D10" s="2">
        <v>0</v>
      </c>
      <c r="E10" s="2">
        <v>27840</v>
      </c>
      <c r="F10" s="2">
        <v>21750</v>
      </c>
    </row>
    <row r="11" spans="1:6" x14ac:dyDescent="0.3">
      <c r="A11" s="1" t="s">
        <v>8</v>
      </c>
      <c r="B11" s="2">
        <f t="shared" si="0"/>
        <v>-27840</v>
      </c>
      <c r="C11" s="2">
        <v>0</v>
      </c>
      <c r="D11" s="2">
        <v>0</v>
      </c>
      <c r="E11" s="2">
        <v>27840</v>
      </c>
      <c r="F11" s="2">
        <v>21750</v>
      </c>
    </row>
    <row r="12" spans="1:6" x14ac:dyDescent="0.3">
      <c r="A12" s="1" t="s">
        <v>9</v>
      </c>
      <c r="B12" s="2">
        <f t="shared" si="0"/>
        <v>-28941</v>
      </c>
      <c r="C12" s="2">
        <v>0</v>
      </c>
      <c r="D12" s="2">
        <v>0</v>
      </c>
      <c r="E12" s="2">
        <v>28941</v>
      </c>
      <c r="F12" s="2">
        <v>21760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28</v>
      </c>
      <c r="B15" s="5">
        <f>SUM(B3:B14)</f>
        <v>-84621</v>
      </c>
      <c r="C15" s="5">
        <f t="shared" ref="C15:F15" si="1">SUM(C3:C14)</f>
        <v>0</v>
      </c>
      <c r="D15" s="5">
        <f t="shared" si="1"/>
        <v>0</v>
      </c>
      <c r="E15" s="5">
        <f t="shared" si="1"/>
        <v>84621</v>
      </c>
      <c r="F15" s="5">
        <f t="shared" si="1"/>
        <v>65260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29</v>
      </c>
      <c r="C2" s="3" t="s">
        <v>30</v>
      </c>
      <c r="D2" s="3" t="s">
        <v>31</v>
      </c>
      <c r="E2" s="3" t="s">
        <v>21</v>
      </c>
      <c r="F2" s="3" t="s">
        <v>22</v>
      </c>
    </row>
    <row r="3" spans="1:6" x14ac:dyDescent="0.3">
      <c r="A3" s="1" t="s">
        <v>24</v>
      </c>
      <c r="B3" s="2">
        <f>C3-E3</f>
        <v>-74958</v>
      </c>
      <c r="C3" s="2">
        <v>0</v>
      </c>
      <c r="D3" s="2">
        <v>0</v>
      </c>
      <c r="E3" s="2">
        <v>74958</v>
      </c>
      <c r="F3" s="2">
        <v>43580</v>
      </c>
    </row>
    <row r="4" spans="1:6" x14ac:dyDescent="0.3">
      <c r="A4" s="1" t="s">
        <v>25</v>
      </c>
      <c r="B4" s="2">
        <f t="shared" ref="B4:B14" si="0">C4-E4</f>
        <v>-2453100</v>
      </c>
      <c r="C4" s="2">
        <v>0</v>
      </c>
      <c r="D4" s="2">
        <v>0</v>
      </c>
      <c r="E4" s="2">
        <v>2453100</v>
      </c>
      <c r="F4" s="2">
        <v>1887000</v>
      </c>
    </row>
    <row r="5" spans="1:6" x14ac:dyDescent="0.3">
      <c r="A5" s="1" t="s">
        <v>26</v>
      </c>
      <c r="B5" s="2">
        <f t="shared" si="0"/>
        <v>-1721200</v>
      </c>
      <c r="C5" s="2">
        <v>0</v>
      </c>
      <c r="D5" s="2">
        <v>0</v>
      </c>
      <c r="E5" s="2">
        <v>1721200</v>
      </c>
      <c r="F5" s="2">
        <v>1324000</v>
      </c>
    </row>
    <row r="6" spans="1:6" x14ac:dyDescent="0.3">
      <c r="A6" s="1" t="s">
        <v>3</v>
      </c>
      <c r="B6" s="2">
        <f t="shared" si="0"/>
        <v>-1038700</v>
      </c>
      <c r="C6" s="2">
        <v>0</v>
      </c>
      <c r="D6" s="2">
        <v>0</v>
      </c>
      <c r="E6" s="2">
        <v>1038700</v>
      </c>
      <c r="F6" s="2">
        <v>799000</v>
      </c>
    </row>
    <row r="7" spans="1:6" x14ac:dyDescent="0.3">
      <c r="A7" s="1" t="s">
        <v>4</v>
      </c>
      <c r="B7" s="2">
        <f t="shared" si="0"/>
        <v>-1508000</v>
      </c>
      <c r="C7" s="2">
        <v>0</v>
      </c>
      <c r="D7" s="2">
        <v>0</v>
      </c>
      <c r="E7" s="2">
        <v>1508000</v>
      </c>
      <c r="F7" s="2">
        <v>1160000</v>
      </c>
    </row>
    <row r="8" spans="1:6" x14ac:dyDescent="0.3">
      <c r="A8" s="1" t="s">
        <v>5</v>
      </c>
      <c r="B8" s="2">
        <f t="shared" si="0"/>
        <v>-2185771</v>
      </c>
      <c r="C8" s="2">
        <v>0</v>
      </c>
      <c r="D8" s="2">
        <v>0</v>
      </c>
      <c r="E8" s="2">
        <v>2185771</v>
      </c>
      <c r="F8" s="2">
        <v>1683655</v>
      </c>
    </row>
    <row r="9" spans="1:6" x14ac:dyDescent="0.3">
      <c r="A9" s="1" t="s">
        <v>6</v>
      </c>
      <c r="B9" s="2">
        <f t="shared" si="0"/>
        <v>-77564</v>
      </c>
      <c r="C9" s="2">
        <v>0</v>
      </c>
      <c r="D9" s="2">
        <v>0</v>
      </c>
      <c r="E9" s="2">
        <v>77564</v>
      </c>
      <c r="F9" s="2">
        <v>43930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-4229231</v>
      </c>
      <c r="C12" s="2">
        <v>0</v>
      </c>
      <c r="D12" s="2">
        <v>0</v>
      </c>
      <c r="E12" s="2">
        <v>4229231</v>
      </c>
      <c r="F12" s="2">
        <v>3321268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27</v>
      </c>
      <c r="B15" s="5">
        <f>SUM(B3:B14)</f>
        <v>-13288524</v>
      </c>
      <c r="C15" s="5">
        <f t="shared" ref="C15:F15" si="1">SUM(C3:C14)</f>
        <v>0</v>
      </c>
      <c r="D15" s="5">
        <f t="shared" si="1"/>
        <v>0</v>
      </c>
      <c r="E15" s="5">
        <f t="shared" si="1"/>
        <v>13288524</v>
      </c>
      <c r="F15" s="5">
        <f t="shared" si="1"/>
        <v>10262433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29</v>
      </c>
      <c r="C2" s="3" t="s">
        <v>30</v>
      </c>
      <c r="D2" s="3" t="s">
        <v>31</v>
      </c>
      <c r="E2" s="3" t="s">
        <v>21</v>
      </c>
      <c r="F2" s="3" t="s">
        <v>32</v>
      </c>
    </row>
    <row r="3" spans="1:6" x14ac:dyDescent="0.3">
      <c r="A3" s="1" t="s">
        <v>24</v>
      </c>
      <c r="B3" s="2">
        <f>C3-E3</f>
        <v>-75787</v>
      </c>
      <c r="C3" s="2">
        <v>0</v>
      </c>
      <c r="D3" s="2">
        <v>0</v>
      </c>
      <c r="E3" s="2">
        <v>75787</v>
      </c>
      <c r="F3" s="2">
        <v>43540</v>
      </c>
    </row>
    <row r="4" spans="1:6" x14ac:dyDescent="0.3">
      <c r="A4" s="1" t="s">
        <v>25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-71851</v>
      </c>
      <c r="C7" s="2">
        <v>0</v>
      </c>
      <c r="D7" s="2">
        <v>0</v>
      </c>
      <c r="E7" s="2">
        <v>71851</v>
      </c>
      <c r="F7" s="2">
        <v>43010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-70136</v>
      </c>
      <c r="C10" s="2">
        <v>0</v>
      </c>
      <c r="D10" s="2">
        <v>0</v>
      </c>
      <c r="E10" s="2">
        <v>70136</v>
      </c>
      <c r="F10" s="2">
        <v>44390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-59186</v>
      </c>
      <c r="C13" s="2">
        <v>0</v>
      </c>
      <c r="D13" s="2">
        <v>0</v>
      </c>
      <c r="E13" s="2">
        <v>59186</v>
      </c>
      <c r="F13" s="2">
        <v>42580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28</v>
      </c>
      <c r="B15" s="5">
        <f>SUM(B3:B14)</f>
        <v>-276960</v>
      </c>
      <c r="C15" s="5">
        <f t="shared" ref="C15:F15" si="1">SUM(C3:C14)</f>
        <v>0</v>
      </c>
      <c r="D15" s="5">
        <f t="shared" si="1"/>
        <v>0</v>
      </c>
      <c r="E15" s="5">
        <f t="shared" si="1"/>
        <v>276960</v>
      </c>
      <c r="F15" s="5">
        <f t="shared" si="1"/>
        <v>173520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29</v>
      </c>
      <c r="C2" s="3" t="s">
        <v>30</v>
      </c>
      <c r="D2" s="3" t="s">
        <v>31</v>
      </c>
      <c r="E2" s="3" t="s">
        <v>21</v>
      </c>
      <c r="F2" s="3" t="s">
        <v>32</v>
      </c>
    </row>
    <row r="3" spans="1:6" x14ac:dyDescent="0.3">
      <c r="A3" s="1" t="s">
        <v>24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25</v>
      </c>
      <c r="B4" s="2">
        <f t="shared" si="0"/>
        <v>-104701</v>
      </c>
      <c r="C4" s="2">
        <v>0</v>
      </c>
      <c r="D4" s="2">
        <v>0</v>
      </c>
      <c r="E4" s="2">
        <v>104701</v>
      </c>
      <c r="F4" s="2">
        <v>65850</v>
      </c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-86777</v>
      </c>
      <c r="C10" s="2">
        <v>0</v>
      </c>
      <c r="D10" s="2">
        <v>0</v>
      </c>
      <c r="E10" s="2">
        <v>86777</v>
      </c>
      <c r="F10" s="2">
        <v>65740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28</v>
      </c>
      <c r="B15" s="5">
        <f>SUM(B3:B14)</f>
        <v>-191478</v>
      </c>
      <c r="C15" s="5">
        <f t="shared" ref="C15:F15" si="1">SUM(C3:C14)</f>
        <v>0</v>
      </c>
      <c r="D15" s="5">
        <f t="shared" si="1"/>
        <v>0</v>
      </c>
      <c r="E15" s="5">
        <f t="shared" si="1"/>
        <v>191478</v>
      </c>
      <c r="F15" s="5">
        <f t="shared" si="1"/>
        <v>131590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</row>
    <row r="3" spans="1:6" x14ac:dyDescent="0.3">
      <c r="A3" s="1" t="s">
        <v>38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39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40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-3775410</v>
      </c>
      <c r="C8" s="2">
        <v>0</v>
      </c>
      <c r="D8" s="2">
        <v>0</v>
      </c>
      <c r="E8" s="2">
        <v>3775410</v>
      </c>
      <c r="F8" s="2">
        <v>3976000</v>
      </c>
    </row>
    <row r="9" spans="1:6" x14ac:dyDescent="0.3">
      <c r="A9" s="1" t="s">
        <v>6</v>
      </c>
      <c r="B9" s="2">
        <f t="shared" si="0"/>
        <v>-1889720</v>
      </c>
      <c r="C9" s="2">
        <v>0</v>
      </c>
      <c r="D9" s="2">
        <v>0</v>
      </c>
      <c r="E9" s="2">
        <v>1889720</v>
      </c>
      <c r="F9" s="2">
        <v>1988000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-60310</v>
      </c>
      <c r="C11" s="2">
        <v>0</v>
      </c>
      <c r="D11" s="2">
        <v>0</v>
      </c>
      <c r="E11" s="2">
        <v>60310</v>
      </c>
      <c r="F11" s="2">
        <v>69707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-699375</v>
      </c>
      <c r="C13" s="2">
        <v>0</v>
      </c>
      <c r="D13" s="2">
        <v>0</v>
      </c>
      <c r="E13" s="2">
        <v>699375</v>
      </c>
      <c r="F13" s="2">
        <v>783357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41</v>
      </c>
      <c r="B15" s="5">
        <f>SUM(B3:B14)</f>
        <v>-6424815</v>
      </c>
      <c r="C15" s="5">
        <f t="shared" ref="C15:F15" si="1">SUM(C3:C14)</f>
        <v>0</v>
      </c>
      <c r="D15" s="5">
        <f t="shared" si="1"/>
        <v>0</v>
      </c>
      <c r="E15" s="5">
        <f t="shared" si="1"/>
        <v>6424815</v>
      </c>
      <c r="F15" s="5">
        <f t="shared" si="1"/>
        <v>6817064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34</v>
      </c>
      <c r="D2" s="3" t="s">
        <v>35</v>
      </c>
      <c r="E2" s="3" t="s">
        <v>36</v>
      </c>
      <c r="F2" s="3" t="s">
        <v>42</v>
      </c>
    </row>
    <row r="3" spans="1:6" x14ac:dyDescent="0.3">
      <c r="A3" s="1" t="s">
        <v>38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43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40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41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44</v>
      </c>
      <c r="D2" s="3" t="s">
        <v>35</v>
      </c>
      <c r="E2" s="3" t="s">
        <v>36</v>
      </c>
      <c r="F2" s="3" t="s">
        <v>37</v>
      </c>
    </row>
    <row r="3" spans="1:6" x14ac:dyDescent="0.3">
      <c r="A3" s="1" t="s">
        <v>38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39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40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-89</v>
      </c>
      <c r="C13" s="2">
        <v>0</v>
      </c>
      <c r="D13" s="2">
        <v>0</v>
      </c>
      <c r="E13" s="2">
        <v>89</v>
      </c>
      <c r="F13" s="2">
        <v>18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41</v>
      </c>
      <c r="B15" s="5">
        <f>SUM(B3:B14)</f>
        <v>-89</v>
      </c>
      <c r="C15" s="5">
        <f t="shared" ref="C15:F15" si="1">SUM(C3:C14)</f>
        <v>0</v>
      </c>
      <c r="D15" s="5">
        <f t="shared" si="1"/>
        <v>0</v>
      </c>
      <c r="E15" s="5">
        <f t="shared" si="1"/>
        <v>89</v>
      </c>
      <c r="F15" s="5">
        <f t="shared" si="1"/>
        <v>18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8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>C9-E9</f>
        <v>-18874</v>
      </c>
      <c r="C9" s="2">
        <v>0</v>
      </c>
      <c r="D9" s="2">
        <v>0</v>
      </c>
      <c r="E9" s="2">
        <v>18874</v>
      </c>
      <c r="F9" s="2">
        <v>21820</v>
      </c>
    </row>
    <row r="10" spans="1:6" x14ac:dyDescent="0.3">
      <c r="A10" s="1" t="s">
        <v>7</v>
      </c>
      <c r="B10" s="2">
        <f t="shared" ref="B10:B14" si="1">C10-E10</f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1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1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1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1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-18874</v>
      </c>
      <c r="C15" s="5">
        <f t="shared" ref="C15:F15" si="2">SUM(C3:C14)</f>
        <v>0</v>
      </c>
      <c r="D15" s="5">
        <f t="shared" si="2"/>
        <v>0</v>
      </c>
      <c r="E15" s="5">
        <f t="shared" si="2"/>
        <v>18874</v>
      </c>
      <c r="F15" s="5">
        <f t="shared" si="2"/>
        <v>21820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-21</v>
      </c>
      <c r="C10" s="2">
        <v>0</v>
      </c>
      <c r="D10" s="2">
        <v>0</v>
      </c>
      <c r="E10" s="2">
        <v>21</v>
      </c>
      <c r="F10" s="2">
        <v>3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</v>
      </c>
      <c r="C15" s="5">
        <f t="shared" ref="C15:F15" si="1">SUM(C3:C14)</f>
        <v>0</v>
      </c>
      <c r="D15" s="5">
        <f t="shared" si="1"/>
        <v>0</v>
      </c>
      <c r="E15" s="5">
        <f t="shared" si="1"/>
        <v>21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-24764</v>
      </c>
      <c r="C3" s="2">
        <v>0</v>
      </c>
      <c r="D3" s="2">
        <v>0</v>
      </c>
      <c r="E3" s="2">
        <v>24764</v>
      </c>
      <c r="F3" s="2">
        <v>21000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-1178392</v>
      </c>
      <c r="C8" s="2">
        <v>0</v>
      </c>
      <c r="D8" s="2">
        <v>0</v>
      </c>
      <c r="E8" s="2">
        <v>1178392</v>
      </c>
      <c r="F8" s="2">
        <v>998128</v>
      </c>
    </row>
    <row r="9" spans="1:6" x14ac:dyDescent="0.3">
      <c r="A9" s="1" t="s">
        <v>6</v>
      </c>
      <c r="B9" s="2">
        <f t="shared" si="0"/>
        <v>-3495975</v>
      </c>
      <c r="C9" s="2">
        <v>0</v>
      </c>
      <c r="D9" s="2">
        <v>0</v>
      </c>
      <c r="E9" s="2">
        <v>3495975</v>
      </c>
      <c r="F9" s="2">
        <v>2994385</v>
      </c>
    </row>
    <row r="10" spans="1:6" x14ac:dyDescent="0.3">
      <c r="A10" s="1" t="s">
        <v>7</v>
      </c>
      <c r="B10" s="2">
        <f t="shared" si="0"/>
        <v>-2297505</v>
      </c>
      <c r="C10" s="2">
        <v>0</v>
      </c>
      <c r="D10" s="2">
        <v>0</v>
      </c>
      <c r="E10" s="2">
        <v>2297505</v>
      </c>
      <c r="F10" s="2">
        <v>1438039</v>
      </c>
    </row>
    <row r="11" spans="1:6" x14ac:dyDescent="0.3">
      <c r="A11" s="1" t="s">
        <v>8</v>
      </c>
      <c r="B11" s="2">
        <f t="shared" si="0"/>
        <v>-3650000</v>
      </c>
      <c r="C11" s="2">
        <v>0</v>
      </c>
      <c r="D11" s="2">
        <v>0</v>
      </c>
      <c r="E11" s="2">
        <v>3650000</v>
      </c>
      <c r="F11" s="2">
        <v>2551474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-10646636</v>
      </c>
      <c r="C15" s="5">
        <f t="shared" ref="C15:F15" si="1">SUM(C3:C14)</f>
        <v>0</v>
      </c>
      <c r="D15" s="5">
        <f t="shared" si="1"/>
        <v>0</v>
      </c>
      <c r="E15" s="5">
        <f t="shared" si="1"/>
        <v>10646636</v>
      </c>
      <c r="F15" s="5">
        <f t="shared" si="1"/>
        <v>8003026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-11921551</v>
      </c>
      <c r="C9" s="2">
        <v>0</v>
      </c>
      <c r="D9" s="2">
        <v>0</v>
      </c>
      <c r="E9" s="2">
        <v>11921551</v>
      </c>
      <c r="F9" s="2">
        <v>6789241</v>
      </c>
    </row>
    <row r="10" spans="1:6" x14ac:dyDescent="0.3">
      <c r="A10" s="1" t="s">
        <v>7</v>
      </c>
      <c r="B10" s="2">
        <f t="shared" si="0"/>
        <v>-4806940</v>
      </c>
      <c r="C10" s="2">
        <v>0</v>
      </c>
      <c r="D10" s="2">
        <v>0</v>
      </c>
      <c r="E10" s="2">
        <v>4806940</v>
      </c>
      <c r="F10" s="2">
        <v>2332510</v>
      </c>
    </row>
    <row r="11" spans="1:6" x14ac:dyDescent="0.3">
      <c r="A11" s="1" t="s">
        <v>8</v>
      </c>
      <c r="B11" s="2">
        <f t="shared" si="0"/>
        <v>-4519302</v>
      </c>
      <c r="C11" s="2">
        <v>0</v>
      </c>
      <c r="D11" s="2">
        <v>0</v>
      </c>
      <c r="E11" s="2">
        <v>4519302</v>
      </c>
      <c r="F11" s="2">
        <v>2192958</v>
      </c>
    </row>
    <row r="12" spans="1:6" x14ac:dyDescent="0.3">
      <c r="A12" s="1" t="s">
        <v>9</v>
      </c>
      <c r="B12" s="2">
        <f t="shared" si="0"/>
        <v>-944931</v>
      </c>
      <c r="C12" s="2">
        <v>0</v>
      </c>
      <c r="D12" s="2">
        <v>0</v>
      </c>
      <c r="E12" s="2">
        <v>944931</v>
      </c>
      <c r="F12" s="2">
        <v>458528</v>
      </c>
    </row>
    <row r="13" spans="1:6" x14ac:dyDescent="0.3">
      <c r="A13" s="1" t="s">
        <v>10</v>
      </c>
      <c r="B13" s="2">
        <f t="shared" si="0"/>
        <v>-15542520</v>
      </c>
      <c r="C13" s="2">
        <v>0</v>
      </c>
      <c r="D13" s="2">
        <v>0</v>
      </c>
      <c r="E13" s="2">
        <v>15542520</v>
      </c>
      <c r="F13" s="2">
        <v>8585384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-37735244</v>
      </c>
      <c r="C15" s="5">
        <f t="shared" ref="C15:F15" si="1">SUM(C3:C14)</f>
        <v>0</v>
      </c>
      <c r="D15" s="5">
        <f t="shared" si="1"/>
        <v>0</v>
      </c>
      <c r="E15" s="5">
        <f t="shared" si="1"/>
        <v>37735244</v>
      </c>
      <c r="F15" s="5">
        <f t="shared" si="1"/>
        <v>20358621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-18091738</v>
      </c>
      <c r="C3" s="2">
        <v>0</v>
      </c>
      <c r="D3" s="2">
        <v>0</v>
      </c>
      <c r="E3" s="2">
        <v>18091738</v>
      </c>
      <c r="F3" s="2">
        <v>10530186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-6352213</v>
      </c>
      <c r="C5" s="2">
        <v>0</v>
      </c>
      <c r="D5" s="2">
        <v>0</v>
      </c>
      <c r="E5" s="2">
        <v>6352213</v>
      </c>
      <c r="F5" s="2">
        <v>4852462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-7286000</v>
      </c>
      <c r="C8" s="2">
        <v>0</v>
      </c>
      <c r="D8" s="2">
        <v>0</v>
      </c>
      <c r="E8" s="2">
        <v>7286000</v>
      </c>
      <c r="F8" s="2">
        <v>5999365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-23</v>
      </c>
      <c r="C10" s="2">
        <v>0</v>
      </c>
      <c r="D10" s="2">
        <v>0</v>
      </c>
      <c r="E10" s="2">
        <v>23</v>
      </c>
      <c r="F10" s="2">
        <v>2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-31729974</v>
      </c>
      <c r="C15" s="5">
        <f t="shared" ref="C15:F15" si="1">SUM(C3:C14)</f>
        <v>0</v>
      </c>
      <c r="D15" s="5">
        <f t="shared" si="1"/>
        <v>0</v>
      </c>
      <c r="E15" s="5">
        <f t="shared" si="1"/>
        <v>31729974</v>
      </c>
      <c r="F15" s="5">
        <f t="shared" si="1"/>
        <v>21382015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-480761</v>
      </c>
      <c r="C3" s="2">
        <v>0</v>
      </c>
      <c r="D3" s="2">
        <v>0</v>
      </c>
      <c r="E3" s="2">
        <v>480761</v>
      </c>
      <c r="F3" s="2">
        <v>417915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-303525</v>
      </c>
      <c r="C6" s="2">
        <v>0</v>
      </c>
      <c r="D6" s="2">
        <v>0</v>
      </c>
      <c r="E6" s="2">
        <v>303525</v>
      </c>
      <c r="F6" s="2">
        <v>263870</v>
      </c>
    </row>
    <row r="7" spans="1:6" x14ac:dyDescent="0.3">
      <c r="A7" s="1" t="s">
        <v>4</v>
      </c>
      <c r="B7" s="2">
        <f t="shared" si="0"/>
        <v>-312047</v>
      </c>
      <c r="C7" s="2">
        <v>0</v>
      </c>
      <c r="D7" s="2">
        <v>0</v>
      </c>
      <c r="E7" s="2">
        <v>312047</v>
      </c>
      <c r="F7" s="2">
        <v>286210</v>
      </c>
    </row>
    <row r="8" spans="1:6" x14ac:dyDescent="0.3">
      <c r="A8" s="1" t="s">
        <v>5</v>
      </c>
      <c r="B8" s="2">
        <f t="shared" si="0"/>
        <v>-312574</v>
      </c>
      <c r="C8" s="2">
        <v>0</v>
      </c>
      <c r="D8" s="2">
        <v>0</v>
      </c>
      <c r="E8" s="2">
        <v>312574</v>
      </c>
      <c r="F8" s="2">
        <v>285130</v>
      </c>
    </row>
    <row r="9" spans="1:6" x14ac:dyDescent="0.3">
      <c r="A9" s="1" t="s">
        <v>6</v>
      </c>
      <c r="B9" s="2">
        <f t="shared" si="0"/>
        <v>-514082</v>
      </c>
      <c r="C9" s="2">
        <v>0</v>
      </c>
      <c r="D9" s="2">
        <v>0</v>
      </c>
      <c r="E9" s="2">
        <v>514082</v>
      </c>
      <c r="F9" s="2">
        <v>458890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-374795</v>
      </c>
      <c r="C12" s="2">
        <v>0</v>
      </c>
      <c r="D12" s="2">
        <v>0</v>
      </c>
      <c r="E12" s="2">
        <v>374795</v>
      </c>
      <c r="F12" s="2">
        <v>305880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-2297784</v>
      </c>
      <c r="C15" s="5">
        <f t="shared" ref="C15:F15" si="1">SUM(C3:C14)</f>
        <v>0</v>
      </c>
      <c r="D15" s="5">
        <f t="shared" si="1"/>
        <v>0</v>
      </c>
      <c r="E15" s="5">
        <f t="shared" si="1"/>
        <v>2297784</v>
      </c>
      <c r="F15" s="5">
        <f t="shared" si="1"/>
        <v>2017895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-31261</v>
      </c>
      <c r="C9" s="2">
        <v>0</v>
      </c>
      <c r="D9" s="2">
        <v>0</v>
      </c>
      <c r="E9" s="2">
        <v>31261</v>
      </c>
      <c r="F9" s="2">
        <v>21860</v>
      </c>
    </row>
    <row r="10" spans="1:6" x14ac:dyDescent="0.3">
      <c r="A10" s="1" t="s">
        <v>7</v>
      </c>
      <c r="B10" s="2">
        <f t="shared" si="0"/>
        <v>-62983</v>
      </c>
      <c r="C10" s="2">
        <v>0</v>
      </c>
      <c r="D10" s="2">
        <v>0</v>
      </c>
      <c r="E10" s="2">
        <v>62983</v>
      </c>
      <c r="F10" s="2">
        <v>43920</v>
      </c>
    </row>
    <row r="11" spans="1:6" x14ac:dyDescent="0.3">
      <c r="A11" s="1" t="s">
        <v>8</v>
      </c>
      <c r="B11" s="2">
        <f t="shared" si="0"/>
        <v>-120020</v>
      </c>
      <c r="C11" s="2">
        <v>0</v>
      </c>
      <c r="D11" s="2">
        <v>0</v>
      </c>
      <c r="E11" s="2">
        <v>120020</v>
      </c>
      <c r="F11" s="2">
        <v>87580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-214264</v>
      </c>
      <c r="C15" s="5">
        <f t="shared" ref="C15:F15" si="1">SUM(C3:C14)</f>
        <v>0</v>
      </c>
      <c r="D15" s="5">
        <f t="shared" si="1"/>
        <v>0</v>
      </c>
      <c r="E15" s="5">
        <f t="shared" si="1"/>
        <v>214264</v>
      </c>
      <c r="F15" s="5">
        <f t="shared" si="1"/>
        <v>153360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-23</v>
      </c>
      <c r="C6" s="2">
        <v>0</v>
      </c>
      <c r="D6" s="2">
        <v>0</v>
      </c>
      <c r="E6" s="2">
        <v>23</v>
      </c>
      <c r="F6" s="2">
        <v>2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-94268</v>
      </c>
      <c r="C8" s="2">
        <v>0</v>
      </c>
      <c r="D8" s="2">
        <v>0</v>
      </c>
      <c r="E8" s="2">
        <v>94268</v>
      </c>
      <c r="F8" s="2">
        <v>66896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-94291</v>
      </c>
      <c r="C15" s="5">
        <f t="shared" ref="C15:F15" si="1">SUM(C3:C14)</f>
        <v>0</v>
      </c>
      <c r="D15" s="5">
        <f t="shared" si="1"/>
        <v>0</v>
      </c>
      <c r="E15" s="5">
        <f t="shared" si="1"/>
        <v>94291</v>
      </c>
      <c r="F15" s="5">
        <f t="shared" si="1"/>
        <v>66898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2026-09-09T03:18:24Z</dcterms:modified>
</cp:coreProperties>
</file>