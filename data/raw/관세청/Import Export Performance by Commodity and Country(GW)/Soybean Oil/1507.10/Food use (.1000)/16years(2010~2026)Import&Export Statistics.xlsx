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9개년_품목별 국가별 수출입실적\대두유\1507.10\식품용(.1000)\"/>
    </mc:Choice>
  </mc:AlternateContent>
  <bookViews>
    <workbookView xWindow="0" yWindow="0" windowWidth="28800" windowHeight="11640" activeTab="6"/>
  </bookViews>
  <sheets>
    <sheet name="2010년" sheetId="12" r:id="rId1"/>
    <sheet name="2011년" sheetId="13" r:id="rId2"/>
    <sheet name="2012년" sheetId="14" r:id="rId3"/>
    <sheet name="2013년" sheetId="15" r:id="rId4"/>
    <sheet name="2014년" sheetId="16" r:id="rId5"/>
    <sheet name="2015년" sheetId="17" r:id="rId6"/>
    <sheet name="2016년" sheetId="18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1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8" l="1"/>
  <c r="E15" i="18"/>
  <c r="D15" i="18"/>
  <c r="C15" i="18"/>
  <c r="B14" i="18"/>
  <c r="B13" i="18"/>
  <c r="B12" i="18"/>
  <c r="B11" i="18"/>
  <c r="B10" i="18"/>
  <c r="B9" i="18"/>
  <c r="B8" i="18"/>
  <c r="B7" i="18"/>
  <c r="B6" i="18"/>
  <c r="B5" i="18"/>
  <c r="B4" i="18"/>
  <c r="B3" i="18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2" l="1"/>
  <c r="B15" i="18"/>
  <c r="B15" i="17"/>
  <c r="B15" i="13"/>
  <c r="B15" i="14"/>
  <c r="B15" i="15"/>
  <c r="B15" i="16"/>
  <c r="B15" i="11"/>
  <c r="B15" i="1"/>
  <c r="B3" i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F15" i="2"/>
  <c r="E15" i="2"/>
  <c r="D15" i="2"/>
  <c r="C15" i="2"/>
  <c r="B14" i="2"/>
  <c r="B13" i="2"/>
  <c r="B12" i="2"/>
  <c r="B11" i="2"/>
  <c r="B10" i="2"/>
  <c r="B9" i="2"/>
  <c r="B8" i="2"/>
  <c r="B7" i="2"/>
  <c r="B6" i="2"/>
  <c r="B5" i="2"/>
  <c r="B4" i="2"/>
  <c r="B3" i="2"/>
  <c r="F15" i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<sst xmlns="http://schemas.openxmlformats.org/spreadsheetml/2006/main" count="306" uniqueCount="43">
  <si>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</si>
  <si>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</si>
  <si>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</si>
  <si>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</si>
  <si>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</si>
  <si>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</si>
  <si>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</si>
  <si>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</si>
  <si>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</si>
  <si>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</si>
  <si>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</si>
  <si>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</si>
  <si>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</si>
  <si>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</si>
  <si>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</si>
  <si>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</si>
  <si>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</si>
  <si>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</si>
  <si>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</si>
  <si>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</si>
  <si>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</si>
  <si>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</si>
  <si>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</si>
  <si>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</si>
  <si>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</si>
  <si>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</si>
  <si>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</si>
  <si>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</si>
  <si>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</si>
  <si>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</si>
  <si>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</si>
  <si>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</si>
  <si>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</si>
  <si>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</si>
  <si>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</si>
  <si>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</si>
  <si>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수입액(달러)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</si>
  <si>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</si>
  <si>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</si>
  <si>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</si>
  <si>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</si>
  <si>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2월</t>
    <phoneticPr fontId="1" type="noConversion"/>
  </si>
  <si>
    <t>무역수지(달러)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</si>
</sst>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8" si="0">C3-E3</f>
        <v>-21681658</v>
      </c>
      <c r="C3" s="3">
        <v>0</v>
      </c>
      <c r="D3" s="3">
        <v>0</v>
      </c>
      <c r="E3" s="3">
        <v>21681658</v>
      </c>
      <c r="F3" s="3">
        <v>24958909</v>
      </c>
    </row>
    <row r="4" spans="1:6" x14ac:dyDescent="0.3">
      <c r="A4" s="2" t="s">
        <v>6</v>
      </c>
      <c r="B4" s="3">
        <f t="shared" si="0"/>
        <v>-15786081</v>
      </c>
      <c r="C4" s="3">
        <v>209209</v>
      </c>
      <c r="D4" s="3">
        <v>197600</v>
      </c>
      <c r="E4" s="3">
        <v>15995290</v>
      </c>
      <c r="F4" s="3">
        <v>17858665</v>
      </c>
    </row>
    <row r="5" spans="1:6" x14ac:dyDescent="0.3">
      <c r="A5" s="2" t="s">
        <v>7</v>
      </c>
      <c r="B5" s="3">
        <f t="shared" si="0"/>
        <v>-19449178</v>
      </c>
      <c r="C5" s="3">
        <v>326420</v>
      </c>
      <c r="D5" s="3">
        <v>304000</v>
      </c>
      <c r="E5" s="3">
        <v>19775598</v>
      </c>
      <c r="F5" s="3">
        <v>22304834</v>
      </c>
    </row>
    <row r="6" spans="1:6" x14ac:dyDescent="0.3">
      <c r="A6" s="2" t="s">
        <v>8</v>
      </c>
      <c r="B6" s="3">
        <f t="shared" si="0"/>
        <v>-16631992</v>
      </c>
      <c r="C6" s="3">
        <v>0</v>
      </c>
      <c r="D6" s="3">
        <v>0</v>
      </c>
      <c r="E6" s="3">
        <v>16631992</v>
      </c>
      <c r="F6" s="3">
        <v>18391972</v>
      </c>
    </row>
    <row r="7" spans="1:6" x14ac:dyDescent="0.3">
      <c r="A7" s="2" t="s">
        <v>9</v>
      </c>
      <c r="B7" s="3">
        <f t="shared" si="0"/>
        <v>-21007529</v>
      </c>
      <c r="C7" s="3">
        <v>30797</v>
      </c>
      <c r="D7" s="3">
        <v>16275</v>
      </c>
      <c r="E7" s="3">
        <v>21038326</v>
      </c>
      <c r="F7" s="3">
        <v>23741822</v>
      </c>
    </row>
    <row r="8" spans="1:6" x14ac:dyDescent="0.3">
      <c r="A8" s="2" t="s">
        <v>10</v>
      </c>
      <c r="B8" s="3">
        <f t="shared" si="0"/>
        <v>-18511010</v>
      </c>
      <c r="C8" s="3">
        <v>454206</v>
      </c>
      <c r="D8" s="3">
        <v>385140</v>
      </c>
      <c r="E8" s="3">
        <v>18965216</v>
      </c>
      <c r="F8" s="3">
        <v>21815926</v>
      </c>
    </row>
    <row r="9" spans="1:6" x14ac:dyDescent="0.3">
      <c r="A9" s="2" t="s">
        <v>11</v>
      </c>
      <c r="B9" s="3">
        <f>C9-E9</f>
        <v>-17876950</v>
      </c>
      <c r="C9" s="3">
        <v>816127</v>
      </c>
      <c r="D9" s="3">
        <v>705720</v>
      </c>
      <c r="E9" s="3">
        <v>18693077</v>
      </c>
      <c r="F9" s="3">
        <v>21644273</v>
      </c>
    </row>
    <row r="10" spans="1:6" x14ac:dyDescent="0.3">
      <c r="A10" s="2" t="s">
        <v>12</v>
      </c>
      <c r="B10" s="3">
        <f t="shared" ref="B10:B14" si="1">C10-E10</f>
        <v>-13354176</v>
      </c>
      <c r="C10" s="3">
        <v>356953</v>
      </c>
      <c r="D10" s="3">
        <v>319200</v>
      </c>
      <c r="E10" s="3">
        <v>13711129</v>
      </c>
      <c r="F10" s="3">
        <v>16162990</v>
      </c>
    </row>
    <row r="11" spans="1:6" x14ac:dyDescent="0.3">
      <c r="A11" s="2" t="s">
        <v>13</v>
      </c>
      <c r="B11" s="3">
        <f t="shared" si="1"/>
        <v>-17483040</v>
      </c>
      <c r="C11" s="3">
        <v>676275</v>
      </c>
      <c r="D11" s="3">
        <v>592495</v>
      </c>
      <c r="E11" s="3">
        <v>18159315</v>
      </c>
      <c r="F11" s="3">
        <v>21720649</v>
      </c>
    </row>
    <row r="12" spans="1:6" x14ac:dyDescent="0.3">
      <c r="A12" s="2" t="s">
        <v>14</v>
      </c>
      <c r="B12" s="3">
        <f t="shared" si="1"/>
        <v>-19501215</v>
      </c>
      <c r="C12" s="3">
        <v>324480</v>
      </c>
      <c r="D12" s="3">
        <v>262288</v>
      </c>
      <c r="E12" s="3">
        <v>19825695</v>
      </c>
      <c r="F12" s="3">
        <v>22619220</v>
      </c>
    </row>
    <row r="13" spans="1:6" x14ac:dyDescent="0.3">
      <c r="A13" s="2" t="s">
        <v>15</v>
      </c>
      <c r="B13" s="3">
        <f t="shared" si="1"/>
        <v>-19881997</v>
      </c>
      <c r="C13" s="3">
        <v>28088</v>
      </c>
      <c r="D13" s="3">
        <v>1716</v>
      </c>
      <c r="E13" s="3">
        <v>19910085</v>
      </c>
      <c r="F13" s="3">
        <v>21909113</v>
      </c>
    </row>
    <row r="14" spans="1:6" x14ac:dyDescent="0.3">
      <c r="A14" s="2" t="s">
        <v>16</v>
      </c>
      <c r="B14" s="3">
        <f t="shared" si="1"/>
        <v>-21179944</v>
      </c>
      <c r="C14" s="3">
        <v>1503368</v>
      </c>
      <c r="D14" s="3">
        <v>1008000</v>
      </c>
      <c r="E14" s="3">
        <v>22683312</v>
      </c>
      <c r="F14" s="3">
        <v>22329469</v>
      </c>
    </row>
    <row r="15" spans="1:6" ht="17.25" thickBot="1" x14ac:dyDescent="0.35">
      <c r="A15" s="4" t="s">
        <v>17</v>
      </c>
      <c r="B15" s="5">
        <f>SUM(B3:B14)</f>
        <v>-222344770</v>
      </c>
      <c r="C15" s="5">
        <f t="shared" ref="C15:F15" si="2">SUM(C3:C14)</f>
        <v>4725923</v>
      </c>
      <c r="D15" s="5">
        <f t="shared" si="2"/>
        <v>3792434</v>
      </c>
      <c r="E15" s="5">
        <f t="shared" si="2"/>
        <v>227070693</v>
      </c>
      <c r="F15" s="5">
        <f t="shared" si="2"/>
        <v>255457842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-23631934</v>
      </c>
      <c r="C3" s="3">
        <v>547257</v>
      </c>
      <c r="D3" s="3">
        <v>319813</v>
      </c>
      <c r="E3" s="3">
        <v>24179191</v>
      </c>
      <c r="F3" s="3">
        <v>20989270</v>
      </c>
    </row>
    <row r="4" spans="1:6" x14ac:dyDescent="0.3">
      <c r="A4" s="2" t="s">
        <v>24</v>
      </c>
      <c r="B4" s="3">
        <f t="shared" ref="B4:B14" si="0">C4-E4</f>
        <v>-22663455</v>
      </c>
      <c r="C4" s="3">
        <v>166890</v>
      </c>
      <c r="D4" s="3">
        <v>91803</v>
      </c>
      <c r="E4" s="3">
        <v>22830345</v>
      </c>
      <c r="F4" s="3">
        <v>19237726</v>
      </c>
    </row>
    <row r="5" spans="1:6" x14ac:dyDescent="0.3">
      <c r="A5" s="2" t="s">
        <v>25</v>
      </c>
      <c r="B5" s="3">
        <f t="shared" si="0"/>
        <v>-26428079</v>
      </c>
      <c r="C5" s="3">
        <v>564374</v>
      </c>
      <c r="D5" s="3">
        <v>328714</v>
      </c>
      <c r="E5" s="3">
        <v>26992453</v>
      </c>
      <c r="F5" s="3">
        <v>21482133</v>
      </c>
    </row>
    <row r="6" spans="1:6" x14ac:dyDescent="0.3">
      <c r="A6" s="2" t="s">
        <v>8</v>
      </c>
      <c r="B6" s="3">
        <f t="shared" si="0"/>
        <v>-28266442</v>
      </c>
      <c r="C6" s="3">
        <v>922552</v>
      </c>
      <c r="D6" s="3">
        <v>511116</v>
      </c>
      <c r="E6" s="3">
        <v>29188994</v>
      </c>
      <c r="F6" s="3">
        <v>22293788</v>
      </c>
    </row>
    <row r="7" spans="1:6" x14ac:dyDescent="0.3">
      <c r="A7" s="2" t="s">
        <v>9</v>
      </c>
      <c r="B7" s="3">
        <f t="shared" si="0"/>
        <v>-28627919</v>
      </c>
      <c r="C7" s="3">
        <v>938784</v>
      </c>
      <c r="D7" s="3">
        <v>550274</v>
      </c>
      <c r="E7" s="3">
        <v>29566703</v>
      </c>
      <c r="F7" s="3">
        <v>22449940</v>
      </c>
    </row>
    <row r="8" spans="1:6" x14ac:dyDescent="0.3">
      <c r="A8" s="2" t="s">
        <v>10</v>
      </c>
      <c r="B8" s="3">
        <f t="shared" si="0"/>
        <v>-23201541</v>
      </c>
      <c r="C8" s="3">
        <v>563701</v>
      </c>
      <c r="D8" s="3">
        <v>319318</v>
      </c>
      <c r="E8" s="3">
        <v>23765242</v>
      </c>
      <c r="F8" s="3">
        <v>18197169</v>
      </c>
    </row>
    <row r="9" spans="1:6" x14ac:dyDescent="0.3">
      <c r="A9" s="2" t="s">
        <v>11</v>
      </c>
      <c r="B9" s="3">
        <f t="shared" si="0"/>
        <v>-28285636</v>
      </c>
      <c r="C9" s="3">
        <v>194111</v>
      </c>
      <c r="D9" s="3">
        <v>78327</v>
      </c>
      <c r="E9" s="3">
        <v>28479747</v>
      </c>
      <c r="F9" s="3">
        <v>22118775</v>
      </c>
    </row>
    <row r="10" spans="1:6" x14ac:dyDescent="0.3">
      <c r="A10" s="2" t="s">
        <v>12</v>
      </c>
      <c r="B10" s="3">
        <f t="shared" si="0"/>
        <v>-29941719</v>
      </c>
      <c r="C10" s="3">
        <v>244652</v>
      </c>
      <c r="D10" s="3">
        <v>106279</v>
      </c>
      <c r="E10" s="3">
        <v>30186371</v>
      </c>
      <c r="F10" s="3">
        <v>23346244</v>
      </c>
    </row>
    <row r="11" spans="1:6" x14ac:dyDescent="0.3">
      <c r="A11" s="2" t="s">
        <v>13</v>
      </c>
      <c r="B11" s="3">
        <f t="shared" si="0"/>
        <v>-27666880</v>
      </c>
      <c r="C11" s="3">
        <v>3304815</v>
      </c>
      <c r="D11" s="3">
        <v>2207430</v>
      </c>
      <c r="E11" s="3">
        <v>30971695</v>
      </c>
      <c r="F11" s="3">
        <v>23753486</v>
      </c>
    </row>
    <row r="12" spans="1:6" x14ac:dyDescent="0.3">
      <c r="A12" s="2" t="s">
        <v>14</v>
      </c>
      <c r="B12" s="3">
        <f t="shared" si="0"/>
        <v>-32440321</v>
      </c>
      <c r="C12" s="3">
        <v>980517</v>
      </c>
      <c r="D12" s="3">
        <v>480631</v>
      </c>
      <c r="E12" s="3">
        <v>33420838</v>
      </c>
      <c r="F12" s="3">
        <v>26216961</v>
      </c>
    </row>
    <row r="13" spans="1:6" x14ac:dyDescent="0.3">
      <c r="A13" s="2" t="s">
        <v>15</v>
      </c>
      <c r="B13" s="3">
        <f t="shared" si="0"/>
        <v>-27636797</v>
      </c>
      <c r="C13" s="3">
        <v>396933</v>
      </c>
      <c r="D13" s="3">
        <v>245208</v>
      </c>
      <c r="E13" s="3">
        <v>28033730</v>
      </c>
      <c r="F13" s="3">
        <v>21660286</v>
      </c>
    </row>
    <row r="14" spans="1:6" x14ac:dyDescent="0.3">
      <c r="A14" s="2" t="s">
        <v>16</v>
      </c>
      <c r="B14" s="3">
        <f t="shared" si="0"/>
        <v>-40333339</v>
      </c>
      <c r="C14" s="3">
        <v>1625241</v>
      </c>
      <c r="D14" s="3">
        <v>1005349</v>
      </c>
      <c r="E14" s="3">
        <v>41958580</v>
      </c>
      <c r="F14" s="3">
        <v>33411853</v>
      </c>
    </row>
    <row r="15" spans="1:6" ht="17.25" thickBot="1" x14ac:dyDescent="0.35">
      <c r="A15" s="4" t="s">
        <v>26</v>
      </c>
      <c r="B15" s="5">
        <f>SUM(B3:B14)</f>
        <v>-339124062</v>
      </c>
      <c r="C15" s="5">
        <f t="shared" ref="C15:F15" si="1">SUM(C3:C14)</f>
        <v>10449827</v>
      </c>
      <c r="D15" s="5">
        <f t="shared" si="1"/>
        <v>6244262</v>
      </c>
      <c r="E15" s="5">
        <f t="shared" si="1"/>
        <v>349573889</v>
      </c>
      <c r="F15" s="5">
        <f t="shared" si="1"/>
        <v>275157631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-34884316</v>
      </c>
      <c r="C3" s="3">
        <v>1691314</v>
      </c>
      <c r="D3" s="3">
        <v>1016076</v>
      </c>
      <c r="E3" s="3">
        <v>36575630</v>
      </c>
      <c r="F3" s="3">
        <v>29703149</v>
      </c>
    </row>
    <row r="4" spans="1:6" x14ac:dyDescent="0.3">
      <c r="A4" s="2" t="s">
        <v>24</v>
      </c>
      <c r="B4" s="3">
        <f t="shared" si="0"/>
        <v>-29981992</v>
      </c>
      <c r="C4" s="3">
        <v>7137581</v>
      </c>
      <c r="D4" s="3">
        <v>5022079</v>
      </c>
      <c r="E4" s="3">
        <v>37119573</v>
      </c>
      <c r="F4" s="3">
        <v>30384836</v>
      </c>
    </row>
    <row r="5" spans="1:6" x14ac:dyDescent="0.3">
      <c r="A5" s="2" t="s">
        <v>33</v>
      </c>
      <c r="B5" s="3">
        <f t="shared" si="0"/>
        <v>-26586536</v>
      </c>
      <c r="C5" s="3">
        <v>1970750</v>
      </c>
      <c r="D5" s="3">
        <v>1211430</v>
      </c>
      <c r="E5" s="3">
        <v>28557286</v>
      </c>
      <c r="F5" s="3">
        <v>23458434</v>
      </c>
    </row>
    <row r="6" spans="1:6" x14ac:dyDescent="0.3">
      <c r="A6" s="2" t="s">
        <v>8</v>
      </c>
      <c r="B6" s="3">
        <f t="shared" si="0"/>
        <v>-25536681</v>
      </c>
      <c r="C6" s="3">
        <v>879298</v>
      </c>
      <c r="D6" s="3">
        <v>419531</v>
      </c>
      <c r="E6" s="3">
        <v>26415979</v>
      </c>
      <c r="F6" s="3">
        <v>21209018</v>
      </c>
    </row>
    <row r="7" spans="1:6" x14ac:dyDescent="0.3">
      <c r="A7" s="2" t="s">
        <v>9</v>
      </c>
      <c r="B7" s="3">
        <f t="shared" si="0"/>
        <v>-40480380</v>
      </c>
      <c r="C7" s="3">
        <v>314913</v>
      </c>
      <c r="D7" s="3">
        <v>33382</v>
      </c>
      <c r="E7" s="3">
        <v>40795293</v>
      </c>
      <c r="F7" s="3">
        <v>32520693</v>
      </c>
    </row>
    <row r="8" spans="1:6" x14ac:dyDescent="0.3">
      <c r="A8" s="2" t="s">
        <v>10</v>
      </c>
      <c r="B8" s="3">
        <f t="shared" si="0"/>
        <v>-51868730</v>
      </c>
      <c r="C8" s="3">
        <v>1899935</v>
      </c>
      <c r="D8" s="3">
        <v>1019894</v>
      </c>
      <c r="E8" s="3">
        <v>53768665</v>
      </c>
      <c r="F8" s="3">
        <v>43002937</v>
      </c>
    </row>
    <row r="9" spans="1:6" x14ac:dyDescent="0.3">
      <c r="A9" s="2" t="s">
        <v>11</v>
      </c>
      <c r="B9" s="3">
        <f t="shared" si="0"/>
        <v>-17783599</v>
      </c>
      <c r="C9" s="3">
        <v>2788975</v>
      </c>
      <c r="D9" s="3">
        <v>1522852</v>
      </c>
      <c r="E9" s="3">
        <v>20572574</v>
      </c>
      <c r="F9" s="3">
        <v>16285986</v>
      </c>
    </row>
    <row r="10" spans="1:6" x14ac:dyDescent="0.3">
      <c r="A10" s="2" t="s">
        <v>12</v>
      </c>
      <c r="B10" s="3">
        <f t="shared" si="0"/>
        <v>-22451661</v>
      </c>
      <c r="C10" s="3">
        <v>887526</v>
      </c>
      <c r="D10" s="3">
        <v>217286</v>
      </c>
      <c r="E10" s="3">
        <v>23339187</v>
      </c>
      <c r="F10" s="3">
        <v>18390658</v>
      </c>
    </row>
    <row r="11" spans="1:6" x14ac:dyDescent="0.3">
      <c r="A11" s="2" t="s">
        <v>13</v>
      </c>
      <c r="B11" s="3">
        <f t="shared" si="0"/>
        <v>-28457865</v>
      </c>
      <c r="C11" s="3">
        <v>669522</v>
      </c>
      <c r="D11" s="3">
        <v>38736</v>
      </c>
      <c r="E11" s="3">
        <v>29127387</v>
      </c>
      <c r="F11" s="3">
        <v>23211663</v>
      </c>
    </row>
    <row r="12" spans="1:6" x14ac:dyDescent="0.3">
      <c r="A12" s="2" t="s">
        <v>14</v>
      </c>
      <c r="B12" s="3">
        <f t="shared" si="0"/>
        <v>-28218481</v>
      </c>
      <c r="C12" s="3">
        <v>2066579</v>
      </c>
      <c r="D12" s="3">
        <v>1015650</v>
      </c>
      <c r="E12" s="3">
        <v>30285060</v>
      </c>
      <c r="F12" s="3">
        <v>24566575</v>
      </c>
    </row>
    <row r="13" spans="1:6" x14ac:dyDescent="0.3">
      <c r="A13" s="2" t="s">
        <v>15</v>
      </c>
      <c r="B13" s="3">
        <f t="shared" si="0"/>
        <v>-36184617</v>
      </c>
      <c r="C13" s="3">
        <v>1762366</v>
      </c>
      <c r="D13" s="3">
        <v>1006862</v>
      </c>
      <c r="E13" s="3">
        <v>37946983</v>
      </c>
      <c r="F13" s="3">
        <v>30654558</v>
      </c>
    </row>
    <row r="14" spans="1:6" x14ac:dyDescent="0.3">
      <c r="A14" s="2" t="s">
        <v>16</v>
      </c>
      <c r="B14" s="3">
        <f t="shared" si="0"/>
        <v>-46067952</v>
      </c>
      <c r="C14" s="3">
        <v>604965</v>
      </c>
      <c r="D14" s="3">
        <v>263484</v>
      </c>
      <c r="E14" s="3">
        <v>46672917</v>
      </c>
      <c r="F14" s="3">
        <v>37196898</v>
      </c>
    </row>
    <row r="15" spans="1:6" ht="17.25" thickBot="1" x14ac:dyDescent="0.35">
      <c r="A15" s="4" t="s">
        <v>34</v>
      </c>
      <c r="B15" s="5">
        <f>SUM(B3:B14)</f>
        <v>-388502810</v>
      </c>
      <c r="C15" s="5">
        <f t="shared" ref="C15:F15" si="1">SUM(C3:C14)</f>
        <v>22673724</v>
      </c>
      <c r="D15" s="5">
        <f t="shared" si="1"/>
        <v>12787262</v>
      </c>
      <c r="E15" s="5">
        <f t="shared" si="1"/>
        <v>411176534</v>
      </c>
      <c r="F15" s="5">
        <f t="shared" si="1"/>
        <v>330585405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-19764862</v>
      </c>
      <c r="C3" s="3">
        <v>1462029</v>
      </c>
      <c r="D3" s="3">
        <v>756139</v>
      </c>
      <c r="E3" s="3">
        <v>21226891</v>
      </c>
      <c r="F3" s="3">
        <v>18386091</v>
      </c>
    </row>
    <row r="4" spans="1:6" x14ac:dyDescent="0.3">
      <c r="A4" s="2" t="s">
        <v>24</v>
      </c>
      <c r="B4" s="3">
        <f t="shared" si="0"/>
        <v>-25112802</v>
      </c>
      <c r="C4" s="3">
        <v>647988</v>
      </c>
      <c r="D4" s="3">
        <v>333038</v>
      </c>
      <c r="E4" s="3">
        <v>25760790</v>
      </c>
      <c r="F4" s="3">
        <v>22029425</v>
      </c>
    </row>
    <row r="5" spans="1:6" x14ac:dyDescent="0.3">
      <c r="A5" s="2" t="s">
        <v>25</v>
      </c>
      <c r="B5" s="3">
        <f t="shared" si="0"/>
        <v>-24020140</v>
      </c>
      <c r="C5" s="3">
        <v>900292</v>
      </c>
      <c r="D5" s="3">
        <v>232632</v>
      </c>
      <c r="E5" s="3">
        <v>24920432</v>
      </c>
      <c r="F5" s="3">
        <v>21092763</v>
      </c>
    </row>
    <row r="6" spans="1:6" x14ac:dyDescent="0.3">
      <c r="A6" s="2" t="s">
        <v>8</v>
      </c>
      <c r="B6" s="3">
        <f t="shared" si="0"/>
        <v>-27825773</v>
      </c>
      <c r="C6" s="3">
        <v>751356</v>
      </c>
      <c r="D6" s="3">
        <v>346354</v>
      </c>
      <c r="E6" s="3">
        <v>28577129</v>
      </c>
      <c r="F6" s="3">
        <v>24134431</v>
      </c>
    </row>
    <row r="7" spans="1:6" x14ac:dyDescent="0.3">
      <c r="A7" s="2" t="s">
        <v>9</v>
      </c>
      <c r="B7" s="3">
        <f t="shared" si="0"/>
        <v>-33614894</v>
      </c>
      <c r="C7" s="3">
        <v>130178</v>
      </c>
      <c r="D7" s="3">
        <v>39843</v>
      </c>
      <c r="E7" s="3">
        <v>33745072</v>
      </c>
      <c r="F7" s="3">
        <v>28602127</v>
      </c>
    </row>
    <row r="8" spans="1:6" x14ac:dyDescent="0.3">
      <c r="A8" s="2" t="s">
        <v>10</v>
      </c>
      <c r="B8" s="3">
        <f t="shared" si="0"/>
        <v>-40139684</v>
      </c>
      <c r="C8" s="3">
        <v>306437</v>
      </c>
      <c r="D8" s="3">
        <v>209214</v>
      </c>
      <c r="E8" s="3">
        <v>40446121</v>
      </c>
      <c r="F8" s="3">
        <v>36026354</v>
      </c>
    </row>
    <row r="9" spans="1:6" x14ac:dyDescent="0.3">
      <c r="A9" s="2" t="s">
        <v>11</v>
      </c>
      <c r="B9" s="3">
        <f t="shared" si="0"/>
        <v>-8280089</v>
      </c>
      <c r="C9" s="3">
        <v>431360</v>
      </c>
      <c r="D9" s="3">
        <v>313848</v>
      </c>
      <c r="E9" s="3">
        <v>8711449</v>
      </c>
      <c r="F9" s="3">
        <v>7618046</v>
      </c>
    </row>
    <row r="10" spans="1:6" x14ac:dyDescent="0.3">
      <c r="A10" s="2" t="s">
        <v>12</v>
      </c>
      <c r="B10" s="3">
        <f t="shared" si="0"/>
        <v>-26985256</v>
      </c>
      <c r="C10" s="3">
        <v>38162</v>
      </c>
      <c r="D10" s="3">
        <v>14358</v>
      </c>
      <c r="E10" s="3">
        <v>27023418</v>
      </c>
      <c r="F10" s="3">
        <v>24955147</v>
      </c>
    </row>
    <row r="11" spans="1:6" x14ac:dyDescent="0.3">
      <c r="A11" s="2" t="s">
        <v>13</v>
      </c>
      <c r="B11" s="3">
        <f t="shared" si="0"/>
        <v>-22538247</v>
      </c>
      <c r="C11" s="3">
        <v>162303</v>
      </c>
      <c r="D11" s="3">
        <v>66472</v>
      </c>
      <c r="E11" s="3">
        <v>22700550</v>
      </c>
      <c r="F11" s="3">
        <v>21574047</v>
      </c>
    </row>
    <row r="12" spans="1:6" x14ac:dyDescent="0.3">
      <c r="A12" s="2" t="s">
        <v>14</v>
      </c>
      <c r="B12" s="3">
        <f t="shared" si="0"/>
        <v>-17775473</v>
      </c>
      <c r="C12" s="3">
        <v>30202</v>
      </c>
      <c r="D12" s="3">
        <v>8620</v>
      </c>
      <c r="E12" s="3">
        <v>17805675</v>
      </c>
      <c r="F12" s="3">
        <v>17257575</v>
      </c>
    </row>
    <row r="13" spans="1:6" x14ac:dyDescent="0.3">
      <c r="A13" s="2" t="s">
        <v>15</v>
      </c>
      <c r="B13" s="3">
        <f t="shared" si="0"/>
        <v>-24451662</v>
      </c>
      <c r="C13" s="3">
        <v>507778</v>
      </c>
      <c r="D13" s="3">
        <v>355791</v>
      </c>
      <c r="E13" s="3">
        <v>24959440</v>
      </c>
      <c r="F13" s="3">
        <v>26158790</v>
      </c>
    </row>
    <row r="14" spans="1:6" x14ac:dyDescent="0.3">
      <c r="A14" s="2" t="s">
        <v>16</v>
      </c>
      <c r="B14" s="3">
        <f t="shared" si="0"/>
        <v>-23590564</v>
      </c>
      <c r="C14" s="3">
        <v>62546</v>
      </c>
      <c r="D14" s="3">
        <v>22764</v>
      </c>
      <c r="E14" s="3">
        <v>23653110</v>
      </c>
      <c r="F14" s="3">
        <v>25049419</v>
      </c>
    </row>
    <row r="15" spans="1:6" ht="17.25" thickBot="1" x14ac:dyDescent="0.35">
      <c r="A15" s="4" t="s">
        <v>26</v>
      </c>
      <c r="B15" s="5">
        <f>SUM(B3:B14)</f>
        <v>-294099446</v>
      </c>
      <c r="C15" s="5">
        <f t="shared" ref="C15:F15" si="1">SUM(C3:C14)</f>
        <v>5430631</v>
      </c>
      <c r="D15" s="5">
        <f t="shared" si="1"/>
        <v>2699073</v>
      </c>
      <c r="E15" s="5">
        <f t="shared" si="1"/>
        <v>299530077</v>
      </c>
      <c r="F15" s="5">
        <f t="shared" si="1"/>
        <v>272884215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35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37</v>
      </c>
      <c r="B3" s="3">
        <f t="shared" ref="B3:B14" si="0">C3-E3</f>
        <v>-26887903</v>
      </c>
      <c r="C3" s="3">
        <v>179905</v>
      </c>
      <c r="D3" s="3">
        <v>63341</v>
      </c>
      <c r="E3" s="3">
        <v>27067808</v>
      </c>
      <c r="F3" s="3">
        <v>27810241</v>
      </c>
    </row>
    <row r="4" spans="1:6" x14ac:dyDescent="0.3">
      <c r="A4" s="2" t="s">
        <v>38</v>
      </c>
      <c r="B4" s="3">
        <f t="shared" si="0"/>
        <v>-17906898</v>
      </c>
      <c r="C4" s="3">
        <v>47858</v>
      </c>
      <c r="D4" s="3">
        <v>12238</v>
      </c>
      <c r="E4" s="3">
        <v>17954756</v>
      </c>
      <c r="F4" s="3">
        <v>18818032</v>
      </c>
    </row>
    <row r="5" spans="1:6" x14ac:dyDescent="0.3">
      <c r="A5" s="2" t="s">
        <v>33</v>
      </c>
      <c r="B5" s="3">
        <f t="shared" si="0"/>
        <v>-24375285</v>
      </c>
      <c r="C5" s="3">
        <v>739688</v>
      </c>
      <c r="D5" s="3">
        <v>582943</v>
      </c>
      <c r="E5" s="3">
        <v>25114973</v>
      </c>
      <c r="F5" s="3">
        <v>24971724</v>
      </c>
    </row>
    <row r="6" spans="1:6" x14ac:dyDescent="0.3">
      <c r="A6" s="2" t="s">
        <v>8</v>
      </c>
      <c r="B6" s="3">
        <f t="shared" si="0"/>
        <v>-21947672</v>
      </c>
      <c r="C6" s="3">
        <v>32060</v>
      </c>
      <c r="D6" s="3">
        <v>18592</v>
      </c>
      <c r="E6" s="3">
        <v>21979732</v>
      </c>
      <c r="F6" s="3">
        <v>21897007</v>
      </c>
    </row>
    <row r="7" spans="1:6" x14ac:dyDescent="0.3">
      <c r="A7" s="2" t="s">
        <v>9</v>
      </c>
      <c r="B7" s="3">
        <f t="shared" si="0"/>
        <v>-17888292</v>
      </c>
      <c r="C7" s="3">
        <v>456968</v>
      </c>
      <c r="D7" s="3">
        <v>354957</v>
      </c>
      <c r="E7" s="3">
        <v>18345260</v>
      </c>
      <c r="F7" s="3">
        <v>18213343</v>
      </c>
    </row>
    <row r="8" spans="1:6" x14ac:dyDescent="0.3">
      <c r="A8" s="2" t="s">
        <v>10</v>
      </c>
      <c r="B8" s="3">
        <f t="shared" si="0"/>
        <v>-19541008</v>
      </c>
      <c r="C8" s="3">
        <v>60251</v>
      </c>
      <c r="D8" s="3">
        <v>22667</v>
      </c>
      <c r="E8" s="3">
        <v>19601259</v>
      </c>
      <c r="F8" s="3">
        <v>19925826</v>
      </c>
    </row>
    <row r="9" spans="1:6" x14ac:dyDescent="0.3">
      <c r="A9" s="2" t="s">
        <v>11</v>
      </c>
      <c r="B9" s="3">
        <f t="shared" si="0"/>
        <v>-21766886</v>
      </c>
      <c r="C9" s="3">
        <v>49516</v>
      </c>
      <c r="D9" s="3">
        <v>18010</v>
      </c>
      <c r="E9" s="3">
        <v>21816402</v>
      </c>
      <c r="F9" s="3">
        <v>22692418</v>
      </c>
    </row>
    <row r="10" spans="1:6" x14ac:dyDescent="0.3">
      <c r="A10" s="2" t="s">
        <v>12</v>
      </c>
      <c r="B10" s="3">
        <f t="shared" si="0"/>
        <v>-13223432</v>
      </c>
      <c r="C10" s="3">
        <v>120573</v>
      </c>
      <c r="D10" s="3">
        <v>67689</v>
      </c>
      <c r="E10" s="3">
        <v>13344005</v>
      </c>
      <c r="F10" s="3">
        <v>14479434</v>
      </c>
    </row>
    <row r="11" spans="1:6" x14ac:dyDescent="0.3">
      <c r="A11" s="2" t="s">
        <v>13</v>
      </c>
      <c r="B11" s="3">
        <f t="shared" si="0"/>
        <v>-23544519</v>
      </c>
      <c r="C11" s="3">
        <v>20833</v>
      </c>
      <c r="D11" s="3">
        <v>8723</v>
      </c>
      <c r="E11" s="3">
        <v>23565352</v>
      </c>
      <c r="F11" s="3">
        <v>25447755</v>
      </c>
    </row>
    <row r="12" spans="1:6" x14ac:dyDescent="0.3">
      <c r="A12" s="2" t="s">
        <v>14</v>
      </c>
      <c r="B12" s="3">
        <f t="shared" si="0"/>
        <v>-23634091</v>
      </c>
      <c r="C12" s="3">
        <v>38986</v>
      </c>
      <c r="D12" s="3">
        <v>10806</v>
      </c>
      <c r="E12" s="3">
        <v>23673077</v>
      </c>
      <c r="F12" s="3">
        <v>25544373</v>
      </c>
    </row>
    <row r="13" spans="1:6" x14ac:dyDescent="0.3">
      <c r="A13" s="2" t="s">
        <v>15</v>
      </c>
      <c r="B13" s="3">
        <f t="shared" si="0"/>
        <v>-13649223</v>
      </c>
      <c r="C13" s="3">
        <v>61875</v>
      </c>
      <c r="D13" s="3">
        <v>21349</v>
      </c>
      <c r="E13" s="3">
        <v>13711098</v>
      </c>
      <c r="F13" s="3">
        <v>15131198</v>
      </c>
    </row>
    <row r="14" spans="1:6" x14ac:dyDescent="0.3">
      <c r="A14" s="2" t="s">
        <v>16</v>
      </c>
      <c r="B14" s="3">
        <f t="shared" si="0"/>
        <v>-18902122</v>
      </c>
      <c r="C14" s="3">
        <v>83507</v>
      </c>
      <c r="D14" s="3">
        <v>16355</v>
      </c>
      <c r="E14" s="3">
        <v>18985629</v>
      </c>
      <c r="F14" s="3">
        <v>21169021</v>
      </c>
    </row>
    <row r="15" spans="1:6" ht="17.25" thickBot="1" x14ac:dyDescent="0.35">
      <c r="A15" s="4" t="s">
        <v>40</v>
      </c>
      <c r="B15" s="5">
        <f>SUM(B3:B14)</f>
        <v>-243267331</v>
      </c>
      <c r="C15" s="5">
        <f t="shared" ref="C15:F15" si="1">SUM(C3:C14)</f>
        <v>1892020</v>
      </c>
      <c r="D15" s="5">
        <f t="shared" si="1"/>
        <v>1197670</v>
      </c>
      <c r="E15" s="5">
        <f t="shared" si="1"/>
        <v>245159351</v>
      </c>
      <c r="F15" s="5">
        <f t="shared" si="1"/>
        <v>256100372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8" si="0">C3-E3</f>
        <v>-23205197</v>
      </c>
      <c r="C3" s="3">
        <v>44454</v>
      </c>
      <c r="D3" s="3">
        <v>12124</v>
      </c>
      <c r="E3" s="3">
        <v>23249651</v>
      </c>
      <c r="F3" s="3">
        <v>26307211</v>
      </c>
    </row>
    <row r="4" spans="1:6" x14ac:dyDescent="0.3">
      <c r="A4" s="2" t="s">
        <v>6</v>
      </c>
      <c r="B4" s="3">
        <f t="shared" si="0"/>
        <v>-14115133</v>
      </c>
      <c r="C4" s="3">
        <v>63631</v>
      </c>
      <c r="D4" s="3">
        <v>13891</v>
      </c>
      <c r="E4" s="3">
        <v>14178764</v>
      </c>
      <c r="F4" s="3">
        <v>16672696</v>
      </c>
    </row>
    <row r="5" spans="1:6" x14ac:dyDescent="0.3">
      <c r="A5" s="2" t="s">
        <v>7</v>
      </c>
      <c r="B5" s="3">
        <f t="shared" si="0"/>
        <v>-22121241</v>
      </c>
      <c r="C5" s="3">
        <v>32755</v>
      </c>
      <c r="D5" s="3">
        <v>16208</v>
      </c>
      <c r="E5" s="3">
        <v>22153996</v>
      </c>
      <c r="F5" s="3">
        <v>25466641</v>
      </c>
    </row>
    <row r="6" spans="1:6" x14ac:dyDescent="0.3">
      <c r="A6" s="2" t="s">
        <v>8</v>
      </c>
      <c r="B6" s="3">
        <f t="shared" si="0"/>
        <v>-19984936</v>
      </c>
      <c r="C6" s="3">
        <v>54119</v>
      </c>
      <c r="D6" s="3">
        <v>25163</v>
      </c>
      <c r="E6" s="3">
        <v>20039055</v>
      </c>
      <c r="F6" s="3">
        <v>23393596</v>
      </c>
    </row>
    <row r="7" spans="1:6" x14ac:dyDescent="0.3">
      <c r="A7" s="2" t="s">
        <v>9</v>
      </c>
      <c r="B7" s="3">
        <f t="shared" si="0"/>
        <v>-20332398</v>
      </c>
      <c r="C7" s="3">
        <v>24828</v>
      </c>
      <c r="D7" s="3">
        <v>12293</v>
      </c>
      <c r="E7" s="3">
        <v>20357226</v>
      </c>
      <c r="F7" s="3">
        <v>24687949</v>
      </c>
    </row>
    <row r="8" spans="1:6" x14ac:dyDescent="0.3">
      <c r="A8" s="2" t="s">
        <v>10</v>
      </c>
      <c r="B8" s="3">
        <f t="shared" si="0"/>
        <v>-15433882</v>
      </c>
      <c r="C8" s="3">
        <v>11489</v>
      </c>
      <c r="D8" s="3">
        <v>5918</v>
      </c>
      <c r="E8" s="3">
        <v>15445371</v>
      </c>
      <c r="F8" s="3">
        <v>19935757</v>
      </c>
    </row>
    <row r="9" spans="1:6" x14ac:dyDescent="0.3">
      <c r="A9" s="2" t="s">
        <v>11</v>
      </c>
      <c r="B9" s="3">
        <f>C9-E9</f>
        <v>-11863811</v>
      </c>
      <c r="C9" s="3">
        <v>37816</v>
      </c>
      <c r="D9" s="3">
        <v>21271</v>
      </c>
      <c r="E9" s="3">
        <v>11901627</v>
      </c>
      <c r="F9" s="3">
        <v>15537541</v>
      </c>
    </row>
    <row r="10" spans="1:6" x14ac:dyDescent="0.3">
      <c r="A10" s="2" t="s">
        <v>12</v>
      </c>
      <c r="B10" s="3">
        <f t="shared" ref="B10:B14" si="1">C10-E10</f>
        <v>-12173444</v>
      </c>
      <c r="C10" s="3">
        <v>4606</v>
      </c>
      <c r="D10" s="3">
        <v>2238</v>
      </c>
      <c r="E10" s="3">
        <v>12178050</v>
      </c>
      <c r="F10" s="3">
        <v>16000000</v>
      </c>
    </row>
    <row r="11" spans="1:6" x14ac:dyDescent="0.3">
      <c r="A11" s="2" t="s">
        <v>13</v>
      </c>
      <c r="B11" s="3">
        <f t="shared" si="1"/>
        <v>-15253658</v>
      </c>
      <c r="C11" s="3">
        <v>5988</v>
      </c>
      <c r="D11" s="3">
        <v>2472</v>
      </c>
      <c r="E11" s="3">
        <v>15259646</v>
      </c>
      <c r="F11" s="3">
        <v>19823005</v>
      </c>
    </row>
    <row r="12" spans="1:6" x14ac:dyDescent="0.3">
      <c r="A12" s="2" t="s">
        <v>14</v>
      </c>
      <c r="B12" s="3">
        <f t="shared" si="1"/>
        <v>-15654907</v>
      </c>
      <c r="C12" s="3">
        <v>244</v>
      </c>
      <c r="D12" s="3">
        <v>60</v>
      </c>
      <c r="E12" s="3">
        <v>15655151</v>
      </c>
      <c r="F12" s="3">
        <v>20714800</v>
      </c>
    </row>
    <row r="13" spans="1:6" x14ac:dyDescent="0.3">
      <c r="A13" s="2" t="s">
        <v>15</v>
      </c>
      <c r="B13" s="3">
        <f t="shared" si="1"/>
        <v>-9937309</v>
      </c>
      <c r="C13" s="3">
        <v>1498</v>
      </c>
      <c r="D13" s="3">
        <v>1130</v>
      </c>
      <c r="E13" s="3">
        <v>9938807</v>
      </c>
      <c r="F13" s="3">
        <v>13529996</v>
      </c>
    </row>
    <row r="14" spans="1:6" x14ac:dyDescent="0.3">
      <c r="A14" s="2" t="s">
        <v>16</v>
      </c>
      <c r="B14" s="3">
        <f t="shared" si="1"/>
        <v>-16596092</v>
      </c>
      <c r="C14" s="3">
        <v>3187</v>
      </c>
      <c r="D14" s="3">
        <v>769</v>
      </c>
      <c r="E14" s="3">
        <v>16599279</v>
      </c>
      <c r="F14" s="3">
        <v>22965656</v>
      </c>
    </row>
    <row r="15" spans="1:6" ht="17.25" thickBot="1" x14ac:dyDescent="0.35">
      <c r="A15" s="4" t="s">
        <v>17</v>
      </c>
      <c r="B15" s="5">
        <f>SUM(B3:B14)</f>
        <v>-196672008</v>
      </c>
      <c r="C15" s="5">
        <f t="shared" ref="C15:F15" si="2">SUM(C3:C14)</f>
        <v>284615</v>
      </c>
      <c r="D15" s="5">
        <f t="shared" si="2"/>
        <v>113537</v>
      </c>
      <c r="E15" s="5">
        <f t="shared" si="2"/>
        <v>196956623</v>
      </c>
      <c r="F15" s="5">
        <f t="shared" si="2"/>
        <v>245034848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-16268940</v>
      </c>
      <c r="C3" s="3">
        <v>14736</v>
      </c>
      <c r="D3" s="3">
        <v>2106</v>
      </c>
      <c r="E3" s="3">
        <v>16283676</v>
      </c>
      <c r="F3" s="3">
        <v>21652703</v>
      </c>
    </row>
    <row r="4" spans="1:6" x14ac:dyDescent="0.3">
      <c r="A4" s="2" t="s">
        <v>24</v>
      </c>
      <c r="B4" s="3">
        <f t="shared" ref="B4:B14" si="0">C4-E4</f>
        <v>-14213033</v>
      </c>
      <c r="C4" s="3">
        <v>5337</v>
      </c>
      <c r="D4" s="3">
        <v>2791</v>
      </c>
      <c r="E4" s="3">
        <v>14218370</v>
      </c>
      <c r="F4" s="3">
        <v>19105625</v>
      </c>
    </row>
    <row r="5" spans="1:6" x14ac:dyDescent="0.3">
      <c r="A5" s="2" t="s">
        <v>25</v>
      </c>
      <c r="B5" s="3">
        <f t="shared" si="0"/>
        <v>-13940006</v>
      </c>
      <c r="C5" s="3">
        <v>731</v>
      </c>
      <c r="D5" s="3">
        <v>180</v>
      </c>
      <c r="E5" s="3">
        <v>13940737</v>
      </c>
      <c r="F5" s="3">
        <v>18571491</v>
      </c>
    </row>
    <row r="6" spans="1:6" x14ac:dyDescent="0.3">
      <c r="A6" s="2" t="s">
        <v>8</v>
      </c>
      <c r="B6" s="3">
        <f t="shared" si="0"/>
        <v>-12775114</v>
      </c>
      <c r="C6" s="3">
        <v>1977</v>
      </c>
      <c r="D6" s="3">
        <v>504</v>
      </c>
      <c r="E6" s="3">
        <v>12777091</v>
      </c>
      <c r="F6" s="3">
        <v>17118586</v>
      </c>
    </row>
    <row r="7" spans="1:6" x14ac:dyDescent="0.3">
      <c r="A7" s="2" t="s">
        <v>9</v>
      </c>
      <c r="B7" s="3">
        <f t="shared" si="0"/>
        <v>-15971156</v>
      </c>
      <c r="C7" s="3">
        <v>2352</v>
      </c>
      <c r="D7" s="3">
        <v>634</v>
      </c>
      <c r="E7" s="3">
        <v>15973508</v>
      </c>
      <c r="F7" s="3">
        <v>21658930</v>
      </c>
    </row>
    <row r="8" spans="1:6" x14ac:dyDescent="0.3">
      <c r="A8" s="2" t="s">
        <v>10</v>
      </c>
      <c r="B8" s="3">
        <f t="shared" si="0"/>
        <v>-14722708</v>
      </c>
      <c r="C8" s="3">
        <v>435</v>
      </c>
      <c r="D8" s="3">
        <v>180</v>
      </c>
      <c r="E8" s="3">
        <v>14723143</v>
      </c>
      <c r="F8" s="3">
        <v>18947254</v>
      </c>
    </row>
    <row r="9" spans="1:6" x14ac:dyDescent="0.3">
      <c r="A9" s="2" t="s">
        <v>11</v>
      </c>
      <c r="B9" s="3">
        <f t="shared" si="0"/>
        <v>-15961197</v>
      </c>
      <c r="C9" s="3">
        <v>1681</v>
      </c>
      <c r="D9" s="3">
        <v>480</v>
      </c>
      <c r="E9" s="3">
        <v>15962878</v>
      </c>
      <c r="F9" s="3">
        <v>20434967</v>
      </c>
    </row>
    <row r="10" spans="1:6" x14ac:dyDescent="0.3">
      <c r="A10" s="2" t="s">
        <v>12</v>
      </c>
      <c r="B10" s="3">
        <f t="shared" si="0"/>
        <v>-20570584</v>
      </c>
      <c r="C10" s="3">
        <v>7941</v>
      </c>
      <c r="D10" s="3">
        <v>1996</v>
      </c>
      <c r="E10" s="3">
        <v>20578525</v>
      </c>
      <c r="F10" s="3">
        <v>26422007</v>
      </c>
    </row>
    <row r="11" spans="1:6" x14ac:dyDescent="0.3">
      <c r="A11" s="2" t="s">
        <v>13</v>
      </c>
      <c r="B11" s="3">
        <f t="shared" si="0"/>
        <v>-19501123</v>
      </c>
      <c r="C11" s="3">
        <v>11103</v>
      </c>
      <c r="D11" s="3">
        <v>8926</v>
      </c>
      <c r="E11" s="3">
        <v>19512226</v>
      </c>
      <c r="F11" s="3">
        <v>25161167</v>
      </c>
    </row>
    <row r="12" spans="1:6" x14ac:dyDescent="0.3">
      <c r="A12" s="2" t="s">
        <v>14</v>
      </c>
      <c r="B12" s="3">
        <f t="shared" si="0"/>
        <v>-14251110</v>
      </c>
      <c r="C12" s="3">
        <v>1802</v>
      </c>
      <c r="D12" s="3">
        <v>811</v>
      </c>
      <c r="E12" s="3">
        <v>14252912</v>
      </c>
      <c r="F12" s="3">
        <v>18381327</v>
      </c>
    </row>
    <row r="13" spans="1:6" x14ac:dyDescent="0.3">
      <c r="A13" s="2" t="s">
        <v>15</v>
      </c>
      <c r="B13" s="3">
        <f t="shared" si="0"/>
        <v>-13277154</v>
      </c>
      <c r="C13" s="3">
        <v>5267</v>
      </c>
      <c r="D13" s="3">
        <v>1475</v>
      </c>
      <c r="E13" s="3">
        <v>13282421</v>
      </c>
      <c r="F13" s="3">
        <v>16969701</v>
      </c>
    </row>
    <row r="14" spans="1:6" x14ac:dyDescent="0.3">
      <c r="A14" s="2" t="s">
        <v>16</v>
      </c>
      <c r="B14" s="3">
        <f t="shared" si="0"/>
        <v>-11068227</v>
      </c>
      <c r="C14" s="3">
        <v>7253</v>
      </c>
      <c r="D14" s="3">
        <v>2230</v>
      </c>
      <c r="E14" s="3">
        <v>11075480</v>
      </c>
      <c r="F14" s="3">
        <v>13537574</v>
      </c>
    </row>
    <row r="15" spans="1:6" ht="17.25" thickBot="1" x14ac:dyDescent="0.35">
      <c r="A15" s="4" t="s">
        <v>26</v>
      </c>
      <c r="B15" s="5">
        <f>SUM(B3:B14)</f>
        <v>-182520352</v>
      </c>
      <c r="C15" s="5">
        <f t="shared" ref="C15:F15" si="1">SUM(C3:C14)</f>
        <v>60615</v>
      </c>
      <c r="D15" s="5">
        <f t="shared" si="1"/>
        <v>22313</v>
      </c>
      <c r="E15" s="5">
        <f t="shared" si="1"/>
        <v>182580967</v>
      </c>
      <c r="F15" s="5">
        <f t="shared" si="1"/>
        <v>237961332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8" si="0">C3-E3</f>
        <v>-28899143</v>
      </c>
      <c r="C3" s="3">
        <v>1552742</v>
      </c>
      <c r="D3" s="3">
        <v>1892396</v>
      </c>
      <c r="E3" s="3">
        <v>30451885</v>
      </c>
      <c r="F3" s="3">
        <v>35855363</v>
      </c>
    </row>
    <row r="4" spans="1:6" x14ac:dyDescent="0.3">
      <c r="A4" s="2" t="s">
        <v>6</v>
      </c>
      <c r="B4" s="3">
        <f t="shared" si="0"/>
        <v>-22316408</v>
      </c>
      <c r="C4" s="3">
        <v>3122</v>
      </c>
      <c r="D4" s="3">
        <v>315</v>
      </c>
      <c r="E4" s="3">
        <v>22319530</v>
      </c>
      <c r="F4" s="3">
        <v>25963965</v>
      </c>
    </row>
    <row r="5" spans="1:6" x14ac:dyDescent="0.3">
      <c r="A5" s="2" t="s">
        <v>7</v>
      </c>
      <c r="B5" s="3">
        <f t="shared" si="0"/>
        <v>-28815699</v>
      </c>
      <c r="C5" s="3">
        <v>8491</v>
      </c>
      <c r="D5" s="3">
        <v>5197</v>
      </c>
      <c r="E5" s="3">
        <v>28824190</v>
      </c>
      <c r="F5" s="3">
        <v>32219588</v>
      </c>
    </row>
    <row r="6" spans="1:6" x14ac:dyDescent="0.3">
      <c r="A6" s="2" t="s">
        <v>8</v>
      </c>
      <c r="B6" s="3">
        <f t="shared" si="0"/>
        <v>-14123398</v>
      </c>
      <c r="C6" s="3">
        <v>2248</v>
      </c>
      <c r="D6" s="3">
        <v>1028</v>
      </c>
      <c r="E6" s="3">
        <v>14125646</v>
      </c>
      <c r="F6" s="3">
        <v>16198407</v>
      </c>
    </row>
    <row r="7" spans="1:6" x14ac:dyDescent="0.3">
      <c r="A7" s="2" t="s">
        <v>9</v>
      </c>
      <c r="B7" s="3">
        <f t="shared" si="0"/>
        <v>-29893830</v>
      </c>
      <c r="C7" s="3">
        <v>7866</v>
      </c>
      <c r="D7" s="3">
        <v>2449</v>
      </c>
      <c r="E7" s="3">
        <v>29901696</v>
      </c>
      <c r="F7" s="3">
        <v>34452254</v>
      </c>
    </row>
    <row r="8" spans="1:6" x14ac:dyDescent="0.3">
      <c r="A8" s="2" t="s">
        <v>10</v>
      </c>
      <c r="B8" s="3">
        <f t="shared" si="0"/>
        <v>-20060559</v>
      </c>
      <c r="C8" s="3">
        <v>1054</v>
      </c>
      <c r="D8" s="3">
        <v>619</v>
      </c>
      <c r="E8" s="3">
        <v>20061613</v>
      </c>
      <c r="F8" s="3">
        <v>24192501</v>
      </c>
    </row>
    <row r="9" spans="1:6" x14ac:dyDescent="0.3">
      <c r="A9" s="2" t="s">
        <v>11</v>
      </c>
      <c r="B9" s="3">
        <f>C9-E9</f>
        <v>-22210487</v>
      </c>
      <c r="C9" s="3">
        <v>124</v>
      </c>
      <c r="D9" s="3">
        <v>42</v>
      </c>
      <c r="E9" s="3">
        <v>22210611</v>
      </c>
      <c r="F9" s="3">
        <v>26833357</v>
      </c>
    </row>
    <row r="10" spans="1:6" x14ac:dyDescent="0.3">
      <c r="A10" s="2" t="s">
        <v>12</v>
      </c>
      <c r="B10" s="3">
        <f t="shared" ref="B10:B14" si="1">C10-E10</f>
        <v>-19938451</v>
      </c>
      <c r="C10" s="3">
        <v>679</v>
      </c>
      <c r="D10" s="3">
        <v>256</v>
      </c>
      <c r="E10" s="3">
        <v>19939130</v>
      </c>
      <c r="F10" s="3">
        <v>23718992</v>
      </c>
    </row>
    <row r="11" spans="1:6" x14ac:dyDescent="0.3">
      <c r="A11" s="2" t="s">
        <v>13</v>
      </c>
      <c r="B11" s="3">
        <f t="shared" si="1"/>
        <v>-20216258</v>
      </c>
      <c r="C11" s="3">
        <v>47446</v>
      </c>
      <c r="D11" s="3">
        <v>38923</v>
      </c>
      <c r="E11" s="3">
        <v>20263704</v>
      </c>
      <c r="F11" s="3">
        <v>24371656</v>
      </c>
    </row>
    <row r="12" spans="1:6" x14ac:dyDescent="0.3">
      <c r="A12" s="2" t="s">
        <v>14</v>
      </c>
      <c r="B12" s="3">
        <f t="shared" si="1"/>
        <v>-11183530</v>
      </c>
      <c r="C12" s="3">
        <v>15134</v>
      </c>
      <c r="D12" s="3">
        <v>12320</v>
      </c>
      <c r="E12" s="3">
        <v>11198664</v>
      </c>
      <c r="F12" s="3">
        <v>13110698</v>
      </c>
    </row>
    <row r="13" spans="1:6" x14ac:dyDescent="0.3">
      <c r="A13" s="2" t="s">
        <v>15</v>
      </c>
      <c r="B13" s="3">
        <f t="shared" si="1"/>
        <v>-20257653</v>
      </c>
      <c r="C13" s="3">
        <v>1948</v>
      </c>
      <c r="D13" s="3">
        <v>914</v>
      </c>
      <c r="E13" s="3">
        <v>20259601</v>
      </c>
      <c r="F13" s="3">
        <v>23851414</v>
      </c>
    </row>
    <row r="14" spans="1:6" x14ac:dyDescent="0.3">
      <c r="A14" s="2" t="s">
        <v>16</v>
      </c>
      <c r="B14" s="3">
        <f t="shared" si="1"/>
        <v>-12133480</v>
      </c>
      <c r="C14" s="3">
        <v>35084</v>
      </c>
      <c r="D14" s="3">
        <v>23560</v>
      </c>
      <c r="E14" s="3">
        <v>12168564</v>
      </c>
      <c r="F14" s="3">
        <v>14114758</v>
      </c>
    </row>
    <row r="15" spans="1:6" ht="17.25" thickBot="1" x14ac:dyDescent="0.35">
      <c r="A15" s="4" t="s">
        <v>17</v>
      </c>
      <c r="B15" s="5">
        <f>SUM(B3:B14)</f>
        <v>-250048896</v>
      </c>
      <c r="C15" s="5">
        <f t="shared" ref="C15:F15" si="2">SUM(C3:C14)</f>
        <v>1675938</v>
      </c>
      <c r="D15" s="5">
        <f t="shared" si="2"/>
        <v>1978019</v>
      </c>
      <c r="E15" s="5">
        <f t="shared" si="2"/>
        <v>251724834</v>
      </c>
      <c r="F15" s="5">
        <f t="shared" si="2"/>
        <v>294882953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-22077062</v>
      </c>
      <c r="C3" s="3">
        <v>413</v>
      </c>
      <c r="D3" s="3">
        <v>100</v>
      </c>
      <c r="E3" s="3">
        <v>22077475</v>
      </c>
      <c r="F3" s="3">
        <v>25702322</v>
      </c>
    </row>
    <row r="4" spans="1:6" x14ac:dyDescent="0.3">
      <c r="A4" s="2" t="s">
        <v>24</v>
      </c>
      <c r="B4" s="3">
        <f t="shared" ref="B4:B14" si="0">C4-E4</f>
        <v>-13912603</v>
      </c>
      <c r="C4" s="3">
        <v>4479</v>
      </c>
      <c r="D4" s="3">
        <v>3842</v>
      </c>
      <c r="E4" s="3">
        <v>13917082</v>
      </c>
      <c r="F4" s="3">
        <v>16056166</v>
      </c>
    </row>
    <row r="5" spans="1:6" x14ac:dyDescent="0.3">
      <c r="A5" s="2" t="s">
        <v>25</v>
      </c>
      <c r="B5" s="3">
        <f t="shared" si="0"/>
        <v>-27496240</v>
      </c>
      <c r="C5" s="3">
        <v>794</v>
      </c>
      <c r="D5" s="3">
        <v>507</v>
      </c>
      <c r="E5" s="3">
        <v>27497034</v>
      </c>
      <c r="F5" s="3">
        <v>32148580</v>
      </c>
    </row>
    <row r="6" spans="1:6" x14ac:dyDescent="0.3">
      <c r="A6" s="2" t="s">
        <v>8</v>
      </c>
      <c r="B6" s="3">
        <f t="shared" si="0"/>
        <v>-17235809</v>
      </c>
      <c r="C6" s="3">
        <v>28842</v>
      </c>
      <c r="D6" s="3">
        <v>17900</v>
      </c>
      <c r="E6" s="3">
        <v>17264651</v>
      </c>
      <c r="F6" s="3">
        <v>20183352</v>
      </c>
    </row>
    <row r="7" spans="1:6" x14ac:dyDescent="0.3">
      <c r="A7" s="2" t="s">
        <v>9</v>
      </c>
      <c r="B7" s="3">
        <f t="shared" si="0"/>
        <v>-27436390</v>
      </c>
      <c r="C7" s="3">
        <v>764</v>
      </c>
      <c r="D7" s="3">
        <v>334</v>
      </c>
      <c r="E7" s="3">
        <v>27437154</v>
      </c>
      <c r="F7" s="3">
        <v>32800239</v>
      </c>
    </row>
    <row r="8" spans="1:6" x14ac:dyDescent="0.3">
      <c r="A8" s="2" t="s">
        <v>10</v>
      </c>
      <c r="B8" s="3">
        <f t="shared" si="0"/>
        <v>-17926306</v>
      </c>
      <c r="C8" s="3">
        <v>680</v>
      </c>
      <c r="D8" s="3">
        <v>360</v>
      </c>
      <c r="E8" s="3">
        <v>17926986</v>
      </c>
      <c r="F8" s="3">
        <v>21833242</v>
      </c>
    </row>
    <row r="9" spans="1:6" x14ac:dyDescent="0.3">
      <c r="A9" s="2" t="s">
        <v>11</v>
      </c>
      <c r="B9" s="3">
        <f t="shared" si="0"/>
        <v>-19854838</v>
      </c>
      <c r="C9" s="3">
        <v>0</v>
      </c>
      <c r="D9" s="3">
        <v>0</v>
      </c>
      <c r="E9" s="3">
        <v>19854838</v>
      </c>
      <c r="F9" s="3">
        <v>24249862</v>
      </c>
    </row>
    <row r="10" spans="1:6" x14ac:dyDescent="0.3">
      <c r="A10" s="2" t="s">
        <v>12</v>
      </c>
      <c r="B10" s="3">
        <f t="shared" si="0"/>
        <v>-16474321</v>
      </c>
      <c r="C10" s="3">
        <v>1352</v>
      </c>
      <c r="D10" s="3">
        <v>720</v>
      </c>
      <c r="E10" s="3">
        <v>16475673</v>
      </c>
      <c r="F10" s="3">
        <v>21173117</v>
      </c>
    </row>
    <row r="11" spans="1:6" x14ac:dyDescent="0.3">
      <c r="A11" s="2" t="s">
        <v>13</v>
      </c>
      <c r="B11" s="3">
        <f t="shared" si="0"/>
        <v>-14776406</v>
      </c>
      <c r="C11" s="3">
        <v>383</v>
      </c>
      <c r="D11" s="3">
        <v>32</v>
      </c>
      <c r="E11" s="3">
        <v>14776789</v>
      </c>
      <c r="F11" s="3">
        <v>19040521</v>
      </c>
    </row>
    <row r="12" spans="1:6" x14ac:dyDescent="0.3">
      <c r="A12" s="2" t="s">
        <v>14</v>
      </c>
      <c r="B12" s="3">
        <f t="shared" si="0"/>
        <v>-21011462</v>
      </c>
      <c r="C12" s="3">
        <v>0</v>
      </c>
      <c r="D12" s="3">
        <v>0</v>
      </c>
      <c r="E12" s="3">
        <v>21011462</v>
      </c>
      <c r="F12" s="3">
        <v>26729513</v>
      </c>
    </row>
    <row r="13" spans="1:6" x14ac:dyDescent="0.3">
      <c r="A13" s="2" t="s">
        <v>15</v>
      </c>
      <c r="B13" s="3">
        <f t="shared" si="0"/>
        <v>-16103295</v>
      </c>
      <c r="C13" s="3">
        <v>12350</v>
      </c>
      <c r="D13" s="3">
        <v>4646</v>
      </c>
      <c r="E13" s="3">
        <v>16115645</v>
      </c>
      <c r="F13" s="3">
        <v>21448134</v>
      </c>
    </row>
    <row r="14" spans="1:6" x14ac:dyDescent="0.3">
      <c r="A14" s="2" t="s">
        <v>16</v>
      </c>
      <c r="B14" s="3">
        <f t="shared" si="0"/>
        <v>-9715545</v>
      </c>
      <c r="C14" s="3">
        <v>1545</v>
      </c>
      <c r="D14" s="3">
        <v>408</v>
      </c>
      <c r="E14" s="3">
        <v>9717090</v>
      </c>
      <c r="F14" s="3">
        <v>14135800</v>
      </c>
    </row>
    <row r="15" spans="1:6" ht="17.25" thickBot="1" x14ac:dyDescent="0.35">
      <c r="A15" s="4" t="s">
        <v>26</v>
      </c>
      <c r="B15" s="5">
        <f>SUM(B3:B14)</f>
        <v>-224020277</v>
      </c>
      <c r="C15" s="5">
        <f t="shared" ref="C15:F15" si="1">SUM(C3:C14)</f>
        <v>51602</v>
      </c>
      <c r="D15" s="5">
        <f t="shared" si="1"/>
        <v>28849</v>
      </c>
      <c r="E15" s="5">
        <f t="shared" si="1"/>
        <v>224071879</v>
      </c>
      <c r="F15" s="5">
        <f t="shared" si="1"/>
        <v>275500848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-20137663</v>
      </c>
      <c r="C3" s="3">
        <v>10299</v>
      </c>
      <c r="D3" s="3">
        <v>5827</v>
      </c>
      <c r="E3" s="3">
        <v>20147962</v>
      </c>
      <c r="F3" s="3">
        <v>26829338</v>
      </c>
    </row>
    <row r="4" spans="1:6" x14ac:dyDescent="0.3">
      <c r="A4" s="2" t="s">
        <v>24</v>
      </c>
      <c r="B4" s="3">
        <f t="shared" si="0"/>
        <v>-13858514</v>
      </c>
      <c r="C4" s="3">
        <v>258</v>
      </c>
      <c r="D4" s="3">
        <v>156</v>
      </c>
      <c r="E4" s="3">
        <v>13858772</v>
      </c>
      <c r="F4" s="3">
        <v>18493880</v>
      </c>
    </row>
    <row r="5" spans="1:6" x14ac:dyDescent="0.3">
      <c r="A5" s="2" t="s">
        <v>33</v>
      </c>
      <c r="B5" s="3">
        <f t="shared" si="0"/>
        <v>-19333966</v>
      </c>
      <c r="C5" s="3">
        <v>453</v>
      </c>
      <c r="D5" s="3">
        <v>90</v>
      </c>
      <c r="E5" s="3">
        <v>19334419</v>
      </c>
      <c r="F5" s="3">
        <v>26210137</v>
      </c>
    </row>
    <row r="6" spans="1:6" x14ac:dyDescent="0.3">
      <c r="A6" s="2" t="s">
        <v>8</v>
      </c>
      <c r="B6" s="3">
        <f t="shared" si="0"/>
        <v>-26561391</v>
      </c>
      <c r="C6" s="3">
        <v>1363</v>
      </c>
      <c r="D6" s="3">
        <v>76</v>
      </c>
      <c r="E6" s="3">
        <v>26562754</v>
      </c>
      <c r="F6" s="3">
        <v>35480832</v>
      </c>
    </row>
    <row r="7" spans="1:6" x14ac:dyDescent="0.3">
      <c r="A7" s="2" t="s">
        <v>9</v>
      </c>
      <c r="B7" s="3">
        <f t="shared" si="0"/>
        <v>-22038874</v>
      </c>
      <c r="C7" s="3">
        <v>573</v>
      </c>
      <c r="D7" s="3">
        <v>144</v>
      </c>
      <c r="E7" s="3">
        <v>22039447</v>
      </c>
      <c r="F7" s="3">
        <v>28946186</v>
      </c>
    </row>
    <row r="8" spans="1:6" x14ac:dyDescent="0.3">
      <c r="A8" s="2" t="s">
        <v>10</v>
      </c>
      <c r="B8" s="3">
        <f t="shared" si="0"/>
        <v>-14869947</v>
      </c>
      <c r="C8" s="3">
        <v>81</v>
      </c>
      <c r="D8" s="3">
        <v>2</v>
      </c>
      <c r="E8" s="3">
        <v>14870028</v>
      </c>
      <c r="F8" s="3">
        <v>20293358</v>
      </c>
    </row>
    <row r="9" spans="1:6" x14ac:dyDescent="0.3">
      <c r="A9" s="2" t="s">
        <v>11</v>
      </c>
      <c r="B9" s="3">
        <f t="shared" si="0"/>
        <v>-20762208</v>
      </c>
      <c r="C9" s="3">
        <v>570</v>
      </c>
      <c r="D9" s="3">
        <v>178</v>
      </c>
      <c r="E9" s="3">
        <v>20762778</v>
      </c>
      <c r="F9" s="3">
        <v>28570790</v>
      </c>
    </row>
    <row r="10" spans="1:6" x14ac:dyDescent="0.3">
      <c r="A10" s="2" t="s">
        <v>12</v>
      </c>
      <c r="B10" s="3">
        <f t="shared" si="0"/>
        <v>-27989221</v>
      </c>
      <c r="C10" s="3">
        <v>583</v>
      </c>
      <c r="D10" s="3">
        <v>45</v>
      </c>
      <c r="E10" s="3">
        <v>27989804</v>
      </c>
      <c r="F10" s="3">
        <v>38800158</v>
      </c>
    </row>
    <row r="11" spans="1:6" x14ac:dyDescent="0.3">
      <c r="A11" s="2" t="s">
        <v>13</v>
      </c>
      <c r="B11" s="3">
        <f t="shared" si="0"/>
        <v>-18829125</v>
      </c>
      <c r="C11" s="3">
        <v>703</v>
      </c>
      <c r="D11" s="3">
        <v>272</v>
      </c>
      <c r="E11" s="3">
        <v>18829828</v>
      </c>
      <c r="F11" s="3">
        <v>26189878</v>
      </c>
    </row>
    <row r="12" spans="1:6" x14ac:dyDescent="0.3">
      <c r="A12" s="2" t="s">
        <v>14</v>
      </c>
      <c r="B12" s="3">
        <f t="shared" si="0"/>
        <v>-20632712</v>
      </c>
      <c r="C12" s="3">
        <v>491</v>
      </c>
      <c r="D12" s="3">
        <v>76</v>
      </c>
      <c r="E12" s="3">
        <v>20633203</v>
      </c>
      <c r="F12" s="3">
        <v>28355794</v>
      </c>
    </row>
    <row r="13" spans="1:6" x14ac:dyDescent="0.3">
      <c r="A13" s="2" t="s">
        <v>15</v>
      </c>
      <c r="B13" s="3">
        <f t="shared" si="0"/>
        <v>-21232020</v>
      </c>
      <c r="C13" s="3">
        <v>722</v>
      </c>
      <c r="D13" s="3">
        <v>326</v>
      </c>
      <c r="E13" s="3">
        <v>21232742</v>
      </c>
      <c r="F13" s="3">
        <v>28173587</v>
      </c>
    </row>
    <row r="14" spans="1:6" x14ac:dyDescent="0.3">
      <c r="A14" s="2" t="s">
        <v>16</v>
      </c>
      <c r="B14" s="3">
        <f t="shared" si="0"/>
        <v>-21596215</v>
      </c>
      <c r="C14" s="3">
        <v>965</v>
      </c>
      <c r="D14" s="3">
        <v>490</v>
      </c>
      <c r="E14" s="3">
        <v>21597180</v>
      </c>
      <c r="F14" s="3">
        <v>28317829</v>
      </c>
    </row>
    <row r="15" spans="1:6" ht="17.25" thickBot="1" x14ac:dyDescent="0.35">
      <c r="A15" s="4" t="s">
        <v>34</v>
      </c>
      <c r="B15" s="5">
        <f>SUM(B3:B14)</f>
        <v>-247841856</v>
      </c>
      <c r="C15" s="5">
        <f t="shared" ref="C15:F15" si="1">SUM(C3:C14)</f>
        <v>17061</v>
      </c>
      <c r="D15" s="5">
        <f t="shared" si="1"/>
        <v>7682</v>
      </c>
      <c r="E15" s="5">
        <f t="shared" si="1"/>
        <v>247858917</v>
      </c>
      <c r="F15" s="5">
        <f t="shared" si="1"/>
        <v>334661767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-25972821</v>
      </c>
      <c r="C3" s="3">
        <v>2732</v>
      </c>
      <c r="D3" s="3">
        <v>849</v>
      </c>
      <c r="E3" s="3">
        <v>25975553</v>
      </c>
      <c r="F3" s="3">
        <v>32808613</v>
      </c>
    </row>
    <row r="4" spans="1:6" x14ac:dyDescent="0.3">
      <c r="A4" s="2" t="s">
        <v>24</v>
      </c>
      <c r="B4" s="3">
        <f t="shared" si="0"/>
        <v>-22477114</v>
      </c>
      <c r="C4" s="3">
        <v>788</v>
      </c>
      <c r="D4" s="3">
        <v>64</v>
      </c>
      <c r="E4" s="3">
        <v>22477902</v>
      </c>
      <c r="F4" s="3">
        <v>27755940</v>
      </c>
    </row>
    <row r="5" spans="1:6" x14ac:dyDescent="0.3">
      <c r="A5" s="2" t="s">
        <v>25</v>
      </c>
      <c r="B5" s="3">
        <f t="shared" si="0"/>
        <v>-44592274</v>
      </c>
      <c r="C5" s="3">
        <v>648</v>
      </c>
      <c r="D5" s="3">
        <v>117</v>
      </c>
      <c r="E5" s="3">
        <v>44592922</v>
      </c>
      <c r="F5" s="3">
        <v>53063384</v>
      </c>
    </row>
    <row r="6" spans="1:6" x14ac:dyDescent="0.3">
      <c r="A6" s="2" t="s">
        <v>8</v>
      </c>
      <c r="B6" s="3">
        <f t="shared" si="0"/>
        <v>-17110061</v>
      </c>
      <c r="C6" s="3">
        <v>654</v>
      </c>
      <c r="D6" s="3">
        <v>174</v>
      </c>
      <c r="E6" s="3">
        <v>17110715</v>
      </c>
      <c r="F6" s="3">
        <v>20837064</v>
      </c>
    </row>
    <row r="7" spans="1:6" x14ac:dyDescent="0.3">
      <c r="A7" s="2" t="s">
        <v>9</v>
      </c>
      <c r="B7" s="3">
        <f t="shared" si="0"/>
        <v>-16763111</v>
      </c>
      <c r="C7" s="3">
        <v>1089</v>
      </c>
      <c r="D7" s="3">
        <v>290</v>
      </c>
      <c r="E7" s="3">
        <v>16764200</v>
      </c>
      <c r="F7" s="3">
        <v>21715252</v>
      </c>
    </row>
    <row r="8" spans="1:6" x14ac:dyDescent="0.3">
      <c r="A8" s="2" t="s">
        <v>10</v>
      </c>
      <c r="B8" s="3">
        <f t="shared" si="0"/>
        <v>-21244613</v>
      </c>
      <c r="C8" s="3">
        <v>4499</v>
      </c>
      <c r="D8" s="3">
        <v>2241</v>
      </c>
      <c r="E8" s="3">
        <v>21249112</v>
      </c>
      <c r="F8" s="3">
        <v>28108195</v>
      </c>
    </row>
    <row r="9" spans="1:6" x14ac:dyDescent="0.3">
      <c r="A9" s="2" t="s">
        <v>11</v>
      </c>
      <c r="B9" s="3">
        <f t="shared" si="0"/>
        <v>-38736148</v>
      </c>
      <c r="C9" s="3">
        <v>493</v>
      </c>
      <c r="D9" s="3">
        <v>143</v>
      </c>
      <c r="E9" s="3">
        <v>38736641</v>
      </c>
      <c r="F9" s="3">
        <v>54343472</v>
      </c>
    </row>
    <row r="10" spans="1:6" x14ac:dyDescent="0.3">
      <c r="A10" s="2" t="s">
        <v>12</v>
      </c>
      <c r="B10" s="3">
        <f t="shared" si="0"/>
        <v>-1894442</v>
      </c>
      <c r="C10" s="3">
        <v>5358</v>
      </c>
      <c r="D10" s="3">
        <v>2743</v>
      </c>
      <c r="E10" s="3">
        <v>1899800</v>
      </c>
      <c r="F10" s="3">
        <v>2616981</v>
      </c>
    </row>
    <row r="11" spans="1:6" x14ac:dyDescent="0.3">
      <c r="A11" s="2" t="s">
        <v>13</v>
      </c>
      <c r="B11" s="3">
        <f t="shared" si="0"/>
        <v>-31439337</v>
      </c>
      <c r="C11" s="3">
        <v>198</v>
      </c>
      <c r="D11" s="3">
        <v>55</v>
      </c>
      <c r="E11" s="3">
        <v>31439535</v>
      </c>
      <c r="F11" s="3">
        <v>42088757</v>
      </c>
    </row>
    <row r="12" spans="1:6" x14ac:dyDescent="0.3">
      <c r="A12" s="2" t="s">
        <v>14</v>
      </c>
      <c r="B12" s="3">
        <f t="shared" si="0"/>
        <v>-12829380</v>
      </c>
      <c r="C12" s="3">
        <v>326</v>
      </c>
      <c r="D12" s="3">
        <v>24</v>
      </c>
      <c r="E12" s="3">
        <v>12829706</v>
      </c>
      <c r="F12" s="3">
        <v>17019312</v>
      </c>
    </row>
    <row r="13" spans="1:6" x14ac:dyDescent="0.3">
      <c r="A13" s="2" t="s">
        <v>15</v>
      </c>
      <c r="B13" s="3">
        <f t="shared" si="0"/>
        <v>-21298023</v>
      </c>
      <c r="C13" s="3">
        <v>1780</v>
      </c>
      <c r="D13" s="3">
        <v>1046</v>
      </c>
      <c r="E13" s="3">
        <v>21299803</v>
      </c>
      <c r="F13" s="3">
        <v>25913663</v>
      </c>
    </row>
    <row r="14" spans="1:6" x14ac:dyDescent="0.3">
      <c r="A14" s="2" t="s">
        <v>16</v>
      </c>
      <c r="B14" s="3">
        <f t="shared" si="0"/>
        <v>-12752498</v>
      </c>
      <c r="C14" s="3">
        <v>7275</v>
      </c>
      <c r="D14" s="3">
        <v>4201</v>
      </c>
      <c r="E14" s="3">
        <v>12759773</v>
      </c>
      <c r="F14" s="3">
        <v>13773277</v>
      </c>
    </row>
    <row r="15" spans="1:6" ht="17.25" thickBot="1" x14ac:dyDescent="0.35">
      <c r="A15" s="4" t="s">
        <v>26</v>
      </c>
      <c r="B15" s="5">
        <f>SUM(B3:B14)</f>
        <v>-267109822</v>
      </c>
      <c r="C15" s="5">
        <f t="shared" ref="C15:F15" si="1">SUM(C3:C14)</f>
        <v>25840</v>
      </c>
      <c r="D15" s="5">
        <f t="shared" si="1"/>
        <v>11947</v>
      </c>
      <c r="E15" s="5">
        <f t="shared" si="1"/>
        <v>267135662</v>
      </c>
      <c r="F15" s="5">
        <f t="shared" si="1"/>
        <v>340043910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35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37</v>
      </c>
      <c r="B3" s="3">
        <f t="shared" ref="B3:B14" si="0">C3-E3</f>
        <v>-30138583</v>
      </c>
      <c r="C3" s="3">
        <v>3838</v>
      </c>
      <c r="D3" s="3">
        <v>1700</v>
      </c>
      <c r="E3" s="3">
        <v>30142421</v>
      </c>
      <c r="F3" s="3">
        <v>31870095</v>
      </c>
    </row>
    <row r="4" spans="1:6" x14ac:dyDescent="0.3">
      <c r="A4" s="2" t="s">
        <v>38</v>
      </c>
      <c r="B4" s="3">
        <f t="shared" si="0"/>
        <v>-32956815</v>
      </c>
      <c r="C4" s="3">
        <v>16</v>
      </c>
      <c r="D4" s="3">
        <v>0</v>
      </c>
      <c r="E4" s="3">
        <v>32956831</v>
      </c>
      <c r="F4" s="3">
        <v>33589432</v>
      </c>
    </row>
    <row r="5" spans="1:6" x14ac:dyDescent="0.3">
      <c r="A5" s="2" t="s">
        <v>39</v>
      </c>
      <c r="B5" s="3">
        <f t="shared" si="0"/>
        <v>-44308462</v>
      </c>
      <c r="C5" s="3">
        <v>741</v>
      </c>
      <c r="D5" s="3">
        <v>91</v>
      </c>
      <c r="E5" s="3">
        <v>44309203</v>
      </c>
      <c r="F5" s="3">
        <v>40487407</v>
      </c>
    </row>
    <row r="6" spans="1:6" x14ac:dyDescent="0.3">
      <c r="A6" s="2" t="s">
        <v>8</v>
      </c>
      <c r="B6" s="3">
        <f t="shared" si="0"/>
        <v>-33208542</v>
      </c>
      <c r="C6" s="3">
        <v>1391</v>
      </c>
      <c r="D6" s="3">
        <v>225</v>
      </c>
      <c r="E6" s="3">
        <v>33209933</v>
      </c>
      <c r="F6" s="3">
        <v>28490940</v>
      </c>
    </row>
    <row r="7" spans="1:6" x14ac:dyDescent="0.3">
      <c r="A7" s="2" t="s">
        <v>9</v>
      </c>
      <c r="B7" s="3">
        <f t="shared" si="0"/>
        <v>-54413067</v>
      </c>
      <c r="C7" s="3">
        <v>1125</v>
      </c>
      <c r="D7" s="3">
        <v>478</v>
      </c>
      <c r="E7" s="3">
        <v>54414192</v>
      </c>
      <c r="F7" s="3">
        <v>41168303</v>
      </c>
    </row>
    <row r="8" spans="1:6" x14ac:dyDescent="0.3">
      <c r="A8" s="2" t="s">
        <v>10</v>
      </c>
      <c r="B8" s="3">
        <f t="shared" si="0"/>
        <v>-33740441</v>
      </c>
      <c r="C8" s="3">
        <v>3273</v>
      </c>
      <c r="D8" s="3">
        <v>16</v>
      </c>
      <c r="E8" s="3">
        <v>33743714</v>
      </c>
      <c r="F8" s="3">
        <v>24632663</v>
      </c>
    </row>
    <row r="9" spans="1:6" x14ac:dyDescent="0.3">
      <c r="A9" s="2" t="s">
        <v>11</v>
      </c>
      <c r="B9" s="3">
        <f t="shared" si="0"/>
        <v>-52166364</v>
      </c>
      <c r="C9" s="3">
        <v>1377</v>
      </c>
      <c r="D9" s="3">
        <v>250</v>
      </c>
      <c r="E9" s="3">
        <v>52167741</v>
      </c>
      <c r="F9" s="3">
        <v>34577046</v>
      </c>
    </row>
    <row r="10" spans="1:6" x14ac:dyDescent="0.3">
      <c r="A10" s="2" t="s">
        <v>12</v>
      </c>
      <c r="B10" s="3">
        <f t="shared" si="0"/>
        <v>-33570933</v>
      </c>
      <c r="C10" s="3">
        <v>2292</v>
      </c>
      <c r="D10" s="3">
        <v>743</v>
      </c>
      <c r="E10" s="3">
        <v>33573225</v>
      </c>
      <c r="F10" s="3">
        <v>22970997</v>
      </c>
    </row>
    <row r="11" spans="1:6" x14ac:dyDescent="0.3">
      <c r="A11" s="2" t="s">
        <v>13</v>
      </c>
      <c r="B11" s="3">
        <f t="shared" si="0"/>
        <v>-65831709</v>
      </c>
      <c r="C11" s="3">
        <v>376</v>
      </c>
      <c r="D11" s="3">
        <v>14</v>
      </c>
      <c r="E11" s="3">
        <v>65832085</v>
      </c>
      <c r="F11" s="3">
        <v>45277192</v>
      </c>
    </row>
    <row r="12" spans="1:6" x14ac:dyDescent="0.3">
      <c r="A12" s="2" t="s">
        <v>14</v>
      </c>
      <c r="B12" s="3">
        <f t="shared" si="0"/>
        <v>-38401301</v>
      </c>
      <c r="C12" s="3">
        <v>215</v>
      </c>
      <c r="D12" s="3">
        <v>12</v>
      </c>
      <c r="E12" s="3">
        <v>38401516</v>
      </c>
      <c r="F12" s="3">
        <v>28094087</v>
      </c>
    </row>
    <row r="13" spans="1:6" x14ac:dyDescent="0.3">
      <c r="A13" s="2" t="s">
        <v>15</v>
      </c>
      <c r="B13" s="3">
        <f t="shared" si="0"/>
        <v>-61329169</v>
      </c>
      <c r="C13" s="3">
        <v>2330</v>
      </c>
      <c r="D13" s="3">
        <v>143</v>
      </c>
      <c r="E13" s="3">
        <v>61331499</v>
      </c>
      <c r="F13" s="3">
        <v>47073602</v>
      </c>
    </row>
    <row r="14" spans="1:6" x14ac:dyDescent="0.3">
      <c r="A14" s="2" t="s">
        <v>16</v>
      </c>
      <c r="B14" s="3">
        <f t="shared" si="0"/>
        <v>-27144460</v>
      </c>
      <c r="C14" s="3">
        <v>936</v>
      </c>
      <c r="D14" s="3">
        <v>361</v>
      </c>
      <c r="E14" s="3">
        <v>27145396</v>
      </c>
      <c r="F14" s="3">
        <v>20196134</v>
      </c>
    </row>
    <row r="15" spans="1:6" ht="17.25" thickBot="1" x14ac:dyDescent="0.35">
      <c r="A15" s="4" t="s">
        <v>40</v>
      </c>
      <c r="B15" s="5">
        <f>SUM(B3:B14)</f>
        <v>-507209846</v>
      </c>
      <c r="C15" s="5">
        <f t="shared" ref="C15:F15" si="1">SUM(C3:C14)</f>
        <v>17910</v>
      </c>
      <c r="D15" s="5">
        <f t="shared" si="1"/>
        <v>4033</v>
      </c>
      <c r="E15" s="5">
        <f t="shared" si="1"/>
        <v>507227756</v>
      </c>
      <c r="F15" s="5">
        <f t="shared" si="1"/>
        <v>398427898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-45801140</v>
      </c>
      <c r="C3" s="3">
        <v>368</v>
      </c>
      <c r="D3" s="3">
        <v>108</v>
      </c>
      <c r="E3" s="3">
        <v>45801508</v>
      </c>
      <c r="F3" s="3">
        <v>33544377</v>
      </c>
    </row>
    <row r="4" spans="1:6" x14ac:dyDescent="0.3">
      <c r="A4" s="2" t="s">
        <v>24</v>
      </c>
      <c r="B4" s="3">
        <f t="shared" si="0"/>
        <v>-10805982</v>
      </c>
      <c r="C4" s="3">
        <v>81</v>
      </c>
      <c r="D4" s="3">
        <v>3</v>
      </c>
      <c r="E4" s="3">
        <v>10806063</v>
      </c>
      <c r="F4" s="3">
        <v>8084098</v>
      </c>
    </row>
    <row r="5" spans="1:6" x14ac:dyDescent="0.3">
      <c r="A5" s="2" t="s">
        <v>25</v>
      </c>
      <c r="B5" s="3">
        <f t="shared" si="0"/>
        <v>-35147567</v>
      </c>
      <c r="C5" s="3">
        <v>1085</v>
      </c>
      <c r="D5" s="3">
        <v>121</v>
      </c>
      <c r="E5" s="3">
        <v>35148652</v>
      </c>
      <c r="F5" s="3">
        <v>25423931</v>
      </c>
    </row>
    <row r="6" spans="1:6" x14ac:dyDescent="0.3">
      <c r="A6" s="2" t="s">
        <v>8</v>
      </c>
      <c r="B6" s="3">
        <f t="shared" si="0"/>
        <v>-35822082</v>
      </c>
      <c r="C6" s="3">
        <v>1806</v>
      </c>
      <c r="D6" s="3">
        <v>423</v>
      </c>
      <c r="E6" s="3">
        <v>35823888</v>
      </c>
      <c r="F6" s="3">
        <v>22042159</v>
      </c>
    </row>
    <row r="7" spans="1:6" x14ac:dyDescent="0.3">
      <c r="A7" s="2" t="s">
        <v>9</v>
      </c>
      <c r="B7" s="3">
        <f t="shared" si="0"/>
        <v>-28184580</v>
      </c>
      <c r="C7" s="3">
        <v>17486</v>
      </c>
      <c r="D7" s="3">
        <v>7933</v>
      </c>
      <c r="E7" s="3">
        <v>28202066</v>
      </c>
      <c r="F7" s="3">
        <v>16702691</v>
      </c>
    </row>
    <row r="8" spans="1:6" x14ac:dyDescent="0.3">
      <c r="A8" s="2" t="s">
        <v>10</v>
      </c>
      <c r="B8" s="3">
        <f t="shared" si="0"/>
        <v>-75337673</v>
      </c>
      <c r="C8" s="3">
        <v>759</v>
      </c>
      <c r="D8" s="3">
        <v>24</v>
      </c>
      <c r="E8" s="3">
        <v>75338432</v>
      </c>
      <c r="F8" s="3">
        <v>45919787</v>
      </c>
    </row>
    <row r="9" spans="1:6" x14ac:dyDescent="0.3">
      <c r="A9" s="2" t="s">
        <v>11</v>
      </c>
      <c r="B9" s="3">
        <f t="shared" si="0"/>
        <v>-42172775</v>
      </c>
      <c r="C9" s="3">
        <v>1061</v>
      </c>
      <c r="D9" s="3">
        <v>196</v>
      </c>
      <c r="E9" s="3">
        <v>42173836</v>
      </c>
      <c r="F9" s="3">
        <v>22013282</v>
      </c>
    </row>
    <row r="10" spans="1:6" x14ac:dyDescent="0.3">
      <c r="A10" s="2" t="s">
        <v>12</v>
      </c>
      <c r="B10" s="3">
        <f t="shared" si="0"/>
        <v>-62093695</v>
      </c>
      <c r="C10" s="3">
        <v>3392</v>
      </c>
      <c r="D10" s="3">
        <v>258</v>
      </c>
      <c r="E10" s="3">
        <v>62097087</v>
      </c>
      <c r="F10" s="3">
        <v>34105339</v>
      </c>
    </row>
    <row r="11" spans="1:6" x14ac:dyDescent="0.3">
      <c r="A11" s="2" t="s">
        <v>13</v>
      </c>
      <c r="B11" s="3">
        <f t="shared" si="0"/>
        <v>-51031337</v>
      </c>
      <c r="C11" s="3">
        <v>8427</v>
      </c>
      <c r="D11" s="3">
        <v>1834</v>
      </c>
      <c r="E11" s="3">
        <v>51039764</v>
      </c>
      <c r="F11" s="3">
        <v>29368474</v>
      </c>
    </row>
    <row r="12" spans="1:6" x14ac:dyDescent="0.3">
      <c r="A12" s="2" t="s">
        <v>14</v>
      </c>
      <c r="B12" s="3">
        <f t="shared" si="0"/>
        <v>-67012298</v>
      </c>
      <c r="C12" s="3">
        <v>1512</v>
      </c>
      <c r="D12" s="3">
        <v>215</v>
      </c>
      <c r="E12" s="3">
        <v>67013810</v>
      </c>
      <c r="F12" s="3">
        <v>40993726</v>
      </c>
    </row>
    <row r="13" spans="1:6" x14ac:dyDescent="0.3">
      <c r="A13" s="2" t="s">
        <v>15</v>
      </c>
      <c r="B13" s="3">
        <f t="shared" si="0"/>
        <v>-53753081</v>
      </c>
      <c r="C13" s="3">
        <v>1762</v>
      </c>
      <c r="D13" s="3">
        <v>193</v>
      </c>
      <c r="E13" s="3">
        <v>53754843</v>
      </c>
      <c r="F13" s="3">
        <v>32508629</v>
      </c>
    </row>
    <row r="14" spans="1:6" x14ac:dyDescent="0.3">
      <c r="A14" s="2" t="s">
        <v>16</v>
      </c>
      <c r="B14" s="3">
        <f t="shared" si="0"/>
        <v>-23616055</v>
      </c>
      <c r="C14" s="3">
        <v>52</v>
      </c>
      <c r="D14" s="3">
        <v>1</v>
      </c>
      <c r="E14" s="3">
        <v>23616107</v>
      </c>
      <c r="F14" s="3">
        <v>14156610</v>
      </c>
    </row>
    <row r="15" spans="1:6" ht="17.25" thickBot="1" x14ac:dyDescent="0.35">
      <c r="A15" s="4" t="s">
        <v>26</v>
      </c>
      <c r="B15" s="5">
        <f>SUM(B3:B14)</f>
        <v>-530778265</v>
      </c>
      <c r="C15" s="5">
        <f t="shared" ref="C15:F15" si="1">SUM(C3:C14)</f>
        <v>37791</v>
      </c>
      <c r="D15" s="5">
        <f t="shared" si="1"/>
        <v>11309</v>
      </c>
      <c r="E15" s="5">
        <f t="shared" si="1"/>
        <v>530816056</v>
      </c>
      <c r="F15" s="5">
        <f t="shared" si="1"/>
        <v>324863103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-46525454</v>
      </c>
      <c r="C3" s="3">
        <v>1774</v>
      </c>
      <c r="D3" s="3">
        <v>143</v>
      </c>
      <c r="E3" s="3">
        <v>46527228</v>
      </c>
      <c r="F3" s="3">
        <v>29154376</v>
      </c>
    </row>
    <row r="4" spans="1:6" x14ac:dyDescent="0.3">
      <c r="A4" s="2" t="s">
        <v>24</v>
      </c>
      <c r="B4" s="3">
        <f t="shared" si="0"/>
        <v>-23054774</v>
      </c>
      <c r="C4" s="3">
        <v>853</v>
      </c>
      <c r="D4" s="3">
        <v>228</v>
      </c>
      <c r="E4" s="3">
        <v>23055627</v>
      </c>
      <c r="F4" s="3">
        <v>15059614</v>
      </c>
    </row>
    <row r="5" spans="1:6" x14ac:dyDescent="0.3">
      <c r="A5" s="2" t="s">
        <v>25</v>
      </c>
      <c r="B5" s="3">
        <f t="shared" si="0"/>
        <v>-47204913</v>
      </c>
      <c r="C5" s="3">
        <v>2268</v>
      </c>
      <c r="D5" s="3">
        <v>882</v>
      </c>
      <c r="E5" s="3">
        <v>47207181</v>
      </c>
      <c r="F5" s="3">
        <v>30780611</v>
      </c>
    </row>
    <row r="6" spans="1:6" x14ac:dyDescent="0.3">
      <c r="A6" s="2" t="s">
        <v>8</v>
      </c>
      <c r="B6" s="3">
        <f t="shared" si="0"/>
        <v>-25083217</v>
      </c>
      <c r="C6" s="3">
        <v>0</v>
      </c>
      <c r="D6" s="3">
        <v>0</v>
      </c>
      <c r="E6" s="3">
        <v>25083217</v>
      </c>
      <c r="F6" s="3">
        <v>18674082</v>
      </c>
    </row>
    <row r="7" spans="1:6" x14ac:dyDescent="0.3">
      <c r="A7" s="2" t="s">
        <v>9</v>
      </c>
      <c r="B7" s="3">
        <f t="shared" si="0"/>
        <v>-9443905</v>
      </c>
      <c r="C7" s="3">
        <v>2682</v>
      </c>
      <c r="D7" s="3">
        <v>492</v>
      </c>
      <c r="E7" s="3">
        <v>9446587</v>
      </c>
      <c r="F7" s="3">
        <v>7374980</v>
      </c>
    </row>
    <row r="8" spans="1:6" x14ac:dyDescent="0.3">
      <c r="A8" s="2" t="s">
        <v>10</v>
      </c>
      <c r="B8" s="3">
        <f t="shared" si="0"/>
        <v>-33585001</v>
      </c>
      <c r="C8" s="3">
        <v>2907</v>
      </c>
      <c r="D8" s="3">
        <v>1172</v>
      </c>
      <c r="E8" s="3">
        <v>33587908</v>
      </c>
      <c r="F8" s="3">
        <v>27358371</v>
      </c>
    </row>
    <row r="9" spans="1:6" x14ac:dyDescent="0.3">
      <c r="A9" s="2" t="s">
        <v>11</v>
      </c>
      <c r="B9" s="3">
        <f t="shared" si="0"/>
        <v>-30657207</v>
      </c>
      <c r="C9" s="3">
        <v>28447</v>
      </c>
      <c r="D9" s="3">
        <v>16000</v>
      </c>
      <c r="E9" s="3">
        <v>30685654</v>
      </c>
      <c r="F9" s="3">
        <v>25716059</v>
      </c>
    </row>
    <row r="10" spans="1:6" x14ac:dyDescent="0.3">
      <c r="A10" s="2" t="s">
        <v>12</v>
      </c>
      <c r="B10" s="3">
        <f t="shared" si="0"/>
        <v>-16334925</v>
      </c>
      <c r="C10" s="3">
        <v>29532</v>
      </c>
      <c r="D10" s="3">
        <v>16198</v>
      </c>
      <c r="E10" s="3">
        <v>16364457</v>
      </c>
      <c r="F10" s="3">
        <v>14998598</v>
      </c>
    </row>
    <row r="11" spans="1:6" x14ac:dyDescent="0.3">
      <c r="A11" s="2" t="s">
        <v>13</v>
      </c>
      <c r="B11" s="3">
        <f t="shared" si="0"/>
        <v>-8358565</v>
      </c>
      <c r="C11" s="3">
        <v>29294</v>
      </c>
      <c r="D11" s="3">
        <v>16931</v>
      </c>
      <c r="E11" s="3">
        <v>8387859</v>
      </c>
      <c r="F11" s="3">
        <v>7314030</v>
      </c>
    </row>
    <row r="12" spans="1:6" x14ac:dyDescent="0.3">
      <c r="A12" s="2" t="s">
        <v>14</v>
      </c>
      <c r="B12" s="3">
        <f t="shared" si="0"/>
        <v>-43668648</v>
      </c>
      <c r="C12" s="3">
        <v>56989</v>
      </c>
      <c r="D12" s="3">
        <v>33180</v>
      </c>
      <c r="E12" s="3">
        <v>43725637</v>
      </c>
      <c r="F12" s="3">
        <v>34774233</v>
      </c>
    </row>
    <row r="13" spans="1:6" x14ac:dyDescent="0.3">
      <c r="A13" s="2" t="s">
        <v>15</v>
      </c>
      <c r="B13" s="3">
        <f t="shared" si="0"/>
        <v>-10545605</v>
      </c>
      <c r="C13" s="3">
        <v>685</v>
      </c>
      <c r="D13" s="3">
        <v>108</v>
      </c>
      <c r="E13" s="3">
        <v>10546290</v>
      </c>
      <c r="F13" s="3">
        <v>7922118</v>
      </c>
    </row>
    <row r="14" spans="1:6" x14ac:dyDescent="0.3">
      <c r="A14" s="2" t="s">
        <v>16</v>
      </c>
      <c r="B14" s="3">
        <f t="shared" si="0"/>
        <v>-92650537</v>
      </c>
      <c r="C14" s="3">
        <v>26182</v>
      </c>
      <c r="D14" s="3">
        <v>16830</v>
      </c>
      <c r="E14" s="3">
        <v>92676719</v>
      </c>
      <c r="F14" s="3">
        <v>88108444</v>
      </c>
    </row>
    <row r="15" spans="1:6" ht="17.25" thickBot="1" x14ac:dyDescent="0.35">
      <c r="A15" s="4" t="s">
        <v>26</v>
      </c>
      <c r="B15" s="5">
        <f>SUM(B3:B14)</f>
        <v>-387112751</v>
      </c>
      <c r="C15" s="5">
        <f t="shared" ref="C15:F15" si="1">SUM(C3:C14)</f>
        <v>181613</v>
      </c>
      <c r="D15" s="5">
        <f t="shared" si="1"/>
        <v>102164</v>
      </c>
      <c r="E15" s="5">
        <f t="shared" si="1"/>
        <v>387294364</v>
      </c>
      <c r="F15" s="5">
        <f t="shared" si="1"/>
        <v>307235516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-454577</v>
      </c>
      <c r="C3" s="3">
        <v>26244</v>
      </c>
      <c r="D3" s="3">
        <v>17010</v>
      </c>
      <c r="E3" s="3">
        <v>480821</v>
      </c>
      <c r="F3" s="3">
        <v>417921</v>
      </c>
    </row>
    <row r="4" spans="1:6" x14ac:dyDescent="0.3">
      <c r="A4" s="2" t="s">
        <v>41</v>
      </c>
      <c r="B4" s="3">
        <f t="shared" si="0"/>
        <v>-24733829</v>
      </c>
      <c r="C4" s="3">
        <v>26796</v>
      </c>
      <c r="D4" s="3">
        <v>16956</v>
      </c>
      <c r="E4" s="3">
        <v>24760625</v>
      </c>
      <c r="F4" s="3">
        <v>25636368</v>
      </c>
    </row>
    <row r="5" spans="1:6" x14ac:dyDescent="0.3">
      <c r="A5" s="2" t="s">
        <v>25</v>
      </c>
      <c r="B5" s="3">
        <f t="shared" si="0"/>
        <v>-38980256</v>
      </c>
      <c r="C5" s="3">
        <v>28083</v>
      </c>
      <c r="D5" s="3">
        <v>17690</v>
      </c>
      <c r="E5" s="3">
        <v>39008339</v>
      </c>
      <c r="F5" s="3">
        <v>39080284</v>
      </c>
    </row>
    <row r="6" spans="1:6" x14ac:dyDescent="0.3">
      <c r="A6" s="2" t="s">
        <v>8</v>
      </c>
      <c r="B6" s="3">
        <f t="shared" si="0"/>
        <v>-31726890</v>
      </c>
      <c r="C6" s="3">
        <v>27506</v>
      </c>
      <c r="D6" s="3">
        <v>17070</v>
      </c>
      <c r="E6" s="3">
        <v>31754396</v>
      </c>
      <c r="F6" s="3">
        <v>33255439</v>
      </c>
    </row>
    <row r="7" spans="1:6" x14ac:dyDescent="0.3">
      <c r="A7" s="2" t="s">
        <v>9</v>
      </c>
      <c r="B7" s="3">
        <f t="shared" si="0"/>
        <v>-10832036</v>
      </c>
      <c r="C7" s="3">
        <v>27409</v>
      </c>
      <c r="D7" s="3">
        <v>17082</v>
      </c>
      <c r="E7" s="3">
        <v>10859445</v>
      </c>
      <c r="F7" s="3">
        <v>10886141</v>
      </c>
    </row>
    <row r="8" spans="1:6" x14ac:dyDescent="0.3">
      <c r="A8" s="2" t="s">
        <v>10</v>
      </c>
      <c r="B8" s="3">
        <f t="shared" si="0"/>
        <v>-31885716</v>
      </c>
      <c r="C8" s="3">
        <v>25641</v>
      </c>
      <c r="D8" s="3">
        <v>16866</v>
      </c>
      <c r="E8" s="3">
        <v>31911357</v>
      </c>
      <c r="F8" s="3">
        <v>34853432</v>
      </c>
    </row>
    <row r="9" spans="1:6" x14ac:dyDescent="0.3">
      <c r="A9" s="2" t="s">
        <v>11</v>
      </c>
      <c r="B9" s="3">
        <f t="shared" si="0"/>
        <v>-6181656</v>
      </c>
      <c r="C9" s="3">
        <v>52581</v>
      </c>
      <c r="D9" s="3">
        <v>39420</v>
      </c>
      <c r="E9" s="3">
        <v>6234237</v>
      </c>
      <c r="F9" s="3">
        <v>6112008</v>
      </c>
    </row>
    <row r="10" spans="1:6" x14ac:dyDescent="0.3">
      <c r="A10" s="2" t="s">
        <v>12</v>
      </c>
      <c r="B10" s="3">
        <f t="shared" si="0"/>
        <v>-26968158</v>
      </c>
      <c r="C10" s="3">
        <v>36529</v>
      </c>
      <c r="D10" s="3">
        <v>21630</v>
      </c>
      <c r="E10" s="3">
        <v>27004687</v>
      </c>
      <c r="F10" s="3">
        <v>27439127</v>
      </c>
    </row>
    <row r="11" spans="1:6" x14ac:dyDescent="0.3">
      <c r="A11" s="2" t="s">
        <v>13</v>
      </c>
      <c r="B11" s="3">
        <f t="shared" si="0"/>
        <v>-18248303</v>
      </c>
      <c r="C11" s="3">
        <v>48778</v>
      </c>
      <c r="D11" s="3">
        <v>33660</v>
      </c>
      <c r="E11" s="3">
        <v>18297081</v>
      </c>
      <c r="F11" s="3">
        <v>18432037</v>
      </c>
    </row>
    <row r="12" spans="1:6" x14ac:dyDescent="0.3">
      <c r="A12" s="2" t="s">
        <v>14</v>
      </c>
      <c r="B12" s="3">
        <f t="shared" si="0"/>
        <v>-40151640</v>
      </c>
      <c r="C12" s="3">
        <v>49829</v>
      </c>
      <c r="D12" s="3">
        <v>33696</v>
      </c>
      <c r="E12" s="3">
        <v>40201469</v>
      </c>
      <c r="F12" s="3">
        <v>41423870</v>
      </c>
    </row>
    <row r="13" spans="1:6" x14ac:dyDescent="0.3">
      <c r="A13" s="2" t="s">
        <v>15</v>
      </c>
      <c r="B13" s="3">
        <f t="shared" si="0"/>
        <v>-14911427</v>
      </c>
      <c r="C13" s="3">
        <v>50586</v>
      </c>
      <c r="D13" s="3">
        <v>33975</v>
      </c>
      <c r="E13" s="3">
        <v>14962013</v>
      </c>
      <c r="F13" s="3">
        <v>14873092</v>
      </c>
    </row>
    <row r="14" spans="1:6" x14ac:dyDescent="0.3">
      <c r="A14" s="2" t="s">
        <v>16</v>
      </c>
      <c r="B14" s="3">
        <f t="shared" si="0"/>
        <v>-22640996</v>
      </c>
      <c r="C14" s="3">
        <v>51964</v>
      </c>
      <c r="D14" s="3">
        <v>33679</v>
      </c>
      <c r="E14" s="3">
        <v>22692960</v>
      </c>
      <c r="F14" s="3">
        <v>22080744</v>
      </c>
    </row>
    <row r="15" spans="1:6" ht="17.25" thickBot="1" x14ac:dyDescent="0.35">
      <c r="A15" s="4" t="s">
        <v>26</v>
      </c>
      <c r="B15" s="5">
        <f>SUM(B3:B14)</f>
        <v>-267715484</v>
      </c>
      <c r="C15" s="5">
        <f t="shared" ref="C15:F15" si="1">SUM(C3:C14)</f>
        <v>451946</v>
      </c>
      <c r="D15" s="5">
        <f t="shared" si="1"/>
        <v>298734</v>
      </c>
      <c r="E15" s="5">
        <f t="shared" si="1"/>
        <v>268167430</v>
      </c>
      <c r="F15" s="5">
        <f t="shared" si="1"/>
        <v>274490463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1" t="s">
        <v>42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-31451158</v>
      </c>
      <c r="C3" s="3">
        <v>25919</v>
      </c>
      <c r="D3" s="3">
        <v>16830</v>
      </c>
      <c r="E3" s="3">
        <v>31477077</v>
      </c>
      <c r="F3" s="3">
        <v>29280047</v>
      </c>
    </row>
    <row r="4" spans="1:6" x14ac:dyDescent="0.3">
      <c r="A4" s="2" t="s">
        <v>41</v>
      </c>
      <c r="B4" s="3">
        <f t="shared" si="0"/>
        <v>-6916914</v>
      </c>
      <c r="C4" s="3">
        <v>26856</v>
      </c>
      <c r="D4" s="3">
        <v>17850</v>
      </c>
      <c r="E4" s="3">
        <v>6943770</v>
      </c>
      <c r="F4" s="3">
        <v>6737593</v>
      </c>
    </row>
    <row r="5" spans="1:6" x14ac:dyDescent="0.3">
      <c r="A5" s="2" t="s">
        <v>7</v>
      </c>
      <c r="B5" s="3">
        <f t="shared" si="0"/>
        <v>-57125327</v>
      </c>
      <c r="C5" s="3">
        <v>4745</v>
      </c>
      <c r="D5" s="3">
        <v>2058</v>
      </c>
      <c r="E5" s="3">
        <v>57130072</v>
      </c>
      <c r="F5" s="3">
        <v>49014420</v>
      </c>
    </row>
    <row r="6" spans="1:6" x14ac:dyDescent="0.3">
      <c r="A6" s="2" t="s">
        <v>8</v>
      </c>
      <c r="B6" s="3">
        <f t="shared" si="0"/>
        <v>-44838983</v>
      </c>
      <c r="C6" s="3">
        <v>1264</v>
      </c>
      <c r="D6" s="3">
        <v>216</v>
      </c>
      <c r="E6" s="3">
        <v>44840247</v>
      </c>
      <c r="F6" s="3">
        <v>38148482</v>
      </c>
    </row>
    <row r="7" spans="1:6" x14ac:dyDescent="0.3">
      <c r="A7" s="2" t="s">
        <v>9</v>
      </c>
      <c r="B7" s="3">
        <f t="shared" si="0"/>
        <v>-12714671</v>
      </c>
      <c r="C7" s="3">
        <v>813</v>
      </c>
      <c r="D7" s="3">
        <v>360</v>
      </c>
      <c r="E7" s="3">
        <v>12715484</v>
      </c>
      <c r="F7" s="3">
        <v>11196866</v>
      </c>
    </row>
    <row r="8" spans="1:6" x14ac:dyDescent="0.3">
      <c r="A8" s="2" t="s">
        <v>10</v>
      </c>
      <c r="B8" s="3">
        <f t="shared" si="0"/>
        <v>-59087550</v>
      </c>
      <c r="C8" s="3">
        <v>0</v>
      </c>
      <c r="D8" s="3">
        <v>0</v>
      </c>
      <c r="E8" s="3">
        <v>59087550</v>
      </c>
      <c r="F8" s="3">
        <v>56581665</v>
      </c>
    </row>
    <row r="9" spans="1:6" x14ac:dyDescent="0.3">
      <c r="A9" s="2" t="s">
        <v>11</v>
      </c>
      <c r="B9" s="3">
        <f t="shared" si="0"/>
        <v>-45191264</v>
      </c>
      <c r="C9" s="3">
        <v>3269</v>
      </c>
      <c r="D9" s="3">
        <v>1620</v>
      </c>
      <c r="E9" s="3">
        <v>45194533</v>
      </c>
      <c r="F9" s="3">
        <v>40103923</v>
      </c>
    </row>
    <row r="10" spans="1:6" x14ac:dyDescent="0.3">
      <c r="A10" s="2" t="s">
        <v>12</v>
      </c>
      <c r="B10" s="3">
        <f t="shared" si="0"/>
        <v>-47661222</v>
      </c>
      <c r="C10" s="3">
        <v>1083</v>
      </c>
      <c r="D10" s="3">
        <v>237</v>
      </c>
      <c r="E10" s="3">
        <v>47662305</v>
      </c>
      <c r="F10" s="3">
        <v>41309728</v>
      </c>
    </row>
    <row r="11" spans="1:6" x14ac:dyDescent="0.3">
      <c r="A11" s="2" t="s">
        <v>13</v>
      </c>
      <c r="B11" s="3">
        <f t="shared" si="0"/>
        <v>-14007052</v>
      </c>
      <c r="C11" s="3">
        <v>0</v>
      </c>
      <c r="D11" s="3">
        <v>0</v>
      </c>
      <c r="E11" s="3">
        <v>14007052</v>
      </c>
      <c r="F11" s="3">
        <v>11853892</v>
      </c>
    </row>
    <row r="12" spans="1:6" x14ac:dyDescent="0.3">
      <c r="A12" s="2" t="s">
        <v>14</v>
      </c>
      <c r="B12" s="3">
        <f t="shared" si="0"/>
        <v>-19521005</v>
      </c>
      <c r="C12" s="3">
        <v>444</v>
      </c>
      <c r="D12" s="3">
        <v>108</v>
      </c>
      <c r="E12" s="3">
        <v>19521449</v>
      </c>
      <c r="F12" s="3">
        <v>17326792</v>
      </c>
    </row>
    <row r="13" spans="1:6" x14ac:dyDescent="0.3">
      <c r="A13" s="2" t="s">
        <v>15</v>
      </c>
      <c r="B13" s="3">
        <f t="shared" si="0"/>
        <v>-34432844</v>
      </c>
      <c r="C13" s="3">
        <v>1600</v>
      </c>
      <c r="D13" s="3">
        <v>720</v>
      </c>
      <c r="E13" s="3">
        <v>34434444</v>
      </c>
      <c r="F13" s="3">
        <v>29966392</v>
      </c>
    </row>
    <row r="14" spans="1:6" x14ac:dyDescent="0.3">
      <c r="A14" s="2" t="s">
        <v>16</v>
      </c>
      <c r="B14" s="3">
        <f t="shared" si="0"/>
        <v>-17401942</v>
      </c>
      <c r="C14" s="3">
        <v>102</v>
      </c>
      <c r="D14" s="3">
        <v>8</v>
      </c>
      <c r="E14" s="3">
        <v>17402044</v>
      </c>
      <c r="F14" s="3">
        <v>14808917</v>
      </c>
    </row>
    <row r="15" spans="1:6" ht="17.25" thickBot="1" x14ac:dyDescent="0.35">
      <c r="A15" s="4" t="s">
        <v>34</v>
      </c>
      <c r="B15" s="5">
        <f>SUM(B3:B14)</f>
        <v>-390349932</v>
      </c>
      <c r="C15" s="5">
        <f t="shared" ref="C15:F15" si="1">SUM(C3:C14)</f>
        <v>66095</v>
      </c>
      <c r="D15" s="5">
        <f t="shared" si="1"/>
        <v>40007</v>
      </c>
      <c r="E15" s="5">
        <f t="shared" si="1"/>
        <v>390416027</v>
      </c>
      <c r="F15" s="5">
        <f t="shared" si="1"/>
        <v>346328717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1" t="s">
        <v>42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-39027496</v>
      </c>
      <c r="C3" s="3">
        <v>0</v>
      </c>
      <c r="D3" s="3">
        <v>0</v>
      </c>
      <c r="E3" s="3">
        <v>39027496</v>
      </c>
      <c r="F3" s="3">
        <v>32788089</v>
      </c>
    </row>
    <row r="4" spans="1:6" x14ac:dyDescent="0.3">
      <c r="A4" s="2" t="s">
        <v>41</v>
      </c>
      <c r="B4" s="3">
        <f t="shared" si="0"/>
        <v>-19076302</v>
      </c>
      <c r="C4" s="3">
        <v>778</v>
      </c>
      <c r="D4" s="3">
        <v>360</v>
      </c>
      <c r="E4" s="3">
        <v>19077080</v>
      </c>
      <c r="F4" s="3">
        <v>16207741</v>
      </c>
    </row>
    <row r="5" spans="1:6" x14ac:dyDescent="0.3">
      <c r="A5" s="2" t="s">
        <v>7</v>
      </c>
      <c r="B5" s="3">
        <f t="shared" si="0"/>
        <v>-29453122</v>
      </c>
      <c r="C5" s="3">
        <v>4115</v>
      </c>
      <c r="D5" s="3">
        <v>1575</v>
      </c>
      <c r="E5" s="3">
        <v>29457237</v>
      </c>
      <c r="F5" s="3">
        <v>23956207</v>
      </c>
    </row>
    <row r="6" spans="1:6" x14ac:dyDescent="0.3">
      <c r="A6" s="2" t="s">
        <v>8</v>
      </c>
      <c r="B6" s="3">
        <f t="shared" si="0"/>
        <v>-42037567</v>
      </c>
      <c r="C6" s="3">
        <v>795</v>
      </c>
      <c r="D6" s="3">
        <v>223</v>
      </c>
      <c r="E6" s="3">
        <v>42038362</v>
      </c>
      <c r="F6" s="3">
        <v>31510195</v>
      </c>
    </row>
    <row r="7" spans="1:6" x14ac:dyDescent="0.3">
      <c r="A7" s="2" t="s">
        <v>9</v>
      </c>
      <c r="B7" s="3">
        <f t="shared" si="0"/>
        <v>-18250940</v>
      </c>
      <c r="C7" s="3">
        <v>582</v>
      </c>
      <c r="D7" s="3">
        <v>49</v>
      </c>
      <c r="E7" s="3">
        <v>18251522</v>
      </c>
      <c r="F7" s="3">
        <v>13317619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-147845427</v>
      </c>
      <c r="C15" s="5">
        <f t="shared" ref="C15:F15" si="1">SUM(C3:C14)</f>
        <v>6270</v>
      </c>
      <c r="D15" s="5">
        <f t="shared" si="1"/>
        <v>2207</v>
      </c>
      <c r="E15" s="5">
        <f t="shared" si="1"/>
        <v>147851697</v>
      </c>
      <c r="F15" s="5">
        <f t="shared" si="1"/>
        <v>117779851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2026-07-14T07:08:56Z</dcterms:created>
  <dcterms:modified xsi:type="dcterms:W3CDTF">2026-07-14T09:06:08Z</dcterms:modified>
</cp:coreProperties>
</file>