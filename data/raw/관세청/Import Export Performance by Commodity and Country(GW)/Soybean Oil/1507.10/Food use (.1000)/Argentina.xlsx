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C15" i="13" l="1"/>
  <c r="D15" i="13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4" i="1"/>
  <c r="B13" i="1"/>
  <c r="B12" i="1"/>
  <c r="B11" i="1"/>
  <c r="B10" i="1"/>
  <c r="B9" i="1"/>
  <c r="B8" i="1"/>
  <c r="B7" i="1"/>
  <c r="B6" i="1"/>
  <c r="B5" i="1"/>
  <c r="B4" i="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<sst xmlns="http://schemas.openxmlformats.org/spreadsheetml/2006/main" count="306" uniqueCount="36">
  <si>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</si>
  <si>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</si>
  <si>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</si>
  <si>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</si>
  <si>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</si>
  <si>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</si>
  <si>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</si>
  <si>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</si>
  <si>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</si>
  <si>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</si>
  <si>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</si>
  <si>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</si>
  <si>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</si>
  <si>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</si>
  <si>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</si>
  <si>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</si>
  <si>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</si>
  <si>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</si>
  <si>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</si>
  <si>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</si>
  <si>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</si>
  <si>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</si>
  <si>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</si>
  <si>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</si>
  <si>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</si>
  <si>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</si>
  <si>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</si>
  <si>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</si>
  <si>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</si>
  <si>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</si>
  <si>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</si>
  <si>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</si>
  <si>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</si>
  <si>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무역수지(달러)</t>
    <phoneticPr fontId="1" type="noConversion"/>
  </si>
  <si>
    <t>2월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</si>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</sst>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-11639349</v>
      </c>
      <c r="C3" s="2">
        <v>0</v>
      </c>
      <c r="D3" s="2">
        <v>0</v>
      </c>
      <c r="E3" s="2">
        <v>11639349</v>
      </c>
      <c r="F3" s="2">
        <v>13720421</v>
      </c>
    </row>
    <row r="4" spans="1:6" x14ac:dyDescent="0.3">
      <c r="A4" s="1" t="s">
        <v>27</v>
      </c>
      <c r="B4" s="2">
        <f t="shared" ref="B4:B14" si="0">C4-E4</f>
        <v>-8506886</v>
      </c>
      <c r="C4" s="2">
        <v>0</v>
      </c>
      <c r="D4" s="2">
        <v>0</v>
      </c>
      <c r="E4" s="2">
        <v>8506886</v>
      </c>
      <c r="F4" s="2">
        <v>9603587</v>
      </c>
    </row>
    <row r="5" spans="1:6" x14ac:dyDescent="0.3">
      <c r="A5" s="1" t="s">
        <v>29</v>
      </c>
      <c r="B5" s="2">
        <f t="shared" si="0"/>
        <v>-9272839</v>
      </c>
      <c r="C5" s="2">
        <v>0</v>
      </c>
      <c r="D5" s="2">
        <v>0</v>
      </c>
      <c r="E5" s="2">
        <v>9272839</v>
      </c>
      <c r="F5" s="2">
        <v>10421380</v>
      </c>
    </row>
    <row r="6" spans="1:6" x14ac:dyDescent="0.3">
      <c r="A6" s="1" t="s">
        <v>3</v>
      </c>
      <c r="B6" s="2">
        <f t="shared" si="0"/>
        <v>-3521664</v>
      </c>
      <c r="C6" s="2">
        <v>0</v>
      </c>
      <c r="D6" s="2">
        <v>0</v>
      </c>
      <c r="E6" s="2">
        <v>3521664</v>
      </c>
      <c r="F6" s="2">
        <v>3932462</v>
      </c>
    </row>
    <row r="7" spans="1:6" x14ac:dyDescent="0.3">
      <c r="A7" s="1" t="s">
        <v>4</v>
      </c>
      <c r="B7" s="2">
        <f t="shared" si="0"/>
        <v>-14702517</v>
      </c>
      <c r="C7" s="2">
        <v>0</v>
      </c>
      <c r="D7" s="2">
        <v>0</v>
      </c>
      <c r="E7" s="2">
        <v>14702517</v>
      </c>
      <c r="F7" s="2">
        <v>16590089</v>
      </c>
    </row>
    <row r="8" spans="1:6" x14ac:dyDescent="0.3">
      <c r="A8" s="1" t="s">
        <v>5</v>
      </c>
      <c r="B8" s="2">
        <f t="shared" si="0"/>
        <v>-18965216</v>
      </c>
      <c r="C8" s="2">
        <v>0</v>
      </c>
      <c r="D8" s="2">
        <v>0</v>
      </c>
      <c r="E8" s="2">
        <v>18965216</v>
      </c>
      <c r="F8" s="2">
        <v>21815926</v>
      </c>
    </row>
    <row r="9" spans="1:6" x14ac:dyDescent="0.3">
      <c r="A9" s="1" t="s">
        <v>6</v>
      </c>
      <c r="B9" s="2">
        <f t="shared" si="0"/>
        <v>-18672011</v>
      </c>
      <c r="C9" s="2">
        <v>0</v>
      </c>
      <c r="D9" s="2">
        <v>0</v>
      </c>
      <c r="E9" s="2">
        <v>18672011</v>
      </c>
      <c r="F9" s="2">
        <v>21624262</v>
      </c>
    </row>
    <row r="10" spans="1:6" x14ac:dyDescent="0.3">
      <c r="A10" s="1" t="s">
        <v>7</v>
      </c>
      <c r="B10" s="2">
        <f t="shared" si="0"/>
        <v>-13683262</v>
      </c>
      <c r="C10" s="2">
        <v>0</v>
      </c>
      <c r="D10" s="2">
        <v>0</v>
      </c>
      <c r="E10" s="2">
        <v>13683262</v>
      </c>
      <c r="F10" s="2">
        <v>16141237</v>
      </c>
    </row>
    <row r="11" spans="1:6" x14ac:dyDescent="0.3">
      <c r="A11" s="1" t="s">
        <v>8</v>
      </c>
      <c r="B11" s="2">
        <f t="shared" si="0"/>
        <v>-18108737</v>
      </c>
      <c r="C11" s="2">
        <v>0</v>
      </c>
      <c r="D11" s="2">
        <v>0</v>
      </c>
      <c r="E11" s="2">
        <v>18108737</v>
      </c>
      <c r="F11" s="2">
        <v>21681799</v>
      </c>
    </row>
    <row r="12" spans="1:6" x14ac:dyDescent="0.3">
      <c r="A12" s="1" t="s">
        <v>9</v>
      </c>
      <c r="B12" s="2">
        <f t="shared" si="0"/>
        <v>-19792728</v>
      </c>
      <c r="C12" s="2">
        <v>0</v>
      </c>
      <c r="D12" s="2">
        <v>0</v>
      </c>
      <c r="E12" s="2">
        <v>19792728</v>
      </c>
      <c r="F12" s="2">
        <v>22594610</v>
      </c>
    </row>
    <row r="13" spans="1:6" x14ac:dyDescent="0.3">
      <c r="A13" s="1" t="s">
        <v>10</v>
      </c>
      <c r="B13" s="2">
        <f t="shared" si="0"/>
        <v>-19910085</v>
      </c>
      <c r="C13" s="2">
        <v>0</v>
      </c>
      <c r="D13" s="2">
        <v>0</v>
      </c>
      <c r="E13" s="2">
        <v>19910085</v>
      </c>
      <c r="F13" s="2">
        <v>21909113</v>
      </c>
    </row>
    <row r="14" spans="1:6" x14ac:dyDescent="0.3">
      <c r="A14" s="1" t="s">
        <v>11</v>
      </c>
      <c r="B14" s="2">
        <f t="shared" si="0"/>
        <v>-22683312</v>
      </c>
      <c r="C14" s="2">
        <v>0</v>
      </c>
      <c r="D14" s="2">
        <v>0</v>
      </c>
      <c r="E14" s="2">
        <v>22683312</v>
      </c>
      <c r="F14" s="2">
        <v>22329469</v>
      </c>
    </row>
    <row r="15" spans="1:6" ht="17.25" thickBot="1" x14ac:dyDescent="0.35">
      <c r="A15" s="4" t="s">
        <v>31</v>
      </c>
      <c r="B15" s="5">
        <f>SUM(B3:B14)</f>
        <v>-179458606</v>
      </c>
      <c r="C15" s="5">
        <f t="shared" ref="C15:F15" si="1">SUM(C3:C14)</f>
        <v>0</v>
      </c>
      <c r="D15" s="5">
        <f t="shared" si="1"/>
        <v>0</v>
      </c>
      <c r="E15" s="5">
        <f t="shared" si="1"/>
        <v>179458606</v>
      </c>
      <c r="F15" s="5">
        <f t="shared" si="1"/>
        <v>202364355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-16715325</v>
      </c>
      <c r="C3" s="2">
        <v>0</v>
      </c>
      <c r="D3" s="2">
        <v>0</v>
      </c>
      <c r="E3" s="2">
        <v>16715325</v>
      </c>
      <c r="F3" s="2">
        <v>14442604</v>
      </c>
    </row>
    <row r="4" spans="1:6" x14ac:dyDescent="0.3">
      <c r="A4" s="1" t="s">
        <v>27</v>
      </c>
      <c r="B4" s="2">
        <f t="shared" ref="B4:B14" si="0">C4-E4</f>
        <v>-15281324</v>
      </c>
      <c r="C4" s="2">
        <v>0</v>
      </c>
      <c r="D4" s="2">
        <v>0</v>
      </c>
      <c r="E4" s="2">
        <v>15281324</v>
      </c>
      <c r="F4" s="2">
        <v>12871414</v>
      </c>
    </row>
    <row r="5" spans="1:6" x14ac:dyDescent="0.3">
      <c r="A5" s="1" t="s">
        <v>29</v>
      </c>
      <c r="B5" s="2">
        <f t="shared" si="0"/>
        <v>-25165232</v>
      </c>
      <c r="C5" s="2">
        <v>0</v>
      </c>
      <c r="D5" s="2">
        <v>0</v>
      </c>
      <c r="E5" s="2">
        <v>25165232</v>
      </c>
      <c r="F5" s="2">
        <v>20078161</v>
      </c>
    </row>
    <row r="6" spans="1:6" x14ac:dyDescent="0.3">
      <c r="A6" s="1" t="s">
        <v>3</v>
      </c>
      <c r="B6" s="2">
        <f t="shared" si="0"/>
        <v>-21815183</v>
      </c>
      <c r="C6" s="2">
        <v>0</v>
      </c>
      <c r="D6" s="2">
        <v>0</v>
      </c>
      <c r="E6" s="2">
        <v>21815183</v>
      </c>
      <c r="F6" s="2">
        <v>16740439</v>
      </c>
    </row>
    <row r="7" spans="1:6" x14ac:dyDescent="0.3">
      <c r="A7" s="1" t="s">
        <v>4</v>
      </c>
      <c r="B7" s="2">
        <f t="shared" si="0"/>
        <v>-15270801</v>
      </c>
      <c r="C7" s="2">
        <v>0</v>
      </c>
      <c r="D7" s="2">
        <v>0</v>
      </c>
      <c r="E7" s="2">
        <v>15270801</v>
      </c>
      <c r="F7" s="2">
        <v>11712391</v>
      </c>
    </row>
    <row r="8" spans="1:6" x14ac:dyDescent="0.3">
      <c r="A8" s="1" t="s">
        <v>5</v>
      </c>
      <c r="B8" s="2">
        <f t="shared" si="0"/>
        <v>-20247371</v>
      </c>
      <c r="C8" s="2">
        <v>0</v>
      </c>
      <c r="D8" s="2">
        <v>0</v>
      </c>
      <c r="E8" s="2">
        <v>20247371</v>
      </c>
      <c r="F8" s="2">
        <v>15519097</v>
      </c>
    </row>
    <row r="9" spans="1:6" x14ac:dyDescent="0.3">
      <c r="A9" s="1" t="s">
        <v>6</v>
      </c>
      <c r="B9" s="2">
        <f t="shared" si="0"/>
        <v>-28402183</v>
      </c>
      <c r="C9" s="2">
        <v>0</v>
      </c>
      <c r="D9" s="2">
        <v>0</v>
      </c>
      <c r="E9" s="2">
        <v>28402183</v>
      </c>
      <c r="F9" s="2">
        <v>22074845</v>
      </c>
    </row>
    <row r="10" spans="1:6" x14ac:dyDescent="0.3">
      <c r="A10" s="1" t="s">
        <v>7</v>
      </c>
      <c r="B10" s="2">
        <f t="shared" si="0"/>
        <v>-30186371</v>
      </c>
      <c r="C10" s="2">
        <v>0</v>
      </c>
      <c r="D10" s="2">
        <v>0</v>
      </c>
      <c r="E10" s="2">
        <v>30186371</v>
      </c>
      <c r="F10" s="2">
        <v>23346244</v>
      </c>
    </row>
    <row r="11" spans="1:6" x14ac:dyDescent="0.3">
      <c r="A11" s="1" t="s">
        <v>8</v>
      </c>
      <c r="B11" s="2">
        <f t="shared" si="0"/>
        <v>-25525048</v>
      </c>
      <c r="C11" s="2">
        <v>0</v>
      </c>
      <c r="D11" s="2">
        <v>0</v>
      </c>
      <c r="E11" s="2">
        <v>25525048</v>
      </c>
      <c r="F11" s="2">
        <v>19774606</v>
      </c>
    </row>
    <row r="12" spans="1:6" x14ac:dyDescent="0.3">
      <c r="A12" s="1" t="s">
        <v>9</v>
      </c>
      <c r="B12" s="2">
        <f t="shared" si="0"/>
        <v>-29184499</v>
      </c>
      <c r="C12" s="2">
        <v>0</v>
      </c>
      <c r="D12" s="2">
        <v>0</v>
      </c>
      <c r="E12" s="2">
        <v>29184499</v>
      </c>
      <c r="F12" s="2">
        <v>22890793</v>
      </c>
    </row>
    <row r="13" spans="1:6" x14ac:dyDescent="0.3">
      <c r="A13" s="1" t="s">
        <v>10</v>
      </c>
      <c r="B13" s="2">
        <f t="shared" si="0"/>
        <v>-21775040</v>
      </c>
      <c r="C13" s="2">
        <v>0</v>
      </c>
      <c r="D13" s="2">
        <v>0</v>
      </c>
      <c r="E13" s="2">
        <v>21775040</v>
      </c>
      <c r="F13" s="2">
        <v>16667888</v>
      </c>
    </row>
    <row r="14" spans="1:6" x14ac:dyDescent="0.3">
      <c r="A14" s="1" t="s">
        <v>11</v>
      </c>
      <c r="B14" s="2">
        <f t="shared" si="0"/>
        <v>-34496167</v>
      </c>
      <c r="C14" s="2">
        <v>0</v>
      </c>
      <c r="D14" s="2">
        <v>0</v>
      </c>
      <c r="E14" s="2">
        <v>34496167</v>
      </c>
      <c r="F14" s="2">
        <v>27342402</v>
      </c>
    </row>
    <row r="15" spans="1:6" ht="17.25" thickBot="1" x14ac:dyDescent="0.35">
      <c r="A15" s="4" t="s">
        <v>31</v>
      </c>
      <c r="B15" s="5">
        <f>SUM(B3:B14)</f>
        <v>-284064544</v>
      </c>
      <c r="C15" s="5">
        <f t="shared" ref="C15:F15" si="1">SUM(C3:C14)</f>
        <v>0</v>
      </c>
      <c r="D15" s="5">
        <f t="shared" si="1"/>
        <v>0</v>
      </c>
      <c r="E15" s="5">
        <f t="shared" si="1"/>
        <v>284064544</v>
      </c>
      <c r="F15" s="5">
        <f t="shared" si="1"/>
        <v>223460884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-33994829</v>
      </c>
      <c r="C3" s="2">
        <v>0</v>
      </c>
      <c r="D3" s="2">
        <v>0</v>
      </c>
      <c r="E3" s="2">
        <v>33994829</v>
      </c>
      <c r="F3" s="2">
        <v>27620494</v>
      </c>
    </row>
    <row r="4" spans="1:6" x14ac:dyDescent="0.3">
      <c r="A4" s="1" t="s">
        <v>27</v>
      </c>
      <c r="B4" s="2">
        <f t="shared" ref="B4:B14" si="0">C4-E4</f>
        <v>-31752190</v>
      </c>
      <c r="C4" s="2">
        <v>0</v>
      </c>
      <c r="D4" s="2">
        <v>0</v>
      </c>
      <c r="E4" s="2">
        <v>31752190</v>
      </c>
      <c r="F4" s="2">
        <v>25997063</v>
      </c>
    </row>
    <row r="5" spans="1:6" x14ac:dyDescent="0.3">
      <c r="A5" s="1" t="s">
        <v>29</v>
      </c>
      <c r="B5" s="2">
        <f t="shared" si="0"/>
        <v>-27241670</v>
      </c>
      <c r="C5" s="2">
        <v>0</v>
      </c>
      <c r="D5" s="2">
        <v>0</v>
      </c>
      <c r="E5" s="2">
        <v>27241670</v>
      </c>
      <c r="F5" s="2">
        <v>22440789</v>
      </c>
    </row>
    <row r="6" spans="1:6" x14ac:dyDescent="0.3">
      <c r="A6" s="1" t="s">
        <v>3</v>
      </c>
      <c r="B6" s="2">
        <f t="shared" si="0"/>
        <v>-22299977</v>
      </c>
      <c r="C6" s="2">
        <v>0</v>
      </c>
      <c r="D6" s="2">
        <v>0</v>
      </c>
      <c r="E6" s="2">
        <v>22299977</v>
      </c>
      <c r="F6" s="2">
        <v>18106830</v>
      </c>
    </row>
    <row r="7" spans="1:6" x14ac:dyDescent="0.3">
      <c r="A7" s="1" t="s">
        <v>4</v>
      </c>
      <c r="B7" s="2">
        <f t="shared" si="0"/>
        <v>-24628597</v>
      </c>
      <c r="C7" s="2">
        <v>0</v>
      </c>
      <c r="D7" s="2">
        <v>0</v>
      </c>
      <c r="E7" s="2">
        <v>24628597</v>
      </c>
      <c r="F7" s="2">
        <v>20318083</v>
      </c>
    </row>
    <row r="8" spans="1:6" x14ac:dyDescent="0.3">
      <c r="A8" s="1" t="s">
        <v>5</v>
      </c>
      <c r="B8" s="2">
        <f t="shared" si="0"/>
        <v>-45431215</v>
      </c>
      <c r="C8" s="2">
        <v>0</v>
      </c>
      <c r="D8" s="2">
        <v>0</v>
      </c>
      <c r="E8" s="2">
        <v>45431215</v>
      </c>
      <c r="F8" s="2">
        <v>36520450</v>
      </c>
    </row>
    <row r="9" spans="1:6" x14ac:dyDescent="0.3">
      <c r="A9" s="1" t="s">
        <v>6</v>
      </c>
      <c r="B9" s="2">
        <f t="shared" si="0"/>
        <v>-6784922</v>
      </c>
      <c r="C9" s="2">
        <v>0</v>
      </c>
      <c r="D9" s="2">
        <v>0</v>
      </c>
      <c r="E9" s="2">
        <v>6784922</v>
      </c>
      <c r="F9" s="2">
        <v>5274724</v>
      </c>
    </row>
    <row r="10" spans="1:6" x14ac:dyDescent="0.3">
      <c r="A10" s="1" t="s">
        <v>7</v>
      </c>
      <c r="B10" s="2">
        <f t="shared" si="0"/>
        <v>-14033608</v>
      </c>
      <c r="C10" s="2">
        <v>0</v>
      </c>
      <c r="D10" s="2">
        <v>0</v>
      </c>
      <c r="E10" s="2">
        <v>14033608</v>
      </c>
      <c r="F10" s="2">
        <v>10830920</v>
      </c>
    </row>
    <row r="11" spans="1:6" x14ac:dyDescent="0.3">
      <c r="A11" s="1" t="s">
        <v>8</v>
      </c>
      <c r="B11" s="2">
        <f t="shared" si="0"/>
        <v>-21425335</v>
      </c>
      <c r="C11" s="2">
        <v>0</v>
      </c>
      <c r="D11" s="2">
        <v>0</v>
      </c>
      <c r="E11" s="2">
        <v>21425335</v>
      </c>
      <c r="F11" s="2">
        <v>17224195</v>
      </c>
    </row>
    <row r="12" spans="1:6" x14ac:dyDescent="0.3">
      <c r="A12" s="1" t="s">
        <v>9</v>
      </c>
      <c r="B12" s="2">
        <f t="shared" si="0"/>
        <v>-27051451</v>
      </c>
      <c r="C12" s="2">
        <v>0</v>
      </c>
      <c r="D12" s="2">
        <v>0</v>
      </c>
      <c r="E12" s="2">
        <v>27051451</v>
      </c>
      <c r="F12" s="2">
        <v>22074477</v>
      </c>
    </row>
    <row r="13" spans="1:6" x14ac:dyDescent="0.3">
      <c r="A13" s="1" t="s">
        <v>10</v>
      </c>
      <c r="B13" s="2">
        <f t="shared" si="0"/>
        <v>-24568011</v>
      </c>
      <c r="C13" s="2">
        <v>0</v>
      </c>
      <c r="D13" s="2">
        <v>0</v>
      </c>
      <c r="E13" s="2">
        <v>24568011</v>
      </c>
      <c r="F13" s="2">
        <v>20116680</v>
      </c>
    </row>
    <row r="14" spans="1:6" x14ac:dyDescent="0.3">
      <c r="A14" s="1" t="s">
        <v>11</v>
      </c>
      <c r="B14" s="2">
        <f t="shared" si="0"/>
        <v>-46672917</v>
      </c>
      <c r="C14" s="2">
        <v>0</v>
      </c>
      <c r="D14" s="2">
        <v>0</v>
      </c>
      <c r="E14" s="2">
        <v>46672917</v>
      </c>
      <c r="F14" s="2">
        <v>37196898</v>
      </c>
    </row>
    <row r="15" spans="1:6" ht="17.25" thickBot="1" x14ac:dyDescent="0.35">
      <c r="A15" s="4" t="s">
        <v>30</v>
      </c>
      <c r="B15" s="5">
        <f>SUM(B3:B14)</f>
        <v>-325884722</v>
      </c>
      <c r="C15" s="5">
        <f t="shared" ref="C15:F15" si="1">SUM(C3:C14)</f>
        <v>0</v>
      </c>
      <c r="D15" s="5">
        <f t="shared" si="1"/>
        <v>0</v>
      </c>
      <c r="E15" s="5">
        <f t="shared" si="1"/>
        <v>325884722</v>
      </c>
      <c r="F15" s="5">
        <f t="shared" si="1"/>
        <v>263721603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32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-17798170</v>
      </c>
      <c r="C3" s="2">
        <v>0</v>
      </c>
      <c r="D3" s="2">
        <v>0</v>
      </c>
      <c r="E3" s="2">
        <v>17798170</v>
      </c>
      <c r="F3" s="2">
        <v>15386091</v>
      </c>
    </row>
    <row r="4" spans="1:6" x14ac:dyDescent="0.3">
      <c r="A4" s="1" t="s">
        <v>27</v>
      </c>
      <c r="B4" s="2">
        <f t="shared" si="0"/>
        <v>-11058617</v>
      </c>
      <c r="C4" s="2">
        <v>0</v>
      </c>
      <c r="D4" s="2">
        <v>0</v>
      </c>
      <c r="E4" s="2">
        <v>11058617</v>
      </c>
      <c r="F4" s="2">
        <v>9527763</v>
      </c>
    </row>
    <row r="5" spans="1:6" x14ac:dyDescent="0.3">
      <c r="A5" s="1" t="s">
        <v>29</v>
      </c>
      <c r="B5" s="2">
        <f t="shared" si="0"/>
        <v>-20035776</v>
      </c>
      <c r="C5" s="2">
        <v>0</v>
      </c>
      <c r="D5" s="2">
        <v>0</v>
      </c>
      <c r="E5" s="2">
        <v>20035776</v>
      </c>
      <c r="F5" s="2">
        <v>17088384</v>
      </c>
    </row>
    <row r="6" spans="1:6" x14ac:dyDescent="0.3">
      <c r="A6" s="1" t="s">
        <v>3</v>
      </c>
      <c r="B6" s="2">
        <f t="shared" si="0"/>
        <v>-3820180</v>
      </c>
      <c r="C6" s="2">
        <v>0</v>
      </c>
      <c r="D6" s="2">
        <v>0</v>
      </c>
      <c r="E6" s="2">
        <v>3820180</v>
      </c>
      <c r="F6" s="2">
        <v>3195820</v>
      </c>
    </row>
    <row r="7" spans="1:6" x14ac:dyDescent="0.3">
      <c r="A7" s="1" t="s">
        <v>4</v>
      </c>
      <c r="B7" s="2">
        <f t="shared" si="0"/>
        <v>-7396296</v>
      </c>
      <c r="C7" s="2">
        <v>0</v>
      </c>
      <c r="D7" s="2">
        <v>0</v>
      </c>
      <c r="E7" s="2">
        <v>7396296</v>
      </c>
      <c r="F7" s="2">
        <v>6134151</v>
      </c>
    </row>
    <row r="8" spans="1:6" x14ac:dyDescent="0.3">
      <c r="A8" s="1" t="s">
        <v>5</v>
      </c>
      <c r="B8" s="2">
        <f t="shared" si="0"/>
        <v>-31148969</v>
      </c>
      <c r="C8" s="2">
        <v>0</v>
      </c>
      <c r="D8" s="2">
        <v>0</v>
      </c>
      <c r="E8" s="2">
        <v>31148969</v>
      </c>
      <c r="F8" s="2">
        <v>27648894</v>
      </c>
    </row>
    <row r="9" spans="1:6" x14ac:dyDescent="0.3">
      <c r="A9" s="1" t="s">
        <v>6</v>
      </c>
      <c r="B9" s="2">
        <f t="shared" si="0"/>
        <v>-3033265</v>
      </c>
      <c r="C9" s="2">
        <v>0</v>
      </c>
      <c r="D9" s="2">
        <v>0</v>
      </c>
      <c r="E9" s="2">
        <v>3033265</v>
      </c>
      <c r="F9" s="2">
        <v>2605834</v>
      </c>
    </row>
    <row r="10" spans="1:6" x14ac:dyDescent="0.3">
      <c r="A10" s="1" t="s">
        <v>7</v>
      </c>
      <c r="B10" s="2">
        <f t="shared" si="0"/>
        <v>-22923154</v>
      </c>
      <c r="C10" s="2">
        <v>0</v>
      </c>
      <c r="D10" s="2">
        <v>0</v>
      </c>
      <c r="E10" s="2">
        <v>22923154</v>
      </c>
      <c r="F10" s="2">
        <v>21199249</v>
      </c>
    </row>
    <row r="11" spans="1:6" x14ac:dyDescent="0.3">
      <c r="A11" s="1" t="s">
        <v>8</v>
      </c>
      <c r="B11" s="2">
        <f t="shared" si="0"/>
        <v>-19121254</v>
      </c>
      <c r="C11" s="2">
        <v>0</v>
      </c>
      <c r="D11" s="2">
        <v>0</v>
      </c>
      <c r="E11" s="2">
        <v>19121254</v>
      </c>
      <c r="F11" s="2">
        <v>18069793</v>
      </c>
    </row>
    <row r="12" spans="1:6" x14ac:dyDescent="0.3">
      <c r="A12" s="1" t="s">
        <v>9</v>
      </c>
      <c r="B12" s="2">
        <f t="shared" si="0"/>
        <v>-17779080</v>
      </c>
      <c r="C12" s="2">
        <v>0</v>
      </c>
      <c r="D12" s="2">
        <v>0</v>
      </c>
      <c r="E12" s="2">
        <v>17779080</v>
      </c>
      <c r="F12" s="2">
        <v>17237975</v>
      </c>
    </row>
    <row r="13" spans="1:6" x14ac:dyDescent="0.3">
      <c r="A13" s="1" t="s">
        <v>10</v>
      </c>
      <c r="B13" s="2">
        <f t="shared" si="0"/>
        <v>-24959440</v>
      </c>
      <c r="C13" s="2">
        <v>0</v>
      </c>
      <c r="D13" s="2">
        <v>0</v>
      </c>
      <c r="E13" s="2">
        <v>24959440</v>
      </c>
      <c r="F13" s="2">
        <v>26158790</v>
      </c>
    </row>
    <row r="14" spans="1:6" x14ac:dyDescent="0.3">
      <c r="A14" s="1" t="s">
        <v>11</v>
      </c>
      <c r="B14" s="2">
        <f t="shared" si="0"/>
        <v>-23653110</v>
      </c>
      <c r="C14" s="2">
        <v>0</v>
      </c>
      <c r="D14" s="2">
        <v>0</v>
      </c>
      <c r="E14" s="2">
        <v>23653110</v>
      </c>
      <c r="F14" s="2">
        <v>25049419</v>
      </c>
    </row>
    <row r="15" spans="1:6" ht="17.25" thickBot="1" x14ac:dyDescent="0.35">
      <c r="A15" s="4" t="s">
        <v>31</v>
      </c>
      <c r="B15" s="5">
        <f>SUM(B3:B14)</f>
        <v>-202727311</v>
      </c>
      <c r="C15" s="5">
        <f t="shared" ref="C15:F15" si="1">SUM(C3:C14)</f>
        <v>0</v>
      </c>
      <c r="D15" s="5">
        <f t="shared" si="1"/>
        <v>0</v>
      </c>
      <c r="E15" s="5">
        <f t="shared" si="1"/>
        <v>202727311</v>
      </c>
      <c r="F15" s="5">
        <f t="shared" si="1"/>
        <v>189302163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 t="shared" ref="B3:B14" si="0">C3-E3</f>
        <v>-22669760</v>
      </c>
      <c r="C3" s="2">
        <v>0</v>
      </c>
      <c r="D3" s="2">
        <v>0</v>
      </c>
      <c r="E3" s="2">
        <v>22669760</v>
      </c>
      <c r="F3" s="2">
        <v>23803365</v>
      </c>
    </row>
    <row r="4" spans="1:6" x14ac:dyDescent="0.3">
      <c r="A4" s="1" t="s">
        <v>34</v>
      </c>
      <c r="B4" s="2">
        <f t="shared" si="0"/>
        <v>-16194362</v>
      </c>
      <c r="C4" s="2">
        <v>0</v>
      </c>
      <c r="D4" s="2">
        <v>0</v>
      </c>
      <c r="E4" s="2">
        <v>16194362</v>
      </c>
      <c r="F4" s="2">
        <v>16826177</v>
      </c>
    </row>
    <row r="5" spans="1:6" x14ac:dyDescent="0.3">
      <c r="A5" s="1" t="s">
        <v>29</v>
      </c>
      <c r="B5" s="2">
        <f t="shared" si="0"/>
        <v>-11775635</v>
      </c>
      <c r="C5" s="2">
        <v>0</v>
      </c>
      <c r="D5" s="2">
        <v>0</v>
      </c>
      <c r="E5" s="2">
        <v>11775635</v>
      </c>
      <c r="F5" s="2">
        <v>11819200</v>
      </c>
    </row>
    <row r="6" spans="1:6" x14ac:dyDescent="0.3">
      <c r="A6" s="1" t="s">
        <v>3</v>
      </c>
      <c r="B6" s="2">
        <f t="shared" si="0"/>
        <v>-12642790</v>
      </c>
      <c r="C6" s="2">
        <v>0</v>
      </c>
      <c r="D6" s="2">
        <v>0</v>
      </c>
      <c r="E6" s="2">
        <v>12642790</v>
      </c>
      <c r="F6" s="2">
        <v>12865275</v>
      </c>
    </row>
    <row r="7" spans="1:6" x14ac:dyDescent="0.3">
      <c r="A7" s="1" t="s">
        <v>4</v>
      </c>
      <c r="B7" s="2">
        <f t="shared" si="0"/>
        <v>-4009615</v>
      </c>
      <c r="C7" s="2">
        <v>0</v>
      </c>
      <c r="D7" s="2">
        <v>0</v>
      </c>
      <c r="E7" s="2">
        <v>4009615</v>
      </c>
      <c r="F7" s="2">
        <v>4205560</v>
      </c>
    </row>
    <row r="8" spans="1:6" x14ac:dyDescent="0.3">
      <c r="A8" s="1" t="s">
        <v>5</v>
      </c>
      <c r="B8" s="2">
        <f t="shared" si="0"/>
        <v>-3468046</v>
      </c>
      <c r="C8" s="2">
        <v>0</v>
      </c>
      <c r="D8" s="2">
        <v>0</v>
      </c>
      <c r="E8" s="2">
        <v>3468046</v>
      </c>
      <c r="F8" s="2">
        <v>3584674</v>
      </c>
    </row>
    <row r="9" spans="1:6" x14ac:dyDescent="0.3">
      <c r="A9" s="1" t="s">
        <v>6</v>
      </c>
      <c r="B9" s="2">
        <f t="shared" si="0"/>
        <v>-14654327</v>
      </c>
      <c r="C9" s="2">
        <v>0</v>
      </c>
      <c r="D9" s="2">
        <v>0</v>
      </c>
      <c r="E9" s="2">
        <v>14654327</v>
      </c>
      <c r="F9" s="2">
        <v>15108911</v>
      </c>
    </row>
    <row r="10" spans="1:6" x14ac:dyDescent="0.3">
      <c r="A10" s="1" t="s">
        <v>7</v>
      </c>
      <c r="B10" s="2">
        <f t="shared" si="0"/>
        <v>-11509320</v>
      </c>
      <c r="C10" s="2">
        <v>0</v>
      </c>
      <c r="D10" s="2">
        <v>0</v>
      </c>
      <c r="E10" s="2">
        <v>11509320</v>
      </c>
      <c r="F10" s="2">
        <v>12458750</v>
      </c>
    </row>
    <row r="11" spans="1:6" x14ac:dyDescent="0.3">
      <c r="A11" s="1" t="s">
        <v>8</v>
      </c>
      <c r="B11" s="2">
        <f t="shared" si="0"/>
        <v>-16980666</v>
      </c>
      <c r="C11" s="2">
        <v>0</v>
      </c>
      <c r="D11" s="2">
        <v>0</v>
      </c>
      <c r="E11" s="2">
        <v>16980666</v>
      </c>
      <c r="F11" s="2">
        <v>18368102</v>
      </c>
    </row>
    <row r="12" spans="1:6" x14ac:dyDescent="0.3">
      <c r="A12" s="1" t="s">
        <v>9</v>
      </c>
      <c r="B12" s="2">
        <f t="shared" si="0"/>
        <v>-17098486</v>
      </c>
      <c r="C12" s="2">
        <v>0</v>
      </c>
      <c r="D12" s="2">
        <v>0</v>
      </c>
      <c r="E12" s="2">
        <v>17098486</v>
      </c>
      <c r="F12" s="2">
        <v>18553955</v>
      </c>
    </row>
    <row r="13" spans="1:6" x14ac:dyDescent="0.3">
      <c r="A13" s="1" t="s">
        <v>10</v>
      </c>
      <c r="B13" s="2">
        <f t="shared" si="0"/>
        <v>-10529220</v>
      </c>
      <c r="C13" s="2">
        <v>0</v>
      </c>
      <c r="D13" s="2">
        <v>0</v>
      </c>
      <c r="E13" s="2">
        <v>10529220</v>
      </c>
      <c r="F13" s="2">
        <v>11501886</v>
      </c>
    </row>
    <row r="14" spans="1:6" x14ac:dyDescent="0.3">
      <c r="A14" s="1" t="s">
        <v>11</v>
      </c>
      <c r="B14" s="2">
        <f t="shared" si="0"/>
        <v>-5920504</v>
      </c>
      <c r="C14" s="2">
        <v>0</v>
      </c>
      <c r="D14" s="2">
        <v>0</v>
      </c>
      <c r="E14" s="2">
        <v>5920504</v>
      </c>
      <c r="F14" s="2">
        <v>6643541</v>
      </c>
    </row>
    <row r="15" spans="1:6" ht="17.25" thickBot="1" x14ac:dyDescent="0.35">
      <c r="A15" s="4" t="s">
        <v>35</v>
      </c>
      <c r="B15" s="5">
        <f>SUM(B3:B14)</f>
        <v>-147452731</v>
      </c>
      <c r="C15" s="5">
        <f t="shared" ref="C15:F15" si="1">SUM(C3:C14)</f>
        <v>0</v>
      </c>
      <c r="D15" s="5">
        <f t="shared" si="1"/>
        <v>0</v>
      </c>
      <c r="E15" s="5">
        <f t="shared" si="1"/>
        <v>147452731</v>
      </c>
      <c r="F15" s="5">
        <f t="shared" si="1"/>
        <v>155739396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-4987649</v>
      </c>
      <c r="C3" s="2">
        <v>0</v>
      </c>
      <c r="D3" s="2">
        <v>0</v>
      </c>
      <c r="E3" s="2">
        <v>4987649</v>
      </c>
      <c r="F3" s="2">
        <v>5846972</v>
      </c>
    </row>
    <row r="4" spans="1:6" x14ac:dyDescent="0.3">
      <c r="A4" s="1" t="s">
        <v>27</v>
      </c>
      <c r="B4" s="2">
        <f t="shared" si="0"/>
        <v>-5781599</v>
      </c>
      <c r="C4" s="2">
        <v>0</v>
      </c>
      <c r="D4" s="2">
        <v>0</v>
      </c>
      <c r="E4" s="2">
        <v>5781599</v>
      </c>
      <c r="F4" s="2">
        <v>6880789</v>
      </c>
    </row>
    <row r="5" spans="1:6" x14ac:dyDescent="0.3">
      <c r="A5" s="1" t="s">
        <v>29</v>
      </c>
      <c r="B5" s="2">
        <f t="shared" si="0"/>
        <v>-3394557</v>
      </c>
      <c r="C5" s="2">
        <v>0</v>
      </c>
      <c r="D5" s="2">
        <v>0</v>
      </c>
      <c r="E5" s="2">
        <v>3394557</v>
      </c>
      <c r="F5" s="2">
        <v>4000000</v>
      </c>
    </row>
    <row r="6" spans="1:6" x14ac:dyDescent="0.3">
      <c r="A6" s="1" t="s">
        <v>3</v>
      </c>
      <c r="B6" s="2">
        <f t="shared" si="0"/>
        <v>-2569844</v>
      </c>
      <c r="C6" s="2">
        <v>0</v>
      </c>
      <c r="D6" s="2">
        <v>0</v>
      </c>
      <c r="E6" s="2">
        <v>2569844</v>
      </c>
      <c r="F6" s="2">
        <v>3250000</v>
      </c>
    </row>
    <row r="7" spans="1:6" x14ac:dyDescent="0.3">
      <c r="A7" s="1" t="s">
        <v>4</v>
      </c>
      <c r="B7" s="2">
        <f t="shared" si="0"/>
        <v>-12266590</v>
      </c>
      <c r="C7" s="2">
        <v>0</v>
      </c>
      <c r="D7" s="2">
        <v>0</v>
      </c>
      <c r="E7" s="2">
        <v>12266590</v>
      </c>
      <c r="F7" s="2">
        <v>15106760</v>
      </c>
    </row>
    <row r="8" spans="1:6" x14ac:dyDescent="0.3">
      <c r="A8" s="1" t="s">
        <v>5</v>
      </c>
      <c r="B8" s="2">
        <f t="shared" si="0"/>
        <v>-3380316</v>
      </c>
      <c r="C8" s="2">
        <v>0</v>
      </c>
      <c r="D8" s="2">
        <v>0</v>
      </c>
      <c r="E8" s="2">
        <v>3380316</v>
      </c>
      <c r="F8" s="2">
        <v>4200000</v>
      </c>
    </row>
    <row r="9" spans="1:6" x14ac:dyDescent="0.3">
      <c r="A9" s="1" t="s">
        <v>6</v>
      </c>
      <c r="B9" s="2">
        <f t="shared" si="0"/>
        <v>-6184966</v>
      </c>
      <c r="C9" s="2">
        <v>0</v>
      </c>
      <c r="D9" s="2">
        <v>0</v>
      </c>
      <c r="E9" s="2">
        <v>6184966</v>
      </c>
      <c r="F9" s="2">
        <v>8310403</v>
      </c>
    </row>
    <row r="10" spans="1:6" x14ac:dyDescent="0.3">
      <c r="A10" s="1" t="s">
        <v>7</v>
      </c>
      <c r="B10" s="2">
        <f t="shared" si="0"/>
        <v>-12050316</v>
      </c>
      <c r="C10" s="2">
        <v>0</v>
      </c>
      <c r="D10" s="2">
        <v>0</v>
      </c>
      <c r="E10" s="2">
        <v>12050316</v>
      </c>
      <c r="F10" s="2">
        <v>15850000</v>
      </c>
    </row>
    <row r="11" spans="1:6" x14ac:dyDescent="0.3">
      <c r="A11" s="1" t="s">
        <v>8</v>
      </c>
      <c r="B11" s="2">
        <f t="shared" si="0"/>
        <v>-9807016</v>
      </c>
      <c r="C11" s="2">
        <v>0</v>
      </c>
      <c r="D11" s="2">
        <v>0</v>
      </c>
      <c r="E11" s="2">
        <v>9807016</v>
      </c>
      <c r="F11" s="2">
        <v>12634267</v>
      </c>
    </row>
    <row r="12" spans="1:6" x14ac:dyDescent="0.3">
      <c r="A12" s="1" t="s">
        <v>9</v>
      </c>
      <c r="B12" s="2">
        <f t="shared" si="0"/>
        <v>-12804324</v>
      </c>
      <c r="C12" s="2">
        <v>0</v>
      </c>
      <c r="D12" s="2">
        <v>0</v>
      </c>
      <c r="E12" s="2">
        <v>12804324</v>
      </c>
      <c r="F12" s="2">
        <v>17049302</v>
      </c>
    </row>
    <row r="13" spans="1:6" x14ac:dyDescent="0.3">
      <c r="A13" s="1" t="s">
        <v>10</v>
      </c>
      <c r="B13" s="2">
        <f t="shared" si="0"/>
        <v>-9366935</v>
      </c>
      <c r="C13" s="2">
        <v>0</v>
      </c>
      <c r="D13" s="2">
        <v>0</v>
      </c>
      <c r="E13" s="2">
        <v>9366935</v>
      </c>
      <c r="F13" s="2">
        <v>12730286</v>
      </c>
    </row>
    <row r="14" spans="1:6" x14ac:dyDescent="0.3">
      <c r="A14" s="1" t="s">
        <v>11</v>
      </c>
      <c r="B14" s="2">
        <f t="shared" si="0"/>
        <v>-11807911</v>
      </c>
      <c r="C14" s="2">
        <v>0</v>
      </c>
      <c r="D14" s="2">
        <v>0</v>
      </c>
      <c r="E14" s="2">
        <v>11807911</v>
      </c>
      <c r="F14" s="2">
        <v>16433431</v>
      </c>
    </row>
    <row r="15" spans="1:6" ht="17.25" thickBot="1" x14ac:dyDescent="0.35">
      <c r="A15" s="4" t="s">
        <v>31</v>
      </c>
      <c r="B15" s="5">
        <f>SUM(B3:B14)</f>
        <v>-94402023</v>
      </c>
      <c r="C15" s="5">
        <f t="shared" ref="C15:F15" si="1">SUM(C3:C14)</f>
        <v>0</v>
      </c>
      <c r="D15" s="5">
        <f t="shared" si="1"/>
        <v>0</v>
      </c>
      <c r="E15" s="5">
        <f t="shared" si="1"/>
        <v>94402023</v>
      </c>
      <c r="F15" s="5">
        <f t="shared" si="1"/>
        <v>122292210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 t="shared" ref="B3:B14" si="0">C3-E3</f>
        <v>-8825209</v>
      </c>
      <c r="C3" s="2">
        <v>0</v>
      </c>
      <c r="D3" s="2">
        <v>0</v>
      </c>
      <c r="E3" s="2">
        <v>8825209</v>
      </c>
      <c r="F3" s="2">
        <v>11634353</v>
      </c>
    </row>
    <row r="4" spans="1:6" x14ac:dyDescent="0.3">
      <c r="A4" s="1" t="s">
        <v>27</v>
      </c>
      <c r="B4" s="2">
        <f t="shared" si="0"/>
        <v>-4177639</v>
      </c>
      <c r="C4" s="2">
        <v>0</v>
      </c>
      <c r="D4" s="2">
        <v>0</v>
      </c>
      <c r="E4" s="2">
        <v>4177639</v>
      </c>
      <c r="F4" s="2">
        <v>5700000</v>
      </c>
    </row>
    <row r="5" spans="1:6" x14ac:dyDescent="0.3">
      <c r="A5" s="1" t="s">
        <v>28</v>
      </c>
      <c r="B5" s="2">
        <f t="shared" si="0"/>
        <v>-7680576</v>
      </c>
      <c r="C5" s="2">
        <v>0</v>
      </c>
      <c r="D5" s="2">
        <v>0</v>
      </c>
      <c r="E5" s="2">
        <v>7680576</v>
      </c>
      <c r="F5" s="2">
        <v>10500000</v>
      </c>
    </row>
    <row r="6" spans="1:6" x14ac:dyDescent="0.3">
      <c r="A6" s="1" t="s">
        <v>3</v>
      </c>
      <c r="B6" s="2">
        <f t="shared" si="0"/>
        <v>-7875298</v>
      </c>
      <c r="C6" s="2">
        <v>0</v>
      </c>
      <c r="D6" s="2">
        <v>0</v>
      </c>
      <c r="E6" s="2">
        <v>7875298</v>
      </c>
      <c r="F6" s="2">
        <v>10638968</v>
      </c>
    </row>
    <row r="7" spans="1:6" x14ac:dyDescent="0.3">
      <c r="A7" s="1" t="s">
        <v>4</v>
      </c>
      <c r="B7" s="2">
        <f t="shared" si="0"/>
        <v>-9842826</v>
      </c>
      <c r="C7" s="2">
        <v>0</v>
      </c>
      <c r="D7" s="2">
        <v>0</v>
      </c>
      <c r="E7" s="2">
        <v>9842826</v>
      </c>
      <c r="F7" s="2">
        <v>13377322</v>
      </c>
    </row>
    <row r="8" spans="1:6" x14ac:dyDescent="0.3">
      <c r="A8" s="1" t="s">
        <v>5</v>
      </c>
      <c r="B8" s="2">
        <f t="shared" si="0"/>
        <v>-9861238</v>
      </c>
      <c r="C8" s="2">
        <v>0</v>
      </c>
      <c r="D8" s="2">
        <v>0</v>
      </c>
      <c r="E8" s="2">
        <v>9861238</v>
      </c>
      <c r="F8" s="2">
        <v>12832256</v>
      </c>
    </row>
    <row r="9" spans="1:6" x14ac:dyDescent="0.3">
      <c r="A9" s="1" t="s">
        <v>6</v>
      </c>
      <c r="B9" s="2">
        <f t="shared" si="0"/>
        <v>-11562065</v>
      </c>
      <c r="C9" s="2">
        <v>0</v>
      </c>
      <c r="D9" s="2">
        <v>0</v>
      </c>
      <c r="E9" s="2">
        <v>11562065</v>
      </c>
      <c r="F9" s="2">
        <v>15067386</v>
      </c>
    </row>
    <row r="10" spans="1:6" x14ac:dyDescent="0.3">
      <c r="A10" s="1" t="s">
        <v>7</v>
      </c>
      <c r="B10" s="2">
        <f t="shared" si="0"/>
        <v>-18986684</v>
      </c>
      <c r="C10" s="2">
        <v>0</v>
      </c>
      <c r="D10" s="2">
        <v>0</v>
      </c>
      <c r="E10" s="2">
        <v>18986684</v>
      </c>
      <c r="F10" s="2">
        <v>24422000</v>
      </c>
    </row>
    <row r="11" spans="1:6" x14ac:dyDescent="0.3">
      <c r="A11" s="1" t="s">
        <v>8</v>
      </c>
      <c r="B11" s="2">
        <f t="shared" si="0"/>
        <v>-11181390</v>
      </c>
      <c r="C11" s="2">
        <v>0</v>
      </c>
      <c r="D11" s="2">
        <v>0</v>
      </c>
      <c r="E11" s="2">
        <v>11181390</v>
      </c>
      <c r="F11" s="2">
        <v>14661235</v>
      </c>
    </row>
    <row r="12" spans="1:6" x14ac:dyDescent="0.3">
      <c r="A12" s="1" t="s">
        <v>9</v>
      </c>
      <c r="B12" s="2">
        <f t="shared" si="0"/>
        <v>-10830299</v>
      </c>
      <c r="C12" s="2">
        <v>0</v>
      </c>
      <c r="D12" s="2">
        <v>0</v>
      </c>
      <c r="E12" s="2">
        <v>10830299</v>
      </c>
      <c r="F12" s="2">
        <v>13892659</v>
      </c>
    </row>
    <row r="13" spans="1:6" x14ac:dyDescent="0.3">
      <c r="A13" s="1" t="s">
        <v>10</v>
      </c>
      <c r="B13" s="2">
        <f t="shared" si="0"/>
        <v>-6181229</v>
      </c>
      <c r="C13" s="2">
        <v>0</v>
      </c>
      <c r="D13" s="2">
        <v>0</v>
      </c>
      <c r="E13" s="2">
        <v>6181229</v>
      </c>
      <c r="F13" s="2">
        <v>8026088</v>
      </c>
    </row>
    <row r="14" spans="1:6" x14ac:dyDescent="0.3">
      <c r="A14" s="1" t="s">
        <v>11</v>
      </c>
      <c r="B14" s="2">
        <f t="shared" si="0"/>
        <v>-5015643</v>
      </c>
      <c r="C14" s="2">
        <v>0</v>
      </c>
      <c r="D14" s="2">
        <v>0</v>
      </c>
      <c r="E14" s="2">
        <v>5015643</v>
      </c>
      <c r="F14" s="2">
        <v>6028913</v>
      </c>
    </row>
    <row r="15" spans="1:6" ht="17.25" thickBot="1" x14ac:dyDescent="0.35">
      <c r="A15" s="4" t="s">
        <v>31</v>
      </c>
      <c r="B15" s="5">
        <f>SUM(B3:B14)</f>
        <v>-112020096</v>
      </c>
      <c r="C15" s="5">
        <f t="shared" ref="C15:F15" si="1">SUM(C3:C14)</f>
        <v>0</v>
      </c>
      <c r="D15" s="5">
        <f t="shared" si="1"/>
        <v>0</v>
      </c>
      <c r="E15" s="5">
        <f t="shared" si="1"/>
        <v>112020096</v>
      </c>
      <c r="F15" s="5">
        <f t="shared" si="1"/>
        <v>146781180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-19949647</v>
      </c>
      <c r="C3" s="2">
        <v>0</v>
      </c>
      <c r="D3" s="2">
        <v>0</v>
      </c>
      <c r="E3" s="2">
        <v>19949647</v>
      </c>
      <c r="F3" s="2">
        <v>24367212</v>
      </c>
    </row>
    <row r="4" spans="1:6" x14ac:dyDescent="0.3">
      <c r="A4" s="1" t="s">
        <v>1</v>
      </c>
      <c r="B4" s="2">
        <f t="shared" ref="B4:B14" si="0">C4-E4</f>
        <v>-11031042</v>
      </c>
      <c r="C4" s="2">
        <v>0</v>
      </c>
      <c r="D4" s="2">
        <v>0</v>
      </c>
      <c r="E4" s="2">
        <v>11031042</v>
      </c>
      <c r="F4" s="2">
        <v>13242502</v>
      </c>
    </row>
    <row r="5" spans="1:6" x14ac:dyDescent="0.3">
      <c r="A5" s="1" t="s">
        <v>2</v>
      </c>
      <c r="B5" s="2">
        <f t="shared" si="0"/>
        <v>-10022077</v>
      </c>
      <c r="C5" s="2">
        <v>0</v>
      </c>
      <c r="D5" s="2">
        <v>0</v>
      </c>
      <c r="E5" s="2">
        <v>10022077</v>
      </c>
      <c r="F5" s="2">
        <v>11639800</v>
      </c>
    </row>
    <row r="6" spans="1:6" x14ac:dyDescent="0.3">
      <c r="A6" s="1" t="s">
        <v>3</v>
      </c>
      <c r="B6" s="2">
        <f t="shared" si="0"/>
        <v>-1315502</v>
      </c>
      <c r="C6" s="2">
        <v>0</v>
      </c>
      <c r="D6" s="2">
        <v>0</v>
      </c>
      <c r="E6" s="2">
        <v>1315502</v>
      </c>
      <c r="F6" s="2">
        <v>1500006</v>
      </c>
    </row>
    <row r="7" spans="1:6" x14ac:dyDescent="0.3">
      <c r="A7" s="1" t="s">
        <v>4</v>
      </c>
      <c r="B7" s="2">
        <f t="shared" si="0"/>
        <v>-5692173</v>
      </c>
      <c r="C7" s="2">
        <v>0</v>
      </c>
      <c r="D7" s="2">
        <v>0</v>
      </c>
      <c r="E7" s="2">
        <v>5692173</v>
      </c>
      <c r="F7" s="2">
        <v>6473039</v>
      </c>
    </row>
    <row r="8" spans="1:6" x14ac:dyDescent="0.3">
      <c r="A8" s="1" t="s">
        <v>5</v>
      </c>
      <c r="B8" s="2">
        <f t="shared" si="0"/>
        <v>-5138223</v>
      </c>
      <c r="C8" s="2">
        <v>0</v>
      </c>
      <c r="D8" s="2">
        <v>0</v>
      </c>
      <c r="E8" s="2">
        <v>5138223</v>
      </c>
      <c r="F8" s="2">
        <v>6127077</v>
      </c>
    </row>
    <row r="9" spans="1:6" x14ac:dyDescent="0.3">
      <c r="A9" s="1" t="s">
        <v>6</v>
      </c>
      <c r="B9" s="2">
        <f t="shared" si="0"/>
        <v>-5668670</v>
      </c>
      <c r="C9" s="2">
        <v>0</v>
      </c>
      <c r="D9" s="2">
        <v>0</v>
      </c>
      <c r="E9" s="2">
        <v>5668670</v>
      </c>
      <c r="F9" s="2">
        <v>6700001</v>
      </c>
    </row>
    <row r="10" spans="1:6" x14ac:dyDescent="0.3">
      <c r="A10" s="1" t="s">
        <v>7</v>
      </c>
      <c r="B10" s="2">
        <f t="shared" si="0"/>
        <v>-8230295</v>
      </c>
      <c r="C10" s="2">
        <v>0</v>
      </c>
      <c r="D10" s="2">
        <v>0</v>
      </c>
      <c r="E10" s="2">
        <v>8230295</v>
      </c>
      <c r="F10" s="2">
        <v>9694855</v>
      </c>
    </row>
    <row r="11" spans="1:6" x14ac:dyDescent="0.3">
      <c r="A11" s="1" t="s">
        <v>8</v>
      </c>
      <c r="B11" s="2">
        <f t="shared" si="0"/>
        <v>-1557127</v>
      </c>
      <c r="C11" s="2">
        <v>0</v>
      </c>
      <c r="D11" s="2">
        <v>0</v>
      </c>
      <c r="E11" s="2">
        <v>1557127</v>
      </c>
      <c r="F11" s="2">
        <v>1880051</v>
      </c>
    </row>
    <row r="12" spans="1:6" x14ac:dyDescent="0.3">
      <c r="A12" s="1" t="s">
        <v>9</v>
      </c>
      <c r="B12" s="2">
        <f t="shared" si="0"/>
        <v>-5245778</v>
      </c>
      <c r="C12" s="2">
        <v>0</v>
      </c>
      <c r="D12" s="2">
        <v>0</v>
      </c>
      <c r="E12" s="2">
        <v>5245778</v>
      </c>
      <c r="F12" s="2">
        <v>6209214</v>
      </c>
    </row>
    <row r="13" spans="1:6" x14ac:dyDescent="0.3">
      <c r="A13" s="1" t="s">
        <v>10</v>
      </c>
      <c r="B13" s="2">
        <f t="shared" si="0"/>
        <v>-4315801</v>
      </c>
      <c r="C13" s="2">
        <v>0</v>
      </c>
      <c r="D13" s="2">
        <v>0</v>
      </c>
      <c r="E13" s="2">
        <v>4315801</v>
      </c>
      <c r="F13" s="2">
        <v>5198496</v>
      </c>
    </row>
    <row r="14" spans="1:6" x14ac:dyDescent="0.3">
      <c r="A14" s="1" t="s">
        <v>11</v>
      </c>
      <c r="B14" s="2">
        <f t="shared" si="0"/>
        <v>-971725</v>
      </c>
      <c r="C14" s="2">
        <v>0</v>
      </c>
      <c r="D14" s="2">
        <v>0</v>
      </c>
      <c r="E14" s="2">
        <v>971725</v>
      </c>
      <c r="F14" s="2">
        <v>1130000</v>
      </c>
    </row>
    <row r="15" spans="1:6" ht="17.25" thickBot="1" x14ac:dyDescent="0.35">
      <c r="A15" s="4" t="s">
        <v>13</v>
      </c>
      <c r="B15" s="5">
        <f>SUM(B3:B14)</f>
        <v>-79138060</v>
      </c>
      <c r="C15" s="5">
        <f t="shared" ref="C15:F15" si="1">SUM(C3:C14)</f>
        <v>0</v>
      </c>
      <c r="D15" s="5">
        <f t="shared" si="1"/>
        <v>0</v>
      </c>
      <c r="E15" s="5">
        <f t="shared" si="1"/>
        <v>79138060</v>
      </c>
      <c r="F15" s="5">
        <f t="shared" si="1"/>
        <v>94162253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-3598404</v>
      </c>
      <c r="C3" s="2">
        <v>0</v>
      </c>
      <c r="D3" s="2">
        <v>0</v>
      </c>
      <c r="E3" s="2">
        <v>3598404</v>
      </c>
      <c r="F3" s="2">
        <v>4297192</v>
      </c>
    </row>
    <row r="4" spans="1:6" x14ac:dyDescent="0.3">
      <c r="A4" s="1" t="s">
        <v>1</v>
      </c>
      <c r="B4" s="2">
        <f t="shared" ref="B4:B14" si="0">C4-E4</f>
        <v>-1597777</v>
      </c>
      <c r="C4" s="2">
        <v>0</v>
      </c>
      <c r="D4" s="2">
        <v>0</v>
      </c>
      <c r="E4" s="2">
        <v>1597777</v>
      </c>
      <c r="F4" s="2">
        <v>1898997</v>
      </c>
    </row>
    <row r="5" spans="1:6" x14ac:dyDescent="0.3">
      <c r="A5" s="1" t="s">
        <v>2</v>
      </c>
      <c r="B5" s="2">
        <f t="shared" si="0"/>
        <v>-2621183</v>
      </c>
      <c r="C5" s="2">
        <v>0</v>
      </c>
      <c r="D5" s="2">
        <v>0</v>
      </c>
      <c r="E5" s="2">
        <v>2621183</v>
      </c>
      <c r="F5" s="2">
        <v>3168998</v>
      </c>
    </row>
    <row r="6" spans="1:6" x14ac:dyDescent="0.3">
      <c r="A6" s="1" t="s">
        <v>3</v>
      </c>
      <c r="B6" s="2">
        <f t="shared" si="0"/>
        <v>-1616166</v>
      </c>
      <c r="C6" s="2">
        <v>0</v>
      </c>
      <c r="D6" s="2">
        <v>0</v>
      </c>
      <c r="E6" s="2">
        <v>1616166</v>
      </c>
      <c r="F6" s="2">
        <v>1959499</v>
      </c>
    </row>
    <row r="7" spans="1:6" x14ac:dyDescent="0.3">
      <c r="A7" s="1" t="s">
        <v>4</v>
      </c>
      <c r="B7" s="2">
        <f t="shared" si="0"/>
        <v>-851292</v>
      </c>
      <c r="C7" s="2">
        <v>0</v>
      </c>
      <c r="D7" s="2">
        <v>0</v>
      </c>
      <c r="E7" s="2">
        <v>851292</v>
      </c>
      <c r="F7" s="2">
        <v>1040000</v>
      </c>
    </row>
    <row r="8" spans="1:6" x14ac:dyDescent="0.3">
      <c r="A8" s="1" t="s">
        <v>5</v>
      </c>
      <c r="B8" s="2">
        <f t="shared" si="0"/>
        <v>-941610</v>
      </c>
      <c r="C8" s="2">
        <v>0</v>
      </c>
      <c r="D8" s="2">
        <v>0</v>
      </c>
      <c r="E8" s="2">
        <v>941610</v>
      </c>
      <c r="F8" s="2">
        <v>1170000</v>
      </c>
    </row>
    <row r="9" spans="1:6" x14ac:dyDescent="0.3">
      <c r="A9" s="1" t="s">
        <v>6</v>
      </c>
      <c r="B9" s="2">
        <f t="shared" si="0"/>
        <v>-386124</v>
      </c>
      <c r="C9" s="2">
        <v>0</v>
      </c>
      <c r="D9" s="2">
        <v>0</v>
      </c>
      <c r="E9" s="2">
        <v>386124</v>
      </c>
      <c r="F9" s="2">
        <v>500000</v>
      </c>
    </row>
    <row r="10" spans="1:6" x14ac:dyDescent="0.3">
      <c r="A10" s="1" t="s">
        <v>7</v>
      </c>
      <c r="B10" s="2">
        <f t="shared" si="0"/>
        <v>-1131952</v>
      </c>
      <c r="C10" s="2">
        <v>0</v>
      </c>
      <c r="D10" s="2">
        <v>0</v>
      </c>
      <c r="E10" s="2">
        <v>1131952</v>
      </c>
      <c r="F10" s="2">
        <v>1430002</v>
      </c>
    </row>
    <row r="11" spans="1:6" x14ac:dyDescent="0.3">
      <c r="A11" s="1" t="s">
        <v>8</v>
      </c>
      <c r="B11" s="2">
        <f t="shared" si="0"/>
        <v>-431282</v>
      </c>
      <c r="C11" s="2">
        <v>0</v>
      </c>
      <c r="D11" s="2">
        <v>0</v>
      </c>
      <c r="E11" s="2">
        <v>431282</v>
      </c>
      <c r="F11" s="2">
        <v>580000</v>
      </c>
    </row>
    <row r="12" spans="1:6" x14ac:dyDescent="0.3">
      <c r="A12" s="1" t="s">
        <v>9</v>
      </c>
      <c r="B12" s="2">
        <f t="shared" si="0"/>
        <v>-741878</v>
      </c>
      <c r="C12" s="2">
        <v>0</v>
      </c>
      <c r="D12" s="2">
        <v>0</v>
      </c>
      <c r="E12" s="2">
        <v>741878</v>
      </c>
      <c r="F12" s="2">
        <v>980920</v>
      </c>
    </row>
    <row r="13" spans="1:6" x14ac:dyDescent="0.3">
      <c r="A13" s="1" t="s">
        <v>10</v>
      </c>
      <c r="B13" s="2">
        <f t="shared" si="0"/>
        <v>-527156</v>
      </c>
      <c r="C13" s="2">
        <v>0</v>
      </c>
      <c r="D13" s="2">
        <v>0</v>
      </c>
      <c r="E13" s="2">
        <v>527156</v>
      </c>
      <c r="F13" s="2">
        <v>700000</v>
      </c>
    </row>
    <row r="14" spans="1:6" x14ac:dyDescent="0.3">
      <c r="A14" s="1" t="s">
        <v>11</v>
      </c>
      <c r="B14" s="2">
        <f t="shared" si="0"/>
        <v>-220455</v>
      </c>
      <c r="C14" s="2">
        <v>0</v>
      </c>
      <c r="D14" s="2">
        <v>0</v>
      </c>
      <c r="E14" s="2">
        <v>220455</v>
      </c>
      <c r="F14" s="2">
        <v>300000</v>
      </c>
    </row>
    <row r="15" spans="1:6" ht="17.25" thickBot="1" x14ac:dyDescent="0.35">
      <c r="A15" s="4" t="s">
        <v>13</v>
      </c>
      <c r="B15" s="5">
        <f>SUM(B3:B14)</f>
        <v>-14665279</v>
      </c>
      <c r="C15" s="5">
        <f t="shared" ref="C15:F15" si="1">SUM(C3:C14)</f>
        <v>0</v>
      </c>
      <c r="D15" s="5">
        <f t="shared" si="1"/>
        <v>0</v>
      </c>
      <c r="E15" s="5">
        <f t="shared" si="1"/>
        <v>14665279</v>
      </c>
      <c r="F15" s="5">
        <f t="shared" si="1"/>
        <v>18025608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-1059829</v>
      </c>
      <c r="C3" s="2">
        <v>0</v>
      </c>
      <c r="D3" s="2">
        <v>0</v>
      </c>
      <c r="E3" s="2">
        <v>1059829</v>
      </c>
      <c r="F3" s="2">
        <v>1460000</v>
      </c>
    </row>
    <row r="4" spans="1:6" x14ac:dyDescent="0.3">
      <c r="A4" s="1" t="s">
        <v>1</v>
      </c>
      <c r="B4" s="2">
        <f t="shared" si="0"/>
        <v>-507143</v>
      </c>
      <c r="C4" s="2">
        <v>0</v>
      </c>
      <c r="D4" s="2">
        <v>0</v>
      </c>
      <c r="E4" s="2">
        <v>507143</v>
      </c>
      <c r="F4" s="2">
        <v>700000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-608872</v>
      </c>
      <c r="C6" s="2">
        <v>0</v>
      </c>
      <c r="D6" s="2">
        <v>0</v>
      </c>
      <c r="E6" s="2">
        <v>608872</v>
      </c>
      <c r="F6" s="2">
        <v>800000</v>
      </c>
    </row>
    <row r="7" spans="1:6" x14ac:dyDescent="0.3">
      <c r="A7" s="1" t="s">
        <v>4</v>
      </c>
      <c r="B7" s="2">
        <f t="shared" si="0"/>
        <v>-853354</v>
      </c>
      <c r="C7" s="2">
        <v>0</v>
      </c>
      <c r="D7" s="2">
        <v>0</v>
      </c>
      <c r="E7" s="2">
        <v>853354</v>
      </c>
      <c r="F7" s="2">
        <v>1150000</v>
      </c>
    </row>
    <row r="8" spans="1:6" x14ac:dyDescent="0.3">
      <c r="A8" s="1" t="s">
        <v>5</v>
      </c>
      <c r="B8" s="2">
        <f t="shared" si="0"/>
        <v>-536250</v>
      </c>
      <c r="C8" s="2">
        <v>0</v>
      </c>
      <c r="D8" s="2">
        <v>0</v>
      </c>
      <c r="E8" s="2">
        <v>536250</v>
      </c>
      <c r="F8" s="2">
        <v>750000</v>
      </c>
    </row>
    <row r="9" spans="1:6" x14ac:dyDescent="0.3">
      <c r="A9" s="1" t="s">
        <v>6</v>
      </c>
      <c r="B9" s="2">
        <f t="shared" si="0"/>
        <v>-915204</v>
      </c>
      <c r="C9" s="2">
        <v>0</v>
      </c>
      <c r="D9" s="2">
        <v>0</v>
      </c>
      <c r="E9" s="2">
        <v>915204</v>
      </c>
      <c r="F9" s="2">
        <v>1300000</v>
      </c>
    </row>
    <row r="10" spans="1:6" x14ac:dyDescent="0.3">
      <c r="A10" s="1" t="s">
        <v>7</v>
      </c>
      <c r="B10" s="2">
        <f t="shared" si="0"/>
        <v>-546885</v>
      </c>
      <c r="C10" s="2">
        <v>0</v>
      </c>
      <c r="D10" s="2">
        <v>0</v>
      </c>
      <c r="E10" s="2">
        <v>546885</v>
      </c>
      <c r="F10" s="2">
        <v>771330</v>
      </c>
    </row>
    <row r="11" spans="1:6" x14ac:dyDescent="0.3">
      <c r="A11" s="1" t="s">
        <v>8</v>
      </c>
      <c r="B11" s="2">
        <f t="shared" si="0"/>
        <v>-927615</v>
      </c>
      <c r="C11" s="2">
        <v>0</v>
      </c>
      <c r="D11" s="2">
        <v>0</v>
      </c>
      <c r="E11" s="2">
        <v>927615</v>
      </c>
      <c r="F11" s="2">
        <v>1247966</v>
      </c>
    </row>
    <row r="12" spans="1:6" x14ac:dyDescent="0.3">
      <c r="A12" s="1" t="s">
        <v>9</v>
      </c>
      <c r="B12" s="2">
        <f t="shared" si="0"/>
        <v>-1976739</v>
      </c>
      <c r="C12" s="2">
        <v>0</v>
      </c>
      <c r="D12" s="2">
        <v>0</v>
      </c>
      <c r="E12" s="2">
        <v>1976739</v>
      </c>
      <c r="F12" s="2">
        <v>2730852</v>
      </c>
    </row>
    <row r="13" spans="1:6" x14ac:dyDescent="0.3">
      <c r="A13" s="1" t="s">
        <v>10</v>
      </c>
      <c r="B13" s="2">
        <f t="shared" si="0"/>
        <v>-1456573</v>
      </c>
      <c r="C13" s="2">
        <v>0</v>
      </c>
      <c r="D13" s="2">
        <v>0</v>
      </c>
      <c r="E13" s="2">
        <v>1456573</v>
      </c>
      <c r="F13" s="2">
        <v>2011624</v>
      </c>
    </row>
    <row r="14" spans="1:6" x14ac:dyDescent="0.3">
      <c r="A14" s="1" t="s">
        <v>11</v>
      </c>
      <c r="B14" s="2">
        <f t="shared" si="0"/>
        <v>-2142146</v>
      </c>
      <c r="C14" s="2">
        <v>0</v>
      </c>
      <c r="D14" s="2">
        <v>0</v>
      </c>
      <c r="E14" s="2">
        <v>2142146</v>
      </c>
      <c r="F14" s="2">
        <v>2945322</v>
      </c>
    </row>
    <row r="15" spans="1:6" ht="17.25" thickBot="1" x14ac:dyDescent="0.35">
      <c r="A15" s="4" t="s">
        <v>13</v>
      </c>
      <c r="B15" s="5">
        <f>SUM(B3:B14)</f>
        <v>-11530610</v>
      </c>
      <c r="C15" s="5">
        <f t="shared" ref="C15:F15" si="1">SUM(C3:C14)</f>
        <v>0</v>
      </c>
      <c r="D15" s="5">
        <f t="shared" si="1"/>
        <v>0</v>
      </c>
      <c r="E15" s="5">
        <f t="shared" si="1"/>
        <v>11530610</v>
      </c>
      <c r="F15" s="5">
        <f t="shared" si="1"/>
        <v>15867094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-1192714</v>
      </c>
      <c r="C3" s="2">
        <v>0</v>
      </c>
      <c r="D3" s="2">
        <v>0</v>
      </c>
      <c r="E3" s="2">
        <v>1192714</v>
      </c>
      <c r="F3" s="2">
        <v>1647966</v>
      </c>
    </row>
    <row r="4" spans="1:6" x14ac:dyDescent="0.3">
      <c r="A4" s="1" t="s">
        <v>1</v>
      </c>
      <c r="B4" s="2">
        <f t="shared" si="0"/>
        <v>-561717</v>
      </c>
      <c r="C4" s="2">
        <v>0</v>
      </c>
      <c r="D4" s="2">
        <v>0</v>
      </c>
      <c r="E4" s="2">
        <v>561717</v>
      </c>
      <c r="F4" s="2">
        <v>650000</v>
      </c>
    </row>
    <row r="5" spans="1:6" x14ac:dyDescent="0.3">
      <c r="A5" s="1" t="s">
        <v>2</v>
      </c>
      <c r="B5" s="2">
        <f t="shared" si="0"/>
        <v>-430440</v>
      </c>
      <c r="C5" s="2">
        <v>0</v>
      </c>
      <c r="D5" s="2">
        <v>0</v>
      </c>
      <c r="E5" s="2">
        <v>430440</v>
      </c>
      <c r="F5" s="2">
        <v>500000</v>
      </c>
    </row>
    <row r="6" spans="1:6" x14ac:dyDescent="0.3">
      <c r="A6" s="1" t="s">
        <v>3</v>
      </c>
      <c r="B6" s="2">
        <f t="shared" si="0"/>
        <v>-1953297</v>
      </c>
      <c r="C6" s="2">
        <v>0</v>
      </c>
      <c r="D6" s="2">
        <v>0</v>
      </c>
      <c r="E6" s="2">
        <v>1953297</v>
      </c>
      <c r="F6" s="2">
        <v>2595932</v>
      </c>
    </row>
    <row r="7" spans="1:6" x14ac:dyDescent="0.3">
      <c r="A7" s="1" t="s">
        <v>4</v>
      </c>
      <c r="B7" s="2">
        <f t="shared" si="0"/>
        <v>-430440</v>
      </c>
      <c r="C7" s="2">
        <v>0</v>
      </c>
      <c r="D7" s="2">
        <v>0</v>
      </c>
      <c r="E7" s="2">
        <v>430440</v>
      </c>
      <c r="F7" s="2">
        <v>500000</v>
      </c>
    </row>
    <row r="8" spans="1:6" x14ac:dyDescent="0.3">
      <c r="A8" s="1" t="s">
        <v>5</v>
      </c>
      <c r="B8" s="2">
        <f t="shared" si="0"/>
        <v>-500817</v>
      </c>
      <c r="C8" s="2">
        <v>0</v>
      </c>
      <c r="D8" s="2">
        <v>0</v>
      </c>
      <c r="E8" s="2">
        <v>500817</v>
      </c>
      <c r="F8" s="2">
        <v>600000</v>
      </c>
    </row>
    <row r="9" spans="1:6" x14ac:dyDescent="0.3">
      <c r="A9" s="1" t="s">
        <v>6</v>
      </c>
      <c r="B9" s="2">
        <f t="shared" si="0"/>
        <v>-501117</v>
      </c>
      <c r="C9" s="2">
        <v>0</v>
      </c>
      <c r="D9" s="2">
        <v>0</v>
      </c>
      <c r="E9" s="2">
        <v>501117</v>
      </c>
      <c r="F9" s="2">
        <v>600000</v>
      </c>
    </row>
    <row r="10" spans="1:6" x14ac:dyDescent="0.3">
      <c r="A10" s="1" t="s">
        <v>7</v>
      </c>
      <c r="B10" s="2">
        <f t="shared" si="0"/>
        <v>-279337</v>
      </c>
      <c r="C10" s="2">
        <v>0</v>
      </c>
      <c r="D10" s="2">
        <v>0</v>
      </c>
      <c r="E10" s="2">
        <v>279337</v>
      </c>
      <c r="F10" s="2">
        <v>371270</v>
      </c>
    </row>
    <row r="11" spans="1:6" x14ac:dyDescent="0.3">
      <c r="A11" s="1" t="s">
        <v>8</v>
      </c>
      <c r="B11" s="2">
        <f t="shared" si="0"/>
        <v>-260333</v>
      </c>
      <c r="C11" s="2">
        <v>0</v>
      </c>
      <c r="D11" s="2">
        <v>0</v>
      </c>
      <c r="E11" s="2">
        <v>260333</v>
      </c>
      <c r="F11" s="2">
        <v>350000</v>
      </c>
    </row>
    <row r="12" spans="1:6" x14ac:dyDescent="0.3">
      <c r="A12" s="1" t="s">
        <v>9</v>
      </c>
      <c r="B12" s="2">
        <f t="shared" si="0"/>
        <v>-22</v>
      </c>
      <c r="C12" s="2">
        <v>0</v>
      </c>
      <c r="D12" s="2">
        <v>0</v>
      </c>
      <c r="E12" s="2">
        <v>22</v>
      </c>
      <c r="F12" s="2">
        <v>1.7</v>
      </c>
    </row>
    <row r="13" spans="1:6" x14ac:dyDescent="0.3">
      <c r="A13" s="1" t="s">
        <v>10</v>
      </c>
      <c r="B13" s="2">
        <f t="shared" si="0"/>
        <v>-24</v>
      </c>
      <c r="C13" s="2">
        <v>0</v>
      </c>
      <c r="D13" s="2">
        <v>0</v>
      </c>
      <c r="E13" s="2">
        <v>24</v>
      </c>
      <c r="F13" s="2">
        <v>2</v>
      </c>
    </row>
    <row r="14" spans="1:6" x14ac:dyDescent="0.3">
      <c r="A14" s="1" t="s">
        <v>11</v>
      </c>
      <c r="B14" s="2">
        <f t="shared" si="0"/>
        <v>-639834</v>
      </c>
      <c r="C14" s="2">
        <v>0</v>
      </c>
      <c r="D14" s="2">
        <v>0</v>
      </c>
      <c r="E14" s="2">
        <v>639834</v>
      </c>
      <c r="F14" s="2">
        <v>600000</v>
      </c>
    </row>
    <row r="15" spans="1:6" ht="17.25" thickBot="1" x14ac:dyDescent="0.35">
      <c r="A15" s="4" t="s">
        <v>13</v>
      </c>
      <c r="B15" s="5">
        <f>SUM(B3:B14)</f>
        <v>-6750092</v>
      </c>
      <c r="C15" s="5">
        <f t="shared" ref="C15:F15" si="1">SUM(C3:C14)</f>
        <v>0</v>
      </c>
      <c r="D15" s="5">
        <f t="shared" si="1"/>
        <v>0</v>
      </c>
      <c r="E15" s="5">
        <f t="shared" si="1"/>
        <v>6750092</v>
      </c>
      <c r="F15" s="5">
        <f t="shared" si="1"/>
        <v>8415171.6999999993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-643769</v>
      </c>
      <c r="C3" s="2">
        <v>0</v>
      </c>
      <c r="D3" s="2">
        <v>0</v>
      </c>
      <c r="E3" s="2">
        <v>643769</v>
      </c>
      <c r="F3" s="2">
        <v>700000</v>
      </c>
    </row>
    <row r="4" spans="1:6" x14ac:dyDescent="0.3">
      <c r="A4" s="1" t="s">
        <v>1</v>
      </c>
      <c r="B4" s="2">
        <f t="shared" si="0"/>
        <v>-1016437</v>
      </c>
      <c r="C4" s="2">
        <v>0</v>
      </c>
      <c r="D4" s="2">
        <v>0</v>
      </c>
      <c r="E4" s="2">
        <v>1016437</v>
      </c>
      <c r="F4" s="2">
        <v>1075000</v>
      </c>
    </row>
    <row r="5" spans="1:6" x14ac:dyDescent="0.3">
      <c r="A5" s="1" t="s">
        <v>2</v>
      </c>
      <c r="B5" s="2">
        <f t="shared" si="0"/>
        <v>-445662</v>
      </c>
      <c r="C5" s="2">
        <v>0</v>
      </c>
      <c r="D5" s="2">
        <v>0</v>
      </c>
      <c r="E5" s="2">
        <v>445662</v>
      </c>
      <c r="F5" s="2">
        <v>500003</v>
      </c>
    </row>
    <row r="6" spans="1:6" x14ac:dyDescent="0.3">
      <c r="A6" s="1" t="s">
        <v>3</v>
      </c>
      <c r="B6" s="2">
        <f t="shared" si="0"/>
        <v>-1024186</v>
      </c>
      <c r="C6" s="2">
        <v>0</v>
      </c>
      <c r="D6" s="2">
        <v>0</v>
      </c>
      <c r="E6" s="2">
        <v>1024186</v>
      </c>
      <c r="F6" s="2">
        <v>900004</v>
      </c>
    </row>
    <row r="7" spans="1:6" x14ac:dyDescent="0.3">
      <c r="A7" s="1" t="s">
        <v>4</v>
      </c>
      <c r="B7" s="2">
        <f t="shared" si="0"/>
        <v>-385555</v>
      </c>
      <c r="C7" s="2">
        <v>0</v>
      </c>
      <c r="D7" s="2">
        <v>0</v>
      </c>
      <c r="E7" s="2">
        <v>385555</v>
      </c>
      <c r="F7" s="2">
        <v>300003</v>
      </c>
    </row>
    <row r="8" spans="1:6" x14ac:dyDescent="0.3">
      <c r="A8" s="1" t="s">
        <v>5</v>
      </c>
      <c r="B8" s="2">
        <f t="shared" si="0"/>
        <v>-4269183</v>
      </c>
      <c r="C8" s="2">
        <v>0</v>
      </c>
      <c r="D8" s="2">
        <v>0</v>
      </c>
      <c r="E8" s="2">
        <v>4269183</v>
      </c>
      <c r="F8" s="2">
        <v>3065702</v>
      </c>
    </row>
    <row r="9" spans="1:6" x14ac:dyDescent="0.3">
      <c r="A9" s="1" t="s">
        <v>6</v>
      </c>
      <c r="B9" s="2">
        <f t="shared" si="0"/>
        <v>-1963551</v>
      </c>
      <c r="C9" s="2">
        <v>0</v>
      </c>
      <c r="D9" s="2">
        <v>0</v>
      </c>
      <c r="E9" s="2">
        <v>1963551</v>
      </c>
      <c r="F9" s="2">
        <v>1325000</v>
      </c>
    </row>
    <row r="10" spans="1:6" x14ac:dyDescent="0.3">
      <c r="A10" s="1" t="s">
        <v>7</v>
      </c>
      <c r="B10" s="2">
        <f t="shared" si="0"/>
        <v>-16185597</v>
      </c>
      <c r="C10" s="2">
        <v>0</v>
      </c>
      <c r="D10" s="2">
        <v>0</v>
      </c>
      <c r="E10" s="2">
        <v>16185597</v>
      </c>
      <c r="F10" s="2">
        <v>11946639</v>
      </c>
    </row>
    <row r="11" spans="1:6" x14ac:dyDescent="0.3">
      <c r="A11" s="1" t="s">
        <v>8</v>
      </c>
      <c r="B11" s="2">
        <f t="shared" si="0"/>
        <v>-50665637</v>
      </c>
      <c r="C11" s="2">
        <v>0</v>
      </c>
      <c r="D11" s="2">
        <v>0</v>
      </c>
      <c r="E11" s="2">
        <v>50665637</v>
      </c>
      <c r="F11" s="2">
        <v>36025892</v>
      </c>
    </row>
    <row r="12" spans="1:6" x14ac:dyDescent="0.3">
      <c r="A12" s="1" t="s">
        <v>9</v>
      </c>
      <c r="B12" s="2">
        <f t="shared" si="0"/>
        <v>-29075558</v>
      </c>
      <c r="C12" s="2">
        <v>0</v>
      </c>
      <c r="D12" s="2">
        <v>0</v>
      </c>
      <c r="E12" s="2">
        <v>29075558</v>
      </c>
      <c r="F12" s="2">
        <v>22084491</v>
      </c>
    </row>
    <row r="13" spans="1:6" x14ac:dyDescent="0.3">
      <c r="A13" s="1" t="s">
        <v>10</v>
      </c>
      <c r="B13" s="2">
        <f t="shared" si="0"/>
        <v>-50204684</v>
      </c>
      <c r="C13" s="2">
        <v>0</v>
      </c>
      <c r="D13" s="2">
        <v>0</v>
      </c>
      <c r="E13" s="2">
        <v>50204684</v>
      </c>
      <c r="F13" s="2">
        <v>40065742</v>
      </c>
    </row>
    <row r="14" spans="1:6" x14ac:dyDescent="0.3">
      <c r="A14" s="1" t="s">
        <v>11</v>
      </c>
      <c r="B14" s="2">
        <f t="shared" si="0"/>
        <v>-21986026</v>
      </c>
      <c r="C14" s="2">
        <v>0</v>
      </c>
      <c r="D14" s="2">
        <v>0</v>
      </c>
      <c r="E14" s="2">
        <v>21986026</v>
      </c>
      <c r="F14" s="2">
        <v>16190248</v>
      </c>
    </row>
    <row r="15" spans="1:6" ht="17.25" thickBot="1" x14ac:dyDescent="0.35">
      <c r="A15" s="4" t="s">
        <v>13</v>
      </c>
      <c r="B15" s="5">
        <f>SUM(B3:B14)</f>
        <v>-177865845</v>
      </c>
      <c r="C15" s="5">
        <f t="shared" ref="C15:F15" si="1">SUM(C3:C14)</f>
        <v>0</v>
      </c>
      <c r="D15" s="5">
        <f t="shared" si="1"/>
        <v>0</v>
      </c>
      <c r="E15" s="5">
        <f t="shared" si="1"/>
        <v>177865845</v>
      </c>
      <c r="F15" s="5">
        <f t="shared" si="1"/>
        <v>134178724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-18987373</v>
      </c>
      <c r="C3" s="2">
        <v>0</v>
      </c>
      <c r="D3" s="2">
        <v>0</v>
      </c>
      <c r="E3" s="2">
        <v>18987373</v>
      </c>
      <c r="F3" s="2">
        <v>14555980</v>
      </c>
    </row>
    <row r="4" spans="1:6" x14ac:dyDescent="0.3">
      <c r="A4" s="1" t="s">
        <v>1</v>
      </c>
      <c r="B4" s="2">
        <f t="shared" si="0"/>
        <v>-10806061</v>
      </c>
      <c r="C4" s="2">
        <v>0</v>
      </c>
      <c r="D4" s="2">
        <v>0</v>
      </c>
      <c r="E4" s="2">
        <v>10806061</v>
      </c>
      <c r="F4" s="2">
        <v>8084098</v>
      </c>
    </row>
    <row r="5" spans="1:6" x14ac:dyDescent="0.3">
      <c r="A5" s="1" t="s">
        <v>2</v>
      </c>
      <c r="B5" s="2">
        <f t="shared" si="0"/>
        <v>-12635512</v>
      </c>
      <c r="C5" s="2">
        <v>0</v>
      </c>
      <c r="D5" s="2">
        <v>0</v>
      </c>
      <c r="E5" s="2">
        <v>12635512</v>
      </c>
      <c r="F5" s="2">
        <v>9139661</v>
      </c>
    </row>
    <row r="6" spans="1:6" x14ac:dyDescent="0.3">
      <c r="A6" s="1" t="s">
        <v>3</v>
      </c>
      <c r="B6" s="2">
        <f t="shared" si="0"/>
        <v>-3202266</v>
      </c>
      <c r="C6" s="2">
        <v>0</v>
      </c>
      <c r="D6" s="2">
        <v>0</v>
      </c>
      <c r="E6" s="2">
        <v>3202266</v>
      </c>
      <c r="F6" s="2">
        <v>2050395</v>
      </c>
    </row>
    <row r="7" spans="1:6" x14ac:dyDescent="0.3">
      <c r="A7" s="1" t="s">
        <v>4</v>
      </c>
      <c r="B7" s="2">
        <f t="shared" si="0"/>
        <v>-5825114</v>
      </c>
      <c r="C7" s="2">
        <v>0</v>
      </c>
      <c r="D7" s="2">
        <v>0</v>
      </c>
      <c r="E7" s="2">
        <v>5825114</v>
      </c>
      <c r="F7" s="2">
        <v>3691655</v>
      </c>
    </row>
    <row r="8" spans="1:6" x14ac:dyDescent="0.3">
      <c r="A8" s="1" t="s">
        <v>5</v>
      </c>
      <c r="B8" s="2">
        <f t="shared" si="0"/>
        <v>-19038283</v>
      </c>
      <c r="C8" s="2">
        <v>0</v>
      </c>
      <c r="D8" s="2">
        <v>0</v>
      </c>
      <c r="E8" s="2">
        <v>19038283</v>
      </c>
      <c r="F8" s="2">
        <v>12930151</v>
      </c>
    </row>
    <row r="9" spans="1:6" x14ac:dyDescent="0.3">
      <c r="A9" s="1" t="s">
        <v>6</v>
      </c>
      <c r="B9" s="2">
        <f t="shared" si="0"/>
        <v>-4166431</v>
      </c>
      <c r="C9" s="2">
        <v>0</v>
      </c>
      <c r="D9" s="2">
        <v>0</v>
      </c>
      <c r="E9" s="2">
        <v>4166431</v>
      </c>
      <c r="F9" s="2">
        <v>2822431</v>
      </c>
    </row>
    <row r="10" spans="1:6" x14ac:dyDescent="0.3">
      <c r="A10" s="1" t="s">
        <v>7</v>
      </c>
      <c r="B10" s="2">
        <f t="shared" si="0"/>
        <v>-11702841</v>
      </c>
      <c r="C10" s="2">
        <v>0</v>
      </c>
      <c r="D10" s="2">
        <v>0</v>
      </c>
      <c r="E10" s="2">
        <v>11702841</v>
      </c>
      <c r="F10" s="6">
        <v>7976192</v>
      </c>
    </row>
    <row r="11" spans="1:6" x14ac:dyDescent="0.3">
      <c r="A11" s="1" t="s">
        <v>8</v>
      </c>
      <c r="B11" s="2">
        <f t="shared" si="0"/>
        <v>-33349555</v>
      </c>
      <c r="C11" s="2">
        <v>0</v>
      </c>
      <c r="D11" s="2">
        <v>0</v>
      </c>
      <c r="E11" s="2">
        <v>33349555</v>
      </c>
      <c r="F11" s="2">
        <v>20004421</v>
      </c>
    </row>
    <row r="12" spans="1:6" x14ac:dyDescent="0.3">
      <c r="A12" s="1" t="s">
        <v>9</v>
      </c>
      <c r="B12" s="2">
        <f t="shared" si="0"/>
        <v>-65924214</v>
      </c>
      <c r="C12" s="2">
        <v>0</v>
      </c>
      <c r="D12" s="2">
        <v>0</v>
      </c>
      <c r="E12" s="2">
        <v>65924214</v>
      </c>
      <c r="F12" s="2">
        <v>40470438</v>
      </c>
    </row>
    <row r="13" spans="1:6" x14ac:dyDescent="0.3">
      <c r="A13" s="1" t="s">
        <v>10</v>
      </c>
      <c r="B13" s="2">
        <f t="shared" si="0"/>
        <v>-38147991</v>
      </c>
      <c r="C13" s="2">
        <v>0</v>
      </c>
      <c r="D13" s="2">
        <v>0</v>
      </c>
      <c r="E13" s="2">
        <v>38147991</v>
      </c>
      <c r="F13" s="2">
        <v>23886332</v>
      </c>
    </row>
    <row r="14" spans="1:6" x14ac:dyDescent="0.3">
      <c r="A14" s="1" t="s">
        <v>11</v>
      </c>
      <c r="B14" s="2">
        <f t="shared" si="0"/>
        <v>-23339947</v>
      </c>
      <c r="C14" s="2">
        <v>0</v>
      </c>
      <c r="D14" s="2">
        <v>0</v>
      </c>
      <c r="E14" s="2">
        <v>23339947</v>
      </c>
      <c r="F14" s="2">
        <v>13996527</v>
      </c>
    </row>
    <row r="15" spans="1:6" ht="17.25" thickBot="1" x14ac:dyDescent="0.35">
      <c r="A15" s="4" t="s">
        <v>13</v>
      </c>
      <c r="B15" s="5">
        <f>SUM(B3:B14)</f>
        <v>-247125588</v>
      </c>
      <c r="C15" s="5">
        <f t="shared" ref="C15:F15" si="1">SUM(C3:C14)</f>
        <v>0</v>
      </c>
      <c r="D15" s="5">
        <f t="shared" si="1"/>
        <v>0</v>
      </c>
      <c r="E15" s="5">
        <f t="shared" si="1"/>
        <v>247125588</v>
      </c>
      <c r="F15" s="5">
        <f t="shared" si="1"/>
        <v>159608281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-28194490</v>
      </c>
      <c r="C3" s="2">
        <v>0</v>
      </c>
      <c r="D3" s="2">
        <v>0</v>
      </c>
      <c r="E3" s="2">
        <v>28194490</v>
      </c>
      <c r="F3" s="2">
        <v>18481618</v>
      </c>
    </row>
    <row r="4" spans="1:6" x14ac:dyDescent="0.3">
      <c r="A4" s="1" t="s">
        <v>1</v>
      </c>
      <c r="B4" s="2">
        <f t="shared" si="0"/>
        <v>-17199803</v>
      </c>
      <c r="C4" s="2">
        <v>0</v>
      </c>
      <c r="D4" s="2">
        <v>0</v>
      </c>
      <c r="E4" s="2">
        <v>17199803</v>
      </c>
      <c r="F4" s="2">
        <v>10980555</v>
      </c>
    </row>
    <row r="5" spans="1:6" x14ac:dyDescent="0.3">
      <c r="A5" s="1" t="s">
        <v>2</v>
      </c>
      <c r="B5" s="2">
        <f t="shared" si="0"/>
        <v>-35978968</v>
      </c>
      <c r="C5" s="2">
        <v>0</v>
      </c>
      <c r="D5" s="2">
        <v>0</v>
      </c>
      <c r="E5" s="2">
        <v>35978968</v>
      </c>
      <c r="F5" s="2">
        <v>22746083</v>
      </c>
    </row>
    <row r="6" spans="1:6" x14ac:dyDescent="0.3">
      <c r="A6" s="1" t="s">
        <v>3</v>
      </c>
      <c r="B6" s="2">
        <f t="shared" si="0"/>
        <v>-24621199</v>
      </c>
      <c r="C6" s="2">
        <v>0</v>
      </c>
      <c r="D6" s="2">
        <v>0</v>
      </c>
      <c r="E6" s="2">
        <v>24621199</v>
      </c>
      <c r="F6" s="2">
        <v>18314234</v>
      </c>
    </row>
    <row r="7" spans="1:6" x14ac:dyDescent="0.3">
      <c r="A7" s="1" t="s">
        <v>4</v>
      </c>
      <c r="B7" s="2">
        <f t="shared" si="0"/>
        <v>-2360422</v>
      </c>
      <c r="C7" s="2">
        <v>0</v>
      </c>
      <c r="D7" s="2">
        <v>0</v>
      </c>
      <c r="E7" s="2">
        <v>2360422</v>
      </c>
      <c r="F7" s="2">
        <v>1995946</v>
      </c>
    </row>
    <row r="8" spans="1:6" x14ac:dyDescent="0.3">
      <c r="A8" s="1" t="s">
        <v>5</v>
      </c>
      <c r="B8" s="2">
        <f t="shared" si="0"/>
        <v>-21114219</v>
      </c>
      <c r="C8" s="2">
        <v>0</v>
      </c>
      <c r="D8" s="2">
        <v>0</v>
      </c>
      <c r="E8" s="2">
        <v>21114219</v>
      </c>
      <c r="F8" s="2">
        <v>16992030</v>
      </c>
    </row>
    <row r="9" spans="1:6" x14ac:dyDescent="0.3">
      <c r="A9" s="1" t="s">
        <v>6</v>
      </c>
      <c r="B9" s="2">
        <f t="shared" si="0"/>
        <v>-15481212</v>
      </c>
      <c r="C9" s="2">
        <v>0</v>
      </c>
      <c r="D9" s="2">
        <v>0</v>
      </c>
      <c r="E9" s="2">
        <v>15481212</v>
      </c>
      <c r="F9" s="2">
        <v>11646081</v>
      </c>
    </row>
    <row r="10" spans="1:6" x14ac:dyDescent="0.3">
      <c r="A10" s="1" t="s">
        <v>7</v>
      </c>
      <c r="B10" s="2">
        <f t="shared" si="0"/>
        <v>-9663262</v>
      </c>
      <c r="C10" s="2">
        <v>0</v>
      </c>
      <c r="D10" s="2">
        <v>0</v>
      </c>
      <c r="E10" s="2">
        <v>9663262</v>
      </c>
      <c r="F10" s="2">
        <v>7847860</v>
      </c>
    </row>
    <row r="11" spans="1:6" x14ac:dyDescent="0.3">
      <c r="A11" s="1" t="s">
        <v>8</v>
      </c>
      <c r="B11" s="2">
        <f t="shared" si="0"/>
        <v>-8332420</v>
      </c>
      <c r="C11" s="2">
        <v>0</v>
      </c>
      <c r="D11" s="2">
        <v>0</v>
      </c>
      <c r="E11" s="2">
        <v>8332420</v>
      </c>
      <c r="F11" s="2">
        <v>7272447</v>
      </c>
    </row>
    <row r="12" spans="1:6" x14ac:dyDescent="0.3">
      <c r="A12" s="1" t="s">
        <v>9</v>
      </c>
      <c r="B12" s="2">
        <f t="shared" si="0"/>
        <v>-31064401</v>
      </c>
      <c r="C12" s="2">
        <v>0</v>
      </c>
      <c r="D12" s="2">
        <v>0</v>
      </c>
      <c r="E12" s="2">
        <v>31064401</v>
      </c>
      <c r="F12" s="2">
        <v>25231189</v>
      </c>
    </row>
    <row r="13" spans="1:6" x14ac:dyDescent="0.3">
      <c r="A13" s="1" t="s">
        <v>10</v>
      </c>
      <c r="B13" s="2">
        <f t="shared" si="0"/>
        <v>-7545532</v>
      </c>
      <c r="C13" s="2">
        <v>0</v>
      </c>
      <c r="D13" s="2">
        <v>0</v>
      </c>
      <c r="E13" s="2">
        <v>7545532</v>
      </c>
      <c r="F13" s="2">
        <v>5558345</v>
      </c>
    </row>
    <row r="14" spans="1:6" x14ac:dyDescent="0.3">
      <c r="A14" s="1" t="s">
        <v>11</v>
      </c>
      <c r="B14" s="2">
        <f t="shared" si="0"/>
        <v>-92649885</v>
      </c>
      <c r="C14" s="2">
        <v>0</v>
      </c>
      <c r="D14" s="2">
        <v>0</v>
      </c>
      <c r="E14" s="2">
        <v>92649885</v>
      </c>
      <c r="F14" s="2">
        <v>88087613</v>
      </c>
    </row>
    <row r="15" spans="1:6" ht="17.25" thickBot="1" x14ac:dyDescent="0.35">
      <c r="A15" s="4" t="s">
        <v>13</v>
      </c>
      <c r="B15" s="5">
        <f>SUM(B3:B14)</f>
        <v>-294205813</v>
      </c>
      <c r="C15" s="5">
        <f t="shared" ref="C15:F15" si="1">SUM(C3:C14)</f>
        <v>0</v>
      </c>
      <c r="D15" s="5">
        <f t="shared" si="1"/>
        <v>0</v>
      </c>
      <c r="E15" s="5">
        <f t="shared" si="1"/>
        <v>294205813</v>
      </c>
      <c r="F15" s="5">
        <f t="shared" si="1"/>
        <v>235154001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-16999566</v>
      </c>
      <c r="C4" s="2">
        <v>0</v>
      </c>
      <c r="D4" s="2">
        <v>0</v>
      </c>
      <c r="E4" s="2">
        <v>16999566</v>
      </c>
      <c r="F4" s="2">
        <v>17636060</v>
      </c>
    </row>
    <row r="5" spans="1:6" x14ac:dyDescent="0.3">
      <c r="A5" s="1" t="s">
        <v>2</v>
      </c>
      <c r="B5" s="2">
        <f t="shared" si="0"/>
        <v>-31277636</v>
      </c>
      <c r="C5" s="2">
        <v>0</v>
      </c>
      <c r="D5" s="2">
        <v>0</v>
      </c>
      <c r="E5" s="2">
        <v>31277636</v>
      </c>
      <c r="F5" s="2">
        <v>31059743</v>
      </c>
    </row>
    <row r="6" spans="1:6" x14ac:dyDescent="0.3">
      <c r="A6" s="1" t="s">
        <v>3</v>
      </c>
      <c r="B6" s="2">
        <f t="shared" si="0"/>
        <v>-23309442</v>
      </c>
      <c r="C6" s="2">
        <v>0</v>
      </c>
      <c r="D6" s="2">
        <v>0</v>
      </c>
      <c r="E6" s="2">
        <v>23309442</v>
      </c>
      <c r="F6" s="2">
        <v>24995837</v>
      </c>
    </row>
    <row r="7" spans="1:6" x14ac:dyDescent="0.3">
      <c r="A7" s="1" t="s">
        <v>4</v>
      </c>
      <c r="B7" s="2">
        <f t="shared" si="0"/>
        <v>-9908746</v>
      </c>
      <c r="C7" s="2">
        <v>0</v>
      </c>
      <c r="D7" s="2">
        <v>0</v>
      </c>
      <c r="E7" s="2">
        <v>9908746</v>
      </c>
      <c r="F7" s="2">
        <v>9992564</v>
      </c>
    </row>
    <row r="8" spans="1:6" x14ac:dyDescent="0.3">
      <c r="A8" s="1" t="s">
        <v>5</v>
      </c>
      <c r="B8" s="2">
        <f t="shared" si="0"/>
        <v>-25792437</v>
      </c>
      <c r="C8" s="2">
        <v>0</v>
      </c>
      <c r="D8" s="2">
        <v>0</v>
      </c>
      <c r="E8" s="2">
        <v>25792437</v>
      </c>
      <c r="F8" s="2">
        <v>27953364</v>
      </c>
    </row>
    <row r="9" spans="1:6" x14ac:dyDescent="0.3">
      <c r="A9" s="1" t="s">
        <v>6</v>
      </c>
      <c r="B9" s="2">
        <f t="shared" si="0"/>
        <v>-5079456</v>
      </c>
      <c r="C9" s="2">
        <v>0</v>
      </c>
      <c r="D9" s="2">
        <v>0</v>
      </c>
      <c r="E9" s="2">
        <v>5079456</v>
      </c>
      <c r="F9" s="2">
        <v>5056356</v>
      </c>
    </row>
    <row r="10" spans="1:6" x14ac:dyDescent="0.3">
      <c r="A10" s="1" t="s">
        <v>7</v>
      </c>
      <c r="B10" s="2">
        <f t="shared" si="0"/>
        <v>-5243098</v>
      </c>
      <c r="C10" s="2">
        <v>0</v>
      </c>
      <c r="D10" s="2">
        <v>0</v>
      </c>
      <c r="E10" s="2">
        <v>5243098</v>
      </c>
      <c r="F10" s="2">
        <v>5601142</v>
      </c>
    </row>
    <row r="11" spans="1:6" x14ac:dyDescent="0.3">
      <c r="A11" s="1" t="s">
        <v>8</v>
      </c>
      <c r="B11" s="2">
        <f t="shared" si="0"/>
        <v>-5710306</v>
      </c>
      <c r="C11" s="2">
        <v>0</v>
      </c>
      <c r="D11" s="2">
        <v>0</v>
      </c>
      <c r="E11" s="2">
        <v>5710306</v>
      </c>
      <c r="F11" s="2">
        <v>6120004</v>
      </c>
    </row>
    <row r="12" spans="1:6" x14ac:dyDescent="0.3">
      <c r="A12" s="1" t="s">
        <v>9</v>
      </c>
      <c r="B12" s="2">
        <f t="shared" si="0"/>
        <v>-39117723</v>
      </c>
      <c r="C12" s="2">
        <v>0</v>
      </c>
      <c r="D12" s="2">
        <v>0</v>
      </c>
      <c r="E12" s="2">
        <v>39117723</v>
      </c>
      <c r="F12" s="2">
        <v>40397986</v>
      </c>
    </row>
    <row r="13" spans="1:6" x14ac:dyDescent="0.3">
      <c r="A13" s="1" t="s">
        <v>10</v>
      </c>
      <c r="B13" s="2">
        <f t="shared" si="0"/>
        <v>-6582574</v>
      </c>
      <c r="C13" s="2">
        <v>0</v>
      </c>
      <c r="D13" s="2">
        <v>0</v>
      </c>
      <c r="E13" s="2">
        <v>6582574</v>
      </c>
      <c r="F13" s="2">
        <v>6844267</v>
      </c>
    </row>
    <row r="14" spans="1:6" x14ac:dyDescent="0.3">
      <c r="A14" s="1" t="s">
        <v>11</v>
      </c>
      <c r="B14" s="2">
        <f t="shared" si="0"/>
        <v>-18222239</v>
      </c>
      <c r="C14" s="2">
        <v>0</v>
      </c>
      <c r="D14" s="2">
        <v>0</v>
      </c>
      <c r="E14" s="2">
        <v>18222239</v>
      </c>
      <c r="F14" s="2">
        <v>17997943</v>
      </c>
    </row>
    <row r="15" spans="1:6" ht="17.25" thickBot="1" x14ac:dyDescent="0.35">
      <c r="A15" s="4" t="s">
        <v>13</v>
      </c>
      <c r="B15" s="5">
        <f>SUM(B3:B14)</f>
        <v>-187243223</v>
      </c>
      <c r="C15" s="5">
        <f t="shared" ref="C15:F15" si="1">SUM(C3:C14)</f>
        <v>0</v>
      </c>
      <c r="D15" s="5">
        <f t="shared" si="1"/>
        <v>0</v>
      </c>
      <c r="E15" s="5">
        <f t="shared" si="1"/>
        <v>187243223</v>
      </c>
      <c r="F15" s="5">
        <f t="shared" si="1"/>
        <v>193655266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-10743276</v>
      </c>
      <c r="C3" s="2">
        <v>0</v>
      </c>
      <c r="D3" s="2">
        <v>0</v>
      </c>
      <c r="E3" s="2">
        <v>10743276</v>
      </c>
      <c r="F3" s="2">
        <v>10808183</v>
      </c>
    </row>
    <row r="4" spans="1:6" x14ac:dyDescent="0.3">
      <c r="A4" s="1" t="s">
        <v>1</v>
      </c>
      <c r="B4" s="2">
        <f t="shared" si="0"/>
        <v>-1751891</v>
      </c>
      <c r="C4" s="2">
        <v>0</v>
      </c>
      <c r="D4" s="2">
        <v>0</v>
      </c>
      <c r="E4" s="2">
        <v>1751891</v>
      </c>
      <c r="F4" s="2">
        <v>2000000</v>
      </c>
    </row>
    <row r="5" spans="1:6" x14ac:dyDescent="0.3">
      <c r="A5" s="1" t="s">
        <v>2</v>
      </c>
      <c r="B5" s="2">
        <f t="shared" si="0"/>
        <v>-225254</v>
      </c>
      <c r="C5" s="2">
        <v>0</v>
      </c>
      <c r="D5" s="2">
        <v>0</v>
      </c>
      <c r="E5" s="2">
        <v>225254</v>
      </c>
      <c r="F5" s="2">
        <v>190000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-38933856</v>
      </c>
      <c r="C8" s="2">
        <v>0</v>
      </c>
      <c r="D8" s="2">
        <v>0</v>
      </c>
      <c r="E8" s="2">
        <v>38933856</v>
      </c>
      <c r="F8" s="2">
        <v>38676435</v>
      </c>
    </row>
    <row r="9" spans="1:6" x14ac:dyDescent="0.3">
      <c r="A9" s="1" t="s">
        <v>6</v>
      </c>
      <c r="B9" s="2">
        <f t="shared" si="0"/>
        <v>-14670432</v>
      </c>
      <c r="C9" s="2">
        <v>0</v>
      </c>
      <c r="D9" s="2">
        <v>0</v>
      </c>
      <c r="E9" s="2">
        <v>14670432</v>
      </c>
      <c r="F9" s="2">
        <v>14000000</v>
      </c>
    </row>
    <row r="10" spans="1:6" x14ac:dyDescent="0.3">
      <c r="A10" s="1" t="s">
        <v>7</v>
      </c>
      <c r="B10" s="2">
        <f t="shared" si="0"/>
        <v>-19866488</v>
      </c>
      <c r="C10" s="2">
        <v>0</v>
      </c>
      <c r="D10" s="2">
        <v>0</v>
      </c>
      <c r="E10" s="2">
        <v>19866488</v>
      </c>
      <c r="F10" s="2">
        <v>18109413</v>
      </c>
    </row>
    <row r="11" spans="1:6" x14ac:dyDescent="0.3">
      <c r="A11" s="1" t="s">
        <v>8</v>
      </c>
      <c r="B11" s="2">
        <f t="shared" si="0"/>
        <v>-2120764</v>
      </c>
      <c r="C11" s="2">
        <v>0</v>
      </c>
      <c r="D11" s="2">
        <v>0</v>
      </c>
      <c r="E11" s="2">
        <v>2120764</v>
      </c>
      <c r="F11" s="2">
        <v>2098099</v>
      </c>
    </row>
    <row r="12" spans="1:6" x14ac:dyDescent="0.3">
      <c r="A12" s="1" t="s">
        <v>9</v>
      </c>
      <c r="B12" s="2">
        <f t="shared" si="0"/>
        <v>-1782333</v>
      </c>
      <c r="C12" s="2">
        <v>0</v>
      </c>
      <c r="D12" s="2">
        <v>0</v>
      </c>
      <c r="E12" s="2">
        <v>1782333</v>
      </c>
      <c r="F12" s="2">
        <v>1713462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-3872331</v>
      </c>
      <c r="C14" s="2">
        <v>0</v>
      </c>
      <c r="D14" s="2">
        <v>0</v>
      </c>
      <c r="E14" s="2">
        <v>3872331</v>
      </c>
      <c r="F14" s="2">
        <v>3304361</v>
      </c>
    </row>
    <row r="15" spans="1:6" ht="17.25" thickBot="1" x14ac:dyDescent="0.35">
      <c r="A15" s="4" t="s">
        <v>13</v>
      </c>
      <c r="B15" s="5">
        <f>SUM(B3:B14)</f>
        <v>-93966625</v>
      </c>
      <c r="C15" s="5">
        <f t="shared" ref="C15:F15" si="1">SUM(C3:C14)</f>
        <v>0</v>
      </c>
      <c r="D15" s="5">
        <f t="shared" si="1"/>
        <v>0</v>
      </c>
      <c r="E15" s="5">
        <f t="shared" si="1"/>
        <v>93966625</v>
      </c>
      <c r="F15" s="5">
        <f t="shared" si="1"/>
        <v>90899953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-8575999</v>
      </c>
      <c r="C8" s="2">
        <v>0</v>
      </c>
      <c r="D8" s="2">
        <v>0</v>
      </c>
      <c r="E8" s="2">
        <v>8575999</v>
      </c>
      <c r="F8" s="2">
        <v>7499934</v>
      </c>
    </row>
    <row r="9" spans="1:6" x14ac:dyDescent="0.3">
      <c r="A9" s="1" t="s">
        <v>6</v>
      </c>
      <c r="B9" s="2">
        <f t="shared" si="0"/>
        <v>-2820142</v>
      </c>
      <c r="C9" s="2">
        <v>0</v>
      </c>
      <c r="D9" s="2">
        <v>0</v>
      </c>
      <c r="E9" s="2">
        <v>2820142</v>
      </c>
      <c r="F9" s="2">
        <v>2499890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-11396141</v>
      </c>
      <c r="C15" s="5">
        <f t="shared" ref="C15:F15" si="1">SUM(C3:C14)</f>
        <v>0</v>
      </c>
      <c r="D15" s="5">
        <f t="shared" si="1"/>
        <v>0</v>
      </c>
      <c r="E15" s="5">
        <f t="shared" si="1"/>
        <v>11396141</v>
      </c>
      <c r="F15" s="5">
        <f t="shared" si="1"/>
        <v>9999824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2026-09-09T03:24:43Z</dcterms:modified>
</cp:coreProperties>
</file>