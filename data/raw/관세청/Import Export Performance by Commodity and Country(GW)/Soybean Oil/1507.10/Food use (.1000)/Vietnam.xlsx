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10\식품용(.1000)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<sst xmlns="http://schemas.openxmlformats.org/spreadsheetml/2006/main" count="306" uniqueCount="18">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</sst>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24921</v>
      </c>
      <c r="C8" s="2">
        <v>24921</v>
      </c>
      <c r="D8" s="2">
        <v>6740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24921</v>
      </c>
      <c r="C15" s="5">
        <f t="shared" ref="C15:F15" si="1">SUM(C3:C14)</f>
        <v>24921</v>
      </c>
      <c r="D15" s="5">
        <f t="shared" si="1"/>
        <v>6740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20084</v>
      </c>
      <c r="C5" s="2">
        <v>20084</v>
      </c>
      <c r="D5" s="2">
        <v>1800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12974</v>
      </c>
      <c r="C6" s="2">
        <v>12974</v>
      </c>
      <c r="D6" s="2">
        <v>207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29679</v>
      </c>
      <c r="C7" s="2">
        <v>29679</v>
      </c>
      <c r="D7" s="2">
        <v>684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-5446647</v>
      </c>
      <c r="C11" s="2">
        <v>0</v>
      </c>
      <c r="D11" s="2">
        <v>0</v>
      </c>
      <c r="E11" s="2">
        <v>5446647</v>
      </c>
      <c r="F11" s="2">
        <v>3978880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-6258690</v>
      </c>
      <c r="C13" s="2">
        <v>0</v>
      </c>
      <c r="D13" s="2">
        <v>0</v>
      </c>
      <c r="E13" s="2">
        <v>6258690</v>
      </c>
      <c r="F13" s="2">
        <v>4992398</v>
      </c>
    </row>
    <row r="14" spans="1:6" x14ac:dyDescent="0.3">
      <c r="A14" s="1" t="s">
        <v>11</v>
      </c>
      <c r="B14" s="2">
        <f t="shared" si="0"/>
        <v>-5046424</v>
      </c>
      <c r="C14" s="2">
        <v>0</v>
      </c>
      <c r="D14" s="2">
        <v>0</v>
      </c>
      <c r="E14" s="2">
        <v>5046424</v>
      </c>
      <c r="F14" s="2">
        <v>4010831</v>
      </c>
    </row>
    <row r="15" spans="1:6" ht="17.25" thickBot="1" x14ac:dyDescent="0.35">
      <c r="A15" s="4" t="s">
        <v>13</v>
      </c>
      <c r="B15" s="5">
        <f>SUM(B3:B14)</f>
        <v>-16689024</v>
      </c>
      <c r="C15" s="5">
        <f t="shared" ref="C15:F15" si="1">SUM(C3:C14)</f>
        <v>62737</v>
      </c>
      <c r="D15" s="5">
        <f t="shared" si="1"/>
        <v>2691</v>
      </c>
      <c r="E15" s="5">
        <f t="shared" si="1"/>
        <v>16751761</v>
      </c>
      <c r="F15" s="5">
        <f t="shared" si="1"/>
        <v>12982109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-2453331</v>
      </c>
      <c r="C3" s="2">
        <v>0</v>
      </c>
      <c r="D3" s="2">
        <v>0</v>
      </c>
      <c r="E3" s="2">
        <v>2453331</v>
      </c>
      <c r="F3" s="2">
        <v>1999015</v>
      </c>
    </row>
    <row r="4" spans="1:6" x14ac:dyDescent="0.3">
      <c r="A4" s="1" t="s">
        <v>1</v>
      </c>
      <c r="B4" s="2">
        <f t="shared" ref="B4:B14" si="0">C4-E4</f>
        <v>-5367371</v>
      </c>
      <c r="C4" s="2">
        <v>0</v>
      </c>
      <c r="D4" s="2">
        <v>0</v>
      </c>
      <c r="E4" s="2">
        <v>5367371</v>
      </c>
      <c r="F4" s="2">
        <v>4387773</v>
      </c>
    </row>
    <row r="5" spans="1:6" x14ac:dyDescent="0.3">
      <c r="A5" s="1" t="s">
        <v>2</v>
      </c>
      <c r="B5" s="2">
        <f t="shared" si="0"/>
        <v>-1288018</v>
      </c>
      <c r="C5" s="2">
        <v>0</v>
      </c>
      <c r="D5" s="2">
        <v>0</v>
      </c>
      <c r="E5" s="2">
        <v>1288018</v>
      </c>
      <c r="F5" s="2">
        <v>1000000</v>
      </c>
    </row>
    <row r="6" spans="1:6" x14ac:dyDescent="0.3">
      <c r="A6" s="1" t="s">
        <v>3</v>
      </c>
      <c r="B6" s="2">
        <f t="shared" si="0"/>
        <v>-4116002</v>
      </c>
      <c r="C6" s="2">
        <v>0</v>
      </c>
      <c r="D6" s="2">
        <v>0</v>
      </c>
      <c r="E6" s="2">
        <v>4116002</v>
      </c>
      <c r="F6" s="2">
        <v>3102188</v>
      </c>
    </row>
    <row r="7" spans="1:6" x14ac:dyDescent="0.3">
      <c r="A7" s="1" t="s">
        <v>4</v>
      </c>
      <c r="B7" s="2">
        <f t="shared" si="0"/>
        <v>-6586762</v>
      </c>
      <c r="C7" s="2">
        <v>0</v>
      </c>
      <c r="D7" s="2">
        <v>0</v>
      </c>
      <c r="E7" s="2">
        <v>6586762</v>
      </c>
      <c r="F7" s="2">
        <v>4989301</v>
      </c>
    </row>
    <row r="8" spans="1:6" x14ac:dyDescent="0.3">
      <c r="A8" s="1" t="s">
        <v>5</v>
      </c>
      <c r="B8" s="2">
        <f t="shared" si="0"/>
        <v>-8337434</v>
      </c>
      <c r="C8" s="2">
        <v>0</v>
      </c>
      <c r="D8" s="2">
        <v>0</v>
      </c>
      <c r="E8" s="2">
        <v>8337434</v>
      </c>
      <c r="F8" s="2">
        <v>6482485</v>
      </c>
    </row>
    <row r="9" spans="1:6" x14ac:dyDescent="0.3">
      <c r="A9" s="1" t="s">
        <v>6</v>
      </c>
      <c r="B9" s="2">
        <f t="shared" si="0"/>
        <v>-13175407</v>
      </c>
      <c r="C9" s="2">
        <v>0</v>
      </c>
      <c r="D9" s="2">
        <v>0</v>
      </c>
      <c r="E9" s="2">
        <v>13175407</v>
      </c>
      <c r="F9" s="2">
        <v>10511400</v>
      </c>
    </row>
    <row r="10" spans="1:6" x14ac:dyDescent="0.3">
      <c r="A10" s="1" t="s">
        <v>7</v>
      </c>
      <c r="B10" s="2">
        <f t="shared" si="0"/>
        <v>-1875000</v>
      </c>
      <c r="C10" s="2">
        <v>0</v>
      </c>
      <c r="D10" s="2">
        <v>0</v>
      </c>
      <c r="E10" s="2">
        <v>1875000</v>
      </c>
      <c r="F10" s="2">
        <v>1495719</v>
      </c>
    </row>
    <row r="11" spans="1:6" x14ac:dyDescent="0.3">
      <c r="A11" s="1" t="s">
        <v>8</v>
      </c>
      <c r="B11" s="2">
        <f t="shared" si="0"/>
        <v>-1297000</v>
      </c>
      <c r="C11" s="2">
        <v>0</v>
      </c>
      <c r="D11" s="2">
        <v>0</v>
      </c>
      <c r="E11" s="2">
        <v>1297000</v>
      </c>
      <c r="F11" s="2">
        <v>996497</v>
      </c>
    </row>
    <row r="12" spans="1:6" x14ac:dyDescent="0.3">
      <c r="A12" s="1" t="s">
        <v>9</v>
      </c>
      <c r="B12" s="2">
        <f t="shared" si="0"/>
        <v>-3233609</v>
      </c>
      <c r="C12" s="2">
        <v>0</v>
      </c>
      <c r="D12" s="2">
        <v>0</v>
      </c>
      <c r="E12" s="2">
        <v>3233609</v>
      </c>
      <c r="F12" s="2">
        <v>2492098</v>
      </c>
    </row>
    <row r="13" spans="1:6" x14ac:dyDescent="0.3">
      <c r="A13" s="1" t="s">
        <v>10</v>
      </c>
      <c r="B13" s="2">
        <f t="shared" si="0"/>
        <v>-13288394</v>
      </c>
      <c r="C13" s="2">
        <v>0</v>
      </c>
      <c r="D13" s="2">
        <v>0</v>
      </c>
      <c r="E13" s="2">
        <v>13288394</v>
      </c>
      <c r="F13" s="2">
        <v>10475692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-61018328</v>
      </c>
      <c r="C15" s="5">
        <f t="shared" ref="C15:F15" si="1">SUM(C3:C14)</f>
        <v>0</v>
      </c>
      <c r="D15" s="5">
        <f t="shared" si="1"/>
        <v>0</v>
      </c>
      <c r="E15" s="5">
        <f t="shared" si="1"/>
        <v>61018328</v>
      </c>
      <c r="F15" s="5">
        <f t="shared" si="1"/>
        <v>47932168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-5454432</v>
      </c>
      <c r="C4" s="2">
        <v>0</v>
      </c>
      <c r="D4" s="2">
        <v>0</v>
      </c>
      <c r="E4" s="2">
        <v>5454432</v>
      </c>
      <c r="F4" s="2">
        <v>4492182</v>
      </c>
    </row>
    <row r="5" spans="1:6" x14ac:dyDescent="0.3">
      <c r="A5" s="1" t="s">
        <v>2</v>
      </c>
      <c r="B5" s="2">
        <f t="shared" si="0"/>
        <v>-406</v>
      </c>
      <c r="C5" s="2">
        <v>0</v>
      </c>
      <c r="D5" s="2">
        <v>0</v>
      </c>
      <c r="E5" s="2">
        <v>406</v>
      </c>
      <c r="F5" s="2">
        <v>66</v>
      </c>
    </row>
    <row r="6" spans="1:6" x14ac:dyDescent="0.3">
      <c r="A6" s="1" t="s">
        <v>3</v>
      </c>
      <c r="B6" s="2">
        <f t="shared" si="0"/>
        <v>-592265</v>
      </c>
      <c r="C6" s="2">
        <v>0</v>
      </c>
      <c r="D6" s="2">
        <v>0</v>
      </c>
      <c r="E6" s="2">
        <v>592265</v>
      </c>
      <c r="F6" s="2">
        <v>490830</v>
      </c>
    </row>
    <row r="7" spans="1:6" x14ac:dyDescent="0.3">
      <c r="A7" s="1" t="s">
        <v>4</v>
      </c>
      <c r="B7" s="2">
        <f t="shared" si="0"/>
        <v>-4607876</v>
      </c>
      <c r="C7" s="2">
        <v>1930</v>
      </c>
      <c r="D7" s="2">
        <v>462</v>
      </c>
      <c r="E7" s="2">
        <v>4609806</v>
      </c>
      <c r="F7" s="2">
        <v>3989808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-4428031</v>
      </c>
      <c r="C9" s="2">
        <v>36</v>
      </c>
      <c r="D9" s="2">
        <v>210</v>
      </c>
      <c r="E9" s="2">
        <v>4428067</v>
      </c>
      <c r="F9" s="2">
        <v>4014672</v>
      </c>
    </row>
    <row r="10" spans="1:6" x14ac:dyDescent="0.3">
      <c r="A10" s="1" t="s">
        <v>7</v>
      </c>
      <c r="B10" s="2">
        <f t="shared" si="0"/>
        <v>-3213464</v>
      </c>
      <c r="C10" s="2">
        <v>0</v>
      </c>
      <c r="D10" s="2">
        <v>0</v>
      </c>
      <c r="E10" s="2">
        <v>3213464</v>
      </c>
      <c r="F10" s="2">
        <v>2994058</v>
      </c>
    </row>
    <row r="11" spans="1:6" x14ac:dyDescent="0.3">
      <c r="A11" s="1" t="s">
        <v>8</v>
      </c>
      <c r="B11" s="2">
        <f t="shared" si="0"/>
        <v>-3524701</v>
      </c>
      <c r="C11" s="2">
        <v>1631</v>
      </c>
      <c r="D11" s="2">
        <v>420</v>
      </c>
      <c r="E11" s="2">
        <v>3526332</v>
      </c>
      <c r="F11" s="2">
        <v>3462132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1601</v>
      </c>
      <c r="C13" s="2">
        <v>1601</v>
      </c>
      <c r="D13" s="2">
        <v>420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-21819574</v>
      </c>
      <c r="C15" s="5">
        <f t="shared" ref="C15:F15" si="1">SUM(C3:C14)</f>
        <v>5198</v>
      </c>
      <c r="D15" s="5">
        <f t="shared" si="1"/>
        <v>1512</v>
      </c>
      <c r="E15" s="5">
        <f t="shared" si="1"/>
        <v>21824772</v>
      </c>
      <c r="F15" s="5">
        <f t="shared" si="1"/>
        <v>19443748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-4397167</v>
      </c>
      <c r="C3" s="2">
        <v>0</v>
      </c>
      <c r="D3" s="2">
        <v>0</v>
      </c>
      <c r="E3" s="2">
        <v>4397167</v>
      </c>
      <c r="F3" s="2">
        <v>4006801</v>
      </c>
    </row>
    <row r="4" spans="1:6" x14ac:dyDescent="0.3">
      <c r="A4" s="1" t="s">
        <v>1</v>
      </c>
      <c r="B4" s="2">
        <f t="shared" si="0"/>
        <v>-1760380</v>
      </c>
      <c r="C4" s="2">
        <v>0</v>
      </c>
      <c r="D4" s="2">
        <v>0</v>
      </c>
      <c r="E4" s="2">
        <v>1760380</v>
      </c>
      <c r="F4" s="2">
        <v>1991854</v>
      </c>
    </row>
    <row r="5" spans="1:6" x14ac:dyDescent="0.3">
      <c r="A5" s="1" t="s">
        <v>2</v>
      </c>
      <c r="B5" s="2">
        <f t="shared" si="0"/>
        <v>-13339338</v>
      </c>
      <c r="C5" s="2">
        <v>0</v>
      </c>
      <c r="D5" s="2">
        <v>0</v>
      </c>
      <c r="E5" s="2">
        <v>13339338</v>
      </c>
      <c r="F5" s="2">
        <v>13152524</v>
      </c>
    </row>
    <row r="6" spans="1:6" x14ac:dyDescent="0.3">
      <c r="A6" s="1" t="s">
        <v>3</v>
      </c>
      <c r="B6" s="2">
        <f t="shared" si="0"/>
        <v>-7204933</v>
      </c>
      <c r="C6" s="2">
        <v>1569</v>
      </c>
      <c r="D6" s="2">
        <v>406</v>
      </c>
      <c r="E6" s="2">
        <v>7206502</v>
      </c>
      <c r="F6" s="2">
        <v>7031689</v>
      </c>
    </row>
    <row r="7" spans="1:6" x14ac:dyDescent="0.3">
      <c r="A7" s="1" t="s">
        <v>4</v>
      </c>
      <c r="B7" s="2">
        <f t="shared" si="0"/>
        <v>-10693500</v>
      </c>
      <c r="C7" s="2">
        <v>0</v>
      </c>
      <c r="D7" s="2">
        <v>0</v>
      </c>
      <c r="E7" s="2">
        <v>10693500</v>
      </c>
      <c r="F7" s="2">
        <v>10586741</v>
      </c>
    </row>
    <row r="8" spans="1:6" x14ac:dyDescent="0.3">
      <c r="A8" s="1" t="s">
        <v>5</v>
      </c>
      <c r="B8" s="2">
        <f t="shared" si="0"/>
        <v>-12357557</v>
      </c>
      <c r="C8" s="2">
        <v>246</v>
      </c>
      <c r="D8" s="2">
        <v>92</v>
      </c>
      <c r="E8" s="2">
        <v>12357803</v>
      </c>
      <c r="F8" s="2">
        <v>12365152</v>
      </c>
    </row>
    <row r="9" spans="1:6" x14ac:dyDescent="0.3">
      <c r="A9" s="1" t="s">
        <v>6</v>
      </c>
      <c r="B9" s="2">
        <f t="shared" si="0"/>
        <v>-4633263</v>
      </c>
      <c r="C9" s="2">
        <v>0</v>
      </c>
      <c r="D9" s="2">
        <v>0</v>
      </c>
      <c r="E9" s="2">
        <v>4633263</v>
      </c>
      <c r="F9" s="2">
        <v>4995462</v>
      </c>
    </row>
    <row r="10" spans="1:6" x14ac:dyDescent="0.3">
      <c r="A10" s="1" t="s">
        <v>7</v>
      </c>
      <c r="B10" s="2">
        <f t="shared" si="0"/>
        <v>-1819442</v>
      </c>
      <c r="C10" s="2">
        <v>0</v>
      </c>
      <c r="D10" s="2">
        <v>0</v>
      </c>
      <c r="E10" s="2">
        <v>1819442</v>
      </c>
      <c r="F10" s="2">
        <v>2010227</v>
      </c>
    </row>
    <row r="11" spans="1:6" x14ac:dyDescent="0.3">
      <c r="A11" s="1" t="s">
        <v>8</v>
      </c>
      <c r="B11" s="2">
        <f t="shared" si="0"/>
        <v>-6494108</v>
      </c>
      <c r="C11" s="2">
        <v>1962</v>
      </c>
      <c r="D11" s="2">
        <v>520</v>
      </c>
      <c r="E11" s="2">
        <v>6496070</v>
      </c>
      <c r="F11" s="2">
        <v>6989953</v>
      </c>
    </row>
    <row r="12" spans="1:6" x14ac:dyDescent="0.3">
      <c r="A12" s="1" t="s">
        <v>9</v>
      </c>
      <c r="B12" s="2">
        <f t="shared" si="0"/>
        <v>-6561754</v>
      </c>
      <c r="C12" s="2">
        <v>0</v>
      </c>
      <c r="D12" s="2">
        <v>0</v>
      </c>
      <c r="E12" s="2">
        <v>6561754</v>
      </c>
      <c r="F12" s="2">
        <v>6980975</v>
      </c>
    </row>
    <row r="13" spans="1:6" x14ac:dyDescent="0.3">
      <c r="A13" s="1" t="s">
        <v>10</v>
      </c>
      <c r="B13" s="2">
        <f t="shared" si="0"/>
        <v>-2449223</v>
      </c>
      <c r="C13" s="2">
        <v>1707</v>
      </c>
      <c r="D13" s="2">
        <v>420</v>
      </c>
      <c r="E13" s="2">
        <v>2450930</v>
      </c>
      <c r="F13" s="2">
        <v>2827192</v>
      </c>
    </row>
    <row r="14" spans="1:6" x14ac:dyDescent="0.3">
      <c r="A14" s="1" t="s">
        <v>11</v>
      </c>
      <c r="B14" s="2">
        <f t="shared" si="0"/>
        <v>-1334026</v>
      </c>
      <c r="C14" s="2">
        <v>1662</v>
      </c>
      <c r="D14" s="2">
        <v>420</v>
      </c>
      <c r="E14" s="2">
        <v>1335688</v>
      </c>
      <c r="F14" s="2">
        <v>1498795</v>
      </c>
    </row>
    <row r="15" spans="1:6" ht="17.25" thickBot="1" x14ac:dyDescent="0.35">
      <c r="A15" s="4" t="s">
        <v>13</v>
      </c>
      <c r="B15" s="5">
        <f>SUM(B3:B14)</f>
        <v>-73044691</v>
      </c>
      <c r="C15" s="5">
        <f t="shared" ref="C15:F15" si="1">SUM(C3:C14)</f>
        <v>7146</v>
      </c>
      <c r="D15" s="5">
        <f t="shared" si="1"/>
        <v>1858</v>
      </c>
      <c r="E15" s="5">
        <f t="shared" si="1"/>
        <v>73051837</v>
      </c>
      <c r="F15" s="5">
        <f t="shared" si="1"/>
        <v>74437365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-6376512</v>
      </c>
      <c r="C3" s="2">
        <v>246</v>
      </c>
      <c r="D3" s="2">
        <v>100</v>
      </c>
      <c r="E3" s="2">
        <v>6376758</v>
      </c>
      <c r="F3" s="2">
        <v>6589181</v>
      </c>
    </row>
    <row r="4" spans="1:6" x14ac:dyDescent="0.3">
      <c r="A4" s="1" t="s">
        <v>1</v>
      </c>
      <c r="B4" s="2">
        <f t="shared" si="0"/>
        <v>-3610947</v>
      </c>
      <c r="C4" s="2">
        <v>0</v>
      </c>
      <c r="D4" s="2">
        <v>0</v>
      </c>
      <c r="E4" s="2">
        <v>3610947</v>
      </c>
      <c r="F4" s="2">
        <v>4075222</v>
      </c>
    </row>
    <row r="5" spans="1:6" x14ac:dyDescent="0.3">
      <c r="A5" s="1" t="s">
        <v>2</v>
      </c>
      <c r="B5" s="2">
        <f t="shared" si="0"/>
        <v>-8238840</v>
      </c>
      <c r="C5" s="2">
        <v>0</v>
      </c>
      <c r="D5" s="2">
        <v>0</v>
      </c>
      <c r="E5" s="2">
        <v>8238840</v>
      </c>
      <c r="F5" s="2">
        <v>9080756</v>
      </c>
    </row>
    <row r="6" spans="1:6" x14ac:dyDescent="0.3">
      <c r="A6" s="1" t="s">
        <v>3</v>
      </c>
      <c r="B6" s="2">
        <f t="shared" si="0"/>
        <v>-11251153</v>
      </c>
      <c r="C6" s="2">
        <v>0</v>
      </c>
      <c r="D6" s="2">
        <v>0</v>
      </c>
      <c r="E6" s="2">
        <v>11251153</v>
      </c>
      <c r="F6" s="2">
        <v>12878204</v>
      </c>
    </row>
    <row r="7" spans="1:6" x14ac:dyDescent="0.3">
      <c r="A7" s="1" t="s">
        <v>4</v>
      </c>
      <c r="B7" s="2">
        <f t="shared" si="0"/>
        <v>-8090636</v>
      </c>
      <c r="C7" s="2">
        <v>0</v>
      </c>
      <c r="D7" s="2">
        <v>0</v>
      </c>
      <c r="E7" s="2">
        <v>8090636</v>
      </c>
      <c r="F7" s="2">
        <v>9581189</v>
      </c>
    </row>
    <row r="8" spans="1:6" x14ac:dyDescent="0.3">
      <c r="A8" s="1" t="s">
        <v>5</v>
      </c>
      <c r="B8" s="2">
        <f t="shared" si="0"/>
        <v>-5512223</v>
      </c>
      <c r="C8" s="2">
        <v>1252</v>
      </c>
      <c r="D8" s="2">
        <v>322</v>
      </c>
      <c r="E8" s="2">
        <v>5513475</v>
      </c>
      <c r="F8" s="2">
        <v>7236908</v>
      </c>
    </row>
    <row r="9" spans="1:6" x14ac:dyDescent="0.3">
      <c r="A9" s="1" t="s">
        <v>6</v>
      </c>
      <c r="B9" s="2">
        <f t="shared" si="0"/>
        <v>-5716633</v>
      </c>
      <c r="C9" s="2">
        <v>0</v>
      </c>
      <c r="D9" s="2">
        <v>0</v>
      </c>
      <c r="E9" s="2">
        <v>5716633</v>
      </c>
      <c r="F9" s="2">
        <v>7227135</v>
      </c>
    </row>
    <row r="10" spans="1:6" x14ac:dyDescent="0.3">
      <c r="A10" s="1" t="s">
        <v>7</v>
      </c>
      <c r="B10" s="2">
        <f t="shared" si="0"/>
        <v>-127136</v>
      </c>
      <c r="C10" s="2">
        <v>598</v>
      </c>
      <c r="D10" s="2">
        <v>192</v>
      </c>
      <c r="E10" s="2">
        <v>127734</v>
      </c>
      <c r="F10" s="2">
        <v>150000</v>
      </c>
    </row>
    <row r="11" spans="1:6" x14ac:dyDescent="0.3">
      <c r="A11" s="1" t="s">
        <v>8</v>
      </c>
      <c r="B11" s="2">
        <f t="shared" si="0"/>
        <v>-5451957</v>
      </c>
      <c r="C11" s="2">
        <v>673</v>
      </c>
      <c r="D11" s="2">
        <v>182</v>
      </c>
      <c r="E11" s="2">
        <v>5452630</v>
      </c>
      <c r="F11" s="2">
        <v>7188738</v>
      </c>
    </row>
    <row r="12" spans="1:6" x14ac:dyDescent="0.3">
      <c r="A12" s="1" t="s">
        <v>9</v>
      </c>
      <c r="B12" s="2">
        <f t="shared" si="0"/>
        <v>-2850536</v>
      </c>
      <c r="C12" s="2">
        <v>0</v>
      </c>
      <c r="D12" s="2">
        <v>0</v>
      </c>
      <c r="E12" s="2">
        <v>2850536</v>
      </c>
      <c r="F12" s="2">
        <v>3665482</v>
      </c>
    </row>
    <row r="13" spans="1:6" x14ac:dyDescent="0.3">
      <c r="A13" s="1" t="s">
        <v>10</v>
      </c>
      <c r="B13" s="2">
        <f t="shared" si="0"/>
        <v>124</v>
      </c>
      <c r="C13" s="2">
        <v>124</v>
      </c>
      <c r="D13" s="2">
        <v>14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-1749807</v>
      </c>
      <c r="C14" s="2">
        <v>1997</v>
      </c>
      <c r="D14" s="2">
        <v>546</v>
      </c>
      <c r="E14" s="2">
        <v>1751804</v>
      </c>
      <c r="F14" s="2">
        <v>2301568</v>
      </c>
    </row>
    <row r="15" spans="1:6" ht="17.25" thickBot="1" x14ac:dyDescent="0.35">
      <c r="A15" s="4" t="s">
        <v>13</v>
      </c>
      <c r="B15" s="5">
        <f>SUM(B3:B14)</f>
        <v>-58976256</v>
      </c>
      <c r="C15" s="5">
        <f t="shared" ref="C15:F15" si="1">SUM(C3:C14)</f>
        <v>4890</v>
      </c>
      <c r="D15" s="5">
        <f t="shared" si="1"/>
        <v>1356</v>
      </c>
      <c r="E15" s="5">
        <f t="shared" si="1"/>
        <v>58981146</v>
      </c>
      <c r="F15" s="5">
        <f t="shared" si="1"/>
        <v>69974383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-3988774</v>
      </c>
      <c r="C3" s="2">
        <v>0</v>
      </c>
      <c r="D3" s="2">
        <v>0</v>
      </c>
      <c r="E3" s="2">
        <v>3988774</v>
      </c>
      <c r="F3" s="2">
        <v>5247311</v>
      </c>
    </row>
    <row r="4" spans="1:6" x14ac:dyDescent="0.3">
      <c r="A4" s="1" t="s">
        <v>1</v>
      </c>
      <c r="B4" s="2">
        <f t="shared" si="0"/>
        <v>-3078716</v>
      </c>
      <c r="C4" s="2">
        <v>0</v>
      </c>
      <c r="D4" s="2">
        <v>0</v>
      </c>
      <c r="E4" s="2">
        <v>3078716</v>
      </c>
      <c r="F4" s="2">
        <v>4132253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-313458</v>
      </c>
      <c r="C6" s="2">
        <v>1977</v>
      </c>
      <c r="D6" s="2">
        <v>504</v>
      </c>
      <c r="E6" s="2">
        <v>315435</v>
      </c>
      <c r="F6" s="2">
        <v>389830</v>
      </c>
    </row>
    <row r="7" spans="1:6" x14ac:dyDescent="0.3">
      <c r="A7" s="1" t="s">
        <v>4</v>
      </c>
      <c r="B7" s="2">
        <f t="shared" si="0"/>
        <v>2103</v>
      </c>
      <c r="C7" s="2">
        <v>2103</v>
      </c>
      <c r="D7" s="2">
        <v>574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1534</v>
      </c>
      <c r="C9" s="2">
        <v>1534</v>
      </c>
      <c r="D9" s="2">
        <v>420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1242</v>
      </c>
      <c r="C13" s="2">
        <v>1242</v>
      </c>
      <c r="D13" s="2">
        <v>322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1233</v>
      </c>
      <c r="C14" s="2">
        <v>1233</v>
      </c>
      <c r="D14" s="2">
        <v>280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-7374836</v>
      </c>
      <c r="C15" s="5">
        <f t="shared" ref="C15:F15" si="1">SUM(C3:C14)</f>
        <v>8089</v>
      </c>
      <c r="D15" s="5">
        <f t="shared" si="1"/>
        <v>2100</v>
      </c>
      <c r="E15" s="5">
        <f t="shared" si="1"/>
        <v>7382925</v>
      </c>
      <c r="F15" s="5">
        <f t="shared" si="1"/>
        <v>9769394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-5640564</v>
      </c>
      <c r="C3" s="2">
        <v>1182</v>
      </c>
      <c r="D3" s="2">
        <v>322</v>
      </c>
      <c r="E3" s="2">
        <v>5641746</v>
      </c>
      <c r="F3" s="2">
        <v>6039645</v>
      </c>
    </row>
    <row r="4" spans="1:6" x14ac:dyDescent="0.3">
      <c r="A4" s="1" t="s">
        <v>1</v>
      </c>
      <c r="B4" s="2">
        <f t="shared" si="0"/>
        <v>-1869539</v>
      </c>
      <c r="C4" s="2">
        <v>818</v>
      </c>
      <c r="D4" s="2">
        <v>224</v>
      </c>
      <c r="E4" s="2">
        <v>1870357</v>
      </c>
      <c r="F4" s="2">
        <v>2021914</v>
      </c>
    </row>
    <row r="5" spans="1:6" x14ac:dyDescent="0.3">
      <c r="A5" s="1" t="s">
        <v>2</v>
      </c>
      <c r="B5" s="2">
        <f t="shared" si="0"/>
        <v>-9363971</v>
      </c>
      <c r="C5" s="2">
        <v>1183</v>
      </c>
      <c r="D5" s="2">
        <v>322</v>
      </c>
      <c r="E5" s="2">
        <v>9365154</v>
      </c>
      <c r="F5" s="2">
        <v>9990580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417</v>
      </c>
      <c r="C7" s="2">
        <v>417</v>
      </c>
      <c r="D7" s="2">
        <v>112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-1719150</v>
      </c>
      <c r="C8" s="2">
        <v>424</v>
      </c>
      <c r="D8" s="2">
        <v>112</v>
      </c>
      <c r="E8" s="2">
        <v>1719574</v>
      </c>
      <c r="F8" s="2">
        <v>2013683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-4176687</v>
      </c>
      <c r="C10" s="2">
        <v>419</v>
      </c>
      <c r="D10" s="2">
        <v>112</v>
      </c>
      <c r="E10" s="2">
        <v>4177106</v>
      </c>
      <c r="F10" s="2">
        <v>5009317</v>
      </c>
    </row>
    <row r="11" spans="1:6" x14ac:dyDescent="0.3">
      <c r="A11" s="1" t="s">
        <v>8</v>
      </c>
      <c r="B11" s="2">
        <f t="shared" si="0"/>
        <v>-1750994</v>
      </c>
      <c r="C11" s="2">
        <v>0</v>
      </c>
      <c r="D11" s="2">
        <v>0</v>
      </c>
      <c r="E11" s="2">
        <v>1750994</v>
      </c>
      <c r="F11" s="2">
        <v>1988661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-24520488</v>
      </c>
      <c r="C15" s="5">
        <f t="shared" ref="C15:F15" si="1">SUM(C3:C14)</f>
        <v>4443</v>
      </c>
      <c r="D15" s="5">
        <f t="shared" si="1"/>
        <v>1204</v>
      </c>
      <c r="E15" s="5">
        <f t="shared" si="1"/>
        <v>24524931</v>
      </c>
      <c r="F15" s="5">
        <f t="shared" si="1"/>
        <v>27063800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-5266256</v>
      </c>
      <c r="C4" s="2">
        <v>0</v>
      </c>
      <c r="D4" s="2">
        <v>0</v>
      </c>
      <c r="E4" s="2">
        <v>5266256</v>
      </c>
      <c r="F4" s="2">
        <v>5993153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-4360111</v>
      </c>
      <c r="C6" s="2">
        <v>0</v>
      </c>
      <c r="D6" s="2">
        <v>0</v>
      </c>
      <c r="E6" s="2">
        <v>4360111</v>
      </c>
      <c r="F6" s="2">
        <v>4999613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-8244927</v>
      </c>
      <c r="C12" s="2">
        <v>0</v>
      </c>
      <c r="D12" s="2">
        <v>0</v>
      </c>
      <c r="E12" s="2">
        <v>8244927</v>
      </c>
      <c r="F12" s="2">
        <v>10305022</v>
      </c>
    </row>
    <row r="13" spans="1:6" x14ac:dyDescent="0.3">
      <c r="A13" s="1" t="s">
        <v>10</v>
      </c>
      <c r="B13" s="2">
        <f t="shared" si="0"/>
        <v>-5084925</v>
      </c>
      <c r="C13" s="2">
        <v>589</v>
      </c>
      <c r="D13" s="2">
        <v>127</v>
      </c>
      <c r="E13" s="2">
        <v>5085514</v>
      </c>
      <c r="F13" s="2">
        <v>6684345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-22956219</v>
      </c>
      <c r="C15" s="5">
        <f t="shared" ref="C15:F15" si="1">SUM(C3:C14)</f>
        <v>589</v>
      </c>
      <c r="D15" s="5">
        <f t="shared" si="1"/>
        <v>127</v>
      </c>
      <c r="E15" s="5">
        <f t="shared" si="1"/>
        <v>22956808</v>
      </c>
      <c r="F15" s="5">
        <f t="shared" si="1"/>
        <v>27982133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-1595658</v>
      </c>
      <c r="C4" s="2">
        <v>0</v>
      </c>
      <c r="D4" s="2">
        <v>0</v>
      </c>
      <c r="E4" s="2">
        <v>1595658</v>
      </c>
      <c r="F4" s="2">
        <v>2000000</v>
      </c>
    </row>
    <row r="5" spans="1:6" x14ac:dyDescent="0.3">
      <c r="A5" s="1" t="s">
        <v>2</v>
      </c>
      <c r="B5" s="2">
        <f t="shared" si="0"/>
        <v>-1607103</v>
      </c>
      <c r="C5" s="2">
        <v>0</v>
      </c>
      <c r="D5" s="2">
        <v>0</v>
      </c>
      <c r="E5" s="2">
        <v>1607103</v>
      </c>
      <c r="F5" s="2">
        <v>2010239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-10</v>
      </c>
      <c r="C12" s="2">
        <v>0</v>
      </c>
      <c r="D12" s="2">
        <v>0</v>
      </c>
      <c r="E12" s="2">
        <v>10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-3202771</v>
      </c>
      <c r="C15" s="5">
        <f t="shared" ref="C15:F15" si="1">SUM(C3:C14)</f>
        <v>0</v>
      </c>
      <c r="D15" s="5">
        <f t="shared" si="1"/>
        <v>0</v>
      </c>
      <c r="E15" s="5">
        <f t="shared" si="1"/>
        <v>3202771</v>
      </c>
      <c r="F15" s="5">
        <f t="shared" si="1"/>
        <v>4010240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-21</v>
      </c>
      <c r="C5" s="2">
        <v>0</v>
      </c>
      <c r="D5" s="2">
        <v>0</v>
      </c>
      <c r="E5" s="2">
        <v>21</v>
      </c>
      <c r="F5" s="2">
        <v>3</v>
      </c>
    </row>
    <row r="6" spans="1:6" x14ac:dyDescent="0.3">
      <c r="A6" s="1" t="s">
        <v>3</v>
      </c>
      <c r="B6" s="2">
        <f t="shared" si="0"/>
        <v>-1509201</v>
      </c>
      <c r="C6" s="2">
        <v>0</v>
      </c>
      <c r="D6" s="2">
        <v>0</v>
      </c>
      <c r="E6" s="2">
        <v>1509201</v>
      </c>
      <c r="F6" s="2">
        <v>2001963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-1509222</v>
      </c>
      <c r="C15" s="5">
        <f t="shared" ref="C15:F15" si="1">SUM(C3:C14)</f>
        <v>0</v>
      </c>
      <c r="D15" s="5">
        <f t="shared" si="1"/>
        <v>0</v>
      </c>
      <c r="E15" s="5">
        <f t="shared" si="1"/>
        <v>1509222</v>
      </c>
      <c r="F15" s="5">
        <f t="shared" si="1"/>
        <v>2001966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-7303217</v>
      </c>
      <c r="C3" s="2">
        <v>0</v>
      </c>
      <c r="D3" s="2">
        <v>0</v>
      </c>
      <c r="E3" s="2">
        <v>7303217</v>
      </c>
      <c r="F3" s="2">
        <v>6944410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-5538462</v>
      </c>
      <c r="C5" s="2">
        <v>0</v>
      </c>
      <c r="D5" s="2">
        <v>0</v>
      </c>
      <c r="E5" s="2">
        <v>5538462</v>
      </c>
      <c r="F5" s="2">
        <v>4990607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-13477117</v>
      </c>
      <c r="C7" s="2">
        <v>0</v>
      </c>
      <c r="D7" s="2">
        <v>0</v>
      </c>
      <c r="E7" s="2">
        <v>13477117</v>
      </c>
      <c r="F7" s="2">
        <v>10020433</v>
      </c>
    </row>
    <row r="8" spans="1:6" x14ac:dyDescent="0.3">
      <c r="A8" s="1" t="s">
        <v>5</v>
      </c>
      <c r="B8" s="2">
        <f t="shared" si="0"/>
        <v>-5501534</v>
      </c>
      <c r="C8" s="2">
        <v>0</v>
      </c>
      <c r="D8" s="2">
        <v>0</v>
      </c>
      <c r="E8" s="2">
        <v>5501534</v>
      </c>
      <c r="F8" s="2">
        <v>4004315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-10746619</v>
      </c>
      <c r="C10" s="2">
        <v>0</v>
      </c>
      <c r="D10" s="2">
        <v>0</v>
      </c>
      <c r="E10" s="2">
        <v>10746619</v>
      </c>
      <c r="F10" s="2">
        <v>6493708</v>
      </c>
    </row>
    <row r="11" spans="1:6" x14ac:dyDescent="0.3">
      <c r="A11" s="1" t="s">
        <v>8</v>
      </c>
      <c r="B11" s="2">
        <f t="shared" si="0"/>
        <v>-11214987</v>
      </c>
      <c r="C11" s="2">
        <v>0</v>
      </c>
      <c r="D11" s="2">
        <v>0</v>
      </c>
      <c r="E11" s="2">
        <v>11214987</v>
      </c>
      <c r="F11" s="2">
        <v>6489823</v>
      </c>
    </row>
    <row r="12" spans="1:6" x14ac:dyDescent="0.3">
      <c r="A12" s="1" t="s">
        <v>9</v>
      </c>
      <c r="B12" s="2">
        <f t="shared" si="0"/>
        <v>-9325917</v>
      </c>
      <c r="C12" s="2">
        <v>0</v>
      </c>
      <c r="D12" s="2">
        <v>0</v>
      </c>
      <c r="E12" s="2">
        <v>9325917</v>
      </c>
      <c r="F12" s="2">
        <v>6009592</v>
      </c>
    </row>
    <row r="13" spans="1:6" x14ac:dyDescent="0.3">
      <c r="A13" s="1" t="s">
        <v>10</v>
      </c>
      <c r="B13" s="2">
        <f t="shared" si="0"/>
        <v>-11126815</v>
      </c>
      <c r="C13" s="2">
        <v>0</v>
      </c>
      <c r="D13" s="2">
        <v>0</v>
      </c>
      <c r="E13" s="2">
        <v>11126815</v>
      </c>
      <c r="F13" s="2">
        <v>7007860</v>
      </c>
    </row>
    <row r="14" spans="1:6" x14ac:dyDescent="0.3">
      <c r="A14" s="1" t="s">
        <v>11</v>
      </c>
      <c r="B14" s="2">
        <f t="shared" si="0"/>
        <v>-5159370</v>
      </c>
      <c r="C14" s="2">
        <v>0</v>
      </c>
      <c r="D14" s="2">
        <v>0</v>
      </c>
      <c r="E14" s="2">
        <v>5159370</v>
      </c>
      <c r="F14" s="2">
        <v>4005886</v>
      </c>
    </row>
    <row r="15" spans="1:6" ht="17.25" thickBot="1" x14ac:dyDescent="0.35">
      <c r="A15" s="4" t="s">
        <v>13</v>
      </c>
      <c r="B15" s="5">
        <f>SUM(B3:B14)</f>
        <v>-79394038</v>
      </c>
      <c r="C15" s="5">
        <f t="shared" ref="C15:F15" si="1">SUM(C3:C14)</f>
        <v>0</v>
      </c>
      <c r="D15" s="5">
        <f t="shared" si="1"/>
        <v>0</v>
      </c>
      <c r="E15" s="5">
        <f t="shared" si="1"/>
        <v>79394038</v>
      </c>
      <c r="F15" s="5">
        <f t="shared" si="1"/>
        <v>55966634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-5879411</v>
      </c>
      <c r="C5" s="2">
        <v>0</v>
      </c>
      <c r="D5" s="2">
        <v>0</v>
      </c>
      <c r="E5" s="2">
        <v>5879411</v>
      </c>
      <c r="F5" s="2">
        <v>3995659</v>
      </c>
    </row>
    <row r="6" spans="1:6" x14ac:dyDescent="0.3">
      <c r="A6" s="1" t="s">
        <v>3</v>
      </c>
      <c r="B6" s="2">
        <f t="shared" si="0"/>
        <v>-12351093</v>
      </c>
      <c r="C6" s="2">
        <v>0</v>
      </c>
      <c r="D6" s="2">
        <v>0</v>
      </c>
      <c r="E6" s="2">
        <v>12351093</v>
      </c>
      <c r="F6" s="2">
        <v>6992782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-17471602</v>
      </c>
      <c r="C8" s="2">
        <v>0</v>
      </c>
      <c r="D8" s="2">
        <v>0</v>
      </c>
      <c r="E8" s="2">
        <v>17471602</v>
      </c>
      <c r="F8" s="2">
        <v>10014284</v>
      </c>
    </row>
    <row r="9" spans="1:6" x14ac:dyDescent="0.3">
      <c r="A9" s="1" t="s">
        <v>6</v>
      </c>
      <c r="B9" s="2">
        <f t="shared" si="0"/>
        <v>-13401010</v>
      </c>
      <c r="C9" s="2">
        <v>0</v>
      </c>
      <c r="D9" s="2">
        <v>0</v>
      </c>
      <c r="E9" s="2">
        <v>13401010</v>
      </c>
      <c r="F9" s="2">
        <v>5505494</v>
      </c>
    </row>
    <row r="10" spans="1:6" x14ac:dyDescent="0.3">
      <c r="A10" s="1" t="s">
        <v>7</v>
      </c>
      <c r="B10" s="2">
        <f t="shared" si="0"/>
        <v>-14521329</v>
      </c>
      <c r="C10" s="2">
        <v>0</v>
      </c>
      <c r="D10" s="2">
        <v>0</v>
      </c>
      <c r="E10" s="2">
        <v>14521329</v>
      </c>
      <c r="F10" s="2">
        <v>6495678</v>
      </c>
    </row>
    <row r="11" spans="1:6" x14ac:dyDescent="0.3">
      <c r="A11" s="1" t="s">
        <v>8</v>
      </c>
      <c r="B11" s="2">
        <f t="shared" si="0"/>
        <v>-12885006</v>
      </c>
      <c r="C11" s="2">
        <v>0</v>
      </c>
      <c r="D11" s="2">
        <v>0</v>
      </c>
      <c r="E11" s="2">
        <v>12885006</v>
      </c>
      <c r="F11" s="2">
        <v>6999695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-76509451</v>
      </c>
      <c r="C15" s="5">
        <f t="shared" ref="C15:F15" si="1">SUM(C3:C14)</f>
        <v>0</v>
      </c>
      <c r="D15" s="5">
        <f t="shared" si="1"/>
        <v>0</v>
      </c>
      <c r="E15" s="5">
        <f t="shared" si="1"/>
        <v>76509451</v>
      </c>
      <c r="F15" s="5">
        <f t="shared" si="1"/>
        <v>40003592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-5759317</v>
      </c>
      <c r="C4" s="2">
        <v>0</v>
      </c>
      <c r="D4" s="2">
        <v>0</v>
      </c>
      <c r="E4" s="2">
        <v>5759317</v>
      </c>
      <c r="F4" s="2">
        <v>4020403</v>
      </c>
    </row>
    <row r="5" spans="1:6" x14ac:dyDescent="0.3">
      <c r="A5" s="1" t="s">
        <v>2</v>
      </c>
      <c r="B5" s="2">
        <f t="shared" si="0"/>
        <v>-4598811</v>
      </c>
      <c r="C5" s="2">
        <v>0</v>
      </c>
      <c r="D5" s="2">
        <v>0</v>
      </c>
      <c r="E5" s="2">
        <v>4598811</v>
      </c>
      <c r="F5" s="2">
        <v>3008367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-6583890</v>
      </c>
      <c r="C7" s="2">
        <v>0</v>
      </c>
      <c r="D7" s="2">
        <v>0</v>
      </c>
      <c r="E7" s="2">
        <v>6583890</v>
      </c>
      <c r="F7" s="2">
        <v>4982299</v>
      </c>
    </row>
    <row r="8" spans="1:6" x14ac:dyDescent="0.3">
      <c r="A8" s="1" t="s">
        <v>5</v>
      </c>
      <c r="B8" s="2">
        <f t="shared" si="0"/>
        <v>-4713362</v>
      </c>
      <c r="C8" s="2">
        <v>0</v>
      </c>
      <c r="D8" s="2">
        <v>0</v>
      </c>
      <c r="E8" s="2">
        <v>4713362</v>
      </c>
      <c r="F8" s="2">
        <v>3989750</v>
      </c>
    </row>
    <row r="9" spans="1:6" x14ac:dyDescent="0.3">
      <c r="A9" s="1" t="s">
        <v>6</v>
      </c>
      <c r="B9" s="2">
        <f t="shared" si="0"/>
        <v>-15141636</v>
      </c>
      <c r="C9" s="2">
        <v>0</v>
      </c>
      <c r="D9" s="2">
        <v>0</v>
      </c>
      <c r="E9" s="2">
        <v>15141636</v>
      </c>
      <c r="F9" s="2">
        <v>14025418</v>
      </c>
    </row>
    <row r="10" spans="1:6" x14ac:dyDescent="0.3">
      <c r="A10" s="1" t="s">
        <v>7</v>
      </c>
      <c r="B10" s="2">
        <f t="shared" si="0"/>
        <v>-6701163</v>
      </c>
      <c r="C10" s="2">
        <v>0</v>
      </c>
      <c r="D10" s="2">
        <v>0</v>
      </c>
      <c r="E10" s="2">
        <v>6701163</v>
      </c>
      <c r="F10" s="2">
        <v>7150736</v>
      </c>
    </row>
    <row r="11" spans="1:6" x14ac:dyDescent="0.3">
      <c r="A11" s="1" t="s">
        <v>8</v>
      </c>
      <c r="B11" s="2">
        <f t="shared" si="0"/>
        <v>-15</v>
      </c>
      <c r="C11" s="2">
        <v>0</v>
      </c>
      <c r="D11" s="2">
        <v>0</v>
      </c>
      <c r="E11" s="2">
        <v>15</v>
      </c>
      <c r="F11" s="2">
        <v>1</v>
      </c>
    </row>
    <row r="12" spans="1:6" x14ac:dyDescent="0.3">
      <c r="A12" s="1" t="s">
        <v>9</v>
      </c>
      <c r="B12" s="2">
        <f t="shared" si="0"/>
        <v>-12661167</v>
      </c>
      <c r="C12" s="2">
        <v>0</v>
      </c>
      <c r="D12" s="2">
        <v>0</v>
      </c>
      <c r="E12" s="2">
        <v>12661167</v>
      </c>
      <c r="F12" s="2">
        <v>9543042</v>
      </c>
    </row>
    <row r="13" spans="1:6" x14ac:dyDescent="0.3">
      <c r="A13" s="1" t="s">
        <v>10</v>
      </c>
      <c r="B13" s="2">
        <f t="shared" si="0"/>
        <v>-2974684</v>
      </c>
      <c r="C13" s="2">
        <v>0</v>
      </c>
      <c r="D13" s="2">
        <v>0</v>
      </c>
      <c r="E13" s="2">
        <v>2974684</v>
      </c>
      <c r="F13" s="2">
        <v>2343052</v>
      </c>
    </row>
    <row r="14" spans="1:6" x14ac:dyDescent="0.3">
      <c r="A14" s="1" t="s">
        <v>11</v>
      </c>
      <c r="B14" s="2">
        <f t="shared" si="0"/>
        <v>-19</v>
      </c>
      <c r="C14" s="2">
        <v>0</v>
      </c>
      <c r="D14" s="2">
        <v>0</v>
      </c>
      <c r="E14" s="2">
        <v>19</v>
      </c>
      <c r="F14" s="2">
        <v>1</v>
      </c>
    </row>
    <row r="15" spans="1:6" ht="17.25" thickBot="1" x14ac:dyDescent="0.35">
      <c r="A15" s="4" t="s">
        <v>13</v>
      </c>
      <c r="B15" s="5">
        <f>SUM(B3:B14)</f>
        <v>-59134064</v>
      </c>
      <c r="C15" s="5">
        <f t="shared" ref="C15:F15" si="1">SUM(C3:C14)</f>
        <v>0</v>
      </c>
      <c r="D15" s="5">
        <f t="shared" si="1"/>
        <v>0</v>
      </c>
      <c r="E15" s="5">
        <f t="shared" si="1"/>
        <v>59134064</v>
      </c>
      <c r="F15" s="5">
        <f t="shared" si="1"/>
        <v>49063069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-19</v>
      </c>
      <c r="C3" s="2">
        <v>0</v>
      </c>
      <c r="D3" s="2">
        <v>0</v>
      </c>
      <c r="E3" s="2">
        <v>19</v>
      </c>
      <c r="F3" s="2">
        <v>1</v>
      </c>
    </row>
    <row r="4" spans="1:6" x14ac:dyDescent="0.3">
      <c r="A4" s="1" t="s">
        <v>1</v>
      </c>
      <c r="B4" s="2">
        <f t="shared" si="0"/>
        <v>-7757794</v>
      </c>
      <c r="C4" s="2">
        <v>0</v>
      </c>
      <c r="D4" s="2">
        <v>0</v>
      </c>
      <c r="E4" s="2">
        <v>7757794</v>
      </c>
      <c r="F4" s="2">
        <v>7999358</v>
      </c>
    </row>
    <row r="5" spans="1:6" x14ac:dyDescent="0.3">
      <c r="A5" s="1" t="s">
        <v>2</v>
      </c>
      <c r="B5" s="2">
        <f t="shared" si="0"/>
        <v>-7700620</v>
      </c>
      <c r="C5" s="2">
        <v>0</v>
      </c>
      <c r="D5" s="2">
        <v>0</v>
      </c>
      <c r="E5" s="2">
        <v>7700620</v>
      </c>
      <c r="F5" s="2">
        <v>7999070</v>
      </c>
    </row>
    <row r="6" spans="1:6" x14ac:dyDescent="0.3">
      <c r="A6" s="1" t="s">
        <v>3</v>
      </c>
      <c r="B6" s="2">
        <f t="shared" si="0"/>
        <v>-8141410</v>
      </c>
      <c r="C6" s="2">
        <v>0</v>
      </c>
      <c r="D6" s="2">
        <v>0</v>
      </c>
      <c r="E6" s="2">
        <v>8141410</v>
      </c>
      <c r="F6" s="2">
        <v>7995729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-5689302</v>
      </c>
      <c r="C8" s="2">
        <v>0</v>
      </c>
      <c r="D8" s="2">
        <v>0</v>
      </c>
      <c r="E8" s="2">
        <v>5689302</v>
      </c>
      <c r="F8" s="2">
        <v>6499690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-7871957</v>
      </c>
      <c r="C10" s="2">
        <v>0</v>
      </c>
      <c r="D10" s="2">
        <v>0</v>
      </c>
      <c r="E10" s="2">
        <v>7871957</v>
      </c>
      <c r="F10" s="2">
        <v>8129012</v>
      </c>
    </row>
    <row r="11" spans="1:6" x14ac:dyDescent="0.3">
      <c r="A11" s="1" t="s">
        <v>8</v>
      </c>
      <c r="B11" s="2">
        <f t="shared" si="0"/>
        <v>-11959716</v>
      </c>
      <c r="C11" s="2">
        <v>0</v>
      </c>
      <c r="D11" s="2">
        <v>0</v>
      </c>
      <c r="E11" s="2">
        <v>11959716</v>
      </c>
      <c r="F11" s="2">
        <v>11682025</v>
      </c>
    </row>
    <row r="12" spans="1:6" x14ac:dyDescent="0.3">
      <c r="A12" s="1" t="s">
        <v>9</v>
      </c>
      <c r="B12" s="2">
        <f t="shared" si="0"/>
        <v>-291000</v>
      </c>
      <c r="C12" s="2">
        <v>0</v>
      </c>
      <c r="D12" s="2">
        <v>0</v>
      </c>
      <c r="E12" s="2">
        <v>291000</v>
      </c>
      <c r="F12" s="2">
        <v>300000</v>
      </c>
    </row>
    <row r="13" spans="1:6" x14ac:dyDescent="0.3">
      <c r="A13" s="1" t="s">
        <v>10</v>
      </c>
      <c r="B13" s="2">
        <f t="shared" si="0"/>
        <v>-7700543</v>
      </c>
      <c r="C13" s="2">
        <v>0</v>
      </c>
      <c r="D13" s="2">
        <v>0</v>
      </c>
      <c r="E13" s="2">
        <v>7700543</v>
      </c>
      <c r="F13" s="2">
        <v>7398810</v>
      </c>
    </row>
    <row r="14" spans="1:6" x14ac:dyDescent="0.3">
      <c r="A14" s="1" t="s">
        <v>11</v>
      </c>
      <c r="B14" s="2">
        <f t="shared" si="0"/>
        <v>-4219889</v>
      </c>
      <c r="C14" s="2">
        <v>0</v>
      </c>
      <c r="D14" s="2">
        <v>0</v>
      </c>
      <c r="E14" s="2">
        <v>4219889</v>
      </c>
      <c r="F14" s="2">
        <v>3849037</v>
      </c>
    </row>
    <row r="15" spans="1:6" ht="17.25" thickBot="1" x14ac:dyDescent="0.35">
      <c r="A15" s="4" t="s">
        <v>13</v>
      </c>
      <c r="B15" s="5">
        <f>SUM(B3:B14)</f>
        <v>-61332250</v>
      </c>
      <c r="C15" s="5">
        <f t="shared" ref="C15:F15" si="1">SUM(C3:C14)</f>
        <v>0</v>
      </c>
      <c r="D15" s="5">
        <f t="shared" si="1"/>
        <v>0</v>
      </c>
      <c r="E15" s="5">
        <f t="shared" si="1"/>
        <v>61332250</v>
      </c>
      <c r="F15" s="5">
        <f t="shared" si="1"/>
        <v>61852732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-4903864</v>
      </c>
      <c r="C4" s="2">
        <v>0</v>
      </c>
      <c r="D4" s="2">
        <v>0</v>
      </c>
      <c r="E4" s="2">
        <v>4903864</v>
      </c>
      <c r="F4" s="2">
        <v>4497592</v>
      </c>
    </row>
    <row r="5" spans="1:6" x14ac:dyDescent="0.3">
      <c r="A5" s="1" t="s">
        <v>2</v>
      </c>
      <c r="B5" s="2">
        <f t="shared" si="0"/>
        <v>-10333542</v>
      </c>
      <c r="C5" s="2">
        <v>0</v>
      </c>
      <c r="D5" s="2">
        <v>0</v>
      </c>
      <c r="E5" s="2">
        <v>10333542</v>
      </c>
      <c r="F5" s="2">
        <v>8991995</v>
      </c>
    </row>
    <row r="6" spans="1:6" x14ac:dyDescent="0.3">
      <c r="A6" s="1" t="s">
        <v>3</v>
      </c>
      <c r="B6" s="2">
        <f t="shared" si="0"/>
        <v>-13980885</v>
      </c>
      <c r="C6" s="2">
        <v>0</v>
      </c>
      <c r="D6" s="2">
        <v>0</v>
      </c>
      <c r="E6" s="2">
        <v>13980885</v>
      </c>
      <c r="F6" s="2">
        <v>11997882</v>
      </c>
    </row>
    <row r="7" spans="1:6" x14ac:dyDescent="0.3">
      <c r="A7" s="1" t="s">
        <v>4</v>
      </c>
      <c r="B7" s="2">
        <f t="shared" si="0"/>
        <v>-12715345</v>
      </c>
      <c r="C7" s="2">
        <v>0</v>
      </c>
      <c r="D7" s="2">
        <v>0</v>
      </c>
      <c r="E7" s="2">
        <v>12715345</v>
      </c>
      <c r="F7" s="2">
        <v>11196862</v>
      </c>
    </row>
    <row r="8" spans="1:6" x14ac:dyDescent="0.3">
      <c r="A8" s="1" t="s">
        <v>5</v>
      </c>
      <c r="B8" s="2">
        <f t="shared" si="0"/>
        <v>-19712779</v>
      </c>
      <c r="C8" s="2">
        <v>0</v>
      </c>
      <c r="D8" s="2">
        <v>0</v>
      </c>
      <c r="E8" s="2">
        <v>19712779</v>
      </c>
      <c r="F8" s="2">
        <v>17490987</v>
      </c>
    </row>
    <row r="9" spans="1:6" x14ac:dyDescent="0.3">
      <c r="A9" s="1" t="s">
        <v>6</v>
      </c>
      <c r="B9" s="2">
        <f t="shared" si="0"/>
        <v>-29321914</v>
      </c>
      <c r="C9" s="2">
        <v>0</v>
      </c>
      <c r="D9" s="2">
        <v>0</v>
      </c>
      <c r="E9" s="2">
        <v>29321914</v>
      </c>
      <c r="F9" s="2">
        <v>24979901</v>
      </c>
    </row>
    <row r="10" spans="1:6" x14ac:dyDescent="0.3">
      <c r="A10" s="1" t="s">
        <v>7</v>
      </c>
      <c r="B10" s="2">
        <f t="shared" si="0"/>
        <v>-27075782</v>
      </c>
      <c r="C10" s="2">
        <v>0</v>
      </c>
      <c r="D10" s="2">
        <v>0</v>
      </c>
      <c r="E10" s="2">
        <v>27075782</v>
      </c>
      <c r="F10" s="2">
        <v>22537431</v>
      </c>
    </row>
    <row r="11" spans="1:6" x14ac:dyDescent="0.3">
      <c r="A11" s="1" t="s">
        <v>8</v>
      </c>
      <c r="B11" s="2">
        <f t="shared" si="0"/>
        <v>-10449027</v>
      </c>
      <c r="C11" s="2">
        <v>0</v>
      </c>
      <c r="D11" s="2">
        <v>0</v>
      </c>
      <c r="E11" s="2">
        <v>10449027</v>
      </c>
      <c r="F11" s="2">
        <v>8458794</v>
      </c>
    </row>
    <row r="12" spans="1:6" x14ac:dyDescent="0.3">
      <c r="A12" s="1" t="s">
        <v>9</v>
      </c>
      <c r="B12" s="2">
        <f t="shared" si="0"/>
        <v>-17171997</v>
      </c>
      <c r="C12" s="2">
        <v>0</v>
      </c>
      <c r="D12" s="2">
        <v>0</v>
      </c>
      <c r="E12" s="2">
        <v>17171997</v>
      </c>
      <c r="F12" s="2">
        <v>15099828</v>
      </c>
    </row>
    <row r="13" spans="1:6" x14ac:dyDescent="0.3">
      <c r="A13" s="1" t="s">
        <v>10</v>
      </c>
      <c r="B13" s="2">
        <f t="shared" si="0"/>
        <v>-27758206</v>
      </c>
      <c r="C13" s="2">
        <v>0</v>
      </c>
      <c r="D13" s="2">
        <v>0</v>
      </c>
      <c r="E13" s="2">
        <v>27758206</v>
      </c>
      <c r="F13" s="2">
        <v>23993259</v>
      </c>
    </row>
    <row r="14" spans="1:6" x14ac:dyDescent="0.3">
      <c r="A14" s="1" t="s">
        <v>11</v>
      </c>
      <c r="B14" s="2">
        <f t="shared" si="0"/>
        <v>-11818722</v>
      </c>
      <c r="C14" s="2">
        <v>0</v>
      </c>
      <c r="D14" s="2">
        <v>0</v>
      </c>
      <c r="E14" s="2">
        <v>11818722</v>
      </c>
      <c r="F14" s="2">
        <v>9984434</v>
      </c>
    </row>
    <row r="15" spans="1:6" ht="17.25" thickBot="1" x14ac:dyDescent="0.35">
      <c r="A15" s="4" t="s">
        <v>13</v>
      </c>
      <c r="B15" s="5">
        <f>SUM(B3:B14)</f>
        <v>-185242063</v>
      </c>
      <c r="C15" s="5">
        <f t="shared" ref="C15:F15" si="1">SUM(C3:C14)</f>
        <v>0</v>
      </c>
      <c r="D15" s="5">
        <f t="shared" si="1"/>
        <v>0</v>
      </c>
      <c r="E15" s="5">
        <f t="shared" si="1"/>
        <v>185242063</v>
      </c>
      <c r="F15" s="5">
        <f t="shared" si="1"/>
        <v>159228965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-22657807</v>
      </c>
      <c r="C3" s="2">
        <v>0</v>
      </c>
      <c r="D3" s="2">
        <v>0</v>
      </c>
      <c r="E3" s="2">
        <v>22657807</v>
      </c>
      <c r="F3" s="2">
        <v>18960087</v>
      </c>
    </row>
    <row r="4" spans="1:6" x14ac:dyDescent="0.3">
      <c r="A4" s="1" t="s">
        <v>1</v>
      </c>
      <c r="B4" s="2">
        <f t="shared" si="0"/>
        <v>-17627070</v>
      </c>
      <c r="C4" s="2">
        <v>0</v>
      </c>
      <c r="D4" s="2">
        <v>0</v>
      </c>
      <c r="E4" s="2">
        <v>17627070</v>
      </c>
      <c r="F4" s="2">
        <v>14989740</v>
      </c>
    </row>
    <row r="5" spans="1:6" x14ac:dyDescent="0.3">
      <c r="A5" s="1" t="s">
        <v>2</v>
      </c>
      <c r="B5" s="2">
        <f t="shared" si="0"/>
        <v>-15292585</v>
      </c>
      <c r="C5" s="2">
        <v>0</v>
      </c>
      <c r="D5" s="2">
        <v>0</v>
      </c>
      <c r="E5" s="2">
        <v>15292585</v>
      </c>
      <c r="F5" s="2">
        <v>12496796</v>
      </c>
    </row>
    <row r="6" spans="1:6" x14ac:dyDescent="0.3">
      <c r="A6" s="1" t="s">
        <v>3</v>
      </c>
      <c r="B6" s="2">
        <f t="shared" si="0"/>
        <v>-40178525</v>
      </c>
      <c r="C6" s="2">
        <v>0</v>
      </c>
      <c r="D6" s="2">
        <v>0</v>
      </c>
      <c r="E6" s="2">
        <v>40178525</v>
      </c>
      <c r="F6" s="2">
        <v>29998184</v>
      </c>
    </row>
    <row r="7" spans="1:6" x14ac:dyDescent="0.3">
      <c r="A7" s="1" t="s">
        <v>4</v>
      </c>
      <c r="B7" s="2">
        <f t="shared" si="0"/>
        <v>-12865762</v>
      </c>
      <c r="C7" s="2">
        <v>0</v>
      </c>
      <c r="D7" s="2">
        <v>0</v>
      </c>
      <c r="E7" s="2">
        <v>12865762</v>
      </c>
      <c r="F7" s="2">
        <v>8988616</v>
      </c>
    </row>
    <row r="8" spans="1:6" x14ac:dyDescent="0.3">
      <c r="A8" s="1" t="s">
        <v>5</v>
      </c>
      <c r="B8" s="2">
        <f t="shared" si="0"/>
        <v>-37245784</v>
      </c>
      <c r="C8" s="2">
        <v>0</v>
      </c>
      <c r="D8" s="2">
        <v>0</v>
      </c>
      <c r="E8" s="2">
        <v>37245784</v>
      </c>
      <c r="F8" s="2">
        <v>24989236</v>
      </c>
    </row>
    <row r="9" spans="1:6" x14ac:dyDescent="0.3">
      <c r="A9" s="1" t="s">
        <v>6</v>
      </c>
      <c r="B9" s="2">
        <f t="shared" si="0"/>
        <v>-49269327</v>
      </c>
      <c r="C9" s="2">
        <v>0</v>
      </c>
      <c r="D9" s="2">
        <v>0</v>
      </c>
      <c r="E9" s="2">
        <v>49269327</v>
      </c>
      <c r="F9" s="2">
        <v>35077899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-195136860</v>
      </c>
      <c r="C15" s="5">
        <f t="shared" ref="C15:F15" si="1">SUM(C3:C14)</f>
        <v>0</v>
      </c>
      <c r="D15" s="5">
        <f t="shared" si="1"/>
        <v>0</v>
      </c>
      <c r="E15" s="5">
        <f t="shared" si="1"/>
        <v>195136860</v>
      </c>
      <c r="F15" s="5">
        <f t="shared" si="1"/>
        <v>145500558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2026-09-09T06:54:08Z</dcterms:modified>
</cp:coreProperties>
</file>