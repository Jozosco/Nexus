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10\식품용(.1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B15" i="17" s="1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6" l="1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<sst xmlns="http://schemas.openxmlformats.org/spreadsheetml/2006/main" count="306" uniqueCount="35">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</sst>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209209</v>
      </c>
      <c r="C4" s="2">
        <v>209209</v>
      </c>
      <c r="D4" s="2">
        <v>197600</v>
      </c>
      <c r="E4" s="2">
        <v>0</v>
      </c>
      <c r="F4" s="2">
        <v>0</v>
      </c>
    </row>
    <row r="5" spans="1:6" x14ac:dyDescent="0.3">
      <c r="A5" s="1" t="s">
        <v>28</v>
      </c>
      <c r="B5" s="2">
        <f t="shared" si="0"/>
        <v>326420</v>
      </c>
      <c r="C5" s="2">
        <v>326420</v>
      </c>
      <c r="D5" s="2">
        <v>304000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429285</v>
      </c>
      <c r="C8" s="2">
        <v>429285</v>
      </c>
      <c r="D8" s="2">
        <v>378400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816032</v>
      </c>
      <c r="C9" s="2">
        <v>816032</v>
      </c>
      <c r="D9" s="2">
        <v>705600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356953</v>
      </c>
      <c r="C10" s="2">
        <v>356953</v>
      </c>
      <c r="D10" s="2">
        <v>319200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675300</v>
      </c>
      <c r="C11" s="2">
        <v>675300</v>
      </c>
      <c r="D11" s="2">
        <v>592000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310155</v>
      </c>
      <c r="C12" s="2">
        <v>310155</v>
      </c>
      <c r="D12" s="2">
        <v>261600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1503368</v>
      </c>
      <c r="C14" s="2">
        <v>1503368</v>
      </c>
      <c r="D14" s="2">
        <v>1008000</v>
      </c>
      <c r="E14" s="2">
        <v>0</v>
      </c>
      <c r="F14" s="2">
        <v>0</v>
      </c>
    </row>
    <row r="15" spans="1:6" ht="17.25" thickBot="1" x14ac:dyDescent="0.35">
      <c r="A15" s="4" t="s">
        <v>30</v>
      </c>
      <c r="B15" s="5">
        <f>SUM(B3:B14)</f>
        <v>4626722</v>
      </c>
      <c r="C15" s="5">
        <f t="shared" ref="C15:F15" si="1">SUM(C3:C14)</f>
        <v>4626722</v>
      </c>
      <c r="D15" s="5">
        <f t="shared" si="1"/>
        <v>3766400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522152</v>
      </c>
      <c r="C3" s="2">
        <v>522152</v>
      </c>
      <c r="D3" s="2">
        <v>318813</v>
      </c>
      <c r="E3" s="2">
        <v>0</v>
      </c>
      <c r="F3" s="2">
        <v>0</v>
      </c>
    </row>
    <row r="4" spans="1:6" x14ac:dyDescent="0.3">
      <c r="A4" s="1" t="s">
        <v>27</v>
      </c>
      <c r="B4" s="2">
        <f t="shared" ref="B4:B14" si="0">C4-E4</f>
        <v>138724</v>
      </c>
      <c r="C4" s="2">
        <v>138724</v>
      </c>
      <c r="D4" s="2">
        <v>91200</v>
      </c>
      <c r="E4" s="2">
        <v>0</v>
      </c>
      <c r="F4" s="2">
        <v>0</v>
      </c>
    </row>
    <row r="5" spans="1:6" x14ac:dyDescent="0.3">
      <c r="A5" s="1" t="s">
        <v>28</v>
      </c>
      <c r="B5" s="2">
        <f t="shared" si="0"/>
        <v>523616</v>
      </c>
      <c r="C5" s="2">
        <v>523616</v>
      </c>
      <c r="D5" s="2">
        <v>316800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838094</v>
      </c>
      <c r="C6" s="2">
        <v>838094</v>
      </c>
      <c r="D6" s="2">
        <v>509530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868008</v>
      </c>
      <c r="C7" s="2">
        <v>868008</v>
      </c>
      <c r="D7" s="2">
        <v>547200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508066</v>
      </c>
      <c r="C8" s="2">
        <v>508066</v>
      </c>
      <c r="D8" s="2">
        <v>316800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115520</v>
      </c>
      <c r="C9" s="2">
        <v>115520</v>
      </c>
      <c r="D9" s="2">
        <v>72000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172577</v>
      </c>
      <c r="C10" s="2">
        <v>172577</v>
      </c>
      <c r="D10" s="2">
        <v>104965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3181140</v>
      </c>
      <c r="C11" s="2">
        <v>3181140</v>
      </c>
      <c r="D11" s="2">
        <v>2202800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844632</v>
      </c>
      <c r="C12" s="2">
        <v>844632</v>
      </c>
      <c r="D12" s="2">
        <v>473274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377101</v>
      </c>
      <c r="C13" s="2">
        <v>377101</v>
      </c>
      <c r="D13" s="2">
        <v>244800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1534611</v>
      </c>
      <c r="C14" s="2">
        <v>1534611</v>
      </c>
      <c r="D14" s="2">
        <v>1001947</v>
      </c>
      <c r="E14" s="2">
        <v>0</v>
      </c>
      <c r="F14" s="2">
        <v>0</v>
      </c>
    </row>
    <row r="15" spans="1:6" ht="17.25" thickBot="1" x14ac:dyDescent="0.35">
      <c r="A15" s="4" t="s">
        <v>32</v>
      </c>
      <c r="B15" s="5">
        <f>SUM(B3:B14)</f>
        <v>9624241</v>
      </c>
      <c r="C15" s="5">
        <f t="shared" ref="C15:F15" si="1">SUM(C3:C14)</f>
        <v>9624241</v>
      </c>
      <c r="D15" s="5">
        <f t="shared" si="1"/>
        <v>6200129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1588141</v>
      </c>
      <c r="C3" s="2">
        <v>1588141</v>
      </c>
      <c r="D3" s="2">
        <v>1008466</v>
      </c>
      <c r="E3" s="2">
        <v>0</v>
      </c>
      <c r="F3" s="2">
        <v>0</v>
      </c>
    </row>
    <row r="4" spans="1:6" x14ac:dyDescent="0.3">
      <c r="A4" s="1" t="s">
        <v>27</v>
      </c>
      <c r="B4" s="2">
        <f t="shared" ref="B4:B14" si="0">C4-E4</f>
        <v>6893388</v>
      </c>
      <c r="C4" s="2">
        <v>6893388</v>
      </c>
      <c r="D4" s="2">
        <v>5007399</v>
      </c>
      <c r="E4" s="2">
        <v>0</v>
      </c>
      <c r="F4" s="2">
        <v>0</v>
      </c>
    </row>
    <row r="5" spans="1:6" x14ac:dyDescent="0.3">
      <c r="A5" s="1" t="s">
        <v>28</v>
      </c>
      <c r="B5" s="2">
        <f t="shared" si="0"/>
        <v>1812524</v>
      </c>
      <c r="C5" s="2">
        <v>1812524</v>
      </c>
      <c r="D5" s="2">
        <v>1199401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779522</v>
      </c>
      <c r="C6" s="2">
        <v>779522</v>
      </c>
      <c r="D6" s="2">
        <v>413336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33985</v>
      </c>
      <c r="C7" s="2">
        <v>33985</v>
      </c>
      <c r="D7" s="2">
        <v>7300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1564470</v>
      </c>
      <c r="C8" s="2">
        <v>1564470</v>
      </c>
      <c r="D8" s="2">
        <v>1006741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2303943</v>
      </c>
      <c r="C9" s="2">
        <v>2303943</v>
      </c>
      <c r="D9" s="2">
        <v>1507625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285343</v>
      </c>
      <c r="C10" s="2">
        <v>285343</v>
      </c>
      <c r="D10" s="2">
        <v>200100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1702825</v>
      </c>
      <c r="C12" s="2">
        <v>1702825</v>
      </c>
      <c r="D12" s="2">
        <v>993546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1579274</v>
      </c>
      <c r="C13" s="2">
        <v>1579274</v>
      </c>
      <c r="D13" s="2">
        <v>1002260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476542</v>
      </c>
      <c r="C14" s="2">
        <v>476542</v>
      </c>
      <c r="D14" s="2">
        <v>251118</v>
      </c>
      <c r="E14" s="2">
        <v>0</v>
      </c>
      <c r="F14" s="2">
        <v>0</v>
      </c>
    </row>
    <row r="15" spans="1:6" ht="17.25" thickBot="1" x14ac:dyDescent="0.35">
      <c r="A15" s="4" t="s">
        <v>29</v>
      </c>
      <c r="B15" s="5">
        <f>SUM(B3:B14)</f>
        <v>19019957</v>
      </c>
      <c r="C15" s="5">
        <f t="shared" ref="C15:F15" si="1">SUM(C3:C14)</f>
        <v>19019957</v>
      </c>
      <c r="D15" s="5">
        <f t="shared" si="1"/>
        <v>12597292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1119996</v>
      </c>
      <c r="C3" s="2">
        <v>1119996</v>
      </c>
      <c r="D3" s="2">
        <v>726910</v>
      </c>
      <c r="E3" s="2">
        <v>0</v>
      </c>
      <c r="F3" s="2">
        <v>0</v>
      </c>
    </row>
    <row r="4" spans="1:6" x14ac:dyDescent="0.3">
      <c r="A4" s="1" t="s">
        <v>27</v>
      </c>
      <c r="B4" s="2">
        <f t="shared" si="0"/>
        <v>429141</v>
      </c>
      <c r="C4" s="2">
        <v>429141</v>
      </c>
      <c r="D4" s="2">
        <v>300150</v>
      </c>
      <c r="E4" s="2">
        <v>0</v>
      </c>
      <c r="F4" s="2">
        <v>0</v>
      </c>
    </row>
    <row r="5" spans="1:6" x14ac:dyDescent="0.3">
      <c r="A5" s="1" t="s">
        <v>28</v>
      </c>
      <c r="B5" s="2">
        <f t="shared" si="0"/>
        <v>294273</v>
      </c>
      <c r="C5" s="2">
        <v>294277</v>
      </c>
      <c r="D5" s="2">
        <v>203400</v>
      </c>
      <c r="E5" s="2">
        <v>4</v>
      </c>
      <c r="F5" s="2">
        <v>1</v>
      </c>
    </row>
    <row r="6" spans="1:6" x14ac:dyDescent="0.3">
      <c r="A6" s="1" t="s">
        <v>3</v>
      </c>
      <c r="B6" s="2">
        <f t="shared" si="0"/>
        <v>433626</v>
      </c>
      <c r="C6" s="2">
        <v>433626</v>
      </c>
      <c r="D6" s="2">
        <v>299880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258604</v>
      </c>
      <c r="C8" s="2">
        <v>258604</v>
      </c>
      <c r="D8" s="2">
        <v>201910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386756</v>
      </c>
      <c r="C9" s="2">
        <v>386756</v>
      </c>
      <c r="D9" s="2">
        <v>301970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2531</v>
      </c>
      <c r="C10" s="2">
        <v>2531</v>
      </c>
      <c r="D10" s="2">
        <v>260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25503</v>
      </c>
      <c r="C11" s="2">
        <v>25518</v>
      </c>
      <c r="D11" s="2">
        <v>13274</v>
      </c>
      <c r="E11" s="2">
        <v>15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409556</v>
      </c>
      <c r="C13" s="2">
        <v>409556</v>
      </c>
      <c r="D13" s="2">
        <v>339670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3359986</v>
      </c>
      <c r="C15" s="5">
        <f t="shared" ref="C15:F15" si="1">SUM(C3:C14)</f>
        <v>3360005</v>
      </c>
      <c r="D15" s="5">
        <f t="shared" si="1"/>
        <v>2387424</v>
      </c>
      <c r="E15" s="5">
        <f t="shared" si="1"/>
        <v>19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504224</v>
      </c>
      <c r="C5" s="2">
        <v>504224</v>
      </c>
      <c r="D5" s="2">
        <v>403200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360055</v>
      </c>
      <c r="C7" s="2">
        <v>360055</v>
      </c>
      <c r="D7" s="2">
        <v>302550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800</v>
      </c>
      <c r="C9" s="2">
        <v>800</v>
      </c>
      <c r="D9" s="2">
        <v>180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2169</v>
      </c>
      <c r="C11" s="2">
        <v>2169</v>
      </c>
      <c r="D11" s="2">
        <v>577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867248</v>
      </c>
      <c r="C15" s="5">
        <f t="shared" ref="C15:F15" si="1">SUM(C3:C14)</f>
        <v>867248</v>
      </c>
      <c r="D15" s="5">
        <f t="shared" si="1"/>
        <v>706507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-3119487</v>
      </c>
      <c r="C5" s="2">
        <v>0</v>
      </c>
      <c r="D5" s="2">
        <v>0</v>
      </c>
      <c r="E5" s="2">
        <v>3119487</v>
      </c>
      <c r="F5" s="2">
        <v>3991724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1356</v>
      </c>
      <c r="C10" s="2">
        <v>1356</v>
      </c>
      <c r="D10" s="2">
        <v>50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2630</v>
      </c>
      <c r="C13" s="2">
        <v>2630</v>
      </c>
      <c r="D13" s="2">
        <v>80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-3115501</v>
      </c>
      <c r="C15" s="5">
        <f t="shared" ref="C15:F15" si="1">SUM(C3:C14)</f>
        <v>3986</v>
      </c>
      <c r="D15" s="5">
        <f t="shared" si="1"/>
        <v>130</v>
      </c>
      <c r="E15" s="5">
        <f t="shared" si="1"/>
        <v>3119487</v>
      </c>
      <c r="F15" s="5">
        <f t="shared" si="1"/>
        <v>3991724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2150</v>
      </c>
      <c r="C4" s="2">
        <v>2150</v>
      </c>
      <c r="D4" s="2">
        <v>41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-20</v>
      </c>
      <c r="C14" s="2">
        <v>8</v>
      </c>
      <c r="D14" s="2">
        <v>2</v>
      </c>
      <c r="E14" s="2">
        <v>28</v>
      </c>
      <c r="F14" s="2">
        <v>5</v>
      </c>
    </row>
    <row r="15" spans="1:6" ht="17.25" thickBot="1" x14ac:dyDescent="0.35">
      <c r="A15" s="4" t="s">
        <v>13</v>
      </c>
      <c r="B15" s="5">
        <f>SUM(B3:B14)</f>
        <v>2130</v>
      </c>
      <c r="C15" s="5">
        <f t="shared" ref="C15:F15" si="1">SUM(C3:C14)</f>
        <v>2158</v>
      </c>
      <c r="D15" s="5">
        <f t="shared" si="1"/>
        <v>43</v>
      </c>
      <c r="E15" s="5">
        <f t="shared" si="1"/>
        <v>28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-17251</v>
      </c>
      <c r="C3" s="2">
        <v>0</v>
      </c>
      <c r="D3" s="2">
        <v>0</v>
      </c>
      <c r="E3" s="2">
        <v>17251</v>
      </c>
      <c r="F3" s="2">
        <v>21001</v>
      </c>
    </row>
    <row r="4" spans="1:6" x14ac:dyDescent="0.3">
      <c r="A4" s="1" t="s">
        <v>1</v>
      </c>
      <c r="B4" s="2">
        <f t="shared" ref="B4:B14" si="0">C4-E4</f>
        <v>-28</v>
      </c>
      <c r="C4" s="2">
        <v>0</v>
      </c>
      <c r="D4" s="2">
        <v>0</v>
      </c>
      <c r="E4" s="2">
        <v>28</v>
      </c>
      <c r="F4" s="2">
        <v>1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48</v>
      </c>
      <c r="C11" s="2">
        <v>48</v>
      </c>
      <c r="D11" s="2">
        <v>2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-19</v>
      </c>
      <c r="C14" s="2">
        <v>0</v>
      </c>
      <c r="D14" s="2">
        <v>0</v>
      </c>
      <c r="E14" s="2">
        <v>19</v>
      </c>
      <c r="F14" s="2">
        <v>1</v>
      </c>
    </row>
    <row r="15" spans="1:6" ht="17.25" thickBot="1" x14ac:dyDescent="0.35">
      <c r="A15" s="4" t="s">
        <v>13</v>
      </c>
      <c r="B15" s="5">
        <f>SUM(B3:B14)</f>
        <v>-17250</v>
      </c>
      <c r="C15" s="5">
        <f t="shared" ref="C15:F15" si="1">SUM(C3:C14)</f>
        <v>48</v>
      </c>
      <c r="D15" s="5">
        <f t="shared" si="1"/>
        <v>2</v>
      </c>
      <c r="E15" s="5">
        <f t="shared" si="1"/>
        <v>17298</v>
      </c>
      <c r="F15" s="5">
        <f t="shared" si="1"/>
        <v>21003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-14605</v>
      </c>
      <c r="C3" s="2">
        <v>0</v>
      </c>
      <c r="D3" s="2">
        <v>0</v>
      </c>
      <c r="E3" s="2">
        <v>14605</v>
      </c>
      <c r="F3" s="2">
        <v>20781</v>
      </c>
    </row>
    <row r="4" spans="1:6" x14ac:dyDescent="0.3">
      <c r="A4" s="1" t="s">
        <v>1</v>
      </c>
      <c r="B4" s="2">
        <f t="shared" si="0"/>
        <v>-2281384</v>
      </c>
      <c r="C4" s="2">
        <v>0</v>
      </c>
      <c r="D4" s="2">
        <v>0</v>
      </c>
      <c r="E4" s="2">
        <v>2281384</v>
      </c>
      <c r="F4" s="2">
        <v>2997420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7</v>
      </c>
      <c r="C9" s="2">
        <v>7</v>
      </c>
      <c r="D9" s="2">
        <v>1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-24</v>
      </c>
      <c r="C11" s="2">
        <v>0</v>
      </c>
      <c r="D11" s="2">
        <v>0</v>
      </c>
      <c r="E11" s="2">
        <v>24</v>
      </c>
      <c r="F11" s="2">
        <v>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-2296006</v>
      </c>
      <c r="C15" s="5">
        <f t="shared" ref="C15:F15" si="1">SUM(C3:C14)</f>
        <v>7</v>
      </c>
      <c r="D15" s="5">
        <f t="shared" si="1"/>
        <v>1</v>
      </c>
      <c r="E15" s="5">
        <f t="shared" si="1"/>
        <v>2296013</v>
      </c>
      <c r="F15" s="5">
        <f t="shared" si="1"/>
        <v>3018202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-9</v>
      </c>
      <c r="C5" s="2">
        <v>0</v>
      </c>
      <c r="D5" s="2">
        <v>0</v>
      </c>
      <c r="E5" s="2">
        <v>9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-34</v>
      </c>
      <c r="C8" s="2">
        <v>0</v>
      </c>
      <c r="D8" s="2">
        <v>0</v>
      </c>
      <c r="E8" s="2">
        <v>34</v>
      </c>
      <c r="F8" s="2">
        <v>2</v>
      </c>
    </row>
    <row r="9" spans="1:6" x14ac:dyDescent="0.3">
      <c r="A9" s="1" t="s">
        <v>6</v>
      </c>
      <c r="B9" s="2">
        <f t="shared" si="0"/>
        <v>-24</v>
      </c>
      <c r="C9" s="2">
        <v>0</v>
      </c>
      <c r="D9" s="2">
        <v>0</v>
      </c>
      <c r="E9" s="2">
        <v>24</v>
      </c>
      <c r="F9" s="2">
        <v>1</v>
      </c>
    </row>
    <row r="10" spans="1:6" x14ac:dyDescent="0.3">
      <c r="A10" s="1" t="s">
        <v>7</v>
      </c>
      <c r="B10" s="2">
        <f t="shared" si="0"/>
        <v>4791</v>
      </c>
      <c r="C10" s="2">
        <v>4791</v>
      </c>
      <c r="D10" s="2">
        <v>2525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-20369</v>
      </c>
      <c r="C13" s="2">
        <v>0</v>
      </c>
      <c r="D13" s="2">
        <v>0</v>
      </c>
      <c r="E13" s="2">
        <v>20369</v>
      </c>
      <c r="F13" s="2">
        <v>21200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-15645</v>
      </c>
      <c r="C15" s="5">
        <f t="shared" ref="C15:F15" si="1">SUM(C3:C14)</f>
        <v>4791</v>
      </c>
      <c r="D15" s="5">
        <f t="shared" si="1"/>
        <v>2525</v>
      </c>
      <c r="E15" s="5">
        <f t="shared" si="1"/>
        <v>20436</v>
      </c>
      <c r="F15" s="5">
        <f t="shared" si="1"/>
        <v>21204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287</v>
      </c>
      <c r="C6" s="2">
        <v>298</v>
      </c>
      <c r="D6" s="2">
        <v>132</v>
      </c>
      <c r="E6" s="2">
        <v>11</v>
      </c>
      <c r="F6" s="2">
        <v>1</v>
      </c>
    </row>
    <row r="7" spans="1:6" x14ac:dyDescent="0.3">
      <c r="A7" s="1" t="s">
        <v>4</v>
      </c>
      <c r="B7" s="2">
        <f t="shared" si="0"/>
        <v>-15</v>
      </c>
      <c r="C7" s="2">
        <v>0</v>
      </c>
      <c r="D7" s="2">
        <v>0</v>
      </c>
      <c r="E7" s="2">
        <v>15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-10</v>
      </c>
      <c r="C9" s="2">
        <v>0</v>
      </c>
      <c r="D9" s="2">
        <v>0</v>
      </c>
      <c r="E9" s="2">
        <v>10</v>
      </c>
      <c r="F9" s="2">
        <v>2</v>
      </c>
    </row>
    <row r="10" spans="1:6" x14ac:dyDescent="0.3">
      <c r="A10" s="1" t="s">
        <v>7</v>
      </c>
      <c r="B10" s="2">
        <f t="shared" si="0"/>
        <v>-19</v>
      </c>
      <c r="C10" s="2">
        <v>0</v>
      </c>
      <c r="D10" s="2">
        <v>0</v>
      </c>
      <c r="E10" s="2">
        <v>19</v>
      </c>
      <c r="F10" s="2">
        <v>4</v>
      </c>
    </row>
    <row r="11" spans="1:6" x14ac:dyDescent="0.3">
      <c r="A11" s="1" t="s">
        <v>8</v>
      </c>
      <c r="B11" s="2">
        <f t="shared" si="0"/>
        <v>-51</v>
      </c>
      <c r="C11" s="2">
        <v>0</v>
      </c>
      <c r="D11" s="2">
        <v>0</v>
      </c>
      <c r="E11" s="2">
        <v>51</v>
      </c>
      <c r="F11" s="2">
        <v>3</v>
      </c>
    </row>
    <row r="12" spans="1:6" x14ac:dyDescent="0.3">
      <c r="A12" s="1" t="s">
        <v>9</v>
      </c>
      <c r="B12" s="2">
        <f t="shared" si="0"/>
        <v>-19</v>
      </c>
      <c r="C12" s="2">
        <v>0</v>
      </c>
      <c r="D12" s="2">
        <v>0</v>
      </c>
      <c r="E12" s="2">
        <v>19</v>
      </c>
      <c r="F12" s="2">
        <v>3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918</v>
      </c>
      <c r="C14" s="2">
        <v>918</v>
      </c>
      <c r="D14" s="2">
        <v>360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1091</v>
      </c>
      <c r="C15" s="5">
        <f t="shared" ref="C15:F15" si="1">SUM(C3:C14)</f>
        <v>1216</v>
      </c>
      <c r="D15" s="5">
        <f t="shared" si="1"/>
        <v>492</v>
      </c>
      <c r="E15" s="5">
        <f t="shared" si="1"/>
        <v>125</v>
      </c>
      <c r="F15" s="5">
        <f t="shared" si="1"/>
        <v>14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-11</v>
      </c>
      <c r="C3" s="2">
        <v>0</v>
      </c>
      <c r="D3" s="2">
        <v>0</v>
      </c>
      <c r="E3" s="2">
        <v>11</v>
      </c>
      <c r="F3" s="2">
        <v>5</v>
      </c>
    </row>
    <row r="4" spans="1:6" x14ac:dyDescent="0.3">
      <c r="A4" s="1" t="s">
        <v>1</v>
      </c>
      <c r="B4" s="2">
        <f t="shared" si="0"/>
        <v>-2</v>
      </c>
      <c r="C4" s="2">
        <v>0</v>
      </c>
      <c r="D4" s="2">
        <v>0</v>
      </c>
      <c r="E4" s="2">
        <v>2</v>
      </c>
      <c r="F4" s="6">
        <v>0.2</v>
      </c>
    </row>
    <row r="5" spans="1:6" x14ac:dyDescent="0.3">
      <c r="A5" s="1" t="s">
        <v>2</v>
      </c>
      <c r="B5" s="2">
        <f t="shared" si="0"/>
        <v>-9</v>
      </c>
      <c r="C5" s="2">
        <v>0</v>
      </c>
      <c r="D5" s="2">
        <v>0</v>
      </c>
      <c r="E5" s="2">
        <v>9</v>
      </c>
      <c r="F5" s="6">
        <v>2.0699999999999998</v>
      </c>
    </row>
    <row r="6" spans="1:6" x14ac:dyDescent="0.3">
      <c r="A6" s="1" t="s">
        <v>3</v>
      </c>
      <c r="B6" s="2">
        <f t="shared" si="0"/>
        <v>443</v>
      </c>
      <c r="C6" s="2">
        <v>460</v>
      </c>
      <c r="D6" s="2">
        <v>180</v>
      </c>
      <c r="E6" s="2">
        <v>17</v>
      </c>
      <c r="F6" s="6">
        <v>1.6</v>
      </c>
    </row>
    <row r="7" spans="1:6" x14ac:dyDescent="0.3">
      <c r="A7" s="1" t="s">
        <v>4</v>
      </c>
      <c r="B7" s="2">
        <f t="shared" si="0"/>
        <v>-5</v>
      </c>
      <c r="C7" s="2">
        <v>0</v>
      </c>
      <c r="D7" s="2">
        <v>0</v>
      </c>
      <c r="E7" s="2">
        <v>5</v>
      </c>
      <c r="F7" s="6">
        <v>0.8</v>
      </c>
    </row>
    <row r="8" spans="1:6" x14ac:dyDescent="0.3">
      <c r="A8" s="1" t="s">
        <v>5</v>
      </c>
      <c r="B8" s="2">
        <f t="shared" si="0"/>
        <v>-614</v>
      </c>
      <c r="C8" s="2">
        <v>0</v>
      </c>
      <c r="D8" s="2">
        <v>0</v>
      </c>
      <c r="E8" s="2">
        <v>614</v>
      </c>
      <c r="F8" s="2">
        <v>134</v>
      </c>
    </row>
    <row r="9" spans="1:6" x14ac:dyDescent="0.3">
      <c r="A9" s="1" t="s">
        <v>6</v>
      </c>
      <c r="B9" s="2">
        <f t="shared" si="0"/>
        <v>-183047</v>
      </c>
      <c r="C9" s="2">
        <v>496</v>
      </c>
      <c r="D9" s="2">
        <v>180</v>
      </c>
      <c r="E9" s="2">
        <v>183543</v>
      </c>
      <c r="F9" s="2">
        <v>110131</v>
      </c>
    </row>
    <row r="10" spans="1:6" x14ac:dyDescent="0.3">
      <c r="A10" s="1" t="s">
        <v>7</v>
      </c>
      <c r="B10" s="2">
        <f t="shared" si="0"/>
        <v>-97623</v>
      </c>
      <c r="C10" s="2">
        <v>0</v>
      </c>
      <c r="D10" s="2">
        <v>0</v>
      </c>
      <c r="E10" s="2">
        <v>97623</v>
      </c>
      <c r="F10" s="2">
        <v>62679</v>
      </c>
    </row>
    <row r="11" spans="1:6" x14ac:dyDescent="0.3">
      <c r="A11" s="1" t="s">
        <v>8</v>
      </c>
      <c r="B11" s="2">
        <f t="shared" si="0"/>
        <v>-252049</v>
      </c>
      <c r="C11" s="2">
        <v>0</v>
      </c>
      <c r="D11" s="2">
        <v>0</v>
      </c>
      <c r="E11" s="2">
        <v>252049</v>
      </c>
      <c r="F11" s="2">
        <v>152400</v>
      </c>
    </row>
    <row r="12" spans="1:6" x14ac:dyDescent="0.3">
      <c r="A12" s="1" t="s">
        <v>9</v>
      </c>
      <c r="B12" s="2">
        <f t="shared" si="0"/>
        <v>-144665</v>
      </c>
      <c r="C12" s="2">
        <v>0</v>
      </c>
      <c r="D12" s="2">
        <v>0</v>
      </c>
      <c r="E12" s="2">
        <v>144665</v>
      </c>
      <c r="F12" s="2">
        <v>64760</v>
      </c>
    </row>
    <row r="13" spans="1:6" x14ac:dyDescent="0.3">
      <c r="A13" s="1" t="s">
        <v>10</v>
      </c>
      <c r="B13" s="2">
        <f t="shared" si="0"/>
        <v>-63458</v>
      </c>
      <c r="C13" s="2">
        <v>0</v>
      </c>
      <c r="D13" s="2">
        <v>0</v>
      </c>
      <c r="E13" s="2">
        <v>63458</v>
      </c>
      <c r="F13" s="2">
        <v>36800</v>
      </c>
    </row>
    <row r="14" spans="1:6" x14ac:dyDescent="0.3">
      <c r="A14" s="1" t="s">
        <v>11</v>
      </c>
      <c r="B14" s="2">
        <f t="shared" si="0"/>
        <v>-276160</v>
      </c>
      <c r="C14" s="2">
        <v>0</v>
      </c>
      <c r="D14" s="2">
        <v>0</v>
      </c>
      <c r="E14" s="2">
        <v>276160</v>
      </c>
      <c r="F14" s="2">
        <v>160083</v>
      </c>
    </row>
    <row r="15" spans="1:6" ht="17.25" thickBot="1" x14ac:dyDescent="0.35">
      <c r="A15" s="4" t="s">
        <v>13</v>
      </c>
      <c r="B15" s="5">
        <f>SUM(B3:B14)</f>
        <v>-1017200</v>
      </c>
      <c r="C15" s="5">
        <f t="shared" ref="C15:F15" si="1">SUM(C3:C14)</f>
        <v>956</v>
      </c>
      <c r="D15" s="5">
        <f t="shared" si="1"/>
        <v>360</v>
      </c>
      <c r="E15" s="5">
        <f t="shared" si="1"/>
        <v>1018156</v>
      </c>
      <c r="F15" s="5">
        <f t="shared" si="1"/>
        <v>586996.66999999993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-241000</v>
      </c>
      <c r="C3" s="2">
        <v>0</v>
      </c>
      <c r="D3" s="2">
        <v>0</v>
      </c>
      <c r="E3" s="2">
        <v>241000</v>
      </c>
      <c r="F3" s="2">
        <v>142572</v>
      </c>
    </row>
    <row r="4" spans="1:6" x14ac:dyDescent="0.3">
      <c r="A4" s="1" t="s">
        <v>1</v>
      </c>
      <c r="B4" s="2">
        <f t="shared" si="0"/>
        <v>-96507</v>
      </c>
      <c r="C4" s="2">
        <v>0</v>
      </c>
      <c r="D4" s="2">
        <v>0</v>
      </c>
      <c r="E4" s="2">
        <v>96507</v>
      </c>
      <c r="F4" s="2">
        <v>58656</v>
      </c>
    </row>
    <row r="5" spans="1:6" x14ac:dyDescent="0.3">
      <c r="A5" s="1" t="s">
        <v>2</v>
      </c>
      <c r="B5" s="2">
        <f t="shared" si="0"/>
        <v>-217952</v>
      </c>
      <c r="C5" s="2">
        <v>0</v>
      </c>
      <c r="D5" s="2">
        <v>0</v>
      </c>
      <c r="E5" s="2">
        <v>217952</v>
      </c>
      <c r="F5" s="2">
        <v>131698</v>
      </c>
    </row>
    <row r="6" spans="1:6" x14ac:dyDescent="0.3">
      <c r="A6" s="1" t="s">
        <v>3</v>
      </c>
      <c r="B6" s="2">
        <f t="shared" si="0"/>
        <v>-71363</v>
      </c>
      <c r="C6" s="2">
        <v>0</v>
      </c>
      <c r="D6" s="2">
        <v>0</v>
      </c>
      <c r="E6" s="2">
        <v>71363</v>
      </c>
      <c r="F6" s="2">
        <v>44847</v>
      </c>
    </row>
    <row r="7" spans="1:6" x14ac:dyDescent="0.3">
      <c r="A7" s="1" t="s">
        <v>4</v>
      </c>
      <c r="B7" s="2">
        <f t="shared" si="0"/>
        <v>-103973</v>
      </c>
      <c r="C7" s="2">
        <v>1310</v>
      </c>
      <c r="D7" s="2">
        <v>360</v>
      </c>
      <c r="E7" s="2">
        <v>105283</v>
      </c>
      <c r="F7" s="2">
        <v>81731</v>
      </c>
    </row>
    <row r="8" spans="1:6" x14ac:dyDescent="0.3">
      <c r="A8" s="1" t="s">
        <v>5</v>
      </c>
      <c r="B8" s="2">
        <f t="shared" si="0"/>
        <v>-77389</v>
      </c>
      <c r="C8" s="2">
        <v>0</v>
      </c>
      <c r="D8" s="2">
        <v>0</v>
      </c>
      <c r="E8" s="2">
        <v>77389</v>
      </c>
      <c r="F8" s="2">
        <v>62226</v>
      </c>
    </row>
    <row r="9" spans="1:6" x14ac:dyDescent="0.3">
      <c r="A9" s="1" t="s">
        <v>6</v>
      </c>
      <c r="B9" s="2">
        <f t="shared" si="0"/>
        <v>-62673</v>
      </c>
      <c r="C9" s="2">
        <v>0</v>
      </c>
      <c r="D9" s="2">
        <v>0</v>
      </c>
      <c r="E9" s="2">
        <v>62673</v>
      </c>
      <c r="F9" s="2">
        <v>44546</v>
      </c>
    </row>
    <row r="10" spans="1:6" x14ac:dyDescent="0.3">
      <c r="A10" s="1" t="s">
        <v>7</v>
      </c>
      <c r="B10" s="2">
        <f t="shared" si="0"/>
        <v>529</v>
      </c>
      <c r="C10" s="2">
        <v>538</v>
      </c>
      <c r="D10" s="2">
        <v>180</v>
      </c>
      <c r="E10" s="2">
        <v>9</v>
      </c>
      <c r="F10" s="6">
        <v>0.57999999999999996</v>
      </c>
    </row>
    <row r="11" spans="1:6" x14ac:dyDescent="0.3">
      <c r="A11" s="1" t="s">
        <v>8</v>
      </c>
      <c r="B11" s="2">
        <f t="shared" si="0"/>
        <v>-55416</v>
      </c>
      <c r="C11" s="2">
        <v>0</v>
      </c>
      <c r="D11" s="2">
        <v>0</v>
      </c>
      <c r="E11" s="2">
        <v>55416</v>
      </c>
      <c r="F11" s="2">
        <v>41581</v>
      </c>
    </row>
    <row r="12" spans="1:6" x14ac:dyDescent="0.3">
      <c r="A12" s="1" t="s">
        <v>9</v>
      </c>
      <c r="B12" s="2">
        <f t="shared" si="0"/>
        <v>515</v>
      </c>
      <c r="C12" s="2">
        <v>515</v>
      </c>
      <c r="D12" s="2">
        <v>180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-26057</v>
      </c>
      <c r="C13" s="2">
        <v>0</v>
      </c>
      <c r="D13" s="2">
        <v>0</v>
      </c>
      <c r="E13" s="2">
        <v>26057</v>
      </c>
      <c r="F13" s="2">
        <v>20720</v>
      </c>
    </row>
    <row r="14" spans="1:6" x14ac:dyDescent="0.3">
      <c r="A14" s="1" t="s">
        <v>11</v>
      </c>
      <c r="B14" s="2">
        <f t="shared" si="0"/>
        <v>-26800</v>
      </c>
      <c r="C14" s="2">
        <v>0</v>
      </c>
      <c r="D14" s="2">
        <v>0</v>
      </c>
      <c r="E14" s="2">
        <v>26800</v>
      </c>
      <c r="F14" s="2">
        <v>20829</v>
      </c>
    </row>
    <row r="15" spans="1:6" ht="17.25" thickBot="1" x14ac:dyDescent="0.35">
      <c r="A15" s="4" t="s">
        <v>13</v>
      </c>
      <c r="B15" s="5">
        <f>SUM(B3:B14)</f>
        <v>-978086</v>
      </c>
      <c r="C15" s="5">
        <f t="shared" ref="C15:F15" si="1">SUM(C3:C14)</f>
        <v>2363</v>
      </c>
      <c r="D15" s="5">
        <f t="shared" si="1"/>
        <v>720</v>
      </c>
      <c r="E15" s="5">
        <f t="shared" si="1"/>
        <v>980449</v>
      </c>
      <c r="F15" s="5">
        <f t="shared" si="1"/>
        <v>649406.57999999996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522</v>
      </c>
      <c r="C3" s="2">
        <v>552</v>
      </c>
      <c r="D3" s="2">
        <v>180</v>
      </c>
      <c r="E3" s="2">
        <v>30</v>
      </c>
      <c r="F3" s="2">
        <v>3.968</v>
      </c>
    </row>
    <row r="4" spans="1:6" x14ac:dyDescent="0.3">
      <c r="A4" s="1" t="s">
        <v>1</v>
      </c>
      <c r="B4" s="2">
        <f t="shared" si="0"/>
        <v>-7</v>
      </c>
      <c r="C4" s="2">
        <v>0</v>
      </c>
      <c r="D4" s="2">
        <v>0</v>
      </c>
      <c r="E4" s="2">
        <v>7</v>
      </c>
      <c r="F4" s="6">
        <v>0.50600000000000001</v>
      </c>
    </row>
    <row r="5" spans="1:6" x14ac:dyDescent="0.3">
      <c r="A5" s="1" t="s">
        <v>2</v>
      </c>
      <c r="B5" s="2">
        <f t="shared" si="0"/>
        <v>1084</v>
      </c>
      <c r="C5" s="2">
        <v>1094</v>
      </c>
      <c r="D5" s="2">
        <v>360</v>
      </c>
      <c r="E5" s="2">
        <v>10</v>
      </c>
      <c r="F5" s="6">
        <v>0.42799999999999999</v>
      </c>
    </row>
    <row r="6" spans="1:6" x14ac:dyDescent="0.3">
      <c r="A6" s="1" t="s">
        <v>3</v>
      </c>
      <c r="B6" s="2">
        <f t="shared" si="0"/>
        <v>524</v>
      </c>
      <c r="C6" s="2">
        <v>543</v>
      </c>
      <c r="D6" s="2">
        <v>180</v>
      </c>
      <c r="E6" s="2">
        <v>19</v>
      </c>
      <c r="F6" s="6">
        <v>3.3039999999999998</v>
      </c>
    </row>
    <row r="7" spans="1:6" x14ac:dyDescent="0.3">
      <c r="A7" s="1" t="s">
        <v>4</v>
      </c>
      <c r="B7" s="2">
        <f t="shared" si="0"/>
        <v>-30</v>
      </c>
      <c r="C7" s="2">
        <v>0</v>
      </c>
      <c r="D7" s="2">
        <v>0</v>
      </c>
      <c r="E7" s="2">
        <v>30</v>
      </c>
      <c r="F7" s="6">
        <v>5.8109999999999999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-26288</v>
      </c>
      <c r="C9" s="2">
        <v>0</v>
      </c>
      <c r="D9" s="2">
        <v>0</v>
      </c>
      <c r="E9" s="2">
        <v>26288</v>
      </c>
      <c r="F9" s="2">
        <v>21242.455999999998</v>
      </c>
    </row>
    <row r="10" spans="1:6" x14ac:dyDescent="0.3">
      <c r="A10" s="1" t="s">
        <v>7</v>
      </c>
      <c r="B10" s="2">
        <f t="shared" si="0"/>
        <v>-20</v>
      </c>
      <c r="C10" s="2">
        <v>0</v>
      </c>
      <c r="D10" s="2">
        <v>0</v>
      </c>
      <c r="E10" s="2">
        <v>20</v>
      </c>
      <c r="F10" s="6">
        <v>9.2149999999999999</v>
      </c>
    </row>
    <row r="11" spans="1:6" x14ac:dyDescent="0.3">
      <c r="A11" s="1" t="s">
        <v>8</v>
      </c>
      <c r="B11" s="2">
        <f t="shared" si="0"/>
        <v>-25</v>
      </c>
      <c r="C11" s="2">
        <v>0</v>
      </c>
      <c r="D11" s="2">
        <v>0</v>
      </c>
      <c r="E11" s="2">
        <v>25</v>
      </c>
      <c r="F11" s="6">
        <v>4.4000000000000004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481</v>
      </c>
      <c r="C13" s="2">
        <v>552</v>
      </c>
      <c r="D13" s="2">
        <v>180</v>
      </c>
      <c r="E13" s="2">
        <v>71</v>
      </c>
      <c r="F13" s="2">
        <v>15.079000000000001</v>
      </c>
    </row>
    <row r="14" spans="1:6" x14ac:dyDescent="0.3">
      <c r="A14" s="1" t="s">
        <v>11</v>
      </c>
      <c r="B14" s="2">
        <f t="shared" si="0"/>
        <v>-28739</v>
      </c>
      <c r="C14" s="2">
        <v>0</v>
      </c>
      <c r="D14" s="2">
        <v>0</v>
      </c>
      <c r="E14" s="2">
        <v>28739</v>
      </c>
      <c r="F14" s="2">
        <v>23755.275000000001</v>
      </c>
    </row>
    <row r="15" spans="1:6" ht="17.25" thickBot="1" x14ac:dyDescent="0.35">
      <c r="A15" s="4" t="s">
        <v>13</v>
      </c>
      <c r="B15" s="5">
        <f>SUM(B3:B14)</f>
        <v>-52498</v>
      </c>
      <c r="C15" s="5">
        <f t="shared" ref="C15:F15" si="1">SUM(C3:C14)</f>
        <v>2741</v>
      </c>
      <c r="D15" s="5">
        <f t="shared" si="1"/>
        <v>900</v>
      </c>
      <c r="E15" s="5">
        <f t="shared" si="1"/>
        <v>55239</v>
      </c>
      <c r="F15" s="5">
        <f t="shared" si="1"/>
        <v>45040.442000000003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F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424</v>
      </c>
      <c r="C5" s="2">
        <v>424</v>
      </c>
      <c r="D5" s="2">
        <v>180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-237833</v>
      </c>
      <c r="C6" s="2">
        <v>0</v>
      </c>
      <c r="D6" s="2">
        <v>0</v>
      </c>
      <c r="E6" s="2">
        <v>237833</v>
      </c>
      <c r="F6" s="2">
        <v>197361</v>
      </c>
    </row>
    <row r="7" spans="1:6" x14ac:dyDescent="0.3">
      <c r="A7" s="1" t="s">
        <v>4</v>
      </c>
      <c r="B7" s="2">
        <f t="shared" si="0"/>
        <v>791</v>
      </c>
      <c r="C7" s="2">
        <v>813</v>
      </c>
      <c r="D7" s="2">
        <v>360</v>
      </c>
      <c r="E7" s="2">
        <v>22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1636</v>
      </c>
      <c r="C9" s="2">
        <v>1639</v>
      </c>
      <c r="D9" s="2">
        <v>720</v>
      </c>
      <c r="E9" s="2">
        <v>3</v>
      </c>
      <c r="F9" s="2">
        <v>0.53600000000000003</v>
      </c>
    </row>
    <row r="10" spans="1:6" x14ac:dyDescent="0.3">
      <c r="A10" s="1" t="s">
        <v>7</v>
      </c>
      <c r="B10" s="2">
        <f t="shared" si="0"/>
        <v>394</v>
      </c>
      <c r="C10" s="2">
        <v>409</v>
      </c>
      <c r="D10" s="2">
        <v>180</v>
      </c>
      <c r="E10" s="2">
        <v>15</v>
      </c>
      <c r="F10" s="2">
        <v>4.0860000000000003</v>
      </c>
    </row>
    <row r="11" spans="1:6" x14ac:dyDescent="0.3">
      <c r="A11" s="1" t="s">
        <v>8</v>
      </c>
      <c r="B11" s="2">
        <f t="shared" si="0"/>
        <v>-83</v>
      </c>
      <c r="C11" s="2">
        <v>0</v>
      </c>
      <c r="D11" s="2">
        <v>0</v>
      </c>
      <c r="E11" s="2">
        <v>83</v>
      </c>
      <c r="F11" s="2">
        <v>18.721</v>
      </c>
    </row>
    <row r="12" spans="1:6" x14ac:dyDescent="0.3">
      <c r="A12" s="1" t="s">
        <v>9</v>
      </c>
      <c r="B12" s="2">
        <f t="shared" si="0"/>
        <v>-14</v>
      </c>
      <c r="C12" s="2">
        <v>0</v>
      </c>
      <c r="D12" s="2">
        <v>0</v>
      </c>
      <c r="E12" s="2">
        <v>14</v>
      </c>
      <c r="F12" s="2">
        <v>1.7</v>
      </c>
    </row>
    <row r="13" spans="1:6" x14ac:dyDescent="0.3">
      <c r="A13" s="1" t="s">
        <v>10</v>
      </c>
      <c r="B13" s="2">
        <f t="shared" si="0"/>
        <v>-4485018</v>
      </c>
      <c r="C13" s="2">
        <v>1600</v>
      </c>
      <c r="D13" s="2">
        <v>720</v>
      </c>
      <c r="E13" s="2">
        <v>4486618</v>
      </c>
      <c r="F13" s="2">
        <v>3982150.7829999998</v>
      </c>
    </row>
    <row r="14" spans="1:6" x14ac:dyDescent="0.3">
      <c r="A14" s="1" t="s">
        <v>11</v>
      </c>
      <c r="B14" s="2">
        <f t="shared" si="0"/>
        <v>-9</v>
      </c>
      <c r="C14" s="2">
        <v>0</v>
      </c>
      <c r="D14" s="2">
        <v>0</v>
      </c>
      <c r="E14" s="2">
        <v>9</v>
      </c>
      <c r="F14" s="2">
        <v>1.6559999999999999</v>
      </c>
    </row>
    <row r="15" spans="1:6" ht="17.25" thickBot="1" x14ac:dyDescent="0.35">
      <c r="A15" s="4" t="s">
        <v>13</v>
      </c>
      <c r="B15" s="5">
        <f>SUM(B3:B14)</f>
        <v>-4719712</v>
      </c>
      <c r="C15" s="5">
        <f t="shared" ref="C15:F15" si="1">SUM(C3:C14)</f>
        <v>4885</v>
      </c>
      <c r="D15" s="5">
        <f t="shared" si="1"/>
        <v>2160</v>
      </c>
      <c r="E15" s="5">
        <f t="shared" si="1"/>
        <v>4724597</v>
      </c>
      <c r="F15" s="5">
        <f t="shared" si="1"/>
        <v>4179540.4819999998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</v>
      </c>
      <c r="C3" s="2">
        <v>0</v>
      </c>
      <c r="D3" s="2">
        <v>0</v>
      </c>
      <c r="E3" s="2">
        <v>3</v>
      </c>
      <c r="F3" s="2">
        <v>1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-12369069</v>
      </c>
      <c r="C5" s="2">
        <v>1946</v>
      </c>
      <c r="D5" s="2">
        <v>900</v>
      </c>
      <c r="E5" s="2">
        <v>12371015</v>
      </c>
      <c r="F5" s="2">
        <v>10031407</v>
      </c>
    </row>
    <row r="6" spans="1:6" x14ac:dyDescent="0.3">
      <c r="A6" s="1" t="s">
        <v>3</v>
      </c>
      <c r="B6" s="2">
        <f t="shared" si="0"/>
        <v>379</v>
      </c>
      <c r="C6" s="2">
        <v>389</v>
      </c>
      <c r="D6" s="2">
        <v>180</v>
      </c>
      <c r="E6" s="2">
        <v>10</v>
      </c>
      <c r="F6" s="2">
        <v>3</v>
      </c>
    </row>
    <row r="7" spans="1:6" x14ac:dyDescent="0.3">
      <c r="A7" s="1" t="s">
        <v>4</v>
      </c>
      <c r="B7" s="2">
        <f t="shared" si="0"/>
        <v>-11</v>
      </c>
      <c r="C7" s="2">
        <v>0</v>
      </c>
      <c r="D7" s="2">
        <v>0</v>
      </c>
      <c r="E7" s="2">
        <v>11</v>
      </c>
      <c r="F7" s="2">
        <v>2</v>
      </c>
    </row>
    <row r="8" spans="1:6" x14ac:dyDescent="0.3">
      <c r="A8" s="1" t="s">
        <v>5</v>
      </c>
      <c r="B8" s="2">
        <f t="shared" si="0"/>
        <v>-7</v>
      </c>
      <c r="C8" s="2">
        <v>0</v>
      </c>
      <c r="D8" s="2">
        <v>0</v>
      </c>
      <c r="E8" s="2">
        <v>7</v>
      </c>
      <c r="F8" s="2">
        <v>0</v>
      </c>
    </row>
    <row r="9" spans="1:6" x14ac:dyDescent="0.3">
      <c r="A9" s="1" t="s">
        <v>6</v>
      </c>
      <c r="B9" s="2">
        <f t="shared" si="0"/>
        <v>4124</v>
      </c>
      <c r="C9" s="2">
        <v>4131</v>
      </c>
      <c r="D9" s="2">
        <v>1800</v>
      </c>
      <c r="E9" s="2">
        <v>7</v>
      </c>
      <c r="F9" s="2">
        <v>3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-12364587</v>
      </c>
      <c r="C15" s="5">
        <f t="shared" ref="C15:F15" si="1">SUM(C3:C14)</f>
        <v>6466</v>
      </c>
      <c r="D15" s="5">
        <f t="shared" si="1"/>
        <v>2880</v>
      </c>
      <c r="E15" s="5">
        <f t="shared" si="1"/>
        <v>12371053</v>
      </c>
      <c r="F15" s="5">
        <f t="shared" si="1"/>
        <v>10031416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2026-09-10T04:23:40Z</dcterms:modified>
</cp:coreProperties>
</file>