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10\식품용(.1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6" l="1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5" i="1" s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<sst xmlns="http://schemas.openxmlformats.org/spreadsheetml/2006/main" count="306" uniqueCount="18">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</sst>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-8767386</v>
      </c>
      <c r="C3" s="2">
        <v>0</v>
      </c>
      <c r="D3" s="2">
        <v>0</v>
      </c>
      <c r="E3" s="2">
        <v>8767386</v>
      </c>
      <c r="F3" s="2">
        <v>9828631</v>
      </c>
    </row>
    <row r="4" spans="1:6" x14ac:dyDescent="0.3">
      <c r="A4" s="1" t="s">
        <v>1</v>
      </c>
      <c r="B4" s="2">
        <f t="shared" ref="B4:B14" si="0">C4-E4</f>
        <v>-7463331</v>
      </c>
      <c r="C4" s="2">
        <v>0</v>
      </c>
      <c r="D4" s="2">
        <v>0</v>
      </c>
      <c r="E4" s="2">
        <v>7463331</v>
      </c>
      <c r="F4" s="2">
        <v>8235478</v>
      </c>
    </row>
    <row r="5" spans="1:6" x14ac:dyDescent="0.3">
      <c r="A5" s="1" t="s">
        <v>2</v>
      </c>
      <c r="B5" s="2">
        <f t="shared" si="0"/>
        <v>-8473693</v>
      </c>
      <c r="C5" s="2">
        <v>0</v>
      </c>
      <c r="D5" s="2">
        <v>0</v>
      </c>
      <c r="E5" s="2">
        <v>8473693</v>
      </c>
      <c r="F5" s="2">
        <v>9477473</v>
      </c>
    </row>
    <row r="6" spans="1:6" x14ac:dyDescent="0.3">
      <c r="A6" s="1" t="s">
        <v>3</v>
      </c>
      <c r="B6" s="2">
        <f t="shared" si="0"/>
        <v>-13110328</v>
      </c>
      <c r="C6" s="2">
        <v>0</v>
      </c>
      <c r="D6" s="2">
        <v>0</v>
      </c>
      <c r="E6" s="2">
        <v>13110328</v>
      </c>
      <c r="F6" s="2">
        <v>14459510</v>
      </c>
    </row>
    <row r="7" spans="1:6" x14ac:dyDescent="0.3">
      <c r="A7" s="1" t="s">
        <v>4</v>
      </c>
      <c r="B7" s="2">
        <f t="shared" si="0"/>
        <v>-6335809</v>
      </c>
      <c r="C7" s="2">
        <v>0</v>
      </c>
      <c r="D7" s="2">
        <v>0</v>
      </c>
      <c r="E7" s="2">
        <v>6335809</v>
      </c>
      <c r="F7" s="2">
        <v>7151733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-44150547</v>
      </c>
      <c r="C15" s="5">
        <f t="shared" ref="C15:F15" si="1">SUM(C3:C14)</f>
        <v>0</v>
      </c>
      <c r="D15" s="5">
        <f t="shared" si="1"/>
        <v>0</v>
      </c>
      <c r="E15" s="5">
        <f t="shared" si="1"/>
        <v>44150547</v>
      </c>
      <c r="F15" s="5">
        <f t="shared" si="1"/>
        <v>49152825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-7361143</v>
      </c>
      <c r="C3" s="2">
        <v>0</v>
      </c>
      <c r="D3" s="2">
        <v>0</v>
      </c>
      <c r="E3" s="2">
        <v>7361143</v>
      </c>
      <c r="F3" s="2">
        <v>6484086</v>
      </c>
    </row>
    <row r="4" spans="1:6" x14ac:dyDescent="0.3">
      <c r="A4" s="1" t="s">
        <v>1</v>
      </c>
      <c r="B4" s="2">
        <f t="shared" ref="B4:B14" si="0">C4-E4</f>
        <v>-5095921</v>
      </c>
      <c r="C4" s="2">
        <v>0</v>
      </c>
      <c r="D4" s="2">
        <v>0</v>
      </c>
      <c r="E4" s="2">
        <v>5095921</v>
      </c>
      <c r="F4" s="2">
        <v>4479312</v>
      </c>
    </row>
    <row r="5" spans="1:6" x14ac:dyDescent="0.3">
      <c r="A5" s="1" t="s">
        <v>2</v>
      </c>
      <c r="B5" s="2">
        <f t="shared" si="0"/>
        <v>-106021</v>
      </c>
      <c r="C5" s="2">
        <v>0</v>
      </c>
      <c r="D5" s="2">
        <v>0</v>
      </c>
      <c r="E5" s="2">
        <v>106021</v>
      </c>
      <c r="F5" s="2">
        <v>79972</v>
      </c>
    </row>
    <row r="6" spans="1:6" x14ac:dyDescent="0.3">
      <c r="A6" s="1" t="s">
        <v>3</v>
      </c>
      <c r="B6" s="2">
        <f t="shared" si="0"/>
        <v>-5045510</v>
      </c>
      <c r="C6" s="2">
        <v>0</v>
      </c>
      <c r="D6" s="2">
        <v>0</v>
      </c>
      <c r="E6" s="2">
        <v>5045510</v>
      </c>
      <c r="F6" s="2">
        <v>3754349</v>
      </c>
    </row>
    <row r="7" spans="1:6" x14ac:dyDescent="0.3">
      <c r="A7" s="1" t="s">
        <v>4</v>
      </c>
      <c r="B7" s="2">
        <f t="shared" si="0"/>
        <v>-12787902</v>
      </c>
      <c r="C7" s="2">
        <v>0</v>
      </c>
      <c r="D7" s="2">
        <v>0</v>
      </c>
      <c r="E7" s="2">
        <v>12787902</v>
      </c>
      <c r="F7" s="2">
        <v>9577549</v>
      </c>
    </row>
    <row r="8" spans="1:6" x14ac:dyDescent="0.3">
      <c r="A8" s="1" t="s">
        <v>5</v>
      </c>
      <c r="B8" s="2">
        <f t="shared" si="0"/>
        <v>-1332088</v>
      </c>
      <c r="C8" s="2">
        <v>0</v>
      </c>
      <c r="D8" s="2">
        <v>0</v>
      </c>
      <c r="E8" s="2">
        <v>1332088</v>
      </c>
      <c r="F8" s="2">
        <v>994416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-31728585</v>
      </c>
      <c r="C15" s="5">
        <f t="shared" ref="C15:F15" si="1">SUM(C3:C14)</f>
        <v>0</v>
      </c>
      <c r="D15" s="5">
        <f t="shared" si="1"/>
        <v>0</v>
      </c>
      <c r="E15" s="5">
        <f t="shared" si="1"/>
        <v>31728585</v>
      </c>
      <c r="F15" s="5">
        <f t="shared" si="1"/>
        <v>25369684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-17</v>
      </c>
      <c r="C5" s="2">
        <v>0</v>
      </c>
      <c r="D5" s="2">
        <v>0</v>
      </c>
      <c r="E5" s="2">
        <v>17</v>
      </c>
      <c r="F5" s="2">
        <v>2</v>
      </c>
    </row>
    <row r="6" spans="1:6" x14ac:dyDescent="0.3">
      <c r="A6" s="1" t="s">
        <v>3</v>
      </c>
      <c r="B6" s="2">
        <f t="shared" si="0"/>
        <v>2196</v>
      </c>
      <c r="C6" s="2">
        <v>2196</v>
      </c>
      <c r="D6" s="2">
        <v>1140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-16</v>
      </c>
      <c r="C8" s="2">
        <v>0</v>
      </c>
      <c r="D8" s="2">
        <v>0</v>
      </c>
      <c r="E8" s="2">
        <v>16</v>
      </c>
      <c r="F8" s="2">
        <v>2</v>
      </c>
    </row>
    <row r="9" spans="1:6" x14ac:dyDescent="0.3">
      <c r="A9" s="1" t="s">
        <v>6</v>
      </c>
      <c r="B9" s="2">
        <f t="shared" si="0"/>
        <v>-3145</v>
      </c>
      <c r="C9" s="2">
        <v>0</v>
      </c>
      <c r="D9" s="2">
        <v>0</v>
      </c>
      <c r="E9" s="2">
        <v>3145</v>
      </c>
      <c r="F9" s="2">
        <v>52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-6405052</v>
      </c>
      <c r="C11" s="2">
        <v>0</v>
      </c>
      <c r="D11" s="2">
        <v>0</v>
      </c>
      <c r="E11" s="2">
        <v>6405052</v>
      </c>
      <c r="F11" s="2">
        <v>4990971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-6406034</v>
      </c>
      <c r="C15" s="5">
        <f t="shared" ref="C15:F15" si="1">SUM(C3:C14)</f>
        <v>2196</v>
      </c>
      <c r="D15" s="5">
        <f t="shared" si="1"/>
        <v>1140</v>
      </c>
      <c r="E15" s="5">
        <f t="shared" si="1"/>
        <v>6408230</v>
      </c>
      <c r="F15" s="5">
        <f t="shared" si="1"/>
        <v>4991027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-3428721</v>
      </c>
      <c r="C3" s="2">
        <v>0</v>
      </c>
      <c r="D3" s="2">
        <v>0</v>
      </c>
      <c r="E3" s="2">
        <v>3428721</v>
      </c>
      <c r="F3" s="2">
        <v>3000000</v>
      </c>
    </row>
    <row r="4" spans="1:6" x14ac:dyDescent="0.3">
      <c r="A4" s="1" t="s">
        <v>1</v>
      </c>
      <c r="B4" s="2">
        <f t="shared" si="0"/>
        <v>-9133266</v>
      </c>
      <c r="C4" s="2">
        <v>9774</v>
      </c>
      <c r="D4" s="2">
        <v>5645</v>
      </c>
      <c r="E4" s="2">
        <v>9143040</v>
      </c>
      <c r="F4" s="2">
        <v>7943630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-19858556</v>
      </c>
      <c r="C6" s="2">
        <v>0</v>
      </c>
      <c r="D6" s="2">
        <v>0</v>
      </c>
      <c r="E6" s="2">
        <v>19858556</v>
      </c>
      <c r="F6" s="2">
        <v>16958860</v>
      </c>
    </row>
    <row r="7" spans="1:6" x14ac:dyDescent="0.3">
      <c r="A7" s="1" t="s">
        <v>4</v>
      </c>
      <c r="B7" s="2">
        <f t="shared" si="0"/>
        <v>-19841364</v>
      </c>
      <c r="C7" s="2">
        <v>0</v>
      </c>
      <c r="D7" s="2">
        <v>0</v>
      </c>
      <c r="E7" s="2">
        <v>19841364</v>
      </c>
      <c r="F7" s="2">
        <v>16961717</v>
      </c>
    </row>
    <row r="8" spans="1:6" x14ac:dyDescent="0.3">
      <c r="A8" s="1" t="s">
        <v>5</v>
      </c>
      <c r="B8" s="2">
        <f t="shared" si="0"/>
        <v>-1438992</v>
      </c>
      <c r="C8" s="2">
        <v>0</v>
      </c>
      <c r="D8" s="2">
        <v>0</v>
      </c>
      <c r="E8" s="2">
        <v>1438992</v>
      </c>
      <c r="F8" s="2">
        <v>1295773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-800023</v>
      </c>
      <c r="C10" s="2">
        <v>0</v>
      </c>
      <c r="D10" s="2">
        <v>0</v>
      </c>
      <c r="E10" s="2">
        <v>800023</v>
      </c>
      <c r="F10" s="2">
        <v>696100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-54500922</v>
      </c>
      <c r="C15" s="5">
        <f t="shared" ref="C15:F15" si="1">SUM(C3:C14)</f>
        <v>9774</v>
      </c>
      <c r="D15" s="5">
        <f t="shared" si="1"/>
        <v>5645</v>
      </c>
      <c r="E15" s="5">
        <f t="shared" si="1"/>
        <v>54510696</v>
      </c>
      <c r="F15" s="5">
        <f t="shared" si="1"/>
        <v>46856080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4800</v>
      </c>
      <c r="C11" s="2">
        <v>4800</v>
      </c>
      <c r="D11" s="2">
        <v>2641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-6423</v>
      </c>
      <c r="C13" s="2">
        <v>0</v>
      </c>
      <c r="D13" s="2">
        <v>0</v>
      </c>
      <c r="E13" s="2">
        <v>6423</v>
      </c>
      <c r="F13" s="2">
        <v>53</v>
      </c>
    </row>
    <row r="14" spans="1:6" x14ac:dyDescent="0.3">
      <c r="A14" s="1" t="s">
        <v>11</v>
      </c>
      <c r="B14" s="2">
        <f t="shared" si="0"/>
        <v>-11729437</v>
      </c>
      <c r="C14" s="2">
        <v>0</v>
      </c>
      <c r="D14" s="2">
        <v>0</v>
      </c>
      <c r="E14" s="2">
        <v>11729437</v>
      </c>
      <c r="F14" s="2">
        <v>13026685</v>
      </c>
    </row>
    <row r="15" spans="1:6" ht="17.25" thickBot="1" x14ac:dyDescent="0.35">
      <c r="A15" s="4" t="s">
        <v>13</v>
      </c>
      <c r="B15" s="5">
        <f>SUM(B3:B14)</f>
        <v>-11731060</v>
      </c>
      <c r="C15" s="5">
        <f t="shared" ref="C15:F15" si="1">SUM(C3:C14)</f>
        <v>4800</v>
      </c>
      <c r="D15" s="5">
        <f t="shared" si="1"/>
        <v>2641</v>
      </c>
      <c r="E15" s="5">
        <f t="shared" si="1"/>
        <v>11735860</v>
      </c>
      <c r="F15" s="5">
        <f t="shared" si="1"/>
        <v>13026738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-8997595</v>
      </c>
      <c r="C3" s="2">
        <v>0</v>
      </c>
      <c r="D3" s="2">
        <v>0</v>
      </c>
      <c r="E3" s="2">
        <v>8997595</v>
      </c>
      <c r="F3" s="2">
        <v>10353447</v>
      </c>
    </row>
    <row r="4" spans="1:6" x14ac:dyDescent="0.3">
      <c r="A4" s="1" t="s">
        <v>1</v>
      </c>
      <c r="B4" s="2">
        <f t="shared" si="0"/>
        <v>-854102</v>
      </c>
      <c r="C4" s="2">
        <v>1797</v>
      </c>
      <c r="D4" s="2">
        <v>825</v>
      </c>
      <c r="E4" s="2">
        <v>855899</v>
      </c>
      <c r="F4" s="2">
        <v>993115</v>
      </c>
    </row>
    <row r="5" spans="1:6" x14ac:dyDescent="0.3">
      <c r="A5" s="1" t="s">
        <v>2</v>
      </c>
      <c r="B5" s="2">
        <f t="shared" si="0"/>
        <v>-8791179</v>
      </c>
      <c r="C5" s="2">
        <v>0</v>
      </c>
      <c r="D5" s="2">
        <v>0</v>
      </c>
      <c r="E5" s="2">
        <v>8791179</v>
      </c>
      <c r="F5" s="2">
        <v>10361865</v>
      </c>
    </row>
    <row r="6" spans="1:6" x14ac:dyDescent="0.3">
      <c r="A6" s="1" t="s">
        <v>3</v>
      </c>
      <c r="B6" s="2">
        <f t="shared" si="0"/>
        <v>-5331337</v>
      </c>
      <c r="C6" s="2">
        <v>0</v>
      </c>
      <c r="D6" s="2">
        <v>0</v>
      </c>
      <c r="E6" s="2">
        <v>5331337</v>
      </c>
      <c r="F6" s="2">
        <v>6245412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-6538469</v>
      </c>
      <c r="C8" s="2">
        <v>0</v>
      </c>
      <c r="D8" s="2">
        <v>0</v>
      </c>
      <c r="E8" s="2">
        <v>6538469</v>
      </c>
      <c r="F8" s="2">
        <v>8487945</v>
      </c>
    </row>
    <row r="9" spans="1:6" x14ac:dyDescent="0.3">
      <c r="A9" s="1" t="s">
        <v>6</v>
      </c>
      <c r="B9" s="2">
        <f t="shared" si="0"/>
        <v>-28</v>
      </c>
      <c r="C9" s="2">
        <v>0</v>
      </c>
      <c r="D9" s="2">
        <v>0</v>
      </c>
      <c r="E9" s="2">
        <v>28</v>
      </c>
      <c r="F9" s="2">
        <v>3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-65</v>
      </c>
      <c r="C12" s="2">
        <v>0</v>
      </c>
      <c r="D12" s="2">
        <v>0</v>
      </c>
      <c r="E12" s="2">
        <v>65</v>
      </c>
      <c r="F12" s="2">
        <v>14</v>
      </c>
    </row>
    <row r="13" spans="1:6" x14ac:dyDescent="0.3">
      <c r="A13" s="1" t="s">
        <v>10</v>
      </c>
      <c r="B13" s="2">
        <f t="shared" si="0"/>
        <v>-16</v>
      </c>
      <c r="C13" s="2">
        <v>0</v>
      </c>
      <c r="D13" s="2">
        <v>0</v>
      </c>
      <c r="E13" s="2">
        <v>16</v>
      </c>
      <c r="F13" s="2">
        <v>1</v>
      </c>
    </row>
    <row r="14" spans="1:6" x14ac:dyDescent="0.3">
      <c r="A14" s="1" t="s">
        <v>11</v>
      </c>
      <c r="B14" s="2">
        <f t="shared" si="0"/>
        <v>-715296</v>
      </c>
      <c r="C14" s="2">
        <v>0</v>
      </c>
      <c r="D14" s="2">
        <v>0</v>
      </c>
      <c r="E14" s="2">
        <v>715296</v>
      </c>
      <c r="F14" s="2">
        <v>993114</v>
      </c>
    </row>
    <row r="15" spans="1:6" ht="17.25" thickBot="1" x14ac:dyDescent="0.35">
      <c r="A15" s="4" t="s">
        <v>13</v>
      </c>
      <c r="B15" s="5">
        <f>SUM(B3:B14)</f>
        <v>-31228087</v>
      </c>
      <c r="C15" s="5">
        <f t="shared" ref="C15:F15" si="1">SUM(C3:C14)</f>
        <v>1797</v>
      </c>
      <c r="D15" s="5">
        <f t="shared" si="1"/>
        <v>825</v>
      </c>
      <c r="E15" s="5">
        <f t="shared" si="1"/>
        <v>31229884</v>
      </c>
      <c r="F15" s="5">
        <f t="shared" si="1"/>
        <v>37434916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-3469693</v>
      </c>
      <c r="C3" s="2">
        <v>0</v>
      </c>
      <c r="D3" s="2">
        <v>0</v>
      </c>
      <c r="E3" s="2">
        <v>3469693</v>
      </c>
      <c r="F3" s="2">
        <v>4771039</v>
      </c>
    </row>
    <row r="4" spans="1:6" x14ac:dyDescent="0.3">
      <c r="A4" s="1" t="s">
        <v>1</v>
      </c>
      <c r="B4" s="2">
        <f t="shared" si="0"/>
        <v>-6962015</v>
      </c>
      <c r="C4" s="2">
        <v>0</v>
      </c>
      <c r="D4" s="2">
        <v>0</v>
      </c>
      <c r="E4" s="2">
        <v>6962015</v>
      </c>
      <c r="F4" s="2">
        <v>9273372</v>
      </c>
    </row>
    <row r="5" spans="1:6" x14ac:dyDescent="0.3">
      <c r="A5" s="1" t="s">
        <v>2</v>
      </c>
      <c r="B5" s="2">
        <f t="shared" si="0"/>
        <v>-3140657</v>
      </c>
      <c r="C5" s="2">
        <v>0</v>
      </c>
      <c r="D5" s="2">
        <v>0</v>
      </c>
      <c r="E5" s="2">
        <v>3140657</v>
      </c>
      <c r="F5" s="2">
        <v>4079765</v>
      </c>
    </row>
    <row r="6" spans="1:6" x14ac:dyDescent="0.3">
      <c r="A6" s="1" t="s">
        <v>3</v>
      </c>
      <c r="B6" s="2">
        <f t="shared" si="0"/>
        <v>-4586358</v>
      </c>
      <c r="C6" s="2">
        <v>0</v>
      </c>
      <c r="D6" s="2">
        <v>0</v>
      </c>
      <c r="E6" s="2">
        <v>4586358</v>
      </c>
      <c r="F6" s="2">
        <v>6089788</v>
      </c>
    </row>
    <row r="7" spans="1:6" x14ac:dyDescent="0.3">
      <c r="A7" s="1" t="s">
        <v>4</v>
      </c>
      <c r="B7" s="2">
        <f t="shared" si="0"/>
        <v>-6130682</v>
      </c>
      <c r="C7" s="2">
        <v>0</v>
      </c>
      <c r="D7" s="2">
        <v>0</v>
      </c>
      <c r="E7" s="2">
        <v>6130682</v>
      </c>
      <c r="F7" s="2">
        <v>8281608</v>
      </c>
    </row>
    <row r="8" spans="1:6" x14ac:dyDescent="0.3">
      <c r="A8" s="1" t="s">
        <v>5</v>
      </c>
      <c r="B8" s="2">
        <f t="shared" si="0"/>
        <v>-4861905</v>
      </c>
      <c r="C8" s="2">
        <v>0</v>
      </c>
      <c r="D8" s="2">
        <v>0</v>
      </c>
      <c r="E8" s="2">
        <v>4861905</v>
      </c>
      <c r="F8" s="2">
        <v>6114998</v>
      </c>
    </row>
    <row r="9" spans="1:6" x14ac:dyDescent="0.3">
      <c r="A9" s="1" t="s">
        <v>6</v>
      </c>
      <c r="B9" s="2">
        <f t="shared" si="0"/>
        <v>-4400813</v>
      </c>
      <c r="C9" s="2">
        <v>0</v>
      </c>
      <c r="D9" s="2">
        <v>0</v>
      </c>
      <c r="E9" s="2">
        <v>4400813</v>
      </c>
      <c r="F9" s="2">
        <v>5367581</v>
      </c>
    </row>
    <row r="10" spans="1:6" x14ac:dyDescent="0.3">
      <c r="A10" s="1" t="s">
        <v>7</v>
      </c>
      <c r="B10" s="2">
        <f t="shared" si="0"/>
        <v>-1591732</v>
      </c>
      <c r="C10" s="2">
        <v>0</v>
      </c>
      <c r="D10" s="2">
        <v>0</v>
      </c>
      <c r="E10" s="2">
        <v>1591732</v>
      </c>
      <c r="F10" s="2">
        <v>2000003</v>
      </c>
    </row>
    <row r="11" spans="1:6" x14ac:dyDescent="0.3">
      <c r="A11" s="1" t="s">
        <v>8</v>
      </c>
      <c r="B11" s="2">
        <f t="shared" si="0"/>
        <v>-8330836</v>
      </c>
      <c r="C11" s="2">
        <v>0</v>
      </c>
      <c r="D11" s="2">
        <v>0</v>
      </c>
      <c r="E11" s="2">
        <v>8330836</v>
      </c>
      <c r="F11" s="2">
        <v>10499932</v>
      </c>
    </row>
    <row r="12" spans="1:6" x14ac:dyDescent="0.3">
      <c r="A12" s="1" t="s">
        <v>9</v>
      </c>
      <c r="B12" s="2">
        <f t="shared" si="0"/>
        <v>-3422613</v>
      </c>
      <c r="C12" s="2">
        <v>0</v>
      </c>
      <c r="D12" s="2">
        <v>0</v>
      </c>
      <c r="E12" s="2">
        <v>3422613</v>
      </c>
      <c r="F12" s="2">
        <v>4488668</v>
      </c>
    </row>
    <row r="13" spans="1:6" x14ac:dyDescent="0.3">
      <c r="A13" s="1" t="s">
        <v>10</v>
      </c>
      <c r="B13" s="2">
        <f t="shared" si="0"/>
        <v>-5508881</v>
      </c>
      <c r="C13" s="2">
        <v>0</v>
      </c>
      <c r="D13" s="2">
        <v>0</v>
      </c>
      <c r="E13" s="2">
        <v>5508881</v>
      </c>
      <c r="F13" s="2">
        <v>6948650</v>
      </c>
    </row>
    <row r="14" spans="1:6" x14ac:dyDescent="0.3">
      <c r="A14" s="1" t="s">
        <v>11</v>
      </c>
      <c r="B14" s="2">
        <f t="shared" si="0"/>
        <v>-2754529</v>
      </c>
      <c r="C14" s="2">
        <v>0</v>
      </c>
      <c r="D14" s="2">
        <v>0</v>
      </c>
      <c r="E14" s="2">
        <v>2754529</v>
      </c>
      <c r="F14" s="2">
        <v>3500000</v>
      </c>
    </row>
    <row r="15" spans="1:6" ht="17.25" thickBot="1" x14ac:dyDescent="0.35">
      <c r="A15" s="4" t="s">
        <v>13</v>
      </c>
      <c r="B15" s="5">
        <f>SUM(B3:B14)</f>
        <v>-55160714</v>
      </c>
      <c r="C15" s="5">
        <f t="shared" ref="C15:F15" si="1">SUM(C3:C14)</f>
        <v>0</v>
      </c>
      <c r="D15" s="5">
        <f t="shared" si="1"/>
        <v>0</v>
      </c>
      <c r="E15" s="5">
        <f t="shared" si="1"/>
        <v>55160714</v>
      </c>
      <c r="F15" s="5">
        <f t="shared" si="1"/>
        <v>71415404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1180543</v>
      </c>
      <c r="C3" s="2">
        <v>0</v>
      </c>
      <c r="D3" s="2">
        <v>0</v>
      </c>
      <c r="E3" s="2">
        <v>1180543</v>
      </c>
      <c r="F3" s="2">
        <v>1500005</v>
      </c>
    </row>
    <row r="4" spans="1:6" x14ac:dyDescent="0.3">
      <c r="A4" s="1" t="s">
        <v>1</v>
      </c>
      <c r="B4" s="2">
        <f t="shared" ref="B4:B15" si="0">E4-C4</f>
        <v>9418131</v>
      </c>
      <c r="C4" s="2">
        <v>0</v>
      </c>
      <c r="D4" s="2">
        <v>0</v>
      </c>
      <c r="E4" s="2">
        <v>9418131</v>
      </c>
      <c r="F4" s="2">
        <v>10699549</v>
      </c>
    </row>
    <row r="5" spans="1:6" x14ac:dyDescent="0.3">
      <c r="A5" s="1" t="s">
        <v>2</v>
      </c>
      <c r="B5" s="2">
        <f t="shared" si="0"/>
        <v>9436939</v>
      </c>
      <c r="C5" s="2">
        <v>0</v>
      </c>
      <c r="D5" s="2">
        <v>0</v>
      </c>
      <c r="E5" s="2">
        <v>9436939</v>
      </c>
      <c r="F5" s="2">
        <v>10589205</v>
      </c>
    </row>
    <row r="6" spans="1:6" x14ac:dyDescent="0.3">
      <c r="A6" s="1" t="s">
        <v>3</v>
      </c>
      <c r="B6" s="2">
        <f t="shared" si="0"/>
        <v>11122065</v>
      </c>
      <c r="C6" s="2">
        <v>0</v>
      </c>
      <c r="D6" s="2">
        <v>0</v>
      </c>
      <c r="E6" s="2">
        <v>11122065</v>
      </c>
      <c r="F6" s="2">
        <v>12698396</v>
      </c>
    </row>
    <row r="7" spans="1:6" x14ac:dyDescent="0.3">
      <c r="A7" s="1" t="s">
        <v>4</v>
      </c>
      <c r="B7" s="2">
        <f t="shared" si="0"/>
        <v>24209523</v>
      </c>
      <c r="C7" s="2">
        <v>0</v>
      </c>
      <c r="D7" s="2">
        <v>0</v>
      </c>
      <c r="E7" s="2">
        <v>24209523</v>
      </c>
      <c r="F7" s="2">
        <v>27979215</v>
      </c>
    </row>
    <row r="8" spans="1:6" x14ac:dyDescent="0.3">
      <c r="A8" s="1" t="s">
        <v>5</v>
      </c>
      <c r="B8" s="2">
        <f t="shared" si="0"/>
        <v>13203816</v>
      </c>
      <c r="C8" s="2">
        <v>0</v>
      </c>
      <c r="D8" s="2">
        <v>0</v>
      </c>
      <c r="E8" s="2">
        <v>13203816</v>
      </c>
      <c r="F8" s="2">
        <v>16051741</v>
      </c>
    </row>
    <row r="9" spans="1:6" x14ac:dyDescent="0.3">
      <c r="A9" s="1" t="s">
        <v>6</v>
      </c>
      <c r="B9" s="2">
        <f t="shared" si="0"/>
        <v>16523052</v>
      </c>
      <c r="C9" s="2">
        <v>0</v>
      </c>
      <c r="D9" s="2">
        <v>0</v>
      </c>
      <c r="E9" s="2">
        <v>16523052</v>
      </c>
      <c r="F9" s="2">
        <v>20111535</v>
      </c>
    </row>
    <row r="10" spans="1:6" x14ac:dyDescent="0.3">
      <c r="A10" s="1" t="s">
        <v>7</v>
      </c>
      <c r="B10" s="2">
        <f t="shared" si="0"/>
        <v>7531694</v>
      </c>
      <c r="C10" s="2">
        <v>0</v>
      </c>
      <c r="D10" s="2">
        <v>0</v>
      </c>
      <c r="E10" s="2">
        <v>7531694</v>
      </c>
      <c r="F10" s="2">
        <v>9014818</v>
      </c>
    </row>
    <row r="11" spans="1:6" x14ac:dyDescent="0.3">
      <c r="A11" s="1" t="s">
        <v>8</v>
      </c>
      <c r="B11" s="2">
        <f t="shared" si="0"/>
        <v>16955583</v>
      </c>
      <c r="C11" s="2">
        <v>0</v>
      </c>
      <c r="D11" s="2">
        <v>0</v>
      </c>
      <c r="E11" s="2">
        <v>16955583</v>
      </c>
      <c r="F11" s="2">
        <v>20502944</v>
      </c>
    </row>
    <row r="12" spans="1:6" x14ac:dyDescent="0.3">
      <c r="A12" s="1" t="s">
        <v>9</v>
      </c>
      <c r="B12" s="2">
        <f t="shared" si="0"/>
        <v>5952886</v>
      </c>
      <c r="C12" s="2">
        <v>0</v>
      </c>
      <c r="D12" s="2">
        <v>0</v>
      </c>
      <c r="E12" s="2">
        <v>5952886</v>
      </c>
      <c r="F12" s="2">
        <v>6901484</v>
      </c>
    </row>
    <row r="13" spans="1:6" x14ac:dyDescent="0.3">
      <c r="A13" s="1" t="s">
        <v>10</v>
      </c>
      <c r="B13" s="2">
        <f t="shared" si="0"/>
        <v>15943785</v>
      </c>
      <c r="C13" s="2">
        <v>0</v>
      </c>
      <c r="D13" s="2">
        <v>0</v>
      </c>
      <c r="E13" s="2">
        <v>15943785</v>
      </c>
      <c r="F13" s="2">
        <v>18652918</v>
      </c>
    </row>
    <row r="14" spans="1:6" x14ac:dyDescent="0.3">
      <c r="A14" s="1" t="s">
        <v>11</v>
      </c>
      <c r="B14" s="2">
        <f t="shared" si="0"/>
        <v>11196757</v>
      </c>
      <c r="C14" s="2">
        <v>0</v>
      </c>
      <c r="D14" s="2">
        <v>0</v>
      </c>
      <c r="E14" s="2">
        <v>11196757</v>
      </c>
      <c r="F14" s="2">
        <v>12984750</v>
      </c>
    </row>
    <row r="15" spans="1:6" ht="17.25" thickBot="1" x14ac:dyDescent="0.35">
      <c r="A15" s="4" t="s">
        <v>13</v>
      </c>
      <c r="B15" s="5">
        <f t="shared" si="0"/>
        <v>142674774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142674774</v>
      </c>
      <c r="F15" s="5">
        <f t="shared" si="3"/>
        <v>167686560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-18461803</v>
      </c>
      <c r="C3" s="2">
        <v>0</v>
      </c>
      <c r="D3" s="2">
        <v>0</v>
      </c>
      <c r="E3" s="2">
        <v>18461803</v>
      </c>
      <c r="F3" s="2">
        <v>21384127</v>
      </c>
    </row>
    <row r="4" spans="1:6" x14ac:dyDescent="0.3">
      <c r="A4" s="1" t="s">
        <v>1</v>
      </c>
      <c r="B4" s="2">
        <f t="shared" ref="B4:B14" si="0">C4-E4</f>
        <v>-7053000</v>
      </c>
      <c r="C4" s="2">
        <v>0</v>
      </c>
      <c r="D4" s="2">
        <v>0</v>
      </c>
      <c r="E4" s="2">
        <v>7053000</v>
      </c>
      <c r="F4" s="2">
        <v>8164013</v>
      </c>
    </row>
    <row r="5" spans="1:6" x14ac:dyDescent="0.3">
      <c r="A5" s="1" t="s">
        <v>2</v>
      </c>
      <c r="B5" s="2">
        <f t="shared" si="0"/>
        <v>-24875851</v>
      </c>
      <c r="C5" s="2">
        <v>0</v>
      </c>
      <c r="D5" s="2">
        <v>0</v>
      </c>
      <c r="E5" s="2">
        <v>24875851</v>
      </c>
      <c r="F5" s="2">
        <v>28979582</v>
      </c>
    </row>
    <row r="6" spans="1:6" x14ac:dyDescent="0.3">
      <c r="A6" s="1" t="s">
        <v>3</v>
      </c>
      <c r="B6" s="2">
        <f t="shared" si="0"/>
        <v>-11288311</v>
      </c>
      <c r="C6" s="2">
        <v>0</v>
      </c>
      <c r="D6" s="2">
        <v>0</v>
      </c>
      <c r="E6" s="2">
        <v>11288311</v>
      </c>
      <c r="F6" s="2">
        <v>13224235</v>
      </c>
    </row>
    <row r="7" spans="1:6" x14ac:dyDescent="0.3">
      <c r="A7" s="1" t="s">
        <v>4</v>
      </c>
      <c r="B7" s="2">
        <f t="shared" si="0"/>
        <v>-26585787</v>
      </c>
      <c r="C7" s="2">
        <v>0</v>
      </c>
      <c r="D7" s="2">
        <v>0</v>
      </c>
      <c r="E7" s="2">
        <v>26585787</v>
      </c>
      <c r="F7" s="2">
        <v>31760230</v>
      </c>
    </row>
    <row r="8" spans="1:6" x14ac:dyDescent="0.3">
      <c r="A8" s="1" t="s">
        <v>5</v>
      </c>
      <c r="B8" s="2">
        <f t="shared" si="0"/>
        <v>-16985376</v>
      </c>
      <c r="C8" s="2">
        <v>0</v>
      </c>
      <c r="D8" s="2">
        <v>0</v>
      </c>
      <c r="E8" s="2">
        <v>16985376</v>
      </c>
      <c r="F8" s="2">
        <v>20663242</v>
      </c>
    </row>
    <row r="9" spans="1:6" x14ac:dyDescent="0.3">
      <c r="A9" s="1" t="s">
        <v>6</v>
      </c>
      <c r="B9" s="2">
        <f t="shared" si="0"/>
        <v>-19468699</v>
      </c>
      <c r="C9" s="2">
        <v>0</v>
      </c>
      <c r="D9" s="2">
        <v>0</v>
      </c>
      <c r="E9" s="2">
        <v>19468699</v>
      </c>
      <c r="F9" s="2">
        <v>23749861</v>
      </c>
    </row>
    <row r="10" spans="1:6" x14ac:dyDescent="0.3">
      <c r="A10" s="1" t="s">
        <v>7</v>
      </c>
      <c r="B10" s="2">
        <f t="shared" si="0"/>
        <v>-15343700</v>
      </c>
      <c r="C10" s="2">
        <v>0</v>
      </c>
      <c r="D10" s="2">
        <v>0</v>
      </c>
      <c r="E10" s="2">
        <v>15343700</v>
      </c>
      <c r="F10" s="2">
        <v>19743112</v>
      </c>
    </row>
    <row r="11" spans="1:6" x14ac:dyDescent="0.3">
      <c r="A11" s="1" t="s">
        <v>8</v>
      </c>
      <c r="B11" s="2">
        <f t="shared" si="0"/>
        <v>-14345400</v>
      </c>
      <c r="C11" s="2">
        <v>50</v>
      </c>
      <c r="D11" s="2">
        <v>4</v>
      </c>
      <c r="E11" s="2">
        <v>14345450</v>
      </c>
      <c r="F11" s="2">
        <v>18460517</v>
      </c>
    </row>
    <row r="12" spans="1:6" x14ac:dyDescent="0.3">
      <c r="A12" s="1" t="s">
        <v>9</v>
      </c>
      <c r="B12" s="2">
        <f t="shared" si="0"/>
        <v>-12024657</v>
      </c>
      <c r="C12" s="2">
        <v>0</v>
      </c>
      <c r="D12" s="2">
        <v>0</v>
      </c>
      <c r="E12" s="2">
        <v>12024657</v>
      </c>
      <c r="F12" s="2">
        <v>15443571</v>
      </c>
    </row>
    <row r="13" spans="1:6" x14ac:dyDescent="0.3">
      <c r="A13" s="1" t="s">
        <v>10</v>
      </c>
      <c r="B13" s="2">
        <f t="shared" si="0"/>
        <v>-10502635</v>
      </c>
      <c r="C13" s="2">
        <v>90</v>
      </c>
      <c r="D13" s="2">
        <v>3</v>
      </c>
      <c r="E13" s="2">
        <v>10502725</v>
      </c>
      <c r="F13" s="2">
        <v>14063774</v>
      </c>
    </row>
    <row r="14" spans="1:6" x14ac:dyDescent="0.3">
      <c r="A14" s="1" t="s">
        <v>11</v>
      </c>
      <c r="B14" s="2">
        <f t="shared" si="0"/>
        <v>-9496551</v>
      </c>
      <c r="C14" s="2">
        <v>65</v>
      </c>
      <c r="D14" s="2">
        <v>2</v>
      </c>
      <c r="E14" s="2">
        <v>9496616</v>
      </c>
      <c r="F14" s="2">
        <v>13835799</v>
      </c>
    </row>
    <row r="15" spans="1:6" ht="17.25" thickBot="1" x14ac:dyDescent="0.35">
      <c r="A15" s="4" t="s">
        <v>13</v>
      </c>
      <c r="B15" s="5">
        <f>SUM(B3:B14)</f>
        <v>-186431770</v>
      </c>
      <c r="C15" s="5">
        <f t="shared" ref="C15:F15" si="1">SUM(C3:C14)</f>
        <v>205</v>
      </c>
      <c r="D15" s="5">
        <f t="shared" si="1"/>
        <v>9</v>
      </c>
      <c r="E15" s="5">
        <f t="shared" si="1"/>
        <v>186431975</v>
      </c>
      <c r="F15" s="5">
        <f t="shared" si="1"/>
        <v>229472063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-19073360</v>
      </c>
      <c r="C3" s="2">
        <v>94</v>
      </c>
      <c r="D3" s="2">
        <v>5</v>
      </c>
      <c r="E3" s="2">
        <v>19073454</v>
      </c>
      <c r="F3" s="2">
        <v>25348547</v>
      </c>
    </row>
    <row r="4" spans="1:6" x14ac:dyDescent="0.3">
      <c r="A4" s="1" t="s">
        <v>1</v>
      </c>
      <c r="B4" s="2">
        <f t="shared" si="0"/>
        <v>-9474577</v>
      </c>
      <c r="C4" s="2">
        <v>0</v>
      </c>
      <c r="D4" s="2">
        <v>0</v>
      </c>
      <c r="E4" s="2">
        <v>9474577</v>
      </c>
      <c r="F4" s="2">
        <v>12796459</v>
      </c>
    </row>
    <row r="5" spans="1:6" x14ac:dyDescent="0.3">
      <c r="A5" s="1" t="s">
        <v>2</v>
      </c>
      <c r="B5" s="2">
        <f t="shared" si="0"/>
        <v>-17727097</v>
      </c>
      <c r="C5" s="2">
        <v>148</v>
      </c>
      <c r="D5" s="2">
        <v>4</v>
      </c>
      <c r="E5" s="2">
        <v>17727245</v>
      </c>
      <c r="F5" s="2">
        <v>24199881</v>
      </c>
    </row>
    <row r="6" spans="1:6" x14ac:dyDescent="0.3">
      <c r="A6" s="1" t="s">
        <v>3</v>
      </c>
      <c r="B6" s="2">
        <f t="shared" si="0"/>
        <v>-25952634</v>
      </c>
      <c r="C6" s="2">
        <v>1248</v>
      </c>
      <c r="D6" s="2">
        <v>22</v>
      </c>
      <c r="E6" s="2">
        <v>25953882</v>
      </c>
      <c r="F6" s="2">
        <v>34680832</v>
      </c>
    </row>
    <row r="7" spans="1:6" x14ac:dyDescent="0.3">
      <c r="A7" s="1" t="s">
        <v>4</v>
      </c>
      <c r="B7" s="2">
        <f t="shared" si="0"/>
        <v>-21186026</v>
      </c>
      <c r="C7" s="2">
        <v>34</v>
      </c>
      <c r="D7" s="2">
        <v>1</v>
      </c>
      <c r="E7" s="2">
        <v>21186060</v>
      </c>
      <c r="F7" s="2">
        <v>27796177</v>
      </c>
    </row>
    <row r="8" spans="1:6" x14ac:dyDescent="0.3">
      <c r="A8" s="1" t="s">
        <v>5</v>
      </c>
      <c r="B8" s="2">
        <f t="shared" si="0"/>
        <v>-14333697</v>
      </c>
      <c r="C8" s="2">
        <v>81</v>
      </c>
      <c r="D8" s="2">
        <v>2</v>
      </c>
      <c r="E8" s="2">
        <v>14333778</v>
      </c>
      <c r="F8" s="2">
        <v>19543358</v>
      </c>
    </row>
    <row r="9" spans="1:6" x14ac:dyDescent="0.3">
      <c r="A9" s="1" t="s">
        <v>6</v>
      </c>
      <c r="B9" s="2">
        <f t="shared" si="0"/>
        <v>-19847451</v>
      </c>
      <c r="C9" s="2">
        <v>101</v>
      </c>
      <c r="D9" s="2">
        <v>3</v>
      </c>
      <c r="E9" s="2">
        <v>19847552</v>
      </c>
      <c r="F9" s="2">
        <v>27270787</v>
      </c>
    </row>
    <row r="10" spans="1:6" x14ac:dyDescent="0.3">
      <c r="A10" s="1" t="s">
        <v>7</v>
      </c>
      <c r="B10" s="2">
        <f t="shared" si="0"/>
        <v>-27442901</v>
      </c>
      <c r="C10" s="2">
        <v>17</v>
      </c>
      <c r="D10" s="2">
        <v>0</v>
      </c>
      <c r="E10" s="2">
        <v>27442918</v>
      </c>
      <c r="F10" s="2">
        <v>38028824</v>
      </c>
    </row>
    <row r="11" spans="1:6" x14ac:dyDescent="0.3">
      <c r="A11" s="1" t="s">
        <v>8</v>
      </c>
      <c r="B11" s="2">
        <f t="shared" si="0"/>
        <v>-17901928</v>
      </c>
      <c r="C11" s="2">
        <v>92</v>
      </c>
      <c r="D11" s="2">
        <v>2</v>
      </c>
      <c r="E11" s="2">
        <v>17902020</v>
      </c>
      <c r="F11" s="2">
        <v>24941885</v>
      </c>
    </row>
    <row r="12" spans="1:6" x14ac:dyDescent="0.3">
      <c r="A12" s="1" t="s">
        <v>9</v>
      </c>
      <c r="B12" s="2">
        <f t="shared" si="0"/>
        <v>-16511988</v>
      </c>
      <c r="C12" s="2">
        <v>293</v>
      </c>
      <c r="D12" s="2">
        <v>5</v>
      </c>
      <c r="E12" s="2">
        <v>16512281</v>
      </c>
      <c r="F12" s="2">
        <v>22605160</v>
      </c>
    </row>
    <row r="13" spans="1:6" x14ac:dyDescent="0.3">
      <c r="A13" s="1" t="s">
        <v>10</v>
      </c>
      <c r="B13" s="2">
        <f t="shared" si="0"/>
        <v>-19776132</v>
      </c>
      <c r="C13" s="2">
        <v>22</v>
      </c>
      <c r="D13" s="2">
        <v>2</v>
      </c>
      <c r="E13" s="2">
        <v>19776154</v>
      </c>
      <c r="F13" s="2">
        <v>26161961</v>
      </c>
    </row>
    <row r="14" spans="1:6" x14ac:dyDescent="0.3">
      <c r="A14" s="1" t="s">
        <v>11</v>
      </c>
      <c r="B14" s="2">
        <f t="shared" si="0"/>
        <v>-17282619</v>
      </c>
      <c r="C14" s="2">
        <v>6</v>
      </c>
      <c r="D14" s="2">
        <v>0</v>
      </c>
      <c r="E14" s="2">
        <v>17282625</v>
      </c>
      <c r="F14" s="2">
        <v>22355471</v>
      </c>
    </row>
    <row r="15" spans="1:6" ht="17.25" thickBot="1" x14ac:dyDescent="0.35">
      <c r="A15" s="4" t="s">
        <v>13</v>
      </c>
      <c r="B15" s="5">
        <f>SUM(B3:B14)</f>
        <v>-226510410</v>
      </c>
      <c r="C15" s="5">
        <f t="shared" ref="C15:F15" si="1">SUM(C3:C14)</f>
        <v>2136</v>
      </c>
      <c r="D15" s="5">
        <f t="shared" si="1"/>
        <v>46</v>
      </c>
      <c r="E15" s="5">
        <f t="shared" si="1"/>
        <v>226512546</v>
      </c>
      <c r="F15" s="5">
        <f t="shared" si="1"/>
        <v>305729342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-24782446</v>
      </c>
      <c r="C3" s="2">
        <v>393</v>
      </c>
      <c r="D3" s="2">
        <v>6</v>
      </c>
      <c r="E3" s="2">
        <v>24782839</v>
      </c>
      <c r="F3" s="2">
        <v>31160647</v>
      </c>
    </row>
    <row r="4" spans="1:6" x14ac:dyDescent="0.3">
      <c r="A4" s="1" t="s">
        <v>1</v>
      </c>
      <c r="B4" s="2">
        <f t="shared" si="0"/>
        <v>-21915510</v>
      </c>
      <c r="C4" s="2">
        <v>651</v>
      </c>
      <c r="D4" s="2">
        <v>9</v>
      </c>
      <c r="E4" s="2">
        <v>21916161</v>
      </c>
      <c r="F4" s="2">
        <v>27105937</v>
      </c>
    </row>
    <row r="5" spans="1:6" x14ac:dyDescent="0.3">
      <c r="A5" s="1" t="s">
        <v>2</v>
      </c>
      <c r="B5" s="2">
        <f t="shared" si="0"/>
        <v>-44162066</v>
      </c>
      <c r="C5" s="2">
        <v>341</v>
      </c>
      <c r="D5" s="2">
        <v>5</v>
      </c>
      <c r="E5" s="2">
        <v>44162407</v>
      </c>
      <c r="F5" s="2">
        <v>52563377</v>
      </c>
    </row>
    <row r="6" spans="1:6" x14ac:dyDescent="0.3">
      <c r="A6" s="1" t="s">
        <v>3</v>
      </c>
      <c r="B6" s="2">
        <f t="shared" si="0"/>
        <v>-13648191</v>
      </c>
      <c r="C6" s="2">
        <v>0</v>
      </c>
      <c r="D6" s="2">
        <v>0</v>
      </c>
      <c r="E6" s="2">
        <v>13648191</v>
      </c>
      <c r="F6" s="2">
        <v>16239165</v>
      </c>
    </row>
    <row r="7" spans="1:6" x14ac:dyDescent="0.3">
      <c r="A7" s="1" t="s">
        <v>4</v>
      </c>
      <c r="B7" s="2">
        <f t="shared" si="0"/>
        <v>-16333738</v>
      </c>
      <c r="C7" s="2">
        <v>0</v>
      </c>
      <c r="D7" s="2">
        <v>0</v>
      </c>
      <c r="E7" s="2">
        <v>16333738</v>
      </c>
      <c r="F7" s="2">
        <v>21215250</v>
      </c>
    </row>
    <row r="8" spans="1:6" x14ac:dyDescent="0.3">
      <c r="A8" s="1" t="s">
        <v>5</v>
      </c>
      <c r="B8" s="2">
        <f t="shared" si="0"/>
        <v>-20748261</v>
      </c>
      <c r="C8" s="2">
        <v>0</v>
      </c>
      <c r="D8" s="2">
        <v>0</v>
      </c>
      <c r="E8" s="2">
        <v>20748261</v>
      </c>
      <c r="F8" s="2">
        <v>27508193</v>
      </c>
    </row>
    <row r="9" spans="1:6" x14ac:dyDescent="0.3">
      <c r="A9" s="1" t="s">
        <v>6</v>
      </c>
      <c r="B9" s="2">
        <f t="shared" si="0"/>
        <v>-38235295</v>
      </c>
      <c r="C9" s="2">
        <v>205</v>
      </c>
      <c r="D9" s="2">
        <v>3</v>
      </c>
      <c r="E9" s="2">
        <v>38235500</v>
      </c>
      <c r="F9" s="2">
        <v>53743471</v>
      </c>
    </row>
    <row r="10" spans="1:6" x14ac:dyDescent="0.3">
      <c r="A10" s="1" t="s">
        <v>7</v>
      </c>
      <c r="B10" s="2">
        <f t="shared" si="0"/>
        <v>-1620286</v>
      </c>
      <c r="C10" s="2">
        <v>177</v>
      </c>
      <c r="D10" s="2">
        <v>2</v>
      </c>
      <c r="E10" s="2">
        <v>1620463</v>
      </c>
      <c r="F10" s="2">
        <v>2245711</v>
      </c>
    </row>
    <row r="11" spans="1:6" x14ac:dyDescent="0.3">
      <c r="A11" s="1" t="s">
        <v>8</v>
      </c>
      <c r="B11" s="2">
        <f t="shared" si="0"/>
        <v>-31179119</v>
      </c>
      <c r="C11" s="2">
        <v>83</v>
      </c>
      <c r="D11" s="2">
        <v>1</v>
      </c>
      <c r="E11" s="2">
        <v>31179202</v>
      </c>
      <c r="F11" s="2">
        <v>41748757</v>
      </c>
    </row>
    <row r="12" spans="1:6" x14ac:dyDescent="0.3">
      <c r="A12" s="1" t="s">
        <v>9</v>
      </c>
      <c r="B12" s="2">
        <f t="shared" si="0"/>
        <v>-12829431</v>
      </c>
      <c r="C12" s="2">
        <v>253</v>
      </c>
      <c r="D12" s="2">
        <v>2</v>
      </c>
      <c r="E12" s="2">
        <v>12829684</v>
      </c>
      <c r="F12" s="2">
        <v>17019310</v>
      </c>
    </row>
    <row r="13" spans="1:6" x14ac:dyDescent="0.3">
      <c r="A13" s="1" t="s">
        <v>10</v>
      </c>
      <c r="B13" s="2">
        <f t="shared" si="0"/>
        <v>-21279399</v>
      </c>
      <c r="C13" s="2">
        <v>11</v>
      </c>
      <c r="D13" s="2">
        <v>1</v>
      </c>
      <c r="E13" s="2">
        <v>21279410</v>
      </c>
      <c r="F13" s="2">
        <v>25892461</v>
      </c>
    </row>
    <row r="14" spans="1:6" x14ac:dyDescent="0.3">
      <c r="A14" s="1" t="s">
        <v>11</v>
      </c>
      <c r="B14" s="2">
        <f t="shared" si="0"/>
        <v>-11694983</v>
      </c>
      <c r="C14" s="2">
        <v>8</v>
      </c>
      <c r="D14" s="2">
        <v>1</v>
      </c>
      <c r="E14" s="2">
        <v>11694991</v>
      </c>
      <c r="F14" s="2">
        <v>12675397</v>
      </c>
    </row>
    <row r="15" spans="1:6" ht="17.25" thickBot="1" x14ac:dyDescent="0.35">
      <c r="A15" s="4" t="s">
        <v>13</v>
      </c>
      <c r="B15" s="5">
        <f>SUM(B3:B14)</f>
        <v>-258428725</v>
      </c>
      <c r="C15" s="5">
        <f t="shared" ref="C15:F15" si="1">SUM(C3:C14)</f>
        <v>2122</v>
      </c>
      <c r="D15" s="5">
        <f t="shared" si="1"/>
        <v>30</v>
      </c>
      <c r="E15" s="5">
        <f t="shared" si="1"/>
        <v>258430847</v>
      </c>
      <c r="F15" s="5">
        <f t="shared" si="1"/>
        <v>329117676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-22170607</v>
      </c>
      <c r="C3" s="2">
        <v>59</v>
      </c>
      <c r="D3" s="2">
        <v>4</v>
      </c>
      <c r="E3" s="2">
        <v>22170666</v>
      </c>
      <c r="F3" s="2">
        <v>24204684</v>
      </c>
    </row>
    <row r="4" spans="1:6" x14ac:dyDescent="0.3">
      <c r="A4" s="1" t="s">
        <v>1</v>
      </c>
      <c r="B4" s="2">
        <f t="shared" si="0"/>
        <v>-31940346</v>
      </c>
      <c r="C4" s="2">
        <v>16</v>
      </c>
      <c r="D4" s="2">
        <v>0</v>
      </c>
      <c r="E4" s="2">
        <v>31940362</v>
      </c>
      <c r="F4" s="2">
        <v>32514429</v>
      </c>
    </row>
    <row r="5" spans="1:6" x14ac:dyDescent="0.3">
      <c r="A5" s="1" t="s">
        <v>2</v>
      </c>
      <c r="B5" s="2">
        <f t="shared" si="0"/>
        <v>-38324504</v>
      </c>
      <c r="C5" s="2">
        <v>557</v>
      </c>
      <c r="D5" s="2">
        <v>9</v>
      </c>
      <c r="E5" s="2">
        <v>38325061</v>
      </c>
      <c r="F5" s="2">
        <v>34996797</v>
      </c>
    </row>
    <row r="6" spans="1:6" x14ac:dyDescent="0.3">
      <c r="A6" s="1" t="s">
        <v>3</v>
      </c>
      <c r="B6" s="2">
        <f t="shared" si="0"/>
        <v>-32184793</v>
      </c>
      <c r="C6" s="2">
        <v>924</v>
      </c>
      <c r="D6" s="2">
        <v>20</v>
      </c>
      <c r="E6" s="2">
        <v>32185717</v>
      </c>
      <c r="F6" s="2">
        <v>27590933</v>
      </c>
    </row>
    <row r="7" spans="1:6" x14ac:dyDescent="0.3">
      <c r="A7" s="1" t="s">
        <v>4</v>
      </c>
      <c r="B7" s="2">
        <f t="shared" si="0"/>
        <v>-40551297</v>
      </c>
      <c r="C7" s="2">
        <v>208</v>
      </c>
      <c r="D7" s="2">
        <v>9</v>
      </c>
      <c r="E7" s="2">
        <v>40551505</v>
      </c>
      <c r="F7" s="2">
        <v>30847866</v>
      </c>
    </row>
    <row r="8" spans="1:6" x14ac:dyDescent="0.3">
      <c r="A8" s="1" t="s">
        <v>5</v>
      </c>
      <c r="B8" s="2">
        <f t="shared" si="0"/>
        <v>-22794307</v>
      </c>
      <c r="C8" s="2">
        <v>270</v>
      </c>
      <c r="D8" s="2">
        <v>12</v>
      </c>
      <c r="E8" s="2">
        <v>22794577</v>
      </c>
      <c r="F8" s="2">
        <v>16564516</v>
      </c>
    </row>
    <row r="9" spans="1:6" x14ac:dyDescent="0.3">
      <c r="A9" s="1" t="s">
        <v>6</v>
      </c>
      <c r="B9" s="2">
        <f t="shared" si="0"/>
        <v>-46707953</v>
      </c>
      <c r="C9" s="2">
        <v>244</v>
      </c>
      <c r="D9" s="2">
        <v>16</v>
      </c>
      <c r="E9" s="2">
        <v>46708197</v>
      </c>
      <c r="F9" s="2">
        <v>30257658</v>
      </c>
    </row>
    <row r="10" spans="1:6" x14ac:dyDescent="0.3">
      <c r="A10" s="1" t="s">
        <v>7</v>
      </c>
      <c r="B10" s="2">
        <f t="shared" si="0"/>
        <v>-4200181</v>
      </c>
      <c r="C10" s="2">
        <v>32</v>
      </c>
      <c r="D10" s="2">
        <v>0</v>
      </c>
      <c r="E10" s="2">
        <v>4200213</v>
      </c>
      <c r="F10" s="2">
        <v>2989581</v>
      </c>
    </row>
    <row r="11" spans="1:6" x14ac:dyDescent="0.3">
      <c r="A11" s="1" t="s">
        <v>8</v>
      </c>
      <c r="B11" s="2">
        <f t="shared" si="0"/>
        <v>376</v>
      </c>
      <c r="C11" s="2">
        <v>376</v>
      </c>
      <c r="D11" s="2">
        <v>14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144</v>
      </c>
      <c r="C12" s="2">
        <v>144</v>
      </c>
      <c r="D12" s="2">
        <v>7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1918</v>
      </c>
      <c r="C13" s="2">
        <v>1918</v>
      </c>
      <c r="D13" s="2">
        <v>52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18</v>
      </c>
      <c r="C14" s="2">
        <v>18</v>
      </c>
      <c r="D14" s="2">
        <v>1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-238871532</v>
      </c>
      <c r="C15" s="5">
        <f t="shared" ref="C15:F15" si="1">SUM(C3:C14)</f>
        <v>4766</v>
      </c>
      <c r="D15" s="5">
        <f t="shared" si="1"/>
        <v>144</v>
      </c>
      <c r="E15" s="5">
        <f t="shared" si="1"/>
        <v>238876298</v>
      </c>
      <c r="F15" s="5">
        <f t="shared" si="1"/>
        <v>199966464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-26814124</v>
      </c>
      <c r="C3" s="2">
        <v>0</v>
      </c>
      <c r="D3" s="2">
        <v>0</v>
      </c>
      <c r="E3" s="2">
        <v>26814124</v>
      </c>
      <c r="F3" s="2">
        <v>18988392</v>
      </c>
    </row>
    <row r="4" spans="1:6" x14ac:dyDescent="0.3">
      <c r="A4" s="1" t="s">
        <v>1</v>
      </c>
      <c r="B4" s="2">
        <f t="shared" si="0"/>
        <v>81</v>
      </c>
      <c r="C4" s="2">
        <v>81</v>
      </c>
      <c r="D4" s="2">
        <v>3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-16632976</v>
      </c>
      <c r="C5" s="2">
        <v>744</v>
      </c>
      <c r="D5" s="2">
        <v>31</v>
      </c>
      <c r="E5" s="2">
        <v>16633720</v>
      </c>
      <c r="F5" s="2">
        <v>12288609</v>
      </c>
    </row>
    <row r="6" spans="1:6" x14ac:dyDescent="0.3">
      <c r="A6" s="1" t="s">
        <v>3</v>
      </c>
      <c r="B6" s="2">
        <f t="shared" si="0"/>
        <v>-20270149</v>
      </c>
      <c r="C6" s="2">
        <v>363</v>
      </c>
      <c r="D6" s="2">
        <v>9</v>
      </c>
      <c r="E6" s="2">
        <v>20270512</v>
      </c>
      <c r="F6" s="2">
        <v>12998980</v>
      </c>
    </row>
    <row r="7" spans="1:6" x14ac:dyDescent="0.3">
      <c r="A7" s="1" t="s">
        <v>4</v>
      </c>
      <c r="B7" s="2">
        <f t="shared" si="0"/>
        <v>-22376587</v>
      </c>
      <c r="C7" s="2">
        <v>360</v>
      </c>
      <c r="D7" s="2">
        <v>13</v>
      </c>
      <c r="E7" s="2">
        <v>22376947</v>
      </c>
      <c r="F7" s="2">
        <v>13011035</v>
      </c>
    </row>
    <row r="8" spans="1:6" x14ac:dyDescent="0.3">
      <c r="A8" s="1" t="s">
        <v>5</v>
      </c>
      <c r="B8" s="2">
        <f t="shared" si="0"/>
        <v>-38827228</v>
      </c>
      <c r="C8" s="2">
        <v>705</v>
      </c>
      <c r="D8" s="2">
        <v>23</v>
      </c>
      <c r="E8" s="2">
        <v>38827933</v>
      </c>
      <c r="F8" s="2">
        <v>22975218</v>
      </c>
    </row>
    <row r="9" spans="1:6" x14ac:dyDescent="0.3">
      <c r="A9" s="1" t="s">
        <v>6</v>
      </c>
      <c r="B9" s="2">
        <f t="shared" si="0"/>
        <v>-12500756</v>
      </c>
      <c r="C9" s="2">
        <v>545</v>
      </c>
      <c r="D9" s="2">
        <v>16</v>
      </c>
      <c r="E9" s="2">
        <v>12501301</v>
      </c>
      <c r="F9" s="2">
        <v>6785985</v>
      </c>
    </row>
    <row r="10" spans="1:6" x14ac:dyDescent="0.3">
      <c r="A10" s="1" t="s">
        <v>7</v>
      </c>
      <c r="B10" s="2">
        <f t="shared" si="0"/>
        <v>-30929435</v>
      </c>
      <c r="C10" s="2">
        <v>1456</v>
      </c>
      <c r="D10" s="2">
        <v>47</v>
      </c>
      <c r="E10" s="2">
        <v>30930891</v>
      </c>
      <c r="F10" s="2">
        <v>17219279</v>
      </c>
    </row>
    <row r="11" spans="1:6" x14ac:dyDescent="0.3">
      <c r="A11" s="1" t="s">
        <v>8</v>
      </c>
      <c r="B11" s="2">
        <f t="shared" si="0"/>
        <v>2048</v>
      </c>
      <c r="C11" s="2">
        <v>2048</v>
      </c>
      <c r="D11" s="2">
        <v>80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567</v>
      </c>
      <c r="C12" s="2">
        <v>567</v>
      </c>
      <c r="D12" s="2">
        <v>16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784</v>
      </c>
      <c r="C13" s="2">
        <v>836</v>
      </c>
      <c r="D13" s="2">
        <v>31</v>
      </c>
      <c r="E13" s="2">
        <v>52</v>
      </c>
      <c r="F13" s="2">
        <v>4</v>
      </c>
    </row>
    <row r="14" spans="1:6" x14ac:dyDescent="0.3">
      <c r="A14" s="1" t="s">
        <v>11</v>
      </c>
      <c r="B14" s="2">
        <f t="shared" si="0"/>
        <v>52</v>
      </c>
      <c r="C14" s="2">
        <v>52</v>
      </c>
      <c r="D14" s="2">
        <v>1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-168347723</v>
      </c>
      <c r="C15" s="5">
        <f t="shared" ref="C15:F15" si="1">SUM(C3:C14)</f>
        <v>7757</v>
      </c>
      <c r="D15" s="5">
        <f t="shared" si="1"/>
        <v>270</v>
      </c>
      <c r="E15" s="5">
        <f t="shared" si="1"/>
        <v>168355480</v>
      </c>
      <c r="F15" s="5">
        <f t="shared" si="1"/>
        <v>104267502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1121</v>
      </c>
      <c r="C3" s="2">
        <v>1121</v>
      </c>
      <c r="D3" s="2">
        <v>35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513</v>
      </c>
      <c r="C4" s="2">
        <v>513</v>
      </c>
      <c r="D4" s="2">
        <v>28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1634</v>
      </c>
      <c r="C15" s="5">
        <f t="shared" ref="C15:F15" si="1">SUM(C3:C14)</f>
        <v>1634</v>
      </c>
      <c r="D15" s="5">
        <f t="shared" si="1"/>
        <v>63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-24624</v>
      </c>
      <c r="C7" s="2">
        <v>0</v>
      </c>
      <c r="D7" s="2">
        <v>0</v>
      </c>
      <c r="E7" s="2">
        <v>24624</v>
      </c>
      <c r="F7" s="2">
        <v>9526</v>
      </c>
    </row>
    <row r="8" spans="1:6" x14ac:dyDescent="0.3">
      <c r="A8" s="1" t="s">
        <v>5</v>
      </c>
      <c r="B8" s="2">
        <f t="shared" si="0"/>
        <v>-14</v>
      </c>
      <c r="C8" s="2">
        <v>0</v>
      </c>
      <c r="D8" s="2">
        <v>0</v>
      </c>
      <c r="E8" s="2">
        <v>14</v>
      </c>
      <c r="F8" s="2">
        <v>2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-12155100</v>
      </c>
      <c r="C10" s="2">
        <v>0</v>
      </c>
      <c r="D10" s="2">
        <v>0</v>
      </c>
      <c r="E10" s="2">
        <v>12155100</v>
      </c>
      <c r="F10" s="2">
        <v>11993804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-29</v>
      </c>
      <c r="C14" s="2">
        <v>0</v>
      </c>
      <c r="D14" s="2">
        <v>0</v>
      </c>
      <c r="E14" s="2">
        <v>29</v>
      </c>
      <c r="F14" s="2">
        <v>2</v>
      </c>
    </row>
    <row r="15" spans="1:6" ht="17.25" thickBot="1" x14ac:dyDescent="0.35">
      <c r="A15" s="4" t="s">
        <v>13</v>
      </c>
      <c r="B15" s="5">
        <f>SUM(B3:B14)</f>
        <v>-12179767</v>
      </c>
      <c r="C15" s="5">
        <f t="shared" ref="C15:F15" si="1">SUM(C3:C14)</f>
        <v>0</v>
      </c>
      <c r="D15" s="5">
        <f t="shared" si="1"/>
        <v>0</v>
      </c>
      <c r="E15" s="5">
        <f t="shared" si="1"/>
        <v>12179767</v>
      </c>
      <c r="F15" s="5">
        <f t="shared" si="1"/>
        <v>12003334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-20733798</v>
      </c>
      <c r="C3" s="2">
        <v>0</v>
      </c>
      <c r="D3" s="2">
        <v>0</v>
      </c>
      <c r="E3" s="2">
        <v>20733798</v>
      </c>
      <c r="F3" s="2">
        <v>18471862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-46571276</v>
      </c>
      <c r="C5" s="2">
        <v>0</v>
      </c>
      <c r="D5" s="2">
        <v>0</v>
      </c>
      <c r="E5" s="2">
        <v>46571276</v>
      </c>
      <c r="F5" s="2">
        <v>39832425</v>
      </c>
    </row>
    <row r="6" spans="1:6" x14ac:dyDescent="0.3">
      <c r="A6" s="1" t="s">
        <v>3</v>
      </c>
      <c r="B6" s="2">
        <f t="shared" si="0"/>
        <v>-28061674</v>
      </c>
      <c r="C6" s="2">
        <v>0</v>
      </c>
      <c r="D6" s="2">
        <v>0</v>
      </c>
      <c r="E6" s="2">
        <v>28061674</v>
      </c>
      <c r="F6" s="2">
        <v>23913796</v>
      </c>
    </row>
    <row r="7" spans="1:6" x14ac:dyDescent="0.3">
      <c r="A7" s="1" t="s">
        <v>4</v>
      </c>
      <c r="B7" s="2">
        <f t="shared" si="0"/>
        <v>-117</v>
      </c>
      <c r="C7" s="2">
        <v>0</v>
      </c>
      <c r="D7" s="2">
        <v>0</v>
      </c>
      <c r="E7" s="2">
        <v>117</v>
      </c>
      <c r="F7" s="2">
        <v>2</v>
      </c>
    </row>
    <row r="8" spans="1:6" x14ac:dyDescent="0.3">
      <c r="A8" s="1" t="s">
        <v>5</v>
      </c>
      <c r="B8" s="2">
        <f t="shared" si="0"/>
        <v>-93500</v>
      </c>
      <c r="C8" s="2">
        <v>0</v>
      </c>
      <c r="D8" s="2">
        <v>0</v>
      </c>
      <c r="E8" s="2">
        <v>93500</v>
      </c>
      <c r="F8" s="2">
        <v>85000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-95460365</v>
      </c>
      <c r="C15" s="5">
        <f t="shared" ref="C15:F15" si="1">SUM(C3:C14)</f>
        <v>0</v>
      </c>
      <c r="D15" s="5">
        <f t="shared" si="1"/>
        <v>0</v>
      </c>
      <c r="E15" s="5">
        <f t="shared" si="1"/>
        <v>95460365</v>
      </c>
      <c r="F15" s="5">
        <f t="shared" si="1"/>
        <v>82303085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-14071101</v>
      </c>
      <c r="C3" s="2">
        <v>0</v>
      </c>
      <c r="D3" s="2">
        <v>0</v>
      </c>
      <c r="E3" s="2">
        <v>14071101</v>
      </c>
      <c r="F3" s="2">
        <v>11812001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-14071101</v>
      </c>
      <c r="C15" s="5">
        <f t="shared" ref="C15:F15" si="1">SUM(C3:C14)</f>
        <v>0</v>
      </c>
      <c r="D15" s="5">
        <f t="shared" si="1"/>
        <v>0</v>
      </c>
      <c r="E15" s="5">
        <f t="shared" si="1"/>
        <v>14071101</v>
      </c>
      <c r="F15" s="5">
        <f t="shared" si="1"/>
        <v>11812001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2026-09-09T02:39:12Z</dcterms:modified>
</cp:coreProperties>
</file>