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9개년_품목별 국가별 수출입실적\대두유\1507.90\식품용(.101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7" l="1"/>
  <c r="B15" i="16"/>
  <c r="B15" i="15"/>
  <c r="B15" i="14"/>
  <c r="B15" i="13"/>
  <c r="B15" i="12"/>
  <c r="B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B15" i="9" s="1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B15" i="6" s="1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B15" i="4" s="1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5" i="3" s="1"/>
  <c r="B14" i="2"/>
  <c r="B13" i="2"/>
  <c r="B12" i="2"/>
  <c r="B11" i="2"/>
  <c r="B10" i="2"/>
  <c r="B9" i="2"/>
  <c r="B8" i="2"/>
  <c r="B7" i="2"/>
  <c r="B6" i="2"/>
  <c r="B5" i="2"/>
  <c r="B4" i="2"/>
  <c r="B3" i="2"/>
  <c r="B15" i="2" s="1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8" l="1"/>
  <c r="B15" i="7"/>
  <c r="B15" i="5"/>
  <c r="B15" i="1"/>
</calcChain>
</file>

<file path=xl/sharedStrings.xml><?xml version="1.0" encoding="utf-8"?>
<sst xmlns="http://schemas.openxmlformats.org/spreadsheetml/2006/main" count="306" uniqueCount="32">
  <si>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</si>
  <si>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</si>
  <si>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</si>
  <si>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</si>
  <si>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</si>
  <si>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</si>
  <si>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</si>
  <si>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</si>
  <si>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</si>
  <si>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</si>
  <si>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</si>
  <si>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</si>
  <si>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</si>
  <si>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</si>
  <si>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</si>
  <si>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</si>
  <si>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</si>
  <si>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</si>
  <si>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</si>
  <si>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2월</t>
    <phoneticPr fontId="1" type="noConversion"/>
  </si>
  <si>
    <t>무역수지(달러)</t>
    <phoneticPr fontId="1" type="noConversion"/>
  </si>
  <si>
    <t>수출량(kg)</t>
    <phoneticPr fontId="1" type="noConversion"/>
  </si>
  <si>
    <t>수입량(kg)</t>
    <phoneticPr fontId="1" type="noConversion"/>
  </si>
  <si>
    <t>총계</t>
    <phoneticPr fontId="1" type="noConversion"/>
  </si>
  <si>
    <t>수출액(달러)</t>
    <phoneticPr fontId="1" type="noConversion"/>
  </si>
  <si>
    <t>수입액(달러)</t>
    <phoneticPr fontId="1" type="noConversion"/>
  </si>
  <si>
    <t>수입량(kg)</t>
    <phoneticPr fontId="1" type="noConversion"/>
  </si>
  <si>
    <t>2월</t>
    <phoneticPr fontId="1" type="noConversion"/>
  </si>
  <si>
    <t>수출액(달러)</t>
    <phoneticPr fontId="1" type="noConversion"/>
  </si>
  <si>
    <t>1월</t>
    <phoneticPr fontId="1" type="noConversion"/>
  </si>
  <si>
    <t>3월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</si>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</sst>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19</v>
      </c>
      <c r="B4" s="3">
        <f t="shared" ref="B4:B14" si="0">C4-E4</f>
        <v>-60117</v>
      </c>
      <c r="C4" s="3">
        <v>0</v>
      </c>
      <c r="D4" s="3">
        <v>0</v>
      </c>
      <c r="E4" s="3">
        <v>60117</v>
      </c>
      <c r="F4" s="3">
        <v>43250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-222754</v>
      </c>
      <c r="C6" s="3">
        <v>0</v>
      </c>
      <c r="D6" s="3">
        <v>0</v>
      </c>
      <c r="E6" s="3">
        <v>222754</v>
      </c>
      <c r="F6" s="3">
        <v>173290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-111208</v>
      </c>
      <c r="C10" s="3">
        <v>0</v>
      </c>
      <c r="D10" s="3">
        <v>0</v>
      </c>
      <c r="E10" s="3">
        <v>111208</v>
      </c>
      <c r="F10" s="3">
        <v>87190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-394079</v>
      </c>
      <c r="C15" s="5">
        <f t="shared" ref="C15:F15" si="1">SUM(C3:C14)</f>
        <v>0</v>
      </c>
      <c r="D15" s="5">
        <f t="shared" si="1"/>
        <v>0</v>
      </c>
      <c r="E15" s="5">
        <f t="shared" si="1"/>
        <v>394079</v>
      </c>
      <c r="F15" s="5">
        <f t="shared" si="1"/>
        <v>303730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>
      <selection activeCell="D7" sqref="D7"/>
    </sheetView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1</v>
      </c>
      <c r="D2" s="1" t="s">
        <v>21</v>
      </c>
      <c r="E2" s="1" t="s">
        <v>3</v>
      </c>
      <c r="F2" s="1" t="s">
        <v>22</v>
      </c>
    </row>
    <row r="3" spans="1:6" x14ac:dyDescent="0.3">
      <c r="A3" s="2" t="s">
        <v>5</v>
      </c>
      <c r="B3" s="3">
        <f>C3-E3</f>
        <v>-183632</v>
      </c>
      <c r="C3" s="3">
        <v>0</v>
      </c>
      <c r="D3" s="3">
        <v>0</v>
      </c>
      <c r="E3" s="3">
        <v>183632</v>
      </c>
      <c r="F3" s="3">
        <v>107980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-333081</v>
      </c>
      <c r="C7" s="3">
        <v>0</v>
      </c>
      <c r="D7" s="3">
        <v>0</v>
      </c>
      <c r="E7" s="3">
        <v>333081</v>
      </c>
      <c r="F7" s="3">
        <v>194710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23</v>
      </c>
      <c r="B15" s="5">
        <f>SUM(B3:B14)</f>
        <v>-516713</v>
      </c>
      <c r="C15" s="5">
        <f t="shared" ref="C15:F15" si="1">SUM(C3:C14)</f>
        <v>0</v>
      </c>
      <c r="D15" s="5">
        <f t="shared" si="1"/>
        <v>0</v>
      </c>
      <c r="E15" s="5">
        <f t="shared" si="1"/>
        <v>516713</v>
      </c>
      <c r="F15" s="5">
        <f t="shared" si="1"/>
        <v>302690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24</v>
      </c>
      <c r="D2" s="1" t="s">
        <v>2</v>
      </c>
      <c r="E2" s="1" t="s">
        <v>25</v>
      </c>
      <c r="F2" s="1" t="s">
        <v>26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-2191</v>
      </c>
      <c r="C8" s="3">
        <v>0</v>
      </c>
      <c r="D8" s="3">
        <v>0</v>
      </c>
      <c r="E8" s="3">
        <v>2191</v>
      </c>
      <c r="F8" s="3">
        <v>162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-2191</v>
      </c>
      <c r="C15" s="5">
        <f t="shared" ref="C15:F15" si="1">SUM(C3:C14)</f>
        <v>0</v>
      </c>
      <c r="D15" s="5">
        <f t="shared" si="1"/>
        <v>0</v>
      </c>
      <c r="E15" s="5">
        <f t="shared" si="1"/>
        <v>2191</v>
      </c>
      <c r="F15" s="5">
        <f t="shared" si="1"/>
        <v>162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28</v>
      </c>
      <c r="D2" s="1" t="s">
        <v>21</v>
      </c>
      <c r="E2" s="1" t="s">
        <v>25</v>
      </c>
      <c r="F2" s="1" t="s">
        <v>22</v>
      </c>
    </row>
    <row r="3" spans="1:6" x14ac:dyDescent="0.3">
      <c r="A3" s="2" t="s">
        <v>29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-28</v>
      </c>
      <c r="C4" s="3">
        <v>0</v>
      </c>
      <c r="D4" s="3">
        <v>0</v>
      </c>
      <c r="E4" s="3">
        <v>28</v>
      </c>
      <c r="F4" s="3">
        <v>1</v>
      </c>
    </row>
    <row r="5" spans="1:6" x14ac:dyDescent="0.3">
      <c r="A5" s="2" t="s">
        <v>30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23</v>
      </c>
      <c r="B15" s="5">
        <f>SUM(B3:B14)</f>
        <v>-28</v>
      </c>
      <c r="C15" s="5">
        <f t="shared" ref="C15:F15" si="1">SUM(C3:C14)</f>
        <v>0</v>
      </c>
      <c r="D15" s="5">
        <f t="shared" si="1"/>
        <v>0</v>
      </c>
      <c r="E15" s="5">
        <f t="shared" si="1"/>
        <v>28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28</v>
      </c>
      <c r="D2" s="1" t="s">
        <v>21</v>
      </c>
      <c r="E2" s="1" t="s">
        <v>25</v>
      </c>
      <c r="F2" s="1" t="s">
        <v>22</v>
      </c>
    </row>
    <row r="3" spans="1:6" x14ac:dyDescent="0.3">
      <c r="A3" s="2" t="s">
        <v>29</v>
      </c>
      <c r="B3" s="3">
        <f t="shared" ref="B3:B14" si="0">C3-E3</f>
        <v>-108541</v>
      </c>
      <c r="C3" s="3">
        <v>0</v>
      </c>
      <c r="D3" s="3">
        <v>0</v>
      </c>
      <c r="E3" s="3">
        <v>108541</v>
      </c>
      <c r="F3" s="3">
        <v>87180</v>
      </c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30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23</v>
      </c>
      <c r="B15" s="5">
        <f>SUM(B3:B14)</f>
        <v>-108541</v>
      </c>
      <c r="C15" s="5">
        <f t="shared" ref="C15:F15" si="1">SUM(C3:C14)</f>
        <v>0</v>
      </c>
      <c r="D15" s="5">
        <f t="shared" si="1"/>
        <v>0</v>
      </c>
      <c r="E15" s="5">
        <f t="shared" si="1"/>
        <v>108541</v>
      </c>
      <c r="F15" s="5">
        <f t="shared" si="1"/>
        <v>87180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30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1</v>
      </c>
      <c r="D2" s="1" t="s">
        <v>2</v>
      </c>
      <c r="E2" s="1" t="s">
        <v>31</v>
      </c>
      <c r="F2" s="1" t="s">
        <v>4</v>
      </c>
    </row>
    <row r="3" spans="1:6" x14ac:dyDescent="0.3">
      <c r="A3" s="2" t="s">
        <v>5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-15</v>
      </c>
      <c r="C7" s="3">
        <v>0</v>
      </c>
      <c r="D7" s="3">
        <v>0</v>
      </c>
      <c r="E7" s="3">
        <v>15</v>
      </c>
      <c r="F7" s="3">
        <v>1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-15</v>
      </c>
      <c r="C15" s="5">
        <f t="shared" ref="C15:F15" si="1">SUM(C3:C14)</f>
        <v>0</v>
      </c>
      <c r="D15" s="5">
        <f t="shared" si="1"/>
        <v>0</v>
      </c>
      <c r="E15" s="5">
        <f t="shared" si="1"/>
        <v>15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-23</v>
      </c>
      <c r="C4" s="3">
        <v>0</v>
      </c>
      <c r="D4" s="3">
        <v>0</v>
      </c>
      <c r="E4" s="3">
        <v>23</v>
      </c>
      <c r="F4" s="3">
        <v>2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-38</v>
      </c>
      <c r="C14" s="3">
        <v>0</v>
      </c>
      <c r="D14" s="3">
        <v>0</v>
      </c>
      <c r="E14" s="3">
        <v>38</v>
      </c>
      <c r="F14" s="3">
        <v>3</v>
      </c>
    </row>
    <row r="15" spans="1:6" ht="17.25" thickBot="1" x14ac:dyDescent="0.35">
      <c r="A15" s="4" t="s">
        <v>17</v>
      </c>
      <c r="B15" s="5">
        <f>SUM(B3:B14)</f>
        <v>-61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61</v>
      </c>
      <c r="F15" s="5">
        <f t="shared" si="2"/>
        <v>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-16</v>
      </c>
      <c r="C7" s="3">
        <v>0</v>
      </c>
      <c r="D7" s="3">
        <v>0</v>
      </c>
      <c r="E7" s="3">
        <v>16</v>
      </c>
      <c r="F7" s="3">
        <v>1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-16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16</v>
      </c>
      <c r="F15" s="5">
        <f t="shared" si="2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-1756</v>
      </c>
      <c r="C10" s="3">
        <v>0</v>
      </c>
      <c r="D10" s="3">
        <v>0</v>
      </c>
      <c r="E10" s="3">
        <v>1756</v>
      </c>
      <c r="F10" s="3">
        <v>198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-29</v>
      </c>
      <c r="C14" s="3">
        <v>0</v>
      </c>
      <c r="D14" s="3">
        <v>0</v>
      </c>
      <c r="E14" s="3">
        <v>29</v>
      </c>
      <c r="F14" s="3">
        <v>4</v>
      </c>
    </row>
    <row r="15" spans="1:6" ht="17.25" thickBot="1" x14ac:dyDescent="0.35">
      <c r="A15" s="4" t="s">
        <v>17</v>
      </c>
      <c r="B15" s="5">
        <f>SUM(B3:B14)</f>
        <v>-1785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1785</v>
      </c>
      <c r="F15" s="5">
        <f t="shared" si="2"/>
        <v>202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-28</v>
      </c>
      <c r="C7" s="3">
        <v>0</v>
      </c>
      <c r="D7" s="3">
        <v>0</v>
      </c>
      <c r="E7" s="3">
        <v>28</v>
      </c>
      <c r="F7" s="3">
        <v>5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-19</v>
      </c>
      <c r="C10" s="3">
        <v>0</v>
      </c>
      <c r="D10" s="3">
        <v>0</v>
      </c>
      <c r="E10" s="3">
        <v>19</v>
      </c>
      <c r="F10" s="3">
        <v>2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-47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47</v>
      </c>
      <c r="F15" s="5">
        <f t="shared" si="2"/>
        <v>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2026-07-15T02:14:03Z</dcterms:modified>
</cp:coreProperties>
</file>