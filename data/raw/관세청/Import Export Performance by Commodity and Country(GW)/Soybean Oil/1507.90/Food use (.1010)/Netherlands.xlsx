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유\1507.90\식품용(.1010)\"/>
    </mc:Choice>
  </mc:AlternateContent>
  <bookViews>
    <workbookView xWindow="0" yWindow="0" windowWidth="28800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7" l="1"/>
  <c r="B15" i="16"/>
  <c r="B15" i="15"/>
  <c r="B15" i="14"/>
  <c r="B15" i="13"/>
  <c r="B15" i="12"/>
  <c r="B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B14" i="1"/>
  <c r="B13" i="1"/>
  <c r="B12" i="1"/>
  <c r="B11" i="1"/>
  <c r="B10" i="1"/>
  <c r="B9" i="1"/>
  <c r="B8" i="1"/>
  <c r="B7" i="1"/>
  <c r="B6" i="1"/>
  <c r="B5" i="1"/>
  <c r="B4" i="1"/>
  <c r="B3" i="1"/>
  <c r="F15" i="2"/>
  <c r="E15" i="2"/>
  <c r="D15" i="2"/>
  <c r="C15" i="2"/>
  <c r="F15" i="1"/>
  <c r="E15" i="1"/>
  <c r="D15" i="1"/>
  <c r="C15" i="1"/>
  <c r="B15" i="9" l="1"/>
  <c r="B15" i="6"/>
  <c r="B15" i="4"/>
  <c r="B15" i="3"/>
  <c r="B15" i="2"/>
  <c r="B15" i="8"/>
  <c r="B15" i="7"/>
  <c r="B15" i="5"/>
  <c r="B15" i="1"/>
</calcChain>
</file>

<file path=xl/sharedStrings.xml><?xml version="1.0" encoding="utf-8"?>
<sst xmlns="http://schemas.openxmlformats.org/spreadsheetml/2006/main" count="306" uniqueCount="32">
  <si>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</si>
  <si>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</si>
  <si>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</si>
  <si>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</si>
  <si>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</si>
  <si>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</si>
  <si>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</si>
  <si>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</si>
  <si>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</si>
  <si>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</si>
  <si>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</si>
  <si>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</si>
  <si>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</si>
  <si>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</si>
  <si>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</si>
  <si>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</si>
  <si>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</si>
  <si>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</si>
  <si>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</si>
  <si>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2월</t>
    <phoneticPr fontId="1" type="noConversion"/>
  </si>
  <si>
    <t>무역수지(달러)</t>
    <phoneticPr fontId="1" type="noConversion"/>
  </si>
  <si>
    <t>수출량(kg)</t>
    <phoneticPr fontId="1" type="noConversion"/>
  </si>
  <si>
    <t>수입량(kg)</t>
    <phoneticPr fontId="1" type="noConversion"/>
  </si>
  <si>
    <t>총계</t>
    <phoneticPr fontId="1" type="noConversion"/>
  </si>
  <si>
    <t>수출액(달러)</t>
    <phoneticPr fontId="1" type="noConversion"/>
  </si>
  <si>
    <t>수입액(달러)</t>
    <phoneticPr fontId="1" type="noConversion"/>
  </si>
  <si>
    <t>수입량(kg)</t>
    <phoneticPr fontId="1" type="noConversion"/>
  </si>
  <si>
    <t>2월</t>
    <phoneticPr fontId="1" type="noConversion"/>
  </si>
  <si>
    <t>수출액(달러)</t>
    <phoneticPr fontId="1" type="noConversion"/>
  </si>
  <si>
    <t>1월</t>
    <phoneticPr fontId="1" type="noConversion"/>
  </si>
  <si>
    <t>3월</t>
    <phoneticPr fontId="1" type="noConversion"/>
  </si>
  <si>
    <t>수입액(달러)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</si>
</sst>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19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20</v>
      </c>
      <c r="C2" s="1" t="s">
        <v>1</v>
      </c>
      <c r="D2" s="1" t="s">
        <v>21</v>
      </c>
      <c r="E2" s="1" t="s">
        <v>3</v>
      </c>
      <c r="F2" s="1" t="s">
        <v>22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20</v>
      </c>
      <c r="C2" s="1" t="s">
        <v>24</v>
      </c>
      <c r="D2" s="1" t="s">
        <v>2</v>
      </c>
      <c r="E2" s="1" t="s">
        <v>25</v>
      </c>
      <c r="F2" s="1" t="s">
        <v>26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27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20</v>
      </c>
      <c r="C2" s="1" t="s">
        <v>28</v>
      </c>
      <c r="D2" s="1" t="s">
        <v>21</v>
      </c>
      <c r="E2" s="1" t="s">
        <v>25</v>
      </c>
      <c r="F2" s="1" t="s">
        <v>22</v>
      </c>
    </row>
    <row r="3" spans="1:6" x14ac:dyDescent="0.3">
      <c r="A3" s="2" t="s">
        <v>29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27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30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-74586</v>
      </c>
      <c r="C10" s="3">
        <v>0</v>
      </c>
      <c r="D10" s="3">
        <v>0</v>
      </c>
      <c r="E10" s="3">
        <v>74586</v>
      </c>
      <c r="F10" s="3">
        <v>15837</v>
      </c>
    </row>
    <row r="11" spans="1:6" x14ac:dyDescent="0.3">
      <c r="A11" s="2" t="s">
        <v>13</v>
      </c>
      <c r="B11" s="3">
        <f t="shared" si="0"/>
        <v>-19558</v>
      </c>
      <c r="C11" s="3">
        <v>0</v>
      </c>
      <c r="D11" s="3">
        <v>0</v>
      </c>
      <c r="E11" s="3">
        <v>19558</v>
      </c>
      <c r="F11" s="3">
        <v>5450</v>
      </c>
    </row>
    <row r="12" spans="1:6" x14ac:dyDescent="0.3">
      <c r="A12" s="2" t="s">
        <v>14</v>
      </c>
      <c r="B12" s="3">
        <f t="shared" si="0"/>
        <v>-17368</v>
      </c>
      <c r="C12" s="3">
        <v>0</v>
      </c>
      <c r="D12" s="3">
        <v>0</v>
      </c>
      <c r="E12" s="3">
        <v>17368</v>
      </c>
      <c r="F12" s="3">
        <v>6080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-47984</v>
      </c>
      <c r="C14" s="3">
        <v>0</v>
      </c>
      <c r="D14" s="3">
        <v>0</v>
      </c>
      <c r="E14" s="3">
        <v>47984</v>
      </c>
      <c r="F14" s="3">
        <v>12372</v>
      </c>
    </row>
    <row r="15" spans="1:6" ht="17.25" thickBot="1" x14ac:dyDescent="0.35">
      <c r="A15" s="4" t="s">
        <v>23</v>
      </c>
      <c r="B15" s="5">
        <f>SUM(B3:B14)</f>
        <v>-159496</v>
      </c>
      <c r="C15" s="5">
        <f t="shared" ref="C15:F15" si="1">SUM(C3:C14)</f>
        <v>0</v>
      </c>
      <c r="D15" s="5">
        <f t="shared" si="1"/>
        <v>0</v>
      </c>
      <c r="E15" s="5">
        <f t="shared" si="1"/>
        <v>159496</v>
      </c>
      <c r="F15" s="5">
        <f t="shared" si="1"/>
        <v>39739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20</v>
      </c>
      <c r="C2" s="1" t="s">
        <v>28</v>
      </c>
      <c r="D2" s="1" t="s">
        <v>21</v>
      </c>
      <c r="E2" s="1" t="s">
        <v>25</v>
      </c>
      <c r="F2" s="1" t="s">
        <v>22</v>
      </c>
    </row>
    <row r="3" spans="1:6" x14ac:dyDescent="0.3">
      <c r="A3" s="2" t="s">
        <v>29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27</v>
      </c>
      <c r="B4" s="3">
        <f t="shared" si="0"/>
        <v>-123106</v>
      </c>
      <c r="C4" s="3">
        <v>0</v>
      </c>
      <c r="D4" s="3">
        <v>0</v>
      </c>
      <c r="E4" s="3">
        <v>123106</v>
      </c>
      <c r="F4" s="3">
        <v>26524</v>
      </c>
    </row>
    <row r="5" spans="1:6" x14ac:dyDescent="0.3">
      <c r="A5" s="2" t="s">
        <v>30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-147408</v>
      </c>
      <c r="C9" s="3">
        <v>0</v>
      </c>
      <c r="D9" s="3">
        <v>0</v>
      </c>
      <c r="E9" s="3">
        <v>147408</v>
      </c>
      <c r="F9" s="3">
        <v>34635</v>
      </c>
    </row>
    <row r="10" spans="1:6" x14ac:dyDescent="0.3">
      <c r="A10" s="2" t="s">
        <v>12</v>
      </c>
      <c r="B10" s="3">
        <f t="shared" si="0"/>
        <v>-14548</v>
      </c>
      <c r="C10" s="3">
        <v>0</v>
      </c>
      <c r="D10" s="3">
        <v>0</v>
      </c>
      <c r="E10" s="3">
        <v>14548</v>
      </c>
      <c r="F10" s="3">
        <v>4940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23</v>
      </c>
      <c r="B15" s="5">
        <f>SUM(B3:B14)</f>
        <v>-285062</v>
      </c>
      <c r="C15" s="5">
        <f t="shared" ref="C15:F15" si="1">SUM(C3:C14)</f>
        <v>0</v>
      </c>
      <c r="D15" s="5">
        <f t="shared" si="1"/>
        <v>0</v>
      </c>
      <c r="E15" s="5">
        <f t="shared" si="1"/>
        <v>285062</v>
      </c>
      <c r="F15" s="5">
        <f t="shared" si="1"/>
        <v>66099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 t="shared" ref="B3:B14" si="0">C3-E3</f>
        <v>-68972</v>
      </c>
      <c r="C3" s="3">
        <v>0</v>
      </c>
      <c r="D3" s="3">
        <v>0</v>
      </c>
      <c r="E3" s="3">
        <v>68972</v>
      </c>
      <c r="F3" s="3">
        <v>22151</v>
      </c>
    </row>
    <row r="4" spans="1:6" x14ac:dyDescent="0.3">
      <c r="A4" s="2" t="s">
        <v>27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30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-42950</v>
      </c>
      <c r="C7" s="3">
        <v>0</v>
      </c>
      <c r="D7" s="3">
        <v>0</v>
      </c>
      <c r="E7" s="3">
        <v>42950</v>
      </c>
      <c r="F7" s="3">
        <v>16800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-4836</v>
      </c>
      <c r="C9" s="3">
        <v>0</v>
      </c>
      <c r="D9" s="3">
        <v>0</v>
      </c>
      <c r="E9" s="3">
        <v>4836</v>
      </c>
      <c r="F9" s="3">
        <v>1900</v>
      </c>
    </row>
    <row r="10" spans="1:6" x14ac:dyDescent="0.3">
      <c r="A10" s="2" t="s">
        <v>12</v>
      </c>
      <c r="B10" s="3">
        <f t="shared" si="0"/>
        <v>-39583</v>
      </c>
      <c r="C10" s="3">
        <v>0</v>
      </c>
      <c r="D10" s="3">
        <v>0</v>
      </c>
      <c r="E10" s="3">
        <v>39583</v>
      </c>
      <c r="F10" s="3">
        <v>10046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-31374</v>
      </c>
      <c r="C12" s="3">
        <v>0</v>
      </c>
      <c r="D12" s="3">
        <v>0</v>
      </c>
      <c r="E12" s="3">
        <v>31374</v>
      </c>
      <c r="F12" s="3">
        <v>12550</v>
      </c>
    </row>
    <row r="13" spans="1:6" x14ac:dyDescent="0.3">
      <c r="A13" s="2" t="s">
        <v>15</v>
      </c>
      <c r="B13" s="3">
        <f t="shared" si="0"/>
        <v>-25554</v>
      </c>
      <c r="C13" s="3">
        <v>0</v>
      </c>
      <c r="D13" s="3">
        <v>0</v>
      </c>
      <c r="E13" s="3">
        <v>25554</v>
      </c>
      <c r="F13" s="3">
        <v>4600</v>
      </c>
    </row>
    <row r="14" spans="1:6" x14ac:dyDescent="0.3">
      <c r="A14" s="2" t="s">
        <v>16</v>
      </c>
      <c r="B14" s="3">
        <f t="shared" si="0"/>
        <v>-19414</v>
      </c>
      <c r="C14" s="3">
        <v>0</v>
      </c>
      <c r="D14" s="3">
        <v>0</v>
      </c>
      <c r="E14" s="3">
        <v>19414</v>
      </c>
      <c r="F14" s="3">
        <v>7500</v>
      </c>
    </row>
    <row r="15" spans="1:6" ht="17.25" thickBot="1" x14ac:dyDescent="0.35">
      <c r="A15" s="4" t="s">
        <v>23</v>
      </c>
      <c r="B15" s="5">
        <f>SUM(B3:B14)</f>
        <v>-232683</v>
      </c>
      <c r="C15" s="5">
        <f t="shared" ref="C15:F15" si="1">SUM(C3:C14)</f>
        <v>0</v>
      </c>
      <c r="D15" s="5">
        <f t="shared" si="1"/>
        <v>0</v>
      </c>
      <c r="E15" s="5">
        <f t="shared" si="1"/>
        <v>232683</v>
      </c>
      <c r="F15" s="5">
        <f t="shared" si="1"/>
        <v>75547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20</v>
      </c>
      <c r="C2" s="1" t="s">
        <v>1</v>
      </c>
      <c r="D2" s="1" t="s">
        <v>2</v>
      </c>
      <c r="E2" s="1" t="s">
        <v>31</v>
      </c>
      <c r="F2" s="1" t="s">
        <v>4</v>
      </c>
    </row>
    <row r="3" spans="1:6" x14ac:dyDescent="0.3">
      <c r="A3" s="2" t="s">
        <v>5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si="0"/>
        <v>-83077</v>
      </c>
      <c r="C4" s="3">
        <v>0</v>
      </c>
      <c r="D4" s="3">
        <v>0</v>
      </c>
      <c r="E4" s="3">
        <v>83077</v>
      </c>
      <c r="F4" s="3">
        <v>33250</v>
      </c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-88143</v>
      </c>
      <c r="C9" s="3">
        <v>0</v>
      </c>
      <c r="D9" s="3">
        <v>0</v>
      </c>
      <c r="E9" s="3">
        <v>88143</v>
      </c>
      <c r="F9" s="3">
        <v>35000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-171220</v>
      </c>
      <c r="C15" s="5">
        <f t="shared" ref="C15:F15" si="1">SUM(C3:C14)</f>
        <v>0</v>
      </c>
      <c r="D15" s="5">
        <f t="shared" si="1"/>
        <v>0</v>
      </c>
      <c r="E15" s="5">
        <f t="shared" si="1"/>
        <v>171220</v>
      </c>
      <c r="F15" s="5">
        <f t="shared" si="1"/>
        <v>68250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-41633</v>
      </c>
      <c r="C3" s="3">
        <v>0</v>
      </c>
      <c r="D3" s="3">
        <v>0</v>
      </c>
      <c r="E3" s="3">
        <v>41633</v>
      </c>
      <c r="F3" s="3">
        <v>15410</v>
      </c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-96893</v>
      </c>
      <c r="C6" s="3">
        <v>0</v>
      </c>
      <c r="D6" s="3">
        <v>0</v>
      </c>
      <c r="E6" s="3">
        <v>96893</v>
      </c>
      <c r="F6" s="3">
        <v>35000</v>
      </c>
    </row>
    <row r="7" spans="1:6" x14ac:dyDescent="0.3">
      <c r="A7" s="2" t="s">
        <v>9</v>
      </c>
      <c r="B7" s="3">
        <f t="shared" si="0"/>
        <v>-12125</v>
      </c>
      <c r="C7" s="3">
        <v>0</v>
      </c>
      <c r="D7" s="3">
        <v>0</v>
      </c>
      <c r="E7" s="3">
        <v>12125</v>
      </c>
      <c r="F7" s="3">
        <v>3040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-14675</v>
      </c>
      <c r="C10" s="3">
        <v>0</v>
      </c>
      <c r="D10" s="3">
        <v>0</v>
      </c>
      <c r="E10" s="3">
        <v>14675</v>
      </c>
      <c r="F10" s="3">
        <v>6080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445</v>
      </c>
      <c r="C13" s="3">
        <v>445</v>
      </c>
      <c r="D13" s="3">
        <v>200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-127024</v>
      </c>
      <c r="C14" s="3">
        <v>0</v>
      </c>
      <c r="D14" s="3">
        <v>0</v>
      </c>
      <c r="E14" s="3">
        <v>127024</v>
      </c>
      <c r="F14" s="3">
        <v>41670</v>
      </c>
    </row>
    <row r="15" spans="1:6" ht="17.25" thickBot="1" x14ac:dyDescent="0.35">
      <c r="A15" s="4" t="s">
        <v>17</v>
      </c>
      <c r="B15" s="5">
        <f>SUM(B3:B14)</f>
        <v>-291905</v>
      </c>
      <c r="C15" s="5">
        <f t="shared" ref="C15" si="1">SUM(C3:C14)</f>
        <v>445</v>
      </c>
      <c r="D15" s="5">
        <f t="shared" ref="D15:F15" si="2">SUM(D3:D14)</f>
        <v>200</v>
      </c>
      <c r="E15" s="5">
        <f t="shared" si="2"/>
        <v>292350</v>
      </c>
      <c r="F15" s="5">
        <f t="shared" si="2"/>
        <v>101200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-24498</v>
      </c>
      <c r="C7" s="3">
        <v>0</v>
      </c>
      <c r="D7" s="3">
        <v>0</v>
      </c>
      <c r="E7" s="3">
        <v>24498</v>
      </c>
      <c r="F7" s="3">
        <v>6080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-14331</v>
      </c>
      <c r="C9" s="3">
        <v>0</v>
      </c>
      <c r="D9" s="3">
        <v>0</v>
      </c>
      <c r="E9" s="3">
        <v>14331</v>
      </c>
      <c r="F9" s="3">
        <v>6080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-103735</v>
      </c>
      <c r="C11" s="3">
        <v>0</v>
      </c>
      <c r="D11" s="3">
        <v>0</v>
      </c>
      <c r="E11" s="3">
        <v>103735</v>
      </c>
      <c r="F11" s="3">
        <v>35200</v>
      </c>
    </row>
    <row r="12" spans="1:6" x14ac:dyDescent="0.3">
      <c r="A12" s="2" t="s">
        <v>14</v>
      </c>
      <c r="B12" s="3">
        <f t="shared" si="0"/>
        <v>-25177</v>
      </c>
      <c r="C12" s="3">
        <v>0</v>
      </c>
      <c r="D12" s="3">
        <v>0</v>
      </c>
      <c r="E12" s="3">
        <v>25177</v>
      </c>
      <c r="F12" s="3">
        <v>4500</v>
      </c>
    </row>
    <row r="13" spans="1:6" x14ac:dyDescent="0.3">
      <c r="A13" s="2" t="s">
        <v>15</v>
      </c>
      <c r="B13" s="3">
        <f t="shared" si="0"/>
        <v>-21913</v>
      </c>
      <c r="C13" s="3">
        <v>0</v>
      </c>
      <c r="D13" s="3">
        <v>0</v>
      </c>
      <c r="E13" s="3">
        <v>21913</v>
      </c>
      <c r="F13" s="3">
        <v>3700</v>
      </c>
    </row>
    <row r="14" spans="1:6" x14ac:dyDescent="0.3">
      <c r="A14" s="2" t="s">
        <v>16</v>
      </c>
      <c r="B14" s="3">
        <f t="shared" si="0"/>
        <v>-27</v>
      </c>
      <c r="C14" s="3">
        <v>0</v>
      </c>
      <c r="D14" s="3">
        <v>0</v>
      </c>
      <c r="E14" s="3">
        <v>27</v>
      </c>
      <c r="F14" s="3">
        <v>1</v>
      </c>
    </row>
    <row r="15" spans="1:6" ht="17.25" thickBot="1" x14ac:dyDescent="0.35">
      <c r="A15" s="4" t="s">
        <v>17</v>
      </c>
      <c r="B15" s="5">
        <f>SUM(B3:B14)</f>
        <v>-189681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189681</v>
      </c>
      <c r="F15" s="5">
        <f t="shared" si="2"/>
        <v>55561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77476</v>
      </c>
      <c r="C3" s="3">
        <v>77476</v>
      </c>
      <c r="D3" s="3">
        <v>27550</v>
      </c>
      <c r="E3" s="3">
        <v>0</v>
      </c>
      <c r="F3" s="3">
        <v>0</v>
      </c>
    </row>
    <row r="4" spans="1:6" x14ac:dyDescent="0.3">
      <c r="A4" s="2" t="s">
        <v>6</v>
      </c>
      <c r="B4" s="3">
        <f t="shared" ref="B4:B14" si="0">C4-E4</f>
        <v>-72351</v>
      </c>
      <c r="C4" s="3">
        <v>0</v>
      </c>
      <c r="D4" s="3">
        <v>0</v>
      </c>
      <c r="E4" s="3">
        <v>72351</v>
      </c>
      <c r="F4" s="3">
        <v>35430</v>
      </c>
    </row>
    <row r="5" spans="1:6" x14ac:dyDescent="0.3">
      <c r="A5" s="2" t="s">
        <v>7</v>
      </c>
      <c r="B5" s="3">
        <f t="shared" si="0"/>
        <v>-63671</v>
      </c>
      <c r="C5" s="3">
        <v>0</v>
      </c>
      <c r="D5" s="3">
        <v>0</v>
      </c>
      <c r="E5" s="3">
        <v>63671</v>
      </c>
      <c r="F5" s="3">
        <v>65640</v>
      </c>
    </row>
    <row r="6" spans="1:6" x14ac:dyDescent="0.3">
      <c r="A6" s="2" t="s">
        <v>8</v>
      </c>
      <c r="B6" s="3">
        <f t="shared" si="0"/>
        <v>-44813</v>
      </c>
      <c r="C6" s="3">
        <v>0</v>
      </c>
      <c r="D6" s="3">
        <v>0</v>
      </c>
      <c r="E6" s="3">
        <v>44813</v>
      </c>
      <c r="F6" s="3">
        <v>43720</v>
      </c>
    </row>
    <row r="7" spans="1:6" x14ac:dyDescent="0.3">
      <c r="A7" s="2" t="s">
        <v>9</v>
      </c>
      <c r="B7" s="3">
        <f t="shared" si="0"/>
        <v>-22529</v>
      </c>
      <c r="C7" s="3">
        <v>0</v>
      </c>
      <c r="D7" s="3">
        <v>0</v>
      </c>
      <c r="E7" s="3">
        <v>22529</v>
      </c>
      <c r="F7" s="3">
        <v>21980</v>
      </c>
    </row>
    <row r="8" spans="1:6" x14ac:dyDescent="0.3">
      <c r="A8" s="2" t="s">
        <v>10</v>
      </c>
      <c r="B8" s="3">
        <f t="shared" si="0"/>
        <v>-111168</v>
      </c>
      <c r="C8" s="3">
        <v>0</v>
      </c>
      <c r="D8" s="3">
        <v>0</v>
      </c>
      <c r="E8" s="3">
        <v>111168</v>
      </c>
      <c r="F8" s="3">
        <v>108440</v>
      </c>
    </row>
    <row r="9" spans="1:6" x14ac:dyDescent="0.3">
      <c r="A9" s="2" t="s">
        <v>11</v>
      </c>
      <c r="B9" s="3">
        <f t="shared" si="0"/>
        <v>-255831</v>
      </c>
      <c r="C9" s="3">
        <v>0</v>
      </c>
      <c r="D9" s="3">
        <v>0</v>
      </c>
      <c r="E9" s="3">
        <v>255831</v>
      </c>
      <c r="F9" s="3">
        <v>199425</v>
      </c>
    </row>
    <row r="10" spans="1:6" x14ac:dyDescent="0.3">
      <c r="A10" s="2" t="s">
        <v>12</v>
      </c>
      <c r="B10" s="3">
        <f t="shared" si="0"/>
        <v>-175618</v>
      </c>
      <c r="C10" s="3">
        <v>0</v>
      </c>
      <c r="D10" s="3">
        <v>0</v>
      </c>
      <c r="E10" s="3">
        <v>175618</v>
      </c>
      <c r="F10" s="3">
        <v>174720</v>
      </c>
    </row>
    <row r="11" spans="1:6" x14ac:dyDescent="0.3">
      <c r="A11" s="2" t="s">
        <v>13</v>
      </c>
      <c r="B11" s="3">
        <f t="shared" si="0"/>
        <v>-65759</v>
      </c>
      <c r="C11" s="3">
        <v>0</v>
      </c>
      <c r="D11" s="3">
        <v>0</v>
      </c>
      <c r="E11" s="3">
        <v>65759</v>
      </c>
      <c r="F11" s="3">
        <v>65420</v>
      </c>
    </row>
    <row r="12" spans="1:6" x14ac:dyDescent="0.3">
      <c r="A12" s="2" t="s">
        <v>14</v>
      </c>
      <c r="B12" s="3">
        <f t="shared" si="0"/>
        <v>-65678</v>
      </c>
      <c r="C12" s="3">
        <v>0</v>
      </c>
      <c r="D12" s="3">
        <v>0</v>
      </c>
      <c r="E12" s="3">
        <v>65678</v>
      </c>
      <c r="F12" s="3">
        <v>65340</v>
      </c>
    </row>
    <row r="13" spans="1:6" x14ac:dyDescent="0.3">
      <c r="A13" s="2" t="s">
        <v>15</v>
      </c>
      <c r="B13" s="3">
        <f t="shared" si="0"/>
        <v>-219062</v>
      </c>
      <c r="C13" s="3">
        <v>0</v>
      </c>
      <c r="D13" s="3">
        <v>0</v>
      </c>
      <c r="E13" s="3">
        <v>219062</v>
      </c>
      <c r="F13" s="3">
        <v>217960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-1019004</v>
      </c>
      <c r="C15" s="5">
        <f t="shared" ref="C15" si="1">SUM(C3:C14)</f>
        <v>77476</v>
      </c>
      <c r="D15" s="5">
        <f t="shared" ref="D15:F15" si="2">SUM(D3:D14)</f>
        <v>27550</v>
      </c>
      <c r="E15" s="5">
        <f t="shared" si="2"/>
        <v>1096480</v>
      </c>
      <c r="F15" s="5">
        <f t="shared" si="2"/>
        <v>998075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-240318</v>
      </c>
      <c r="C3" s="3">
        <v>0</v>
      </c>
      <c r="D3" s="3">
        <v>0</v>
      </c>
      <c r="E3" s="3">
        <v>240318</v>
      </c>
      <c r="F3" s="3">
        <v>195400</v>
      </c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-175291</v>
      </c>
      <c r="C5" s="3">
        <v>0</v>
      </c>
      <c r="D5" s="3">
        <v>0</v>
      </c>
      <c r="E5" s="3">
        <v>175291</v>
      </c>
      <c r="F5" s="3">
        <v>174400</v>
      </c>
    </row>
    <row r="6" spans="1:6" x14ac:dyDescent="0.3">
      <c r="A6" s="2" t="s">
        <v>8</v>
      </c>
      <c r="B6" s="3">
        <f t="shared" si="0"/>
        <v>-174999</v>
      </c>
      <c r="C6" s="3">
        <v>0</v>
      </c>
      <c r="D6" s="3">
        <v>0</v>
      </c>
      <c r="E6" s="3">
        <v>174999</v>
      </c>
      <c r="F6" s="3">
        <v>174100</v>
      </c>
    </row>
    <row r="7" spans="1:6" x14ac:dyDescent="0.3">
      <c r="A7" s="2" t="s">
        <v>9</v>
      </c>
      <c r="B7" s="3">
        <f t="shared" si="0"/>
        <v>-51585</v>
      </c>
      <c r="C7" s="3">
        <v>0</v>
      </c>
      <c r="D7" s="3">
        <v>0</v>
      </c>
      <c r="E7" s="3">
        <v>51585</v>
      </c>
      <c r="F7" s="3">
        <v>17940</v>
      </c>
    </row>
    <row r="8" spans="1:6" x14ac:dyDescent="0.3">
      <c r="A8" s="2" t="s">
        <v>10</v>
      </c>
      <c r="B8" s="3">
        <f t="shared" si="0"/>
        <v>-46599</v>
      </c>
      <c r="C8" s="3">
        <v>0</v>
      </c>
      <c r="D8" s="3">
        <v>0</v>
      </c>
      <c r="E8" s="3">
        <v>46599</v>
      </c>
      <c r="F8" s="3">
        <v>43540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-69957</v>
      </c>
      <c r="C12" s="3">
        <v>0</v>
      </c>
      <c r="D12" s="3">
        <v>0</v>
      </c>
      <c r="E12" s="3">
        <v>69957</v>
      </c>
      <c r="F12" s="3">
        <v>65380</v>
      </c>
    </row>
    <row r="13" spans="1:6" x14ac:dyDescent="0.3">
      <c r="A13" s="2" t="s">
        <v>15</v>
      </c>
      <c r="B13" s="3">
        <f t="shared" si="0"/>
        <v>-70064</v>
      </c>
      <c r="C13" s="3">
        <v>0</v>
      </c>
      <c r="D13" s="3">
        <v>0</v>
      </c>
      <c r="E13" s="3">
        <v>70064</v>
      </c>
      <c r="F13" s="3">
        <v>65480</v>
      </c>
    </row>
    <row r="14" spans="1:6" x14ac:dyDescent="0.3">
      <c r="A14" s="2" t="s">
        <v>16</v>
      </c>
      <c r="B14" s="3">
        <f t="shared" si="0"/>
        <v>-128290</v>
      </c>
      <c r="C14" s="3">
        <v>0</v>
      </c>
      <c r="D14" s="3">
        <v>0</v>
      </c>
      <c r="E14" s="3">
        <v>128290</v>
      </c>
      <c r="F14" s="3">
        <v>108720</v>
      </c>
    </row>
    <row r="15" spans="1:6" ht="17.25" thickBot="1" x14ac:dyDescent="0.35">
      <c r="A15" s="4" t="s">
        <v>17</v>
      </c>
      <c r="B15" s="5">
        <f>SUM(B3:B14)</f>
        <v>-957103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957103</v>
      </c>
      <c r="F15" s="5">
        <f t="shared" si="2"/>
        <v>844960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-138301</v>
      </c>
      <c r="C3" s="3">
        <v>630</v>
      </c>
      <c r="D3" s="3">
        <v>300</v>
      </c>
      <c r="E3" s="3">
        <v>138931</v>
      </c>
      <c r="F3" s="3">
        <v>108540</v>
      </c>
    </row>
    <row r="4" spans="1:6" x14ac:dyDescent="0.3">
      <c r="A4" s="2" t="s">
        <v>6</v>
      </c>
      <c r="B4" s="3">
        <f t="shared" ref="B4:B14" si="0">C4-E4</f>
        <v>-55680</v>
      </c>
      <c r="C4" s="3">
        <v>0</v>
      </c>
      <c r="D4" s="3">
        <v>0</v>
      </c>
      <c r="E4" s="3">
        <v>55680</v>
      </c>
      <c r="F4" s="3">
        <v>43500</v>
      </c>
    </row>
    <row r="5" spans="1:6" x14ac:dyDescent="0.3">
      <c r="A5" s="2" t="s">
        <v>7</v>
      </c>
      <c r="B5" s="3">
        <f t="shared" si="0"/>
        <v>-222567</v>
      </c>
      <c r="C5" s="3">
        <v>0</v>
      </c>
      <c r="D5" s="3">
        <v>0</v>
      </c>
      <c r="E5" s="3">
        <v>222567</v>
      </c>
      <c r="F5" s="3">
        <v>173880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-141258</v>
      </c>
      <c r="C7" s="3">
        <v>0</v>
      </c>
      <c r="D7" s="3">
        <v>0</v>
      </c>
      <c r="E7" s="3">
        <v>141258</v>
      </c>
      <c r="F7" s="3">
        <v>108660</v>
      </c>
    </row>
    <row r="8" spans="1:6" x14ac:dyDescent="0.3">
      <c r="A8" s="2" t="s">
        <v>10</v>
      </c>
      <c r="B8" s="3">
        <f t="shared" si="0"/>
        <v>390</v>
      </c>
      <c r="C8" s="3">
        <v>390</v>
      </c>
      <c r="D8" s="3">
        <v>200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-30899</v>
      </c>
      <c r="C9" s="3">
        <v>0</v>
      </c>
      <c r="D9" s="3">
        <v>0</v>
      </c>
      <c r="E9" s="3">
        <v>30899</v>
      </c>
      <c r="F9" s="3">
        <v>21760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-124193</v>
      </c>
      <c r="C11" s="3">
        <v>0</v>
      </c>
      <c r="D11" s="3">
        <v>0</v>
      </c>
      <c r="E11" s="3">
        <v>124193</v>
      </c>
      <c r="F11" s="3">
        <v>87460</v>
      </c>
    </row>
    <row r="12" spans="1:6" x14ac:dyDescent="0.3">
      <c r="A12" s="2" t="s">
        <v>14</v>
      </c>
      <c r="B12" s="3">
        <f t="shared" si="0"/>
        <v>-122111</v>
      </c>
      <c r="C12" s="3">
        <v>0</v>
      </c>
      <c r="D12" s="3">
        <v>0</v>
      </c>
      <c r="E12" s="3">
        <v>122111</v>
      </c>
      <c r="F12" s="3">
        <v>65300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-834619</v>
      </c>
      <c r="C15" s="5">
        <f t="shared" ref="C15" si="1">SUM(C3:C14)</f>
        <v>1020</v>
      </c>
      <c r="D15" s="5">
        <f t="shared" ref="D15:F15" si="2">SUM(D3:D14)</f>
        <v>500</v>
      </c>
      <c r="E15" s="5">
        <f t="shared" si="2"/>
        <v>835639</v>
      </c>
      <c r="F15" s="5">
        <f t="shared" si="2"/>
        <v>609100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-122036</v>
      </c>
      <c r="C3" s="3">
        <v>0</v>
      </c>
      <c r="D3" s="3">
        <v>0</v>
      </c>
      <c r="E3" s="3">
        <v>122036</v>
      </c>
      <c r="F3" s="3">
        <v>65260</v>
      </c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-167910</v>
      </c>
      <c r="C5" s="3">
        <v>0</v>
      </c>
      <c r="D5" s="3">
        <v>0</v>
      </c>
      <c r="E5" s="3">
        <v>167910</v>
      </c>
      <c r="F5" s="3">
        <v>87000</v>
      </c>
    </row>
    <row r="6" spans="1:6" x14ac:dyDescent="0.3">
      <c r="A6" s="2" t="s">
        <v>8</v>
      </c>
      <c r="B6" s="3">
        <f t="shared" si="0"/>
        <v>-1635044</v>
      </c>
      <c r="C6" s="3">
        <v>0</v>
      </c>
      <c r="D6" s="3">
        <v>0</v>
      </c>
      <c r="E6" s="3">
        <v>1635044</v>
      </c>
      <c r="F6" s="3">
        <v>1047600</v>
      </c>
    </row>
    <row r="7" spans="1:6" x14ac:dyDescent="0.3">
      <c r="A7" s="2" t="s">
        <v>9</v>
      </c>
      <c r="B7" s="3">
        <f t="shared" si="0"/>
        <v>-814131</v>
      </c>
      <c r="C7" s="3">
        <v>104</v>
      </c>
      <c r="D7" s="3">
        <v>50</v>
      </c>
      <c r="E7" s="3">
        <v>814235</v>
      </c>
      <c r="F7" s="3">
        <v>500640</v>
      </c>
    </row>
    <row r="8" spans="1:6" x14ac:dyDescent="0.3">
      <c r="A8" s="2" t="s">
        <v>10</v>
      </c>
      <c r="B8" s="3">
        <f t="shared" si="0"/>
        <v>-722098</v>
      </c>
      <c r="C8" s="3">
        <v>0</v>
      </c>
      <c r="D8" s="3">
        <v>0</v>
      </c>
      <c r="E8" s="3">
        <v>722098</v>
      </c>
      <c r="F8" s="3">
        <v>479920</v>
      </c>
    </row>
    <row r="9" spans="1:6" x14ac:dyDescent="0.3">
      <c r="A9" s="2" t="s">
        <v>11</v>
      </c>
      <c r="B9" s="3">
        <f t="shared" si="0"/>
        <v>-1647884</v>
      </c>
      <c r="C9" s="3">
        <v>0</v>
      </c>
      <c r="D9" s="3">
        <v>0</v>
      </c>
      <c r="E9" s="3">
        <v>1647884</v>
      </c>
      <c r="F9" s="3">
        <v>1108800</v>
      </c>
    </row>
    <row r="10" spans="1:6" x14ac:dyDescent="0.3">
      <c r="A10" s="2" t="s">
        <v>12</v>
      </c>
      <c r="B10" s="3">
        <f t="shared" si="0"/>
        <v>-461668</v>
      </c>
      <c r="C10" s="3">
        <v>0</v>
      </c>
      <c r="D10" s="3">
        <v>0</v>
      </c>
      <c r="E10" s="3">
        <v>461668</v>
      </c>
      <c r="F10" s="3">
        <v>262200</v>
      </c>
    </row>
    <row r="11" spans="1:6" x14ac:dyDescent="0.3">
      <c r="A11" s="2" t="s">
        <v>13</v>
      </c>
      <c r="B11" s="3">
        <f t="shared" si="0"/>
        <v>-1977695</v>
      </c>
      <c r="C11" s="3">
        <v>204</v>
      </c>
      <c r="D11" s="3">
        <v>100</v>
      </c>
      <c r="E11" s="3">
        <v>1977899</v>
      </c>
      <c r="F11" s="3">
        <v>1092260</v>
      </c>
    </row>
    <row r="12" spans="1:6" x14ac:dyDescent="0.3">
      <c r="A12" s="2" t="s">
        <v>14</v>
      </c>
      <c r="B12" s="3">
        <f t="shared" si="0"/>
        <v>-1466244</v>
      </c>
      <c r="C12" s="3">
        <v>0</v>
      </c>
      <c r="D12" s="3">
        <v>0</v>
      </c>
      <c r="E12" s="3">
        <v>1466244</v>
      </c>
      <c r="F12" s="3">
        <v>832760</v>
      </c>
    </row>
    <row r="13" spans="1:6" x14ac:dyDescent="0.3">
      <c r="A13" s="2" t="s">
        <v>15</v>
      </c>
      <c r="B13" s="3">
        <f t="shared" si="0"/>
        <v>-1618028</v>
      </c>
      <c r="C13" s="3">
        <v>0</v>
      </c>
      <c r="D13" s="3">
        <v>0</v>
      </c>
      <c r="E13" s="3">
        <v>1618028</v>
      </c>
      <c r="F13" s="3">
        <v>811120</v>
      </c>
    </row>
    <row r="14" spans="1:6" x14ac:dyDescent="0.3">
      <c r="A14" s="2" t="s">
        <v>16</v>
      </c>
      <c r="B14" s="3">
        <f t="shared" si="0"/>
        <v>-1045623</v>
      </c>
      <c r="C14" s="3">
        <v>0</v>
      </c>
      <c r="D14" s="3">
        <v>0</v>
      </c>
      <c r="E14" s="3">
        <v>1045623</v>
      </c>
      <c r="F14" s="3">
        <v>593840</v>
      </c>
    </row>
    <row r="15" spans="1:6" ht="17.25" thickBot="1" x14ac:dyDescent="0.35">
      <c r="A15" s="4" t="s">
        <v>17</v>
      </c>
      <c r="B15" s="5">
        <f>SUM(B3:B14)</f>
        <v>-11678361</v>
      </c>
      <c r="C15" s="5">
        <f t="shared" ref="C15" si="1">SUM(C3:C14)</f>
        <v>308</v>
      </c>
      <c r="D15" s="5">
        <f t="shared" ref="D15:F15" si="2">SUM(D3:D14)</f>
        <v>150</v>
      </c>
      <c r="E15" s="5">
        <f t="shared" si="2"/>
        <v>11678669</v>
      </c>
      <c r="F15" s="5">
        <f t="shared" si="2"/>
        <v>6881400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-395499</v>
      </c>
      <c r="C4" s="3">
        <v>0</v>
      </c>
      <c r="D4" s="3">
        <v>0</v>
      </c>
      <c r="E4" s="3">
        <v>395499</v>
      </c>
      <c r="F4" s="3">
        <v>152400</v>
      </c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-251609</v>
      </c>
      <c r="C6" s="3">
        <v>0</v>
      </c>
      <c r="D6" s="3">
        <v>0</v>
      </c>
      <c r="E6" s="3">
        <v>251609</v>
      </c>
      <c r="F6" s="3">
        <v>154440</v>
      </c>
    </row>
    <row r="7" spans="1:6" x14ac:dyDescent="0.3">
      <c r="A7" s="2" t="s">
        <v>9</v>
      </c>
      <c r="B7" s="3">
        <f t="shared" si="0"/>
        <v>-1751430</v>
      </c>
      <c r="C7" s="3">
        <v>0</v>
      </c>
      <c r="D7" s="3">
        <v>0</v>
      </c>
      <c r="E7" s="3">
        <v>1751430</v>
      </c>
      <c r="F7" s="3">
        <v>1148080</v>
      </c>
    </row>
    <row r="8" spans="1:6" x14ac:dyDescent="0.3">
      <c r="A8" s="2" t="s">
        <v>10</v>
      </c>
      <c r="B8" s="3">
        <f t="shared" si="0"/>
        <v>-2856123</v>
      </c>
      <c r="C8" s="3">
        <v>0</v>
      </c>
      <c r="D8" s="3">
        <v>0</v>
      </c>
      <c r="E8" s="3">
        <v>2856123</v>
      </c>
      <c r="F8" s="3">
        <v>2031600</v>
      </c>
    </row>
    <row r="9" spans="1:6" x14ac:dyDescent="0.3">
      <c r="A9" s="2" t="s">
        <v>11</v>
      </c>
      <c r="B9" s="3">
        <f t="shared" si="0"/>
        <v>-965921</v>
      </c>
      <c r="C9" s="3">
        <v>0</v>
      </c>
      <c r="D9" s="3">
        <v>0</v>
      </c>
      <c r="E9" s="3">
        <v>965921</v>
      </c>
      <c r="F9" s="3">
        <v>684820</v>
      </c>
    </row>
    <row r="10" spans="1:6" x14ac:dyDescent="0.3">
      <c r="A10" s="2" t="s">
        <v>12</v>
      </c>
      <c r="B10" s="3">
        <f t="shared" si="0"/>
        <v>-1715577</v>
      </c>
      <c r="C10" s="3">
        <v>0</v>
      </c>
      <c r="D10" s="3">
        <v>0</v>
      </c>
      <c r="E10" s="3">
        <v>1715577</v>
      </c>
      <c r="F10" s="3">
        <v>1299780</v>
      </c>
    </row>
    <row r="11" spans="1:6" x14ac:dyDescent="0.3">
      <c r="A11" s="2" t="s">
        <v>13</v>
      </c>
      <c r="B11" s="3">
        <f t="shared" si="0"/>
        <v>-3665561</v>
      </c>
      <c r="C11" s="3">
        <v>0</v>
      </c>
      <c r="D11" s="3">
        <v>0</v>
      </c>
      <c r="E11" s="3">
        <v>3665561</v>
      </c>
      <c r="F11" s="3">
        <v>3094190</v>
      </c>
    </row>
    <row r="12" spans="1:6" x14ac:dyDescent="0.3">
      <c r="A12" s="2" t="s">
        <v>14</v>
      </c>
      <c r="B12" s="3">
        <f t="shared" si="0"/>
        <v>-716214</v>
      </c>
      <c r="C12" s="3">
        <v>0</v>
      </c>
      <c r="D12" s="3">
        <v>0</v>
      </c>
      <c r="E12" s="3">
        <v>716214</v>
      </c>
      <c r="F12" s="3">
        <v>486400</v>
      </c>
    </row>
    <row r="13" spans="1:6" x14ac:dyDescent="0.3">
      <c r="A13" s="2" t="s">
        <v>15</v>
      </c>
      <c r="B13" s="3">
        <f t="shared" si="0"/>
        <v>-1464190</v>
      </c>
      <c r="C13" s="3">
        <v>0</v>
      </c>
      <c r="D13" s="3">
        <v>0</v>
      </c>
      <c r="E13" s="3">
        <v>1464190</v>
      </c>
      <c r="F13" s="3">
        <v>994360</v>
      </c>
    </row>
    <row r="14" spans="1:6" x14ac:dyDescent="0.3">
      <c r="A14" s="2" t="s">
        <v>16</v>
      </c>
      <c r="B14" s="3">
        <f t="shared" si="0"/>
        <v>-716236</v>
      </c>
      <c r="C14" s="3">
        <v>0</v>
      </c>
      <c r="D14" s="3">
        <v>0</v>
      </c>
      <c r="E14" s="3">
        <v>716236</v>
      </c>
      <c r="F14" s="3">
        <v>486400</v>
      </c>
    </row>
    <row r="15" spans="1:6" ht="17.25" thickBot="1" x14ac:dyDescent="0.35">
      <c r="A15" s="4" t="s">
        <v>17</v>
      </c>
      <c r="B15" s="5">
        <f>SUM(B3:B14)</f>
        <v>-14498360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14498360</v>
      </c>
      <c r="F15" s="5">
        <f t="shared" si="2"/>
        <v>10532470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-1838562</v>
      </c>
      <c r="C3" s="3">
        <v>0</v>
      </c>
      <c r="D3" s="3">
        <v>0</v>
      </c>
      <c r="E3" s="3">
        <v>1838562</v>
      </c>
      <c r="F3" s="3">
        <v>1437880</v>
      </c>
    </row>
    <row r="4" spans="1:6" x14ac:dyDescent="0.3">
      <c r="A4" s="2" t="s">
        <v>6</v>
      </c>
      <c r="B4" s="3">
        <f t="shared" ref="B4:B14" si="0">C4-E4</f>
        <v>-2243485</v>
      </c>
      <c r="C4" s="3">
        <v>0</v>
      </c>
      <c r="D4" s="3">
        <v>0</v>
      </c>
      <c r="E4" s="3">
        <v>2243485</v>
      </c>
      <c r="F4" s="3">
        <v>1895040</v>
      </c>
    </row>
    <row r="5" spans="1:6" x14ac:dyDescent="0.3">
      <c r="A5" s="2" t="s">
        <v>7</v>
      </c>
      <c r="B5" s="3">
        <f t="shared" si="0"/>
        <v>-2556446</v>
      </c>
      <c r="C5" s="3">
        <v>0</v>
      </c>
      <c r="D5" s="3">
        <v>0</v>
      </c>
      <c r="E5" s="3">
        <v>2556446</v>
      </c>
      <c r="F5" s="3">
        <v>2264470</v>
      </c>
    </row>
    <row r="6" spans="1:6" x14ac:dyDescent="0.3">
      <c r="A6" s="2" t="s">
        <v>8</v>
      </c>
      <c r="B6" s="3">
        <f t="shared" si="0"/>
        <v>-1940146</v>
      </c>
      <c r="C6" s="3">
        <v>0</v>
      </c>
      <c r="D6" s="3">
        <v>0</v>
      </c>
      <c r="E6" s="3">
        <v>1940146</v>
      </c>
      <c r="F6" s="3">
        <v>1763280</v>
      </c>
    </row>
    <row r="7" spans="1:6" x14ac:dyDescent="0.3">
      <c r="A7" s="2" t="s">
        <v>9</v>
      </c>
      <c r="B7" s="3">
        <f t="shared" si="0"/>
        <v>-1492676</v>
      </c>
      <c r="C7" s="3">
        <v>0</v>
      </c>
      <c r="D7" s="3">
        <v>0</v>
      </c>
      <c r="E7" s="3">
        <v>1492676</v>
      </c>
      <c r="F7" s="3">
        <v>1247496</v>
      </c>
    </row>
    <row r="8" spans="1:6" x14ac:dyDescent="0.3">
      <c r="A8" s="2" t="s">
        <v>10</v>
      </c>
      <c r="B8" s="3">
        <f t="shared" si="0"/>
        <v>-1503575</v>
      </c>
      <c r="C8" s="3">
        <v>0</v>
      </c>
      <c r="D8" s="3">
        <v>0</v>
      </c>
      <c r="E8" s="3">
        <v>1503575</v>
      </c>
      <c r="F8" s="3">
        <v>1318320</v>
      </c>
    </row>
    <row r="9" spans="1:6" x14ac:dyDescent="0.3">
      <c r="A9" s="2" t="s">
        <v>11</v>
      </c>
      <c r="B9" s="3">
        <f t="shared" si="0"/>
        <v>-404580</v>
      </c>
      <c r="C9" s="3">
        <v>0</v>
      </c>
      <c r="D9" s="3">
        <v>0</v>
      </c>
      <c r="E9" s="3">
        <v>404580</v>
      </c>
      <c r="F9" s="3">
        <v>326330</v>
      </c>
    </row>
    <row r="10" spans="1:6" x14ac:dyDescent="0.3">
      <c r="A10" s="2" t="s">
        <v>12</v>
      </c>
      <c r="B10" s="3">
        <f t="shared" si="0"/>
        <v>-714044</v>
      </c>
      <c r="C10" s="3">
        <v>0</v>
      </c>
      <c r="D10" s="3">
        <v>0</v>
      </c>
      <c r="E10" s="3">
        <v>714044</v>
      </c>
      <c r="F10" s="3">
        <v>586360</v>
      </c>
    </row>
    <row r="11" spans="1:6" x14ac:dyDescent="0.3">
      <c r="A11" s="2" t="s">
        <v>13</v>
      </c>
      <c r="B11" s="3">
        <f t="shared" si="0"/>
        <v>-560845</v>
      </c>
      <c r="C11" s="3">
        <v>0</v>
      </c>
      <c r="D11" s="3">
        <v>0</v>
      </c>
      <c r="E11" s="3">
        <v>560845</v>
      </c>
      <c r="F11" s="3">
        <v>480620</v>
      </c>
    </row>
    <row r="12" spans="1:6" x14ac:dyDescent="0.3">
      <c r="A12" s="2" t="s">
        <v>14</v>
      </c>
      <c r="B12" s="3">
        <f t="shared" si="0"/>
        <v>-1133170</v>
      </c>
      <c r="C12" s="3">
        <v>0</v>
      </c>
      <c r="D12" s="3">
        <v>0</v>
      </c>
      <c r="E12" s="3">
        <v>1133170</v>
      </c>
      <c r="F12" s="3">
        <v>1102040</v>
      </c>
    </row>
    <row r="13" spans="1:6" x14ac:dyDescent="0.3">
      <c r="A13" s="2" t="s">
        <v>15</v>
      </c>
      <c r="B13" s="3">
        <f t="shared" si="0"/>
        <v>-230963</v>
      </c>
      <c r="C13" s="3">
        <v>0</v>
      </c>
      <c r="D13" s="3">
        <v>0</v>
      </c>
      <c r="E13" s="3">
        <v>230963</v>
      </c>
      <c r="F13" s="3">
        <v>171720</v>
      </c>
    </row>
    <row r="14" spans="1:6" x14ac:dyDescent="0.3">
      <c r="A14" s="2" t="s">
        <v>16</v>
      </c>
      <c r="B14" s="3">
        <f t="shared" si="0"/>
        <v>-66982</v>
      </c>
      <c r="C14" s="3">
        <v>0</v>
      </c>
      <c r="D14" s="3">
        <v>0</v>
      </c>
      <c r="E14" s="3">
        <v>66982</v>
      </c>
      <c r="F14" s="3">
        <v>58500</v>
      </c>
    </row>
    <row r="15" spans="1:6" ht="17.25" thickBot="1" x14ac:dyDescent="0.35">
      <c r="A15" s="4" t="s">
        <v>17</v>
      </c>
      <c r="B15" s="5">
        <f>SUM(B3:B14)</f>
        <v>-14685474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14685474</v>
      </c>
      <c r="F15" s="5">
        <f t="shared" si="2"/>
        <v>12652056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-1281539</v>
      </c>
      <c r="C3" s="3">
        <v>0</v>
      </c>
      <c r="D3" s="3">
        <v>0</v>
      </c>
      <c r="E3" s="3">
        <v>1281539</v>
      </c>
      <c r="F3" s="3">
        <v>1168060</v>
      </c>
    </row>
    <row r="4" spans="1:6" x14ac:dyDescent="0.3">
      <c r="A4" s="2" t="s">
        <v>6</v>
      </c>
      <c r="B4" s="3">
        <f t="shared" ref="B4:B14" si="0">C4-E4</f>
        <v>-3164348</v>
      </c>
      <c r="C4" s="3">
        <v>0</v>
      </c>
      <c r="D4" s="3">
        <v>0</v>
      </c>
      <c r="E4" s="3">
        <v>3164348</v>
      </c>
      <c r="F4" s="3">
        <v>2710090</v>
      </c>
    </row>
    <row r="5" spans="1:6" x14ac:dyDescent="0.3">
      <c r="A5" s="2" t="s">
        <v>7</v>
      </c>
      <c r="B5" s="3">
        <f t="shared" si="0"/>
        <v>-3507279</v>
      </c>
      <c r="C5" s="3">
        <v>0</v>
      </c>
      <c r="D5" s="3">
        <v>0</v>
      </c>
      <c r="E5" s="3">
        <v>3507279</v>
      </c>
      <c r="F5" s="3">
        <v>2842230</v>
      </c>
    </row>
    <row r="6" spans="1:6" x14ac:dyDescent="0.3">
      <c r="A6" s="2" t="s">
        <v>8</v>
      </c>
      <c r="B6" s="3">
        <f t="shared" si="0"/>
        <v>-3704332</v>
      </c>
      <c r="C6" s="3">
        <v>0</v>
      </c>
      <c r="D6" s="3">
        <v>0</v>
      </c>
      <c r="E6" s="3">
        <v>3704332</v>
      </c>
      <c r="F6" s="3">
        <v>3041060</v>
      </c>
    </row>
    <row r="7" spans="1:6" x14ac:dyDescent="0.3">
      <c r="A7" s="2" t="s">
        <v>9</v>
      </c>
      <c r="B7" s="3">
        <f t="shared" si="0"/>
        <v>-933662</v>
      </c>
      <c r="C7" s="3">
        <v>0</v>
      </c>
      <c r="D7" s="3">
        <v>0</v>
      </c>
      <c r="E7" s="3">
        <v>933662</v>
      </c>
      <c r="F7" s="3">
        <v>771350</v>
      </c>
    </row>
    <row r="8" spans="1:6" x14ac:dyDescent="0.3">
      <c r="A8" s="2" t="s">
        <v>10</v>
      </c>
      <c r="B8" s="3">
        <f t="shared" si="0"/>
        <v>-588820</v>
      </c>
      <c r="C8" s="3">
        <v>0</v>
      </c>
      <c r="D8" s="3">
        <v>0</v>
      </c>
      <c r="E8" s="3">
        <v>588820</v>
      </c>
      <c r="F8" s="3">
        <v>484880</v>
      </c>
    </row>
    <row r="9" spans="1:6" x14ac:dyDescent="0.3">
      <c r="A9" s="2" t="s">
        <v>11</v>
      </c>
      <c r="B9" s="3">
        <f t="shared" si="0"/>
        <v>-2889775</v>
      </c>
      <c r="C9" s="3">
        <v>0</v>
      </c>
      <c r="D9" s="3">
        <v>0</v>
      </c>
      <c r="E9" s="3">
        <v>2889775</v>
      </c>
      <c r="F9" s="3">
        <v>2380010</v>
      </c>
    </row>
    <row r="10" spans="1:6" x14ac:dyDescent="0.3">
      <c r="A10" s="2" t="s">
        <v>12</v>
      </c>
      <c r="B10" s="3">
        <f t="shared" si="0"/>
        <v>-1281939</v>
      </c>
      <c r="C10" s="3">
        <v>0</v>
      </c>
      <c r="D10" s="3">
        <v>0</v>
      </c>
      <c r="E10" s="3">
        <v>1281939</v>
      </c>
      <c r="F10" s="3">
        <v>1057960</v>
      </c>
    </row>
    <row r="11" spans="1:6" x14ac:dyDescent="0.3">
      <c r="A11" s="2" t="s">
        <v>13</v>
      </c>
      <c r="B11" s="3">
        <f t="shared" si="0"/>
        <v>-1615469</v>
      </c>
      <c r="C11" s="3">
        <v>0</v>
      </c>
      <c r="D11" s="3">
        <v>0</v>
      </c>
      <c r="E11" s="3">
        <v>1615469</v>
      </c>
      <c r="F11" s="3">
        <v>1343760</v>
      </c>
    </row>
    <row r="12" spans="1:6" x14ac:dyDescent="0.3">
      <c r="A12" s="2" t="s">
        <v>14</v>
      </c>
      <c r="B12" s="3">
        <f t="shared" si="0"/>
        <v>-1733021</v>
      </c>
      <c r="C12" s="3">
        <v>0</v>
      </c>
      <c r="D12" s="3">
        <v>0</v>
      </c>
      <c r="E12" s="3">
        <v>1733021</v>
      </c>
      <c r="F12" s="3">
        <v>1432730</v>
      </c>
    </row>
    <row r="13" spans="1:6" x14ac:dyDescent="0.3">
      <c r="A13" s="2" t="s">
        <v>15</v>
      </c>
      <c r="B13" s="3">
        <f t="shared" si="0"/>
        <v>-759663</v>
      </c>
      <c r="C13" s="3">
        <v>0</v>
      </c>
      <c r="D13" s="3">
        <v>0</v>
      </c>
      <c r="E13" s="3">
        <v>759663</v>
      </c>
      <c r="F13" s="3">
        <v>639140</v>
      </c>
    </row>
    <row r="14" spans="1:6" x14ac:dyDescent="0.3">
      <c r="A14" s="2" t="s">
        <v>16</v>
      </c>
      <c r="B14" s="3">
        <f t="shared" si="0"/>
        <v>-639392</v>
      </c>
      <c r="C14" s="3">
        <v>0</v>
      </c>
      <c r="D14" s="3">
        <v>0</v>
      </c>
      <c r="E14" s="3">
        <v>639392</v>
      </c>
      <c r="F14" s="3">
        <v>505040</v>
      </c>
    </row>
    <row r="15" spans="1:6" ht="17.25" thickBot="1" x14ac:dyDescent="0.35">
      <c r="A15" s="4" t="s">
        <v>17</v>
      </c>
      <c r="B15" s="5">
        <f>SUM(B3:B14)</f>
        <v>-22099239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22099239</v>
      </c>
      <c r="F15" s="5">
        <f t="shared" si="2"/>
        <v>18376310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-1150444</v>
      </c>
      <c r="C3" s="3">
        <v>0</v>
      </c>
      <c r="D3" s="3">
        <v>0</v>
      </c>
      <c r="E3" s="3">
        <v>1150444</v>
      </c>
      <c r="F3" s="3">
        <v>947610</v>
      </c>
    </row>
    <row r="4" spans="1:6" x14ac:dyDescent="0.3">
      <c r="A4" s="2" t="s">
        <v>6</v>
      </c>
      <c r="B4" s="3">
        <f t="shared" ref="B4:B14" si="0">C4-E4</f>
        <v>-26836</v>
      </c>
      <c r="C4" s="3">
        <v>0</v>
      </c>
      <c r="D4" s="3">
        <v>0</v>
      </c>
      <c r="E4" s="3">
        <v>26836</v>
      </c>
      <c r="F4" s="3">
        <v>22570</v>
      </c>
    </row>
    <row r="5" spans="1:6" x14ac:dyDescent="0.3">
      <c r="A5" s="2" t="s">
        <v>7</v>
      </c>
      <c r="B5" s="3">
        <f t="shared" si="0"/>
        <v>-1245032</v>
      </c>
      <c r="C5" s="3">
        <v>0</v>
      </c>
      <c r="D5" s="3">
        <v>0</v>
      </c>
      <c r="E5" s="3">
        <v>1245032</v>
      </c>
      <c r="F5" s="3">
        <v>1013870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-773652</v>
      </c>
      <c r="C9" s="3">
        <v>0</v>
      </c>
      <c r="D9" s="3">
        <v>0</v>
      </c>
      <c r="E9" s="3">
        <v>773652</v>
      </c>
      <c r="F9" s="3">
        <v>595090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-3195964</v>
      </c>
      <c r="C15" s="5">
        <f t="shared" ref="C15:F15" si="1">SUM(C3:C14)</f>
        <v>0</v>
      </c>
      <c r="D15" s="5">
        <f t="shared" si="1"/>
        <v>0</v>
      </c>
      <c r="E15" s="5">
        <f t="shared" si="1"/>
        <v>3195964</v>
      </c>
      <c r="F15" s="5">
        <f t="shared" si="1"/>
        <v>2579140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2026-09-08T08:09:53Z</dcterms:modified>
</cp:coreProperties>
</file>