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관세청\15개년_품목별 국가별 수출입실적\대두유\1507.90\식품용(.1010)\"/>
    </mc:Choice>
  </mc:AlternateContent>
  <bookViews>
    <workbookView xWindow="0" yWindow="0" windowWidth="28800" windowHeight="11640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17" l="1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B14" i="15"/>
  <c r="B13" i="15"/>
  <c r="B12" i="15"/>
  <c r="B11" i="15"/>
  <c r="B10" i="15"/>
  <c r="B9" i="15"/>
  <c r="B8" i="15"/>
  <c r="B7" i="15"/>
  <c r="B6" i="15"/>
  <c r="B5" i="15"/>
  <c r="B4" i="15"/>
  <c r="B3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B14" i="13"/>
  <c r="B13" i="13"/>
  <c r="B12" i="13"/>
  <c r="B11" i="13"/>
  <c r="B10" i="13"/>
  <c r="B9" i="13"/>
  <c r="B8" i="13"/>
  <c r="B7" i="13"/>
  <c r="B6" i="13"/>
  <c r="B5" i="13"/>
  <c r="B4" i="13"/>
  <c r="B3" i="13"/>
  <c r="F15" i="12"/>
  <c r="E15" i="12"/>
  <c r="D15" i="12"/>
  <c r="C15" i="12"/>
  <c r="B14" i="12"/>
  <c r="B13" i="12"/>
  <c r="B12" i="12"/>
  <c r="B11" i="12"/>
  <c r="B10" i="12"/>
  <c r="B9" i="12"/>
  <c r="B8" i="12"/>
  <c r="B7" i="12"/>
  <c r="B6" i="12"/>
  <c r="B5" i="12"/>
  <c r="B4" i="12"/>
  <c r="B3" i="12"/>
  <c r="F15" i="11"/>
  <c r="E15" i="11"/>
  <c r="D15" i="11"/>
  <c r="C15" i="11"/>
  <c r="B14" i="11"/>
  <c r="B13" i="11"/>
  <c r="B12" i="11"/>
  <c r="B11" i="11"/>
  <c r="B10" i="11"/>
  <c r="B9" i="11"/>
  <c r="B8" i="11"/>
  <c r="B7" i="11"/>
  <c r="B6" i="11"/>
  <c r="B5" i="11"/>
  <c r="B4" i="11"/>
  <c r="B3" i="11"/>
  <c r="B15" i="17" l="1"/>
  <c r="B15" i="16"/>
  <c r="B15" i="15"/>
  <c r="B15" i="14"/>
  <c r="B15" i="13"/>
  <c r="B15" i="12"/>
  <c r="B15" i="1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0" l="1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F15" i="6"/>
  <c r="E15" i="6"/>
  <c r="D15" i="6"/>
  <c r="C15" i="6"/>
  <c r="B14" i="6"/>
  <c r="B13" i="6"/>
  <c r="B12" i="6"/>
  <c r="B11" i="6"/>
  <c r="B10" i="6"/>
  <c r="B9" i="6"/>
  <c r="B8" i="6"/>
  <c r="B7" i="6"/>
  <c r="B6" i="6"/>
  <c r="B5" i="6"/>
  <c r="B4" i="6"/>
  <c r="B3" i="6"/>
  <c r="F15" i="5"/>
  <c r="E15" i="5"/>
  <c r="D15" i="5"/>
  <c r="C15" i="5"/>
  <c r="B14" i="5"/>
  <c r="B13" i="5"/>
  <c r="B12" i="5"/>
  <c r="B11" i="5"/>
  <c r="B10" i="5"/>
  <c r="B9" i="5"/>
  <c r="B8" i="5"/>
  <c r="B7" i="5"/>
  <c r="B6" i="5"/>
  <c r="B5" i="5"/>
  <c r="B4" i="5"/>
  <c r="B3" i="5"/>
  <c r="F15" i="4"/>
  <c r="E15" i="4"/>
  <c r="D15" i="4"/>
  <c r="C15" i="4"/>
  <c r="B14" i="4"/>
  <c r="B13" i="4"/>
  <c r="B12" i="4"/>
  <c r="B11" i="4"/>
  <c r="B10" i="4"/>
  <c r="B9" i="4"/>
  <c r="B8" i="4"/>
  <c r="B7" i="4"/>
  <c r="B6" i="4"/>
  <c r="B5" i="4"/>
  <c r="B4" i="4"/>
  <c r="B3" i="4"/>
  <c r="F15" i="3"/>
  <c r="E15" i="3"/>
  <c r="D15" i="3"/>
  <c r="C15" i="3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B14" i="1"/>
  <c r="B13" i="1"/>
  <c r="B12" i="1"/>
  <c r="B11" i="1"/>
  <c r="B10" i="1"/>
  <c r="B9" i="1"/>
  <c r="B8" i="1"/>
  <c r="B7" i="1"/>
  <c r="B6" i="1"/>
  <c r="B5" i="1"/>
  <c r="B4" i="1"/>
  <c r="B3" i="1"/>
  <c r="F15" i="2"/>
  <c r="E15" i="2"/>
  <c r="D15" i="2"/>
  <c r="C15" i="2"/>
  <c r="F15" i="1"/>
  <c r="E15" i="1"/>
  <c r="D15" i="1"/>
  <c r="C15" i="1"/>
  <c r="B15" i="9" l="1"/>
  <c r="B15" i="6"/>
  <c r="B15" i="4"/>
  <c r="B15" i="3"/>
  <c r="B15" i="2"/>
  <c r="B15" i="8"/>
  <c r="B15" i="7"/>
  <c r="B15" i="5"/>
  <c r="B15" i="1"/>
</calcChain>
</file>

<file path=xl/sharedStrings.xml><?xml version="1.0" encoding="utf-8"?>
<sst xmlns="http://schemas.openxmlformats.org/spreadsheetml/2006/main" count="306" uniqueCount="32">
  <si>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</si>
  <si>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</si>
  <si>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</si>
  <si>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</si>
  <si>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</si>
  <si>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</si>
  <si>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</si>
  <si>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</si>
  <si>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</si>
  <si>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</si>
  <si>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</si>
  <si>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</si>
  <si>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</si>
  <si>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</si>
  <si>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</si>
  <si>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</si>
  <si>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</si>
  <si>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총계</t>
    <phoneticPr fontId="1" type="noConversion"/>
  </si>
  <si>
    <t>무역수지(달러)</t>
    <phoneticPr fontId="1" type="noConversion"/>
  </si>
  <si>
    <t>2월</t>
    <phoneticPr fontId="1" type="noConversion"/>
  </si>
  <si>
    <t>무역수지(달러)</t>
    <phoneticPr fontId="1" type="noConversion"/>
  </si>
  <si>
    <t>수출량(kg)</t>
    <phoneticPr fontId="1" type="noConversion"/>
  </si>
  <si>
    <t>수입량(kg)</t>
    <phoneticPr fontId="1" type="noConversion"/>
  </si>
  <si>
    <t>총계</t>
    <phoneticPr fontId="1" type="noConversion"/>
  </si>
  <si>
    <t>수출액(달러)</t>
    <phoneticPr fontId="1" type="noConversion"/>
  </si>
  <si>
    <t>수입액(달러)</t>
    <phoneticPr fontId="1" type="noConversion"/>
  </si>
  <si>
    <t>수입량(kg)</t>
    <phoneticPr fontId="1" type="noConversion"/>
  </si>
  <si>
    <t>2월</t>
    <phoneticPr fontId="1" type="noConversion"/>
  </si>
  <si>
    <t>수출액(달러)</t>
    <phoneticPr fontId="1" type="noConversion"/>
  </si>
  <si>
    <t>1월</t>
    <phoneticPr fontId="1" type="noConversion"/>
  </si>
  <si>
    <t>3월</t>
    <phoneticPr fontId="1" type="noConversion"/>
  </si>
  <si>
    <t>수입액(달러)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</si>
</sst>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18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7577</v>
      </c>
      <c r="C3" s="3">
        <v>7577</v>
      </c>
      <c r="D3" s="3">
        <v>3405</v>
      </c>
      <c r="E3" s="3">
        <v>0</v>
      </c>
      <c r="F3" s="3">
        <v>0</v>
      </c>
    </row>
    <row r="4" spans="1:6" x14ac:dyDescent="0.3">
      <c r="A4" s="2" t="s">
        <v>19</v>
      </c>
      <c r="B4" s="3">
        <f t="shared" ref="B4:B14" si="0">C4-E4</f>
        <v>4723</v>
      </c>
      <c r="C4" s="3">
        <v>4723</v>
      </c>
      <c r="D4" s="3">
        <v>2010</v>
      </c>
      <c r="E4" s="3">
        <v>0</v>
      </c>
      <c r="F4" s="3">
        <v>0</v>
      </c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2362</v>
      </c>
      <c r="C7" s="3">
        <v>2362</v>
      </c>
      <c r="D7" s="3">
        <v>1005</v>
      </c>
      <c r="E7" s="3">
        <v>0</v>
      </c>
      <c r="F7" s="3">
        <v>0</v>
      </c>
    </row>
    <row r="8" spans="1:6" x14ac:dyDescent="0.3">
      <c r="A8" s="2" t="s">
        <v>10</v>
      </c>
      <c r="B8" s="3">
        <f t="shared" si="0"/>
        <v>5642</v>
      </c>
      <c r="C8" s="3">
        <v>5642</v>
      </c>
      <c r="D8" s="3">
        <v>2550</v>
      </c>
      <c r="E8" s="3">
        <v>0</v>
      </c>
      <c r="F8" s="3">
        <v>0</v>
      </c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3807</v>
      </c>
      <c r="C12" s="3">
        <v>3807</v>
      </c>
      <c r="D12" s="3">
        <v>1620</v>
      </c>
      <c r="E12" s="3">
        <v>0</v>
      </c>
      <c r="F12" s="3">
        <v>0</v>
      </c>
    </row>
    <row r="13" spans="1:6" x14ac:dyDescent="0.3">
      <c r="A13" s="2" t="s">
        <v>15</v>
      </c>
      <c r="B13" s="3">
        <f t="shared" si="0"/>
        <v>1047</v>
      </c>
      <c r="C13" s="3">
        <v>1047</v>
      </c>
      <c r="D13" s="3">
        <v>610</v>
      </c>
      <c r="E13" s="3">
        <v>0</v>
      </c>
      <c r="F13" s="3">
        <v>0</v>
      </c>
    </row>
    <row r="14" spans="1:6" x14ac:dyDescent="0.3">
      <c r="A14" s="2" t="s">
        <v>16</v>
      </c>
      <c r="B14" s="3">
        <f t="shared" si="0"/>
        <v>23914</v>
      </c>
      <c r="C14" s="3">
        <v>23914</v>
      </c>
      <c r="D14" s="3">
        <v>16005</v>
      </c>
      <c r="E14" s="3">
        <v>0</v>
      </c>
      <c r="F14" s="3">
        <v>0</v>
      </c>
    </row>
    <row r="15" spans="1:6" ht="17.25" thickBot="1" x14ac:dyDescent="0.35">
      <c r="A15" s="4" t="s">
        <v>17</v>
      </c>
      <c r="B15" s="5">
        <f>SUM(B3:B14)</f>
        <v>49072</v>
      </c>
      <c r="C15" s="5">
        <f t="shared" ref="C15:F15" si="1">SUM(C3:C14)</f>
        <v>49072</v>
      </c>
      <c r="D15" s="5">
        <f t="shared" si="1"/>
        <v>27205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1" t="s">
        <v>20</v>
      </c>
      <c r="C2" s="1" t="s">
        <v>1</v>
      </c>
      <c r="D2" s="1" t="s">
        <v>21</v>
      </c>
      <c r="E2" s="1" t="s">
        <v>3</v>
      </c>
      <c r="F2" s="1" t="s">
        <v>22</v>
      </c>
    </row>
    <row r="3" spans="1:6" x14ac:dyDescent="0.3">
      <c r="A3" s="2" t="s">
        <v>5</v>
      </c>
      <c r="B3" s="3">
        <f>C3-E3</f>
        <v>3525</v>
      </c>
      <c r="C3" s="3">
        <v>3525</v>
      </c>
      <c r="D3" s="3">
        <v>1500</v>
      </c>
      <c r="E3" s="3">
        <v>0</v>
      </c>
      <c r="F3" s="3">
        <v>0</v>
      </c>
    </row>
    <row r="4" spans="1:6" x14ac:dyDescent="0.3">
      <c r="A4" s="2" t="s">
        <v>6</v>
      </c>
      <c r="B4" s="3">
        <f t="shared" ref="B4:B14" si="0">C4-E4</f>
        <v>3525</v>
      </c>
      <c r="C4" s="3">
        <v>3525</v>
      </c>
      <c r="D4" s="3">
        <v>1500</v>
      </c>
      <c r="E4" s="3">
        <v>0</v>
      </c>
      <c r="F4" s="3">
        <v>0</v>
      </c>
    </row>
    <row r="5" spans="1:6" x14ac:dyDescent="0.3">
      <c r="A5" s="2" t="s">
        <v>7</v>
      </c>
      <c r="B5" s="3">
        <f t="shared" si="0"/>
        <v>12615</v>
      </c>
      <c r="C5" s="3">
        <v>12615</v>
      </c>
      <c r="D5" s="3">
        <v>5372</v>
      </c>
      <c r="E5" s="3">
        <v>0</v>
      </c>
      <c r="F5" s="3">
        <v>0</v>
      </c>
    </row>
    <row r="6" spans="1:6" x14ac:dyDescent="0.3">
      <c r="A6" s="2" t="s">
        <v>8</v>
      </c>
      <c r="B6" s="3">
        <f t="shared" si="0"/>
        <v>3525</v>
      </c>
      <c r="C6" s="3">
        <v>3525</v>
      </c>
      <c r="D6" s="3">
        <v>1500</v>
      </c>
      <c r="E6" s="3">
        <v>0</v>
      </c>
      <c r="F6" s="3">
        <v>0</v>
      </c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3690</v>
      </c>
      <c r="C11" s="3">
        <v>3690</v>
      </c>
      <c r="D11" s="3">
        <v>1500</v>
      </c>
      <c r="E11" s="3">
        <v>0</v>
      </c>
      <c r="F11" s="3">
        <v>0</v>
      </c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3690</v>
      </c>
      <c r="C14" s="3">
        <v>3690</v>
      </c>
      <c r="D14" s="3">
        <v>1500</v>
      </c>
      <c r="E14" s="3">
        <v>0</v>
      </c>
      <c r="F14" s="3">
        <v>0</v>
      </c>
    </row>
    <row r="15" spans="1:6" ht="17.25" thickBot="1" x14ac:dyDescent="0.35">
      <c r="A15" s="4" t="s">
        <v>23</v>
      </c>
      <c r="B15" s="5">
        <f>SUM(B3:B14)</f>
        <v>30570</v>
      </c>
      <c r="C15" s="5">
        <f t="shared" ref="C15:F15" si="1">SUM(C3:C14)</f>
        <v>30570</v>
      </c>
      <c r="D15" s="5">
        <f t="shared" si="1"/>
        <v>12872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20</v>
      </c>
      <c r="C2" s="1" t="s">
        <v>24</v>
      </c>
      <c r="D2" s="1" t="s">
        <v>2</v>
      </c>
      <c r="E2" s="1" t="s">
        <v>25</v>
      </c>
      <c r="F2" s="1" t="s">
        <v>26</v>
      </c>
    </row>
    <row r="3" spans="1:6" x14ac:dyDescent="0.3">
      <c r="A3" s="2" t="s">
        <v>5</v>
      </c>
      <c r="B3" s="3">
        <f>C3-E3</f>
        <v>3100</v>
      </c>
      <c r="C3" s="3">
        <v>3100</v>
      </c>
      <c r="D3" s="3">
        <v>1260</v>
      </c>
      <c r="E3" s="3">
        <v>0</v>
      </c>
      <c r="F3" s="3">
        <v>0</v>
      </c>
    </row>
    <row r="4" spans="1:6" x14ac:dyDescent="0.3">
      <c r="A4" s="2" t="s">
        <v>27</v>
      </c>
      <c r="B4" s="3">
        <f t="shared" ref="B4:B14" si="0">C4-E4</f>
        <v>3690</v>
      </c>
      <c r="C4" s="3">
        <v>3690</v>
      </c>
      <c r="D4" s="3">
        <v>1500</v>
      </c>
      <c r="E4" s="3">
        <v>0</v>
      </c>
      <c r="F4" s="3">
        <v>0</v>
      </c>
    </row>
    <row r="5" spans="1:6" x14ac:dyDescent="0.3">
      <c r="A5" s="2" t="s">
        <v>7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1107</v>
      </c>
      <c r="C6" s="3">
        <v>1107</v>
      </c>
      <c r="D6" s="3">
        <v>450</v>
      </c>
      <c r="E6" s="3">
        <v>0</v>
      </c>
      <c r="F6" s="3">
        <v>0</v>
      </c>
    </row>
    <row r="7" spans="1:6" x14ac:dyDescent="0.3">
      <c r="A7" s="2" t="s">
        <v>9</v>
      </c>
      <c r="B7" s="3">
        <f t="shared" si="0"/>
        <v>2214</v>
      </c>
      <c r="C7" s="3">
        <v>2214</v>
      </c>
      <c r="D7" s="3">
        <v>900</v>
      </c>
      <c r="E7" s="3">
        <v>0</v>
      </c>
      <c r="F7" s="3">
        <v>0</v>
      </c>
    </row>
    <row r="8" spans="1:6" x14ac:dyDescent="0.3">
      <c r="A8" s="2" t="s">
        <v>10</v>
      </c>
      <c r="B8" s="3">
        <f t="shared" si="0"/>
        <v>3690</v>
      </c>
      <c r="C8" s="3">
        <v>3690</v>
      </c>
      <c r="D8" s="3">
        <v>1500</v>
      </c>
      <c r="E8" s="3">
        <v>0</v>
      </c>
      <c r="F8" s="3">
        <v>0</v>
      </c>
    </row>
    <row r="9" spans="1:6" x14ac:dyDescent="0.3">
      <c r="A9" s="2" t="s">
        <v>11</v>
      </c>
      <c r="B9" s="3">
        <f t="shared" si="0"/>
        <v>1949</v>
      </c>
      <c r="C9" s="3">
        <v>2456</v>
      </c>
      <c r="D9" s="3">
        <v>1110</v>
      </c>
      <c r="E9" s="3">
        <v>507</v>
      </c>
      <c r="F9" s="3">
        <v>324</v>
      </c>
    </row>
    <row r="10" spans="1:6" x14ac:dyDescent="0.3">
      <c r="A10" s="2" t="s">
        <v>12</v>
      </c>
      <c r="B10" s="3">
        <f t="shared" si="0"/>
        <v>2827</v>
      </c>
      <c r="C10" s="3">
        <v>2827</v>
      </c>
      <c r="D10" s="3">
        <v>1260</v>
      </c>
      <c r="E10" s="3">
        <v>0</v>
      </c>
      <c r="F10" s="3">
        <v>0</v>
      </c>
    </row>
    <row r="11" spans="1:6" x14ac:dyDescent="0.3">
      <c r="A11" s="2" t="s">
        <v>13</v>
      </c>
      <c r="B11" s="3">
        <f t="shared" si="0"/>
        <v>4797</v>
      </c>
      <c r="C11" s="3">
        <v>4797</v>
      </c>
      <c r="D11" s="3">
        <v>1950</v>
      </c>
      <c r="E11" s="3">
        <v>0</v>
      </c>
      <c r="F11" s="3">
        <v>0</v>
      </c>
    </row>
    <row r="12" spans="1:6" x14ac:dyDescent="0.3">
      <c r="A12" s="2" t="s">
        <v>14</v>
      </c>
      <c r="B12" s="3">
        <f t="shared" si="0"/>
        <v>4875</v>
      </c>
      <c r="C12" s="3">
        <v>4875</v>
      </c>
      <c r="D12" s="3">
        <v>2550</v>
      </c>
      <c r="E12" s="3">
        <v>0</v>
      </c>
      <c r="F12" s="3">
        <v>0</v>
      </c>
    </row>
    <row r="13" spans="1:6" x14ac:dyDescent="0.3">
      <c r="A13" s="2" t="s">
        <v>15</v>
      </c>
      <c r="B13" s="3">
        <f t="shared" si="0"/>
        <v>5904</v>
      </c>
      <c r="C13" s="3">
        <v>5904</v>
      </c>
      <c r="D13" s="3">
        <v>2400</v>
      </c>
      <c r="E13" s="3">
        <v>0</v>
      </c>
      <c r="F13" s="3">
        <v>0</v>
      </c>
    </row>
    <row r="14" spans="1:6" x14ac:dyDescent="0.3">
      <c r="A14" s="2" t="s">
        <v>16</v>
      </c>
      <c r="B14" s="3">
        <f t="shared" si="0"/>
        <v>4517</v>
      </c>
      <c r="C14" s="3">
        <v>4517</v>
      </c>
      <c r="D14" s="3">
        <v>2100</v>
      </c>
      <c r="E14" s="3">
        <v>0</v>
      </c>
      <c r="F14" s="3">
        <v>0</v>
      </c>
    </row>
    <row r="15" spans="1:6" ht="17.25" thickBot="1" x14ac:dyDescent="0.35">
      <c r="A15" s="4" t="s">
        <v>17</v>
      </c>
      <c r="B15" s="5">
        <f>SUM(B3:B14)</f>
        <v>38670</v>
      </c>
      <c r="C15" s="5">
        <f t="shared" ref="C15:F15" si="1">SUM(C3:C14)</f>
        <v>39177</v>
      </c>
      <c r="D15" s="5">
        <f t="shared" si="1"/>
        <v>16980</v>
      </c>
      <c r="E15" s="5">
        <f t="shared" si="1"/>
        <v>507</v>
      </c>
      <c r="F15" s="5">
        <f t="shared" si="1"/>
        <v>324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20</v>
      </c>
      <c r="C2" s="1" t="s">
        <v>28</v>
      </c>
      <c r="D2" s="1" t="s">
        <v>21</v>
      </c>
      <c r="E2" s="1" t="s">
        <v>25</v>
      </c>
      <c r="F2" s="1" t="s">
        <v>22</v>
      </c>
    </row>
    <row r="3" spans="1:6" x14ac:dyDescent="0.3">
      <c r="A3" s="2" t="s">
        <v>29</v>
      </c>
      <c r="B3" s="3">
        <f t="shared" ref="B3:B14" si="0">C3-E3</f>
        <v>8957</v>
      </c>
      <c r="C3" s="3">
        <v>8957</v>
      </c>
      <c r="D3" s="3">
        <v>4200</v>
      </c>
      <c r="E3" s="3">
        <v>0</v>
      </c>
      <c r="F3" s="3">
        <v>0</v>
      </c>
    </row>
    <row r="4" spans="1:6" x14ac:dyDescent="0.3">
      <c r="A4" s="2" t="s">
        <v>27</v>
      </c>
      <c r="B4" s="3">
        <f t="shared" si="0"/>
        <v>2952</v>
      </c>
      <c r="C4" s="3">
        <v>2952</v>
      </c>
      <c r="D4" s="3">
        <v>1200</v>
      </c>
      <c r="E4" s="3">
        <v>0</v>
      </c>
      <c r="F4" s="3">
        <v>0</v>
      </c>
    </row>
    <row r="5" spans="1:6" x14ac:dyDescent="0.3">
      <c r="A5" s="2" t="s">
        <v>30</v>
      </c>
      <c r="B5" s="3">
        <f t="shared" si="0"/>
        <v>2952</v>
      </c>
      <c r="C5" s="3">
        <v>2952</v>
      </c>
      <c r="D5" s="3">
        <v>1200</v>
      </c>
      <c r="E5" s="3">
        <v>0</v>
      </c>
      <c r="F5" s="3">
        <v>0</v>
      </c>
    </row>
    <row r="6" spans="1:6" x14ac:dyDescent="0.3">
      <c r="A6" s="2" t="s">
        <v>8</v>
      </c>
      <c r="B6" s="3">
        <f t="shared" si="0"/>
        <v>2952</v>
      </c>
      <c r="C6" s="3">
        <v>2952</v>
      </c>
      <c r="D6" s="3">
        <v>1200</v>
      </c>
      <c r="E6" s="3">
        <v>0</v>
      </c>
      <c r="F6" s="3">
        <v>0</v>
      </c>
    </row>
    <row r="7" spans="1:6" x14ac:dyDescent="0.3">
      <c r="A7" s="2" t="s">
        <v>9</v>
      </c>
      <c r="B7" s="3">
        <f t="shared" si="0"/>
        <v>7839</v>
      </c>
      <c r="C7" s="3">
        <v>7839</v>
      </c>
      <c r="D7" s="3">
        <v>4080</v>
      </c>
      <c r="E7" s="3">
        <v>0</v>
      </c>
      <c r="F7" s="3">
        <v>0</v>
      </c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5763</v>
      </c>
      <c r="C9" s="3">
        <v>5904</v>
      </c>
      <c r="D9" s="3">
        <v>2400</v>
      </c>
      <c r="E9" s="3">
        <v>141</v>
      </c>
      <c r="F9" s="3">
        <v>20</v>
      </c>
    </row>
    <row r="10" spans="1:6" x14ac:dyDescent="0.3">
      <c r="A10" s="2" t="s">
        <v>12</v>
      </c>
      <c r="B10" s="3">
        <f t="shared" si="0"/>
        <v>-231</v>
      </c>
      <c r="C10" s="3">
        <v>0</v>
      </c>
      <c r="D10" s="3">
        <v>0</v>
      </c>
      <c r="E10" s="3">
        <v>231</v>
      </c>
      <c r="F10" s="3">
        <v>30</v>
      </c>
    </row>
    <row r="11" spans="1:6" x14ac:dyDescent="0.3">
      <c r="A11" s="2" t="s">
        <v>13</v>
      </c>
      <c r="B11" s="3">
        <f t="shared" si="0"/>
        <v>2952</v>
      </c>
      <c r="C11" s="3">
        <v>2952</v>
      </c>
      <c r="D11" s="3">
        <v>1200</v>
      </c>
      <c r="E11" s="3">
        <v>0</v>
      </c>
      <c r="F11" s="3">
        <v>0</v>
      </c>
    </row>
    <row r="12" spans="1:6" x14ac:dyDescent="0.3">
      <c r="A12" s="2" t="s">
        <v>14</v>
      </c>
      <c r="B12" s="3">
        <f t="shared" si="0"/>
        <v>4634</v>
      </c>
      <c r="C12" s="3">
        <v>4634</v>
      </c>
      <c r="D12" s="3">
        <v>2100</v>
      </c>
      <c r="E12" s="3">
        <v>0</v>
      </c>
      <c r="F12" s="3">
        <v>0</v>
      </c>
    </row>
    <row r="13" spans="1:6" x14ac:dyDescent="0.3">
      <c r="A13" s="2" t="s">
        <v>15</v>
      </c>
      <c r="B13" s="3">
        <f t="shared" si="0"/>
        <v>15921</v>
      </c>
      <c r="C13" s="3">
        <v>15921</v>
      </c>
      <c r="D13" s="3">
        <v>6900</v>
      </c>
      <c r="E13" s="3">
        <v>0</v>
      </c>
      <c r="F13" s="3">
        <v>0</v>
      </c>
    </row>
    <row r="14" spans="1:6" x14ac:dyDescent="0.3">
      <c r="A14" s="2" t="s">
        <v>16</v>
      </c>
      <c r="B14" s="3">
        <f t="shared" si="0"/>
        <v>9264</v>
      </c>
      <c r="C14" s="3">
        <v>9277</v>
      </c>
      <c r="D14" s="3">
        <v>4200</v>
      </c>
      <c r="E14" s="3">
        <v>13</v>
      </c>
      <c r="F14" s="3">
        <v>1</v>
      </c>
    </row>
    <row r="15" spans="1:6" ht="17.25" thickBot="1" x14ac:dyDescent="0.35">
      <c r="A15" s="4" t="s">
        <v>23</v>
      </c>
      <c r="B15" s="5">
        <f>SUM(B3:B14)</f>
        <v>63955</v>
      </c>
      <c r="C15" s="5">
        <f t="shared" ref="C15:F15" si="1">SUM(C3:C14)</f>
        <v>64340</v>
      </c>
      <c r="D15" s="5">
        <f t="shared" si="1"/>
        <v>28680</v>
      </c>
      <c r="E15" s="5">
        <f t="shared" si="1"/>
        <v>385</v>
      </c>
      <c r="F15" s="5">
        <f t="shared" si="1"/>
        <v>51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20</v>
      </c>
      <c r="C2" s="1" t="s">
        <v>28</v>
      </c>
      <c r="D2" s="1" t="s">
        <v>21</v>
      </c>
      <c r="E2" s="1" t="s">
        <v>25</v>
      </c>
      <c r="F2" s="1" t="s">
        <v>22</v>
      </c>
    </row>
    <row r="3" spans="1:6" x14ac:dyDescent="0.3">
      <c r="A3" s="2" t="s">
        <v>29</v>
      </c>
      <c r="B3" s="3">
        <f t="shared" ref="B3:B14" si="0">C3-E3</f>
        <v>3359</v>
      </c>
      <c r="C3" s="3">
        <v>3359</v>
      </c>
      <c r="D3" s="3">
        <v>1800</v>
      </c>
      <c r="E3" s="3">
        <v>0</v>
      </c>
      <c r="F3" s="3">
        <v>0</v>
      </c>
    </row>
    <row r="4" spans="1:6" x14ac:dyDescent="0.3">
      <c r="A4" s="2" t="s">
        <v>27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30</v>
      </c>
      <c r="B5" s="3">
        <f t="shared" si="0"/>
        <v>2952</v>
      </c>
      <c r="C5" s="3">
        <v>2952</v>
      </c>
      <c r="D5" s="3">
        <v>1200</v>
      </c>
      <c r="E5" s="3">
        <v>0</v>
      </c>
      <c r="F5" s="3">
        <v>0</v>
      </c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4748</v>
      </c>
      <c r="C8" s="3">
        <v>4748</v>
      </c>
      <c r="D8" s="3">
        <v>1948</v>
      </c>
      <c r="E8" s="3">
        <v>0</v>
      </c>
      <c r="F8" s="3">
        <v>0</v>
      </c>
    </row>
    <row r="9" spans="1:6" x14ac:dyDescent="0.3">
      <c r="A9" s="2" t="s">
        <v>11</v>
      </c>
      <c r="B9" s="3">
        <f t="shared" si="0"/>
        <v>3901</v>
      </c>
      <c r="C9" s="3">
        <v>3901</v>
      </c>
      <c r="D9" s="3">
        <v>1521</v>
      </c>
      <c r="E9" s="3">
        <v>0</v>
      </c>
      <c r="F9" s="3">
        <v>0</v>
      </c>
    </row>
    <row r="10" spans="1:6" x14ac:dyDescent="0.3">
      <c r="A10" s="2" t="s">
        <v>12</v>
      </c>
      <c r="B10" s="3">
        <f t="shared" si="0"/>
        <v>1278</v>
      </c>
      <c r="C10" s="3">
        <v>1278</v>
      </c>
      <c r="D10" s="3">
        <v>544</v>
      </c>
      <c r="E10" s="3">
        <v>0</v>
      </c>
      <c r="F10" s="3">
        <v>0</v>
      </c>
    </row>
    <row r="11" spans="1:6" x14ac:dyDescent="0.3">
      <c r="A11" s="2" t="s">
        <v>13</v>
      </c>
      <c r="B11" s="3">
        <f t="shared" si="0"/>
        <v>6161</v>
      </c>
      <c r="C11" s="3">
        <v>6161</v>
      </c>
      <c r="D11" s="3">
        <v>2863</v>
      </c>
      <c r="E11" s="3">
        <v>0</v>
      </c>
      <c r="F11" s="3">
        <v>0</v>
      </c>
    </row>
    <row r="12" spans="1:6" x14ac:dyDescent="0.3">
      <c r="A12" s="2" t="s">
        <v>14</v>
      </c>
      <c r="B12" s="3">
        <f t="shared" si="0"/>
        <v>7481</v>
      </c>
      <c r="C12" s="3">
        <v>7481</v>
      </c>
      <c r="D12" s="3">
        <v>3337</v>
      </c>
      <c r="E12" s="3">
        <v>0</v>
      </c>
      <c r="F12" s="3">
        <v>0</v>
      </c>
    </row>
    <row r="13" spans="1:6" x14ac:dyDescent="0.3">
      <c r="A13" s="2" t="s">
        <v>15</v>
      </c>
      <c r="B13" s="3">
        <f t="shared" si="0"/>
        <v>4978</v>
      </c>
      <c r="C13" s="3">
        <v>4978</v>
      </c>
      <c r="D13" s="3">
        <v>2280</v>
      </c>
      <c r="E13" s="3">
        <v>0</v>
      </c>
      <c r="F13" s="3">
        <v>0</v>
      </c>
    </row>
    <row r="14" spans="1:6" x14ac:dyDescent="0.3">
      <c r="A14" s="2" t="s">
        <v>16</v>
      </c>
      <c r="B14" s="3">
        <f t="shared" si="0"/>
        <v>6408</v>
      </c>
      <c r="C14" s="3">
        <v>6408</v>
      </c>
      <c r="D14" s="3">
        <v>2860</v>
      </c>
      <c r="E14" s="3">
        <v>0</v>
      </c>
      <c r="F14" s="3">
        <v>0</v>
      </c>
    </row>
    <row r="15" spans="1:6" ht="17.25" thickBot="1" x14ac:dyDescent="0.35">
      <c r="A15" s="4" t="s">
        <v>23</v>
      </c>
      <c r="B15" s="5">
        <f>SUM(B3:B14)</f>
        <v>41266</v>
      </c>
      <c r="C15" s="5">
        <f t="shared" ref="C15:F15" si="1">SUM(C3:C14)</f>
        <v>41266</v>
      </c>
      <c r="D15" s="5">
        <f t="shared" si="1"/>
        <v>18353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 t="shared" ref="B3:B14" si="0">C3-E3</f>
        <v>7640</v>
      </c>
      <c r="C3" s="3">
        <v>7640</v>
      </c>
      <c r="D3" s="3">
        <v>3180</v>
      </c>
      <c r="E3" s="3">
        <v>0</v>
      </c>
      <c r="F3" s="3">
        <v>0</v>
      </c>
    </row>
    <row r="4" spans="1:6" x14ac:dyDescent="0.3">
      <c r="A4" s="2" t="s">
        <v>27</v>
      </c>
      <c r="B4" s="3">
        <f t="shared" si="0"/>
        <v>2145</v>
      </c>
      <c r="C4" s="3">
        <v>2145</v>
      </c>
      <c r="D4" s="3">
        <v>893</v>
      </c>
      <c r="E4" s="3">
        <v>0</v>
      </c>
      <c r="F4" s="3">
        <v>0</v>
      </c>
    </row>
    <row r="5" spans="1:6" x14ac:dyDescent="0.3">
      <c r="A5" s="2" t="s">
        <v>30</v>
      </c>
      <c r="B5" s="3">
        <f t="shared" si="0"/>
        <v>4147</v>
      </c>
      <c r="C5" s="3">
        <v>4147</v>
      </c>
      <c r="D5" s="3">
        <v>2010</v>
      </c>
      <c r="E5" s="3">
        <v>0</v>
      </c>
      <c r="F5" s="3">
        <v>0</v>
      </c>
    </row>
    <row r="6" spans="1:6" x14ac:dyDescent="0.3">
      <c r="A6" s="2" t="s">
        <v>8</v>
      </c>
      <c r="B6" s="3">
        <f t="shared" si="0"/>
        <v>4798</v>
      </c>
      <c r="C6" s="3">
        <v>4798</v>
      </c>
      <c r="D6" s="3">
        <v>2212</v>
      </c>
      <c r="E6" s="3">
        <v>0</v>
      </c>
      <c r="F6" s="3">
        <v>0</v>
      </c>
    </row>
    <row r="7" spans="1:6" x14ac:dyDescent="0.3">
      <c r="A7" s="2" t="s">
        <v>9</v>
      </c>
      <c r="B7" s="3">
        <f t="shared" si="0"/>
        <v>4835</v>
      </c>
      <c r="C7" s="3">
        <v>4835</v>
      </c>
      <c r="D7" s="3">
        <v>2282</v>
      </c>
      <c r="E7" s="3">
        <v>0</v>
      </c>
      <c r="F7" s="3">
        <v>0</v>
      </c>
    </row>
    <row r="8" spans="1:6" x14ac:dyDescent="0.3">
      <c r="A8" s="2" t="s">
        <v>10</v>
      </c>
      <c r="B8" s="3">
        <f t="shared" si="0"/>
        <v>5804</v>
      </c>
      <c r="C8" s="3">
        <v>5817</v>
      </c>
      <c r="D8" s="3">
        <v>2694</v>
      </c>
      <c r="E8" s="3">
        <v>13</v>
      </c>
      <c r="F8" s="3">
        <v>2</v>
      </c>
    </row>
    <row r="9" spans="1:6" x14ac:dyDescent="0.3">
      <c r="A9" s="2" t="s">
        <v>11</v>
      </c>
      <c r="B9" s="3">
        <f t="shared" si="0"/>
        <v>7073</v>
      </c>
      <c r="C9" s="3">
        <v>7073</v>
      </c>
      <c r="D9" s="3">
        <v>3788</v>
      </c>
      <c r="E9" s="3">
        <v>0</v>
      </c>
      <c r="F9" s="3">
        <v>0</v>
      </c>
    </row>
    <row r="10" spans="1:6" x14ac:dyDescent="0.3">
      <c r="A10" s="2" t="s">
        <v>12</v>
      </c>
      <c r="B10" s="3">
        <f t="shared" si="0"/>
        <v>1096</v>
      </c>
      <c r="C10" s="3">
        <v>1096</v>
      </c>
      <c r="D10" s="3">
        <v>586</v>
      </c>
      <c r="E10" s="3">
        <v>0</v>
      </c>
      <c r="F10" s="3">
        <v>0</v>
      </c>
    </row>
    <row r="11" spans="1:6" x14ac:dyDescent="0.3">
      <c r="A11" s="2" t="s">
        <v>13</v>
      </c>
      <c r="B11" s="3">
        <f t="shared" si="0"/>
        <v>4663</v>
      </c>
      <c r="C11" s="3">
        <v>4663</v>
      </c>
      <c r="D11" s="3">
        <v>2076</v>
      </c>
      <c r="E11" s="3">
        <v>0</v>
      </c>
      <c r="F11" s="3">
        <v>0</v>
      </c>
    </row>
    <row r="12" spans="1:6" x14ac:dyDescent="0.3">
      <c r="A12" s="2" t="s">
        <v>14</v>
      </c>
      <c r="B12" s="3">
        <f t="shared" si="0"/>
        <v>8985</v>
      </c>
      <c r="C12" s="3">
        <v>8985</v>
      </c>
      <c r="D12" s="3">
        <v>4103</v>
      </c>
      <c r="E12" s="3">
        <v>0</v>
      </c>
      <c r="F12" s="3">
        <v>0</v>
      </c>
    </row>
    <row r="13" spans="1:6" x14ac:dyDescent="0.3">
      <c r="A13" s="2" t="s">
        <v>15</v>
      </c>
      <c r="B13" s="3">
        <f t="shared" si="0"/>
        <v>8454</v>
      </c>
      <c r="C13" s="3">
        <v>8454</v>
      </c>
      <c r="D13" s="3">
        <v>4225</v>
      </c>
      <c r="E13" s="3">
        <v>0</v>
      </c>
      <c r="F13" s="3">
        <v>0</v>
      </c>
    </row>
    <row r="14" spans="1:6" x14ac:dyDescent="0.3">
      <c r="A14" s="2" t="s">
        <v>16</v>
      </c>
      <c r="B14" s="3">
        <f t="shared" si="0"/>
        <v>6210</v>
      </c>
      <c r="C14" s="3">
        <v>6210</v>
      </c>
      <c r="D14" s="3">
        <v>2850</v>
      </c>
      <c r="E14" s="3">
        <v>0</v>
      </c>
      <c r="F14" s="3">
        <v>0</v>
      </c>
    </row>
    <row r="15" spans="1:6" ht="17.25" thickBot="1" x14ac:dyDescent="0.35">
      <c r="A15" s="4" t="s">
        <v>23</v>
      </c>
      <c r="B15" s="5">
        <f>SUM(B3:B14)</f>
        <v>65850</v>
      </c>
      <c r="C15" s="5">
        <f t="shared" ref="C15:F15" si="1">SUM(C3:C14)</f>
        <v>65863</v>
      </c>
      <c r="D15" s="5">
        <f t="shared" si="1"/>
        <v>30899</v>
      </c>
      <c r="E15" s="5">
        <f t="shared" si="1"/>
        <v>13</v>
      </c>
      <c r="F15" s="5">
        <f t="shared" si="1"/>
        <v>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20</v>
      </c>
      <c r="C2" s="1" t="s">
        <v>1</v>
      </c>
      <c r="D2" s="1" t="s">
        <v>2</v>
      </c>
      <c r="E2" s="1" t="s">
        <v>31</v>
      </c>
      <c r="F2" s="1" t="s">
        <v>4</v>
      </c>
    </row>
    <row r="3" spans="1:6" x14ac:dyDescent="0.3">
      <c r="A3" s="2" t="s">
        <v>5</v>
      </c>
      <c r="B3" s="3">
        <f t="shared" ref="B3:B14" si="0">C3-E3</f>
        <v>7017</v>
      </c>
      <c r="C3" s="3">
        <v>7017</v>
      </c>
      <c r="D3" s="3">
        <v>3360</v>
      </c>
      <c r="E3" s="3">
        <v>0</v>
      </c>
      <c r="F3" s="3">
        <v>0</v>
      </c>
    </row>
    <row r="4" spans="1:6" x14ac:dyDescent="0.3">
      <c r="A4" s="2" t="s">
        <v>6</v>
      </c>
      <c r="B4" s="3">
        <f t="shared" si="0"/>
        <v>3990</v>
      </c>
      <c r="C4" s="3">
        <v>3990</v>
      </c>
      <c r="D4" s="3">
        <v>1990</v>
      </c>
      <c r="E4" s="3">
        <v>0</v>
      </c>
      <c r="F4" s="3">
        <v>0</v>
      </c>
    </row>
    <row r="5" spans="1:6" x14ac:dyDescent="0.3">
      <c r="A5" s="2" t="s">
        <v>7</v>
      </c>
      <c r="B5" s="3">
        <f t="shared" si="0"/>
        <v>8376</v>
      </c>
      <c r="C5" s="3">
        <v>8376</v>
      </c>
      <c r="D5" s="3">
        <v>4331</v>
      </c>
      <c r="E5" s="3">
        <v>0</v>
      </c>
      <c r="F5" s="3">
        <v>0</v>
      </c>
    </row>
    <row r="6" spans="1:6" x14ac:dyDescent="0.3">
      <c r="A6" s="2" t="s">
        <v>8</v>
      </c>
      <c r="B6" s="3">
        <f t="shared" si="0"/>
        <v>13133</v>
      </c>
      <c r="C6" s="3">
        <v>13133</v>
      </c>
      <c r="D6" s="3">
        <v>5797</v>
      </c>
      <c r="E6" s="3">
        <v>0</v>
      </c>
      <c r="F6" s="3">
        <v>0</v>
      </c>
    </row>
    <row r="7" spans="1:6" x14ac:dyDescent="0.3">
      <c r="A7" s="2" t="s">
        <v>9</v>
      </c>
      <c r="B7" s="3">
        <f t="shared" si="0"/>
        <v>3124</v>
      </c>
      <c r="C7" s="3">
        <v>3124</v>
      </c>
      <c r="D7" s="3">
        <v>1380</v>
      </c>
      <c r="E7" s="3">
        <v>0</v>
      </c>
      <c r="F7" s="3">
        <v>0</v>
      </c>
    </row>
    <row r="8" spans="1:6" x14ac:dyDescent="0.3">
      <c r="A8" s="2" t="s">
        <v>10</v>
      </c>
      <c r="B8" s="3">
        <f t="shared" si="0"/>
        <v>20896</v>
      </c>
      <c r="C8" s="3">
        <v>20896</v>
      </c>
      <c r="D8" s="3">
        <v>9282</v>
      </c>
      <c r="E8" s="3">
        <v>0</v>
      </c>
      <c r="F8" s="3">
        <v>0</v>
      </c>
    </row>
    <row r="9" spans="1:6" x14ac:dyDescent="0.3">
      <c r="A9" s="2" t="s">
        <v>11</v>
      </c>
      <c r="B9" s="3">
        <f t="shared" si="0"/>
        <v>9635</v>
      </c>
      <c r="C9" s="3">
        <v>9635</v>
      </c>
      <c r="D9" s="3">
        <v>4220</v>
      </c>
      <c r="E9" s="3">
        <v>0</v>
      </c>
      <c r="F9" s="3">
        <v>0</v>
      </c>
    </row>
    <row r="10" spans="1:6" x14ac:dyDescent="0.3">
      <c r="A10" s="2" t="s">
        <v>12</v>
      </c>
      <c r="B10" s="3">
        <f t="shared" si="0"/>
        <v>12884</v>
      </c>
      <c r="C10" s="3">
        <v>12884</v>
      </c>
      <c r="D10" s="3">
        <v>5766</v>
      </c>
      <c r="E10" s="3">
        <v>0</v>
      </c>
      <c r="F10" s="3">
        <v>0</v>
      </c>
    </row>
    <row r="11" spans="1:6" x14ac:dyDescent="0.3">
      <c r="A11" s="2" t="s">
        <v>13</v>
      </c>
      <c r="B11" s="3">
        <f t="shared" si="0"/>
        <v>14140</v>
      </c>
      <c r="C11" s="3">
        <v>14140</v>
      </c>
      <c r="D11" s="3">
        <v>6178</v>
      </c>
      <c r="E11" s="3">
        <v>0</v>
      </c>
      <c r="F11" s="3">
        <v>0</v>
      </c>
    </row>
    <row r="12" spans="1:6" x14ac:dyDescent="0.3">
      <c r="A12" s="2" t="s">
        <v>14</v>
      </c>
      <c r="B12" s="3">
        <f t="shared" si="0"/>
        <v>2287</v>
      </c>
      <c r="C12" s="3">
        <v>2287</v>
      </c>
      <c r="D12" s="3">
        <v>1156</v>
      </c>
      <c r="E12" s="3">
        <v>0</v>
      </c>
      <c r="F12" s="3">
        <v>0</v>
      </c>
    </row>
    <row r="13" spans="1:6" x14ac:dyDescent="0.3">
      <c r="A13" s="2" t="s">
        <v>15</v>
      </c>
      <c r="B13" s="3">
        <f t="shared" si="0"/>
        <v>13020</v>
      </c>
      <c r="C13" s="3">
        <v>13020</v>
      </c>
      <c r="D13" s="3">
        <v>5566</v>
      </c>
      <c r="E13" s="3">
        <v>0</v>
      </c>
      <c r="F13" s="3">
        <v>0</v>
      </c>
    </row>
    <row r="14" spans="1:6" x14ac:dyDescent="0.3">
      <c r="A14" s="2" t="s">
        <v>16</v>
      </c>
      <c r="B14" s="3">
        <f t="shared" si="0"/>
        <v>9965</v>
      </c>
      <c r="C14" s="3">
        <v>9965</v>
      </c>
      <c r="D14" s="3">
        <v>4910</v>
      </c>
      <c r="E14" s="3">
        <v>0</v>
      </c>
      <c r="F14" s="3">
        <v>0</v>
      </c>
    </row>
    <row r="15" spans="1:6" ht="17.25" thickBot="1" x14ac:dyDescent="0.35">
      <c r="A15" s="4" t="s">
        <v>17</v>
      </c>
      <c r="B15" s="5">
        <f>SUM(B3:B14)</f>
        <v>118467</v>
      </c>
      <c r="C15" s="5">
        <f t="shared" ref="C15:F15" si="1">SUM(C3:C14)</f>
        <v>118467</v>
      </c>
      <c r="D15" s="5">
        <f t="shared" si="1"/>
        <v>53936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806</v>
      </c>
      <c r="C3" s="3">
        <v>806</v>
      </c>
      <c r="D3" s="3">
        <v>605</v>
      </c>
      <c r="E3" s="3">
        <v>0</v>
      </c>
      <c r="F3" s="3">
        <v>0</v>
      </c>
    </row>
    <row r="4" spans="1:6" x14ac:dyDescent="0.3">
      <c r="A4" s="2" t="s">
        <v>6</v>
      </c>
      <c r="B4" s="3">
        <f t="shared" ref="B4:B14" si="0">C4-E4</f>
        <v>9745</v>
      </c>
      <c r="C4" s="3">
        <v>9745</v>
      </c>
      <c r="D4" s="3">
        <v>4579</v>
      </c>
      <c r="E4" s="3">
        <v>0</v>
      </c>
      <c r="F4" s="3">
        <v>0</v>
      </c>
    </row>
    <row r="5" spans="1:6" x14ac:dyDescent="0.3">
      <c r="A5" s="2" t="s">
        <v>7</v>
      </c>
      <c r="B5" s="3">
        <f t="shared" si="0"/>
        <v>11951</v>
      </c>
      <c r="C5" s="3">
        <v>11951</v>
      </c>
      <c r="D5" s="3">
        <v>6993</v>
      </c>
      <c r="E5" s="3">
        <v>0</v>
      </c>
      <c r="F5" s="3">
        <v>0</v>
      </c>
    </row>
    <row r="6" spans="1:6" x14ac:dyDescent="0.3">
      <c r="A6" s="2" t="s">
        <v>8</v>
      </c>
      <c r="B6" s="3">
        <f t="shared" si="0"/>
        <v>13873</v>
      </c>
      <c r="C6" s="3">
        <v>13873</v>
      </c>
      <c r="D6" s="3">
        <v>7351</v>
      </c>
      <c r="E6" s="3">
        <v>0</v>
      </c>
      <c r="F6" s="3">
        <v>0</v>
      </c>
    </row>
    <row r="7" spans="1:6" x14ac:dyDescent="0.3">
      <c r="A7" s="2" t="s">
        <v>9</v>
      </c>
      <c r="B7" s="3">
        <f t="shared" si="0"/>
        <v>9272</v>
      </c>
      <c r="C7" s="3">
        <v>9272</v>
      </c>
      <c r="D7" s="3">
        <v>4980</v>
      </c>
      <c r="E7" s="3">
        <v>0</v>
      </c>
      <c r="F7" s="3">
        <v>0</v>
      </c>
    </row>
    <row r="8" spans="1:6" x14ac:dyDescent="0.3">
      <c r="A8" s="2" t="s">
        <v>10</v>
      </c>
      <c r="B8" s="3">
        <f t="shared" si="0"/>
        <v>28446</v>
      </c>
      <c r="C8" s="3">
        <v>28446</v>
      </c>
      <c r="D8" s="3">
        <v>13726</v>
      </c>
      <c r="E8" s="3">
        <v>0</v>
      </c>
      <c r="F8" s="3">
        <v>0</v>
      </c>
    </row>
    <row r="9" spans="1:6" x14ac:dyDescent="0.3">
      <c r="A9" s="2" t="s">
        <v>11</v>
      </c>
      <c r="B9" s="3">
        <f t="shared" si="0"/>
        <v>2940</v>
      </c>
      <c r="C9" s="3">
        <v>2940</v>
      </c>
      <c r="D9" s="3">
        <v>1200</v>
      </c>
      <c r="E9" s="3">
        <v>0</v>
      </c>
      <c r="F9" s="3">
        <v>0</v>
      </c>
    </row>
    <row r="10" spans="1:6" x14ac:dyDescent="0.3">
      <c r="A10" s="2" t="s">
        <v>12</v>
      </c>
      <c r="B10" s="3">
        <f t="shared" si="0"/>
        <v>23425</v>
      </c>
      <c r="C10" s="3">
        <v>23425</v>
      </c>
      <c r="D10" s="3">
        <v>21198</v>
      </c>
      <c r="E10" s="3">
        <v>0</v>
      </c>
      <c r="F10" s="3">
        <v>0</v>
      </c>
    </row>
    <row r="11" spans="1:6" x14ac:dyDescent="0.3">
      <c r="A11" s="2" t="s">
        <v>13</v>
      </c>
      <c r="B11" s="3">
        <f t="shared" si="0"/>
        <v>3362</v>
      </c>
      <c r="C11" s="3">
        <v>3362</v>
      </c>
      <c r="D11" s="3">
        <v>2791</v>
      </c>
      <c r="E11" s="3">
        <v>0</v>
      </c>
      <c r="F11" s="3">
        <v>0</v>
      </c>
    </row>
    <row r="12" spans="1:6" x14ac:dyDescent="0.3">
      <c r="A12" s="2" t="s">
        <v>14</v>
      </c>
      <c r="B12" s="3">
        <f t="shared" si="0"/>
        <v>1515</v>
      </c>
      <c r="C12" s="3">
        <v>1515</v>
      </c>
      <c r="D12" s="3">
        <v>1029</v>
      </c>
      <c r="E12" s="3">
        <v>0</v>
      </c>
      <c r="F12" s="3">
        <v>0</v>
      </c>
    </row>
    <row r="13" spans="1:6" x14ac:dyDescent="0.3">
      <c r="A13" s="2" t="s">
        <v>15</v>
      </c>
      <c r="B13" s="3">
        <f t="shared" si="0"/>
        <v>7899</v>
      </c>
      <c r="C13" s="3">
        <v>7899</v>
      </c>
      <c r="D13" s="3">
        <v>6675</v>
      </c>
      <c r="E13" s="3">
        <v>0</v>
      </c>
      <c r="F13" s="3">
        <v>0</v>
      </c>
    </row>
    <row r="14" spans="1:6" x14ac:dyDescent="0.3">
      <c r="A14" s="2" t="s">
        <v>16</v>
      </c>
      <c r="B14" s="3">
        <f t="shared" si="0"/>
        <v>210</v>
      </c>
      <c r="C14" s="3">
        <v>210</v>
      </c>
      <c r="D14" s="3">
        <v>165</v>
      </c>
      <c r="E14" s="3">
        <v>0</v>
      </c>
      <c r="F14" s="3">
        <v>0</v>
      </c>
    </row>
    <row r="15" spans="1:6" ht="17.25" thickBot="1" x14ac:dyDescent="0.35">
      <c r="A15" s="4" t="s">
        <v>17</v>
      </c>
      <c r="B15" s="5">
        <f>SUM(B3:B14)</f>
        <v>113444</v>
      </c>
      <c r="C15" s="5">
        <f t="shared" ref="C15" si="1">SUM(C3:C14)</f>
        <v>113444</v>
      </c>
      <c r="D15" s="5">
        <f t="shared" ref="D15:F15" si="2">SUM(D3:D14)</f>
        <v>71292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3105</v>
      </c>
      <c r="C3" s="3">
        <v>3105</v>
      </c>
      <c r="D3" s="3">
        <v>2190</v>
      </c>
      <c r="E3" s="3">
        <v>0</v>
      </c>
      <c r="F3" s="3">
        <v>0</v>
      </c>
    </row>
    <row r="4" spans="1:6" x14ac:dyDescent="0.3">
      <c r="A4" s="2" t="s">
        <v>6</v>
      </c>
      <c r="B4" s="3">
        <f t="shared" ref="B4:B14" si="0">C4-E4</f>
        <v>838</v>
      </c>
      <c r="C4" s="3">
        <v>838</v>
      </c>
      <c r="D4" s="3">
        <v>660</v>
      </c>
      <c r="E4" s="3">
        <v>0</v>
      </c>
      <c r="F4" s="3">
        <v>0</v>
      </c>
    </row>
    <row r="5" spans="1:6" x14ac:dyDescent="0.3">
      <c r="A5" s="2" t="s">
        <v>7</v>
      </c>
      <c r="B5" s="3">
        <f t="shared" si="0"/>
        <v>2160</v>
      </c>
      <c r="C5" s="3">
        <v>2160</v>
      </c>
      <c r="D5" s="3">
        <v>1740</v>
      </c>
      <c r="E5" s="3">
        <v>0</v>
      </c>
      <c r="F5" s="3">
        <v>0</v>
      </c>
    </row>
    <row r="6" spans="1:6" x14ac:dyDescent="0.3">
      <c r="A6" s="2" t="s">
        <v>8</v>
      </c>
      <c r="B6" s="3">
        <f t="shared" si="0"/>
        <v>4648</v>
      </c>
      <c r="C6" s="3">
        <v>4648</v>
      </c>
      <c r="D6" s="3">
        <v>3463</v>
      </c>
      <c r="E6" s="3">
        <v>0</v>
      </c>
      <c r="F6" s="3">
        <v>0</v>
      </c>
    </row>
    <row r="7" spans="1:6" x14ac:dyDescent="0.3">
      <c r="A7" s="2" t="s">
        <v>9</v>
      </c>
      <c r="B7" s="3">
        <f t="shared" si="0"/>
        <v>448</v>
      </c>
      <c r="C7" s="3">
        <v>448</v>
      </c>
      <c r="D7" s="3">
        <v>360</v>
      </c>
      <c r="E7" s="3">
        <v>0</v>
      </c>
      <c r="F7" s="3">
        <v>0</v>
      </c>
    </row>
    <row r="8" spans="1:6" x14ac:dyDescent="0.3">
      <c r="A8" s="2" t="s">
        <v>10</v>
      </c>
      <c r="B8" s="3">
        <f t="shared" si="0"/>
        <v>4234</v>
      </c>
      <c r="C8" s="3">
        <v>4234</v>
      </c>
      <c r="D8" s="3">
        <v>3255</v>
      </c>
      <c r="E8" s="3">
        <v>0</v>
      </c>
      <c r="F8" s="3">
        <v>0</v>
      </c>
    </row>
    <row r="9" spans="1:6" x14ac:dyDescent="0.3">
      <c r="A9" s="2" t="s">
        <v>11</v>
      </c>
      <c r="B9" s="3">
        <f t="shared" si="0"/>
        <v>1674</v>
      </c>
      <c r="C9" s="3">
        <v>2219</v>
      </c>
      <c r="D9" s="3">
        <v>1549</v>
      </c>
      <c r="E9" s="3">
        <v>545</v>
      </c>
      <c r="F9" s="3">
        <v>360</v>
      </c>
    </row>
    <row r="10" spans="1:6" x14ac:dyDescent="0.3">
      <c r="A10" s="2" t="s">
        <v>12</v>
      </c>
      <c r="B10" s="3">
        <f t="shared" si="0"/>
        <v>35818</v>
      </c>
      <c r="C10" s="3">
        <v>35818</v>
      </c>
      <c r="D10" s="3">
        <v>13326</v>
      </c>
      <c r="E10" s="3">
        <v>0</v>
      </c>
      <c r="F10" s="3">
        <v>0</v>
      </c>
    </row>
    <row r="11" spans="1:6" x14ac:dyDescent="0.3">
      <c r="A11" s="2" t="s">
        <v>13</v>
      </c>
      <c r="B11" s="3">
        <f t="shared" si="0"/>
        <v>4228</v>
      </c>
      <c r="C11" s="3">
        <v>4228</v>
      </c>
      <c r="D11" s="3">
        <v>2651</v>
      </c>
      <c r="E11" s="3">
        <v>0</v>
      </c>
      <c r="F11" s="3">
        <v>0</v>
      </c>
    </row>
    <row r="12" spans="1:6" x14ac:dyDescent="0.3">
      <c r="A12" s="2" t="s">
        <v>14</v>
      </c>
      <c r="B12" s="3">
        <f t="shared" si="0"/>
        <v>4493</v>
      </c>
      <c r="C12" s="3">
        <v>4493</v>
      </c>
      <c r="D12" s="3">
        <v>2659</v>
      </c>
      <c r="E12" s="3">
        <v>0</v>
      </c>
      <c r="F12" s="3">
        <v>0</v>
      </c>
    </row>
    <row r="13" spans="1:6" x14ac:dyDescent="0.3">
      <c r="A13" s="2" t="s">
        <v>15</v>
      </c>
      <c r="B13" s="3">
        <f t="shared" si="0"/>
        <v>2636</v>
      </c>
      <c r="C13" s="3">
        <v>2636</v>
      </c>
      <c r="D13" s="3">
        <v>1602</v>
      </c>
      <c r="E13" s="3">
        <v>0</v>
      </c>
      <c r="F13" s="3">
        <v>0</v>
      </c>
    </row>
    <row r="14" spans="1:6" x14ac:dyDescent="0.3">
      <c r="A14" s="2" t="s">
        <v>16</v>
      </c>
      <c r="B14" s="3">
        <f t="shared" si="0"/>
        <v>5450</v>
      </c>
      <c r="C14" s="3">
        <v>5450</v>
      </c>
      <c r="D14" s="3">
        <v>3860</v>
      </c>
      <c r="E14" s="3">
        <v>0</v>
      </c>
      <c r="F14" s="3">
        <v>0</v>
      </c>
    </row>
    <row r="15" spans="1:6" ht="17.25" thickBot="1" x14ac:dyDescent="0.35">
      <c r="A15" s="4" t="s">
        <v>17</v>
      </c>
      <c r="B15" s="5">
        <f>SUM(B3:B14)</f>
        <v>69732</v>
      </c>
      <c r="C15" s="5">
        <f t="shared" ref="C15" si="1">SUM(C3:C14)</f>
        <v>70277</v>
      </c>
      <c r="D15" s="5">
        <f t="shared" ref="D15:F15" si="2">SUM(D3:D14)</f>
        <v>37315</v>
      </c>
      <c r="E15" s="5">
        <f t="shared" si="2"/>
        <v>545</v>
      </c>
      <c r="F15" s="5">
        <f t="shared" si="2"/>
        <v>360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1531</v>
      </c>
      <c r="C3" s="3">
        <v>1531</v>
      </c>
      <c r="D3" s="3">
        <v>1080</v>
      </c>
      <c r="E3" s="3">
        <v>0</v>
      </c>
      <c r="F3" s="3">
        <v>0</v>
      </c>
    </row>
    <row r="4" spans="1:6" x14ac:dyDescent="0.3">
      <c r="A4" s="2" t="s">
        <v>6</v>
      </c>
      <c r="B4" s="3">
        <f t="shared" ref="B4:B14" si="0">C4-E4</f>
        <v>3113</v>
      </c>
      <c r="C4" s="3">
        <v>3113</v>
      </c>
      <c r="D4" s="3">
        <v>1929</v>
      </c>
      <c r="E4" s="3">
        <v>0</v>
      </c>
      <c r="F4" s="3">
        <v>0</v>
      </c>
    </row>
    <row r="5" spans="1:6" x14ac:dyDescent="0.3">
      <c r="A5" s="2" t="s">
        <v>7</v>
      </c>
      <c r="B5" s="3">
        <f t="shared" si="0"/>
        <v>2867</v>
      </c>
      <c r="C5" s="3">
        <v>2867</v>
      </c>
      <c r="D5" s="3">
        <v>2023</v>
      </c>
      <c r="E5" s="3">
        <v>0</v>
      </c>
      <c r="F5" s="3">
        <v>0</v>
      </c>
    </row>
    <row r="6" spans="1:6" x14ac:dyDescent="0.3">
      <c r="A6" s="2" t="s">
        <v>8</v>
      </c>
      <c r="B6" s="3">
        <f t="shared" si="0"/>
        <v>2410</v>
      </c>
      <c r="C6" s="3">
        <v>2410</v>
      </c>
      <c r="D6" s="3">
        <v>1700</v>
      </c>
      <c r="E6" s="3">
        <v>0</v>
      </c>
      <c r="F6" s="3">
        <v>0</v>
      </c>
    </row>
    <row r="7" spans="1:6" x14ac:dyDescent="0.3">
      <c r="A7" s="2" t="s">
        <v>9</v>
      </c>
      <c r="B7" s="3">
        <f t="shared" si="0"/>
        <v>2526</v>
      </c>
      <c r="C7" s="3">
        <v>2526</v>
      </c>
      <c r="D7" s="3">
        <v>1398</v>
      </c>
      <c r="E7" s="3">
        <v>0</v>
      </c>
      <c r="F7" s="3">
        <v>0</v>
      </c>
    </row>
    <row r="8" spans="1:6" x14ac:dyDescent="0.3">
      <c r="A8" s="2" t="s">
        <v>10</v>
      </c>
      <c r="B8" s="3">
        <f t="shared" si="0"/>
        <v>7102</v>
      </c>
      <c r="C8" s="3">
        <v>7102</v>
      </c>
      <c r="D8" s="3">
        <v>5669</v>
      </c>
      <c r="E8" s="3">
        <v>0</v>
      </c>
      <c r="F8" s="3">
        <v>0</v>
      </c>
    </row>
    <row r="9" spans="1:6" x14ac:dyDescent="0.3">
      <c r="A9" s="2" t="s">
        <v>11</v>
      </c>
      <c r="B9" s="3">
        <f t="shared" si="0"/>
        <v>7018</v>
      </c>
      <c r="C9" s="3">
        <v>7018</v>
      </c>
      <c r="D9" s="3">
        <v>5495</v>
      </c>
      <c r="E9" s="3">
        <v>0</v>
      </c>
      <c r="F9" s="3">
        <v>0</v>
      </c>
    </row>
    <row r="10" spans="1:6" x14ac:dyDescent="0.3">
      <c r="A10" s="2" t="s">
        <v>12</v>
      </c>
      <c r="B10" s="3">
        <f t="shared" si="0"/>
        <v>7431</v>
      </c>
      <c r="C10" s="3">
        <v>7431</v>
      </c>
      <c r="D10" s="3">
        <v>1956</v>
      </c>
      <c r="E10" s="3">
        <v>0</v>
      </c>
      <c r="F10" s="3">
        <v>0</v>
      </c>
    </row>
    <row r="11" spans="1:6" x14ac:dyDescent="0.3">
      <c r="A11" s="2" t="s">
        <v>13</v>
      </c>
      <c r="B11" s="3">
        <f t="shared" si="0"/>
        <v>3140</v>
      </c>
      <c r="C11" s="3">
        <v>3140</v>
      </c>
      <c r="D11" s="3">
        <v>2566</v>
      </c>
      <c r="E11" s="3">
        <v>0</v>
      </c>
      <c r="F11" s="3">
        <v>0</v>
      </c>
    </row>
    <row r="12" spans="1:6" x14ac:dyDescent="0.3">
      <c r="A12" s="2" t="s">
        <v>14</v>
      </c>
      <c r="B12" s="3">
        <f t="shared" si="0"/>
        <v>1051</v>
      </c>
      <c r="C12" s="3">
        <v>1051</v>
      </c>
      <c r="D12" s="3">
        <v>795</v>
      </c>
      <c r="E12" s="3">
        <v>0</v>
      </c>
      <c r="F12" s="3">
        <v>0</v>
      </c>
    </row>
    <row r="13" spans="1:6" x14ac:dyDescent="0.3">
      <c r="A13" s="2" t="s">
        <v>15</v>
      </c>
      <c r="B13" s="3">
        <f t="shared" si="0"/>
        <v>7081</v>
      </c>
      <c r="C13" s="3">
        <v>7081</v>
      </c>
      <c r="D13" s="3">
        <v>5303</v>
      </c>
      <c r="E13" s="3">
        <v>0</v>
      </c>
      <c r="F13" s="3">
        <v>0</v>
      </c>
    </row>
    <row r="14" spans="1:6" x14ac:dyDescent="0.3">
      <c r="A14" s="2" t="s">
        <v>16</v>
      </c>
      <c r="B14" s="3">
        <f t="shared" si="0"/>
        <v>-14373</v>
      </c>
      <c r="C14" s="3">
        <v>4972</v>
      </c>
      <c r="D14" s="3">
        <v>3439</v>
      </c>
      <c r="E14" s="3">
        <v>19345</v>
      </c>
      <c r="F14" s="3">
        <v>20040</v>
      </c>
    </row>
    <row r="15" spans="1:6" ht="17.25" thickBot="1" x14ac:dyDescent="0.35">
      <c r="A15" s="4" t="s">
        <v>17</v>
      </c>
      <c r="B15" s="5">
        <f>SUM(B3:B14)</f>
        <v>30897</v>
      </c>
      <c r="C15" s="5">
        <f t="shared" ref="C15" si="1">SUM(C3:C14)</f>
        <v>50242</v>
      </c>
      <c r="D15" s="5">
        <f t="shared" ref="D15:F15" si="2">SUM(D3:D14)</f>
        <v>33353</v>
      </c>
      <c r="E15" s="5">
        <f t="shared" si="2"/>
        <v>19345</v>
      </c>
      <c r="F15" s="5">
        <f t="shared" si="2"/>
        <v>20040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6028</v>
      </c>
      <c r="C3" s="3">
        <v>6028</v>
      </c>
      <c r="D3" s="3">
        <v>4940</v>
      </c>
      <c r="E3" s="3">
        <v>0</v>
      </c>
      <c r="F3" s="3">
        <v>0</v>
      </c>
    </row>
    <row r="4" spans="1:6" x14ac:dyDescent="0.3">
      <c r="A4" s="2" t="s">
        <v>6</v>
      </c>
      <c r="B4" s="3">
        <f t="shared" ref="B4:B14" si="0">C4-E4</f>
        <v>5384</v>
      </c>
      <c r="C4" s="3">
        <v>5384</v>
      </c>
      <c r="D4" s="3">
        <v>4350</v>
      </c>
      <c r="E4" s="3">
        <v>0</v>
      </c>
      <c r="F4" s="3">
        <v>0</v>
      </c>
    </row>
    <row r="5" spans="1:6" x14ac:dyDescent="0.3">
      <c r="A5" s="2" t="s">
        <v>7</v>
      </c>
      <c r="B5" s="3">
        <f t="shared" si="0"/>
        <v>6860</v>
      </c>
      <c r="C5" s="3">
        <v>6860</v>
      </c>
      <c r="D5" s="3">
        <v>5402</v>
      </c>
      <c r="E5" s="3">
        <v>0</v>
      </c>
      <c r="F5" s="3">
        <v>0</v>
      </c>
    </row>
    <row r="6" spans="1:6" x14ac:dyDescent="0.3">
      <c r="A6" s="2" t="s">
        <v>8</v>
      </c>
      <c r="B6" s="3">
        <f t="shared" si="0"/>
        <v>5554</v>
      </c>
      <c r="C6" s="3">
        <v>5554</v>
      </c>
      <c r="D6" s="3">
        <v>4125</v>
      </c>
      <c r="E6" s="3">
        <v>0</v>
      </c>
      <c r="F6" s="3">
        <v>0</v>
      </c>
    </row>
    <row r="7" spans="1:6" x14ac:dyDescent="0.3">
      <c r="A7" s="2" t="s">
        <v>9</v>
      </c>
      <c r="B7" s="3">
        <f t="shared" si="0"/>
        <v>4405</v>
      </c>
      <c r="C7" s="3">
        <v>4405</v>
      </c>
      <c r="D7" s="3">
        <v>3458</v>
      </c>
      <c r="E7" s="3">
        <v>0</v>
      </c>
      <c r="F7" s="3">
        <v>0</v>
      </c>
    </row>
    <row r="8" spans="1:6" x14ac:dyDescent="0.3">
      <c r="A8" s="2" t="s">
        <v>10</v>
      </c>
      <c r="B8" s="3">
        <f t="shared" si="0"/>
        <v>4596</v>
      </c>
      <c r="C8" s="3">
        <v>4596</v>
      </c>
      <c r="D8" s="3">
        <v>3621</v>
      </c>
      <c r="E8" s="3">
        <v>0</v>
      </c>
      <c r="F8" s="3">
        <v>0</v>
      </c>
    </row>
    <row r="9" spans="1:6" x14ac:dyDescent="0.3">
      <c r="A9" s="2" t="s">
        <v>11</v>
      </c>
      <c r="B9" s="3">
        <f t="shared" si="0"/>
        <v>497</v>
      </c>
      <c r="C9" s="3">
        <v>497</v>
      </c>
      <c r="D9" s="3">
        <v>350</v>
      </c>
      <c r="E9" s="3">
        <v>0</v>
      </c>
      <c r="F9" s="3">
        <v>0</v>
      </c>
    </row>
    <row r="10" spans="1:6" x14ac:dyDescent="0.3">
      <c r="A10" s="2" t="s">
        <v>12</v>
      </c>
      <c r="B10" s="3">
        <f t="shared" si="0"/>
        <v>4235</v>
      </c>
      <c r="C10" s="3">
        <v>4235</v>
      </c>
      <c r="D10" s="3">
        <v>3390</v>
      </c>
      <c r="E10" s="3">
        <v>0</v>
      </c>
      <c r="F10" s="3">
        <v>0</v>
      </c>
    </row>
    <row r="11" spans="1:6" x14ac:dyDescent="0.3">
      <c r="A11" s="2" t="s">
        <v>13</v>
      </c>
      <c r="B11" s="3">
        <f t="shared" si="0"/>
        <v>3055</v>
      </c>
      <c r="C11" s="3">
        <v>3055</v>
      </c>
      <c r="D11" s="3">
        <v>2200</v>
      </c>
      <c r="E11" s="3">
        <v>0</v>
      </c>
      <c r="F11" s="3">
        <v>0</v>
      </c>
    </row>
    <row r="12" spans="1:6" x14ac:dyDescent="0.3">
      <c r="A12" s="2" t="s">
        <v>14</v>
      </c>
      <c r="B12" s="3">
        <f t="shared" si="0"/>
        <v>2934</v>
      </c>
      <c r="C12" s="3">
        <v>2934</v>
      </c>
      <c r="D12" s="3">
        <v>1835</v>
      </c>
      <c r="E12" s="3">
        <v>0</v>
      </c>
      <c r="F12" s="3">
        <v>0</v>
      </c>
    </row>
    <row r="13" spans="1:6" x14ac:dyDescent="0.3">
      <c r="A13" s="2" t="s">
        <v>15</v>
      </c>
      <c r="B13" s="3">
        <f t="shared" si="0"/>
        <v>-11305</v>
      </c>
      <c r="C13" s="3">
        <v>11102</v>
      </c>
      <c r="D13" s="3">
        <v>7620</v>
      </c>
      <c r="E13" s="3">
        <v>22407</v>
      </c>
      <c r="F13" s="3">
        <v>20090</v>
      </c>
    </row>
    <row r="14" spans="1:6" x14ac:dyDescent="0.3">
      <c r="A14" s="2" t="s">
        <v>16</v>
      </c>
      <c r="B14" s="3">
        <f t="shared" si="0"/>
        <v>2907</v>
      </c>
      <c r="C14" s="3">
        <v>2907</v>
      </c>
      <c r="D14" s="3">
        <v>1807</v>
      </c>
      <c r="E14" s="3">
        <v>0</v>
      </c>
      <c r="F14" s="3">
        <v>0</v>
      </c>
    </row>
    <row r="15" spans="1:6" ht="17.25" thickBot="1" x14ac:dyDescent="0.35">
      <c r="A15" s="4" t="s">
        <v>17</v>
      </c>
      <c r="B15" s="5">
        <f>SUM(B3:B14)</f>
        <v>35150</v>
      </c>
      <c r="C15" s="5">
        <f t="shared" ref="C15" si="1">SUM(C3:C14)</f>
        <v>57557</v>
      </c>
      <c r="D15" s="5">
        <f t="shared" ref="D15:F15" si="2">SUM(D3:D14)</f>
        <v>43098</v>
      </c>
      <c r="E15" s="5">
        <f t="shared" si="2"/>
        <v>22407</v>
      </c>
      <c r="F15" s="5">
        <f t="shared" si="2"/>
        <v>20090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4885</v>
      </c>
      <c r="C3" s="3">
        <v>4885</v>
      </c>
      <c r="D3" s="3">
        <v>4044</v>
      </c>
      <c r="E3" s="3">
        <v>0</v>
      </c>
      <c r="F3" s="3">
        <v>0</v>
      </c>
    </row>
    <row r="4" spans="1:6" x14ac:dyDescent="0.3">
      <c r="A4" s="2" t="s">
        <v>6</v>
      </c>
      <c r="B4" s="3">
        <f t="shared" ref="B4:B14" si="0">C4-E4</f>
        <v>2958</v>
      </c>
      <c r="C4" s="3">
        <v>2958</v>
      </c>
      <c r="D4" s="3">
        <v>1223</v>
      </c>
      <c r="E4" s="3">
        <v>0</v>
      </c>
      <c r="F4" s="3">
        <v>0</v>
      </c>
    </row>
    <row r="5" spans="1:6" x14ac:dyDescent="0.3">
      <c r="A5" s="2" t="s">
        <v>7</v>
      </c>
      <c r="B5" s="3">
        <f t="shared" si="0"/>
        <v>1342</v>
      </c>
      <c r="C5" s="3">
        <v>1342</v>
      </c>
      <c r="D5" s="3">
        <v>955</v>
      </c>
      <c r="E5" s="3">
        <v>0</v>
      </c>
      <c r="F5" s="3">
        <v>0</v>
      </c>
    </row>
    <row r="6" spans="1:6" x14ac:dyDescent="0.3">
      <c r="A6" s="2" t="s">
        <v>8</v>
      </c>
      <c r="B6" s="3">
        <f t="shared" si="0"/>
        <v>4285</v>
      </c>
      <c r="C6" s="3">
        <v>4285</v>
      </c>
      <c r="D6" s="3">
        <v>2544</v>
      </c>
      <c r="E6" s="3">
        <v>0</v>
      </c>
      <c r="F6" s="3">
        <v>0</v>
      </c>
    </row>
    <row r="7" spans="1:6" x14ac:dyDescent="0.3">
      <c r="A7" s="2" t="s">
        <v>9</v>
      </c>
      <c r="B7" s="3">
        <f t="shared" si="0"/>
        <v>1591</v>
      </c>
      <c r="C7" s="3">
        <v>1591</v>
      </c>
      <c r="D7" s="3">
        <v>1103</v>
      </c>
      <c r="E7" s="3">
        <v>0</v>
      </c>
      <c r="F7" s="3">
        <v>0</v>
      </c>
    </row>
    <row r="8" spans="1:6" x14ac:dyDescent="0.3">
      <c r="A8" s="2" t="s">
        <v>10</v>
      </c>
      <c r="B8" s="3">
        <f t="shared" si="0"/>
        <v>5063</v>
      </c>
      <c r="C8" s="3">
        <v>5063</v>
      </c>
      <c r="D8" s="3">
        <v>4071</v>
      </c>
      <c r="E8" s="3">
        <v>0</v>
      </c>
      <c r="F8" s="3">
        <v>0</v>
      </c>
    </row>
    <row r="9" spans="1:6" x14ac:dyDescent="0.3">
      <c r="A9" s="2" t="s">
        <v>11</v>
      </c>
      <c r="B9" s="3">
        <f t="shared" si="0"/>
        <v>14077</v>
      </c>
      <c r="C9" s="3">
        <v>14077</v>
      </c>
      <c r="D9" s="3">
        <v>6105</v>
      </c>
      <c r="E9" s="3">
        <v>0</v>
      </c>
      <c r="F9" s="3">
        <v>0</v>
      </c>
    </row>
    <row r="10" spans="1:6" x14ac:dyDescent="0.3">
      <c r="A10" s="2" t="s">
        <v>12</v>
      </c>
      <c r="B10" s="3">
        <f t="shared" si="0"/>
        <v>7582</v>
      </c>
      <c r="C10" s="3">
        <v>7582</v>
      </c>
      <c r="D10" s="3">
        <v>3131</v>
      </c>
      <c r="E10" s="3">
        <v>0</v>
      </c>
      <c r="F10" s="3">
        <v>0</v>
      </c>
    </row>
    <row r="11" spans="1:6" x14ac:dyDescent="0.3">
      <c r="A11" s="2" t="s">
        <v>13</v>
      </c>
      <c r="B11" s="3">
        <f t="shared" si="0"/>
        <v>6924</v>
      </c>
      <c r="C11" s="3">
        <v>6924</v>
      </c>
      <c r="D11" s="3">
        <v>2714</v>
      </c>
      <c r="E11" s="3">
        <v>0</v>
      </c>
      <c r="F11" s="3">
        <v>0</v>
      </c>
    </row>
    <row r="12" spans="1:6" x14ac:dyDescent="0.3">
      <c r="A12" s="2" t="s">
        <v>14</v>
      </c>
      <c r="B12" s="3">
        <f t="shared" si="0"/>
        <v>1050</v>
      </c>
      <c r="C12" s="3">
        <v>1050</v>
      </c>
      <c r="D12" s="3">
        <v>430</v>
      </c>
      <c r="E12" s="3">
        <v>0</v>
      </c>
      <c r="F12" s="3">
        <v>0</v>
      </c>
    </row>
    <row r="13" spans="1:6" x14ac:dyDescent="0.3">
      <c r="A13" s="2" t="s">
        <v>15</v>
      </c>
      <c r="B13" s="3">
        <f t="shared" si="0"/>
        <v>2008</v>
      </c>
      <c r="C13" s="3">
        <v>2008</v>
      </c>
      <c r="D13" s="3">
        <v>813</v>
      </c>
      <c r="E13" s="3">
        <v>0</v>
      </c>
      <c r="F13" s="3">
        <v>0</v>
      </c>
    </row>
    <row r="14" spans="1:6" x14ac:dyDescent="0.3">
      <c r="A14" s="2" t="s">
        <v>16</v>
      </c>
      <c r="B14" s="3">
        <f t="shared" si="0"/>
        <v>3169</v>
      </c>
      <c r="C14" s="3">
        <v>3169</v>
      </c>
      <c r="D14" s="3">
        <v>1363</v>
      </c>
      <c r="E14" s="3">
        <v>0</v>
      </c>
      <c r="F14" s="3">
        <v>0</v>
      </c>
    </row>
    <row r="15" spans="1:6" ht="17.25" thickBot="1" x14ac:dyDescent="0.35">
      <c r="A15" s="4" t="s">
        <v>17</v>
      </c>
      <c r="B15" s="5">
        <f>SUM(B3:B14)</f>
        <v>54934</v>
      </c>
      <c r="C15" s="5">
        <f t="shared" ref="C15" si="1">SUM(C3:C14)</f>
        <v>54934</v>
      </c>
      <c r="D15" s="5">
        <f t="shared" ref="D15:F15" si="2">SUM(D3:D14)</f>
        <v>28496</v>
      </c>
      <c r="E15" s="5">
        <f t="shared" si="2"/>
        <v>0</v>
      </c>
      <c r="F15" s="5">
        <f t="shared" si="2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6142</v>
      </c>
      <c r="C3" s="3">
        <v>6153</v>
      </c>
      <c r="D3" s="3">
        <v>2514</v>
      </c>
      <c r="E3" s="3">
        <v>11</v>
      </c>
      <c r="F3" s="3">
        <v>1</v>
      </c>
    </row>
    <row r="4" spans="1:6" x14ac:dyDescent="0.3">
      <c r="A4" s="2" t="s">
        <v>6</v>
      </c>
      <c r="B4" s="3">
        <f t="shared" ref="B4:B14" si="0">C4-E4</f>
        <v>2716</v>
      </c>
      <c r="C4" s="3">
        <v>2716</v>
      </c>
      <c r="D4" s="3">
        <v>1157</v>
      </c>
      <c r="E4" s="3">
        <v>0</v>
      </c>
      <c r="F4" s="3">
        <v>0</v>
      </c>
    </row>
    <row r="5" spans="1:6" x14ac:dyDescent="0.3">
      <c r="A5" s="2" t="s">
        <v>7</v>
      </c>
      <c r="B5" s="3">
        <f t="shared" si="0"/>
        <v>-4475</v>
      </c>
      <c r="C5" s="3">
        <v>30905</v>
      </c>
      <c r="D5" s="3">
        <v>4231</v>
      </c>
      <c r="E5" s="3">
        <v>35380</v>
      </c>
      <c r="F5" s="3">
        <v>21000</v>
      </c>
    </row>
    <row r="6" spans="1:6" x14ac:dyDescent="0.3">
      <c r="A6" s="2" t="s">
        <v>8</v>
      </c>
      <c r="B6" s="3">
        <f t="shared" si="0"/>
        <v>-138942</v>
      </c>
      <c r="C6" s="3">
        <v>2584</v>
      </c>
      <c r="D6" s="3">
        <v>1040</v>
      </c>
      <c r="E6" s="3">
        <v>141526</v>
      </c>
      <c r="F6" s="3">
        <v>84001</v>
      </c>
    </row>
    <row r="7" spans="1:6" x14ac:dyDescent="0.3">
      <c r="A7" s="2" t="s">
        <v>9</v>
      </c>
      <c r="B7" s="3">
        <f t="shared" si="0"/>
        <v>-645235</v>
      </c>
      <c r="C7" s="3">
        <v>5355</v>
      </c>
      <c r="D7" s="3">
        <v>2288</v>
      </c>
      <c r="E7" s="3">
        <v>650590</v>
      </c>
      <c r="F7" s="3">
        <v>315002</v>
      </c>
    </row>
    <row r="8" spans="1:6" x14ac:dyDescent="0.3">
      <c r="A8" s="2" t="s">
        <v>10</v>
      </c>
      <c r="B8" s="3">
        <f t="shared" si="0"/>
        <v>-1507177</v>
      </c>
      <c r="C8" s="3">
        <v>10813</v>
      </c>
      <c r="D8" s="3">
        <v>4651</v>
      </c>
      <c r="E8" s="3">
        <v>1517990</v>
      </c>
      <c r="F8" s="3">
        <v>735000</v>
      </c>
    </row>
    <row r="9" spans="1:6" x14ac:dyDescent="0.3">
      <c r="A9" s="2" t="s">
        <v>11</v>
      </c>
      <c r="B9" s="3">
        <f t="shared" si="0"/>
        <v>-2886068</v>
      </c>
      <c r="C9" s="3">
        <v>1360</v>
      </c>
      <c r="D9" s="3">
        <v>513</v>
      </c>
      <c r="E9" s="3">
        <v>2887428</v>
      </c>
      <c r="F9" s="3">
        <v>1365000</v>
      </c>
    </row>
    <row r="10" spans="1:6" x14ac:dyDescent="0.3">
      <c r="A10" s="2" t="s">
        <v>12</v>
      </c>
      <c r="B10" s="3">
        <f t="shared" si="0"/>
        <v>-799935</v>
      </c>
      <c r="C10" s="3">
        <v>3882</v>
      </c>
      <c r="D10" s="3">
        <v>1450</v>
      </c>
      <c r="E10" s="3">
        <v>803817</v>
      </c>
      <c r="F10" s="3">
        <v>399000</v>
      </c>
    </row>
    <row r="11" spans="1:6" x14ac:dyDescent="0.3">
      <c r="A11" s="2" t="s">
        <v>13</v>
      </c>
      <c r="B11" s="3">
        <f t="shared" si="0"/>
        <v>-1306498</v>
      </c>
      <c r="C11" s="3">
        <v>4977</v>
      </c>
      <c r="D11" s="3">
        <v>2008</v>
      </c>
      <c r="E11" s="3">
        <v>1311475</v>
      </c>
      <c r="F11" s="3">
        <v>651000</v>
      </c>
    </row>
    <row r="12" spans="1:6" x14ac:dyDescent="0.3">
      <c r="A12" s="2" t="s">
        <v>14</v>
      </c>
      <c r="B12" s="3">
        <f t="shared" si="0"/>
        <v>-1205793</v>
      </c>
      <c r="C12" s="3">
        <v>3103</v>
      </c>
      <c r="D12" s="3">
        <v>1295</v>
      </c>
      <c r="E12" s="3">
        <v>1208896</v>
      </c>
      <c r="F12" s="3">
        <v>693000</v>
      </c>
    </row>
    <row r="13" spans="1:6" x14ac:dyDescent="0.3">
      <c r="A13" s="2" t="s">
        <v>15</v>
      </c>
      <c r="B13" s="3">
        <f t="shared" si="0"/>
        <v>-1637958</v>
      </c>
      <c r="C13" s="3">
        <v>9400</v>
      </c>
      <c r="D13" s="3">
        <v>3849</v>
      </c>
      <c r="E13" s="3">
        <v>1647358</v>
      </c>
      <c r="F13" s="3">
        <v>903000</v>
      </c>
    </row>
    <row r="14" spans="1:6" x14ac:dyDescent="0.3">
      <c r="A14" s="2" t="s">
        <v>16</v>
      </c>
      <c r="B14" s="3">
        <f t="shared" si="0"/>
        <v>1895</v>
      </c>
      <c r="C14" s="3">
        <v>1895</v>
      </c>
      <c r="D14" s="3">
        <v>848</v>
      </c>
      <c r="E14" s="3">
        <v>0</v>
      </c>
      <c r="F14" s="3">
        <v>0</v>
      </c>
    </row>
    <row r="15" spans="1:6" ht="17.25" thickBot="1" x14ac:dyDescent="0.35">
      <c r="A15" s="4" t="s">
        <v>17</v>
      </c>
      <c r="B15" s="5">
        <f>SUM(B3:B14)</f>
        <v>-10121328</v>
      </c>
      <c r="C15" s="5">
        <f t="shared" ref="C15" si="1">SUM(C3:C14)</f>
        <v>83143</v>
      </c>
      <c r="D15" s="5">
        <f t="shared" ref="D15:F15" si="2">SUM(D3:D14)</f>
        <v>25844</v>
      </c>
      <c r="E15" s="5">
        <f t="shared" si="2"/>
        <v>10204471</v>
      </c>
      <c r="F15" s="5">
        <f t="shared" si="2"/>
        <v>5166004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-2806129</v>
      </c>
      <c r="C3" s="3">
        <v>6475</v>
      </c>
      <c r="D3" s="3">
        <v>614</v>
      </c>
      <c r="E3" s="3">
        <v>2812604</v>
      </c>
      <c r="F3" s="3">
        <v>1722113</v>
      </c>
    </row>
    <row r="4" spans="1:6" x14ac:dyDescent="0.3">
      <c r="A4" s="2" t="s">
        <v>6</v>
      </c>
      <c r="B4" s="3">
        <f t="shared" ref="B4:B14" si="0">C4-E4</f>
        <v>-1203261</v>
      </c>
      <c r="C4" s="3">
        <v>22279</v>
      </c>
      <c r="D4" s="3">
        <v>3136</v>
      </c>
      <c r="E4" s="3">
        <v>1225540</v>
      </c>
      <c r="F4" s="3">
        <v>798005</v>
      </c>
    </row>
    <row r="5" spans="1:6" x14ac:dyDescent="0.3">
      <c r="A5" s="2" t="s">
        <v>7</v>
      </c>
      <c r="B5" s="3">
        <f t="shared" si="0"/>
        <v>-801602</v>
      </c>
      <c r="C5" s="3">
        <v>6756</v>
      </c>
      <c r="D5" s="3">
        <v>2054</v>
      </c>
      <c r="E5" s="3">
        <v>808358</v>
      </c>
      <c r="F5" s="3">
        <v>546003</v>
      </c>
    </row>
    <row r="6" spans="1:6" x14ac:dyDescent="0.3">
      <c r="A6" s="2" t="s">
        <v>8</v>
      </c>
      <c r="B6" s="3">
        <f t="shared" si="0"/>
        <v>-769495</v>
      </c>
      <c r="C6" s="3">
        <v>1862</v>
      </c>
      <c r="D6" s="3">
        <v>504</v>
      </c>
      <c r="E6" s="3">
        <v>771357</v>
      </c>
      <c r="F6" s="3">
        <v>504002</v>
      </c>
    </row>
    <row r="7" spans="1:6" x14ac:dyDescent="0.3">
      <c r="A7" s="2" t="s">
        <v>9</v>
      </c>
      <c r="B7" s="3">
        <f t="shared" si="0"/>
        <v>-1438949</v>
      </c>
      <c r="C7" s="3">
        <v>5975</v>
      </c>
      <c r="D7" s="3">
        <v>1651</v>
      </c>
      <c r="E7" s="3">
        <v>1444924</v>
      </c>
      <c r="F7" s="3">
        <v>945001</v>
      </c>
    </row>
    <row r="8" spans="1:6" x14ac:dyDescent="0.3">
      <c r="A8" s="2" t="s">
        <v>10</v>
      </c>
      <c r="B8" s="3">
        <f t="shared" si="0"/>
        <v>-1839393</v>
      </c>
      <c r="C8" s="3">
        <v>22952</v>
      </c>
      <c r="D8" s="3">
        <v>5852</v>
      </c>
      <c r="E8" s="3">
        <v>1862345</v>
      </c>
      <c r="F8" s="3">
        <v>1218000</v>
      </c>
    </row>
    <row r="9" spans="1:6" x14ac:dyDescent="0.3">
      <c r="A9" s="2" t="s">
        <v>11</v>
      </c>
      <c r="B9" s="3">
        <f t="shared" si="0"/>
        <v>-541365</v>
      </c>
      <c r="C9" s="3">
        <v>5321</v>
      </c>
      <c r="D9" s="3">
        <v>1403</v>
      </c>
      <c r="E9" s="3">
        <v>546686</v>
      </c>
      <c r="F9" s="3">
        <v>357110</v>
      </c>
    </row>
    <row r="10" spans="1:6" x14ac:dyDescent="0.3">
      <c r="A10" s="2" t="s">
        <v>12</v>
      </c>
      <c r="B10" s="3">
        <f t="shared" si="0"/>
        <v>754</v>
      </c>
      <c r="C10" s="3">
        <v>790</v>
      </c>
      <c r="D10" s="3">
        <v>257</v>
      </c>
      <c r="E10" s="3">
        <v>36</v>
      </c>
      <c r="F10" s="3">
        <v>11</v>
      </c>
    </row>
    <row r="11" spans="1:6" x14ac:dyDescent="0.3">
      <c r="A11" s="2" t="s">
        <v>13</v>
      </c>
      <c r="B11" s="3">
        <f t="shared" si="0"/>
        <v>2368</v>
      </c>
      <c r="C11" s="3">
        <v>2368</v>
      </c>
      <c r="D11" s="3">
        <v>844</v>
      </c>
      <c r="E11" s="3">
        <v>0</v>
      </c>
      <c r="F11" s="3">
        <v>0</v>
      </c>
    </row>
    <row r="12" spans="1:6" x14ac:dyDescent="0.3">
      <c r="A12" s="2" t="s">
        <v>14</v>
      </c>
      <c r="B12" s="3">
        <f t="shared" si="0"/>
        <v>2371</v>
      </c>
      <c r="C12" s="3">
        <v>2419</v>
      </c>
      <c r="D12" s="3">
        <v>884</v>
      </c>
      <c r="E12" s="3">
        <v>48</v>
      </c>
      <c r="F12" s="3">
        <v>7</v>
      </c>
    </row>
    <row r="13" spans="1:6" x14ac:dyDescent="0.3">
      <c r="A13" s="2" t="s">
        <v>15</v>
      </c>
      <c r="B13" s="3">
        <f t="shared" si="0"/>
        <v>7582</v>
      </c>
      <c r="C13" s="3">
        <v>7582</v>
      </c>
      <c r="D13" s="3">
        <v>2659</v>
      </c>
      <c r="E13" s="3">
        <v>0</v>
      </c>
      <c r="F13" s="3">
        <v>0</v>
      </c>
    </row>
    <row r="14" spans="1:6" x14ac:dyDescent="0.3">
      <c r="A14" s="2" t="s">
        <v>16</v>
      </c>
      <c r="B14" s="3">
        <f t="shared" si="0"/>
        <v>5979</v>
      </c>
      <c r="C14" s="3">
        <v>5979</v>
      </c>
      <c r="D14" s="3">
        <v>2310</v>
      </c>
      <c r="E14" s="3">
        <v>0</v>
      </c>
      <c r="F14" s="3">
        <v>0</v>
      </c>
    </row>
    <row r="15" spans="1:6" ht="17.25" thickBot="1" x14ac:dyDescent="0.35">
      <c r="A15" s="4" t="s">
        <v>17</v>
      </c>
      <c r="B15" s="5">
        <f>SUM(B3:B14)</f>
        <v>-9381140</v>
      </c>
      <c r="C15" s="5">
        <f t="shared" ref="C15" si="1">SUM(C3:C14)</f>
        <v>90758</v>
      </c>
      <c r="D15" s="5">
        <f t="shared" ref="D15:F15" si="2">SUM(D3:D14)</f>
        <v>22168</v>
      </c>
      <c r="E15" s="5">
        <f t="shared" si="2"/>
        <v>9471898</v>
      </c>
      <c r="F15" s="5">
        <f t="shared" si="2"/>
        <v>6090252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1732</v>
      </c>
      <c r="C3" s="3">
        <v>1750</v>
      </c>
      <c r="D3" s="3">
        <v>660</v>
      </c>
      <c r="E3" s="3">
        <v>18</v>
      </c>
      <c r="F3" s="3">
        <v>3</v>
      </c>
    </row>
    <row r="4" spans="1:6" x14ac:dyDescent="0.3">
      <c r="A4" s="2" t="s">
        <v>6</v>
      </c>
      <c r="B4" s="3">
        <f t="shared" ref="B4:B14" si="0">C4-E4</f>
        <v>457</v>
      </c>
      <c r="C4" s="3">
        <v>476</v>
      </c>
      <c r="D4" s="3">
        <v>147</v>
      </c>
      <c r="E4" s="3">
        <v>19</v>
      </c>
      <c r="F4" s="3">
        <v>2</v>
      </c>
    </row>
    <row r="5" spans="1:6" x14ac:dyDescent="0.3">
      <c r="A5" s="2" t="s">
        <v>7</v>
      </c>
      <c r="B5" s="3">
        <f t="shared" si="0"/>
        <v>1917</v>
      </c>
      <c r="C5" s="3">
        <v>1921</v>
      </c>
      <c r="D5" s="3">
        <v>834</v>
      </c>
      <c r="E5" s="3">
        <v>4</v>
      </c>
      <c r="F5" s="3">
        <v>1</v>
      </c>
    </row>
    <row r="6" spans="1:6" x14ac:dyDescent="0.3">
      <c r="A6" s="2" t="s">
        <v>8</v>
      </c>
      <c r="B6" s="3">
        <f t="shared" si="0"/>
        <v>-337995</v>
      </c>
      <c r="C6" s="3">
        <v>2218</v>
      </c>
      <c r="D6" s="3">
        <v>1054</v>
      </c>
      <c r="E6" s="3">
        <v>340213</v>
      </c>
      <c r="F6" s="3">
        <v>315000</v>
      </c>
    </row>
    <row r="7" spans="1:6" x14ac:dyDescent="0.3">
      <c r="A7" s="2" t="s">
        <v>9</v>
      </c>
      <c r="B7" s="3">
        <f t="shared" si="0"/>
        <v>-829140</v>
      </c>
      <c r="C7" s="3">
        <v>2316</v>
      </c>
      <c r="D7" s="3">
        <v>1164</v>
      </c>
      <c r="E7" s="3">
        <v>831456</v>
      </c>
      <c r="F7" s="3">
        <v>756110</v>
      </c>
    </row>
    <row r="8" spans="1:6" x14ac:dyDescent="0.3">
      <c r="A8" s="2" t="s">
        <v>10</v>
      </c>
      <c r="B8" s="3">
        <f t="shared" si="0"/>
        <v>-263898</v>
      </c>
      <c r="C8" s="3">
        <v>9527</v>
      </c>
      <c r="D8" s="3">
        <v>3857</v>
      </c>
      <c r="E8" s="3">
        <v>273425</v>
      </c>
      <c r="F8" s="3">
        <v>252001</v>
      </c>
    </row>
    <row r="9" spans="1:6" x14ac:dyDescent="0.3">
      <c r="A9" s="2" t="s">
        <v>11</v>
      </c>
      <c r="B9" s="3">
        <f t="shared" si="0"/>
        <v>-1128158</v>
      </c>
      <c r="C9" s="3">
        <v>143</v>
      </c>
      <c r="D9" s="3">
        <v>83</v>
      </c>
      <c r="E9" s="3">
        <v>1128301</v>
      </c>
      <c r="F9" s="3">
        <v>1029000</v>
      </c>
    </row>
    <row r="10" spans="1:6" x14ac:dyDescent="0.3">
      <c r="A10" s="2" t="s">
        <v>12</v>
      </c>
      <c r="B10" s="3">
        <f t="shared" si="0"/>
        <v>-1020086</v>
      </c>
      <c r="C10" s="3">
        <v>1786</v>
      </c>
      <c r="D10" s="3">
        <v>926</v>
      </c>
      <c r="E10" s="3">
        <v>1021872</v>
      </c>
      <c r="F10" s="3">
        <v>924000</v>
      </c>
    </row>
    <row r="11" spans="1:6" x14ac:dyDescent="0.3">
      <c r="A11" s="2" t="s">
        <v>13</v>
      </c>
      <c r="B11" s="3">
        <f t="shared" si="0"/>
        <v>-508899</v>
      </c>
      <c r="C11" s="3">
        <v>1389</v>
      </c>
      <c r="D11" s="3">
        <v>660</v>
      </c>
      <c r="E11" s="3">
        <v>510288</v>
      </c>
      <c r="F11" s="3">
        <v>462000</v>
      </c>
    </row>
    <row r="12" spans="1:6" x14ac:dyDescent="0.3">
      <c r="A12" s="2" t="s">
        <v>14</v>
      </c>
      <c r="B12" s="3">
        <f t="shared" si="0"/>
        <v>-827419</v>
      </c>
      <c r="C12" s="3">
        <v>1906</v>
      </c>
      <c r="D12" s="3">
        <v>1157</v>
      </c>
      <c r="E12" s="3">
        <v>829325</v>
      </c>
      <c r="F12" s="3">
        <v>756000</v>
      </c>
    </row>
    <row r="13" spans="1:6" x14ac:dyDescent="0.3">
      <c r="A13" s="2" t="s">
        <v>15</v>
      </c>
      <c r="B13" s="3">
        <f t="shared" si="0"/>
        <v>-717865</v>
      </c>
      <c r="C13" s="3">
        <v>5858</v>
      </c>
      <c r="D13" s="3">
        <v>1733</v>
      </c>
      <c r="E13" s="3">
        <v>723723</v>
      </c>
      <c r="F13" s="3">
        <v>651000</v>
      </c>
    </row>
    <row r="14" spans="1:6" x14ac:dyDescent="0.3">
      <c r="A14" s="2" t="s">
        <v>16</v>
      </c>
      <c r="B14" s="3">
        <f t="shared" si="0"/>
        <v>-2082083</v>
      </c>
      <c r="C14" s="3">
        <v>6534</v>
      </c>
      <c r="D14" s="3">
        <v>3282</v>
      </c>
      <c r="E14" s="3">
        <v>2088617</v>
      </c>
      <c r="F14" s="3">
        <v>1659000</v>
      </c>
    </row>
    <row r="15" spans="1:6" ht="17.25" thickBot="1" x14ac:dyDescent="0.35">
      <c r="A15" s="4" t="s">
        <v>17</v>
      </c>
      <c r="B15" s="5">
        <f>SUM(B3:B14)</f>
        <v>-7711437</v>
      </c>
      <c r="C15" s="5">
        <f t="shared" ref="C15" si="1">SUM(C3:C14)</f>
        <v>35824</v>
      </c>
      <c r="D15" s="5">
        <f t="shared" ref="D15:F15" si="2">SUM(D3:D14)</f>
        <v>15557</v>
      </c>
      <c r="E15" s="5">
        <f t="shared" si="2"/>
        <v>7747261</v>
      </c>
      <c r="F15" s="5">
        <f t="shared" si="2"/>
        <v>6804117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-973127</v>
      </c>
      <c r="C3" s="3">
        <v>769</v>
      </c>
      <c r="D3" s="3">
        <v>422</v>
      </c>
      <c r="E3" s="3">
        <v>973896</v>
      </c>
      <c r="F3" s="3">
        <v>756000</v>
      </c>
    </row>
    <row r="4" spans="1:6" x14ac:dyDescent="0.3">
      <c r="A4" s="2" t="s">
        <v>6</v>
      </c>
      <c r="B4" s="3">
        <f t="shared" ref="B4:B14" si="0">C4-E4</f>
        <v>-405778</v>
      </c>
      <c r="C4" s="3">
        <v>2532</v>
      </c>
      <c r="D4" s="3">
        <v>393</v>
      </c>
      <c r="E4" s="3">
        <v>408310</v>
      </c>
      <c r="F4" s="3">
        <v>294000</v>
      </c>
    </row>
    <row r="5" spans="1:6" x14ac:dyDescent="0.3">
      <c r="A5" s="2" t="s">
        <v>7</v>
      </c>
      <c r="B5" s="3">
        <f t="shared" si="0"/>
        <v>1845</v>
      </c>
      <c r="C5" s="3">
        <v>1845</v>
      </c>
      <c r="D5" s="3">
        <v>917</v>
      </c>
      <c r="E5" s="3">
        <v>0</v>
      </c>
      <c r="F5" s="3">
        <v>0</v>
      </c>
    </row>
    <row r="6" spans="1:6" x14ac:dyDescent="0.3">
      <c r="A6" s="2" t="s">
        <v>8</v>
      </c>
      <c r="B6" s="3">
        <f t="shared" si="0"/>
        <v>3512</v>
      </c>
      <c r="C6" s="3">
        <v>3512</v>
      </c>
      <c r="D6" s="3">
        <v>1711</v>
      </c>
      <c r="E6" s="3">
        <v>0</v>
      </c>
      <c r="F6" s="3">
        <v>0</v>
      </c>
    </row>
    <row r="7" spans="1:6" x14ac:dyDescent="0.3">
      <c r="A7" s="2" t="s">
        <v>9</v>
      </c>
      <c r="B7" s="3">
        <f t="shared" si="0"/>
        <v>-256099</v>
      </c>
      <c r="C7" s="3">
        <v>3649</v>
      </c>
      <c r="D7" s="3">
        <v>1366</v>
      </c>
      <c r="E7" s="3">
        <v>259748</v>
      </c>
      <c r="F7" s="3">
        <v>210000</v>
      </c>
    </row>
    <row r="8" spans="1:6" x14ac:dyDescent="0.3">
      <c r="A8" s="2" t="s">
        <v>10</v>
      </c>
      <c r="B8" s="3">
        <f t="shared" si="0"/>
        <v>-154401</v>
      </c>
      <c r="C8" s="3">
        <v>4622</v>
      </c>
      <c r="D8" s="3">
        <v>2511</v>
      </c>
      <c r="E8" s="3">
        <v>159023</v>
      </c>
      <c r="F8" s="3">
        <v>126000</v>
      </c>
    </row>
    <row r="9" spans="1:6" x14ac:dyDescent="0.3">
      <c r="A9" s="2" t="s">
        <v>11</v>
      </c>
      <c r="B9" s="3">
        <f t="shared" si="0"/>
        <v>6308</v>
      </c>
      <c r="C9" s="3">
        <v>6308</v>
      </c>
      <c r="D9" s="3">
        <v>2535</v>
      </c>
      <c r="E9" s="3">
        <v>0</v>
      </c>
      <c r="F9" s="3">
        <v>0</v>
      </c>
    </row>
    <row r="10" spans="1:6" x14ac:dyDescent="0.3">
      <c r="A10" s="2" t="s">
        <v>12</v>
      </c>
      <c r="B10" s="3">
        <f t="shared" si="0"/>
        <v>-128428</v>
      </c>
      <c r="C10" s="3">
        <v>4397</v>
      </c>
      <c r="D10" s="3">
        <v>2192</v>
      </c>
      <c r="E10" s="3">
        <v>132825</v>
      </c>
      <c r="F10" s="3">
        <v>105000</v>
      </c>
    </row>
    <row r="11" spans="1:6" x14ac:dyDescent="0.3">
      <c r="A11" s="2" t="s">
        <v>13</v>
      </c>
      <c r="B11" s="3">
        <f t="shared" si="0"/>
        <v>-392350</v>
      </c>
      <c r="C11" s="3">
        <v>6125</v>
      </c>
      <c r="D11" s="3">
        <v>2496</v>
      </c>
      <c r="E11" s="3">
        <v>398475</v>
      </c>
      <c r="F11" s="3">
        <v>315000</v>
      </c>
    </row>
    <row r="12" spans="1:6" x14ac:dyDescent="0.3">
      <c r="A12" s="2" t="s">
        <v>14</v>
      </c>
      <c r="B12" s="3">
        <f t="shared" si="0"/>
        <v>-1139742</v>
      </c>
      <c r="C12" s="3">
        <v>2750</v>
      </c>
      <c r="D12" s="3">
        <v>1382</v>
      </c>
      <c r="E12" s="3">
        <v>1142492</v>
      </c>
      <c r="F12" s="3">
        <v>903001</v>
      </c>
    </row>
    <row r="13" spans="1:6" x14ac:dyDescent="0.3">
      <c r="A13" s="2" t="s">
        <v>15</v>
      </c>
      <c r="B13" s="3">
        <f t="shared" si="0"/>
        <v>-155312</v>
      </c>
      <c r="C13" s="3">
        <v>6952</v>
      </c>
      <c r="D13" s="3">
        <v>3246</v>
      </c>
      <c r="E13" s="3">
        <v>162264</v>
      </c>
      <c r="F13" s="3">
        <v>126003</v>
      </c>
    </row>
    <row r="14" spans="1:6" x14ac:dyDescent="0.3">
      <c r="A14" s="2" t="s">
        <v>16</v>
      </c>
      <c r="B14" s="3">
        <f t="shared" si="0"/>
        <v>18570</v>
      </c>
      <c r="C14" s="3">
        <v>18587</v>
      </c>
      <c r="D14" s="3">
        <v>13863</v>
      </c>
      <c r="E14" s="3">
        <v>17</v>
      </c>
      <c r="F14" s="3">
        <v>3</v>
      </c>
    </row>
    <row r="15" spans="1:6" ht="17.25" thickBot="1" x14ac:dyDescent="0.35">
      <c r="A15" s="4" t="s">
        <v>17</v>
      </c>
      <c r="B15" s="5">
        <f>SUM(B3:B14)</f>
        <v>-3575002</v>
      </c>
      <c r="C15" s="5">
        <f t="shared" ref="C15" si="1">SUM(C3:C14)</f>
        <v>62048</v>
      </c>
      <c r="D15" s="5">
        <f t="shared" ref="D15:F15" si="2">SUM(D3:D14)</f>
        <v>33034</v>
      </c>
      <c r="E15" s="5">
        <f t="shared" si="2"/>
        <v>3637050</v>
      </c>
      <c r="F15" s="5">
        <f t="shared" si="2"/>
        <v>2835007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3219</v>
      </c>
      <c r="C3" s="3">
        <v>3235</v>
      </c>
      <c r="D3" s="3">
        <v>1485</v>
      </c>
      <c r="E3" s="3">
        <v>16</v>
      </c>
      <c r="F3" s="3">
        <v>0</v>
      </c>
    </row>
    <row r="4" spans="1:6" x14ac:dyDescent="0.3">
      <c r="A4" s="2" t="s">
        <v>6</v>
      </c>
      <c r="B4" s="3">
        <f t="shared" ref="B4:B14" si="0">C4-E4</f>
        <v>-129567</v>
      </c>
      <c r="C4" s="3">
        <v>3258</v>
      </c>
      <c r="D4" s="3">
        <v>1485</v>
      </c>
      <c r="E4" s="3">
        <v>132825</v>
      </c>
      <c r="F4" s="3">
        <v>105000</v>
      </c>
    </row>
    <row r="5" spans="1:6" x14ac:dyDescent="0.3">
      <c r="A5" s="2" t="s">
        <v>7</v>
      </c>
      <c r="B5" s="3">
        <f t="shared" si="0"/>
        <v>-555081</v>
      </c>
      <c r="C5" s="3">
        <v>1365</v>
      </c>
      <c r="D5" s="3">
        <v>594</v>
      </c>
      <c r="E5" s="3">
        <v>556446</v>
      </c>
      <c r="F5" s="3">
        <v>433121</v>
      </c>
    </row>
    <row r="6" spans="1:6" x14ac:dyDescent="0.3">
      <c r="A6" s="2" t="s">
        <v>8</v>
      </c>
      <c r="B6" s="3">
        <f t="shared" si="0"/>
        <v>-270575</v>
      </c>
      <c r="C6" s="3">
        <v>3333</v>
      </c>
      <c r="D6" s="3">
        <v>1485</v>
      </c>
      <c r="E6" s="3">
        <v>273908</v>
      </c>
      <c r="F6" s="3">
        <v>210001</v>
      </c>
    </row>
    <row r="7" spans="1:6" x14ac:dyDescent="0.3">
      <c r="A7" s="2" t="s">
        <v>9</v>
      </c>
      <c r="B7" s="3">
        <f t="shared" si="0"/>
        <v>-429573</v>
      </c>
      <c r="C7" s="3">
        <v>0</v>
      </c>
      <c r="D7" s="3">
        <v>0</v>
      </c>
      <c r="E7" s="3">
        <v>429573</v>
      </c>
      <c r="F7" s="3">
        <v>315000</v>
      </c>
    </row>
    <row r="8" spans="1:6" x14ac:dyDescent="0.3">
      <c r="A8" s="2" t="s">
        <v>10</v>
      </c>
      <c r="B8" s="3">
        <f t="shared" si="0"/>
        <v>-1285395</v>
      </c>
      <c r="C8" s="3">
        <v>1513</v>
      </c>
      <c r="D8" s="3">
        <v>693</v>
      </c>
      <c r="E8" s="3">
        <v>1286908</v>
      </c>
      <c r="F8" s="3">
        <v>945020</v>
      </c>
    </row>
    <row r="9" spans="1:6" x14ac:dyDescent="0.3">
      <c r="A9" s="2" t="s">
        <v>11</v>
      </c>
      <c r="B9" s="3">
        <f t="shared" si="0"/>
        <v>-3334497</v>
      </c>
      <c r="C9" s="3">
        <v>3170</v>
      </c>
      <c r="D9" s="3">
        <v>1598</v>
      </c>
      <c r="E9" s="3">
        <v>3337667</v>
      </c>
      <c r="F9" s="3">
        <v>2478601</v>
      </c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-6001469</v>
      </c>
      <c r="C15" s="5">
        <f t="shared" ref="C15:F15" si="1">SUM(C3:C14)</f>
        <v>15874</v>
      </c>
      <c r="D15" s="5">
        <f t="shared" si="1"/>
        <v>7340</v>
      </c>
      <c r="E15" s="5">
        <f t="shared" si="1"/>
        <v>6017343</v>
      </c>
      <c r="F15" s="5">
        <f t="shared" si="1"/>
        <v>4486743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2026-06-01T00:19:24Z</dcterms:created>
  <dcterms:modified xsi:type="dcterms:W3CDTF">2026-09-08T03:00:21Z</dcterms:modified>
</cp:coreProperties>
</file>