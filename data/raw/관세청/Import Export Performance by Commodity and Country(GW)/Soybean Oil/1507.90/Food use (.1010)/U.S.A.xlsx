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9"/>
  <c r="B15" i="8"/>
  <c r="B15" i="7"/>
  <c r="B15" i="6"/>
  <c r="B15" i="5"/>
  <c r="B15" i="4"/>
  <c r="B15" i="3"/>
  <c r="B15" i="2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1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<sst xmlns="http://schemas.openxmlformats.org/spreadsheetml/2006/main" count="306" uniqueCount="32">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</sst>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-40849</v>
      </c>
      <c r="C3" s="3">
        <v>1625</v>
      </c>
      <c r="D3" s="3">
        <v>900</v>
      </c>
      <c r="E3" s="3">
        <v>42474</v>
      </c>
      <c r="F3" s="3">
        <v>16530</v>
      </c>
    </row>
    <row r="4" spans="1:6" x14ac:dyDescent="0.3">
      <c r="A4" s="2" t="s">
        <v>19</v>
      </c>
      <c r="B4" s="3">
        <f t="shared" ref="B4:B14" si="0">C4-E4</f>
        <v>-42302</v>
      </c>
      <c r="C4" s="3">
        <v>3201</v>
      </c>
      <c r="D4" s="3">
        <v>1800</v>
      </c>
      <c r="E4" s="3">
        <v>45503</v>
      </c>
      <c r="F4" s="3">
        <v>18470</v>
      </c>
    </row>
    <row r="5" spans="1:6" x14ac:dyDescent="0.3">
      <c r="A5" s="2" t="s">
        <v>7</v>
      </c>
      <c r="B5" s="3">
        <f t="shared" si="0"/>
        <v>954</v>
      </c>
      <c r="C5" s="3">
        <v>954</v>
      </c>
      <c r="D5" s="3">
        <v>540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-13400</v>
      </c>
      <c r="C7" s="3">
        <v>1286</v>
      </c>
      <c r="D7" s="3">
        <v>720</v>
      </c>
      <c r="E7" s="3">
        <v>14686</v>
      </c>
      <c r="F7" s="3">
        <v>12001</v>
      </c>
    </row>
    <row r="8" spans="1:6" x14ac:dyDescent="0.3">
      <c r="A8" s="2" t="s">
        <v>10</v>
      </c>
      <c r="B8" s="3">
        <f t="shared" si="0"/>
        <v>-30798</v>
      </c>
      <c r="C8" s="3">
        <v>3208</v>
      </c>
      <c r="D8" s="3">
        <v>1800</v>
      </c>
      <c r="E8" s="3">
        <v>34006</v>
      </c>
      <c r="F8" s="3">
        <v>16788</v>
      </c>
    </row>
    <row r="9" spans="1:6" x14ac:dyDescent="0.3">
      <c r="A9" s="2" t="s">
        <v>11</v>
      </c>
      <c r="B9" s="3">
        <f t="shared" si="0"/>
        <v>4699</v>
      </c>
      <c r="C9" s="3">
        <v>5144</v>
      </c>
      <c r="D9" s="3">
        <v>2880</v>
      </c>
      <c r="E9" s="3">
        <v>445</v>
      </c>
      <c r="F9" s="3">
        <v>41</v>
      </c>
    </row>
    <row r="10" spans="1:6" x14ac:dyDescent="0.3">
      <c r="A10" s="2" t="s">
        <v>12</v>
      </c>
      <c r="B10" s="3">
        <f t="shared" si="0"/>
        <v>-70548</v>
      </c>
      <c r="C10" s="3">
        <v>1780</v>
      </c>
      <c r="D10" s="3">
        <v>990</v>
      </c>
      <c r="E10" s="3">
        <v>72328</v>
      </c>
      <c r="F10" s="3">
        <v>41147</v>
      </c>
    </row>
    <row r="11" spans="1:6" x14ac:dyDescent="0.3">
      <c r="A11" s="2" t="s">
        <v>13</v>
      </c>
      <c r="B11" s="3">
        <f t="shared" si="0"/>
        <v>-18772</v>
      </c>
      <c r="C11" s="3">
        <v>1943</v>
      </c>
      <c r="D11" s="3">
        <v>1080</v>
      </c>
      <c r="E11" s="3">
        <v>20715</v>
      </c>
      <c r="F11" s="3">
        <v>16002</v>
      </c>
    </row>
    <row r="12" spans="1:6" x14ac:dyDescent="0.3">
      <c r="A12" s="2" t="s">
        <v>14</v>
      </c>
      <c r="B12" s="3">
        <f t="shared" si="0"/>
        <v>-54295</v>
      </c>
      <c r="C12" s="3">
        <v>731</v>
      </c>
      <c r="D12" s="3">
        <v>414</v>
      </c>
      <c r="E12" s="3">
        <v>55026</v>
      </c>
      <c r="F12" s="3">
        <v>30862</v>
      </c>
    </row>
    <row r="13" spans="1:6" x14ac:dyDescent="0.3">
      <c r="A13" s="2" t="s">
        <v>15</v>
      </c>
      <c r="B13" s="3">
        <f t="shared" si="0"/>
        <v>-8801</v>
      </c>
      <c r="C13" s="3">
        <v>1699</v>
      </c>
      <c r="D13" s="3">
        <v>1044</v>
      </c>
      <c r="E13" s="3">
        <v>10500</v>
      </c>
      <c r="F13" s="3">
        <v>8000</v>
      </c>
    </row>
    <row r="14" spans="1:6" x14ac:dyDescent="0.3">
      <c r="A14" s="2" t="s">
        <v>16</v>
      </c>
      <c r="B14" s="3">
        <f t="shared" si="0"/>
        <v>-7569</v>
      </c>
      <c r="C14" s="3">
        <v>910</v>
      </c>
      <c r="D14" s="3">
        <v>540</v>
      </c>
      <c r="E14" s="3">
        <v>8479</v>
      </c>
      <c r="F14" s="3">
        <v>3040</v>
      </c>
    </row>
    <row r="15" spans="1:6" ht="17.25" thickBot="1" x14ac:dyDescent="0.35">
      <c r="A15" s="4" t="s">
        <v>17</v>
      </c>
      <c r="B15" s="5">
        <f>SUM(B3:B14)</f>
        <v>-281681</v>
      </c>
      <c r="C15" s="5">
        <f t="shared" ref="C15:F15" si="1">SUM(C3:C14)</f>
        <v>22481</v>
      </c>
      <c r="D15" s="5">
        <f t="shared" si="1"/>
        <v>12708</v>
      </c>
      <c r="E15" s="5">
        <f t="shared" si="1"/>
        <v>304162</v>
      </c>
      <c r="F15" s="5">
        <f t="shared" si="1"/>
        <v>162881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-41036</v>
      </c>
      <c r="C4" s="3">
        <v>0</v>
      </c>
      <c r="D4" s="3">
        <v>0</v>
      </c>
      <c r="E4" s="3">
        <v>41036</v>
      </c>
      <c r="F4" s="3">
        <v>16721</v>
      </c>
    </row>
    <row r="5" spans="1:6" x14ac:dyDescent="0.3">
      <c r="A5" s="2" t="s">
        <v>7</v>
      </c>
      <c r="B5" s="3">
        <f t="shared" si="0"/>
        <v>-27517</v>
      </c>
      <c r="C5" s="3">
        <v>1479</v>
      </c>
      <c r="D5" s="3">
        <v>900</v>
      </c>
      <c r="E5" s="3">
        <v>28996</v>
      </c>
      <c r="F5" s="3">
        <v>16371</v>
      </c>
    </row>
    <row r="6" spans="1:6" x14ac:dyDescent="0.3">
      <c r="A6" s="2" t="s">
        <v>8</v>
      </c>
      <c r="B6" s="3">
        <f t="shared" si="0"/>
        <v>-38282</v>
      </c>
      <c r="C6" s="3">
        <v>0</v>
      </c>
      <c r="D6" s="3">
        <v>0</v>
      </c>
      <c r="E6" s="3">
        <v>38282</v>
      </c>
      <c r="F6" s="3">
        <v>18860</v>
      </c>
    </row>
    <row r="7" spans="1:6" x14ac:dyDescent="0.3">
      <c r="A7" s="2" t="s">
        <v>9</v>
      </c>
      <c r="B7" s="3">
        <f t="shared" si="0"/>
        <v>-22576</v>
      </c>
      <c r="C7" s="3">
        <v>146</v>
      </c>
      <c r="D7" s="3">
        <v>90</v>
      </c>
      <c r="E7" s="3">
        <v>22722</v>
      </c>
      <c r="F7" s="3">
        <v>15200</v>
      </c>
    </row>
    <row r="8" spans="1:6" x14ac:dyDescent="0.3">
      <c r="A8" s="2" t="s">
        <v>10</v>
      </c>
      <c r="B8" s="3">
        <f t="shared" si="0"/>
        <v>-8040</v>
      </c>
      <c r="C8" s="3">
        <v>558</v>
      </c>
      <c r="D8" s="3">
        <v>248</v>
      </c>
      <c r="E8" s="3">
        <v>8598</v>
      </c>
      <c r="F8" s="3">
        <v>5600</v>
      </c>
    </row>
    <row r="9" spans="1:6" x14ac:dyDescent="0.3">
      <c r="A9" s="2" t="s">
        <v>11</v>
      </c>
      <c r="B9" s="3">
        <f t="shared" si="0"/>
        <v>1782</v>
      </c>
      <c r="C9" s="3">
        <v>1782</v>
      </c>
      <c r="D9" s="3">
        <v>1080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-75681</v>
      </c>
      <c r="C10" s="3">
        <v>1092</v>
      </c>
      <c r="D10" s="3">
        <v>522</v>
      </c>
      <c r="E10" s="3">
        <v>76773</v>
      </c>
      <c r="F10" s="3">
        <v>32870</v>
      </c>
    </row>
    <row r="11" spans="1:6" x14ac:dyDescent="0.3">
      <c r="A11" s="2" t="s">
        <v>13</v>
      </c>
      <c r="B11" s="3">
        <f t="shared" si="0"/>
        <v>-34603</v>
      </c>
      <c r="C11" s="3">
        <v>0</v>
      </c>
      <c r="D11" s="3">
        <v>0</v>
      </c>
      <c r="E11" s="3">
        <v>34603</v>
      </c>
      <c r="F11" s="3">
        <v>22401</v>
      </c>
    </row>
    <row r="12" spans="1:6" x14ac:dyDescent="0.3">
      <c r="A12" s="2" t="s">
        <v>14</v>
      </c>
      <c r="B12" s="3">
        <f t="shared" si="0"/>
        <v>-8475</v>
      </c>
      <c r="C12" s="3">
        <v>5579</v>
      </c>
      <c r="D12" s="3">
        <v>2447</v>
      </c>
      <c r="E12" s="3">
        <v>14054</v>
      </c>
      <c r="F12" s="3">
        <v>8001</v>
      </c>
    </row>
    <row r="13" spans="1:6" x14ac:dyDescent="0.3">
      <c r="A13" s="2" t="s">
        <v>15</v>
      </c>
      <c r="B13" s="3">
        <f t="shared" si="0"/>
        <v>-6239</v>
      </c>
      <c r="C13" s="3">
        <v>6436</v>
      </c>
      <c r="D13" s="3">
        <v>1087</v>
      </c>
      <c r="E13" s="3">
        <v>12675</v>
      </c>
      <c r="F13" s="3">
        <v>8003</v>
      </c>
    </row>
    <row r="14" spans="1:6" x14ac:dyDescent="0.3">
      <c r="A14" s="2" t="s">
        <v>16</v>
      </c>
      <c r="B14" s="3">
        <f t="shared" si="0"/>
        <v>-50963</v>
      </c>
      <c r="C14" s="3">
        <v>0</v>
      </c>
      <c r="D14" s="3">
        <v>0</v>
      </c>
      <c r="E14" s="3">
        <v>50963</v>
      </c>
      <c r="F14" s="3">
        <v>23201</v>
      </c>
    </row>
    <row r="15" spans="1:6" ht="17.25" thickBot="1" x14ac:dyDescent="0.35">
      <c r="A15" s="4" t="s">
        <v>23</v>
      </c>
      <c r="B15" s="5">
        <f>SUM(B3:B14)</f>
        <v>-311630</v>
      </c>
      <c r="C15" s="5">
        <f t="shared" ref="C15:F15" si="1">SUM(C3:C14)</f>
        <v>17072</v>
      </c>
      <c r="D15" s="5">
        <f t="shared" si="1"/>
        <v>6374</v>
      </c>
      <c r="E15" s="5">
        <f t="shared" si="1"/>
        <v>328702</v>
      </c>
      <c r="F15" s="5">
        <f t="shared" si="1"/>
        <v>167228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-26272</v>
      </c>
      <c r="C3" s="3">
        <v>0</v>
      </c>
      <c r="D3" s="3">
        <v>0</v>
      </c>
      <c r="E3" s="3">
        <v>26272</v>
      </c>
      <c r="F3" s="3">
        <v>16191</v>
      </c>
    </row>
    <row r="4" spans="1:6" x14ac:dyDescent="0.3">
      <c r="A4" s="2" t="s">
        <v>27</v>
      </c>
      <c r="B4" s="3">
        <f t="shared" ref="B4:B14" si="0">C4-E4</f>
        <v>-40734</v>
      </c>
      <c r="C4" s="3">
        <v>1321</v>
      </c>
      <c r="D4" s="3">
        <v>648</v>
      </c>
      <c r="E4" s="3">
        <v>42055</v>
      </c>
      <c r="F4" s="3">
        <v>17527</v>
      </c>
    </row>
    <row r="5" spans="1:6" x14ac:dyDescent="0.3">
      <c r="A5" s="2" t="s">
        <v>7</v>
      </c>
      <c r="B5" s="3">
        <f t="shared" si="0"/>
        <v>-50720</v>
      </c>
      <c r="C5" s="3">
        <v>1775</v>
      </c>
      <c r="D5" s="3">
        <v>882</v>
      </c>
      <c r="E5" s="3">
        <v>52495</v>
      </c>
      <c r="F5" s="3">
        <v>23817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-8993</v>
      </c>
      <c r="C7" s="3">
        <v>0</v>
      </c>
      <c r="D7" s="3">
        <v>0</v>
      </c>
      <c r="E7" s="3">
        <v>8993</v>
      </c>
      <c r="F7" s="3">
        <v>5002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-32992</v>
      </c>
      <c r="C9" s="3">
        <v>14724</v>
      </c>
      <c r="D9" s="3">
        <v>3083</v>
      </c>
      <c r="E9" s="3">
        <v>47716</v>
      </c>
      <c r="F9" s="3">
        <v>18060</v>
      </c>
    </row>
    <row r="10" spans="1:6" x14ac:dyDescent="0.3">
      <c r="A10" s="2" t="s">
        <v>12</v>
      </c>
      <c r="B10" s="3">
        <f t="shared" si="0"/>
        <v>-3638</v>
      </c>
      <c r="C10" s="3">
        <v>9752</v>
      </c>
      <c r="D10" s="3">
        <v>3900</v>
      </c>
      <c r="E10" s="3">
        <v>13390</v>
      </c>
      <c r="F10" s="3">
        <v>8001</v>
      </c>
    </row>
    <row r="11" spans="1:6" x14ac:dyDescent="0.3">
      <c r="A11" s="2" t="s">
        <v>13</v>
      </c>
      <c r="B11" s="3">
        <f t="shared" si="0"/>
        <v>-39996</v>
      </c>
      <c r="C11" s="3">
        <v>10643</v>
      </c>
      <c r="D11" s="3">
        <v>2561</v>
      </c>
      <c r="E11" s="3">
        <v>50639</v>
      </c>
      <c r="F11" s="3">
        <v>23242</v>
      </c>
    </row>
    <row r="12" spans="1:6" x14ac:dyDescent="0.3">
      <c r="A12" s="2" t="s">
        <v>14</v>
      </c>
      <c r="B12" s="3">
        <f t="shared" si="0"/>
        <v>8728</v>
      </c>
      <c r="C12" s="3">
        <v>28405</v>
      </c>
      <c r="D12" s="3">
        <v>11034</v>
      </c>
      <c r="E12" s="3">
        <v>19677</v>
      </c>
      <c r="F12" s="3">
        <v>12004</v>
      </c>
    </row>
    <row r="13" spans="1:6" x14ac:dyDescent="0.3">
      <c r="A13" s="2" t="s">
        <v>15</v>
      </c>
      <c r="B13" s="3">
        <f t="shared" si="0"/>
        <v>1537</v>
      </c>
      <c r="C13" s="3">
        <v>8134</v>
      </c>
      <c r="D13" s="3">
        <v>3597</v>
      </c>
      <c r="E13" s="3">
        <v>6597</v>
      </c>
      <c r="F13" s="3">
        <v>4006</v>
      </c>
    </row>
    <row r="14" spans="1:6" x14ac:dyDescent="0.3">
      <c r="A14" s="2" t="s">
        <v>16</v>
      </c>
      <c r="B14" s="3">
        <f t="shared" si="0"/>
        <v>8190</v>
      </c>
      <c r="C14" s="3">
        <v>8190</v>
      </c>
      <c r="D14" s="3">
        <v>3254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-184890</v>
      </c>
      <c r="C15" s="5">
        <f t="shared" ref="C15:F15" si="1">SUM(C3:C14)</f>
        <v>82944</v>
      </c>
      <c r="D15" s="5">
        <f t="shared" si="1"/>
        <v>28959</v>
      </c>
      <c r="E15" s="5">
        <f t="shared" si="1"/>
        <v>267834</v>
      </c>
      <c r="F15" s="5">
        <f t="shared" si="1"/>
        <v>127850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-37039</v>
      </c>
      <c r="C3" s="3">
        <v>606</v>
      </c>
      <c r="D3" s="3">
        <v>348</v>
      </c>
      <c r="E3" s="3">
        <v>37645</v>
      </c>
      <c r="F3" s="3">
        <v>15241</v>
      </c>
    </row>
    <row r="4" spans="1:6" x14ac:dyDescent="0.3">
      <c r="A4" s="2" t="s">
        <v>27</v>
      </c>
      <c r="B4" s="3">
        <f t="shared" si="0"/>
        <v>13758</v>
      </c>
      <c r="C4" s="3">
        <v>19154</v>
      </c>
      <c r="D4" s="3">
        <v>5714</v>
      </c>
      <c r="E4" s="3">
        <v>5396</v>
      </c>
      <c r="F4" s="3">
        <v>1520</v>
      </c>
    </row>
    <row r="5" spans="1:6" x14ac:dyDescent="0.3">
      <c r="A5" s="2" t="s">
        <v>30</v>
      </c>
      <c r="B5" s="3">
        <f t="shared" si="0"/>
        <v>3272</v>
      </c>
      <c r="C5" s="3">
        <v>3272</v>
      </c>
      <c r="D5" s="3">
        <v>1909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-168031</v>
      </c>
      <c r="C6" s="3">
        <v>8222</v>
      </c>
      <c r="D6" s="3">
        <v>2672</v>
      </c>
      <c r="E6" s="3">
        <v>176253</v>
      </c>
      <c r="F6" s="3">
        <v>95354</v>
      </c>
    </row>
    <row r="7" spans="1:6" x14ac:dyDescent="0.3">
      <c r="A7" s="2" t="s">
        <v>9</v>
      </c>
      <c r="B7" s="3">
        <f t="shared" si="0"/>
        <v>10258</v>
      </c>
      <c r="C7" s="3">
        <v>10258</v>
      </c>
      <c r="D7" s="3">
        <v>3308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-67241</v>
      </c>
      <c r="C8" s="3">
        <v>1142</v>
      </c>
      <c r="D8" s="3">
        <v>678</v>
      </c>
      <c r="E8" s="3">
        <v>68383</v>
      </c>
      <c r="F8" s="3">
        <v>39990</v>
      </c>
    </row>
    <row r="9" spans="1:6" x14ac:dyDescent="0.3">
      <c r="A9" s="2" t="s">
        <v>11</v>
      </c>
      <c r="B9" s="3">
        <f t="shared" si="0"/>
        <v>-35828</v>
      </c>
      <c r="C9" s="3">
        <v>1817</v>
      </c>
      <c r="D9" s="3">
        <v>1046</v>
      </c>
      <c r="E9" s="3">
        <v>37645</v>
      </c>
      <c r="F9" s="3">
        <v>15241</v>
      </c>
    </row>
    <row r="10" spans="1:6" x14ac:dyDescent="0.3">
      <c r="A10" s="2" t="s">
        <v>12</v>
      </c>
      <c r="B10" s="3">
        <f t="shared" si="0"/>
        <v>-35961</v>
      </c>
      <c r="C10" s="3">
        <v>1684</v>
      </c>
      <c r="D10" s="3">
        <v>978</v>
      </c>
      <c r="E10" s="3">
        <v>37645</v>
      </c>
      <c r="F10" s="3">
        <v>15241</v>
      </c>
    </row>
    <row r="11" spans="1:6" x14ac:dyDescent="0.3">
      <c r="A11" s="2" t="s">
        <v>13</v>
      </c>
      <c r="B11" s="3">
        <f t="shared" si="0"/>
        <v>-4688</v>
      </c>
      <c r="C11" s="3">
        <v>4622</v>
      </c>
      <c r="D11" s="3">
        <v>2482</v>
      </c>
      <c r="E11" s="3">
        <v>9310</v>
      </c>
      <c r="F11" s="3">
        <v>2938</v>
      </c>
    </row>
    <row r="12" spans="1:6" x14ac:dyDescent="0.3">
      <c r="A12" s="2" t="s">
        <v>14</v>
      </c>
      <c r="B12" s="3">
        <f t="shared" si="0"/>
        <v>-21186</v>
      </c>
      <c r="C12" s="3">
        <v>16459</v>
      </c>
      <c r="D12" s="3">
        <v>9950</v>
      </c>
      <c r="E12" s="3">
        <v>37645</v>
      </c>
      <c r="F12" s="3">
        <v>15241</v>
      </c>
    </row>
    <row r="13" spans="1:6" x14ac:dyDescent="0.3">
      <c r="A13" s="2" t="s">
        <v>15</v>
      </c>
      <c r="B13" s="3">
        <f t="shared" si="0"/>
        <v>2322</v>
      </c>
      <c r="C13" s="3">
        <v>2937</v>
      </c>
      <c r="D13" s="3">
        <v>1669</v>
      </c>
      <c r="E13" s="3">
        <v>615</v>
      </c>
      <c r="F13" s="3">
        <v>111</v>
      </c>
    </row>
    <row r="14" spans="1:6" x14ac:dyDescent="0.3">
      <c r="A14" s="2" t="s">
        <v>16</v>
      </c>
      <c r="B14" s="3">
        <f t="shared" si="0"/>
        <v>4636</v>
      </c>
      <c r="C14" s="3">
        <v>4661</v>
      </c>
      <c r="D14" s="3">
        <v>2492</v>
      </c>
      <c r="E14" s="3">
        <v>25</v>
      </c>
      <c r="F14" s="3">
        <v>1</v>
      </c>
    </row>
    <row r="15" spans="1:6" ht="17.25" thickBot="1" x14ac:dyDescent="0.35">
      <c r="A15" s="4" t="s">
        <v>23</v>
      </c>
      <c r="B15" s="5">
        <f>SUM(B3:B14)</f>
        <v>-335728</v>
      </c>
      <c r="C15" s="5">
        <f t="shared" ref="C15:F15" si="1">SUM(C3:C14)</f>
        <v>74834</v>
      </c>
      <c r="D15" s="5">
        <f t="shared" si="1"/>
        <v>33246</v>
      </c>
      <c r="E15" s="5">
        <f t="shared" si="1"/>
        <v>410562</v>
      </c>
      <c r="F15" s="5">
        <f t="shared" si="1"/>
        <v>200878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10557</v>
      </c>
      <c r="C3" s="3">
        <v>10575</v>
      </c>
      <c r="D3" s="3">
        <v>4927</v>
      </c>
      <c r="E3" s="3">
        <v>18</v>
      </c>
      <c r="F3" s="3">
        <v>1</v>
      </c>
    </row>
    <row r="4" spans="1:6" x14ac:dyDescent="0.3">
      <c r="A4" s="2" t="s">
        <v>27</v>
      </c>
      <c r="B4" s="3">
        <f t="shared" si="0"/>
        <v>-32491</v>
      </c>
      <c r="C4" s="3">
        <v>5154</v>
      </c>
      <c r="D4" s="3">
        <v>2893</v>
      </c>
      <c r="E4" s="3">
        <v>37645</v>
      </c>
      <c r="F4" s="3">
        <v>15241</v>
      </c>
    </row>
    <row r="5" spans="1:6" x14ac:dyDescent="0.3">
      <c r="A5" s="2" t="s">
        <v>30</v>
      </c>
      <c r="B5" s="3">
        <f t="shared" si="0"/>
        <v>-23713</v>
      </c>
      <c r="C5" s="3">
        <v>5071</v>
      </c>
      <c r="D5" s="3">
        <v>933</v>
      </c>
      <c r="E5" s="3">
        <v>28784</v>
      </c>
      <c r="F5" s="3">
        <v>19920</v>
      </c>
    </row>
    <row r="6" spans="1:6" x14ac:dyDescent="0.3">
      <c r="A6" s="2" t="s">
        <v>8</v>
      </c>
      <c r="B6" s="3">
        <f t="shared" si="0"/>
        <v>-107813</v>
      </c>
      <c r="C6" s="3">
        <v>6070</v>
      </c>
      <c r="D6" s="3">
        <v>2086</v>
      </c>
      <c r="E6" s="3">
        <v>113883</v>
      </c>
      <c r="F6" s="3">
        <v>72320</v>
      </c>
    </row>
    <row r="7" spans="1:6" x14ac:dyDescent="0.3">
      <c r="A7" s="2" t="s">
        <v>9</v>
      </c>
      <c r="B7" s="3">
        <f t="shared" si="0"/>
        <v>-29627</v>
      </c>
      <c r="C7" s="3">
        <v>0</v>
      </c>
      <c r="D7" s="3">
        <v>0</v>
      </c>
      <c r="E7" s="3">
        <v>29627</v>
      </c>
      <c r="F7" s="3">
        <v>20140</v>
      </c>
    </row>
    <row r="8" spans="1:6" x14ac:dyDescent="0.3">
      <c r="A8" s="2" t="s">
        <v>10</v>
      </c>
      <c r="B8" s="3">
        <f t="shared" si="0"/>
        <v>-30416</v>
      </c>
      <c r="C8" s="3">
        <v>7229</v>
      </c>
      <c r="D8" s="3">
        <v>4093</v>
      </c>
      <c r="E8" s="3">
        <v>37645</v>
      </c>
      <c r="F8" s="3">
        <v>15241</v>
      </c>
    </row>
    <row r="9" spans="1:6" x14ac:dyDescent="0.3">
      <c r="A9" s="2" t="s">
        <v>11</v>
      </c>
      <c r="B9" s="3">
        <f t="shared" si="0"/>
        <v>-104780</v>
      </c>
      <c r="C9" s="3">
        <v>2517</v>
      </c>
      <c r="D9" s="3">
        <v>1475</v>
      </c>
      <c r="E9" s="3">
        <v>107297</v>
      </c>
      <c r="F9" s="3">
        <v>78142</v>
      </c>
    </row>
    <row r="10" spans="1:6" x14ac:dyDescent="0.3">
      <c r="A10" s="2" t="s">
        <v>12</v>
      </c>
      <c r="B10" s="3">
        <f t="shared" si="0"/>
        <v>-32872</v>
      </c>
      <c r="C10" s="3">
        <v>4773</v>
      </c>
      <c r="D10" s="3">
        <v>2556</v>
      </c>
      <c r="E10" s="3">
        <v>37645</v>
      </c>
      <c r="F10" s="3">
        <v>15241</v>
      </c>
    </row>
    <row r="11" spans="1:6" x14ac:dyDescent="0.3">
      <c r="A11" s="2" t="s">
        <v>13</v>
      </c>
      <c r="B11" s="3">
        <f t="shared" si="0"/>
        <v>-70862</v>
      </c>
      <c r="C11" s="3">
        <v>7479</v>
      </c>
      <c r="D11" s="3">
        <v>4491</v>
      </c>
      <c r="E11" s="3">
        <v>78341</v>
      </c>
      <c r="F11" s="3">
        <v>58071</v>
      </c>
    </row>
    <row r="12" spans="1:6" x14ac:dyDescent="0.3">
      <c r="A12" s="2" t="s">
        <v>14</v>
      </c>
      <c r="B12" s="3">
        <f t="shared" si="0"/>
        <v>-104274</v>
      </c>
      <c r="C12" s="3">
        <v>3539</v>
      </c>
      <c r="D12" s="3">
        <v>2440</v>
      </c>
      <c r="E12" s="3">
        <v>107813</v>
      </c>
      <c r="F12" s="3">
        <v>78045</v>
      </c>
    </row>
    <row r="13" spans="1:6" x14ac:dyDescent="0.3">
      <c r="A13" s="2" t="s">
        <v>15</v>
      </c>
      <c r="B13" s="3">
        <f t="shared" si="0"/>
        <v>-23965</v>
      </c>
      <c r="C13" s="3">
        <v>1164</v>
      </c>
      <c r="D13" s="3">
        <v>692</v>
      </c>
      <c r="E13" s="3">
        <v>25129</v>
      </c>
      <c r="F13" s="3">
        <v>19052</v>
      </c>
    </row>
    <row r="14" spans="1:6" x14ac:dyDescent="0.3">
      <c r="A14" s="2" t="s">
        <v>16</v>
      </c>
      <c r="B14" s="3">
        <f t="shared" si="0"/>
        <v>-141789</v>
      </c>
      <c r="C14" s="3">
        <v>6612</v>
      </c>
      <c r="D14" s="3">
        <v>3467</v>
      </c>
      <c r="E14" s="3">
        <v>148401</v>
      </c>
      <c r="F14" s="3">
        <v>94172</v>
      </c>
    </row>
    <row r="15" spans="1:6" ht="17.25" thickBot="1" x14ac:dyDescent="0.35">
      <c r="A15" s="4" t="s">
        <v>23</v>
      </c>
      <c r="B15" s="5">
        <f>SUM(B3:B14)</f>
        <v>-692045</v>
      </c>
      <c r="C15" s="5">
        <f t="shared" ref="C15:F15" si="1">SUM(C3:C14)</f>
        <v>60183</v>
      </c>
      <c r="D15" s="5">
        <f t="shared" si="1"/>
        <v>30053</v>
      </c>
      <c r="E15" s="5">
        <f t="shared" si="1"/>
        <v>752228</v>
      </c>
      <c r="F15" s="5">
        <f t="shared" si="1"/>
        <v>485586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-41312</v>
      </c>
      <c r="C3" s="3">
        <v>34641</v>
      </c>
      <c r="D3" s="3">
        <v>13901</v>
      </c>
      <c r="E3" s="3">
        <v>75953</v>
      </c>
      <c r="F3" s="3">
        <v>58043</v>
      </c>
    </row>
    <row r="4" spans="1:6" x14ac:dyDescent="0.3">
      <c r="A4" s="2" t="s">
        <v>27</v>
      </c>
      <c r="B4" s="3">
        <f t="shared" si="0"/>
        <v>-83077</v>
      </c>
      <c r="C4" s="3">
        <v>2107</v>
      </c>
      <c r="D4" s="3">
        <v>1320</v>
      </c>
      <c r="E4" s="3">
        <v>85184</v>
      </c>
      <c r="F4" s="3">
        <v>53343</v>
      </c>
    </row>
    <row r="5" spans="1:6" x14ac:dyDescent="0.3">
      <c r="A5" s="2" t="s">
        <v>30</v>
      </c>
      <c r="B5" s="3">
        <f t="shared" si="0"/>
        <v>-73337</v>
      </c>
      <c r="C5" s="3">
        <v>2507</v>
      </c>
      <c r="D5" s="3">
        <v>1467</v>
      </c>
      <c r="E5" s="3">
        <v>75844</v>
      </c>
      <c r="F5" s="3">
        <v>58034</v>
      </c>
    </row>
    <row r="6" spans="1:6" x14ac:dyDescent="0.3">
      <c r="A6" s="2" t="s">
        <v>8</v>
      </c>
      <c r="B6" s="3">
        <f t="shared" si="0"/>
        <v>-25178</v>
      </c>
      <c r="C6" s="3">
        <v>3009</v>
      </c>
      <c r="D6" s="3">
        <v>1738</v>
      </c>
      <c r="E6" s="3">
        <v>28187</v>
      </c>
      <c r="F6" s="3">
        <v>19850</v>
      </c>
    </row>
    <row r="7" spans="1:6" x14ac:dyDescent="0.3">
      <c r="A7" s="2" t="s">
        <v>9</v>
      </c>
      <c r="B7" s="3">
        <f t="shared" si="0"/>
        <v>-136641</v>
      </c>
      <c r="C7" s="3">
        <v>3498</v>
      </c>
      <c r="D7" s="3">
        <v>2001</v>
      </c>
      <c r="E7" s="3">
        <v>140139</v>
      </c>
      <c r="F7" s="3">
        <v>93103</v>
      </c>
    </row>
    <row r="8" spans="1:6" x14ac:dyDescent="0.3">
      <c r="A8" s="2" t="s">
        <v>10</v>
      </c>
      <c r="B8" s="3">
        <f t="shared" si="0"/>
        <v>-72065</v>
      </c>
      <c r="C8" s="3">
        <v>1325</v>
      </c>
      <c r="D8" s="3">
        <v>778</v>
      </c>
      <c r="E8" s="3">
        <v>73390</v>
      </c>
      <c r="F8" s="3">
        <v>58072</v>
      </c>
    </row>
    <row r="9" spans="1:6" x14ac:dyDescent="0.3">
      <c r="A9" s="2" t="s">
        <v>11</v>
      </c>
      <c r="B9" s="3">
        <f t="shared" si="0"/>
        <v>-93206</v>
      </c>
      <c r="C9" s="3">
        <v>5719</v>
      </c>
      <c r="D9" s="3">
        <v>3548</v>
      </c>
      <c r="E9" s="3">
        <v>98925</v>
      </c>
      <c r="F9" s="3">
        <v>78022</v>
      </c>
    </row>
    <row r="10" spans="1:6" x14ac:dyDescent="0.3">
      <c r="A10" s="2" t="s">
        <v>12</v>
      </c>
      <c r="B10" s="3">
        <f t="shared" si="0"/>
        <v>19810</v>
      </c>
      <c r="C10" s="3">
        <v>19810</v>
      </c>
      <c r="D10" s="3">
        <v>11639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-128309</v>
      </c>
      <c r="C11" s="3">
        <v>4873</v>
      </c>
      <c r="D11" s="3">
        <v>2991</v>
      </c>
      <c r="E11" s="3">
        <v>133182</v>
      </c>
      <c r="F11" s="3">
        <v>93173</v>
      </c>
    </row>
    <row r="12" spans="1:6" x14ac:dyDescent="0.3">
      <c r="A12" s="2" t="s">
        <v>14</v>
      </c>
      <c r="B12" s="3">
        <f t="shared" si="0"/>
        <v>-62172</v>
      </c>
      <c r="C12" s="3">
        <v>8400</v>
      </c>
      <c r="D12" s="3">
        <v>4377</v>
      </c>
      <c r="E12" s="3">
        <v>70572</v>
      </c>
      <c r="F12" s="3">
        <v>58091</v>
      </c>
    </row>
    <row r="13" spans="1:6" x14ac:dyDescent="0.3">
      <c r="A13" s="2" t="s">
        <v>15</v>
      </c>
      <c r="B13" s="3">
        <f t="shared" si="0"/>
        <v>-35749</v>
      </c>
      <c r="C13" s="3">
        <v>11202</v>
      </c>
      <c r="D13" s="3">
        <v>6949</v>
      </c>
      <c r="E13" s="3">
        <v>46951</v>
      </c>
      <c r="F13" s="3">
        <v>38293</v>
      </c>
    </row>
    <row r="14" spans="1:6" x14ac:dyDescent="0.3">
      <c r="A14" s="2" t="s">
        <v>16</v>
      </c>
      <c r="B14" s="3">
        <f t="shared" si="0"/>
        <v>-104061</v>
      </c>
      <c r="C14" s="3">
        <v>9000</v>
      </c>
      <c r="D14" s="3">
        <v>5364</v>
      </c>
      <c r="E14" s="3">
        <v>113061</v>
      </c>
      <c r="F14" s="3">
        <v>97402</v>
      </c>
    </row>
    <row r="15" spans="1:6" ht="17.25" thickBot="1" x14ac:dyDescent="0.35">
      <c r="A15" s="4" t="s">
        <v>23</v>
      </c>
      <c r="B15" s="5">
        <f>SUM(B3:B14)</f>
        <v>-835297</v>
      </c>
      <c r="C15" s="5">
        <f t="shared" ref="C15:F15" si="1">SUM(C3:C14)</f>
        <v>106091</v>
      </c>
      <c r="D15" s="5">
        <f t="shared" si="1"/>
        <v>56073</v>
      </c>
      <c r="E15" s="5">
        <f t="shared" si="1"/>
        <v>941388</v>
      </c>
      <c r="F15" s="5">
        <f t="shared" si="1"/>
        <v>705426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-99735</v>
      </c>
      <c r="C3" s="3">
        <v>9245</v>
      </c>
      <c r="D3" s="3">
        <v>5870</v>
      </c>
      <c r="E3" s="3">
        <v>108980</v>
      </c>
      <c r="F3" s="3">
        <v>98172</v>
      </c>
    </row>
    <row r="4" spans="1:6" x14ac:dyDescent="0.3">
      <c r="A4" s="2" t="s">
        <v>6</v>
      </c>
      <c r="B4" s="3">
        <f t="shared" si="0"/>
        <v>-169571</v>
      </c>
      <c r="C4" s="3">
        <v>9449</v>
      </c>
      <c r="D4" s="3">
        <v>6041</v>
      </c>
      <c r="E4" s="3">
        <v>179020</v>
      </c>
      <c r="F4" s="3">
        <v>135681</v>
      </c>
    </row>
    <row r="5" spans="1:6" x14ac:dyDescent="0.3">
      <c r="A5" s="2" t="s">
        <v>7</v>
      </c>
      <c r="B5" s="3">
        <f t="shared" si="0"/>
        <v>-96244</v>
      </c>
      <c r="C5" s="3">
        <v>12613</v>
      </c>
      <c r="D5" s="3">
        <v>7543</v>
      </c>
      <c r="E5" s="3">
        <v>108857</v>
      </c>
      <c r="F5" s="3">
        <v>98060</v>
      </c>
    </row>
    <row r="6" spans="1:6" x14ac:dyDescent="0.3">
      <c r="A6" s="2" t="s">
        <v>8</v>
      </c>
      <c r="B6" s="3">
        <f t="shared" si="0"/>
        <v>-82077</v>
      </c>
      <c r="C6" s="3">
        <v>9339</v>
      </c>
      <c r="D6" s="3">
        <v>5655</v>
      </c>
      <c r="E6" s="3">
        <v>91416</v>
      </c>
      <c r="F6" s="3">
        <v>79418</v>
      </c>
    </row>
    <row r="7" spans="1:6" x14ac:dyDescent="0.3">
      <c r="A7" s="2" t="s">
        <v>9</v>
      </c>
      <c r="B7" s="3">
        <f t="shared" si="0"/>
        <v>-180299</v>
      </c>
      <c r="C7" s="3">
        <v>6245</v>
      </c>
      <c r="D7" s="3">
        <v>3758</v>
      </c>
      <c r="E7" s="3">
        <v>186544</v>
      </c>
      <c r="F7" s="3">
        <v>160402</v>
      </c>
    </row>
    <row r="8" spans="1:6" x14ac:dyDescent="0.3">
      <c r="A8" s="2" t="s">
        <v>10</v>
      </c>
      <c r="B8" s="3">
        <f t="shared" si="0"/>
        <v>-39017</v>
      </c>
      <c r="C8" s="3">
        <v>11207</v>
      </c>
      <c r="D8" s="3">
        <v>5771</v>
      </c>
      <c r="E8" s="3">
        <v>50224</v>
      </c>
      <c r="F8" s="3">
        <v>41238</v>
      </c>
    </row>
    <row r="9" spans="1:6" x14ac:dyDescent="0.3">
      <c r="A9" s="2" t="s">
        <v>11</v>
      </c>
      <c r="B9" s="3">
        <f t="shared" si="0"/>
        <v>-77476</v>
      </c>
      <c r="C9" s="3">
        <v>11217</v>
      </c>
      <c r="D9" s="3">
        <v>5742</v>
      </c>
      <c r="E9" s="3">
        <v>88693</v>
      </c>
      <c r="F9" s="3">
        <v>58055</v>
      </c>
    </row>
    <row r="10" spans="1:6" x14ac:dyDescent="0.3">
      <c r="A10" s="2" t="s">
        <v>12</v>
      </c>
      <c r="B10" s="3">
        <f t="shared" si="0"/>
        <v>-66412</v>
      </c>
      <c r="C10" s="3">
        <v>5301</v>
      </c>
      <c r="D10" s="3">
        <v>3450</v>
      </c>
      <c r="E10" s="3">
        <v>71713</v>
      </c>
      <c r="F10" s="3">
        <v>44036</v>
      </c>
    </row>
    <row r="11" spans="1:6" x14ac:dyDescent="0.3">
      <c r="A11" s="2" t="s">
        <v>13</v>
      </c>
      <c r="B11" s="3">
        <f t="shared" si="0"/>
        <v>-147000</v>
      </c>
      <c r="C11" s="3">
        <v>2806</v>
      </c>
      <c r="D11" s="3">
        <v>1816</v>
      </c>
      <c r="E11" s="3">
        <v>149806</v>
      </c>
      <c r="F11" s="3">
        <v>123894</v>
      </c>
    </row>
    <row r="12" spans="1:6" x14ac:dyDescent="0.3">
      <c r="A12" s="2" t="s">
        <v>14</v>
      </c>
      <c r="B12" s="3">
        <f t="shared" si="0"/>
        <v>-183993</v>
      </c>
      <c r="C12" s="3">
        <v>21145</v>
      </c>
      <c r="D12" s="3">
        <v>12260</v>
      </c>
      <c r="E12" s="3">
        <v>205138</v>
      </c>
      <c r="F12" s="3">
        <v>158370</v>
      </c>
    </row>
    <row r="13" spans="1:6" x14ac:dyDescent="0.3">
      <c r="A13" s="2" t="s">
        <v>15</v>
      </c>
      <c r="B13" s="3">
        <f t="shared" si="0"/>
        <v>-86232</v>
      </c>
      <c r="C13" s="3">
        <v>11575</v>
      </c>
      <c r="D13" s="3">
        <v>7240</v>
      </c>
      <c r="E13" s="3">
        <v>97807</v>
      </c>
      <c r="F13" s="3">
        <v>82083</v>
      </c>
    </row>
    <row r="14" spans="1:6" x14ac:dyDescent="0.3">
      <c r="A14" s="2" t="s">
        <v>16</v>
      </c>
      <c r="B14" s="3">
        <f t="shared" si="0"/>
        <v>-143605</v>
      </c>
      <c r="C14" s="3">
        <v>11914</v>
      </c>
      <c r="D14" s="3">
        <v>7591</v>
      </c>
      <c r="E14" s="3">
        <v>155519</v>
      </c>
      <c r="F14" s="3">
        <v>116421</v>
      </c>
    </row>
    <row r="15" spans="1:6" ht="17.25" thickBot="1" x14ac:dyDescent="0.35">
      <c r="A15" s="4" t="s">
        <v>17</v>
      </c>
      <c r="B15" s="5">
        <f>SUM(B3:B14)</f>
        <v>-1371661</v>
      </c>
      <c r="C15" s="5">
        <f t="shared" ref="C15:F15" si="1">SUM(C3:C14)</f>
        <v>122056</v>
      </c>
      <c r="D15" s="5">
        <f t="shared" si="1"/>
        <v>72737</v>
      </c>
      <c r="E15" s="5">
        <f t="shared" si="1"/>
        <v>1493717</v>
      </c>
      <c r="F15" s="5">
        <f t="shared" si="1"/>
        <v>1195830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-187481</v>
      </c>
      <c r="C3" s="3">
        <v>8958</v>
      </c>
      <c r="D3" s="3">
        <v>5859.63</v>
      </c>
      <c r="E3" s="3">
        <v>196439</v>
      </c>
      <c r="F3" s="3">
        <v>161477.856</v>
      </c>
    </row>
    <row r="4" spans="1:6" x14ac:dyDescent="0.3">
      <c r="A4" s="2" t="s">
        <v>6</v>
      </c>
      <c r="B4" s="3">
        <f t="shared" ref="B4:B14" si="0">C4-E4</f>
        <v>-128102</v>
      </c>
      <c r="C4" s="3">
        <v>3812</v>
      </c>
      <c r="D4" s="3">
        <v>2349.04</v>
      </c>
      <c r="E4" s="3">
        <v>131914</v>
      </c>
      <c r="F4" s="3">
        <v>101994.2</v>
      </c>
    </row>
    <row r="5" spans="1:6" x14ac:dyDescent="0.3">
      <c r="A5" s="2" t="s">
        <v>7</v>
      </c>
      <c r="B5" s="3">
        <f t="shared" si="0"/>
        <v>-98338</v>
      </c>
      <c r="C5" s="3">
        <v>6697</v>
      </c>
      <c r="D5" s="3">
        <v>4015.57</v>
      </c>
      <c r="E5" s="3">
        <v>105035</v>
      </c>
      <c r="F5" s="3">
        <v>82585.58</v>
      </c>
    </row>
    <row r="6" spans="1:6" x14ac:dyDescent="0.3">
      <c r="A6" s="2" t="s">
        <v>8</v>
      </c>
      <c r="B6" s="3">
        <f t="shared" si="0"/>
        <v>-97892</v>
      </c>
      <c r="C6" s="3">
        <v>5356</v>
      </c>
      <c r="D6" s="3">
        <v>3548.79</v>
      </c>
      <c r="E6" s="3">
        <v>103248</v>
      </c>
      <c r="F6" s="3">
        <v>81311.717000000004</v>
      </c>
    </row>
    <row r="7" spans="1:6" x14ac:dyDescent="0.3">
      <c r="A7" s="2" t="s">
        <v>9</v>
      </c>
      <c r="B7" s="3">
        <f t="shared" si="0"/>
        <v>-136846</v>
      </c>
      <c r="C7" s="3">
        <v>3338</v>
      </c>
      <c r="D7" s="3">
        <v>2228.31</v>
      </c>
      <c r="E7" s="3">
        <v>140184</v>
      </c>
      <c r="F7" s="3">
        <v>82699.83</v>
      </c>
    </row>
    <row r="8" spans="1:6" x14ac:dyDescent="0.3">
      <c r="A8" s="2" t="s">
        <v>10</v>
      </c>
      <c r="B8" s="3">
        <f t="shared" si="0"/>
        <v>-33100</v>
      </c>
      <c r="C8" s="3">
        <v>2585</v>
      </c>
      <c r="D8" s="3">
        <v>1667.11</v>
      </c>
      <c r="E8" s="3">
        <v>35685</v>
      </c>
      <c r="F8" s="3">
        <v>25646.23</v>
      </c>
    </row>
    <row r="9" spans="1:6" x14ac:dyDescent="0.3">
      <c r="A9" s="2" t="s">
        <v>11</v>
      </c>
      <c r="B9" s="3">
        <f t="shared" si="0"/>
        <v>-217537</v>
      </c>
      <c r="C9" s="3">
        <v>13193</v>
      </c>
      <c r="D9" s="3">
        <v>8418.06</v>
      </c>
      <c r="E9" s="3">
        <v>230730</v>
      </c>
      <c r="F9" s="3">
        <v>183209.41</v>
      </c>
    </row>
    <row r="10" spans="1:6" x14ac:dyDescent="0.3">
      <c r="A10" s="2" t="s">
        <v>12</v>
      </c>
      <c r="B10" s="3">
        <f t="shared" si="0"/>
        <v>-65344</v>
      </c>
      <c r="C10" s="3">
        <v>5826</v>
      </c>
      <c r="D10" s="3">
        <v>3713.85</v>
      </c>
      <c r="E10" s="3">
        <v>71170</v>
      </c>
      <c r="F10" s="3">
        <v>59640</v>
      </c>
    </row>
    <row r="11" spans="1:6" x14ac:dyDescent="0.3">
      <c r="A11" s="2" t="s">
        <v>13</v>
      </c>
      <c r="B11" s="3">
        <f t="shared" si="0"/>
        <v>-192863</v>
      </c>
      <c r="C11" s="3">
        <v>8847</v>
      </c>
      <c r="D11" s="3">
        <v>4156.34</v>
      </c>
      <c r="E11" s="3">
        <v>201710</v>
      </c>
      <c r="F11" s="3">
        <v>152335.48000000001</v>
      </c>
    </row>
    <row r="12" spans="1:6" x14ac:dyDescent="0.3">
      <c r="A12" s="2" t="s">
        <v>14</v>
      </c>
      <c r="B12" s="3">
        <f t="shared" si="0"/>
        <v>-70117</v>
      </c>
      <c r="C12" s="3">
        <v>3901</v>
      </c>
      <c r="D12" s="3">
        <v>2558.4299999999998</v>
      </c>
      <c r="E12" s="3">
        <v>74018</v>
      </c>
      <c r="F12" s="3">
        <v>59680.7</v>
      </c>
    </row>
    <row r="13" spans="1:6" x14ac:dyDescent="0.3">
      <c r="A13" s="2" t="s">
        <v>15</v>
      </c>
      <c r="B13" s="3">
        <f t="shared" si="0"/>
        <v>-136970</v>
      </c>
      <c r="C13" s="3">
        <v>11752</v>
      </c>
      <c r="D13" s="3">
        <v>7278.69</v>
      </c>
      <c r="E13" s="3">
        <v>148722</v>
      </c>
      <c r="F13" s="3">
        <v>119740</v>
      </c>
    </row>
    <row r="14" spans="1:6" x14ac:dyDescent="0.3">
      <c r="A14" s="2" t="s">
        <v>16</v>
      </c>
      <c r="B14" s="3">
        <f t="shared" si="0"/>
        <v>-103367</v>
      </c>
      <c r="C14" s="3">
        <v>7390</v>
      </c>
      <c r="D14" s="3">
        <v>2942.83</v>
      </c>
      <c r="E14" s="3">
        <v>110757</v>
      </c>
      <c r="F14" s="3">
        <v>74678.7</v>
      </c>
    </row>
    <row r="15" spans="1:6" ht="17.25" thickBot="1" x14ac:dyDescent="0.35">
      <c r="A15" s="4" t="s">
        <v>17</v>
      </c>
      <c r="B15" s="5">
        <f>SUM(B3:B14)</f>
        <v>-1467957</v>
      </c>
      <c r="C15" s="5">
        <f t="shared" ref="C15" si="1">SUM(C3:C14)</f>
        <v>81655</v>
      </c>
      <c r="D15" s="5">
        <f t="shared" ref="D15:F15" si="2">SUM(D3:D14)</f>
        <v>48736.65</v>
      </c>
      <c r="E15" s="5">
        <f t="shared" si="2"/>
        <v>1549612</v>
      </c>
      <c r="F15" s="5">
        <f t="shared" si="2"/>
        <v>1184999.703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-34557</v>
      </c>
      <c r="C3" s="3">
        <v>14928</v>
      </c>
      <c r="D3" s="3">
        <v>9066.8799999999992</v>
      </c>
      <c r="E3" s="3">
        <v>49485</v>
      </c>
      <c r="F3" s="3">
        <v>39880</v>
      </c>
    </row>
    <row r="4" spans="1:6" x14ac:dyDescent="0.3">
      <c r="A4" s="2" t="s">
        <v>6</v>
      </c>
      <c r="B4" s="3">
        <f t="shared" ref="B4:B14" si="0">C4-E4</f>
        <v>-72786</v>
      </c>
      <c r="C4" s="3">
        <v>1983</v>
      </c>
      <c r="D4" s="3">
        <v>1155.06</v>
      </c>
      <c r="E4" s="3">
        <v>74769</v>
      </c>
      <c r="F4" s="3">
        <v>59991</v>
      </c>
    </row>
    <row r="5" spans="1:6" x14ac:dyDescent="0.3">
      <c r="A5" s="2" t="s">
        <v>7</v>
      </c>
      <c r="B5" s="3">
        <f t="shared" si="0"/>
        <v>6144</v>
      </c>
      <c r="C5" s="3">
        <v>6144</v>
      </c>
      <c r="D5" s="3">
        <v>4043.97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-29745</v>
      </c>
      <c r="C6" s="3">
        <v>19733</v>
      </c>
      <c r="D6" s="3">
        <v>10716.55</v>
      </c>
      <c r="E6" s="3">
        <v>49478</v>
      </c>
      <c r="F6" s="3">
        <v>40015</v>
      </c>
    </row>
    <row r="7" spans="1:6" x14ac:dyDescent="0.3">
      <c r="A7" s="2" t="s">
        <v>9</v>
      </c>
      <c r="B7" s="3">
        <f t="shared" si="0"/>
        <v>-95353</v>
      </c>
      <c r="C7" s="3">
        <v>5118</v>
      </c>
      <c r="D7" s="3">
        <v>3400.23</v>
      </c>
      <c r="E7" s="3">
        <v>100471</v>
      </c>
      <c r="F7" s="3">
        <v>80251.8</v>
      </c>
    </row>
    <row r="8" spans="1:6" x14ac:dyDescent="0.3">
      <c r="A8" s="2" t="s">
        <v>10</v>
      </c>
      <c r="B8" s="3">
        <f t="shared" si="0"/>
        <v>-105673</v>
      </c>
      <c r="C8" s="3">
        <v>4331</v>
      </c>
      <c r="D8" s="3">
        <v>2723.49</v>
      </c>
      <c r="E8" s="3">
        <v>110004</v>
      </c>
      <c r="F8" s="3">
        <v>82336.800000000003</v>
      </c>
    </row>
    <row r="9" spans="1:6" x14ac:dyDescent="0.3">
      <c r="A9" s="2" t="s">
        <v>11</v>
      </c>
      <c r="B9" s="3">
        <f t="shared" si="0"/>
        <v>-105079</v>
      </c>
      <c r="C9" s="3">
        <v>4005</v>
      </c>
      <c r="D9" s="3">
        <v>2640.96</v>
      </c>
      <c r="E9" s="3">
        <v>109084</v>
      </c>
      <c r="F9" s="3">
        <v>75069.58</v>
      </c>
    </row>
    <row r="10" spans="1:6" x14ac:dyDescent="0.3">
      <c r="A10" s="2" t="s">
        <v>12</v>
      </c>
      <c r="B10" s="3">
        <f t="shared" si="0"/>
        <v>-15383</v>
      </c>
      <c r="C10" s="3">
        <v>9027</v>
      </c>
      <c r="D10" s="3">
        <v>5374.69</v>
      </c>
      <c r="E10" s="3">
        <v>24410</v>
      </c>
      <c r="F10" s="3">
        <v>19952.879000000001</v>
      </c>
    </row>
    <row r="11" spans="1:6" x14ac:dyDescent="0.3">
      <c r="A11" s="2" t="s">
        <v>13</v>
      </c>
      <c r="B11" s="3">
        <f t="shared" si="0"/>
        <v>-44731</v>
      </c>
      <c r="C11" s="3">
        <v>8392</v>
      </c>
      <c r="D11" s="3">
        <v>5116.1400000000003</v>
      </c>
      <c r="E11" s="3">
        <v>53123</v>
      </c>
      <c r="F11" s="3">
        <v>40552</v>
      </c>
    </row>
    <row r="12" spans="1:6" x14ac:dyDescent="0.3">
      <c r="A12" s="2" t="s">
        <v>14</v>
      </c>
      <c r="B12" s="3">
        <f t="shared" si="0"/>
        <v>-85684</v>
      </c>
      <c r="C12" s="3">
        <v>16492</v>
      </c>
      <c r="D12" s="3">
        <v>10509.33</v>
      </c>
      <c r="E12" s="3">
        <v>102176</v>
      </c>
      <c r="F12" s="3">
        <v>80514.646999999997</v>
      </c>
    </row>
    <row r="13" spans="1:6" x14ac:dyDescent="0.3">
      <c r="A13" s="2" t="s">
        <v>15</v>
      </c>
      <c r="B13" s="3">
        <f t="shared" si="0"/>
        <v>-76963</v>
      </c>
      <c r="C13" s="3">
        <v>7544</v>
      </c>
      <c r="D13" s="3">
        <v>5038.5</v>
      </c>
      <c r="E13" s="3">
        <v>84507</v>
      </c>
      <c r="F13" s="3">
        <v>55128.025000000001</v>
      </c>
    </row>
    <row r="14" spans="1:6" x14ac:dyDescent="0.3">
      <c r="A14" s="2" t="s">
        <v>16</v>
      </c>
      <c r="B14" s="3">
        <f t="shared" si="0"/>
        <v>-2985</v>
      </c>
      <c r="C14" s="3">
        <v>15942</v>
      </c>
      <c r="D14" s="3">
        <v>10201.75</v>
      </c>
      <c r="E14" s="3">
        <v>18927</v>
      </c>
      <c r="F14" s="3">
        <v>20752.288</v>
      </c>
    </row>
    <row r="15" spans="1:6" ht="17.25" thickBot="1" x14ac:dyDescent="0.35">
      <c r="A15" s="4" t="s">
        <v>17</v>
      </c>
      <c r="B15" s="5">
        <f>SUM(B3:B14)</f>
        <v>-662795</v>
      </c>
      <c r="C15" s="5">
        <f t="shared" ref="C15" si="1">SUM(C3:C14)</f>
        <v>113639</v>
      </c>
      <c r="D15" s="5">
        <f t="shared" ref="D15:F15" si="2">SUM(D3:D14)</f>
        <v>69987.55</v>
      </c>
      <c r="E15" s="5">
        <f t="shared" si="2"/>
        <v>776434</v>
      </c>
      <c r="F15" s="5">
        <f t="shared" si="2"/>
        <v>594444.01900000009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-91248</v>
      </c>
      <c r="C3" s="3">
        <v>6619</v>
      </c>
      <c r="D3" s="3">
        <v>3964.2</v>
      </c>
      <c r="E3" s="3">
        <v>97867</v>
      </c>
      <c r="F3" s="3">
        <v>80208.97</v>
      </c>
    </row>
    <row r="4" spans="1:6" x14ac:dyDescent="0.3">
      <c r="A4" s="2" t="s">
        <v>6</v>
      </c>
      <c r="B4" s="3">
        <f t="shared" ref="B4:B14" si="0">C4-E4</f>
        <v>-16452</v>
      </c>
      <c r="C4" s="3">
        <v>10746</v>
      </c>
      <c r="D4" s="3">
        <v>5396.5</v>
      </c>
      <c r="E4" s="3">
        <v>27198</v>
      </c>
      <c r="F4" s="3">
        <v>20450</v>
      </c>
    </row>
    <row r="5" spans="1:6" x14ac:dyDescent="0.3">
      <c r="A5" s="2" t="s">
        <v>7</v>
      </c>
      <c r="B5" s="3">
        <f t="shared" si="0"/>
        <v>-73858</v>
      </c>
      <c r="C5" s="3">
        <v>7708</v>
      </c>
      <c r="D5" s="3">
        <v>4292.72</v>
      </c>
      <c r="E5" s="3">
        <v>81566</v>
      </c>
      <c r="F5" s="3">
        <v>61220</v>
      </c>
    </row>
    <row r="6" spans="1:6" x14ac:dyDescent="0.3">
      <c r="A6" s="2" t="s">
        <v>8</v>
      </c>
      <c r="B6" s="3">
        <f t="shared" si="0"/>
        <v>-15959</v>
      </c>
      <c r="C6" s="3">
        <v>8105</v>
      </c>
      <c r="D6" s="3">
        <v>4332.88</v>
      </c>
      <c r="E6" s="3">
        <v>24064</v>
      </c>
      <c r="F6" s="3">
        <v>19821.900000000001</v>
      </c>
    </row>
    <row r="7" spans="1:6" x14ac:dyDescent="0.3">
      <c r="A7" s="2" t="s">
        <v>9</v>
      </c>
      <c r="B7" s="3">
        <f t="shared" si="0"/>
        <v>-53545</v>
      </c>
      <c r="C7" s="3">
        <v>6794</v>
      </c>
      <c r="D7" s="3">
        <v>3846.3980000000001</v>
      </c>
      <c r="E7" s="3">
        <v>60339</v>
      </c>
      <c r="F7" s="3">
        <v>35189.99</v>
      </c>
    </row>
    <row r="8" spans="1:6" x14ac:dyDescent="0.3">
      <c r="A8" s="2" t="s">
        <v>10</v>
      </c>
      <c r="B8" s="3">
        <f t="shared" si="0"/>
        <v>-896469</v>
      </c>
      <c r="C8" s="3">
        <v>6008</v>
      </c>
      <c r="D8" s="3">
        <v>3379.6</v>
      </c>
      <c r="E8" s="3">
        <v>902477</v>
      </c>
      <c r="F8" s="3">
        <v>1068379.56</v>
      </c>
    </row>
    <row r="9" spans="1:6" x14ac:dyDescent="0.3">
      <c r="A9" s="2" t="s">
        <v>11</v>
      </c>
      <c r="B9" s="3">
        <f t="shared" si="0"/>
        <v>-18739</v>
      </c>
      <c r="C9" s="3">
        <v>5457</v>
      </c>
      <c r="D9" s="3">
        <v>3154.98</v>
      </c>
      <c r="E9" s="3">
        <v>24196</v>
      </c>
      <c r="F9" s="3">
        <v>19931.060000000001</v>
      </c>
    </row>
    <row r="10" spans="1:6" x14ac:dyDescent="0.3">
      <c r="A10" s="2" t="s">
        <v>12</v>
      </c>
      <c r="B10" s="3">
        <f t="shared" si="0"/>
        <v>-103039</v>
      </c>
      <c r="C10" s="3">
        <v>4743</v>
      </c>
      <c r="D10" s="3">
        <v>2723.26</v>
      </c>
      <c r="E10" s="3">
        <v>107782</v>
      </c>
      <c r="F10" s="3">
        <v>80778.73</v>
      </c>
    </row>
    <row r="11" spans="1:6" x14ac:dyDescent="0.3">
      <c r="A11" s="2" t="s">
        <v>13</v>
      </c>
      <c r="B11" s="3">
        <f t="shared" si="0"/>
        <v>-75300</v>
      </c>
      <c r="C11" s="3">
        <v>9719</v>
      </c>
      <c r="D11" s="3">
        <v>5427.56</v>
      </c>
      <c r="E11" s="3">
        <v>85019</v>
      </c>
      <c r="F11" s="3">
        <v>21718.892</v>
      </c>
    </row>
    <row r="12" spans="1:6" x14ac:dyDescent="0.3">
      <c r="A12" s="2" t="s">
        <v>14</v>
      </c>
      <c r="B12" s="3">
        <f t="shared" si="0"/>
        <v>9465</v>
      </c>
      <c r="C12" s="3">
        <v>13870</v>
      </c>
      <c r="D12" s="3">
        <v>7645.06</v>
      </c>
      <c r="E12" s="3">
        <v>4405</v>
      </c>
      <c r="F12" s="3">
        <v>1714</v>
      </c>
    </row>
    <row r="13" spans="1:6" x14ac:dyDescent="0.3">
      <c r="A13" s="2" t="s">
        <v>15</v>
      </c>
      <c r="B13" s="3">
        <f t="shared" si="0"/>
        <v>8437</v>
      </c>
      <c r="C13" s="3">
        <v>8472</v>
      </c>
      <c r="D13" s="3">
        <v>4837.88</v>
      </c>
      <c r="E13" s="3">
        <v>35</v>
      </c>
      <c r="F13" s="3">
        <v>14.4</v>
      </c>
    </row>
    <row r="14" spans="1:6" x14ac:dyDescent="0.3">
      <c r="A14" s="2" t="s">
        <v>16</v>
      </c>
      <c r="B14" s="3">
        <f t="shared" si="0"/>
        <v>14232</v>
      </c>
      <c r="C14" s="3">
        <v>14274</v>
      </c>
      <c r="D14" s="3">
        <v>8036.82</v>
      </c>
      <c r="E14" s="3">
        <v>42</v>
      </c>
      <c r="F14" s="3">
        <v>9.6</v>
      </c>
    </row>
    <row r="15" spans="1:6" ht="17.25" thickBot="1" x14ac:dyDescent="0.35">
      <c r="A15" s="4" t="s">
        <v>17</v>
      </c>
      <c r="B15" s="5">
        <f>SUM(B3:B14)</f>
        <v>-1312475</v>
      </c>
      <c r="C15" s="5">
        <f t="shared" ref="C15" si="1">SUM(C3:C14)</f>
        <v>102515</v>
      </c>
      <c r="D15" s="5">
        <f t="shared" ref="D15:F15" si="2">SUM(D3:D14)</f>
        <v>57037.857999999993</v>
      </c>
      <c r="E15" s="5">
        <f t="shared" si="2"/>
        <v>1414990</v>
      </c>
      <c r="F15" s="5">
        <f t="shared" si="2"/>
        <v>1409437.102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-420929</v>
      </c>
      <c r="C3" s="3">
        <v>16612</v>
      </c>
      <c r="D3" s="3">
        <v>9368.0300000000007</v>
      </c>
      <c r="E3" s="3">
        <v>437541</v>
      </c>
      <c r="F3" s="3">
        <v>500794</v>
      </c>
    </row>
    <row r="4" spans="1:6" x14ac:dyDescent="0.3">
      <c r="A4" s="2" t="s">
        <v>6</v>
      </c>
      <c r="B4" s="3">
        <f t="shared" ref="B4:B14" si="0">C4-E4</f>
        <v>-28035</v>
      </c>
      <c r="C4" s="3">
        <v>11680</v>
      </c>
      <c r="D4" s="3">
        <v>6377.32</v>
      </c>
      <c r="E4" s="3">
        <v>39715</v>
      </c>
      <c r="F4" s="3">
        <v>15241</v>
      </c>
    </row>
    <row r="5" spans="1:6" x14ac:dyDescent="0.3">
      <c r="A5" s="2" t="s">
        <v>7</v>
      </c>
      <c r="B5" s="3">
        <f t="shared" si="0"/>
        <v>-2100187</v>
      </c>
      <c r="C5" s="3">
        <v>5960</v>
      </c>
      <c r="D5" s="3">
        <v>3486.68</v>
      </c>
      <c r="E5" s="3">
        <v>2106147</v>
      </c>
      <c r="F5" s="3">
        <v>2523678</v>
      </c>
    </row>
    <row r="6" spans="1:6" x14ac:dyDescent="0.3">
      <c r="A6" s="2" t="s">
        <v>8</v>
      </c>
      <c r="B6" s="3">
        <f t="shared" si="0"/>
        <v>-19330</v>
      </c>
      <c r="C6" s="3">
        <v>8830</v>
      </c>
      <c r="D6" s="3">
        <v>5156.21</v>
      </c>
      <c r="E6" s="3">
        <v>28160</v>
      </c>
      <c r="F6" s="3">
        <v>21816.3</v>
      </c>
    </row>
    <row r="7" spans="1:6" x14ac:dyDescent="0.3">
      <c r="A7" s="2" t="s">
        <v>9</v>
      </c>
      <c r="B7" s="3">
        <f t="shared" si="0"/>
        <v>-126966</v>
      </c>
      <c r="C7" s="3">
        <v>9198</v>
      </c>
      <c r="D7" s="3">
        <v>5122.3999999999996</v>
      </c>
      <c r="E7" s="3">
        <v>136164</v>
      </c>
      <c r="F7" s="3">
        <v>89440</v>
      </c>
    </row>
    <row r="8" spans="1:6" x14ac:dyDescent="0.3">
      <c r="A8" s="2" t="s">
        <v>10</v>
      </c>
      <c r="B8" s="3">
        <f t="shared" si="0"/>
        <v>33993</v>
      </c>
      <c r="C8" s="3">
        <v>33993</v>
      </c>
      <c r="D8" s="3">
        <v>19335.11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-3182020</v>
      </c>
      <c r="C9" s="3">
        <v>26540</v>
      </c>
      <c r="D9" s="3">
        <v>15041.46</v>
      </c>
      <c r="E9" s="3">
        <v>3208560</v>
      </c>
      <c r="F9" s="3">
        <v>4075103</v>
      </c>
    </row>
    <row r="10" spans="1:6" x14ac:dyDescent="0.3">
      <c r="A10" s="2" t="s">
        <v>12</v>
      </c>
      <c r="B10" s="3">
        <f t="shared" si="0"/>
        <v>4852</v>
      </c>
      <c r="C10" s="3">
        <v>4852</v>
      </c>
      <c r="D10" s="3">
        <v>3166.35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-30403</v>
      </c>
      <c r="C11" s="3">
        <v>9309</v>
      </c>
      <c r="D11" s="3">
        <v>5240.5</v>
      </c>
      <c r="E11" s="3">
        <v>39712</v>
      </c>
      <c r="F11" s="3">
        <v>15241</v>
      </c>
    </row>
    <row r="12" spans="1:6" x14ac:dyDescent="0.3">
      <c r="A12" s="2" t="s">
        <v>14</v>
      </c>
      <c r="B12" s="3">
        <f t="shared" si="0"/>
        <v>-125940</v>
      </c>
      <c r="C12" s="3">
        <v>12587</v>
      </c>
      <c r="D12" s="3">
        <v>6981.1</v>
      </c>
      <c r="E12" s="3">
        <v>138527</v>
      </c>
      <c r="F12" s="3">
        <v>102385</v>
      </c>
    </row>
    <row r="13" spans="1:6" x14ac:dyDescent="0.3">
      <c r="A13" s="2" t="s">
        <v>15</v>
      </c>
      <c r="B13" s="3">
        <f t="shared" si="0"/>
        <v>-41911</v>
      </c>
      <c r="C13" s="3">
        <v>7464</v>
      </c>
      <c r="D13" s="3">
        <v>4081.36</v>
      </c>
      <c r="E13" s="3">
        <v>49375</v>
      </c>
      <c r="F13" s="3">
        <v>36436</v>
      </c>
    </row>
    <row r="14" spans="1:6" x14ac:dyDescent="0.3">
      <c r="A14" s="2" t="s">
        <v>16</v>
      </c>
      <c r="B14" s="3">
        <f t="shared" si="0"/>
        <v>-88719</v>
      </c>
      <c r="C14" s="3">
        <v>8333</v>
      </c>
      <c r="D14" s="3">
        <v>4524.2</v>
      </c>
      <c r="E14" s="3">
        <v>97052</v>
      </c>
      <c r="F14" s="3">
        <v>62614</v>
      </c>
    </row>
    <row r="15" spans="1:6" ht="17.25" thickBot="1" x14ac:dyDescent="0.35">
      <c r="A15" s="4" t="s">
        <v>17</v>
      </c>
      <c r="B15" s="5">
        <f>SUM(B3:B14)</f>
        <v>-6125595</v>
      </c>
      <c r="C15" s="5">
        <f t="shared" ref="C15" si="1">SUM(C3:C14)</f>
        <v>155358</v>
      </c>
      <c r="D15" s="5">
        <f t="shared" ref="D15:F15" si="2">SUM(D3:D14)</f>
        <v>87880.72</v>
      </c>
      <c r="E15" s="5">
        <f t="shared" si="2"/>
        <v>6280953</v>
      </c>
      <c r="F15" s="5">
        <f t="shared" si="2"/>
        <v>7442748.2999999998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-931850</v>
      </c>
      <c r="C3" s="3">
        <v>4561</v>
      </c>
      <c r="D3" s="3">
        <v>2581.6999999999998</v>
      </c>
      <c r="E3" s="3">
        <v>936411</v>
      </c>
      <c r="F3" s="3">
        <v>1104136</v>
      </c>
    </row>
    <row r="4" spans="1:6" x14ac:dyDescent="0.3">
      <c r="A4" s="2" t="s">
        <v>6</v>
      </c>
      <c r="B4" s="3">
        <f t="shared" ref="B4:B14" si="0">C4-E4</f>
        <v>-139843</v>
      </c>
      <c r="C4" s="3">
        <v>14859</v>
      </c>
      <c r="D4" s="3">
        <v>7733.42</v>
      </c>
      <c r="E4" s="3">
        <v>154702</v>
      </c>
      <c r="F4" s="3">
        <v>101577</v>
      </c>
    </row>
    <row r="5" spans="1:6" x14ac:dyDescent="0.3">
      <c r="A5" s="2" t="s">
        <v>7</v>
      </c>
      <c r="B5" s="3">
        <f t="shared" si="0"/>
        <v>-152361</v>
      </c>
      <c r="C5" s="3">
        <v>18075</v>
      </c>
      <c r="D5" s="3">
        <v>10498.5</v>
      </c>
      <c r="E5" s="3">
        <v>170436</v>
      </c>
      <c r="F5" s="3">
        <v>98004</v>
      </c>
    </row>
    <row r="6" spans="1:6" x14ac:dyDescent="0.3">
      <c r="A6" s="2" t="s">
        <v>8</v>
      </c>
      <c r="B6" s="3">
        <f t="shared" si="0"/>
        <v>-114074</v>
      </c>
      <c r="C6" s="3">
        <v>7137</v>
      </c>
      <c r="D6" s="3">
        <v>4177.1000000000004</v>
      </c>
      <c r="E6" s="3">
        <v>121211</v>
      </c>
      <c r="F6" s="3">
        <v>79956</v>
      </c>
    </row>
    <row r="7" spans="1:6" x14ac:dyDescent="0.3">
      <c r="A7" s="2" t="s">
        <v>9</v>
      </c>
      <c r="B7" s="3">
        <f t="shared" si="0"/>
        <v>-180132</v>
      </c>
      <c r="C7" s="3">
        <v>9908</v>
      </c>
      <c r="D7" s="3">
        <v>5130.3</v>
      </c>
      <c r="E7" s="3">
        <v>190040</v>
      </c>
      <c r="F7" s="3">
        <v>121107.6</v>
      </c>
    </row>
    <row r="8" spans="1:6" x14ac:dyDescent="0.3">
      <c r="A8" s="2" t="s">
        <v>10</v>
      </c>
      <c r="B8" s="3">
        <f t="shared" si="0"/>
        <v>-5218351</v>
      </c>
      <c r="C8" s="3">
        <v>2255</v>
      </c>
      <c r="D8" s="3">
        <v>1154.97</v>
      </c>
      <c r="E8" s="3">
        <v>5220606</v>
      </c>
      <c r="F8" s="3">
        <v>2993014</v>
      </c>
    </row>
    <row r="9" spans="1:6" x14ac:dyDescent="0.3">
      <c r="A9" s="2" t="s">
        <v>11</v>
      </c>
      <c r="B9" s="3">
        <f t="shared" si="0"/>
        <v>-50121</v>
      </c>
      <c r="C9" s="3">
        <v>4440</v>
      </c>
      <c r="D9" s="3">
        <v>2451.8000000000002</v>
      </c>
      <c r="E9" s="3">
        <v>54561</v>
      </c>
      <c r="F9" s="3">
        <v>25510</v>
      </c>
    </row>
    <row r="10" spans="1:6" x14ac:dyDescent="0.3">
      <c r="A10" s="2" t="s">
        <v>12</v>
      </c>
      <c r="B10" s="3">
        <f t="shared" si="0"/>
        <v>3354</v>
      </c>
      <c r="C10" s="3">
        <v>3442</v>
      </c>
      <c r="D10" s="3">
        <v>1898.8</v>
      </c>
      <c r="E10" s="3">
        <v>88</v>
      </c>
      <c r="F10" s="3">
        <v>10</v>
      </c>
    </row>
    <row r="11" spans="1:6" x14ac:dyDescent="0.3">
      <c r="A11" s="2" t="s">
        <v>13</v>
      </c>
      <c r="B11" s="3">
        <f t="shared" si="0"/>
        <v>-12742</v>
      </c>
      <c r="C11" s="3">
        <v>7425</v>
      </c>
      <c r="D11" s="3">
        <v>3826.2</v>
      </c>
      <c r="E11" s="3">
        <v>20167</v>
      </c>
      <c r="F11" s="3">
        <v>3048</v>
      </c>
    </row>
    <row r="12" spans="1:6" x14ac:dyDescent="0.3">
      <c r="A12" s="2" t="s">
        <v>14</v>
      </c>
      <c r="B12" s="3">
        <f t="shared" si="0"/>
        <v>8233</v>
      </c>
      <c r="C12" s="3">
        <v>8233</v>
      </c>
      <c r="D12" s="3">
        <v>4589.2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-68884</v>
      </c>
      <c r="C13" s="3">
        <v>4156</v>
      </c>
      <c r="D13" s="3">
        <v>2343.6</v>
      </c>
      <c r="E13" s="3">
        <v>73040</v>
      </c>
      <c r="F13" s="3">
        <v>22764</v>
      </c>
    </row>
    <row r="14" spans="1:6" x14ac:dyDescent="0.3">
      <c r="A14" s="2" t="s">
        <v>16</v>
      </c>
      <c r="B14" s="3">
        <f t="shared" si="0"/>
        <v>-122682</v>
      </c>
      <c r="C14" s="3">
        <v>8354</v>
      </c>
      <c r="D14" s="3">
        <v>4626.2</v>
      </c>
      <c r="E14" s="3">
        <v>131036</v>
      </c>
      <c r="F14" s="3">
        <v>42801.466999999997</v>
      </c>
    </row>
    <row r="15" spans="1:6" ht="17.25" thickBot="1" x14ac:dyDescent="0.35">
      <c r="A15" s="4" t="s">
        <v>17</v>
      </c>
      <c r="B15" s="5">
        <f>SUM(B3:B14)</f>
        <v>-6979453</v>
      </c>
      <c r="C15" s="5">
        <f t="shared" ref="C15" si="1">SUM(C3:C14)</f>
        <v>92845</v>
      </c>
      <c r="D15" s="5">
        <f t="shared" ref="D15:F15" si="2">SUM(D3:D14)</f>
        <v>51011.789999999994</v>
      </c>
      <c r="E15" s="5">
        <f t="shared" si="2"/>
        <v>7072298</v>
      </c>
      <c r="F15" s="5">
        <f t="shared" si="2"/>
        <v>4591928.0669999998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-8200</v>
      </c>
      <c r="C3" s="3">
        <v>8993</v>
      </c>
      <c r="D3" s="3">
        <v>4427.2</v>
      </c>
      <c r="E3" s="3">
        <v>17193</v>
      </c>
      <c r="F3" s="3">
        <v>4211</v>
      </c>
    </row>
    <row r="4" spans="1:6" x14ac:dyDescent="0.3">
      <c r="A4" s="2" t="s">
        <v>6</v>
      </c>
      <c r="B4" s="3">
        <f t="shared" ref="B4:B14" si="0">C4-E4</f>
        <v>-4633478</v>
      </c>
      <c r="C4" s="3">
        <v>13534</v>
      </c>
      <c r="D4" s="3">
        <v>6362.8</v>
      </c>
      <c r="E4" s="3">
        <v>4647012</v>
      </c>
      <c r="F4" s="3">
        <v>2998072</v>
      </c>
    </row>
    <row r="5" spans="1:6" x14ac:dyDescent="0.3">
      <c r="A5" s="2" t="s">
        <v>7</v>
      </c>
      <c r="B5" s="3">
        <f t="shared" si="0"/>
        <v>-36592</v>
      </c>
      <c r="C5" s="3">
        <v>13731</v>
      </c>
      <c r="D5" s="3">
        <v>6445.8</v>
      </c>
      <c r="E5" s="3">
        <v>50323</v>
      </c>
      <c r="F5" s="3">
        <v>15241</v>
      </c>
    </row>
    <row r="6" spans="1:6" x14ac:dyDescent="0.3">
      <c r="A6" s="2" t="s">
        <v>8</v>
      </c>
      <c r="B6" s="3">
        <f t="shared" si="0"/>
        <v>-7229812</v>
      </c>
      <c r="C6" s="3">
        <v>14078</v>
      </c>
      <c r="D6" s="3">
        <v>6264.3</v>
      </c>
      <c r="E6" s="3">
        <v>7243890</v>
      </c>
      <c r="F6" s="3">
        <v>4019172</v>
      </c>
    </row>
    <row r="7" spans="1:6" x14ac:dyDescent="0.3">
      <c r="A7" s="2" t="s">
        <v>9</v>
      </c>
      <c r="B7" s="3">
        <f t="shared" si="0"/>
        <v>3654</v>
      </c>
      <c r="C7" s="3">
        <v>3654</v>
      </c>
      <c r="D7" s="3">
        <v>1535.7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-82677</v>
      </c>
      <c r="C8" s="3">
        <v>13850</v>
      </c>
      <c r="D8" s="3">
        <v>5716.9</v>
      </c>
      <c r="E8" s="3">
        <v>96527</v>
      </c>
      <c r="F8" s="3">
        <v>34926.400000000001</v>
      </c>
    </row>
    <row r="9" spans="1:6" x14ac:dyDescent="0.3">
      <c r="A9" s="2" t="s">
        <v>11</v>
      </c>
      <c r="B9" s="3">
        <f t="shared" si="0"/>
        <v>12308</v>
      </c>
      <c r="C9" s="3">
        <v>12308</v>
      </c>
      <c r="D9" s="3">
        <v>4395.3999999999996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-52720</v>
      </c>
      <c r="C10" s="3">
        <v>2670</v>
      </c>
      <c r="D10" s="3">
        <v>939.3</v>
      </c>
      <c r="E10" s="3">
        <v>55390</v>
      </c>
      <c r="F10" s="3">
        <v>17148.7</v>
      </c>
    </row>
    <row r="11" spans="1:6" x14ac:dyDescent="0.3">
      <c r="A11" s="2" t="s">
        <v>13</v>
      </c>
      <c r="B11" s="3">
        <f t="shared" si="0"/>
        <v>4932</v>
      </c>
      <c r="C11" s="3">
        <v>4932</v>
      </c>
      <c r="D11" s="3">
        <v>1868.8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1744</v>
      </c>
      <c r="C12" s="3">
        <v>1744</v>
      </c>
      <c r="D12" s="3">
        <v>636.79999999999995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4034</v>
      </c>
      <c r="C13" s="3">
        <v>4034</v>
      </c>
      <c r="D13" s="3">
        <v>1693.7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-27260</v>
      </c>
      <c r="C14" s="3">
        <v>22300</v>
      </c>
      <c r="D14" s="3">
        <v>7266.1</v>
      </c>
      <c r="E14" s="3">
        <v>49560</v>
      </c>
      <c r="F14" s="3">
        <v>17800</v>
      </c>
    </row>
    <row r="15" spans="1:6" ht="17.25" thickBot="1" x14ac:dyDescent="0.35">
      <c r="A15" s="4" t="s">
        <v>17</v>
      </c>
      <c r="B15" s="5">
        <f>SUM(B3:B14)</f>
        <v>-12044067</v>
      </c>
      <c r="C15" s="5">
        <f t="shared" ref="C15" si="1">SUM(C3:C14)</f>
        <v>115828</v>
      </c>
      <c r="D15" s="5">
        <f t="shared" ref="D15:F15" si="2">SUM(D3:D14)</f>
        <v>47552.800000000003</v>
      </c>
      <c r="E15" s="5">
        <f t="shared" si="2"/>
        <v>12159895</v>
      </c>
      <c r="F15" s="5">
        <f t="shared" si="2"/>
        <v>7106571.1000000006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17420</v>
      </c>
      <c r="C3" s="3">
        <v>17420</v>
      </c>
      <c r="D3" s="3">
        <v>4769.5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38419</v>
      </c>
      <c r="C4" s="3">
        <v>38419</v>
      </c>
      <c r="D4" s="3">
        <v>11997.8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28973</v>
      </c>
      <c r="C5" s="3">
        <v>28973</v>
      </c>
      <c r="D5" s="3">
        <v>9601.6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5631</v>
      </c>
      <c r="C6" s="3">
        <v>23268</v>
      </c>
      <c r="D6" s="3">
        <v>7929.7</v>
      </c>
      <c r="E6" s="3">
        <v>17637</v>
      </c>
      <c r="F6" s="3">
        <v>5144</v>
      </c>
    </row>
    <row r="7" spans="1:6" x14ac:dyDescent="0.3">
      <c r="A7" s="2" t="s">
        <v>9</v>
      </c>
      <c r="B7" s="3">
        <f t="shared" si="0"/>
        <v>-58962</v>
      </c>
      <c r="C7" s="3">
        <v>30175</v>
      </c>
      <c r="D7" s="3">
        <v>9392.7999999999993</v>
      </c>
      <c r="E7" s="3">
        <v>89137</v>
      </c>
      <c r="F7" s="3">
        <v>38755.1</v>
      </c>
    </row>
    <row r="8" spans="1:6" x14ac:dyDescent="0.3">
      <c r="A8" s="2" t="s">
        <v>10</v>
      </c>
      <c r="B8" s="3">
        <f t="shared" si="0"/>
        <v>14081</v>
      </c>
      <c r="C8" s="3">
        <v>14486</v>
      </c>
      <c r="D8" s="3">
        <v>4438.37</v>
      </c>
      <c r="E8" s="3">
        <v>405</v>
      </c>
      <c r="F8" s="3">
        <v>192.8</v>
      </c>
    </row>
    <row r="9" spans="1:6" x14ac:dyDescent="0.3">
      <c r="A9" s="2" t="s">
        <v>11</v>
      </c>
      <c r="B9" s="3">
        <f t="shared" si="0"/>
        <v>10738</v>
      </c>
      <c r="C9" s="3">
        <v>10738</v>
      </c>
      <c r="D9" s="3">
        <v>3479.9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-45054</v>
      </c>
      <c r="C10" s="3">
        <v>15047</v>
      </c>
      <c r="D10" s="3">
        <v>4106.5</v>
      </c>
      <c r="E10" s="3">
        <v>60101</v>
      </c>
      <c r="F10" s="3">
        <v>14479</v>
      </c>
    </row>
    <row r="11" spans="1:6" x14ac:dyDescent="0.3">
      <c r="A11" s="2" t="s">
        <v>13</v>
      </c>
      <c r="B11" s="3">
        <f t="shared" si="0"/>
        <v>-27026</v>
      </c>
      <c r="C11" s="3">
        <v>18041</v>
      </c>
      <c r="D11" s="3">
        <v>5836.7</v>
      </c>
      <c r="E11" s="3">
        <v>45067</v>
      </c>
      <c r="F11" s="3">
        <v>19620</v>
      </c>
    </row>
    <row r="12" spans="1:6" x14ac:dyDescent="0.3">
      <c r="A12" s="2" t="s">
        <v>14</v>
      </c>
      <c r="B12" s="3">
        <f t="shared" si="0"/>
        <v>10241</v>
      </c>
      <c r="C12" s="3">
        <v>29411</v>
      </c>
      <c r="D12" s="3">
        <v>9355</v>
      </c>
      <c r="E12" s="3">
        <v>19170</v>
      </c>
      <c r="F12" s="3">
        <v>5144</v>
      </c>
    </row>
    <row r="13" spans="1:6" x14ac:dyDescent="0.3">
      <c r="A13" s="2" t="s">
        <v>15</v>
      </c>
      <c r="B13" s="3">
        <f t="shared" si="0"/>
        <v>-10960</v>
      </c>
      <c r="C13" s="3">
        <v>35279</v>
      </c>
      <c r="D13" s="3">
        <v>12191.5</v>
      </c>
      <c r="E13" s="3">
        <v>46239</v>
      </c>
      <c r="F13" s="3">
        <v>20130</v>
      </c>
    </row>
    <row r="14" spans="1:6" x14ac:dyDescent="0.3">
      <c r="A14" s="2" t="s">
        <v>16</v>
      </c>
      <c r="B14" s="3">
        <f t="shared" si="0"/>
        <v>23142</v>
      </c>
      <c r="C14" s="3">
        <v>23182</v>
      </c>
      <c r="D14" s="3">
        <v>6547.2</v>
      </c>
      <c r="E14" s="3">
        <v>40</v>
      </c>
      <c r="F14" s="3">
        <v>0.85799999999999998</v>
      </c>
    </row>
    <row r="15" spans="1:6" ht="17.25" thickBot="1" x14ac:dyDescent="0.35">
      <c r="A15" s="4" t="s">
        <v>17</v>
      </c>
      <c r="B15" s="5">
        <f>SUM(B3:B14)</f>
        <v>6643</v>
      </c>
      <c r="C15" s="5">
        <f t="shared" ref="C15" si="1">SUM(C3:C14)</f>
        <v>284439</v>
      </c>
      <c r="D15" s="5">
        <f t="shared" ref="D15:F15" si="2">SUM(D3:D14)</f>
        <v>89646.569999999992</v>
      </c>
      <c r="E15" s="5">
        <f t="shared" si="2"/>
        <v>277796</v>
      </c>
      <c r="F15" s="5">
        <f t="shared" si="2"/>
        <v>103465.75799999999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34784</v>
      </c>
      <c r="C3" s="3">
        <v>34828</v>
      </c>
      <c r="D3" s="3">
        <v>10490.2</v>
      </c>
      <c r="E3" s="3">
        <v>44</v>
      </c>
      <c r="F3" s="3">
        <v>1.2</v>
      </c>
    </row>
    <row r="4" spans="1:6" x14ac:dyDescent="0.3">
      <c r="A4" s="2" t="s">
        <v>6</v>
      </c>
      <c r="B4" s="3">
        <f t="shared" ref="B4:B14" si="0">C4-E4</f>
        <v>11017</v>
      </c>
      <c r="C4" s="3">
        <v>11017</v>
      </c>
      <c r="D4" s="3">
        <v>4014.5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-17839</v>
      </c>
      <c r="C5" s="3">
        <v>18557</v>
      </c>
      <c r="D5" s="3">
        <v>7401.59</v>
      </c>
      <c r="E5" s="3">
        <v>36396</v>
      </c>
      <c r="F5" s="3">
        <v>20221.150000000001</v>
      </c>
    </row>
    <row r="6" spans="1:6" x14ac:dyDescent="0.3">
      <c r="A6" s="2" t="s">
        <v>8</v>
      </c>
      <c r="B6" s="3">
        <f t="shared" si="0"/>
        <v>14687</v>
      </c>
      <c r="C6" s="3">
        <v>14687</v>
      </c>
      <c r="D6" s="3">
        <v>5870.6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18990</v>
      </c>
      <c r="C7" s="3">
        <v>18990</v>
      </c>
      <c r="D7" s="3">
        <v>7853.86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-33791</v>
      </c>
      <c r="C8" s="3">
        <v>15732</v>
      </c>
      <c r="D8" s="3">
        <v>6160.46</v>
      </c>
      <c r="E8" s="3">
        <v>49523</v>
      </c>
      <c r="F8" s="3">
        <v>24956.46</v>
      </c>
    </row>
    <row r="9" spans="1:6" x14ac:dyDescent="0.3">
      <c r="A9" s="2" t="s">
        <v>11</v>
      </c>
      <c r="B9" s="3">
        <f t="shared" si="0"/>
        <v>-24618</v>
      </c>
      <c r="C9" s="3">
        <v>12529</v>
      </c>
      <c r="D9" s="3">
        <v>4902.2</v>
      </c>
      <c r="E9" s="3">
        <v>37147</v>
      </c>
      <c r="F9" s="3">
        <v>19950</v>
      </c>
    </row>
    <row r="10" spans="1:6" x14ac:dyDescent="0.3">
      <c r="A10" s="2" t="s">
        <v>12</v>
      </c>
      <c r="B10" s="3">
        <f t="shared" si="0"/>
        <v>14928</v>
      </c>
      <c r="C10" s="3">
        <v>14928</v>
      </c>
      <c r="D10" s="3">
        <v>5371.5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-23237</v>
      </c>
      <c r="C11" s="3">
        <v>11805</v>
      </c>
      <c r="D11" s="3">
        <v>4733.6000000000004</v>
      </c>
      <c r="E11" s="3">
        <v>35042</v>
      </c>
      <c r="F11" s="3">
        <v>19604.259999999998</v>
      </c>
    </row>
    <row r="12" spans="1:6" x14ac:dyDescent="0.3">
      <c r="A12" s="2" t="s">
        <v>14</v>
      </c>
      <c r="B12" s="3">
        <f t="shared" si="0"/>
        <v>15671</v>
      </c>
      <c r="C12" s="3">
        <v>15671</v>
      </c>
      <c r="D12" s="3">
        <v>5911.25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37907</v>
      </c>
      <c r="C13" s="3">
        <v>37929</v>
      </c>
      <c r="D13" s="3">
        <v>18379.63</v>
      </c>
      <c r="E13" s="3">
        <v>22</v>
      </c>
      <c r="F13" s="3">
        <v>1.7</v>
      </c>
    </row>
    <row r="14" spans="1:6" x14ac:dyDescent="0.3">
      <c r="A14" s="2" t="s">
        <v>16</v>
      </c>
      <c r="B14" s="3">
        <f t="shared" si="0"/>
        <v>3743</v>
      </c>
      <c r="C14" s="3">
        <v>13220</v>
      </c>
      <c r="D14" s="3">
        <v>5346</v>
      </c>
      <c r="E14" s="3">
        <v>9477</v>
      </c>
      <c r="F14" s="3">
        <v>1524</v>
      </c>
    </row>
    <row r="15" spans="1:6" ht="17.25" thickBot="1" x14ac:dyDescent="0.35">
      <c r="A15" s="4" t="s">
        <v>17</v>
      </c>
      <c r="B15" s="5">
        <f>SUM(B3:B14)</f>
        <v>52242</v>
      </c>
      <c r="C15" s="5">
        <f t="shared" ref="C15" si="1">SUM(C3:C14)</f>
        <v>219893</v>
      </c>
      <c r="D15" s="5">
        <f t="shared" ref="D15:F15" si="2">SUM(D3:D14)</f>
        <v>86435.39</v>
      </c>
      <c r="E15" s="5">
        <f t="shared" si="2"/>
        <v>167651</v>
      </c>
      <c r="F15" s="5">
        <f t="shared" si="2"/>
        <v>86258.76999999999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-18051</v>
      </c>
      <c r="C3" s="3">
        <v>18131</v>
      </c>
      <c r="D3" s="3">
        <v>7453.6</v>
      </c>
      <c r="E3" s="3">
        <v>36182</v>
      </c>
      <c r="F3" s="3">
        <v>20330.009999999998</v>
      </c>
    </row>
    <row r="4" spans="1:6" x14ac:dyDescent="0.3">
      <c r="A4" s="2" t="s">
        <v>6</v>
      </c>
      <c r="B4" s="3">
        <f t="shared" ref="B4:B14" si="0">C4-E4</f>
        <v>15450</v>
      </c>
      <c r="C4" s="3">
        <v>15450</v>
      </c>
      <c r="D4" s="3">
        <v>7105.4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16987</v>
      </c>
      <c r="C5" s="3">
        <v>17021</v>
      </c>
      <c r="D5" s="3">
        <v>8329.2000000000007</v>
      </c>
      <c r="E5" s="3">
        <v>34</v>
      </c>
      <c r="F5" s="3">
        <v>6</v>
      </c>
    </row>
    <row r="6" spans="1:6" x14ac:dyDescent="0.3">
      <c r="A6" s="2" t="s">
        <v>8</v>
      </c>
      <c r="B6" s="3">
        <f t="shared" si="0"/>
        <v>18278</v>
      </c>
      <c r="C6" s="3">
        <v>18278</v>
      </c>
      <c r="D6" s="3">
        <v>10072.5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-33635</v>
      </c>
      <c r="C7" s="3">
        <v>4453</v>
      </c>
      <c r="D7" s="3">
        <v>2012</v>
      </c>
      <c r="E7" s="3">
        <v>38088</v>
      </c>
      <c r="F7" s="3">
        <v>21164.62</v>
      </c>
    </row>
    <row r="8" spans="1:6" x14ac:dyDescent="0.3">
      <c r="A8" s="2" t="s">
        <v>10</v>
      </c>
      <c r="B8" s="3">
        <f t="shared" si="0"/>
        <v>9965</v>
      </c>
      <c r="C8" s="3">
        <v>9965</v>
      </c>
      <c r="D8" s="3">
        <v>5138.3999999999996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6618</v>
      </c>
      <c r="C9" s="3">
        <v>6618</v>
      </c>
      <c r="D9" s="3">
        <v>3801.1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-29077</v>
      </c>
      <c r="C10" s="3">
        <v>9071</v>
      </c>
      <c r="D10" s="3">
        <v>3684.4</v>
      </c>
      <c r="E10" s="3">
        <v>38148</v>
      </c>
      <c r="F10" s="3">
        <v>20396.61</v>
      </c>
    </row>
    <row r="11" spans="1:6" x14ac:dyDescent="0.3">
      <c r="A11" s="2" t="s">
        <v>13</v>
      </c>
      <c r="B11" s="3">
        <f t="shared" si="0"/>
        <v>-31764</v>
      </c>
      <c r="C11" s="3">
        <v>4963</v>
      </c>
      <c r="D11" s="3">
        <v>2534.5</v>
      </c>
      <c r="E11" s="3">
        <v>36727</v>
      </c>
      <c r="F11" s="3">
        <v>19640.55</v>
      </c>
    </row>
    <row r="12" spans="1:6" x14ac:dyDescent="0.3">
      <c r="A12" s="2" t="s">
        <v>14</v>
      </c>
      <c r="B12" s="3">
        <f t="shared" si="0"/>
        <v>7955</v>
      </c>
      <c r="C12" s="3">
        <v>7955</v>
      </c>
      <c r="D12" s="3">
        <v>3802.4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3691</v>
      </c>
      <c r="C13" s="3">
        <v>3691</v>
      </c>
      <c r="D13" s="3">
        <v>2383.35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-7592</v>
      </c>
      <c r="C14" s="3">
        <v>31454</v>
      </c>
      <c r="D14" s="3">
        <v>20271</v>
      </c>
      <c r="E14" s="3">
        <v>39046</v>
      </c>
      <c r="F14" s="3">
        <v>20880</v>
      </c>
    </row>
    <row r="15" spans="1:6" ht="17.25" thickBot="1" x14ac:dyDescent="0.35">
      <c r="A15" s="4" t="s">
        <v>17</v>
      </c>
      <c r="B15" s="5">
        <f>SUM(B3:B14)</f>
        <v>-41175</v>
      </c>
      <c r="C15" s="5">
        <f t="shared" ref="C15" si="1">SUM(C3:C14)</f>
        <v>147050</v>
      </c>
      <c r="D15" s="5">
        <f t="shared" ref="D15:F15" si="2">SUM(D3:D14)</f>
        <v>76587.850000000006</v>
      </c>
      <c r="E15" s="5">
        <f t="shared" si="2"/>
        <v>188225</v>
      </c>
      <c r="F15" s="5">
        <f t="shared" si="2"/>
        <v>102417.79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7260</v>
      </c>
      <c r="C3" s="3">
        <v>7260</v>
      </c>
      <c r="D3" s="3">
        <v>4214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7643</v>
      </c>
      <c r="C4" s="3">
        <v>9553</v>
      </c>
      <c r="D4" s="3">
        <v>4266</v>
      </c>
      <c r="E4" s="3">
        <v>1910</v>
      </c>
      <c r="F4" s="3">
        <v>150</v>
      </c>
    </row>
    <row r="5" spans="1:6" x14ac:dyDescent="0.3">
      <c r="A5" s="2" t="s">
        <v>7</v>
      </c>
      <c r="B5" s="3">
        <f t="shared" si="0"/>
        <v>-26730</v>
      </c>
      <c r="C5" s="3">
        <v>11739</v>
      </c>
      <c r="D5" s="3">
        <v>7145</v>
      </c>
      <c r="E5" s="3">
        <v>38469</v>
      </c>
      <c r="F5" s="3">
        <v>20666</v>
      </c>
    </row>
    <row r="6" spans="1:6" x14ac:dyDescent="0.3">
      <c r="A6" s="2" t="s">
        <v>8</v>
      </c>
      <c r="B6" s="3">
        <f t="shared" si="0"/>
        <v>12942</v>
      </c>
      <c r="C6" s="3">
        <v>12942</v>
      </c>
      <c r="D6" s="3">
        <v>7295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5160</v>
      </c>
      <c r="C7" s="3">
        <v>5160</v>
      </c>
      <c r="D7" s="3">
        <v>2921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-41092</v>
      </c>
      <c r="C8" s="3">
        <v>7826</v>
      </c>
      <c r="D8" s="3">
        <v>4236</v>
      </c>
      <c r="E8" s="3">
        <v>48918</v>
      </c>
      <c r="F8" s="3">
        <v>20884</v>
      </c>
    </row>
    <row r="9" spans="1:6" x14ac:dyDescent="0.3">
      <c r="A9" s="2" t="s">
        <v>11</v>
      </c>
      <c r="B9" s="3">
        <f t="shared" si="0"/>
        <v>-42286</v>
      </c>
      <c r="C9" s="3">
        <v>4344</v>
      </c>
      <c r="D9" s="3">
        <v>2382</v>
      </c>
      <c r="E9" s="3">
        <v>46630</v>
      </c>
      <c r="F9" s="3">
        <v>20230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-77103</v>
      </c>
      <c r="C15" s="5">
        <f t="shared" ref="C15:F15" si="1">SUM(C3:C14)</f>
        <v>58824</v>
      </c>
      <c r="D15" s="5">
        <f t="shared" si="1"/>
        <v>32459</v>
      </c>
      <c r="E15" s="5">
        <f t="shared" si="1"/>
        <v>135927</v>
      </c>
      <c r="F15" s="5">
        <f t="shared" si="1"/>
        <v>61930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2026-09-08T08:48:53Z</dcterms:modified>
</cp:coreProperties>
</file>