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<sst xmlns="http://schemas.openxmlformats.org/spreadsheetml/2006/main" count="307" uniqueCount="45">
  <si>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</si>
  <si>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</si>
  <si>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</si>
  <si>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</si>
  <si>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</si>
  <si>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</si>
  <si>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</si>
  <si>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</si>
  <si>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</si>
  <si>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</si>
  <si>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</si>
  <si>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</si>
  <si>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</si>
  <si>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</si>
  <si>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</si>
  <si>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</si>
  <si>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</si>
  <si>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</si>
  <si>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</si>
  <si>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</si>
  <si>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수출액(달러)</t>
    <phoneticPr fontId="1" type="noConversion"/>
  </si>
  <si>
    <t>수출량(kg)</t>
    <phoneticPr fontId="1" type="noConversion"/>
  </si>
  <si>
    <t>수출량(kg)</t>
    <phoneticPr fontId="1" type="noConversion"/>
  </si>
  <si>
    <t>수입액(달러)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</si>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</sst>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20</v>
      </c>
      <c r="D2" s="1" t="s">
        <v>22</v>
      </c>
      <c r="E2" s="1" t="s">
        <v>24</v>
      </c>
      <c r="F2" s="1" t="s">
        <v>26</v>
      </c>
    </row>
    <row r="3" spans="1:6" x14ac:dyDescent="0.3">
      <c r="A3" s="2" t="s">
        <v>28</v>
      </c>
      <c r="B3" s="3">
        <f>C3-E3</f>
        <v>566720</v>
      </c>
      <c r="C3" s="3">
        <v>566720</v>
      </c>
      <c r="D3" s="3">
        <v>504000</v>
      </c>
      <c r="E3" s="3">
        <v>0</v>
      </c>
      <c r="F3" s="3">
        <v>0</v>
      </c>
    </row>
    <row r="4" spans="1:6" x14ac:dyDescent="0.3">
      <c r="A4" s="2" t="s">
        <v>29</v>
      </c>
      <c r="B4" s="3">
        <f t="shared" ref="B4:B14" si="0">C4-E4</f>
        <v>340032</v>
      </c>
      <c r="C4" s="3">
        <v>340032</v>
      </c>
      <c r="D4" s="3">
        <v>302400</v>
      </c>
      <c r="E4" s="3">
        <v>0</v>
      </c>
      <c r="F4" s="3">
        <v>0</v>
      </c>
    </row>
    <row r="5" spans="1:6" x14ac:dyDescent="0.3">
      <c r="A5" s="2" t="s">
        <v>31</v>
      </c>
      <c r="B5" s="3">
        <f t="shared" si="0"/>
        <v>224672</v>
      </c>
      <c r="C5" s="3">
        <v>224672</v>
      </c>
      <c r="D5" s="3">
        <v>201600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555335</v>
      </c>
      <c r="C6" s="3">
        <v>565870</v>
      </c>
      <c r="D6" s="3">
        <v>504000</v>
      </c>
      <c r="E6" s="3">
        <v>10535</v>
      </c>
      <c r="F6" s="3">
        <v>2100</v>
      </c>
    </row>
    <row r="7" spans="1:6" x14ac:dyDescent="0.3">
      <c r="A7" s="2" t="s">
        <v>9</v>
      </c>
      <c r="B7" s="3">
        <f t="shared" si="0"/>
        <v>708768</v>
      </c>
      <c r="C7" s="3">
        <v>708768</v>
      </c>
      <c r="D7" s="3">
        <v>662400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470952</v>
      </c>
      <c r="C8" s="3">
        <v>470952</v>
      </c>
      <c r="D8" s="3">
        <v>446400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842</v>
      </c>
      <c r="C9" s="3">
        <v>842</v>
      </c>
      <c r="D9" s="3">
        <v>396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1505743</v>
      </c>
      <c r="C10" s="3">
        <v>1505743</v>
      </c>
      <c r="D10" s="3">
        <v>1324908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386908</v>
      </c>
      <c r="C11" s="3">
        <v>386908</v>
      </c>
      <c r="D11" s="3">
        <v>309311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2080630</v>
      </c>
      <c r="C12" s="3">
        <v>2080630</v>
      </c>
      <c r="D12" s="3">
        <v>1714422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2263286</v>
      </c>
      <c r="C13" s="3">
        <v>2263286</v>
      </c>
      <c r="D13" s="3">
        <v>1726184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1537635</v>
      </c>
      <c r="C14" s="3">
        <v>1537635</v>
      </c>
      <c r="D14" s="3">
        <v>1018908</v>
      </c>
      <c r="E14" s="3">
        <v>0</v>
      </c>
      <c r="F14" s="3">
        <v>0</v>
      </c>
    </row>
    <row r="15" spans="1:6" ht="17.25" thickBot="1" x14ac:dyDescent="0.35">
      <c r="A15" s="4" t="s">
        <v>32</v>
      </c>
      <c r="B15" s="5">
        <f>SUM(B3:B14)</f>
        <v>10641523</v>
      </c>
      <c r="C15" s="5">
        <f t="shared" ref="C15:F15" si="1">SUM(C3:C14)</f>
        <v>10652058</v>
      </c>
      <c r="D15" s="5">
        <f t="shared" si="1"/>
        <v>8714929</v>
      </c>
      <c r="E15" s="5">
        <f t="shared" si="1"/>
        <v>10535</v>
      </c>
      <c r="F15" s="5">
        <f t="shared" si="1"/>
        <v>2100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33</v>
      </c>
      <c r="C2" s="1" t="s">
        <v>20</v>
      </c>
      <c r="D2" s="1" t="s">
        <v>22</v>
      </c>
      <c r="E2" s="1" t="s">
        <v>24</v>
      </c>
      <c r="F2" s="1" t="s">
        <v>26</v>
      </c>
    </row>
    <row r="3" spans="1:6" x14ac:dyDescent="0.3">
      <c r="A3" s="2" t="s">
        <v>28</v>
      </c>
      <c r="B3" s="3">
        <f>C3-E3</f>
        <v>3162389</v>
      </c>
      <c r="C3" s="3">
        <v>3162389</v>
      </c>
      <c r="D3" s="3">
        <v>1973528</v>
      </c>
      <c r="E3" s="3">
        <v>0</v>
      </c>
      <c r="F3" s="3">
        <v>0</v>
      </c>
    </row>
    <row r="4" spans="1:6" x14ac:dyDescent="0.3">
      <c r="A4" s="2" t="s">
        <v>29</v>
      </c>
      <c r="B4" s="3">
        <f t="shared" ref="B4:B14" si="0">C4-E4</f>
        <v>1758535</v>
      </c>
      <c r="C4" s="3">
        <v>1758535</v>
      </c>
      <c r="D4" s="3">
        <v>1066680</v>
      </c>
      <c r="E4" s="3">
        <v>0</v>
      </c>
      <c r="F4" s="3">
        <v>0</v>
      </c>
    </row>
    <row r="5" spans="1:6" x14ac:dyDescent="0.3">
      <c r="A5" s="2" t="s">
        <v>31</v>
      </c>
      <c r="B5" s="3">
        <f t="shared" si="0"/>
        <v>309412</v>
      </c>
      <c r="C5" s="3">
        <v>309412</v>
      </c>
      <c r="D5" s="3">
        <v>187200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1597637</v>
      </c>
      <c r="C6" s="3">
        <v>1597637</v>
      </c>
      <c r="D6" s="3">
        <v>1010268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806343</v>
      </c>
      <c r="C7" s="3">
        <v>806343</v>
      </c>
      <c r="D7" s="3">
        <v>504762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258</v>
      </c>
      <c r="C8" s="3">
        <v>258</v>
      </c>
      <c r="D8" s="3">
        <v>48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376</v>
      </c>
      <c r="C9" s="3">
        <v>376</v>
      </c>
      <c r="D9" s="3">
        <v>17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787364</v>
      </c>
      <c r="C10" s="3">
        <v>787364</v>
      </c>
      <c r="D10" s="3">
        <v>504002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2661985</v>
      </c>
      <c r="C11" s="3">
        <v>2661985</v>
      </c>
      <c r="D11" s="3">
        <v>1656736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471703</v>
      </c>
      <c r="C12" s="3">
        <v>471703</v>
      </c>
      <c r="D12" s="3">
        <v>303264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2194960</v>
      </c>
      <c r="C13" s="3">
        <v>2194960</v>
      </c>
      <c r="D13" s="3">
        <v>1411200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2072386</v>
      </c>
      <c r="C14" s="3">
        <v>2072386</v>
      </c>
      <c r="D14" s="3">
        <v>1353600</v>
      </c>
      <c r="E14" s="3">
        <v>0</v>
      </c>
      <c r="F14" s="3">
        <v>0</v>
      </c>
    </row>
    <row r="15" spans="1:6" ht="17.25" thickBot="1" x14ac:dyDescent="0.35">
      <c r="A15" s="4" t="s">
        <v>32</v>
      </c>
      <c r="B15" s="5">
        <f>SUM(B3:B14)</f>
        <v>15823348</v>
      </c>
      <c r="C15" s="5">
        <f t="shared" ref="C15:F15" si="1">SUM(C3:C14)</f>
        <v>15823348</v>
      </c>
      <c r="D15" s="5">
        <f t="shared" si="1"/>
        <v>9971305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21</v>
      </c>
      <c r="E2" s="1" t="s">
        <v>23</v>
      </c>
      <c r="F2" s="1" t="s">
        <v>25</v>
      </c>
    </row>
    <row r="3" spans="1:6" x14ac:dyDescent="0.3">
      <c r="A3" s="2" t="s">
        <v>27</v>
      </c>
      <c r="B3" s="3">
        <f>C3-E3</f>
        <v>1277368</v>
      </c>
      <c r="C3" s="3">
        <v>1277368</v>
      </c>
      <c r="D3" s="3">
        <v>849600</v>
      </c>
      <c r="E3" s="3">
        <v>0</v>
      </c>
      <c r="F3" s="3">
        <v>0</v>
      </c>
    </row>
    <row r="4" spans="1:6" x14ac:dyDescent="0.3">
      <c r="A4" s="2" t="s">
        <v>34</v>
      </c>
      <c r="B4" s="3">
        <f t="shared" ref="B4:B14" si="0">C4-E4</f>
        <v>519608</v>
      </c>
      <c r="C4" s="3">
        <v>519608</v>
      </c>
      <c r="D4" s="3">
        <v>345600</v>
      </c>
      <c r="E4" s="3">
        <v>0</v>
      </c>
      <c r="F4" s="3">
        <v>0</v>
      </c>
    </row>
    <row r="5" spans="1:6" x14ac:dyDescent="0.3">
      <c r="A5" s="2" t="s">
        <v>30</v>
      </c>
      <c r="B5" s="3">
        <f t="shared" si="0"/>
        <v>770420</v>
      </c>
      <c r="C5" s="3">
        <v>770420</v>
      </c>
      <c r="D5" s="3">
        <v>504000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748720</v>
      </c>
      <c r="C6" s="3">
        <v>748720</v>
      </c>
      <c r="D6" s="3">
        <v>504000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760109</v>
      </c>
      <c r="C8" s="3">
        <v>760109</v>
      </c>
      <c r="D8" s="3">
        <v>505128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1925056</v>
      </c>
      <c r="C9" s="3">
        <v>1925056</v>
      </c>
      <c r="D9" s="3">
        <v>1310400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1467153</v>
      </c>
      <c r="C11" s="3">
        <v>1500520</v>
      </c>
      <c r="D11" s="3">
        <v>1008000</v>
      </c>
      <c r="E11" s="3">
        <v>33367</v>
      </c>
      <c r="F11" s="3">
        <v>24323</v>
      </c>
    </row>
    <row r="12" spans="1:6" x14ac:dyDescent="0.3">
      <c r="A12" s="2" t="s">
        <v>14</v>
      </c>
      <c r="B12" s="3">
        <f t="shared" si="0"/>
        <v>1177215</v>
      </c>
      <c r="C12" s="3">
        <v>1202040</v>
      </c>
      <c r="D12" s="3">
        <v>806400</v>
      </c>
      <c r="E12" s="3">
        <v>24825</v>
      </c>
      <c r="F12" s="3">
        <v>13797</v>
      </c>
    </row>
    <row r="13" spans="1:6" x14ac:dyDescent="0.3">
      <c r="A13" s="2" t="s">
        <v>15</v>
      </c>
      <c r="B13" s="3">
        <f t="shared" si="0"/>
        <v>1250040</v>
      </c>
      <c r="C13" s="3">
        <v>1277930</v>
      </c>
      <c r="D13" s="3">
        <v>812250</v>
      </c>
      <c r="E13" s="3">
        <v>27890</v>
      </c>
      <c r="F13" s="3">
        <v>13970</v>
      </c>
    </row>
    <row r="14" spans="1:6" x14ac:dyDescent="0.3">
      <c r="A14" s="2" t="s">
        <v>16</v>
      </c>
      <c r="B14" s="3">
        <f t="shared" si="0"/>
        <v>2328834</v>
      </c>
      <c r="C14" s="3">
        <v>2351164</v>
      </c>
      <c r="D14" s="3">
        <v>1641600</v>
      </c>
      <c r="E14" s="3">
        <v>22330</v>
      </c>
      <c r="F14" s="3">
        <v>13610</v>
      </c>
    </row>
    <row r="15" spans="1:6" ht="17.25" thickBot="1" x14ac:dyDescent="0.35">
      <c r="A15" s="4" t="s">
        <v>35</v>
      </c>
      <c r="B15" s="5">
        <f>SUM(B3:B14)</f>
        <v>12224523</v>
      </c>
      <c r="C15" s="5">
        <f t="shared" ref="C15:F15" si="1">SUM(C3:C14)</f>
        <v>12332935</v>
      </c>
      <c r="D15" s="5">
        <f t="shared" si="1"/>
        <v>8286978</v>
      </c>
      <c r="E15" s="5">
        <f t="shared" si="1"/>
        <v>108412</v>
      </c>
      <c r="F15" s="5">
        <f t="shared" si="1"/>
        <v>65700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</row>
    <row r="3" spans="1:6" x14ac:dyDescent="0.3">
      <c r="A3" s="2" t="s">
        <v>41</v>
      </c>
      <c r="B3" s="3">
        <f t="shared" ref="B3:B14" si="0">C3-E3</f>
        <v>2660057</v>
      </c>
      <c r="C3" s="3">
        <v>2686948</v>
      </c>
      <c r="D3" s="3">
        <v>1828800</v>
      </c>
      <c r="E3" s="3">
        <v>26891</v>
      </c>
      <c r="F3" s="3">
        <v>13138</v>
      </c>
    </row>
    <row r="4" spans="1:6" x14ac:dyDescent="0.3">
      <c r="A4" s="2" t="s">
        <v>42</v>
      </c>
      <c r="B4" s="3">
        <f t="shared" si="0"/>
        <v>-22335</v>
      </c>
      <c r="C4" s="3">
        <v>0</v>
      </c>
      <c r="D4" s="3">
        <v>0</v>
      </c>
      <c r="E4" s="3">
        <v>22335</v>
      </c>
      <c r="F4" s="3">
        <v>13138</v>
      </c>
    </row>
    <row r="5" spans="1:6" x14ac:dyDescent="0.3">
      <c r="A5" s="2" t="s">
        <v>43</v>
      </c>
      <c r="B5" s="3">
        <f t="shared" si="0"/>
        <v>1865357</v>
      </c>
      <c r="C5" s="3">
        <v>1887704</v>
      </c>
      <c r="D5" s="3">
        <v>1310400</v>
      </c>
      <c r="E5" s="3">
        <v>22347</v>
      </c>
      <c r="F5" s="3">
        <v>13143</v>
      </c>
    </row>
    <row r="6" spans="1:6" x14ac:dyDescent="0.3">
      <c r="A6" s="2" t="s">
        <v>8</v>
      </c>
      <c r="B6" s="3">
        <f t="shared" si="0"/>
        <v>-22335</v>
      </c>
      <c r="C6" s="3">
        <v>0</v>
      </c>
      <c r="D6" s="3">
        <v>0</v>
      </c>
      <c r="E6" s="3">
        <v>22335</v>
      </c>
      <c r="F6" s="3">
        <v>13138</v>
      </c>
    </row>
    <row r="7" spans="1:6" x14ac:dyDescent="0.3">
      <c r="A7" s="2" t="s">
        <v>9</v>
      </c>
      <c r="B7" s="3">
        <f t="shared" si="0"/>
        <v>-8757</v>
      </c>
      <c r="C7" s="3">
        <v>4794</v>
      </c>
      <c r="D7" s="3">
        <v>165</v>
      </c>
      <c r="E7" s="3">
        <v>13551</v>
      </c>
      <c r="F7" s="3">
        <v>13138</v>
      </c>
    </row>
    <row r="8" spans="1:6" x14ac:dyDescent="0.3">
      <c r="A8" s="2" t="s">
        <v>10</v>
      </c>
      <c r="B8" s="3">
        <f t="shared" si="0"/>
        <v>-21947</v>
      </c>
      <c r="C8" s="3">
        <v>388</v>
      </c>
      <c r="D8" s="3">
        <v>182</v>
      </c>
      <c r="E8" s="3">
        <v>22335</v>
      </c>
      <c r="F8" s="3">
        <v>13138</v>
      </c>
    </row>
    <row r="9" spans="1:6" x14ac:dyDescent="0.3">
      <c r="A9" s="2" t="s">
        <v>11</v>
      </c>
      <c r="B9" s="3">
        <f t="shared" si="0"/>
        <v>409471</v>
      </c>
      <c r="C9" s="3">
        <v>409471</v>
      </c>
      <c r="D9" s="3">
        <v>302779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380754</v>
      </c>
      <c r="C10" s="3">
        <v>400527</v>
      </c>
      <c r="D10" s="3">
        <v>302659</v>
      </c>
      <c r="E10" s="3">
        <v>19773</v>
      </c>
      <c r="F10" s="3">
        <v>9936</v>
      </c>
    </row>
    <row r="11" spans="1:6" x14ac:dyDescent="0.3">
      <c r="A11" s="2" t="s">
        <v>13</v>
      </c>
      <c r="B11" s="3">
        <f t="shared" si="0"/>
        <v>800111</v>
      </c>
      <c r="C11" s="3">
        <v>836001</v>
      </c>
      <c r="D11" s="3">
        <v>604800</v>
      </c>
      <c r="E11" s="3">
        <v>35890</v>
      </c>
      <c r="F11" s="3">
        <v>26276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383149</v>
      </c>
      <c r="C13" s="3">
        <v>383149</v>
      </c>
      <c r="D13" s="3">
        <v>302580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-38021</v>
      </c>
      <c r="C14" s="3">
        <v>0</v>
      </c>
      <c r="D14" s="3">
        <v>0</v>
      </c>
      <c r="E14" s="3">
        <v>38021</v>
      </c>
      <c r="F14" s="3">
        <v>26018</v>
      </c>
    </row>
    <row r="15" spans="1:6" ht="17.25" thickBot="1" x14ac:dyDescent="0.35">
      <c r="A15" s="4" t="s">
        <v>35</v>
      </c>
      <c r="B15" s="5">
        <f>SUM(B3:B14)</f>
        <v>6385504</v>
      </c>
      <c r="C15" s="5">
        <f t="shared" ref="C15:F15" si="1">SUM(C3:C14)</f>
        <v>6608982</v>
      </c>
      <c r="D15" s="5">
        <f t="shared" si="1"/>
        <v>4652365</v>
      </c>
      <c r="E15" s="5">
        <f t="shared" si="1"/>
        <v>223478</v>
      </c>
      <c r="F15" s="5">
        <f t="shared" si="1"/>
        <v>141063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37</v>
      </c>
      <c r="D2" s="1" t="s">
        <v>21</v>
      </c>
      <c r="E2" s="1" t="s">
        <v>39</v>
      </c>
      <c r="F2" s="1" t="s">
        <v>40</v>
      </c>
    </row>
    <row r="3" spans="1:6" x14ac:dyDescent="0.3">
      <c r="A3" s="2" t="s">
        <v>41</v>
      </c>
      <c r="B3" s="3">
        <f t="shared" ref="B3:B14" si="0">C3-E3</f>
        <v>-47702</v>
      </c>
      <c r="C3" s="3">
        <v>1524</v>
      </c>
      <c r="D3" s="3">
        <v>270</v>
      </c>
      <c r="E3" s="3">
        <v>49226</v>
      </c>
      <c r="F3" s="3">
        <v>26276</v>
      </c>
    </row>
    <row r="4" spans="1:6" x14ac:dyDescent="0.3">
      <c r="A4" s="2" t="s">
        <v>42</v>
      </c>
      <c r="B4" s="3">
        <f t="shared" si="0"/>
        <v>182326</v>
      </c>
      <c r="C4" s="3">
        <v>182326</v>
      </c>
      <c r="D4" s="3">
        <v>147162</v>
      </c>
      <c r="E4" s="3">
        <v>0</v>
      </c>
      <c r="F4" s="3">
        <v>0</v>
      </c>
    </row>
    <row r="5" spans="1:6" x14ac:dyDescent="0.3">
      <c r="A5" s="2" t="s">
        <v>43</v>
      </c>
      <c r="B5" s="3">
        <f t="shared" si="0"/>
        <v>25340</v>
      </c>
      <c r="C5" s="3">
        <v>41009</v>
      </c>
      <c r="D5" s="3">
        <v>15611</v>
      </c>
      <c r="E5" s="3">
        <v>15669</v>
      </c>
      <c r="F5" s="3">
        <v>12880</v>
      </c>
    </row>
    <row r="6" spans="1:6" x14ac:dyDescent="0.3">
      <c r="A6" s="2" t="s">
        <v>8</v>
      </c>
      <c r="B6" s="3">
        <f t="shared" si="0"/>
        <v>36693</v>
      </c>
      <c r="C6" s="3">
        <v>36693</v>
      </c>
      <c r="D6" s="3">
        <v>13241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-32010</v>
      </c>
      <c r="C7" s="3">
        <v>389</v>
      </c>
      <c r="D7" s="3">
        <v>90</v>
      </c>
      <c r="E7" s="3">
        <v>32399</v>
      </c>
      <c r="F7" s="3">
        <v>21418</v>
      </c>
    </row>
    <row r="8" spans="1:6" x14ac:dyDescent="0.3">
      <c r="A8" s="2" t="s">
        <v>10</v>
      </c>
      <c r="B8" s="3">
        <f t="shared" si="0"/>
        <v>-155366</v>
      </c>
      <c r="C8" s="3">
        <v>27442</v>
      </c>
      <c r="D8" s="3">
        <v>12041</v>
      </c>
      <c r="E8" s="3">
        <v>182808</v>
      </c>
      <c r="F8" s="3">
        <v>100800</v>
      </c>
    </row>
    <row r="9" spans="1:6" x14ac:dyDescent="0.3">
      <c r="A9" s="2" t="s">
        <v>11</v>
      </c>
      <c r="B9" s="3">
        <f t="shared" si="0"/>
        <v>10567</v>
      </c>
      <c r="C9" s="3">
        <v>45700</v>
      </c>
      <c r="D9" s="3">
        <v>17118</v>
      </c>
      <c r="E9" s="3">
        <v>35133</v>
      </c>
      <c r="F9" s="3">
        <v>22338</v>
      </c>
    </row>
    <row r="10" spans="1:6" x14ac:dyDescent="0.3">
      <c r="A10" s="2" t="s">
        <v>12</v>
      </c>
      <c r="B10" s="3">
        <f t="shared" si="0"/>
        <v>10820</v>
      </c>
      <c r="C10" s="3">
        <v>10820</v>
      </c>
      <c r="D10" s="3">
        <v>3208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36067</v>
      </c>
      <c r="C11" s="3">
        <v>36067</v>
      </c>
      <c r="D11" s="3">
        <v>15504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-8960</v>
      </c>
      <c r="C12" s="3">
        <v>14772</v>
      </c>
      <c r="D12" s="3">
        <v>4579</v>
      </c>
      <c r="E12" s="3">
        <v>23732</v>
      </c>
      <c r="F12" s="3">
        <v>19740</v>
      </c>
    </row>
    <row r="13" spans="1:6" x14ac:dyDescent="0.3">
      <c r="A13" s="2" t="s">
        <v>15</v>
      </c>
      <c r="B13" s="3">
        <f t="shared" si="0"/>
        <v>25666</v>
      </c>
      <c r="C13" s="3">
        <v>41390</v>
      </c>
      <c r="D13" s="3">
        <v>15797</v>
      </c>
      <c r="E13" s="3">
        <v>15724</v>
      </c>
      <c r="F13" s="3">
        <v>9936</v>
      </c>
    </row>
    <row r="14" spans="1:6" x14ac:dyDescent="0.3">
      <c r="A14" s="2" t="s">
        <v>16</v>
      </c>
      <c r="B14" s="3">
        <f t="shared" si="0"/>
        <v>30590</v>
      </c>
      <c r="C14" s="3">
        <v>30590</v>
      </c>
      <c r="D14" s="3">
        <v>10527</v>
      </c>
      <c r="E14" s="3">
        <v>0</v>
      </c>
      <c r="F14" s="3">
        <v>0</v>
      </c>
    </row>
    <row r="15" spans="1:6" ht="17.25" thickBot="1" x14ac:dyDescent="0.35">
      <c r="A15" s="4" t="s">
        <v>35</v>
      </c>
      <c r="B15" s="5">
        <f>SUM(B3:B14)</f>
        <v>114031</v>
      </c>
      <c r="C15" s="5">
        <f t="shared" ref="C15:F15" si="1">SUM(C3:C14)</f>
        <v>468722</v>
      </c>
      <c r="D15" s="5">
        <f t="shared" si="1"/>
        <v>255148</v>
      </c>
      <c r="E15" s="5">
        <f t="shared" si="1"/>
        <v>354691</v>
      </c>
      <c r="F15" s="5">
        <f t="shared" si="1"/>
        <v>213388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1" spans="1:6" x14ac:dyDescent="0.3">
      <c r="A1" t="s">
        <v>44</v>
      </c>
    </row>
    <row r="2" spans="1:6" x14ac:dyDescent="0.3"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</row>
    <row r="3" spans="1:6" x14ac:dyDescent="0.3">
      <c r="A3" s="2" t="s">
        <v>41</v>
      </c>
      <c r="B3" s="3">
        <f t="shared" ref="B3:B14" si="0">C3-E3</f>
        <v>2814</v>
      </c>
      <c r="C3" s="3">
        <v>41659</v>
      </c>
      <c r="D3" s="3">
        <v>18570</v>
      </c>
      <c r="E3" s="3">
        <v>38845</v>
      </c>
      <c r="F3" s="3">
        <v>26276</v>
      </c>
    </row>
    <row r="4" spans="1:6" x14ac:dyDescent="0.3">
      <c r="A4" s="2" t="s">
        <v>42</v>
      </c>
      <c r="B4" s="3">
        <f t="shared" si="0"/>
        <v>39606</v>
      </c>
      <c r="C4" s="3">
        <v>50856</v>
      </c>
      <c r="D4" s="3">
        <v>12431</v>
      </c>
      <c r="E4" s="3">
        <v>11250</v>
      </c>
      <c r="F4" s="3">
        <v>9200</v>
      </c>
    </row>
    <row r="5" spans="1:6" x14ac:dyDescent="0.3">
      <c r="A5" s="2" t="s">
        <v>43</v>
      </c>
      <c r="B5" s="3">
        <f t="shared" si="0"/>
        <v>20487</v>
      </c>
      <c r="C5" s="3">
        <v>20487</v>
      </c>
      <c r="D5" s="3">
        <v>8638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31715</v>
      </c>
      <c r="C6" s="3">
        <v>64803</v>
      </c>
      <c r="D6" s="3">
        <v>29453</v>
      </c>
      <c r="E6" s="3">
        <v>33088</v>
      </c>
      <c r="F6" s="3">
        <v>26762</v>
      </c>
    </row>
    <row r="7" spans="1:6" x14ac:dyDescent="0.3">
      <c r="A7" s="2" t="s">
        <v>9</v>
      </c>
      <c r="B7" s="3">
        <f t="shared" si="0"/>
        <v>22692</v>
      </c>
      <c r="C7" s="3">
        <v>40114</v>
      </c>
      <c r="D7" s="3">
        <v>10577</v>
      </c>
      <c r="E7" s="3">
        <v>17422</v>
      </c>
      <c r="F7" s="3">
        <v>14168</v>
      </c>
    </row>
    <row r="8" spans="1:6" x14ac:dyDescent="0.3">
      <c r="A8" s="2" t="s">
        <v>10</v>
      </c>
      <c r="B8" s="3">
        <f t="shared" si="0"/>
        <v>-12770</v>
      </c>
      <c r="C8" s="3">
        <v>2427</v>
      </c>
      <c r="D8" s="3">
        <v>700</v>
      </c>
      <c r="E8" s="3">
        <v>15197</v>
      </c>
      <c r="F8" s="3">
        <v>13138</v>
      </c>
    </row>
    <row r="9" spans="1:6" x14ac:dyDescent="0.3">
      <c r="A9" s="2" t="s">
        <v>11</v>
      </c>
      <c r="B9" s="3">
        <f t="shared" si="0"/>
        <v>77519</v>
      </c>
      <c r="C9" s="3">
        <v>100319</v>
      </c>
      <c r="D9" s="3">
        <v>16590</v>
      </c>
      <c r="E9" s="3">
        <v>22800</v>
      </c>
      <c r="F9" s="3">
        <v>16826</v>
      </c>
    </row>
    <row r="10" spans="1:6" x14ac:dyDescent="0.3">
      <c r="A10" s="2" t="s">
        <v>12</v>
      </c>
      <c r="B10" s="3">
        <f t="shared" si="0"/>
        <v>24791</v>
      </c>
      <c r="C10" s="3">
        <v>54019</v>
      </c>
      <c r="D10" s="3">
        <v>28227</v>
      </c>
      <c r="E10" s="3">
        <v>29228</v>
      </c>
      <c r="F10" s="3">
        <v>28042</v>
      </c>
    </row>
    <row r="11" spans="1:6" x14ac:dyDescent="0.3">
      <c r="A11" s="2" t="s">
        <v>13</v>
      </c>
      <c r="B11" s="3">
        <f t="shared" si="0"/>
        <v>5809</v>
      </c>
      <c r="C11" s="3">
        <v>5809</v>
      </c>
      <c r="D11" s="3">
        <v>3543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-18252</v>
      </c>
      <c r="C12" s="3">
        <v>734</v>
      </c>
      <c r="D12" s="3">
        <v>200</v>
      </c>
      <c r="E12" s="3">
        <v>18986</v>
      </c>
      <c r="F12" s="3">
        <v>22338</v>
      </c>
    </row>
    <row r="13" spans="1:6" x14ac:dyDescent="0.3">
      <c r="A13" s="2" t="s">
        <v>15</v>
      </c>
      <c r="B13" s="3">
        <f t="shared" si="0"/>
        <v>-12074</v>
      </c>
      <c r="C13" s="3">
        <v>2547</v>
      </c>
      <c r="D13" s="3">
        <v>500</v>
      </c>
      <c r="E13" s="3">
        <v>14621</v>
      </c>
      <c r="F13" s="3">
        <v>19872</v>
      </c>
    </row>
    <row r="14" spans="1:6" x14ac:dyDescent="0.3">
      <c r="A14" s="2" t="s">
        <v>16</v>
      </c>
      <c r="B14" s="3">
        <f t="shared" si="0"/>
        <v>-27152</v>
      </c>
      <c r="C14" s="3">
        <v>11652</v>
      </c>
      <c r="D14" s="3">
        <v>3545</v>
      </c>
      <c r="E14" s="3">
        <v>38804</v>
      </c>
      <c r="F14" s="3">
        <v>39116</v>
      </c>
    </row>
    <row r="15" spans="1:6" ht="17.25" thickBot="1" x14ac:dyDescent="0.35">
      <c r="A15" s="4" t="s">
        <v>35</v>
      </c>
      <c r="B15" s="5">
        <f>SUM(B3:B14)</f>
        <v>155185</v>
      </c>
      <c r="C15" s="5">
        <f t="shared" ref="C15:F15" si="1">SUM(C3:C14)</f>
        <v>395426</v>
      </c>
      <c r="D15" s="5">
        <f t="shared" si="1"/>
        <v>132974</v>
      </c>
      <c r="E15" s="5">
        <f t="shared" si="1"/>
        <v>240241</v>
      </c>
      <c r="F15" s="5">
        <f t="shared" si="1"/>
        <v>215738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37</v>
      </c>
      <c r="D2" s="1" t="s">
        <v>38</v>
      </c>
      <c r="E2" s="1" t="s">
        <v>39</v>
      </c>
      <c r="F2" s="1" t="s">
        <v>25</v>
      </c>
    </row>
    <row r="3" spans="1:6" x14ac:dyDescent="0.3">
      <c r="A3" s="2" t="s">
        <v>41</v>
      </c>
      <c r="B3" s="3">
        <f t="shared" ref="B3:B14" si="0">C3-E3</f>
        <v>27769</v>
      </c>
      <c r="C3" s="3">
        <v>27769</v>
      </c>
      <c r="D3" s="3">
        <v>20000</v>
      </c>
      <c r="E3" s="3">
        <v>0</v>
      </c>
      <c r="F3" s="3">
        <v>0</v>
      </c>
    </row>
    <row r="4" spans="1:6" x14ac:dyDescent="0.3">
      <c r="A4" s="2" t="s">
        <v>42</v>
      </c>
      <c r="B4" s="3">
        <f t="shared" si="0"/>
        <v>-7511</v>
      </c>
      <c r="C4" s="3">
        <v>0</v>
      </c>
      <c r="D4" s="3">
        <v>0</v>
      </c>
      <c r="E4" s="3">
        <v>7511</v>
      </c>
      <c r="F4" s="3">
        <v>13138</v>
      </c>
    </row>
    <row r="5" spans="1:6" x14ac:dyDescent="0.3">
      <c r="A5" s="2" t="s">
        <v>30</v>
      </c>
      <c r="B5" s="3">
        <f t="shared" si="0"/>
        <v>-25354</v>
      </c>
      <c r="C5" s="3">
        <v>0</v>
      </c>
      <c r="D5" s="3">
        <v>0</v>
      </c>
      <c r="E5" s="3">
        <v>25354</v>
      </c>
      <c r="F5" s="3">
        <v>33128</v>
      </c>
    </row>
    <row r="6" spans="1:6" x14ac:dyDescent="0.3">
      <c r="A6" s="2" t="s">
        <v>8</v>
      </c>
      <c r="B6" s="3">
        <f t="shared" si="0"/>
        <v>1839</v>
      </c>
      <c r="C6" s="3">
        <v>1839</v>
      </c>
      <c r="D6" s="3">
        <v>216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1665</v>
      </c>
      <c r="C7" s="3">
        <v>1665</v>
      </c>
      <c r="D7" s="3">
        <v>313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-7517</v>
      </c>
      <c r="C8" s="3">
        <v>0</v>
      </c>
      <c r="D8" s="3">
        <v>0</v>
      </c>
      <c r="E8" s="3">
        <v>7517</v>
      </c>
      <c r="F8" s="3">
        <v>13138</v>
      </c>
    </row>
    <row r="9" spans="1:6" x14ac:dyDescent="0.3">
      <c r="A9" s="2" t="s">
        <v>11</v>
      </c>
      <c r="B9" s="3">
        <f t="shared" si="0"/>
        <v>-22048</v>
      </c>
      <c r="C9" s="3">
        <v>904</v>
      </c>
      <c r="D9" s="3">
        <v>360</v>
      </c>
      <c r="E9" s="3">
        <v>22952</v>
      </c>
      <c r="F9" s="3">
        <v>24479</v>
      </c>
    </row>
    <row r="10" spans="1:6" x14ac:dyDescent="0.3">
      <c r="A10" s="2" t="s">
        <v>12</v>
      </c>
      <c r="B10" s="3">
        <f t="shared" si="0"/>
        <v>-33684</v>
      </c>
      <c r="C10" s="3">
        <v>0</v>
      </c>
      <c r="D10" s="3">
        <v>0</v>
      </c>
      <c r="E10" s="3">
        <v>33684</v>
      </c>
      <c r="F10" s="3">
        <v>27918</v>
      </c>
    </row>
    <row r="11" spans="1:6" x14ac:dyDescent="0.3">
      <c r="A11" s="2" t="s">
        <v>13</v>
      </c>
      <c r="B11" s="3">
        <f t="shared" si="0"/>
        <v>-23855</v>
      </c>
      <c r="C11" s="3">
        <v>0</v>
      </c>
      <c r="D11" s="3">
        <v>0</v>
      </c>
      <c r="E11" s="3">
        <v>23855</v>
      </c>
      <c r="F11" s="3">
        <v>36716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13940</v>
      </c>
      <c r="C13" s="3">
        <v>21449</v>
      </c>
      <c r="D13" s="3">
        <v>19900</v>
      </c>
      <c r="E13" s="3">
        <v>7509</v>
      </c>
      <c r="F13" s="3">
        <v>13138</v>
      </c>
    </row>
    <row r="14" spans="1:6" x14ac:dyDescent="0.3">
      <c r="A14" s="2" t="s">
        <v>16</v>
      </c>
      <c r="B14" s="3">
        <f t="shared" si="0"/>
        <v>-43655</v>
      </c>
      <c r="C14" s="3">
        <v>0</v>
      </c>
      <c r="D14" s="3">
        <v>0</v>
      </c>
      <c r="E14" s="3">
        <v>43655</v>
      </c>
      <c r="F14" s="3">
        <v>40326</v>
      </c>
    </row>
    <row r="15" spans="1:6" ht="17.25" thickBot="1" x14ac:dyDescent="0.35">
      <c r="A15" s="4" t="s">
        <v>35</v>
      </c>
      <c r="B15" s="5">
        <f>SUM(B3:B14)</f>
        <v>-118411</v>
      </c>
      <c r="C15" s="5">
        <f t="shared" ref="C15:F15" si="1">SUM(C3:C14)</f>
        <v>53626</v>
      </c>
      <c r="D15" s="5">
        <f t="shared" si="1"/>
        <v>40789</v>
      </c>
      <c r="E15" s="5">
        <f t="shared" si="1"/>
        <v>172037</v>
      </c>
      <c r="F15" s="5">
        <f t="shared" si="1"/>
        <v>201981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-17846</v>
      </c>
      <c r="C3" s="3">
        <v>0</v>
      </c>
      <c r="D3" s="3">
        <v>0</v>
      </c>
      <c r="E3" s="3">
        <v>17846</v>
      </c>
      <c r="F3" s="3">
        <v>23709.9</v>
      </c>
    </row>
    <row r="4" spans="1:6" x14ac:dyDescent="0.3">
      <c r="A4" s="2" t="s">
        <v>6</v>
      </c>
      <c r="B4" s="3">
        <f t="shared" ref="B4:B14" si="0">C4-E4</f>
        <v>-39489</v>
      </c>
      <c r="C4" s="3">
        <v>0</v>
      </c>
      <c r="D4" s="3">
        <v>0</v>
      </c>
      <c r="E4" s="3">
        <v>39489</v>
      </c>
      <c r="F4" s="3">
        <v>33986</v>
      </c>
    </row>
    <row r="5" spans="1:6" x14ac:dyDescent="0.3">
      <c r="A5" s="2" t="s">
        <v>7</v>
      </c>
      <c r="B5" s="3">
        <f t="shared" si="0"/>
        <v>-56308</v>
      </c>
      <c r="C5" s="3">
        <v>0</v>
      </c>
      <c r="D5" s="3">
        <v>0</v>
      </c>
      <c r="E5" s="3">
        <v>56308</v>
      </c>
      <c r="F5" s="3">
        <v>36519.199999999997</v>
      </c>
    </row>
    <row r="6" spans="1:6" x14ac:dyDescent="0.3">
      <c r="A6" s="2" t="s">
        <v>8</v>
      </c>
      <c r="B6" s="3">
        <f t="shared" si="0"/>
        <v>-48850</v>
      </c>
      <c r="C6" s="3">
        <v>0</v>
      </c>
      <c r="D6" s="3">
        <v>0</v>
      </c>
      <c r="E6" s="3">
        <v>48850</v>
      </c>
      <c r="F6" s="3">
        <v>66270.3</v>
      </c>
    </row>
    <row r="7" spans="1:6" x14ac:dyDescent="0.3">
      <c r="A7" s="2" t="s">
        <v>9</v>
      </c>
      <c r="B7" s="3">
        <f t="shared" si="0"/>
        <v>-9000</v>
      </c>
      <c r="C7" s="3">
        <v>0</v>
      </c>
      <c r="D7" s="3">
        <v>0</v>
      </c>
      <c r="E7" s="3">
        <v>9000</v>
      </c>
      <c r="F7" s="3">
        <v>13910</v>
      </c>
    </row>
    <row r="8" spans="1:6" x14ac:dyDescent="0.3">
      <c r="A8" s="2" t="s">
        <v>10</v>
      </c>
      <c r="B8" s="3">
        <f t="shared" si="0"/>
        <v>-15521</v>
      </c>
      <c r="C8" s="3">
        <v>0</v>
      </c>
      <c r="D8" s="3">
        <v>0</v>
      </c>
      <c r="E8" s="3">
        <v>15521</v>
      </c>
      <c r="F8" s="3">
        <v>13910.4</v>
      </c>
    </row>
    <row r="9" spans="1:6" x14ac:dyDescent="0.3">
      <c r="A9" s="2" t="s">
        <v>11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-19137</v>
      </c>
      <c r="C11" s="3">
        <v>0</v>
      </c>
      <c r="D11" s="3">
        <v>0</v>
      </c>
      <c r="E11" s="3">
        <v>19137</v>
      </c>
      <c r="F11" s="3">
        <v>13138</v>
      </c>
    </row>
    <row r="12" spans="1:6" x14ac:dyDescent="0.3">
      <c r="A12" s="2" t="s">
        <v>14</v>
      </c>
      <c r="B12" s="3">
        <f t="shared" si="0"/>
        <v>-17478</v>
      </c>
      <c r="C12" s="3">
        <v>0</v>
      </c>
      <c r="D12" s="3">
        <v>0</v>
      </c>
      <c r="E12" s="3">
        <v>17478</v>
      </c>
      <c r="F12" s="3">
        <v>25686</v>
      </c>
    </row>
    <row r="13" spans="1:6" x14ac:dyDescent="0.3">
      <c r="A13" s="2" t="s">
        <v>15</v>
      </c>
      <c r="B13" s="3">
        <f t="shared" si="0"/>
        <v>-64232</v>
      </c>
      <c r="C13" s="3">
        <v>0</v>
      </c>
      <c r="D13" s="3">
        <v>0</v>
      </c>
      <c r="E13" s="3">
        <v>64232</v>
      </c>
      <c r="F13" s="3">
        <v>61292.2</v>
      </c>
    </row>
    <row r="14" spans="1:6" x14ac:dyDescent="0.3">
      <c r="A14" s="2" t="s">
        <v>16</v>
      </c>
      <c r="B14" s="3">
        <f t="shared" si="0"/>
        <v>-29099</v>
      </c>
      <c r="C14" s="3">
        <v>0</v>
      </c>
      <c r="D14" s="3">
        <v>0</v>
      </c>
      <c r="E14" s="3">
        <v>29099</v>
      </c>
      <c r="F14" s="3">
        <v>37575.300000000003</v>
      </c>
    </row>
    <row r="15" spans="1:6" ht="17.25" thickBot="1" x14ac:dyDescent="0.35">
      <c r="A15" s="4" t="s">
        <v>17</v>
      </c>
      <c r="B15" s="5">
        <f>SUM(B3:B14)</f>
        <v>-316960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316960</v>
      </c>
      <c r="F15" s="5">
        <f t="shared" si="2"/>
        <v>325997.3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-15349</v>
      </c>
      <c r="C3" s="3">
        <v>0</v>
      </c>
      <c r="D3" s="3">
        <v>0</v>
      </c>
      <c r="E3" s="3">
        <v>15349</v>
      </c>
      <c r="F3" s="3">
        <v>13910.4</v>
      </c>
    </row>
    <row r="4" spans="1:6" x14ac:dyDescent="0.3">
      <c r="A4" s="2" t="s">
        <v>6</v>
      </c>
      <c r="B4" s="3">
        <f t="shared" ref="B4:B14" si="0">C4-E4</f>
        <v>-12649</v>
      </c>
      <c r="C4" s="3">
        <v>0</v>
      </c>
      <c r="D4" s="3">
        <v>0</v>
      </c>
      <c r="E4" s="3">
        <v>12649</v>
      </c>
      <c r="F4" s="3">
        <v>9642</v>
      </c>
    </row>
    <row r="5" spans="1:6" x14ac:dyDescent="0.3">
      <c r="A5" s="2" t="s">
        <v>7</v>
      </c>
      <c r="B5" s="3">
        <f t="shared" si="0"/>
        <v>-33569</v>
      </c>
      <c r="C5" s="3">
        <v>0</v>
      </c>
      <c r="D5" s="3">
        <v>0</v>
      </c>
      <c r="E5" s="3">
        <v>33569</v>
      </c>
      <c r="F5" s="3">
        <v>37610</v>
      </c>
    </row>
    <row r="6" spans="1:6" x14ac:dyDescent="0.3">
      <c r="A6" s="2" t="s">
        <v>8</v>
      </c>
      <c r="B6" s="3">
        <f t="shared" si="0"/>
        <v>-19661</v>
      </c>
      <c r="C6" s="3">
        <v>0</v>
      </c>
      <c r="D6" s="3">
        <v>0</v>
      </c>
      <c r="E6" s="3">
        <v>19661</v>
      </c>
      <c r="F6" s="3">
        <v>23736</v>
      </c>
    </row>
    <row r="7" spans="1:6" x14ac:dyDescent="0.3">
      <c r="A7" s="2" t="s">
        <v>9</v>
      </c>
      <c r="B7" s="3">
        <f t="shared" si="0"/>
        <v>-14868</v>
      </c>
      <c r="C7" s="3">
        <v>0</v>
      </c>
      <c r="D7" s="3">
        <v>0</v>
      </c>
      <c r="E7" s="3">
        <v>14868</v>
      </c>
      <c r="F7" s="3">
        <v>11496</v>
      </c>
    </row>
    <row r="8" spans="1:6" x14ac:dyDescent="0.3">
      <c r="A8" s="2" t="s">
        <v>10</v>
      </c>
      <c r="B8" s="3">
        <f t="shared" si="0"/>
        <v>-32448</v>
      </c>
      <c r="C8" s="3">
        <v>0</v>
      </c>
      <c r="D8" s="3">
        <v>0</v>
      </c>
      <c r="E8" s="3">
        <v>32448</v>
      </c>
      <c r="F8" s="3">
        <v>35044</v>
      </c>
    </row>
    <row r="9" spans="1:6" x14ac:dyDescent="0.3">
      <c r="A9" s="2" t="s">
        <v>11</v>
      </c>
      <c r="B9" s="3">
        <f t="shared" si="0"/>
        <v>-28976</v>
      </c>
      <c r="C9" s="3">
        <v>776</v>
      </c>
      <c r="D9" s="3">
        <v>432</v>
      </c>
      <c r="E9" s="3">
        <v>29752</v>
      </c>
      <c r="F9" s="3">
        <v>25401.200000000001</v>
      </c>
    </row>
    <row r="10" spans="1:6" x14ac:dyDescent="0.3">
      <c r="A10" s="2" t="s">
        <v>12</v>
      </c>
      <c r="B10" s="3">
        <f t="shared" si="0"/>
        <v>-17173</v>
      </c>
      <c r="C10" s="3">
        <v>0</v>
      </c>
      <c r="D10" s="3">
        <v>0</v>
      </c>
      <c r="E10" s="3">
        <v>17173</v>
      </c>
      <c r="F10" s="3">
        <v>33316</v>
      </c>
    </row>
    <row r="11" spans="1:6" x14ac:dyDescent="0.3">
      <c r="A11" s="2" t="s">
        <v>13</v>
      </c>
      <c r="B11" s="3">
        <f t="shared" si="0"/>
        <v>-10472</v>
      </c>
      <c r="C11" s="3">
        <v>0</v>
      </c>
      <c r="D11" s="3">
        <v>0</v>
      </c>
      <c r="E11" s="3">
        <v>10472</v>
      </c>
      <c r="F11" s="3">
        <v>24472</v>
      </c>
    </row>
    <row r="12" spans="1:6" x14ac:dyDescent="0.3">
      <c r="A12" s="2" t="s">
        <v>14</v>
      </c>
      <c r="B12" s="3">
        <f t="shared" si="0"/>
        <v>-57428</v>
      </c>
      <c r="C12" s="3">
        <v>0</v>
      </c>
      <c r="D12" s="3">
        <v>0</v>
      </c>
      <c r="E12" s="3">
        <v>57428</v>
      </c>
      <c r="F12" s="3">
        <v>60392.4</v>
      </c>
    </row>
    <row r="13" spans="1:6" x14ac:dyDescent="0.3">
      <c r="A13" s="2" t="s">
        <v>15</v>
      </c>
      <c r="B13" s="3">
        <f t="shared" si="0"/>
        <v>-24741</v>
      </c>
      <c r="C13" s="3">
        <v>0</v>
      </c>
      <c r="D13" s="3">
        <v>0</v>
      </c>
      <c r="E13" s="3">
        <v>24741</v>
      </c>
      <c r="F13" s="3">
        <v>36201.949999999997</v>
      </c>
    </row>
    <row r="14" spans="1:6" x14ac:dyDescent="0.3">
      <c r="A14" s="2" t="s">
        <v>16</v>
      </c>
      <c r="B14" s="3">
        <f t="shared" si="0"/>
        <v>-38486</v>
      </c>
      <c r="C14" s="3">
        <v>0</v>
      </c>
      <c r="D14" s="3">
        <v>0</v>
      </c>
      <c r="E14" s="3">
        <v>38486</v>
      </c>
      <c r="F14" s="3">
        <v>36525.42</v>
      </c>
    </row>
    <row r="15" spans="1:6" ht="17.25" thickBot="1" x14ac:dyDescent="0.35">
      <c r="A15" s="4" t="s">
        <v>17</v>
      </c>
      <c r="B15" s="5">
        <f>SUM(B3:B14)</f>
        <v>-305820</v>
      </c>
      <c r="C15" s="5">
        <f t="shared" ref="C15" si="1">SUM(C3:C14)</f>
        <v>776</v>
      </c>
      <c r="D15" s="5">
        <f t="shared" ref="D15:F15" si="2">SUM(D3:D14)</f>
        <v>432</v>
      </c>
      <c r="E15" s="5">
        <f t="shared" si="2"/>
        <v>306596</v>
      </c>
      <c r="F15" s="5">
        <f t="shared" si="2"/>
        <v>347747.37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-29150</v>
      </c>
      <c r="C3" s="3">
        <v>0</v>
      </c>
      <c r="D3" s="3">
        <v>0</v>
      </c>
      <c r="E3" s="3">
        <v>29150</v>
      </c>
      <c r="F3" s="3">
        <v>49532.4</v>
      </c>
    </row>
    <row r="4" spans="1:6" x14ac:dyDescent="0.3">
      <c r="A4" s="2" t="s">
        <v>6</v>
      </c>
      <c r="B4" s="3">
        <f t="shared" ref="B4:B14" si="0">C4-E4</f>
        <v>-25087</v>
      </c>
      <c r="C4" s="3">
        <v>0</v>
      </c>
      <c r="D4" s="3">
        <v>0</v>
      </c>
      <c r="E4" s="3">
        <v>25087</v>
      </c>
      <c r="F4" s="3">
        <v>27710.400000000001</v>
      </c>
    </row>
    <row r="5" spans="1:6" x14ac:dyDescent="0.3">
      <c r="A5" s="2" t="s">
        <v>7</v>
      </c>
      <c r="B5" s="3">
        <f t="shared" si="0"/>
        <v>-34471</v>
      </c>
      <c r="C5" s="3">
        <v>0</v>
      </c>
      <c r="D5" s="3">
        <v>0</v>
      </c>
      <c r="E5" s="3">
        <v>34471</v>
      </c>
      <c r="F5" s="3">
        <v>25824</v>
      </c>
    </row>
    <row r="6" spans="1:6" x14ac:dyDescent="0.3">
      <c r="A6" s="2" t="s">
        <v>8</v>
      </c>
      <c r="B6" s="3">
        <f t="shared" si="0"/>
        <v>-12453</v>
      </c>
      <c r="C6" s="3">
        <v>0</v>
      </c>
      <c r="D6" s="3">
        <v>0</v>
      </c>
      <c r="E6" s="3">
        <v>12453</v>
      </c>
      <c r="F6" s="3">
        <v>22963.11</v>
      </c>
    </row>
    <row r="7" spans="1:6" x14ac:dyDescent="0.3">
      <c r="A7" s="2" t="s">
        <v>9</v>
      </c>
      <c r="B7" s="3">
        <f t="shared" si="0"/>
        <v>-9020</v>
      </c>
      <c r="C7" s="3">
        <v>0</v>
      </c>
      <c r="D7" s="3">
        <v>0</v>
      </c>
      <c r="E7" s="3">
        <v>9020</v>
      </c>
      <c r="F7" s="3">
        <v>13910</v>
      </c>
    </row>
    <row r="8" spans="1:6" x14ac:dyDescent="0.3">
      <c r="A8" s="2" t="s">
        <v>10</v>
      </c>
      <c r="B8" s="3">
        <f t="shared" si="0"/>
        <v>-28453</v>
      </c>
      <c r="C8" s="3">
        <v>0</v>
      </c>
      <c r="D8" s="3">
        <v>0</v>
      </c>
      <c r="E8" s="3">
        <v>28453</v>
      </c>
      <c r="F8" s="3">
        <v>26164.400000000001</v>
      </c>
    </row>
    <row r="9" spans="1:6" x14ac:dyDescent="0.3">
      <c r="A9" s="2" t="s">
        <v>11</v>
      </c>
      <c r="B9" s="3">
        <f t="shared" si="0"/>
        <v>-41510</v>
      </c>
      <c r="C9" s="3">
        <v>5877</v>
      </c>
      <c r="D9" s="3">
        <v>4080</v>
      </c>
      <c r="E9" s="3">
        <v>47387</v>
      </c>
      <c r="F9" s="3">
        <v>57828.88</v>
      </c>
    </row>
    <row r="10" spans="1:6" x14ac:dyDescent="0.3">
      <c r="A10" s="2" t="s">
        <v>12</v>
      </c>
      <c r="B10" s="3">
        <f t="shared" si="0"/>
        <v>-13586</v>
      </c>
      <c r="C10" s="3">
        <v>0</v>
      </c>
      <c r="D10" s="3">
        <v>0</v>
      </c>
      <c r="E10" s="3">
        <v>13586</v>
      </c>
      <c r="F10" s="3">
        <v>11643</v>
      </c>
    </row>
    <row r="11" spans="1:6" x14ac:dyDescent="0.3">
      <c r="A11" s="2" t="s">
        <v>13</v>
      </c>
      <c r="B11" s="3">
        <f t="shared" si="0"/>
        <v>-42625</v>
      </c>
      <c r="C11" s="3">
        <v>0</v>
      </c>
      <c r="D11" s="3">
        <v>0</v>
      </c>
      <c r="E11" s="3">
        <v>42625</v>
      </c>
      <c r="F11" s="3">
        <v>51983.040000000001</v>
      </c>
    </row>
    <row r="12" spans="1:6" x14ac:dyDescent="0.3">
      <c r="A12" s="2" t="s">
        <v>14</v>
      </c>
      <c r="B12" s="3">
        <f t="shared" si="0"/>
        <v>-17529</v>
      </c>
      <c r="C12" s="3">
        <v>790</v>
      </c>
      <c r="D12" s="3">
        <v>414.6</v>
      </c>
      <c r="E12" s="3">
        <v>18319</v>
      </c>
      <c r="F12" s="3">
        <v>24269.78</v>
      </c>
    </row>
    <row r="13" spans="1:6" x14ac:dyDescent="0.3">
      <c r="A13" s="2" t="s">
        <v>15</v>
      </c>
      <c r="B13" s="3">
        <f t="shared" si="0"/>
        <v>-36097</v>
      </c>
      <c r="C13" s="3">
        <v>262</v>
      </c>
      <c r="D13" s="3">
        <v>216</v>
      </c>
      <c r="E13" s="3">
        <v>36359</v>
      </c>
      <c r="F13" s="3">
        <v>37756</v>
      </c>
    </row>
    <row r="14" spans="1:6" x14ac:dyDescent="0.3">
      <c r="A14" s="2" t="s">
        <v>16</v>
      </c>
      <c r="B14" s="3">
        <f t="shared" si="0"/>
        <v>-19951</v>
      </c>
      <c r="C14" s="3">
        <v>0</v>
      </c>
      <c r="D14" s="3">
        <v>0</v>
      </c>
      <c r="E14" s="3">
        <v>19951</v>
      </c>
      <c r="F14" s="3">
        <v>25705.11</v>
      </c>
    </row>
    <row r="15" spans="1:6" ht="17.25" thickBot="1" x14ac:dyDescent="0.35">
      <c r="A15" s="4" t="s">
        <v>17</v>
      </c>
      <c r="B15" s="5">
        <f>SUM(B3:B14)</f>
        <v>-309932</v>
      </c>
      <c r="C15" s="5">
        <f t="shared" ref="C15" si="1">SUM(C3:C14)</f>
        <v>6929</v>
      </c>
      <c r="D15" s="5">
        <f t="shared" ref="D15:F15" si="2">SUM(D3:D14)</f>
        <v>4710.6000000000004</v>
      </c>
      <c r="E15" s="5">
        <f t="shared" si="2"/>
        <v>316861</v>
      </c>
      <c r="F15" s="5">
        <f t="shared" si="2"/>
        <v>375290.12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-47674</v>
      </c>
      <c r="C3" s="3">
        <v>0</v>
      </c>
      <c r="D3" s="3">
        <v>0</v>
      </c>
      <c r="E3" s="3">
        <v>47674</v>
      </c>
      <c r="F3" s="3">
        <v>37508.639999999999</v>
      </c>
    </row>
    <row r="4" spans="1:6" x14ac:dyDescent="0.3">
      <c r="A4" s="2" t="s">
        <v>6</v>
      </c>
      <c r="B4" s="3">
        <f t="shared" ref="B4:B14" si="0">C4-E4</f>
        <v>-35664</v>
      </c>
      <c r="C4" s="3">
        <v>0</v>
      </c>
      <c r="D4" s="3">
        <v>0</v>
      </c>
      <c r="E4" s="3">
        <v>35664</v>
      </c>
      <c r="F4" s="3">
        <v>43688</v>
      </c>
    </row>
    <row r="5" spans="1:6" x14ac:dyDescent="0.3">
      <c r="A5" s="2" t="s">
        <v>7</v>
      </c>
      <c r="B5" s="3">
        <f t="shared" si="0"/>
        <v>-51899</v>
      </c>
      <c r="C5" s="3">
        <v>0</v>
      </c>
      <c r="D5" s="3">
        <v>0</v>
      </c>
      <c r="E5" s="3">
        <v>51899</v>
      </c>
      <c r="F5" s="3">
        <v>44972.04</v>
      </c>
    </row>
    <row r="6" spans="1:6" x14ac:dyDescent="0.3">
      <c r="A6" s="2" t="s">
        <v>8</v>
      </c>
      <c r="B6" s="3">
        <f t="shared" si="0"/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-6806</v>
      </c>
      <c r="C7" s="3">
        <v>0</v>
      </c>
      <c r="D7" s="3">
        <v>0</v>
      </c>
      <c r="E7" s="3">
        <v>6806</v>
      </c>
      <c r="F7" s="3">
        <v>11115</v>
      </c>
    </row>
    <row r="8" spans="1:6" x14ac:dyDescent="0.3">
      <c r="A8" s="2" t="s">
        <v>10</v>
      </c>
      <c r="B8" s="3">
        <f t="shared" si="0"/>
        <v>-84666</v>
      </c>
      <c r="C8" s="3">
        <v>0</v>
      </c>
      <c r="D8" s="3">
        <v>0</v>
      </c>
      <c r="E8" s="3">
        <v>84666</v>
      </c>
      <c r="F8" s="3">
        <v>83169</v>
      </c>
    </row>
    <row r="9" spans="1:6" x14ac:dyDescent="0.3">
      <c r="A9" s="2" t="s">
        <v>11</v>
      </c>
      <c r="B9" s="3">
        <f t="shared" si="0"/>
        <v>-5182</v>
      </c>
      <c r="C9" s="3">
        <v>0</v>
      </c>
      <c r="D9" s="3">
        <v>0</v>
      </c>
      <c r="E9" s="3">
        <v>5182</v>
      </c>
      <c r="F9" s="3">
        <v>7563</v>
      </c>
    </row>
    <row r="10" spans="1:6" x14ac:dyDescent="0.3">
      <c r="A10" s="2" t="s">
        <v>12</v>
      </c>
      <c r="B10" s="3">
        <f t="shared" si="0"/>
        <v>-78271</v>
      </c>
      <c r="C10" s="3">
        <v>0</v>
      </c>
      <c r="D10" s="3">
        <v>0</v>
      </c>
      <c r="E10" s="3">
        <v>78271</v>
      </c>
      <c r="F10" s="3">
        <v>69210.5</v>
      </c>
    </row>
    <row r="11" spans="1:6" x14ac:dyDescent="0.3">
      <c r="A11" s="2" t="s">
        <v>13</v>
      </c>
      <c r="B11" s="3">
        <f t="shared" si="0"/>
        <v>-84057</v>
      </c>
      <c r="C11" s="3">
        <v>0</v>
      </c>
      <c r="D11" s="3">
        <v>0</v>
      </c>
      <c r="E11" s="3">
        <v>84057</v>
      </c>
      <c r="F11" s="3">
        <v>75854.25</v>
      </c>
    </row>
    <row r="12" spans="1:6" x14ac:dyDescent="0.3">
      <c r="A12" s="2" t="s">
        <v>14</v>
      </c>
      <c r="B12" s="3">
        <f t="shared" si="0"/>
        <v>-59498</v>
      </c>
      <c r="C12" s="3">
        <v>0</v>
      </c>
      <c r="D12" s="3">
        <v>0</v>
      </c>
      <c r="E12" s="3">
        <v>59498</v>
      </c>
      <c r="F12" s="3">
        <v>47212</v>
      </c>
    </row>
    <row r="13" spans="1:6" x14ac:dyDescent="0.3">
      <c r="A13" s="2" t="s">
        <v>15</v>
      </c>
      <c r="B13" s="3">
        <f t="shared" si="0"/>
        <v>-17942</v>
      </c>
      <c r="C13" s="3">
        <v>0</v>
      </c>
      <c r="D13" s="3">
        <v>0</v>
      </c>
      <c r="E13" s="3">
        <v>17942</v>
      </c>
      <c r="F13" s="3">
        <v>12330</v>
      </c>
    </row>
    <row r="14" spans="1:6" x14ac:dyDescent="0.3">
      <c r="A14" s="2" t="s">
        <v>16</v>
      </c>
      <c r="B14" s="3">
        <f t="shared" si="0"/>
        <v>-64102</v>
      </c>
      <c r="C14" s="3">
        <v>0</v>
      </c>
      <c r="D14" s="3">
        <v>0</v>
      </c>
      <c r="E14" s="3">
        <v>64102</v>
      </c>
      <c r="F14" s="3">
        <v>51600</v>
      </c>
    </row>
    <row r="15" spans="1:6" ht="17.25" thickBot="1" x14ac:dyDescent="0.35">
      <c r="A15" s="4" t="s">
        <v>17</v>
      </c>
      <c r="B15" s="5">
        <f>SUM(B3:B14)</f>
        <v>-535761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535761</v>
      </c>
      <c r="F15" s="5">
        <f t="shared" si="2"/>
        <v>484222.43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-109347</v>
      </c>
      <c r="C3" s="3">
        <v>0</v>
      </c>
      <c r="D3" s="3">
        <v>0</v>
      </c>
      <c r="E3" s="3">
        <v>109347</v>
      </c>
      <c r="F3" s="3">
        <v>80988.2</v>
      </c>
    </row>
    <row r="4" spans="1:6" x14ac:dyDescent="0.3">
      <c r="A4" s="2" t="s">
        <v>6</v>
      </c>
      <c r="B4" s="3">
        <f t="shared" ref="B4:B14" si="0">C4-E4</f>
        <v>-12043</v>
      </c>
      <c r="C4" s="3">
        <v>0</v>
      </c>
      <c r="D4" s="3">
        <v>0</v>
      </c>
      <c r="E4" s="3">
        <v>12043</v>
      </c>
      <c r="F4" s="3">
        <v>13910.4</v>
      </c>
    </row>
    <row r="5" spans="1:6" x14ac:dyDescent="0.3">
      <c r="A5" s="2" t="s">
        <v>7</v>
      </c>
      <c r="B5" s="3">
        <f t="shared" si="0"/>
        <v>-194009</v>
      </c>
      <c r="C5" s="3">
        <v>0</v>
      </c>
      <c r="D5" s="3">
        <v>0</v>
      </c>
      <c r="E5" s="3">
        <v>194009</v>
      </c>
      <c r="F5" s="3">
        <v>128312.56</v>
      </c>
    </row>
    <row r="6" spans="1:6" x14ac:dyDescent="0.3">
      <c r="A6" s="2" t="s">
        <v>8</v>
      </c>
      <c r="B6" s="3">
        <f t="shared" si="0"/>
        <v>-78554</v>
      </c>
      <c r="C6" s="3">
        <v>0</v>
      </c>
      <c r="D6" s="3">
        <v>0</v>
      </c>
      <c r="E6" s="3">
        <v>78554</v>
      </c>
      <c r="F6" s="3">
        <v>47200</v>
      </c>
    </row>
    <row r="7" spans="1:6" x14ac:dyDescent="0.3">
      <c r="A7" s="2" t="s">
        <v>9</v>
      </c>
      <c r="B7" s="3">
        <f t="shared" si="0"/>
        <v>-450311</v>
      </c>
      <c r="C7" s="3">
        <v>0</v>
      </c>
      <c r="D7" s="3">
        <v>0</v>
      </c>
      <c r="E7" s="3">
        <v>450311</v>
      </c>
      <c r="F7" s="3">
        <v>304460</v>
      </c>
    </row>
    <row r="8" spans="1:6" x14ac:dyDescent="0.3">
      <c r="A8" s="2" t="s">
        <v>10</v>
      </c>
      <c r="B8" s="3">
        <f t="shared" si="0"/>
        <v>-77671</v>
      </c>
      <c r="C8" s="3">
        <v>0</v>
      </c>
      <c r="D8" s="3">
        <v>0</v>
      </c>
      <c r="E8" s="3">
        <v>77671</v>
      </c>
      <c r="F8" s="3">
        <v>54787</v>
      </c>
    </row>
    <row r="9" spans="1:6" x14ac:dyDescent="0.3">
      <c r="A9" s="2" t="s">
        <v>11</v>
      </c>
      <c r="B9" s="3">
        <f t="shared" si="0"/>
        <v>-41131</v>
      </c>
      <c r="C9" s="3">
        <v>0</v>
      </c>
      <c r="D9" s="3">
        <v>0</v>
      </c>
      <c r="E9" s="3">
        <v>41131</v>
      </c>
      <c r="F9" s="3">
        <v>23608</v>
      </c>
    </row>
    <row r="10" spans="1:6" x14ac:dyDescent="0.3">
      <c r="A10" s="2" t="s">
        <v>12</v>
      </c>
      <c r="B10" s="3">
        <f t="shared" si="0"/>
        <v>-17332</v>
      </c>
      <c r="C10" s="3">
        <v>0</v>
      </c>
      <c r="D10" s="3">
        <v>0</v>
      </c>
      <c r="E10" s="3">
        <v>17332</v>
      </c>
      <c r="F10" s="3">
        <v>10452.668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-6724563</v>
      </c>
      <c r="C12" s="3">
        <v>4007</v>
      </c>
      <c r="D12" s="3">
        <v>440.63200000000001</v>
      </c>
      <c r="E12" s="3">
        <v>6728570</v>
      </c>
      <c r="F12" s="3">
        <v>4945550</v>
      </c>
    </row>
    <row r="13" spans="1:6" x14ac:dyDescent="0.3">
      <c r="A13" s="2" t="s">
        <v>15</v>
      </c>
      <c r="B13" s="3">
        <f t="shared" si="0"/>
        <v>1697</v>
      </c>
      <c r="C13" s="3">
        <v>1706</v>
      </c>
      <c r="D13" s="3">
        <v>738.75</v>
      </c>
      <c r="E13" s="3">
        <v>9</v>
      </c>
      <c r="F13" s="3">
        <v>4.4000000000000004</v>
      </c>
    </row>
    <row r="14" spans="1:6" x14ac:dyDescent="0.3">
      <c r="A14" s="2" t="s">
        <v>16</v>
      </c>
      <c r="B14" s="3">
        <f t="shared" si="0"/>
        <v>-30854</v>
      </c>
      <c r="C14" s="3">
        <v>9140</v>
      </c>
      <c r="D14" s="3">
        <v>1409.57</v>
      </c>
      <c r="E14" s="3">
        <v>39994</v>
      </c>
      <c r="F14" s="3">
        <v>20754.069</v>
      </c>
    </row>
    <row r="15" spans="1:6" ht="17.25" thickBot="1" x14ac:dyDescent="0.35">
      <c r="A15" s="4" t="s">
        <v>17</v>
      </c>
      <c r="B15" s="5">
        <f>SUM(B3:B14)</f>
        <v>-7734118</v>
      </c>
      <c r="C15" s="5">
        <f t="shared" ref="C15" si="1">SUM(C3:C14)</f>
        <v>14853</v>
      </c>
      <c r="D15" s="5">
        <f t="shared" ref="D15:F15" si="2">SUM(D3:D14)</f>
        <v>2588.9520000000002</v>
      </c>
      <c r="E15" s="5">
        <f t="shared" si="2"/>
        <v>7748971</v>
      </c>
      <c r="F15" s="5">
        <f t="shared" si="2"/>
        <v>5630027.2970000003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-37325</v>
      </c>
      <c r="C3" s="3">
        <v>3193</v>
      </c>
      <c r="D3" s="3">
        <v>457.1</v>
      </c>
      <c r="E3" s="3">
        <v>40518</v>
      </c>
      <c r="F3" s="3">
        <v>19211.050999999999</v>
      </c>
    </row>
    <row r="4" spans="1:6" x14ac:dyDescent="0.3">
      <c r="A4" s="2" t="s">
        <v>6</v>
      </c>
      <c r="B4" s="3">
        <f t="shared" ref="B4:B14" si="0">C4-E4</f>
        <v>-173053</v>
      </c>
      <c r="C4" s="3">
        <v>377</v>
      </c>
      <c r="D4" s="3">
        <v>165.1</v>
      </c>
      <c r="E4" s="3">
        <v>173430</v>
      </c>
      <c r="F4" s="3">
        <v>89079.2</v>
      </c>
    </row>
    <row r="5" spans="1:6" x14ac:dyDescent="0.3">
      <c r="A5" s="2" t="s">
        <v>7</v>
      </c>
      <c r="B5" s="3">
        <f t="shared" si="0"/>
        <v>-267</v>
      </c>
      <c r="C5" s="3">
        <v>0</v>
      </c>
      <c r="D5" s="3">
        <v>0</v>
      </c>
      <c r="E5" s="3">
        <v>267</v>
      </c>
      <c r="F5" s="3">
        <v>17.792999999999999</v>
      </c>
    </row>
    <row r="6" spans="1:6" x14ac:dyDescent="0.3">
      <c r="A6" s="2" t="s">
        <v>8</v>
      </c>
      <c r="B6" s="3">
        <f t="shared" si="0"/>
        <v>-82125</v>
      </c>
      <c r="C6" s="3">
        <v>5923</v>
      </c>
      <c r="D6" s="3">
        <v>2077.65</v>
      </c>
      <c r="E6" s="3">
        <v>88048</v>
      </c>
      <c r="F6" s="3">
        <v>42715.993999999999</v>
      </c>
    </row>
    <row r="7" spans="1:6" x14ac:dyDescent="0.3">
      <c r="A7" s="2" t="s">
        <v>9</v>
      </c>
      <c r="B7" s="3">
        <f t="shared" si="0"/>
        <v>-42022</v>
      </c>
      <c r="C7" s="3">
        <v>10184</v>
      </c>
      <c r="D7" s="3">
        <v>1522.8</v>
      </c>
      <c r="E7" s="3">
        <v>52206</v>
      </c>
      <c r="F7" s="3">
        <v>26693.62</v>
      </c>
    </row>
    <row r="8" spans="1:6" x14ac:dyDescent="0.3">
      <c r="A8" s="2" t="s">
        <v>10</v>
      </c>
      <c r="B8" s="3">
        <f t="shared" si="0"/>
        <v>-206823</v>
      </c>
      <c r="C8" s="3">
        <v>1602</v>
      </c>
      <c r="D8" s="3">
        <v>754.17600000000004</v>
      </c>
      <c r="E8" s="3">
        <v>208425</v>
      </c>
      <c r="F8" s="3">
        <v>101008.128</v>
      </c>
    </row>
    <row r="9" spans="1:6" x14ac:dyDescent="0.3">
      <c r="A9" s="2" t="s">
        <v>11</v>
      </c>
      <c r="B9" s="3">
        <f t="shared" si="0"/>
        <v>-132124</v>
      </c>
      <c r="C9" s="3">
        <v>957</v>
      </c>
      <c r="D9" s="3">
        <v>522</v>
      </c>
      <c r="E9" s="3">
        <v>133081</v>
      </c>
      <c r="F9" s="3">
        <v>67070.289000000004</v>
      </c>
    </row>
    <row r="10" spans="1:6" x14ac:dyDescent="0.3">
      <c r="A10" s="2" t="s">
        <v>12</v>
      </c>
      <c r="B10" s="3">
        <f t="shared" si="0"/>
        <v>-1450813</v>
      </c>
      <c r="C10" s="3">
        <v>0</v>
      </c>
      <c r="D10" s="3">
        <v>0</v>
      </c>
      <c r="E10" s="3">
        <v>1450813</v>
      </c>
      <c r="F10" s="3">
        <v>772081.56</v>
      </c>
    </row>
    <row r="11" spans="1:6" x14ac:dyDescent="0.3">
      <c r="A11" s="2" t="s">
        <v>13</v>
      </c>
      <c r="B11" s="3">
        <f t="shared" si="0"/>
        <v>-1246758</v>
      </c>
      <c r="C11" s="3">
        <v>9919</v>
      </c>
      <c r="D11" s="3">
        <v>742.77</v>
      </c>
      <c r="E11" s="3">
        <v>1256677</v>
      </c>
      <c r="F11" s="3">
        <v>684964.65500000003</v>
      </c>
    </row>
    <row r="12" spans="1:6" x14ac:dyDescent="0.3">
      <c r="A12" s="2" t="s">
        <v>14</v>
      </c>
      <c r="B12" s="3">
        <f t="shared" si="0"/>
        <v>-1032732</v>
      </c>
      <c r="C12" s="3">
        <v>7108</v>
      </c>
      <c r="D12" s="3">
        <v>3020.86</v>
      </c>
      <c r="E12" s="3">
        <v>1039840</v>
      </c>
      <c r="F12" s="3">
        <v>586249.09199999995</v>
      </c>
    </row>
    <row r="13" spans="1:6" x14ac:dyDescent="0.3">
      <c r="A13" s="2" t="s">
        <v>15</v>
      </c>
      <c r="B13" s="3">
        <f t="shared" si="0"/>
        <v>-1549379</v>
      </c>
      <c r="C13" s="3">
        <v>27092</v>
      </c>
      <c r="D13" s="3">
        <v>15680.76</v>
      </c>
      <c r="E13" s="3">
        <v>1576471</v>
      </c>
      <c r="F13" s="3">
        <v>934046.63600000006</v>
      </c>
    </row>
    <row r="14" spans="1:6" x14ac:dyDescent="0.3">
      <c r="A14" s="2" t="s">
        <v>16</v>
      </c>
      <c r="B14" s="3">
        <f t="shared" si="0"/>
        <v>-1411918</v>
      </c>
      <c r="C14" s="3">
        <v>0</v>
      </c>
      <c r="D14" s="3">
        <v>0</v>
      </c>
      <c r="E14" s="3">
        <v>1411918</v>
      </c>
      <c r="F14" s="3">
        <v>830537.11</v>
      </c>
    </row>
    <row r="15" spans="1:6" ht="17.25" thickBot="1" x14ac:dyDescent="0.35">
      <c r="A15" s="4" t="s">
        <v>17</v>
      </c>
      <c r="B15" s="5">
        <f>SUM(B3:B14)</f>
        <v>-7365339</v>
      </c>
      <c r="C15" s="5">
        <f t="shared" ref="C15" si="1">SUM(C3:C14)</f>
        <v>66355</v>
      </c>
      <c r="D15" s="5">
        <f t="shared" ref="D15:F15" si="2">SUM(D3:D14)</f>
        <v>24943.216</v>
      </c>
      <c r="E15" s="5">
        <f t="shared" si="2"/>
        <v>7431694</v>
      </c>
      <c r="F15" s="5">
        <f t="shared" si="2"/>
        <v>4153675.128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-3713205</v>
      </c>
      <c r="C3" s="3">
        <v>4038</v>
      </c>
      <c r="D3" s="3">
        <v>932.43</v>
      </c>
      <c r="E3" s="3">
        <v>3717243</v>
      </c>
      <c r="F3" s="3">
        <v>2321690.19</v>
      </c>
    </row>
    <row r="4" spans="1:6" x14ac:dyDescent="0.3">
      <c r="A4" s="2" t="s">
        <v>6</v>
      </c>
      <c r="B4" s="3">
        <f t="shared" ref="B4:B14" si="0">C4-E4</f>
        <v>-2873035</v>
      </c>
      <c r="C4" s="3">
        <v>0</v>
      </c>
      <c r="D4" s="3">
        <v>0</v>
      </c>
      <c r="E4" s="3">
        <v>2873035</v>
      </c>
      <c r="F4" s="3">
        <v>1763636.4820000001</v>
      </c>
    </row>
    <row r="5" spans="1:6" x14ac:dyDescent="0.3">
      <c r="A5" s="2" t="s">
        <v>7</v>
      </c>
      <c r="B5" s="3">
        <f t="shared" si="0"/>
        <v>-3487616</v>
      </c>
      <c r="C5" s="3">
        <v>1281</v>
      </c>
      <c r="D5" s="3">
        <v>321</v>
      </c>
      <c r="E5" s="3">
        <v>3488897</v>
      </c>
      <c r="F5" s="3">
        <v>2190264.0299999998</v>
      </c>
    </row>
    <row r="6" spans="1:6" x14ac:dyDescent="0.3">
      <c r="A6" s="2" t="s">
        <v>8</v>
      </c>
      <c r="B6" s="3">
        <f t="shared" si="0"/>
        <v>-2203557</v>
      </c>
      <c r="C6" s="3">
        <v>0</v>
      </c>
      <c r="D6" s="3">
        <v>0</v>
      </c>
      <c r="E6" s="3">
        <v>2203557</v>
      </c>
      <c r="F6" s="3">
        <v>1445896.8689999999</v>
      </c>
    </row>
    <row r="7" spans="1:6" x14ac:dyDescent="0.3">
      <c r="A7" s="2" t="s">
        <v>9</v>
      </c>
      <c r="B7" s="3">
        <f t="shared" si="0"/>
        <v>-1977350</v>
      </c>
      <c r="C7" s="3">
        <v>9817</v>
      </c>
      <c r="D7" s="3">
        <v>1237.19</v>
      </c>
      <c r="E7" s="3">
        <v>1987167</v>
      </c>
      <c r="F7" s="3">
        <v>1419963.41</v>
      </c>
    </row>
    <row r="8" spans="1:6" x14ac:dyDescent="0.3">
      <c r="A8" s="2" t="s">
        <v>10</v>
      </c>
      <c r="B8" s="3">
        <f t="shared" si="0"/>
        <v>-2149237</v>
      </c>
      <c r="C8" s="3">
        <v>3388</v>
      </c>
      <c r="D8" s="3">
        <v>1242.98</v>
      </c>
      <c r="E8" s="3">
        <v>2152625</v>
      </c>
      <c r="F8" s="3">
        <v>1670530.236</v>
      </c>
    </row>
    <row r="9" spans="1:6" x14ac:dyDescent="0.3">
      <c r="A9" s="2" t="s">
        <v>11</v>
      </c>
      <c r="B9" s="3">
        <f t="shared" si="0"/>
        <v>-1501701</v>
      </c>
      <c r="C9" s="3">
        <v>918</v>
      </c>
      <c r="D9" s="3">
        <v>432</v>
      </c>
      <c r="E9" s="3">
        <v>1502619</v>
      </c>
      <c r="F9" s="3">
        <v>1182252.48</v>
      </c>
    </row>
    <row r="10" spans="1:6" x14ac:dyDescent="0.3">
      <c r="A10" s="2" t="s">
        <v>12</v>
      </c>
      <c r="B10" s="3">
        <f t="shared" si="0"/>
        <v>-751259</v>
      </c>
      <c r="C10" s="3">
        <v>651</v>
      </c>
      <c r="D10" s="3">
        <v>206</v>
      </c>
      <c r="E10" s="3">
        <v>751910</v>
      </c>
      <c r="F10" s="3">
        <v>577005.61</v>
      </c>
    </row>
    <row r="11" spans="1:6" x14ac:dyDescent="0.3">
      <c r="A11" s="2" t="s">
        <v>13</v>
      </c>
      <c r="B11" s="3">
        <f t="shared" si="0"/>
        <v>-766767</v>
      </c>
      <c r="C11" s="3">
        <v>26350</v>
      </c>
      <c r="D11" s="3">
        <v>12843.05</v>
      </c>
      <c r="E11" s="3">
        <v>793117</v>
      </c>
      <c r="F11" s="3">
        <v>639588.13</v>
      </c>
    </row>
    <row r="12" spans="1:6" x14ac:dyDescent="0.3">
      <c r="A12" s="2" t="s">
        <v>14</v>
      </c>
      <c r="B12" s="3">
        <f t="shared" si="0"/>
        <v>-529142</v>
      </c>
      <c r="C12" s="3">
        <v>1328</v>
      </c>
      <c r="D12" s="3">
        <v>648</v>
      </c>
      <c r="E12" s="3">
        <v>530470</v>
      </c>
      <c r="F12" s="3">
        <v>405539.58</v>
      </c>
    </row>
    <row r="13" spans="1:6" x14ac:dyDescent="0.3">
      <c r="A13" s="2" t="s">
        <v>15</v>
      </c>
      <c r="B13" s="3">
        <f t="shared" si="0"/>
        <v>-1414211</v>
      </c>
      <c r="C13" s="3">
        <v>1839</v>
      </c>
      <c r="D13" s="3">
        <v>421.5</v>
      </c>
      <c r="E13" s="3">
        <v>1416050</v>
      </c>
      <c r="F13" s="3">
        <v>1135234.0249999999</v>
      </c>
    </row>
    <row r="14" spans="1:6" x14ac:dyDescent="0.3">
      <c r="A14" s="2" t="s">
        <v>16</v>
      </c>
      <c r="B14" s="3">
        <f t="shared" si="0"/>
        <v>-397492</v>
      </c>
      <c r="C14" s="3">
        <v>30851</v>
      </c>
      <c r="D14" s="3">
        <v>14012</v>
      </c>
      <c r="E14" s="3">
        <v>428343</v>
      </c>
      <c r="F14" s="3">
        <v>301449.65000000002</v>
      </c>
    </row>
    <row r="15" spans="1:6" ht="17.25" thickBot="1" x14ac:dyDescent="0.35">
      <c r="A15" s="4" t="s">
        <v>17</v>
      </c>
      <c r="B15" s="5">
        <f>SUM(B3:B14)</f>
        <v>-21764572</v>
      </c>
      <c r="C15" s="5">
        <f t="shared" ref="C15" si="1">SUM(C3:C14)</f>
        <v>80461</v>
      </c>
      <c r="D15" s="5">
        <f t="shared" ref="D15:F15" si="2">SUM(D3:D14)</f>
        <v>32296.15</v>
      </c>
      <c r="E15" s="5">
        <f t="shared" si="2"/>
        <v>21845033</v>
      </c>
      <c r="F15" s="5">
        <f t="shared" si="2"/>
        <v>15053050.692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-188025</v>
      </c>
      <c r="C3" s="3">
        <v>4058</v>
      </c>
      <c r="D3" s="3">
        <v>773</v>
      </c>
      <c r="E3" s="3">
        <v>192083</v>
      </c>
      <c r="F3" s="3">
        <v>140861.171</v>
      </c>
    </row>
    <row r="4" spans="1:6" x14ac:dyDescent="0.3">
      <c r="A4" s="2" t="s">
        <v>6</v>
      </c>
      <c r="B4" s="3">
        <f t="shared" ref="B4:B14" si="0">C4-E4</f>
        <v>-126226</v>
      </c>
      <c r="C4" s="3">
        <v>0</v>
      </c>
      <c r="D4" s="3">
        <v>0</v>
      </c>
      <c r="E4" s="3">
        <v>126226</v>
      </c>
      <c r="F4" s="3">
        <v>91721.78</v>
      </c>
    </row>
    <row r="5" spans="1:6" x14ac:dyDescent="0.3">
      <c r="A5" s="2" t="s">
        <v>7</v>
      </c>
      <c r="B5" s="3">
        <f t="shared" si="0"/>
        <v>-159345</v>
      </c>
      <c r="C5" s="3">
        <v>6575</v>
      </c>
      <c r="D5" s="3">
        <v>1212.0899999999999</v>
      </c>
      <c r="E5" s="3">
        <v>165920</v>
      </c>
      <c r="F5" s="3">
        <v>115992.26</v>
      </c>
    </row>
    <row r="6" spans="1:6" x14ac:dyDescent="0.3">
      <c r="A6" s="2" t="s">
        <v>8</v>
      </c>
      <c r="B6" s="3">
        <f t="shared" si="0"/>
        <v>-123804</v>
      </c>
      <c r="C6" s="3">
        <v>35203</v>
      </c>
      <c r="D6" s="3">
        <v>10337.799999999999</v>
      </c>
      <c r="E6" s="3">
        <v>159007</v>
      </c>
      <c r="F6" s="3">
        <v>115189.71</v>
      </c>
    </row>
    <row r="7" spans="1:6" x14ac:dyDescent="0.3">
      <c r="A7" s="2" t="s">
        <v>9</v>
      </c>
      <c r="B7" s="3">
        <f t="shared" si="0"/>
        <v>-120065</v>
      </c>
      <c r="C7" s="3">
        <v>4800</v>
      </c>
      <c r="D7" s="3">
        <v>354</v>
      </c>
      <c r="E7" s="3">
        <v>124865</v>
      </c>
      <c r="F7" s="3">
        <v>90113.14</v>
      </c>
    </row>
    <row r="8" spans="1:6" x14ac:dyDescent="0.3">
      <c r="A8" s="2" t="s">
        <v>10</v>
      </c>
      <c r="B8" s="3">
        <f t="shared" si="0"/>
        <v>-139170</v>
      </c>
      <c r="C8" s="3">
        <v>5561</v>
      </c>
      <c r="D8" s="3">
        <v>1584</v>
      </c>
      <c r="E8" s="3">
        <v>144731</v>
      </c>
      <c r="F8" s="3">
        <v>106696.894</v>
      </c>
    </row>
    <row r="9" spans="1:6" x14ac:dyDescent="0.3">
      <c r="A9" s="2" t="s">
        <v>11</v>
      </c>
      <c r="B9" s="3">
        <f t="shared" si="0"/>
        <v>-238941</v>
      </c>
      <c r="C9" s="3">
        <v>3659</v>
      </c>
      <c r="D9" s="3">
        <v>864</v>
      </c>
      <c r="E9" s="3">
        <v>242600</v>
      </c>
      <c r="F9" s="3">
        <v>179128.73699999999</v>
      </c>
    </row>
    <row r="10" spans="1:6" x14ac:dyDescent="0.3">
      <c r="A10" s="2" t="s">
        <v>12</v>
      </c>
      <c r="B10" s="3">
        <f t="shared" si="0"/>
        <v>-138897</v>
      </c>
      <c r="C10" s="3">
        <v>14853</v>
      </c>
      <c r="D10" s="3">
        <v>3180</v>
      </c>
      <c r="E10" s="3">
        <v>153750</v>
      </c>
      <c r="F10" s="3">
        <v>117046.534</v>
      </c>
    </row>
    <row r="11" spans="1:6" x14ac:dyDescent="0.3">
      <c r="A11" s="2" t="s">
        <v>13</v>
      </c>
      <c r="B11" s="3">
        <f t="shared" si="0"/>
        <v>-47040</v>
      </c>
      <c r="C11" s="3">
        <v>10845</v>
      </c>
      <c r="D11" s="3">
        <v>1274.7</v>
      </c>
      <c r="E11" s="3">
        <v>57885</v>
      </c>
      <c r="F11" s="3">
        <v>45512.94</v>
      </c>
    </row>
    <row r="12" spans="1:6" x14ac:dyDescent="0.3">
      <c r="A12" s="2" t="s">
        <v>14</v>
      </c>
      <c r="B12" s="3">
        <f t="shared" si="0"/>
        <v>-160465</v>
      </c>
      <c r="C12" s="3">
        <v>46537</v>
      </c>
      <c r="D12" s="3">
        <v>19547.72</v>
      </c>
      <c r="E12" s="3">
        <v>207002</v>
      </c>
      <c r="F12" s="3">
        <v>149277.25700000001</v>
      </c>
    </row>
    <row r="13" spans="1:6" x14ac:dyDescent="0.3">
      <c r="A13" s="2" t="s">
        <v>15</v>
      </c>
      <c r="B13" s="3">
        <f t="shared" si="0"/>
        <v>-2636490</v>
      </c>
      <c r="C13" s="3">
        <v>9182</v>
      </c>
      <c r="D13" s="3">
        <v>2451.86</v>
      </c>
      <c r="E13" s="3">
        <v>2645672</v>
      </c>
      <c r="F13" s="3">
        <v>2146144.2200000002</v>
      </c>
    </row>
    <row r="14" spans="1:6" x14ac:dyDescent="0.3">
      <c r="A14" s="2" t="s">
        <v>16</v>
      </c>
      <c r="B14" s="3">
        <f t="shared" si="0"/>
        <v>-7898619</v>
      </c>
      <c r="C14" s="3">
        <v>19317</v>
      </c>
      <c r="D14" s="3">
        <v>5487.9</v>
      </c>
      <c r="E14" s="3">
        <v>7917936</v>
      </c>
      <c r="F14" s="3">
        <v>6414726.8499999996</v>
      </c>
    </row>
    <row r="15" spans="1:6" ht="17.25" thickBot="1" x14ac:dyDescent="0.35">
      <c r="A15" s="4" t="s">
        <v>17</v>
      </c>
      <c r="B15" s="5">
        <f>SUM(B3:B14)</f>
        <v>-11977087</v>
      </c>
      <c r="C15" s="5">
        <f t="shared" ref="C15" si="1">SUM(C3:C14)</f>
        <v>160590</v>
      </c>
      <c r="D15" s="5">
        <f t="shared" ref="D15:F15" si="2">SUM(D3:D14)</f>
        <v>47067.07</v>
      </c>
      <c r="E15" s="5">
        <f t="shared" si="2"/>
        <v>12137677</v>
      </c>
      <c r="F15" s="5">
        <f t="shared" si="2"/>
        <v>9712411.4930000007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-7276548</v>
      </c>
      <c r="C3" s="3">
        <v>6360</v>
      </c>
      <c r="D3" s="3">
        <v>2456</v>
      </c>
      <c r="E3" s="3">
        <v>7282908</v>
      </c>
      <c r="F3" s="3">
        <v>6049014.7000000002</v>
      </c>
    </row>
    <row r="4" spans="1:6" x14ac:dyDescent="0.3">
      <c r="A4" s="2" t="s">
        <v>6</v>
      </c>
      <c r="B4" s="3">
        <f t="shared" ref="B4:B14" si="0">C4-E4</f>
        <v>-5718413</v>
      </c>
      <c r="C4" s="3">
        <v>12738</v>
      </c>
      <c r="D4" s="3">
        <v>2331.4</v>
      </c>
      <c r="E4" s="3">
        <v>5731151</v>
      </c>
      <c r="F4" s="3">
        <v>4768044.4800000004</v>
      </c>
    </row>
    <row r="5" spans="1:6" x14ac:dyDescent="0.3">
      <c r="A5" s="2" t="s">
        <v>7</v>
      </c>
      <c r="B5" s="3">
        <f t="shared" si="0"/>
        <v>-3332255</v>
      </c>
      <c r="C5" s="3">
        <v>5838</v>
      </c>
      <c r="D5" s="3">
        <v>1684</v>
      </c>
      <c r="E5" s="3">
        <v>3338093</v>
      </c>
      <c r="F5" s="3">
        <v>2790582.6310000001</v>
      </c>
    </row>
    <row r="6" spans="1:6" x14ac:dyDescent="0.3">
      <c r="A6" s="2" t="s">
        <v>8</v>
      </c>
      <c r="B6" s="3">
        <f t="shared" si="0"/>
        <v>-4155298</v>
      </c>
      <c r="C6" s="3">
        <v>5825</v>
      </c>
      <c r="D6" s="3">
        <v>1282</v>
      </c>
      <c r="E6" s="3">
        <v>4161123</v>
      </c>
      <c r="F6" s="3">
        <v>3521512.551</v>
      </c>
    </row>
    <row r="7" spans="1:6" x14ac:dyDescent="0.3">
      <c r="A7" s="2" t="s">
        <v>9</v>
      </c>
      <c r="B7" s="3">
        <f t="shared" si="0"/>
        <v>-3293847</v>
      </c>
      <c r="C7" s="3">
        <v>7695</v>
      </c>
      <c r="D7" s="3">
        <v>2076</v>
      </c>
      <c r="E7" s="3">
        <v>3301542</v>
      </c>
      <c r="F7" s="3">
        <v>2773824.0260000001</v>
      </c>
    </row>
    <row r="8" spans="1:6" x14ac:dyDescent="0.3">
      <c r="A8" s="2" t="s">
        <v>10</v>
      </c>
      <c r="B8" s="3">
        <f t="shared" si="0"/>
        <v>-6324239</v>
      </c>
      <c r="C8" s="3">
        <v>11831</v>
      </c>
      <c r="D8" s="3">
        <v>2413.6</v>
      </c>
      <c r="E8" s="3">
        <v>6336070</v>
      </c>
      <c r="F8" s="3">
        <v>5417051.7439999999</v>
      </c>
    </row>
    <row r="9" spans="1:6" x14ac:dyDescent="0.3">
      <c r="A9" s="2" t="s">
        <v>11</v>
      </c>
      <c r="B9" s="3">
        <f t="shared" si="0"/>
        <v>-5199378</v>
      </c>
      <c r="C9" s="3">
        <v>3346</v>
      </c>
      <c r="D9" s="3">
        <v>632.4</v>
      </c>
      <c r="E9" s="3">
        <v>5202724</v>
      </c>
      <c r="F9" s="3">
        <v>4425481.9160000002</v>
      </c>
    </row>
    <row r="10" spans="1:6" x14ac:dyDescent="0.3">
      <c r="A10" s="2" t="s">
        <v>12</v>
      </c>
      <c r="B10" s="3">
        <f t="shared" si="0"/>
        <v>-3368315</v>
      </c>
      <c r="C10" s="3">
        <v>1323</v>
      </c>
      <c r="D10" s="3">
        <v>482.8</v>
      </c>
      <c r="E10" s="3">
        <v>3369638</v>
      </c>
      <c r="F10" s="3">
        <v>2833887.69</v>
      </c>
    </row>
    <row r="11" spans="1:6" x14ac:dyDescent="0.3">
      <c r="A11" s="2" t="s">
        <v>13</v>
      </c>
      <c r="B11" s="3">
        <f t="shared" si="0"/>
        <v>-10430358</v>
      </c>
      <c r="C11" s="3">
        <v>6840</v>
      </c>
      <c r="D11" s="3">
        <v>2484</v>
      </c>
      <c r="E11" s="3">
        <v>10437198</v>
      </c>
      <c r="F11" s="3">
        <v>8950211.0500000007</v>
      </c>
    </row>
    <row r="12" spans="1:6" x14ac:dyDescent="0.3">
      <c r="A12" s="2" t="s">
        <v>14</v>
      </c>
      <c r="B12" s="3">
        <f t="shared" si="0"/>
        <v>-3388906</v>
      </c>
      <c r="C12" s="3">
        <v>7891</v>
      </c>
      <c r="D12" s="3">
        <v>3618</v>
      </c>
      <c r="E12" s="3">
        <v>3396797</v>
      </c>
      <c r="F12" s="3">
        <v>2846137.83</v>
      </c>
    </row>
    <row r="13" spans="1:6" x14ac:dyDescent="0.3">
      <c r="A13" s="2" t="s">
        <v>15</v>
      </c>
      <c r="B13" s="3">
        <f t="shared" si="0"/>
        <v>-5230962</v>
      </c>
      <c r="C13" s="3">
        <v>21363</v>
      </c>
      <c r="D13" s="3">
        <v>5670</v>
      </c>
      <c r="E13" s="3">
        <v>5252325</v>
      </c>
      <c r="F13" s="3">
        <v>4445099.8650000002</v>
      </c>
    </row>
    <row r="14" spans="1:6" x14ac:dyDescent="0.3">
      <c r="A14" s="2" t="s">
        <v>16</v>
      </c>
      <c r="B14" s="3">
        <f t="shared" si="0"/>
        <v>-7733038</v>
      </c>
      <c r="C14" s="3">
        <v>89977</v>
      </c>
      <c r="D14" s="3">
        <v>11948</v>
      </c>
      <c r="E14" s="3">
        <v>7823015</v>
      </c>
      <c r="F14" s="3">
        <v>6632458.3799999999</v>
      </c>
    </row>
    <row r="15" spans="1:6" ht="17.25" thickBot="1" x14ac:dyDescent="0.35">
      <c r="A15" s="4" t="s">
        <v>17</v>
      </c>
      <c r="B15" s="5">
        <f>SUM(B3:B14)</f>
        <v>-65451557</v>
      </c>
      <c r="C15" s="5">
        <f t="shared" ref="C15" si="1">SUM(C3:C14)</f>
        <v>181027</v>
      </c>
      <c r="D15" s="5">
        <f t="shared" ref="D15:F15" si="2">SUM(D3:D14)</f>
        <v>37078.199999999997</v>
      </c>
      <c r="E15" s="5">
        <f t="shared" si="2"/>
        <v>65632584</v>
      </c>
      <c r="F15" s="5">
        <f t="shared" si="2"/>
        <v>55453306.863000005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-5099893</v>
      </c>
      <c r="C3" s="3">
        <v>8119</v>
      </c>
      <c r="D3" s="3">
        <v>4032</v>
      </c>
      <c r="E3" s="3">
        <v>5108012</v>
      </c>
      <c r="F3" s="3">
        <v>4280415</v>
      </c>
    </row>
    <row r="4" spans="1:6" x14ac:dyDescent="0.3">
      <c r="A4" s="2" t="s">
        <v>6</v>
      </c>
      <c r="B4" s="3">
        <f t="shared" ref="B4:B14" si="0">C4-E4</f>
        <v>-8244778</v>
      </c>
      <c r="C4" s="3">
        <v>2448</v>
      </c>
      <c r="D4" s="3">
        <v>734</v>
      </c>
      <c r="E4" s="3">
        <v>8247226</v>
      </c>
      <c r="F4" s="3">
        <v>6878128</v>
      </c>
    </row>
    <row r="5" spans="1:6" x14ac:dyDescent="0.3">
      <c r="A5" s="2" t="s">
        <v>7</v>
      </c>
      <c r="B5" s="3">
        <f t="shared" si="0"/>
        <v>-10044459</v>
      </c>
      <c r="C5" s="3">
        <v>17091</v>
      </c>
      <c r="D5" s="3">
        <v>4601</v>
      </c>
      <c r="E5" s="3">
        <v>10061550</v>
      </c>
      <c r="F5" s="3">
        <v>8354895</v>
      </c>
    </row>
    <row r="6" spans="1:6" x14ac:dyDescent="0.3">
      <c r="A6" s="2" t="s">
        <v>8</v>
      </c>
      <c r="B6" s="3">
        <f t="shared" si="0"/>
        <v>-14452688</v>
      </c>
      <c r="C6" s="3">
        <v>863</v>
      </c>
      <c r="D6" s="3">
        <v>432</v>
      </c>
      <c r="E6" s="3">
        <v>14453551</v>
      </c>
      <c r="F6" s="3">
        <v>11831448</v>
      </c>
    </row>
    <row r="7" spans="1:6" x14ac:dyDescent="0.3">
      <c r="A7" s="2" t="s">
        <v>9</v>
      </c>
      <c r="B7" s="3">
        <f t="shared" si="0"/>
        <v>-15476738</v>
      </c>
      <c r="C7" s="3">
        <v>7998</v>
      </c>
      <c r="D7" s="3">
        <v>4320</v>
      </c>
      <c r="E7" s="3">
        <v>15484736</v>
      </c>
      <c r="F7" s="3">
        <v>12444859</v>
      </c>
    </row>
    <row r="8" spans="1:6" x14ac:dyDescent="0.3">
      <c r="A8" s="2" t="s">
        <v>10</v>
      </c>
      <c r="B8" s="3">
        <f t="shared" si="0"/>
        <v>-21823771</v>
      </c>
      <c r="C8" s="3">
        <v>1243</v>
      </c>
      <c r="D8" s="3">
        <v>648</v>
      </c>
      <c r="E8" s="3">
        <v>21825014</v>
      </c>
      <c r="F8" s="3">
        <v>17157011</v>
      </c>
    </row>
    <row r="9" spans="1:6" x14ac:dyDescent="0.3">
      <c r="A9" s="2" t="s">
        <v>11</v>
      </c>
      <c r="B9" s="3">
        <f t="shared" si="0"/>
        <v>-14009073</v>
      </c>
      <c r="C9" s="3">
        <v>0</v>
      </c>
      <c r="D9" s="3">
        <v>0</v>
      </c>
      <c r="E9" s="3">
        <v>14009073</v>
      </c>
      <c r="F9" s="3">
        <v>10974899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-89151400</v>
      </c>
      <c r="C15" s="5">
        <f t="shared" ref="C15:F15" si="1">SUM(C3:C14)</f>
        <v>37762</v>
      </c>
      <c r="D15" s="5">
        <f t="shared" si="1"/>
        <v>14767</v>
      </c>
      <c r="E15" s="5">
        <f t="shared" si="1"/>
        <v>89189162</v>
      </c>
      <c r="F15" s="5">
        <f t="shared" si="1"/>
        <v>71921655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2026-06-01T02:15:42Z</dcterms:created>
  <dcterms:modified xsi:type="dcterms:W3CDTF">2026-09-08T08:48:00Z</dcterms:modified>
</cp:coreProperties>
</file>