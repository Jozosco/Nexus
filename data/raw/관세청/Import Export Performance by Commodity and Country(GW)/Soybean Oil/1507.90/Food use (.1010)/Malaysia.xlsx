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6"/>
  <c r="B15" i="4"/>
  <c r="B15" i="3"/>
  <c r="B15" i="2"/>
  <c r="B15" i="8"/>
  <c r="B15" i="7"/>
  <c r="B15" i="5"/>
  <c r="B15" i="1"/>
</calcChain>
</file>

<file path=xl/sharedStrings.xml><?xml version="1.0" encoding="utf-8"?>
<sst xmlns="http://schemas.openxmlformats.org/spreadsheetml/2006/main" count="306" uniqueCount="32">
  <si>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</si>
  <si>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</si>
  <si>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</si>
  <si>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</si>
  <si>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</si>
  <si>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</si>
  <si>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</si>
  <si>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</si>
  <si>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</si>
  <si>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</si>
  <si>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</si>
  <si>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</si>
  <si>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</si>
  <si>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</si>
  <si>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</si>
  <si>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</si>
  <si>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</si>
  <si>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</si>
  <si>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</si>
  <si>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</si>
  <si>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</si>
  <si>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</si>
  <si>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</si>
  <si>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총계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</si>
  <si>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</si>
  <si>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</si>
  <si>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</si>
  <si>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</si>
  <si>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</si>
  <si>
    <t>1월</t>
    <phoneticPr fontId="1" type="noConversion"/>
  </si>
  <si>
    <t>3월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</si>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</sst>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21</v>
      </c>
      <c r="E2" s="1" t="s">
        <v>3</v>
      </c>
      <c r="F2" s="1" t="s">
        <v>22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-7681</v>
      </c>
      <c r="C4" s="3">
        <v>0</v>
      </c>
      <c r="D4" s="3">
        <v>0</v>
      </c>
      <c r="E4" s="3">
        <v>7681</v>
      </c>
      <c r="F4" s="3">
        <v>4032</v>
      </c>
    </row>
    <row r="5" spans="1:6" x14ac:dyDescent="0.3">
      <c r="A5" s="2" t="s">
        <v>7</v>
      </c>
      <c r="B5" s="3">
        <f t="shared" si="0"/>
        <v>-19386</v>
      </c>
      <c r="C5" s="3">
        <v>0</v>
      </c>
      <c r="D5" s="3">
        <v>0</v>
      </c>
      <c r="E5" s="3">
        <v>19386</v>
      </c>
      <c r="F5" s="3">
        <v>10176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-19081</v>
      </c>
      <c r="C7" s="3">
        <v>0</v>
      </c>
      <c r="D7" s="3">
        <v>0</v>
      </c>
      <c r="E7" s="3">
        <v>19081</v>
      </c>
      <c r="F7" s="3">
        <v>10212</v>
      </c>
    </row>
    <row r="8" spans="1:6" x14ac:dyDescent="0.3">
      <c r="A8" s="2" t="s">
        <v>10</v>
      </c>
      <c r="B8" s="3">
        <f t="shared" si="0"/>
        <v>-19080</v>
      </c>
      <c r="C8" s="3">
        <v>0</v>
      </c>
      <c r="D8" s="3">
        <v>0</v>
      </c>
      <c r="E8" s="3">
        <v>19080</v>
      </c>
      <c r="F8" s="3">
        <v>10176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63591</v>
      </c>
      <c r="C11" s="3">
        <v>63591</v>
      </c>
      <c r="D11" s="3">
        <v>39810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69838</v>
      </c>
      <c r="C13" s="3">
        <v>69838</v>
      </c>
      <c r="D13" s="3">
        <v>44490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66876</v>
      </c>
      <c r="C14" s="3">
        <v>66876</v>
      </c>
      <c r="D14" s="3">
        <v>43010</v>
      </c>
      <c r="E14" s="3">
        <v>0</v>
      </c>
      <c r="F14" s="3">
        <v>0</v>
      </c>
    </row>
    <row r="15" spans="1:6" ht="17.25" thickBot="1" x14ac:dyDescent="0.35">
      <c r="A15" s="4" t="s">
        <v>23</v>
      </c>
      <c r="B15" s="5">
        <f>SUM(B3:B14)</f>
        <v>135077</v>
      </c>
      <c r="C15" s="5">
        <f t="shared" ref="C15:F15" si="1">SUM(C3:C14)</f>
        <v>200305</v>
      </c>
      <c r="D15" s="5">
        <f t="shared" si="1"/>
        <v>127310</v>
      </c>
      <c r="E15" s="5">
        <f t="shared" si="1"/>
        <v>65228</v>
      </c>
      <c r="F15" s="5">
        <f t="shared" si="1"/>
        <v>34596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24</v>
      </c>
      <c r="D2" s="1" t="s">
        <v>2</v>
      </c>
      <c r="E2" s="1" t="s">
        <v>25</v>
      </c>
      <c r="F2" s="1" t="s">
        <v>26</v>
      </c>
    </row>
    <row r="3" spans="1:6" x14ac:dyDescent="0.3">
      <c r="A3" s="2" t="s">
        <v>5</v>
      </c>
      <c r="B3" s="3">
        <f>C3-E3</f>
        <v>69007</v>
      </c>
      <c r="C3" s="3">
        <v>69007</v>
      </c>
      <c r="D3" s="3">
        <v>44290</v>
      </c>
      <c r="E3" s="3">
        <v>0</v>
      </c>
      <c r="F3" s="3">
        <v>0</v>
      </c>
    </row>
    <row r="4" spans="1:6" x14ac:dyDescent="0.3">
      <c r="A4" s="2" t="s">
        <v>27</v>
      </c>
      <c r="B4" s="3">
        <f t="shared" ref="B4:B14" si="0">C4-E4</f>
        <v>-17</v>
      </c>
      <c r="C4" s="3">
        <v>0</v>
      </c>
      <c r="D4" s="3">
        <v>0</v>
      </c>
      <c r="E4" s="3">
        <v>17</v>
      </c>
      <c r="F4" s="3">
        <v>2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64914</v>
      </c>
      <c r="C6" s="3">
        <v>64914</v>
      </c>
      <c r="D6" s="3">
        <v>43340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-17219</v>
      </c>
      <c r="C7" s="3">
        <v>0</v>
      </c>
      <c r="D7" s="3">
        <v>0</v>
      </c>
      <c r="E7" s="3">
        <v>17219</v>
      </c>
      <c r="F7" s="3">
        <v>18819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-12</v>
      </c>
      <c r="C11" s="3">
        <v>0</v>
      </c>
      <c r="D11" s="3">
        <v>0</v>
      </c>
      <c r="E11" s="3">
        <v>12</v>
      </c>
      <c r="F11" s="3">
        <v>0</v>
      </c>
    </row>
    <row r="12" spans="1:6" x14ac:dyDescent="0.3">
      <c r="A12" s="2" t="s">
        <v>14</v>
      </c>
      <c r="B12" s="3">
        <f t="shared" si="0"/>
        <v>-12</v>
      </c>
      <c r="C12" s="3">
        <v>0</v>
      </c>
      <c r="D12" s="3">
        <v>0</v>
      </c>
      <c r="E12" s="3">
        <v>12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116661</v>
      </c>
      <c r="C15" s="5">
        <f t="shared" ref="C15:F15" si="1">SUM(C3:C14)</f>
        <v>133921</v>
      </c>
      <c r="D15" s="5">
        <f t="shared" si="1"/>
        <v>87630</v>
      </c>
      <c r="E15" s="5">
        <f t="shared" si="1"/>
        <v>17260</v>
      </c>
      <c r="F15" s="5">
        <f t="shared" si="1"/>
        <v>18821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1364</v>
      </c>
      <c r="C5" s="3">
        <v>1364</v>
      </c>
      <c r="D5" s="3">
        <v>240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-20</v>
      </c>
      <c r="C6" s="3">
        <v>0</v>
      </c>
      <c r="D6" s="3">
        <v>0</v>
      </c>
      <c r="E6" s="3">
        <v>20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17548</v>
      </c>
      <c r="C8" s="3">
        <v>17548</v>
      </c>
      <c r="D8" s="3">
        <v>1845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-79043</v>
      </c>
      <c r="C11" s="3">
        <v>0</v>
      </c>
      <c r="D11" s="3">
        <v>0</v>
      </c>
      <c r="E11" s="3">
        <v>79043</v>
      </c>
      <c r="F11" s="3">
        <v>62880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-134413</v>
      </c>
      <c r="C13" s="3">
        <v>0</v>
      </c>
      <c r="D13" s="3">
        <v>0</v>
      </c>
      <c r="E13" s="3">
        <v>134413</v>
      </c>
      <c r="F13" s="3">
        <v>108692</v>
      </c>
    </row>
    <row r="14" spans="1:6" x14ac:dyDescent="0.3">
      <c r="A14" s="2" t="s">
        <v>16</v>
      </c>
      <c r="B14" s="3">
        <f t="shared" si="0"/>
        <v>19873</v>
      </c>
      <c r="C14" s="3">
        <v>19873</v>
      </c>
      <c r="D14" s="3">
        <v>2484</v>
      </c>
      <c r="E14" s="3">
        <v>0</v>
      </c>
      <c r="F14" s="3">
        <v>0</v>
      </c>
    </row>
    <row r="15" spans="1:6" ht="17.25" thickBot="1" x14ac:dyDescent="0.35">
      <c r="A15" s="4" t="s">
        <v>23</v>
      </c>
      <c r="B15" s="5">
        <f>SUM(B3:B14)</f>
        <v>-174691</v>
      </c>
      <c r="C15" s="5">
        <f t="shared" ref="C15:F15" si="1">SUM(C3:C14)</f>
        <v>38785</v>
      </c>
      <c r="D15" s="5">
        <f t="shared" si="1"/>
        <v>4569</v>
      </c>
      <c r="E15" s="5">
        <f t="shared" si="1"/>
        <v>213476</v>
      </c>
      <c r="F15" s="5">
        <f t="shared" si="1"/>
        <v>171574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-78290</v>
      </c>
      <c r="C3" s="3">
        <v>0</v>
      </c>
      <c r="D3" s="3">
        <v>0</v>
      </c>
      <c r="E3" s="3">
        <v>78290</v>
      </c>
      <c r="F3" s="3">
        <v>61230</v>
      </c>
    </row>
    <row r="4" spans="1:6" x14ac:dyDescent="0.3">
      <c r="A4" s="2" t="s">
        <v>27</v>
      </c>
      <c r="B4" s="3">
        <f t="shared" si="0"/>
        <v>10853</v>
      </c>
      <c r="C4" s="3">
        <v>10853</v>
      </c>
      <c r="D4" s="3">
        <v>1620</v>
      </c>
      <c r="E4" s="3">
        <v>0</v>
      </c>
      <c r="F4" s="3">
        <v>0</v>
      </c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3750</v>
      </c>
      <c r="C7" s="3">
        <v>3750</v>
      </c>
      <c r="D7" s="3">
        <v>518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116</v>
      </c>
      <c r="C9" s="3">
        <v>116</v>
      </c>
      <c r="D9" s="3">
        <v>63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-11</v>
      </c>
      <c r="C13" s="3">
        <v>0</v>
      </c>
      <c r="D13" s="3">
        <v>0</v>
      </c>
      <c r="E13" s="3">
        <v>11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-63582</v>
      </c>
      <c r="C15" s="5">
        <f t="shared" ref="C15:F15" si="1">SUM(C3:C14)</f>
        <v>14719</v>
      </c>
      <c r="D15" s="5">
        <f t="shared" si="1"/>
        <v>2201</v>
      </c>
      <c r="E15" s="5">
        <f t="shared" si="1"/>
        <v>78301</v>
      </c>
      <c r="F15" s="5">
        <f t="shared" si="1"/>
        <v>61230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132</v>
      </c>
      <c r="C4" s="3">
        <v>132</v>
      </c>
      <c r="D4" s="3">
        <v>73</v>
      </c>
      <c r="E4" s="3">
        <v>0</v>
      </c>
      <c r="F4" s="3">
        <v>0</v>
      </c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-16</v>
      </c>
      <c r="C9" s="3">
        <v>0</v>
      </c>
      <c r="D9" s="3">
        <v>0</v>
      </c>
      <c r="E9" s="3">
        <v>16</v>
      </c>
      <c r="F9" s="3">
        <v>3</v>
      </c>
    </row>
    <row r="10" spans="1:6" x14ac:dyDescent="0.3">
      <c r="A10" s="2" t="s">
        <v>12</v>
      </c>
      <c r="B10" s="3">
        <f t="shared" si="0"/>
        <v>-42</v>
      </c>
      <c r="C10" s="3">
        <v>0</v>
      </c>
      <c r="D10" s="3">
        <v>0</v>
      </c>
      <c r="E10" s="3">
        <v>42</v>
      </c>
      <c r="F10" s="3">
        <v>16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704</v>
      </c>
      <c r="C14" s="3">
        <v>704</v>
      </c>
      <c r="D14" s="3">
        <v>424</v>
      </c>
      <c r="E14" s="3">
        <v>0</v>
      </c>
      <c r="F14" s="3">
        <v>0</v>
      </c>
    </row>
    <row r="15" spans="1:6" ht="17.25" thickBot="1" x14ac:dyDescent="0.35">
      <c r="A15" s="4" t="s">
        <v>23</v>
      </c>
      <c r="B15" s="5">
        <f>SUM(B3:B14)</f>
        <v>778</v>
      </c>
      <c r="C15" s="5">
        <f t="shared" ref="C15:F15" si="1">SUM(C3:C14)</f>
        <v>836</v>
      </c>
      <c r="D15" s="5">
        <f t="shared" si="1"/>
        <v>497</v>
      </c>
      <c r="E15" s="5">
        <f t="shared" si="1"/>
        <v>58</v>
      </c>
      <c r="F15" s="5">
        <f t="shared" si="1"/>
        <v>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</v>
      </c>
      <c r="E2" s="1" t="s">
        <v>31</v>
      </c>
      <c r="F2" s="1" t="s">
        <v>4</v>
      </c>
    </row>
    <row r="3" spans="1:6" x14ac:dyDescent="0.3">
      <c r="A3" s="2" t="s">
        <v>5</v>
      </c>
      <c r="B3" s="3">
        <f t="shared" ref="B3:B14" si="0">C3-E3</f>
        <v>-48542</v>
      </c>
      <c r="C3" s="3">
        <v>1378</v>
      </c>
      <c r="D3" s="3">
        <v>587</v>
      </c>
      <c r="E3" s="3">
        <v>49920</v>
      </c>
      <c r="F3" s="3">
        <v>31200</v>
      </c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1128</v>
      </c>
      <c r="C5" s="3">
        <v>1128</v>
      </c>
      <c r="D5" s="3">
        <v>495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-12</v>
      </c>
      <c r="C6" s="3">
        <v>0</v>
      </c>
      <c r="D6" s="3">
        <v>0</v>
      </c>
      <c r="E6" s="3">
        <v>12</v>
      </c>
      <c r="F6" s="3">
        <v>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1188</v>
      </c>
      <c r="C8" s="3">
        <v>1188</v>
      </c>
      <c r="D8" s="3">
        <v>416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1300</v>
      </c>
      <c r="C11" s="3">
        <v>1300</v>
      </c>
      <c r="D11" s="3">
        <v>578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904</v>
      </c>
      <c r="C12" s="3">
        <v>917</v>
      </c>
      <c r="D12" s="3">
        <v>429</v>
      </c>
      <c r="E12" s="3">
        <v>13</v>
      </c>
      <c r="F12" s="3">
        <v>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73</v>
      </c>
      <c r="C14" s="3">
        <v>73</v>
      </c>
      <c r="D14" s="3">
        <v>33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-43961</v>
      </c>
      <c r="C15" s="5">
        <f t="shared" ref="C15:F15" si="1">SUM(C3:C14)</f>
        <v>5984</v>
      </c>
      <c r="D15" s="5">
        <f t="shared" si="1"/>
        <v>2538</v>
      </c>
      <c r="E15" s="5">
        <f t="shared" si="1"/>
        <v>49945</v>
      </c>
      <c r="F15" s="5">
        <f t="shared" si="1"/>
        <v>31202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72</v>
      </c>
      <c r="C3" s="3">
        <v>72</v>
      </c>
      <c r="D3" s="3">
        <v>33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35</v>
      </c>
      <c r="C5" s="3">
        <v>35</v>
      </c>
      <c r="D5" s="3">
        <v>99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236</v>
      </c>
      <c r="C8" s="3">
        <v>236</v>
      </c>
      <c r="D8" s="3">
        <v>116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128</v>
      </c>
      <c r="C10" s="3">
        <v>128</v>
      </c>
      <c r="D10" s="3">
        <v>66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72</v>
      </c>
      <c r="C11" s="3">
        <v>72</v>
      </c>
      <c r="D11" s="3">
        <v>33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133</v>
      </c>
      <c r="C12" s="3">
        <v>133</v>
      </c>
      <c r="D12" s="3">
        <v>66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64</v>
      </c>
      <c r="C14" s="3">
        <v>64</v>
      </c>
      <c r="D14" s="3">
        <v>33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740</v>
      </c>
      <c r="C15" s="5">
        <f t="shared" ref="C15" si="1">SUM(C3:C14)</f>
        <v>740</v>
      </c>
      <c r="D15" s="5">
        <f t="shared" ref="D15:F15" si="2">SUM(D3:D14)</f>
        <v>446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96</v>
      </c>
      <c r="C3" s="3">
        <v>96</v>
      </c>
      <c r="D3" s="3">
        <v>50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85</v>
      </c>
      <c r="C4" s="3">
        <v>85</v>
      </c>
      <c r="D4" s="3">
        <v>50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563</v>
      </c>
      <c r="C6" s="3">
        <v>563</v>
      </c>
      <c r="D6" s="3">
        <v>157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72</v>
      </c>
      <c r="C9" s="3">
        <v>72</v>
      </c>
      <c r="D9" s="3">
        <v>33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179</v>
      </c>
      <c r="C11" s="3">
        <v>179</v>
      </c>
      <c r="D11" s="3">
        <v>83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107</v>
      </c>
      <c r="C12" s="3">
        <v>107</v>
      </c>
      <c r="D12" s="3">
        <v>50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1102</v>
      </c>
      <c r="C15" s="5">
        <f t="shared" ref="C15" si="1">SUM(C3:C14)</f>
        <v>1102</v>
      </c>
      <c r="D15" s="5">
        <f t="shared" ref="D15:F15" si="2">SUM(D3:D14)</f>
        <v>423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108</v>
      </c>
      <c r="C3" s="3">
        <v>108</v>
      </c>
      <c r="D3" s="3">
        <v>50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-15</v>
      </c>
      <c r="C4" s="3">
        <v>0</v>
      </c>
      <c r="D4" s="3">
        <v>0</v>
      </c>
      <c r="E4" s="3">
        <v>15</v>
      </c>
      <c r="F4" s="3">
        <v>1</v>
      </c>
    </row>
    <row r="5" spans="1:6" x14ac:dyDescent="0.3">
      <c r="A5" s="2" t="s">
        <v>7</v>
      </c>
      <c r="B5" s="3">
        <f t="shared" si="0"/>
        <v>108</v>
      </c>
      <c r="C5" s="3">
        <v>108</v>
      </c>
      <c r="D5" s="3">
        <v>50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107</v>
      </c>
      <c r="C6" s="3">
        <v>107</v>
      </c>
      <c r="D6" s="3">
        <v>50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72</v>
      </c>
      <c r="C8" s="3">
        <v>72</v>
      </c>
      <c r="D8" s="3">
        <v>33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2029</v>
      </c>
      <c r="C9" s="3">
        <v>2029</v>
      </c>
      <c r="D9" s="3">
        <v>1023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2409</v>
      </c>
      <c r="C15" s="5">
        <f t="shared" ref="C15" si="1">SUM(C3:C14)</f>
        <v>2424</v>
      </c>
      <c r="D15" s="5">
        <f t="shared" ref="D15:F15" si="2">SUM(D3:D14)</f>
        <v>1206</v>
      </c>
      <c r="E15" s="5">
        <f t="shared" si="2"/>
        <v>15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72</v>
      </c>
      <c r="C3" s="3">
        <v>72</v>
      </c>
      <c r="D3" s="3">
        <v>33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73</v>
      </c>
      <c r="C4" s="3">
        <v>73</v>
      </c>
      <c r="D4" s="3">
        <v>33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618</v>
      </c>
      <c r="C5" s="3">
        <v>618</v>
      </c>
      <c r="D5" s="3">
        <v>290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146</v>
      </c>
      <c r="C8" s="3">
        <v>146</v>
      </c>
      <c r="D8" s="3">
        <v>66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75</v>
      </c>
      <c r="C9" s="3">
        <v>75</v>
      </c>
      <c r="D9" s="3">
        <v>33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75</v>
      </c>
      <c r="C13" s="3">
        <v>75</v>
      </c>
      <c r="D13" s="3">
        <v>33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719</v>
      </c>
      <c r="C14" s="3">
        <v>719</v>
      </c>
      <c r="D14" s="3">
        <v>87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1778</v>
      </c>
      <c r="C15" s="5">
        <f t="shared" ref="C15" si="1">SUM(C3:C14)</f>
        <v>1778</v>
      </c>
      <c r="D15" s="5">
        <f t="shared" ref="D15:F15" si="2">SUM(D3:D14)</f>
        <v>575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620</v>
      </c>
      <c r="C3" s="3">
        <v>620</v>
      </c>
      <c r="D3" s="3">
        <v>45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71</v>
      </c>
      <c r="C5" s="3">
        <v>99</v>
      </c>
      <c r="D5" s="3">
        <v>43</v>
      </c>
      <c r="E5" s="3">
        <v>28</v>
      </c>
      <c r="F5" s="3">
        <v>1</v>
      </c>
    </row>
    <row r="6" spans="1:6" x14ac:dyDescent="0.3">
      <c r="A6" s="2" t="s">
        <v>8</v>
      </c>
      <c r="B6" s="3">
        <f t="shared" si="0"/>
        <v>198</v>
      </c>
      <c r="C6" s="3">
        <v>198</v>
      </c>
      <c r="D6" s="3">
        <v>86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191</v>
      </c>
      <c r="C8" s="3">
        <v>191</v>
      </c>
      <c r="D8" s="3">
        <v>83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16</v>
      </c>
      <c r="C9" s="3">
        <v>24</v>
      </c>
      <c r="D9" s="3">
        <v>10</v>
      </c>
      <c r="E9" s="3">
        <v>8</v>
      </c>
      <c r="F9" s="3">
        <v>1</v>
      </c>
    </row>
    <row r="10" spans="1:6" x14ac:dyDescent="0.3">
      <c r="A10" s="2" t="s">
        <v>12</v>
      </c>
      <c r="B10" s="3">
        <f t="shared" si="0"/>
        <v>123</v>
      </c>
      <c r="C10" s="3">
        <v>123</v>
      </c>
      <c r="D10" s="3">
        <v>53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622</v>
      </c>
      <c r="C11" s="3">
        <v>622</v>
      </c>
      <c r="D11" s="3">
        <v>111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-451405</v>
      </c>
      <c r="C12" s="3">
        <v>75</v>
      </c>
      <c r="D12" s="3">
        <v>33</v>
      </c>
      <c r="E12" s="3">
        <v>451480</v>
      </c>
      <c r="F12" s="3">
        <v>304240</v>
      </c>
    </row>
    <row r="13" spans="1:6" x14ac:dyDescent="0.3">
      <c r="A13" s="2" t="s">
        <v>15</v>
      </c>
      <c r="B13" s="3">
        <f t="shared" si="0"/>
        <v>182</v>
      </c>
      <c r="C13" s="3">
        <v>182</v>
      </c>
      <c r="D13" s="3">
        <v>77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-296444</v>
      </c>
      <c r="C14" s="3">
        <v>0</v>
      </c>
      <c r="D14" s="3">
        <v>0</v>
      </c>
      <c r="E14" s="3">
        <v>296444</v>
      </c>
      <c r="F14" s="3">
        <v>200300</v>
      </c>
    </row>
    <row r="15" spans="1:6" ht="17.25" thickBot="1" x14ac:dyDescent="0.35">
      <c r="A15" s="4" t="s">
        <v>17</v>
      </c>
      <c r="B15" s="5">
        <f>SUM(B3:B14)</f>
        <v>-745826</v>
      </c>
      <c r="C15" s="5">
        <f t="shared" ref="C15" si="1">SUM(C3:C14)</f>
        <v>2134</v>
      </c>
      <c r="D15" s="5">
        <f t="shared" ref="D15:F15" si="2">SUM(D3:D14)</f>
        <v>541</v>
      </c>
      <c r="E15" s="5">
        <f t="shared" si="2"/>
        <v>747960</v>
      </c>
      <c r="F15" s="5">
        <f t="shared" si="2"/>
        <v>504542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272</v>
      </c>
      <c r="C4" s="3">
        <v>272</v>
      </c>
      <c r="D4" s="3">
        <v>127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-412052</v>
      </c>
      <c r="C9" s="3">
        <v>552</v>
      </c>
      <c r="D9" s="3">
        <v>211</v>
      </c>
      <c r="E9" s="3">
        <v>412604</v>
      </c>
      <c r="F9" s="3">
        <v>199530</v>
      </c>
    </row>
    <row r="10" spans="1:6" x14ac:dyDescent="0.3">
      <c r="A10" s="2" t="s">
        <v>12</v>
      </c>
      <c r="B10" s="3">
        <f t="shared" si="0"/>
        <v>-478271</v>
      </c>
      <c r="C10" s="3">
        <v>0</v>
      </c>
      <c r="D10" s="3">
        <v>0</v>
      </c>
      <c r="E10" s="3">
        <v>478271</v>
      </c>
      <c r="F10" s="3">
        <v>226330</v>
      </c>
    </row>
    <row r="11" spans="1:6" x14ac:dyDescent="0.3">
      <c r="A11" s="2" t="s">
        <v>13</v>
      </c>
      <c r="B11" s="3">
        <f t="shared" si="0"/>
        <v>-404128</v>
      </c>
      <c r="C11" s="3">
        <v>0</v>
      </c>
      <c r="D11" s="3">
        <v>0</v>
      </c>
      <c r="E11" s="3">
        <v>404128</v>
      </c>
      <c r="F11" s="3">
        <v>206410</v>
      </c>
    </row>
    <row r="12" spans="1:6" x14ac:dyDescent="0.3">
      <c r="A12" s="2" t="s">
        <v>14</v>
      </c>
      <c r="B12" s="3">
        <f t="shared" si="0"/>
        <v>-1085018</v>
      </c>
      <c r="C12" s="3">
        <v>0</v>
      </c>
      <c r="D12" s="3">
        <v>0</v>
      </c>
      <c r="E12" s="3">
        <v>1085018</v>
      </c>
      <c r="F12" s="3">
        <v>611490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-2379197</v>
      </c>
      <c r="C15" s="5">
        <f t="shared" ref="C15" si="1">SUM(C3:C14)</f>
        <v>824</v>
      </c>
      <c r="D15" s="5">
        <f t="shared" ref="D15:F15" si="2">SUM(D3:D14)</f>
        <v>338</v>
      </c>
      <c r="E15" s="5">
        <f t="shared" si="2"/>
        <v>2380021</v>
      </c>
      <c r="F15" s="5">
        <f t="shared" si="2"/>
        <v>1243760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87</v>
      </c>
      <c r="C3" s="3">
        <v>87</v>
      </c>
      <c r="D3" s="3">
        <v>30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-371</v>
      </c>
      <c r="C4" s="3">
        <v>0</v>
      </c>
      <c r="D4" s="3">
        <v>0</v>
      </c>
      <c r="E4" s="3">
        <v>371</v>
      </c>
      <c r="F4" s="3">
        <v>130</v>
      </c>
    </row>
    <row r="5" spans="1:6" x14ac:dyDescent="0.3">
      <c r="A5" s="2" t="s">
        <v>7</v>
      </c>
      <c r="B5" s="3">
        <f t="shared" si="0"/>
        <v>-589669</v>
      </c>
      <c r="C5" s="3">
        <v>0</v>
      </c>
      <c r="D5" s="3">
        <v>0</v>
      </c>
      <c r="E5" s="3">
        <v>589669</v>
      </c>
      <c r="F5" s="3">
        <v>415870</v>
      </c>
    </row>
    <row r="6" spans="1:6" x14ac:dyDescent="0.3">
      <c r="A6" s="2" t="s">
        <v>8</v>
      </c>
      <c r="B6" s="3">
        <f t="shared" si="0"/>
        <v>-961826</v>
      </c>
      <c r="C6" s="3">
        <v>0</v>
      </c>
      <c r="D6" s="3">
        <v>0</v>
      </c>
      <c r="E6" s="3">
        <v>961826</v>
      </c>
      <c r="F6" s="3">
        <v>677000</v>
      </c>
    </row>
    <row r="7" spans="1:6" x14ac:dyDescent="0.3">
      <c r="A7" s="2" t="s">
        <v>9</v>
      </c>
      <c r="B7" s="3">
        <f t="shared" si="0"/>
        <v>203</v>
      </c>
      <c r="C7" s="3">
        <v>214</v>
      </c>
      <c r="D7" s="3">
        <v>44</v>
      </c>
      <c r="E7" s="3">
        <v>11</v>
      </c>
      <c r="F7" s="3">
        <v>1</v>
      </c>
    </row>
    <row r="8" spans="1:6" x14ac:dyDescent="0.3">
      <c r="A8" s="2" t="s">
        <v>10</v>
      </c>
      <c r="B8" s="3">
        <f t="shared" si="0"/>
        <v>-76196</v>
      </c>
      <c r="C8" s="3">
        <v>0</v>
      </c>
      <c r="D8" s="3">
        <v>0</v>
      </c>
      <c r="E8" s="3">
        <v>76196</v>
      </c>
      <c r="F8" s="3">
        <v>61350</v>
      </c>
    </row>
    <row r="9" spans="1:6" x14ac:dyDescent="0.3">
      <c r="A9" s="2" t="s">
        <v>11</v>
      </c>
      <c r="B9" s="3">
        <f t="shared" si="0"/>
        <v>-62</v>
      </c>
      <c r="C9" s="3">
        <v>0</v>
      </c>
      <c r="D9" s="3">
        <v>0</v>
      </c>
      <c r="E9" s="3">
        <v>62</v>
      </c>
      <c r="F9" s="3">
        <v>17</v>
      </c>
    </row>
    <row r="10" spans="1:6" x14ac:dyDescent="0.3">
      <c r="A10" s="2" t="s">
        <v>12</v>
      </c>
      <c r="B10" s="3">
        <f t="shared" si="0"/>
        <v>403</v>
      </c>
      <c r="C10" s="3">
        <v>403</v>
      </c>
      <c r="D10" s="3">
        <v>162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451</v>
      </c>
      <c r="C11" s="3">
        <v>451</v>
      </c>
      <c r="D11" s="3">
        <v>176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-12</v>
      </c>
      <c r="C14" s="3">
        <v>0</v>
      </c>
      <c r="D14" s="3">
        <v>0</v>
      </c>
      <c r="E14" s="3">
        <v>12</v>
      </c>
      <c r="F14" s="3">
        <v>4</v>
      </c>
    </row>
    <row r="15" spans="1:6" ht="17.25" thickBot="1" x14ac:dyDescent="0.35">
      <c r="A15" s="4" t="s">
        <v>17</v>
      </c>
      <c r="B15" s="5">
        <f>SUM(B3:B14)</f>
        <v>-1626992</v>
      </c>
      <c r="C15" s="5">
        <f t="shared" ref="C15" si="1">SUM(C3:C14)</f>
        <v>1155</v>
      </c>
      <c r="D15" s="5">
        <f t="shared" ref="D15:F15" si="2">SUM(D3:D14)</f>
        <v>412</v>
      </c>
      <c r="E15" s="5">
        <f t="shared" si="2"/>
        <v>1628147</v>
      </c>
      <c r="F15" s="5">
        <f t="shared" si="2"/>
        <v>1154372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324</v>
      </c>
      <c r="C4" s="3">
        <v>324</v>
      </c>
      <c r="D4" s="3">
        <v>165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35</v>
      </c>
      <c r="C8" s="3">
        <v>53</v>
      </c>
      <c r="D8" s="3">
        <v>33</v>
      </c>
      <c r="E8" s="3">
        <v>18</v>
      </c>
      <c r="F8" s="3">
        <v>3</v>
      </c>
    </row>
    <row r="9" spans="1:6" x14ac:dyDescent="0.3">
      <c r="A9" s="2" t="s">
        <v>11</v>
      </c>
      <c r="B9" s="3">
        <f t="shared" si="0"/>
        <v>8412</v>
      </c>
      <c r="C9" s="3">
        <v>8412</v>
      </c>
      <c r="D9" s="3">
        <v>3562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349</v>
      </c>
      <c r="C10" s="3">
        <v>349</v>
      </c>
      <c r="D10" s="3">
        <v>182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73</v>
      </c>
      <c r="C11" s="3">
        <v>82</v>
      </c>
      <c r="D11" s="3">
        <v>66</v>
      </c>
      <c r="E11" s="3">
        <v>9</v>
      </c>
      <c r="F11" s="3">
        <v>1</v>
      </c>
    </row>
    <row r="12" spans="1:6" x14ac:dyDescent="0.3">
      <c r="A12" s="2" t="s">
        <v>14</v>
      </c>
      <c r="B12" s="3">
        <f t="shared" si="0"/>
        <v>-21951</v>
      </c>
      <c r="C12" s="3">
        <v>0</v>
      </c>
      <c r="D12" s="3">
        <v>0</v>
      </c>
      <c r="E12" s="3">
        <v>21951</v>
      </c>
      <c r="F12" s="3">
        <v>20330</v>
      </c>
    </row>
    <row r="13" spans="1:6" x14ac:dyDescent="0.3">
      <c r="A13" s="2" t="s">
        <v>15</v>
      </c>
      <c r="B13" s="3">
        <f t="shared" si="0"/>
        <v>-547572</v>
      </c>
      <c r="C13" s="3">
        <v>3293</v>
      </c>
      <c r="D13" s="3">
        <v>1750</v>
      </c>
      <c r="E13" s="3">
        <v>550865</v>
      </c>
      <c r="F13" s="3">
        <v>507710</v>
      </c>
    </row>
    <row r="14" spans="1:6" x14ac:dyDescent="0.3">
      <c r="A14" s="2" t="s">
        <v>16</v>
      </c>
      <c r="B14" s="3">
        <f t="shared" si="0"/>
        <v>-335409</v>
      </c>
      <c r="C14" s="3">
        <v>882</v>
      </c>
      <c r="D14" s="3">
        <v>330</v>
      </c>
      <c r="E14" s="3">
        <v>336291</v>
      </c>
      <c r="F14" s="3">
        <v>309030</v>
      </c>
    </row>
    <row r="15" spans="1:6" ht="17.25" thickBot="1" x14ac:dyDescent="0.35">
      <c r="A15" s="4" t="s">
        <v>17</v>
      </c>
      <c r="B15" s="5">
        <f>SUM(B3:B14)</f>
        <v>-895739</v>
      </c>
      <c r="C15" s="5">
        <f t="shared" ref="C15" si="1">SUM(C3:C14)</f>
        <v>13395</v>
      </c>
      <c r="D15" s="5">
        <f t="shared" ref="D15:F15" si="2">SUM(D3:D14)</f>
        <v>6088</v>
      </c>
      <c r="E15" s="5">
        <f t="shared" si="2"/>
        <v>909134</v>
      </c>
      <c r="F15" s="5">
        <f t="shared" si="2"/>
        <v>837074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-219255</v>
      </c>
      <c r="C3" s="3">
        <v>349</v>
      </c>
      <c r="D3" s="3">
        <v>178</v>
      </c>
      <c r="E3" s="3">
        <v>219604</v>
      </c>
      <c r="F3" s="3">
        <v>202400</v>
      </c>
    </row>
    <row r="4" spans="1:6" x14ac:dyDescent="0.3">
      <c r="A4" s="2" t="s">
        <v>6</v>
      </c>
      <c r="B4" s="3">
        <f t="shared" ref="B4:B14" si="0">C4-E4</f>
        <v>109</v>
      </c>
      <c r="C4" s="3">
        <v>109</v>
      </c>
      <c r="D4" s="3">
        <v>83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83</v>
      </c>
      <c r="C7" s="3">
        <v>83</v>
      </c>
      <c r="D7" s="3">
        <v>46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82</v>
      </c>
      <c r="C8" s="3">
        <v>82</v>
      </c>
      <c r="D8" s="3">
        <v>46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656</v>
      </c>
      <c r="C9" s="3">
        <v>656</v>
      </c>
      <c r="D9" s="3">
        <v>142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133</v>
      </c>
      <c r="C10" s="3">
        <v>133</v>
      </c>
      <c r="D10" s="3">
        <v>83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128</v>
      </c>
      <c r="C11" s="3">
        <v>128</v>
      </c>
      <c r="D11" s="3">
        <v>83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516</v>
      </c>
      <c r="C12" s="3">
        <v>516</v>
      </c>
      <c r="D12" s="3">
        <v>330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528</v>
      </c>
      <c r="C14" s="3">
        <v>528</v>
      </c>
      <c r="D14" s="3">
        <v>83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-217020</v>
      </c>
      <c r="C15" s="5">
        <f t="shared" ref="C15" si="1">SUM(C3:C14)</f>
        <v>2584</v>
      </c>
      <c r="D15" s="5">
        <f t="shared" ref="D15:F15" si="2">SUM(D3:D14)</f>
        <v>1074</v>
      </c>
      <c r="E15" s="5">
        <f t="shared" si="2"/>
        <v>219604</v>
      </c>
      <c r="F15" s="5">
        <f t="shared" si="2"/>
        <v>202400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461</v>
      </c>
      <c r="C6" s="3">
        <v>461</v>
      </c>
      <c r="D6" s="3">
        <v>259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601</v>
      </c>
      <c r="C8" s="3">
        <v>601</v>
      </c>
      <c r="D8" s="3">
        <v>109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225</v>
      </c>
      <c r="C9" s="3">
        <v>225</v>
      </c>
      <c r="D9" s="3">
        <v>134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1287</v>
      </c>
      <c r="C15" s="5">
        <f t="shared" ref="C15:F15" si="1">SUM(C3:C14)</f>
        <v>1287</v>
      </c>
      <c r="D15" s="5">
        <f t="shared" si="1"/>
        <v>502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2026-09-08T07:41:07Z</dcterms:modified>
</cp:coreProperties>
</file>