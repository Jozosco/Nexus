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9개년_품목별 국가별 수출입실적\대두유\1507.90\식품용(.1010)\"/>
    </mc:Choice>
  </mc:AlternateContent>
  <bookViews>
    <workbookView xWindow="0" yWindow="0" windowWidth="28800" windowHeight="11640" firstSheet="3" activeTab="16"/>
  </bookViews>
  <sheets>
    <sheet name="2010년" sheetId="12" r:id="rId1"/>
    <sheet name="2011년" sheetId="13" r:id="rId2"/>
    <sheet name="2012년" sheetId="14" r:id="rId3"/>
    <sheet name="2013년" sheetId="15" r:id="rId4"/>
    <sheet name="2014년" sheetId="16" r:id="rId5"/>
    <sheet name="2015년" sheetId="17" r:id="rId6"/>
    <sheet name="2016년" sheetId="18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1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8" l="1"/>
  <c r="E15" i="18"/>
  <c r="D15" i="18"/>
  <c r="C15" i="18"/>
  <c r="B14" i="18"/>
  <c r="B13" i="18"/>
  <c r="B12" i="18"/>
  <c r="B11" i="18"/>
  <c r="B10" i="18"/>
  <c r="B9" i="18"/>
  <c r="B8" i="18"/>
  <c r="B7" i="18"/>
  <c r="B6" i="18"/>
  <c r="B5" i="18"/>
  <c r="B4" i="18"/>
  <c r="B3" i="18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2" l="1"/>
  <c r="B15" i="18"/>
  <c r="B15" i="17"/>
  <c r="B15" i="13"/>
  <c r="B15" i="14"/>
  <c r="B15" i="15"/>
  <c r="B15" i="16"/>
  <c r="B15" i="11"/>
  <c r="B3" i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F15" i="2"/>
  <c r="E15" i="2"/>
  <c r="D15" i="2"/>
  <c r="C15" i="2"/>
  <c r="B14" i="2"/>
  <c r="B13" i="2"/>
  <c r="B12" i="2"/>
  <c r="B11" i="2"/>
  <c r="B10" i="2"/>
  <c r="B9" i="2"/>
  <c r="B8" i="2"/>
  <c r="B7" i="2"/>
  <c r="B6" i="2"/>
  <c r="B5" i="2"/>
  <c r="B4" i="2"/>
  <c r="B3" i="2"/>
  <c r="F15" i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<sst xmlns="http://schemas.openxmlformats.org/spreadsheetml/2006/main" count="306" uniqueCount="43">
  <si>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</si>
  <si>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</si>
  <si>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</si>
  <si>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</si>
  <si>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</si>
  <si>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</si>
  <si>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</si>
  <si>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</si>
  <si>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</si>
  <si>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</si>
  <si>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</si>
  <si>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</si>
  <si>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</si>
  <si>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</si>
  <si>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</si>
  <si>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</si>
  <si>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</si>
  <si>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</si>
  <si>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</si>
  <si>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</si>
  <si>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</si>
  <si>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</si>
  <si>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</si>
  <si>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</si>
  <si>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</si>
  <si>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</si>
  <si>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</si>
  <si>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</si>
  <si>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</si>
  <si>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</si>
  <si>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</si>
  <si>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</si>
  <si>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</si>
  <si>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</si>
  <si>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</si>
  <si>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</si>
  <si>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수입액(달러)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</si>
  <si>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</si>
  <si>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</si>
  <si>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</si>
  <si>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</si>
  <si>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2월</t>
    <phoneticPr fontId="1" type="noConversion"/>
  </si>
  <si>
    <t>무역수지(달러)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</si>
</sst>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577472</v>
      </c>
      <c r="C3" s="3">
        <v>753278</v>
      </c>
      <c r="D3" s="3">
        <v>658125</v>
      </c>
      <c r="E3" s="3">
        <v>175806</v>
      </c>
      <c r="F3" s="3">
        <v>112625</v>
      </c>
    </row>
    <row r="4" spans="1:6" x14ac:dyDescent="0.3">
      <c r="A4" s="2" t="s">
        <v>6</v>
      </c>
      <c r="B4" s="3">
        <f t="shared" si="0"/>
        <v>446459</v>
      </c>
      <c r="C4" s="3">
        <v>750544</v>
      </c>
      <c r="D4" s="3">
        <v>623848</v>
      </c>
      <c r="E4" s="3">
        <v>304085</v>
      </c>
      <c r="F4" s="3">
        <v>199290</v>
      </c>
    </row>
    <row r="5" spans="1:6" x14ac:dyDescent="0.3">
      <c r="A5" s="2" t="s">
        <v>7</v>
      </c>
      <c r="B5" s="3">
        <f t="shared" si="0"/>
        <v>414015</v>
      </c>
      <c r="C5" s="3">
        <v>439426</v>
      </c>
      <c r="D5" s="3">
        <v>356620</v>
      </c>
      <c r="E5" s="3">
        <v>25411</v>
      </c>
      <c r="F5" s="3">
        <v>20001</v>
      </c>
    </row>
    <row r="6" spans="1:6" x14ac:dyDescent="0.3">
      <c r="A6" s="2" t="s">
        <v>8</v>
      </c>
      <c r="B6" s="3">
        <f t="shared" si="0"/>
        <v>232123</v>
      </c>
      <c r="C6" s="3">
        <v>580260</v>
      </c>
      <c r="D6" s="3">
        <v>511423</v>
      </c>
      <c r="E6" s="3">
        <v>348137</v>
      </c>
      <c r="F6" s="3">
        <v>255750</v>
      </c>
    </row>
    <row r="7" spans="1:6" x14ac:dyDescent="0.3">
      <c r="A7" s="2" t="s">
        <v>9</v>
      </c>
      <c r="B7" s="3">
        <f t="shared" si="0"/>
        <v>866781</v>
      </c>
      <c r="C7" s="3">
        <v>933869</v>
      </c>
      <c r="D7" s="3">
        <v>842006</v>
      </c>
      <c r="E7" s="3">
        <v>67088</v>
      </c>
      <c r="F7" s="3">
        <v>52311</v>
      </c>
    </row>
    <row r="8" spans="1:6" x14ac:dyDescent="0.3">
      <c r="A8" s="2" t="s">
        <v>10</v>
      </c>
      <c r="B8" s="3">
        <f t="shared" si="0"/>
        <v>621962</v>
      </c>
      <c r="C8" s="3">
        <v>776541</v>
      </c>
      <c r="D8" s="3">
        <v>688684</v>
      </c>
      <c r="E8" s="3">
        <v>154579</v>
      </c>
      <c r="F8" s="3">
        <v>97314</v>
      </c>
    </row>
    <row r="9" spans="1:6" x14ac:dyDescent="0.3">
      <c r="A9" s="2" t="s">
        <v>11</v>
      </c>
      <c r="B9" s="3">
        <f>C9-E9</f>
        <v>444386</v>
      </c>
      <c r="C9" s="3">
        <v>482625</v>
      </c>
      <c r="D9" s="3">
        <v>404435</v>
      </c>
      <c r="E9" s="3">
        <v>38239</v>
      </c>
      <c r="F9" s="3">
        <v>27041</v>
      </c>
    </row>
    <row r="10" spans="1:6" x14ac:dyDescent="0.3">
      <c r="A10" s="2" t="s">
        <v>12</v>
      </c>
      <c r="B10" s="3">
        <f t="shared" ref="B10:B14" si="1">C10-E10</f>
        <v>1601699</v>
      </c>
      <c r="C10" s="3">
        <v>1974176</v>
      </c>
      <c r="D10" s="3">
        <v>1714605</v>
      </c>
      <c r="E10" s="3">
        <v>372477</v>
      </c>
      <c r="F10" s="3">
        <v>249457</v>
      </c>
    </row>
    <row r="11" spans="1:6" x14ac:dyDescent="0.3">
      <c r="A11" s="2" t="s">
        <v>13</v>
      </c>
      <c r="B11" s="3">
        <f t="shared" si="1"/>
        <v>1070530</v>
      </c>
      <c r="C11" s="3">
        <v>1250010</v>
      </c>
      <c r="D11" s="3">
        <v>1024636</v>
      </c>
      <c r="E11" s="3">
        <v>179480</v>
      </c>
      <c r="F11" s="3">
        <v>139597</v>
      </c>
    </row>
    <row r="12" spans="1:6" x14ac:dyDescent="0.3">
      <c r="A12" s="2" t="s">
        <v>14</v>
      </c>
      <c r="B12" s="3">
        <f t="shared" si="1"/>
        <v>2324426</v>
      </c>
      <c r="C12" s="3">
        <v>2539950</v>
      </c>
      <c r="D12" s="3">
        <v>2077087</v>
      </c>
      <c r="E12" s="3">
        <v>215524</v>
      </c>
      <c r="F12" s="3">
        <v>139093</v>
      </c>
    </row>
    <row r="13" spans="1:6" x14ac:dyDescent="0.3">
      <c r="A13" s="2" t="s">
        <v>15</v>
      </c>
      <c r="B13" s="3">
        <f t="shared" si="1"/>
        <v>2520233</v>
      </c>
      <c r="C13" s="3">
        <v>2589053</v>
      </c>
      <c r="D13" s="3">
        <v>1973065</v>
      </c>
      <c r="E13" s="3">
        <v>68820</v>
      </c>
      <c r="F13" s="3">
        <v>51200</v>
      </c>
    </row>
    <row r="14" spans="1:6" x14ac:dyDescent="0.3">
      <c r="A14" s="2" t="s">
        <v>16</v>
      </c>
      <c r="B14" s="3">
        <f t="shared" si="1"/>
        <v>1788185</v>
      </c>
      <c r="C14" s="3">
        <v>1942594</v>
      </c>
      <c r="D14" s="3">
        <v>1333750</v>
      </c>
      <c r="E14" s="3">
        <v>154409</v>
      </c>
      <c r="F14" s="3">
        <v>95220</v>
      </c>
    </row>
    <row r="15" spans="1:6" ht="17.25" thickBot="1" x14ac:dyDescent="0.35">
      <c r="A15" s="4" t="s">
        <v>17</v>
      </c>
      <c r="B15" s="5">
        <f>SUM(B3:B14)</f>
        <v>12908271</v>
      </c>
      <c r="C15" s="5">
        <f t="shared" ref="C15:F15" si="2">SUM(C3:C14)</f>
        <v>15012326</v>
      </c>
      <c r="D15" s="5">
        <f t="shared" si="2"/>
        <v>12208284</v>
      </c>
      <c r="E15" s="5">
        <f t="shared" si="2"/>
        <v>2104055</v>
      </c>
      <c r="F15" s="5">
        <f t="shared" si="2"/>
        <v>1438899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4076694</v>
      </c>
      <c r="C3" s="3">
        <v>4418676</v>
      </c>
      <c r="D3" s="3">
        <v>2877380</v>
      </c>
      <c r="E3" s="3">
        <v>341982</v>
      </c>
      <c r="F3" s="3">
        <v>215130</v>
      </c>
    </row>
    <row r="4" spans="1:6" x14ac:dyDescent="0.3">
      <c r="A4" s="2" t="s">
        <v>24</v>
      </c>
      <c r="B4" s="3">
        <f t="shared" ref="B4:B14" si="0">C4-E4</f>
        <v>2420864</v>
      </c>
      <c r="C4" s="3">
        <v>2590524</v>
      </c>
      <c r="D4" s="3">
        <v>1594028</v>
      </c>
      <c r="E4" s="3">
        <v>169660</v>
      </c>
      <c r="F4" s="3">
        <v>95503</v>
      </c>
    </row>
    <row r="5" spans="1:6" x14ac:dyDescent="0.3">
      <c r="A5" s="2" t="s">
        <v>25</v>
      </c>
      <c r="B5" s="3">
        <f t="shared" si="0"/>
        <v>862550</v>
      </c>
      <c r="C5" s="3">
        <v>947069</v>
      </c>
      <c r="D5" s="3">
        <v>585887</v>
      </c>
      <c r="E5" s="3">
        <v>84519</v>
      </c>
      <c r="F5" s="3">
        <v>47557</v>
      </c>
    </row>
    <row r="6" spans="1:6" x14ac:dyDescent="0.3">
      <c r="A6" s="2" t="s">
        <v>8</v>
      </c>
      <c r="B6" s="3">
        <f t="shared" si="0"/>
        <v>2022884</v>
      </c>
      <c r="C6" s="3">
        <v>2211513</v>
      </c>
      <c r="D6" s="3">
        <v>1361046</v>
      </c>
      <c r="E6" s="3">
        <v>188629</v>
      </c>
      <c r="F6" s="3">
        <v>100780</v>
      </c>
    </row>
    <row r="7" spans="1:6" x14ac:dyDescent="0.3">
      <c r="A7" s="2" t="s">
        <v>9</v>
      </c>
      <c r="B7" s="3">
        <f t="shared" si="0"/>
        <v>585218</v>
      </c>
      <c r="C7" s="3">
        <v>1106067</v>
      </c>
      <c r="D7" s="3">
        <v>679416</v>
      </c>
      <c r="E7" s="3">
        <v>520849</v>
      </c>
      <c r="F7" s="3">
        <v>298462</v>
      </c>
    </row>
    <row r="8" spans="1:6" x14ac:dyDescent="0.3">
      <c r="A8" s="2" t="s">
        <v>10</v>
      </c>
      <c r="B8" s="3">
        <f t="shared" si="0"/>
        <v>423609</v>
      </c>
      <c r="C8" s="3">
        <v>567407</v>
      </c>
      <c r="D8" s="3">
        <v>337040</v>
      </c>
      <c r="E8" s="3">
        <v>143798</v>
      </c>
      <c r="F8" s="3">
        <v>78206</v>
      </c>
    </row>
    <row r="9" spans="1:6" x14ac:dyDescent="0.3">
      <c r="A9" s="2" t="s">
        <v>11</v>
      </c>
      <c r="B9" s="3">
        <f t="shared" si="0"/>
        <v>354294</v>
      </c>
      <c r="C9" s="3">
        <v>572603</v>
      </c>
      <c r="D9" s="3">
        <v>320230</v>
      </c>
      <c r="E9" s="3">
        <v>218309</v>
      </c>
      <c r="F9" s="3">
        <v>114070</v>
      </c>
    </row>
    <row r="10" spans="1:6" x14ac:dyDescent="0.3">
      <c r="A10" s="2" t="s">
        <v>12</v>
      </c>
      <c r="B10" s="3">
        <f t="shared" si="0"/>
        <v>1282887</v>
      </c>
      <c r="C10" s="3">
        <v>1508489</v>
      </c>
      <c r="D10" s="3">
        <v>913199</v>
      </c>
      <c r="E10" s="3">
        <v>225602</v>
      </c>
      <c r="F10" s="3">
        <v>111690</v>
      </c>
    </row>
    <row r="11" spans="1:6" x14ac:dyDescent="0.3">
      <c r="A11" s="2" t="s">
        <v>13</v>
      </c>
      <c r="B11" s="3">
        <f t="shared" si="0"/>
        <v>3342839</v>
      </c>
      <c r="C11" s="3">
        <v>3519593</v>
      </c>
      <c r="D11" s="3">
        <v>2152166</v>
      </c>
      <c r="E11" s="3">
        <v>176754</v>
      </c>
      <c r="F11" s="3">
        <v>103807</v>
      </c>
    </row>
    <row r="12" spans="1:6" x14ac:dyDescent="0.3">
      <c r="A12" s="2" t="s">
        <v>14</v>
      </c>
      <c r="B12" s="3">
        <f t="shared" si="0"/>
        <v>1157876</v>
      </c>
      <c r="C12" s="3">
        <v>1484340</v>
      </c>
      <c r="D12" s="3">
        <v>887655</v>
      </c>
      <c r="E12" s="3">
        <v>326464</v>
      </c>
      <c r="F12" s="3">
        <v>194181</v>
      </c>
    </row>
    <row r="13" spans="1:6" x14ac:dyDescent="0.3">
      <c r="A13" s="2" t="s">
        <v>15</v>
      </c>
      <c r="B13" s="3">
        <f t="shared" si="0"/>
        <v>2756110</v>
      </c>
      <c r="C13" s="3">
        <v>2937992</v>
      </c>
      <c r="D13" s="3">
        <v>1837494</v>
      </c>
      <c r="E13" s="3">
        <v>181882</v>
      </c>
      <c r="F13" s="3">
        <v>112283</v>
      </c>
    </row>
    <row r="14" spans="1:6" x14ac:dyDescent="0.3">
      <c r="A14" s="2" t="s">
        <v>16</v>
      </c>
      <c r="B14" s="3">
        <f t="shared" si="0"/>
        <v>2018217</v>
      </c>
      <c r="C14" s="3">
        <v>2409909</v>
      </c>
      <c r="D14" s="3">
        <v>1542925</v>
      </c>
      <c r="E14" s="3">
        <v>391692</v>
      </c>
      <c r="F14" s="3">
        <v>226201</v>
      </c>
    </row>
    <row r="15" spans="1:6" ht="17.25" thickBot="1" x14ac:dyDescent="0.35">
      <c r="A15" s="4" t="s">
        <v>26</v>
      </c>
      <c r="B15" s="5">
        <f>SUM(B3:B14)</f>
        <v>21304042</v>
      </c>
      <c r="C15" s="5">
        <f t="shared" ref="C15:F15" si="1">SUM(C3:C14)</f>
        <v>24274182</v>
      </c>
      <c r="D15" s="5">
        <f t="shared" si="1"/>
        <v>15088466</v>
      </c>
      <c r="E15" s="5">
        <f t="shared" si="1"/>
        <v>2970140</v>
      </c>
      <c r="F15" s="5">
        <f t="shared" si="1"/>
        <v>1697870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1502997</v>
      </c>
      <c r="C3" s="3">
        <v>1663314</v>
      </c>
      <c r="D3" s="3">
        <v>1071716</v>
      </c>
      <c r="E3" s="3">
        <v>160317</v>
      </c>
      <c r="F3" s="3">
        <v>98191</v>
      </c>
    </row>
    <row r="4" spans="1:6" x14ac:dyDescent="0.3">
      <c r="A4" s="2" t="s">
        <v>24</v>
      </c>
      <c r="B4" s="3">
        <f t="shared" si="0"/>
        <v>275888</v>
      </c>
      <c r="C4" s="3">
        <v>618275</v>
      </c>
      <c r="D4" s="3">
        <v>397815</v>
      </c>
      <c r="E4" s="3">
        <v>342387</v>
      </c>
      <c r="F4" s="3">
        <v>200773</v>
      </c>
    </row>
    <row r="5" spans="1:6" x14ac:dyDescent="0.3">
      <c r="A5" s="2" t="s">
        <v>33</v>
      </c>
      <c r="B5" s="3">
        <f t="shared" si="0"/>
        <v>1037944</v>
      </c>
      <c r="C5" s="3">
        <v>1192836</v>
      </c>
      <c r="D5" s="3">
        <v>772842</v>
      </c>
      <c r="E5" s="3">
        <v>154892</v>
      </c>
      <c r="F5" s="3">
        <v>85820</v>
      </c>
    </row>
    <row r="6" spans="1:6" x14ac:dyDescent="0.3">
      <c r="A6" s="2" t="s">
        <v>8</v>
      </c>
      <c r="B6" s="3">
        <f t="shared" si="0"/>
        <v>732937</v>
      </c>
      <c r="C6" s="3">
        <v>1031919</v>
      </c>
      <c r="D6" s="3">
        <v>665047</v>
      </c>
      <c r="E6" s="3">
        <v>298982</v>
      </c>
      <c r="F6" s="3">
        <v>182910</v>
      </c>
    </row>
    <row r="7" spans="1:6" x14ac:dyDescent="0.3">
      <c r="A7" s="2" t="s">
        <v>9</v>
      </c>
      <c r="B7" s="3">
        <f t="shared" si="0"/>
        <v>693906</v>
      </c>
      <c r="C7" s="3">
        <v>861181</v>
      </c>
      <c r="D7" s="3">
        <v>557597</v>
      </c>
      <c r="E7" s="3">
        <v>167275</v>
      </c>
      <c r="F7" s="3">
        <v>106841</v>
      </c>
    </row>
    <row r="8" spans="1:6" x14ac:dyDescent="0.3">
      <c r="A8" s="2" t="s">
        <v>10</v>
      </c>
      <c r="B8" s="3">
        <f t="shared" si="0"/>
        <v>858477</v>
      </c>
      <c r="C8" s="3">
        <v>930367</v>
      </c>
      <c r="D8" s="3">
        <v>602703</v>
      </c>
      <c r="E8" s="3">
        <v>71890</v>
      </c>
      <c r="F8" s="3">
        <v>42222</v>
      </c>
    </row>
    <row r="9" spans="1:6" x14ac:dyDescent="0.3">
      <c r="A9" s="2" t="s">
        <v>11</v>
      </c>
      <c r="B9" s="3">
        <f t="shared" si="0"/>
        <v>1933857</v>
      </c>
      <c r="C9" s="3">
        <v>2239177</v>
      </c>
      <c r="D9" s="3">
        <v>1488569</v>
      </c>
      <c r="E9" s="3">
        <v>305320</v>
      </c>
      <c r="F9" s="3">
        <v>180004</v>
      </c>
    </row>
    <row r="10" spans="1:6" x14ac:dyDescent="0.3">
      <c r="A10" s="2" t="s">
        <v>12</v>
      </c>
      <c r="B10" s="3">
        <f t="shared" si="0"/>
        <v>176783</v>
      </c>
      <c r="C10" s="3">
        <v>362217</v>
      </c>
      <c r="D10" s="3">
        <v>214893</v>
      </c>
      <c r="E10" s="3">
        <v>185434</v>
      </c>
      <c r="F10" s="3">
        <v>113083</v>
      </c>
    </row>
    <row r="11" spans="1:6" x14ac:dyDescent="0.3">
      <c r="A11" s="2" t="s">
        <v>13</v>
      </c>
      <c r="B11" s="3">
        <f t="shared" si="0"/>
        <v>1527886</v>
      </c>
      <c r="C11" s="3">
        <v>1788748</v>
      </c>
      <c r="D11" s="3">
        <v>1166465</v>
      </c>
      <c r="E11" s="3">
        <v>260862</v>
      </c>
      <c r="F11" s="3">
        <v>152509</v>
      </c>
    </row>
    <row r="12" spans="1:6" x14ac:dyDescent="0.3">
      <c r="A12" s="2" t="s">
        <v>14</v>
      </c>
      <c r="B12" s="3">
        <f t="shared" si="0"/>
        <v>1657864</v>
      </c>
      <c r="C12" s="3">
        <v>1973784</v>
      </c>
      <c r="D12" s="3">
        <v>1191872</v>
      </c>
      <c r="E12" s="3">
        <v>315920</v>
      </c>
      <c r="F12" s="3">
        <v>193911</v>
      </c>
    </row>
    <row r="13" spans="1:6" x14ac:dyDescent="0.3">
      <c r="A13" s="2" t="s">
        <v>15</v>
      </c>
      <c r="B13" s="3">
        <f t="shared" si="0"/>
        <v>1936470</v>
      </c>
      <c r="C13" s="3">
        <v>2106510</v>
      </c>
      <c r="D13" s="3">
        <v>1289895</v>
      </c>
      <c r="E13" s="3">
        <v>170040</v>
      </c>
      <c r="F13" s="3">
        <v>101219</v>
      </c>
    </row>
    <row r="14" spans="1:6" x14ac:dyDescent="0.3">
      <c r="A14" s="2" t="s">
        <v>16</v>
      </c>
      <c r="B14" s="3">
        <f t="shared" si="0"/>
        <v>2982268</v>
      </c>
      <c r="C14" s="3">
        <v>3250009</v>
      </c>
      <c r="D14" s="3">
        <v>2125517</v>
      </c>
      <c r="E14" s="3">
        <v>267741</v>
      </c>
      <c r="F14" s="3">
        <v>161589</v>
      </c>
    </row>
    <row r="15" spans="1:6" ht="17.25" thickBot="1" x14ac:dyDescent="0.35">
      <c r="A15" s="4" t="s">
        <v>34</v>
      </c>
      <c r="B15" s="5">
        <f>SUM(B3:B14)</f>
        <v>15317277</v>
      </c>
      <c r="C15" s="5">
        <f t="shared" ref="C15:F15" si="1">SUM(C3:C14)</f>
        <v>18018337</v>
      </c>
      <c r="D15" s="5">
        <f t="shared" si="1"/>
        <v>11544931</v>
      </c>
      <c r="E15" s="5">
        <f t="shared" si="1"/>
        <v>2701060</v>
      </c>
      <c r="F15" s="5">
        <f t="shared" si="1"/>
        <v>1619072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2646895</v>
      </c>
      <c r="C3" s="3">
        <v>2912117</v>
      </c>
      <c r="D3" s="3">
        <v>1920303</v>
      </c>
      <c r="E3" s="3">
        <v>265222</v>
      </c>
      <c r="F3" s="3">
        <v>154916</v>
      </c>
    </row>
    <row r="4" spans="1:6" x14ac:dyDescent="0.3">
      <c r="A4" s="2" t="s">
        <v>24</v>
      </c>
      <c r="B4" s="3">
        <f t="shared" si="0"/>
        <v>-16474</v>
      </c>
      <c r="C4" s="3">
        <v>520956</v>
      </c>
      <c r="D4" s="3">
        <v>301017</v>
      </c>
      <c r="E4" s="3">
        <v>537430</v>
      </c>
      <c r="F4" s="3">
        <v>364329</v>
      </c>
    </row>
    <row r="5" spans="1:6" x14ac:dyDescent="0.3">
      <c r="A5" s="2" t="s">
        <v>25</v>
      </c>
      <c r="B5" s="3">
        <f t="shared" si="0"/>
        <v>1709079</v>
      </c>
      <c r="C5" s="3">
        <v>2164147</v>
      </c>
      <c r="D5" s="3">
        <v>1463976</v>
      </c>
      <c r="E5" s="3">
        <v>455068</v>
      </c>
      <c r="F5" s="3">
        <v>320803</v>
      </c>
    </row>
    <row r="6" spans="1:6" x14ac:dyDescent="0.3">
      <c r="A6" s="2" t="s">
        <v>8</v>
      </c>
      <c r="B6" s="3">
        <f t="shared" si="0"/>
        <v>241853</v>
      </c>
      <c r="C6" s="3">
        <v>540247</v>
      </c>
      <c r="D6" s="3">
        <v>306838</v>
      </c>
      <c r="E6" s="3">
        <v>298394</v>
      </c>
      <c r="F6" s="3">
        <v>174538</v>
      </c>
    </row>
    <row r="7" spans="1:6" x14ac:dyDescent="0.3">
      <c r="A7" s="2" t="s">
        <v>9</v>
      </c>
      <c r="B7" s="3">
        <f t="shared" si="0"/>
        <v>223185</v>
      </c>
      <c r="C7" s="3">
        <v>399704</v>
      </c>
      <c r="D7" s="3">
        <v>230071</v>
      </c>
      <c r="E7" s="3">
        <v>176519</v>
      </c>
      <c r="F7" s="3">
        <v>138008</v>
      </c>
    </row>
    <row r="8" spans="1:6" x14ac:dyDescent="0.3">
      <c r="A8" s="2" t="s">
        <v>10</v>
      </c>
      <c r="B8" s="3">
        <f t="shared" si="0"/>
        <v>479123</v>
      </c>
      <c r="C8" s="3">
        <v>601390</v>
      </c>
      <c r="D8" s="3">
        <v>322666</v>
      </c>
      <c r="E8" s="3">
        <v>122267</v>
      </c>
      <c r="F8" s="3">
        <v>73128</v>
      </c>
    </row>
    <row r="9" spans="1:6" x14ac:dyDescent="0.3">
      <c r="A9" s="2" t="s">
        <v>11</v>
      </c>
      <c r="B9" s="3">
        <f t="shared" si="0"/>
        <v>808886</v>
      </c>
      <c r="C9" s="3">
        <v>997743</v>
      </c>
      <c r="D9" s="3">
        <v>654372</v>
      </c>
      <c r="E9" s="3">
        <v>188857</v>
      </c>
      <c r="F9" s="3">
        <v>119261</v>
      </c>
    </row>
    <row r="10" spans="1:6" x14ac:dyDescent="0.3">
      <c r="A10" s="2" t="s">
        <v>12</v>
      </c>
      <c r="B10" s="3">
        <f t="shared" si="0"/>
        <v>349240</v>
      </c>
      <c r="C10" s="3">
        <v>601876</v>
      </c>
      <c r="D10" s="3">
        <v>427920</v>
      </c>
      <c r="E10" s="3">
        <v>252636</v>
      </c>
      <c r="F10" s="3">
        <v>123014</v>
      </c>
    </row>
    <row r="11" spans="1:6" x14ac:dyDescent="0.3">
      <c r="A11" s="2" t="s">
        <v>13</v>
      </c>
      <c r="B11" s="3">
        <f t="shared" si="0"/>
        <v>845802</v>
      </c>
      <c r="C11" s="3">
        <v>1139019</v>
      </c>
      <c r="D11" s="3">
        <v>795695</v>
      </c>
      <c r="E11" s="3">
        <v>293217</v>
      </c>
      <c r="F11" s="3">
        <v>201794</v>
      </c>
    </row>
    <row r="12" spans="1:6" x14ac:dyDescent="0.3">
      <c r="A12" s="2" t="s">
        <v>14</v>
      </c>
      <c r="B12" s="3">
        <f t="shared" si="0"/>
        <v>-1108859</v>
      </c>
      <c r="C12" s="3">
        <v>301407</v>
      </c>
      <c r="D12" s="3">
        <v>161964</v>
      </c>
      <c r="E12" s="3">
        <v>1410266</v>
      </c>
      <c r="F12" s="3">
        <v>1195591</v>
      </c>
    </row>
    <row r="13" spans="1:6" x14ac:dyDescent="0.3">
      <c r="A13" s="2" t="s">
        <v>15</v>
      </c>
      <c r="B13" s="3">
        <f t="shared" si="0"/>
        <v>1068332</v>
      </c>
      <c r="C13" s="3">
        <v>1439939</v>
      </c>
      <c r="D13" s="3">
        <v>964399</v>
      </c>
      <c r="E13" s="3">
        <v>371607</v>
      </c>
      <c r="F13" s="3">
        <v>277113</v>
      </c>
    </row>
    <row r="14" spans="1:6" x14ac:dyDescent="0.3">
      <c r="A14" s="2" t="s">
        <v>16</v>
      </c>
      <c r="B14" s="3">
        <f t="shared" si="0"/>
        <v>8445</v>
      </c>
      <c r="C14" s="3">
        <v>207861</v>
      </c>
      <c r="D14" s="3">
        <v>114254</v>
      </c>
      <c r="E14" s="3">
        <v>199416</v>
      </c>
      <c r="F14" s="3">
        <v>121101</v>
      </c>
    </row>
    <row r="15" spans="1:6" ht="17.25" thickBot="1" x14ac:dyDescent="0.35">
      <c r="A15" s="4" t="s">
        <v>26</v>
      </c>
      <c r="B15" s="5">
        <f>SUM(B3:B14)</f>
        <v>7255507</v>
      </c>
      <c r="C15" s="5">
        <f t="shared" ref="C15:F15" si="1">SUM(C3:C14)</f>
        <v>11826406</v>
      </c>
      <c r="D15" s="5">
        <f t="shared" si="1"/>
        <v>7663475</v>
      </c>
      <c r="E15" s="5">
        <f t="shared" si="1"/>
        <v>4570899</v>
      </c>
      <c r="F15" s="5">
        <f t="shared" si="1"/>
        <v>3263596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35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37</v>
      </c>
      <c r="B3" s="3">
        <f t="shared" ref="B3:B14" si="0">C3-E3</f>
        <v>-778797</v>
      </c>
      <c r="C3" s="3">
        <v>195531</v>
      </c>
      <c r="D3" s="3">
        <v>127237</v>
      </c>
      <c r="E3" s="3">
        <v>974328</v>
      </c>
      <c r="F3" s="3">
        <v>816447</v>
      </c>
    </row>
    <row r="4" spans="1:6" x14ac:dyDescent="0.3">
      <c r="A4" s="2" t="s">
        <v>38</v>
      </c>
      <c r="B4" s="3">
        <f t="shared" si="0"/>
        <v>-253027</v>
      </c>
      <c r="C4" s="3">
        <v>547021</v>
      </c>
      <c r="D4" s="3">
        <v>392646</v>
      </c>
      <c r="E4" s="3">
        <v>800048</v>
      </c>
      <c r="F4" s="3">
        <v>612815</v>
      </c>
    </row>
    <row r="5" spans="1:6" x14ac:dyDescent="0.3">
      <c r="A5" s="2" t="s">
        <v>33</v>
      </c>
      <c r="B5" s="3">
        <f t="shared" si="0"/>
        <v>752825</v>
      </c>
      <c r="C5" s="3">
        <v>1024081</v>
      </c>
      <c r="D5" s="3">
        <v>671781</v>
      </c>
      <c r="E5" s="3">
        <v>271256</v>
      </c>
      <c r="F5" s="3">
        <v>199450</v>
      </c>
    </row>
    <row r="6" spans="1:6" x14ac:dyDescent="0.3">
      <c r="A6" s="2" t="s">
        <v>8</v>
      </c>
      <c r="B6" s="3">
        <f t="shared" si="0"/>
        <v>171688</v>
      </c>
      <c r="C6" s="3">
        <v>489040</v>
      </c>
      <c r="D6" s="3">
        <v>319965</v>
      </c>
      <c r="E6" s="3">
        <v>317352</v>
      </c>
      <c r="F6" s="3">
        <v>219050</v>
      </c>
    </row>
    <row r="7" spans="1:6" x14ac:dyDescent="0.3">
      <c r="A7" s="2" t="s">
        <v>9</v>
      </c>
      <c r="B7" s="3">
        <f t="shared" si="0"/>
        <v>-17361</v>
      </c>
      <c r="C7" s="3">
        <v>218217</v>
      </c>
      <c r="D7" s="3">
        <v>142701</v>
      </c>
      <c r="E7" s="3">
        <v>235578</v>
      </c>
      <c r="F7" s="3">
        <v>168231</v>
      </c>
    </row>
    <row r="8" spans="1:6" x14ac:dyDescent="0.3">
      <c r="A8" s="2" t="s">
        <v>10</v>
      </c>
      <c r="B8" s="3">
        <f t="shared" si="0"/>
        <v>-230616</v>
      </c>
      <c r="C8" s="3">
        <v>246805</v>
      </c>
      <c r="D8" s="3">
        <v>162275</v>
      </c>
      <c r="E8" s="3">
        <v>477421</v>
      </c>
      <c r="F8" s="3">
        <v>303678</v>
      </c>
    </row>
    <row r="9" spans="1:6" x14ac:dyDescent="0.3">
      <c r="A9" s="2" t="s">
        <v>11</v>
      </c>
      <c r="B9" s="3">
        <f t="shared" si="0"/>
        <v>-392524</v>
      </c>
      <c r="C9" s="3">
        <v>95929</v>
      </c>
      <c r="D9" s="3">
        <v>44136</v>
      </c>
      <c r="E9" s="3">
        <v>488453</v>
      </c>
      <c r="F9" s="3">
        <v>281103</v>
      </c>
    </row>
    <row r="10" spans="1:6" x14ac:dyDescent="0.3">
      <c r="A10" s="2" t="s">
        <v>12</v>
      </c>
      <c r="B10" s="3">
        <f t="shared" si="0"/>
        <v>283909</v>
      </c>
      <c r="C10" s="3">
        <v>480462</v>
      </c>
      <c r="D10" s="3">
        <v>302718</v>
      </c>
      <c r="E10" s="3">
        <v>196553</v>
      </c>
      <c r="F10" s="3">
        <v>125831</v>
      </c>
    </row>
    <row r="11" spans="1:6" x14ac:dyDescent="0.3">
      <c r="A11" s="2" t="s">
        <v>13</v>
      </c>
      <c r="B11" s="3">
        <f t="shared" si="0"/>
        <v>72499</v>
      </c>
      <c r="C11" s="3">
        <v>435218</v>
      </c>
      <c r="D11" s="3">
        <v>272879</v>
      </c>
      <c r="E11" s="3">
        <v>362719</v>
      </c>
      <c r="F11" s="3">
        <v>187800</v>
      </c>
    </row>
    <row r="12" spans="1:6" x14ac:dyDescent="0.3">
      <c r="A12" s="2" t="s">
        <v>14</v>
      </c>
      <c r="B12" s="3">
        <f t="shared" si="0"/>
        <v>-97593</v>
      </c>
      <c r="C12" s="3">
        <v>297198</v>
      </c>
      <c r="D12" s="3">
        <v>191506</v>
      </c>
      <c r="E12" s="3">
        <v>394791</v>
      </c>
      <c r="F12" s="3">
        <v>285041</v>
      </c>
    </row>
    <row r="13" spans="1:6" x14ac:dyDescent="0.3">
      <c r="A13" s="2" t="s">
        <v>15</v>
      </c>
      <c r="B13" s="3">
        <f t="shared" si="0"/>
        <v>789050</v>
      </c>
      <c r="C13" s="3">
        <v>915090</v>
      </c>
      <c r="D13" s="3">
        <v>637757</v>
      </c>
      <c r="E13" s="3">
        <v>126040</v>
      </c>
      <c r="F13" s="3">
        <v>92008</v>
      </c>
    </row>
    <row r="14" spans="1:6" x14ac:dyDescent="0.3">
      <c r="A14" s="2" t="s">
        <v>16</v>
      </c>
      <c r="B14" s="3">
        <f t="shared" si="0"/>
        <v>82236</v>
      </c>
      <c r="C14" s="3">
        <v>396521</v>
      </c>
      <c r="D14" s="3">
        <v>156675</v>
      </c>
      <c r="E14" s="3">
        <v>314285</v>
      </c>
      <c r="F14" s="3">
        <v>219132</v>
      </c>
    </row>
    <row r="15" spans="1:6" ht="17.25" thickBot="1" x14ac:dyDescent="0.35">
      <c r="A15" s="4" t="s">
        <v>40</v>
      </c>
      <c r="B15" s="5">
        <f>SUM(B3:B14)</f>
        <v>382289</v>
      </c>
      <c r="C15" s="5">
        <f t="shared" ref="C15:F15" si="1">SUM(C3:C14)</f>
        <v>5341113</v>
      </c>
      <c r="D15" s="5">
        <f t="shared" si="1"/>
        <v>3422276</v>
      </c>
      <c r="E15" s="5">
        <f t="shared" si="1"/>
        <v>4958824</v>
      </c>
      <c r="F15" s="5">
        <f t="shared" si="1"/>
        <v>3510586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73079</v>
      </c>
      <c r="C3" s="3">
        <v>447434</v>
      </c>
      <c r="D3" s="3">
        <v>339545</v>
      </c>
      <c r="E3" s="3">
        <v>374355</v>
      </c>
      <c r="F3" s="3">
        <v>247938</v>
      </c>
    </row>
    <row r="4" spans="1:6" x14ac:dyDescent="0.3">
      <c r="A4" s="2" t="s">
        <v>6</v>
      </c>
      <c r="B4" s="3">
        <f t="shared" si="0"/>
        <v>-300993</v>
      </c>
      <c r="C4" s="3">
        <v>145487</v>
      </c>
      <c r="D4" s="3">
        <v>67053</v>
      </c>
      <c r="E4" s="3">
        <v>446480</v>
      </c>
      <c r="F4" s="3">
        <v>326003</v>
      </c>
    </row>
    <row r="5" spans="1:6" x14ac:dyDescent="0.3">
      <c r="A5" s="2" t="s">
        <v>7</v>
      </c>
      <c r="B5" s="3">
        <f t="shared" si="0"/>
        <v>179146</v>
      </c>
      <c r="C5" s="3">
        <v>368844</v>
      </c>
      <c r="D5" s="3">
        <v>235096</v>
      </c>
      <c r="E5" s="3">
        <v>189698</v>
      </c>
      <c r="F5" s="3">
        <v>142846</v>
      </c>
    </row>
    <row r="6" spans="1:6" x14ac:dyDescent="0.3">
      <c r="A6" s="2" t="s">
        <v>8</v>
      </c>
      <c r="B6" s="3">
        <f t="shared" si="0"/>
        <v>-141196</v>
      </c>
      <c r="C6" s="3">
        <v>264312</v>
      </c>
      <c r="D6" s="3">
        <v>170111</v>
      </c>
      <c r="E6" s="3">
        <v>405508</v>
      </c>
      <c r="F6" s="3">
        <v>312954</v>
      </c>
    </row>
    <row r="7" spans="1:6" x14ac:dyDescent="0.3">
      <c r="A7" s="2" t="s">
        <v>9</v>
      </c>
      <c r="B7" s="3">
        <f t="shared" si="0"/>
        <v>-52885</v>
      </c>
      <c r="C7" s="3">
        <v>399307</v>
      </c>
      <c r="D7" s="3">
        <v>283272</v>
      </c>
      <c r="E7" s="3">
        <v>452192</v>
      </c>
      <c r="F7" s="3">
        <v>310991</v>
      </c>
    </row>
    <row r="8" spans="1:6" x14ac:dyDescent="0.3">
      <c r="A8" s="2" t="s">
        <v>10</v>
      </c>
      <c r="B8" s="3">
        <f t="shared" si="0"/>
        <v>314812</v>
      </c>
      <c r="C8" s="3">
        <v>593129</v>
      </c>
      <c r="D8" s="3">
        <v>521538</v>
      </c>
      <c r="E8" s="3">
        <v>278317</v>
      </c>
      <c r="F8" s="3">
        <v>218662</v>
      </c>
    </row>
    <row r="9" spans="1:6" x14ac:dyDescent="0.3">
      <c r="A9" s="2" t="s">
        <v>11</v>
      </c>
      <c r="B9" s="3">
        <f>C9-E9</f>
        <v>224762</v>
      </c>
      <c r="C9" s="3">
        <v>558614</v>
      </c>
      <c r="D9" s="3">
        <v>411324</v>
      </c>
      <c r="E9" s="3">
        <v>333852</v>
      </c>
      <c r="F9" s="3">
        <v>261888</v>
      </c>
    </row>
    <row r="10" spans="1:6" x14ac:dyDescent="0.3">
      <c r="A10" s="2" t="s">
        <v>12</v>
      </c>
      <c r="B10" s="3">
        <f t="shared" ref="B10:B14" si="1">C10-E10</f>
        <v>68641</v>
      </c>
      <c r="C10" s="3">
        <v>351036</v>
      </c>
      <c r="D10" s="3">
        <v>294765</v>
      </c>
      <c r="E10" s="3">
        <v>282395</v>
      </c>
      <c r="F10" s="3">
        <v>202847</v>
      </c>
    </row>
    <row r="11" spans="1:6" x14ac:dyDescent="0.3">
      <c r="A11" s="2" t="s">
        <v>13</v>
      </c>
      <c r="B11" s="3">
        <f t="shared" si="1"/>
        <v>42422</v>
      </c>
      <c r="C11" s="3">
        <v>319900</v>
      </c>
      <c r="D11" s="3">
        <v>244127</v>
      </c>
      <c r="E11" s="3">
        <v>277478</v>
      </c>
      <c r="F11" s="3">
        <v>215509</v>
      </c>
    </row>
    <row r="12" spans="1:6" x14ac:dyDescent="0.3">
      <c r="A12" s="2" t="s">
        <v>14</v>
      </c>
      <c r="B12" s="3">
        <f t="shared" si="1"/>
        <v>33343</v>
      </c>
      <c r="C12" s="3">
        <v>570984</v>
      </c>
      <c r="D12" s="3">
        <v>503205</v>
      </c>
      <c r="E12" s="3">
        <v>537641</v>
      </c>
      <c r="F12" s="3">
        <v>313915</v>
      </c>
    </row>
    <row r="13" spans="1:6" x14ac:dyDescent="0.3">
      <c r="A13" s="2" t="s">
        <v>15</v>
      </c>
      <c r="B13" s="3">
        <f t="shared" si="1"/>
        <v>-83639</v>
      </c>
      <c r="C13" s="3">
        <v>248078</v>
      </c>
      <c r="D13" s="3">
        <v>212343</v>
      </c>
      <c r="E13" s="3">
        <v>331717</v>
      </c>
      <c r="F13" s="3">
        <v>216909</v>
      </c>
    </row>
    <row r="14" spans="1:6" x14ac:dyDescent="0.3">
      <c r="A14" s="2" t="s">
        <v>16</v>
      </c>
      <c r="B14" s="3">
        <f t="shared" si="1"/>
        <v>-156338</v>
      </c>
      <c r="C14" s="3">
        <v>148208</v>
      </c>
      <c r="D14" s="3">
        <v>113212</v>
      </c>
      <c r="E14" s="3">
        <v>304546</v>
      </c>
      <c r="F14" s="3">
        <v>266338</v>
      </c>
    </row>
    <row r="15" spans="1:6" ht="17.25" thickBot="1" x14ac:dyDescent="0.35">
      <c r="A15" s="4" t="s">
        <v>17</v>
      </c>
      <c r="B15" s="5">
        <f>SUM(B3:B14)</f>
        <v>201154</v>
      </c>
      <c r="C15" s="5">
        <f t="shared" ref="C15:F15" si="2">SUM(C3:C14)</f>
        <v>4415333</v>
      </c>
      <c r="D15" s="5">
        <f t="shared" si="2"/>
        <v>3395591</v>
      </c>
      <c r="E15" s="5">
        <f t="shared" si="2"/>
        <v>4214179</v>
      </c>
      <c r="F15" s="5">
        <f t="shared" si="2"/>
        <v>3036800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-218130</v>
      </c>
      <c r="C3" s="3">
        <v>103176</v>
      </c>
      <c r="D3" s="3">
        <v>65957</v>
      </c>
      <c r="E3" s="3">
        <v>321306</v>
      </c>
      <c r="F3" s="3">
        <v>273640</v>
      </c>
    </row>
    <row r="4" spans="1:6" x14ac:dyDescent="0.3">
      <c r="A4" s="2" t="s">
        <v>24</v>
      </c>
      <c r="B4" s="3">
        <f t="shared" ref="B4:B14" si="0">C4-E4</f>
        <v>-275645</v>
      </c>
      <c r="C4" s="3">
        <v>267656</v>
      </c>
      <c r="D4" s="3">
        <v>242764</v>
      </c>
      <c r="E4" s="3">
        <v>543301</v>
      </c>
      <c r="F4" s="3">
        <v>372979</v>
      </c>
    </row>
    <row r="5" spans="1:6" x14ac:dyDescent="0.3">
      <c r="A5" s="2" t="s">
        <v>25</v>
      </c>
      <c r="B5" s="3">
        <f t="shared" si="0"/>
        <v>152459</v>
      </c>
      <c r="C5" s="3">
        <v>434891</v>
      </c>
      <c r="D5" s="3">
        <v>427667</v>
      </c>
      <c r="E5" s="3">
        <v>282432</v>
      </c>
      <c r="F5" s="3">
        <v>256288</v>
      </c>
    </row>
    <row r="6" spans="1:6" x14ac:dyDescent="0.3">
      <c r="A6" s="2" t="s">
        <v>8</v>
      </c>
      <c r="B6" s="3">
        <f t="shared" si="0"/>
        <v>265388</v>
      </c>
      <c r="C6" s="3">
        <v>504128</v>
      </c>
      <c r="D6" s="3">
        <v>471222</v>
      </c>
      <c r="E6" s="3">
        <v>238740</v>
      </c>
      <c r="F6" s="3">
        <v>203627</v>
      </c>
    </row>
    <row r="7" spans="1:6" x14ac:dyDescent="0.3">
      <c r="A7" s="2" t="s">
        <v>9</v>
      </c>
      <c r="B7" s="3">
        <f t="shared" si="0"/>
        <v>-151198</v>
      </c>
      <c r="C7" s="3">
        <v>197505</v>
      </c>
      <c r="D7" s="3">
        <v>131600</v>
      </c>
      <c r="E7" s="3">
        <v>348703</v>
      </c>
      <c r="F7" s="3">
        <v>302657</v>
      </c>
    </row>
    <row r="8" spans="1:6" x14ac:dyDescent="0.3">
      <c r="A8" s="2" t="s">
        <v>10</v>
      </c>
      <c r="B8" s="3">
        <f t="shared" si="0"/>
        <v>98015</v>
      </c>
      <c r="C8" s="3">
        <v>295697</v>
      </c>
      <c r="D8" s="3">
        <v>267122</v>
      </c>
      <c r="E8" s="3">
        <v>197682</v>
      </c>
      <c r="F8" s="3">
        <v>176467</v>
      </c>
    </row>
    <row r="9" spans="1:6" x14ac:dyDescent="0.3">
      <c r="A9" s="2" t="s">
        <v>11</v>
      </c>
      <c r="B9" s="3">
        <f t="shared" si="0"/>
        <v>-218969</v>
      </c>
      <c r="C9" s="3">
        <v>142443</v>
      </c>
      <c r="D9" s="3">
        <v>102230</v>
      </c>
      <c r="E9" s="3">
        <v>361412</v>
      </c>
      <c r="F9" s="3">
        <v>258442</v>
      </c>
    </row>
    <row r="10" spans="1:6" x14ac:dyDescent="0.3">
      <c r="A10" s="2" t="s">
        <v>12</v>
      </c>
      <c r="B10" s="3">
        <f t="shared" si="0"/>
        <v>-223967</v>
      </c>
      <c r="C10" s="3">
        <v>166665</v>
      </c>
      <c r="D10" s="3">
        <v>124253</v>
      </c>
      <c r="E10" s="3">
        <v>390632</v>
      </c>
      <c r="F10" s="3">
        <v>264279</v>
      </c>
    </row>
    <row r="11" spans="1:6" x14ac:dyDescent="0.3">
      <c r="A11" s="2" t="s">
        <v>13</v>
      </c>
      <c r="B11" s="3">
        <f t="shared" si="0"/>
        <v>43758</v>
      </c>
      <c r="C11" s="3">
        <v>524292</v>
      </c>
      <c r="D11" s="3">
        <v>491299</v>
      </c>
      <c r="E11" s="3">
        <v>480534</v>
      </c>
      <c r="F11" s="3">
        <v>299236</v>
      </c>
    </row>
    <row r="12" spans="1:6" x14ac:dyDescent="0.3">
      <c r="A12" s="2" t="s">
        <v>14</v>
      </c>
      <c r="B12" s="3">
        <f t="shared" si="0"/>
        <v>-40501</v>
      </c>
      <c r="C12" s="3">
        <v>289424</v>
      </c>
      <c r="D12" s="3">
        <v>240363</v>
      </c>
      <c r="E12" s="3">
        <v>329925</v>
      </c>
      <c r="F12" s="3">
        <v>261801</v>
      </c>
    </row>
    <row r="13" spans="1:6" x14ac:dyDescent="0.3">
      <c r="A13" s="2" t="s">
        <v>15</v>
      </c>
      <c r="B13" s="3">
        <f t="shared" si="0"/>
        <v>-49108</v>
      </c>
      <c r="C13" s="3">
        <v>183020</v>
      </c>
      <c r="D13" s="3">
        <v>146944</v>
      </c>
      <c r="E13" s="3">
        <v>232128</v>
      </c>
      <c r="F13" s="3">
        <v>188027</v>
      </c>
    </row>
    <row r="14" spans="1:6" x14ac:dyDescent="0.3">
      <c r="A14" s="2" t="s">
        <v>16</v>
      </c>
      <c r="B14" s="3">
        <f t="shared" si="0"/>
        <v>-266694</v>
      </c>
      <c r="C14" s="3">
        <v>92319</v>
      </c>
      <c r="D14" s="3">
        <v>68757</v>
      </c>
      <c r="E14" s="3">
        <v>359013</v>
      </c>
      <c r="F14" s="3">
        <v>256868</v>
      </c>
    </row>
    <row r="15" spans="1:6" ht="17.25" thickBot="1" x14ac:dyDescent="0.35">
      <c r="A15" s="4" t="s">
        <v>26</v>
      </c>
      <c r="B15" s="5">
        <f>SUM(B3:B14)</f>
        <v>-884592</v>
      </c>
      <c r="C15" s="5">
        <f t="shared" ref="C15:F15" si="1">SUM(C3:C14)</f>
        <v>3201216</v>
      </c>
      <c r="D15" s="5">
        <f t="shared" si="1"/>
        <v>2780178</v>
      </c>
      <c r="E15" s="5">
        <f t="shared" si="1"/>
        <v>4085808</v>
      </c>
      <c r="F15" s="5">
        <f t="shared" si="1"/>
        <v>3114311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8" si="0">C3-E3</f>
        <v>-140291</v>
      </c>
      <c r="C3" s="3">
        <v>279587</v>
      </c>
      <c r="D3" s="3">
        <v>259408</v>
      </c>
      <c r="E3" s="3">
        <v>419878</v>
      </c>
      <c r="F3" s="3">
        <v>316468</v>
      </c>
    </row>
    <row r="4" spans="1:6" x14ac:dyDescent="0.3">
      <c r="A4" s="2" t="s">
        <v>6</v>
      </c>
      <c r="B4" s="3">
        <f t="shared" si="0"/>
        <v>-4130</v>
      </c>
      <c r="C4" s="3">
        <v>271996</v>
      </c>
      <c r="D4" s="3">
        <v>221695</v>
      </c>
      <c r="E4" s="3">
        <v>276126</v>
      </c>
      <c r="F4" s="3">
        <v>220239</v>
      </c>
    </row>
    <row r="5" spans="1:6" x14ac:dyDescent="0.3">
      <c r="A5" s="2" t="s">
        <v>7</v>
      </c>
      <c r="B5" s="3">
        <f t="shared" si="0"/>
        <v>-40992</v>
      </c>
      <c r="C5" s="3">
        <v>196376</v>
      </c>
      <c r="D5" s="3">
        <v>147386</v>
      </c>
      <c r="E5" s="3">
        <v>237368</v>
      </c>
      <c r="F5" s="3">
        <v>180455</v>
      </c>
    </row>
    <row r="6" spans="1:6" x14ac:dyDescent="0.3">
      <c r="A6" s="2" t="s">
        <v>8</v>
      </c>
      <c r="B6" s="3">
        <f t="shared" si="0"/>
        <v>-312764</v>
      </c>
      <c r="C6" s="3">
        <v>178967</v>
      </c>
      <c r="D6" s="3">
        <v>131063</v>
      </c>
      <c r="E6" s="3">
        <v>491731</v>
      </c>
      <c r="F6" s="3">
        <v>408789</v>
      </c>
    </row>
    <row r="7" spans="1:6" x14ac:dyDescent="0.3">
      <c r="A7" s="2" t="s">
        <v>9</v>
      </c>
      <c r="B7" s="3">
        <f t="shared" si="0"/>
        <v>-421004</v>
      </c>
      <c r="C7" s="3">
        <v>193851</v>
      </c>
      <c r="D7" s="3">
        <v>142838</v>
      </c>
      <c r="E7" s="3">
        <v>614855</v>
      </c>
      <c r="F7" s="3">
        <v>462607</v>
      </c>
    </row>
    <row r="8" spans="1:6" x14ac:dyDescent="0.3">
      <c r="A8" s="2" t="s">
        <v>10</v>
      </c>
      <c r="B8" s="3">
        <f t="shared" si="0"/>
        <v>-577108</v>
      </c>
      <c r="C8" s="3">
        <v>177767</v>
      </c>
      <c r="D8" s="3">
        <v>125679</v>
      </c>
      <c r="E8" s="3">
        <v>754875</v>
      </c>
      <c r="F8" s="3">
        <v>777962</v>
      </c>
    </row>
    <row r="9" spans="1:6" x14ac:dyDescent="0.3">
      <c r="A9" s="2" t="s">
        <v>11</v>
      </c>
      <c r="B9" s="3">
        <f>C9-E9</f>
        <v>-779606</v>
      </c>
      <c r="C9" s="3">
        <v>253158</v>
      </c>
      <c r="D9" s="3">
        <v>186427</v>
      </c>
      <c r="E9" s="3">
        <v>1032764</v>
      </c>
      <c r="F9" s="3">
        <v>1013739</v>
      </c>
    </row>
    <row r="10" spans="1:6" x14ac:dyDescent="0.3">
      <c r="A10" s="2" t="s">
        <v>12</v>
      </c>
      <c r="B10" s="3">
        <f t="shared" ref="B10:B14" si="1">C10-E10</f>
        <v>-201949</v>
      </c>
      <c r="C10" s="3">
        <v>255491</v>
      </c>
      <c r="D10" s="3">
        <v>199085</v>
      </c>
      <c r="E10" s="3">
        <v>457440</v>
      </c>
      <c r="F10" s="3">
        <v>446341</v>
      </c>
    </row>
    <row r="11" spans="1:6" x14ac:dyDescent="0.3">
      <c r="A11" s="2" t="s">
        <v>13</v>
      </c>
      <c r="B11" s="3">
        <f t="shared" si="1"/>
        <v>-1673287</v>
      </c>
      <c r="C11" s="3">
        <v>123556</v>
      </c>
      <c r="D11" s="3">
        <v>90810</v>
      </c>
      <c r="E11" s="3">
        <v>1796843</v>
      </c>
      <c r="F11" s="3">
        <v>1579924</v>
      </c>
    </row>
    <row r="12" spans="1:6" x14ac:dyDescent="0.3">
      <c r="A12" s="2" t="s">
        <v>14</v>
      </c>
      <c r="B12" s="3">
        <f t="shared" si="1"/>
        <v>-478538</v>
      </c>
      <c r="C12" s="3">
        <v>319469</v>
      </c>
      <c r="D12" s="3">
        <v>278652</v>
      </c>
      <c r="E12" s="3">
        <v>798007</v>
      </c>
      <c r="F12" s="3">
        <v>845057</v>
      </c>
    </row>
    <row r="13" spans="1:6" x14ac:dyDescent="0.3">
      <c r="A13" s="2" t="s">
        <v>15</v>
      </c>
      <c r="B13" s="3">
        <f t="shared" si="1"/>
        <v>-911172</v>
      </c>
      <c r="C13" s="3">
        <v>325845</v>
      </c>
      <c r="D13" s="3">
        <v>279494</v>
      </c>
      <c r="E13" s="3">
        <v>1237017</v>
      </c>
      <c r="F13" s="3">
        <v>1262262</v>
      </c>
    </row>
    <row r="14" spans="1:6" x14ac:dyDescent="0.3">
      <c r="A14" s="2" t="s">
        <v>16</v>
      </c>
      <c r="B14" s="3">
        <f t="shared" si="1"/>
        <v>-344372</v>
      </c>
      <c r="C14" s="3">
        <v>69442</v>
      </c>
      <c r="D14" s="3">
        <v>46012</v>
      </c>
      <c r="E14" s="3">
        <v>413814</v>
      </c>
      <c r="F14" s="3">
        <v>250703</v>
      </c>
    </row>
    <row r="15" spans="1:6" ht="17.25" thickBot="1" x14ac:dyDescent="0.35">
      <c r="A15" s="4" t="s">
        <v>17</v>
      </c>
      <c r="B15" s="5">
        <f>SUM(B3:B14)</f>
        <v>-5885213</v>
      </c>
      <c r="C15" s="5">
        <f t="shared" ref="C15:F15" si="2">SUM(C3:C14)</f>
        <v>2645505</v>
      </c>
      <c r="D15" s="5">
        <f t="shared" si="2"/>
        <v>2108549</v>
      </c>
      <c r="E15" s="5">
        <f t="shared" si="2"/>
        <v>8530718</v>
      </c>
      <c r="F15" s="5">
        <f t="shared" si="2"/>
        <v>7764546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-410724</v>
      </c>
      <c r="C3" s="3">
        <v>80847</v>
      </c>
      <c r="D3" s="3">
        <v>53156</v>
      </c>
      <c r="E3" s="3">
        <v>491571</v>
      </c>
      <c r="F3" s="3">
        <v>463437</v>
      </c>
    </row>
    <row r="4" spans="1:6" x14ac:dyDescent="0.3">
      <c r="A4" s="2" t="s">
        <v>24</v>
      </c>
      <c r="B4" s="3">
        <f t="shared" ref="B4:B14" si="0">C4-E4</f>
        <v>-881084</v>
      </c>
      <c r="C4" s="3">
        <v>113203</v>
      </c>
      <c r="D4" s="3">
        <v>84275</v>
      </c>
      <c r="E4" s="3">
        <v>994287</v>
      </c>
      <c r="F4" s="3">
        <v>999283</v>
      </c>
    </row>
    <row r="5" spans="1:6" x14ac:dyDescent="0.3">
      <c r="A5" s="2" t="s">
        <v>25</v>
      </c>
      <c r="B5" s="3">
        <f t="shared" si="0"/>
        <v>-1029850</v>
      </c>
      <c r="C5" s="3">
        <v>165095</v>
      </c>
      <c r="D5" s="3">
        <v>112533</v>
      </c>
      <c r="E5" s="3">
        <v>1194945</v>
      </c>
      <c r="F5" s="3">
        <v>1124891</v>
      </c>
    </row>
    <row r="6" spans="1:6" x14ac:dyDescent="0.3">
      <c r="A6" s="2" t="s">
        <v>8</v>
      </c>
      <c r="B6" s="3">
        <f t="shared" si="0"/>
        <v>-799513</v>
      </c>
      <c r="C6" s="3">
        <v>248664</v>
      </c>
      <c r="D6" s="3">
        <v>180626</v>
      </c>
      <c r="E6" s="3">
        <v>1048177</v>
      </c>
      <c r="F6" s="3">
        <v>1056041</v>
      </c>
    </row>
    <row r="7" spans="1:6" x14ac:dyDescent="0.3">
      <c r="A7" s="2" t="s">
        <v>9</v>
      </c>
      <c r="B7" s="3">
        <f t="shared" si="0"/>
        <v>-994409</v>
      </c>
      <c r="C7" s="3">
        <v>138451</v>
      </c>
      <c r="D7" s="3">
        <v>103161</v>
      </c>
      <c r="E7" s="3">
        <v>1132860</v>
      </c>
      <c r="F7" s="3">
        <v>1120501</v>
      </c>
    </row>
    <row r="8" spans="1:6" x14ac:dyDescent="0.3">
      <c r="A8" s="2" t="s">
        <v>10</v>
      </c>
      <c r="B8" s="3">
        <f t="shared" si="0"/>
        <v>-1196313</v>
      </c>
      <c r="C8" s="3">
        <v>113637</v>
      </c>
      <c r="D8" s="3">
        <v>78331</v>
      </c>
      <c r="E8" s="3">
        <v>1309950</v>
      </c>
      <c r="F8" s="3">
        <v>1328694</v>
      </c>
    </row>
    <row r="9" spans="1:6" x14ac:dyDescent="0.3">
      <c r="A9" s="2" t="s">
        <v>11</v>
      </c>
      <c r="B9" s="3">
        <f t="shared" si="0"/>
        <v>-1129859</v>
      </c>
      <c r="C9" s="3">
        <v>145058</v>
      </c>
      <c r="D9" s="3">
        <v>108902</v>
      </c>
      <c r="E9" s="3">
        <v>1274917</v>
      </c>
      <c r="F9" s="3">
        <v>1247155</v>
      </c>
    </row>
    <row r="10" spans="1:6" x14ac:dyDescent="0.3">
      <c r="A10" s="2" t="s">
        <v>12</v>
      </c>
      <c r="B10" s="3">
        <f t="shared" si="0"/>
        <v>-845750</v>
      </c>
      <c r="C10" s="3">
        <v>148015</v>
      </c>
      <c r="D10" s="3">
        <v>89563</v>
      </c>
      <c r="E10" s="3">
        <v>993765</v>
      </c>
      <c r="F10" s="3">
        <v>1035012</v>
      </c>
    </row>
    <row r="11" spans="1:6" x14ac:dyDescent="0.3">
      <c r="A11" s="2" t="s">
        <v>13</v>
      </c>
      <c r="B11" s="3">
        <f t="shared" si="0"/>
        <v>-926733</v>
      </c>
      <c r="C11" s="3">
        <v>103050</v>
      </c>
      <c r="D11" s="3">
        <v>76114</v>
      </c>
      <c r="E11" s="3">
        <v>1029783</v>
      </c>
      <c r="F11" s="3">
        <v>959621</v>
      </c>
    </row>
    <row r="12" spans="1:6" x14ac:dyDescent="0.3">
      <c r="A12" s="2" t="s">
        <v>14</v>
      </c>
      <c r="B12" s="3">
        <f t="shared" si="0"/>
        <v>-375865</v>
      </c>
      <c r="C12" s="3">
        <v>254738</v>
      </c>
      <c r="D12" s="3">
        <v>191560</v>
      </c>
      <c r="E12" s="3">
        <v>630603</v>
      </c>
      <c r="F12" s="3">
        <v>344841</v>
      </c>
    </row>
    <row r="13" spans="1:6" x14ac:dyDescent="0.3">
      <c r="A13" s="2" t="s">
        <v>15</v>
      </c>
      <c r="B13" s="3">
        <f t="shared" si="0"/>
        <v>-19710</v>
      </c>
      <c r="C13" s="3">
        <v>178722</v>
      </c>
      <c r="D13" s="3">
        <v>137057</v>
      </c>
      <c r="E13" s="3">
        <v>198432</v>
      </c>
      <c r="F13" s="3">
        <v>141138</v>
      </c>
    </row>
    <row r="14" spans="1:6" x14ac:dyDescent="0.3">
      <c r="A14" s="2" t="s">
        <v>16</v>
      </c>
      <c r="B14" s="3">
        <f t="shared" si="0"/>
        <v>-263709</v>
      </c>
      <c r="C14" s="3">
        <v>154036</v>
      </c>
      <c r="D14" s="3">
        <v>117854</v>
      </c>
      <c r="E14" s="3">
        <v>417745</v>
      </c>
      <c r="F14" s="3">
        <v>386855</v>
      </c>
    </row>
    <row r="15" spans="1:6" ht="17.25" thickBot="1" x14ac:dyDescent="0.35">
      <c r="A15" s="4" t="s">
        <v>26</v>
      </c>
      <c r="B15" s="5">
        <f>SUM(B3:B14)</f>
        <v>-8873519</v>
      </c>
      <c r="C15" s="5">
        <f t="shared" ref="C15:F15" si="1">SUM(C3:C14)</f>
        <v>1843516</v>
      </c>
      <c r="D15" s="5">
        <f t="shared" si="1"/>
        <v>1333132</v>
      </c>
      <c r="E15" s="5">
        <f t="shared" si="1"/>
        <v>10717035</v>
      </c>
      <c r="F15" s="5">
        <f t="shared" si="1"/>
        <v>10207469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-44812</v>
      </c>
      <c r="C3" s="3">
        <v>197248</v>
      </c>
      <c r="D3" s="3">
        <v>118031</v>
      </c>
      <c r="E3" s="3">
        <v>242060</v>
      </c>
      <c r="F3" s="3">
        <v>205787</v>
      </c>
    </row>
    <row r="4" spans="1:6" x14ac:dyDescent="0.3">
      <c r="A4" s="2" t="s">
        <v>24</v>
      </c>
      <c r="B4" s="3">
        <f t="shared" si="0"/>
        <v>-364038</v>
      </c>
      <c r="C4" s="3">
        <v>105823</v>
      </c>
      <c r="D4" s="3">
        <v>81002</v>
      </c>
      <c r="E4" s="3">
        <v>469861</v>
      </c>
      <c r="F4" s="3">
        <v>470761</v>
      </c>
    </row>
    <row r="5" spans="1:6" x14ac:dyDescent="0.3">
      <c r="A5" s="2" t="s">
        <v>33</v>
      </c>
      <c r="B5" s="3">
        <f t="shared" si="0"/>
        <v>-420151</v>
      </c>
      <c r="C5" s="3">
        <v>181080</v>
      </c>
      <c r="D5" s="3">
        <v>138905</v>
      </c>
      <c r="E5" s="3">
        <v>601231</v>
      </c>
      <c r="F5" s="3">
        <v>610462</v>
      </c>
    </row>
    <row r="6" spans="1:6" x14ac:dyDescent="0.3">
      <c r="A6" s="2" t="s">
        <v>8</v>
      </c>
      <c r="B6" s="3">
        <f t="shared" si="0"/>
        <v>-639693</v>
      </c>
      <c r="C6" s="3">
        <v>213084</v>
      </c>
      <c r="D6" s="3">
        <v>157244</v>
      </c>
      <c r="E6" s="3">
        <v>852777</v>
      </c>
      <c r="F6" s="3">
        <v>950415</v>
      </c>
    </row>
    <row r="7" spans="1:6" x14ac:dyDescent="0.3">
      <c r="A7" s="2" t="s">
        <v>9</v>
      </c>
      <c r="B7" s="3">
        <f t="shared" si="0"/>
        <v>-749517</v>
      </c>
      <c r="C7" s="3">
        <v>152419</v>
      </c>
      <c r="D7" s="3">
        <v>116193</v>
      </c>
      <c r="E7" s="3">
        <v>901936</v>
      </c>
      <c r="F7" s="3">
        <v>1005684</v>
      </c>
    </row>
    <row r="8" spans="1:6" x14ac:dyDescent="0.3">
      <c r="A8" s="2" t="s">
        <v>10</v>
      </c>
      <c r="B8" s="3">
        <f t="shared" si="0"/>
        <v>-1818801</v>
      </c>
      <c r="C8" s="3">
        <v>133218</v>
      </c>
      <c r="D8" s="3">
        <v>105800</v>
      </c>
      <c r="E8" s="3">
        <v>1952019</v>
      </c>
      <c r="F8" s="3">
        <v>2189223</v>
      </c>
    </row>
    <row r="9" spans="1:6" x14ac:dyDescent="0.3">
      <c r="A9" s="2" t="s">
        <v>11</v>
      </c>
      <c r="B9" s="3">
        <f t="shared" si="0"/>
        <v>-1109243</v>
      </c>
      <c r="C9" s="3">
        <v>147833</v>
      </c>
      <c r="D9" s="3">
        <v>111923</v>
      </c>
      <c r="E9" s="3">
        <v>1257076</v>
      </c>
      <c r="F9" s="3">
        <v>1373725</v>
      </c>
    </row>
    <row r="10" spans="1:6" x14ac:dyDescent="0.3">
      <c r="A10" s="2" t="s">
        <v>12</v>
      </c>
      <c r="B10" s="3">
        <f t="shared" si="0"/>
        <v>-1487927</v>
      </c>
      <c r="C10" s="3">
        <v>92880</v>
      </c>
      <c r="D10" s="3">
        <v>67524</v>
      </c>
      <c r="E10" s="3">
        <v>1580807</v>
      </c>
      <c r="F10" s="3">
        <v>1744673</v>
      </c>
    </row>
    <row r="11" spans="1:6" x14ac:dyDescent="0.3">
      <c r="A11" s="2" t="s">
        <v>13</v>
      </c>
      <c r="B11" s="3">
        <f t="shared" si="0"/>
        <v>-1252175</v>
      </c>
      <c r="C11" s="3">
        <v>209340</v>
      </c>
      <c r="D11" s="3">
        <v>160115</v>
      </c>
      <c r="E11" s="3">
        <v>1461515</v>
      </c>
      <c r="F11" s="3">
        <v>1566908</v>
      </c>
    </row>
    <row r="12" spans="1:6" x14ac:dyDescent="0.3">
      <c r="A12" s="2" t="s">
        <v>14</v>
      </c>
      <c r="B12" s="3">
        <f t="shared" si="0"/>
        <v>-1222544</v>
      </c>
      <c r="C12" s="3">
        <v>240668</v>
      </c>
      <c r="D12" s="3">
        <v>181153</v>
      </c>
      <c r="E12" s="3">
        <v>1463212</v>
      </c>
      <c r="F12" s="3">
        <v>1727854</v>
      </c>
    </row>
    <row r="13" spans="1:6" x14ac:dyDescent="0.3">
      <c r="A13" s="2" t="s">
        <v>15</v>
      </c>
      <c r="B13" s="3">
        <f t="shared" si="0"/>
        <v>-1525282</v>
      </c>
      <c r="C13" s="3">
        <v>173304</v>
      </c>
      <c r="D13" s="3">
        <v>137056</v>
      </c>
      <c r="E13" s="3">
        <v>1698586</v>
      </c>
      <c r="F13" s="3">
        <v>1990718</v>
      </c>
    </row>
    <row r="14" spans="1:6" x14ac:dyDescent="0.3">
      <c r="A14" s="2" t="s">
        <v>16</v>
      </c>
      <c r="B14" s="3">
        <f t="shared" si="0"/>
        <v>-1560346</v>
      </c>
      <c r="C14" s="3">
        <v>174662</v>
      </c>
      <c r="D14" s="3">
        <v>127479</v>
      </c>
      <c r="E14" s="3">
        <v>1735008</v>
      </c>
      <c r="F14" s="3">
        <v>2021618</v>
      </c>
    </row>
    <row r="15" spans="1:6" ht="17.25" thickBot="1" x14ac:dyDescent="0.35">
      <c r="A15" s="4" t="s">
        <v>34</v>
      </c>
      <c r="B15" s="5">
        <f>SUM(B3:B14)</f>
        <v>-12194529</v>
      </c>
      <c r="C15" s="5">
        <f t="shared" ref="C15:F15" si="1">SUM(C3:C14)</f>
        <v>2021559</v>
      </c>
      <c r="D15" s="5">
        <f t="shared" si="1"/>
        <v>1502425</v>
      </c>
      <c r="E15" s="5">
        <f t="shared" si="1"/>
        <v>14216088</v>
      </c>
      <c r="F15" s="5">
        <f t="shared" si="1"/>
        <v>15857828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-1875028</v>
      </c>
      <c r="C3" s="3">
        <v>201813</v>
      </c>
      <c r="D3" s="3">
        <v>154483</v>
      </c>
      <c r="E3" s="3">
        <v>2076841</v>
      </c>
      <c r="F3" s="3">
        <v>2385478</v>
      </c>
    </row>
    <row r="4" spans="1:6" x14ac:dyDescent="0.3">
      <c r="A4" s="2" t="s">
        <v>24</v>
      </c>
      <c r="B4" s="3">
        <f t="shared" si="0"/>
        <v>-1144423</v>
      </c>
      <c r="C4" s="3">
        <v>272005</v>
      </c>
      <c r="D4" s="3">
        <v>214157</v>
      </c>
      <c r="E4" s="3">
        <v>1416428</v>
      </c>
      <c r="F4" s="3">
        <v>1682459</v>
      </c>
    </row>
    <row r="5" spans="1:6" x14ac:dyDescent="0.3">
      <c r="A5" s="2" t="s">
        <v>25</v>
      </c>
      <c r="B5" s="3">
        <f t="shared" si="0"/>
        <v>-3035862</v>
      </c>
      <c r="C5" s="3">
        <v>88056</v>
      </c>
      <c r="D5" s="3">
        <v>63757</v>
      </c>
      <c r="E5" s="3">
        <v>3123918</v>
      </c>
      <c r="F5" s="3">
        <v>3615666</v>
      </c>
    </row>
    <row r="6" spans="1:6" x14ac:dyDescent="0.3">
      <c r="A6" s="2" t="s">
        <v>8</v>
      </c>
      <c r="B6" s="3">
        <f t="shared" si="0"/>
        <v>-1405192</v>
      </c>
      <c r="C6" s="3">
        <v>103024</v>
      </c>
      <c r="D6" s="3">
        <v>69978</v>
      </c>
      <c r="E6" s="3">
        <v>1508216</v>
      </c>
      <c r="F6" s="3">
        <v>1577417</v>
      </c>
    </row>
    <row r="7" spans="1:6" x14ac:dyDescent="0.3">
      <c r="A7" s="2" t="s">
        <v>9</v>
      </c>
      <c r="B7" s="3">
        <f t="shared" si="0"/>
        <v>-1307270</v>
      </c>
      <c r="C7" s="3">
        <v>432500</v>
      </c>
      <c r="D7" s="3">
        <v>163836</v>
      </c>
      <c r="E7" s="3">
        <v>1739770</v>
      </c>
      <c r="F7" s="3">
        <v>1731757</v>
      </c>
    </row>
    <row r="8" spans="1:6" x14ac:dyDescent="0.3">
      <c r="A8" s="2" t="s">
        <v>10</v>
      </c>
      <c r="B8" s="3">
        <f t="shared" si="0"/>
        <v>-1025611</v>
      </c>
      <c r="C8" s="3">
        <v>142790</v>
      </c>
      <c r="D8" s="3">
        <v>73228</v>
      </c>
      <c r="E8" s="3">
        <v>1168401</v>
      </c>
      <c r="F8" s="3">
        <v>1221437</v>
      </c>
    </row>
    <row r="9" spans="1:6" x14ac:dyDescent="0.3">
      <c r="A9" s="2" t="s">
        <v>11</v>
      </c>
      <c r="B9" s="3">
        <f t="shared" si="0"/>
        <v>-5149955</v>
      </c>
      <c r="C9" s="3">
        <v>201073</v>
      </c>
      <c r="D9" s="3">
        <v>143025</v>
      </c>
      <c r="E9" s="3">
        <v>5351028</v>
      </c>
      <c r="F9" s="3">
        <v>6493242</v>
      </c>
    </row>
    <row r="10" spans="1:6" x14ac:dyDescent="0.3">
      <c r="A10" s="2" t="s">
        <v>12</v>
      </c>
      <c r="B10" s="3">
        <f t="shared" si="0"/>
        <v>-1129970</v>
      </c>
      <c r="C10" s="3">
        <v>116099</v>
      </c>
      <c r="D10" s="3">
        <v>88259</v>
      </c>
      <c r="E10" s="3">
        <v>1246069</v>
      </c>
      <c r="F10" s="3">
        <v>1380178</v>
      </c>
    </row>
    <row r="11" spans="1:6" x14ac:dyDescent="0.3">
      <c r="A11" s="2" t="s">
        <v>13</v>
      </c>
      <c r="B11" s="3">
        <f t="shared" si="0"/>
        <v>-1581273</v>
      </c>
      <c r="C11" s="3">
        <v>270251</v>
      </c>
      <c r="D11" s="3">
        <v>176641</v>
      </c>
      <c r="E11" s="3">
        <v>1851524</v>
      </c>
      <c r="F11" s="3">
        <v>2062634</v>
      </c>
    </row>
    <row r="12" spans="1:6" x14ac:dyDescent="0.3">
      <c r="A12" s="2" t="s">
        <v>14</v>
      </c>
      <c r="B12" s="3">
        <f t="shared" si="0"/>
        <v>-2177548</v>
      </c>
      <c r="C12" s="3">
        <v>227520</v>
      </c>
      <c r="D12" s="3">
        <v>172283</v>
      </c>
      <c r="E12" s="3">
        <v>2405068</v>
      </c>
      <c r="F12" s="3">
        <v>2850217</v>
      </c>
    </row>
    <row r="13" spans="1:6" x14ac:dyDescent="0.3">
      <c r="A13" s="2" t="s">
        <v>15</v>
      </c>
      <c r="B13" s="3">
        <f t="shared" si="0"/>
        <v>-2000255</v>
      </c>
      <c r="C13" s="3">
        <v>258014</v>
      </c>
      <c r="D13" s="3">
        <v>163617</v>
      </c>
      <c r="E13" s="3">
        <v>2258269</v>
      </c>
      <c r="F13" s="3">
        <v>2774847</v>
      </c>
    </row>
    <row r="14" spans="1:6" x14ac:dyDescent="0.3">
      <c r="A14" s="2" t="s">
        <v>16</v>
      </c>
      <c r="B14" s="3">
        <f t="shared" si="0"/>
        <v>-1877757</v>
      </c>
      <c r="C14" s="3">
        <v>200004</v>
      </c>
      <c r="D14" s="3">
        <v>136554</v>
      </c>
      <c r="E14" s="3">
        <v>2077761</v>
      </c>
      <c r="F14" s="3">
        <v>2464063</v>
      </c>
    </row>
    <row r="15" spans="1:6" ht="17.25" thickBot="1" x14ac:dyDescent="0.35">
      <c r="A15" s="4" t="s">
        <v>26</v>
      </c>
      <c r="B15" s="5">
        <f>SUM(B3:B14)</f>
        <v>-23710144</v>
      </c>
      <c r="C15" s="5">
        <f t="shared" ref="C15:F15" si="1">SUM(C3:C14)</f>
        <v>2513149</v>
      </c>
      <c r="D15" s="5">
        <f t="shared" si="1"/>
        <v>1619818</v>
      </c>
      <c r="E15" s="5">
        <f t="shared" si="1"/>
        <v>26223293</v>
      </c>
      <c r="F15" s="5">
        <f t="shared" si="1"/>
        <v>30239395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35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37</v>
      </c>
      <c r="B3" s="3">
        <f t="shared" ref="B3:B14" si="0">C3-E3</f>
        <v>-2400775</v>
      </c>
      <c r="C3" s="3">
        <v>106687</v>
      </c>
      <c r="D3" s="3">
        <v>73921</v>
      </c>
      <c r="E3" s="3">
        <v>2507462</v>
      </c>
      <c r="F3" s="3">
        <v>2893021</v>
      </c>
    </row>
    <row r="4" spans="1:6" x14ac:dyDescent="0.3">
      <c r="A4" s="2" t="s">
        <v>38</v>
      </c>
      <c r="B4" s="3">
        <f t="shared" si="0"/>
        <v>-1164235</v>
      </c>
      <c r="C4" s="3">
        <v>224400</v>
      </c>
      <c r="D4" s="3">
        <v>151926</v>
      </c>
      <c r="E4" s="3">
        <v>1388635</v>
      </c>
      <c r="F4" s="3">
        <v>1471948</v>
      </c>
    </row>
    <row r="5" spans="1:6" x14ac:dyDescent="0.3">
      <c r="A5" s="2" t="s">
        <v>39</v>
      </c>
      <c r="B5" s="3">
        <f t="shared" si="0"/>
        <v>-1595324</v>
      </c>
      <c r="C5" s="3">
        <v>299517</v>
      </c>
      <c r="D5" s="3">
        <v>203038</v>
      </c>
      <c r="E5" s="3">
        <v>1894841</v>
      </c>
      <c r="F5" s="3">
        <v>1990396</v>
      </c>
    </row>
    <row r="6" spans="1:6" x14ac:dyDescent="0.3">
      <c r="A6" s="2" t="s">
        <v>8</v>
      </c>
      <c r="B6" s="3">
        <f t="shared" si="0"/>
        <v>-899664</v>
      </c>
      <c r="C6" s="3">
        <v>174459</v>
      </c>
      <c r="D6" s="3">
        <v>68838</v>
      </c>
      <c r="E6" s="3">
        <v>1074123</v>
      </c>
      <c r="F6" s="3">
        <v>991435</v>
      </c>
    </row>
    <row r="7" spans="1:6" x14ac:dyDescent="0.3">
      <c r="A7" s="2" t="s">
        <v>9</v>
      </c>
      <c r="B7" s="3">
        <f t="shared" si="0"/>
        <v>-4506629</v>
      </c>
      <c r="C7" s="3">
        <v>174143</v>
      </c>
      <c r="D7" s="3">
        <v>117324</v>
      </c>
      <c r="E7" s="3">
        <v>4680772</v>
      </c>
      <c r="F7" s="3">
        <v>3983451</v>
      </c>
    </row>
    <row r="8" spans="1:6" x14ac:dyDescent="0.3">
      <c r="A8" s="2" t="s">
        <v>10</v>
      </c>
      <c r="B8" s="3">
        <f t="shared" si="0"/>
        <v>-8700782</v>
      </c>
      <c r="C8" s="3">
        <v>107933</v>
      </c>
      <c r="D8" s="3">
        <v>78633</v>
      </c>
      <c r="E8" s="3">
        <v>8808715</v>
      </c>
      <c r="F8" s="3">
        <v>6107232</v>
      </c>
    </row>
    <row r="9" spans="1:6" x14ac:dyDescent="0.3">
      <c r="A9" s="2" t="s">
        <v>11</v>
      </c>
      <c r="B9" s="3">
        <f t="shared" si="0"/>
        <v>-2122388</v>
      </c>
      <c r="C9" s="3">
        <v>123956</v>
      </c>
      <c r="D9" s="3">
        <v>89684</v>
      </c>
      <c r="E9" s="3">
        <v>2246344</v>
      </c>
      <c r="F9" s="3">
        <v>1746592</v>
      </c>
    </row>
    <row r="10" spans="1:6" x14ac:dyDescent="0.3">
      <c r="A10" s="2" t="s">
        <v>12</v>
      </c>
      <c r="B10" s="3">
        <f t="shared" si="0"/>
        <v>-1460548</v>
      </c>
      <c r="C10" s="3">
        <v>233306</v>
      </c>
      <c r="D10" s="3">
        <v>135077</v>
      </c>
      <c r="E10" s="3">
        <v>1693854</v>
      </c>
      <c r="F10" s="3">
        <v>1263737</v>
      </c>
    </row>
    <row r="11" spans="1:6" x14ac:dyDescent="0.3">
      <c r="A11" s="2" t="s">
        <v>13</v>
      </c>
      <c r="B11" s="3">
        <f t="shared" si="0"/>
        <v>-2115775</v>
      </c>
      <c r="C11" s="3">
        <v>291915</v>
      </c>
      <c r="D11" s="3">
        <v>161820</v>
      </c>
      <c r="E11" s="3">
        <v>2407690</v>
      </c>
      <c r="F11" s="3">
        <v>1826459</v>
      </c>
    </row>
    <row r="12" spans="1:6" x14ac:dyDescent="0.3">
      <c r="A12" s="2" t="s">
        <v>14</v>
      </c>
      <c r="B12" s="3">
        <f t="shared" si="0"/>
        <v>-10731458</v>
      </c>
      <c r="C12" s="3">
        <v>248976</v>
      </c>
      <c r="D12" s="3">
        <v>128110</v>
      </c>
      <c r="E12" s="3">
        <v>10980434</v>
      </c>
      <c r="F12" s="3">
        <v>7923193</v>
      </c>
    </row>
    <row r="13" spans="1:6" x14ac:dyDescent="0.3">
      <c r="A13" s="2" t="s">
        <v>15</v>
      </c>
      <c r="B13" s="3">
        <f t="shared" si="0"/>
        <v>-2040826</v>
      </c>
      <c r="C13" s="3">
        <v>332240</v>
      </c>
      <c r="D13" s="3">
        <v>165992</v>
      </c>
      <c r="E13" s="3">
        <v>2373066</v>
      </c>
      <c r="F13" s="3">
        <v>1608729</v>
      </c>
    </row>
    <row r="14" spans="1:6" x14ac:dyDescent="0.3">
      <c r="A14" s="2" t="s">
        <v>16</v>
      </c>
      <c r="B14" s="3">
        <f t="shared" si="0"/>
        <v>-4737262</v>
      </c>
      <c r="C14" s="3">
        <v>269973</v>
      </c>
      <c r="D14" s="3">
        <v>135260</v>
      </c>
      <c r="E14" s="3">
        <v>5007235</v>
      </c>
      <c r="F14" s="3">
        <v>3286696</v>
      </c>
    </row>
    <row r="15" spans="1:6" ht="17.25" thickBot="1" x14ac:dyDescent="0.35">
      <c r="A15" s="4" t="s">
        <v>40</v>
      </c>
      <c r="B15" s="5">
        <f>SUM(B3:B14)</f>
        <v>-42475666</v>
      </c>
      <c r="C15" s="5">
        <f t="shared" ref="C15:F15" si="1">SUM(C3:C14)</f>
        <v>2587505</v>
      </c>
      <c r="D15" s="5">
        <f t="shared" si="1"/>
        <v>1509623</v>
      </c>
      <c r="E15" s="5">
        <f t="shared" si="1"/>
        <v>45063171</v>
      </c>
      <c r="F15" s="5">
        <f t="shared" si="1"/>
        <v>35092889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-2141506</v>
      </c>
      <c r="C3" s="3">
        <v>333492</v>
      </c>
      <c r="D3" s="3">
        <v>166832</v>
      </c>
      <c r="E3" s="3">
        <v>2474998</v>
      </c>
      <c r="F3" s="3">
        <v>1679566</v>
      </c>
    </row>
    <row r="4" spans="1:6" x14ac:dyDescent="0.3">
      <c r="A4" s="2" t="s">
        <v>24</v>
      </c>
      <c r="B4" s="3">
        <f t="shared" si="0"/>
        <v>-6269470</v>
      </c>
      <c r="C4" s="3">
        <v>168918</v>
      </c>
      <c r="D4" s="3">
        <v>82279</v>
      </c>
      <c r="E4" s="3">
        <v>6438388</v>
      </c>
      <c r="F4" s="3">
        <v>4207074</v>
      </c>
    </row>
    <row r="5" spans="1:6" x14ac:dyDescent="0.3">
      <c r="A5" s="2" t="s">
        <v>25</v>
      </c>
      <c r="B5" s="3">
        <f t="shared" si="0"/>
        <v>-2978879</v>
      </c>
      <c r="C5" s="3">
        <v>327843</v>
      </c>
      <c r="D5" s="3">
        <v>143722</v>
      </c>
      <c r="E5" s="3">
        <v>3306722</v>
      </c>
      <c r="F5" s="3">
        <v>2025776</v>
      </c>
    </row>
    <row r="6" spans="1:6" x14ac:dyDescent="0.3">
      <c r="A6" s="2" t="s">
        <v>8</v>
      </c>
      <c r="B6" s="3">
        <f t="shared" si="0"/>
        <v>-11982481</v>
      </c>
      <c r="C6" s="3">
        <v>358990</v>
      </c>
      <c r="D6" s="3">
        <v>175369</v>
      </c>
      <c r="E6" s="3">
        <v>12341471</v>
      </c>
      <c r="F6" s="3">
        <v>7301530</v>
      </c>
    </row>
    <row r="7" spans="1:6" x14ac:dyDescent="0.3">
      <c r="A7" s="2" t="s">
        <v>9</v>
      </c>
      <c r="B7" s="3">
        <f t="shared" si="0"/>
        <v>-2844202</v>
      </c>
      <c r="C7" s="3">
        <v>446317</v>
      </c>
      <c r="D7" s="3">
        <v>203124</v>
      </c>
      <c r="E7" s="3">
        <v>3290519</v>
      </c>
      <c r="F7" s="3">
        <v>1952675</v>
      </c>
    </row>
    <row r="8" spans="1:6" x14ac:dyDescent="0.3">
      <c r="A8" s="2" t="s">
        <v>10</v>
      </c>
      <c r="B8" s="3">
        <f t="shared" si="0"/>
        <v>-2777144</v>
      </c>
      <c r="C8" s="3">
        <v>526197</v>
      </c>
      <c r="D8" s="3">
        <v>236967</v>
      </c>
      <c r="E8" s="3">
        <v>3303341</v>
      </c>
      <c r="F8" s="3">
        <v>1792396</v>
      </c>
    </row>
    <row r="9" spans="1:6" x14ac:dyDescent="0.3">
      <c r="A9" s="2" t="s">
        <v>11</v>
      </c>
      <c r="B9" s="3">
        <f t="shared" si="0"/>
        <v>-6881225</v>
      </c>
      <c r="C9" s="3">
        <v>246697</v>
      </c>
      <c r="D9" s="3">
        <v>94098</v>
      </c>
      <c r="E9" s="3">
        <v>7127922</v>
      </c>
      <c r="F9" s="3">
        <v>4011393</v>
      </c>
    </row>
    <row r="10" spans="1:6" x14ac:dyDescent="0.3">
      <c r="A10" s="2" t="s">
        <v>12</v>
      </c>
      <c r="B10" s="3">
        <f t="shared" si="0"/>
        <v>-6385698</v>
      </c>
      <c r="C10" s="3">
        <v>299880</v>
      </c>
      <c r="D10" s="3">
        <v>96861</v>
      </c>
      <c r="E10" s="3">
        <v>6685578</v>
      </c>
      <c r="F10" s="3">
        <v>3422024</v>
      </c>
    </row>
    <row r="11" spans="1:6" x14ac:dyDescent="0.3">
      <c r="A11" s="2" t="s">
        <v>13</v>
      </c>
      <c r="B11" s="3">
        <f t="shared" si="0"/>
        <v>-7670889</v>
      </c>
      <c r="C11" s="3">
        <v>134060</v>
      </c>
      <c r="D11" s="3">
        <v>53017</v>
      </c>
      <c r="E11" s="3">
        <v>7804949</v>
      </c>
      <c r="F11" s="3">
        <v>4195958</v>
      </c>
    </row>
    <row r="12" spans="1:6" x14ac:dyDescent="0.3">
      <c r="A12" s="2" t="s">
        <v>14</v>
      </c>
      <c r="B12" s="3">
        <f t="shared" si="0"/>
        <v>-7870979</v>
      </c>
      <c r="C12" s="3">
        <v>252376</v>
      </c>
      <c r="D12" s="3">
        <v>104357</v>
      </c>
      <c r="E12" s="3">
        <v>8123355</v>
      </c>
      <c r="F12" s="3">
        <v>4568166</v>
      </c>
    </row>
    <row r="13" spans="1:6" x14ac:dyDescent="0.3">
      <c r="A13" s="2" t="s">
        <v>15</v>
      </c>
      <c r="B13" s="3">
        <f t="shared" si="0"/>
        <v>-5651947</v>
      </c>
      <c r="C13" s="3">
        <v>386243</v>
      </c>
      <c r="D13" s="3">
        <v>165214</v>
      </c>
      <c r="E13" s="3">
        <v>6038190</v>
      </c>
      <c r="F13" s="3">
        <v>3324142</v>
      </c>
    </row>
    <row r="14" spans="1:6" x14ac:dyDescent="0.3">
      <c r="A14" s="2" t="s">
        <v>16</v>
      </c>
      <c r="B14" s="3">
        <f t="shared" si="0"/>
        <v>-5667802</v>
      </c>
      <c r="C14" s="3">
        <v>153329</v>
      </c>
      <c r="D14" s="3">
        <v>63229</v>
      </c>
      <c r="E14" s="3">
        <v>5821131</v>
      </c>
      <c r="F14" s="3">
        <v>3366176</v>
      </c>
    </row>
    <row r="15" spans="1:6" ht="17.25" thickBot="1" x14ac:dyDescent="0.35">
      <c r="A15" s="4" t="s">
        <v>26</v>
      </c>
      <c r="B15" s="5">
        <f>SUM(B3:B14)</f>
        <v>-69122222</v>
      </c>
      <c r="C15" s="5">
        <f t="shared" ref="C15:F15" si="1">SUM(C3:C14)</f>
        <v>3634342</v>
      </c>
      <c r="D15" s="5">
        <f t="shared" si="1"/>
        <v>1585069</v>
      </c>
      <c r="E15" s="5">
        <f t="shared" si="1"/>
        <v>72756564</v>
      </c>
      <c r="F15" s="5">
        <f t="shared" si="1"/>
        <v>41846876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-14394882</v>
      </c>
      <c r="C3" s="3">
        <v>351178</v>
      </c>
      <c r="D3" s="3">
        <v>135896</v>
      </c>
      <c r="E3" s="3">
        <v>14746060</v>
      </c>
      <c r="F3" s="3">
        <v>9059698</v>
      </c>
    </row>
    <row r="4" spans="1:6" x14ac:dyDescent="0.3">
      <c r="A4" s="2" t="s">
        <v>24</v>
      </c>
      <c r="B4" s="3">
        <f t="shared" si="0"/>
        <v>-8270837</v>
      </c>
      <c r="C4" s="3">
        <v>397542</v>
      </c>
      <c r="D4" s="3">
        <v>151887</v>
      </c>
      <c r="E4" s="3">
        <v>8668379</v>
      </c>
      <c r="F4" s="3">
        <v>5484851</v>
      </c>
    </row>
    <row r="5" spans="1:6" x14ac:dyDescent="0.3">
      <c r="A5" s="2" t="s">
        <v>25</v>
      </c>
      <c r="B5" s="3">
        <f t="shared" si="0"/>
        <v>-9898031</v>
      </c>
      <c r="C5" s="3">
        <v>157649</v>
      </c>
      <c r="D5" s="3">
        <v>66437</v>
      </c>
      <c r="E5" s="3">
        <v>10055680</v>
      </c>
      <c r="F5" s="3">
        <v>6651163</v>
      </c>
    </row>
    <row r="6" spans="1:6" x14ac:dyDescent="0.3">
      <c r="A6" s="2" t="s">
        <v>8</v>
      </c>
      <c r="B6" s="3">
        <f t="shared" si="0"/>
        <v>-9090575</v>
      </c>
      <c r="C6" s="3">
        <v>113888</v>
      </c>
      <c r="D6" s="3">
        <v>45067</v>
      </c>
      <c r="E6" s="3">
        <v>9204463</v>
      </c>
      <c r="F6" s="3">
        <v>6286882</v>
      </c>
    </row>
    <row r="7" spans="1:6" x14ac:dyDescent="0.3">
      <c r="A7" s="2" t="s">
        <v>9</v>
      </c>
      <c r="B7" s="3">
        <f t="shared" si="0"/>
        <v>-11171055</v>
      </c>
      <c r="C7" s="3">
        <v>302365</v>
      </c>
      <c r="D7" s="3">
        <v>108526</v>
      </c>
      <c r="E7" s="3">
        <v>11473420</v>
      </c>
      <c r="F7" s="3">
        <v>8308375</v>
      </c>
    </row>
    <row r="8" spans="1:6" x14ac:dyDescent="0.3">
      <c r="A8" s="2" t="s">
        <v>10</v>
      </c>
      <c r="B8" s="3">
        <f t="shared" si="0"/>
        <v>-11723579</v>
      </c>
      <c r="C8" s="3">
        <v>399684</v>
      </c>
      <c r="D8" s="3">
        <v>166327</v>
      </c>
      <c r="E8" s="3">
        <v>12123263</v>
      </c>
      <c r="F8" s="3">
        <v>8969756</v>
      </c>
    </row>
    <row r="9" spans="1:6" x14ac:dyDescent="0.3">
      <c r="A9" s="2" t="s">
        <v>11</v>
      </c>
      <c r="B9" s="3">
        <f t="shared" si="0"/>
        <v>-8189529</v>
      </c>
      <c r="C9" s="3">
        <v>218897</v>
      </c>
      <c r="D9" s="3">
        <v>91296</v>
      </c>
      <c r="E9" s="3">
        <v>8408426</v>
      </c>
      <c r="F9" s="3">
        <v>6183645</v>
      </c>
    </row>
    <row r="10" spans="1:6" x14ac:dyDescent="0.3">
      <c r="A10" s="2" t="s">
        <v>12</v>
      </c>
      <c r="B10" s="3">
        <f t="shared" si="0"/>
        <v>-6642716</v>
      </c>
      <c r="C10" s="3">
        <v>109362</v>
      </c>
      <c r="D10" s="3">
        <v>48638</v>
      </c>
      <c r="E10" s="3">
        <v>6752078</v>
      </c>
      <c r="F10" s="3">
        <v>5482299</v>
      </c>
    </row>
    <row r="11" spans="1:6" x14ac:dyDescent="0.3">
      <c r="A11" s="2" t="s">
        <v>13</v>
      </c>
      <c r="B11" s="3">
        <f t="shared" si="0"/>
        <v>-8941581</v>
      </c>
      <c r="C11" s="3">
        <v>227741</v>
      </c>
      <c r="D11" s="3">
        <v>71313</v>
      </c>
      <c r="E11" s="3">
        <v>9169322</v>
      </c>
      <c r="F11" s="3">
        <v>7652982</v>
      </c>
    </row>
    <row r="12" spans="1:6" x14ac:dyDescent="0.3">
      <c r="A12" s="2" t="s">
        <v>14</v>
      </c>
      <c r="B12" s="3">
        <f t="shared" si="0"/>
        <v>-13671023</v>
      </c>
      <c r="C12" s="3">
        <v>202696</v>
      </c>
      <c r="D12" s="3">
        <v>67727</v>
      </c>
      <c r="E12" s="3">
        <v>13873719</v>
      </c>
      <c r="F12" s="3">
        <v>11811229</v>
      </c>
    </row>
    <row r="13" spans="1:6" x14ac:dyDescent="0.3">
      <c r="A13" s="2" t="s">
        <v>15</v>
      </c>
      <c r="B13" s="3">
        <f t="shared" si="0"/>
        <v>-15372826</v>
      </c>
      <c r="C13" s="3">
        <v>206540</v>
      </c>
      <c r="D13" s="3">
        <v>76605</v>
      </c>
      <c r="E13" s="3">
        <v>15579366</v>
      </c>
      <c r="F13" s="3">
        <v>13154382</v>
      </c>
    </row>
    <row r="14" spans="1:6" x14ac:dyDescent="0.3">
      <c r="A14" s="2" t="s">
        <v>16</v>
      </c>
      <c r="B14" s="3">
        <f t="shared" si="0"/>
        <v>-15418910</v>
      </c>
      <c r="C14" s="3">
        <v>134058</v>
      </c>
      <c r="D14" s="3">
        <v>51791</v>
      </c>
      <c r="E14" s="3">
        <v>15552968</v>
      </c>
      <c r="F14" s="3">
        <v>13327220</v>
      </c>
    </row>
    <row r="15" spans="1:6" ht="17.25" thickBot="1" x14ac:dyDescent="0.35">
      <c r="A15" s="4" t="s">
        <v>26</v>
      </c>
      <c r="B15" s="5">
        <f>SUM(B3:B14)</f>
        <v>-132785544</v>
      </c>
      <c r="C15" s="5">
        <f t="shared" ref="C15:F15" si="1">SUM(C3:C14)</f>
        <v>2821600</v>
      </c>
      <c r="D15" s="5">
        <f t="shared" si="1"/>
        <v>1081510</v>
      </c>
      <c r="E15" s="5">
        <f t="shared" si="1"/>
        <v>135607144</v>
      </c>
      <c r="F15" s="5">
        <f t="shared" si="1"/>
        <v>102372482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-7136113</v>
      </c>
      <c r="C3" s="3">
        <v>157648</v>
      </c>
      <c r="D3" s="3">
        <v>58263</v>
      </c>
      <c r="E3" s="3">
        <v>7293761</v>
      </c>
      <c r="F3" s="3">
        <v>6168301</v>
      </c>
    </row>
    <row r="4" spans="1:6" x14ac:dyDescent="0.3">
      <c r="A4" s="2" t="s">
        <v>41</v>
      </c>
      <c r="B4" s="3">
        <f t="shared" si="0"/>
        <v>-7520067</v>
      </c>
      <c r="C4" s="3">
        <v>110420</v>
      </c>
      <c r="D4" s="3">
        <v>44702</v>
      </c>
      <c r="E4" s="3">
        <v>7630487</v>
      </c>
      <c r="F4" s="3">
        <v>6624430</v>
      </c>
    </row>
    <row r="5" spans="1:6" x14ac:dyDescent="0.3">
      <c r="A5" s="2" t="s">
        <v>25</v>
      </c>
      <c r="B5" s="3">
        <f t="shared" si="0"/>
        <v>-7179269</v>
      </c>
      <c r="C5" s="3">
        <v>315487</v>
      </c>
      <c r="D5" s="3">
        <v>138777</v>
      </c>
      <c r="E5" s="3">
        <v>7494756</v>
      </c>
      <c r="F5" s="3">
        <v>6657193</v>
      </c>
    </row>
    <row r="6" spans="1:6" x14ac:dyDescent="0.3">
      <c r="A6" s="2" t="s">
        <v>8</v>
      </c>
      <c r="B6" s="3">
        <f t="shared" si="0"/>
        <v>-6540416</v>
      </c>
      <c r="C6" s="3">
        <v>259145</v>
      </c>
      <c r="D6" s="3">
        <v>103683</v>
      </c>
      <c r="E6" s="3">
        <v>6799561</v>
      </c>
      <c r="F6" s="3">
        <v>6212548</v>
      </c>
    </row>
    <row r="7" spans="1:6" x14ac:dyDescent="0.3">
      <c r="A7" s="2" t="s">
        <v>9</v>
      </c>
      <c r="B7" s="3">
        <f t="shared" si="0"/>
        <v>-6514825</v>
      </c>
      <c r="C7" s="3">
        <v>205968</v>
      </c>
      <c r="D7" s="3">
        <v>95908</v>
      </c>
      <c r="E7" s="3">
        <v>6720793</v>
      </c>
      <c r="F7" s="3">
        <v>6077451</v>
      </c>
    </row>
    <row r="8" spans="1:6" x14ac:dyDescent="0.3">
      <c r="A8" s="2" t="s">
        <v>10</v>
      </c>
      <c r="B8" s="3">
        <f t="shared" si="0"/>
        <v>-6196019</v>
      </c>
      <c r="C8" s="3">
        <v>275097</v>
      </c>
      <c r="D8" s="3">
        <v>137674</v>
      </c>
      <c r="E8" s="3">
        <v>6471116</v>
      </c>
      <c r="F8" s="3">
        <v>5965074</v>
      </c>
    </row>
    <row r="9" spans="1:6" x14ac:dyDescent="0.3">
      <c r="A9" s="2" t="s">
        <v>11</v>
      </c>
      <c r="B9" s="3">
        <f t="shared" si="0"/>
        <v>-7250657</v>
      </c>
      <c r="C9" s="3">
        <v>254468</v>
      </c>
      <c r="D9" s="3">
        <v>141939</v>
      </c>
      <c r="E9" s="3">
        <v>7505125</v>
      </c>
      <c r="F9" s="3">
        <v>6767940</v>
      </c>
    </row>
    <row r="10" spans="1:6" x14ac:dyDescent="0.3">
      <c r="A10" s="2" t="s">
        <v>12</v>
      </c>
      <c r="B10" s="3">
        <f t="shared" si="0"/>
        <v>-6442981</v>
      </c>
      <c r="C10" s="3">
        <v>225854</v>
      </c>
      <c r="D10" s="3">
        <v>96072</v>
      </c>
      <c r="E10" s="3">
        <v>6668835</v>
      </c>
      <c r="F10" s="3">
        <v>6111148</v>
      </c>
    </row>
    <row r="11" spans="1:6" x14ac:dyDescent="0.3">
      <c r="A11" s="2" t="s">
        <v>13</v>
      </c>
      <c r="B11" s="3">
        <f t="shared" si="0"/>
        <v>-5130917</v>
      </c>
      <c r="C11" s="3">
        <v>419522</v>
      </c>
      <c r="D11" s="3">
        <v>211519</v>
      </c>
      <c r="E11" s="3">
        <v>5550439</v>
      </c>
      <c r="F11" s="3">
        <v>4989146</v>
      </c>
    </row>
    <row r="12" spans="1:6" x14ac:dyDescent="0.3">
      <c r="A12" s="2" t="s">
        <v>14</v>
      </c>
      <c r="B12" s="3">
        <f t="shared" si="0"/>
        <v>-4804132</v>
      </c>
      <c r="C12" s="3">
        <v>212487</v>
      </c>
      <c r="D12" s="3">
        <v>87780</v>
      </c>
      <c r="E12" s="3">
        <v>5016619</v>
      </c>
      <c r="F12" s="3">
        <v>4642156</v>
      </c>
    </row>
    <row r="13" spans="1:6" x14ac:dyDescent="0.3">
      <c r="A13" s="2" t="s">
        <v>15</v>
      </c>
      <c r="B13" s="3">
        <f t="shared" si="0"/>
        <v>-5844304</v>
      </c>
      <c r="C13" s="3">
        <v>182303</v>
      </c>
      <c r="D13" s="3">
        <v>66036</v>
      </c>
      <c r="E13" s="3">
        <v>6026607</v>
      </c>
      <c r="F13" s="3">
        <v>5087462</v>
      </c>
    </row>
    <row r="14" spans="1:6" x14ac:dyDescent="0.3">
      <c r="A14" s="2" t="s">
        <v>16</v>
      </c>
      <c r="B14" s="3">
        <f t="shared" si="0"/>
        <v>-11593673</v>
      </c>
      <c r="C14" s="3">
        <v>102967</v>
      </c>
      <c r="D14" s="3">
        <v>46016</v>
      </c>
      <c r="E14" s="3">
        <v>11696640</v>
      </c>
      <c r="F14" s="3">
        <v>9476263</v>
      </c>
    </row>
    <row r="15" spans="1:6" ht="17.25" thickBot="1" x14ac:dyDescent="0.35">
      <c r="A15" s="4" t="s">
        <v>26</v>
      </c>
      <c r="B15" s="5">
        <f>SUM(B3:B14)</f>
        <v>-82153373</v>
      </c>
      <c r="C15" s="5">
        <f t="shared" ref="C15:F15" si="1">SUM(C3:C14)</f>
        <v>2721366</v>
      </c>
      <c r="D15" s="5">
        <f t="shared" si="1"/>
        <v>1228369</v>
      </c>
      <c r="E15" s="5">
        <f t="shared" si="1"/>
        <v>84874739</v>
      </c>
      <c r="F15" s="5">
        <f t="shared" si="1"/>
        <v>74779112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1" t="s">
        <v>42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-12658082</v>
      </c>
      <c r="C3" s="3">
        <v>211441</v>
      </c>
      <c r="D3" s="3">
        <v>89656</v>
      </c>
      <c r="E3" s="3">
        <v>12869523</v>
      </c>
      <c r="F3" s="3">
        <v>10807702</v>
      </c>
    </row>
    <row r="4" spans="1:6" x14ac:dyDescent="0.3">
      <c r="A4" s="2" t="s">
        <v>41</v>
      </c>
      <c r="B4" s="3">
        <f t="shared" si="0"/>
        <v>-11947090</v>
      </c>
      <c r="C4" s="3">
        <v>151679</v>
      </c>
      <c r="D4" s="3">
        <v>67824</v>
      </c>
      <c r="E4" s="3">
        <v>12098769</v>
      </c>
      <c r="F4" s="3">
        <v>10015526</v>
      </c>
    </row>
    <row r="5" spans="1:6" x14ac:dyDescent="0.3">
      <c r="A5" s="2" t="s">
        <v>7</v>
      </c>
      <c r="B5" s="3">
        <f t="shared" si="0"/>
        <v>-8403055</v>
      </c>
      <c r="C5" s="3">
        <v>225652</v>
      </c>
      <c r="D5" s="3">
        <v>118633</v>
      </c>
      <c r="E5" s="3">
        <v>8628707</v>
      </c>
      <c r="F5" s="3">
        <v>7143357</v>
      </c>
    </row>
    <row r="6" spans="1:6" x14ac:dyDescent="0.3">
      <c r="A6" s="2" t="s">
        <v>8</v>
      </c>
      <c r="B6" s="3">
        <f t="shared" si="0"/>
        <v>-9057761</v>
      </c>
      <c r="C6" s="3">
        <v>201315</v>
      </c>
      <c r="D6" s="3">
        <v>99383</v>
      </c>
      <c r="E6" s="3">
        <v>9259076</v>
      </c>
      <c r="F6" s="3">
        <v>7740715</v>
      </c>
    </row>
    <row r="7" spans="1:6" x14ac:dyDescent="0.3">
      <c r="A7" s="2" t="s">
        <v>9</v>
      </c>
      <c r="B7" s="3">
        <f t="shared" si="0"/>
        <v>-8679545</v>
      </c>
      <c r="C7" s="3">
        <v>121651</v>
      </c>
      <c r="D7" s="3">
        <v>57219</v>
      </c>
      <c r="E7" s="3">
        <v>8801196</v>
      </c>
      <c r="F7" s="3">
        <v>7251952</v>
      </c>
    </row>
    <row r="8" spans="1:6" x14ac:dyDescent="0.3">
      <c r="A8" s="2" t="s">
        <v>10</v>
      </c>
      <c r="B8" s="3">
        <f t="shared" si="0"/>
        <v>-12131414</v>
      </c>
      <c r="C8" s="3">
        <v>188973</v>
      </c>
      <c r="D8" s="3">
        <v>99982</v>
      </c>
      <c r="E8" s="3">
        <v>12320387</v>
      </c>
      <c r="F8" s="3">
        <v>10412018</v>
      </c>
    </row>
    <row r="9" spans="1:6" x14ac:dyDescent="0.3">
      <c r="A9" s="2" t="s">
        <v>11</v>
      </c>
      <c r="B9" s="3">
        <f t="shared" si="0"/>
        <v>-11438220</v>
      </c>
      <c r="C9" s="3">
        <v>253194</v>
      </c>
      <c r="D9" s="3">
        <v>137058</v>
      </c>
      <c r="E9" s="3">
        <v>11691414</v>
      </c>
      <c r="F9" s="3">
        <v>9822853</v>
      </c>
    </row>
    <row r="10" spans="1:6" x14ac:dyDescent="0.3">
      <c r="A10" s="2" t="s">
        <v>12</v>
      </c>
      <c r="B10" s="3">
        <f t="shared" si="0"/>
        <v>-8591670</v>
      </c>
      <c r="C10" s="3">
        <v>324145</v>
      </c>
      <c r="D10" s="3">
        <v>150751</v>
      </c>
      <c r="E10" s="3">
        <v>8915815</v>
      </c>
      <c r="F10" s="3">
        <v>7441042</v>
      </c>
    </row>
    <row r="11" spans="1:6" x14ac:dyDescent="0.3">
      <c r="A11" s="2" t="s">
        <v>13</v>
      </c>
      <c r="B11" s="3">
        <f t="shared" si="0"/>
        <v>-18116960</v>
      </c>
      <c r="C11" s="3">
        <v>180185</v>
      </c>
      <c r="D11" s="3">
        <v>103570</v>
      </c>
      <c r="E11" s="3">
        <v>18297145</v>
      </c>
      <c r="F11" s="3">
        <v>15490445</v>
      </c>
    </row>
    <row r="12" spans="1:6" x14ac:dyDescent="0.3">
      <c r="A12" s="2" t="s">
        <v>14</v>
      </c>
      <c r="B12" s="3">
        <f t="shared" si="0"/>
        <v>-8576178</v>
      </c>
      <c r="C12" s="3">
        <v>243722</v>
      </c>
      <c r="D12" s="3">
        <v>125585</v>
      </c>
      <c r="E12" s="3">
        <v>8819900</v>
      </c>
      <c r="F12" s="3">
        <v>7276574</v>
      </c>
    </row>
    <row r="13" spans="1:6" x14ac:dyDescent="0.3">
      <c r="A13" s="2" t="s">
        <v>15</v>
      </c>
      <c r="B13" s="3">
        <f t="shared" si="0"/>
        <v>-7073939</v>
      </c>
      <c r="C13" s="3">
        <v>315198</v>
      </c>
      <c r="D13" s="3">
        <v>188867</v>
      </c>
      <c r="E13" s="3">
        <v>7389137</v>
      </c>
      <c r="F13" s="3">
        <v>6194592</v>
      </c>
    </row>
    <row r="14" spans="1:6" x14ac:dyDescent="0.3">
      <c r="A14" s="2" t="s">
        <v>16</v>
      </c>
      <c r="B14" s="3">
        <f t="shared" si="0"/>
        <v>-9885200</v>
      </c>
      <c r="C14" s="3">
        <v>294470</v>
      </c>
      <c r="D14" s="3">
        <v>121371</v>
      </c>
      <c r="E14" s="3">
        <v>10179670</v>
      </c>
      <c r="F14" s="3">
        <v>8547744</v>
      </c>
    </row>
    <row r="15" spans="1:6" ht="17.25" thickBot="1" x14ac:dyDescent="0.35">
      <c r="A15" s="4" t="s">
        <v>34</v>
      </c>
      <c r="B15" s="5">
        <f>SUM(B3:B14)</f>
        <v>-126559114</v>
      </c>
      <c r="C15" s="5">
        <f t="shared" ref="C15:F15" si="1">SUM(C3:C14)</f>
        <v>2711625</v>
      </c>
      <c r="D15" s="5">
        <f t="shared" si="1"/>
        <v>1359899</v>
      </c>
      <c r="E15" s="5">
        <f t="shared" si="1"/>
        <v>129270739</v>
      </c>
      <c r="F15" s="5">
        <f t="shared" si="1"/>
        <v>108144520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1" t="s">
        <v>42</v>
      </c>
      <c r="C2" s="1" t="s">
        <v>28</v>
      </c>
      <c r="D2" s="1" t="s">
        <v>29</v>
      </c>
      <c r="E2" s="1" t="s">
        <v>36</v>
      </c>
      <c r="F2" s="1" t="s">
        <v>31</v>
      </c>
    </row>
    <row r="3" spans="1:6" x14ac:dyDescent="0.3">
      <c r="A3" s="2" t="s">
        <v>32</v>
      </c>
      <c r="B3" s="3">
        <f t="shared" ref="B3:B14" si="0">C3-E3</f>
        <v>-7021365</v>
      </c>
      <c r="C3" s="3">
        <v>196167</v>
      </c>
      <c r="D3" s="3">
        <v>114453</v>
      </c>
      <c r="E3" s="3">
        <v>7217532</v>
      </c>
      <c r="F3" s="3">
        <v>5967657</v>
      </c>
    </row>
    <row r="4" spans="1:6" x14ac:dyDescent="0.3">
      <c r="A4" s="2" t="s">
        <v>41</v>
      </c>
      <c r="B4" s="3">
        <f t="shared" si="0"/>
        <v>-10040858</v>
      </c>
      <c r="C4" s="3">
        <v>225053</v>
      </c>
      <c r="D4" s="3">
        <v>138030</v>
      </c>
      <c r="E4" s="3">
        <v>10265911</v>
      </c>
      <c r="F4" s="3">
        <v>8509107</v>
      </c>
    </row>
    <row r="5" spans="1:6" x14ac:dyDescent="0.3">
      <c r="A5" s="2" t="s">
        <v>7</v>
      </c>
      <c r="B5" s="3">
        <f t="shared" si="0"/>
        <v>-13073876</v>
      </c>
      <c r="C5" s="3">
        <v>315849</v>
      </c>
      <c r="D5" s="3">
        <v>183446</v>
      </c>
      <c r="E5" s="3">
        <v>13389725</v>
      </c>
      <c r="F5" s="3">
        <v>10966942</v>
      </c>
    </row>
    <row r="6" spans="1:6" x14ac:dyDescent="0.3">
      <c r="A6" s="2" t="s">
        <v>8</v>
      </c>
      <c r="B6" s="3">
        <f t="shared" si="0"/>
        <v>-15348203</v>
      </c>
      <c r="C6" s="3">
        <v>200594</v>
      </c>
      <c r="D6" s="3">
        <v>120738</v>
      </c>
      <c r="E6" s="3">
        <v>15548797</v>
      </c>
      <c r="F6" s="3">
        <v>12630699</v>
      </c>
    </row>
    <row r="7" spans="1:6" x14ac:dyDescent="0.3">
      <c r="A7" s="2" t="s">
        <v>9</v>
      </c>
      <c r="B7" s="3">
        <f t="shared" si="0"/>
        <v>-16077762</v>
      </c>
      <c r="C7" s="3">
        <v>414944</v>
      </c>
      <c r="D7" s="3">
        <v>253592</v>
      </c>
      <c r="E7" s="3">
        <v>16492706</v>
      </c>
      <c r="F7" s="3">
        <v>13180872</v>
      </c>
    </row>
    <row r="8" spans="1:6" x14ac:dyDescent="0.3">
      <c r="A8" s="2" t="s">
        <v>10</v>
      </c>
      <c r="B8" s="3">
        <f t="shared" si="0"/>
        <v>-23984698</v>
      </c>
      <c r="C8" s="3">
        <v>231502</v>
      </c>
      <c r="D8" s="3">
        <v>128043</v>
      </c>
      <c r="E8" s="3">
        <v>24216200</v>
      </c>
      <c r="F8" s="3">
        <v>18888829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-85546762</v>
      </c>
      <c r="C15" s="5">
        <f t="shared" ref="C15:F15" si="1">SUM(C3:C14)</f>
        <v>1584109</v>
      </c>
      <c r="D15" s="5">
        <f t="shared" si="1"/>
        <v>938302</v>
      </c>
      <c r="E15" s="5">
        <f t="shared" si="1"/>
        <v>87130871</v>
      </c>
      <c r="F15" s="5">
        <f t="shared" si="1"/>
        <v>70144106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2026-07-14T07:08:56Z</dcterms:created>
  <dcterms:modified xsi:type="dcterms:W3CDTF">2026-07-16T04:52:30Z</dcterms:modified>
</cp:coreProperties>
</file>