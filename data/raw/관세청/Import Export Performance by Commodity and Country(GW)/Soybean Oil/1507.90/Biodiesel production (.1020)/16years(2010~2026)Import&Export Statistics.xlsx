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바이오디젤 제조용(.1020)\"/>
    </mc:Choice>
  </mc:AlternateContent>
  <bookViews>
    <workbookView xWindow="0" yWindow="0" windowWidth="28800" windowHeight="11640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E15" i="18"/>
  <c r="D15" i="18"/>
  <c r="C15" i="18"/>
  <c r="B14" i="18"/>
  <c r="B13" i="18"/>
  <c r="B12" i="18"/>
  <c r="B11" i="18"/>
  <c r="B10" i="18"/>
  <c r="B9" i="18"/>
  <c r="B8" i="18"/>
  <c r="B7" i="18"/>
  <c r="B6" i="18"/>
  <c r="B5" i="18"/>
  <c r="B4" i="18"/>
  <c r="B3" i="18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2" l="1"/>
  <c r="B15" i="18"/>
  <c r="B15" i="17"/>
  <c r="B15" i="13"/>
  <c r="B15" i="14"/>
  <c r="B15" i="15"/>
  <c r="B15" i="16"/>
  <c r="B15" i="1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<sst xmlns="http://schemas.openxmlformats.org/spreadsheetml/2006/main" count="306" uniqueCount="43">
  <si>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</si>
  <si>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</si>
  <si>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</si>
  <si>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</si>
  <si>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</si>
  <si>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</si>
  <si>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</si>
  <si>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</si>
  <si>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</si>
  <si>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</si>
  <si>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</si>
  <si>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</si>
  <si>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</si>
  <si>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</si>
  <si>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</si>
  <si>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</si>
  <si>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</si>
  <si>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</si>
  <si>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</si>
  <si>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</si>
  <si>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</si>
  <si>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</si>
  <si>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</si>
  <si>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</si>
  <si>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</si>
  <si>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</si>
  <si>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</si>
  <si>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</si>
  <si>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</si>
  <si>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</si>
  <si>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</si>
  <si>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</si>
  <si>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</si>
  <si>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</si>
  <si>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</si>
  <si>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</si>
  <si>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수입액(달러)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</si>
  <si>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</si>
  <si>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</si>
  <si>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</si>
  <si>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</si>
  <si>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2월</t>
    <phoneticPr fontId="1" type="noConversion"/>
  </si>
  <si>
    <t>무역수지(달러)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</si>
</sst>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-43</v>
      </c>
      <c r="C7" s="3">
        <v>0</v>
      </c>
      <c r="D7" s="3">
        <v>0</v>
      </c>
      <c r="E7" s="3">
        <v>43</v>
      </c>
      <c r="F7" s="3">
        <v>2</v>
      </c>
    </row>
    <row r="8" spans="1:6" x14ac:dyDescent="0.3">
      <c r="A8" s="2" t="s">
        <v>10</v>
      </c>
      <c r="B8" s="3">
        <f t="shared" si="0"/>
        <v>-57</v>
      </c>
      <c r="C8" s="3">
        <v>0</v>
      </c>
      <c r="D8" s="3">
        <v>0</v>
      </c>
      <c r="E8" s="3">
        <v>57</v>
      </c>
      <c r="F8" s="3">
        <v>1</v>
      </c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-100</v>
      </c>
      <c r="C15" s="5">
        <f t="shared" ref="C15:F15" si="2">SUM(C3:C14)</f>
        <v>0</v>
      </c>
      <c r="D15" s="5">
        <f t="shared" si="2"/>
        <v>0</v>
      </c>
      <c r="E15" s="5">
        <f t="shared" si="2"/>
        <v>100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-15812</v>
      </c>
      <c r="C4" s="3">
        <v>0</v>
      </c>
      <c r="D4" s="3">
        <v>0</v>
      </c>
      <c r="E4" s="3">
        <v>15812</v>
      </c>
      <c r="F4" s="3">
        <v>22000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-35</v>
      </c>
      <c r="C9" s="3">
        <v>0</v>
      </c>
      <c r="D9" s="3">
        <v>0</v>
      </c>
      <c r="E9" s="3">
        <v>35</v>
      </c>
      <c r="F9" s="3">
        <v>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-40</v>
      </c>
      <c r="C11" s="3">
        <v>0</v>
      </c>
      <c r="D11" s="3">
        <v>0</v>
      </c>
      <c r="E11" s="3">
        <v>40</v>
      </c>
      <c r="F11" s="3">
        <v>3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-15887</v>
      </c>
      <c r="C15" s="5">
        <f t="shared" ref="C15:F15" si="1">SUM(C3:C14)</f>
        <v>0</v>
      </c>
      <c r="D15" s="5">
        <f t="shared" si="1"/>
        <v>0</v>
      </c>
      <c r="E15" s="5">
        <f t="shared" si="1"/>
        <v>15887</v>
      </c>
      <c r="F15" s="5">
        <f t="shared" si="1"/>
        <v>22007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-16</v>
      </c>
      <c r="C3" s="3">
        <v>0</v>
      </c>
      <c r="D3" s="3">
        <v>0</v>
      </c>
      <c r="E3" s="3">
        <v>16</v>
      </c>
      <c r="F3" s="3">
        <v>1</v>
      </c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-11</v>
      </c>
      <c r="C6" s="3">
        <v>0</v>
      </c>
      <c r="D6" s="3">
        <v>0</v>
      </c>
      <c r="E6" s="3">
        <v>11</v>
      </c>
      <c r="F6" s="3">
        <v>1</v>
      </c>
    </row>
    <row r="7" spans="1:6" x14ac:dyDescent="0.3">
      <c r="A7" s="2" t="s">
        <v>9</v>
      </c>
      <c r="B7" s="3">
        <f t="shared" si="0"/>
        <v>-28</v>
      </c>
      <c r="C7" s="3">
        <v>0</v>
      </c>
      <c r="D7" s="3">
        <v>0</v>
      </c>
      <c r="E7" s="3">
        <v>28</v>
      </c>
      <c r="F7" s="3">
        <v>5</v>
      </c>
    </row>
    <row r="8" spans="1:6" x14ac:dyDescent="0.3">
      <c r="A8" s="2" t="s">
        <v>10</v>
      </c>
      <c r="B8" s="3">
        <f t="shared" si="0"/>
        <v>-126</v>
      </c>
      <c r="C8" s="3">
        <v>0</v>
      </c>
      <c r="D8" s="3">
        <v>0</v>
      </c>
      <c r="E8" s="3">
        <v>126</v>
      </c>
      <c r="F8" s="3">
        <v>21</v>
      </c>
    </row>
    <row r="9" spans="1:6" x14ac:dyDescent="0.3">
      <c r="A9" s="2" t="s">
        <v>11</v>
      </c>
      <c r="B9" s="3">
        <f t="shared" si="0"/>
        <v>-17</v>
      </c>
      <c r="C9" s="3">
        <v>0</v>
      </c>
      <c r="D9" s="3">
        <v>0</v>
      </c>
      <c r="E9" s="3">
        <v>17</v>
      </c>
      <c r="F9" s="3">
        <v>5</v>
      </c>
    </row>
    <row r="10" spans="1:6" x14ac:dyDescent="0.3">
      <c r="A10" s="2" t="s">
        <v>12</v>
      </c>
      <c r="B10" s="3">
        <f t="shared" si="0"/>
        <v>-67</v>
      </c>
      <c r="C10" s="3">
        <v>0</v>
      </c>
      <c r="D10" s="3">
        <v>0</v>
      </c>
      <c r="E10" s="3">
        <v>67</v>
      </c>
      <c r="F10" s="3">
        <v>19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-25</v>
      </c>
      <c r="C14" s="3">
        <v>0</v>
      </c>
      <c r="D14" s="3">
        <v>0</v>
      </c>
      <c r="E14" s="3">
        <v>25</v>
      </c>
      <c r="F14" s="3">
        <v>2</v>
      </c>
    </row>
    <row r="15" spans="1:6" ht="17.25" thickBot="1" x14ac:dyDescent="0.35">
      <c r="A15" s="4" t="s">
        <v>26</v>
      </c>
      <c r="B15" s="5">
        <f>SUM(B3:B14)</f>
        <v>-290</v>
      </c>
      <c r="C15" s="5">
        <f t="shared" ref="C15:F15" si="1">SUM(C3:C14)</f>
        <v>0</v>
      </c>
      <c r="D15" s="5">
        <f t="shared" si="1"/>
        <v>0</v>
      </c>
      <c r="E15" s="5">
        <f t="shared" si="1"/>
        <v>290</v>
      </c>
      <c r="F15" s="5">
        <f t="shared" si="1"/>
        <v>54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-800</v>
      </c>
      <c r="C3" s="3">
        <v>0</v>
      </c>
      <c r="D3" s="3">
        <v>0</v>
      </c>
      <c r="E3" s="3">
        <v>800</v>
      </c>
      <c r="F3" s="3">
        <v>141</v>
      </c>
    </row>
    <row r="4" spans="1:6" x14ac:dyDescent="0.3">
      <c r="A4" s="2" t="s">
        <v>38</v>
      </c>
      <c r="B4" s="3">
        <f t="shared" si="0"/>
        <v>-45</v>
      </c>
      <c r="C4" s="3">
        <v>0</v>
      </c>
      <c r="D4" s="3">
        <v>0</v>
      </c>
      <c r="E4" s="3">
        <v>45</v>
      </c>
      <c r="F4" s="3">
        <v>2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-55</v>
      </c>
      <c r="C10" s="3">
        <v>0</v>
      </c>
      <c r="D10" s="3">
        <v>0</v>
      </c>
      <c r="E10" s="3">
        <v>55</v>
      </c>
      <c r="F10" s="3">
        <v>11</v>
      </c>
    </row>
    <row r="11" spans="1:6" x14ac:dyDescent="0.3">
      <c r="A11" s="2" t="s">
        <v>13</v>
      </c>
      <c r="B11" s="3">
        <f t="shared" si="0"/>
        <v>-16</v>
      </c>
      <c r="C11" s="3">
        <v>0</v>
      </c>
      <c r="D11" s="3">
        <v>0</v>
      </c>
      <c r="E11" s="3">
        <v>16</v>
      </c>
      <c r="F11" s="3">
        <v>2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40</v>
      </c>
      <c r="B15" s="5">
        <f>SUM(B3:B14)</f>
        <v>-916</v>
      </c>
      <c r="C15" s="5">
        <f t="shared" ref="C15:F15" si="1">SUM(C3:C14)</f>
        <v>0</v>
      </c>
      <c r="D15" s="5">
        <f t="shared" si="1"/>
        <v>0</v>
      </c>
      <c r="E15" s="5">
        <f t="shared" si="1"/>
        <v>916</v>
      </c>
      <c r="F15" s="5">
        <f t="shared" si="1"/>
        <v>156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-12</v>
      </c>
      <c r="C4" s="3">
        <v>0</v>
      </c>
      <c r="D4" s="3">
        <v>0</v>
      </c>
      <c r="E4" s="3">
        <v>12</v>
      </c>
      <c r="F4" s="3">
        <v>0</v>
      </c>
    </row>
    <row r="5" spans="1:6" x14ac:dyDescent="0.3">
      <c r="A5" s="2" t="s">
        <v>7</v>
      </c>
      <c r="B5" s="3">
        <f t="shared" si="0"/>
        <v>-19</v>
      </c>
      <c r="C5" s="3">
        <v>0</v>
      </c>
      <c r="D5" s="3">
        <v>0</v>
      </c>
      <c r="E5" s="3">
        <v>19</v>
      </c>
      <c r="F5" s="3">
        <v>3</v>
      </c>
    </row>
    <row r="6" spans="1:6" x14ac:dyDescent="0.3">
      <c r="A6" s="2" t="s">
        <v>8</v>
      </c>
      <c r="B6" s="3">
        <f t="shared" si="0"/>
        <v>-24</v>
      </c>
      <c r="C6" s="3">
        <v>0</v>
      </c>
      <c r="D6" s="3">
        <v>0</v>
      </c>
      <c r="E6" s="3">
        <v>24</v>
      </c>
      <c r="F6" s="3">
        <v>2</v>
      </c>
    </row>
    <row r="7" spans="1:6" x14ac:dyDescent="0.3">
      <c r="A7" s="2" t="s">
        <v>9</v>
      </c>
      <c r="B7" s="3">
        <f t="shared" si="0"/>
        <v>-33</v>
      </c>
      <c r="C7" s="3">
        <v>0</v>
      </c>
      <c r="D7" s="3">
        <v>0</v>
      </c>
      <c r="E7" s="3">
        <v>33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-46</v>
      </c>
      <c r="C10" s="3">
        <v>0</v>
      </c>
      <c r="D10" s="3">
        <v>0</v>
      </c>
      <c r="E10" s="3">
        <v>46</v>
      </c>
      <c r="F10" s="3">
        <v>3</v>
      </c>
    </row>
    <row r="11" spans="1:6" x14ac:dyDescent="0.3">
      <c r="A11" s="2" t="s">
        <v>13</v>
      </c>
      <c r="B11" s="3">
        <f t="shared" si="1"/>
        <v>-23</v>
      </c>
      <c r="C11" s="3">
        <v>0</v>
      </c>
      <c r="D11" s="3">
        <v>0</v>
      </c>
      <c r="E11" s="3">
        <v>23</v>
      </c>
      <c r="F11" s="3">
        <v>0</v>
      </c>
    </row>
    <row r="12" spans="1:6" x14ac:dyDescent="0.3">
      <c r="A12" s="2" t="s">
        <v>14</v>
      </c>
      <c r="B12" s="3">
        <f t="shared" si="1"/>
        <v>-81</v>
      </c>
      <c r="C12" s="3">
        <v>0</v>
      </c>
      <c r="D12" s="3">
        <v>0</v>
      </c>
      <c r="E12" s="3">
        <v>81</v>
      </c>
      <c r="F12" s="3">
        <v>16</v>
      </c>
    </row>
    <row r="13" spans="1:6" x14ac:dyDescent="0.3">
      <c r="A13" s="2" t="s">
        <v>15</v>
      </c>
      <c r="B13" s="3">
        <f t="shared" si="1"/>
        <v>-26</v>
      </c>
      <c r="C13" s="3">
        <v>0</v>
      </c>
      <c r="D13" s="3">
        <v>0</v>
      </c>
      <c r="E13" s="3">
        <v>26</v>
      </c>
      <c r="F13" s="3">
        <v>6</v>
      </c>
    </row>
    <row r="14" spans="1:6" x14ac:dyDescent="0.3">
      <c r="A14" s="2" t="s">
        <v>16</v>
      </c>
      <c r="B14" s="3">
        <f t="shared" si="1"/>
        <v>-33</v>
      </c>
      <c r="C14" s="3">
        <v>0</v>
      </c>
      <c r="D14" s="3">
        <v>0</v>
      </c>
      <c r="E14" s="3">
        <v>33</v>
      </c>
      <c r="F14" s="3">
        <v>3</v>
      </c>
    </row>
    <row r="15" spans="1:6" ht="17.25" thickBot="1" x14ac:dyDescent="0.35">
      <c r="A15" s="4" t="s">
        <v>17</v>
      </c>
      <c r="B15" s="5">
        <f>SUM(B3:B14)</f>
        <v>-297</v>
      </c>
      <c r="C15" s="5">
        <f t="shared" ref="C15:F15" si="2">SUM(C3:C14)</f>
        <v>0</v>
      </c>
      <c r="D15" s="5">
        <f t="shared" si="2"/>
        <v>0</v>
      </c>
      <c r="E15" s="5">
        <f t="shared" si="2"/>
        <v>297</v>
      </c>
      <c r="F15" s="5">
        <f t="shared" si="2"/>
        <v>35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-869</v>
      </c>
      <c r="C4" s="3">
        <v>0</v>
      </c>
      <c r="D4" s="3">
        <v>0</v>
      </c>
      <c r="E4" s="3">
        <v>869</v>
      </c>
      <c r="F4" s="3">
        <v>18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-23</v>
      </c>
      <c r="C6" s="3">
        <v>0</v>
      </c>
      <c r="D6" s="3">
        <v>0</v>
      </c>
      <c r="E6" s="3">
        <v>23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-20</v>
      </c>
      <c r="C8" s="3">
        <v>0</v>
      </c>
      <c r="D8" s="3">
        <v>0</v>
      </c>
      <c r="E8" s="3">
        <v>20</v>
      </c>
      <c r="F8" s="3">
        <v>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-912</v>
      </c>
      <c r="C15" s="5">
        <f t="shared" ref="C15:F15" si="1">SUM(C3:C14)</f>
        <v>0</v>
      </c>
      <c r="D15" s="5">
        <f t="shared" si="1"/>
        <v>0</v>
      </c>
      <c r="E15" s="5">
        <f t="shared" si="1"/>
        <v>912</v>
      </c>
      <c r="F15" s="5">
        <f t="shared" si="1"/>
        <v>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-13</v>
      </c>
      <c r="C3" s="3">
        <v>0</v>
      </c>
      <c r="D3" s="3">
        <v>0</v>
      </c>
      <c r="E3" s="3">
        <v>13</v>
      </c>
      <c r="F3" s="3">
        <v>1</v>
      </c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-14</v>
      </c>
      <c r="C6" s="3">
        <v>0</v>
      </c>
      <c r="D6" s="3">
        <v>0</v>
      </c>
      <c r="E6" s="3">
        <v>14</v>
      </c>
      <c r="F6" s="3">
        <v>1</v>
      </c>
    </row>
    <row r="7" spans="1:6" x14ac:dyDescent="0.3">
      <c r="A7" s="2" t="s">
        <v>9</v>
      </c>
      <c r="B7" s="3">
        <f t="shared" si="0"/>
        <v>-471</v>
      </c>
      <c r="C7" s="3">
        <v>0</v>
      </c>
      <c r="D7" s="3">
        <v>0</v>
      </c>
      <c r="E7" s="3">
        <v>471</v>
      </c>
      <c r="F7" s="3">
        <v>23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-498</v>
      </c>
      <c r="C15" s="5">
        <f t="shared" ref="C15:F15" si="2">SUM(C3:C14)</f>
        <v>0</v>
      </c>
      <c r="D15" s="5">
        <f t="shared" si="2"/>
        <v>0</v>
      </c>
      <c r="E15" s="5">
        <f t="shared" si="2"/>
        <v>498</v>
      </c>
      <c r="F15" s="5">
        <f t="shared" si="2"/>
        <v>25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-16</v>
      </c>
      <c r="C3" s="3">
        <v>0</v>
      </c>
      <c r="D3" s="3">
        <v>0</v>
      </c>
      <c r="E3" s="3">
        <v>16</v>
      </c>
      <c r="F3" s="3">
        <v>1</v>
      </c>
    </row>
    <row r="4" spans="1:6" x14ac:dyDescent="0.3">
      <c r="A4" s="2" t="s">
        <v>24</v>
      </c>
      <c r="B4" s="3">
        <f t="shared" ref="B4:B14" si="0">C4-E4</f>
        <v>-10</v>
      </c>
      <c r="C4" s="3">
        <v>0</v>
      </c>
      <c r="D4" s="3">
        <v>0</v>
      </c>
      <c r="E4" s="3">
        <v>10</v>
      </c>
      <c r="F4" s="3">
        <v>1</v>
      </c>
    </row>
    <row r="5" spans="1:6" x14ac:dyDescent="0.3">
      <c r="A5" s="2" t="s">
        <v>25</v>
      </c>
      <c r="B5" s="3">
        <f t="shared" si="0"/>
        <v>-10</v>
      </c>
      <c r="C5" s="3">
        <v>0</v>
      </c>
      <c r="D5" s="3">
        <v>0</v>
      </c>
      <c r="E5" s="3">
        <v>10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-36</v>
      </c>
      <c r="C15" s="5">
        <f t="shared" ref="C15:F15" si="1">SUM(C3:C14)</f>
        <v>0</v>
      </c>
      <c r="D15" s="5">
        <f t="shared" si="1"/>
        <v>0</v>
      </c>
      <c r="E15" s="5">
        <f t="shared" si="1"/>
        <v>36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-17</v>
      </c>
      <c r="C5" s="3">
        <v>0</v>
      </c>
      <c r="D5" s="3">
        <v>0</v>
      </c>
      <c r="E5" s="3">
        <v>17</v>
      </c>
      <c r="F5" s="3">
        <v>1</v>
      </c>
    </row>
    <row r="6" spans="1:6" x14ac:dyDescent="0.3">
      <c r="A6" s="2" t="s">
        <v>8</v>
      </c>
      <c r="B6" s="3">
        <f t="shared" si="0"/>
        <v>-11</v>
      </c>
      <c r="C6" s="3">
        <v>0</v>
      </c>
      <c r="D6" s="3">
        <v>0</v>
      </c>
      <c r="E6" s="3">
        <v>11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-10</v>
      </c>
      <c r="C11" s="3">
        <v>0</v>
      </c>
      <c r="D11" s="3">
        <v>0</v>
      </c>
      <c r="E11" s="3">
        <v>10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-38</v>
      </c>
      <c r="C15" s="5">
        <f t="shared" ref="C15:F15" si="1">SUM(C3:C14)</f>
        <v>0</v>
      </c>
      <c r="D15" s="5">
        <f t="shared" si="1"/>
        <v>0</v>
      </c>
      <c r="E15" s="5">
        <f t="shared" si="1"/>
        <v>38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-116</v>
      </c>
      <c r="C6" s="3">
        <v>0</v>
      </c>
      <c r="D6" s="3">
        <v>0</v>
      </c>
      <c r="E6" s="3">
        <v>116</v>
      </c>
      <c r="F6" s="3">
        <v>40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-10</v>
      </c>
      <c r="C8" s="3">
        <v>0</v>
      </c>
      <c r="D8" s="3">
        <v>0</v>
      </c>
      <c r="E8" s="3">
        <v>10</v>
      </c>
      <c r="F8" s="3">
        <v>0</v>
      </c>
    </row>
    <row r="9" spans="1:6" x14ac:dyDescent="0.3">
      <c r="A9" s="2" t="s">
        <v>11</v>
      </c>
      <c r="B9" s="3">
        <f t="shared" si="0"/>
        <v>-25</v>
      </c>
      <c r="C9" s="3">
        <v>0</v>
      </c>
      <c r="D9" s="3">
        <v>0</v>
      </c>
      <c r="E9" s="3">
        <v>25</v>
      </c>
      <c r="F9" s="3">
        <v>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-2520256</v>
      </c>
      <c r="C12" s="3">
        <v>0</v>
      </c>
      <c r="D12" s="3">
        <v>0</v>
      </c>
      <c r="E12" s="3">
        <v>2520256</v>
      </c>
      <c r="F12" s="3">
        <v>2991243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-2520407</v>
      </c>
      <c r="C15" s="5">
        <f t="shared" ref="C15:F15" si="1">SUM(C3:C14)</f>
        <v>0</v>
      </c>
      <c r="D15" s="5">
        <f t="shared" si="1"/>
        <v>0</v>
      </c>
      <c r="E15" s="5">
        <f t="shared" si="1"/>
        <v>2520407</v>
      </c>
      <c r="F15" s="5">
        <f t="shared" si="1"/>
        <v>2991287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38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39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-29</v>
      </c>
      <c r="C6" s="3">
        <v>0</v>
      </c>
      <c r="D6" s="3">
        <v>0</v>
      </c>
      <c r="E6" s="3">
        <v>29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-29</v>
      </c>
      <c r="C9" s="3">
        <v>0</v>
      </c>
      <c r="D9" s="3">
        <v>0</v>
      </c>
      <c r="E9" s="3">
        <v>29</v>
      </c>
      <c r="F9" s="3">
        <v>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40</v>
      </c>
      <c r="B15" s="5">
        <f>SUM(B3:B14)</f>
        <v>-58</v>
      </c>
      <c r="C15" s="5">
        <f t="shared" ref="C15:F15" si="1">SUM(C3:C14)</f>
        <v>0</v>
      </c>
      <c r="D15" s="5">
        <f t="shared" si="1"/>
        <v>0</v>
      </c>
      <c r="E15" s="5">
        <f t="shared" si="1"/>
        <v>58</v>
      </c>
      <c r="F15" s="5">
        <f t="shared" si="1"/>
        <v>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-60</v>
      </c>
      <c r="C4" s="3">
        <v>0</v>
      </c>
      <c r="D4" s="3">
        <v>0</v>
      </c>
      <c r="E4" s="3">
        <v>60</v>
      </c>
      <c r="F4" s="3">
        <v>8</v>
      </c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-35</v>
      </c>
      <c r="C10" s="3">
        <v>0</v>
      </c>
      <c r="D10" s="3">
        <v>0</v>
      </c>
      <c r="E10" s="3">
        <v>35</v>
      </c>
      <c r="F10" s="3">
        <v>2</v>
      </c>
    </row>
    <row r="11" spans="1:6" x14ac:dyDescent="0.3">
      <c r="A11" s="2" t="s">
        <v>13</v>
      </c>
      <c r="B11" s="3">
        <f t="shared" si="0"/>
        <v>-65</v>
      </c>
      <c r="C11" s="3">
        <v>0</v>
      </c>
      <c r="D11" s="3">
        <v>0</v>
      </c>
      <c r="E11" s="3">
        <v>65</v>
      </c>
      <c r="F11" s="3">
        <v>9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-15</v>
      </c>
      <c r="C13" s="3">
        <v>0</v>
      </c>
      <c r="D13" s="3">
        <v>0</v>
      </c>
      <c r="E13" s="3">
        <v>15</v>
      </c>
      <c r="F13" s="3">
        <v>1</v>
      </c>
    </row>
    <row r="14" spans="1:6" x14ac:dyDescent="0.3">
      <c r="A14" s="2" t="s">
        <v>16</v>
      </c>
      <c r="B14" s="3">
        <f t="shared" si="0"/>
        <v>-47</v>
      </c>
      <c r="C14" s="3">
        <v>0</v>
      </c>
      <c r="D14" s="3">
        <v>0</v>
      </c>
      <c r="E14" s="3">
        <v>47</v>
      </c>
      <c r="F14" s="3">
        <v>5</v>
      </c>
    </row>
    <row r="15" spans="1:6" ht="17.25" thickBot="1" x14ac:dyDescent="0.35">
      <c r="A15" s="4" t="s">
        <v>26</v>
      </c>
      <c r="B15" s="5">
        <f>SUM(B3:B14)</f>
        <v>-222</v>
      </c>
      <c r="C15" s="5">
        <f t="shared" ref="C15:F15" si="1">SUM(C3:C14)</f>
        <v>0</v>
      </c>
      <c r="D15" s="5">
        <f t="shared" si="1"/>
        <v>0</v>
      </c>
      <c r="E15" s="5">
        <f t="shared" si="1"/>
        <v>222</v>
      </c>
      <c r="F15" s="5">
        <f t="shared" si="1"/>
        <v>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-12</v>
      </c>
      <c r="C6" s="3">
        <v>0</v>
      </c>
      <c r="D6" s="3">
        <v>0</v>
      </c>
      <c r="E6" s="3">
        <v>12</v>
      </c>
      <c r="F6" s="3">
        <v>1</v>
      </c>
    </row>
    <row r="7" spans="1:6" x14ac:dyDescent="0.3">
      <c r="A7" s="2" t="s">
        <v>9</v>
      </c>
      <c r="B7" s="3">
        <f t="shared" si="0"/>
        <v>-13</v>
      </c>
      <c r="C7" s="3">
        <v>0</v>
      </c>
      <c r="D7" s="3">
        <v>0</v>
      </c>
      <c r="E7" s="3">
        <v>13</v>
      </c>
      <c r="F7" s="3">
        <v>1</v>
      </c>
    </row>
    <row r="8" spans="1:6" x14ac:dyDescent="0.3">
      <c r="A8" s="2" t="s">
        <v>10</v>
      </c>
      <c r="B8" s="3">
        <f t="shared" si="0"/>
        <v>-3</v>
      </c>
      <c r="C8" s="3">
        <v>0</v>
      </c>
      <c r="D8" s="3">
        <v>0</v>
      </c>
      <c r="E8" s="3">
        <v>3</v>
      </c>
      <c r="F8" s="3">
        <v>3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-28</v>
      </c>
      <c r="C10" s="3">
        <v>0</v>
      </c>
      <c r="D10" s="3">
        <v>0</v>
      </c>
      <c r="E10" s="3">
        <v>28</v>
      </c>
      <c r="F10" s="3">
        <v>5</v>
      </c>
    </row>
    <row r="11" spans="1:6" x14ac:dyDescent="0.3">
      <c r="A11" s="2" t="s">
        <v>13</v>
      </c>
      <c r="B11" s="3">
        <f t="shared" si="0"/>
        <v>-21</v>
      </c>
      <c r="C11" s="3">
        <v>0</v>
      </c>
      <c r="D11" s="3">
        <v>0</v>
      </c>
      <c r="E11" s="3">
        <v>21</v>
      </c>
      <c r="F11" s="3">
        <v>2</v>
      </c>
    </row>
    <row r="12" spans="1:6" x14ac:dyDescent="0.3">
      <c r="A12" s="2" t="s">
        <v>14</v>
      </c>
      <c r="B12" s="3">
        <f t="shared" si="0"/>
        <v>-9907659</v>
      </c>
      <c r="C12" s="3">
        <v>0</v>
      </c>
      <c r="D12" s="3">
        <v>0</v>
      </c>
      <c r="E12" s="3">
        <v>9907659</v>
      </c>
      <c r="F12" s="3">
        <v>8073358</v>
      </c>
    </row>
    <row r="13" spans="1:6" x14ac:dyDescent="0.3">
      <c r="A13" s="2" t="s">
        <v>15</v>
      </c>
      <c r="B13" s="3">
        <f t="shared" si="0"/>
        <v>-14</v>
      </c>
      <c r="C13" s="3">
        <v>0</v>
      </c>
      <c r="D13" s="3">
        <v>0</v>
      </c>
      <c r="E13" s="3">
        <v>14</v>
      </c>
      <c r="F13" s="3">
        <v>1</v>
      </c>
    </row>
    <row r="14" spans="1:6" x14ac:dyDescent="0.3">
      <c r="A14" s="2" t="s">
        <v>16</v>
      </c>
      <c r="B14" s="3">
        <f t="shared" si="0"/>
        <v>-6695230</v>
      </c>
      <c r="C14" s="3">
        <v>0</v>
      </c>
      <c r="D14" s="3">
        <v>0</v>
      </c>
      <c r="E14" s="3">
        <v>6695230</v>
      </c>
      <c r="F14" s="3">
        <v>5312321</v>
      </c>
    </row>
    <row r="15" spans="1:6" ht="17.25" thickBot="1" x14ac:dyDescent="0.35">
      <c r="A15" s="4" t="s">
        <v>26</v>
      </c>
      <c r="B15" s="5">
        <f>SUM(B3:B14)</f>
        <v>-16602980</v>
      </c>
      <c r="C15" s="5">
        <f t="shared" ref="C15:F15" si="1">SUM(C3:C14)</f>
        <v>0</v>
      </c>
      <c r="D15" s="5">
        <f t="shared" si="1"/>
        <v>0</v>
      </c>
      <c r="E15" s="5">
        <f t="shared" si="1"/>
        <v>16602980</v>
      </c>
      <c r="F15" s="5">
        <f t="shared" si="1"/>
        <v>13385692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2476</v>
      </c>
      <c r="C3" s="3">
        <v>2500</v>
      </c>
      <c r="D3" s="3">
        <v>3</v>
      </c>
      <c r="E3" s="3">
        <v>24</v>
      </c>
      <c r="F3" s="3">
        <v>1</v>
      </c>
    </row>
    <row r="4" spans="1:6" x14ac:dyDescent="0.3">
      <c r="A4" s="2" t="s">
        <v>41</v>
      </c>
      <c r="B4" s="3">
        <f t="shared" si="0"/>
        <v>-58</v>
      </c>
      <c r="C4" s="3">
        <v>0</v>
      </c>
      <c r="D4" s="3">
        <v>0</v>
      </c>
      <c r="E4" s="3">
        <v>58</v>
      </c>
      <c r="F4" s="3">
        <v>4</v>
      </c>
    </row>
    <row r="5" spans="1:6" x14ac:dyDescent="0.3">
      <c r="A5" s="2" t="s">
        <v>25</v>
      </c>
      <c r="B5" s="3">
        <f t="shared" si="0"/>
        <v>-25</v>
      </c>
      <c r="C5" s="3">
        <v>0</v>
      </c>
      <c r="D5" s="3">
        <v>0</v>
      </c>
      <c r="E5" s="3">
        <v>25</v>
      </c>
      <c r="F5" s="3">
        <v>2</v>
      </c>
    </row>
    <row r="6" spans="1:6" x14ac:dyDescent="0.3">
      <c r="A6" s="2" t="s">
        <v>8</v>
      </c>
      <c r="B6" s="3">
        <f t="shared" si="0"/>
        <v>-28</v>
      </c>
      <c r="C6" s="3">
        <v>0</v>
      </c>
      <c r="D6" s="3">
        <v>0</v>
      </c>
      <c r="E6" s="3">
        <v>28</v>
      </c>
      <c r="F6" s="3">
        <v>1</v>
      </c>
    </row>
    <row r="7" spans="1:6" x14ac:dyDescent="0.3">
      <c r="A7" s="2" t="s">
        <v>9</v>
      </c>
      <c r="B7" s="3">
        <f t="shared" si="0"/>
        <v>-20</v>
      </c>
      <c r="C7" s="3">
        <v>0</v>
      </c>
      <c r="D7" s="3">
        <v>0</v>
      </c>
      <c r="E7" s="3">
        <v>20</v>
      </c>
      <c r="F7" s="3">
        <v>3</v>
      </c>
    </row>
    <row r="8" spans="1:6" x14ac:dyDescent="0.3">
      <c r="A8" s="2" t="s">
        <v>10</v>
      </c>
      <c r="B8" s="3">
        <f t="shared" si="0"/>
        <v>-14</v>
      </c>
      <c r="C8" s="3">
        <v>0</v>
      </c>
      <c r="D8" s="3">
        <v>0</v>
      </c>
      <c r="E8" s="3">
        <v>14</v>
      </c>
      <c r="F8" s="3">
        <v>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-150</v>
      </c>
      <c r="C10" s="3">
        <v>0</v>
      </c>
      <c r="D10" s="3">
        <v>0</v>
      </c>
      <c r="E10" s="3">
        <v>150</v>
      </c>
      <c r="F10" s="3">
        <v>15</v>
      </c>
    </row>
    <row r="11" spans="1:6" x14ac:dyDescent="0.3">
      <c r="A11" s="2" t="s">
        <v>13</v>
      </c>
      <c r="B11" s="3">
        <f t="shared" si="0"/>
        <v>-14</v>
      </c>
      <c r="C11" s="3">
        <v>0</v>
      </c>
      <c r="D11" s="3">
        <v>0</v>
      </c>
      <c r="E11" s="3">
        <v>14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-20</v>
      </c>
      <c r="C14" s="3">
        <v>0</v>
      </c>
      <c r="D14" s="3">
        <v>0</v>
      </c>
      <c r="E14" s="3">
        <v>20</v>
      </c>
      <c r="F14" s="3">
        <v>1</v>
      </c>
    </row>
    <row r="15" spans="1:6" ht="17.25" thickBot="1" x14ac:dyDescent="0.35">
      <c r="A15" s="4" t="s">
        <v>26</v>
      </c>
      <c r="B15" s="5">
        <f>SUM(B3:B14)</f>
        <v>2147</v>
      </c>
      <c r="C15" s="5">
        <f t="shared" ref="C15:F15" si="1">SUM(C3:C14)</f>
        <v>2500</v>
      </c>
      <c r="D15" s="5">
        <f t="shared" si="1"/>
        <v>3</v>
      </c>
      <c r="E15" s="5">
        <f t="shared" si="1"/>
        <v>353</v>
      </c>
      <c r="F15" s="5">
        <f t="shared" si="1"/>
        <v>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41</v>
      </c>
      <c r="B4" s="3">
        <f t="shared" si="0"/>
        <v>-27</v>
      </c>
      <c r="C4" s="3">
        <v>0</v>
      </c>
      <c r="D4" s="3">
        <v>0</v>
      </c>
      <c r="E4" s="3">
        <v>27</v>
      </c>
      <c r="F4" s="3">
        <v>1</v>
      </c>
    </row>
    <row r="5" spans="1:6" x14ac:dyDescent="0.3">
      <c r="A5" s="2" t="s">
        <v>7</v>
      </c>
      <c r="B5" s="3">
        <f t="shared" si="0"/>
        <v>-13</v>
      </c>
      <c r="C5" s="3">
        <v>0</v>
      </c>
      <c r="D5" s="3">
        <v>0</v>
      </c>
      <c r="E5" s="3">
        <v>13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-13</v>
      </c>
      <c r="C7" s="3">
        <v>0</v>
      </c>
      <c r="D7" s="3">
        <v>0</v>
      </c>
      <c r="E7" s="3">
        <v>13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-17690</v>
      </c>
      <c r="C9" s="3">
        <v>0</v>
      </c>
      <c r="D9" s="3">
        <v>0</v>
      </c>
      <c r="E9" s="3">
        <v>17690</v>
      </c>
      <c r="F9" s="3">
        <v>21000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-657973</v>
      </c>
      <c r="C12" s="3">
        <v>0</v>
      </c>
      <c r="D12" s="3">
        <v>0</v>
      </c>
      <c r="E12" s="3">
        <v>657973</v>
      </c>
      <c r="F12" s="3">
        <v>546500</v>
      </c>
    </row>
    <row r="13" spans="1:6" x14ac:dyDescent="0.3">
      <c r="A13" s="2" t="s">
        <v>15</v>
      </c>
      <c r="B13" s="3">
        <f t="shared" si="0"/>
        <v>-10364278</v>
      </c>
      <c r="C13" s="3">
        <v>0</v>
      </c>
      <c r="D13" s="3">
        <v>0</v>
      </c>
      <c r="E13" s="3">
        <v>10364278</v>
      </c>
      <c r="F13" s="3">
        <v>8891172</v>
      </c>
    </row>
    <row r="14" spans="1:6" x14ac:dyDescent="0.3">
      <c r="A14" s="2" t="s">
        <v>16</v>
      </c>
      <c r="B14" s="3">
        <f t="shared" si="0"/>
        <v>-8833801</v>
      </c>
      <c r="C14" s="3">
        <v>0</v>
      </c>
      <c r="D14" s="3">
        <v>0</v>
      </c>
      <c r="E14" s="3">
        <v>8833801</v>
      </c>
      <c r="F14" s="3">
        <v>7556633</v>
      </c>
    </row>
    <row r="15" spans="1:6" ht="17.25" thickBot="1" x14ac:dyDescent="0.35">
      <c r="A15" s="4" t="s">
        <v>34</v>
      </c>
      <c r="B15" s="5">
        <f>SUM(B3:B14)</f>
        <v>-19873795</v>
      </c>
      <c r="C15" s="5">
        <f t="shared" ref="C15:F15" si="1">SUM(C3:C14)</f>
        <v>0</v>
      </c>
      <c r="D15" s="5">
        <f t="shared" si="1"/>
        <v>0</v>
      </c>
      <c r="E15" s="5">
        <f t="shared" si="1"/>
        <v>19873795</v>
      </c>
      <c r="F15" s="5">
        <f t="shared" si="1"/>
        <v>17015308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-603773</v>
      </c>
      <c r="C3" s="3">
        <v>0</v>
      </c>
      <c r="D3" s="3">
        <v>0</v>
      </c>
      <c r="E3" s="3">
        <v>603773</v>
      </c>
      <c r="F3" s="3">
        <v>515922</v>
      </c>
    </row>
    <row r="4" spans="1:6" x14ac:dyDescent="0.3">
      <c r="A4" s="2" t="s">
        <v>41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-928567</v>
      </c>
      <c r="C5" s="3">
        <v>0</v>
      </c>
      <c r="D5" s="3">
        <v>0</v>
      </c>
      <c r="E5" s="3">
        <v>928567</v>
      </c>
      <c r="F5" s="3">
        <v>765080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-8</v>
      </c>
      <c r="C8" s="3">
        <v>0</v>
      </c>
      <c r="D8" s="3">
        <v>0</v>
      </c>
      <c r="E8" s="3">
        <v>8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-1532348</v>
      </c>
      <c r="C15" s="5">
        <f t="shared" ref="C15:F15" si="1">SUM(C3:C14)</f>
        <v>0</v>
      </c>
      <c r="D15" s="5">
        <f t="shared" si="1"/>
        <v>0</v>
      </c>
      <c r="E15" s="5">
        <f t="shared" si="1"/>
        <v>1532348</v>
      </c>
      <c r="F15" s="5">
        <f t="shared" si="1"/>
        <v>1281004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2026-07-14T07:08:56Z</dcterms:created>
  <dcterms:modified xsi:type="dcterms:W3CDTF">2026-07-16T05:25:04Z</dcterms:modified>
</cp:coreProperties>
</file>