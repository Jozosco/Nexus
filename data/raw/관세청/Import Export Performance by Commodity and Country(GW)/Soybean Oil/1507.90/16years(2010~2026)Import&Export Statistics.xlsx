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유\1507.90\분획물(.9000)\"/>
    </mc:Choice>
  </mc:AlternateContent>
  <bookViews>
    <workbookView xWindow="0" yWindow="0" windowWidth="28800" windowHeight="11640" firstSheet="3" activeTab="16"/>
  </bookViews>
  <sheets>
    <sheet name="2010년" sheetId="12" r:id="rId1"/>
    <sheet name="2011년" sheetId="13" r:id="rId2"/>
    <sheet name="2012년" sheetId="14" r:id="rId3"/>
    <sheet name="2013년" sheetId="15" r:id="rId4"/>
    <sheet name="2014년" sheetId="16" r:id="rId5"/>
    <sheet name="2015년" sheetId="17" r:id="rId6"/>
    <sheet name="2016년" sheetId="18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1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8" l="1"/>
  <c r="E15" i="18"/>
  <c r="D15" i="18"/>
  <c r="C15" i="18"/>
  <c r="B14" i="18"/>
  <c r="B13" i="18"/>
  <c r="B12" i="18"/>
  <c r="B11" i="18"/>
  <c r="B10" i="18"/>
  <c r="B9" i="18"/>
  <c r="B8" i="18"/>
  <c r="B7" i="18"/>
  <c r="B6" i="18"/>
  <c r="B5" i="18"/>
  <c r="B4" i="18"/>
  <c r="B3" i="18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2" l="1"/>
  <c r="B15" i="18"/>
  <c r="B15" i="17"/>
  <c r="B15" i="13"/>
  <c r="B15" i="14"/>
  <c r="B15" i="15"/>
  <c r="B15" i="16"/>
  <c r="B15" i="11"/>
  <c r="B3" i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F15" i="2"/>
  <c r="E15" i="2"/>
  <c r="D15" i="2"/>
  <c r="C15" i="2"/>
  <c r="B14" i="2"/>
  <c r="B13" i="2"/>
  <c r="B12" i="2"/>
  <c r="B11" i="2"/>
  <c r="B10" i="2"/>
  <c r="B9" i="2"/>
  <c r="B8" i="2"/>
  <c r="B7" i="2"/>
  <c r="B6" i="2"/>
  <c r="B5" i="2"/>
  <c r="B4" i="2"/>
  <c r="B3" i="2"/>
  <c r="F15" i="1"/>
  <c r="E15" i="1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<sst xmlns="http://schemas.openxmlformats.org/spreadsheetml/2006/main" count="306" uniqueCount="43">
  <si>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</si>
  <si>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</si>
  <si>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</si>
  <si>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</si>
  <si>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</si>
  <si>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</si>
  <si>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</si>
  <si>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</si>
  <si>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</si>
  <si>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</si>
  <si>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</si>
  <si>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</si>
  <si>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</si>
  <si>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</si>
  <si>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</si>
  <si>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</si>
  <si>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</si>
  <si>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</si>
  <si>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</si>
  <si>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</si>
  <si>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</si>
  <si>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</si>
  <si>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</si>
  <si>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</si>
  <si>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</si>
  <si>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</si>
  <si>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</si>
  <si>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</si>
  <si>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</si>
  <si>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</si>
  <si>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</si>
  <si>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</si>
  <si>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</si>
  <si>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</si>
  <si>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</si>
  <si>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</si>
  <si>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수입액(달러)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</si>
  <si>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</si>
  <si>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</si>
  <si>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</si>
  <si>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</si>
  <si>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2월</t>
    <phoneticPr fontId="1" type="noConversion"/>
  </si>
  <si>
    <t>무역수지(달러)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</si>
</sst>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8" si="0">C3-E3</f>
        <v>153502</v>
      </c>
      <c r="C3" s="3">
        <v>163938</v>
      </c>
      <c r="D3" s="3">
        <v>91377</v>
      </c>
      <c r="E3" s="3">
        <v>10436</v>
      </c>
      <c r="F3" s="3">
        <v>1098</v>
      </c>
    </row>
    <row r="4" spans="1:6" x14ac:dyDescent="0.3">
      <c r="A4" s="2" t="s">
        <v>6</v>
      </c>
      <c r="B4" s="3">
        <f t="shared" si="0"/>
        <v>81320</v>
      </c>
      <c r="C4" s="3">
        <v>107906</v>
      </c>
      <c r="D4" s="3">
        <v>52680</v>
      </c>
      <c r="E4" s="3">
        <v>26586</v>
      </c>
      <c r="F4" s="3">
        <v>8606</v>
      </c>
    </row>
    <row r="5" spans="1:6" x14ac:dyDescent="0.3">
      <c r="A5" s="2" t="s">
        <v>7</v>
      </c>
      <c r="B5" s="3">
        <f t="shared" si="0"/>
        <v>97441</v>
      </c>
      <c r="C5" s="3">
        <v>97891</v>
      </c>
      <c r="D5" s="3">
        <v>66592</v>
      </c>
      <c r="E5" s="3">
        <v>450</v>
      </c>
      <c r="F5" s="3">
        <v>194</v>
      </c>
    </row>
    <row r="6" spans="1:6" x14ac:dyDescent="0.3">
      <c r="A6" s="2" t="s">
        <v>8</v>
      </c>
      <c r="B6" s="3">
        <f t="shared" si="0"/>
        <v>126808</v>
      </c>
      <c r="C6" s="3">
        <v>173199</v>
      </c>
      <c r="D6" s="3">
        <v>118033</v>
      </c>
      <c r="E6" s="3">
        <v>46391</v>
      </c>
      <c r="F6" s="3">
        <v>458</v>
      </c>
    </row>
    <row r="7" spans="1:6" x14ac:dyDescent="0.3">
      <c r="A7" s="2" t="s">
        <v>9</v>
      </c>
      <c r="B7" s="3">
        <f t="shared" si="0"/>
        <v>58439</v>
      </c>
      <c r="C7" s="3">
        <v>63093</v>
      </c>
      <c r="D7" s="3">
        <v>42907</v>
      </c>
      <c r="E7" s="3">
        <v>4654</v>
      </c>
      <c r="F7" s="3">
        <v>1005</v>
      </c>
    </row>
    <row r="8" spans="1:6" x14ac:dyDescent="0.3">
      <c r="A8" s="2" t="s">
        <v>10</v>
      </c>
      <c r="B8" s="3">
        <f t="shared" si="0"/>
        <v>84978</v>
      </c>
      <c r="C8" s="3">
        <v>85010</v>
      </c>
      <c r="D8" s="3">
        <v>49532</v>
      </c>
      <c r="E8" s="3">
        <v>32</v>
      </c>
      <c r="F8" s="3">
        <v>2</v>
      </c>
    </row>
    <row r="9" spans="1:6" x14ac:dyDescent="0.3">
      <c r="A9" s="2" t="s">
        <v>11</v>
      </c>
      <c r="B9" s="3">
        <f>C9-E9</f>
        <v>218585</v>
      </c>
      <c r="C9" s="3">
        <v>222635</v>
      </c>
      <c r="D9" s="3">
        <v>101462</v>
      </c>
      <c r="E9" s="3">
        <v>4050</v>
      </c>
      <c r="F9" s="3">
        <v>717</v>
      </c>
    </row>
    <row r="10" spans="1:6" x14ac:dyDescent="0.3">
      <c r="A10" s="2" t="s">
        <v>12</v>
      </c>
      <c r="B10" s="3">
        <f t="shared" ref="B10:B14" si="1">C10-E10</f>
        <v>341050</v>
      </c>
      <c r="C10" s="3">
        <v>391076</v>
      </c>
      <c r="D10" s="3">
        <v>220925</v>
      </c>
      <c r="E10" s="3">
        <v>50026</v>
      </c>
      <c r="F10" s="3">
        <v>2391</v>
      </c>
    </row>
    <row r="11" spans="1:6" x14ac:dyDescent="0.3">
      <c r="A11" s="2" t="s">
        <v>13</v>
      </c>
      <c r="B11" s="3">
        <f t="shared" si="1"/>
        <v>257102</v>
      </c>
      <c r="C11" s="3">
        <v>310291</v>
      </c>
      <c r="D11" s="3">
        <v>159438</v>
      </c>
      <c r="E11" s="3">
        <v>53189</v>
      </c>
      <c r="F11" s="3">
        <v>16087</v>
      </c>
    </row>
    <row r="12" spans="1:6" x14ac:dyDescent="0.3">
      <c r="A12" s="2" t="s">
        <v>14</v>
      </c>
      <c r="B12" s="3">
        <f t="shared" si="1"/>
        <v>554296</v>
      </c>
      <c r="C12" s="3">
        <v>554519</v>
      </c>
      <c r="D12" s="3">
        <v>274117</v>
      </c>
      <c r="E12" s="3">
        <v>223</v>
      </c>
      <c r="F12" s="3">
        <v>77</v>
      </c>
    </row>
    <row r="13" spans="1:6" x14ac:dyDescent="0.3">
      <c r="A13" s="2" t="s">
        <v>15</v>
      </c>
      <c r="B13" s="3">
        <f t="shared" si="1"/>
        <v>325124</v>
      </c>
      <c r="C13" s="3">
        <v>502112</v>
      </c>
      <c r="D13" s="3">
        <v>303502</v>
      </c>
      <c r="E13" s="3">
        <v>176988</v>
      </c>
      <c r="F13" s="3">
        <v>4940</v>
      </c>
    </row>
    <row r="14" spans="1:6" x14ac:dyDescent="0.3">
      <c r="A14" s="2" t="s">
        <v>16</v>
      </c>
      <c r="B14" s="3">
        <f t="shared" si="1"/>
        <v>279506</v>
      </c>
      <c r="C14" s="3">
        <v>297899</v>
      </c>
      <c r="D14" s="3">
        <v>86950</v>
      </c>
      <c r="E14" s="3">
        <v>18393</v>
      </c>
      <c r="F14" s="3">
        <v>210</v>
      </c>
    </row>
    <row r="15" spans="1:6" ht="17.25" thickBot="1" x14ac:dyDescent="0.35">
      <c r="A15" s="4" t="s">
        <v>17</v>
      </c>
      <c r="B15" s="5">
        <f>SUM(B3:B14)</f>
        <v>2578151</v>
      </c>
      <c r="C15" s="5">
        <f t="shared" ref="C15:F15" si="2">SUM(C3:C14)</f>
        <v>2969569</v>
      </c>
      <c r="D15" s="5">
        <f t="shared" si="2"/>
        <v>1567515</v>
      </c>
      <c r="E15" s="5">
        <f t="shared" si="2"/>
        <v>391418</v>
      </c>
      <c r="F15" s="5">
        <f t="shared" si="2"/>
        <v>35785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190790</v>
      </c>
      <c r="C3" s="3">
        <v>274639</v>
      </c>
      <c r="D3" s="3">
        <v>152843</v>
      </c>
      <c r="E3" s="3">
        <v>83849</v>
      </c>
      <c r="F3" s="3">
        <v>23345</v>
      </c>
    </row>
    <row r="4" spans="1:6" x14ac:dyDescent="0.3">
      <c r="A4" s="2" t="s">
        <v>24</v>
      </c>
      <c r="B4" s="3">
        <f t="shared" ref="B4:B14" si="0">C4-E4</f>
        <v>498841</v>
      </c>
      <c r="C4" s="3">
        <v>499683</v>
      </c>
      <c r="D4" s="3">
        <v>285994</v>
      </c>
      <c r="E4" s="3">
        <v>842</v>
      </c>
      <c r="F4" s="3">
        <v>210</v>
      </c>
    </row>
    <row r="5" spans="1:6" x14ac:dyDescent="0.3">
      <c r="A5" s="2" t="s">
        <v>25</v>
      </c>
      <c r="B5" s="3">
        <f t="shared" si="0"/>
        <v>846417</v>
      </c>
      <c r="C5" s="3">
        <v>850628</v>
      </c>
      <c r="D5" s="3">
        <v>524164</v>
      </c>
      <c r="E5" s="3">
        <v>4211</v>
      </c>
      <c r="F5" s="3">
        <v>535</v>
      </c>
    </row>
    <row r="6" spans="1:6" x14ac:dyDescent="0.3">
      <c r="A6" s="2" t="s">
        <v>8</v>
      </c>
      <c r="B6" s="3">
        <f t="shared" si="0"/>
        <v>1355672</v>
      </c>
      <c r="C6" s="3">
        <v>1364371</v>
      </c>
      <c r="D6" s="3">
        <v>808015</v>
      </c>
      <c r="E6" s="3">
        <v>8699</v>
      </c>
      <c r="F6" s="3">
        <v>60</v>
      </c>
    </row>
    <row r="7" spans="1:6" x14ac:dyDescent="0.3">
      <c r="A7" s="2" t="s">
        <v>9</v>
      </c>
      <c r="B7" s="3">
        <f t="shared" si="0"/>
        <v>577875</v>
      </c>
      <c r="C7" s="3">
        <v>662600</v>
      </c>
      <c r="D7" s="3">
        <v>348320</v>
      </c>
      <c r="E7" s="3">
        <v>84725</v>
      </c>
      <c r="F7" s="3">
        <v>1007</v>
      </c>
    </row>
    <row r="8" spans="1:6" x14ac:dyDescent="0.3">
      <c r="A8" s="2" t="s">
        <v>10</v>
      </c>
      <c r="B8" s="3">
        <f t="shared" si="0"/>
        <v>743768</v>
      </c>
      <c r="C8" s="3">
        <v>744179</v>
      </c>
      <c r="D8" s="3">
        <v>382853</v>
      </c>
      <c r="E8" s="3">
        <v>411</v>
      </c>
      <c r="F8" s="3">
        <v>22</v>
      </c>
    </row>
    <row r="9" spans="1:6" x14ac:dyDescent="0.3">
      <c r="A9" s="2" t="s">
        <v>11</v>
      </c>
      <c r="B9" s="3">
        <f t="shared" si="0"/>
        <v>486813</v>
      </c>
      <c r="C9" s="3">
        <v>491142</v>
      </c>
      <c r="D9" s="3">
        <v>239366</v>
      </c>
      <c r="E9" s="3">
        <v>4329</v>
      </c>
      <c r="F9" s="3">
        <v>258</v>
      </c>
    </row>
    <row r="10" spans="1:6" x14ac:dyDescent="0.3">
      <c r="A10" s="2" t="s">
        <v>12</v>
      </c>
      <c r="B10" s="3">
        <f t="shared" si="0"/>
        <v>164130</v>
      </c>
      <c r="C10" s="3">
        <v>172383</v>
      </c>
      <c r="D10" s="3">
        <v>60363</v>
      </c>
      <c r="E10" s="3">
        <v>8253</v>
      </c>
      <c r="F10" s="3">
        <v>1501</v>
      </c>
    </row>
    <row r="11" spans="1:6" x14ac:dyDescent="0.3">
      <c r="A11" s="2" t="s">
        <v>13</v>
      </c>
      <c r="B11" s="3">
        <f t="shared" si="0"/>
        <v>117966</v>
      </c>
      <c r="C11" s="3">
        <v>145213</v>
      </c>
      <c r="D11" s="3">
        <v>50805</v>
      </c>
      <c r="E11" s="3">
        <v>27247</v>
      </c>
      <c r="F11" s="3">
        <v>5246</v>
      </c>
    </row>
    <row r="12" spans="1:6" x14ac:dyDescent="0.3">
      <c r="A12" s="2" t="s">
        <v>14</v>
      </c>
      <c r="B12" s="3">
        <f t="shared" si="0"/>
        <v>246333</v>
      </c>
      <c r="C12" s="3">
        <v>256116</v>
      </c>
      <c r="D12" s="3">
        <v>86981</v>
      </c>
      <c r="E12" s="3">
        <v>9783</v>
      </c>
      <c r="F12" s="3">
        <v>74</v>
      </c>
    </row>
    <row r="13" spans="1:6" x14ac:dyDescent="0.3">
      <c r="A13" s="2" t="s">
        <v>15</v>
      </c>
      <c r="B13" s="3">
        <f t="shared" si="0"/>
        <v>220196</v>
      </c>
      <c r="C13" s="3">
        <v>222944</v>
      </c>
      <c r="D13" s="3">
        <v>71418</v>
      </c>
      <c r="E13" s="3">
        <v>2748</v>
      </c>
      <c r="F13" s="3">
        <v>930</v>
      </c>
    </row>
    <row r="14" spans="1:6" x14ac:dyDescent="0.3">
      <c r="A14" s="2" t="s">
        <v>16</v>
      </c>
      <c r="B14" s="3">
        <f t="shared" si="0"/>
        <v>521600</v>
      </c>
      <c r="C14" s="3">
        <v>580701</v>
      </c>
      <c r="D14" s="3">
        <v>197273</v>
      </c>
      <c r="E14" s="3">
        <v>59101</v>
      </c>
      <c r="F14" s="3">
        <v>2405</v>
      </c>
    </row>
    <row r="15" spans="1:6" ht="17.25" thickBot="1" x14ac:dyDescent="0.35">
      <c r="A15" s="4" t="s">
        <v>26</v>
      </c>
      <c r="B15" s="5">
        <f>SUM(B3:B14)</f>
        <v>5970401</v>
      </c>
      <c r="C15" s="5">
        <f t="shared" ref="C15:F15" si="1">SUM(C3:C14)</f>
        <v>6264599</v>
      </c>
      <c r="D15" s="5">
        <f t="shared" si="1"/>
        <v>3208395</v>
      </c>
      <c r="E15" s="5">
        <f t="shared" si="1"/>
        <v>294198</v>
      </c>
      <c r="F15" s="5">
        <f t="shared" si="1"/>
        <v>35593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326697</v>
      </c>
      <c r="C3" s="3">
        <v>371782</v>
      </c>
      <c r="D3" s="3">
        <v>137900</v>
      </c>
      <c r="E3" s="3">
        <v>45085</v>
      </c>
      <c r="F3" s="3">
        <v>9207</v>
      </c>
    </row>
    <row r="4" spans="1:6" x14ac:dyDescent="0.3">
      <c r="A4" s="2" t="s">
        <v>24</v>
      </c>
      <c r="B4" s="3">
        <f t="shared" si="0"/>
        <v>207943</v>
      </c>
      <c r="C4" s="3">
        <v>213473</v>
      </c>
      <c r="D4" s="3">
        <v>74846</v>
      </c>
      <c r="E4" s="3">
        <v>5530</v>
      </c>
      <c r="F4" s="3">
        <v>490</v>
      </c>
    </row>
    <row r="5" spans="1:6" x14ac:dyDescent="0.3">
      <c r="A5" s="2" t="s">
        <v>33</v>
      </c>
      <c r="B5" s="3">
        <f t="shared" si="0"/>
        <v>361462</v>
      </c>
      <c r="C5" s="3">
        <v>372359</v>
      </c>
      <c r="D5" s="3">
        <v>104525</v>
      </c>
      <c r="E5" s="3">
        <v>10897</v>
      </c>
      <c r="F5" s="3">
        <v>444</v>
      </c>
    </row>
    <row r="6" spans="1:6" x14ac:dyDescent="0.3">
      <c r="A6" s="2" t="s">
        <v>8</v>
      </c>
      <c r="B6" s="3">
        <f t="shared" si="0"/>
        <v>227200</v>
      </c>
      <c r="C6" s="3">
        <v>299177</v>
      </c>
      <c r="D6" s="3">
        <v>123954</v>
      </c>
      <c r="E6" s="3">
        <v>71977</v>
      </c>
      <c r="F6" s="3">
        <v>19686</v>
      </c>
    </row>
    <row r="7" spans="1:6" x14ac:dyDescent="0.3">
      <c r="A7" s="2" t="s">
        <v>9</v>
      </c>
      <c r="B7" s="3">
        <f t="shared" si="0"/>
        <v>310177</v>
      </c>
      <c r="C7" s="3">
        <v>311043</v>
      </c>
      <c r="D7" s="3">
        <v>125452</v>
      </c>
      <c r="E7" s="3">
        <v>866</v>
      </c>
      <c r="F7" s="3">
        <v>478</v>
      </c>
    </row>
    <row r="8" spans="1:6" x14ac:dyDescent="0.3">
      <c r="A8" s="2" t="s">
        <v>10</v>
      </c>
      <c r="B8" s="3">
        <f t="shared" si="0"/>
        <v>214110</v>
      </c>
      <c r="C8" s="3">
        <v>236001</v>
      </c>
      <c r="D8" s="3">
        <v>85559</v>
      </c>
      <c r="E8" s="3">
        <v>21891</v>
      </c>
      <c r="F8" s="3">
        <v>999</v>
      </c>
    </row>
    <row r="9" spans="1:6" x14ac:dyDescent="0.3">
      <c r="A9" s="2" t="s">
        <v>11</v>
      </c>
      <c r="B9" s="3">
        <f t="shared" si="0"/>
        <v>300787</v>
      </c>
      <c r="C9" s="3">
        <v>337319</v>
      </c>
      <c r="D9" s="3">
        <v>147651</v>
      </c>
      <c r="E9" s="3">
        <v>36532</v>
      </c>
      <c r="F9" s="3">
        <v>14989</v>
      </c>
    </row>
    <row r="10" spans="1:6" x14ac:dyDescent="0.3">
      <c r="A10" s="2" t="s">
        <v>12</v>
      </c>
      <c r="B10" s="3">
        <f t="shared" si="0"/>
        <v>242632</v>
      </c>
      <c r="C10" s="3">
        <v>358575</v>
      </c>
      <c r="D10" s="3">
        <v>107678</v>
      </c>
      <c r="E10" s="3">
        <v>115943</v>
      </c>
      <c r="F10" s="3">
        <v>28907</v>
      </c>
    </row>
    <row r="11" spans="1:6" x14ac:dyDescent="0.3">
      <c r="A11" s="2" t="s">
        <v>13</v>
      </c>
      <c r="B11" s="3">
        <f t="shared" si="0"/>
        <v>223311</v>
      </c>
      <c r="C11" s="3">
        <v>232807</v>
      </c>
      <c r="D11" s="3">
        <v>64798</v>
      </c>
      <c r="E11" s="3">
        <v>9496</v>
      </c>
      <c r="F11" s="3">
        <v>805</v>
      </c>
    </row>
    <row r="12" spans="1:6" x14ac:dyDescent="0.3">
      <c r="A12" s="2" t="s">
        <v>14</v>
      </c>
      <c r="B12" s="3">
        <f t="shared" si="0"/>
        <v>272335</v>
      </c>
      <c r="C12" s="3">
        <v>276407</v>
      </c>
      <c r="D12" s="3">
        <v>81539</v>
      </c>
      <c r="E12" s="3">
        <v>4072</v>
      </c>
      <c r="F12" s="3">
        <v>190</v>
      </c>
    </row>
    <row r="13" spans="1:6" x14ac:dyDescent="0.3">
      <c r="A13" s="2" t="s">
        <v>15</v>
      </c>
      <c r="B13" s="3">
        <f t="shared" si="0"/>
        <v>239418</v>
      </c>
      <c r="C13" s="3">
        <v>322841</v>
      </c>
      <c r="D13" s="3">
        <v>104293</v>
      </c>
      <c r="E13" s="3">
        <v>83423</v>
      </c>
      <c r="F13" s="3">
        <v>3186</v>
      </c>
    </row>
    <row r="14" spans="1:6" x14ac:dyDescent="0.3">
      <c r="A14" s="2" t="s">
        <v>16</v>
      </c>
      <c r="B14" s="3">
        <f t="shared" si="0"/>
        <v>115742</v>
      </c>
      <c r="C14" s="3">
        <v>183981</v>
      </c>
      <c r="D14" s="3">
        <v>47159</v>
      </c>
      <c r="E14" s="3">
        <v>68239</v>
      </c>
      <c r="F14" s="3">
        <v>13140</v>
      </c>
    </row>
    <row r="15" spans="1:6" ht="17.25" thickBot="1" x14ac:dyDescent="0.35">
      <c r="A15" s="4" t="s">
        <v>34</v>
      </c>
      <c r="B15" s="5">
        <f>SUM(B3:B14)</f>
        <v>3041814</v>
      </c>
      <c r="C15" s="5">
        <f t="shared" ref="C15:F15" si="1">SUM(C3:C14)</f>
        <v>3515765</v>
      </c>
      <c r="D15" s="5">
        <f t="shared" si="1"/>
        <v>1205354</v>
      </c>
      <c r="E15" s="5">
        <f t="shared" si="1"/>
        <v>473951</v>
      </c>
      <c r="F15" s="5">
        <f t="shared" si="1"/>
        <v>92521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335734</v>
      </c>
      <c r="C3" s="3">
        <v>335792</v>
      </c>
      <c r="D3" s="3">
        <v>94471</v>
      </c>
      <c r="E3" s="3">
        <v>58</v>
      </c>
      <c r="F3" s="3">
        <v>4</v>
      </c>
    </row>
    <row r="4" spans="1:6" x14ac:dyDescent="0.3">
      <c r="A4" s="2" t="s">
        <v>24</v>
      </c>
      <c r="B4" s="3">
        <f t="shared" si="0"/>
        <v>134803</v>
      </c>
      <c r="C4" s="3">
        <v>153576</v>
      </c>
      <c r="D4" s="3">
        <v>65820</v>
      </c>
      <c r="E4" s="3">
        <v>18773</v>
      </c>
      <c r="F4" s="3">
        <v>1438</v>
      </c>
    </row>
    <row r="5" spans="1:6" x14ac:dyDescent="0.3">
      <c r="A5" s="2" t="s">
        <v>25</v>
      </c>
      <c r="B5" s="3">
        <f t="shared" si="0"/>
        <v>149852</v>
      </c>
      <c r="C5" s="3">
        <v>156715</v>
      </c>
      <c r="D5" s="3">
        <v>52532</v>
      </c>
      <c r="E5" s="3">
        <v>6863</v>
      </c>
      <c r="F5" s="3">
        <v>604</v>
      </c>
    </row>
    <row r="6" spans="1:6" x14ac:dyDescent="0.3">
      <c r="A6" s="2" t="s">
        <v>8</v>
      </c>
      <c r="B6" s="3">
        <f t="shared" si="0"/>
        <v>78804</v>
      </c>
      <c r="C6" s="3">
        <v>83004</v>
      </c>
      <c r="D6" s="3">
        <v>19097</v>
      </c>
      <c r="E6" s="3">
        <v>4200</v>
      </c>
      <c r="F6" s="3">
        <v>342</v>
      </c>
    </row>
    <row r="7" spans="1:6" x14ac:dyDescent="0.3">
      <c r="A7" s="2" t="s">
        <v>9</v>
      </c>
      <c r="B7" s="3">
        <f t="shared" si="0"/>
        <v>97962</v>
      </c>
      <c r="C7" s="3">
        <v>119362</v>
      </c>
      <c r="D7" s="3">
        <v>43846</v>
      </c>
      <c r="E7" s="3">
        <v>21400</v>
      </c>
      <c r="F7" s="3">
        <v>3526</v>
      </c>
    </row>
    <row r="8" spans="1:6" x14ac:dyDescent="0.3">
      <c r="A8" s="2" t="s">
        <v>10</v>
      </c>
      <c r="B8" s="3">
        <f t="shared" si="0"/>
        <v>106674</v>
      </c>
      <c r="C8" s="3">
        <v>106674</v>
      </c>
      <c r="D8" s="3">
        <v>39376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123803</v>
      </c>
      <c r="C9" s="3">
        <v>168839</v>
      </c>
      <c r="D9" s="3">
        <v>65913</v>
      </c>
      <c r="E9" s="3">
        <v>45036</v>
      </c>
      <c r="F9" s="3">
        <v>468</v>
      </c>
    </row>
    <row r="10" spans="1:6" x14ac:dyDescent="0.3">
      <c r="A10" s="2" t="s">
        <v>12</v>
      </c>
      <c r="B10" s="3">
        <f t="shared" si="0"/>
        <v>202807</v>
      </c>
      <c r="C10" s="3">
        <v>208089</v>
      </c>
      <c r="D10" s="3">
        <v>74524</v>
      </c>
      <c r="E10" s="3">
        <v>5282</v>
      </c>
      <c r="F10" s="3">
        <v>391</v>
      </c>
    </row>
    <row r="11" spans="1:6" x14ac:dyDescent="0.3">
      <c r="A11" s="2" t="s">
        <v>13</v>
      </c>
      <c r="B11" s="3">
        <f t="shared" si="0"/>
        <v>124023</v>
      </c>
      <c r="C11" s="3">
        <v>124023</v>
      </c>
      <c r="D11" s="3">
        <v>43597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160873</v>
      </c>
      <c r="C12" s="3">
        <v>160979</v>
      </c>
      <c r="D12" s="3">
        <v>58258</v>
      </c>
      <c r="E12" s="3">
        <v>106</v>
      </c>
      <c r="F12" s="3">
        <v>4</v>
      </c>
    </row>
    <row r="13" spans="1:6" x14ac:dyDescent="0.3">
      <c r="A13" s="2" t="s">
        <v>15</v>
      </c>
      <c r="B13" s="3">
        <f t="shared" si="0"/>
        <v>68509</v>
      </c>
      <c r="C13" s="3">
        <v>68591</v>
      </c>
      <c r="D13" s="3">
        <v>24437</v>
      </c>
      <c r="E13" s="3">
        <v>82</v>
      </c>
      <c r="F13" s="3">
        <v>7</v>
      </c>
    </row>
    <row r="14" spans="1:6" x14ac:dyDescent="0.3">
      <c r="A14" s="2" t="s">
        <v>16</v>
      </c>
      <c r="B14" s="3">
        <f t="shared" si="0"/>
        <v>43272</v>
      </c>
      <c r="C14" s="3">
        <v>46891</v>
      </c>
      <c r="D14" s="3">
        <v>23684</v>
      </c>
      <c r="E14" s="3">
        <v>3619</v>
      </c>
      <c r="F14" s="3">
        <v>236</v>
      </c>
    </row>
    <row r="15" spans="1:6" ht="17.25" thickBot="1" x14ac:dyDescent="0.35">
      <c r="A15" s="4" t="s">
        <v>26</v>
      </c>
      <c r="B15" s="5">
        <f>SUM(B3:B14)</f>
        <v>1627116</v>
      </c>
      <c r="C15" s="5">
        <f t="shared" ref="C15:F15" si="1">SUM(C3:C14)</f>
        <v>1732535</v>
      </c>
      <c r="D15" s="5">
        <f t="shared" si="1"/>
        <v>605555</v>
      </c>
      <c r="E15" s="5">
        <f t="shared" si="1"/>
        <v>105419</v>
      </c>
      <c r="F15" s="5">
        <f t="shared" si="1"/>
        <v>7020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35</v>
      </c>
      <c r="C2" s="1" t="s">
        <v>28</v>
      </c>
      <c r="D2" s="1" t="s">
        <v>29</v>
      </c>
      <c r="E2" s="1" t="s">
        <v>36</v>
      </c>
      <c r="F2" s="1" t="s">
        <v>31</v>
      </c>
    </row>
    <row r="3" spans="1:6" x14ac:dyDescent="0.3">
      <c r="A3" s="2" t="s">
        <v>37</v>
      </c>
      <c r="B3" s="3">
        <f t="shared" ref="B3:B14" si="0">C3-E3</f>
        <v>135817</v>
      </c>
      <c r="C3" s="3">
        <v>142976</v>
      </c>
      <c r="D3" s="3">
        <v>61018</v>
      </c>
      <c r="E3" s="3">
        <v>7159</v>
      </c>
      <c r="F3" s="3">
        <v>67</v>
      </c>
    </row>
    <row r="4" spans="1:6" x14ac:dyDescent="0.3">
      <c r="A4" s="2" t="s">
        <v>38</v>
      </c>
      <c r="B4" s="3">
        <f t="shared" si="0"/>
        <v>150306</v>
      </c>
      <c r="C4" s="3">
        <v>155995</v>
      </c>
      <c r="D4" s="3">
        <v>69827</v>
      </c>
      <c r="E4" s="3">
        <v>5689</v>
      </c>
      <c r="F4" s="3">
        <v>712</v>
      </c>
    </row>
    <row r="5" spans="1:6" x14ac:dyDescent="0.3">
      <c r="A5" s="2" t="s">
        <v>33</v>
      </c>
      <c r="B5" s="3">
        <f t="shared" si="0"/>
        <v>129853</v>
      </c>
      <c r="C5" s="3">
        <v>170343</v>
      </c>
      <c r="D5" s="3">
        <v>136890</v>
      </c>
      <c r="E5" s="3">
        <v>40490</v>
      </c>
      <c r="F5" s="3">
        <v>466</v>
      </c>
    </row>
    <row r="6" spans="1:6" x14ac:dyDescent="0.3">
      <c r="A6" s="2" t="s">
        <v>8</v>
      </c>
      <c r="B6" s="3">
        <f t="shared" si="0"/>
        <v>180874</v>
      </c>
      <c r="C6" s="3">
        <v>184697</v>
      </c>
      <c r="D6" s="3">
        <v>97345</v>
      </c>
      <c r="E6" s="3">
        <v>3823</v>
      </c>
      <c r="F6" s="3">
        <v>341</v>
      </c>
    </row>
    <row r="7" spans="1:6" x14ac:dyDescent="0.3">
      <c r="A7" s="2" t="s">
        <v>9</v>
      </c>
      <c r="B7" s="3">
        <f t="shared" si="0"/>
        <v>128790</v>
      </c>
      <c r="C7" s="3">
        <v>130509</v>
      </c>
      <c r="D7" s="3">
        <v>64919</v>
      </c>
      <c r="E7" s="3">
        <v>1719</v>
      </c>
      <c r="F7" s="3">
        <v>4205</v>
      </c>
    </row>
    <row r="8" spans="1:6" x14ac:dyDescent="0.3">
      <c r="A8" s="2" t="s">
        <v>10</v>
      </c>
      <c r="B8" s="3">
        <f t="shared" si="0"/>
        <v>147757</v>
      </c>
      <c r="C8" s="3">
        <v>147961</v>
      </c>
      <c r="D8" s="3">
        <v>70741</v>
      </c>
      <c r="E8" s="3">
        <v>204</v>
      </c>
      <c r="F8" s="3">
        <v>37</v>
      </c>
    </row>
    <row r="9" spans="1:6" x14ac:dyDescent="0.3">
      <c r="A9" s="2" t="s">
        <v>11</v>
      </c>
      <c r="B9" s="3">
        <f t="shared" si="0"/>
        <v>122144</v>
      </c>
      <c r="C9" s="3">
        <v>126096</v>
      </c>
      <c r="D9" s="3">
        <v>56431</v>
      </c>
      <c r="E9" s="3">
        <v>3952</v>
      </c>
      <c r="F9" s="3">
        <v>450</v>
      </c>
    </row>
    <row r="10" spans="1:6" x14ac:dyDescent="0.3">
      <c r="A10" s="2" t="s">
        <v>12</v>
      </c>
      <c r="B10" s="3">
        <f t="shared" si="0"/>
        <v>67888</v>
      </c>
      <c r="C10" s="3">
        <v>73323</v>
      </c>
      <c r="D10" s="3">
        <v>40429</v>
      </c>
      <c r="E10" s="3">
        <v>5435</v>
      </c>
      <c r="F10" s="3">
        <v>45</v>
      </c>
    </row>
    <row r="11" spans="1:6" x14ac:dyDescent="0.3">
      <c r="A11" s="2" t="s">
        <v>13</v>
      </c>
      <c r="B11" s="3">
        <f t="shared" si="0"/>
        <v>122989</v>
      </c>
      <c r="C11" s="3">
        <v>126390</v>
      </c>
      <c r="D11" s="3">
        <v>67902</v>
      </c>
      <c r="E11" s="3">
        <v>3401</v>
      </c>
      <c r="F11" s="3">
        <v>227</v>
      </c>
    </row>
    <row r="12" spans="1:6" x14ac:dyDescent="0.3">
      <c r="A12" s="2" t="s">
        <v>14</v>
      </c>
      <c r="B12" s="3">
        <f t="shared" si="0"/>
        <v>166410</v>
      </c>
      <c r="C12" s="3">
        <v>166977</v>
      </c>
      <c r="D12" s="3">
        <v>92502</v>
      </c>
      <c r="E12" s="3">
        <v>567</v>
      </c>
      <c r="F12" s="3">
        <v>25</v>
      </c>
    </row>
    <row r="13" spans="1:6" x14ac:dyDescent="0.3">
      <c r="A13" s="2" t="s">
        <v>15</v>
      </c>
      <c r="B13" s="3">
        <f t="shared" si="0"/>
        <v>58208</v>
      </c>
      <c r="C13" s="3">
        <v>65107</v>
      </c>
      <c r="D13" s="3">
        <v>32921</v>
      </c>
      <c r="E13" s="3">
        <v>6899</v>
      </c>
      <c r="F13" s="3">
        <v>78</v>
      </c>
    </row>
    <row r="14" spans="1:6" x14ac:dyDescent="0.3">
      <c r="A14" s="2" t="s">
        <v>16</v>
      </c>
      <c r="B14" s="3">
        <f t="shared" si="0"/>
        <v>188159</v>
      </c>
      <c r="C14" s="3">
        <v>236410</v>
      </c>
      <c r="D14" s="3">
        <v>158219</v>
      </c>
      <c r="E14" s="3">
        <v>48251</v>
      </c>
      <c r="F14" s="3">
        <v>1090</v>
      </c>
    </row>
    <row r="15" spans="1:6" ht="17.25" thickBot="1" x14ac:dyDescent="0.35">
      <c r="A15" s="4" t="s">
        <v>40</v>
      </c>
      <c r="B15" s="5">
        <f>SUM(B3:B14)</f>
        <v>1599195</v>
      </c>
      <c r="C15" s="5">
        <f t="shared" ref="C15:F15" si="1">SUM(C3:C14)</f>
        <v>1726784</v>
      </c>
      <c r="D15" s="5">
        <f t="shared" si="1"/>
        <v>949144</v>
      </c>
      <c r="E15" s="5">
        <f t="shared" si="1"/>
        <v>127589</v>
      </c>
      <c r="F15" s="5">
        <f t="shared" si="1"/>
        <v>7743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8" si="0">C3-E3</f>
        <v>39311</v>
      </c>
      <c r="C3" s="3">
        <v>39406</v>
      </c>
      <c r="D3" s="3">
        <v>29785</v>
      </c>
      <c r="E3" s="3">
        <v>95</v>
      </c>
      <c r="F3" s="3">
        <v>1</v>
      </c>
    </row>
    <row r="4" spans="1:6" x14ac:dyDescent="0.3">
      <c r="A4" s="2" t="s">
        <v>6</v>
      </c>
      <c r="B4" s="3">
        <f t="shared" si="0"/>
        <v>52958</v>
      </c>
      <c r="C4" s="3">
        <v>52995</v>
      </c>
      <c r="D4" s="3">
        <v>36295</v>
      </c>
      <c r="E4" s="3">
        <v>37</v>
      </c>
      <c r="F4" s="3">
        <v>6</v>
      </c>
    </row>
    <row r="5" spans="1:6" x14ac:dyDescent="0.3">
      <c r="A5" s="2" t="s">
        <v>7</v>
      </c>
      <c r="B5" s="3">
        <f t="shared" si="0"/>
        <v>40360</v>
      </c>
      <c r="C5" s="3">
        <v>46054</v>
      </c>
      <c r="D5" s="3">
        <v>33587</v>
      </c>
      <c r="E5" s="3">
        <v>5694</v>
      </c>
      <c r="F5" s="3">
        <v>553</v>
      </c>
    </row>
    <row r="6" spans="1:6" x14ac:dyDescent="0.3">
      <c r="A6" s="2" t="s">
        <v>8</v>
      </c>
      <c r="B6" s="3">
        <f t="shared" si="0"/>
        <v>38438</v>
      </c>
      <c r="C6" s="3">
        <v>43133</v>
      </c>
      <c r="D6" s="3">
        <v>34690</v>
      </c>
      <c r="E6" s="3">
        <v>4695</v>
      </c>
      <c r="F6" s="3">
        <v>643</v>
      </c>
    </row>
    <row r="7" spans="1:6" x14ac:dyDescent="0.3">
      <c r="A7" s="2" t="s">
        <v>9</v>
      </c>
      <c r="B7" s="3">
        <f t="shared" si="0"/>
        <v>41753</v>
      </c>
      <c r="C7" s="3">
        <v>42386</v>
      </c>
      <c r="D7" s="3">
        <v>33873</v>
      </c>
      <c r="E7" s="3">
        <v>633</v>
      </c>
      <c r="F7" s="3">
        <v>33</v>
      </c>
    </row>
    <row r="8" spans="1:6" x14ac:dyDescent="0.3">
      <c r="A8" s="2" t="s">
        <v>10</v>
      </c>
      <c r="B8" s="3">
        <f t="shared" si="0"/>
        <v>78569</v>
      </c>
      <c r="C8" s="3">
        <v>86421</v>
      </c>
      <c r="D8" s="3">
        <v>53943</v>
      </c>
      <c r="E8" s="3">
        <v>7852</v>
      </c>
      <c r="F8" s="3">
        <v>1035</v>
      </c>
    </row>
    <row r="9" spans="1:6" x14ac:dyDescent="0.3">
      <c r="A9" s="2" t="s">
        <v>11</v>
      </c>
      <c r="B9" s="3">
        <f>C9-E9</f>
        <v>1081</v>
      </c>
      <c r="C9" s="3">
        <v>50106</v>
      </c>
      <c r="D9" s="3">
        <v>53384</v>
      </c>
      <c r="E9" s="3">
        <v>49025</v>
      </c>
      <c r="F9" s="3">
        <v>80074</v>
      </c>
    </row>
    <row r="10" spans="1:6" x14ac:dyDescent="0.3">
      <c r="A10" s="2" t="s">
        <v>12</v>
      </c>
      <c r="B10" s="3">
        <f t="shared" ref="B10:B14" si="1">C10-E10</f>
        <v>91838</v>
      </c>
      <c r="C10" s="3">
        <v>96824</v>
      </c>
      <c r="D10" s="3">
        <v>85393</v>
      </c>
      <c r="E10" s="3">
        <v>4986</v>
      </c>
      <c r="F10" s="3">
        <v>714</v>
      </c>
    </row>
    <row r="11" spans="1:6" x14ac:dyDescent="0.3">
      <c r="A11" s="2" t="s">
        <v>13</v>
      </c>
      <c r="B11" s="3">
        <f t="shared" si="1"/>
        <v>9132</v>
      </c>
      <c r="C11" s="3">
        <v>60372</v>
      </c>
      <c r="D11" s="3">
        <v>23373</v>
      </c>
      <c r="E11" s="3">
        <v>51240</v>
      </c>
      <c r="F11" s="3">
        <v>20393</v>
      </c>
    </row>
    <row r="12" spans="1:6" x14ac:dyDescent="0.3">
      <c r="A12" s="2" t="s">
        <v>14</v>
      </c>
      <c r="B12" s="3">
        <f t="shared" si="1"/>
        <v>123812</v>
      </c>
      <c r="C12" s="3">
        <v>131491</v>
      </c>
      <c r="D12" s="3">
        <v>135700</v>
      </c>
      <c r="E12" s="3">
        <v>7679</v>
      </c>
      <c r="F12" s="3">
        <v>706</v>
      </c>
    </row>
    <row r="13" spans="1:6" x14ac:dyDescent="0.3">
      <c r="A13" s="2" t="s">
        <v>15</v>
      </c>
      <c r="B13" s="3">
        <f t="shared" si="1"/>
        <v>140310</v>
      </c>
      <c r="C13" s="3">
        <v>143707</v>
      </c>
      <c r="D13" s="3">
        <v>131057</v>
      </c>
      <c r="E13" s="3">
        <v>3397</v>
      </c>
      <c r="F13" s="3">
        <v>227</v>
      </c>
    </row>
    <row r="14" spans="1:6" x14ac:dyDescent="0.3">
      <c r="A14" s="2" t="s">
        <v>16</v>
      </c>
      <c r="B14" s="3">
        <f t="shared" si="1"/>
        <v>86843</v>
      </c>
      <c r="C14" s="3">
        <v>99785</v>
      </c>
      <c r="D14" s="3">
        <v>76038</v>
      </c>
      <c r="E14" s="3">
        <v>12942</v>
      </c>
      <c r="F14" s="3">
        <v>979</v>
      </c>
    </row>
    <row r="15" spans="1:6" ht="17.25" thickBot="1" x14ac:dyDescent="0.35">
      <c r="A15" s="4" t="s">
        <v>17</v>
      </c>
      <c r="B15" s="5">
        <f>SUM(B3:B14)</f>
        <v>744405</v>
      </c>
      <c r="C15" s="5">
        <f t="shared" ref="C15:F15" si="2">SUM(C3:C14)</f>
        <v>892680</v>
      </c>
      <c r="D15" s="5">
        <f t="shared" si="2"/>
        <v>727118</v>
      </c>
      <c r="E15" s="5">
        <f t="shared" si="2"/>
        <v>148275</v>
      </c>
      <c r="F15" s="5">
        <f t="shared" si="2"/>
        <v>105364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45392</v>
      </c>
      <c r="C3" s="3">
        <v>45807</v>
      </c>
      <c r="D3" s="3">
        <v>43766</v>
      </c>
      <c r="E3" s="3">
        <v>415</v>
      </c>
      <c r="F3" s="3">
        <v>7</v>
      </c>
    </row>
    <row r="4" spans="1:6" x14ac:dyDescent="0.3">
      <c r="A4" s="2" t="s">
        <v>24</v>
      </c>
      <c r="B4" s="3">
        <f t="shared" ref="B4:B14" si="0">C4-E4</f>
        <v>75181</v>
      </c>
      <c r="C4" s="3">
        <v>80797</v>
      </c>
      <c r="D4" s="3">
        <v>64862</v>
      </c>
      <c r="E4" s="3">
        <v>5616</v>
      </c>
      <c r="F4" s="3">
        <v>73</v>
      </c>
    </row>
    <row r="5" spans="1:6" x14ac:dyDescent="0.3">
      <c r="A5" s="2" t="s">
        <v>25</v>
      </c>
      <c r="B5" s="3">
        <f t="shared" si="0"/>
        <v>135785</v>
      </c>
      <c r="C5" s="3">
        <v>142232</v>
      </c>
      <c r="D5" s="3">
        <v>126432</v>
      </c>
      <c r="E5" s="3">
        <v>6447</v>
      </c>
      <c r="F5" s="3">
        <v>688</v>
      </c>
    </row>
    <row r="6" spans="1:6" x14ac:dyDescent="0.3">
      <c r="A6" s="2" t="s">
        <v>8</v>
      </c>
      <c r="B6" s="3">
        <f t="shared" si="0"/>
        <v>24671</v>
      </c>
      <c r="C6" s="3">
        <v>31761</v>
      </c>
      <c r="D6" s="3">
        <v>29000</v>
      </c>
      <c r="E6" s="3">
        <v>7090</v>
      </c>
      <c r="F6" s="3">
        <v>1111</v>
      </c>
    </row>
    <row r="7" spans="1:6" x14ac:dyDescent="0.3">
      <c r="A7" s="2" t="s">
        <v>9</v>
      </c>
      <c r="B7" s="3">
        <f t="shared" si="0"/>
        <v>126906</v>
      </c>
      <c r="C7" s="3">
        <v>127028</v>
      </c>
      <c r="D7" s="3">
        <v>60815</v>
      </c>
      <c r="E7" s="3">
        <v>122</v>
      </c>
      <c r="F7" s="3">
        <v>3</v>
      </c>
    </row>
    <row r="8" spans="1:6" x14ac:dyDescent="0.3">
      <c r="A8" s="2" t="s">
        <v>10</v>
      </c>
      <c r="B8" s="3">
        <f t="shared" si="0"/>
        <v>-3611</v>
      </c>
      <c r="C8" s="3">
        <v>30695</v>
      </c>
      <c r="D8" s="3">
        <v>29331</v>
      </c>
      <c r="E8" s="3">
        <v>34306</v>
      </c>
      <c r="F8" s="3">
        <v>41274</v>
      </c>
    </row>
    <row r="9" spans="1:6" x14ac:dyDescent="0.3">
      <c r="A9" s="2" t="s">
        <v>11</v>
      </c>
      <c r="B9" s="3">
        <f t="shared" si="0"/>
        <v>111286</v>
      </c>
      <c r="C9" s="3">
        <v>115257</v>
      </c>
      <c r="D9" s="3">
        <v>98278</v>
      </c>
      <c r="E9" s="3">
        <v>3971</v>
      </c>
      <c r="F9" s="3">
        <v>772</v>
      </c>
    </row>
    <row r="10" spans="1:6" x14ac:dyDescent="0.3">
      <c r="A10" s="2" t="s">
        <v>12</v>
      </c>
      <c r="B10" s="3">
        <f t="shared" si="0"/>
        <v>-22332</v>
      </c>
      <c r="C10" s="3">
        <v>31182</v>
      </c>
      <c r="D10" s="3">
        <v>30170</v>
      </c>
      <c r="E10" s="3">
        <v>53514</v>
      </c>
      <c r="F10" s="3">
        <v>40433</v>
      </c>
    </row>
    <row r="11" spans="1:6" x14ac:dyDescent="0.3">
      <c r="A11" s="2" t="s">
        <v>13</v>
      </c>
      <c r="B11" s="3">
        <f t="shared" si="0"/>
        <v>31016</v>
      </c>
      <c r="C11" s="3">
        <v>40292</v>
      </c>
      <c r="D11" s="3">
        <v>31311</v>
      </c>
      <c r="E11" s="3">
        <v>9276</v>
      </c>
      <c r="F11" s="3">
        <v>2611</v>
      </c>
    </row>
    <row r="12" spans="1:6" x14ac:dyDescent="0.3">
      <c r="A12" s="2" t="s">
        <v>14</v>
      </c>
      <c r="B12" s="3">
        <f t="shared" si="0"/>
        <v>187805</v>
      </c>
      <c r="C12" s="3">
        <v>205125</v>
      </c>
      <c r="D12" s="3">
        <v>177677</v>
      </c>
      <c r="E12" s="3">
        <v>17320</v>
      </c>
      <c r="F12" s="3">
        <v>1497</v>
      </c>
    </row>
    <row r="13" spans="1:6" x14ac:dyDescent="0.3">
      <c r="A13" s="2" t="s">
        <v>15</v>
      </c>
      <c r="B13" s="3">
        <f t="shared" si="0"/>
        <v>24758</v>
      </c>
      <c r="C13" s="3">
        <v>30546</v>
      </c>
      <c r="D13" s="3">
        <v>28886</v>
      </c>
      <c r="E13" s="3">
        <v>5788</v>
      </c>
      <c r="F13" s="3">
        <v>613</v>
      </c>
    </row>
    <row r="14" spans="1:6" x14ac:dyDescent="0.3">
      <c r="A14" s="2" t="s">
        <v>16</v>
      </c>
      <c r="B14" s="3">
        <f t="shared" si="0"/>
        <v>49894</v>
      </c>
      <c r="C14" s="3">
        <v>54507</v>
      </c>
      <c r="D14" s="3">
        <v>47369</v>
      </c>
      <c r="E14" s="3">
        <v>4613</v>
      </c>
      <c r="F14" s="3">
        <v>591</v>
      </c>
    </row>
    <row r="15" spans="1:6" ht="17.25" thickBot="1" x14ac:dyDescent="0.35">
      <c r="A15" s="4" t="s">
        <v>26</v>
      </c>
      <c r="B15" s="5">
        <f>SUM(B3:B14)</f>
        <v>786751</v>
      </c>
      <c r="C15" s="5">
        <f t="shared" ref="C15:F15" si="1">SUM(C3:C14)</f>
        <v>935229</v>
      </c>
      <c r="D15" s="5">
        <f t="shared" si="1"/>
        <v>767897</v>
      </c>
      <c r="E15" s="5">
        <f t="shared" si="1"/>
        <v>148478</v>
      </c>
      <c r="F15" s="5">
        <f t="shared" si="1"/>
        <v>89673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8" si="0">C3-E3</f>
        <v>15671</v>
      </c>
      <c r="C3" s="3">
        <v>15964</v>
      </c>
      <c r="D3" s="3">
        <v>14585</v>
      </c>
      <c r="E3" s="3">
        <v>293</v>
      </c>
      <c r="F3" s="3">
        <v>5</v>
      </c>
    </row>
    <row r="4" spans="1:6" x14ac:dyDescent="0.3">
      <c r="A4" s="2" t="s">
        <v>6</v>
      </c>
      <c r="B4" s="3">
        <f t="shared" si="0"/>
        <v>58674</v>
      </c>
      <c r="C4" s="3">
        <v>65247</v>
      </c>
      <c r="D4" s="3">
        <v>45410</v>
      </c>
      <c r="E4" s="3">
        <v>6573</v>
      </c>
      <c r="F4" s="3">
        <v>809</v>
      </c>
    </row>
    <row r="5" spans="1:6" x14ac:dyDescent="0.3">
      <c r="A5" s="2" t="s">
        <v>7</v>
      </c>
      <c r="B5" s="3">
        <f t="shared" si="0"/>
        <v>-10759</v>
      </c>
      <c r="C5" s="3">
        <v>0</v>
      </c>
      <c r="D5" s="3">
        <v>0</v>
      </c>
      <c r="E5" s="3">
        <v>10759</v>
      </c>
      <c r="F5" s="3">
        <v>1071</v>
      </c>
    </row>
    <row r="6" spans="1:6" x14ac:dyDescent="0.3">
      <c r="A6" s="2" t="s">
        <v>8</v>
      </c>
      <c r="B6" s="3">
        <f t="shared" si="0"/>
        <v>100459</v>
      </c>
      <c r="C6" s="3">
        <v>103848</v>
      </c>
      <c r="D6" s="3">
        <v>78047</v>
      </c>
      <c r="E6" s="3">
        <v>3389</v>
      </c>
      <c r="F6" s="3">
        <v>236</v>
      </c>
    </row>
    <row r="7" spans="1:6" x14ac:dyDescent="0.3">
      <c r="A7" s="2" t="s">
        <v>9</v>
      </c>
      <c r="B7" s="3">
        <f t="shared" si="0"/>
        <v>53783</v>
      </c>
      <c r="C7" s="3">
        <v>55229</v>
      </c>
      <c r="D7" s="3">
        <v>39600</v>
      </c>
      <c r="E7" s="3">
        <v>1446</v>
      </c>
      <c r="F7" s="3">
        <v>68</v>
      </c>
    </row>
    <row r="8" spans="1:6" x14ac:dyDescent="0.3">
      <c r="A8" s="2" t="s">
        <v>10</v>
      </c>
      <c r="B8" s="3">
        <f t="shared" si="0"/>
        <v>156664</v>
      </c>
      <c r="C8" s="3">
        <v>167230</v>
      </c>
      <c r="D8" s="3">
        <v>119160</v>
      </c>
      <c r="E8" s="3">
        <v>10566</v>
      </c>
      <c r="F8" s="3">
        <v>20309</v>
      </c>
    </row>
    <row r="9" spans="1:6" x14ac:dyDescent="0.3">
      <c r="A9" s="2" t="s">
        <v>11</v>
      </c>
      <c r="B9" s="3">
        <f>C9-E9</f>
        <v>190254</v>
      </c>
      <c r="C9" s="3">
        <v>202900</v>
      </c>
      <c r="D9" s="3">
        <v>144574</v>
      </c>
      <c r="E9" s="3">
        <v>12646</v>
      </c>
      <c r="F9" s="3">
        <v>1370</v>
      </c>
    </row>
    <row r="10" spans="1:6" x14ac:dyDescent="0.3">
      <c r="A10" s="2" t="s">
        <v>12</v>
      </c>
      <c r="B10" s="3">
        <f t="shared" ref="B10:B14" si="1">C10-E10</f>
        <v>55770</v>
      </c>
      <c r="C10" s="3">
        <v>90285</v>
      </c>
      <c r="D10" s="3">
        <v>66648</v>
      </c>
      <c r="E10" s="3">
        <v>34515</v>
      </c>
      <c r="F10" s="3">
        <v>1113</v>
      </c>
    </row>
    <row r="11" spans="1:6" x14ac:dyDescent="0.3">
      <c r="A11" s="2" t="s">
        <v>13</v>
      </c>
      <c r="B11" s="3">
        <f t="shared" si="1"/>
        <v>66138</v>
      </c>
      <c r="C11" s="3">
        <v>69320</v>
      </c>
      <c r="D11" s="3">
        <v>51161</v>
      </c>
      <c r="E11" s="3">
        <v>3182</v>
      </c>
      <c r="F11" s="3">
        <v>227</v>
      </c>
    </row>
    <row r="12" spans="1:6" x14ac:dyDescent="0.3">
      <c r="A12" s="2" t="s">
        <v>14</v>
      </c>
      <c r="B12" s="3">
        <f t="shared" si="1"/>
        <v>33696</v>
      </c>
      <c r="C12" s="3">
        <v>41873</v>
      </c>
      <c r="D12" s="3">
        <v>26310</v>
      </c>
      <c r="E12" s="3">
        <v>8177</v>
      </c>
      <c r="F12" s="3">
        <v>1329</v>
      </c>
    </row>
    <row r="13" spans="1:6" x14ac:dyDescent="0.3">
      <c r="A13" s="2" t="s">
        <v>15</v>
      </c>
      <c r="B13" s="3">
        <f t="shared" si="1"/>
        <v>88372</v>
      </c>
      <c r="C13" s="3">
        <v>93603</v>
      </c>
      <c r="D13" s="3">
        <v>57148</v>
      </c>
      <c r="E13" s="3">
        <v>5231</v>
      </c>
      <c r="F13" s="3">
        <v>1130</v>
      </c>
    </row>
    <row r="14" spans="1:6" x14ac:dyDescent="0.3">
      <c r="A14" s="2" t="s">
        <v>16</v>
      </c>
      <c r="B14" s="3">
        <f t="shared" si="1"/>
        <v>67648</v>
      </c>
      <c r="C14" s="3">
        <v>70546</v>
      </c>
      <c r="D14" s="3">
        <v>43200</v>
      </c>
      <c r="E14" s="3">
        <v>2898</v>
      </c>
      <c r="F14" s="3">
        <v>452</v>
      </c>
    </row>
    <row r="15" spans="1:6" ht="17.25" thickBot="1" x14ac:dyDescent="0.35">
      <c r="A15" s="4" t="s">
        <v>17</v>
      </c>
      <c r="B15" s="5">
        <f>SUM(B3:B14)</f>
        <v>876370</v>
      </c>
      <c r="C15" s="5">
        <f t="shared" ref="C15:F15" si="2">SUM(C3:C14)</f>
        <v>976045</v>
      </c>
      <c r="D15" s="5">
        <f t="shared" si="2"/>
        <v>685843</v>
      </c>
      <c r="E15" s="5">
        <f t="shared" si="2"/>
        <v>99675</v>
      </c>
      <c r="F15" s="5">
        <f t="shared" si="2"/>
        <v>28119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119113</v>
      </c>
      <c r="C3" s="3">
        <v>125202</v>
      </c>
      <c r="D3" s="3">
        <v>80184</v>
      </c>
      <c r="E3" s="3">
        <v>6089</v>
      </c>
      <c r="F3" s="3">
        <v>944</v>
      </c>
    </row>
    <row r="4" spans="1:6" x14ac:dyDescent="0.3">
      <c r="A4" s="2" t="s">
        <v>24</v>
      </c>
      <c r="B4" s="3">
        <f t="shared" ref="B4:B14" si="0">C4-E4</f>
        <v>52315</v>
      </c>
      <c r="C4" s="3">
        <v>56749</v>
      </c>
      <c r="D4" s="3">
        <v>28899</v>
      </c>
      <c r="E4" s="3">
        <v>4434</v>
      </c>
      <c r="F4" s="3">
        <v>816</v>
      </c>
    </row>
    <row r="5" spans="1:6" x14ac:dyDescent="0.3">
      <c r="A5" s="2" t="s">
        <v>25</v>
      </c>
      <c r="B5" s="3">
        <f t="shared" si="0"/>
        <v>38271</v>
      </c>
      <c r="C5" s="3">
        <v>56595</v>
      </c>
      <c r="D5" s="3">
        <v>28803</v>
      </c>
      <c r="E5" s="3">
        <v>18324</v>
      </c>
      <c r="F5" s="3">
        <v>1303</v>
      </c>
    </row>
    <row r="6" spans="1:6" x14ac:dyDescent="0.3">
      <c r="A6" s="2" t="s">
        <v>8</v>
      </c>
      <c r="B6" s="3">
        <f t="shared" si="0"/>
        <v>105408</v>
      </c>
      <c r="C6" s="3">
        <v>109710</v>
      </c>
      <c r="D6" s="3">
        <v>53375</v>
      </c>
      <c r="E6" s="3">
        <v>4302</v>
      </c>
      <c r="F6" s="3">
        <v>716</v>
      </c>
    </row>
    <row r="7" spans="1:6" x14ac:dyDescent="0.3">
      <c r="A7" s="2" t="s">
        <v>9</v>
      </c>
      <c r="B7" s="3">
        <f t="shared" si="0"/>
        <v>34311</v>
      </c>
      <c r="C7" s="3">
        <v>39800</v>
      </c>
      <c r="D7" s="3">
        <v>33000</v>
      </c>
      <c r="E7" s="3">
        <v>5489</v>
      </c>
      <c r="F7" s="3">
        <v>592</v>
      </c>
    </row>
    <row r="8" spans="1:6" x14ac:dyDescent="0.3">
      <c r="A8" s="2" t="s">
        <v>10</v>
      </c>
      <c r="B8" s="3">
        <f t="shared" si="0"/>
        <v>96845</v>
      </c>
      <c r="C8" s="3">
        <v>101912</v>
      </c>
      <c r="D8" s="3">
        <v>48539</v>
      </c>
      <c r="E8" s="3">
        <v>5067</v>
      </c>
      <c r="F8" s="3">
        <v>907</v>
      </c>
    </row>
    <row r="9" spans="1:6" x14ac:dyDescent="0.3">
      <c r="A9" s="2" t="s">
        <v>11</v>
      </c>
      <c r="B9" s="3">
        <f t="shared" si="0"/>
        <v>28986</v>
      </c>
      <c r="C9" s="3">
        <v>63101</v>
      </c>
      <c r="D9" s="3">
        <v>32598</v>
      </c>
      <c r="E9" s="3">
        <v>34115</v>
      </c>
      <c r="F9" s="3">
        <v>22103</v>
      </c>
    </row>
    <row r="10" spans="1:6" x14ac:dyDescent="0.3">
      <c r="A10" s="2" t="s">
        <v>12</v>
      </c>
      <c r="B10" s="3">
        <f t="shared" si="0"/>
        <v>76853</v>
      </c>
      <c r="C10" s="3">
        <v>81394</v>
      </c>
      <c r="D10" s="3">
        <v>43200</v>
      </c>
      <c r="E10" s="3">
        <v>4541</v>
      </c>
      <c r="F10" s="3">
        <v>731</v>
      </c>
    </row>
    <row r="11" spans="1:6" x14ac:dyDescent="0.3">
      <c r="A11" s="2" t="s">
        <v>13</v>
      </c>
      <c r="B11" s="3">
        <f t="shared" si="0"/>
        <v>26311</v>
      </c>
      <c r="C11" s="3">
        <v>27422</v>
      </c>
      <c r="D11" s="3">
        <v>14414</v>
      </c>
      <c r="E11" s="3">
        <v>1111</v>
      </c>
      <c r="F11" s="3">
        <v>30</v>
      </c>
    </row>
    <row r="12" spans="1:6" x14ac:dyDescent="0.3">
      <c r="A12" s="2" t="s">
        <v>14</v>
      </c>
      <c r="B12" s="3">
        <f t="shared" si="0"/>
        <v>17545</v>
      </c>
      <c r="C12" s="3">
        <v>27165</v>
      </c>
      <c r="D12" s="3">
        <v>14405</v>
      </c>
      <c r="E12" s="3">
        <v>9620</v>
      </c>
      <c r="F12" s="3">
        <v>1840</v>
      </c>
    </row>
    <row r="13" spans="1:6" x14ac:dyDescent="0.3">
      <c r="A13" s="2" t="s">
        <v>15</v>
      </c>
      <c r="B13" s="3">
        <f t="shared" si="0"/>
        <v>22999</v>
      </c>
      <c r="C13" s="3">
        <v>27737</v>
      </c>
      <c r="D13" s="3">
        <v>14500</v>
      </c>
      <c r="E13" s="3">
        <v>4738</v>
      </c>
      <c r="F13" s="3">
        <v>843</v>
      </c>
    </row>
    <row r="14" spans="1:6" x14ac:dyDescent="0.3">
      <c r="A14" s="2" t="s">
        <v>16</v>
      </c>
      <c r="B14" s="3">
        <f t="shared" si="0"/>
        <v>24388</v>
      </c>
      <c r="C14" s="3">
        <v>30735</v>
      </c>
      <c r="D14" s="3">
        <v>14400</v>
      </c>
      <c r="E14" s="3">
        <v>6347</v>
      </c>
      <c r="F14" s="3">
        <v>1095</v>
      </c>
    </row>
    <row r="15" spans="1:6" ht="17.25" thickBot="1" x14ac:dyDescent="0.35">
      <c r="A15" s="4" t="s">
        <v>26</v>
      </c>
      <c r="B15" s="5">
        <f>SUM(B3:B14)</f>
        <v>643345</v>
      </c>
      <c r="C15" s="5">
        <f t="shared" ref="C15:F15" si="1">SUM(C3:C14)</f>
        <v>747522</v>
      </c>
      <c r="D15" s="5">
        <f t="shared" si="1"/>
        <v>406317</v>
      </c>
      <c r="E15" s="5">
        <f t="shared" si="1"/>
        <v>104177</v>
      </c>
      <c r="F15" s="5">
        <f t="shared" si="1"/>
        <v>31920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77244</v>
      </c>
      <c r="C3" s="3">
        <v>105285</v>
      </c>
      <c r="D3" s="3">
        <v>44027</v>
      </c>
      <c r="E3" s="3">
        <v>28041</v>
      </c>
      <c r="F3" s="3">
        <v>1073</v>
      </c>
    </row>
    <row r="4" spans="1:6" x14ac:dyDescent="0.3">
      <c r="A4" s="2" t="s">
        <v>24</v>
      </c>
      <c r="B4" s="3">
        <f t="shared" si="0"/>
        <v>77693</v>
      </c>
      <c r="C4" s="3">
        <v>77951</v>
      </c>
      <c r="D4" s="3">
        <v>28900</v>
      </c>
      <c r="E4" s="3">
        <v>258</v>
      </c>
      <c r="F4" s="3">
        <v>4</v>
      </c>
    </row>
    <row r="5" spans="1:6" x14ac:dyDescent="0.3">
      <c r="A5" s="2" t="s">
        <v>33</v>
      </c>
      <c r="B5" s="3">
        <f t="shared" si="0"/>
        <v>26070</v>
      </c>
      <c r="C5" s="3">
        <v>38815</v>
      </c>
      <c r="D5" s="3">
        <v>14500</v>
      </c>
      <c r="E5" s="3">
        <v>12745</v>
      </c>
      <c r="F5" s="3">
        <v>1251</v>
      </c>
    </row>
    <row r="6" spans="1:6" x14ac:dyDescent="0.3">
      <c r="A6" s="2" t="s">
        <v>8</v>
      </c>
      <c r="B6" s="3">
        <f t="shared" si="0"/>
        <v>88763</v>
      </c>
      <c r="C6" s="3">
        <v>92481</v>
      </c>
      <c r="D6" s="3">
        <v>57700</v>
      </c>
      <c r="E6" s="3">
        <v>3718</v>
      </c>
      <c r="F6" s="3">
        <v>704</v>
      </c>
    </row>
    <row r="7" spans="1:6" x14ac:dyDescent="0.3">
      <c r="A7" s="2" t="s">
        <v>9</v>
      </c>
      <c r="B7" s="3">
        <f t="shared" si="0"/>
        <v>43718</v>
      </c>
      <c r="C7" s="3">
        <v>47628</v>
      </c>
      <c r="D7" s="3">
        <v>28800</v>
      </c>
      <c r="E7" s="3">
        <v>3910</v>
      </c>
      <c r="F7" s="3">
        <v>810</v>
      </c>
    </row>
    <row r="8" spans="1:6" x14ac:dyDescent="0.3">
      <c r="A8" s="2" t="s">
        <v>10</v>
      </c>
      <c r="B8" s="3">
        <f t="shared" si="0"/>
        <v>27651</v>
      </c>
      <c r="C8" s="3">
        <v>32567</v>
      </c>
      <c r="D8" s="3">
        <v>14400</v>
      </c>
      <c r="E8" s="3">
        <v>4916</v>
      </c>
      <c r="F8" s="3">
        <v>693</v>
      </c>
    </row>
    <row r="9" spans="1:6" x14ac:dyDescent="0.3">
      <c r="A9" s="2" t="s">
        <v>11</v>
      </c>
      <c r="B9" s="3">
        <f t="shared" si="0"/>
        <v>74002</v>
      </c>
      <c r="C9" s="3">
        <v>86867</v>
      </c>
      <c r="D9" s="3">
        <v>38808</v>
      </c>
      <c r="E9" s="3">
        <v>12865</v>
      </c>
      <c r="F9" s="3">
        <v>930</v>
      </c>
    </row>
    <row r="10" spans="1:6" x14ac:dyDescent="0.3">
      <c r="A10" s="2" t="s">
        <v>12</v>
      </c>
      <c r="B10" s="3">
        <f t="shared" si="0"/>
        <v>69045</v>
      </c>
      <c r="C10" s="3">
        <v>73176</v>
      </c>
      <c r="D10" s="3">
        <v>28800</v>
      </c>
      <c r="E10" s="3">
        <v>4131</v>
      </c>
      <c r="F10" s="3">
        <v>812</v>
      </c>
    </row>
    <row r="11" spans="1:6" x14ac:dyDescent="0.3">
      <c r="A11" s="2" t="s">
        <v>13</v>
      </c>
      <c r="B11" s="3">
        <f t="shared" si="0"/>
        <v>92816</v>
      </c>
      <c r="C11" s="3">
        <v>97557</v>
      </c>
      <c r="D11" s="3">
        <v>48261</v>
      </c>
      <c r="E11" s="3">
        <v>4741</v>
      </c>
      <c r="F11" s="3">
        <v>929</v>
      </c>
    </row>
    <row r="12" spans="1:6" x14ac:dyDescent="0.3">
      <c r="A12" s="2" t="s">
        <v>14</v>
      </c>
      <c r="B12" s="3">
        <f t="shared" si="0"/>
        <v>92214</v>
      </c>
      <c r="C12" s="3">
        <v>97065</v>
      </c>
      <c r="D12" s="3">
        <v>53020</v>
      </c>
      <c r="E12" s="3">
        <v>4851</v>
      </c>
      <c r="F12" s="3">
        <v>838</v>
      </c>
    </row>
    <row r="13" spans="1:6" x14ac:dyDescent="0.3">
      <c r="A13" s="2" t="s">
        <v>15</v>
      </c>
      <c r="B13" s="3">
        <f t="shared" si="0"/>
        <v>123553</v>
      </c>
      <c r="C13" s="3">
        <v>131463</v>
      </c>
      <c r="D13" s="3">
        <v>57600</v>
      </c>
      <c r="E13" s="3">
        <v>7910</v>
      </c>
      <c r="F13" s="3">
        <v>999</v>
      </c>
    </row>
    <row r="14" spans="1:6" x14ac:dyDescent="0.3">
      <c r="A14" s="2" t="s">
        <v>16</v>
      </c>
      <c r="B14" s="3">
        <f t="shared" si="0"/>
        <v>25408</v>
      </c>
      <c r="C14" s="3">
        <v>31485</v>
      </c>
      <c r="D14" s="3">
        <v>14615</v>
      </c>
      <c r="E14" s="3">
        <v>6077</v>
      </c>
      <c r="F14" s="3">
        <v>658</v>
      </c>
    </row>
    <row r="15" spans="1:6" ht="17.25" thickBot="1" x14ac:dyDescent="0.35">
      <c r="A15" s="4" t="s">
        <v>34</v>
      </c>
      <c r="B15" s="5">
        <f>SUM(B3:B14)</f>
        <v>818177</v>
      </c>
      <c r="C15" s="5">
        <f t="shared" ref="C15:F15" si="1">SUM(C3:C14)</f>
        <v>912340</v>
      </c>
      <c r="D15" s="5">
        <f t="shared" si="1"/>
        <v>429431</v>
      </c>
      <c r="E15" s="5">
        <f t="shared" si="1"/>
        <v>94163</v>
      </c>
      <c r="F15" s="5">
        <f t="shared" si="1"/>
        <v>9701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93847</v>
      </c>
      <c r="C3" s="3">
        <v>102937</v>
      </c>
      <c r="D3" s="3">
        <v>48061</v>
      </c>
      <c r="E3" s="3">
        <v>9090</v>
      </c>
      <c r="F3" s="3">
        <v>1834</v>
      </c>
    </row>
    <row r="4" spans="1:6" x14ac:dyDescent="0.3">
      <c r="A4" s="2" t="s">
        <v>24</v>
      </c>
      <c r="B4" s="3">
        <f t="shared" si="0"/>
        <v>166171</v>
      </c>
      <c r="C4" s="3">
        <v>173184</v>
      </c>
      <c r="D4" s="3">
        <v>77040</v>
      </c>
      <c r="E4" s="3">
        <v>7013</v>
      </c>
      <c r="F4" s="3">
        <v>96</v>
      </c>
    </row>
    <row r="5" spans="1:6" x14ac:dyDescent="0.3">
      <c r="A5" s="2" t="s">
        <v>25</v>
      </c>
      <c r="B5" s="3">
        <f t="shared" si="0"/>
        <v>64488</v>
      </c>
      <c r="C5" s="3">
        <v>74131</v>
      </c>
      <c r="D5" s="3">
        <v>28900</v>
      </c>
      <c r="E5" s="3">
        <v>9643</v>
      </c>
      <c r="F5" s="3">
        <v>1221</v>
      </c>
    </row>
    <row r="6" spans="1:6" x14ac:dyDescent="0.3">
      <c r="A6" s="2" t="s">
        <v>8</v>
      </c>
      <c r="B6" s="3">
        <f t="shared" si="0"/>
        <v>116763</v>
      </c>
      <c r="C6" s="3">
        <v>145269</v>
      </c>
      <c r="D6" s="3">
        <v>62640</v>
      </c>
      <c r="E6" s="3">
        <v>28506</v>
      </c>
      <c r="F6" s="3">
        <v>22847</v>
      </c>
    </row>
    <row r="7" spans="1:6" x14ac:dyDescent="0.3">
      <c r="A7" s="2" t="s">
        <v>9</v>
      </c>
      <c r="B7" s="3">
        <f t="shared" si="0"/>
        <v>39145</v>
      </c>
      <c r="C7" s="3">
        <v>71972</v>
      </c>
      <c r="D7" s="3">
        <v>33840</v>
      </c>
      <c r="E7" s="3">
        <v>32827</v>
      </c>
      <c r="F7" s="3">
        <v>2134</v>
      </c>
    </row>
    <row r="8" spans="1:6" x14ac:dyDescent="0.3">
      <c r="A8" s="2" t="s">
        <v>10</v>
      </c>
      <c r="B8" s="3">
        <f t="shared" si="0"/>
        <v>92372</v>
      </c>
      <c r="C8" s="3">
        <v>110427</v>
      </c>
      <c r="D8" s="3">
        <v>50228</v>
      </c>
      <c r="E8" s="3">
        <v>18055</v>
      </c>
      <c r="F8" s="3">
        <v>1581</v>
      </c>
    </row>
    <row r="9" spans="1:6" x14ac:dyDescent="0.3">
      <c r="A9" s="2" t="s">
        <v>11</v>
      </c>
      <c r="B9" s="3">
        <f t="shared" si="0"/>
        <v>65566</v>
      </c>
      <c r="C9" s="3">
        <v>65970</v>
      </c>
      <c r="D9" s="3">
        <v>29884</v>
      </c>
      <c r="E9" s="3">
        <v>404</v>
      </c>
      <c r="F9" s="3">
        <v>16</v>
      </c>
    </row>
    <row r="10" spans="1:6" x14ac:dyDescent="0.3">
      <c r="A10" s="2" t="s">
        <v>12</v>
      </c>
      <c r="B10" s="3">
        <f t="shared" si="0"/>
        <v>59650</v>
      </c>
      <c r="C10" s="3">
        <v>64831</v>
      </c>
      <c r="D10" s="3">
        <v>33840</v>
      </c>
      <c r="E10" s="3">
        <v>5181</v>
      </c>
      <c r="F10" s="3">
        <v>875</v>
      </c>
    </row>
    <row r="11" spans="1:6" x14ac:dyDescent="0.3">
      <c r="A11" s="2" t="s">
        <v>13</v>
      </c>
      <c r="B11" s="3">
        <f t="shared" si="0"/>
        <v>118522</v>
      </c>
      <c r="C11" s="3">
        <v>119009</v>
      </c>
      <c r="D11" s="3">
        <v>46015</v>
      </c>
      <c r="E11" s="3">
        <v>487</v>
      </c>
      <c r="F11" s="3">
        <v>7</v>
      </c>
    </row>
    <row r="12" spans="1:6" x14ac:dyDescent="0.3">
      <c r="A12" s="2" t="s">
        <v>14</v>
      </c>
      <c r="B12" s="3">
        <f t="shared" si="0"/>
        <v>20710</v>
      </c>
      <c r="C12" s="3">
        <v>35279</v>
      </c>
      <c r="D12" s="3">
        <v>16070</v>
      </c>
      <c r="E12" s="3">
        <v>14569</v>
      </c>
      <c r="F12" s="3">
        <v>2437</v>
      </c>
    </row>
    <row r="13" spans="1:6" x14ac:dyDescent="0.3">
      <c r="A13" s="2" t="s">
        <v>15</v>
      </c>
      <c r="B13" s="3">
        <f t="shared" si="0"/>
        <v>105584</v>
      </c>
      <c r="C13" s="3">
        <v>111225</v>
      </c>
      <c r="D13" s="3">
        <v>53660</v>
      </c>
      <c r="E13" s="3">
        <v>5641</v>
      </c>
      <c r="F13" s="3">
        <v>848</v>
      </c>
    </row>
    <row r="14" spans="1:6" x14ac:dyDescent="0.3">
      <c r="A14" s="2" t="s">
        <v>16</v>
      </c>
      <c r="B14" s="3">
        <f t="shared" si="0"/>
        <v>86246</v>
      </c>
      <c r="C14" s="3">
        <v>96581</v>
      </c>
      <c r="D14" s="3">
        <v>48291</v>
      </c>
      <c r="E14" s="3">
        <v>10335</v>
      </c>
      <c r="F14" s="3">
        <v>947</v>
      </c>
    </row>
    <row r="15" spans="1:6" ht="17.25" thickBot="1" x14ac:dyDescent="0.35">
      <c r="A15" s="4" t="s">
        <v>26</v>
      </c>
      <c r="B15" s="5">
        <f>SUM(B3:B14)</f>
        <v>1029064</v>
      </c>
      <c r="C15" s="5">
        <f t="shared" ref="C15:F15" si="1">SUM(C3:C14)</f>
        <v>1170815</v>
      </c>
      <c r="D15" s="5">
        <f t="shared" si="1"/>
        <v>528469</v>
      </c>
      <c r="E15" s="5">
        <f t="shared" si="1"/>
        <v>141751</v>
      </c>
      <c r="F15" s="5">
        <f t="shared" si="1"/>
        <v>34843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35</v>
      </c>
      <c r="C2" s="1" t="s">
        <v>28</v>
      </c>
      <c r="D2" s="1" t="s">
        <v>29</v>
      </c>
      <c r="E2" s="1" t="s">
        <v>36</v>
      </c>
      <c r="F2" s="1" t="s">
        <v>31</v>
      </c>
    </row>
    <row r="3" spans="1:6" x14ac:dyDescent="0.3">
      <c r="A3" s="2" t="s">
        <v>37</v>
      </c>
      <c r="B3" s="3">
        <f t="shared" ref="B3:B14" si="0">C3-E3</f>
        <v>160209</v>
      </c>
      <c r="C3" s="3">
        <v>178947</v>
      </c>
      <c r="D3" s="3">
        <v>80305</v>
      </c>
      <c r="E3" s="3">
        <v>18738</v>
      </c>
      <c r="F3" s="3">
        <v>1467</v>
      </c>
    </row>
    <row r="4" spans="1:6" x14ac:dyDescent="0.3">
      <c r="A4" s="2" t="s">
        <v>38</v>
      </c>
      <c r="B4" s="3">
        <f t="shared" si="0"/>
        <v>135442</v>
      </c>
      <c r="C4" s="3">
        <v>143434</v>
      </c>
      <c r="D4" s="3">
        <v>72190</v>
      </c>
      <c r="E4" s="3">
        <v>7992</v>
      </c>
      <c r="F4" s="3">
        <v>954</v>
      </c>
    </row>
    <row r="5" spans="1:6" x14ac:dyDescent="0.3">
      <c r="A5" s="2" t="s">
        <v>39</v>
      </c>
      <c r="B5" s="3">
        <f t="shared" si="0"/>
        <v>137596</v>
      </c>
      <c r="C5" s="3">
        <v>143255</v>
      </c>
      <c r="D5" s="3">
        <v>63770</v>
      </c>
      <c r="E5" s="3">
        <v>5659</v>
      </c>
      <c r="F5" s="3">
        <v>824</v>
      </c>
    </row>
    <row r="6" spans="1:6" x14ac:dyDescent="0.3">
      <c r="A6" s="2" t="s">
        <v>8</v>
      </c>
      <c r="B6" s="3">
        <f t="shared" si="0"/>
        <v>47027</v>
      </c>
      <c r="C6" s="3">
        <v>75529</v>
      </c>
      <c r="D6" s="3">
        <v>28800</v>
      </c>
      <c r="E6" s="3">
        <v>28502</v>
      </c>
      <c r="F6" s="3">
        <v>2192</v>
      </c>
    </row>
    <row r="7" spans="1:6" x14ac:dyDescent="0.3">
      <c r="A7" s="2" t="s">
        <v>9</v>
      </c>
      <c r="B7" s="3">
        <f t="shared" si="0"/>
        <v>147043</v>
      </c>
      <c r="C7" s="3">
        <v>154316</v>
      </c>
      <c r="D7" s="3">
        <v>64116</v>
      </c>
      <c r="E7" s="3">
        <v>7273</v>
      </c>
      <c r="F7" s="3">
        <v>955</v>
      </c>
    </row>
    <row r="8" spans="1:6" x14ac:dyDescent="0.3">
      <c r="A8" s="2" t="s">
        <v>10</v>
      </c>
      <c r="B8" s="3">
        <f t="shared" si="0"/>
        <v>38782</v>
      </c>
      <c r="C8" s="3">
        <v>46127</v>
      </c>
      <c r="D8" s="3">
        <v>14839</v>
      </c>
      <c r="E8" s="3">
        <v>7345</v>
      </c>
      <c r="F8" s="3">
        <v>1153</v>
      </c>
    </row>
    <row r="9" spans="1:6" x14ac:dyDescent="0.3">
      <c r="A9" s="2" t="s">
        <v>11</v>
      </c>
      <c r="B9" s="3">
        <f t="shared" si="0"/>
        <v>168064</v>
      </c>
      <c r="C9" s="3">
        <v>180493</v>
      </c>
      <c r="D9" s="3">
        <v>78170</v>
      </c>
      <c r="E9" s="3">
        <v>12429</v>
      </c>
      <c r="F9" s="3">
        <v>1129</v>
      </c>
    </row>
    <row r="10" spans="1:6" x14ac:dyDescent="0.3">
      <c r="A10" s="2" t="s">
        <v>12</v>
      </c>
      <c r="B10" s="3">
        <f t="shared" si="0"/>
        <v>109835</v>
      </c>
      <c r="C10" s="3">
        <v>116886</v>
      </c>
      <c r="D10" s="3">
        <v>53796</v>
      </c>
      <c r="E10" s="3">
        <v>7051</v>
      </c>
      <c r="F10" s="3">
        <v>991</v>
      </c>
    </row>
    <row r="11" spans="1:6" x14ac:dyDescent="0.3">
      <c r="A11" s="2" t="s">
        <v>13</v>
      </c>
      <c r="B11" s="3">
        <f t="shared" si="0"/>
        <v>63651</v>
      </c>
      <c r="C11" s="3">
        <v>107480</v>
      </c>
      <c r="D11" s="3">
        <v>43210</v>
      </c>
      <c r="E11" s="3">
        <v>43829</v>
      </c>
      <c r="F11" s="3">
        <v>3146</v>
      </c>
    </row>
    <row r="12" spans="1:6" x14ac:dyDescent="0.3">
      <c r="A12" s="2" t="s">
        <v>14</v>
      </c>
      <c r="B12" s="3">
        <f t="shared" si="0"/>
        <v>62325</v>
      </c>
      <c r="C12" s="3">
        <v>66700</v>
      </c>
      <c r="D12" s="3">
        <v>28955</v>
      </c>
      <c r="E12" s="3">
        <v>4375</v>
      </c>
      <c r="F12" s="3">
        <v>810</v>
      </c>
    </row>
    <row r="13" spans="1:6" x14ac:dyDescent="0.3">
      <c r="A13" s="2" t="s">
        <v>15</v>
      </c>
      <c r="B13" s="3">
        <f t="shared" si="0"/>
        <v>116775</v>
      </c>
      <c r="C13" s="3">
        <v>119354</v>
      </c>
      <c r="D13" s="3">
        <v>48600</v>
      </c>
      <c r="E13" s="3">
        <v>2579</v>
      </c>
      <c r="F13" s="3">
        <v>150</v>
      </c>
    </row>
    <row r="14" spans="1:6" x14ac:dyDescent="0.3">
      <c r="A14" s="2" t="s">
        <v>16</v>
      </c>
      <c r="B14" s="3">
        <f t="shared" si="0"/>
        <v>125823</v>
      </c>
      <c r="C14" s="3">
        <v>139477</v>
      </c>
      <c r="D14" s="3">
        <v>61206</v>
      </c>
      <c r="E14" s="3">
        <v>13654</v>
      </c>
      <c r="F14" s="3">
        <v>1678</v>
      </c>
    </row>
    <row r="15" spans="1:6" ht="17.25" thickBot="1" x14ac:dyDescent="0.35">
      <c r="A15" s="4" t="s">
        <v>40</v>
      </c>
      <c r="B15" s="5">
        <f>SUM(B3:B14)</f>
        <v>1312572</v>
      </c>
      <c r="C15" s="5">
        <f t="shared" ref="C15:F15" si="1">SUM(C3:C14)</f>
        <v>1471998</v>
      </c>
      <c r="D15" s="5">
        <f t="shared" si="1"/>
        <v>637957</v>
      </c>
      <c r="E15" s="5">
        <f t="shared" si="1"/>
        <v>159426</v>
      </c>
      <c r="F15" s="5">
        <f t="shared" si="1"/>
        <v>15449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109090</v>
      </c>
      <c r="C3" s="3">
        <v>110574</v>
      </c>
      <c r="D3" s="3">
        <v>51210</v>
      </c>
      <c r="E3" s="3">
        <v>1484</v>
      </c>
      <c r="F3" s="3">
        <v>35</v>
      </c>
    </row>
    <row r="4" spans="1:6" x14ac:dyDescent="0.3">
      <c r="A4" s="2" t="s">
        <v>24</v>
      </c>
      <c r="B4" s="3">
        <f t="shared" si="0"/>
        <v>130389</v>
      </c>
      <c r="C4" s="3">
        <v>154490</v>
      </c>
      <c r="D4" s="3">
        <v>81658</v>
      </c>
      <c r="E4" s="3">
        <v>24101</v>
      </c>
      <c r="F4" s="3">
        <v>1928</v>
      </c>
    </row>
    <row r="5" spans="1:6" x14ac:dyDescent="0.3">
      <c r="A5" s="2" t="s">
        <v>25</v>
      </c>
      <c r="B5" s="3">
        <f t="shared" si="0"/>
        <v>188309</v>
      </c>
      <c r="C5" s="3">
        <v>213747</v>
      </c>
      <c r="D5" s="3">
        <v>82756</v>
      </c>
      <c r="E5" s="3">
        <v>25438</v>
      </c>
      <c r="F5" s="3">
        <v>4124</v>
      </c>
    </row>
    <row r="6" spans="1:6" x14ac:dyDescent="0.3">
      <c r="A6" s="2" t="s">
        <v>8</v>
      </c>
      <c r="B6" s="3">
        <f t="shared" si="0"/>
        <v>205277</v>
      </c>
      <c r="C6" s="3">
        <v>331258</v>
      </c>
      <c r="D6" s="3">
        <v>130622</v>
      </c>
      <c r="E6" s="3">
        <v>125981</v>
      </c>
      <c r="F6" s="3">
        <v>11278</v>
      </c>
    </row>
    <row r="7" spans="1:6" x14ac:dyDescent="0.3">
      <c r="A7" s="2" t="s">
        <v>9</v>
      </c>
      <c r="B7" s="3">
        <f t="shared" si="0"/>
        <v>103842</v>
      </c>
      <c r="C7" s="3">
        <v>124376</v>
      </c>
      <c r="D7" s="3">
        <v>53285</v>
      </c>
      <c r="E7" s="3">
        <v>20534</v>
      </c>
      <c r="F7" s="3">
        <v>2292</v>
      </c>
    </row>
    <row r="8" spans="1:6" x14ac:dyDescent="0.3">
      <c r="A8" s="2" t="s">
        <v>10</v>
      </c>
      <c r="B8" s="3">
        <f t="shared" si="0"/>
        <v>106521</v>
      </c>
      <c r="C8" s="3">
        <v>135692</v>
      </c>
      <c r="D8" s="3">
        <v>53445</v>
      </c>
      <c r="E8" s="3">
        <v>29171</v>
      </c>
      <c r="F8" s="3">
        <v>3114</v>
      </c>
    </row>
    <row r="9" spans="1:6" x14ac:dyDescent="0.3">
      <c r="A9" s="2" t="s">
        <v>11</v>
      </c>
      <c r="B9" s="3">
        <f t="shared" si="0"/>
        <v>190795</v>
      </c>
      <c r="C9" s="3">
        <v>213086</v>
      </c>
      <c r="D9" s="3">
        <v>84961</v>
      </c>
      <c r="E9" s="3">
        <v>22291</v>
      </c>
      <c r="F9" s="3">
        <v>2216</v>
      </c>
    </row>
    <row r="10" spans="1:6" x14ac:dyDescent="0.3">
      <c r="A10" s="2" t="s">
        <v>12</v>
      </c>
      <c r="B10" s="3">
        <f t="shared" si="0"/>
        <v>5606</v>
      </c>
      <c r="C10" s="3">
        <v>103297</v>
      </c>
      <c r="D10" s="3">
        <v>45202</v>
      </c>
      <c r="E10" s="3">
        <v>97691</v>
      </c>
      <c r="F10" s="3">
        <v>45788</v>
      </c>
    </row>
    <row r="11" spans="1:6" x14ac:dyDescent="0.3">
      <c r="A11" s="2" t="s">
        <v>13</v>
      </c>
      <c r="B11" s="3">
        <f t="shared" si="0"/>
        <v>133511</v>
      </c>
      <c r="C11" s="3">
        <v>219278</v>
      </c>
      <c r="D11" s="3">
        <v>86170</v>
      </c>
      <c r="E11" s="3">
        <v>85767</v>
      </c>
      <c r="F11" s="3">
        <v>27997</v>
      </c>
    </row>
    <row r="12" spans="1:6" x14ac:dyDescent="0.3">
      <c r="A12" s="2" t="s">
        <v>14</v>
      </c>
      <c r="B12" s="3">
        <f t="shared" si="0"/>
        <v>71794</v>
      </c>
      <c r="C12" s="3">
        <v>73013</v>
      </c>
      <c r="D12" s="3">
        <v>28801</v>
      </c>
      <c r="E12" s="3">
        <v>1219</v>
      </c>
      <c r="F12" s="3">
        <v>142</v>
      </c>
    </row>
    <row r="13" spans="1:6" x14ac:dyDescent="0.3">
      <c r="A13" s="2" t="s">
        <v>15</v>
      </c>
      <c r="B13" s="3">
        <f t="shared" si="0"/>
        <v>68421</v>
      </c>
      <c r="C13" s="3">
        <v>98069</v>
      </c>
      <c r="D13" s="3">
        <v>28800</v>
      </c>
      <c r="E13" s="3">
        <v>29648</v>
      </c>
      <c r="F13" s="3">
        <v>1385</v>
      </c>
    </row>
    <row r="14" spans="1:6" x14ac:dyDescent="0.3">
      <c r="A14" s="2" t="s">
        <v>16</v>
      </c>
      <c r="B14" s="3">
        <f t="shared" si="0"/>
        <v>130129</v>
      </c>
      <c r="C14" s="3">
        <v>175800</v>
      </c>
      <c r="D14" s="3">
        <v>73284</v>
      </c>
      <c r="E14" s="3">
        <v>45671</v>
      </c>
      <c r="F14" s="3">
        <v>23210</v>
      </c>
    </row>
    <row r="15" spans="1:6" ht="17.25" thickBot="1" x14ac:dyDescent="0.35">
      <c r="A15" s="4" t="s">
        <v>26</v>
      </c>
      <c r="B15" s="5">
        <f>SUM(B3:B14)</f>
        <v>1443684</v>
      </c>
      <c r="C15" s="5">
        <f t="shared" ref="C15:F15" si="1">SUM(C3:C14)</f>
        <v>1952680</v>
      </c>
      <c r="D15" s="5">
        <f t="shared" si="1"/>
        <v>800194</v>
      </c>
      <c r="E15" s="5">
        <f t="shared" si="1"/>
        <v>508996</v>
      </c>
      <c r="F15" s="5">
        <f t="shared" si="1"/>
        <v>123509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125416</v>
      </c>
      <c r="C3" s="3">
        <v>125669</v>
      </c>
      <c r="D3" s="3">
        <v>43200</v>
      </c>
      <c r="E3" s="3">
        <v>253</v>
      </c>
      <c r="F3" s="3">
        <v>4</v>
      </c>
    </row>
    <row r="4" spans="1:6" x14ac:dyDescent="0.3">
      <c r="A4" s="2" t="s">
        <v>24</v>
      </c>
      <c r="B4" s="3">
        <f t="shared" si="0"/>
        <v>84361</v>
      </c>
      <c r="C4" s="3">
        <v>105260</v>
      </c>
      <c r="D4" s="3">
        <v>43312</v>
      </c>
      <c r="E4" s="3">
        <v>20899</v>
      </c>
      <c r="F4" s="3">
        <v>2209</v>
      </c>
    </row>
    <row r="5" spans="1:6" x14ac:dyDescent="0.3">
      <c r="A5" s="2" t="s">
        <v>25</v>
      </c>
      <c r="B5" s="3">
        <f t="shared" si="0"/>
        <v>56614</v>
      </c>
      <c r="C5" s="3">
        <v>177732</v>
      </c>
      <c r="D5" s="3">
        <v>60424</v>
      </c>
      <c r="E5" s="3">
        <v>121118</v>
      </c>
      <c r="F5" s="3">
        <v>45257</v>
      </c>
    </row>
    <row r="6" spans="1:6" x14ac:dyDescent="0.3">
      <c r="A6" s="2" t="s">
        <v>8</v>
      </c>
      <c r="B6" s="3">
        <f t="shared" si="0"/>
        <v>81042</v>
      </c>
      <c r="C6" s="3">
        <v>130455</v>
      </c>
      <c r="D6" s="3">
        <v>45990</v>
      </c>
      <c r="E6" s="3">
        <v>49413</v>
      </c>
      <c r="F6" s="3">
        <v>5470</v>
      </c>
    </row>
    <row r="7" spans="1:6" x14ac:dyDescent="0.3">
      <c r="A7" s="2" t="s">
        <v>9</v>
      </c>
      <c r="B7" s="3">
        <f t="shared" si="0"/>
        <v>48594</v>
      </c>
      <c r="C7" s="3">
        <v>77864</v>
      </c>
      <c r="D7" s="3">
        <v>28800</v>
      </c>
      <c r="E7" s="3">
        <v>29270</v>
      </c>
      <c r="F7" s="3">
        <v>3381</v>
      </c>
    </row>
    <row r="8" spans="1:6" x14ac:dyDescent="0.3">
      <c r="A8" s="2" t="s">
        <v>10</v>
      </c>
      <c r="B8" s="3">
        <f t="shared" si="0"/>
        <v>163709</v>
      </c>
      <c r="C8" s="3">
        <v>197562</v>
      </c>
      <c r="D8" s="3">
        <v>64800</v>
      </c>
      <c r="E8" s="3">
        <v>33853</v>
      </c>
      <c r="F8" s="3">
        <v>1524</v>
      </c>
    </row>
    <row r="9" spans="1:6" x14ac:dyDescent="0.3">
      <c r="A9" s="2" t="s">
        <v>11</v>
      </c>
      <c r="B9" s="3">
        <f t="shared" si="0"/>
        <v>41862</v>
      </c>
      <c r="C9" s="3">
        <v>68733</v>
      </c>
      <c r="D9" s="3">
        <v>29200</v>
      </c>
      <c r="E9" s="3">
        <v>26871</v>
      </c>
      <c r="F9" s="3">
        <v>3351</v>
      </c>
    </row>
    <row r="10" spans="1:6" x14ac:dyDescent="0.3">
      <c r="A10" s="2" t="s">
        <v>12</v>
      </c>
      <c r="B10" s="3">
        <f t="shared" si="0"/>
        <v>79338</v>
      </c>
      <c r="C10" s="3">
        <v>105015</v>
      </c>
      <c r="D10" s="3">
        <v>29000</v>
      </c>
      <c r="E10" s="3">
        <v>25677</v>
      </c>
      <c r="F10" s="3">
        <v>3323</v>
      </c>
    </row>
    <row r="11" spans="1:6" x14ac:dyDescent="0.3">
      <c r="A11" s="2" t="s">
        <v>13</v>
      </c>
      <c r="B11" s="3">
        <f t="shared" si="0"/>
        <v>107469</v>
      </c>
      <c r="C11" s="3">
        <v>107747</v>
      </c>
      <c r="D11" s="3">
        <v>46801</v>
      </c>
      <c r="E11" s="3">
        <v>278</v>
      </c>
      <c r="F11" s="3">
        <v>86</v>
      </c>
    </row>
    <row r="12" spans="1:6" x14ac:dyDescent="0.3">
      <c r="A12" s="2" t="s">
        <v>14</v>
      </c>
      <c r="B12" s="3">
        <f t="shared" si="0"/>
        <v>204076</v>
      </c>
      <c r="C12" s="3">
        <v>206029</v>
      </c>
      <c r="D12" s="3">
        <v>75700</v>
      </c>
      <c r="E12" s="3">
        <v>1953</v>
      </c>
      <c r="F12" s="3">
        <v>255</v>
      </c>
    </row>
    <row r="13" spans="1:6" x14ac:dyDescent="0.3">
      <c r="A13" s="2" t="s">
        <v>15</v>
      </c>
      <c r="B13" s="3">
        <f t="shared" si="0"/>
        <v>57188</v>
      </c>
      <c r="C13" s="3">
        <v>64035</v>
      </c>
      <c r="D13" s="3">
        <v>28875</v>
      </c>
      <c r="E13" s="3">
        <v>6847</v>
      </c>
      <c r="F13" s="3">
        <v>428</v>
      </c>
    </row>
    <row r="14" spans="1:6" x14ac:dyDescent="0.3">
      <c r="A14" s="2" t="s">
        <v>16</v>
      </c>
      <c r="B14" s="3">
        <f t="shared" si="0"/>
        <v>98343</v>
      </c>
      <c r="C14" s="3">
        <v>141434</v>
      </c>
      <c r="D14" s="3">
        <v>43773</v>
      </c>
      <c r="E14" s="3">
        <v>43091</v>
      </c>
      <c r="F14" s="3">
        <v>3218</v>
      </c>
    </row>
    <row r="15" spans="1:6" ht="17.25" thickBot="1" x14ac:dyDescent="0.35">
      <c r="A15" s="4" t="s">
        <v>26</v>
      </c>
      <c r="B15" s="5">
        <f>SUM(B3:B14)</f>
        <v>1148012</v>
      </c>
      <c r="C15" s="5">
        <f t="shared" ref="C15:F15" si="1">SUM(C3:C14)</f>
        <v>1507535</v>
      </c>
      <c r="D15" s="5">
        <f t="shared" si="1"/>
        <v>539875</v>
      </c>
      <c r="E15" s="5">
        <f t="shared" si="1"/>
        <v>359523</v>
      </c>
      <c r="F15" s="5">
        <f t="shared" si="1"/>
        <v>68506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178283</v>
      </c>
      <c r="C3" s="3">
        <v>181910</v>
      </c>
      <c r="D3" s="3">
        <v>63908</v>
      </c>
      <c r="E3" s="3">
        <v>3627</v>
      </c>
      <c r="F3" s="3">
        <v>154</v>
      </c>
    </row>
    <row r="4" spans="1:6" x14ac:dyDescent="0.3">
      <c r="A4" s="2" t="s">
        <v>41</v>
      </c>
      <c r="B4" s="3">
        <f t="shared" si="0"/>
        <v>60579</v>
      </c>
      <c r="C4" s="3">
        <v>113185</v>
      </c>
      <c r="D4" s="3">
        <v>50665</v>
      </c>
      <c r="E4" s="3">
        <v>52606</v>
      </c>
      <c r="F4" s="3">
        <v>6027</v>
      </c>
    </row>
    <row r="5" spans="1:6" x14ac:dyDescent="0.3">
      <c r="A5" s="2" t="s">
        <v>25</v>
      </c>
      <c r="B5" s="3">
        <f t="shared" si="0"/>
        <v>133500</v>
      </c>
      <c r="C5" s="3">
        <v>139360</v>
      </c>
      <c r="D5" s="3">
        <v>43301</v>
      </c>
      <c r="E5" s="3">
        <v>5860</v>
      </c>
      <c r="F5" s="3">
        <v>748</v>
      </c>
    </row>
    <row r="6" spans="1:6" x14ac:dyDescent="0.3">
      <c r="A6" s="2" t="s">
        <v>8</v>
      </c>
      <c r="B6" s="3">
        <f t="shared" si="0"/>
        <v>-13025</v>
      </c>
      <c r="C6" s="3">
        <v>40086</v>
      </c>
      <c r="D6" s="3">
        <v>14934</v>
      </c>
      <c r="E6" s="3">
        <v>53111</v>
      </c>
      <c r="F6" s="3">
        <v>6846</v>
      </c>
    </row>
    <row r="7" spans="1:6" x14ac:dyDescent="0.3">
      <c r="A7" s="2" t="s">
        <v>9</v>
      </c>
      <c r="B7" s="3">
        <f t="shared" si="0"/>
        <v>120713</v>
      </c>
      <c r="C7" s="3">
        <v>156928</v>
      </c>
      <c r="D7" s="3">
        <v>52246</v>
      </c>
      <c r="E7" s="3">
        <v>36215</v>
      </c>
      <c r="F7" s="3">
        <v>3038</v>
      </c>
    </row>
    <row r="8" spans="1:6" x14ac:dyDescent="0.3">
      <c r="A8" s="2" t="s">
        <v>10</v>
      </c>
      <c r="B8" s="3">
        <f t="shared" si="0"/>
        <v>146927</v>
      </c>
      <c r="C8" s="3">
        <v>152310</v>
      </c>
      <c r="D8" s="3">
        <v>64900</v>
      </c>
      <c r="E8" s="3">
        <v>5383</v>
      </c>
      <c r="F8" s="3">
        <v>91</v>
      </c>
    </row>
    <row r="9" spans="1:6" x14ac:dyDescent="0.3">
      <c r="A9" s="2" t="s">
        <v>11</v>
      </c>
      <c r="B9" s="3">
        <f t="shared" si="0"/>
        <v>217465</v>
      </c>
      <c r="C9" s="3">
        <v>234362</v>
      </c>
      <c r="D9" s="3">
        <v>108200</v>
      </c>
      <c r="E9" s="3">
        <v>16897</v>
      </c>
      <c r="F9" s="3">
        <v>1337</v>
      </c>
    </row>
    <row r="10" spans="1:6" x14ac:dyDescent="0.3">
      <c r="A10" s="2" t="s">
        <v>12</v>
      </c>
      <c r="B10" s="3">
        <f t="shared" si="0"/>
        <v>92877</v>
      </c>
      <c r="C10" s="3">
        <v>139586</v>
      </c>
      <c r="D10" s="3">
        <v>69120</v>
      </c>
      <c r="E10" s="3">
        <v>46709</v>
      </c>
      <c r="F10" s="3">
        <v>6895</v>
      </c>
    </row>
    <row r="11" spans="1:6" x14ac:dyDescent="0.3">
      <c r="A11" s="2" t="s">
        <v>13</v>
      </c>
      <c r="B11" s="3">
        <f t="shared" si="0"/>
        <v>104659</v>
      </c>
      <c r="C11" s="3">
        <v>169610</v>
      </c>
      <c r="D11" s="3">
        <v>79201</v>
      </c>
      <c r="E11" s="3">
        <v>64951</v>
      </c>
      <c r="F11" s="3">
        <v>7493</v>
      </c>
    </row>
    <row r="12" spans="1:6" x14ac:dyDescent="0.3">
      <c r="A12" s="2" t="s">
        <v>14</v>
      </c>
      <c r="B12" s="3">
        <f t="shared" si="0"/>
        <v>112077</v>
      </c>
      <c r="C12" s="3">
        <v>115667</v>
      </c>
      <c r="D12" s="3">
        <v>56790</v>
      </c>
      <c r="E12" s="3">
        <v>3590</v>
      </c>
      <c r="F12" s="3">
        <v>498</v>
      </c>
    </row>
    <row r="13" spans="1:6" x14ac:dyDescent="0.3">
      <c r="A13" s="2" t="s">
        <v>15</v>
      </c>
      <c r="B13" s="3">
        <f t="shared" si="0"/>
        <v>97059</v>
      </c>
      <c r="C13" s="3">
        <v>120563</v>
      </c>
      <c r="D13" s="3">
        <v>61770</v>
      </c>
      <c r="E13" s="3">
        <v>23504</v>
      </c>
      <c r="F13" s="3">
        <v>3069</v>
      </c>
    </row>
    <row r="14" spans="1:6" x14ac:dyDescent="0.3">
      <c r="A14" s="2" t="s">
        <v>16</v>
      </c>
      <c r="B14" s="3">
        <f t="shared" si="0"/>
        <v>246993</v>
      </c>
      <c r="C14" s="3">
        <v>290119</v>
      </c>
      <c r="D14" s="3">
        <v>151250</v>
      </c>
      <c r="E14" s="3">
        <v>43126</v>
      </c>
      <c r="F14" s="3">
        <v>5537</v>
      </c>
    </row>
    <row r="15" spans="1:6" ht="17.25" thickBot="1" x14ac:dyDescent="0.35">
      <c r="A15" s="4" t="s">
        <v>26</v>
      </c>
      <c r="B15" s="5">
        <f>SUM(B3:B14)</f>
        <v>1498107</v>
      </c>
      <c r="C15" s="5">
        <f t="shared" ref="C15:F15" si="1">SUM(C3:C14)</f>
        <v>1853686</v>
      </c>
      <c r="D15" s="5">
        <f t="shared" si="1"/>
        <v>816285</v>
      </c>
      <c r="E15" s="5">
        <f t="shared" si="1"/>
        <v>355579</v>
      </c>
      <c r="F15" s="5">
        <f t="shared" si="1"/>
        <v>41733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1" t="s">
        <v>42</v>
      </c>
      <c r="C2" s="1" t="s">
        <v>28</v>
      </c>
      <c r="D2" s="1" t="s">
        <v>29</v>
      </c>
      <c r="E2" s="1" t="s">
        <v>36</v>
      </c>
      <c r="F2" s="1" t="s">
        <v>31</v>
      </c>
    </row>
    <row r="3" spans="1:6" x14ac:dyDescent="0.3">
      <c r="A3" s="2" t="s">
        <v>32</v>
      </c>
      <c r="B3" s="3">
        <f t="shared" ref="B3:B14" si="0">C3-E3</f>
        <v>233606</v>
      </c>
      <c r="C3" s="3">
        <v>234884</v>
      </c>
      <c r="D3" s="3">
        <v>106660</v>
      </c>
      <c r="E3" s="3">
        <v>1278</v>
      </c>
      <c r="F3" s="3">
        <v>130</v>
      </c>
    </row>
    <row r="4" spans="1:6" x14ac:dyDescent="0.3">
      <c r="A4" s="2" t="s">
        <v>41</v>
      </c>
      <c r="B4" s="3">
        <f t="shared" si="0"/>
        <v>157170</v>
      </c>
      <c r="C4" s="3">
        <v>160394</v>
      </c>
      <c r="D4" s="3">
        <v>86400</v>
      </c>
      <c r="E4" s="3">
        <v>3224</v>
      </c>
      <c r="F4" s="3">
        <v>498</v>
      </c>
    </row>
    <row r="5" spans="1:6" x14ac:dyDescent="0.3">
      <c r="A5" s="2" t="s">
        <v>7</v>
      </c>
      <c r="B5" s="3">
        <f t="shared" si="0"/>
        <v>160140</v>
      </c>
      <c r="C5" s="3">
        <v>161116</v>
      </c>
      <c r="D5" s="3">
        <v>72150</v>
      </c>
      <c r="E5" s="3">
        <v>976</v>
      </c>
      <c r="F5" s="3">
        <v>124</v>
      </c>
    </row>
    <row r="6" spans="1:6" x14ac:dyDescent="0.3">
      <c r="A6" s="2" t="s">
        <v>8</v>
      </c>
      <c r="B6" s="3">
        <f t="shared" si="0"/>
        <v>241767</v>
      </c>
      <c r="C6" s="3">
        <v>256016</v>
      </c>
      <c r="D6" s="3">
        <v>115200</v>
      </c>
      <c r="E6" s="3">
        <v>14249</v>
      </c>
      <c r="F6" s="3">
        <v>1486</v>
      </c>
    </row>
    <row r="7" spans="1:6" x14ac:dyDescent="0.3">
      <c r="A7" s="2" t="s">
        <v>9</v>
      </c>
      <c r="B7" s="3">
        <f t="shared" si="0"/>
        <v>194784</v>
      </c>
      <c r="C7" s="3">
        <v>197877</v>
      </c>
      <c r="D7" s="3">
        <v>94739</v>
      </c>
      <c r="E7" s="3">
        <v>3093</v>
      </c>
      <c r="F7" s="3">
        <v>160</v>
      </c>
    </row>
    <row r="8" spans="1:6" x14ac:dyDescent="0.3">
      <c r="A8" s="2" t="s">
        <v>10</v>
      </c>
      <c r="B8" s="3">
        <f t="shared" si="0"/>
        <v>210168</v>
      </c>
      <c r="C8" s="3">
        <v>214175</v>
      </c>
      <c r="D8" s="3">
        <v>88231</v>
      </c>
      <c r="E8" s="3">
        <v>4007</v>
      </c>
      <c r="F8" s="3">
        <v>340</v>
      </c>
    </row>
    <row r="9" spans="1:6" x14ac:dyDescent="0.3">
      <c r="A9" s="2" t="s">
        <v>11</v>
      </c>
      <c r="B9" s="3">
        <f t="shared" si="0"/>
        <v>166888</v>
      </c>
      <c r="C9" s="3">
        <v>167434</v>
      </c>
      <c r="D9" s="3">
        <v>79098</v>
      </c>
      <c r="E9" s="3">
        <v>546</v>
      </c>
      <c r="F9" s="3">
        <v>89</v>
      </c>
    </row>
    <row r="10" spans="1:6" x14ac:dyDescent="0.3">
      <c r="A10" s="2" t="s">
        <v>12</v>
      </c>
      <c r="B10" s="3">
        <f t="shared" si="0"/>
        <v>121592</v>
      </c>
      <c r="C10" s="3">
        <v>137060</v>
      </c>
      <c r="D10" s="3">
        <v>65900</v>
      </c>
      <c r="E10" s="3">
        <v>15468</v>
      </c>
      <c r="F10" s="3">
        <v>1247</v>
      </c>
    </row>
    <row r="11" spans="1:6" x14ac:dyDescent="0.3">
      <c r="A11" s="2" t="s">
        <v>13</v>
      </c>
      <c r="B11" s="3">
        <f t="shared" si="0"/>
        <v>231064</v>
      </c>
      <c r="C11" s="3">
        <v>263325</v>
      </c>
      <c r="D11" s="3">
        <v>131617</v>
      </c>
      <c r="E11" s="3">
        <v>32261</v>
      </c>
      <c r="F11" s="3">
        <v>4148</v>
      </c>
    </row>
    <row r="12" spans="1:6" x14ac:dyDescent="0.3">
      <c r="A12" s="2" t="s">
        <v>14</v>
      </c>
      <c r="B12" s="3">
        <f t="shared" si="0"/>
        <v>134904</v>
      </c>
      <c r="C12" s="3">
        <v>138536</v>
      </c>
      <c r="D12" s="3">
        <v>66800</v>
      </c>
      <c r="E12" s="3">
        <v>3632</v>
      </c>
      <c r="F12" s="3">
        <v>439</v>
      </c>
    </row>
    <row r="13" spans="1:6" x14ac:dyDescent="0.3">
      <c r="A13" s="2" t="s">
        <v>15</v>
      </c>
      <c r="B13" s="3">
        <f t="shared" si="0"/>
        <v>53325</v>
      </c>
      <c r="C13" s="3">
        <v>73839</v>
      </c>
      <c r="D13" s="3">
        <v>31560</v>
      </c>
      <c r="E13" s="3">
        <v>20514</v>
      </c>
      <c r="F13" s="3">
        <v>1365</v>
      </c>
    </row>
    <row r="14" spans="1:6" x14ac:dyDescent="0.3">
      <c r="A14" s="2" t="s">
        <v>16</v>
      </c>
      <c r="B14" s="3">
        <f t="shared" si="0"/>
        <v>-1194050</v>
      </c>
      <c r="C14" s="3">
        <v>60847</v>
      </c>
      <c r="D14" s="3">
        <v>32400</v>
      </c>
      <c r="E14" s="3">
        <v>1254897</v>
      </c>
      <c r="F14" s="3">
        <v>1012618</v>
      </c>
    </row>
    <row r="15" spans="1:6" ht="17.25" thickBot="1" x14ac:dyDescent="0.35">
      <c r="A15" s="4" t="s">
        <v>34</v>
      </c>
      <c r="B15" s="5">
        <f>SUM(B3:B14)</f>
        <v>711358</v>
      </c>
      <c r="C15" s="5">
        <f t="shared" ref="C15:F15" si="1">SUM(C3:C14)</f>
        <v>2065503</v>
      </c>
      <c r="D15" s="5">
        <f t="shared" si="1"/>
        <v>970755</v>
      </c>
      <c r="E15" s="5">
        <f t="shared" si="1"/>
        <v>1354145</v>
      </c>
      <c r="F15" s="5">
        <f t="shared" si="1"/>
        <v>1022644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1" t="s">
        <v>42</v>
      </c>
      <c r="C2" s="1" t="s">
        <v>28</v>
      </c>
      <c r="D2" s="1" t="s">
        <v>29</v>
      </c>
      <c r="E2" s="1" t="s">
        <v>36</v>
      </c>
      <c r="F2" s="1" t="s">
        <v>31</v>
      </c>
    </row>
    <row r="3" spans="1:6" x14ac:dyDescent="0.3">
      <c r="A3" s="2" t="s">
        <v>32</v>
      </c>
      <c r="B3" s="3">
        <f t="shared" ref="B3:B14" si="0">C3-E3</f>
        <v>-2301353</v>
      </c>
      <c r="C3" s="3">
        <v>150818</v>
      </c>
      <c r="D3" s="3">
        <v>71538</v>
      </c>
      <c r="E3" s="3">
        <v>2452171</v>
      </c>
      <c r="F3" s="3">
        <v>2019350</v>
      </c>
    </row>
    <row r="4" spans="1:6" x14ac:dyDescent="0.3">
      <c r="A4" s="2" t="s">
        <v>41</v>
      </c>
      <c r="B4" s="3">
        <f t="shared" si="0"/>
        <v>54678</v>
      </c>
      <c r="C4" s="3">
        <v>60434</v>
      </c>
      <c r="D4" s="3">
        <v>28998</v>
      </c>
      <c r="E4" s="3">
        <v>5756</v>
      </c>
      <c r="F4" s="3">
        <v>906</v>
      </c>
    </row>
    <row r="5" spans="1:6" x14ac:dyDescent="0.3">
      <c r="A5" s="2" t="s">
        <v>7</v>
      </c>
      <c r="B5" s="3">
        <f t="shared" si="0"/>
        <v>61790</v>
      </c>
      <c r="C5" s="3">
        <v>81048</v>
      </c>
      <c r="D5" s="3">
        <v>35116</v>
      </c>
      <c r="E5" s="3">
        <v>19258</v>
      </c>
      <c r="F5" s="3">
        <v>2297</v>
      </c>
    </row>
    <row r="6" spans="1:6" x14ac:dyDescent="0.3">
      <c r="A6" s="2" t="s">
        <v>8</v>
      </c>
      <c r="B6" s="3">
        <f t="shared" si="0"/>
        <v>96347</v>
      </c>
      <c r="C6" s="3">
        <v>132294</v>
      </c>
      <c r="D6" s="3">
        <v>67792</v>
      </c>
      <c r="E6" s="3">
        <v>35947</v>
      </c>
      <c r="F6" s="3">
        <v>3264</v>
      </c>
    </row>
    <row r="7" spans="1:6" x14ac:dyDescent="0.3">
      <c r="A7" s="2" t="s">
        <v>9</v>
      </c>
      <c r="B7" s="3">
        <f t="shared" si="0"/>
        <v>-137952</v>
      </c>
      <c r="C7" s="3">
        <v>69138</v>
      </c>
      <c r="D7" s="3">
        <v>33800</v>
      </c>
      <c r="E7" s="3">
        <v>207090</v>
      </c>
      <c r="F7" s="3">
        <v>149093</v>
      </c>
    </row>
    <row r="8" spans="1:6" x14ac:dyDescent="0.3">
      <c r="A8" s="2" t="s">
        <v>10</v>
      </c>
      <c r="B8" s="3">
        <f t="shared" si="0"/>
        <v>169899</v>
      </c>
      <c r="C8" s="3">
        <v>170285</v>
      </c>
      <c r="D8" s="3">
        <v>90802</v>
      </c>
      <c r="E8" s="3">
        <v>386</v>
      </c>
      <c r="F8" s="3">
        <v>50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-2056591</v>
      </c>
      <c r="C15" s="5">
        <f t="shared" ref="C15:F15" si="1">SUM(C3:C14)</f>
        <v>664017</v>
      </c>
      <c r="D15" s="5">
        <f t="shared" si="1"/>
        <v>328046</v>
      </c>
      <c r="E15" s="5">
        <f t="shared" si="1"/>
        <v>2720608</v>
      </c>
      <c r="F15" s="5">
        <f t="shared" si="1"/>
        <v>2174960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2026-07-14T07:08:56Z</dcterms:created>
  <dcterms:modified xsi:type="dcterms:W3CDTF">2026-07-28T07:09:45Z</dcterms:modified>
</cp:coreProperties>
</file>