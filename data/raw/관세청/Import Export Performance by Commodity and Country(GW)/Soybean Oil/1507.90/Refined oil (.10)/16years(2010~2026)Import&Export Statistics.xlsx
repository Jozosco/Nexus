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정제유(.10)\"/>
    </mc:Choice>
  </mc:AlternateContent>
  <bookViews>
    <workbookView xWindow="0" yWindow="0" windowWidth="28800" windowHeight="11640" firstSheet="3" activeTab="16"/>
  </bookViews>
  <sheets>
    <sheet name="2010년" sheetId="12" r:id="rId1"/>
    <sheet name="2011년" sheetId="13" r:id="rId2"/>
    <sheet name="2012년" sheetId="14" r:id="rId3"/>
    <sheet name="2013년" sheetId="15" r:id="rId4"/>
    <sheet name="2014년" sheetId="16" r:id="rId5"/>
    <sheet name="2015년" sheetId="17" r:id="rId6"/>
    <sheet name="2016년" sheetId="18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1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8" l="1"/>
  <c r="E15" i="18"/>
  <c r="D15" i="18"/>
  <c r="C15" i="18"/>
  <c r="B14" i="18"/>
  <c r="B13" i="18"/>
  <c r="B12" i="18"/>
  <c r="B11" i="18"/>
  <c r="B10" i="18"/>
  <c r="B9" i="18"/>
  <c r="B8" i="18"/>
  <c r="B7" i="18"/>
  <c r="B6" i="18"/>
  <c r="B5" i="18"/>
  <c r="B4" i="18"/>
  <c r="B3" i="18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2" l="1"/>
  <c r="B15" i="18"/>
  <c r="B15" i="17"/>
  <c r="B15" i="13"/>
  <c r="B15" i="14"/>
  <c r="B15" i="15"/>
  <c r="B15" i="16"/>
  <c r="B15" i="11"/>
  <c r="B3" i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F15" i="2"/>
  <c r="E15" i="2"/>
  <c r="D15" i="2"/>
  <c r="C15" i="2"/>
  <c r="B14" i="2"/>
  <c r="B13" i="2"/>
  <c r="B12" i="2"/>
  <c r="B11" i="2"/>
  <c r="B10" i="2"/>
  <c r="B9" i="2"/>
  <c r="B8" i="2"/>
  <c r="B7" i="2"/>
  <c r="B6" i="2"/>
  <c r="B5" i="2"/>
  <c r="B4" i="2"/>
  <c r="B3" i="2"/>
  <c r="F15" i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<sst xmlns="http://schemas.openxmlformats.org/spreadsheetml/2006/main" count="306" uniqueCount="43">
  <si>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</si>
  <si>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</si>
  <si>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</si>
  <si>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</si>
  <si>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</si>
  <si>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</si>
  <si>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</si>
  <si>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</si>
  <si>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</si>
  <si>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</si>
  <si>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</si>
  <si>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</si>
  <si>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</si>
  <si>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</si>
  <si>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</si>
  <si>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</si>
  <si>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</si>
  <si>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</si>
  <si>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</si>
  <si>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</si>
  <si>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</si>
  <si>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</si>
  <si>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</si>
  <si>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</si>
  <si>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</si>
  <si>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</si>
  <si>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</si>
  <si>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</si>
  <si>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</si>
  <si>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</si>
  <si>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</si>
  <si>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</si>
  <si>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</si>
  <si>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</si>
  <si>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</si>
  <si>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</si>
  <si>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수입액(달러)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</si>
  <si>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</si>
  <si>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</si>
  <si>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</si>
  <si>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</si>
  <si>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2월</t>
    <phoneticPr fontId="1" type="noConversion"/>
  </si>
  <si>
    <t>무역수지(달러)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</si>
</sst>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-21269</v>
      </c>
      <c r="C4" s="3">
        <v>3226</v>
      </c>
      <c r="D4" s="3">
        <v>1440</v>
      </c>
      <c r="E4" s="3">
        <v>24495</v>
      </c>
      <c r="F4" s="3">
        <v>3250</v>
      </c>
    </row>
    <row r="5" spans="1:6" x14ac:dyDescent="0.3">
      <c r="A5" s="2" t="s">
        <v>7</v>
      </c>
      <c r="B5" s="3">
        <f t="shared" si="0"/>
        <v>-6147</v>
      </c>
      <c r="C5" s="3">
        <v>0</v>
      </c>
      <c r="D5" s="3">
        <v>0</v>
      </c>
      <c r="E5" s="3">
        <v>6147</v>
      </c>
      <c r="F5" s="3">
        <v>420</v>
      </c>
    </row>
    <row r="6" spans="1:6" x14ac:dyDescent="0.3">
      <c r="A6" s="2" t="s">
        <v>8</v>
      </c>
      <c r="B6" s="3">
        <f t="shared" si="0"/>
        <v>-20777</v>
      </c>
      <c r="C6" s="3">
        <v>3226</v>
      </c>
      <c r="D6" s="3">
        <v>1440</v>
      </c>
      <c r="E6" s="3">
        <v>24003</v>
      </c>
      <c r="F6" s="3">
        <v>3300</v>
      </c>
    </row>
    <row r="7" spans="1:6" x14ac:dyDescent="0.3">
      <c r="A7" s="2" t="s">
        <v>9</v>
      </c>
      <c r="B7" s="3">
        <f t="shared" si="0"/>
        <v>-55789</v>
      </c>
      <c r="C7" s="3">
        <v>3226</v>
      </c>
      <c r="D7" s="3">
        <v>1440</v>
      </c>
      <c r="E7" s="3">
        <v>59015</v>
      </c>
      <c r="F7" s="3">
        <v>9253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>C9-E9</f>
        <v>-41306</v>
      </c>
      <c r="C9" s="3">
        <v>3226</v>
      </c>
      <c r="D9" s="3">
        <v>1440</v>
      </c>
      <c r="E9" s="3">
        <v>44532</v>
      </c>
      <c r="F9" s="3">
        <v>6600</v>
      </c>
    </row>
    <row r="10" spans="1:6" x14ac:dyDescent="0.3">
      <c r="A10" s="2" t="s">
        <v>12</v>
      </c>
      <c r="B10" s="3">
        <f t="shared" ref="B10:B14" si="1">C10-E10</f>
        <v>-65790</v>
      </c>
      <c r="C10" s="3">
        <v>0</v>
      </c>
      <c r="D10" s="3">
        <v>0</v>
      </c>
      <c r="E10" s="3">
        <v>65790</v>
      </c>
      <c r="F10" s="3">
        <v>9300</v>
      </c>
    </row>
    <row r="11" spans="1:6" x14ac:dyDescent="0.3">
      <c r="A11" s="2" t="s">
        <v>13</v>
      </c>
      <c r="B11" s="3">
        <f t="shared" si="1"/>
        <v>-66197</v>
      </c>
      <c r="C11" s="3">
        <v>0</v>
      </c>
      <c r="D11" s="3">
        <v>0</v>
      </c>
      <c r="E11" s="3">
        <v>66197</v>
      </c>
      <c r="F11" s="3">
        <v>9308</v>
      </c>
    </row>
    <row r="12" spans="1:6" x14ac:dyDescent="0.3">
      <c r="A12" s="2" t="s">
        <v>14</v>
      </c>
      <c r="B12" s="3">
        <f t="shared" si="1"/>
        <v>-64991</v>
      </c>
      <c r="C12" s="3">
        <v>0</v>
      </c>
      <c r="D12" s="3">
        <v>0</v>
      </c>
      <c r="E12" s="3">
        <v>64991</v>
      </c>
      <c r="F12" s="3">
        <v>9194</v>
      </c>
    </row>
    <row r="13" spans="1:6" x14ac:dyDescent="0.3">
      <c r="A13" s="2" t="s">
        <v>15</v>
      </c>
      <c r="B13" s="3">
        <f t="shared" si="1"/>
        <v>-70784</v>
      </c>
      <c r="C13" s="3">
        <v>0</v>
      </c>
      <c r="D13" s="3">
        <v>0</v>
      </c>
      <c r="E13" s="3">
        <v>70784</v>
      </c>
      <c r="F13" s="3">
        <v>9545</v>
      </c>
    </row>
    <row r="14" spans="1:6" x14ac:dyDescent="0.3">
      <c r="A14" s="2" t="s">
        <v>16</v>
      </c>
      <c r="B14" s="3">
        <f t="shared" si="1"/>
        <v>-43815</v>
      </c>
      <c r="C14" s="3">
        <v>0</v>
      </c>
      <c r="D14" s="3">
        <v>0</v>
      </c>
      <c r="E14" s="3">
        <v>43815</v>
      </c>
      <c r="F14" s="3">
        <v>6000</v>
      </c>
    </row>
    <row r="15" spans="1:6" ht="17.25" thickBot="1" x14ac:dyDescent="0.35">
      <c r="A15" s="4" t="s">
        <v>17</v>
      </c>
      <c r="B15" s="5">
        <f>SUM(B3:B14)</f>
        <v>-456865</v>
      </c>
      <c r="C15" s="5">
        <f t="shared" ref="C15:F15" si="2">SUM(C3:C14)</f>
        <v>12904</v>
      </c>
      <c r="D15" s="5">
        <f t="shared" si="2"/>
        <v>5760</v>
      </c>
      <c r="E15" s="5">
        <f t="shared" si="2"/>
        <v>469769</v>
      </c>
      <c r="F15" s="5">
        <f t="shared" si="2"/>
        <v>66170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-72671</v>
      </c>
      <c r="C3" s="3">
        <v>0</v>
      </c>
      <c r="D3" s="3">
        <v>0</v>
      </c>
      <c r="E3" s="3">
        <v>72671</v>
      </c>
      <c r="F3" s="3">
        <v>9709</v>
      </c>
    </row>
    <row r="4" spans="1:6" x14ac:dyDescent="0.3">
      <c r="A4" s="2" t="s">
        <v>24</v>
      </c>
      <c r="B4" s="3">
        <f t="shared" ref="B4:B14" si="0">C4-E4</f>
        <v>-22223</v>
      </c>
      <c r="C4" s="3">
        <v>0</v>
      </c>
      <c r="D4" s="3">
        <v>0</v>
      </c>
      <c r="E4" s="3">
        <v>22223</v>
      </c>
      <c r="F4" s="3">
        <v>3000</v>
      </c>
    </row>
    <row r="5" spans="1:6" x14ac:dyDescent="0.3">
      <c r="A5" s="2" t="s">
        <v>25</v>
      </c>
      <c r="B5" s="3">
        <f t="shared" si="0"/>
        <v>-47365</v>
      </c>
      <c r="C5" s="3">
        <v>0</v>
      </c>
      <c r="D5" s="3">
        <v>0</v>
      </c>
      <c r="E5" s="3">
        <v>47365</v>
      </c>
      <c r="F5" s="3">
        <v>6305</v>
      </c>
    </row>
    <row r="6" spans="1:6" x14ac:dyDescent="0.3">
      <c r="A6" s="2" t="s">
        <v>8</v>
      </c>
      <c r="B6" s="3">
        <f t="shared" si="0"/>
        <v>-48475</v>
      </c>
      <c r="C6" s="3">
        <v>0</v>
      </c>
      <c r="D6" s="3">
        <v>0</v>
      </c>
      <c r="E6" s="3">
        <v>48475</v>
      </c>
      <c r="F6" s="3">
        <v>6300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-73776</v>
      </c>
      <c r="C8" s="3">
        <v>0</v>
      </c>
      <c r="D8" s="3">
        <v>0</v>
      </c>
      <c r="E8" s="3">
        <v>73776</v>
      </c>
      <c r="F8" s="3">
        <v>9493</v>
      </c>
    </row>
    <row r="9" spans="1:6" x14ac:dyDescent="0.3">
      <c r="A9" s="2" t="s">
        <v>11</v>
      </c>
      <c r="B9" s="3">
        <f t="shared" si="0"/>
        <v>-10342</v>
      </c>
      <c r="C9" s="3">
        <v>960</v>
      </c>
      <c r="D9" s="3">
        <v>460</v>
      </c>
      <c r="E9" s="3">
        <v>11302</v>
      </c>
      <c r="F9" s="3">
        <v>5760</v>
      </c>
    </row>
    <row r="10" spans="1:6" x14ac:dyDescent="0.3">
      <c r="A10" s="2" t="s">
        <v>12</v>
      </c>
      <c r="B10" s="3">
        <f t="shared" si="0"/>
        <v>-67355</v>
      </c>
      <c r="C10" s="3">
        <v>751</v>
      </c>
      <c r="D10" s="3">
        <v>360</v>
      </c>
      <c r="E10" s="3">
        <v>68106</v>
      </c>
      <c r="F10" s="3">
        <v>14287</v>
      </c>
    </row>
    <row r="11" spans="1:6" x14ac:dyDescent="0.3">
      <c r="A11" s="2" t="s">
        <v>13</v>
      </c>
      <c r="B11" s="3">
        <f t="shared" si="0"/>
        <v>-65674</v>
      </c>
      <c r="C11" s="3">
        <v>191</v>
      </c>
      <c r="D11" s="3">
        <v>90</v>
      </c>
      <c r="E11" s="3">
        <v>65865</v>
      </c>
      <c r="F11" s="3">
        <v>9300</v>
      </c>
    </row>
    <row r="12" spans="1:6" x14ac:dyDescent="0.3">
      <c r="A12" s="2" t="s">
        <v>14</v>
      </c>
      <c r="B12" s="3">
        <f t="shared" si="0"/>
        <v>-92017</v>
      </c>
      <c r="C12" s="3">
        <v>0</v>
      </c>
      <c r="D12" s="3">
        <v>0</v>
      </c>
      <c r="E12" s="3">
        <v>92017</v>
      </c>
      <c r="F12" s="3">
        <v>12551</v>
      </c>
    </row>
    <row r="13" spans="1:6" x14ac:dyDescent="0.3">
      <c r="A13" s="2" t="s">
        <v>15</v>
      </c>
      <c r="B13" s="3">
        <f t="shared" si="0"/>
        <v>-117646</v>
      </c>
      <c r="C13" s="3">
        <v>189</v>
      </c>
      <c r="D13" s="3">
        <v>90</v>
      </c>
      <c r="E13" s="3">
        <v>117835</v>
      </c>
      <c r="F13" s="3">
        <v>44610</v>
      </c>
    </row>
    <row r="14" spans="1:6" x14ac:dyDescent="0.3">
      <c r="A14" s="2" t="s">
        <v>16</v>
      </c>
      <c r="B14" s="3">
        <f t="shared" si="0"/>
        <v>-23632</v>
      </c>
      <c r="C14" s="3">
        <v>1290</v>
      </c>
      <c r="D14" s="3">
        <v>648</v>
      </c>
      <c r="E14" s="3">
        <v>24922</v>
      </c>
      <c r="F14" s="3">
        <v>3735</v>
      </c>
    </row>
    <row r="15" spans="1:6" ht="17.25" thickBot="1" x14ac:dyDescent="0.35">
      <c r="A15" s="4" t="s">
        <v>26</v>
      </c>
      <c r="B15" s="5">
        <f>SUM(B3:B14)</f>
        <v>-641176</v>
      </c>
      <c r="C15" s="5">
        <f t="shared" ref="C15:F15" si="1">SUM(C3:C14)</f>
        <v>3381</v>
      </c>
      <c r="D15" s="5">
        <f t="shared" si="1"/>
        <v>1648</v>
      </c>
      <c r="E15" s="5">
        <f t="shared" si="1"/>
        <v>644557</v>
      </c>
      <c r="F15" s="5">
        <f t="shared" si="1"/>
        <v>125050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-65010</v>
      </c>
      <c r="C3" s="3">
        <v>0</v>
      </c>
      <c r="D3" s="3">
        <v>0</v>
      </c>
      <c r="E3" s="3">
        <v>65010</v>
      </c>
      <c r="F3" s="3">
        <v>9300</v>
      </c>
    </row>
    <row r="4" spans="1:6" x14ac:dyDescent="0.3">
      <c r="A4" s="2" t="s">
        <v>24</v>
      </c>
      <c r="B4" s="3">
        <f t="shared" si="0"/>
        <v>-28997</v>
      </c>
      <c r="C4" s="3">
        <v>0</v>
      </c>
      <c r="D4" s="3">
        <v>0</v>
      </c>
      <c r="E4" s="3">
        <v>28997</v>
      </c>
      <c r="F4" s="3">
        <v>4335</v>
      </c>
    </row>
    <row r="5" spans="1:6" x14ac:dyDescent="0.3">
      <c r="A5" s="2" t="s">
        <v>33</v>
      </c>
      <c r="B5" s="3">
        <f t="shared" si="0"/>
        <v>-61968</v>
      </c>
      <c r="C5" s="3">
        <v>0</v>
      </c>
      <c r="D5" s="3">
        <v>0</v>
      </c>
      <c r="E5" s="3">
        <v>61968</v>
      </c>
      <c r="F5" s="3">
        <v>20347</v>
      </c>
    </row>
    <row r="6" spans="1:6" x14ac:dyDescent="0.3">
      <c r="A6" s="2" t="s">
        <v>8</v>
      </c>
      <c r="B6" s="3">
        <f t="shared" si="0"/>
        <v>-66212</v>
      </c>
      <c r="C6" s="3">
        <v>0</v>
      </c>
      <c r="D6" s="3">
        <v>0</v>
      </c>
      <c r="E6" s="3">
        <v>66212</v>
      </c>
      <c r="F6" s="3">
        <v>8900</v>
      </c>
    </row>
    <row r="7" spans="1:6" x14ac:dyDescent="0.3">
      <c r="A7" s="2" t="s">
        <v>9</v>
      </c>
      <c r="B7" s="3">
        <f t="shared" si="0"/>
        <v>-58368</v>
      </c>
      <c r="C7" s="3">
        <v>0</v>
      </c>
      <c r="D7" s="3">
        <v>0</v>
      </c>
      <c r="E7" s="3">
        <v>58368</v>
      </c>
      <c r="F7" s="3">
        <v>9200</v>
      </c>
    </row>
    <row r="8" spans="1:6" x14ac:dyDescent="0.3">
      <c r="A8" s="2" t="s">
        <v>10</v>
      </c>
      <c r="B8" s="3">
        <f t="shared" si="0"/>
        <v>-117017</v>
      </c>
      <c r="C8" s="3">
        <v>0</v>
      </c>
      <c r="D8" s="3">
        <v>0</v>
      </c>
      <c r="E8" s="3">
        <v>117017</v>
      </c>
      <c r="F8" s="3">
        <v>17702</v>
      </c>
    </row>
    <row r="9" spans="1:6" x14ac:dyDescent="0.3">
      <c r="A9" s="2" t="s">
        <v>11</v>
      </c>
      <c r="B9" s="3">
        <f t="shared" si="0"/>
        <v>-59801</v>
      </c>
      <c r="C9" s="3">
        <v>0</v>
      </c>
      <c r="D9" s="3">
        <v>0</v>
      </c>
      <c r="E9" s="3">
        <v>59801</v>
      </c>
      <c r="F9" s="3">
        <v>9315</v>
      </c>
    </row>
    <row r="10" spans="1:6" x14ac:dyDescent="0.3">
      <c r="A10" s="2" t="s">
        <v>12</v>
      </c>
      <c r="B10" s="3">
        <f t="shared" si="0"/>
        <v>-59145</v>
      </c>
      <c r="C10" s="3">
        <v>0</v>
      </c>
      <c r="D10" s="3">
        <v>0</v>
      </c>
      <c r="E10" s="3">
        <v>59145</v>
      </c>
      <c r="F10" s="3">
        <v>9309</v>
      </c>
    </row>
    <row r="11" spans="1:6" x14ac:dyDescent="0.3">
      <c r="A11" s="2" t="s">
        <v>13</v>
      </c>
      <c r="B11" s="3">
        <f t="shared" si="0"/>
        <v>-60505</v>
      </c>
      <c r="C11" s="3">
        <v>0</v>
      </c>
      <c r="D11" s="3">
        <v>0</v>
      </c>
      <c r="E11" s="3">
        <v>60505</v>
      </c>
      <c r="F11" s="3">
        <v>9300</v>
      </c>
    </row>
    <row r="12" spans="1:6" x14ac:dyDescent="0.3">
      <c r="A12" s="2" t="s">
        <v>14</v>
      </c>
      <c r="B12" s="3">
        <f t="shared" si="0"/>
        <v>-30107</v>
      </c>
      <c r="C12" s="3">
        <v>0</v>
      </c>
      <c r="D12" s="3">
        <v>0</v>
      </c>
      <c r="E12" s="3">
        <v>30107</v>
      </c>
      <c r="F12" s="3">
        <v>15360</v>
      </c>
    </row>
    <row r="13" spans="1:6" x14ac:dyDescent="0.3">
      <c r="A13" s="2" t="s">
        <v>15</v>
      </c>
      <c r="B13" s="3">
        <f t="shared" si="0"/>
        <v>-126063</v>
      </c>
      <c r="C13" s="3">
        <v>0</v>
      </c>
      <c r="D13" s="3">
        <v>0</v>
      </c>
      <c r="E13" s="3">
        <v>126063</v>
      </c>
      <c r="F13" s="3">
        <v>18800</v>
      </c>
    </row>
    <row r="14" spans="1:6" x14ac:dyDescent="0.3">
      <c r="A14" s="2" t="s">
        <v>16</v>
      </c>
      <c r="B14" s="3">
        <f t="shared" si="0"/>
        <v>-83869</v>
      </c>
      <c r="C14" s="3">
        <v>0</v>
      </c>
      <c r="D14" s="3">
        <v>0</v>
      </c>
      <c r="E14" s="3">
        <v>83869</v>
      </c>
      <c r="F14" s="3">
        <v>12304</v>
      </c>
    </row>
    <row r="15" spans="1:6" ht="17.25" thickBot="1" x14ac:dyDescent="0.35">
      <c r="A15" s="4" t="s">
        <v>34</v>
      </c>
      <c r="B15" s="5">
        <f>SUM(B3:B14)</f>
        <v>-817062</v>
      </c>
      <c r="C15" s="5">
        <f t="shared" ref="C15:F15" si="1">SUM(C3:C14)</f>
        <v>0</v>
      </c>
      <c r="D15" s="5">
        <f t="shared" si="1"/>
        <v>0</v>
      </c>
      <c r="E15" s="5">
        <f t="shared" si="1"/>
        <v>817062</v>
      </c>
      <c r="F15" s="5">
        <f t="shared" si="1"/>
        <v>144172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-24485</v>
      </c>
      <c r="C3" s="3">
        <v>0</v>
      </c>
      <c r="D3" s="3">
        <v>0</v>
      </c>
      <c r="E3" s="3">
        <v>24485</v>
      </c>
      <c r="F3" s="3">
        <v>3300</v>
      </c>
    </row>
    <row r="4" spans="1:6" x14ac:dyDescent="0.3">
      <c r="A4" s="2" t="s">
        <v>24</v>
      </c>
      <c r="B4" s="3">
        <f t="shared" si="0"/>
        <v>-99887</v>
      </c>
      <c r="C4" s="3">
        <v>0</v>
      </c>
      <c r="D4" s="3">
        <v>0</v>
      </c>
      <c r="E4" s="3">
        <v>99887</v>
      </c>
      <c r="F4" s="3">
        <v>14900</v>
      </c>
    </row>
    <row r="5" spans="1:6" x14ac:dyDescent="0.3">
      <c r="A5" s="2" t="s">
        <v>25</v>
      </c>
      <c r="B5" s="3">
        <f t="shared" si="0"/>
        <v>-47695</v>
      </c>
      <c r="C5" s="3">
        <v>0</v>
      </c>
      <c r="D5" s="3">
        <v>0</v>
      </c>
      <c r="E5" s="3">
        <v>47695</v>
      </c>
      <c r="F5" s="3">
        <v>6650</v>
      </c>
    </row>
    <row r="6" spans="1:6" x14ac:dyDescent="0.3">
      <c r="A6" s="2" t="s">
        <v>8</v>
      </c>
      <c r="B6" s="3">
        <f t="shared" si="0"/>
        <v>-46044</v>
      </c>
      <c r="C6" s="3">
        <v>0</v>
      </c>
      <c r="D6" s="3">
        <v>0</v>
      </c>
      <c r="E6" s="3">
        <v>46044</v>
      </c>
      <c r="F6" s="3">
        <v>6686</v>
      </c>
    </row>
    <row r="7" spans="1:6" x14ac:dyDescent="0.3">
      <c r="A7" s="2" t="s">
        <v>9</v>
      </c>
      <c r="B7" s="3">
        <f t="shared" si="0"/>
        <v>-62862</v>
      </c>
      <c r="C7" s="3">
        <v>0</v>
      </c>
      <c r="D7" s="3">
        <v>0</v>
      </c>
      <c r="E7" s="3">
        <v>62862</v>
      </c>
      <c r="F7" s="3">
        <v>9300</v>
      </c>
    </row>
    <row r="8" spans="1:6" x14ac:dyDescent="0.3">
      <c r="A8" s="2" t="s">
        <v>10</v>
      </c>
      <c r="B8" s="3">
        <f t="shared" si="0"/>
        <v>-92798</v>
      </c>
      <c r="C8" s="3">
        <v>0</v>
      </c>
      <c r="D8" s="3">
        <v>0</v>
      </c>
      <c r="E8" s="3">
        <v>92798</v>
      </c>
      <c r="F8" s="3">
        <v>28421</v>
      </c>
    </row>
    <row r="9" spans="1:6" x14ac:dyDescent="0.3">
      <c r="A9" s="2" t="s">
        <v>11</v>
      </c>
      <c r="B9" s="3">
        <f t="shared" si="0"/>
        <v>-71372</v>
      </c>
      <c r="C9" s="3">
        <v>0</v>
      </c>
      <c r="D9" s="3">
        <v>0</v>
      </c>
      <c r="E9" s="3">
        <v>71372</v>
      </c>
      <c r="F9" s="3">
        <v>9720</v>
      </c>
    </row>
    <row r="10" spans="1:6" x14ac:dyDescent="0.3">
      <c r="A10" s="2" t="s">
        <v>12</v>
      </c>
      <c r="B10" s="3">
        <f t="shared" si="0"/>
        <v>-71906</v>
      </c>
      <c r="C10" s="3">
        <v>0</v>
      </c>
      <c r="D10" s="3">
        <v>0</v>
      </c>
      <c r="E10" s="3">
        <v>71906</v>
      </c>
      <c r="F10" s="3">
        <v>9747</v>
      </c>
    </row>
    <row r="11" spans="1:6" x14ac:dyDescent="0.3">
      <c r="A11" s="2" t="s">
        <v>13</v>
      </c>
      <c r="B11" s="3">
        <f t="shared" si="0"/>
        <v>-45252</v>
      </c>
      <c r="C11" s="3">
        <v>0</v>
      </c>
      <c r="D11" s="3">
        <v>0</v>
      </c>
      <c r="E11" s="3">
        <v>45252</v>
      </c>
      <c r="F11" s="3">
        <v>6003</v>
      </c>
    </row>
    <row r="12" spans="1:6" x14ac:dyDescent="0.3">
      <c r="A12" s="2" t="s">
        <v>14</v>
      </c>
      <c r="B12" s="3">
        <f t="shared" si="0"/>
        <v>-33287</v>
      </c>
      <c r="C12" s="3">
        <v>17710</v>
      </c>
      <c r="D12" s="3">
        <v>6160</v>
      </c>
      <c r="E12" s="3">
        <v>50997</v>
      </c>
      <c r="F12" s="3">
        <v>7078</v>
      </c>
    </row>
    <row r="13" spans="1:6" x14ac:dyDescent="0.3">
      <c r="A13" s="2" t="s">
        <v>15</v>
      </c>
      <c r="B13" s="3">
        <f t="shared" si="0"/>
        <v>-131146</v>
      </c>
      <c r="C13" s="3">
        <v>0</v>
      </c>
      <c r="D13" s="3">
        <v>0</v>
      </c>
      <c r="E13" s="3">
        <v>131146</v>
      </c>
      <c r="F13" s="3">
        <v>17550</v>
      </c>
    </row>
    <row r="14" spans="1:6" x14ac:dyDescent="0.3">
      <c r="A14" s="2" t="s">
        <v>16</v>
      </c>
      <c r="B14" s="3">
        <f t="shared" si="0"/>
        <v>-62502</v>
      </c>
      <c r="C14" s="3">
        <v>0</v>
      </c>
      <c r="D14" s="3">
        <v>0</v>
      </c>
      <c r="E14" s="3">
        <v>62502</v>
      </c>
      <c r="F14" s="3">
        <v>23367</v>
      </c>
    </row>
    <row r="15" spans="1:6" ht="17.25" thickBot="1" x14ac:dyDescent="0.35">
      <c r="A15" s="4" t="s">
        <v>26</v>
      </c>
      <c r="B15" s="5">
        <f>SUM(B3:B14)</f>
        <v>-789236</v>
      </c>
      <c r="C15" s="5">
        <f t="shared" ref="C15:F15" si="1">SUM(C3:C14)</f>
        <v>17710</v>
      </c>
      <c r="D15" s="5">
        <f t="shared" si="1"/>
        <v>6160</v>
      </c>
      <c r="E15" s="5">
        <f t="shared" si="1"/>
        <v>806946</v>
      </c>
      <c r="F15" s="5">
        <f t="shared" si="1"/>
        <v>142722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35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37</v>
      </c>
      <c r="B3" s="3">
        <f t="shared" ref="B3:B14" si="0">C3-E3</f>
        <v>-160455</v>
      </c>
      <c r="C3" s="3">
        <v>0</v>
      </c>
      <c r="D3" s="3">
        <v>0</v>
      </c>
      <c r="E3" s="3">
        <v>160455</v>
      </c>
      <c r="F3" s="3">
        <v>21650</v>
      </c>
    </row>
    <row r="4" spans="1:6" x14ac:dyDescent="0.3">
      <c r="A4" s="2" t="s">
        <v>38</v>
      </c>
      <c r="B4" s="3">
        <f t="shared" si="0"/>
        <v>-836</v>
      </c>
      <c r="C4" s="3">
        <v>0</v>
      </c>
      <c r="D4" s="3">
        <v>0</v>
      </c>
      <c r="E4" s="3">
        <v>836</v>
      </c>
      <c r="F4" s="3">
        <v>61</v>
      </c>
    </row>
    <row r="5" spans="1:6" x14ac:dyDescent="0.3">
      <c r="A5" s="2" t="s">
        <v>33</v>
      </c>
      <c r="B5" s="3">
        <f t="shared" si="0"/>
        <v>-92802</v>
      </c>
      <c r="C5" s="3">
        <v>0</v>
      </c>
      <c r="D5" s="3">
        <v>0</v>
      </c>
      <c r="E5" s="3">
        <v>92802</v>
      </c>
      <c r="F5" s="3">
        <v>12882</v>
      </c>
    </row>
    <row r="6" spans="1:6" x14ac:dyDescent="0.3">
      <c r="A6" s="2" t="s">
        <v>8</v>
      </c>
      <c r="B6" s="3">
        <f t="shared" si="0"/>
        <v>-92474</v>
      </c>
      <c r="C6" s="3">
        <v>0</v>
      </c>
      <c r="D6" s="3">
        <v>0</v>
      </c>
      <c r="E6" s="3">
        <v>92474</v>
      </c>
      <c r="F6" s="3">
        <v>12640</v>
      </c>
    </row>
    <row r="7" spans="1:6" x14ac:dyDescent="0.3">
      <c r="A7" s="2" t="s">
        <v>9</v>
      </c>
      <c r="B7" s="3">
        <f t="shared" si="0"/>
        <v>-67932</v>
      </c>
      <c r="C7" s="3">
        <v>0</v>
      </c>
      <c r="D7" s="3">
        <v>0</v>
      </c>
      <c r="E7" s="3">
        <v>67932</v>
      </c>
      <c r="F7" s="3">
        <v>9305</v>
      </c>
    </row>
    <row r="8" spans="1:6" x14ac:dyDescent="0.3">
      <c r="A8" s="2" t="s">
        <v>10</v>
      </c>
      <c r="B8" s="3">
        <f t="shared" si="0"/>
        <v>-47808</v>
      </c>
      <c r="C8" s="3">
        <v>0</v>
      </c>
      <c r="D8" s="3">
        <v>0</v>
      </c>
      <c r="E8" s="3">
        <v>47808</v>
      </c>
      <c r="F8" s="3">
        <v>6300</v>
      </c>
    </row>
    <row r="9" spans="1:6" x14ac:dyDescent="0.3">
      <c r="A9" s="2" t="s">
        <v>11</v>
      </c>
      <c r="B9" s="3">
        <f t="shared" si="0"/>
        <v>-67334</v>
      </c>
      <c r="C9" s="3">
        <v>3430</v>
      </c>
      <c r="D9" s="3">
        <v>450</v>
      </c>
      <c r="E9" s="3">
        <v>70764</v>
      </c>
      <c r="F9" s="3">
        <v>9301</v>
      </c>
    </row>
    <row r="10" spans="1:6" x14ac:dyDescent="0.3">
      <c r="A10" s="2" t="s">
        <v>12</v>
      </c>
      <c r="B10" s="3">
        <f t="shared" si="0"/>
        <v>-49400</v>
      </c>
      <c r="C10" s="3">
        <v>0</v>
      </c>
      <c r="D10" s="3">
        <v>0</v>
      </c>
      <c r="E10" s="3">
        <v>49400</v>
      </c>
      <c r="F10" s="3">
        <v>7071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-77878</v>
      </c>
      <c r="C12" s="3">
        <v>0</v>
      </c>
      <c r="D12" s="3">
        <v>0</v>
      </c>
      <c r="E12" s="3">
        <v>77878</v>
      </c>
      <c r="F12" s="3">
        <v>25364</v>
      </c>
    </row>
    <row r="13" spans="1:6" x14ac:dyDescent="0.3">
      <c r="A13" s="2" t="s">
        <v>15</v>
      </c>
      <c r="B13" s="3">
        <f t="shared" si="0"/>
        <v>-89777</v>
      </c>
      <c r="C13" s="3">
        <v>0</v>
      </c>
      <c r="D13" s="3">
        <v>0</v>
      </c>
      <c r="E13" s="3">
        <v>89777</v>
      </c>
      <c r="F13" s="3">
        <v>12677</v>
      </c>
    </row>
    <row r="14" spans="1:6" x14ac:dyDescent="0.3">
      <c r="A14" s="2" t="s">
        <v>16</v>
      </c>
      <c r="B14" s="3">
        <f t="shared" si="0"/>
        <v>-22809</v>
      </c>
      <c r="C14" s="3">
        <v>0</v>
      </c>
      <c r="D14" s="3">
        <v>0</v>
      </c>
      <c r="E14" s="3">
        <v>22809</v>
      </c>
      <c r="F14" s="3">
        <v>3300</v>
      </c>
    </row>
    <row r="15" spans="1:6" ht="17.25" thickBot="1" x14ac:dyDescent="0.35">
      <c r="A15" s="4" t="s">
        <v>40</v>
      </c>
      <c r="B15" s="5">
        <f>SUM(B3:B14)</f>
        <v>-769505</v>
      </c>
      <c r="C15" s="5">
        <f t="shared" ref="C15:F15" si="1">SUM(C3:C14)</f>
        <v>3430</v>
      </c>
      <c r="D15" s="5">
        <f t="shared" si="1"/>
        <v>450</v>
      </c>
      <c r="E15" s="5">
        <f t="shared" si="1"/>
        <v>772935</v>
      </c>
      <c r="F15" s="5">
        <f t="shared" si="1"/>
        <v>120551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-102405</v>
      </c>
      <c r="C3" s="3">
        <v>0</v>
      </c>
      <c r="D3" s="3">
        <v>0</v>
      </c>
      <c r="E3" s="3">
        <v>102405</v>
      </c>
      <c r="F3" s="3">
        <v>15366</v>
      </c>
    </row>
    <row r="4" spans="1:6" x14ac:dyDescent="0.3">
      <c r="A4" s="2" t="s">
        <v>6</v>
      </c>
      <c r="B4" s="3">
        <f t="shared" si="0"/>
        <v>-14689</v>
      </c>
      <c r="C4" s="3">
        <v>0</v>
      </c>
      <c r="D4" s="3">
        <v>0</v>
      </c>
      <c r="E4" s="3">
        <v>14689</v>
      </c>
      <c r="F4" s="3">
        <v>2187</v>
      </c>
    </row>
    <row r="5" spans="1:6" x14ac:dyDescent="0.3">
      <c r="A5" s="2" t="s">
        <v>7</v>
      </c>
      <c r="B5" s="3">
        <f t="shared" si="0"/>
        <v>-23070</v>
      </c>
      <c r="C5" s="3">
        <v>0</v>
      </c>
      <c r="D5" s="3">
        <v>0</v>
      </c>
      <c r="E5" s="3">
        <v>23070</v>
      </c>
      <c r="F5" s="3">
        <v>3758</v>
      </c>
    </row>
    <row r="6" spans="1:6" x14ac:dyDescent="0.3">
      <c r="A6" s="2" t="s">
        <v>8</v>
      </c>
      <c r="B6" s="3">
        <f t="shared" si="0"/>
        <v>-255823</v>
      </c>
      <c r="C6" s="3">
        <v>1777</v>
      </c>
      <c r="D6" s="3">
        <v>185</v>
      </c>
      <c r="E6" s="3">
        <v>257600</v>
      </c>
      <c r="F6" s="3">
        <v>214512</v>
      </c>
    </row>
    <row r="7" spans="1:6" x14ac:dyDescent="0.3">
      <c r="A7" s="2" t="s">
        <v>9</v>
      </c>
      <c r="B7" s="3">
        <f t="shared" si="0"/>
        <v>-202783</v>
      </c>
      <c r="C7" s="3">
        <v>0</v>
      </c>
      <c r="D7" s="3">
        <v>0</v>
      </c>
      <c r="E7" s="3">
        <v>202783</v>
      </c>
      <c r="F7" s="3">
        <v>222813</v>
      </c>
    </row>
    <row r="8" spans="1:6" x14ac:dyDescent="0.3">
      <c r="A8" s="2" t="s">
        <v>10</v>
      </c>
      <c r="B8" s="3">
        <f t="shared" si="0"/>
        <v>-84765</v>
      </c>
      <c r="C8" s="3">
        <v>2064</v>
      </c>
      <c r="D8" s="3">
        <v>1018</v>
      </c>
      <c r="E8" s="3">
        <v>86829</v>
      </c>
      <c r="F8" s="3">
        <v>14344</v>
      </c>
    </row>
    <row r="9" spans="1:6" x14ac:dyDescent="0.3">
      <c r="A9" s="2" t="s">
        <v>11</v>
      </c>
      <c r="B9" s="3">
        <f>C9-E9</f>
        <v>-11435</v>
      </c>
      <c r="C9" s="3">
        <v>0</v>
      </c>
      <c r="D9" s="3">
        <v>0</v>
      </c>
      <c r="E9" s="3">
        <v>11435</v>
      </c>
      <c r="F9" s="3">
        <v>6604</v>
      </c>
    </row>
    <row r="10" spans="1:6" x14ac:dyDescent="0.3">
      <c r="A10" s="2" t="s">
        <v>12</v>
      </c>
      <c r="B10" s="3">
        <f t="shared" ref="B10:B14" si="1">C10-E10</f>
        <v>-39693</v>
      </c>
      <c r="C10" s="3">
        <v>0</v>
      </c>
      <c r="D10" s="3">
        <v>0</v>
      </c>
      <c r="E10" s="3">
        <v>39693</v>
      </c>
      <c r="F10" s="3">
        <v>6350</v>
      </c>
    </row>
    <row r="11" spans="1:6" x14ac:dyDescent="0.3">
      <c r="A11" s="2" t="s">
        <v>13</v>
      </c>
      <c r="B11" s="3">
        <f t="shared" si="1"/>
        <v>-74196</v>
      </c>
      <c r="C11" s="3">
        <v>0</v>
      </c>
      <c r="D11" s="3">
        <v>0</v>
      </c>
      <c r="E11" s="3">
        <v>74196</v>
      </c>
      <c r="F11" s="3">
        <v>12253</v>
      </c>
    </row>
    <row r="12" spans="1:6" x14ac:dyDescent="0.3">
      <c r="A12" s="2" t="s">
        <v>14</v>
      </c>
      <c r="B12" s="3">
        <f t="shared" si="1"/>
        <v>-64325</v>
      </c>
      <c r="C12" s="3">
        <v>1572</v>
      </c>
      <c r="D12" s="3">
        <v>185</v>
      </c>
      <c r="E12" s="3">
        <v>65897</v>
      </c>
      <c r="F12" s="3">
        <v>10500</v>
      </c>
    </row>
    <row r="13" spans="1:6" x14ac:dyDescent="0.3">
      <c r="A13" s="2" t="s">
        <v>15</v>
      </c>
      <c r="B13" s="3">
        <f t="shared" si="1"/>
        <v>-60662</v>
      </c>
      <c r="C13" s="3">
        <v>0</v>
      </c>
      <c r="D13" s="3">
        <v>0</v>
      </c>
      <c r="E13" s="3">
        <v>60662</v>
      </c>
      <c r="F13" s="3">
        <v>11150</v>
      </c>
    </row>
    <row r="14" spans="1:6" x14ac:dyDescent="0.3">
      <c r="A14" s="2" t="s">
        <v>16</v>
      </c>
      <c r="B14" s="3">
        <f t="shared" si="1"/>
        <v>-59243</v>
      </c>
      <c r="C14" s="3">
        <v>0</v>
      </c>
      <c r="D14" s="3">
        <v>0</v>
      </c>
      <c r="E14" s="3">
        <v>59243</v>
      </c>
      <c r="F14" s="3">
        <v>10550</v>
      </c>
    </row>
    <row r="15" spans="1:6" ht="17.25" thickBot="1" x14ac:dyDescent="0.35">
      <c r="A15" s="4" t="s">
        <v>17</v>
      </c>
      <c r="B15" s="5">
        <f>SUM(B3:B14)</f>
        <v>-993089</v>
      </c>
      <c r="C15" s="5">
        <f t="shared" ref="C15:F15" si="2">SUM(C3:C14)</f>
        <v>5413</v>
      </c>
      <c r="D15" s="5">
        <f t="shared" si="2"/>
        <v>1388</v>
      </c>
      <c r="E15" s="5">
        <f t="shared" si="2"/>
        <v>998502</v>
      </c>
      <c r="F15" s="5">
        <f t="shared" si="2"/>
        <v>530387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-116858</v>
      </c>
      <c r="C3" s="3">
        <v>0</v>
      </c>
      <c r="D3" s="3">
        <v>0</v>
      </c>
      <c r="E3" s="3">
        <v>116858</v>
      </c>
      <c r="F3" s="3">
        <v>24700</v>
      </c>
    </row>
    <row r="4" spans="1:6" x14ac:dyDescent="0.3">
      <c r="A4" s="2" t="s">
        <v>24</v>
      </c>
      <c r="B4" s="3">
        <f t="shared" ref="B4:B14" si="0">C4-E4</f>
        <v>-233</v>
      </c>
      <c r="C4" s="3">
        <v>0</v>
      </c>
      <c r="D4" s="3">
        <v>0</v>
      </c>
      <c r="E4" s="3">
        <v>233</v>
      </c>
      <c r="F4" s="3">
        <v>191</v>
      </c>
    </row>
    <row r="5" spans="1:6" x14ac:dyDescent="0.3">
      <c r="A5" s="2" t="s">
        <v>25</v>
      </c>
      <c r="B5" s="3">
        <f t="shared" si="0"/>
        <v>-101683</v>
      </c>
      <c r="C5" s="3">
        <v>0</v>
      </c>
      <c r="D5" s="3">
        <v>0</v>
      </c>
      <c r="E5" s="3">
        <v>101683</v>
      </c>
      <c r="F5" s="3">
        <v>24186</v>
      </c>
    </row>
    <row r="6" spans="1:6" x14ac:dyDescent="0.3">
      <c r="A6" s="2" t="s">
        <v>8</v>
      </c>
      <c r="B6" s="3">
        <f t="shared" si="0"/>
        <v>-72908</v>
      </c>
      <c r="C6" s="3">
        <v>0</v>
      </c>
      <c r="D6" s="3">
        <v>0</v>
      </c>
      <c r="E6" s="3">
        <v>72908</v>
      </c>
      <c r="F6" s="3">
        <v>17421</v>
      </c>
    </row>
    <row r="7" spans="1:6" x14ac:dyDescent="0.3">
      <c r="A7" s="2" t="s">
        <v>9</v>
      </c>
      <c r="B7" s="3">
        <f t="shared" si="0"/>
        <v>-12670</v>
      </c>
      <c r="C7" s="3">
        <v>0</v>
      </c>
      <c r="D7" s="3">
        <v>0</v>
      </c>
      <c r="E7" s="3">
        <v>12670</v>
      </c>
      <c r="F7" s="3">
        <v>8000</v>
      </c>
    </row>
    <row r="8" spans="1:6" x14ac:dyDescent="0.3">
      <c r="A8" s="2" t="s">
        <v>10</v>
      </c>
      <c r="B8" s="3">
        <f t="shared" si="0"/>
        <v>-20548</v>
      </c>
      <c r="C8" s="3">
        <v>0</v>
      </c>
      <c r="D8" s="3">
        <v>0</v>
      </c>
      <c r="E8" s="3">
        <v>20548</v>
      </c>
      <c r="F8" s="3">
        <v>3187</v>
      </c>
    </row>
    <row r="9" spans="1:6" x14ac:dyDescent="0.3">
      <c r="A9" s="2" t="s">
        <v>11</v>
      </c>
      <c r="B9" s="3">
        <f t="shared" si="0"/>
        <v>-121722</v>
      </c>
      <c r="C9" s="3">
        <v>1480</v>
      </c>
      <c r="D9" s="3">
        <v>209</v>
      </c>
      <c r="E9" s="3">
        <v>123202</v>
      </c>
      <c r="F9" s="3">
        <v>19220</v>
      </c>
    </row>
    <row r="10" spans="1:6" x14ac:dyDescent="0.3">
      <c r="A10" s="2" t="s">
        <v>12</v>
      </c>
      <c r="B10" s="3">
        <f t="shared" si="0"/>
        <v>-21498</v>
      </c>
      <c r="C10" s="3">
        <v>0</v>
      </c>
      <c r="D10" s="3">
        <v>0</v>
      </c>
      <c r="E10" s="3">
        <v>21498</v>
      </c>
      <c r="F10" s="3">
        <v>3302</v>
      </c>
    </row>
    <row r="11" spans="1:6" x14ac:dyDescent="0.3">
      <c r="A11" s="2" t="s">
        <v>13</v>
      </c>
      <c r="B11" s="3">
        <f t="shared" si="0"/>
        <v>-17458</v>
      </c>
      <c r="C11" s="3">
        <v>4438</v>
      </c>
      <c r="D11" s="3">
        <v>555</v>
      </c>
      <c r="E11" s="3">
        <v>21896</v>
      </c>
      <c r="F11" s="3">
        <v>3707</v>
      </c>
    </row>
    <row r="12" spans="1:6" x14ac:dyDescent="0.3">
      <c r="A12" s="2" t="s">
        <v>14</v>
      </c>
      <c r="B12" s="3">
        <f t="shared" si="0"/>
        <v>-102968</v>
      </c>
      <c r="C12" s="3">
        <v>0</v>
      </c>
      <c r="D12" s="3">
        <v>0</v>
      </c>
      <c r="E12" s="3">
        <v>102968</v>
      </c>
      <c r="F12" s="3">
        <v>17400</v>
      </c>
    </row>
    <row r="13" spans="1:6" x14ac:dyDescent="0.3">
      <c r="A13" s="2" t="s">
        <v>15</v>
      </c>
      <c r="B13" s="3">
        <f t="shared" si="0"/>
        <v>-59241</v>
      </c>
      <c r="C13" s="3">
        <v>0</v>
      </c>
      <c r="D13" s="3">
        <v>0</v>
      </c>
      <c r="E13" s="3">
        <v>59241</v>
      </c>
      <c r="F13" s="3">
        <v>15817</v>
      </c>
    </row>
    <row r="14" spans="1:6" x14ac:dyDescent="0.3">
      <c r="A14" s="2" t="s">
        <v>16</v>
      </c>
      <c r="B14" s="3">
        <f t="shared" si="0"/>
        <v>-34863</v>
      </c>
      <c r="C14" s="3">
        <v>2958</v>
      </c>
      <c r="D14" s="3">
        <v>370</v>
      </c>
      <c r="E14" s="3">
        <v>37821</v>
      </c>
      <c r="F14" s="3">
        <v>6317</v>
      </c>
    </row>
    <row r="15" spans="1:6" ht="17.25" thickBot="1" x14ac:dyDescent="0.35">
      <c r="A15" s="4" t="s">
        <v>26</v>
      </c>
      <c r="B15" s="5">
        <f>SUM(B3:B14)</f>
        <v>-682650</v>
      </c>
      <c r="C15" s="5">
        <f t="shared" ref="C15:F15" si="1">SUM(C3:C14)</f>
        <v>8876</v>
      </c>
      <c r="D15" s="5">
        <f t="shared" si="1"/>
        <v>1134</v>
      </c>
      <c r="E15" s="5">
        <f t="shared" si="1"/>
        <v>691526</v>
      </c>
      <c r="F15" s="5">
        <f t="shared" si="1"/>
        <v>143448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-126845</v>
      </c>
      <c r="C3" s="3">
        <v>0</v>
      </c>
      <c r="D3" s="3">
        <v>0</v>
      </c>
      <c r="E3" s="3">
        <v>126845</v>
      </c>
      <c r="F3" s="3">
        <v>20571</v>
      </c>
    </row>
    <row r="4" spans="1:6" x14ac:dyDescent="0.3">
      <c r="A4" s="2" t="s">
        <v>6</v>
      </c>
      <c r="B4" s="3">
        <f t="shared" si="0"/>
        <v>-40723</v>
      </c>
      <c r="C4" s="3">
        <v>0</v>
      </c>
      <c r="D4" s="3">
        <v>0</v>
      </c>
      <c r="E4" s="3">
        <v>40723</v>
      </c>
      <c r="F4" s="3">
        <v>6616</v>
      </c>
    </row>
    <row r="5" spans="1:6" x14ac:dyDescent="0.3">
      <c r="A5" s="2" t="s">
        <v>7</v>
      </c>
      <c r="B5" s="3">
        <f t="shared" si="0"/>
        <v>-103660</v>
      </c>
      <c r="C5" s="3">
        <v>0</v>
      </c>
      <c r="D5" s="3">
        <v>0</v>
      </c>
      <c r="E5" s="3">
        <v>103660</v>
      </c>
      <c r="F5" s="3">
        <v>25218</v>
      </c>
    </row>
    <row r="6" spans="1:6" x14ac:dyDescent="0.3">
      <c r="A6" s="2" t="s">
        <v>8</v>
      </c>
      <c r="B6" s="3">
        <f t="shared" si="0"/>
        <v>-34449</v>
      </c>
      <c r="C6" s="3">
        <v>0</v>
      </c>
      <c r="D6" s="3">
        <v>0</v>
      </c>
      <c r="E6" s="3">
        <v>34449</v>
      </c>
      <c r="F6" s="3">
        <v>6050</v>
      </c>
    </row>
    <row r="7" spans="1:6" x14ac:dyDescent="0.3">
      <c r="A7" s="2" t="s">
        <v>9</v>
      </c>
      <c r="B7" s="3">
        <f t="shared" si="0"/>
        <v>-107072</v>
      </c>
      <c r="C7" s="3">
        <v>0</v>
      </c>
      <c r="D7" s="3">
        <v>0</v>
      </c>
      <c r="E7" s="3">
        <v>107072</v>
      </c>
      <c r="F7" s="3">
        <v>28183</v>
      </c>
    </row>
    <row r="8" spans="1:6" x14ac:dyDescent="0.3">
      <c r="A8" s="2" t="s">
        <v>10</v>
      </c>
      <c r="B8" s="3">
        <f t="shared" si="0"/>
        <v>-9235</v>
      </c>
      <c r="C8" s="3">
        <v>11745</v>
      </c>
      <c r="D8" s="3">
        <v>8107</v>
      </c>
      <c r="E8" s="3">
        <v>20980</v>
      </c>
      <c r="F8" s="3">
        <v>3033</v>
      </c>
    </row>
    <row r="9" spans="1:6" x14ac:dyDescent="0.3">
      <c r="A9" s="2" t="s">
        <v>11</v>
      </c>
      <c r="B9" s="3">
        <f>C9-E9</f>
        <v>-59726</v>
      </c>
      <c r="C9" s="3">
        <v>3309</v>
      </c>
      <c r="D9" s="3">
        <v>586</v>
      </c>
      <c r="E9" s="3">
        <v>63035</v>
      </c>
      <c r="F9" s="3">
        <v>9300</v>
      </c>
    </row>
    <row r="10" spans="1:6" x14ac:dyDescent="0.3">
      <c r="A10" s="2" t="s">
        <v>12</v>
      </c>
      <c r="B10" s="3">
        <f t="shared" ref="B10:B14" si="1">C10-E10</f>
        <v>-77682</v>
      </c>
      <c r="C10" s="3">
        <v>0</v>
      </c>
      <c r="D10" s="3">
        <v>0</v>
      </c>
      <c r="E10" s="3">
        <v>77682</v>
      </c>
      <c r="F10" s="3">
        <v>26117</v>
      </c>
    </row>
    <row r="11" spans="1:6" x14ac:dyDescent="0.3">
      <c r="A11" s="2" t="s">
        <v>13</v>
      </c>
      <c r="B11" s="3">
        <f t="shared" si="1"/>
        <v>-58860</v>
      </c>
      <c r="C11" s="3">
        <v>2959</v>
      </c>
      <c r="D11" s="3">
        <v>370</v>
      </c>
      <c r="E11" s="3">
        <v>61819</v>
      </c>
      <c r="F11" s="3">
        <v>9300</v>
      </c>
    </row>
    <row r="12" spans="1:6" x14ac:dyDescent="0.3">
      <c r="A12" s="2" t="s">
        <v>14</v>
      </c>
      <c r="B12" s="3">
        <f t="shared" si="1"/>
        <v>-59708</v>
      </c>
      <c r="C12" s="3">
        <v>360</v>
      </c>
      <c r="D12" s="3">
        <v>216</v>
      </c>
      <c r="E12" s="3">
        <v>60068</v>
      </c>
      <c r="F12" s="3">
        <v>9307</v>
      </c>
    </row>
    <row r="13" spans="1:6" x14ac:dyDescent="0.3">
      <c r="A13" s="2" t="s">
        <v>15</v>
      </c>
      <c r="B13" s="3">
        <f t="shared" si="1"/>
        <v>-18222</v>
      </c>
      <c r="C13" s="3">
        <v>32977</v>
      </c>
      <c r="D13" s="3">
        <v>17732</v>
      </c>
      <c r="E13" s="3">
        <v>51199</v>
      </c>
      <c r="F13" s="3">
        <v>21494</v>
      </c>
    </row>
    <row r="14" spans="1:6" x14ac:dyDescent="0.3">
      <c r="A14" s="2" t="s">
        <v>16</v>
      </c>
      <c r="B14" s="3">
        <f t="shared" si="1"/>
        <v>-64639</v>
      </c>
      <c r="C14" s="3">
        <v>24690</v>
      </c>
      <c r="D14" s="3">
        <v>20000</v>
      </c>
      <c r="E14" s="3">
        <v>89329</v>
      </c>
      <c r="F14" s="3">
        <v>33817</v>
      </c>
    </row>
    <row r="15" spans="1:6" ht="17.25" thickBot="1" x14ac:dyDescent="0.35">
      <c r="A15" s="4" t="s">
        <v>17</v>
      </c>
      <c r="B15" s="5">
        <f>SUM(B3:B14)</f>
        <v>-760821</v>
      </c>
      <c r="C15" s="5">
        <f t="shared" ref="C15:F15" si="2">SUM(C3:C14)</f>
        <v>76040</v>
      </c>
      <c r="D15" s="5">
        <f t="shared" si="2"/>
        <v>47011</v>
      </c>
      <c r="E15" s="5">
        <f t="shared" si="2"/>
        <v>836861</v>
      </c>
      <c r="F15" s="5">
        <f t="shared" si="2"/>
        <v>199006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-129477</v>
      </c>
      <c r="C3" s="3">
        <v>17896</v>
      </c>
      <c r="D3" s="3">
        <v>9925</v>
      </c>
      <c r="E3" s="3">
        <v>147373</v>
      </c>
      <c r="F3" s="3">
        <v>38502</v>
      </c>
    </row>
    <row r="4" spans="1:6" x14ac:dyDescent="0.3">
      <c r="A4" s="2" t="s">
        <v>24</v>
      </c>
      <c r="B4" s="3">
        <f t="shared" ref="B4:B14" si="0">C4-E4</f>
        <v>-40141</v>
      </c>
      <c r="C4" s="3">
        <v>11749</v>
      </c>
      <c r="D4" s="3">
        <v>6566</v>
      </c>
      <c r="E4" s="3">
        <v>51890</v>
      </c>
      <c r="F4" s="3">
        <v>8100</v>
      </c>
    </row>
    <row r="5" spans="1:6" x14ac:dyDescent="0.3">
      <c r="A5" s="2" t="s">
        <v>25</v>
      </c>
      <c r="B5" s="3">
        <f t="shared" si="0"/>
        <v>-97907</v>
      </c>
      <c r="C5" s="3">
        <v>22288</v>
      </c>
      <c r="D5" s="3">
        <v>8367</v>
      </c>
      <c r="E5" s="3">
        <v>120195</v>
      </c>
      <c r="F5" s="3">
        <v>34110</v>
      </c>
    </row>
    <row r="6" spans="1:6" x14ac:dyDescent="0.3">
      <c r="A6" s="2" t="s">
        <v>8</v>
      </c>
      <c r="B6" s="3">
        <f t="shared" si="0"/>
        <v>-113762</v>
      </c>
      <c r="C6" s="3">
        <v>8851</v>
      </c>
      <c r="D6" s="3">
        <v>1110</v>
      </c>
      <c r="E6" s="3">
        <v>122613</v>
      </c>
      <c r="F6" s="3">
        <v>39600</v>
      </c>
    </row>
    <row r="7" spans="1:6" x14ac:dyDescent="0.3">
      <c r="A7" s="2" t="s">
        <v>9</v>
      </c>
      <c r="B7" s="3">
        <f t="shared" si="0"/>
        <v>-122720</v>
      </c>
      <c r="C7" s="3">
        <v>0</v>
      </c>
      <c r="D7" s="3">
        <v>0</v>
      </c>
      <c r="E7" s="3">
        <v>122720</v>
      </c>
      <c r="F7" s="3">
        <v>18500</v>
      </c>
    </row>
    <row r="8" spans="1:6" x14ac:dyDescent="0.3">
      <c r="A8" s="2" t="s">
        <v>10</v>
      </c>
      <c r="B8" s="3">
        <f t="shared" si="0"/>
        <v>-51846</v>
      </c>
      <c r="C8" s="3">
        <v>0</v>
      </c>
      <c r="D8" s="3">
        <v>0</v>
      </c>
      <c r="E8" s="3">
        <v>51846</v>
      </c>
      <c r="F8" s="3">
        <v>14100</v>
      </c>
    </row>
    <row r="9" spans="1:6" x14ac:dyDescent="0.3">
      <c r="A9" s="2" t="s">
        <v>11</v>
      </c>
      <c r="B9" s="3">
        <f t="shared" si="0"/>
        <v>-56683</v>
      </c>
      <c r="C9" s="3">
        <v>37745</v>
      </c>
      <c r="D9" s="3">
        <v>22572</v>
      </c>
      <c r="E9" s="3">
        <v>94428</v>
      </c>
      <c r="F9" s="3">
        <v>41944</v>
      </c>
    </row>
    <row r="10" spans="1:6" x14ac:dyDescent="0.3">
      <c r="A10" s="2" t="s">
        <v>12</v>
      </c>
      <c r="B10" s="3">
        <f t="shared" si="0"/>
        <v>-101062</v>
      </c>
      <c r="C10" s="3">
        <v>0</v>
      </c>
      <c r="D10" s="3">
        <v>0</v>
      </c>
      <c r="E10" s="3">
        <v>101062</v>
      </c>
      <c r="F10" s="3">
        <v>24594</v>
      </c>
    </row>
    <row r="11" spans="1:6" x14ac:dyDescent="0.3">
      <c r="A11" s="2" t="s">
        <v>13</v>
      </c>
      <c r="B11" s="3">
        <f t="shared" si="0"/>
        <v>-25392</v>
      </c>
      <c r="C11" s="3">
        <v>0</v>
      </c>
      <c r="D11" s="3">
        <v>0</v>
      </c>
      <c r="E11" s="3">
        <v>25392</v>
      </c>
      <c r="F11" s="3">
        <v>5159</v>
      </c>
    </row>
    <row r="12" spans="1:6" x14ac:dyDescent="0.3">
      <c r="A12" s="2" t="s">
        <v>14</v>
      </c>
      <c r="B12" s="3">
        <f t="shared" si="0"/>
        <v>-130679</v>
      </c>
      <c r="C12" s="3">
        <v>0</v>
      </c>
      <c r="D12" s="3">
        <v>0</v>
      </c>
      <c r="E12" s="3">
        <v>130679</v>
      </c>
      <c r="F12" s="3">
        <v>35100</v>
      </c>
    </row>
    <row r="13" spans="1:6" x14ac:dyDescent="0.3">
      <c r="A13" s="2" t="s">
        <v>15</v>
      </c>
      <c r="B13" s="3">
        <f t="shared" si="0"/>
        <v>-75598</v>
      </c>
      <c r="C13" s="3">
        <v>0</v>
      </c>
      <c r="D13" s="3">
        <v>0</v>
      </c>
      <c r="E13" s="3">
        <v>75598</v>
      </c>
      <c r="F13" s="3">
        <v>19564</v>
      </c>
    </row>
    <row r="14" spans="1:6" x14ac:dyDescent="0.3">
      <c r="A14" s="2" t="s">
        <v>16</v>
      </c>
      <c r="B14" s="3">
        <f t="shared" si="0"/>
        <v>-31152</v>
      </c>
      <c r="C14" s="3">
        <v>21926</v>
      </c>
      <c r="D14" s="3">
        <v>19420</v>
      </c>
      <c r="E14" s="3">
        <v>53078</v>
      </c>
      <c r="F14" s="3">
        <v>9340</v>
      </c>
    </row>
    <row r="15" spans="1:6" ht="17.25" thickBot="1" x14ac:dyDescent="0.35">
      <c r="A15" s="4" t="s">
        <v>26</v>
      </c>
      <c r="B15" s="5">
        <f>SUM(B3:B14)</f>
        <v>-976419</v>
      </c>
      <c r="C15" s="5">
        <f t="shared" ref="C15:F15" si="1">SUM(C3:C14)</f>
        <v>120455</v>
      </c>
      <c r="D15" s="5">
        <f t="shared" si="1"/>
        <v>67960</v>
      </c>
      <c r="E15" s="5">
        <f t="shared" si="1"/>
        <v>1096874</v>
      </c>
      <c r="F15" s="5">
        <f t="shared" si="1"/>
        <v>288613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-178386</v>
      </c>
      <c r="C3" s="3">
        <v>0</v>
      </c>
      <c r="D3" s="3">
        <v>0</v>
      </c>
      <c r="E3" s="3">
        <v>178386</v>
      </c>
      <c r="F3" s="3">
        <v>78027</v>
      </c>
    </row>
    <row r="4" spans="1:6" x14ac:dyDescent="0.3">
      <c r="A4" s="2" t="s">
        <v>24</v>
      </c>
      <c r="B4" s="3">
        <f t="shared" si="0"/>
        <v>-27229</v>
      </c>
      <c r="C4" s="3">
        <v>0</v>
      </c>
      <c r="D4" s="3">
        <v>0</v>
      </c>
      <c r="E4" s="3">
        <v>27229</v>
      </c>
      <c r="F4" s="3">
        <v>4401</v>
      </c>
    </row>
    <row r="5" spans="1:6" x14ac:dyDescent="0.3">
      <c r="A5" s="2" t="s">
        <v>33</v>
      </c>
      <c r="B5" s="3">
        <f t="shared" si="0"/>
        <v>-123566</v>
      </c>
      <c r="C5" s="3">
        <v>0</v>
      </c>
      <c r="D5" s="3">
        <v>0</v>
      </c>
      <c r="E5" s="3">
        <v>123566</v>
      </c>
      <c r="F5" s="3">
        <v>40394</v>
      </c>
    </row>
    <row r="6" spans="1:6" x14ac:dyDescent="0.3">
      <c r="A6" s="2" t="s">
        <v>8</v>
      </c>
      <c r="B6" s="3">
        <f t="shared" si="0"/>
        <v>-64304</v>
      </c>
      <c r="C6" s="3">
        <v>21985</v>
      </c>
      <c r="D6" s="3">
        <v>19730</v>
      </c>
      <c r="E6" s="3">
        <v>86289</v>
      </c>
      <c r="F6" s="3">
        <v>28035</v>
      </c>
    </row>
    <row r="7" spans="1:6" x14ac:dyDescent="0.3">
      <c r="A7" s="2" t="s">
        <v>9</v>
      </c>
      <c r="B7" s="3">
        <f t="shared" si="0"/>
        <v>-220498</v>
      </c>
      <c r="C7" s="3">
        <v>126</v>
      </c>
      <c r="D7" s="3">
        <v>0</v>
      </c>
      <c r="E7" s="3">
        <v>220624</v>
      </c>
      <c r="F7" s="3">
        <v>83848</v>
      </c>
    </row>
    <row r="8" spans="1:6" x14ac:dyDescent="0.3">
      <c r="A8" s="2" t="s">
        <v>10</v>
      </c>
      <c r="B8" s="3">
        <f t="shared" si="0"/>
        <v>-83842</v>
      </c>
      <c r="C8" s="3">
        <v>0</v>
      </c>
      <c r="D8" s="3">
        <v>0</v>
      </c>
      <c r="E8" s="3">
        <v>83842</v>
      </c>
      <c r="F8" s="3">
        <v>26954</v>
      </c>
    </row>
    <row r="9" spans="1:6" x14ac:dyDescent="0.3">
      <c r="A9" s="2" t="s">
        <v>11</v>
      </c>
      <c r="B9" s="3">
        <f t="shared" si="0"/>
        <v>-165261</v>
      </c>
      <c r="C9" s="3">
        <v>0</v>
      </c>
      <c r="D9" s="3">
        <v>0</v>
      </c>
      <c r="E9" s="3">
        <v>165261</v>
      </c>
      <c r="F9" s="3">
        <v>41353</v>
      </c>
    </row>
    <row r="10" spans="1:6" x14ac:dyDescent="0.3">
      <c r="A10" s="2" t="s">
        <v>12</v>
      </c>
      <c r="B10" s="3">
        <f t="shared" si="0"/>
        <v>-44092</v>
      </c>
      <c r="C10" s="3">
        <v>0</v>
      </c>
      <c r="D10" s="3">
        <v>0</v>
      </c>
      <c r="E10" s="3">
        <v>44092</v>
      </c>
      <c r="F10" s="3">
        <v>18444</v>
      </c>
    </row>
    <row r="11" spans="1:6" x14ac:dyDescent="0.3">
      <c r="A11" s="2" t="s">
        <v>13</v>
      </c>
      <c r="B11" s="3">
        <f t="shared" si="0"/>
        <v>-99216</v>
      </c>
      <c r="C11" s="3">
        <v>23242</v>
      </c>
      <c r="D11" s="3">
        <v>20767</v>
      </c>
      <c r="E11" s="3">
        <v>122458</v>
      </c>
      <c r="F11" s="3">
        <v>61037</v>
      </c>
    </row>
    <row r="12" spans="1:6" x14ac:dyDescent="0.3">
      <c r="A12" s="2" t="s">
        <v>14</v>
      </c>
      <c r="B12" s="3">
        <f t="shared" si="0"/>
        <v>-109982</v>
      </c>
      <c r="C12" s="3">
        <v>0</v>
      </c>
      <c r="D12" s="3">
        <v>0</v>
      </c>
      <c r="E12" s="3">
        <v>109982</v>
      </c>
      <c r="F12" s="3">
        <v>38086</v>
      </c>
    </row>
    <row r="13" spans="1:6" x14ac:dyDescent="0.3">
      <c r="A13" s="2" t="s">
        <v>15</v>
      </c>
      <c r="B13" s="3">
        <f t="shared" si="0"/>
        <v>-17695</v>
      </c>
      <c r="C13" s="3">
        <v>547</v>
      </c>
      <c r="D13" s="3">
        <v>200</v>
      </c>
      <c r="E13" s="3">
        <v>18242</v>
      </c>
      <c r="F13" s="3">
        <v>3037</v>
      </c>
    </row>
    <row r="14" spans="1:6" x14ac:dyDescent="0.3">
      <c r="A14" s="2" t="s">
        <v>16</v>
      </c>
      <c r="B14" s="3">
        <f t="shared" si="0"/>
        <v>-55538</v>
      </c>
      <c r="C14" s="3">
        <v>0</v>
      </c>
      <c r="D14" s="3">
        <v>0</v>
      </c>
      <c r="E14" s="3">
        <v>55538</v>
      </c>
      <c r="F14" s="3">
        <v>17923</v>
      </c>
    </row>
    <row r="15" spans="1:6" ht="17.25" thickBot="1" x14ac:dyDescent="0.35">
      <c r="A15" s="4" t="s">
        <v>34</v>
      </c>
      <c r="B15" s="5">
        <f>SUM(B3:B14)</f>
        <v>-1189609</v>
      </c>
      <c r="C15" s="5">
        <f t="shared" ref="C15:F15" si="1">SUM(C3:C14)</f>
        <v>45900</v>
      </c>
      <c r="D15" s="5">
        <f t="shared" si="1"/>
        <v>40697</v>
      </c>
      <c r="E15" s="5">
        <f t="shared" si="1"/>
        <v>1235509</v>
      </c>
      <c r="F15" s="5">
        <f t="shared" si="1"/>
        <v>441539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-66113</v>
      </c>
      <c r="C3" s="3">
        <v>0</v>
      </c>
      <c r="D3" s="3">
        <v>0</v>
      </c>
      <c r="E3" s="3">
        <v>66113</v>
      </c>
      <c r="F3" s="3">
        <v>24044</v>
      </c>
    </row>
    <row r="4" spans="1:6" x14ac:dyDescent="0.3">
      <c r="A4" s="2" t="s">
        <v>24</v>
      </c>
      <c r="B4" s="3">
        <f t="shared" si="0"/>
        <v>-56626</v>
      </c>
      <c r="C4" s="3">
        <v>11064</v>
      </c>
      <c r="D4" s="3">
        <v>5999</v>
      </c>
      <c r="E4" s="3">
        <v>67690</v>
      </c>
      <c r="F4" s="3">
        <v>18416</v>
      </c>
    </row>
    <row r="5" spans="1:6" x14ac:dyDescent="0.3">
      <c r="A5" s="2" t="s">
        <v>25</v>
      </c>
      <c r="B5" s="3">
        <f t="shared" si="0"/>
        <v>-69294</v>
      </c>
      <c r="C5" s="3">
        <v>0</v>
      </c>
      <c r="D5" s="3">
        <v>0</v>
      </c>
      <c r="E5" s="3">
        <v>69294</v>
      </c>
      <c r="F5" s="3">
        <v>26800</v>
      </c>
    </row>
    <row r="6" spans="1:6" x14ac:dyDescent="0.3">
      <c r="A6" s="2" t="s">
        <v>8</v>
      </c>
      <c r="B6" s="3">
        <f t="shared" si="0"/>
        <v>-93467</v>
      </c>
      <c r="C6" s="3">
        <v>0</v>
      </c>
      <c r="D6" s="3">
        <v>0</v>
      </c>
      <c r="E6" s="3">
        <v>93467</v>
      </c>
      <c r="F6" s="3">
        <v>30186</v>
      </c>
    </row>
    <row r="7" spans="1:6" x14ac:dyDescent="0.3">
      <c r="A7" s="2" t="s">
        <v>9</v>
      </c>
      <c r="B7" s="3">
        <f t="shared" si="0"/>
        <v>-235613</v>
      </c>
      <c r="C7" s="3">
        <v>0</v>
      </c>
      <c r="D7" s="3">
        <v>0</v>
      </c>
      <c r="E7" s="3">
        <v>235613</v>
      </c>
      <c r="F7" s="3">
        <v>86776</v>
      </c>
    </row>
    <row r="8" spans="1:6" x14ac:dyDescent="0.3">
      <c r="A8" s="2" t="s">
        <v>10</v>
      </c>
      <c r="B8" s="3">
        <f t="shared" si="0"/>
        <v>-141653</v>
      </c>
      <c r="C8" s="3">
        <v>0</v>
      </c>
      <c r="D8" s="3">
        <v>0</v>
      </c>
      <c r="E8" s="3">
        <v>141653</v>
      </c>
      <c r="F8" s="3">
        <v>49502</v>
      </c>
    </row>
    <row r="9" spans="1:6" x14ac:dyDescent="0.3">
      <c r="A9" s="2" t="s">
        <v>11</v>
      </c>
      <c r="B9" s="3">
        <f t="shared" si="0"/>
        <v>-243671</v>
      </c>
      <c r="C9" s="3">
        <v>0</v>
      </c>
      <c r="D9" s="3">
        <v>0</v>
      </c>
      <c r="E9" s="3">
        <v>243671</v>
      </c>
      <c r="F9" s="3">
        <v>108405</v>
      </c>
    </row>
    <row r="10" spans="1:6" x14ac:dyDescent="0.3">
      <c r="A10" s="2" t="s">
        <v>12</v>
      </c>
      <c r="B10" s="3">
        <f t="shared" si="0"/>
        <v>-61844</v>
      </c>
      <c r="C10" s="3">
        <v>0</v>
      </c>
      <c r="D10" s="3">
        <v>0</v>
      </c>
      <c r="E10" s="3">
        <v>61844</v>
      </c>
      <c r="F10" s="3">
        <v>10000</v>
      </c>
    </row>
    <row r="11" spans="1:6" x14ac:dyDescent="0.3">
      <c r="A11" s="2" t="s">
        <v>13</v>
      </c>
      <c r="B11" s="3">
        <f t="shared" si="0"/>
        <v>-104754</v>
      </c>
      <c r="C11" s="3">
        <v>0</v>
      </c>
      <c r="D11" s="3">
        <v>0</v>
      </c>
      <c r="E11" s="3">
        <v>104754</v>
      </c>
      <c r="F11" s="3">
        <v>37360</v>
      </c>
    </row>
    <row r="12" spans="1:6" x14ac:dyDescent="0.3">
      <c r="A12" s="2" t="s">
        <v>14</v>
      </c>
      <c r="B12" s="3">
        <f t="shared" si="0"/>
        <v>-127802</v>
      </c>
      <c r="C12" s="3">
        <v>0</v>
      </c>
      <c r="D12" s="3">
        <v>0</v>
      </c>
      <c r="E12" s="3">
        <v>127802</v>
      </c>
      <c r="F12" s="3">
        <v>37861</v>
      </c>
    </row>
    <row r="13" spans="1:6" x14ac:dyDescent="0.3">
      <c r="A13" s="2" t="s">
        <v>15</v>
      </c>
      <c r="B13" s="3">
        <f t="shared" si="0"/>
        <v>-127904</v>
      </c>
      <c r="C13" s="3">
        <v>0</v>
      </c>
      <c r="D13" s="3">
        <v>0</v>
      </c>
      <c r="E13" s="3">
        <v>127904</v>
      </c>
      <c r="F13" s="3">
        <v>46588</v>
      </c>
    </row>
    <row r="14" spans="1:6" x14ac:dyDescent="0.3">
      <c r="A14" s="2" t="s">
        <v>16</v>
      </c>
      <c r="B14" s="3">
        <f t="shared" si="0"/>
        <v>-61304</v>
      </c>
      <c r="C14" s="3">
        <v>0</v>
      </c>
      <c r="D14" s="3">
        <v>0</v>
      </c>
      <c r="E14" s="3">
        <v>61304</v>
      </c>
      <c r="F14" s="3">
        <v>37156</v>
      </c>
    </row>
    <row r="15" spans="1:6" ht="17.25" thickBot="1" x14ac:dyDescent="0.35">
      <c r="A15" s="4" t="s">
        <v>26</v>
      </c>
      <c r="B15" s="5">
        <f>SUM(B3:B14)</f>
        <v>-1390045</v>
      </c>
      <c r="C15" s="5">
        <f t="shared" ref="C15:F15" si="1">SUM(C3:C14)</f>
        <v>11064</v>
      </c>
      <c r="D15" s="5">
        <f t="shared" si="1"/>
        <v>5999</v>
      </c>
      <c r="E15" s="5">
        <f t="shared" si="1"/>
        <v>1401109</v>
      </c>
      <c r="F15" s="5">
        <f t="shared" si="1"/>
        <v>513094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35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37</v>
      </c>
      <c r="B3" s="3">
        <f t="shared" ref="B3:B14" si="0">C3-E3</f>
        <v>-118212</v>
      </c>
      <c r="C3" s="3">
        <v>0</v>
      </c>
      <c r="D3" s="3">
        <v>0</v>
      </c>
      <c r="E3" s="3">
        <v>118212</v>
      </c>
      <c r="F3" s="3">
        <v>20867</v>
      </c>
    </row>
    <row r="4" spans="1:6" x14ac:dyDescent="0.3">
      <c r="A4" s="2" t="s">
        <v>38</v>
      </c>
      <c r="B4" s="3">
        <f t="shared" si="0"/>
        <v>-24367</v>
      </c>
      <c r="C4" s="3">
        <v>26597</v>
      </c>
      <c r="D4" s="3">
        <v>14400</v>
      </c>
      <c r="E4" s="3">
        <v>50964</v>
      </c>
      <c r="F4" s="3">
        <v>9780</v>
      </c>
    </row>
    <row r="5" spans="1:6" x14ac:dyDescent="0.3">
      <c r="A5" s="2" t="s">
        <v>39</v>
      </c>
      <c r="B5" s="3">
        <f t="shared" si="0"/>
        <v>-124755</v>
      </c>
      <c r="C5" s="3">
        <v>0</v>
      </c>
      <c r="D5" s="3">
        <v>0</v>
      </c>
      <c r="E5" s="3">
        <v>124755</v>
      </c>
      <c r="F5" s="3">
        <v>49424</v>
      </c>
    </row>
    <row r="6" spans="1:6" x14ac:dyDescent="0.3">
      <c r="A6" s="2" t="s">
        <v>8</v>
      </c>
      <c r="B6" s="3">
        <f t="shared" si="0"/>
        <v>-110223</v>
      </c>
      <c r="C6" s="3">
        <v>0</v>
      </c>
      <c r="D6" s="3">
        <v>0</v>
      </c>
      <c r="E6" s="3">
        <v>110223</v>
      </c>
      <c r="F6" s="3">
        <v>15969</v>
      </c>
    </row>
    <row r="7" spans="1:6" x14ac:dyDescent="0.3">
      <c r="A7" s="2" t="s">
        <v>9</v>
      </c>
      <c r="B7" s="3">
        <f t="shared" si="0"/>
        <v>-156770</v>
      </c>
      <c r="C7" s="3">
        <v>5172</v>
      </c>
      <c r="D7" s="3">
        <v>408</v>
      </c>
      <c r="E7" s="3">
        <v>161942</v>
      </c>
      <c r="F7" s="3">
        <v>26851</v>
      </c>
    </row>
    <row r="8" spans="1:6" x14ac:dyDescent="0.3">
      <c r="A8" s="2" t="s">
        <v>10</v>
      </c>
      <c r="B8" s="3">
        <f t="shared" si="0"/>
        <v>-25076</v>
      </c>
      <c r="C8" s="3">
        <v>0</v>
      </c>
      <c r="D8" s="3">
        <v>0</v>
      </c>
      <c r="E8" s="3">
        <v>25076</v>
      </c>
      <c r="F8" s="3">
        <v>3400</v>
      </c>
    </row>
    <row r="9" spans="1:6" x14ac:dyDescent="0.3">
      <c r="A9" s="2" t="s">
        <v>11</v>
      </c>
      <c r="B9" s="3">
        <f t="shared" si="0"/>
        <v>-122285</v>
      </c>
      <c r="C9" s="3">
        <v>0</v>
      </c>
      <c r="D9" s="3">
        <v>0</v>
      </c>
      <c r="E9" s="3">
        <v>122285</v>
      </c>
      <c r="F9" s="3">
        <v>17400</v>
      </c>
    </row>
    <row r="10" spans="1:6" x14ac:dyDescent="0.3">
      <c r="A10" s="2" t="s">
        <v>12</v>
      </c>
      <c r="B10" s="3">
        <f t="shared" si="0"/>
        <v>-87016</v>
      </c>
      <c r="C10" s="3">
        <v>0</v>
      </c>
      <c r="D10" s="3">
        <v>0</v>
      </c>
      <c r="E10" s="3">
        <v>87016</v>
      </c>
      <c r="F10" s="3">
        <v>13915</v>
      </c>
    </row>
    <row r="11" spans="1:6" x14ac:dyDescent="0.3">
      <c r="A11" s="2" t="s">
        <v>13</v>
      </c>
      <c r="B11" s="3">
        <f t="shared" si="0"/>
        <v>-66116</v>
      </c>
      <c r="C11" s="3">
        <v>0</v>
      </c>
      <c r="D11" s="3">
        <v>0</v>
      </c>
      <c r="E11" s="3">
        <v>66116</v>
      </c>
      <c r="F11" s="3">
        <v>10496</v>
      </c>
    </row>
    <row r="12" spans="1:6" x14ac:dyDescent="0.3">
      <c r="A12" s="2" t="s">
        <v>14</v>
      </c>
      <c r="B12" s="3">
        <f t="shared" si="0"/>
        <v>-148263</v>
      </c>
      <c r="C12" s="3">
        <v>0</v>
      </c>
      <c r="D12" s="3">
        <v>0</v>
      </c>
      <c r="E12" s="3">
        <v>148263</v>
      </c>
      <c r="F12" s="3">
        <v>51250</v>
      </c>
    </row>
    <row r="13" spans="1:6" x14ac:dyDescent="0.3">
      <c r="A13" s="2" t="s">
        <v>15</v>
      </c>
      <c r="B13" s="3">
        <f t="shared" si="0"/>
        <v>-44795</v>
      </c>
      <c r="C13" s="3">
        <v>0</v>
      </c>
      <c r="D13" s="3">
        <v>0</v>
      </c>
      <c r="E13" s="3">
        <v>44795</v>
      </c>
      <c r="F13" s="3">
        <v>4600</v>
      </c>
    </row>
    <row r="14" spans="1:6" x14ac:dyDescent="0.3">
      <c r="A14" s="2" t="s">
        <v>16</v>
      </c>
      <c r="B14" s="3">
        <f t="shared" si="0"/>
        <v>-67598</v>
      </c>
      <c r="C14" s="3">
        <v>0</v>
      </c>
      <c r="D14" s="3">
        <v>0</v>
      </c>
      <c r="E14" s="3">
        <v>67598</v>
      </c>
      <c r="F14" s="3">
        <v>11414</v>
      </c>
    </row>
    <row r="15" spans="1:6" ht="17.25" thickBot="1" x14ac:dyDescent="0.35">
      <c r="A15" s="4" t="s">
        <v>40</v>
      </c>
      <c r="B15" s="5">
        <f>SUM(B3:B14)</f>
        <v>-1095476</v>
      </c>
      <c r="C15" s="5">
        <f t="shared" ref="C15:F15" si="1">SUM(C3:C14)</f>
        <v>31769</v>
      </c>
      <c r="D15" s="5">
        <f t="shared" si="1"/>
        <v>14808</v>
      </c>
      <c r="E15" s="5">
        <f t="shared" si="1"/>
        <v>1127245</v>
      </c>
      <c r="F15" s="5">
        <f t="shared" si="1"/>
        <v>235366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-82179</v>
      </c>
      <c r="C3" s="3">
        <v>0</v>
      </c>
      <c r="D3" s="3">
        <v>0</v>
      </c>
      <c r="E3" s="3">
        <v>82179</v>
      </c>
      <c r="F3" s="3">
        <v>10220</v>
      </c>
    </row>
    <row r="4" spans="1:6" x14ac:dyDescent="0.3">
      <c r="A4" s="2" t="s">
        <v>24</v>
      </c>
      <c r="B4" s="3">
        <f t="shared" si="0"/>
        <v>-80407</v>
      </c>
      <c r="C4" s="3">
        <v>0</v>
      </c>
      <c r="D4" s="3">
        <v>0</v>
      </c>
      <c r="E4" s="3">
        <v>80407</v>
      </c>
      <c r="F4" s="3">
        <v>8872</v>
      </c>
    </row>
    <row r="5" spans="1:6" x14ac:dyDescent="0.3">
      <c r="A5" s="2" t="s">
        <v>25</v>
      </c>
      <c r="B5" s="3">
        <f t="shared" si="0"/>
        <v>-134289</v>
      </c>
      <c r="C5" s="3">
        <v>0</v>
      </c>
      <c r="D5" s="3">
        <v>0</v>
      </c>
      <c r="E5" s="3">
        <v>134289</v>
      </c>
      <c r="F5" s="3">
        <v>17952</v>
      </c>
    </row>
    <row r="6" spans="1:6" x14ac:dyDescent="0.3">
      <c r="A6" s="2" t="s">
        <v>8</v>
      </c>
      <c r="B6" s="3">
        <f t="shared" si="0"/>
        <v>-113306</v>
      </c>
      <c r="C6" s="3">
        <v>0</v>
      </c>
      <c r="D6" s="3">
        <v>0</v>
      </c>
      <c r="E6" s="3">
        <v>113306</v>
      </c>
      <c r="F6" s="3">
        <v>28875</v>
      </c>
    </row>
    <row r="7" spans="1:6" x14ac:dyDescent="0.3">
      <c r="A7" s="2" t="s">
        <v>9</v>
      </c>
      <c r="B7" s="3">
        <f t="shared" si="0"/>
        <v>-111184</v>
      </c>
      <c r="C7" s="3">
        <v>0</v>
      </c>
      <c r="D7" s="3">
        <v>0</v>
      </c>
      <c r="E7" s="3">
        <v>111184</v>
      </c>
      <c r="F7" s="3">
        <v>16372</v>
      </c>
    </row>
    <row r="8" spans="1:6" x14ac:dyDescent="0.3">
      <c r="A8" s="2" t="s">
        <v>10</v>
      </c>
      <c r="B8" s="3">
        <f t="shared" si="0"/>
        <v>-48166</v>
      </c>
      <c r="C8" s="3">
        <v>0</v>
      </c>
      <c r="D8" s="3">
        <v>0</v>
      </c>
      <c r="E8" s="3">
        <v>48166</v>
      </c>
      <c r="F8" s="3">
        <v>19015</v>
      </c>
    </row>
    <row r="9" spans="1:6" x14ac:dyDescent="0.3">
      <c r="A9" s="2" t="s">
        <v>11</v>
      </c>
      <c r="B9" s="3">
        <f t="shared" si="0"/>
        <v>-165638</v>
      </c>
      <c r="C9" s="3">
        <v>0</v>
      </c>
      <c r="D9" s="3">
        <v>0</v>
      </c>
      <c r="E9" s="3">
        <v>165638</v>
      </c>
      <c r="F9" s="3">
        <v>26200</v>
      </c>
    </row>
    <row r="10" spans="1:6" x14ac:dyDescent="0.3">
      <c r="A10" s="2" t="s">
        <v>12</v>
      </c>
      <c r="B10" s="3">
        <f t="shared" si="0"/>
        <v>-103912</v>
      </c>
      <c r="C10" s="3">
        <v>0</v>
      </c>
      <c r="D10" s="3">
        <v>0</v>
      </c>
      <c r="E10" s="3">
        <v>103912</v>
      </c>
      <c r="F10" s="3">
        <v>16605</v>
      </c>
    </row>
    <row r="11" spans="1:6" x14ac:dyDescent="0.3">
      <c r="A11" s="2" t="s">
        <v>13</v>
      </c>
      <c r="B11" s="3">
        <f t="shared" si="0"/>
        <v>-96659</v>
      </c>
      <c r="C11" s="3">
        <v>0</v>
      </c>
      <c r="D11" s="3">
        <v>0</v>
      </c>
      <c r="E11" s="3">
        <v>96659</v>
      </c>
      <c r="F11" s="3">
        <v>17530</v>
      </c>
    </row>
    <row r="12" spans="1:6" x14ac:dyDescent="0.3">
      <c r="A12" s="2" t="s">
        <v>14</v>
      </c>
      <c r="B12" s="3">
        <f t="shared" si="0"/>
        <v>-61719</v>
      </c>
      <c r="C12" s="3">
        <v>0</v>
      </c>
      <c r="D12" s="3">
        <v>0</v>
      </c>
      <c r="E12" s="3">
        <v>61719</v>
      </c>
      <c r="F12" s="3">
        <v>10900</v>
      </c>
    </row>
    <row r="13" spans="1:6" x14ac:dyDescent="0.3">
      <c r="A13" s="2" t="s">
        <v>15</v>
      </c>
      <c r="B13" s="3">
        <f t="shared" si="0"/>
        <v>-173634</v>
      </c>
      <c r="C13" s="3">
        <v>0</v>
      </c>
      <c r="D13" s="3">
        <v>0</v>
      </c>
      <c r="E13" s="3">
        <v>173634</v>
      </c>
      <c r="F13" s="3">
        <v>23331</v>
      </c>
    </row>
    <row r="14" spans="1:6" x14ac:dyDescent="0.3">
      <c r="A14" s="2" t="s">
        <v>16</v>
      </c>
      <c r="B14" s="3">
        <f t="shared" si="0"/>
        <v>-48862</v>
      </c>
      <c r="C14" s="3">
        <v>616</v>
      </c>
      <c r="D14" s="3">
        <v>88</v>
      </c>
      <c r="E14" s="3">
        <v>49478</v>
      </c>
      <c r="F14" s="3">
        <v>6600</v>
      </c>
    </row>
    <row r="15" spans="1:6" ht="17.25" thickBot="1" x14ac:dyDescent="0.35">
      <c r="A15" s="4" t="s">
        <v>26</v>
      </c>
      <c r="B15" s="5">
        <f>SUM(B3:B14)</f>
        <v>-1219955</v>
      </c>
      <c r="C15" s="5">
        <f t="shared" ref="C15:F15" si="1">SUM(C3:C14)</f>
        <v>616</v>
      </c>
      <c r="D15" s="5">
        <f t="shared" si="1"/>
        <v>88</v>
      </c>
      <c r="E15" s="5">
        <f t="shared" si="1"/>
        <v>1220571</v>
      </c>
      <c r="F15" s="5">
        <f t="shared" si="1"/>
        <v>202472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-104537</v>
      </c>
      <c r="C3" s="3">
        <v>0</v>
      </c>
      <c r="D3" s="3">
        <v>0</v>
      </c>
      <c r="E3" s="3">
        <v>104537</v>
      </c>
      <c r="F3" s="3">
        <v>29400</v>
      </c>
    </row>
    <row r="4" spans="1:6" x14ac:dyDescent="0.3">
      <c r="A4" s="2" t="s">
        <v>24</v>
      </c>
      <c r="B4" s="3">
        <f t="shared" si="0"/>
        <v>-130549</v>
      </c>
      <c r="C4" s="3">
        <v>0</v>
      </c>
      <c r="D4" s="3">
        <v>0</v>
      </c>
      <c r="E4" s="3">
        <v>130549</v>
      </c>
      <c r="F4" s="3">
        <v>16382</v>
      </c>
    </row>
    <row r="5" spans="1:6" x14ac:dyDescent="0.3">
      <c r="A5" s="2" t="s">
        <v>25</v>
      </c>
      <c r="B5" s="3">
        <f t="shared" si="0"/>
        <v>-6142</v>
      </c>
      <c r="C5" s="3">
        <v>1872</v>
      </c>
      <c r="D5" s="3">
        <v>720</v>
      </c>
      <c r="E5" s="3">
        <v>8014</v>
      </c>
      <c r="F5" s="3">
        <v>101</v>
      </c>
    </row>
    <row r="6" spans="1:6" x14ac:dyDescent="0.3">
      <c r="A6" s="2" t="s">
        <v>8</v>
      </c>
      <c r="B6" s="3">
        <f t="shared" si="0"/>
        <v>-126461</v>
      </c>
      <c r="C6" s="3">
        <v>0</v>
      </c>
      <c r="D6" s="3">
        <v>0</v>
      </c>
      <c r="E6" s="3">
        <v>126461</v>
      </c>
      <c r="F6" s="3">
        <v>15195</v>
      </c>
    </row>
    <row r="7" spans="1:6" x14ac:dyDescent="0.3">
      <c r="A7" s="2" t="s">
        <v>9</v>
      </c>
      <c r="B7" s="3">
        <f t="shared" si="0"/>
        <v>-129319</v>
      </c>
      <c r="C7" s="3">
        <v>0</v>
      </c>
      <c r="D7" s="3">
        <v>0</v>
      </c>
      <c r="E7" s="3">
        <v>129319</v>
      </c>
      <c r="F7" s="3">
        <v>30473</v>
      </c>
    </row>
    <row r="8" spans="1:6" x14ac:dyDescent="0.3">
      <c r="A8" s="2" t="s">
        <v>10</v>
      </c>
      <c r="B8" s="3">
        <f t="shared" si="0"/>
        <v>-272463</v>
      </c>
      <c r="C8" s="3">
        <v>0</v>
      </c>
      <c r="D8" s="3">
        <v>0</v>
      </c>
      <c r="E8" s="3">
        <v>272463</v>
      </c>
      <c r="F8" s="3">
        <v>122507</v>
      </c>
    </row>
    <row r="9" spans="1:6" x14ac:dyDescent="0.3">
      <c r="A9" s="2" t="s">
        <v>11</v>
      </c>
      <c r="B9" s="3">
        <f t="shared" si="0"/>
        <v>-44325</v>
      </c>
      <c r="C9" s="3">
        <v>0</v>
      </c>
      <c r="D9" s="3">
        <v>0</v>
      </c>
      <c r="E9" s="3">
        <v>44325</v>
      </c>
      <c r="F9" s="3">
        <v>6004</v>
      </c>
    </row>
    <row r="10" spans="1:6" x14ac:dyDescent="0.3">
      <c r="A10" s="2" t="s">
        <v>12</v>
      </c>
      <c r="B10" s="3">
        <f t="shared" si="0"/>
        <v>-494736</v>
      </c>
      <c r="C10" s="3">
        <v>0</v>
      </c>
      <c r="D10" s="3">
        <v>0</v>
      </c>
      <c r="E10" s="3">
        <v>494736</v>
      </c>
      <c r="F10" s="3">
        <v>254300</v>
      </c>
    </row>
    <row r="11" spans="1:6" x14ac:dyDescent="0.3">
      <c r="A11" s="2" t="s">
        <v>13</v>
      </c>
      <c r="B11" s="3">
        <f t="shared" si="0"/>
        <v>-50395</v>
      </c>
      <c r="C11" s="3">
        <v>0</v>
      </c>
      <c r="D11" s="3">
        <v>0</v>
      </c>
      <c r="E11" s="3">
        <v>50395</v>
      </c>
      <c r="F11" s="3">
        <v>6702</v>
      </c>
    </row>
    <row r="12" spans="1:6" x14ac:dyDescent="0.3">
      <c r="A12" s="2" t="s">
        <v>14</v>
      </c>
      <c r="B12" s="3">
        <f t="shared" si="0"/>
        <v>-418651</v>
      </c>
      <c r="C12" s="3">
        <v>0</v>
      </c>
      <c r="D12" s="3">
        <v>0</v>
      </c>
      <c r="E12" s="3">
        <v>418651</v>
      </c>
      <c r="F12" s="3">
        <v>257570</v>
      </c>
    </row>
    <row r="13" spans="1:6" x14ac:dyDescent="0.3">
      <c r="A13" s="2" t="s">
        <v>15</v>
      </c>
      <c r="B13" s="3">
        <f t="shared" si="0"/>
        <v>-153627</v>
      </c>
      <c r="C13" s="3">
        <v>0</v>
      </c>
      <c r="D13" s="3">
        <v>0</v>
      </c>
      <c r="E13" s="3">
        <v>153627</v>
      </c>
      <c r="F13" s="3">
        <v>116230</v>
      </c>
    </row>
    <row r="14" spans="1:6" x14ac:dyDescent="0.3">
      <c r="A14" s="2" t="s">
        <v>16</v>
      </c>
      <c r="B14" s="3">
        <f t="shared" si="0"/>
        <v>-354068</v>
      </c>
      <c r="C14" s="3">
        <v>0</v>
      </c>
      <c r="D14" s="3">
        <v>0</v>
      </c>
      <c r="E14" s="3">
        <v>354068</v>
      </c>
      <c r="F14" s="3">
        <v>228088</v>
      </c>
    </row>
    <row r="15" spans="1:6" ht="17.25" thickBot="1" x14ac:dyDescent="0.35">
      <c r="A15" s="4" t="s">
        <v>26</v>
      </c>
      <c r="B15" s="5">
        <f>SUM(B3:B14)</f>
        <v>-2285273</v>
      </c>
      <c r="C15" s="5">
        <f t="shared" ref="C15:F15" si="1">SUM(C3:C14)</f>
        <v>1872</v>
      </c>
      <c r="D15" s="5">
        <f t="shared" si="1"/>
        <v>720</v>
      </c>
      <c r="E15" s="5">
        <f t="shared" si="1"/>
        <v>2287145</v>
      </c>
      <c r="F15" s="5">
        <f t="shared" si="1"/>
        <v>1082952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-256501</v>
      </c>
      <c r="C3" s="3">
        <v>0</v>
      </c>
      <c r="D3" s="3">
        <v>0</v>
      </c>
      <c r="E3" s="3">
        <v>256501</v>
      </c>
      <c r="F3" s="3">
        <v>173540</v>
      </c>
    </row>
    <row r="4" spans="1:6" x14ac:dyDescent="0.3">
      <c r="A4" s="2" t="s">
        <v>41</v>
      </c>
      <c r="B4" s="3">
        <f t="shared" si="0"/>
        <v>-190382</v>
      </c>
      <c r="C4" s="3">
        <v>0</v>
      </c>
      <c r="D4" s="3">
        <v>0</v>
      </c>
      <c r="E4" s="3">
        <v>190382</v>
      </c>
      <c r="F4" s="3">
        <v>146310</v>
      </c>
    </row>
    <row r="5" spans="1:6" x14ac:dyDescent="0.3">
      <c r="A5" s="2" t="s">
        <v>25</v>
      </c>
      <c r="B5" s="3">
        <f t="shared" si="0"/>
        <v>-360493</v>
      </c>
      <c r="C5" s="3">
        <v>0</v>
      </c>
      <c r="D5" s="3">
        <v>0</v>
      </c>
      <c r="E5" s="3">
        <v>360493</v>
      </c>
      <c r="F5" s="3">
        <v>246844</v>
      </c>
    </row>
    <row r="6" spans="1:6" x14ac:dyDescent="0.3">
      <c r="A6" s="2" t="s">
        <v>8</v>
      </c>
      <c r="B6" s="3">
        <f t="shared" si="0"/>
        <v>-73863</v>
      </c>
      <c r="C6" s="3">
        <v>0</v>
      </c>
      <c r="D6" s="3">
        <v>0</v>
      </c>
      <c r="E6" s="3">
        <v>73863</v>
      </c>
      <c r="F6" s="3">
        <v>26402</v>
      </c>
    </row>
    <row r="7" spans="1:6" x14ac:dyDescent="0.3">
      <c r="A7" s="2" t="s">
        <v>9</v>
      </c>
      <c r="B7" s="3">
        <f t="shared" si="0"/>
        <v>-320761</v>
      </c>
      <c r="C7" s="3">
        <v>0</v>
      </c>
      <c r="D7" s="3">
        <v>0</v>
      </c>
      <c r="E7" s="3">
        <v>320761</v>
      </c>
      <c r="F7" s="3">
        <v>130898</v>
      </c>
    </row>
    <row r="8" spans="1:6" x14ac:dyDescent="0.3">
      <c r="A8" s="2" t="s">
        <v>10</v>
      </c>
      <c r="B8" s="3">
        <f t="shared" si="0"/>
        <v>-119181</v>
      </c>
      <c r="C8" s="3">
        <v>0</v>
      </c>
      <c r="D8" s="3">
        <v>0</v>
      </c>
      <c r="E8" s="3">
        <v>119181</v>
      </c>
      <c r="F8" s="3">
        <v>16963</v>
      </c>
    </row>
    <row r="9" spans="1:6" x14ac:dyDescent="0.3">
      <c r="A9" s="2" t="s">
        <v>11</v>
      </c>
      <c r="B9" s="3">
        <f t="shared" si="0"/>
        <v>-153545</v>
      </c>
      <c r="C9" s="3">
        <v>0</v>
      </c>
      <c r="D9" s="3">
        <v>0</v>
      </c>
      <c r="E9" s="3">
        <v>153545</v>
      </c>
      <c r="F9" s="3">
        <v>55748</v>
      </c>
    </row>
    <row r="10" spans="1:6" x14ac:dyDescent="0.3">
      <c r="A10" s="2" t="s">
        <v>12</v>
      </c>
      <c r="B10" s="3">
        <f t="shared" si="0"/>
        <v>-172634</v>
      </c>
      <c r="C10" s="3">
        <v>0</v>
      </c>
      <c r="D10" s="3">
        <v>0</v>
      </c>
      <c r="E10" s="3">
        <v>172634</v>
      </c>
      <c r="F10" s="3">
        <v>22380</v>
      </c>
    </row>
    <row r="11" spans="1:6" x14ac:dyDescent="0.3">
      <c r="A11" s="2" t="s">
        <v>13</v>
      </c>
      <c r="B11" s="3">
        <f t="shared" si="0"/>
        <v>-181538</v>
      </c>
      <c r="C11" s="3">
        <v>0</v>
      </c>
      <c r="D11" s="3">
        <v>0</v>
      </c>
      <c r="E11" s="3">
        <v>181538</v>
      </c>
      <c r="F11" s="3">
        <v>59660</v>
      </c>
    </row>
    <row r="12" spans="1:6" x14ac:dyDescent="0.3">
      <c r="A12" s="2" t="s">
        <v>14</v>
      </c>
      <c r="B12" s="3">
        <f t="shared" si="0"/>
        <v>-160681</v>
      </c>
      <c r="C12" s="3">
        <v>0</v>
      </c>
      <c r="D12" s="3">
        <v>0</v>
      </c>
      <c r="E12" s="3">
        <v>160681</v>
      </c>
      <c r="F12" s="3">
        <v>39757</v>
      </c>
    </row>
    <row r="13" spans="1:6" x14ac:dyDescent="0.3">
      <c r="A13" s="2" t="s">
        <v>15</v>
      </c>
      <c r="B13" s="3">
        <f t="shared" si="0"/>
        <v>-70156</v>
      </c>
      <c r="C13" s="3">
        <v>0</v>
      </c>
      <c r="D13" s="3">
        <v>0</v>
      </c>
      <c r="E13" s="3">
        <v>70156</v>
      </c>
      <c r="F13" s="3">
        <v>10003</v>
      </c>
    </row>
    <row r="14" spans="1:6" x14ac:dyDescent="0.3">
      <c r="A14" s="2" t="s">
        <v>16</v>
      </c>
      <c r="B14" s="3">
        <f t="shared" si="0"/>
        <v>-182466</v>
      </c>
      <c r="C14" s="3">
        <v>0</v>
      </c>
      <c r="D14" s="3">
        <v>0</v>
      </c>
      <c r="E14" s="3">
        <v>182466</v>
      </c>
      <c r="F14" s="3">
        <v>24726</v>
      </c>
    </row>
    <row r="15" spans="1:6" ht="17.25" thickBot="1" x14ac:dyDescent="0.35">
      <c r="A15" s="4" t="s">
        <v>26</v>
      </c>
      <c r="B15" s="5">
        <f>SUM(B3:B14)</f>
        <v>-2242201</v>
      </c>
      <c r="C15" s="5">
        <f t="shared" ref="C15:F15" si="1">SUM(C3:C14)</f>
        <v>0</v>
      </c>
      <c r="D15" s="5">
        <f t="shared" si="1"/>
        <v>0</v>
      </c>
      <c r="E15" s="5">
        <f t="shared" si="1"/>
        <v>2242201</v>
      </c>
      <c r="F15" s="5">
        <f t="shared" si="1"/>
        <v>953231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42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-358697</v>
      </c>
      <c r="C3" s="3">
        <v>0</v>
      </c>
      <c r="D3" s="3">
        <v>0</v>
      </c>
      <c r="E3" s="3">
        <v>358697</v>
      </c>
      <c r="F3" s="3">
        <v>225340</v>
      </c>
    </row>
    <row r="4" spans="1:6" x14ac:dyDescent="0.3">
      <c r="A4" s="2" t="s">
        <v>41</v>
      </c>
      <c r="B4" s="3">
        <f t="shared" si="0"/>
        <v>-1643949</v>
      </c>
      <c r="C4" s="3">
        <v>0</v>
      </c>
      <c r="D4" s="3">
        <v>0</v>
      </c>
      <c r="E4" s="3">
        <v>1643949</v>
      </c>
      <c r="F4" s="3">
        <v>1193672</v>
      </c>
    </row>
    <row r="5" spans="1:6" x14ac:dyDescent="0.3">
      <c r="A5" s="2" t="s">
        <v>7</v>
      </c>
      <c r="B5" s="3">
        <f t="shared" si="0"/>
        <v>-592574</v>
      </c>
      <c r="C5" s="3">
        <v>0</v>
      </c>
      <c r="D5" s="3">
        <v>0</v>
      </c>
      <c r="E5" s="3">
        <v>592574</v>
      </c>
      <c r="F5" s="3">
        <v>425282</v>
      </c>
    </row>
    <row r="6" spans="1:6" x14ac:dyDescent="0.3">
      <c r="A6" s="2" t="s">
        <v>8</v>
      </c>
      <c r="B6" s="3">
        <f t="shared" si="0"/>
        <v>-149350</v>
      </c>
      <c r="C6" s="3">
        <v>0</v>
      </c>
      <c r="D6" s="3">
        <v>0</v>
      </c>
      <c r="E6" s="3">
        <v>149350</v>
      </c>
      <c r="F6" s="3">
        <v>18615</v>
      </c>
    </row>
    <row r="7" spans="1:6" x14ac:dyDescent="0.3">
      <c r="A7" s="2" t="s">
        <v>9</v>
      </c>
      <c r="B7" s="3">
        <f t="shared" si="0"/>
        <v>-116686</v>
      </c>
      <c r="C7" s="3">
        <v>0</v>
      </c>
      <c r="D7" s="3">
        <v>0</v>
      </c>
      <c r="E7" s="3">
        <v>116686</v>
      </c>
      <c r="F7" s="3">
        <v>16137</v>
      </c>
    </row>
    <row r="8" spans="1:6" x14ac:dyDescent="0.3">
      <c r="A8" s="2" t="s">
        <v>10</v>
      </c>
      <c r="B8" s="3">
        <f t="shared" si="0"/>
        <v>-73742</v>
      </c>
      <c r="C8" s="3">
        <v>0</v>
      </c>
      <c r="D8" s="3">
        <v>0</v>
      </c>
      <c r="E8" s="3">
        <v>73742</v>
      </c>
      <c r="F8" s="3">
        <v>9411</v>
      </c>
    </row>
    <row r="9" spans="1:6" x14ac:dyDescent="0.3">
      <c r="A9" s="2" t="s">
        <v>11</v>
      </c>
      <c r="B9" s="3">
        <f t="shared" si="0"/>
        <v>-67130</v>
      </c>
      <c r="C9" s="3">
        <v>0</v>
      </c>
      <c r="D9" s="3">
        <v>0</v>
      </c>
      <c r="E9" s="3">
        <v>67130</v>
      </c>
      <c r="F9" s="3">
        <v>8404</v>
      </c>
    </row>
    <row r="10" spans="1:6" x14ac:dyDescent="0.3">
      <c r="A10" s="2" t="s">
        <v>12</v>
      </c>
      <c r="B10" s="3">
        <f t="shared" si="0"/>
        <v>-133854</v>
      </c>
      <c r="C10" s="3">
        <v>0</v>
      </c>
      <c r="D10" s="3">
        <v>0</v>
      </c>
      <c r="E10" s="3">
        <v>133854</v>
      </c>
      <c r="F10" s="3">
        <v>17230</v>
      </c>
    </row>
    <row r="11" spans="1:6" x14ac:dyDescent="0.3">
      <c r="A11" s="2" t="s">
        <v>13</v>
      </c>
      <c r="B11" s="3">
        <f t="shared" si="0"/>
        <v>-31067</v>
      </c>
      <c r="C11" s="3">
        <v>0</v>
      </c>
      <c r="D11" s="3">
        <v>0</v>
      </c>
      <c r="E11" s="3">
        <v>31067</v>
      </c>
      <c r="F11" s="3">
        <v>4401</v>
      </c>
    </row>
    <row r="12" spans="1:6" x14ac:dyDescent="0.3">
      <c r="A12" s="2" t="s">
        <v>14</v>
      </c>
      <c r="B12" s="3">
        <f t="shared" si="0"/>
        <v>-116645</v>
      </c>
      <c r="C12" s="3">
        <v>61</v>
      </c>
      <c r="D12" s="3">
        <v>61</v>
      </c>
      <c r="E12" s="3">
        <v>116706</v>
      </c>
      <c r="F12" s="3">
        <v>14229</v>
      </c>
    </row>
    <row r="13" spans="1:6" x14ac:dyDescent="0.3">
      <c r="A13" s="2" t="s">
        <v>15</v>
      </c>
      <c r="B13" s="3">
        <f t="shared" si="0"/>
        <v>-1225953</v>
      </c>
      <c r="C13" s="3">
        <v>0</v>
      </c>
      <c r="D13" s="3">
        <v>0</v>
      </c>
      <c r="E13" s="3">
        <v>1225953</v>
      </c>
      <c r="F13" s="3">
        <v>1013968</v>
      </c>
    </row>
    <row r="14" spans="1:6" x14ac:dyDescent="0.3">
      <c r="A14" s="2" t="s">
        <v>16</v>
      </c>
      <c r="B14" s="3">
        <f t="shared" si="0"/>
        <v>-122869</v>
      </c>
      <c r="C14" s="3">
        <v>0</v>
      </c>
      <c r="D14" s="3">
        <v>0</v>
      </c>
      <c r="E14" s="3">
        <v>122869</v>
      </c>
      <c r="F14" s="3">
        <v>12801</v>
      </c>
    </row>
    <row r="15" spans="1:6" ht="17.25" thickBot="1" x14ac:dyDescent="0.35">
      <c r="A15" s="4" t="s">
        <v>34</v>
      </c>
      <c r="B15" s="5">
        <f>SUM(B3:B14)</f>
        <v>-4632516</v>
      </c>
      <c r="C15" s="5">
        <f t="shared" ref="C15:F15" si="1">SUM(C3:C14)</f>
        <v>61</v>
      </c>
      <c r="D15" s="5">
        <f t="shared" si="1"/>
        <v>61</v>
      </c>
      <c r="E15" s="5">
        <f t="shared" si="1"/>
        <v>4632577</v>
      </c>
      <c r="F15" s="5">
        <f t="shared" si="1"/>
        <v>2959490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42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-77880</v>
      </c>
      <c r="C3" s="3">
        <v>0</v>
      </c>
      <c r="D3" s="3">
        <v>0</v>
      </c>
      <c r="E3" s="3">
        <v>77880</v>
      </c>
      <c r="F3" s="3">
        <v>10430</v>
      </c>
    </row>
    <row r="4" spans="1:6" x14ac:dyDescent="0.3">
      <c r="A4" s="2" t="s">
        <v>41</v>
      </c>
      <c r="B4" s="3">
        <f t="shared" si="0"/>
        <v>-91787</v>
      </c>
      <c r="C4" s="3">
        <v>0</v>
      </c>
      <c r="D4" s="3">
        <v>0</v>
      </c>
      <c r="E4" s="3">
        <v>91787</v>
      </c>
      <c r="F4" s="3">
        <v>11800</v>
      </c>
    </row>
    <row r="5" spans="1:6" x14ac:dyDescent="0.3">
      <c r="A5" s="2" t="s">
        <v>7</v>
      </c>
      <c r="B5" s="3">
        <f t="shared" si="0"/>
        <v>-113515</v>
      </c>
      <c r="C5" s="3">
        <v>0</v>
      </c>
      <c r="D5" s="3">
        <v>0</v>
      </c>
      <c r="E5" s="3">
        <v>113515</v>
      </c>
      <c r="F5" s="3">
        <v>14359</v>
      </c>
    </row>
    <row r="6" spans="1:6" x14ac:dyDescent="0.3">
      <c r="A6" s="2" t="s">
        <v>8</v>
      </c>
      <c r="B6" s="3">
        <f t="shared" si="0"/>
        <v>-100696</v>
      </c>
      <c r="C6" s="3">
        <v>0</v>
      </c>
      <c r="D6" s="3">
        <v>0</v>
      </c>
      <c r="E6" s="3">
        <v>100696</v>
      </c>
      <c r="F6" s="3">
        <v>13481</v>
      </c>
    </row>
    <row r="7" spans="1:6" x14ac:dyDescent="0.3">
      <c r="A7" s="2" t="s">
        <v>9</v>
      </c>
      <c r="B7" s="3">
        <f t="shared" si="0"/>
        <v>-87442</v>
      </c>
      <c r="C7" s="3">
        <v>0</v>
      </c>
      <c r="D7" s="3">
        <v>0</v>
      </c>
      <c r="E7" s="3">
        <v>87442</v>
      </c>
      <c r="F7" s="3">
        <v>11019</v>
      </c>
    </row>
    <row r="8" spans="1:6" x14ac:dyDescent="0.3">
      <c r="A8" s="2" t="s">
        <v>10</v>
      </c>
      <c r="B8" s="3">
        <f t="shared" si="0"/>
        <v>-196173</v>
      </c>
      <c r="C8" s="3">
        <v>1136</v>
      </c>
      <c r="D8" s="3">
        <v>425</v>
      </c>
      <c r="E8" s="3">
        <v>197309</v>
      </c>
      <c r="F8" s="3">
        <v>24914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-667493</v>
      </c>
      <c r="C15" s="5">
        <f t="shared" ref="C15:F15" si="1">SUM(C3:C14)</f>
        <v>1136</v>
      </c>
      <c r="D15" s="5">
        <f t="shared" si="1"/>
        <v>425</v>
      </c>
      <c r="E15" s="5">
        <f t="shared" si="1"/>
        <v>668629</v>
      </c>
      <c r="F15" s="5">
        <f t="shared" si="1"/>
        <v>86003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2026-07-14T07:08:56Z</dcterms:created>
  <dcterms:modified xsi:type="dcterms:W3CDTF">2026-07-28T02:26:55Z</dcterms:modified>
</cp:coreProperties>
</file>