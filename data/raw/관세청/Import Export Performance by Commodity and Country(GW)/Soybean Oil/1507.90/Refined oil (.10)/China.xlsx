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정제유(.10)\"/>
    </mc:Choice>
  </mc:AlternateContent>
  <bookViews>
    <workbookView xWindow="0" yWindow="0" windowWidth="28800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<sst xmlns="http://schemas.openxmlformats.org/spreadsheetml/2006/main" count="162" uniqueCount="18">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</sst>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-17846</v>
      </c>
      <c r="C3" s="3">
        <v>0</v>
      </c>
      <c r="D3" s="3">
        <v>0</v>
      </c>
      <c r="E3" s="3">
        <v>17846</v>
      </c>
      <c r="F3" s="3">
        <v>23709.9</v>
      </c>
    </row>
    <row r="4" spans="1:6" x14ac:dyDescent="0.3">
      <c r="A4" s="2" t="s">
        <v>6</v>
      </c>
      <c r="B4" s="3">
        <f t="shared" ref="B4:B14" si="0">C4-E4</f>
        <v>-39849</v>
      </c>
      <c r="C4" s="3">
        <v>0</v>
      </c>
      <c r="D4" s="3">
        <v>0</v>
      </c>
      <c r="E4" s="3">
        <v>39849</v>
      </c>
      <c r="F4" s="3">
        <v>33986</v>
      </c>
    </row>
    <row r="5" spans="1:6" x14ac:dyDescent="0.3">
      <c r="A5" s="2" t="s">
        <v>7</v>
      </c>
      <c r="B5" s="3">
        <f t="shared" si="0"/>
        <v>-56308</v>
      </c>
      <c r="C5" s="3">
        <v>0</v>
      </c>
      <c r="D5" s="3">
        <v>0</v>
      </c>
      <c r="E5" s="3">
        <v>56308</v>
      </c>
      <c r="F5" s="3">
        <v>36519.199999999997</v>
      </c>
    </row>
    <row r="6" spans="1:6" x14ac:dyDescent="0.3">
      <c r="A6" s="2" t="s">
        <v>8</v>
      </c>
      <c r="B6" s="3">
        <f t="shared" si="0"/>
        <v>-48850</v>
      </c>
      <c r="C6" s="3">
        <v>0</v>
      </c>
      <c r="D6" s="3">
        <v>0</v>
      </c>
      <c r="E6" s="3">
        <v>48850</v>
      </c>
      <c r="F6" s="3">
        <v>66270.3</v>
      </c>
    </row>
    <row r="7" spans="1:6" x14ac:dyDescent="0.3">
      <c r="A7" s="2" t="s">
        <v>9</v>
      </c>
      <c r="B7" s="3">
        <f t="shared" si="0"/>
        <v>-9000</v>
      </c>
      <c r="C7" s="3">
        <v>0</v>
      </c>
      <c r="D7" s="3">
        <v>0</v>
      </c>
      <c r="E7" s="3">
        <v>9000</v>
      </c>
      <c r="F7" s="3">
        <v>13910</v>
      </c>
    </row>
    <row r="8" spans="1:6" x14ac:dyDescent="0.3">
      <c r="A8" s="2" t="s">
        <v>10</v>
      </c>
      <c r="B8" s="3">
        <f t="shared" si="0"/>
        <v>-15521</v>
      </c>
      <c r="C8" s="3">
        <v>0</v>
      </c>
      <c r="D8" s="3">
        <v>0</v>
      </c>
      <c r="E8" s="3">
        <v>15521</v>
      </c>
      <c r="F8" s="3">
        <v>13910.4</v>
      </c>
    </row>
    <row r="9" spans="1:6" x14ac:dyDescent="0.3">
      <c r="A9" s="2" t="s">
        <v>11</v>
      </c>
      <c r="B9" s="3">
        <f t="shared" si="0"/>
        <v>2956</v>
      </c>
      <c r="C9" s="3">
        <v>2956</v>
      </c>
      <c r="D9" s="3">
        <v>370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-16178</v>
      </c>
      <c r="C11" s="3">
        <v>2959</v>
      </c>
      <c r="D11" s="3">
        <v>370</v>
      </c>
      <c r="E11" s="3">
        <v>19137</v>
      </c>
      <c r="F11" s="3">
        <v>13138</v>
      </c>
    </row>
    <row r="12" spans="1:6" x14ac:dyDescent="0.3">
      <c r="A12" s="2" t="s">
        <v>14</v>
      </c>
      <c r="B12" s="3">
        <f t="shared" si="0"/>
        <v>-17478</v>
      </c>
      <c r="C12" s="3">
        <v>0</v>
      </c>
      <c r="D12" s="3">
        <v>0</v>
      </c>
      <c r="E12" s="3">
        <v>17478</v>
      </c>
      <c r="F12" s="3">
        <v>25686</v>
      </c>
    </row>
    <row r="13" spans="1:6" x14ac:dyDescent="0.3">
      <c r="A13" s="2" t="s">
        <v>15</v>
      </c>
      <c r="B13" s="3">
        <f t="shared" si="0"/>
        <v>-41595</v>
      </c>
      <c r="C13" s="3">
        <v>22637</v>
      </c>
      <c r="D13" s="3">
        <v>9811.9</v>
      </c>
      <c r="E13" s="3">
        <v>64232</v>
      </c>
      <c r="F13" s="3">
        <v>61292.2</v>
      </c>
    </row>
    <row r="14" spans="1:6" x14ac:dyDescent="0.3">
      <c r="A14" s="2" t="s">
        <v>16</v>
      </c>
      <c r="B14" s="3">
        <f t="shared" si="0"/>
        <v>-29099</v>
      </c>
      <c r="C14" s="3">
        <v>0</v>
      </c>
      <c r="D14" s="3">
        <v>0</v>
      </c>
      <c r="E14" s="3">
        <v>29099</v>
      </c>
      <c r="F14" s="3">
        <v>37575.300000000003</v>
      </c>
    </row>
    <row r="15" spans="1:6" ht="17.25" thickBot="1" x14ac:dyDescent="0.35">
      <c r="A15" s="4" t="s">
        <v>17</v>
      </c>
      <c r="B15" s="5">
        <f>SUM(B3:B14)</f>
        <v>-288768</v>
      </c>
      <c r="C15" s="5">
        <f t="shared" ref="C15" si="1">SUM(C3:C14)</f>
        <v>28552</v>
      </c>
      <c r="D15" s="5">
        <f t="shared" ref="D15:F15" si="2">SUM(D3:D14)</f>
        <v>10551.9</v>
      </c>
      <c r="E15" s="5">
        <f t="shared" si="2"/>
        <v>317320</v>
      </c>
      <c r="F15" s="5">
        <f t="shared" si="2"/>
        <v>325997.3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-35959</v>
      </c>
      <c r="C3" s="3">
        <v>7396</v>
      </c>
      <c r="D3" s="3">
        <v>925</v>
      </c>
      <c r="E3" s="3">
        <v>43355</v>
      </c>
      <c r="F3" s="3">
        <v>32962.400000000001</v>
      </c>
    </row>
    <row r="4" spans="1:6" x14ac:dyDescent="0.3">
      <c r="A4" s="2" t="s">
        <v>6</v>
      </c>
      <c r="B4" s="3">
        <f t="shared" ref="B4:B14" si="0">C4-E4</f>
        <v>-12649</v>
      </c>
      <c r="C4" s="3">
        <v>0</v>
      </c>
      <c r="D4" s="3">
        <v>0</v>
      </c>
      <c r="E4" s="3">
        <v>12649</v>
      </c>
      <c r="F4" s="3">
        <v>9642</v>
      </c>
    </row>
    <row r="5" spans="1:6" x14ac:dyDescent="0.3">
      <c r="A5" s="2" t="s">
        <v>7</v>
      </c>
      <c r="B5" s="3">
        <f t="shared" si="0"/>
        <v>-40782</v>
      </c>
      <c r="C5" s="3">
        <v>22288</v>
      </c>
      <c r="D5" s="3">
        <v>8367</v>
      </c>
      <c r="E5" s="3">
        <v>63070</v>
      </c>
      <c r="F5" s="3">
        <v>56611.3</v>
      </c>
    </row>
    <row r="6" spans="1:6" x14ac:dyDescent="0.3">
      <c r="A6" s="2" t="s">
        <v>8</v>
      </c>
      <c r="B6" s="3">
        <f t="shared" si="0"/>
        <v>-40289</v>
      </c>
      <c r="C6" s="3">
        <v>8851</v>
      </c>
      <c r="D6" s="3">
        <v>1110</v>
      </c>
      <c r="E6" s="3">
        <v>49140</v>
      </c>
      <c r="F6" s="3">
        <v>42736</v>
      </c>
    </row>
    <row r="7" spans="1:6" x14ac:dyDescent="0.3">
      <c r="A7" s="2" t="s">
        <v>9</v>
      </c>
      <c r="B7" s="3">
        <f t="shared" si="0"/>
        <v>-14868</v>
      </c>
      <c r="C7" s="3">
        <v>0</v>
      </c>
      <c r="D7" s="3">
        <v>0</v>
      </c>
      <c r="E7" s="3">
        <v>14868</v>
      </c>
      <c r="F7" s="3">
        <v>11496</v>
      </c>
    </row>
    <row r="8" spans="1:6" x14ac:dyDescent="0.3">
      <c r="A8" s="2" t="s">
        <v>10</v>
      </c>
      <c r="B8" s="3">
        <f t="shared" si="0"/>
        <v>-32448</v>
      </c>
      <c r="C8" s="3">
        <v>0</v>
      </c>
      <c r="D8" s="3">
        <v>0</v>
      </c>
      <c r="E8" s="3">
        <v>32448</v>
      </c>
      <c r="F8" s="3">
        <v>35044</v>
      </c>
    </row>
    <row r="9" spans="1:6" x14ac:dyDescent="0.3">
      <c r="A9" s="2" t="s">
        <v>11</v>
      </c>
      <c r="B9" s="3">
        <f t="shared" si="0"/>
        <v>-45368</v>
      </c>
      <c r="C9" s="3">
        <v>14046</v>
      </c>
      <c r="D9" s="3">
        <v>2097</v>
      </c>
      <c r="E9" s="3">
        <v>59414</v>
      </c>
      <c r="F9" s="3">
        <v>44401.2</v>
      </c>
    </row>
    <row r="10" spans="1:6" x14ac:dyDescent="0.3">
      <c r="A10" s="2" t="s">
        <v>12</v>
      </c>
      <c r="B10" s="3">
        <f t="shared" si="0"/>
        <v>-17173</v>
      </c>
      <c r="C10" s="3">
        <v>0</v>
      </c>
      <c r="D10" s="3">
        <v>0</v>
      </c>
      <c r="E10" s="3">
        <v>17173</v>
      </c>
      <c r="F10" s="3">
        <v>33316</v>
      </c>
    </row>
    <row r="11" spans="1:6" x14ac:dyDescent="0.3">
      <c r="A11" s="2" t="s">
        <v>13</v>
      </c>
      <c r="B11" s="3">
        <f t="shared" si="0"/>
        <v>-10472</v>
      </c>
      <c r="C11" s="3">
        <v>0</v>
      </c>
      <c r="D11" s="3">
        <v>0</v>
      </c>
      <c r="E11" s="3">
        <v>10472</v>
      </c>
      <c r="F11" s="3">
        <v>24472</v>
      </c>
    </row>
    <row r="12" spans="1:6" x14ac:dyDescent="0.3">
      <c r="A12" s="2" t="s">
        <v>14</v>
      </c>
      <c r="B12" s="3">
        <f t="shared" si="0"/>
        <v>-85554</v>
      </c>
      <c r="C12" s="3">
        <v>0</v>
      </c>
      <c r="D12" s="3">
        <v>0</v>
      </c>
      <c r="E12" s="3">
        <v>85554</v>
      </c>
      <c r="F12" s="3">
        <v>79392.399999999994</v>
      </c>
    </row>
    <row r="13" spans="1:6" x14ac:dyDescent="0.3">
      <c r="A13" s="2" t="s">
        <v>15</v>
      </c>
      <c r="B13" s="3">
        <f t="shared" si="0"/>
        <v>-24741</v>
      </c>
      <c r="C13" s="3">
        <v>0</v>
      </c>
      <c r="D13" s="3">
        <v>0</v>
      </c>
      <c r="E13" s="3">
        <v>24741</v>
      </c>
      <c r="F13" s="3">
        <v>36201.949999999997</v>
      </c>
    </row>
    <row r="14" spans="1:6" x14ac:dyDescent="0.3">
      <c r="A14" s="2" t="s">
        <v>16</v>
      </c>
      <c r="B14" s="3">
        <f t="shared" si="0"/>
        <v>-38486</v>
      </c>
      <c r="C14" s="3">
        <v>0</v>
      </c>
      <c r="D14" s="3">
        <v>0</v>
      </c>
      <c r="E14" s="3">
        <v>38486</v>
      </c>
      <c r="F14" s="3">
        <v>36525.42</v>
      </c>
    </row>
    <row r="15" spans="1:6" ht="17.25" thickBot="1" x14ac:dyDescent="0.35">
      <c r="A15" s="4" t="s">
        <v>17</v>
      </c>
      <c r="B15" s="5">
        <f>SUM(B3:B14)</f>
        <v>-398789</v>
      </c>
      <c r="C15" s="5">
        <f t="shared" ref="C15" si="1">SUM(C3:C14)</f>
        <v>52581</v>
      </c>
      <c r="D15" s="5">
        <f t="shared" ref="D15:F15" si="2">SUM(D3:D14)</f>
        <v>12499</v>
      </c>
      <c r="E15" s="5">
        <f t="shared" si="2"/>
        <v>451370</v>
      </c>
      <c r="F15" s="5">
        <f t="shared" si="2"/>
        <v>442800.67000000004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-29150</v>
      </c>
      <c r="C3" s="3">
        <v>0</v>
      </c>
      <c r="D3" s="3">
        <v>0</v>
      </c>
      <c r="E3" s="3">
        <v>29150</v>
      </c>
      <c r="F3" s="3">
        <v>49532.4</v>
      </c>
    </row>
    <row r="4" spans="1:6" x14ac:dyDescent="0.3">
      <c r="A4" s="2" t="s">
        <v>6</v>
      </c>
      <c r="B4" s="3">
        <f t="shared" ref="B4:B14" si="0">C4-E4</f>
        <v>-25087</v>
      </c>
      <c r="C4" s="3">
        <v>0</v>
      </c>
      <c r="D4" s="3">
        <v>0</v>
      </c>
      <c r="E4" s="3">
        <v>25087</v>
      </c>
      <c r="F4" s="3">
        <v>27710.400000000001</v>
      </c>
    </row>
    <row r="5" spans="1:6" x14ac:dyDescent="0.3">
      <c r="A5" s="2" t="s">
        <v>7</v>
      </c>
      <c r="B5" s="3">
        <f t="shared" si="0"/>
        <v>-34471</v>
      </c>
      <c r="C5" s="3">
        <v>0</v>
      </c>
      <c r="D5" s="3">
        <v>0</v>
      </c>
      <c r="E5" s="3">
        <v>34471</v>
      </c>
      <c r="F5" s="3">
        <v>25824</v>
      </c>
    </row>
    <row r="6" spans="1:6" x14ac:dyDescent="0.3">
      <c r="A6" s="2" t="s">
        <v>8</v>
      </c>
      <c r="B6" s="3">
        <f t="shared" si="0"/>
        <v>-39629</v>
      </c>
      <c r="C6" s="3">
        <v>0</v>
      </c>
      <c r="D6" s="3">
        <v>0</v>
      </c>
      <c r="E6" s="3">
        <v>39629</v>
      </c>
      <c r="F6" s="3">
        <v>41963.11</v>
      </c>
    </row>
    <row r="7" spans="1:6" x14ac:dyDescent="0.3">
      <c r="A7" s="2" t="s">
        <v>9</v>
      </c>
      <c r="B7" s="3">
        <f t="shared" si="0"/>
        <v>-35715</v>
      </c>
      <c r="C7" s="3">
        <v>126</v>
      </c>
      <c r="D7" s="3">
        <v>0.01</v>
      </c>
      <c r="E7" s="3">
        <v>35841</v>
      </c>
      <c r="F7" s="3">
        <v>26930</v>
      </c>
    </row>
    <row r="8" spans="1:6" x14ac:dyDescent="0.3">
      <c r="A8" s="2" t="s">
        <v>10</v>
      </c>
      <c r="B8" s="3">
        <f t="shared" si="0"/>
        <v>-28453</v>
      </c>
      <c r="C8" s="3">
        <v>0</v>
      </c>
      <c r="D8" s="3">
        <v>0</v>
      </c>
      <c r="E8" s="3">
        <v>28453</v>
      </c>
      <c r="F8" s="3">
        <v>26164.400000000001</v>
      </c>
    </row>
    <row r="9" spans="1:6" x14ac:dyDescent="0.3">
      <c r="A9" s="2" t="s">
        <v>11</v>
      </c>
      <c r="B9" s="3">
        <f t="shared" si="0"/>
        <v>-68686</v>
      </c>
      <c r="C9" s="3">
        <v>5877</v>
      </c>
      <c r="D9" s="3">
        <v>4080</v>
      </c>
      <c r="E9" s="3">
        <v>74563</v>
      </c>
      <c r="F9" s="3">
        <v>76828.88</v>
      </c>
    </row>
    <row r="10" spans="1:6" x14ac:dyDescent="0.3">
      <c r="A10" s="2" t="s">
        <v>12</v>
      </c>
      <c r="B10" s="3">
        <f t="shared" si="0"/>
        <v>-13586</v>
      </c>
      <c r="C10" s="3">
        <v>0</v>
      </c>
      <c r="D10" s="3">
        <v>0</v>
      </c>
      <c r="E10" s="3">
        <v>13586</v>
      </c>
      <c r="F10" s="3">
        <v>11643</v>
      </c>
    </row>
    <row r="11" spans="1:6" x14ac:dyDescent="0.3">
      <c r="A11" s="2" t="s">
        <v>13</v>
      </c>
      <c r="B11" s="3">
        <f t="shared" si="0"/>
        <v>-42635</v>
      </c>
      <c r="C11" s="3">
        <v>0</v>
      </c>
      <c r="D11" s="3">
        <v>0</v>
      </c>
      <c r="E11" s="3">
        <v>42635</v>
      </c>
      <c r="F11" s="3">
        <v>51983.89</v>
      </c>
    </row>
    <row r="12" spans="1:6" x14ac:dyDescent="0.3">
      <c r="A12" s="2" t="s">
        <v>14</v>
      </c>
      <c r="B12" s="3">
        <f t="shared" si="0"/>
        <v>-17539</v>
      </c>
      <c r="C12" s="3">
        <v>790</v>
      </c>
      <c r="D12" s="3">
        <v>414.6</v>
      </c>
      <c r="E12" s="3">
        <v>18329</v>
      </c>
      <c r="F12" s="3">
        <v>24270.205000000002</v>
      </c>
    </row>
    <row r="13" spans="1:6" x14ac:dyDescent="0.3">
      <c r="A13" s="2" t="s">
        <v>15</v>
      </c>
      <c r="B13" s="3">
        <f t="shared" si="0"/>
        <v>-35550</v>
      </c>
      <c r="C13" s="3">
        <v>809</v>
      </c>
      <c r="D13" s="3">
        <v>416</v>
      </c>
      <c r="E13" s="3">
        <v>36359</v>
      </c>
      <c r="F13" s="3">
        <v>37756</v>
      </c>
    </row>
    <row r="14" spans="1:6" x14ac:dyDescent="0.3">
      <c r="A14" s="2" t="s">
        <v>16</v>
      </c>
      <c r="B14" s="3">
        <f t="shared" si="0"/>
        <v>-19951</v>
      </c>
      <c r="C14" s="3">
        <v>0</v>
      </c>
      <c r="D14" s="3">
        <v>0</v>
      </c>
      <c r="E14" s="3">
        <v>19951</v>
      </c>
      <c r="F14" s="3">
        <v>25705.11</v>
      </c>
    </row>
    <row r="15" spans="1:6" ht="17.25" thickBot="1" x14ac:dyDescent="0.35">
      <c r="A15" s="4" t="s">
        <v>17</v>
      </c>
      <c r="B15" s="5">
        <f>SUM(B3:B14)</f>
        <v>-390452</v>
      </c>
      <c r="C15" s="5">
        <f t="shared" ref="C15" si="1">SUM(C3:C14)</f>
        <v>7602</v>
      </c>
      <c r="D15" s="5">
        <f t="shared" ref="D15:F15" si="2">SUM(D3:D14)</f>
        <v>4910.6100000000006</v>
      </c>
      <c r="E15" s="5">
        <f t="shared" si="2"/>
        <v>398054</v>
      </c>
      <c r="F15" s="5">
        <f t="shared" si="2"/>
        <v>426311.39500000002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-47674</v>
      </c>
      <c r="C3" s="3">
        <v>0</v>
      </c>
      <c r="D3" s="3">
        <v>0</v>
      </c>
      <c r="E3" s="3">
        <v>47674</v>
      </c>
      <c r="F3" s="3">
        <v>37508.639999999999</v>
      </c>
    </row>
    <row r="4" spans="1:6" x14ac:dyDescent="0.3">
      <c r="A4" s="2" t="s">
        <v>6</v>
      </c>
      <c r="B4" s="3">
        <f t="shared" ref="B4:B14" si="0">C4-E4</f>
        <v>-35664</v>
      </c>
      <c r="C4" s="3">
        <v>0</v>
      </c>
      <c r="D4" s="3">
        <v>0</v>
      </c>
      <c r="E4" s="3">
        <v>35664</v>
      </c>
      <c r="F4" s="3">
        <v>43688</v>
      </c>
    </row>
    <row r="5" spans="1:6" x14ac:dyDescent="0.3">
      <c r="A5" s="2" t="s">
        <v>7</v>
      </c>
      <c r="B5" s="3">
        <f t="shared" si="0"/>
        <v>-51899</v>
      </c>
      <c r="C5" s="3">
        <v>0</v>
      </c>
      <c r="D5" s="3">
        <v>0</v>
      </c>
      <c r="E5" s="3">
        <v>51899</v>
      </c>
      <c r="F5" s="3">
        <v>44972.04</v>
      </c>
    </row>
    <row r="6" spans="1:6" x14ac:dyDescent="0.3">
      <c r="A6" s="2" t="s">
        <v>8</v>
      </c>
      <c r="B6" s="3">
        <f t="shared" si="0"/>
        <v>-137</v>
      </c>
      <c r="C6" s="3">
        <v>0</v>
      </c>
      <c r="D6" s="3">
        <v>0</v>
      </c>
      <c r="E6" s="3">
        <v>137</v>
      </c>
      <c r="F6" s="3">
        <v>43.23</v>
      </c>
    </row>
    <row r="7" spans="1:6" x14ac:dyDescent="0.3">
      <c r="A7" s="2" t="s">
        <v>9</v>
      </c>
      <c r="B7" s="3">
        <f t="shared" si="0"/>
        <v>-6806</v>
      </c>
      <c r="C7" s="3">
        <v>0</v>
      </c>
      <c r="D7" s="3">
        <v>0</v>
      </c>
      <c r="E7" s="3">
        <v>6806</v>
      </c>
      <c r="F7" s="3">
        <v>11115</v>
      </c>
    </row>
    <row r="8" spans="1:6" x14ac:dyDescent="0.3">
      <c r="A8" s="2" t="s">
        <v>10</v>
      </c>
      <c r="B8" s="3">
        <f t="shared" si="0"/>
        <v>-84666</v>
      </c>
      <c r="C8" s="3">
        <v>0</v>
      </c>
      <c r="D8" s="3">
        <v>0</v>
      </c>
      <c r="E8" s="3">
        <v>84666</v>
      </c>
      <c r="F8" s="3">
        <v>83169</v>
      </c>
    </row>
    <row r="9" spans="1:6" x14ac:dyDescent="0.3">
      <c r="A9" s="2" t="s">
        <v>11</v>
      </c>
      <c r="B9" s="3">
        <f t="shared" si="0"/>
        <v>-5182</v>
      </c>
      <c r="C9" s="3">
        <v>0</v>
      </c>
      <c r="D9" s="3">
        <v>0</v>
      </c>
      <c r="E9" s="3">
        <v>5182</v>
      </c>
      <c r="F9" s="3">
        <v>7563</v>
      </c>
    </row>
    <row r="10" spans="1:6" x14ac:dyDescent="0.3">
      <c r="A10" s="2" t="s">
        <v>12</v>
      </c>
      <c r="B10" s="3">
        <f t="shared" si="0"/>
        <v>-78271</v>
      </c>
      <c r="C10" s="3">
        <v>0</v>
      </c>
      <c r="D10" s="3">
        <v>0</v>
      </c>
      <c r="E10" s="3">
        <v>78271</v>
      </c>
      <c r="F10" s="3">
        <v>69210.5</v>
      </c>
    </row>
    <row r="11" spans="1:6" x14ac:dyDescent="0.3">
      <c r="A11" s="2" t="s">
        <v>13</v>
      </c>
      <c r="B11" s="3">
        <f t="shared" si="0"/>
        <v>-132486</v>
      </c>
      <c r="C11" s="3">
        <v>0</v>
      </c>
      <c r="D11" s="3">
        <v>0</v>
      </c>
      <c r="E11" s="3">
        <v>132486</v>
      </c>
      <c r="F11" s="3">
        <v>101614.25</v>
      </c>
    </row>
    <row r="12" spans="1:6" x14ac:dyDescent="0.3">
      <c r="A12" s="2" t="s">
        <v>14</v>
      </c>
      <c r="B12" s="3">
        <f t="shared" si="0"/>
        <v>-102927</v>
      </c>
      <c r="C12" s="3">
        <v>0</v>
      </c>
      <c r="D12" s="3">
        <v>0</v>
      </c>
      <c r="E12" s="3">
        <v>102927</v>
      </c>
      <c r="F12" s="3">
        <v>72972</v>
      </c>
    </row>
    <row r="13" spans="1:6" x14ac:dyDescent="0.3">
      <c r="A13" s="2" t="s">
        <v>15</v>
      </c>
      <c r="B13" s="3">
        <f t="shared" si="0"/>
        <v>-17942</v>
      </c>
      <c r="C13" s="3">
        <v>0</v>
      </c>
      <c r="D13" s="3">
        <v>0</v>
      </c>
      <c r="E13" s="3">
        <v>17942</v>
      </c>
      <c r="F13" s="3">
        <v>12330</v>
      </c>
    </row>
    <row r="14" spans="1:6" x14ac:dyDescent="0.3">
      <c r="A14" s="2" t="s">
        <v>16</v>
      </c>
      <c r="B14" s="3">
        <f t="shared" si="0"/>
        <v>-93759</v>
      </c>
      <c r="C14" s="3">
        <v>0</v>
      </c>
      <c r="D14" s="3">
        <v>0</v>
      </c>
      <c r="E14" s="3">
        <v>93759</v>
      </c>
      <c r="F14" s="3">
        <v>70600.5</v>
      </c>
    </row>
    <row r="15" spans="1:6" ht="17.25" thickBot="1" x14ac:dyDescent="0.35">
      <c r="A15" s="4" t="s">
        <v>17</v>
      </c>
      <c r="B15" s="5">
        <f>SUM(B3:B14)</f>
        <v>-657413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657413</v>
      </c>
      <c r="F15" s="5">
        <f t="shared" si="2"/>
        <v>554786.15999999992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-109597</v>
      </c>
      <c r="C3" s="3">
        <v>0</v>
      </c>
      <c r="D3" s="3">
        <v>0</v>
      </c>
      <c r="E3" s="3">
        <v>109597</v>
      </c>
      <c r="F3" s="3">
        <v>81008.2</v>
      </c>
    </row>
    <row r="4" spans="1:6" x14ac:dyDescent="0.3">
      <c r="A4" s="2" t="s">
        <v>6</v>
      </c>
      <c r="B4" s="3">
        <f t="shared" ref="B4:B14" si="0">C4-E4</f>
        <v>-12043</v>
      </c>
      <c r="C4" s="3">
        <v>0</v>
      </c>
      <c r="D4" s="3">
        <v>0</v>
      </c>
      <c r="E4" s="3">
        <v>12043</v>
      </c>
      <c r="F4" s="3">
        <v>13910.4</v>
      </c>
    </row>
    <row r="5" spans="1:6" x14ac:dyDescent="0.3">
      <c r="A5" s="2" t="s">
        <v>7</v>
      </c>
      <c r="B5" s="3">
        <f t="shared" si="0"/>
        <v>-194009</v>
      </c>
      <c r="C5" s="3">
        <v>0</v>
      </c>
      <c r="D5" s="3">
        <v>0</v>
      </c>
      <c r="E5" s="3">
        <v>194009</v>
      </c>
      <c r="F5" s="3">
        <v>128312.56</v>
      </c>
    </row>
    <row r="6" spans="1:6" x14ac:dyDescent="0.3">
      <c r="A6" s="2" t="s">
        <v>8</v>
      </c>
      <c r="B6" s="3">
        <f t="shared" si="0"/>
        <v>-78576</v>
      </c>
      <c r="C6" s="3">
        <v>0</v>
      </c>
      <c r="D6" s="3">
        <v>0</v>
      </c>
      <c r="E6" s="3">
        <v>78576</v>
      </c>
      <c r="F6" s="3">
        <v>47201.8</v>
      </c>
    </row>
    <row r="7" spans="1:6" x14ac:dyDescent="0.3">
      <c r="A7" s="2" t="s">
        <v>9</v>
      </c>
      <c r="B7" s="3">
        <f t="shared" si="0"/>
        <v>-450311</v>
      </c>
      <c r="C7" s="3">
        <v>0</v>
      </c>
      <c r="D7" s="3">
        <v>0</v>
      </c>
      <c r="E7" s="3">
        <v>450311</v>
      </c>
      <c r="F7" s="3">
        <v>304460</v>
      </c>
    </row>
    <row r="8" spans="1:6" x14ac:dyDescent="0.3">
      <c r="A8" s="2" t="s">
        <v>10</v>
      </c>
      <c r="B8" s="3">
        <f t="shared" si="0"/>
        <v>-77671</v>
      </c>
      <c r="C8" s="3">
        <v>0</v>
      </c>
      <c r="D8" s="3">
        <v>0</v>
      </c>
      <c r="E8" s="3">
        <v>77671</v>
      </c>
      <c r="F8" s="3">
        <v>54787</v>
      </c>
    </row>
    <row r="9" spans="1:6" x14ac:dyDescent="0.3">
      <c r="A9" s="2" t="s">
        <v>11</v>
      </c>
      <c r="B9" s="3">
        <f t="shared" si="0"/>
        <v>-41160</v>
      </c>
      <c r="C9" s="3">
        <v>0</v>
      </c>
      <c r="D9" s="3">
        <v>0</v>
      </c>
      <c r="E9" s="3">
        <v>41160</v>
      </c>
      <c r="F9" s="3">
        <v>23611.74</v>
      </c>
    </row>
    <row r="10" spans="1:6" x14ac:dyDescent="0.3">
      <c r="A10" s="2" t="s">
        <v>12</v>
      </c>
      <c r="B10" s="3">
        <f t="shared" si="0"/>
        <v>-17332</v>
      </c>
      <c r="C10" s="3">
        <v>0</v>
      </c>
      <c r="D10" s="3">
        <v>0</v>
      </c>
      <c r="E10" s="3">
        <v>17332</v>
      </c>
      <c r="F10" s="3">
        <v>10452.668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-6724563</v>
      </c>
      <c r="C12" s="3">
        <v>4007</v>
      </c>
      <c r="D12" s="3">
        <v>440.63200000000001</v>
      </c>
      <c r="E12" s="3">
        <v>6728570</v>
      </c>
      <c r="F12" s="3">
        <v>4945550</v>
      </c>
    </row>
    <row r="13" spans="1:6" x14ac:dyDescent="0.3">
      <c r="A13" s="2" t="s">
        <v>15</v>
      </c>
      <c r="B13" s="3">
        <f t="shared" si="0"/>
        <v>1697</v>
      </c>
      <c r="C13" s="3">
        <v>1706</v>
      </c>
      <c r="D13" s="3">
        <v>738.75</v>
      </c>
      <c r="E13" s="3">
        <v>9</v>
      </c>
      <c r="F13" s="3">
        <v>4.4000000000000004</v>
      </c>
    </row>
    <row r="14" spans="1:6" x14ac:dyDescent="0.3">
      <c r="A14" s="2" t="s">
        <v>16</v>
      </c>
      <c r="B14" s="3">
        <f t="shared" si="0"/>
        <v>-30854</v>
      </c>
      <c r="C14" s="3">
        <v>9140</v>
      </c>
      <c r="D14" s="3">
        <v>1409.57</v>
      </c>
      <c r="E14" s="3">
        <v>39994</v>
      </c>
      <c r="F14" s="3">
        <v>20754.069</v>
      </c>
    </row>
    <row r="15" spans="1:6" ht="17.25" thickBot="1" x14ac:dyDescent="0.35">
      <c r="A15" s="4" t="s">
        <v>17</v>
      </c>
      <c r="B15" s="5">
        <f>SUM(B3:B14)</f>
        <v>-7734419</v>
      </c>
      <c r="C15" s="5">
        <f t="shared" ref="C15" si="1">SUM(C3:C14)</f>
        <v>14853</v>
      </c>
      <c r="D15" s="5">
        <f t="shared" ref="D15:F15" si="2">SUM(D3:D14)</f>
        <v>2588.9520000000002</v>
      </c>
      <c r="E15" s="5">
        <f t="shared" si="2"/>
        <v>7749272</v>
      </c>
      <c r="F15" s="5">
        <f t="shared" si="2"/>
        <v>5630052.8370000003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-37725</v>
      </c>
      <c r="C3" s="3">
        <v>3193</v>
      </c>
      <c r="D3" s="3">
        <v>457.1</v>
      </c>
      <c r="E3" s="3">
        <v>40918</v>
      </c>
      <c r="F3" s="3">
        <v>19231.050999999999</v>
      </c>
    </row>
    <row r="4" spans="1:6" x14ac:dyDescent="0.3">
      <c r="A4" s="2" t="s">
        <v>6</v>
      </c>
      <c r="B4" s="3">
        <f t="shared" ref="B4:B14" si="0">C4-E4</f>
        <v>-173053</v>
      </c>
      <c r="C4" s="3">
        <v>377</v>
      </c>
      <c r="D4" s="3">
        <v>165.1</v>
      </c>
      <c r="E4" s="3">
        <v>173430</v>
      </c>
      <c r="F4" s="3">
        <v>89079.2</v>
      </c>
    </row>
    <row r="5" spans="1:6" x14ac:dyDescent="0.3">
      <c r="A5" s="2" t="s">
        <v>7</v>
      </c>
      <c r="B5" s="3">
        <f t="shared" si="0"/>
        <v>-277</v>
      </c>
      <c r="C5" s="3">
        <v>0</v>
      </c>
      <c r="D5" s="3">
        <v>0</v>
      </c>
      <c r="E5" s="3">
        <v>277</v>
      </c>
      <c r="F5" s="3">
        <v>19.792999999999999</v>
      </c>
    </row>
    <row r="6" spans="1:6" x14ac:dyDescent="0.3">
      <c r="A6" s="2" t="s">
        <v>8</v>
      </c>
      <c r="B6" s="3">
        <f t="shared" si="0"/>
        <v>-82125</v>
      </c>
      <c r="C6" s="3">
        <v>5923</v>
      </c>
      <c r="D6" s="3">
        <v>2077.65</v>
      </c>
      <c r="E6" s="3">
        <v>88048</v>
      </c>
      <c r="F6" s="3">
        <v>42715.993999999999</v>
      </c>
    </row>
    <row r="7" spans="1:6" x14ac:dyDescent="0.3">
      <c r="A7" s="2" t="s">
        <v>9</v>
      </c>
      <c r="B7" s="3">
        <f t="shared" si="0"/>
        <v>-42032</v>
      </c>
      <c r="C7" s="3">
        <v>10184</v>
      </c>
      <c r="D7" s="3">
        <v>1522.8</v>
      </c>
      <c r="E7" s="3">
        <v>52216</v>
      </c>
      <c r="F7" s="3">
        <v>26695.184000000001</v>
      </c>
    </row>
    <row r="8" spans="1:6" x14ac:dyDescent="0.3">
      <c r="A8" s="2" t="s">
        <v>10</v>
      </c>
      <c r="B8" s="3">
        <f t="shared" si="0"/>
        <v>-206823</v>
      </c>
      <c r="C8" s="3">
        <v>1602</v>
      </c>
      <c r="D8" s="3">
        <v>754.17600000000004</v>
      </c>
      <c r="E8" s="3">
        <v>208425</v>
      </c>
      <c r="F8" s="3">
        <v>101008.128</v>
      </c>
    </row>
    <row r="9" spans="1:6" x14ac:dyDescent="0.3">
      <c r="A9" s="2" t="s">
        <v>11</v>
      </c>
      <c r="B9" s="3">
        <f t="shared" si="0"/>
        <v>-132124</v>
      </c>
      <c r="C9" s="3">
        <v>957</v>
      </c>
      <c r="D9" s="3">
        <v>522</v>
      </c>
      <c r="E9" s="3">
        <v>133081</v>
      </c>
      <c r="F9" s="3">
        <v>67070.289000000004</v>
      </c>
    </row>
    <row r="10" spans="1:6" x14ac:dyDescent="0.3">
      <c r="A10" s="2" t="s">
        <v>12</v>
      </c>
      <c r="B10" s="3">
        <f t="shared" si="0"/>
        <v>-1450821</v>
      </c>
      <c r="C10" s="3">
        <v>0</v>
      </c>
      <c r="D10" s="3">
        <v>0</v>
      </c>
      <c r="E10" s="3">
        <v>1450821</v>
      </c>
      <c r="F10" s="3">
        <v>772082.56</v>
      </c>
    </row>
    <row r="11" spans="1:6" x14ac:dyDescent="0.3">
      <c r="A11" s="2" t="s">
        <v>13</v>
      </c>
      <c r="B11" s="3">
        <f t="shared" si="0"/>
        <v>-1246758</v>
      </c>
      <c r="C11" s="3">
        <v>9919</v>
      </c>
      <c r="D11" s="3">
        <v>742.77</v>
      </c>
      <c r="E11" s="3">
        <v>1256677</v>
      </c>
      <c r="F11" s="3">
        <v>684964.65500000003</v>
      </c>
    </row>
    <row r="12" spans="1:6" x14ac:dyDescent="0.3">
      <c r="A12" s="2" t="s">
        <v>14</v>
      </c>
      <c r="B12" s="3">
        <f t="shared" si="0"/>
        <v>-1032732</v>
      </c>
      <c r="C12" s="3">
        <v>7108</v>
      </c>
      <c r="D12" s="3">
        <v>3020.86</v>
      </c>
      <c r="E12" s="3">
        <v>1039840</v>
      </c>
      <c r="F12" s="3">
        <v>586249.09199999995</v>
      </c>
    </row>
    <row r="13" spans="1:6" x14ac:dyDescent="0.3">
      <c r="A13" s="2" t="s">
        <v>15</v>
      </c>
      <c r="B13" s="3">
        <f t="shared" si="0"/>
        <v>-1549379</v>
      </c>
      <c r="C13" s="3">
        <v>27092</v>
      </c>
      <c r="D13" s="3">
        <v>15680.76</v>
      </c>
      <c r="E13" s="3">
        <v>1576471</v>
      </c>
      <c r="F13" s="3">
        <v>934046.63600000006</v>
      </c>
    </row>
    <row r="14" spans="1:6" x14ac:dyDescent="0.3">
      <c r="A14" s="2" t="s">
        <v>16</v>
      </c>
      <c r="B14" s="3">
        <f t="shared" si="0"/>
        <v>-1411918</v>
      </c>
      <c r="C14" s="3">
        <v>0</v>
      </c>
      <c r="D14" s="3">
        <v>0</v>
      </c>
      <c r="E14" s="3">
        <v>1411918</v>
      </c>
      <c r="F14" s="3">
        <v>830537.11</v>
      </c>
    </row>
    <row r="15" spans="1:6" ht="17.25" thickBot="1" x14ac:dyDescent="0.35">
      <c r="A15" s="4" t="s">
        <v>17</v>
      </c>
      <c r="B15" s="5">
        <f>SUM(B3:B14)</f>
        <v>-7365767</v>
      </c>
      <c r="C15" s="5">
        <f t="shared" ref="C15" si="1">SUM(C3:C14)</f>
        <v>66355</v>
      </c>
      <c r="D15" s="5">
        <f t="shared" ref="D15:F15" si="2">SUM(D3:D14)</f>
        <v>24943.216</v>
      </c>
      <c r="E15" s="5">
        <f t="shared" si="2"/>
        <v>7432122</v>
      </c>
      <c r="F15" s="5">
        <f t="shared" si="2"/>
        <v>4153699.6919999998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-3757542</v>
      </c>
      <c r="C3" s="3">
        <v>4038</v>
      </c>
      <c r="D3" s="3">
        <v>932.43</v>
      </c>
      <c r="E3" s="3">
        <v>3761580</v>
      </c>
      <c r="F3" s="3">
        <v>2340690.19</v>
      </c>
    </row>
    <row r="4" spans="1:6" x14ac:dyDescent="0.3">
      <c r="A4" s="2" t="s">
        <v>6</v>
      </c>
      <c r="B4" s="3">
        <f t="shared" ref="B4:B14" si="0">C4-E4</f>
        <v>-2873035</v>
      </c>
      <c r="C4" s="3">
        <v>0</v>
      </c>
      <c r="D4" s="3">
        <v>0</v>
      </c>
      <c r="E4" s="3">
        <v>2873035</v>
      </c>
      <c r="F4" s="3">
        <v>1763636.4820000001</v>
      </c>
    </row>
    <row r="5" spans="1:6" x14ac:dyDescent="0.3">
      <c r="A5" s="2" t="s">
        <v>7</v>
      </c>
      <c r="B5" s="3">
        <f t="shared" si="0"/>
        <v>-3487616</v>
      </c>
      <c r="C5" s="3">
        <v>1281</v>
      </c>
      <c r="D5" s="3">
        <v>321</v>
      </c>
      <c r="E5" s="3">
        <v>3488897</v>
      </c>
      <c r="F5" s="3">
        <v>2190264.0299999998</v>
      </c>
    </row>
    <row r="6" spans="1:6" x14ac:dyDescent="0.3">
      <c r="A6" s="2" t="s">
        <v>8</v>
      </c>
      <c r="B6" s="3">
        <f t="shared" si="0"/>
        <v>-2203569</v>
      </c>
      <c r="C6" s="3">
        <v>0</v>
      </c>
      <c r="D6" s="3">
        <v>0</v>
      </c>
      <c r="E6" s="3">
        <v>2203569</v>
      </c>
      <c r="F6" s="3">
        <v>1445902.0689999999</v>
      </c>
    </row>
    <row r="7" spans="1:6" x14ac:dyDescent="0.3">
      <c r="A7" s="2" t="s">
        <v>9</v>
      </c>
      <c r="B7" s="3">
        <f t="shared" si="0"/>
        <v>-2018647</v>
      </c>
      <c r="C7" s="3">
        <v>9817</v>
      </c>
      <c r="D7" s="3">
        <v>1237.19</v>
      </c>
      <c r="E7" s="3">
        <v>2028464</v>
      </c>
      <c r="F7" s="3">
        <v>1438965.0260000001</v>
      </c>
    </row>
    <row r="8" spans="1:6" x14ac:dyDescent="0.3">
      <c r="A8" s="2" t="s">
        <v>10</v>
      </c>
      <c r="B8" s="3">
        <f t="shared" si="0"/>
        <v>-2149304</v>
      </c>
      <c r="C8" s="3">
        <v>3388</v>
      </c>
      <c r="D8" s="3">
        <v>1242.98</v>
      </c>
      <c r="E8" s="3">
        <v>2152692</v>
      </c>
      <c r="F8" s="3">
        <v>1670545.6910000001</v>
      </c>
    </row>
    <row r="9" spans="1:6" x14ac:dyDescent="0.3">
      <c r="A9" s="2" t="s">
        <v>11</v>
      </c>
      <c r="B9" s="3">
        <f t="shared" si="0"/>
        <v>-1501701</v>
      </c>
      <c r="C9" s="3">
        <v>918</v>
      </c>
      <c r="D9" s="3">
        <v>432</v>
      </c>
      <c r="E9" s="3">
        <v>1502619</v>
      </c>
      <c r="F9" s="3">
        <v>1182252.48</v>
      </c>
    </row>
    <row r="10" spans="1:6" x14ac:dyDescent="0.3">
      <c r="A10" s="2" t="s">
        <v>12</v>
      </c>
      <c r="B10" s="3">
        <f t="shared" si="0"/>
        <v>-783998</v>
      </c>
      <c r="C10" s="3">
        <v>651</v>
      </c>
      <c r="D10" s="3">
        <v>206</v>
      </c>
      <c r="E10" s="3">
        <v>784649</v>
      </c>
      <c r="F10" s="3">
        <v>596005.61</v>
      </c>
    </row>
    <row r="11" spans="1:6" x14ac:dyDescent="0.3">
      <c r="A11" s="2" t="s">
        <v>13</v>
      </c>
      <c r="B11" s="3">
        <f t="shared" si="0"/>
        <v>-766788</v>
      </c>
      <c r="C11" s="3">
        <v>26350</v>
      </c>
      <c r="D11" s="3">
        <v>12843.05</v>
      </c>
      <c r="E11" s="3">
        <v>793138</v>
      </c>
      <c r="F11" s="3">
        <v>639589.63</v>
      </c>
    </row>
    <row r="12" spans="1:6" x14ac:dyDescent="0.3">
      <c r="A12" s="2" t="s">
        <v>14</v>
      </c>
      <c r="B12" s="3">
        <f t="shared" si="0"/>
        <v>-603742</v>
      </c>
      <c r="C12" s="3">
        <v>1328</v>
      </c>
      <c r="D12" s="3">
        <v>648</v>
      </c>
      <c r="E12" s="3">
        <v>605070</v>
      </c>
      <c r="F12" s="3">
        <v>443539.58</v>
      </c>
    </row>
    <row r="13" spans="1:6" x14ac:dyDescent="0.3">
      <c r="A13" s="2" t="s">
        <v>15</v>
      </c>
      <c r="B13" s="3">
        <f t="shared" si="0"/>
        <v>-1438697</v>
      </c>
      <c r="C13" s="3">
        <v>1839</v>
      </c>
      <c r="D13" s="3">
        <v>421.5</v>
      </c>
      <c r="E13" s="3">
        <v>1440536</v>
      </c>
      <c r="F13" s="3">
        <v>1148114.5249999999</v>
      </c>
    </row>
    <row r="14" spans="1:6" x14ac:dyDescent="0.3">
      <c r="A14" s="2" t="s">
        <v>16</v>
      </c>
      <c r="B14" s="3">
        <f t="shared" si="0"/>
        <v>-397534</v>
      </c>
      <c r="C14" s="3">
        <v>30851</v>
      </c>
      <c r="D14" s="3">
        <v>14012</v>
      </c>
      <c r="E14" s="3">
        <v>428385</v>
      </c>
      <c r="F14" s="3">
        <v>301451.15000000002</v>
      </c>
    </row>
    <row r="15" spans="1:6" ht="17.25" thickBot="1" x14ac:dyDescent="0.35">
      <c r="A15" s="4" t="s">
        <v>17</v>
      </c>
      <c r="B15" s="5">
        <f>SUM(B3:B14)</f>
        <v>-21982173</v>
      </c>
      <c r="C15" s="5">
        <f t="shared" ref="C15" si="1">SUM(C3:C14)</f>
        <v>80461</v>
      </c>
      <c r="D15" s="5">
        <f t="shared" ref="D15:F15" si="2">SUM(D3:D14)</f>
        <v>32296.15</v>
      </c>
      <c r="E15" s="5">
        <f t="shared" si="2"/>
        <v>22062634</v>
      </c>
      <c r="F15" s="5">
        <f t="shared" si="2"/>
        <v>15160956.463000001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D15" sqref="D15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-188049</v>
      </c>
      <c r="C3" s="3">
        <v>4058</v>
      </c>
      <c r="D3" s="3">
        <v>773</v>
      </c>
      <c r="E3" s="3">
        <v>192107</v>
      </c>
      <c r="F3" s="3">
        <v>140862.171</v>
      </c>
    </row>
    <row r="4" spans="1:6" x14ac:dyDescent="0.3">
      <c r="A4" s="2" t="s">
        <v>6</v>
      </c>
      <c r="B4" s="3">
        <f t="shared" ref="B4:B14" si="0">C4-E4</f>
        <v>-126266</v>
      </c>
      <c r="C4" s="3">
        <v>0</v>
      </c>
      <c r="D4" s="3">
        <v>0</v>
      </c>
      <c r="E4" s="3">
        <v>126266</v>
      </c>
      <c r="F4" s="3">
        <v>91723.78</v>
      </c>
    </row>
    <row r="5" spans="1:6" x14ac:dyDescent="0.3">
      <c r="A5" s="2" t="s">
        <v>7</v>
      </c>
      <c r="B5" s="3">
        <f t="shared" si="0"/>
        <v>-159357</v>
      </c>
      <c r="C5" s="3">
        <v>6575</v>
      </c>
      <c r="D5" s="3">
        <v>1212.0899999999999</v>
      </c>
      <c r="E5" s="3">
        <v>165932</v>
      </c>
      <c r="F5" s="3">
        <v>115992.87</v>
      </c>
    </row>
    <row r="6" spans="1:6" x14ac:dyDescent="0.3">
      <c r="A6" s="2" t="s">
        <v>8</v>
      </c>
      <c r="B6" s="3">
        <f t="shared" si="0"/>
        <v>-123832</v>
      </c>
      <c r="C6" s="3">
        <v>35203</v>
      </c>
      <c r="D6" s="3">
        <v>10337.799999999999</v>
      </c>
      <c r="E6" s="3">
        <v>159035</v>
      </c>
      <c r="F6" s="3">
        <v>115190.71</v>
      </c>
    </row>
    <row r="7" spans="1:6" x14ac:dyDescent="0.3">
      <c r="A7" s="2" t="s">
        <v>9</v>
      </c>
      <c r="B7" s="3">
        <f t="shared" si="0"/>
        <v>-120092</v>
      </c>
      <c r="C7" s="3">
        <v>4800</v>
      </c>
      <c r="D7" s="3">
        <v>354</v>
      </c>
      <c r="E7" s="3">
        <v>124892</v>
      </c>
      <c r="F7" s="3">
        <v>90126.455000000002</v>
      </c>
    </row>
    <row r="8" spans="1:6" x14ac:dyDescent="0.3">
      <c r="A8" s="2" t="s">
        <v>10</v>
      </c>
      <c r="B8" s="3">
        <f t="shared" si="0"/>
        <v>-139184</v>
      </c>
      <c r="C8" s="3">
        <v>5561</v>
      </c>
      <c r="D8" s="3">
        <v>1584</v>
      </c>
      <c r="E8" s="3">
        <v>144745</v>
      </c>
      <c r="F8" s="3">
        <v>106697.394</v>
      </c>
    </row>
    <row r="9" spans="1:6" x14ac:dyDescent="0.3">
      <c r="A9" s="2" t="s">
        <v>11</v>
      </c>
      <c r="B9" s="3">
        <f t="shared" si="0"/>
        <v>-238941</v>
      </c>
      <c r="C9" s="3">
        <v>3659</v>
      </c>
      <c r="D9" s="3">
        <v>864</v>
      </c>
      <c r="E9" s="3">
        <v>242600</v>
      </c>
      <c r="F9" s="3">
        <v>179128.73699999999</v>
      </c>
    </row>
    <row r="10" spans="1:6" x14ac:dyDescent="0.3">
      <c r="A10" s="2" t="s">
        <v>12</v>
      </c>
      <c r="B10" s="3">
        <f t="shared" si="0"/>
        <v>-138897</v>
      </c>
      <c r="C10" s="3">
        <v>14853</v>
      </c>
      <c r="D10" s="3">
        <v>3180</v>
      </c>
      <c r="E10" s="3">
        <v>153750</v>
      </c>
      <c r="F10" s="3">
        <v>117046.534</v>
      </c>
    </row>
    <row r="11" spans="1:6" x14ac:dyDescent="0.3">
      <c r="A11" s="2" t="s">
        <v>13</v>
      </c>
      <c r="B11" s="3">
        <f t="shared" si="0"/>
        <v>-47054</v>
      </c>
      <c r="C11" s="3">
        <v>10845</v>
      </c>
      <c r="D11" s="3">
        <v>1274.7</v>
      </c>
      <c r="E11" s="3">
        <v>57899</v>
      </c>
      <c r="F11" s="3">
        <v>45513.440000000002</v>
      </c>
    </row>
    <row r="12" spans="1:6" x14ac:dyDescent="0.3">
      <c r="A12" s="2" t="s">
        <v>14</v>
      </c>
      <c r="B12" s="3">
        <f t="shared" si="0"/>
        <v>-160465</v>
      </c>
      <c r="C12" s="3">
        <v>46537</v>
      </c>
      <c r="D12" s="3">
        <v>19547.72</v>
      </c>
      <c r="E12" s="3">
        <v>207002</v>
      </c>
      <c r="F12" s="3">
        <v>149277.25700000001</v>
      </c>
    </row>
    <row r="13" spans="1:6" x14ac:dyDescent="0.3">
      <c r="A13" s="2" t="s">
        <v>15</v>
      </c>
      <c r="B13" s="3">
        <f t="shared" si="0"/>
        <v>-2636490</v>
      </c>
      <c r="C13" s="3">
        <v>9182</v>
      </c>
      <c r="D13" s="3">
        <v>2451.86</v>
      </c>
      <c r="E13" s="3">
        <v>2645672</v>
      </c>
      <c r="F13" s="3">
        <v>2146144.2200000002</v>
      </c>
    </row>
    <row r="14" spans="1:6" x14ac:dyDescent="0.3">
      <c r="A14" s="2" t="s">
        <v>16</v>
      </c>
      <c r="B14" s="3">
        <f t="shared" si="0"/>
        <v>-7898639</v>
      </c>
      <c r="C14" s="3">
        <v>19317</v>
      </c>
      <c r="D14" s="3">
        <v>5487.9</v>
      </c>
      <c r="E14" s="3">
        <v>7917956</v>
      </c>
      <c r="F14" s="3">
        <v>6414728.0499999998</v>
      </c>
    </row>
    <row r="15" spans="1:6" ht="17.25" thickBot="1" x14ac:dyDescent="0.35">
      <c r="A15" s="4" t="s">
        <v>17</v>
      </c>
      <c r="B15" s="5">
        <f>SUM(B3:B14)</f>
        <v>-11977266</v>
      </c>
      <c r="C15" s="5">
        <f t="shared" ref="C15" si="1">SUM(C3:C14)</f>
        <v>160590</v>
      </c>
      <c r="D15" s="5">
        <f t="shared" ref="D15:F15" si="2">SUM(D3:D14)</f>
        <v>47067.07</v>
      </c>
      <c r="E15" s="5">
        <f t="shared" si="2"/>
        <v>12137856</v>
      </c>
      <c r="F15" s="5">
        <f t="shared" si="2"/>
        <v>9712431.6180000007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-7533920</v>
      </c>
      <c r="C3" s="3">
        <v>6360</v>
      </c>
      <c r="D3" s="3">
        <v>2456</v>
      </c>
      <c r="E3" s="3">
        <v>7540280</v>
      </c>
      <c r="F3" s="3">
        <v>6261334.7000000002</v>
      </c>
    </row>
    <row r="4" spans="1:6" x14ac:dyDescent="0.3">
      <c r="A4" s="2" t="s">
        <v>6</v>
      </c>
      <c r="B4" s="3">
        <f t="shared" ref="B4:B14" si="0">C4-E4</f>
        <v>-7171029</v>
      </c>
      <c r="C4" s="3">
        <v>12738</v>
      </c>
      <c r="D4" s="3">
        <v>2331.4</v>
      </c>
      <c r="E4" s="3">
        <v>7183767</v>
      </c>
      <c r="F4" s="3">
        <v>5936905.2910000002</v>
      </c>
    </row>
    <row r="5" spans="1:6" x14ac:dyDescent="0.3">
      <c r="A5" s="2" t="s">
        <v>7</v>
      </c>
      <c r="B5" s="3">
        <f t="shared" si="0"/>
        <v>-3833077</v>
      </c>
      <c r="C5" s="3">
        <v>5838</v>
      </c>
      <c r="D5" s="3">
        <v>1684</v>
      </c>
      <c r="E5" s="3">
        <v>3838915</v>
      </c>
      <c r="F5" s="3">
        <v>3199263.1310000001</v>
      </c>
    </row>
    <row r="6" spans="1:6" x14ac:dyDescent="0.3">
      <c r="A6" s="2" t="s">
        <v>8</v>
      </c>
      <c r="B6" s="3">
        <f t="shared" si="0"/>
        <v>-4155298</v>
      </c>
      <c r="C6" s="3">
        <v>5825</v>
      </c>
      <c r="D6" s="3">
        <v>1281.5999999999999</v>
      </c>
      <c r="E6" s="3">
        <v>4161123</v>
      </c>
      <c r="F6" s="3">
        <v>3521512.551</v>
      </c>
    </row>
    <row r="7" spans="1:6" x14ac:dyDescent="0.3">
      <c r="A7" s="2" t="s">
        <v>9</v>
      </c>
      <c r="B7" s="3">
        <f t="shared" si="0"/>
        <v>-3293860</v>
      </c>
      <c r="C7" s="3">
        <v>7695</v>
      </c>
      <c r="D7" s="3">
        <v>2076</v>
      </c>
      <c r="E7" s="3">
        <v>3301555</v>
      </c>
      <c r="F7" s="3">
        <v>2773824.5260000001</v>
      </c>
    </row>
    <row r="8" spans="1:6" x14ac:dyDescent="0.3">
      <c r="A8" s="2" t="s">
        <v>10</v>
      </c>
      <c r="B8" s="3">
        <f t="shared" si="0"/>
        <v>-6324239</v>
      </c>
      <c r="C8" s="3">
        <v>11831</v>
      </c>
      <c r="D8" s="3">
        <v>2413.6</v>
      </c>
      <c r="E8" s="3">
        <v>6336070</v>
      </c>
      <c r="F8" s="3">
        <v>5417051.7439999999</v>
      </c>
    </row>
    <row r="9" spans="1:6" x14ac:dyDescent="0.3">
      <c r="A9" s="2" t="s">
        <v>11</v>
      </c>
      <c r="B9" s="3">
        <f t="shared" si="0"/>
        <v>-5217068</v>
      </c>
      <c r="C9" s="3">
        <v>3346</v>
      </c>
      <c r="D9" s="3">
        <v>632.4</v>
      </c>
      <c r="E9" s="3">
        <v>5220414</v>
      </c>
      <c r="F9" s="3">
        <v>4446481.9160000002</v>
      </c>
    </row>
    <row r="10" spans="1:6" x14ac:dyDescent="0.3">
      <c r="A10" s="2" t="s">
        <v>12</v>
      </c>
      <c r="B10" s="3">
        <f t="shared" si="0"/>
        <v>-3368315</v>
      </c>
      <c r="C10" s="3">
        <v>1323</v>
      </c>
      <c r="D10" s="3">
        <v>482.8</v>
      </c>
      <c r="E10" s="3">
        <v>3369638</v>
      </c>
      <c r="F10" s="3">
        <v>2833887.69</v>
      </c>
    </row>
    <row r="11" spans="1:6" x14ac:dyDescent="0.3">
      <c r="A11" s="2" t="s">
        <v>13</v>
      </c>
      <c r="B11" s="3">
        <f t="shared" si="0"/>
        <v>-10430358</v>
      </c>
      <c r="C11" s="3">
        <v>6840</v>
      </c>
      <c r="D11" s="3">
        <v>2484</v>
      </c>
      <c r="E11" s="3">
        <v>10437198</v>
      </c>
      <c r="F11" s="3">
        <v>8950211.0500000007</v>
      </c>
    </row>
    <row r="12" spans="1:6" x14ac:dyDescent="0.3">
      <c r="A12" s="2" t="s">
        <v>14</v>
      </c>
      <c r="B12" s="3">
        <f t="shared" si="0"/>
        <v>-3414254</v>
      </c>
      <c r="C12" s="3">
        <v>7891</v>
      </c>
      <c r="D12" s="3">
        <v>3618</v>
      </c>
      <c r="E12" s="3">
        <v>3422145</v>
      </c>
      <c r="F12" s="3">
        <v>2867637.83</v>
      </c>
    </row>
    <row r="13" spans="1:6" x14ac:dyDescent="0.3">
      <c r="A13" s="2" t="s">
        <v>15</v>
      </c>
      <c r="B13" s="3">
        <f t="shared" si="0"/>
        <v>-15595240</v>
      </c>
      <c r="C13" s="3">
        <v>21363</v>
      </c>
      <c r="D13" s="3">
        <v>5670</v>
      </c>
      <c r="E13" s="3">
        <v>15616603</v>
      </c>
      <c r="F13" s="3">
        <v>13336271.865</v>
      </c>
    </row>
    <row r="14" spans="1:6" x14ac:dyDescent="0.3">
      <c r="A14" s="2" t="s">
        <v>16</v>
      </c>
      <c r="B14" s="3">
        <f t="shared" si="0"/>
        <v>-15379446</v>
      </c>
      <c r="C14" s="3">
        <v>89977</v>
      </c>
      <c r="D14" s="3">
        <v>11948</v>
      </c>
      <c r="E14" s="3">
        <v>15469423</v>
      </c>
      <c r="F14" s="3">
        <v>13181092.58</v>
      </c>
    </row>
    <row r="15" spans="1:6" ht="17.25" thickBot="1" x14ac:dyDescent="0.35">
      <c r="A15" s="4" t="s">
        <v>17</v>
      </c>
      <c r="B15" s="5">
        <f>SUM(B3:B14)</f>
        <v>-85716104</v>
      </c>
      <c r="C15" s="5">
        <f t="shared" ref="C15" si="1">SUM(C3:C14)</f>
        <v>181027</v>
      </c>
      <c r="D15" s="5">
        <f t="shared" ref="D15:F15" si="2">SUM(D3:D14)</f>
        <v>37077.800000000003</v>
      </c>
      <c r="E15" s="5">
        <f t="shared" si="2"/>
        <v>85897131</v>
      </c>
      <c r="F15" s="5">
        <f t="shared" si="2"/>
        <v>72725474.874000013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2026-06-01T08:12:09Z</dcterms:modified>
</cp:coreProperties>
</file>