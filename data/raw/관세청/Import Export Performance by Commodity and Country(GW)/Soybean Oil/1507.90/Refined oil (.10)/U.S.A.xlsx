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기타(.109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<sst xmlns="http://schemas.openxmlformats.org/spreadsheetml/2006/main" count="306" uniqueCount="40">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</sst>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-58</v>
      </c>
      <c r="C5" s="3">
        <v>0</v>
      </c>
      <c r="D5" s="3">
        <v>0</v>
      </c>
      <c r="E5" s="3">
        <v>58</v>
      </c>
      <c r="F5" s="3">
        <v>20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-854</v>
      </c>
      <c r="C12" s="3">
        <v>0</v>
      </c>
      <c r="D12" s="3">
        <v>0</v>
      </c>
      <c r="E12" s="3">
        <v>854</v>
      </c>
      <c r="F12" s="3">
        <v>193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-912</v>
      </c>
      <c r="C15" s="5">
        <f t="shared" ref="C15:F15" si="1">SUM(C3:C14)</f>
        <v>0</v>
      </c>
      <c r="D15" s="5">
        <f t="shared" si="1"/>
        <v>0</v>
      </c>
      <c r="E15" s="5">
        <f t="shared" si="1"/>
        <v>912</v>
      </c>
      <c r="F15" s="5">
        <f t="shared" si="1"/>
        <v>213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-1242</v>
      </c>
      <c r="C8" s="3">
        <v>0</v>
      </c>
      <c r="D8" s="3">
        <v>0</v>
      </c>
      <c r="E8" s="3">
        <v>1242</v>
      </c>
      <c r="F8" s="3">
        <v>193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681</v>
      </c>
      <c r="C10" s="3">
        <v>751</v>
      </c>
      <c r="D10" s="3">
        <v>360</v>
      </c>
      <c r="E10" s="3">
        <v>70</v>
      </c>
      <c r="F10" s="3">
        <v>7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-561</v>
      </c>
      <c r="C15" s="5">
        <f t="shared" ref="C15:F15" si="1">SUM(C3:C14)</f>
        <v>751</v>
      </c>
      <c r="D15" s="5">
        <f t="shared" si="1"/>
        <v>360</v>
      </c>
      <c r="E15" s="5">
        <f t="shared" si="1"/>
        <v>1312</v>
      </c>
      <c r="F15" s="5">
        <f t="shared" si="1"/>
        <v>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-144</v>
      </c>
      <c r="C4" s="3">
        <v>0</v>
      </c>
      <c r="D4" s="3">
        <v>0</v>
      </c>
      <c r="E4" s="3">
        <v>144</v>
      </c>
      <c r="F4" s="3">
        <v>35</v>
      </c>
    </row>
    <row r="5" spans="1:6" x14ac:dyDescent="0.3">
      <c r="A5" s="2" t="s">
        <v>25</v>
      </c>
      <c r="B5" s="3">
        <f t="shared" si="0"/>
        <v>-2828</v>
      </c>
      <c r="C5" s="3">
        <v>0</v>
      </c>
      <c r="D5" s="3">
        <v>0</v>
      </c>
      <c r="E5" s="3">
        <v>2828</v>
      </c>
      <c r="F5" s="3">
        <v>1087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-5</v>
      </c>
      <c r="C8" s="3">
        <v>0</v>
      </c>
      <c r="D8" s="3">
        <v>0</v>
      </c>
      <c r="E8" s="3">
        <v>5</v>
      </c>
      <c r="F8" s="3">
        <v>2</v>
      </c>
    </row>
    <row r="9" spans="1:6" x14ac:dyDescent="0.3">
      <c r="A9" s="2" t="s">
        <v>11</v>
      </c>
      <c r="B9" s="3">
        <f t="shared" si="0"/>
        <v>-7</v>
      </c>
      <c r="C9" s="3">
        <v>0</v>
      </c>
      <c r="D9" s="3">
        <v>0</v>
      </c>
      <c r="E9" s="3">
        <v>7</v>
      </c>
      <c r="F9" s="3">
        <v>15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-5</v>
      </c>
      <c r="C12" s="3">
        <v>0</v>
      </c>
      <c r="D12" s="3">
        <v>0</v>
      </c>
      <c r="E12" s="3">
        <v>5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-2989</v>
      </c>
      <c r="C15" s="5">
        <f t="shared" ref="C15:F15" si="1">SUM(C3:C14)</f>
        <v>0</v>
      </c>
      <c r="D15" s="5">
        <f t="shared" si="1"/>
        <v>0</v>
      </c>
      <c r="E15" s="5">
        <f t="shared" si="1"/>
        <v>2989</v>
      </c>
      <c r="F15" s="5">
        <f t="shared" si="1"/>
        <v>1139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-1053</v>
      </c>
      <c r="C6" s="3">
        <v>0</v>
      </c>
      <c r="D6" s="3">
        <v>0</v>
      </c>
      <c r="E6" s="3">
        <v>1053</v>
      </c>
      <c r="F6" s="3">
        <v>386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-424</v>
      </c>
      <c r="C8" s="3">
        <v>0</v>
      </c>
      <c r="D8" s="3">
        <v>0</v>
      </c>
      <c r="E8" s="3">
        <v>424</v>
      </c>
      <c r="F8" s="3">
        <v>16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-707</v>
      </c>
      <c r="C10" s="3">
        <v>0</v>
      </c>
      <c r="D10" s="3">
        <v>0</v>
      </c>
      <c r="E10" s="3">
        <v>707</v>
      </c>
      <c r="F10" s="3">
        <v>193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15435</v>
      </c>
      <c r="C12" s="3">
        <v>17710</v>
      </c>
      <c r="D12" s="3">
        <v>6160</v>
      </c>
      <c r="E12" s="3">
        <v>2275</v>
      </c>
      <c r="F12" s="3">
        <v>771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-3451</v>
      </c>
      <c r="C14" s="3">
        <v>0</v>
      </c>
      <c r="D14" s="3">
        <v>0</v>
      </c>
      <c r="E14" s="3">
        <v>3451</v>
      </c>
      <c r="F14" s="3">
        <v>957</v>
      </c>
    </row>
    <row r="15" spans="1:6" ht="17.25" thickBot="1" x14ac:dyDescent="0.35">
      <c r="A15" s="4" t="s">
        <v>35</v>
      </c>
      <c r="B15" s="5">
        <f>SUM(B3:B14)</f>
        <v>9800</v>
      </c>
      <c r="C15" s="5">
        <f t="shared" ref="C15:F15" si="1">SUM(C3:C14)</f>
        <v>17710</v>
      </c>
      <c r="D15" s="5">
        <f t="shared" si="1"/>
        <v>6160</v>
      </c>
      <c r="E15" s="5">
        <f t="shared" si="1"/>
        <v>7910</v>
      </c>
      <c r="F15" s="5">
        <f t="shared" si="1"/>
        <v>2323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-14</v>
      </c>
      <c r="C4" s="3">
        <v>0</v>
      </c>
      <c r="D4" s="3">
        <v>0</v>
      </c>
      <c r="E4" s="3">
        <v>14</v>
      </c>
      <c r="F4" s="3">
        <v>1</v>
      </c>
    </row>
    <row r="5" spans="1:6" x14ac:dyDescent="0.3">
      <c r="A5" s="2" t="s">
        <v>34</v>
      </c>
      <c r="B5" s="3">
        <f t="shared" si="0"/>
        <v>-2035</v>
      </c>
      <c r="C5" s="3">
        <v>0</v>
      </c>
      <c r="D5" s="3">
        <v>0</v>
      </c>
      <c r="E5" s="3">
        <v>2035</v>
      </c>
      <c r="F5" s="3">
        <v>771</v>
      </c>
    </row>
    <row r="6" spans="1:6" x14ac:dyDescent="0.3">
      <c r="A6" s="2" t="s">
        <v>8</v>
      </c>
      <c r="B6" s="3">
        <f t="shared" si="0"/>
        <v>-1108</v>
      </c>
      <c r="C6" s="3">
        <v>0</v>
      </c>
      <c r="D6" s="3">
        <v>0</v>
      </c>
      <c r="E6" s="3">
        <v>1108</v>
      </c>
      <c r="F6" s="3">
        <v>140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-2302</v>
      </c>
      <c r="C10" s="3">
        <v>0</v>
      </c>
      <c r="D10" s="3">
        <v>0</v>
      </c>
      <c r="E10" s="3">
        <v>2302</v>
      </c>
      <c r="F10" s="3">
        <v>771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-2317</v>
      </c>
      <c r="C13" s="3">
        <v>0</v>
      </c>
      <c r="D13" s="3">
        <v>0</v>
      </c>
      <c r="E13" s="3">
        <v>2317</v>
      </c>
      <c r="F13" s="3">
        <v>372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-7776</v>
      </c>
      <c r="C15" s="5">
        <f t="shared" ref="C15:F15" si="1">SUM(C3:C14)</f>
        <v>0</v>
      </c>
      <c r="D15" s="5">
        <f t="shared" si="1"/>
        <v>0</v>
      </c>
      <c r="E15" s="5">
        <f t="shared" si="1"/>
        <v>7776</v>
      </c>
      <c r="F15" s="5">
        <f t="shared" si="1"/>
        <v>2055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-130</v>
      </c>
      <c r="C3" s="3">
        <v>0</v>
      </c>
      <c r="D3" s="3">
        <v>0</v>
      </c>
      <c r="E3" s="3">
        <v>130</v>
      </c>
      <c r="F3" s="3">
        <v>16</v>
      </c>
    </row>
    <row r="4" spans="1:6" x14ac:dyDescent="0.3">
      <c r="A4" s="2" t="s">
        <v>24</v>
      </c>
      <c r="B4" s="3">
        <f t="shared" si="0"/>
        <v>-1250</v>
      </c>
      <c r="C4" s="3">
        <v>0</v>
      </c>
      <c r="D4" s="3">
        <v>0</v>
      </c>
      <c r="E4" s="3">
        <v>1250</v>
      </c>
      <c r="F4" s="3">
        <v>386</v>
      </c>
    </row>
    <row r="5" spans="1:6" x14ac:dyDescent="0.3">
      <c r="A5" s="2" t="s">
        <v>25</v>
      </c>
      <c r="B5" s="3">
        <f t="shared" si="0"/>
        <v>-1358</v>
      </c>
      <c r="C5" s="3">
        <v>0</v>
      </c>
      <c r="D5" s="3">
        <v>0</v>
      </c>
      <c r="E5" s="3">
        <v>1358</v>
      </c>
      <c r="F5" s="3">
        <v>394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-263</v>
      </c>
      <c r="C7" s="3">
        <v>0</v>
      </c>
      <c r="D7" s="3">
        <v>0</v>
      </c>
      <c r="E7" s="3">
        <v>263</v>
      </c>
      <c r="F7" s="3">
        <v>61</v>
      </c>
    </row>
    <row r="8" spans="1:6" x14ac:dyDescent="0.3">
      <c r="A8" s="2" t="s">
        <v>10</v>
      </c>
      <c r="B8" s="3">
        <f t="shared" si="0"/>
        <v>-2320</v>
      </c>
      <c r="C8" s="3">
        <v>2064</v>
      </c>
      <c r="D8" s="3">
        <v>1018</v>
      </c>
      <c r="E8" s="3">
        <v>4384</v>
      </c>
      <c r="F8" s="3">
        <v>1542</v>
      </c>
    </row>
    <row r="9" spans="1:6" x14ac:dyDescent="0.3">
      <c r="A9" s="2" t="s">
        <v>11</v>
      </c>
      <c r="B9" s="3">
        <f t="shared" si="0"/>
        <v>-3</v>
      </c>
      <c r="C9" s="3">
        <v>0</v>
      </c>
      <c r="D9" s="3">
        <v>0</v>
      </c>
      <c r="E9" s="3">
        <v>3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-197</v>
      </c>
      <c r="C13" s="3">
        <v>0</v>
      </c>
      <c r="D13" s="3">
        <v>0</v>
      </c>
      <c r="E13" s="3">
        <v>197</v>
      </c>
      <c r="F13" s="3">
        <v>50</v>
      </c>
    </row>
    <row r="14" spans="1:6" x14ac:dyDescent="0.3">
      <c r="A14" s="2" t="s">
        <v>16</v>
      </c>
      <c r="B14" s="3">
        <f t="shared" si="0"/>
        <v>-4017</v>
      </c>
      <c r="C14" s="3">
        <v>0</v>
      </c>
      <c r="D14" s="3">
        <v>0</v>
      </c>
      <c r="E14" s="3">
        <v>4017</v>
      </c>
      <c r="F14" s="3">
        <v>1350</v>
      </c>
    </row>
    <row r="15" spans="1:6" ht="17.25" thickBot="1" x14ac:dyDescent="0.35">
      <c r="A15" s="4" t="s">
        <v>26</v>
      </c>
      <c r="B15" s="5">
        <f>SUM(B3:B14)</f>
        <v>-9538</v>
      </c>
      <c r="C15" s="5">
        <f t="shared" ref="C15:F15" si="1">SUM(C3:C14)</f>
        <v>2064</v>
      </c>
      <c r="D15" s="5">
        <f t="shared" si="1"/>
        <v>1018</v>
      </c>
      <c r="E15" s="5">
        <f t="shared" si="1"/>
        <v>11602</v>
      </c>
      <c r="F15" s="5">
        <f t="shared" si="1"/>
        <v>3800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-233</v>
      </c>
      <c r="C4" s="3">
        <v>0</v>
      </c>
      <c r="D4" s="3">
        <v>0</v>
      </c>
      <c r="E4" s="3">
        <v>233</v>
      </c>
      <c r="F4" s="3">
        <v>191</v>
      </c>
    </row>
    <row r="5" spans="1:6" x14ac:dyDescent="0.3">
      <c r="A5" s="2" t="s">
        <v>34</v>
      </c>
      <c r="B5" s="3">
        <f t="shared" si="0"/>
        <v>-6847</v>
      </c>
      <c r="C5" s="3">
        <v>0</v>
      </c>
      <c r="D5" s="3">
        <v>0</v>
      </c>
      <c r="E5" s="3">
        <v>6847</v>
      </c>
      <c r="F5" s="3">
        <v>2506</v>
      </c>
    </row>
    <row r="6" spans="1:6" x14ac:dyDescent="0.3">
      <c r="A6" s="2" t="s">
        <v>8</v>
      </c>
      <c r="B6" s="3">
        <f t="shared" si="0"/>
        <v>-1335</v>
      </c>
      <c r="C6" s="3">
        <v>0</v>
      </c>
      <c r="D6" s="3">
        <v>0</v>
      </c>
      <c r="E6" s="3">
        <v>1335</v>
      </c>
      <c r="F6" s="3">
        <v>121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-4449</v>
      </c>
      <c r="C9" s="3">
        <v>0</v>
      </c>
      <c r="D9" s="3">
        <v>0</v>
      </c>
      <c r="E9" s="3">
        <v>4449</v>
      </c>
      <c r="F9" s="3">
        <v>1543</v>
      </c>
    </row>
    <row r="10" spans="1:6" x14ac:dyDescent="0.3">
      <c r="A10" s="2" t="s">
        <v>12</v>
      </c>
      <c r="B10" s="3">
        <f t="shared" si="0"/>
        <v>-142</v>
      </c>
      <c r="C10" s="3">
        <v>0</v>
      </c>
      <c r="D10" s="3">
        <v>0</v>
      </c>
      <c r="E10" s="3">
        <v>142</v>
      </c>
      <c r="F10" s="3">
        <v>2</v>
      </c>
    </row>
    <row r="11" spans="1:6" x14ac:dyDescent="0.3">
      <c r="A11" s="2" t="s">
        <v>13</v>
      </c>
      <c r="B11" s="3">
        <f t="shared" si="0"/>
        <v>-3301</v>
      </c>
      <c r="C11" s="3">
        <v>0</v>
      </c>
      <c r="D11" s="3">
        <v>0</v>
      </c>
      <c r="E11" s="3">
        <v>3301</v>
      </c>
      <c r="F11" s="3">
        <v>956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-181</v>
      </c>
      <c r="C13" s="3">
        <v>0</v>
      </c>
      <c r="D13" s="3">
        <v>0</v>
      </c>
      <c r="E13" s="3">
        <v>181</v>
      </c>
      <c r="F13" s="3">
        <v>16</v>
      </c>
    </row>
    <row r="14" spans="1:6" x14ac:dyDescent="0.3">
      <c r="A14" s="2" t="s">
        <v>16</v>
      </c>
      <c r="B14" s="3">
        <f t="shared" si="0"/>
        <v>-385</v>
      </c>
      <c r="C14" s="3">
        <v>0</v>
      </c>
      <c r="D14" s="3">
        <v>0</v>
      </c>
      <c r="E14" s="3">
        <v>385</v>
      </c>
      <c r="F14" s="3">
        <v>17</v>
      </c>
    </row>
    <row r="15" spans="1:6" ht="17.25" thickBot="1" x14ac:dyDescent="0.35">
      <c r="A15" s="4" t="s">
        <v>35</v>
      </c>
      <c r="B15" s="5">
        <f>SUM(B3:B14)</f>
        <v>-16873</v>
      </c>
      <c r="C15" s="5">
        <f t="shared" ref="C15:F15" si="1">SUM(C3:C14)</f>
        <v>0</v>
      </c>
      <c r="D15" s="5">
        <f t="shared" si="1"/>
        <v>0</v>
      </c>
      <c r="E15" s="5">
        <f t="shared" si="1"/>
        <v>16873</v>
      </c>
      <c r="F15" s="5">
        <f t="shared" si="1"/>
        <v>5352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-6641</v>
      </c>
      <c r="C3" s="3">
        <v>0</v>
      </c>
      <c r="D3" s="3">
        <v>0</v>
      </c>
      <c r="E3" s="3">
        <v>6641</v>
      </c>
      <c r="F3" s="3">
        <v>1814</v>
      </c>
    </row>
    <row r="4" spans="1:6" x14ac:dyDescent="0.3">
      <c r="A4" s="2" t="s">
        <v>6</v>
      </c>
      <c r="B4" s="3">
        <f t="shared" ref="B4:B14" si="0">C4-E4</f>
        <v>-56</v>
      </c>
      <c r="C4" s="3">
        <v>0</v>
      </c>
      <c r="D4" s="3">
        <v>0</v>
      </c>
      <c r="E4" s="3">
        <v>56</v>
      </c>
      <c r="F4" s="3">
        <v>16</v>
      </c>
    </row>
    <row r="5" spans="1:6" x14ac:dyDescent="0.3">
      <c r="A5" s="2" t="s">
        <v>7</v>
      </c>
      <c r="B5" s="3">
        <f t="shared" si="0"/>
        <v>-3457</v>
      </c>
      <c r="C5" s="3">
        <v>0</v>
      </c>
      <c r="D5" s="3">
        <v>0</v>
      </c>
      <c r="E5" s="3">
        <v>3457</v>
      </c>
      <c r="F5" s="3">
        <v>978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-13775</v>
      </c>
      <c r="C7" s="3">
        <v>0</v>
      </c>
      <c r="D7" s="3">
        <v>0</v>
      </c>
      <c r="E7" s="3">
        <v>13775</v>
      </c>
      <c r="F7" s="3">
        <v>7273</v>
      </c>
    </row>
    <row r="8" spans="1:6" x14ac:dyDescent="0.3">
      <c r="A8" s="2" t="s">
        <v>10</v>
      </c>
      <c r="B8" s="3">
        <f t="shared" si="0"/>
        <v>-424</v>
      </c>
      <c r="C8" s="3">
        <v>0</v>
      </c>
      <c r="D8" s="3">
        <v>0</v>
      </c>
      <c r="E8" s="3">
        <v>424</v>
      </c>
      <c r="F8" s="3">
        <v>32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-1734</v>
      </c>
      <c r="C12" s="3">
        <v>0</v>
      </c>
      <c r="D12" s="3">
        <v>0</v>
      </c>
      <c r="E12" s="3">
        <v>1734</v>
      </c>
      <c r="F12" s="3">
        <v>907</v>
      </c>
    </row>
    <row r="13" spans="1:6" x14ac:dyDescent="0.3">
      <c r="A13" s="2" t="s">
        <v>15</v>
      </c>
      <c r="B13" s="3">
        <f t="shared" si="0"/>
        <v>-28395</v>
      </c>
      <c r="C13" s="3">
        <v>0</v>
      </c>
      <c r="D13" s="3">
        <v>0</v>
      </c>
      <c r="E13" s="3">
        <v>28395</v>
      </c>
      <c r="F13" s="3">
        <v>18144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-54482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54482</v>
      </c>
      <c r="F15" s="5">
        <f t="shared" si="2"/>
        <v>29164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-19840</v>
      </c>
      <c r="C5" s="3">
        <v>0</v>
      </c>
      <c r="D5" s="3">
        <v>0</v>
      </c>
      <c r="E5" s="3">
        <v>19840</v>
      </c>
      <c r="F5" s="3">
        <v>5443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-29212</v>
      </c>
      <c r="C9" s="3">
        <v>0</v>
      </c>
      <c r="D9" s="3">
        <v>0</v>
      </c>
      <c r="E9" s="3">
        <v>29212</v>
      </c>
      <c r="F9" s="3">
        <v>18144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-49052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49052</v>
      </c>
      <c r="F15" s="5">
        <f t="shared" si="2"/>
        <v>23587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-30482</v>
      </c>
      <c r="C3" s="3">
        <v>0</v>
      </c>
      <c r="D3" s="3">
        <v>0</v>
      </c>
      <c r="E3" s="3">
        <v>30482</v>
      </c>
      <c r="F3" s="3">
        <v>18144</v>
      </c>
    </row>
    <row r="4" spans="1:6" x14ac:dyDescent="0.3">
      <c r="A4" s="2" t="s">
        <v>6</v>
      </c>
      <c r="B4" s="3">
        <f t="shared" ref="B4:B14" si="0">C4-E4</f>
        <v>-19</v>
      </c>
      <c r="C4" s="3">
        <v>0</v>
      </c>
      <c r="D4" s="3">
        <v>0</v>
      </c>
      <c r="E4" s="3">
        <v>19</v>
      </c>
      <c r="F4" s="3">
        <v>1</v>
      </c>
    </row>
    <row r="5" spans="1:6" x14ac:dyDescent="0.3">
      <c r="A5" s="2" t="s">
        <v>7</v>
      </c>
      <c r="B5" s="3">
        <f t="shared" si="0"/>
        <v>-30482</v>
      </c>
      <c r="C5" s="3">
        <v>0</v>
      </c>
      <c r="D5" s="3">
        <v>0</v>
      </c>
      <c r="E5" s="3">
        <v>30482</v>
      </c>
      <c r="F5" s="3">
        <v>18144</v>
      </c>
    </row>
    <row r="6" spans="1:6" x14ac:dyDescent="0.3">
      <c r="A6" s="2" t="s">
        <v>8</v>
      </c>
      <c r="B6" s="3">
        <f t="shared" si="0"/>
        <v>-1910</v>
      </c>
      <c r="C6" s="3">
        <v>0</v>
      </c>
      <c r="D6" s="3">
        <v>0</v>
      </c>
      <c r="E6" s="3">
        <v>1910</v>
      </c>
      <c r="F6" s="3">
        <v>15</v>
      </c>
    </row>
    <row r="7" spans="1:6" x14ac:dyDescent="0.3">
      <c r="A7" s="2" t="s">
        <v>9</v>
      </c>
      <c r="B7" s="3">
        <f t="shared" si="0"/>
        <v>-127136</v>
      </c>
      <c r="C7" s="3">
        <v>0</v>
      </c>
      <c r="D7" s="3">
        <v>0</v>
      </c>
      <c r="E7" s="3">
        <v>127136</v>
      </c>
      <c r="F7" s="3">
        <v>61721</v>
      </c>
    </row>
    <row r="8" spans="1:6" x14ac:dyDescent="0.3">
      <c r="A8" s="2" t="s">
        <v>10</v>
      </c>
      <c r="B8" s="3">
        <f t="shared" si="0"/>
        <v>-31831</v>
      </c>
      <c r="C8" s="3">
        <v>0</v>
      </c>
      <c r="D8" s="3">
        <v>0</v>
      </c>
      <c r="E8" s="3">
        <v>31831</v>
      </c>
      <c r="F8" s="3">
        <v>18208</v>
      </c>
    </row>
    <row r="9" spans="1:6" x14ac:dyDescent="0.3">
      <c r="A9" s="2" t="s">
        <v>11</v>
      </c>
      <c r="B9" s="3">
        <f t="shared" si="0"/>
        <v>-97</v>
      </c>
      <c r="C9" s="3">
        <v>0</v>
      </c>
      <c r="D9" s="3">
        <v>0</v>
      </c>
      <c r="E9" s="3">
        <v>97</v>
      </c>
      <c r="F9" s="3">
        <v>1</v>
      </c>
    </row>
    <row r="10" spans="1:6" x14ac:dyDescent="0.3">
      <c r="A10" s="2" t="s">
        <v>12</v>
      </c>
      <c r="B10" s="3">
        <f t="shared" si="0"/>
        <v>-30845</v>
      </c>
      <c r="C10" s="3">
        <v>0</v>
      </c>
      <c r="D10" s="3">
        <v>0</v>
      </c>
      <c r="E10" s="3">
        <v>30845</v>
      </c>
      <c r="F10" s="3">
        <v>18144</v>
      </c>
    </row>
    <row r="11" spans="1:6" x14ac:dyDescent="0.3">
      <c r="A11" s="2" t="s">
        <v>13</v>
      </c>
      <c r="B11" s="3">
        <f t="shared" si="0"/>
        <v>-90711</v>
      </c>
      <c r="C11" s="3">
        <v>0</v>
      </c>
      <c r="D11" s="3">
        <v>0</v>
      </c>
      <c r="E11" s="3">
        <v>90711</v>
      </c>
      <c r="F11" s="3">
        <v>54437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-2094</v>
      </c>
      <c r="C13" s="3">
        <v>0</v>
      </c>
      <c r="D13" s="3">
        <v>0</v>
      </c>
      <c r="E13" s="3">
        <v>2094</v>
      </c>
      <c r="F13" s="3">
        <v>37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-345607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345607</v>
      </c>
      <c r="F15" s="5">
        <f t="shared" si="2"/>
        <v>188852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-30845</v>
      </c>
      <c r="C3" s="3">
        <v>0</v>
      </c>
      <c r="D3" s="3">
        <v>0</v>
      </c>
      <c r="E3" s="3">
        <v>30845</v>
      </c>
      <c r="F3" s="3">
        <v>18144</v>
      </c>
    </row>
    <row r="4" spans="1:6" x14ac:dyDescent="0.3">
      <c r="A4" s="2" t="s">
        <v>6</v>
      </c>
      <c r="B4" s="3">
        <f t="shared" ref="B4:B14" si="0">C4-E4</f>
        <v>320</v>
      </c>
      <c r="C4" s="3">
        <v>675</v>
      </c>
      <c r="D4" s="3">
        <v>80</v>
      </c>
      <c r="E4" s="3">
        <v>355</v>
      </c>
      <c r="F4" s="3">
        <v>5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-30845</v>
      </c>
      <c r="C6" s="3">
        <v>0</v>
      </c>
      <c r="D6" s="3">
        <v>0</v>
      </c>
      <c r="E6" s="3">
        <v>30845</v>
      </c>
      <c r="F6" s="3">
        <v>18144</v>
      </c>
    </row>
    <row r="7" spans="1:6" x14ac:dyDescent="0.3">
      <c r="A7" s="2" t="s">
        <v>9</v>
      </c>
      <c r="B7" s="3">
        <f t="shared" si="0"/>
        <v>-125557</v>
      </c>
      <c r="C7" s="3">
        <v>0</v>
      </c>
      <c r="D7" s="3">
        <v>0</v>
      </c>
      <c r="E7" s="3">
        <v>125557</v>
      </c>
      <c r="F7" s="3">
        <v>72576</v>
      </c>
    </row>
    <row r="8" spans="1:6" x14ac:dyDescent="0.3">
      <c r="A8" s="2" t="s">
        <v>10</v>
      </c>
      <c r="B8" s="3">
        <f t="shared" si="0"/>
        <v>-63141</v>
      </c>
      <c r="C8" s="3">
        <v>0</v>
      </c>
      <c r="D8" s="3">
        <v>0</v>
      </c>
      <c r="E8" s="3">
        <v>63141</v>
      </c>
      <c r="F8" s="3">
        <v>36288</v>
      </c>
    </row>
    <row r="9" spans="1:6" x14ac:dyDescent="0.3">
      <c r="A9" s="2" t="s">
        <v>11</v>
      </c>
      <c r="B9" s="3">
        <f t="shared" si="0"/>
        <v>-123742</v>
      </c>
      <c r="C9" s="3">
        <v>0</v>
      </c>
      <c r="D9" s="3">
        <v>0</v>
      </c>
      <c r="E9" s="3">
        <v>123742</v>
      </c>
      <c r="F9" s="3">
        <v>72576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-63141</v>
      </c>
      <c r="C13" s="3">
        <v>0</v>
      </c>
      <c r="D13" s="3">
        <v>0</v>
      </c>
      <c r="E13" s="3">
        <v>63141</v>
      </c>
      <c r="F13" s="3">
        <v>36288</v>
      </c>
    </row>
    <row r="14" spans="1:6" x14ac:dyDescent="0.3">
      <c r="A14" s="2" t="s">
        <v>16</v>
      </c>
      <c r="B14" s="3">
        <f t="shared" si="0"/>
        <v>-31571</v>
      </c>
      <c r="C14" s="3">
        <v>0</v>
      </c>
      <c r="D14" s="3">
        <v>0</v>
      </c>
      <c r="E14" s="3">
        <v>31571</v>
      </c>
      <c r="F14" s="3">
        <v>18144</v>
      </c>
    </row>
    <row r="15" spans="1:6" ht="17.25" thickBot="1" x14ac:dyDescent="0.35">
      <c r="A15" s="4" t="s">
        <v>17</v>
      </c>
      <c r="B15" s="5">
        <f>SUM(B3:B14)</f>
        <v>-468522</v>
      </c>
      <c r="C15" s="5">
        <f t="shared" ref="C15" si="1">SUM(C3:C14)</f>
        <v>675</v>
      </c>
      <c r="D15" s="5">
        <f t="shared" ref="D15:F15" si="2">SUM(D3:D14)</f>
        <v>80</v>
      </c>
      <c r="E15" s="5">
        <f t="shared" si="2"/>
        <v>469197</v>
      </c>
      <c r="F15" s="5">
        <f t="shared" si="2"/>
        <v>272165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-702</v>
      </c>
      <c r="C4" s="3">
        <v>0</v>
      </c>
      <c r="D4" s="3">
        <v>0</v>
      </c>
      <c r="E4" s="3">
        <v>702</v>
      </c>
      <c r="F4" s="3">
        <v>180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-4</v>
      </c>
      <c r="C6" s="3">
        <v>0</v>
      </c>
      <c r="D6" s="3">
        <v>0</v>
      </c>
      <c r="E6" s="3">
        <v>4</v>
      </c>
      <c r="F6" s="3">
        <v>2</v>
      </c>
    </row>
    <row r="7" spans="1:6" x14ac:dyDescent="0.3">
      <c r="A7" s="2" t="s">
        <v>9</v>
      </c>
      <c r="B7" s="3">
        <f t="shared" si="0"/>
        <v>-8</v>
      </c>
      <c r="C7" s="3">
        <v>0</v>
      </c>
      <c r="D7" s="3">
        <v>0</v>
      </c>
      <c r="E7" s="3">
        <v>8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-17</v>
      </c>
      <c r="C10" s="3">
        <v>0</v>
      </c>
      <c r="D10" s="3">
        <v>0</v>
      </c>
      <c r="E10" s="3">
        <v>17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-731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731</v>
      </c>
      <c r="F15" s="5">
        <f t="shared" si="2"/>
        <v>184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-475</v>
      </c>
      <c r="C5" s="3">
        <v>0</v>
      </c>
      <c r="D5" s="3">
        <v>0</v>
      </c>
      <c r="E5" s="3">
        <v>475</v>
      </c>
      <c r="F5" s="3">
        <v>50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-11</v>
      </c>
      <c r="C13" s="3">
        <v>0</v>
      </c>
      <c r="D13" s="3">
        <v>0</v>
      </c>
      <c r="E13" s="3">
        <v>11</v>
      </c>
      <c r="F13" s="3">
        <v>2</v>
      </c>
    </row>
    <row r="14" spans="1:6" x14ac:dyDescent="0.3">
      <c r="A14" s="2" t="s">
        <v>16</v>
      </c>
      <c r="B14" s="3">
        <f t="shared" si="0"/>
        <v>616</v>
      </c>
      <c r="C14" s="3">
        <v>616</v>
      </c>
      <c r="D14" s="3">
        <v>88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130</v>
      </c>
      <c r="C15" s="5">
        <f t="shared" ref="C15" si="1">SUM(C3:C14)</f>
        <v>616</v>
      </c>
      <c r="D15" s="5">
        <f t="shared" ref="D15:F15" si="2">SUM(D3:D14)</f>
        <v>88</v>
      </c>
      <c r="E15" s="5">
        <f t="shared" si="2"/>
        <v>486</v>
      </c>
      <c r="F15" s="5">
        <f t="shared" si="2"/>
        <v>52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-90</v>
      </c>
      <c r="C8" s="3">
        <v>0</v>
      </c>
      <c r="D8" s="3">
        <v>0</v>
      </c>
      <c r="E8" s="3">
        <v>90</v>
      </c>
      <c r="F8" s="3">
        <v>2</v>
      </c>
    </row>
    <row r="9" spans="1:6" x14ac:dyDescent="0.3">
      <c r="A9" s="2" t="s">
        <v>11</v>
      </c>
      <c r="B9" s="3">
        <f t="shared" si="0"/>
        <v>-159</v>
      </c>
      <c r="C9" s="3">
        <v>0</v>
      </c>
      <c r="D9" s="3">
        <v>0</v>
      </c>
      <c r="E9" s="3">
        <v>159</v>
      </c>
      <c r="F9" s="3">
        <v>4.4909999999999997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249</v>
      </c>
      <c r="F15" s="5">
        <f t="shared" si="2"/>
        <v>6.4909999999999997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-19</v>
      </c>
      <c r="C9" s="3">
        <v>0</v>
      </c>
      <c r="D9" s="3">
        <v>0</v>
      </c>
      <c r="E9" s="3">
        <v>19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-5640</v>
      </c>
      <c r="C6" s="3">
        <v>0</v>
      </c>
      <c r="D6" s="3">
        <v>0</v>
      </c>
      <c r="E6" s="3">
        <v>5640</v>
      </c>
      <c r="F6" s="3">
        <v>15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-19</v>
      </c>
      <c r="C10" s="3">
        <v>0</v>
      </c>
      <c r="D10" s="3">
        <v>0</v>
      </c>
      <c r="E10" s="3">
        <v>19</v>
      </c>
      <c r="F10" s="3">
        <v>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-5659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5659</v>
      </c>
      <c r="F15" s="5">
        <f t="shared" si="2"/>
        <v>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-1146</v>
      </c>
      <c r="C3" s="3">
        <v>0</v>
      </c>
      <c r="D3" s="3">
        <v>0</v>
      </c>
      <c r="E3" s="3">
        <v>1146</v>
      </c>
      <c r="F3" s="3">
        <v>10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-1146</v>
      </c>
      <c r="C15" s="5">
        <f t="shared" ref="C15:F15" si="1">SUM(C3:C14)</f>
        <v>0</v>
      </c>
      <c r="D15" s="5">
        <f t="shared" si="1"/>
        <v>0</v>
      </c>
      <c r="E15" s="5">
        <f t="shared" si="1"/>
        <v>1146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2026-07-28T05:09:58Z</dcterms:modified>
</cp:coreProperties>
</file>