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90\정제유(.10)\"/>
    </mc:Choice>
  </mc:AlternateContent>
  <bookViews>
    <workbookView xWindow="0" yWindow="0" windowWidth="28800" windowHeight="11640" activeTab="8"/>
  </bookViews>
  <sheets>
    <sheet name="2017년" sheetId="1" r:id="rId1"/>
    <sheet name="2018년" sheetId="2" r:id="rId2"/>
    <sheet name="2019년" sheetId="3" r:id="rId3"/>
    <sheet name="2020년" sheetId="4" r:id="rId4"/>
    <sheet name="2021년" sheetId="5" r:id="rId5"/>
    <sheet name="2022년" sheetId="6" r:id="rId6"/>
    <sheet name="2023년" sheetId="7" r:id="rId7"/>
    <sheet name="2024년" sheetId="8" r:id="rId8"/>
    <sheet name="2025년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9" l="1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F15" i="6"/>
  <c r="E15" i="6"/>
  <c r="D15" i="6"/>
  <c r="C15" i="6"/>
  <c r="B14" i="6"/>
  <c r="B13" i="6"/>
  <c r="B12" i="6"/>
  <c r="B11" i="6"/>
  <c r="B10" i="6"/>
  <c r="B9" i="6"/>
  <c r="B8" i="6"/>
  <c r="B7" i="6"/>
  <c r="B6" i="6"/>
  <c r="B5" i="6"/>
  <c r="B4" i="6"/>
  <c r="B3" i="6"/>
  <c r="F15" i="5"/>
  <c r="E15" i="5"/>
  <c r="D15" i="5"/>
  <c r="C15" i="5"/>
  <c r="B14" i="5"/>
  <c r="B13" i="5"/>
  <c r="B12" i="5"/>
  <c r="B11" i="5"/>
  <c r="B10" i="5"/>
  <c r="B9" i="5"/>
  <c r="B8" i="5"/>
  <c r="B7" i="5"/>
  <c r="B6" i="5"/>
  <c r="B5" i="5"/>
  <c r="B4" i="5"/>
  <c r="B3" i="5"/>
  <c r="F15" i="4"/>
  <c r="E15" i="4"/>
  <c r="D15" i="4"/>
  <c r="C15" i="4"/>
  <c r="B14" i="4"/>
  <c r="B13" i="4"/>
  <c r="B12" i="4"/>
  <c r="B11" i="4"/>
  <c r="B10" i="4"/>
  <c r="B9" i="4"/>
  <c r="B8" i="4"/>
  <c r="B7" i="4"/>
  <c r="B6" i="4"/>
  <c r="B5" i="4"/>
  <c r="B4" i="4"/>
  <c r="B3" i="4"/>
  <c r="F15" i="3"/>
  <c r="E15" i="3"/>
  <c r="D15" i="3"/>
  <c r="C15" i="3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B14" i="1"/>
  <c r="B13" i="1"/>
  <c r="B12" i="1"/>
  <c r="B11" i="1"/>
  <c r="B10" i="1"/>
  <c r="B9" i="1"/>
  <c r="B8" i="1"/>
  <c r="B7" i="1"/>
  <c r="B6" i="1"/>
  <c r="B5" i="1"/>
  <c r="B4" i="1"/>
  <c r="B3" i="1"/>
  <c r="F15" i="2"/>
  <c r="E15" i="2"/>
  <c r="D15" i="2"/>
  <c r="C15" i="2"/>
  <c r="F15" i="1"/>
  <c r="E15" i="1"/>
  <c r="D15" i="1"/>
  <c r="C15" i="1"/>
  <c r="B15" i="9" l="1"/>
  <c r="B15" i="8"/>
  <c r="B15" i="7"/>
  <c r="B15" i="6"/>
  <c r="B15" i="5"/>
  <c r="B15" i="4"/>
  <c r="B15" i="3"/>
  <c r="B15" i="2"/>
  <c r="B15" i="1"/>
</calcChain>
</file>

<file path=xl/sharedStrings.xml><?xml version="1.0" encoding="utf-8"?>
<sst xmlns="http://schemas.openxmlformats.org/spreadsheetml/2006/main" count="162" uniqueCount="18">
  <si>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</si>
  <si>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</si>
  <si>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</si>
  <si>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</si>
  <si>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</si>
  <si>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</si>
  <si>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</si>
  <si>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</si>
  <si>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</si>
  <si>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</si>
  <si>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</si>
  <si>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</si>
  <si>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</si>
  <si>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</si>
  <si>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</si>
  <si>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</si>
  <si>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</si>
  <si>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총계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</si>
</sst>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49" fontId="2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-194122</v>
      </c>
      <c r="C3" s="3">
        <v>8958</v>
      </c>
      <c r="D3" s="3">
        <v>5859.63</v>
      </c>
      <c r="E3" s="3">
        <v>203080</v>
      </c>
      <c r="F3" s="3">
        <v>163292.236</v>
      </c>
    </row>
    <row r="4" spans="1:6" x14ac:dyDescent="0.3">
      <c r="A4" s="2" t="s">
        <v>6</v>
      </c>
      <c r="B4" s="3">
        <f t="shared" ref="B4:B14" si="0">C4-E4</f>
        <v>-128158</v>
      </c>
      <c r="C4" s="3">
        <v>3812</v>
      </c>
      <c r="D4" s="3">
        <v>2349.04</v>
      </c>
      <c r="E4" s="3">
        <v>131970</v>
      </c>
      <c r="F4" s="3">
        <v>102009.84</v>
      </c>
    </row>
    <row r="5" spans="1:6" x14ac:dyDescent="0.3">
      <c r="A5" s="2" t="s">
        <v>7</v>
      </c>
      <c r="B5" s="3">
        <f t="shared" si="0"/>
        <v>-101795</v>
      </c>
      <c r="C5" s="3">
        <v>6697</v>
      </c>
      <c r="D5" s="3">
        <v>4015.57</v>
      </c>
      <c r="E5" s="3">
        <v>108492</v>
      </c>
      <c r="F5" s="3">
        <v>83563.5</v>
      </c>
    </row>
    <row r="6" spans="1:6" x14ac:dyDescent="0.3">
      <c r="A6" s="2" t="s">
        <v>8</v>
      </c>
      <c r="B6" s="3">
        <f t="shared" si="0"/>
        <v>-97892</v>
      </c>
      <c r="C6" s="3">
        <v>5356</v>
      </c>
      <c r="D6" s="3">
        <v>3548.79</v>
      </c>
      <c r="E6" s="3">
        <v>103248</v>
      </c>
      <c r="F6" s="3">
        <v>81311.717000000004</v>
      </c>
    </row>
    <row r="7" spans="1:6" x14ac:dyDescent="0.3">
      <c r="A7" s="2" t="s">
        <v>9</v>
      </c>
      <c r="B7" s="3">
        <f t="shared" si="0"/>
        <v>-150621</v>
      </c>
      <c r="C7" s="3">
        <v>3338</v>
      </c>
      <c r="D7" s="3">
        <v>2228.31</v>
      </c>
      <c r="E7" s="3">
        <v>153959</v>
      </c>
      <c r="F7" s="3">
        <v>89973.23</v>
      </c>
    </row>
    <row r="8" spans="1:6" x14ac:dyDescent="0.3">
      <c r="A8" s="2" t="s">
        <v>10</v>
      </c>
      <c r="B8" s="3">
        <f t="shared" si="0"/>
        <v>-33524</v>
      </c>
      <c r="C8" s="3">
        <v>2585</v>
      </c>
      <c r="D8" s="3">
        <v>1667.11</v>
      </c>
      <c r="E8" s="3">
        <v>36109</v>
      </c>
      <c r="F8" s="3">
        <v>25677.98</v>
      </c>
    </row>
    <row r="9" spans="1:6" x14ac:dyDescent="0.3">
      <c r="A9" s="2" t="s">
        <v>11</v>
      </c>
      <c r="B9" s="3">
        <f t="shared" si="0"/>
        <v>-217537</v>
      </c>
      <c r="C9" s="3">
        <v>13193</v>
      </c>
      <c r="D9" s="3">
        <v>8418.06</v>
      </c>
      <c r="E9" s="3">
        <v>230730</v>
      </c>
      <c r="F9" s="3">
        <v>183209.41</v>
      </c>
    </row>
    <row r="10" spans="1:6" x14ac:dyDescent="0.3">
      <c r="A10" s="2" t="s">
        <v>12</v>
      </c>
      <c r="B10" s="3">
        <f t="shared" si="0"/>
        <v>-65344</v>
      </c>
      <c r="C10" s="3">
        <v>5826</v>
      </c>
      <c r="D10" s="3">
        <v>3713.85</v>
      </c>
      <c r="E10" s="3">
        <v>71170</v>
      </c>
      <c r="F10" s="3">
        <v>59640</v>
      </c>
    </row>
    <row r="11" spans="1:6" x14ac:dyDescent="0.3">
      <c r="A11" s="2" t="s">
        <v>13</v>
      </c>
      <c r="B11" s="3">
        <f t="shared" si="0"/>
        <v>-192863</v>
      </c>
      <c r="C11" s="3">
        <v>8847</v>
      </c>
      <c r="D11" s="3">
        <v>4156.34</v>
      </c>
      <c r="E11" s="3">
        <v>201710</v>
      </c>
      <c r="F11" s="3">
        <v>152335.48000000001</v>
      </c>
    </row>
    <row r="12" spans="1:6" x14ac:dyDescent="0.3">
      <c r="A12" s="2" t="s">
        <v>14</v>
      </c>
      <c r="B12" s="3">
        <f t="shared" si="0"/>
        <v>-71851</v>
      </c>
      <c r="C12" s="3">
        <v>3901</v>
      </c>
      <c r="D12" s="3">
        <v>2558.4299999999998</v>
      </c>
      <c r="E12" s="3">
        <v>75752</v>
      </c>
      <c r="F12" s="3">
        <v>60587.89</v>
      </c>
    </row>
    <row r="13" spans="1:6" x14ac:dyDescent="0.3">
      <c r="A13" s="2" t="s">
        <v>15</v>
      </c>
      <c r="B13" s="3">
        <f t="shared" si="0"/>
        <v>-165365</v>
      </c>
      <c r="C13" s="3">
        <v>11752</v>
      </c>
      <c r="D13" s="3">
        <v>7278.69</v>
      </c>
      <c r="E13" s="3">
        <v>177117</v>
      </c>
      <c r="F13" s="3">
        <v>137883.79999999999</v>
      </c>
    </row>
    <row r="14" spans="1:6" x14ac:dyDescent="0.3">
      <c r="A14" s="2" t="s">
        <v>16</v>
      </c>
      <c r="B14" s="3">
        <f t="shared" si="0"/>
        <v>-103367</v>
      </c>
      <c r="C14" s="3">
        <v>7390</v>
      </c>
      <c r="D14" s="3">
        <v>2942.83</v>
      </c>
      <c r="E14" s="3">
        <v>110757</v>
      </c>
      <c r="F14" s="3">
        <v>74678.7</v>
      </c>
    </row>
    <row r="15" spans="1:6" ht="17.25" thickBot="1" x14ac:dyDescent="0.35">
      <c r="A15" s="4" t="s">
        <v>17</v>
      </c>
      <c r="B15" s="5">
        <f>SUM(B3:B14)</f>
        <v>-1522439</v>
      </c>
      <c r="C15" s="5">
        <f t="shared" ref="C15" si="1">SUM(C3:C14)</f>
        <v>81655</v>
      </c>
      <c r="D15" s="5">
        <f t="shared" ref="D15:F15" si="2">SUM(D3:D14)</f>
        <v>48736.65</v>
      </c>
      <c r="E15" s="5">
        <f t="shared" si="2"/>
        <v>1604094</v>
      </c>
      <c r="F15" s="5">
        <f t="shared" si="2"/>
        <v>1214163.7830000001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-34557</v>
      </c>
      <c r="C3" s="3">
        <v>14928</v>
      </c>
      <c r="D3" s="3">
        <v>9066.8799999999992</v>
      </c>
      <c r="E3" s="3">
        <v>49485</v>
      </c>
      <c r="F3" s="3">
        <v>39880</v>
      </c>
    </row>
    <row r="4" spans="1:6" x14ac:dyDescent="0.3">
      <c r="A4" s="2" t="s">
        <v>6</v>
      </c>
      <c r="B4" s="3">
        <f t="shared" ref="B4:B14" si="0">C4-E4</f>
        <v>-72786</v>
      </c>
      <c r="C4" s="3">
        <v>1983</v>
      </c>
      <c r="D4" s="3">
        <v>1155.06</v>
      </c>
      <c r="E4" s="3">
        <v>74769</v>
      </c>
      <c r="F4" s="3">
        <v>59991</v>
      </c>
    </row>
    <row r="5" spans="1:6" x14ac:dyDescent="0.3">
      <c r="A5" s="2" t="s">
        <v>7</v>
      </c>
      <c r="B5" s="3">
        <f t="shared" si="0"/>
        <v>-13696</v>
      </c>
      <c r="C5" s="3">
        <v>6144</v>
      </c>
      <c r="D5" s="3">
        <v>4043.97</v>
      </c>
      <c r="E5" s="3">
        <v>19840</v>
      </c>
      <c r="F5" s="3">
        <v>5443.2</v>
      </c>
    </row>
    <row r="6" spans="1:6" x14ac:dyDescent="0.3">
      <c r="A6" s="2" t="s">
        <v>8</v>
      </c>
      <c r="B6" s="3">
        <f t="shared" si="0"/>
        <v>-29745</v>
      </c>
      <c r="C6" s="3">
        <v>19733</v>
      </c>
      <c r="D6" s="3">
        <v>10716.55</v>
      </c>
      <c r="E6" s="3">
        <v>49478</v>
      </c>
      <c r="F6" s="3">
        <v>40015</v>
      </c>
    </row>
    <row r="7" spans="1:6" x14ac:dyDescent="0.3">
      <c r="A7" s="2" t="s">
        <v>9</v>
      </c>
      <c r="B7" s="3">
        <f t="shared" si="0"/>
        <v>-95353</v>
      </c>
      <c r="C7" s="3">
        <v>5118</v>
      </c>
      <c r="D7" s="3">
        <v>3400.23</v>
      </c>
      <c r="E7" s="3">
        <v>100471</v>
      </c>
      <c r="F7" s="3">
        <v>80251.8</v>
      </c>
    </row>
    <row r="8" spans="1:6" x14ac:dyDescent="0.3">
      <c r="A8" s="2" t="s">
        <v>10</v>
      </c>
      <c r="B8" s="3">
        <f t="shared" si="0"/>
        <v>-105673</v>
      </c>
      <c r="C8" s="3">
        <v>4331</v>
      </c>
      <c r="D8" s="3">
        <v>2723.49</v>
      </c>
      <c r="E8" s="3">
        <v>110004</v>
      </c>
      <c r="F8" s="3">
        <v>82336.800000000003</v>
      </c>
    </row>
    <row r="9" spans="1:6" x14ac:dyDescent="0.3">
      <c r="A9" s="2" t="s">
        <v>11</v>
      </c>
      <c r="B9" s="3">
        <f t="shared" si="0"/>
        <v>-134291</v>
      </c>
      <c r="C9" s="3">
        <v>4005</v>
      </c>
      <c r="D9" s="3">
        <v>2640.96</v>
      </c>
      <c r="E9" s="3">
        <v>138296</v>
      </c>
      <c r="F9" s="3">
        <v>93213.58</v>
      </c>
    </row>
    <row r="10" spans="1:6" x14ac:dyDescent="0.3">
      <c r="A10" s="2" t="s">
        <v>12</v>
      </c>
      <c r="B10" s="3">
        <f t="shared" si="0"/>
        <v>-15383</v>
      </c>
      <c r="C10" s="3">
        <v>9027</v>
      </c>
      <c r="D10" s="3">
        <v>5374.69</v>
      </c>
      <c r="E10" s="3">
        <v>24410</v>
      </c>
      <c r="F10" s="3">
        <v>19952.879000000001</v>
      </c>
    </row>
    <row r="11" spans="1:6" x14ac:dyDescent="0.3">
      <c r="A11" s="2" t="s">
        <v>13</v>
      </c>
      <c r="B11" s="3">
        <f t="shared" si="0"/>
        <v>-44731</v>
      </c>
      <c r="C11" s="3">
        <v>8392</v>
      </c>
      <c r="D11" s="3">
        <v>5116.1400000000003</v>
      </c>
      <c r="E11" s="3">
        <v>53123</v>
      </c>
      <c r="F11" s="3">
        <v>40552</v>
      </c>
    </row>
    <row r="12" spans="1:6" x14ac:dyDescent="0.3">
      <c r="A12" s="2" t="s">
        <v>14</v>
      </c>
      <c r="B12" s="3">
        <f t="shared" si="0"/>
        <v>-85684</v>
      </c>
      <c r="C12" s="3">
        <v>16492</v>
      </c>
      <c r="D12" s="3">
        <v>10509.33</v>
      </c>
      <c r="E12" s="3">
        <v>102176</v>
      </c>
      <c r="F12" s="3">
        <v>80514.646999999997</v>
      </c>
    </row>
    <row r="13" spans="1:6" x14ac:dyDescent="0.3">
      <c r="A13" s="2" t="s">
        <v>15</v>
      </c>
      <c r="B13" s="3">
        <f t="shared" si="0"/>
        <v>-76963</v>
      </c>
      <c r="C13" s="3">
        <v>7544</v>
      </c>
      <c r="D13" s="3">
        <v>5038.5</v>
      </c>
      <c r="E13" s="3">
        <v>84507</v>
      </c>
      <c r="F13" s="3">
        <v>55128.025000000001</v>
      </c>
    </row>
    <row r="14" spans="1:6" x14ac:dyDescent="0.3">
      <c r="A14" s="2" t="s">
        <v>16</v>
      </c>
      <c r="B14" s="3">
        <f t="shared" si="0"/>
        <v>-2985</v>
      </c>
      <c r="C14" s="3">
        <v>15942</v>
      </c>
      <c r="D14" s="3">
        <v>10201.75</v>
      </c>
      <c r="E14" s="3">
        <v>18927</v>
      </c>
      <c r="F14" s="3">
        <v>20752.288</v>
      </c>
    </row>
    <row r="15" spans="1:6" ht="17.25" thickBot="1" x14ac:dyDescent="0.35">
      <c r="A15" s="4" t="s">
        <v>17</v>
      </c>
      <c r="B15" s="5">
        <f>SUM(B3:B14)</f>
        <v>-711847</v>
      </c>
      <c r="C15" s="5">
        <f t="shared" ref="C15" si="1">SUM(C3:C14)</f>
        <v>113639</v>
      </c>
      <c r="D15" s="5">
        <f t="shared" ref="D15:F15" si="2">SUM(D3:D14)</f>
        <v>69987.55</v>
      </c>
      <c r="E15" s="5">
        <f t="shared" si="2"/>
        <v>825486</v>
      </c>
      <c r="F15" s="5">
        <f t="shared" si="2"/>
        <v>618031.21900000004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-121730</v>
      </c>
      <c r="C3" s="3">
        <v>6619</v>
      </c>
      <c r="D3" s="3">
        <v>3964.2</v>
      </c>
      <c r="E3" s="3">
        <v>128349</v>
      </c>
      <c r="F3" s="3">
        <v>98352.97</v>
      </c>
    </row>
    <row r="4" spans="1:6" x14ac:dyDescent="0.3">
      <c r="A4" s="2" t="s">
        <v>6</v>
      </c>
      <c r="B4" s="3">
        <f t="shared" ref="B4:B14" si="0">C4-E4</f>
        <v>-16471</v>
      </c>
      <c r="C4" s="3">
        <v>10746</v>
      </c>
      <c r="D4" s="3">
        <v>5396.5</v>
      </c>
      <c r="E4" s="3">
        <v>27217</v>
      </c>
      <c r="F4" s="3">
        <v>20451.3</v>
      </c>
    </row>
    <row r="5" spans="1:6" x14ac:dyDescent="0.3">
      <c r="A5" s="2" t="s">
        <v>7</v>
      </c>
      <c r="B5" s="3">
        <f t="shared" si="0"/>
        <v>-104340</v>
      </c>
      <c r="C5" s="3">
        <v>7708</v>
      </c>
      <c r="D5" s="3">
        <v>4292.72</v>
      </c>
      <c r="E5" s="3">
        <v>112048</v>
      </c>
      <c r="F5" s="3">
        <v>79364</v>
      </c>
    </row>
    <row r="6" spans="1:6" x14ac:dyDescent="0.3">
      <c r="A6" s="2" t="s">
        <v>8</v>
      </c>
      <c r="B6" s="3">
        <f t="shared" si="0"/>
        <v>-17869</v>
      </c>
      <c r="C6" s="3">
        <v>8105</v>
      </c>
      <c r="D6" s="3">
        <v>4332.88</v>
      </c>
      <c r="E6" s="3">
        <v>25974</v>
      </c>
      <c r="F6" s="3">
        <v>19836.900000000001</v>
      </c>
    </row>
    <row r="7" spans="1:6" x14ac:dyDescent="0.3">
      <c r="A7" s="2" t="s">
        <v>9</v>
      </c>
      <c r="B7" s="3">
        <f t="shared" si="0"/>
        <v>-180681</v>
      </c>
      <c r="C7" s="3">
        <v>6794</v>
      </c>
      <c r="D7" s="3">
        <v>3846.3980000000001</v>
      </c>
      <c r="E7" s="3">
        <v>187475</v>
      </c>
      <c r="F7" s="3">
        <v>96911.28</v>
      </c>
    </row>
    <row r="8" spans="1:6" x14ac:dyDescent="0.3">
      <c r="A8" s="2" t="s">
        <v>10</v>
      </c>
      <c r="B8" s="3">
        <f t="shared" si="0"/>
        <v>-928300</v>
      </c>
      <c r="C8" s="3">
        <v>6008</v>
      </c>
      <c r="D8" s="3">
        <v>3379.6</v>
      </c>
      <c r="E8" s="3">
        <v>934308</v>
      </c>
      <c r="F8" s="3">
        <v>1086587.06</v>
      </c>
    </row>
    <row r="9" spans="1:6" x14ac:dyDescent="0.3">
      <c r="A9" s="2" t="s">
        <v>11</v>
      </c>
      <c r="B9" s="3">
        <f t="shared" si="0"/>
        <v>-18836</v>
      </c>
      <c r="C9" s="3">
        <v>5457</v>
      </c>
      <c r="D9" s="3">
        <v>3154.98</v>
      </c>
      <c r="E9" s="3">
        <v>24293</v>
      </c>
      <c r="F9" s="3">
        <v>19932.259999999998</v>
      </c>
    </row>
    <row r="10" spans="1:6" x14ac:dyDescent="0.3">
      <c r="A10" s="2" t="s">
        <v>12</v>
      </c>
      <c r="B10" s="3">
        <f t="shared" si="0"/>
        <v>-133884</v>
      </c>
      <c r="C10" s="3">
        <v>4743</v>
      </c>
      <c r="D10" s="3">
        <v>2723.26</v>
      </c>
      <c r="E10" s="3">
        <v>138627</v>
      </c>
      <c r="F10" s="3">
        <v>98922.73</v>
      </c>
    </row>
    <row r="11" spans="1:6" x14ac:dyDescent="0.3">
      <c r="A11" s="2" t="s">
        <v>13</v>
      </c>
      <c r="B11" s="3">
        <f t="shared" si="0"/>
        <v>-166011</v>
      </c>
      <c r="C11" s="3">
        <v>9719</v>
      </c>
      <c r="D11" s="3">
        <v>5427.56</v>
      </c>
      <c r="E11" s="3">
        <v>175730</v>
      </c>
      <c r="F11" s="3">
        <v>76155.428</v>
      </c>
    </row>
    <row r="12" spans="1:6" x14ac:dyDescent="0.3">
      <c r="A12" s="2" t="s">
        <v>14</v>
      </c>
      <c r="B12" s="3">
        <f t="shared" si="0"/>
        <v>9465</v>
      </c>
      <c r="C12" s="3">
        <v>13870</v>
      </c>
      <c r="D12" s="3">
        <v>7645.06</v>
      </c>
      <c r="E12" s="3">
        <v>4405</v>
      </c>
      <c r="F12" s="3">
        <v>1714</v>
      </c>
    </row>
    <row r="13" spans="1:6" x14ac:dyDescent="0.3">
      <c r="A13" s="2" t="s">
        <v>15</v>
      </c>
      <c r="B13" s="3">
        <f t="shared" si="0"/>
        <v>6343</v>
      </c>
      <c r="C13" s="3">
        <v>8472</v>
      </c>
      <c r="D13" s="3">
        <v>4837.88</v>
      </c>
      <c r="E13" s="3">
        <v>2129</v>
      </c>
      <c r="F13" s="3">
        <v>51.188000000000002</v>
      </c>
    </row>
    <row r="14" spans="1:6" x14ac:dyDescent="0.3">
      <c r="A14" s="2" t="s">
        <v>16</v>
      </c>
      <c r="B14" s="3">
        <f t="shared" si="0"/>
        <v>14232</v>
      </c>
      <c r="C14" s="3">
        <v>14274</v>
      </c>
      <c r="D14" s="3">
        <v>8036.82</v>
      </c>
      <c r="E14" s="3">
        <v>42</v>
      </c>
      <c r="F14" s="3">
        <v>9.6</v>
      </c>
    </row>
    <row r="15" spans="1:6" ht="17.25" thickBot="1" x14ac:dyDescent="0.35">
      <c r="A15" s="4" t="s">
        <v>17</v>
      </c>
      <c r="B15" s="5">
        <f>SUM(B3:B14)</f>
        <v>-1658082</v>
      </c>
      <c r="C15" s="5">
        <f t="shared" ref="C15" si="1">SUM(C3:C14)</f>
        <v>102515</v>
      </c>
      <c r="D15" s="5">
        <f t="shared" ref="D15:F15" si="2">SUM(D3:D14)</f>
        <v>57037.857999999993</v>
      </c>
      <c r="E15" s="5">
        <f t="shared" si="2"/>
        <v>1760597</v>
      </c>
      <c r="F15" s="5">
        <f t="shared" si="2"/>
        <v>1598288.7160000002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-451774</v>
      </c>
      <c r="C3" s="3">
        <v>16612</v>
      </c>
      <c r="D3" s="3">
        <v>9368.0300000000007</v>
      </c>
      <c r="E3" s="3">
        <v>468386</v>
      </c>
      <c r="F3" s="3">
        <v>518938</v>
      </c>
    </row>
    <row r="4" spans="1:6" x14ac:dyDescent="0.3">
      <c r="A4" s="2" t="s">
        <v>6</v>
      </c>
      <c r="B4" s="3">
        <f t="shared" ref="B4:B14" si="0">C4-E4</f>
        <v>-27715</v>
      </c>
      <c r="C4" s="3">
        <v>12355</v>
      </c>
      <c r="D4" s="3">
        <v>6457.42</v>
      </c>
      <c r="E4" s="3">
        <v>40070</v>
      </c>
      <c r="F4" s="3">
        <v>15246.1</v>
      </c>
    </row>
    <row r="5" spans="1:6" x14ac:dyDescent="0.3">
      <c r="A5" s="2" t="s">
        <v>7</v>
      </c>
      <c r="B5" s="3">
        <f t="shared" si="0"/>
        <v>-2100187</v>
      </c>
      <c r="C5" s="3">
        <v>5960</v>
      </c>
      <c r="D5" s="3">
        <v>3486.68</v>
      </c>
      <c r="E5" s="3">
        <v>2106147</v>
      </c>
      <c r="F5" s="3">
        <v>2523678</v>
      </c>
    </row>
    <row r="6" spans="1:6" x14ac:dyDescent="0.3">
      <c r="A6" s="2" t="s">
        <v>8</v>
      </c>
      <c r="B6" s="3">
        <f t="shared" si="0"/>
        <v>-50175</v>
      </c>
      <c r="C6" s="3">
        <v>8830</v>
      </c>
      <c r="D6" s="3">
        <v>5156.21</v>
      </c>
      <c r="E6" s="3">
        <v>59005</v>
      </c>
      <c r="F6" s="3">
        <v>39960.800000000003</v>
      </c>
    </row>
    <row r="7" spans="1:6" x14ac:dyDescent="0.3">
      <c r="A7" s="2" t="s">
        <v>9</v>
      </c>
      <c r="B7" s="3">
        <f t="shared" si="0"/>
        <v>-252523</v>
      </c>
      <c r="C7" s="3">
        <v>9198</v>
      </c>
      <c r="D7" s="3">
        <v>5122.3999999999996</v>
      </c>
      <c r="E7" s="3">
        <v>261721</v>
      </c>
      <c r="F7" s="3">
        <v>162016</v>
      </c>
    </row>
    <row r="8" spans="1:6" x14ac:dyDescent="0.3">
      <c r="A8" s="2" t="s">
        <v>10</v>
      </c>
      <c r="B8" s="3">
        <f t="shared" si="0"/>
        <v>-29148</v>
      </c>
      <c r="C8" s="3">
        <v>33993</v>
      </c>
      <c r="D8" s="3">
        <v>19335.11</v>
      </c>
      <c r="E8" s="3">
        <v>63141</v>
      </c>
      <c r="F8" s="3">
        <v>36288</v>
      </c>
    </row>
    <row r="9" spans="1:6" x14ac:dyDescent="0.3">
      <c r="A9" s="2" t="s">
        <v>11</v>
      </c>
      <c r="B9" s="3">
        <f t="shared" si="0"/>
        <v>-3305787</v>
      </c>
      <c r="C9" s="3">
        <v>26540</v>
      </c>
      <c r="D9" s="3">
        <v>15041.46</v>
      </c>
      <c r="E9" s="3">
        <v>3332327</v>
      </c>
      <c r="F9" s="3">
        <v>4147683.25</v>
      </c>
    </row>
    <row r="10" spans="1:6" x14ac:dyDescent="0.3">
      <c r="A10" s="2" t="s">
        <v>12</v>
      </c>
      <c r="B10" s="3">
        <f t="shared" si="0"/>
        <v>4852</v>
      </c>
      <c r="C10" s="3">
        <v>4852</v>
      </c>
      <c r="D10" s="3">
        <v>3166.35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-30403</v>
      </c>
      <c r="C11" s="3">
        <v>9309</v>
      </c>
      <c r="D11" s="3">
        <v>5240.5</v>
      </c>
      <c r="E11" s="3">
        <v>39712</v>
      </c>
      <c r="F11" s="3">
        <v>15241</v>
      </c>
    </row>
    <row r="12" spans="1:6" x14ac:dyDescent="0.3">
      <c r="A12" s="2" t="s">
        <v>14</v>
      </c>
      <c r="B12" s="3">
        <f t="shared" si="0"/>
        <v>-2646196</v>
      </c>
      <c r="C12" s="3">
        <v>12587</v>
      </c>
      <c r="D12" s="3">
        <v>6981.1</v>
      </c>
      <c r="E12" s="3">
        <v>2658783</v>
      </c>
      <c r="F12" s="3">
        <v>3093628</v>
      </c>
    </row>
    <row r="13" spans="1:6" x14ac:dyDescent="0.3">
      <c r="A13" s="2" t="s">
        <v>15</v>
      </c>
      <c r="B13" s="3">
        <f t="shared" si="0"/>
        <v>-105052</v>
      </c>
      <c r="C13" s="3">
        <v>7464</v>
      </c>
      <c r="D13" s="3">
        <v>4081.36</v>
      </c>
      <c r="E13" s="3">
        <v>112516</v>
      </c>
      <c r="F13" s="3">
        <v>72724</v>
      </c>
    </row>
    <row r="14" spans="1:6" x14ac:dyDescent="0.3">
      <c r="A14" s="2" t="s">
        <v>16</v>
      </c>
      <c r="B14" s="3">
        <f t="shared" si="0"/>
        <v>-120290</v>
      </c>
      <c r="C14" s="3">
        <v>8333</v>
      </c>
      <c r="D14" s="3">
        <v>4524.2</v>
      </c>
      <c r="E14" s="3">
        <v>128623</v>
      </c>
      <c r="F14" s="3">
        <v>80758</v>
      </c>
    </row>
    <row r="15" spans="1:6" ht="17.25" thickBot="1" x14ac:dyDescent="0.35">
      <c r="A15" s="4" t="s">
        <v>17</v>
      </c>
      <c r="B15" s="5">
        <f>SUM(B3:B14)</f>
        <v>-9114398</v>
      </c>
      <c r="C15" s="5">
        <f t="shared" ref="C15" si="1">SUM(C3:C14)</f>
        <v>156033</v>
      </c>
      <c r="D15" s="5">
        <f t="shared" ref="D15:F15" si="2">SUM(D3:D14)</f>
        <v>87960.82</v>
      </c>
      <c r="E15" s="5">
        <f t="shared" si="2"/>
        <v>9270431</v>
      </c>
      <c r="F15" s="5">
        <f t="shared" si="2"/>
        <v>10706161.15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-931850</v>
      </c>
      <c r="C3" s="3">
        <v>4561</v>
      </c>
      <c r="D3" s="3">
        <v>2581.6999999999998</v>
      </c>
      <c r="E3" s="3">
        <v>936411</v>
      </c>
      <c r="F3" s="3">
        <v>1104136</v>
      </c>
    </row>
    <row r="4" spans="1:6" x14ac:dyDescent="0.3">
      <c r="A4" s="2" t="s">
        <v>6</v>
      </c>
      <c r="B4" s="3">
        <f t="shared" ref="B4:B14" si="0">C4-E4</f>
        <v>-140545</v>
      </c>
      <c r="C4" s="3">
        <v>14859</v>
      </c>
      <c r="D4" s="3">
        <v>7733.42</v>
      </c>
      <c r="E4" s="3">
        <v>155404</v>
      </c>
      <c r="F4" s="3">
        <v>101757</v>
      </c>
    </row>
    <row r="5" spans="1:6" x14ac:dyDescent="0.3">
      <c r="A5" s="2" t="s">
        <v>7</v>
      </c>
      <c r="B5" s="3">
        <f t="shared" si="0"/>
        <v>-152361</v>
      </c>
      <c r="C5" s="3">
        <v>18075</v>
      </c>
      <c r="D5" s="3">
        <v>10498.5</v>
      </c>
      <c r="E5" s="3">
        <v>170436</v>
      </c>
      <c r="F5" s="3">
        <v>98004</v>
      </c>
    </row>
    <row r="6" spans="1:6" x14ac:dyDescent="0.3">
      <c r="A6" s="2" t="s">
        <v>8</v>
      </c>
      <c r="B6" s="3">
        <f t="shared" si="0"/>
        <v>-114078</v>
      </c>
      <c r="C6" s="3">
        <v>7137</v>
      </c>
      <c r="D6" s="3">
        <v>4177.1000000000004</v>
      </c>
      <c r="E6" s="3">
        <v>121215</v>
      </c>
      <c r="F6" s="3">
        <v>79958</v>
      </c>
    </row>
    <row r="7" spans="1:6" x14ac:dyDescent="0.3">
      <c r="A7" s="2" t="s">
        <v>9</v>
      </c>
      <c r="B7" s="3">
        <f t="shared" si="0"/>
        <v>-180140</v>
      </c>
      <c r="C7" s="3">
        <v>9908</v>
      </c>
      <c r="D7" s="3">
        <v>5130.3</v>
      </c>
      <c r="E7" s="3">
        <v>190048</v>
      </c>
      <c r="F7" s="3">
        <v>121108.51</v>
      </c>
    </row>
    <row r="8" spans="1:6" x14ac:dyDescent="0.3">
      <c r="A8" s="2" t="s">
        <v>10</v>
      </c>
      <c r="B8" s="3">
        <f t="shared" si="0"/>
        <v>-5218351</v>
      </c>
      <c r="C8" s="3">
        <v>2255</v>
      </c>
      <c r="D8" s="3">
        <v>1154.97</v>
      </c>
      <c r="E8" s="3">
        <v>5220606</v>
      </c>
      <c r="F8" s="3">
        <v>2993014</v>
      </c>
    </row>
    <row r="9" spans="1:6" x14ac:dyDescent="0.3">
      <c r="A9" s="2" t="s">
        <v>11</v>
      </c>
      <c r="B9" s="3">
        <f t="shared" si="0"/>
        <v>-50121</v>
      </c>
      <c r="C9" s="3">
        <v>4440</v>
      </c>
      <c r="D9" s="3">
        <v>2451.8000000000002</v>
      </c>
      <c r="E9" s="3">
        <v>54561</v>
      </c>
      <c r="F9" s="3">
        <v>25510</v>
      </c>
    </row>
    <row r="10" spans="1:6" x14ac:dyDescent="0.3">
      <c r="A10" s="2" t="s">
        <v>12</v>
      </c>
      <c r="B10" s="3">
        <f t="shared" si="0"/>
        <v>3317</v>
      </c>
      <c r="C10" s="3">
        <v>3422</v>
      </c>
      <c r="D10" s="3">
        <v>1898.8</v>
      </c>
      <c r="E10" s="3">
        <v>105</v>
      </c>
      <c r="F10" s="3">
        <v>11.1</v>
      </c>
    </row>
    <row r="11" spans="1:6" x14ac:dyDescent="0.3">
      <c r="A11" s="2" t="s">
        <v>13</v>
      </c>
      <c r="B11" s="3">
        <f t="shared" si="0"/>
        <v>-12742</v>
      </c>
      <c r="C11" s="3">
        <v>7425</v>
      </c>
      <c r="D11" s="3">
        <v>3826.2</v>
      </c>
      <c r="E11" s="3">
        <v>20167</v>
      </c>
      <c r="F11" s="3">
        <v>3048</v>
      </c>
    </row>
    <row r="12" spans="1:6" x14ac:dyDescent="0.3">
      <c r="A12" s="2" t="s">
        <v>14</v>
      </c>
      <c r="B12" s="3">
        <f t="shared" si="0"/>
        <v>8233</v>
      </c>
      <c r="C12" s="3">
        <v>8233</v>
      </c>
      <c r="D12" s="3">
        <v>4589.2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-68884</v>
      </c>
      <c r="C13" s="3">
        <v>4156</v>
      </c>
      <c r="D13" s="3">
        <v>2343.6</v>
      </c>
      <c r="E13" s="3">
        <v>73040</v>
      </c>
      <c r="F13" s="3">
        <v>22764</v>
      </c>
    </row>
    <row r="14" spans="1:6" x14ac:dyDescent="0.3">
      <c r="A14" s="2" t="s">
        <v>16</v>
      </c>
      <c r="B14" s="3">
        <f t="shared" si="0"/>
        <v>-122682</v>
      </c>
      <c r="C14" s="3">
        <v>8354</v>
      </c>
      <c r="D14" s="3">
        <v>4626.2</v>
      </c>
      <c r="E14" s="3">
        <v>131036</v>
      </c>
      <c r="F14" s="3">
        <v>42801.466999999997</v>
      </c>
    </row>
    <row r="15" spans="1:6" ht="17.25" thickBot="1" x14ac:dyDescent="0.35">
      <c r="A15" s="4" t="s">
        <v>17</v>
      </c>
      <c r="B15" s="5">
        <f>SUM(B3:B14)</f>
        <v>-6980204</v>
      </c>
      <c r="C15" s="5">
        <f t="shared" ref="C15" si="1">SUM(C3:C14)</f>
        <v>92825</v>
      </c>
      <c r="D15" s="5">
        <f t="shared" ref="D15:F15" si="2">SUM(D3:D14)</f>
        <v>51011.789999999994</v>
      </c>
      <c r="E15" s="5">
        <f t="shared" si="2"/>
        <v>7073029</v>
      </c>
      <c r="F15" s="5">
        <f t="shared" si="2"/>
        <v>4592112.0769999996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-8200</v>
      </c>
      <c r="C3" s="3">
        <v>8993</v>
      </c>
      <c r="D3" s="3">
        <v>4427.2</v>
      </c>
      <c r="E3" s="3">
        <v>17193</v>
      </c>
      <c r="F3" s="3">
        <v>4211</v>
      </c>
    </row>
    <row r="4" spans="1:6" x14ac:dyDescent="0.3">
      <c r="A4" s="2" t="s">
        <v>6</v>
      </c>
      <c r="B4" s="3">
        <f t="shared" ref="B4:B14" si="0">C4-E4</f>
        <v>-4633478</v>
      </c>
      <c r="C4" s="3">
        <v>13534</v>
      </c>
      <c r="D4" s="3">
        <v>6362.8</v>
      </c>
      <c r="E4" s="3">
        <v>4647012</v>
      </c>
      <c r="F4" s="3">
        <v>2998072</v>
      </c>
    </row>
    <row r="5" spans="1:6" x14ac:dyDescent="0.3">
      <c r="A5" s="2" t="s">
        <v>7</v>
      </c>
      <c r="B5" s="3">
        <f t="shared" si="0"/>
        <v>-37067</v>
      </c>
      <c r="C5" s="3">
        <v>13731</v>
      </c>
      <c r="D5" s="3">
        <v>6445.8</v>
      </c>
      <c r="E5" s="3">
        <v>50798</v>
      </c>
      <c r="F5" s="3">
        <v>15290.8</v>
      </c>
    </row>
    <row r="6" spans="1:6" x14ac:dyDescent="0.3">
      <c r="A6" s="2" t="s">
        <v>8</v>
      </c>
      <c r="B6" s="3">
        <f t="shared" si="0"/>
        <v>-7229812</v>
      </c>
      <c r="C6" s="3">
        <v>14078</v>
      </c>
      <c r="D6" s="3">
        <v>6264.3</v>
      </c>
      <c r="E6" s="3">
        <v>7243890</v>
      </c>
      <c r="F6" s="3">
        <v>4019172</v>
      </c>
    </row>
    <row r="7" spans="1:6" x14ac:dyDescent="0.3">
      <c r="A7" s="2" t="s">
        <v>9</v>
      </c>
      <c r="B7" s="3">
        <f t="shared" si="0"/>
        <v>3654</v>
      </c>
      <c r="C7" s="3">
        <v>3654</v>
      </c>
      <c r="D7" s="3">
        <v>1535.7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-82677</v>
      </c>
      <c r="C8" s="3">
        <v>13850</v>
      </c>
      <c r="D8" s="3">
        <v>5716.9</v>
      </c>
      <c r="E8" s="3">
        <v>96527</v>
      </c>
      <c r="F8" s="3">
        <v>34926.400000000001</v>
      </c>
    </row>
    <row r="9" spans="1:6" x14ac:dyDescent="0.3">
      <c r="A9" s="2" t="s">
        <v>11</v>
      </c>
      <c r="B9" s="3">
        <f t="shared" si="0"/>
        <v>12308</v>
      </c>
      <c r="C9" s="3">
        <v>12308</v>
      </c>
      <c r="D9" s="3">
        <v>4395.3999999999996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-52720</v>
      </c>
      <c r="C10" s="3">
        <v>2670</v>
      </c>
      <c r="D10" s="3">
        <v>939.3</v>
      </c>
      <c r="E10" s="3">
        <v>55390</v>
      </c>
      <c r="F10" s="3">
        <v>17148.7</v>
      </c>
    </row>
    <row r="11" spans="1:6" x14ac:dyDescent="0.3">
      <c r="A11" s="2" t="s">
        <v>13</v>
      </c>
      <c r="B11" s="3">
        <f t="shared" si="0"/>
        <v>4932</v>
      </c>
      <c r="C11" s="3">
        <v>4932</v>
      </c>
      <c r="D11" s="3">
        <v>1868.8</v>
      </c>
      <c r="E11" s="3">
        <v>0</v>
      </c>
      <c r="F11" s="3">
        <v>0</v>
      </c>
    </row>
    <row r="12" spans="1:6" x14ac:dyDescent="0.3">
      <c r="A12" s="2" t="s">
        <v>14</v>
      </c>
      <c r="B12" s="3">
        <f t="shared" si="0"/>
        <v>1744</v>
      </c>
      <c r="C12" s="3">
        <v>1744</v>
      </c>
      <c r="D12" s="3">
        <v>636.79999999999995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4023</v>
      </c>
      <c r="C13" s="3">
        <v>4034</v>
      </c>
      <c r="D13" s="3">
        <v>1693.7</v>
      </c>
      <c r="E13" s="3">
        <v>11</v>
      </c>
      <c r="F13" s="3">
        <v>1.6</v>
      </c>
    </row>
    <row r="14" spans="1:6" x14ac:dyDescent="0.3">
      <c r="A14" s="2" t="s">
        <v>16</v>
      </c>
      <c r="B14" s="3">
        <f t="shared" si="0"/>
        <v>-26644</v>
      </c>
      <c r="C14" s="3">
        <v>22916</v>
      </c>
      <c r="D14" s="3">
        <v>7354.1</v>
      </c>
      <c r="E14" s="3">
        <v>49560</v>
      </c>
      <c r="F14" s="3">
        <v>17800</v>
      </c>
    </row>
    <row r="15" spans="1:6" ht="17.25" thickBot="1" x14ac:dyDescent="0.35">
      <c r="A15" s="4" t="s">
        <v>17</v>
      </c>
      <c r="B15" s="5">
        <f>SUM(B3:B14)</f>
        <v>-12043937</v>
      </c>
      <c r="C15" s="5">
        <f t="shared" ref="C15" si="1">SUM(C3:C14)</f>
        <v>116444</v>
      </c>
      <c r="D15" s="5">
        <f t="shared" ref="D15:F15" si="2">SUM(D3:D14)</f>
        <v>47640.800000000003</v>
      </c>
      <c r="E15" s="5">
        <f t="shared" si="2"/>
        <v>12160381</v>
      </c>
      <c r="F15" s="5">
        <f t="shared" si="2"/>
        <v>7106622.5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17420</v>
      </c>
      <c r="C3" s="3">
        <v>17420</v>
      </c>
      <c r="D3" s="3">
        <v>4769.5</v>
      </c>
      <c r="E3" s="3">
        <v>0</v>
      </c>
      <c r="F3" s="3">
        <v>0</v>
      </c>
    </row>
    <row r="4" spans="1:6" x14ac:dyDescent="0.3">
      <c r="A4" s="2" t="s">
        <v>6</v>
      </c>
      <c r="B4" s="3">
        <f t="shared" ref="B4:B14" si="0">C4-E4</f>
        <v>38419</v>
      </c>
      <c r="C4" s="3">
        <v>38419</v>
      </c>
      <c r="D4" s="3">
        <v>11997.8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28973</v>
      </c>
      <c r="C5" s="3">
        <v>28973</v>
      </c>
      <c r="D5" s="3">
        <v>9601.6</v>
      </c>
      <c r="E5" s="3">
        <v>0</v>
      </c>
      <c r="F5" s="3">
        <v>0</v>
      </c>
    </row>
    <row r="6" spans="1:6" x14ac:dyDescent="0.3">
      <c r="A6" s="2" t="s">
        <v>8</v>
      </c>
      <c r="B6" s="3">
        <f t="shared" si="0"/>
        <v>5631</v>
      </c>
      <c r="C6" s="3">
        <v>23268</v>
      </c>
      <c r="D6" s="3">
        <v>7929.7</v>
      </c>
      <c r="E6" s="3">
        <v>17637</v>
      </c>
      <c r="F6" s="3">
        <v>5144</v>
      </c>
    </row>
    <row r="7" spans="1:6" x14ac:dyDescent="0.3">
      <c r="A7" s="2" t="s">
        <v>9</v>
      </c>
      <c r="B7" s="3">
        <f t="shared" si="0"/>
        <v>-58962</v>
      </c>
      <c r="C7" s="3">
        <v>30175</v>
      </c>
      <c r="D7" s="3">
        <v>9392.7999999999993</v>
      </c>
      <c r="E7" s="3">
        <v>89137</v>
      </c>
      <c r="F7" s="3">
        <v>38755.1</v>
      </c>
    </row>
    <row r="8" spans="1:6" x14ac:dyDescent="0.3">
      <c r="A8" s="2" t="s">
        <v>10</v>
      </c>
      <c r="B8" s="3">
        <f t="shared" si="0"/>
        <v>13991</v>
      </c>
      <c r="C8" s="3">
        <v>14486</v>
      </c>
      <c r="D8" s="3">
        <v>4438.37</v>
      </c>
      <c r="E8" s="3">
        <v>495</v>
      </c>
      <c r="F8" s="3">
        <v>194.5</v>
      </c>
    </row>
    <row r="9" spans="1:6" x14ac:dyDescent="0.3">
      <c r="A9" s="2" t="s">
        <v>11</v>
      </c>
      <c r="B9" s="3">
        <f t="shared" si="0"/>
        <v>10579</v>
      </c>
      <c r="C9" s="3">
        <v>10738</v>
      </c>
      <c r="D9" s="3">
        <v>3479.9</v>
      </c>
      <c r="E9" s="3">
        <v>159</v>
      </c>
      <c r="F9" s="3">
        <v>4.4909999999999997</v>
      </c>
    </row>
    <row r="10" spans="1:6" x14ac:dyDescent="0.3">
      <c r="A10" s="2" t="s">
        <v>12</v>
      </c>
      <c r="B10" s="3">
        <f t="shared" si="0"/>
        <v>-45054</v>
      </c>
      <c r="C10" s="3">
        <v>15047</v>
      </c>
      <c r="D10" s="3">
        <v>4106.5</v>
      </c>
      <c r="E10" s="3">
        <v>60101</v>
      </c>
      <c r="F10" s="3">
        <v>14479</v>
      </c>
    </row>
    <row r="11" spans="1:6" x14ac:dyDescent="0.3">
      <c r="A11" s="2" t="s">
        <v>13</v>
      </c>
      <c r="B11" s="3">
        <f t="shared" si="0"/>
        <v>-27026</v>
      </c>
      <c r="C11" s="3">
        <v>18041</v>
      </c>
      <c r="D11" s="3">
        <v>5836.7</v>
      </c>
      <c r="E11" s="3">
        <v>45067</v>
      </c>
      <c r="F11" s="3">
        <v>19620</v>
      </c>
    </row>
    <row r="12" spans="1:6" x14ac:dyDescent="0.3">
      <c r="A12" s="2" t="s">
        <v>14</v>
      </c>
      <c r="B12" s="3">
        <f t="shared" si="0"/>
        <v>10241</v>
      </c>
      <c r="C12" s="3">
        <v>29411</v>
      </c>
      <c r="D12" s="3">
        <v>9355</v>
      </c>
      <c r="E12" s="3">
        <v>19170</v>
      </c>
      <c r="F12" s="3">
        <v>5144</v>
      </c>
    </row>
    <row r="13" spans="1:6" x14ac:dyDescent="0.3">
      <c r="A13" s="2" t="s">
        <v>15</v>
      </c>
      <c r="B13" s="3">
        <f t="shared" si="0"/>
        <v>-10960</v>
      </c>
      <c r="C13" s="3">
        <v>35279</v>
      </c>
      <c r="D13" s="3">
        <v>12191.5</v>
      </c>
      <c r="E13" s="3">
        <v>46239</v>
      </c>
      <c r="F13" s="3">
        <v>20130</v>
      </c>
    </row>
    <row r="14" spans="1:6" x14ac:dyDescent="0.3">
      <c r="A14" s="2" t="s">
        <v>16</v>
      </c>
      <c r="B14" s="3">
        <f t="shared" si="0"/>
        <v>23142</v>
      </c>
      <c r="C14" s="3">
        <v>23182</v>
      </c>
      <c r="D14" s="3">
        <v>6547.2</v>
      </c>
      <c r="E14" s="3">
        <v>40</v>
      </c>
      <c r="F14" s="3">
        <v>0.85799999999999998</v>
      </c>
    </row>
    <row r="15" spans="1:6" ht="17.25" thickBot="1" x14ac:dyDescent="0.35">
      <c r="A15" s="4" t="s">
        <v>17</v>
      </c>
      <c r="B15" s="5">
        <f>SUM(B3:B14)</f>
        <v>6394</v>
      </c>
      <c r="C15" s="5">
        <f t="shared" ref="C15" si="1">SUM(C3:C14)</f>
        <v>284439</v>
      </c>
      <c r="D15" s="5">
        <f t="shared" ref="D15:F15" si="2">SUM(D3:D14)</f>
        <v>89646.569999999992</v>
      </c>
      <c r="E15" s="5">
        <f t="shared" si="2"/>
        <v>278045</v>
      </c>
      <c r="F15" s="5">
        <f t="shared" si="2"/>
        <v>103471.94899999999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34784</v>
      </c>
      <c r="C3" s="3">
        <v>34828</v>
      </c>
      <c r="D3" s="3">
        <v>10490.2</v>
      </c>
      <c r="E3" s="3">
        <v>44</v>
      </c>
      <c r="F3" s="3">
        <v>1.2</v>
      </c>
    </row>
    <row r="4" spans="1:6" x14ac:dyDescent="0.3">
      <c r="A4" s="2" t="s">
        <v>6</v>
      </c>
      <c r="B4" s="3">
        <f t="shared" ref="B4:B14" si="0">C4-E4</f>
        <v>11017</v>
      </c>
      <c r="C4" s="3">
        <v>11017</v>
      </c>
      <c r="D4" s="3">
        <v>4014.5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-17839</v>
      </c>
      <c r="C5" s="3">
        <v>18557</v>
      </c>
      <c r="D5" s="3">
        <v>7401.59</v>
      </c>
      <c r="E5" s="3">
        <v>36396</v>
      </c>
      <c r="F5" s="3">
        <v>20221.150000000001</v>
      </c>
    </row>
    <row r="6" spans="1:6" x14ac:dyDescent="0.3">
      <c r="A6" s="2" t="s">
        <v>8</v>
      </c>
      <c r="B6" s="3">
        <f t="shared" si="0"/>
        <v>14687</v>
      </c>
      <c r="C6" s="3">
        <v>14687</v>
      </c>
      <c r="D6" s="3">
        <v>5870.6</v>
      </c>
      <c r="E6" s="3">
        <v>0</v>
      </c>
      <c r="F6" s="3">
        <v>0</v>
      </c>
    </row>
    <row r="7" spans="1:6" x14ac:dyDescent="0.3">
      <c r="A7" s="2" t="s">
        <v>9</v>
      </c>
      <c r="B7" s="3">
        <f t="shared" si="0"/>
        <v>18990</v>
      </c>
      <c r="C7" s="3">
        <v>18990</v>
      </c>
      <c r="D7" s="3">
        <v>7583.86</v>
      </c>
      <c r="E7" s="3">
        <v>0</v>
      </c>
      <c r="F7" s="3">
        <v>0</v>
      </c>
    </row>
    <row r="8" spans="1:6" x14ac:dyDescent="0.3">
      <c r="A8" s="2" t="s">
        <v>10</v>
      </c>
      <c r="B8" s="3">
        <f t="shared" si="0"/>
        <v>-33791</v>
      </c>
      <c r="C8" s="3">
        <v>15732</v>
      </c>
      <c r="D8" s="3">
        <v>6160.46</v>
      </c>
      <c r="E8" s="3">
        <v>49523</v>
      </c>
      <c r="F8" s="3">
        <v>24956.46</v>
      </c>
    </row>
    <row r="9" spans="1:6" x14ac:dyDescent="0.3">
      <c r="A9" s="2" t="s">
        <v>11</v>
      </c>
      <c r="B9" s="3">
        <f t="shared" si="0"/>
        <v>-24637</v>
      </c>
      <c r="C9" s="3">
        <v>12529</v>
      </c>
      <c r="D9" s="3">
        <v>4902.2</v>
      </c>
      <c r="E9" s="3">
        <v>37166</v>
      </c>
      <c r="F9" s="3">
        <v>19950.815999999999</v>
      </c>
    </row>
    <row r="10" spans="1:6" x14ac:dyDescent="0.3">
      <c r="A10" s="2" t="s">
        <v>12</v>
      </c>
      <c r="B10" s="3">
        <f t="shared" si="0"/>
        <v>14928</v>
      </c>
      <c r="C10" s="3">
        <v>14928</v>
      </c>
      <c r="D10" s="3">
        <v>5371.5</v>
      </c>
      <c r="E10" s="3">
        <v>0</v>
      </c>
      <c r="F10" s="3">
        <v>0</v>
      </c>
    </row>
    <row r="11" spans="1:6" x14ac:dyDescent="0.3">
      <c r="A11" s="2" t="s">
        <v>13</v>
      </c>
      <c r="B11" s="3">
        <f t="shared" si="0"/>
        <v>-23237</v>
      </c>
      <c r="C11" s="3">
        <v>11805</v>
      </c>
      <c r="D11" s="3">
        <v>4733.6000000000004</v>
      </c>
      <c r="E11" s="3">
        <v>35042</v>
      </c>
      <c r="F11" s="3">
        <v>19604.259999999998</v>
      </c>
    </row>
    <row r="12" spans="1:6" x14ac:dyDescent="0.3">
      <c r="A12" s="2" t="s">
        <v>14</v>
      </c>
      <c r="B12" s="3">
        <f t="shared" si="0"/>
        <v>15671</v>
      </c>
      <c r="C12" s="3">
        <v>15671</v>
      </c>
      <c r="D12" s="3">
        <v>5911.25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37907</v>
      </c>
      <c r="C13" s="3">
        <v>37929</v>
      </c>
      <c r="D13" s="3">
        <v>18379.63</v>
      </c>
      <c r="E13" s="3">
        <v>22</v>
      </c>
      <c r="F13" s="3">
        <v>1.7</v>
      </c>
    </row>
    <row r="14" spans="1:6" x14ac:dyDescent="0.3">
      <c r="A14" s="2" t="s">
        <v>16</v>
      </c>
      <c r="B14" s="3">
        <f t="shared" si="0"/>
        <v>3743</v>
      </c>
      <c r="C14" s="3">
        <v>13220</v>
      </c>
      <c r="D14" s="3">
        <v>5346</v>
      </c>
      <c r="E14" s="3">
        <v>9477</v>
      </c>
      <c r="F14" s="3">
        <v>1524</v>
      </c>
    </row>
    <row r="15" spans="1:6" ht="17.25" thickBot="1" x14ac:dyDescent="0.35">
      <c r="A15" s="4" t="s">
        <v>17</v>
      </c>
      <c r="B15" s="5">
        <f>SUM(B3:B14)</f>
        <v>52223</v>
      </c>
      <c r="C15" s="5">
        <f t="shared" ref="C15" si="1">SUM(C3:C14)</f>
        <v>219893</v>
      </c>
      <c r="D15" s="5">
        <f t="shared" ref="D15:F15" si="2">SUM(D3:D14)</f>
        <v>86165.39</v>
      </c>
      <c r="E15" s="5">
        <f t="shared" si="2"/>
        <v>167670</v>
      </c>
      <c r="F15" s="5">
        <f t="shared" si="2"/>
        <v>86259.585999999996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</row>
    <row r="3" spans="1:6" x14ac:dyDescent="0.3">
      <c r="A3" s="2" t="s">
        <v>5</v>
      </c>
      <c r="B3" s="3">
        <f>C3-E3</f>
        <v>-18051</v>
      </c>
      <c r="C3" s="3">
        <v>18131</v>
      </c>
      <c r="D3" s="3">
        <v>7453.6</v>
      </c>
      <c r="E3" s="3">
        <v>36182</v>
      </c>
      <c r="F3" s="3">
        <v>20330.009999999998</v>
      </c>
    </row>
    <row r="4" spans="1:6" x14ac:dyDescent="0.3">
      <c r="A4" s="2" t="s">
        <v>6</v>
      </c>
      <c r="B4" s="3">
        <f t="shared" ref="B4:B14" si="0">C4-E4</f>
        <v>15450</v>
      </c>
      <c r="C4" s="3">
        <v>15450</v>
      </c>
      <c r="D4" s="3">
        <v>7105.4</v>
      </c>
      <c r="E4" s="3">
        <v>0</v>
      </c>
      <c r="F4" s="3">
        <v>0</v>
      </c>
    </row>
    <row r="5" spans="1:6" x14ac:dyDescent="0.3">
      <c r="A5" s="2" t="s">
        <v>7</v>
      </c>
      <c r="B5" s="3">
        <f t="shared" si="0"/>
        <v>16987</v>
      </c>
      <c r="C5" s="3">
        <v>17021</v>
      </c>
      <c r="D5" s="3">
        <v>8329.2000000000007</v>
      </c>
      <c r="E5" s="3">
        <v>34</v>
      </c>
      <c r="F5" s="3">
        <v>6</v>
      </c>
    </row>
    <row r="6" spans="1:6" x14ac:dyDescent="0.3">
      <c r="A6" s="2" t="s">
        <v>8</v>
      </c>
      <c r="B6" s="3">
        <f t="shared" si="0"/>
        <v>12638</v>
      </c>
      <c r="C6" s="3">
        <v>18278</v>
      </c>
      <c r="D6" s="3">
        <v>10072.5</v>
      </c>
      <c r="E6" s="3">
        <v>5640</v>
      </c>
      <c r="F6" s="3">
        <v>15</v>
      </c>
    </row>
    <row r="7" spans="1:6" x14ac:dyDescent="0.3">
      <c r="A7" s="2" t="s">
        <v>9</v>
      </c>
      <c r="B7" s="3">
        <f t="shared" si="0"/>
        <v>-33635</v>
      </c>
      <c r="C7" s="3">
        <v>4453</v>
      </c>
      <c r="D7" s="3">
        <v>2012</v>
      </c>
      <c r="E7" s="3">
        <v>38088</v>
      </c>
      <c r="F7" s="3">
        <v>21164.62</v>
      </c>
    </row>
    <row r="8" spans="1:6" x14ac:dyDescent="0.3">
      <c r="A8" s="2" t="s">
        <v>10</v>
      </c>
      <c r="B8" s="3">
        <f t="shared" si="0"/>
        <v>9965</v>
      </c>
      <c r="C8" s="3">
        <v>9965</v>
      </c>
      <c r="D8" s="3">
        <v>5138.3999999999996</v>
      </c>
      <c r="E8" s="3">
        <v>0</v>
      </c>
      <c r="F8" s="3">
        <v>0</v>
      </c>
    </row>
    <row r="9" spans="1:6" x14ac:dyDescent="0.3">
      <c r="A9" s="2" t="s">
        <v>11</v>
      </c>
      <c r="B9" s="3">
        <f t="shared" si="0"/>
        <v>6618</v>
      </c>
      <c r="C9" s="3">
        <v>6618</v>
      </c>
      <c r="D9" s="3">
        <v>3801.1</v>
      </c>
      <c r="E9" s="3">
        <v>0</v>
      </c>
      <c r="F9" s="3">
        <v>0</v>
      </c>
    </row>
    <row r="10" spans="1:6" x14ac:dyDescent="0.3">
      <c r="A10" s="2" t="s">
        <v>12</v>
      </c>
      <c r="B10" s="3">
        <f t="shared" si="0"/>
        <v>-29096</v>
      </c>
      <c r="C10" s="3">
        <v>9071</v>
      </c>
      <c r="D10" s="3">
        <v>3684</v>
      </c>
      <c r="E10" s="3">
        <v>38167</v>
      </c>
      <c r="F10" s="3">
        <v>20399.71</v>
      </c>
    </row>
    <row r="11" spans="1:6" x14ac:dyDescent="0.3">
      <c r="A11" s="2" t="s">
        <v>13</v>
      </c>
      <c r="B11" s="3">
        <f t="shared" si="0"/>
        <v>-31764</v>
      </c>
      <c r="C11" s="3">
        <v>4963</v>
      </c>
      <c r="D11" s="3">
        <v>2534.5</v>
      </c>
      <c r="E11" s="3">
        <v>36727</v>
      </c>
      <c r="F11" s="3">
        <v>19640.55</v>
      </c>
    </row>
    <row r="12" spans="1:6" x14ac:dyDescent="0.3">
      <c r="A12" s="2" t="s">
        <v>14</v>
      </c>
      <c r="B12" s="3">
        <f t="shared" si="0"/>
        <v>7955</v>
      </c>
      <c r="C12" s="3">
        <v>7955</v>
      </c>
      <c r="D12" s="3">
        <v>3802.4</v>
      </c>
      <c r="E12" s="3">
        <v>0</v>
      </c>
      <c r="F12" s="3">
        <v>0</v>
      </c>
    </row>
    <row r="13" spans="1:6" x14ac:dyDescent="0.3">
      <c r="A13" s="2" t="s">
        <v>15</v>
      </c>
      <c r="B13" s="3">
        <f t="shared" si="0"/>
        <v>3691</v>
      </c>
      <c r="C13" s="3">
        <v>3691</v>
      </c>
      <c r="D13" s="3">
        <v>2383.35</v>
      </c>
      <c r="E13" s="3">
        <v>0</v>
      </c>
      <c r="F13" s="3">
        <v>0</v>
      </c>
    </row>
    <row r="14" spans="1:6" x14ac:dyDescent="0.3">
      <c r="A14" s="2" t="s">
        <v>16</v>
      </c>
      <c r="B14" s="3">
        <f t="shared" si="0"/>
        <v>-7592</v>
      </c>
      <c r="C14" s="3">
        <v>31454</v>
      </c>
      <c r="D14" s="3">
        <v>20271</v>
      </c>
      <c r="E14" s="3">
        <v>39046</v>
      </c>
      <c r="F14" s="3">
        <v>20880</v>
      </c>
    </row>
    <row r="15" spans="1:6" ht="17.25" thickBot="1" x14ac:dyDescent="0.35">
      <c r="A15" s="4" t="s">
        <v>17</v>
      </c>
      <c r="B15" s="5">
        <f>SUM(B3:B14)</f>
        <v>-46834</v>
      </c>
      <c r="C15" s="5">
        <f t="shared" ref="C15" si="1">SUM(C3:C14)</f>
        <v>147050</v>
      </c>
      <c r="D15" s="5">
        <f t="shared" ref="D15:F15" si="2">SUM(D3:D14)</f>
        <v>76587.45</v>
      </c>
      <c r="E15" s="5">
        <f t="shared" si="2"/>
        <v>193884</v>
      </c>
      <c r="F15" s="5">
        <f t="shared" si="2"/>
        <v>102435.89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2026-06-01T00:19:24Z</dcterms:created>
  <dcterms:modified xsi:type="dcterms:W3CDTF">2026-06-01T06:41:37Z</dcterms:modified>
</cp:coreProperties>
</file>