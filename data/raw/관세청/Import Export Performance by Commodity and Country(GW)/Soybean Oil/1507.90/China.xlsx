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분획물(.9000)\"/>
    </mc:Choice>
  </mc:AlternateContent>
  <bookViews>
    <workbookView xWindow="0" yWindow="0" windowWidth="28800" windowHeight="11640" firstSheet="3" activeTab="16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4" l="1"/>
  <c r="B15" i="13"/>
  <c r="B15" i="12"/>
  <c r="B15" i="11"/>
  <c r="B15" i="10"/>
  <c r="B15" i="17"/>
  <c r="B15" i="16"/>
  <c r="B15" i="15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<sst xmlns="http://schemas.openxmlformats.org/spreadsheetml/2006/main" count="306" uniqueCount="45">
  <si>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</si>
  <si>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</si>
  <si>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</si>
  <si>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</si>
  <si>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</si>
  <si>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</si>
  <si>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</si>
  <si>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</si>
  <si>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</si>
  <si>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</si>
  <si>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</si>
  <si>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</si>
  <si>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</si>
  <si>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</si>
  <si>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</si>
  <si>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</si>
  <si>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</si>
  <si>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</si>
  <si>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</si>
  <si>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</si>
  <si>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</si>
  <si>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</si>
  <si>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</si>
  <si>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</si>
  <si>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</si>
  <si>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</si>
  <si>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</si>
  <si>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</si>
  <si>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</si>
  <si>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</si>
  <si>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</si>
  <si>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</si>
  <si>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</si>
  <si>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</si>
  <si>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</si>
  <si>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수출액(달러)</t>
    <phoneticPr fontId="1" type="noConversion"/>
  </si>
  <si>
    <t>수출량(kg)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</si>
  <si>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</si>
  <si>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</si>
  <si>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</si>
  <si>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</si>
  <si>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</si>
  <si>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</si>
  <si>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3월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</si>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</sst>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36220</v>
      </c>
      <c r="C3" s="3">
        <v>36220</v>
      </c>
      <c r="D3" s="3">
        <v>14400</v>
      </c>
      <c r="E3" s="3">
        <v>0</v>
      </c>
      <c r="F3" s="3">
        <v>0</v>
      </c>
    </row>
    <row r="4" spans="1:6" x14ac:dyDescent="0.3">
      <c r="A4" s="2" t="s">
        <v>24</v>
      </c>
      <c r="B4" s="3">
        <f t="shared" ref="B4:B14" si="0">C4-E4</f>
        <v>22882</v>
      </c>
      <c r="C4" s="3">
        <v>23692</v>
      </c>
      <c r="D4" s="3">
        <v>14400</v>
      </c>
      <c r="E4" s="3">
        <v>810</v>
      </c>
      <c r="F4" s="3">
        <v>3300</v>
      </c>
    </row>
    <row r="5" spans="1:6" x14ac:dyDescent="0.3">
      <c r="A5" s="2" t="s">
        <v>25</v>
      </c>
      <c r="B5" s="3">
        <f t="shared" si="0"/>
        <v>198</v>
      </c>
      <c r="C5" s="3">
        <v>198</v>
      </c>
      <c r="D5" s="3">
        <v>72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36320</v>
      </c>
      <c r="C6" s="3">
        <v>36320</v>
      </c>
      <c r="D6" s="3">
        <v>14400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25420</v>
      </c>
      <c r="C7" s="3">
        <v>25420</v>
      </c>
      <c r="D7" s="3">
        <v>14400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4145</v>
      </c>
      <c r="C8" s="3">
        <v>4155</v>
      </c>
      <c r="D8" s="3">
        <v>1079</v>
      </c>
      <c r="E8" s="3">
        <v>10</v>
      </c>
      <c r="F8" s="3">
        <v>1</v>
      </c>
    </row>
    <row r="9" spans="1:6" x14ac:dyDescent="0.3">
      <c r="A9" s="2" t="s">
        <v>11</v>
      </c>
      <c r="B9" s="3">
        <f t="shared" si="0"/>
        <v>37847</v>
      </c>
      <c r="C9" s="3">
        <v>37928</v>
      </c>
      <c r="D9" s="3">
        <v>20053</v>
      </c>
      <c r="E9" s="3">
        <v>81</v>
      </c>
      <c r="F9" s="3">
        <v>22</v>
      </c>
    </row>
    <row r="10" spans="1:6" x14ac:dyDescent="0.3">
      <c r="A10" s="2" t="s">
        <v>12</v>
      </c>
      <c r="B10" s="3">
        <f t="shared" si="0"/>
        <v>45382</v>
      </c>
      <c r="C10" s="3">
        <v>45382</v>
      </c>
      <c r="D10" s="3">
        <v>19492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27103</v>
      </c>
      <c r="C11" s="3">
        <v>27112</v>
      </c>
      <c r="D11" s="3">
        <v>21634</v>
      </c>
      <c r="E11" s="3">
        <v>9</v>
      </c>
      <c r="F11" s="3">
        <v>1</v>
      </c>
    </row>
    <row r="12" spans="1:6" x14ac:dyDescent="0.3">
      <c r="A12" s="2" t="s">
        <v>14</v>
      </c>
      <c r="B12" s="3">
        <f t="shared" si="0"/>
        <v>43987</v>
      </c>
      <c r="C12" s="3">
        <v>43987</v>
      </c>
      <c r="D12" s="3">
        <v>21847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47091</v>
      </c>
      <c r="C13" s="3">
        <v>47132</v>
      </c>
      <c r="D13" s="3">
        <v>20524</v>
      </c>
      <c r="E13" s="3">
        <v>41</v>
      </c>
      <c r="F13" s="3">
        <v>1</v>
      </c>
    </row>
    <row r="14" spans="1:6" x14ac:dyDescent="0.3">
      <c r="A14" s="2" t="s">
        <v>16</v>
      </c>
      <c r="B14" s="3">
        <f t="shared" si="0"/>
        <v>65542</v>
      </c>
      <c r="C14" s="3">
        <v>65934</v>
      </c>
      <c r="D14" s="3">
        <v>33172</v>
      </c>
      <c r="E14" s="3">
        <v>392</v>
      </c>
      <c r="F14" s="3">
        <v>100</v>
      </c>
    </row>
    <row r="15" spans="1:6" ht="17.25" thickBot="1" x14ac:dyDescent="0.35">
      <c r="A15" s="4" t="s">
        <v>26</v>
      </c>
      <c r="B15" s="5">
        <f>SUM(B3:B14)</f>
        <v>392137</v>
      </c>
      <c r="C15" s="5">
        <f t="shared" ref="C15:F15" si="1">SUM(C3:C14)</f>
        <v>393480</v>
      </c>
      <c r="D15" s="5">
        <f t="shared" si="1"/>
        <v>195473</v>
      </c>
      <c r="E15" s="5">
        <f t="shared" si="1"/>
        <v>1343</v>
      </c>
      <c r="F15" s="5">
        <f t="shared" si="1"/>
        <v>3425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>C3-E3</f>
        <v>45538</v>
      </c>
      <c r="C3" s="3">
        <v>45538</v>
      </c>
      <c r="D3" s="3">
        <v>20161</v>
      </c>
      <c r="E3" s="3">
        <v>0</v>
      </c>
      <c r="F3" s="3">
        <v>0</v>
      </c>
    </row>
    <row r="4" spans="1:6" x14ac:dyDescent="0.3">
      <c r="A4" s="2" t="s">
        <v>32</v>
      </c>
      <c r="B4" s="3">
        <f t="shared" ref="B4:B14" si="0">C4-E4</f>
        <v>4337</v>
      </c>
      <c r="C4" s="3">
        <v>4337</v>
      </c>
      <c r="D4" s="3">
        <v>2996</v>
      </c>
      <c r="E4" s="3">
        <v>0</v>
      </c>
      <c r="F4" s="3">
        <v>0</v>
      </c>
    </row>
    <row r="5" spans="1:6" x14ac:dyDescent="0.3">
      <c r="A5" s="2" t="s">
        <v>33</v>
      </c>
      <c r="B5" s="3">
        <f t="shared" si="0"/>
        <v>71768</v>
      </c>
      <c r="C5" s="3">
        <v>71768</v>
      </c>
      <c r="D5" s="3">
        <v>26101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105628</v>
      </c>
      <c r="C6" s="3">
        <v>105628</v>
      </c>
      <c r="D6" s="3">
        <v>49155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32694</v>
      </c>
      <c r="C7" s="3">
        <v>32694</v>
      </c>
      <c r="D7" s="3">
        <v>21657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43322</v>
      </c>
      <c r="C8" s="3">
        <v>43322</v>
      </c>
      <c r="D8" s="3">
        <v>15583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60905</v>
      </c>
      <c r="C9" s="3">
        <v>60905</v>
      </c>
      <c r="D9" s="3">
        <v>25197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77039</v>
      </c>
      <c r="C10" s="3">
        <v>77039</v>
      </c>
      <c r="D10" s="3">
        <v>30582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9293</v>
      </c>
      <c r="C11" s="3">
        <v>9293</v>
      </c>
      <c r="D11" s="3">
        <v>3182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88866</v>
      </c>
      <c r="C12" s="3">
        <v>88866</v>
      </c>
      <c r="D12" s="3">
        <v>30204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5390</v>
      </c>
      <c r="C13" s="3">
        <v>5418</v>
      </c>
      <c r="D13" s="3">
        <v>2772</v>
      </c>
      <c r="E13" s="3">
        <v>28</v>
      </c>
      <c r="F13" s="3">
        <v>6</v>
      </c>
    </row>
    <row r="14" spans="1:6" x14ac:dyDescent="0.3">
      <c r="A14" s="2" t="s">
        <v>16</v>
      </c>
      <c r="B14" s="3">
        <f t="shared" si="0"/>
        <v>455873</v>
      </c>
      <c r="C14" s="3">
        <v>455873</v>
      </c>
      <c r="D14" s="3">
        <v>139570</v>
      </c>
      <c r="E14" s="3">
        <v>0</v>
      </c>
      <c r="F14" s="3">
        <v>0</v>
      </c>
    </row>
    <row r="15" spans="1:6" ht="17.25" thickBot="1" x14ac:dyDescent="0.35">
      <c r="A15" s="4" t="s">
        <v>26</v>
      </c>
      <c r="B15" s="5">
        <f>SUM(B3:B14)</f>
        <v>1000653</v>
      </c>
      <c r="C15" s="5">
        <f t="shared" ref="C15:F15" si="1">SUM(C3:C14)</f>
        <v>1000681</v>
      </c>
      <c r="D15" s="5">
        <f t="shared" si="1"/>
        <v>367160</v>
      </c>
      <c r="E15" s="5">
        <f t="shared" si="1"/>
        <v>28</v>
      </c>
      <c r="F15" s="5">
        <f t="shared" si="1"/>
        <v>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>C3-E3</f>
        <v>171873</v>
      </c>
      <c r="C3" s="3">
        <v>171907</v>
      </c>
      <c r="D3" s="3">
        <v>55426</v>
      </c>
      <c r="E3" s="3">
        <v>34</v>
      </c>
      <c r="F3" s="3">
        <v>7</v>
      </c>
    </row>
    <row r="4" spans="1:6" x14ac:dyDescent="0.3">
      <c r="A4" s="2" t="s">
        <v>32</v>
      </c>
      <c r="B4" s="3">
        <f t="shared" ref="B4:B14" si="0">C4-E4</f>
        <v>72104</v>
      </c>
      <c r="C4" s="3">
        <v>72134</v>
      </c>
      <c r="D4" s="3">
        <v>16815</v>
      </c>
      <c r="E4" s="3">
        <v>30</v>
      </c>
      <c r="F4" s="3">
        <v>30</v>
      </c>
    </row>
    <row r="5" spans="1:6" x14ac:dyDescent="0.3">
      <c r="A5" s="2" t="s">
        <v>33</v>
      </c>
      <c r="B5" s="3">
        <f t="shared" si="0"/>
        <v>114733</v>
      </c>
      <c r="C5" s="3">
        <v>114733</v>
      </c>
      <c r="D5" s="3">
        <v>34360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94294</v>
      </c>
      <c r="C6" s="3">
        <v>94316</v>
      </c>
      <c r="D6" s="3">
        <v>29628</v>
      </c>
      <c r="E6" s="3">
        <v>22</v>
      </c>
      <c r="F6" s="3">
        <v>4</v>
      </c>
    </row>
    <row r="7" spans="1:6" x14ac:dyDescent="0.3">
      <c r="A7" s="2" t="s">
        <v>9</v>
      </c>
      <c r="B7" s="3">
        <f t="shared" si="0"/>
        <v>48560</v>
      </c>
      <c r="C7" s="3">
        <v>48560</v>
      </c>
      <c r="D7" s="3">
        <v>14400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54354</v>
      </c>
      <c r="C8" s="3">
        <v>54354</v>
      </c>
      <c r="D8" s="3">
        <v>16013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1283</v>
      </c>
      <c r="C9" s="3">
        <v>1333</v>
      </c>
      <c r="D9" s="3">
        <v>124</v>
      </c>
      <c r="E9" s="3">
        <v>50</v>
      </c>
      <c r="F9" s="3">
        <v>29</v>
      </c>
    </row>
    <row r="10" spans="1:6" x14ac:dyDescent="0.3">
      <c r="A10" s="2" t="s">
        <v>12</v>
      </c>
      <c r="B10" s="3">
        <f t="shared" si="0"/>
        <v>48944</v>
      </c>
      <c r="C10" s="3">
        <v>48944</v>
      </c>
      <c r="D10" s="3">
        <v>14435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49801</v>
      </c>
      <c r="C11" s="3">
        <v>49801</v>
      </c>
      <c r="D11" s="3">
        <v>14400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55520</v>
      </c>
      <c r="C12" s="3">
        <v>55520</v>
      </c>
      <c r="D12" s="3">
        <v>17640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99994</v>
      </c>
      <c r="C13" s="3">
        <v>100037</v>
      </c>
      <c r="D13" s="3">
        <v>29615</v>
      </c>
      <c r="E13" s="3">
        <v>43</v>
      </c>
      <c r="F13" s="3">
        <v>7</v>
      </c>
    </row>
    <row r="14" spans="1:6" x14ac:dyDescent="0.3">
      <c r="A14" s="2" t="s">
        <v>16</v>
      </c>
      <c r="B14" s="3">
        <f t="shared" si="0"/>
        <v>814</v>
      </c>
      <c r="C14" s="3">
        <v>814</v>
      </c>
      <c r="D14" s="3">
        <v>432</v>
      </c>
      <c r="E14" s="3">
        <v>0</v>
      </c>
      <c r="F14" s="3">
        <v>2</v>
      </c>
    </row>
    <row r="15" spans="1:6" ht="17.25" thickBot="1" x14ac:dyDescent="0.35">
      <c r="A15" s="4" t="s">
        <v>34</v>
      </c>
      <c r="B15" s="5">
        <f>SUM(B3:B14)</f>
        <v>812274</v>
      </c>
      <c r="C15" s="5">
        <f t="shared" ref="C15:F15" si="1">SUM(C3:C14)</f>
        <v>812453</v>
      </c>
      <c r="D15" s="5">
        <f t="shared" si="1"/>
        <v>243288</v>
      </c>
      <c r="E15" s="5">
        <f t="shared" si="1"/>
        <v>179</v>
      </c>
      <c r="F15" s="5">
        <f t="shared" si="1"/>
        <v>79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35</v>
      </c>
      <c r="D2" s="1" t="s">
        <v>36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103142</v>
      </c>
      <c r="C3" s="3">
        <v>103142</v>
      </c>
      <c r="D3" s="3">
        <v>30870</v>
      </c>
      <c r="E3" s="3">
        <v>0</v>
      </c>
      <c r="F3" s="3">
        <v>0</v>
      </c>
    </row>
    <row r="4" spans="1:6" x14ac:dyDescent="0.3">
      <c r="A4" s="2" t="s">
        <v>32</v>
      </c>
      <c r="B4" s="3">
        <f t="shared" si="0"/>
        <v>-23</v>
      </c>
      <c r="C4" s="3">
        <v>0</v>
      </c>
      <c r="D4" s="3">
        <v>0</v>
      </c>
      <c r="E4" s="3">
        <v>23</v>
      </c>
      <c r="F4" s="3">
        <v>3</v>
      </c>
    </row>
    <row r="5" spans="1:6" x14ac:dyDescent="0.3">
      <c r="A5" s="2" t="s">
        <v>33</v>
      </c>
      <c r="B5" s="3">
        <f t="shared" si="0"/>
        <v>98627</v>
      </c>
      <c r="C5" s="3">
        <v>98648</v>
      </c>
      <c r="D5" s="3">
        <v>28800</v>
      </c>
      <c r="E5" s="3">
        <v>21</v>
      </c>
      <c r="F5" s="3">
        <v>5</v>
      </c>
    </row>
    <row r="6" spans="1:6" x14ac:dyDescent="0.3">
      <c r="A6" s="2" t="s">
        <v>8</v>
      </c>
      <c r="B6" s="3">
        <f t="shared" si="0"/>
        <v>48560</v>
      </c>
      <c r="C6" s="3">
        <v>48560</v>
      </c>
      <c r="D6" s="3">
        <v>14400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100813</v>
      </c>
      <c r="C10" s="3">
        <v>100813</v>
      </c>
      <c r="D10" s="3">
        <v>28800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814</v>
      </c>
      <c r="C12" s="3">
        <v>814</v>
      </c>
      <c r="D12" s="3">
        <v>432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1</v>
      </c>
      <c r="C14" s="3">
        <v>1</v>
      </c>
      <c r="D14" s="3">
        <v>2</v>
      </c>
      <c r="E14" s="3">
        <v>0</v>
      </c>
      <c r="F14" s="3">
        <v>0</v>
      </c>
    </row>
    <row r="15" spans="1:6" ht="17.25" thickBot="1" x14ac:dyDescent="0.35">
      <c r="A15" s="4" t="s">
        <v>26</v>
      </c>
      <c r="B15" s="5">
        <f>SUM(B3:B14)</f>
        <v>351934</v>
      </c>
      <c r="C15" s="5">
        <f t="shared" ref="C15:F15" si="1">SUM(C3:C14)</f>
        <v>351978</v>
      </c>
      <c r="D15" s="5">
        <f t="shared" si="1"/>
        <v>103304</v>
      </c>
      <c r="E15" s="5">
        <f t="shared" si="1"/>
        <v>44</v>
      </c>
      <c r="F15" s="5">
        <f t="shared" si="1"/>
        <v>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</row>
    <row r="3" spans="1:6" x14ac:dyDescent="0.3">
      <c r="A3" s="2" t="s">
        <v>42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43</v>
      </c>
      <c r="B5" s="3">
        <f t="shared" si="0"/>
        <v>104917</v>
      </c>
      <c r="C5" s="3">
        <v>104917</v>
      </c>
      <c r="D5" s="3">
        <v>100000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37134</v>
      </c>
      <c r="C6" s="3">
        <v>37146</v>
      </c>
      <c r="D6" s="3">
        <v>14400</v>
      </c>
      <c r="E6" s="3">
        <v>12</v>
      </c>
      <c r="F6" s="3">
        <v>1</v>
      </c>
    </row>
    <row r="7" spans="1:6" x14ac:dyDescent="0.3">
      <c r="A7" s="2" t="s">
        <v>9</v>
      </c>
      <c r="B7" s="3">
        <f t="shared" si="0"/>
        <v>35498</v>
      </c>
      <c r="C7" s="3">
        <v>37145</v>
      </c>
      <c r="D7" s="3">
        <v>14400</v>
      </c>
      <c r="E7" s="3">
        <v>1647</v>
      </c>
      <c r="F7" s="3">
        <v>4200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374</v>
      </c>
      <c r="C11" s="3">
        <v>390</v>
      </c>
      <c r="D11" s="3">
        <v>77</v>
      </c>
      <c r="E11" s="3">
        <v>16</v>
      </c>
      <c r="F11" s="3">
        <v>2</v>
      </c>
    </row>
    <row r="12" spans="1:6" x14ac:dyDescent="0.3">
      <c r="A12" s="2" t="s">
        <v>14</v>
      </c>
      <c r="B12" s="3">
        <f t="shared" si="0"/>
        <v>-14</v>
      </c>
      <c r="C12" s="3">
        <v>0</v>
      </c>
      <c r="D12" s="3">
        <v>0</v>
      </c>
      <c r="E12" s="3">
        <v>14</v>
      </c>
      <c r="F12" s="3">
        <v>2</v>
      </c>
    </row>
    <row r="13" spans="1:6" x14ac:dyDescent="0.3">
      <c r="A13" s="2" t="s">
        <v>15</v>
      </c>
      <c r="B13" s="3">
        <f t="shared" si="0"/>
        <v>5842</v>
      </c>
      <c r="C13" s="3">
        <v>5858</v>
      </c>
      <c r="D13" s="3">
        <v>497</v>
      </c>
      <c r="E13" s="3">
        <v>16</v>
      </c>
      <c r="F13" s="3">
        <v>2</v>
      </c>
    </row>
    <row r="14" spans="1:6" x14ac:dyDescent="0.3">
      <c r="A14" s="2" t="s">
        <v>16</v>
      </c>
      <c r="B14" s="3">
        <f t="shared" si="0"/>
        <v>-386</v>
      </c>
      <c r="C14" s="3">
        <v>0</v>
      </c>
      <c r="D14" s="3">
        <v>0</v>
      </c>
      <c r="E14" s="3">
        <v>386</v>
      </c>
      <c r="F14" s="3">
        <v>23</v>
      </c>
    </row>
    <row r="15" spans="1:6" ht="17.25" thickBot="1" x14ac:dyDescent="0.35">
      <c r="A15" s="4" t="s">
        <v>34</v>
      </c>
      <c r="B15" s="5">
        <f>SUM(B3:B14)</f>
        <v>183365</v>
      </c>
      <c r="C15" s="5">
        <f t="shared" ref="C15:F15" si="1">SUM(C3:C14)</f>
        <v>185456</v>
      </c>
      <c r="D15" s="5">
        <f t="shared" si="1"/>
        <v>129374</v>
      </c>
      <c r="E15" s="5">
        <f t="shared" si="1"/>
        <v>2091</v>
      </c>
      <c r="F15" s="5">
        <f t="shared" si="1"/>
        <v>4230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780</v>
      </c>
      <c r="C3" s="3">
        <v>780</v>
      </c>
      <c r="D3" s="3">
        <v>160</v>
      </c>
      <c r="E3" s="3">
        <v>0</v>
      </c>
      <c r="F3" s="3">
        <v>0</v>
      </c>
    </row>
    <row r="4" spans="1:6" x14ac:dyDescent="0.3">
      <c r="A4" s="2" t="s">
        <v>32</v>
      </c>
      <c r="B4" s="3">
        <f t="shared" si="0"/>
        <v>-11</v>
      </c>
      <c r="C4" s="3">
        <v>0</v>
      </c>
      <c r="D4" s="3">
        <v>0</v>
      </c>
      <c r="E4" s="3">
        <v>11</v>
      </c>
      <c r="F4" s="3">
        <v>1</v>
      </c>
    </row>
    <row r="5" spans="1:6" x14ac:dyDescent="0.3">
      <c r="A5" s="2" t="s">
        <v>33</v>
      </c>
      <c r="B5" s="3">
        <f t="shared" si="0"/>
        <v>-737</v>
      </c>
      <c r="C5" s="3">
        <v>0</v>
      </c>
      <c r="D5" s="3">
        <v>0</v>
      </c>
      <c r="E5" s="3">
        <v>737</v>
      </c>
      <c r="F5" s="3">
        <v>42</v>
      </c>
    </row>
    <row r="6" spans="1:6" x14ac:dyDescent="0.3">
      <c r="A6" s="2" t="s">
        <v>8</v>
      </c>
      <c r="B6" s="3">
        <f t="shared" si="0"/>
        <v>-763</v>
      </c>
      <c r="C6" s="3">
        <v>0</v>
      </c>
      <c r="D6" s="3">
        <v>0</v>
      </c>
      <c r="E6" s="3">
        <v>763</v>
      </c>
      <c r="F6" s="3">
        <v>42</v>
      </c>
    </row>
    <row r="7" spans="1:6" x14ac:dyDescent="0.3">
      <c r="A7" s="2" t="s">
        <v>9</v>
      </c>
      <c r="B7" s="3">
        <f t="shared" si="0"/>
        <v>-81</v>
      </c>
      <c r="C7" s="3">
        <v>0</v>
      </c>
      <c r="D7" s="3">
        <v>0</v>
      </c>
      <c r="E7" s="3">
        <v>81</v>
      </c>
      <c r="F7" s="3">
        <v>15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-15198</v>
      </c>
      <c r="C9" s="3">
        <v>33022</v>
      </c>
      <c r="D9" s="3">
        <v>38840</v>
      </c>
      <c r="E9" s="3">
        <v>48220</v>
      </c>
      <c r="F9" s="3">
        <v>80060</v>
      </c>
    </row>
    <row r="10" spans="1:6" x14ac:dyDescent="0.3">
      <c r="A10" s="2" t="s">
        <v>12</v>
      </c>
      <c r="B10" s="3">
        <f t="shared" si="0"/>
        <v>33812</v>
      </c>
      <c r="C10" s="3">
        <v>33823</v>
      </c>
      <c r="D10" s="3">
        <v>39780</v>
      </c>
      <c r="E10" s="3">
        <v>11</v>
      </c>
      <c r="F10" s="3">
        <v>1</v>
      </c>
    </row>
    <row r="11" spans="1:6" x14ac:dyDescent="0.3">
      <c r="A11" s="2" t="s">
        <v>13</v>
      </c>
      <c r="B11" s="3">
        <f t="shared" si="0"/>
        <v>21691</v>
      </c>
      <c r="C11" s="3">
        <v>41042</v>
      </c>
      <c r="D11" s="3">
        <v>7855</v>
      </c>
      <c r="E11" s="3">
        <v>19351</v>
      </c>
      <c r="F11" s="3">
        <v>19950</v>
      </c>
    </row>
    <row r="12" spans="1:6" x14ac:dyDescent="0.3">
      <c r="A12" s="2" t="s">
        <v>14</v>
      </c>
      <c r="B12" s="3">
        <f t="shared" si="0"/>
        <v>30717</v>
      </c>
      <c r="C12" s="3">
        <v>33917</v>
      </c>
      <c r="D12" s="3">
        <v>54006</v>
      </c>
      <c r="E12" s="3">
        <v>3200</v>
      </c>
      <c r="F12" s="3">
        <v>80</v>
      </c>
    </row>
    <row r="13" spans="1:6" x14ac:dyDescent="0.3">
      <c r="A13" s="2" t="s">
        <v>15</v>
      </c>
      <c r="B13" s="3">
        <f t="shared" si="0"/>
        <v>31365</v>
      </c>
      <c r="C13" s="3">
        <v>31365</v>
      </c>
      <c r="D13" s="3">
        <v>33980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27310</v>
      </c>
      <c r="C14" s="3">
        <v>27310</v>
      </c>
      <c r="D14" s="3">
        <v>22511</v>
      </c>
      <c r="E14" s="3">
        <v>0</v>
      </c>
      <c r="F14" s="3">
        <v>0</v>
      </c>
    </row>
    <row r="15" spans="1:6" ht="17.25" thickBot="1" x14ac:dyDescent="0.35">
      <c r="A15" s="4" t="s">
        <v>44</v>
      </c>
      <c r="B15" s="5">
        <f>SUM(B3:B14)</f>
        <v>128885</v>
      </c>
      <c r="C15" s="5">
        <f t="shared" ref="C15:F15" si="1">SUM(C3:C14)</f>
        <v>201259</v>
      </c>
      <c r="D15" s="5">
        <f t="shared" si="1"/>
        <v>197132</v>
      </c>
      <c r="E15" s="5">
        <f t="shared" si="1"/>
        <v>72374</v>
      </c>
      <c r="F15" s="5">
        <f t="shared" si="1"/>
        <v>100191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3672</v>
      </c>
      <c r="C3" s="3">
        <v>3672</v>
      </c>
      <c r="D3" s="3">
        <v>495</v>
      </c>
      <c r="E3" s="3">
        <v>0</v>
      </c>
      <c r="F3" s="3">
        <v>0</v>
      </c>
    </row>
    <row r="4" spans="1:6" x14ac:dyDescent="0.3">
      <c r="A4" s="2" t="s">
        <v>32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33028</v>
      </c>
      <c r="C5" s="3">
        <v>33052</v>
      </c>
      <c r="D5" s="3">
        <v>29480</v>
      </c>
      <c r="E5" s="3">
        <v>24</v>
      </c>
      <c r="F5" s="3">
        <v>3</v>
      </c>
    </row>
    <row r="6" spans="1:6" x14ac:dyDescent="0.3">
      <c r="A6" s="2" t="s">
        <v>8</v>
      </c>
      <c r="B6" s="3">
        <f t="shared" si="0"/>
        <v>17314</v>
      </c>
      <c r="C6" s="3">
        <v>17314</v>
      </c>
      <c r="D6" s="3">
        <v>14440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15629</v>
      </c>
      <c r="C7" s="3">
        <v>15629</v>
      </c>
      <c r="D7" s="3">
        <v>14440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-1666</v>
      </c>
      <c r="C8" s="3">
        <v>16734</v>
      </c>
      <c r="D8" s="3">
        <v>14730</v>
      </c>
      <c r="E8" s="3">
        <v>18400</v>
      </c>
      <c r="F8" s="3">
        <v>40000</v>
      </c>
    </row>
    <row r="9" spans="1:6" x14ac:dyDescent="0.3">
      <c r="A9" s="2" t="s">
        <v>11</v>
      </c>
      <c r="B9" s="3">
        <f t="shared" si="0"/>
        <v>18567</v>
      </c>
      <c r="C9" s="3">
        <v>18567</v>
      </c>
      <c r="D9" s="3">
        <v>15170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216</v>
      </c>
      <c r="C10" s="3">
        <v>18616</v>
      </c>
      <c r="D10" s="3">
        <v>15550</v>
      </c>
      <c r="E10" s="3">
        <v>18400</v>
      </c>
      <c r="F10" s="3">
        <v>40000</v>
      </c>
    </row>
    <row r="11" spans="1:6" x14ac:dyDescent="0.3">
      <c r="A11" s="2" t="s">
        <v>13</v>
      </c>
      <c r="B11" s="3">
        <f t="shared" si="0"/>
        <v>26537</v>
      </c>
      <c r="C11" s="3">
        <v>26537</v>
      </c>
      <c r="D11" s="3">
        <v>16703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44105</v>
      </c>
      <c r="C12" s="3">
        <v>44105</v>
      </c>
      <c r="D12" s="3">
        <v>44174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16529</v>
      </c>
      <c r="C13" s="3">
        <v>16539</v>
      </c>
      <c r="D13" s="3">
        <v>14486</v>
      </c>
      <c r="E13" s="3">
        <v>10</v>
      </c>
      <c r="F13" s="3">
        <v>1</v>
      </c>
    </row>
    <row r="14" spans="1:6" x14ac:dyDescent="0.3">
      <c r="A14" s="2" t="s">
        <v>16</v>
      </c>
      <c r="B14" s="3">
        <f t="shared" si="0"/>
        <v>38242</v>
      </c>
      <c r="C14" s="3">
        <v>39274</v>
      </c>
      <c r="D14" s="3">
        <v>31752</v>
      </c>
      <c r="E14" s="3">
        <v>1032</v>
      </c>
      <c r="F14" s="3">
        <v>60</v>
      </c>
    </row>
    <row r="15" spans="1:6" ht="17.25" thickBot="1" x14ac:dyDescent="0.35">
      <c r="A15" s="4" t="s">
        <v>26</v>
      </c>
      <c r="B15" s="5">
        <f>SUM(B3:B14)</f>
        <v>212173</v>
      </c>
      <c r="C15" s="5">
        <f t="shared" ref="C15:F15" si="1">SUM(C3:C14)</f>
        <v>250039</v>
      </c>
      <c r="D15" s="5">
        <f t="shared" si="1"/>
        <v>211420</v>
      </c>
      <c r="E15" s="5">
        <f t="shared" si="1"/>
        <v>37866</v>
      </c>
      <c r="F15" s="5">
        <f t="shared" si="1"/>
        <v>80064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14898</v>
      </c>
      <c r="C3" s="3">
        <v>14898</v>
      </c>
      <c r="D3" s="3">
        <v>14495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53161</v>
      </c>
      <c r="C4" s="3">
        <v>53161</v>
      </c>
      <c r="D4" s="3">
        <v>31010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78378</v>
      </c>
      <c r="C6" s="3">
        <v>78391</v>
      </c>
      <c r="D6" s="3">
        <v>60204</v>
      </c>
      <c r="E6" s="3">
        <v>13</v>
      </c>
      <c r="F6" s="3">
        <v>1</v>
      </c>
    </row>
    <row r="7" spans="1:6" x14ac:dyDescent="0.3">
      <c r="A7" s="2" t="s">
        <v>9</v>
      </c>
      <c r="B7" s="3">
        <f t="shared" si="0"/>
        <v>39253</v>
      </c>
      <c r="C7" s="3">
        <v>40317</v>
      </c>
      <c r="D7" s="3">
        <v>25200</v>
      </c>
      <c r="E7" s="3">
        <v>1064</v>
      </c>
      <c r="F7" s="3">
        <v>62</v>
      </c>
    </row>
    <row r="8" spans="1:6" x14ac:dyDescent="0.3">
      <c r="A8" s="2" t="s">
        <v>10</v>
      </c>
      <c r="B8" s="3">
        <f t="shared" si="0"/>
        <v>17267</v>
      </c>
      <c r="C8" s="3">
        <v>26467</v>
      </c>
      <c r="D8" s="3">
        <v>15480</v>
      </c>
      <c r="E8" s="3">
        <v>9200</v>
      </c>
      <c r="F8" s="3">
        <v>20000</v>
      </c>
    </row>
    <row r="9" spans="1:6" x14ac:dyDescent="0.3">
      <c r="A9" s="2" t="s">
        <v>11</v>
      </c>
      <c r="B9" s="3">
        <f t="shared" si="0"/>
        <v>17240</v>
      </c>
      <c r="C9" s="3">
        <v>17261</v>
      </c>
      <c r="D9" s="3">
        <v>14400</v>
      </c>
      <c r="E9" s="3">
        <v>21</v>
      </c>
      <c r="F9" s="3">
        <v>0</v>
      </c>
    </row>
    <row r="10" spans="1:6" x14ac:dyDescent="0.3">
      <c r="A10" s="2" t="s">
        <v>12</v>
      </c>
      <c r="B10" s="3">
        <f t="shared" si="0"/>
        <v>40679</v>
      </c>
      <c r="C10" s="3">
        <v>40679</v>
      </c>
      <c r="D10" s="3">
        <v>30588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45794</v>
      </c>
      <c r="C11" s="3">
        <v>45794</v>
      </c>
      <c r="D11" s="3">
        <v>30800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26110</v>
      </c>
      <c r="C12" s="3">
        <v>26110</v>
      </c>
      <c r="D12" s="3">
        <v>16080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53098</v>
      </c>
      <c r="C13" s="3">
        <v>53125</v>
      </c>
      <c r="D13" s="3">
        <v>28800</v>
      </c>
      <c r="E13" s="3">
        <v>27</v>
      </c>
      <c r="F13" s="3">
        <v>5</v>
      </c>
    </row>
    <row r="14" spans="1:6" x14ac:dyDescent="0.3">
      <c r="A14" s="2" t="s">
        <v>16</v>
      </c>
      <c r="B14" s="3">
        <f t="shared" si="0"/>
        <v>49606</v>
      </c>
      <c r="C14" s="3">
        <v>49606</v>
      </c>
      <c r="D14" s="3">
        <v>28800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435484</v>
      </c>
      <c r="C15" s="5">
        <f t="shared" ref="C15" si="1">SUM(C3:C14)</f>
        <v>445809</v>
      </c>
      <c r="D15" s="5">
        <f t="shared" ref="D15:F15" si="2">SUM(D3:D14)</f>
        <v>295857</v>
      </c>
      <c r="E15" s="5">
        <f t="shared" si="2"/>
        <v>10325</v>
      </c>
      <c r="F15" s="5">
        <f t="shared" si="2"/>
        <v>20068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52272</v>
      </c>
      <c r="C3" s="3">
        <v>52272</v>
      </c>
      <c r="D3" s="3">
        <v>28800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32148</v>
      </c>
      <c r="C4" s="3">
        <v>32148</v>
      </c>
      <c r="D4" s="3">
        <v>14400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30560</v>
      </c>
      <c r="C5" s="3">
        <v>31542</v>
      </c>
      <c r="D5" s="3">
        <v>14400</v>
      </c>
      <c r="E5" s="3">
        <v>982</v>
      </c>
      <c r="F5" s="3">
        <v>60</v>
      </c>
    </row>
    <row r="6" spans="1:6" x14ac:dyDescent="0.3">
      <c r="A6" s="2" t="s">
        <v>8</v>
      </c>
      <c r="B6" s="3">
        <f t="shared" si="0"/>
        <v>66087</v>
      </c>
      <c r="C6" s="3">
        <v>66087</v>
      </c>
      <c r="D6" s="3">
        <v>28800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31965</v>
      </c>
      <c r="C8" s="3">
        <v>31965</v>
      </c>
      <c r="D8" s="3">
        <v>14400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30332</v>
      </c>
      <c r="C9" s="3">
        <v>30332</v>
      </c>
      <c r="D9" s="3">
        <v>14400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55752</v>
      </c>
      <c r="C10" s="3">
        <v>55778</v>
      </c>
      <c r="D10" s="3">
        <v>28800</v>
      </c>
      <c r="E10" s="3">
        <v>26</v>
      </c>
      <c r="F10" s="3">
        <v>4</v>
      </c>
    </row>
    <row r="11" spans="1:6" x14ac:dyDescent="0.3">
      <c r="A11" s="2" t="s">
        <v>13</v>
      </c>
      <c r="B11" s="3">
        <f t="shared" si="0"/>
        <v>-21</v>
      </c>
      <c r="C11" s="3">
        <v>0</v>
      </c>
      <c r="D11" s="3">
        <v>0</v>
      </c>
      <c r="E11" s="3">
        <v>21</v>
      </c>
      <c r="F11" s="3">
        <v>2</v>
      </c>
    </row>
    <row r="12" spans="1:6" x14ac:dyDescent="0.3">
      <c r="A12" s="2" t="s">
        <v>14</v>
      </c>
      <c r="B12" s="3">
        <f t="shared" si="0"/>
        <v>27156</v>
      </c>
      <c r="C12" s="3">
        <v>27156</v>
      </c>
      <c r="D12" s="3">
        <v>14400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326251</v>
      </c>
      <c r="C15" s="5">
        <f t="shared" ref="C15" si="1">SUM(C3:C14)</f>
        <v>327280</v>
      </c>
      <c r="D15" s="5">
        <f t="shared" ref="D15:F15" si="2">SUM(D3:D14)</f>
        <v>158400</v>
      </c>
      <c r="E15" s="5">
        <f t="shared" si="2"/>
        <v>1029</v>
      </c>
      <c r="F15" s="5">
        <f t="shared" si="2"/>
        <v>66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67038</v>
      </c>
      <c r="C3" s="3">
        <v>67038</v>
      </c>
      <c r="D3" s="3">
        <v>28800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38137</v>
      </c>
      <c r="C4" s="3">
        <v>38137</v>
      </c>
      <c r="D4" s="3">
        <v>14400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38544</v>
      </c>
      <c r="C5" s="3">
        <v>38554</v>
      </c>
      <c r="D5" s="3">
        <v>14400</v>
      </c>
      <c r="E5" s="3">
        <v>10</v>
      </c>
      <c r="F5" s="3">
        <v>1</v>
      </c>
    </row>
    <row r="6" spans="1:6" x14ac:dyDescent="0.3">
      <c r="A6" s="2" t="s">
        <v>8</v>
      </c>
      <c r="B6" s="3">
        <f t="shared" si="0"/>
        <v>47721</v>
      </c>
      <c r="C6" s="3">
        <v>47721</v>
      </c>
      <c r="D6" s="3">
        <v>28800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47608</v>
      </c>
      <c r="C7" s="3">
        <v>47628</v>
      </c>
      <c r="D7" s="3">
        <v>28800</v>
      </c>
      <c r="E7" s="3">
        <v>20</v>
      </c>
      <c r="F7" s="3">
        <v>2</v>
      </c>
    </row>
    <row r="8" spans="1:6" x14ac:dyDescent="0.3">
      <c r="A8" s="2" t="s">
        <v>10</v>
      </c>
      <c r="B8" s="3">
        <f t="shared" si="0"/>
        <v>-203</v>
      </c>
      <c r="C8" s="3">
        <v>0</v>
      </c>
      <c r="D8" s="3">
        <v>0</v>
      </c>
      <c r="E8" s="3">
        <v>203</v>
      </c>
      <c r="F8" s="3">
        <v>17</v>
      </c>
    </row>
    <row r="9" spans="1:6" x14ac:dyDescent="0.3">
      <c r="A9" s="2" t="s">
        <v>11</v>
      </c>
      <c r="B9" s="3">
        <f t="shared" si="0"/>
        <v>37886</v>
      </c>
      <c r="C9" s="3">
        <v>38806</v>
      </c>
      <c r="D9" s="3">
        <v>14400</v>
      </c>
      <c r="E9" s="3">
        <v>920</v>
      </c>
      <c r="F9" s="3">
        <v>18</v>
      </c>
    </row>
    <row r="10" spans="1:6" x14ac:dyDescent="0.3">
      <c r="A10" s="2" t="s">
        <v>12</v>
      </c>
      <c r="B10" s="3">
        <f t="shared" si="0"/>
        <v>73176</v>
      </c>
      <c r="C10" s="3">
        <v>73176</v>
      </c>
      <c r="D10" s="3">
        <v>28800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29987</v>
      </c>
      <c r="C11" s="3">
        <v>29987</v>
      </c>
      <c r="D11" s="3">
        <v>14400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31416</v>
      </c>
      <c r="C12" s="3">
        <v>31416</v>
      </c>
      <c r="D12" s="3">
        <v>14400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58139</v>
      </c>
      <c r="C13" s="3">
        <v>60389</v>
      </c>
      <c r="D13" s="3">
        <v>28800</v>
      </c>
      <c r="E13" s="3">
        <v>2250</v>
      </c>
      <c r="F13" s="3">
        <v>100</v>
      </c>
    </row>
    <row r="14" spans="1:6" x14ac:dyDescent="0.3">
      <c r="A14" s="2" t="s">
        <v>16</v>
      </c>
      <c r="B14" s="3">
        <f t="shared" si="0"/>
        <v>30375</v>
      </c>
      <c r="C14" s="3">
        <v>30375</v>
      </c>
      <c r="D14" s="3">
        <v>14400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499824</v>
      </c>
      <c r="C15" s="5">
        <f t="shared" ref="C15" si="1">SUM(C3:C14)</f>
        <v>503227</v>
      </c>
      <c r="D15" s="5">
        <f t="shared" ref="D15:F15" si="2">SUM(D3:D14)</f>
        <v>230400</v>
      </c>
      <c r="E15" s="5">
        <f t="shared" si="2"/>
        <v>3403</v>
      </c>
      <c r="F15" s="5">
        <f t="shared" si="2"/>
        <v>138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34983</v>
      </c>
      <c r="C3" s="3">
        <v>34989</v>
      </c>
      <c r="D3" s="3">
        <v>14400</v>
      </c>
      <c r="E3" s="3">
        <v>6</v>
      </c>
      <c r="F3" s="3">
        <v>1</v>
      </c>
    </row>
    <row r="4" spans="1:6" x14ac:dyDescent="0.3">
      <c r="A4" s="2" t="s">
        <v>6</v>
      </c>
      <c r="B4" s="3">
        <f t="shared" ref="B4:B14" si="0">C4-E4</f>
        <v>68259</v>
      </c>
      <c r="C4" s="3">
        <v>69153</v>
      </c>
      <c r="D4" s="3">
        <v>28800</v>
      </c>
      <c r="E4" s="3">
        <v>894</v>
      </c>
      <c r="F4" s="3">
        <v>18</v>
      </c>
    </row>
    <row r="5" spans="1:6" x14ac:dyDescent="0.3">
      <c r="A5" s="2" t="s">
        <v>7</v>
      </c>
      <c r="B5" s="3">
        <f t="shared" si="0"/>
        <v>73897</v>
      </c>
      <c r="C5" s="3">
        <v>73897</v>
      </c>
      <c r="D5" s="3">
        <v>28800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75005</v>
      </c>
      <c r="C6" s="3">
        <v>75005</v>
      </c>
      <c r="D6" s="3">
        <v>28800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38889</v>
      </c>
      <c r="C7" s="3">
        <v>38889</v>
      </c>
      <c r="D7" s="3">
        <v>14400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39300</v>
      </c>
      <c r="C8" s="3">
        <v>39300</v>
      </c>
      <c r="D8" s="3">
        <v>14400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32656</v>
      </c>
      <c r="C9" s="3">
        <v>32670</v>
      </c>
      <c r="D9" s="3">
        <v>14400</v>
      </c>
      <c r="E9" s="3">
        <v>14</v>
      </c>
      <c r="F9" s="3">
        <v>5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63649</v>
      </c>
      <c r="C11" s="3">
        <v>63649</v>
      </c>
      <c r="D11" s="3">
        <v>28800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31712</v>
      </c>
      <c r="C12" s="3">
        <v>31712</v>
      </c>
      <c r="D12" s="3">
        <v>14400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32100</v>
      </c>
      <c r="C13" s="3">
        <v>32100</v>
      </c>
      <c r="D13" s="3">
        <v>14400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29740</v>
      </c>
      <c r="C14" s="3">
        <v>29740</v>
      </c>
      <c r="D14" s="3">
        <v>14400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520190</v>
      </c>
      <c r="C15" s="5">
        <f t="shared" ref="C15" si="1">SUM(C3:C14)</f>
        <v>521104</v>
      </c>
      <c r="D15" s="5">
        <f t="shared" ref="D15:F15" si="2">SUM(D3:D14)</f>
        <v>216000</v>
      </c>
      <c r="E15" s="5">
        <f t="shared" si="2"/>
        <v>914</v>
      </c>
      <c r="F15" s="5">
        <f t="shared" si="2"/>
        <v>24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71150</v>
      </c>
      <c r="C3" s="3">
        <v>71150</v>
      </c>
      <c r="D3" s="3">
        <v>28800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33300</v>
      </c>
      <c r="C4" s="3">
        <v>33300</v>
      </c>
      <c r="D4" s="3">
        <v>14400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75984</v>
      </c>
      <c r="C5" s="3">
        <v>75984</v>
      </c>
      <c r="D5" s="3">
        <v>28800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37497</v>
      </c>
      <c r="C6" s="3">
        <v>38194</v>
      </c>
      <c r="D6" s="3">
        <v>14400</v>
      </c>
      <c r="E6" s="3">
        <v>697</v>
      </c>
      <c r="F6" s="3">
        <v>10</v>
      </c>
    </row>
    <row r="7" spans="1:6" x14ac:dyDescent="0.3">
      <c r="A7" s="2" t="s">
        <v>9</v>
      </c>
      <c r="B7" s="3">
        <f t="shared" si="0"/>
        <v>80938</v>
      </c>
      <c r="C7" s="3">
        <v>80958</v>
      </c>
      <c r="D7" s="3">
        <v>28800</v>
      </c>
      <c r="E7" s="3">
        <v>20</v>
      </c>
      <c r="F7" s="3">
        <v>3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99476</v>
      </c>
      <c r="C9" s="3">
        <v>99476</v>
      </c>
      <c r="D9" s="3">
        <v>43200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34909</v>
      </c>
      <c r="C10" s="3">
        <v>34909</v>
      </c>
      <c r="D10" s="3">
        <v>14400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70217</v>
      </c>
      <c r="C11" s="3">
        <v>70877</v>
      </c>
      <c r="D11" s="3">
        <v>28810</v>
      </c>
      <c r="E11" s="3">
        <v>660</v>
      </c>
      <c r="F11" s="3">
        <v>10</v>
      </c>
    </row>
    <row r="12" spans="1:6" x14ac:dyDescent="0.3">
      <c r="A12" s="2" t="s">
        <v>14</v>
      </c>
      <c r="B12" s="3">
        <f t="shared" si="0"/>
        <v>30496</v>
      </c>
      <c r="C12" s="3">
        <v>30496</v>
      </c>
      <c r="D12" s="3">
        <v>14405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69059</v>
      </c>
      <c r="C13" s="3">
        <v>69059</v>
      </c>
      <c r="D13" s="3">
        <v>28800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33526</v>
      </c>
      <c r="C14" s="3">
        <v>33526</v>
      </c>
      <c r="D14" s="3">
        <v>14405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636552</v>
      </c>
      <c r="C15" s="5">
        <f t="shared" ref="C15" si="1">SUM(C3:C14)</f>
        <v>637929</v>
      </c>
      <c r="D15" s="5">
        <f t="shared" ref="D15:F15" si="2">SUM(D3:D14)</f>
        <v>259220</v>
      </c>
      <c r="E15" s="5">
        <f t="shared" si="2"/>
        <v>1377</v>
      </c>
      <c r="F15" s="5">
        <f t="shared" si="2"/>
        <v>23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35664</v>
      </c>
      <c r="C3" s="3">
        <v>36344</v>
      </c>
      <c r="D3" s="3">
        <v>14400</v>
      </c>
      <c r="E3" s="3">
        <v>680</v>
      </c>
      <c r="F3" s="3">
        <v>15</v>
      </c>
    </row>
    <row r="4" spans="1:6" x14ac:dyDescent="0.3">
      <c r="A4" s="2" t="s">
        <v>6</v>
      </c>
      <c r="B4" s="3">
        <f t="shared" ref="B4:B14" si="0">C4-E4</f>
        <v>29862</v>
      </c>
      <c r="C4" s="3">
        <v>29870</v>
      </c>
      <c r="D4" s="3">
        <v>14518</v>
      </c>
      <c r="E4" s="3">
        <v>8</v>
      </c>
      <c r="F4" s="3">
        <v>1</v>
      </c>
    </row>
    <row r="5" spans="1:6" x14ac:dyDescent="0.3">
      <c r="A5" s="2" t="s">
        <v>7</v>
      </c>
      <c r="B5" s="3">
        <f t="shared" si="0"/>
        <v>99057</v>
      </c>
      <c r="C5" s="3">
        <v>99093</v>
      </c>
      <c r="D5" s="3">
        <v>29426</v>
      </c>
      <c r="E5" s="3">
        <v>36</v>
      </c>
      <c r="F5" s="3">
        <v>3</v>
      </c>
    </row>
    <row r="6" spans="1:6" x14ac:dyDescent="0.3">
      <c r="A6" s="2" t="s">
        <v>8</v>
      </c>
      <c r="B6" s="3">
        <f t="shared" si="0"/>
        <v>142257</v>
      </c>
      <c r="C6" s="3">
        <v>142257</v>
      </c>
      <c r="D6" s="3">
        <v>43200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41090</v>
      </c>
      <c r="C7" s="3">
        <v>41465</v>
      </c>
      <c r="D7" s="3">
        <v>14405</v>
      </c>
      <c r="E7" s="3">
        <v>375</v>
      </c>
      <c r="F7" s="3">
        <v>167</v>
      </c>
    </row>
    <row r="8" spans="1:6" x14ac:dyDescent="0.3">
      <c r="A8" s="2" t="s">
        <v>10</v>
      </c>
      <c r="B8" s="3">
        <f t="shared" si="0"/>
        <v>32534</v>
      </c>
      <c r="C8" s="3">
        <v>32534</v>
      </c>
      <c r="D8" s="3">
        <v>14400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99035</v>
      </c>
      <c r="C9" s="3">
        <v>99042</v>
      </c>
      <c r="D9" s="3">
        <v>28800</v>
      </c>
      <c r="E9" s="3">
        <v>7</v>
      </c>
      <c r="F9" s="3">
        <v>1</v>
      </c>
    </row>
    <row r="10" spans="1:6" x14ac:dyDescent="0.3">
      <c r="A10" s="2" t="s">
        <v>12</v>
      </c>
      <c r="B10" s="3">
        <f t="shared" si="0"/>
        <v>-51483</v>
      </c>
      <c r="C10" s="3">
        <v>33381</v>
      </c>
      <c r="D10" s="3">
        <v>14400</v>
      </c>
      <c r="E10" s="3">
        <v>84864</v>
      </c>
      <c r="F10" s="3">
        <v>44582</v>
      </c>
    </row>
    <row r="11" spans="1:6" x14ac:dyDescent="0.3">
      <c r="A11" s="2" t="s">
        <v>13</v>
      </c>
      <c r="B11" s="3">
        <f t="shared" si="0"/>
        <v>78111</v>
      </c>
      <c r="C11" s="3">
        <v>125955</v>
      </c>
      <c r="D11" s="3">
        <v>43215</v>
      </c>
      <c r="E11" s="3">
        <v>47844</v>
      </c>
      <c r="F11" s="3">
        <v>23184</v>
      </c>
    </row>
    <row r="12" spans="1:6" x14ac:dyDescent="0.3">
      <c r="A12" s="2" t="s">
        <v>14</v>
      </c>
      <c r="B12" s="3">
        <f t="shared" si="0"/>
        <v>34369</v>
      </c>
      <c r="C12" s="3">
        <v>34369</v>
      </c>
      <c r="D12" s="3">
        <v>14400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72146</v>
      </c>
      <c r="C13" s="3">
        <v>72518</v>
      </c>
      <c r="D13" s="3">
        <v>14400</v>
      </c>
      <c r="E13" s="3">
        <v>372</v>
      </c>
      <c r="F13" s="3">
        <v>9</v>
      </c>
    </row>
    <row r="14" spans="1:6" x14ac:dyDescent="0.3">
      <c r="A14" s="2" t="s">
        <v>16</v>
      </c>
      <c r="B14" s="3">
        <f t="shared" si="0"/>
        <v>16437</v>
      </c>
      <c r="C14" s="3">
        <v>61646</v>
      </c>
      <c r="D14" s="3">
        <v>28800</v>
      </c>
      <c r="E14" s="3">
        <v>45209</v>
      </c>
      <c r="F14" s="3">
        <v>23195</v>
      </c>
    </row>
    <row r="15" spans="1:6" ht="17.25" thickBot="1" x14ac:dyDescent="0.35">
      <c r="A15" s="4" t="s">
        <v>17</v>
      </c>
      <c r="B15" s="5">
        <f>SUM(B3:B14)</f>
        <v>629079</v>
      </c>
      <c r="C15" s="5">
        <f t="shared" ref="C15" si="1">SUM(C3:C14)</f>
        <v>808474</v>
      </c>
      <c r="D15" s="5">
        <f t="shared" ref="D15:F15" si="2">SUM(D3:D14)</f>
        <v>274364</v>
      </c>
      <c r="E15" s="5">
        <f t="shared" si="2"/>
        <v>179395</v>
      </c>
      <c r="F15" s="5">
        <f t="shared" si="2"/>
        <v>91157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94858</v>
      </c>
      <c r="C3" s="3">
        <v>94858</v>
      </c>
      <c r="D3" s="3">
        <v>28800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37438</v>
      </c>
      <c r="C4" s="3">
        <v>37438</v>
      </c>
      <c r="D4" s="3">
        <v>14400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100813</v>
      </c>
      <c r="C5" s="3">
        <v>101551</v>
      </c>
      <c r="D5" s="3">
        <v>28800</v>
      </c>
      <c r="E5" s="3">
        <v>738</v>
      </c>
      <c r="F5" s="3">
        <v>16</v>
      </c>
    </row>
    <row r="6" spans="1:6" x14ac:dyDescent="0.3">
      <c r="A6" s="2" t="s">
        <v>8</v>
      </c>
      <c r="B6" s="3">
        <f t="shared" si="0"/>
        <v>39378</v>
      </c>
      <c r="C6" s="3">
        <v>39378</v>
      </c>
      <c r="D6" s="3">
        <v>14400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39872</v>
      </c>
      <c r="C7" s="3">
        <v>39872</v>
      </c>
      <c r="D7" s="3">
        <v>14400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67392</v>
      </c>
      <c r="C8" s="3">
        <v>67392</v>
      </c>
      <c r="D8" s="3">
        <v>14400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32610</v>
      </c>
      <c r="C9" s="3">
        <v>33310</v>
      </c>
      <c r="D9" s="3">
        <v>14400</v>
      </c>
      <c r="E9" s="3">
        <v>700</v>
      </c>
      <c r="F9" s="3">
        <v>10</v>
      </c>
    </row>
    <row r="10" spans="1:6" x14ac:dyDescent="0.3">
      <c r="A10" s="2" t="s">
        <v>12</v>
      </c>
      <c r="B10" s="3">
        <f t="shared" si="0"/>
        <v>104349</v>
      </c>
      <c r="C10" s="3">
        <v>104350</v>
      </c>
      <c r="D10" s="3">
        <v>28800</v>
      </c>
      <c r="E10" s="3">
        <v>1</v>
      </c>
      <c r="F10" s="3">
        <v>3</v>
      </c>
    </row>
    <row r="11" spans="1:6" x14ac:dyDescent="0.3">
      <c r="A11" s="2" t="s">
        <v>13</v>
      </c>
      <c r="B11" s="3">
        <f t="shared" si="0"/>
        <v>33230</v>
      </c>
      <c r="C11" s="3">
        <v>33310</v>
      </c>
      <c r="D11" s="3">
        <v>14400</v>
      </c>
      <c r="E11" s="3">
        <v>80</v>
      </c>
      <c r="F11" s="3">
        <v>18</v>
      </c>
    </row>
    <row r="12" spans="1:6" x14ac:dyDescent="0.3">
      <c r="A12" s="2" t="s">
        <v>14</v>
      </c>
      <c r="B12" s="3">
        <f t="shared" si="0"/>
        <v>96493</v>
      </c>
      <c r="C12" s="3">
        <v>96505</v>
      </c>
      <c r="D12" s="3">
        <v>28800</v>
      </c>
      <c r="E12" s="3">
        <v>12</v>
      </c>
      <c r="F12" s="3">
        <v>1</v>
      </c>
    </row>
    <row r="13" spans="1:6" x14ac:dyDescent="0.3">
      <c r="A13" s="2" t="s">
        <v>15</v>
      </c>
      <c r="B13" s="3">
        <f t="shared" si="0"/>
        <v>29039</v>
      </c>
      <c r="C13" s="3">
        <v>29077</v>
      </c>
      <c r="D13" s="3">
        <v>14400</v>
      </c>
      <c r="E13" s="3">
        <v>38</v>
      </c>
      <c r="F13" s="3">
        <v>4</v>
      </c>
    </row>
    <row r="14" spans="1:6" x14ac:dyDescent="0.3">
      <c r="A14" s="2" t="s">
        <v>16</v>
      </c>
      <c r="B14" s="3">
        <f t="shared" si="0"/>
        <v>103210</v>
      </c>
      <c r="C14" s="3">
        <v>103262</v>
      </c>
      <c r="D14" s="3">
        <v>28800</v>
      </c>
      <c r="E14" s="3">
        <v>52</v>
      </c>
      <c r="F14" s="3">
        <v>7</v>
      </c>
    </row>
    <row r="15" spans="1:6" ht="17.25" thickBot="1" x14ac:dyDescent="0.35">
      <c r="A15" s="4" t="s">
        <v>17</v>
      </c>
      <c r="B15" s="5">
        <f>SUM(B3:B14)</f>
        <v>778682</v>
      </c>
      <c r="C15" s="5">
        <f t="shared" ref="C15" si="1">SUM(C3:C14)</f>
        <v>780303</v>
      </c>
      <c r="D15" s="5">
        <f t="shared" ref="D15:F15" si="2">SUM(D3:D14)</f>
        <v>244800</v>
      </c>
      <c r="E15" s="5">
        <f t="shared" si="2"/>
        <v>1621</v>
      </c>
      <c r="F15" s="5">
        <f t="shared" si="2"/>
        <v>59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129312</v>
      </c>
      <c r="C3" s="3">
        <v>129362</v>
      </c>
      <c r="D3" s="3">
        <v>43200</v>
      </c>
      <c r="E3" s="3">
        <v>50</v>
      </c>
      <c r="F3" s="3">
        <v>10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103801</v>
      </c>
      <c r="C5" s="3">
        <v>103812</v>
      </c>
      <c r="D5" s="3">
        <v>28800</v>
      </c>
      <c r="E5" s="3">
        <v>11</v>
      </c>
      <c r="F5" s="3">
        <v>1</v>
      </c>
    </row>
    <row r="6" spans="1:6" x14ac:dyDescent="0.3">
      <c r="A6" s="2" t="s">
        <v>8</v>
      </c>
      <c r="B6" s="3">
        <f t="shared" si="0"/>
        <v>36721</v>
      </c>
      <c r="C6" s="3">
        <v>36723</v>
      </c>
      <c r="D6" s="3">
        <v>14400</v>
      </c>
      <c r="E6" s="3">
        <v>2</v>
      </c>
      <c r="F6" s="3">
        <v>1</v>
      </c>
    </row>
    <row r="7" spans="1:6" x14ac:dyDescent="0.3">
      <c r="A7" s="2" t="s">
        <v>9</v>
      </c>
      <c r="B7" s="3">
        <f t="shared" si="0"/>
        <v>66206</v>
      </c>
      <c r="C7" s="3">
        <v>66211</v>
      </c>
      <c r="D7" s="3">
        <v>14400</v>
      </c>
      <c r="E7" s="3">
        <v>5</v>
      </c>
      <c r="F7" s="3">
        <v>3</v>
      </c>
    </row>
    <row r="8" spans="1:6" x14ac:dyDescent="0.3">
      <c r="A8" s="2" t="s">
        <v>10</v>
      </c>
      <c r="B8" s="3">
        <f t="shared" si="0"/>
        <v>37823</v>
      </c>
      <c r="C8" s="3">
        <v>37833</v>
      </c>
      <c r="D8" s="3">
        <v>14400</v>
      </c>
      <c r="E8" s="3">
        <v>10</v>
      </c>
      <c r="F8" s="3">
        <v>2</v>
      </c>
    </row>
    <row r="9" spans="1:6" x14ac:dyDescent="0.3">
      <c r="A9" s="2" t="s">
        <v>11</v>
      </c>
      <c r="B9" s="3">
        <f t="shared" si="0"/>
        <v>73621</v>
      </c>
      <c r="C9" s="3">
        <v>74445</v>
      </c>
      <c r="D9" s="3">
        <v>28800</v>
      </c>
      <c r="E9" s="3">
        <v>824</v>
      </c>
      <c r="F9" s="3">
        <v>13</v>
      </c>
    </row>
    <row r="10" spans="1:6" x14ac:dyDescent="0.3">
      <c r="A10" s="2" t="s">
        <v>12</v>
      </c>
      <c r="B10" s="3">
        <f t="shared" si="0"/>
        <v>34260</v>
      </c>
      <c r="C10" s="3">
        <v>34280</v>
      </c>
      <c r="D10" s="3">
        <v>14400</v>
      </c>
      <c r="E10" s="3">
        <v>20</v>
      </c>
      <c r="F10" s="3">
        <v>3</v>
      </c>
    </row>
    <row r="11" spans="1:6" x14ac:dyDescent="0.3">
      <c r="A11" s="2" t="s">
        <v>13</v>
      </c>
      <c r="B11" s="3">
        <f t="shared" si="0"/>
        <v>36316</v>
      </c>
      <c r="C11" s="3">
        <v>36316</v>
      </c>
      <c r="D11" s="3">
        <v>14400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35562</v>
      </c>
      <c r="C12" s="3">
        <v>35576</v>
      </c>
      <c r="D12" s="3">
        <v>14400</v>
      </c>
      <c r="E12" s="3">
        <v>14</v>
      </c>
      <c r="F12" s="3">
        <v>1</v>
      </c>
    </row>
    <row r="13" spans="1:6" x14ac:dyDescent="0.3">
      <c r="A13" s="2" t="s">
        <v>15</v>
      </c>
      <c r="B13" s="3">
        <f t="shared" si="0"/>
        <v>30728</v>
      </c>
      <c r="C13" s="3">
        <v>30728</v>
      </c>
      <c r="D13" s="3">
        <v>14400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35095</v>
      </c>
      <c r="C14" s="3">
        <v>35095</v>
      </c>
      <c r="D14" s="3">
        <v>14400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619445</v>
      </c>
      <c r="C15" s="5">
        <f t="shared" ref="C15" si="1">SUM(C3:C14)</f>
        <v>620381</v>
      </c>
      <c r="D15" s="5">
        <f t="shared" ref="D15:F15" si="2">SUM(D3:D14)</f>
        <v>216000</v>
      </c>
      <c r="E15" s="5">
        <f t="shared" si="2"/>
        <v>936</v>
      </c>
      <c r="F15" s="5">
        <f t="shared" si="2"/>
        <v>34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61751</v>
      </c>
      <c r="C3" s="3">
        <v>61788</v>
      </c>
      <c r="D3" s="3">
        <v>14400</v>
      </c>
      <c r="E3" s="3">
        <v>37</v>
      </c>
      <c r="F3" s="3">
        <v>6</v>
      </c>
    </row>
    <row r="4" spans="1:6" x14ac:dyDescent="0.3">
      <c r="A4" s="2" t="s">
        <v>6</v>
      </c>
      <c r="B4" s="3">
        <f t="shared" ref="B4:B14" si="0">C4-E4</f>
        <v>33244</v>
      </c>
      <c r="C4" s="3">
        <v>33244</v>
      </c>
      <c r="D4" s="3">
        <v>14400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82352</v>
      </c>
      <c r="C5" s="3">
        <v>82352</v>
      </c>
      <c r="D5" s="3">
        <v>28800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96263</v>
      </c>
      <c r="C6" s="3">
        <v>96283</v>
      </c>
      <c r="D6" s="3">
        <v>28800</v>
      </c>
      <c r="E6" s="3">
        <v>20</v>
      </c>
      <c r="F6" s="3">
        <v>2</v>
      </c>
    </row>
    <row r="7" spans="1:6" x14ac:dyDescent="0.3">
      <c r="A7" s="2" t="s">
        <v>9</v>
      </c>
      <c r="B7" s="3">
        <f t="shared" si="0"/>
        <v>32629</v>
      </c>
      <c r="C7" s="3">
        <v>33392</v>
      </c>
      <c r="D7" s="3">
        <v>14400</v>
      </c>
      <c r="E7" s="3">
        <v>763</v>
      </c>
      <c r="F7" s="3">
        <v>18</v>
      </c>
    </row>
    <row r="8" spans="1:6" x14ac:dyDescent="0.3">
      <c r="A8" s="2" t="s">
        <v>10</v>
      </c>
      <c r="B8" s="3">
        <f t="shared" si="0"/>
        <v>42829</v>
      </c>
      <c r="C8" s="3">
        <v>42829</v>
      </c>
      <c r="D8" s="3">
        <v>14400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38365</v>
      </c>
      <c r="C10" s="3">
        <v>38469</v>
      </c>
      <c r="D10" s="3">
        <v>14400</v>
      </c>
      <c r="E10" s="3">
        <v>104</v>
      </c>
      <c r="F10" s="3">
        <v>7</v>
      </c>
    </row>
    <row r="11" spans="1:6" x14ac:dyDescent="0.3">
      <c r="A11" s="2" t="s">
        <v>13</v>
      </c>
      <c r="B11" s="3">
        <f t="shared" si="0"/>
        <v>69774</v>
      </c>
      <c r="C11" s="3">
        <v>69774</v>
      </c>
      <c r="D11" s="3">
        <v>28800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30398</v>
      </c>
      <c r="C12" s="3">
        <v>30398</v>
      </c>
      <c r="D12" s="3">
        <v>14400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38755</v>
      </c>
      <c r="C13" s="3">
        <v>38755</v>
      </c>
      <c r="D13" s="3">
        <v>14400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-1225333</v>
      </c>
      <c r="C14" s="3">
        <v>0</v>
      </c>
      <c r="D14" s="3">
        <v>0</v>
      </c>
      <c r="E14" s="3">
        <v>1225333</v>
      </c>
      <c r="F14" s="3">
        <v>1009360</v>
      </c>
    </row>
    <row r="15" spans="1:6" ht="17.25" thickBot="1" x14ac:dyDescent="0.35">
      <c r="A15" s="4" t="s">
        <v>17</v>
      </c>
      <c r="B15" s="5">
        <f>SUM(B3:B14)</f>
        <v>-698973</v>
      </c>
      <c r="C15" s="5">
        <f t="shared" ref="C15" si="1">SUM(C3:C14)</f>
        <v>527284</v>
      </c>
      <c r="D15" s="5">
        <f t="shared" ref="D15:F15" si="2">SUM(D3:D14)</f>
        <v>187200</v>
      </c>
      <c r="E15" s="5">
        <f t="shared" si="2"/>
        <v>1226257</v>
      </c>
      <c r="F15" s="5">
        <f t="shared" si="2"/>
        <v>1009393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1.25" customWidth="1"/>
    <col min="4" max="4" width="10.875" customWidth="1"/>
    <col min="5" max="6" width="10.375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-2422392</v>
      </c>
      <c r="C3" s="3">
        <v>29038</v>
      </c>
      <c r="D3" s="3">
        <v>14400</v>
      </c>
      <c r="E3" s="3">
        <v>2451430</v>
      </c>
      <c r="F3" s="3">
        <v>2019180</v>
      </c>
    </row>
    <row r="4" spans="1:6" x14ac:dyDescent="0.3">
      <c r="A4" s="2" t="s">
        <v>6</v>
      </c>
      <c r="B4" s="3">
        <f t="shared" ref="B4:B14" si="0">C4-E4</f>
        <v>28840</v>
      </c>
      <c r="C4" s="3">
        <v>29038</v>
      </c>
      <c r="D4" s="3">
        <v>14400</v>
      </c>
      <c r="E4" s="3">
        <v>198</v>
      </c>
      <c r="F4" s="3">
        <v>40</v>
      </c>
    </row>
    <row r="5" spans="1:6" x14ac:dyDescent="0.3">
      <c r="A5" s="2" t="s">
        <v>7</v>
      </c>
      <c r="B5" s="3">
        <f t="shared" si="0"/>
        <v>30607</v>
      </c>
      <c r="C5" s="3">
        <v>30631</v>
      </c>
      <c r="D5" s="3">
        <v>14400</v>
      </c>
      <c r="E5" s="3">
        <v>24</v>
      </c>
      <c r="F5" s="3">
        <v>4</v>
      </c>
    </row>
    <row r="6" spans="1:6" x14ac:dyDescent="0.3">
      <c r="A6" s="2" t="s">
        <v>8</v>
      </c>
      <c r="B6" s="3">
        <f t="shared" si="0"/>
        <v>28939</v>
      </c>
      <c r="C6" s="3">
        <v>28980</v>
      </c>
      <c r="D6" s="3">
        <v>14400</v>
      </c>
      <c r="E6" s="3">
        <v>41</v>
      </c>
      <c r="F6" s="3">
        <v>8</v>
      </c>
    </row>
    <row r="7" spans="1:6" x14ac:dyDescent="0.3">
      <c r="A7" s="2" t="s">
        <v>9</v>
      </c>
      <c r="B7" s="3">
        <f t="shared" si="0"/>
        <v>34462</v>
      </c>
      <c r="C7" s="3">
        <v>35051</v>
      </c>
      <c r="D7" s="3">
        <v>15400</v>
      </c>
      <c r="E7" s="3">
        <v>589</v>
      </c>
      <c r="F7" s="3">
        <v>5</v>
      </c>
    </row>
    <row r="8" spans="1:6" x14ac:dyDescent="0.3">
      <c r="A8" s="2" t="s">
        <v>10</v>
      </c>
      <c r="B8" s="3">
        <f t="shared" si="0"/>
        <v>34896</v>
      </c>
      <c r="C8" s="3">
        <v>34896</v>
      </c>
      <c r="D8" s="3">
        <v>14400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-2264648</v>
      </c>
      <c r="C15" s="5">
        <f t="shared" ref="C15:F15" si="1">SUM(C3:C14)</f>
        <v>187634</v>
      </c>
      <c r="D15" s="5">
        <f t="shared" si="1"/>
        <v>87400</v>
      </c>
      <c r="E15" s="5">
        <f t="shared" si="1"/>
        <v>2452282</v>
      </c>
      <c r="F15" s="5">
        <f t="shared" si="1"/>
        <v>2019237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2026-07-28T09:15:16Z</dcterms:modified>
</cp:coreProperties>
</file>