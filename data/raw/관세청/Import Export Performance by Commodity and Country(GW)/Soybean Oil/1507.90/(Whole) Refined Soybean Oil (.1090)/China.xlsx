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기타(.109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B15" i="14" s="1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B15" i="13" s="1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15" i="12" s="1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15" i="11" s="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15" i="10" s="1"/>
  <c r="B5" i="10"/>
  <c r="B4" i="10"/>
  <c r="B3" i="10"/>
  <c r="B15" i="17" l="1"/>
  <c r="B15" i="16"/>
  <c r="B15" i="15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<sst xmlns="http://schemas.openxmlformats.org/spreadsheetml/2006/main" count="306" uniqueCount="45">
  <si>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</si>
  <si>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</si>
  <si>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</si>
  <si>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</si>
  <si>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</si>
  <si>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</si>
  <si>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</si>
  <si>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</si>
  <si>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</si>
  <si>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</si>
  <si>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</si>
  <si>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</si>
  <si>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</si>
  <si>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</si>
  <si>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</si>
  <si>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</si>
  <si>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</si>
  <si>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</si>
  <si>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</si>
  <si>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</si>
  <si>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</si>
  <si>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</si>
  <si>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</si>
  <si>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</si>
  <si>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</si>
  <si>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</si>
  <si>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</si>
  <si>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</si>
  <si>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</si>
  <si>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</si>
  <si>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</si>
  <si>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</si>
  <si>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</si>
  <si>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</si>
  <si>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</si>
  <si>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수출액(달러)</t>
    <phoneticPr fontId="1" type="noConversion"/>
  </si>
  <si>
    <t>수출량(kg)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</si>
  <si>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</si>
  <si>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</si>
  <si>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</si>
  <si>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</si>
  <si>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</si>
  <si>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</si>
  <si>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3월</t>
    <phoneticPr fontId="1" type="noConversion"/>
  </si>
  <si>
    <t>총계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</si>
</sst>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-19</v>
      </c>
      <c r="C5" s="3">
        <v>0</v>
      </c>
      <c r="D5" s="3">
        <v>0</v>
      </c>
      <c r="E5" s="3">
        <v>19</v>
      </c>
      <c r="F5" s="3">
        <v>5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-19</v>
      </c>
      <c r="C15" s="5">
        <f t="shared" ref="C15:F15" si="1">SUM(C3:C14)</f>
        <v>0</v>
      </c>
      <c r="D15" s="5">
        <f t="shared" si="1"/>
        <v>0</v>
      </c>
      <c r="E15" s="5">
        <f t="shared" si="1"/>
        <v>19</v>
      </c>
      <c r="F15" s="5">
        <f t="shared" si="1"/>
        <v>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35</v>
      </c>
      <c r="D2" s="1" t="s">
        <v>36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-22</v>
      </c>
      <c r="C10" s="3">
        <v>0</v>
      </c>
      <c r="D10" s="3">
        <v>0</v>
      </c>
      <c r="E10" s="3">
        <v>22</v>
      </c>
      <c r="F10" s="3">
        <v>4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-22</v>
      </c>
      <c r="C15" s="5">
        <f t="shared" ref="C15:F15" si="1">SUM(C3:C14)</f>
        <v>0</v>
      </c>
      <c r="D15" s="5">
        <f t="shared" si="1"/>
        <v>0</v>
      </c>
      <c r="E15" s="5">
        <f t="shared" si="1"/>
        <v>22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</row>
    <row r="3" spans="1:6" x14ac:dyDescent="0.3">
      <c r="A3" s="2" t="s">
        <v>42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43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si="0"/>
        <v>-11</v>
      </c>
      <c r="C4" s="3">
        <v>0</v>
      </c>
      <c r="D4" s="3">
        <v>0</v>
      </c>
      <c r="E4" s="3">
        <v>11</v>
      </c>
      <c r="F4" s="3">
        <v>1</v>
      </c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1777</v>
      </c>
      <c r="C6" s="3">
        <v>1777</v>
      </c>
      <c r="D6" s="3">
        <v>185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-20</v>
      </c>
      <c r="C7" s="3">
        <v>0</v>
      </c>
      <c r="D7" s="3">
        <v>0</v>
      </c>
      <c r="E7" s="3">
        <v>20</v>
      </c>
      <c r="F7" s="3">
        <v>1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1572</v>
      </c>
      <c r="C12" s="3">
        <v>1572</v>
      </c>
      <c r="D12" s="3">
        <v>185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44</v>
      </c>
      <c r="B15" s="5">
        <f>SUM(B3:B14)</f>
        <v>3318</v>
      </c>
      <c r="C15" s="5">
        <f t="shared" ref="C15:F15" si="1">SUM(C3:C14)</f>
        <v>3349</v>
      </c>
      <c r="D15" s="5">
        <f t="shared" si="1"/>
        <v>370</v>
      </c>
      <c r="E15" s="5">
        <f t="shared" si="1"/>
        <v>31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20</v>
      </c>
      <c r="E2" s="1" t="s">
        <v>29</v>
      </c>
      <c r="F2" s="1" t="s">
        <v>30</v>
      </c>
    </row>
    <row r="3" spans="1:6" x14ac:dyDescent="0.3">
      <c r="A3" s="2" t="s">
        <v>31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32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33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1469</v>
      </c>
      <c r="C9" s="3">
        <v>1480</v>
      </c>
      <c r="D9" s="3">
        <v>209</v>
      </c>
      <c r="E9" s="3">
        <v>11</v>
      </c>
      <c r="F9" s="3">
        <v>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4438</v>
      </c>
      <c r="C11" s="3">
        <v>4438</v>
      </c>
      <c r="D11" s="3">
        <v>555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2958</v>
      </c>
      <c r="C14" s="3">
        <v>2958</v>
      </c>
      <c r="D14" s="3">
        <v>370</v>
      </c>
      <c r="E14" s="3">
        <v>0</v>
      </c>
      <c r="F14" s="3">
        <v>0</v>
      </c>
    </row>
    <row r="15" spans="1:6" ht="17.25" thickBot="1" x14ac:dyDescent="0.35">
      <c r="A15" s="4" t="s">
        <v>26</v>
      </c>
      <c r="B15" s="5">
        <f>SUM(B3:B14)</f>
        <v>8865</v>
      </c>
      <c r="C15" s="5">
        <f t="shared" ref="C15:F15" si="1">SUM(C3:C14)</f>
        <v>8876</v>
      </c>
      <c r="D15" s="5">
        <f t="shared" si="1"/>
        <v>1134</v>
      </c>
      <c r="E15" s="5">
        <f t="shared" si="1"/>
        <v>11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2956</v>
      </c>
      <c r="C9" s="3">
        <v>2956</v>
      </c>
      <c r="D9" s="3">
        <v>370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2959</v>
      </c>
      <c r="C11" s="3">
        <v>2959</v>
      </c>
      <c r="D11" s="3">
        <v>370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22637</v>
      </c>
      <c r="C13" s="3">
        <v>22637</v>
      </c>
      <c r="D13" s="3">
        <v>9811.9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28552</v>
      </c>
      <c r="C15" s="5">
        <f t="shared" ref="C15" si="1">SUM(C3:C14)</f>
        <v>28552</v>
      </c>
      <c r="D15" s="5">
        <f t="shared" ref="D15:F15" si="2">SUM(D3:D14)</f>
        <v>10551.9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-20610</v>
      </c>
      <c r="C3" s="3">
        <v>7396</v>
      </c>
      <c r="D3" s="3">
        <v>925</v>
      </c>
      <c r="E3" s="3">
        <v>28006</v>
      </c>
      <c r="F3" s="3">
        <v>19052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-7213</v>
      </c>
      <c r="C5" s="3">
        <v>22288</v>
      </c>
      <c r="D5" s="3">
        <v>8367</v>
      </c>
      <c r="E5" s="3">
        <v>29501</v>
      </c>
      <c r="F5" s="3">
        <v>19001</v>
      </c>
    </row>
    <row r="6" spans="1:6" x14ac:dyDescent="0.3">
      <c r="A6" s="2" t="s">
        <v>8</v>
      </c>
      <c r="B6" s="3">
        <f t="shared" si="0"/>
        <v>-20628</v>
      </c>
      <c r="C6" s="3">
        <v>8851</v>
      </c>
      <c r="D6" s="3">
        <v>1110</v>
      </c>
      <c r="E6" s="3">
        <v>29479</v>
      </c>
      <c r="F6" s="3">
        <v>19000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-16392</v>
      </c>
      <c r="C9" s="3">
        <v>13270</v>
      </c>
      <c r="D9" s="3">
        <v>1665</v>
      </c>
      <c r="E9" s="3">
        <v>29662</v>
      </c>
      <c r="F9" s="3">
        <v>19000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-28126</v>
      </c>
      <c r="C12" s="3">
        <v>0</v>
      </c>
      <c r="D12" s="3">
        <v>0</v>
      </c>
      <c r="E12" s="3">
        <v>28126</v>
      </c>
      <c r="F12" s="3">
        <v>19000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-92969</v>
      </c>
      <c r="C15" s="5">
        <f t="shared" ref="C15" si="1">SUM(C3:C14)</f>
        <v>51805</v>
      </c>
      <c r="D15" s="5">
        <f t="shared" ref="D15:F15" si="2">SUM(D3:D14)</f>
        <v>12067</v>
      </c>
      <c r="E15" s="5">
        <f t="shared" si="2"/>
        <v>144774</v>
      </c>
      <c r="F15" s="5">
        <f t="shared" si="2"/>
        <v>95053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-27176</v>
      </c>
      <c r="C6" s="3">
        <v>0</v>
      </c>
      <c r="D6" s="3">
        <v>0</v>
      </c>
      <c r="E6" s="3">
        <v>27176</v>
      </c>
      <c r="F6" s="3">
        <v>19000</v>
      </c>
    </row>
    <row r="7" spans="1:6" x14ac:dyDescent="0.3">
      <c r="A7" s="2" t="s">
        <v>9</v>
      </c>
      <c r="B7" s="3">
        <f t="shared" si="0"/>
        <v>-26695</v>
      </c>
      <c r="C7" s="3">
        <v>126</v>
      </c>
      <c r="D7" s="3">
        <v>0.01</v>
      </c>
      <c r="E7" s="3">
        <v>26821</v>
      </c>
      <c r="F7" s="3">
        <v>13020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-27176</v>
      </c>
      <c r="C9" s="3">
        <v>0</v>
      </c>
      <c r="D9" s="3">
        <v>0</v>
      </c>
      <c r="E9" s="3">
        <v>27176</v>
      </c>
      <c r="F9" s="3">
        <v>19000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-10</v>
      </c>
      <c r="C12" s="3">
        <v>0</v>
      </c>
      <c r="D12" s="3">
        <v>0</v>
      </c>
      <c r="E12" s="3">
        <v>10</v>
      </c>
      <c r="F12" s="3">
        <v>0</v>
      </c>
    </row>
    <row r="13" spans="1:6" x14ac:dyDescent="0.3">
      <c r="A13" s="2" t="s">
        <v>15</v>
      </c>
      <c r="B13" s="3">
        <f t="shared" si="0"/>
        <v>547</v>
      </c>
      <c r="C13" s="3">
        <v>547</v>
      </c>
      <c r="D13" s="3">
        <v>200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-80510</v>
      </c>
      <c r="C15" s="5">
        <f t="shared" ref="C15" si="1">SUM(C3:C14)</f>
        <v>673</v>
      </c>
      <c r="D15" s="5">
        <f t="shared" ref="D15:F15" si="2">SUM(D3:D14)</f>
        <v>200.01</v>
      </c>
      <c r="E15" s="5">
        <f t="shared" si="2"/>
        <v>81183</v>
      </c>
      <c r="F15" s="5">
        <f t="shared" si="2"/>
        <v>51020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-21</v>
      </c>
      <c r="C6" s="3">
        <v>0</v>
      </c>
      <c r="D6" s="3">
        <v>0</v>
      </c>
      <c r="E6" s="3">
        <v>21</v>
      </c>
      <c r="F6" s="3">
        <v>3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-48429</v>
      </c>
      <c r="C11" s="3">
        <v>0</v>
      </c>
      <c r="D11" s="3">
        <v>0</v>
      </c>
      <c r="E11" s="3">
        <v>48429</v>
      </c>
      <c r="F11" s="3">
        <v>25760</v>
      </c>
    </row>
    <row r="12" spans="1:6" x14ac:dyDescent="0.3">
      <c r="A12" s="2" t="s">
        <v>14</v>
      </c>
      <c r="B12" s="3">
        <f t="shared" si="0"/>
        <v>-48429</v>
      </c>
      <c r="C12" s="3">
        <v>0</v>
      </c>
      <c r="D12" s="3">
        <v>0</v>
      </c>
      <c r="E12" s="3">
        <v>48429</v>
      </c>
      <c r="F12" s="3">
        <v>25760</v>
      </c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-29657</v>
      </c>
      <c r="C14" s="3">
        <v>0</v>
      </c>
      <c r="D14" s="3">
        <v>0</v>
      </c>
      <c r="E14" s="3">
        <v>29657</v>
      </c>
      <c r="F14" s="3">
        <v>19001</v>
      </c>
    </row>
    <row r="15" spans="1:6" ht="17.25" thickBot="1" x14ac:dyDescent="0.35">
      <c r="A15" s="4" t="s">
        <v>17</v>
      </c>
      <c r="B15" s="5">
        <f>SUM(B3:B14)</f>
        <v>-126536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126536</v>
      </c>
      <c r="F15" s="5">
        <f t="shared" si="2"/>
        <v>70524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-250</v>
      </c>
      <c r="C3" s="3">
        <v>0</v>
      </c>
      <c r="D3" s="3">
        <v>0</v>
      </c>
      <c r="E3" s="3">
        <v>250</v>
      </c>
      <c r="F3" s="3">
        <v>20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-22</v>
      </c>
      <c r="C6" s="3">
        <v>0</v>
      </c>
      <c r="D6" s="3">
        <v>0</v>
      </c>
      <c r="E6" s="3">
        <v>22</v>
      </c>
      <c r="F6" s="3">
        <v>2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-272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272</v>
      </c>
      <c r="F15" s="5">
        <f t="shared" si="2"/>
        <v>22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-400</v>
      </c>
      <c r="C3" s="3">
        <v>0</v>
      </c>
      <c r="D3" s="3">
        <v>0</v>
      </c>
      <c r="E3" s="3">
        <v>400</v>
      </c>
      <c r="F3" s="3">
        <v>20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-10</v>
      </c>
      <c r="C5" s="3">
        <v>0</v>
      </c>
      <c r="D5" s="3">
        <v>0</v>
      </c>
      <c r="E5" s="3">
        <v>10</v>
      </c>
      <c r="F5" s="3">
        <v>2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-10</v>
      </c>
      <c r="C7" s="3">
        <v>0</v>
      </c>
      <c r="D7" s="3">
        <v>0</v>
      </c>
      <c r="E7" s="3">
        <v>10</v>
      </c>
      <c r="F7" s="3">
        <v>2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-420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420</v>
      </c>
      <c r="F15" s="5">
        <f t="shared" si="2"/>
        <v>24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-44337</v>
      </c>
      <c r="C3" s="3">
        <v>0</v>
      </c>
      <c r="D3" s="3">
        <v>0</v>
      </c>
      <c r="E3" s="3">
        <v>44337</v>
      </c>
      <c r="F3" s="3">
        <v>19000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-12</v>
      </c>
      <c r="C6" s="3">
        <v>0</v>
      </c>
      <c r="D6" s="3">
        <v>0</v>
      </c>
      <c r="E6" s="3">
        <v>12</v>
      </c>
      <c r="F6" s="3">
        <v>5</v>
      </c>
    </row>
    <row r="7" spans="1:6" x14ac:dyDescent="0.3">
      <c r="A7" s="2" t="s">
        <v>9</v>
      </c>
      <c r="B7" s="3">
        <f t="shared" si="0"/>
        <v>-41297</v>
      </c>
      <c r="C7" s="3">
        <v>0</v>
      </c>
      <c r="D7" s="3">
        <v>0</v>
      </c>
      <c r="E7" s="3">
        <v>41297</v>
      </c>
      <c r="F7" s="3">
        <v>19002</v>
      </c>
    </row>
    <row r="8" spans="1:6" x14ac:dyDescent="0.3">
      <c r="A8" s="2" t="s">
        <v>10</v>
      </c>
      <c r="B8" s="3">
        <f t="shared" si="0"/>
        <v>-67</v>
      </c>
      <c r="C8" s="3">
        <v>0</v>
      </c>
      <c r="D8" s="3">
        <v>0</v>
      </c>
      <c r="E8" s="3">
        <v>67</v>
      </c>
      <c r="F8" s="3">
        <v>15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-32739</v>
      </c>
      <c r="C10" s="3">
        <v>0</v>
      </c>
      <c r="D10" s="3">
        <v>0</v>
      </c>
      <c r="E10" s="3">
        <v>32739</v>
      </c>
      <c r="F10" s="3">
        <v>19000</v>
      </c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-74600</v>
      </c>
      <c r="C12" s="3">
        <v>0</v>
      </c>
      <c r="D12" s="3">
        <v>0</v>
      </c>
      <c r="E12" s="3">
        <v>74600</v>
      </c>
      <c r="F12" s="3">
        <v>38000</v>
      </c>
    </row>
    <row r="13" spans="1:6" x14ac:dyDescent="0.3">
      <c r="A13" s="2" t="s">
        <v>15</v>
      </c>
      <c r="B13" s="3">
        <f t="shared" si="0"/>
        <v>-24472</v>
      </c>
      <c r="C13" s="3">
        <v>0</v>
      </c>
      <c r="D13" s="3">
        <v>0</v>
      </c>
      <c r="E13" s="3">
        <v>24472</v>
      </c>
      <c r="F13" s="3">
        <v>12880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-217524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217524</v>
      </c>
      <c r="F15" s="5">
        <f t="shared" si="2"/>
        <v>107902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-3</v>
      </c>
      <c r="C5" s="3">
        <v>0</v>
      </c>
      <c r="D5" s="3">
        <v>0</v>
      </c>
      <c r="E5" s="3">
        <v>3</v>
      </c>
      <c r="F5" s="3">
        <v>1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-7</v>
      </c>
      <c r="C7" s="3">
        <v>0</v>
      </c>
      <c r="D7" s="3">
        <v>0</v>
      </c>
      <c r="E7" s="3">
        <v>7</v>
      </c>
      <c r="F7" s="3">
        <v>10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10</v>
      </c>
      <c r="F15" s="5">
        <f t="shared" si="2"/>
        <v>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-257372</v>
      </c>
      <c r="C3" s="3">
        <v>0</v>
      </c>
      <c r="D3" s="3">
        <v>0</v>
      </c>
      <c r="E3" s="3">
        <v>257372</v>
      </c>
      <c r="F3" s="3">
        <v>212320</v>
      </c>
    </row>
    <row r="4" spans="1:6" x14ac:dyDescent="0.3">
      <c r="A4" s="2" t="s">
        <v>6</v>
      </c>
      <c r="B4" s="3">
        <f t="shared" ref="B4:B14" si="0">C4-E4</f>
        <v>-1452616</v>
      </c>
      <c r="C4" s="3">
        <v>0</v>
      </c>
      <c r="D4" s="3">
        <v>0</v>
      </c>
      <c r="E4" s="3">
        <v>1452616</v>
      </c>
      <c r="F4" s="3">
        <v>1168861</v>
      </c>
    </row>
    <row r="5" spans="1:6" x14ac:dyDescent="0.3">
      <c r="A5" s="2" t="s">
        <v>7</v>
      </c>
      <c r="B5" s="3">
        <f t="shared" si="0"/>
        <v>-500809</v>
      </c>
      <c r="C5" s="3">
        <v>0</v>
      </c>
      <c r="D5" s="3">
        <v>0</v>
      </c>
      <c r="E5" s="3">
        <v>500809</v>
      </c>
      <c r="F5" s="3">
        <v>408680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-31</v>
      </c>
      <c r="C14" s="3">
        <v>0</v>
      </c>
      <c r="D14" s="3">
        <v>0</v>
      </c>
      <c r="E14" s="3">
        <v>31</v>
      </c>
      <c r="F14" s="3">
        <v>1</v>
      </c>
    </row>
    <row r="15" spans="1:6" ht="17.25" thickBot="1" x14ac:dyDescent="0.35">
      <c r="A15" s="4" t="s">
        <v>17</v>
      </c>
      <c r="B15" s="5">
        <f>SUM(B3:B14)</f>
        <v>-2210828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2210828</v>
      </c>
      <c r="F15" s="5">
        <f t="shared" si="2"/>
        <v>1789862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3" max="3" width="11.25" customWidth="1"/>
    <col min="4" max="4" width="10.875" customWidth="1"/>
    <col min="5" max="6" width="10.375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-52</v>
      </c>
      <c r="C6" s="3">
        <v>0</v>
      </c>
      <c r="D6" s="3">
        <v>0</v>
      </c>
      <c r="E6" s="3">
        <v>52</v>
      </c>
      <c r="F6" s="3">
        <v>1</v>
      </c>
    </row>
    <row r="7" spans="1:6" x14ac:dyDescent="0.3">
      <c r="A7" s="2" t="s">
        <v>9</v>
      </c>
      <c r="B7" s="3">
        <f t="shared" si="0"/>
        <v>-41</v>
      </c>
      <c r="C7" s="3">
        <v>0</v>
      </c>
      <c r="D7" s="3">
        <v>0</v>
      </c>
      <c r="E7" s="3">
        <v>41</v>
      </c>
      <c r="F7" s="3">
        <v>1</v>
      </c>
    </row>
    <row r="8" spans="1:6" x14ac:dyDescent="0.3">
      <c r="A8" s="2" t="s">
        <v>10</v>
      </c>
      <c r="B8" s="3">
        <f t="shared" si="0"/>
        <v>-26</v>
      </c>
      <c r="C8" s="3">
        <v>0</v>
      </c>
      <c r="D8" s="3">
        <v>0</v>
      </c>
      <c r="E8" s="3">
        <v>26</v>
      </c>
      <c r="F8" s="3">
        <v>2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-119</v>
      </c>
      <c r="C15" s="5">
        <f t="shared" ref="C15:F15" si="1">SUM(C3:C14)</f>
        <v>0</v>
      </c>
      <c r="D15" s="5">
        <f t="shared" si="1"/>
        <v>0</v>
      </c>
      <c r="E15" s="5">
        <f t="shared" si="1"/>
        <v>119</v>
      </c>
      <c r="F15" s="5">
        <f t="shared" si="1"/>
        <v>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2026-07-28T04:51:35Z</dcterms:modified>
</cp:coreProperties>
</file>