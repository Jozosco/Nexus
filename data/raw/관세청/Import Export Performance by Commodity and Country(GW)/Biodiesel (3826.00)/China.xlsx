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바이오디젤\3826.00.0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<sst xmlns="http://schemas.openxmlformats.org/spreadsheetml/2006/main" count="306" uniqueCount="18">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</sst>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-27369</v>
      </c>
      <c r="C4" s="2">
        <v>0</v>
      </c>
      <c r="D4" s="2">
        <v>0</v>
      </c>
      <c r="E4" s="2">
        <v>27369</v>
      </c>
      <c r="F4" s="2">
        <v>18000</v>
      </c>
    </row>
    <row r="5" spans="1:6" x14ac:dyDescent="0.3">
      <c r="A5" s="1" t="s">
        <v>2</v>
      </c>
      <c r="B5" s="2">
        <f t="shared" si="0"/>
        <v>-145479</v>
      </c>
      <c r="C5" s="2">
        <v>0</v>
      </c>
      <c r="D5" s="2">
        <v>0</v>
      </c>
      <c r="E5" s="2">
        <v>145479</v>
      </c>
      <c r="F5" s="2">
        <v>100200</v>
      </c>
    </row>
    <row r="6" spans="1:6" x14ac:dyDescent="0.3">
      <c r="A6" s="1" t="s">
        <v>3</v>
      </c>
      <c r="B6" s="2">
        <f t="shared" si="0"/>
        <v>26168</v>
      </c>
      <c r="C6" s="2">
        <v>26168</v>
      </c>
      <c r="D6" s="2">
        <v>19800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-114906</v>
      </c>
      <c r="C7" s="2">
        <v>0</v>
      </c>
      <c r="D7" s="2">
        <v>0</v>
      </c>
      <c r="E7" s="2">
        <v>114906</v>
      </c>
      <c r="F7" s="2">
        <v>22900</v>
      </c>
    </row>
    <row r="8" spans="1:6" x14ac:dyDescent="0.3">
      <c r="A8" s="1" t="s">
        <v>5</v>
      </c>
      <c r="B8" s="2">
        <f t="shared" si="0"/>
        <v>-93721</v>
      </c>
      <c r="C8" s="2">
        <v>0</v>
      </c>
      <c r="D8" s="2">
        <v>0</v>
      </c>
      <c r="E8" s="2">
        <v>93721</v>
      </c>
      <c r="F8" s="2">
        <v>22000</v>
      </c>
    </row>
    <row r="9" spans="1:6" x14ac:dyDescent="0.3">
      <c r="A9" s="1" t="s">
        <v>6</v>
      </c>
      <c r="B9" s="2">
        <f t="shared" si="0"/>
        <v>-62481</v>
      </c>
      <c r="C9" s="2">
        <v>0</v>
      </c>
      <c r="D9" s="2">
        <v>0</v>
      </c>
      <c r="E9" s="2">
        <v>62481</v>
      </c>
      <c r="F9" s="2">
        <v>22000</v>
      </c>
    </row>
    <row r="10" spans="1:6" x14ac:dyDescent="0.3">
      <c r="A10" s="1" t="s">
        <v>7</v>
      </c>
      <c r="B10" s="2">
        <f t="shared" si="0"/>
        <v>-234</v>
      </c>
      <c r="C10" s="2">
        <v>0</v>
      </c>
      <c r="D10" s="2">
        <v>0</v>
      </c>
      <c r="E10" s="2">
        <v>234</v>
      </c>
      <c r="F10" s="2">
        <v>24</v>
      </c>
    </row>
    <row r="11" spans="1:6" x14ac:dyDescent="0.3">
      <c r="A11" s="1" t="s">
        <v>8</v>
      </c>
      <c r="B11" s="2">
        <f t="shared" si="0"/>
        <v>-121238</v>
      </c>
      <c r="C11" s="2">
        <v>0</v>
      </c>
      <c r="D11" s="2">
        <v>0</v>
      </c>
      <c r="E11" s="2">
        <v>121238</v>
      </c>
      <c r="F11" s="2">
        <v>40000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-27265</v>
      </c>
      <c r="C14" s="2">
        <v>0</v>
      </c>
      <c r="D14" s="2">
        <v>0</v>
      </c>
      <c r="E14" s="2">
        <v>27265</v>
      </c>
      <c r="F14" s="2">
        <v>18000</v>
      </c>
    </row>
    <row r="15" spans="1:6" ht="17.25" thickBot="1" x14ac:dyDescent="0.35">
      <c r="A15" s="4" t="s">
        <v>13</v>
      </c>
      <c r="B15" s="5">
        <f>SUM(B3:B14)</f>
        <v>-566525</v>
      </c>
      <c r="C15" s="5">
        <f t="shared" ref="C15:F15" si="1">SUM(C3:C14)</f>
        <v>26168</v>
      </c>
      <c r="D15" s="5">
        <f t="shared" si="1"/>
        <v>19800</v>
      </c>
      <c r="E15" s="5">
        <f t="shared" si="1"/>
        <v>592693</v>
      </c>
      <c r="F15" s="5">
        <f t="shared" si="1"/>
        <v>243124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-27029</v>
      </c>
      <c r="C3" s="2">
        <v>0</v>
      </c>
      <c r="D3" s="2">
        <v>0</v>
      </c>
      <c r="E3" s="2">
        <v>27029</v>
      </c>
      <c r="F3" s="2">
        <v>18000</v>
      </c>
    </row>
    <row r="4" spans="1:6" x14ac:dyDescent="0.3">
      <c r="A4" s="1" t="s">
        <v>1</v>
      </c>
      <c r="B4" s="2">
        <f t="shared" si="0"/>
        <v>-27221</v>
      </c>
      <c r="C4" s="2">
        <v>0</v>
      </c>
      <c r="D4" s="2">
        <v>0</v>
      </c>
      <c r="E4" s="2">
        <v>27221</v>
      </c>
      <c r="F4" s="2">
        <v>18000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-84358</v>
      </c>
      <c r="C6" s="2">
        <v>0</v>
      </c>
      <c r="D6" s="2">
        <v>0</v>
      </c>
      <c r="E6" s="2">
        <v>84358</v>
      </c>
      <c r="F6" s="2">
        <v>58000</v>
      </c>
    </row>
    <row r="7" spans="1:6" x14ac:dyDescent="0.3">
      <c r="A7" s="1" t="s">
        <v>4</v>
      </c>
      <c r="B7" s="2">
        <f t="shared" si="0"/>
        <v>-118430</v>
      </c>
      <c r="C7" s="2">
        <v>0</v>
      </c>
      <c r="D7" s="2">
        <v>0</v>
      </c>
      <c r="E7" s="2">
        <v>118430</v>
      </c>
      <c r="F7" s="2">
        <v>86013</v>
      </c>
    </row>
    <row r="8" spans="1:6" x14ac:dyDescent="0.3">
      <c r="A8" s="1" t="s">
        <v>5</v>
      </c>
      <c r="B8" s="2">
        <f t="shared" si="0"/>
        <v>-114744</v>
      </c>
      <c r="C8" s="2">
        <v>0</v>
      </c>
      <c r="D8" s="2">
        <v>0</v>
      </c>
      <c r="E8" s="2">
        <v>114744</v>
      </c>
      <c r="F8" s="2">
        <v>84010</v>
      </c>
    </row>
    <row r="9" spans="1:6" x14ac:dyDescent="0.3">
      <c r="A9" s="1" t="s">
        <v>6</v>
      </c>
      <c r="B9" s="2">
        <f t="shared" si="0"/>
        <v>-57350</v>
      </c>
      <c r="C9" s="2">
        <v>0</v>
      </c>
      <c r="D9" s="2">
        <v>0</v>
      </c>
      <c r="E9" s="2">
        <v>57350</v>
      </c>
      <c r="F9" s="2">
        <v>42000</v>
      </c>
    </row>
    <row r="10" spans="1:6" x14ac:dyDescent="0.3">
      <c r="A10" s="1" t="s">
        <v>7</v>
      </c>
      <c r="B10" s="2">
        <f t="shared" si="0"/>
        <v>-55041</v>
      </c>
      <c r="C10" s="2">
        <v>0</v>
      </c>
      <c r="D10" s="2">
        <v>0</v>
      </c>
      <c r="E10" s="2">
        <v>55041</v>
      </c>
      <c r="F10" s="2">
        <v>42000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-28150</v>
      </c>
      <c r="C12" s="2">
        <v>0</v>
      </c>
      <c r="D12" s="2">
        <v>0</v>
      </c>
      <c r="E12" s="2">
        <v>28150</v>
      </c>
      <c r="F12" s="2">
        <v>21000</v>
      </c>
    </row>
    <row r="13" spans="1:6" x14ac:dyDescent="0.3">
      <c r="A13" s="1" t="s">
        <v>10</v>
      </c>
      <c r="B13" s="2">
        <f t="shared" si="0"/>
        <v>-54771</v>
      </c>
      <c r="C13" s="2">
        <v>0</v>
      </c>
      <c r="D13" s="2">
        <v>0</v>
      </c>
      <c r="E13" s="2">
        <v>54771</v>
      </c>
      <c r="F13" s="2">
        <v>39017</v>
      </c>
    </row>
    <row r="14" spans="1:6" x14ac:dyDescent="0.3">
      <c r="A14" s="1" t="s">
        <v>11</v>
      </c>
      <c r="B14" s="2">
        <f t="shared" si="0"/>
        <v>-79770</v>
      </c>
      <c r="C14" s="2">
        <v>0</v>
      </c>
      <c r="D14" s="2">
        <v>0</v>
      </c>
      <c r="E14" s="2">
        <v>79770</v>
      </c>
      <c r="F14" s="2">
        <v>54000</v>
      </c>
    </row>
    <row r="15" spans="1:6" ht="17.25" thickBot="1" x14ac:dyDescent="0.35">
      <c r="A15" s="4" t="s">
        <v>13</v>
      </c>
      <c r="B15" s="5">
        <f>SUM(B3:B14)</f>
        <v>-646864</v>
      </c>
      <c r="C15" s="5">
        <f t="shared" ref="C15:F15" si="1">SUM(C3:C14)</f>
        <v>0</v>
      </c>
      <c r="D15" s="5">
        <f t="shared" si="1"/>
        <v>0</v>
      </c>
      <c r="E15" s="5">
        <f t="shared" si="1"/>
        <v>646864</v>
      </c>
      <c r="F15" s="5">
        <f t="shared" si="1"/>
        <v>462040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-54080</v>
      </c>
      <c r="C3" s="2">
        <v>0</v>
      </c>
      <c r="D3" s="2">
        <v>0</v>
      </c>
      <c r="E3" s="2">
        <v>54080</v>
      </c>
      <c r="F3" s="2">
        <v>36000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4164</v>
      </c>
      <c r="C10" s="2">
        <v>4164</v>
      </c>
      <c r="D10" s="2">
        <v>500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-22</v>
      </c>
      <c r="C12" s="2">
        <v>0</v>
      </c>
      <c r="D12" s="2">
        <v>0</v>
      </c>
      <c r="E12" s="2">
        <v>22</v>
      </c>
      <c r="F12" s="2">
        <v>5</v>
      </c>
    </row>
    <row r="13" spans="1:6" x14ac:dyDescent="0.3">
      <c r="A13" s="1" t="s">
        <v>10</v>
      </c>
      <c r="B13" s="2">
        <f t="shared" si="0"/>
        <v>-1825</v>
      </c>
      <c r="C13" s="2">
        <v>0</v>
      </c>
      <c r="D13" s="2">
        <v>0</v>
      </c>
      <c r="E13" s="2">
        <v>1825</v>
      </c>
      <c r="F13" s="2">
        <v>208</v>
      </c>
    </row>
    <row r="14" spans="1:6" x14ac:dyDescent="0.3">
      <c r="A14" s="1" t="s">
        <v>11</v>
      </c>
      <c r="B14" s="2">
        <f t="shared" si="0"/>
        <v>3899</v>
      </c>
      <c r="C14" s="2">
        <v>3899</v>
      </c>
      <c r="D14" s="2">
        <v>500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-47864</v>
      </c>
      <c r="C15" s="5">
        <f t="shared" ref="C15:F15" si="1">SUM(C3:C14)</f>
        <v>8063</v>
      </c>
      <c r="D15" s="5">
        <f t="shared" si="1"/>
        <v>1000</v>
      </c>
      <c r="E15" s="5">
        <f t="shared" si="1"/>
        <v>55927</v>
      </c>
      <c r="F15" s="5">
        <f t="shared" si="1"/>
        <v>36213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-35</v>
      </c>
      <c r="C3" s="2">
        <v>0</v>
      </c>
      <c r="D3" s="2">
        <v>0</v>
      </c>
      <c r="E3" s="2">
        <v>35</v>
      </c>
      <c r="F3" s="2">
        <v>10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3908</v>
      </c>
      <c r="C6" s="2">
        <v>3908</v>
      </c>
      <c r="D6" s="2">
        <v>500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-13491</v>
      </c>
      <c r="C8" s="2">
        <v>7612</v>
      </c>
      <c r="D8" s="2">
        <v>1000</v>
      </c>
      <c r="E8" s="2">
        <v>21103</v>
      </c>
      <c r="F8" s="2">
        <v>18000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7185</v>
      </c>
      <c r="C11" s="2">
        <v>7185</v>
      </c>
      <c r="D11" s="2">
        <v>1000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14380</v>
      </c>
      <c r="C14" s="2">
        <v>14380</v>
      </c>
      <c r="D14" s="2">
        <v>2000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11947</v>
      </c>
      <c r="C15" s="5">
        <f t="shared" ref="C15:F15" si="1">SUM(C3:C14)</f>
        <v>33085</v>
      </c>
      <c r="D15" s="5">
        <f t="shared" si="1"/>
        <v>4500</v>
      </c>
      <c r="E15" s="5">
        <f t="shared" si="1"/>
        <v>21138</v>
      </c>
      <c r="F15" s="5">
        <f t="shared" si="1"/>
        <v>18010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14494</v>
      </c>
      <c r="C7" s="2">
        <v>14494</v>
      </c>
      <c r="D7" s="2">
        <v>2000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3753</v>
      </c>
      <c r="C12" s="2">
        <v>3753</v>
      </c>
      <c r="D12" s="2">
        <v>960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14646</v>
      </c>
      <c r="C13" s="2">
        <v>14646</v>
      </c>
      <c r="D13" s="2">
        <v>2000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32893</v>
      </c>
      <c r="C15" s="5">
        <f t="shared" ref="C15:F15" si="1">SUM(C3:C14)</f>
        <v>32893</v>
      </c>
      <c r="D15" s="5">
        <f t="shared" si="1"/>
        <v>4960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-653</v>
      </c>
      <c r="C7" s="2">
        <v>0</v>
      </c>
      <c r="D7" s="2">
        <v>0</v>
      </c>
      <c r="E7" s="2">
        <v>653</v>
      </c>
      <c r="F7" s="2">
        <v>81</v>
      </c>
    </row>
    <row r="8" spans="1:6" x14ac:dyDescent="0.3">
      <c r="A8" s="1" t="s">
        <v>5</v>
      </c>
      <c r="B8" s="2">
        <f t="shared" si="0"/>
        <v>14815</v>
      </c>
      <c r="C8" s="2">
        <v>14815</v>
      </c>
      <c r="D8" s="2">
        <v>2000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386</v>
      </c>
      <c r="C9" s="2">
        <v>386</v>
      </c>
      <c r="D9" s="2">
        <v>200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-408</v>
      </c>
      <c r="C13" s="2">
        <v>0</v>
      </c>
      <c r="D13" s="2">
        <v>0</v>
      </c>
      <c r="E13" s="2">
        <v>408</v>
      </c>
      <c r="F13" s="2">
        <v>200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14140</v>
      </c>
      <c r="C15" s="5">
        <f t="shared" ref="C15:F15" si="1">SUM(C3:C14)</f>
        <v>15201</v>
      </c>
      <c r="D15" s="5">
        <f t="shared" si="1"/>
        <v>2200</v>
      </c>
      <c r="E15" s="5">
        <f t="shared" si="1"/>
        <v>1061</v>
      </c>
      <c r="F15" s="5">
        <f t="shared" si="1"/>
        <v>281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15775</v>
      </c>
      <c r="C3" s="2">
        <v>15775</v>
      </c>
      <c r="D3" s="2">
        <v>2000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13758</v>
      </c>
      <c r="C10" s="2">
        <v>13758</v>
      </c>
      <c r="D10" s="2">
        <v>2000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13669</v>
      </c>
      <c r="C14" s="2">
        <v>13669</v>
      </c>
      <c r="D14" s="2">
        <v>2000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43202</v>
      </c>
      <c r="C15" s="5">
        <f t="shared" ref="C15:F15" si="1">SUM(C3:C14)</f>
        <v>43202</v>
      </c>
      <c r="D15" s="5">
        <f t="shared" si="1"/>
        <v>6000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13474</v>
      </c>
      <c r="C6" s="2">
        <v>13474</v>
      </c>
      <c r="D6" s="2">
        <v>2000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-1707</v>
      </c>
      <c r="C14" s="2">
        <v>0</v>
      </c>
      <c r="D14" s="2">
        <v>0</v>
      </c>
      <c r="E14" s="2">
        <v>1707</v>
      </c>
      <c r="F14" s="2">
        <v>15</v>
      </c>
    </row>
    <row r="15" spans="1:6" ht="17.25" thickBot="1" x14ac:dyDescent="0.35">
      <c r="A15" s="4" t="s">
        <v>13</v>
      </c>
      <c r="B15" s="5">
        <f>SUM(B3:B14)</f>
        <v>11767</v>
      </c>
      <c r="C15" s="5">
        <f t="shared" ref="C15:F15" si="1">SUM(C3:C14)</f>
        <v>13474</v>
      </c>
      <c r="D15" s="5">
        <f t="shared" si="1"/>
        <v>2000</v>
      </c>
      <c r="E15" s="5">
        <f t="shared" si="1"/>
        <v>1707</v>
      </c>
      <c r="F15" s="5">
        <f t="shared" si="1"/>
        <v>15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18216</v>
      </c>
      <c r="C3" s="2">
        <v>18216</v>
      </c>
      <c r="D3" s="2">
        <v>12000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-13</v>
      </c>
      <c r="C8" s="2">
        <v>0</v>
      </c>
      <c r="D8" s="2">
        <v>0</v>
      </c>
      <c r="E8" s="2">
        <v>13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-52</v>
      </c>
      <c r="C10" s="2">
        <v>0</v>
      </c>
      <c r="D10" s="2">
        <v>0</v>
      </c>
      <c r="E10" s="2">
        <v>52</v>
      </c>
      <c r="F10" s="2">
        <v>44</v>
      </c>
    </row>
    <row r="11" spans="1:6" x14ac:dyDescent="0.3">
      <c r="A11" s="1" t="s">
        <v>8</v>
      </c>
      <c r="B11" s="2">
        <f t="shared" si="0"/>
        <v>11226</v>
      </c>
      <c r="C11" s="2">
        <v>11226</v>
      </c>
      <c r="D11" s="2">
        <v>2000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11124</v>
      </c>
      <c r="C13" s="2">
        <v>11124</v>
      </c>
      <c r="D13" s="2">
        <v>2000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40501</v>
      </c>
      <c r="C15" s="5">
        <f t="shared" ref="C15:F15" si="1">SUM(C3:C14)</f>
        <v>40566</v>
      </c>
      <c r="D15" s="5">
        <f t="shared" si="1"/>
        <v>16000</v>
      </c>
      <c r="E15" s="5">
        <f t="shared" si="1"/>
        <v>65</v>
      </c>
      <c r="F15" s="5">
        <f t="shared" si="1"/>
        <v>44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-122372</v>
      </c>
      <c r="C8" s="2">
        <v>0</v>
      </c>
      <c r="D8" s="2">
        <v>0</v>
      </c>
      <c r="E8" s="2">
        <v>122372</v>
      </c>
      <c r="F8" s="2">
        <v>199764</v>
      </c>
    </row>
    <row r="9" spans="1:6" x14ac:dyDescent="0.3">
      <c r="A9" s="1" t="s">
        <v>6</v>
      </c>
      <c r="B9" s="2">
        <f t="shared" si="0"/>
        <v>-119329</v>
      </c>
      <c r="C9" s="2">
        <v>0</v>
      </c>
      <c r="D9" s="2">
        <v>0</v>
      </c>
      <c r="E9" s="2">
        <v>119329</v>
      </c>
      <c r="F9" s="2">
        <v>199700</v>
      </c>
    </row>
    <row r="10" spans="1:6" x14ac:dyDescent="0.3">
      <c r="A10" s="1" t="s">
        <v>7</v>
      </c>
      <c r="B10" s="2">
        <f t="shared" si="0"/>
        <v>-298640</v>
      </c>
      <c r="C10" s="2">
        <v>0</v>
      </c>
      <c r="D10" s="2">
        <v>0</v>
      </c>
      <c r="E10" s="2">
        <v>298640</v>
      </c>
      <c r="F10" s="2">
        <v>499710</v>
      </c>
    </row>
    <row r="11" spans="1:6" x14ac:dyDescent="0.3">
      <c r="A11" s="1" t="s">
        <v>8</v>
      </c>
      <c r="B11" s="2">
        <f t="shared" si="0"/>
        <v>-234731</v>
      </c>
      <c r="C11" s="2">
        <v>10499</v>
      </c>
      <c r="D11" s="2">
        <v>1920</v>
      </c>
      <c r="E11" s="2">
        <v>245230</v>
      </c>
      <c r="F11" s="2">
        <v>409880</v>
      </c>
    </row>
    <row r="12" spans="1:6" x14ac:dyDescent="0.3">
      <c r="A12" s="1" t="s">
        <v>9</v>
      </c>
      <c r="B12" s="2">
        <f t="shared" si="0"/>
        <v>-177295</v>
      </c>
      <c r="C12" s="2">
        <v>0</v>
      </c>
      <c r="D12" s="2">
        <v>0</v>
      </c>
      <c r="E12" s="2">
        <v>177295</v>
      </c>
      <c r="F12" s="2">
        <v>299920</v>
      </c>
    </row>
    <row r="13" spans="1:6" x14ac:dyDescent="0.3">
      <c r="A13" s="1" t="s">
        <v>10</v>
      </c>
      <c r="B13" s="2">
        <f t="shared" si="0"/>
        <v>-698323</v>
      </c>
      <c r="C13" s="2">
        <v>0</v>
      </c>
      <c r="D13" s="2">
        <v>0</v>
      </c>
      <c r="E13" s="2">
        <v>698323</v>
      </c>
      <c r="F13" s="2">
        <v>1129092</v>
      </c>
    </row>
    <row r="14" spans="1:6" x14ac:dyDescent="0.3">
      <c r="A14" s="1" t="s">
        <v>11</v>
      </c>
      <c r="B14" s="2">
        <f t="shared" si="0"/>
        <v>-771441</v>
      </c>
      <c r="C14" s="2">
        <v>0</v>
      </c>
      <c r="D14" s="2">
        <v>0</v>
      </c>
      <c r="E14" s="2">
        <v>771441</v>
      </c>
      <c r="F14" s="2">
        <v>1147160</v>
      </c>
    </row>
    <row r="15" spans="1:6" ht="17.25" thickBot="1" x14ac:dyDescent="0.35">
      <c r="A15" s="4" t="s">
        <v>13</v>
      </c>
      <c r="B15" s="5">
        <f>SUM(B3:B14)</f>
        <v>-2422131</v>
      </c>
      <c r="C15" s="5">
        <f t="shared" ref="C15:F15" si="1">SUM(C3:C14)</f>
        <v>10499</v>
      </c>
      <c r="D15" s="5">
        <f t="shared" si="1"/>
        <v>1920</v>
      </c>
      <c r="E15" s="5">
        <f t="shared" si="1"/>
        <v>2432630</v>
      </c>
      <c r="F15" s="5">
        <f t="shared" si="1"/>
        <v>3885226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-553405</v>
      </c>
      <c r="C3" s="2">
        <v>12315</v>
      </c>
      <c r="D3" s="2">
        <v>2000</v>
      </c>
      <c r="E3" s="2">
        <v>565720</v>
      </c>
      <c r="F3" s="2">
        <v>802184</v>
      </c>
    </row>
    <row r="4" spans="1:6" x14ac:dyDescent="0.3">
      <c r="A4" s="1" t="s">
        <v>1</v>
      </c>
      <c r="B4" s="2">
        <f t="shared" si="0"/>
        <v>-564498</v>
      </c>
      <c r="C4" s="2">
        <v>0</v>
      </c>
      <c r="D4" s="2">
        <v>0</v>
      </c>
      <c r="E4" s="2">
        <v>564498</v>
      </c>
      <c r="F4" s="2">
        <v>788432</v>
      </c>
    </row>
    <row r="5" spans="1:6" x14ac:dyDescent="0.3">
      <c r="A5" s="1" t="s">
        <v>2</v>
      </c>
      <c r="B5" s="2">
        <f t="shared" si="0"/>
        <v>-754325</v>
      </c>
      <c r="C5" s="2">
        <v>0</v>
      </c>
      <c r="D5" s="2">
        <v>0</v>
      </c>
      <c r="E5" s="2">
        <v>754325</v>
      </c>
      <c r="F5" s="2">
        <v>1069520</v>
      </c>
    </row>
    <row r="6" spans="1:6" x14ac:dyDescent="0.3">
      <c r="A6" s="1" t="s">
        <v>3</v>
      </c>
      <c r="B6" s="2">
        <f t="shared" si="0"/>
        <v>-1282258</v>
      </c>
      <c r="C6" s="2">
        <v>0</v>
      </c>
      <c r="D6" s="2">
        <v>0</v>
      </c>
      <c r="E6" s="2">
        <v>1282258</v>
      </c>
      <c r="F6" s="2">
        <v>1619140</v>
      </c>
    </row>
    <row r="7" spans="1:6" x14ac:dyDescent="0.3">
      <c r="A7" s="1" t="s">
        <v>4</v>
      </c>
      <c r="B7" s="2">
        <f t="shared" si="0"/>
        <v>-1153484</v>
      </c>
      <c r="C7" s="2">
        <v>0</v>
      </c>
      <c r="D7" s="2">
        <v>0</v>
      </c>
      <c r="E7" s="2">
        <v>1153484</v>
      </c>
      <c r="F7" s="2">
        <v>1458802</v>
      </c>
    </row>
    <row r="8" spans="1:6" x14ac:dyDescent="0.3">
      <c r="A8" s="1" t="s">
        <v>5</v>
      </c>
      <c r="B8" s="2">
        <f t="shared" si="0"/>
        <v>-1218539</v>
      </c>
      <c r="C8" s="2">
        <v>0</v>
      </c>
      <c r="D8" s="2">
        <v>0</v>
      </c>
      <c r="E8" s="2">
        <v>1218539</v>
      </c>
      <c r="F8" s="2">
        <v>1390480</v>
      </c>
    </row>
    <row r="9" spans="1:6" x14ac:dyDescent="0.3">
      <c r="A9" s="1" t="s">
        <v>6</v>
      </c>
      <c r="B9" s="2">
        <f t="shared" si="0"/>
        <v>-2621057</v>
      </c>
      <c r="C9" s="2">
        <v>0</v>
      </c>
      <c r="D9" s="2">
        <v>0</v>
      </c>
      <c r="E9" s="2">
        <v>2621057</v>
      </c>
      <c r="F9" s="2">
        <v>2978370</v>
      </c>
    </row>
    <row r="10" spans="1:6" x14ac:dyDescent="0.3">
      <c r="A10" s="1" t="s">
        <v>7</v>
      </c>
      <c r="B10" s="2">
        <f t="shared" si="0"/>
        <v>-2349331</v>
      </c>
      <c r="C10" s="2">
        <v>0</v>
      </c>
      <c r="D10" s="2">
        <v>0</v>
      </c>
      <c r="E10" s="2">
        <v>2349331</v>
      </c>
      <c r="F10" s="2">
        <v>2279599</v>
      </c>
    </row>
    <row r="11" spans="1:6" x14ac:dyDescent="0.3">
      <c r="A11" s="1" t="s">
        <v>8</v>
      </c>
      <c r="B11" s="2">
        <f t="shared" si="0"/>
        <v>-1279386</v>
      </c>
      <c r="C11" s="2">
        <v>0</v>
      </c>
      <c r="D11" s="2">
        <v>0</v>
      </c>
      <c r="E11" s="2">
        <v>1279386</v>
      </c>
      <c r="F11" s="2">
        <v>1509520</v>
      </c>
    </row>
    <row r="12" spans="1:6" x14ac:dyDescent="0.3">
      <c r="A12" s="1" t="s">
        <v>9</v>
      </c>
      <c r="B12" s="2">
        <f t="shared" si="0"/>
        <v>-1463542</v>
      </c>
      <c r="C12" s="2">
        <v>0</v>
      </c>
      <c r="D12" s="2">
        <v>0</v>
      </c>
      <c r="E12" s="2">
        <v>1463542</v>
      </c>
      <c r="F12" s="2">
        <v>1792890</v>
      </c>
    </row>
    <row r="13" spans="1:6" x14ac:dyDescent="0.3">
      <c r="A13" s="1" t="s">
        <v>10</v>
      </c>
      <c r="B13" s="2">
        <f t="shared" si="0"/>
        <v>-1274655</v>
      </c>
      <c r="C13" s="2">
        <v>0</v>
      </c>
      <c r="D13" s="2">
        <v>0</v>
      </c>
      <c r="E13" s="2">
        <v>1274655</v>
      </c>
      <c r="F13" s="2">
        <v>1696170</v>
      </c>
    </row>
    <row r="14" spans="1:6" x14ac:dyDescent="0.3">
      <c r="A14" s="1" t="s">
        <v>11</v>
      </c>
      <c r="B14" s="2">
        <f t="shared" si="0"/>
        <v>-1423068</v>
      </c>
      <c r="C14" s="2">
        <v>0</v>
      </c>
      <c r="D14" s="2">
        <v>0</v>
      </c>
      <c r="E14" s="2">
        <v>1423068</v>
      </c>
      <c r="F14" s="2">
        <v>1917300</v>
      </c>
    </row>
    <row r="15" spans="1:6" ht="17.25" thickBot="1" x14ac:dyDescent="0.35">
      <c r="A15" s="4" t="s">
        <v>13</v>
      </c>
      <c r="B15" s="5">
        <f>SUM(B3:B14)</f>
        <v>-15937548</v>
      </c>
      <c r="C15" s="5">
        <f t="shared" ref="C15:F15" si="1">SUM(C3:C14)</f>
        <v>12315</v>
      </c>
      <c r="D15" s="5">
        <f t="shared" si="1"/>
        <v>2000</v>
      </c>
      <c r="E15" s="5">
        <f t="shared" si="1"/>
        <v>15949863</v>
      </c>
      <c r="F15" s="5">
        <f t="shared" si="1"/>
        <v>19302407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-666213</v>
      </c>
      <c r="C3" s="2">
        <v>0</v>
      </c>
      <c r="D3" s="2">
        <v>0</v>
      </c>
      <c r="E3" s="2">
        <v>666213</v>
      </c>
      <c r="F3" s="2">
        <v>874720</v>
      </c>
    </row>
    <row r="4" spans="1:6" x14ac:dyDescent="0.3">
      <c r="A4" s="1" t="s">
        <v>1</v>
      </c>
      <c r="B4" s="2">
        <f t="shared" si="0"/>
        <v>-1300284</v>
      </c>
      <c r="C4" s="2">
        <v>12341</v>
      </c>
      <c r="D4" s="2">
        <v>2000</v>
      </c>
      <c r="E4" s="2">
        <v>1312625</v>
      </c>
      <c r="F4" s="2">
        <v>1703600</v>
      </c>
    </row>
    <row r="5" spans="1:6" x14ac:dyDescent="0.3">
      <c r="A5" s="1" t="s">
        <v>2</v>
      </c>
      <c r="B5" s="2">
        <f t="shared" si="0"/>
        <v>-757359</v>
      </c>
      <c r="C5" s="2">
        <v>0</v>
      </c>
      <c r="D5" s="2">
        <v>0</v>
      </c>
      <c r="E5" s="2">
        <v>757359</v>
      </c>
      <c r="F5" s="2">
        <v>1006210</v>
      </c>
    </row>
    <row r="6" spans="1:6" x14ac:dyDescent="0.3">
      <c r="A6" s="1" t="s">
        <v>3</v>
      </c>
      <c r="B6" s="2">
        <f t="shared" si="0"/>
        <v>-971891</v>
      </c>
      <c r="C6" s="2">
        <v>0</v>
      </c>
      <c r="D6" s="2">
        <v>0</v>
      </c>
      <c r="E6" s="2">
        <v>971891</v>
      </c>
      <c r="F6" s="2">
        <v>1298730</v>
      </c>
    </row>
    <row r="7" spans="1:6" x14ac:dyDescent="0.3">
      <c r="A7" s="1" t="s">
        <v>4</v>
      </c>
      <c r="B7" s="2">
        <f t="shared" si="0"/>
        <v>-369691</v>
      </c>
      <c r="C7" s="2">
        <v>0</v>
      </c>
      <c r="D7" s="2">
        <v>0</v>
      </c>
      <c r="E7" s="2">
        <v>369691</v>
      </c>
      <c r="F7" s="2">
        <v>509370</v>
      </c>
    </row>
    <row r="8" spans="1:6" x14ac:dyDescent="0.3">
      <c r="A8" s="1" t="s">
        <v>5</v>
      </c>
      <c r="B8" s="2">
        <f t="shared" si="0"/>
        <v>-1318845</v>
      </c>
      <c r="C8" s="2">
        <v>0</v>
      </c>
      <c r="D8" s="2">
        <v>0</v>
      </c>
      <c r="E8" s="2">
        <v>1318845</v>
      </c>
      <c r="F8" s="2">
        <v>2110160</v>
      </c>
    </row>
    <row r="9" spans="1:6" x14ac:dyDescent="0.3">
      <c r="A9" s="1" t="s">
        <v>6</v>
      </c>
      <c r="B9" s="2">
        <f t="shared" si="0"/>
        <v>-895680</v>
      </c>
      <c r="C9" s="2">
        <v>0</v>
      </c>
      <c r="D9" s="2">
        <v>0</v>
      </c>
      <c r="E9" s="2">
        <v>895680</v>
      </c>
      <c r="F9" s="2">
        <v>1438150</v>
      </c>
    </row>
    <row r="10" spans="1:6" x14ac:dyDescent="0.3">
      <c r="A10" s="1" t="s">
        <v>7</v>
      </c>
      <c r="B10" s="2">
        <f t="shared" si="0"/>
        <v>-1552245</v>
      </c>
      <c r="C10" s="2">
        <v>0</v>
      </c>
      <c r="D10" s="2">
        <v>0</v>
      </c>
      <c r="E10" s="2">
        <v>1552245</v>
      </c>
      <c r="F10" s="2">
        <v>2852200</v>
      </c>
    </row>
    <row r="11" spans="1:6" x14ac:dyDescent="0.3">
      <c r="A11" s="1" t="s">
        <v>8</v>
      </c>
      <c r="B11" s="2">
        <f t="shared" si="0"/>
        <v>-808948</v>
      </c>
      <c r="C11" s="2">
        <v>0</v>
      </c>
      <c r="D11" s="2">
        <v>0</v>
      </c>
      <c r="E11" s="2">
        <v>808948</v>
      </c>
      <c r="F11" s="2">
        <v>1397890</v>
      </c>
    </row>
    <row r="12" spans="1:6" x14ac:dyDescent="0.3">
      <c r="A12" s="1" t="s">
        <v>9</v>
      </c>
      <c r="B12" s="2">
        <f t="shared" si="0"/>
        <v>-3922415</v>
      </c>
      <c r="C12" s="2">
        <v>0</v>
      </c>
      <c r="D12" s="2">
        <v>0</v>
      </c>
      <c r="E12" s="2">
        <v>3922415</v>
      </c>
      <c r="F12" s="2">
        <v>4426053</v>
      </c>
    </row>
    <row r="13" spans="1:6" x14ac:dyDescent="0.3">
      <c r="A13" s="1" t="s">
        <v>10</v>
      </c>
      <c r="B13" s="2">
        <f t="shared" si="0"/>
        <v>-1488798</v>
      </c>
      <c r="C13" s="2">
        <v>0</v>
      </c>
      <c r="D13" s="2">
        <v>0</v>
      </c>
      <c r="E13" s="2">
        <v>1488798</v>
      </c>
      <c r="F13" s="2">
        <v>2412580</v>
      </c>
    </row>
    <row r="14" spans="1:6" x14ac:dyDescent="0.3">
      <c r="A14" s="1" t="s">
        <v>11</v>
      </c>
      <c r="B14" s="2">
        <f t="shared" si="0"/>
        <v>-1639146</v>
      </c>
      <c r="C14" s="2">
        <v>14347</v>
      </c>
      <c r="D14" s="2">
        <v>2000</v>
      </c>
      <c r="E14" s="2">
        <v>1653493</v>
      </c>
      <c r="F14" s="2">
        <v>2732981</v>
      </c>
    </row>
    <row r="15" spans="1:6" ht="17.25" thickBot="1" x14ac:dyDescent="0.35">
      <c r="A15" s="4" t="s">
        <v>13</v>
      </c>
      <c r="B15" s="5">
        <f>SUM(B3:B14)</f>
        <v>-15691515</v>
      </c>
      <c r="C15" s="5">
        <f t="shared" ref="C15:F15" si="1">SUM(C3:C14)</f>
        <v>26688</v>
      </c>
      <c r="D15" s="5">
        <f t="shared" si="1"/>
        <v>4000</v>
      </c>
      <c r="E15" s="5">
        <f t="shared" si="1"/>
        <v>15718203</v>
      </c>
      <c r="F15" s="5">
        <f t="shared" si="1"/>
        <v>22762644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-1398852</v>
      </c>
      <c r="C3" s="2">
        <v>0</v>
      </c>
      <c r="D3" s="2">
        <v>0</v>
      </c>
      <c r="E3" s="2">
        <v>1398852</v>
      </c>
      <c r="F3" s="2">
        <v>2444400</v>
      </c>
    </row>
    <row r="4" spans="1:6" x14ac:dyDescent="0.3">
      <c r="A4" s="1" t="s">
        <v>1</v>
      </c>
      <c r="B4" s="2">
        <f t="shared" si="0"/>
        <v>-634082</v>
      </c>
      <c r="C4" s="2">
        <v>0</v>
      </c>
      <c r="D4" s="2">
        <v>0</v>
      </c>
      <c r="E4" s="2">
        <v>634082</v>
      </c>
      <c r="F4" s="2">
        <v>1060090</v>
      </c>
    </row>
    <row r="5" spans="1:6" x14ac:dyDescent="0.3">
      <c r="A5" s="1" t="s">
        <v>2</v>
      </c>
      <c r="B5" s="2">
        <f t="shared" si="0"/>
        <v>-1064424</v>
      </c>
      <c r="C5" s="2">
        <v>0</v>
      </c>
      <c r="D5" s="2">
        <v>0</v>
      </c>
      <c r="E5" s="2">
        <v>1064424</v>
      </c>
      <c r="F5" s="2">
        <v>1725595</v>
      </c>
    </row>
    <row r="6" spans="1:6" x14ac:dyDescent="0.3">
      <c r="A6" s="1" t="s">
        <v>3</v>
      </c>
      <c r="B6" s="2">
        <f t="shared" si="0"/>
        <v>-657270</v>
      </c>
      <c r="C6" s="2">
        <v>0</v>
      </c>
      <c r="D6" s="2">
        <v>0</v>
      </c>
      <c r="E6" s="2">
        <v>657270</v>
      </c>
      <c r="F6" s="2">
        <v>1022759</v>
      </c>
    </row>
    <row r="7" spans="1:6" x14ac:dyDescent="0.3">
      <c r="A7" s="1" t="s">
        <v>4</v>
      </c>
      <c r="B7" s="2">
        <f t="shared" si="0"/>
        <v>-1465860</v>
      </c>
      <c r="C7" s="2">
        <v>0</v>
      </c>
      <c r="D7" s="2">
        <v>0</v>
      </c>
      <c r="E7" s="2">
        <v>1465860</v>
      </c>
      <c r="F7" s="2">
        <v>2269702</v>
      </c>
    </row>
    <row r="8" spans="1:6" x14ac:dyDescent="0.3">
      <c r="A8" s="1" t="s">
        <v>5</v>
      </c>
      <c r="B8" s="2">
        <f t="shared" si="0"/>
        <v>-1072905</v>
      </c>
      <c r="C8" s="2">
        <v>0</v>
      </c>
      <c r="D8" s="2">
        <v>0</v>
      </c>
      <c r="E8" s="2">
        <v>1072905</v>
      </c>
      <c r="F8" s="2">
        <v>1755289</v>
      </c>
    </row>
    <row r="9" spans="1:6" x14ac:dyDescent="0.3">
      <c r="A9" s="1" t="s">
        <v>6</v>
      </c>
      <c r="B9" s="2">
        <f t="shared" si="0"/>
        <v>-1960934</v>
      </c>
      <c r="C9" s="2">
        <v>14126</v>
      </c>
      <c r="D9" s="2">
        <v>2020</v>
      </c>
      <c r="E9" s="2">
        <v>1975060</v>
      </c>
      <c r="F9" s="2">
        <v>3307730</v>
      </c>
    </row>
    <row r="10" spans="1:6" x14ac:dyDescent="0.3">
      <c r="A10" s="1" t="s">
        <v>7</v>
      </c>
      <c r="B10" s="2">
        <f t="shared" si="0"/>
        <v>-842947</v>
      </c>
      <c r="C10" s="2">
        <v>0</v>
      </c>
      <c r="D10" s="2">
        <v>0</v>
      </c>
      <c r="E10" s="2">
        <v>842947</v>
      </c>
      <c r="F10" s="2">
        <v>1366714</v>
      </c>
    </row>
    <row r="11" spans="1:6" x14ac:dyDescent="0.3">
      <c r="A11" s="1" t="s">
        <v>8</v>
      </c>
      <c r="B11" s="2">
        <f t="shared" si="0"/>
        <v>-1217338</v>
      </c>
      <c r="C11" s="2">
        <v>0</v>
      </c>
      <c r="D11" s="2">
        <v>0</v>
      </c>
      <c r="E11" s="2">
        <v>1217338</v>
      </c>
      <c r="F11" s="2">
        <v>1988520</v>
      </c>
    </row>
    <row r="12" spans="1:6" x14ac:dyDescent="0.3">
      <c r="A12" s="1" t="s">
        <v>9</v>
      </c>
      <c r="B12" s="2">
        <f t="shared" si="0"/>
        <v>-3467578</v>
      </c>
      <c r="C12" s="2">
        <v>0</v>
      </c>
      <c r="D12" s="2">
        <v>0</v>
      </c>
      <c r="E12" s="2">
        <v>3467578</v>
      </c>
      <c r="F12" s="2">
        <v>3960395</v>
      </c>
    </row>
    <row r="13" spans="1:6" x14ac:dyDescent="0.3">
      <c r="A13" s="1" t="s">
        <v>10</v>
      </c>
      <c r="B13" s="2">
        <f t="shared" si="0"/>
        <v>-1416652</v>
      </c>
      <c r="C13" s="2">
        <v>0</v>
      </c>
      <c r="D13" s="2">
        <v>0</v>
      </c>
      <c r="E13" s="2">
        <v>1416652</v>
      </c>
      <c r="F13" s="2">
        <v>2223590</v>
      </c>
    </row>
    <row r="14" spans="1:6" x14ac:dyDescent="0.3">
      <c r="A14" s="1" t="s">
        <v>11</v>
      </c>
      <c r="B14" s="2">
        <f t="shared" si="0"/>
        <v>-1380068</v>
      </c>
      <c r="C14" s="2">
        <v>13283</v>
      </c>
      <c r="D14" s="2">
        <v>2000</v>
      </c>
      <c r="E14" s="2">
        <v>1393351</v>
      </c>
      <c r="F14" s="2">
        <v>2172160</v>
      </c>
    </row>
    <row r="15" spans="1:6" ht="17.25" thickBot="1" x14ac:dyDescent="0.35">
      <c r="A15" s="4" t="s">
        <v>13</v>
      </c>
      <c r="B15" s="5">
        <f>SUM(B3:B14)</f>
        <v>-16578910</v>
      </c>
      <c r="C15" s="5">
        <f t="shared" ref="C15:F15" si="1">SUM(C3:C14)</f>
        <v>27409</v>
      </c>
      <c r="D15" s="5">
        <f t="shared" si="1"/>
        <v>4020</v>
      </c>
      <c r="E15" s="5">
        <f t="shared" si="1"/>
        <v>16606319</v>
      </c>
      <c r="F15" s="5">
        <f t="shared" si="1"/>
        <v>25296944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-3309388</v>
      </c>
      <c r="C3" s="2">
        <v>0</v>
      </c>
      <c r="D3" s="2">
        <v>0</v>
      </c>
      <c r="E3" s="2">
        <v>3309388</v>
      </c>
      <c r="F3" s="2">
        <v>3450271</v>
      </c>
    </row>
    <row r="4" spans="1:6" x14ac:dyDescent="0.3">
      <c r="A4" s="1" t="s">
        <v>1</v>
      </c>
      <c r="B4" s="2">
        <f t="shared" si="0"/>
        <v>-788673</v>
      </c>
      <c r="C4" s="2">
        <v>0</v>
      </c>
      <c r="D4" s="2">
        <v>0</v>
      </c>
      <c r="E4" s="2">
        <v>788673</v>
      </c>
      <c r="F4" s="2">
        <v>1095610</v>
      </c>
    </row>
    <row r="5" spans="1:6" x14ac:dyDescent="0.3">
      <c r="A5" s="1" t="s">
        <v>2</v>
      </c>
      <c r="B5" s="2">
        <f t="shared" si="0"/>
        <v>-4084174</v>
      </c>
      <c r="C5" s="2">
        <v>0</v>
      </c>
      <c r="D5" s="2">
        <v>0</v>
      </c>
      <c r="E5" s="2">
        <v>4084174</v>
      </c>
      <c r="F5" s="2">
        <v>4044150</v>
      </c>
    </row>
    <row r="6" spans="1:6" x14ac:dyDescent="0.3">
      <c r="A6" s="1" t="s">
        <v>3</v>
      </c>
      <c r="B6" s="2">
        <f t="shared" si="0"/>
        <v>-1532674</v>
      </c>
      <c r="C6" s="2">
        <v>0</v>
      </c>
      <c r="D6" s="2">
        <v>0</v>
      </c>
      <c r="E6" s="2">
        <v>1532674</v>
      </c>
      <c r="F6" s="2">
        <v>1810100</v>
      </c>
    </row>
    <row r="7" spans="1:6" x14ac:dyDescent="0.3">
      <c r="A7" s="1" t="s">
        <v>4</v>
      </c>
      <c r="B7" s="2">
        <f t="shared" si="0"/>
        <v>-5396022</v>
      </c>
      <c r="C7" s="2">
        <v>0</v>
      </c>
      <c r="D7" s="2">
        <v>0</v>
      </c>
      <c r="E7" s="2">
        <v>5396022</v>
      </c>
      <c r="F7" s="2">
        <v>4911746</v>
      </c>
    </row>
    <row r="8" spans="1:6" x14ac:dyDescent="0.3">
      <c r="A8" s="1" t="s">
        <v>5</v>
      </c>
      <c r="B8" s="2">
        <f t="shared" si="0"/>
        <v>-2252481</v>
      </c>
      <c r="C8" s="2">
        <v>0</v>
      </c>
      <c r="D8" s="2">
        <v>0</v>
      </c>
      <c r="E8" s="2">
        <v>2252481</v>
      </c>
      <c r="F8" s="2">
        <v>2234185</v>
      </c>
    </row>
    <row r="9" spans="1:6" x14ac:dyDescent="0.3">
      <c r="A9" s="1" t="s">
        <v>6</v>
      </c>
      <c r="B9" s="2">
        <f t="shared" si="0"/>
        <v>-3572375</v>
      </c>
      <c r="C9" s="2">
        <v>14620</v>
      </c>
      <c r="D9" s="2">
        <v>2000</v>
      </c>
      <c r="E9" s="2">
        <v>3586995</v>
      </c>
      <c r="F9" s="2">
        <v>4217100</v>
      </c>
    </row>
    <row r="10" spans="1:6" x14ac:dyDescent="0.3">
      <c r="A10" s="1" t="s">
        <v>7</v>
      </c>
      <c r="B10" s="2">
        <f t="shared" si="0"/>
        <v>-6866592</v>
      </c>
      <c r="C10" s="2">
        <v>0</v>
      </c>
      <c r="D10" s="2">
        <v>0</v>
      </c>
      <c r="E10" s="2">
        <v>6866592</v>
      </c>
      <c r="F10" s="2">
        <v>6859663</v>
      </c>
    </row>
    <row r="11" spans="1:6" x14ac:dyDescent="0.3">
      <c r="A11" s="1" t="s">
        <v>8</v>
      </c>
      <c r="B11" s="2">
        <f t="shared" si="0"/>
        <v>-7408536</v>
      </c>
      <c r="C11" s="2">
        <v>0</v>
      </c>
      <c r="D11" s="2">
        <v>0</v>
      </c>
      <c r="E11" s="2">
        <v>7408536</v>
      </c>
      <c r="F11" s="2">
        <v>6988079</v>
      </c>
    </row>
    <row r="12" spans="1:6" x14ac:dyDescent="0.3">
      <c r="A12" s="1" t="s">
        <v>9</v>
      </c>
      <c r="B12" s="2">
        <f t="shared" si="0"/>
        <v>-10241945</v>
      </c>
      <c r="C12" s="2">
        <v>0</v>
      </c>
      <c r="D12" s="2">
        <v>0</v>
      </c>
      <c r="E12" s="2">
        <v>10241945</v>
      </c>
      <c r="F12" s="2">
        <v>9111276</v>
      </c>
    </row>
    <row r="13" spans="1:6" x14ac:dyDescent="0.3">
      <c r="A13" s="1" t="s">
        <v>10</v>
      </c>
      <c r="B13" s="2">
        <f t="shared" si="0"/>
        <v>-3829249</v>
      </c>
      <c r="C13" s="2">
        <v>0</v>
      </c>
      <c r="D13" s="2">
        <v>0</v>
      </c>
      <c r="E13" s="2">
        <v>3829249</v>
      </c>
      <c r="F13" s="2">
        <v>4305678</v>
      </c>
    </row>
    <row r="14" spans="1:6" x14ac:dyDescent="0.3">
      <c r="A14" s="1" t="s">
        <v>11</v>
      </c>
      <c r="B14" s="2">
        <f t="shared" si="0"/>
        <v>-9619739</v>
      </c>
      <c r="C14" s="2">
        <v>11325</v>
      </c>
      <c r="D14" s="2">
        <v>2000</v>
      </c>
      <c r="E14" s="2">
        <v>9631064</v>
      </c>
      <c r="F14" s="2">
        <v>9236906</v>
      </c>
    </row>
    <row r="15" spans="1:6" ht="17.25" thickBot="1" x14ac:dyDescent="0.35">
      <c r="A15" s="4" t="s">
        <v>13</v>
      </c>
      <c r="B15" s="5">
        <f>SUM(B3:B14)</f>
        <v>-58901848</v>
      </c>
      <c r="C15" s="5">
        <f t="shared" ref="C15:F15" si="1">SUM(C3:C14)</f>
        <v>25945</v>
      </c>
      <c r="D15" s="5">
        <f t="shared" si="1"/>
        <v>4000</v>
      </c>
      <c r="E15" s="5">
        <f t="shared" si="1"/>
        <v>58927793</v>
      </c>
      <c r="F15" s="5">
        <f t="shared" si="1"/>
        <v>58264764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-2594624</v>
      </c>
      <c r="C3" s="2">
        <v>0</v>
      </c>
      <c r="D3" s="2">
        <v>0</v>
      </c>
      <c r="E3" s="2">
        <v>2594624</v>
      </c>
      <c r="F3" s="2">
        <v>3421590</v>
      </c>
    </row>
    <row r="4" spans="1:6" x14ac:dyDescent="0.3">
      <c r="A4" s="1" t="s">
        <v>1</v>
      </c>
      <c r="B4" s="2">
        <f t="shared" si="0"/>
        <v>-5490619</v>
      </c>
      <c r="C4" s="2">
        <v>0</v>
      </c>
      <c r="D4" s="2">
        <v>0</v>
      </c>
      <c r="E4" s="2">
        <v>5490619</v>
      </c>
      <c r="F4" s="2">
        <v>5475992</v>
      </c>
    </row>
    <row r="5" spans="1:6" x14ac:dyDescent="0.3">
      <c r="A5" s="1" t="s">
        <v>2</v>
      </c>
      <c r="B5" s="2">
        <f t="shared" si="0"/>
        <v>-3726953</v>
      </c>
      <c r="C5" s="2">
        <v>0</v>
      </c>
      <c r="D5" s="2">
        <v>0</v>
      </c>
      <c r="E5" s="2">
        <v>3726953</v>
      </c>
      <c r="F5" s="2">
        <v>3940740</v>
      </c>
    </row>
    <row r="6" spans="1:6" x14ac:dyDescent="0.3">
      <c r="A6" s="1" t="s">
        <v>3</v>
      </c>
      <c r="B6" s="2">
        <f t="shared" si="0"/>
        <v>-2848449</v>
      </c>
      <c r="C6" s="2">
        <v>0</v>
      </c>
      <c r="D6" s="2">
        <v>0</v>
      </c>
      <c r="E6" s="2">
        <v>2848449</v>
      </c>
      <c r="F6" s="2">
        <v>3910332</v>
      </c>
    </row>
    <row r="7" spans="1:6" x14ac:dyDescent="0.3">
      <c r="A7" s="1" t="s">
        <v>4</v>
      </c>
      <c r="B7" s="2">
        <f t="shared" si="0"/>
        <v>-3836989</v>
      </c>
      <c r="C7" s="2">
        <v>0</v>
      </c>
      <c r="D7" s="2">
        <v>0</v>
      </c>
      <c r="E7" s="2">
        <v>3836989</v>
      </c>
      <c r="F7" s="2">
        <v>3695998</v>
      </c>
    </row>
    <row r="8" spans="1:6" x14ac:dyDescent="0.3">
      <c r="A8" s="1" t="s">
        <v>5</v>
      </c>
      <c r="B8" s="2">
        <f t="shared" si="0"/>
        <v>-2775139</v>
      </c>
      <c r="C8" s="2">
        <v>20085</v>
      </c>
      <c r="D8" s="2">
        <v>3000</v>
      </c>
      <c r="E8" s="2">
        <v>2795224</v>
      </c>
      <c r="F8" s="2">
        <v>3102281</v>
      </c>
    </row>
    <row r="9" spans="1:6" x14ac:dyDescent="0.3">
      <c r="A9" s="1" t="s">
        <v>6</v>
      </c>
      <c r="B9" s="2">
        <f t="shared" si="0"/>
        <v>-2695428</v>
      </c>
      <c r="C9" s="2">
        <v>0</v>
      </c>
      <c r="D9" s="2">
        <v>0</v>
      </c>
      <c r="E9" s="2">
        <v>2695428</v>
      </c>
      <c r="F9" s="2">
        <v>3317864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-23968201</v>
      </c>
      <c r="C15" s="5">
        <f t="shared" ref="C15:F15" si="1">SUM(C3:C14)</f>
        <v>20085</v>
      </c>
      <c r="D15" s="5">
        <f t="shared" si="1"/>
        <v>3000</v>
      </c>
      <c r="E15" s="5">
        <f t="shared" si="1"/>
        <v>23988286</v>
      </c>
      <c r="F15" s="5">
        <f t="shared" si="1"/>
        <v>26864797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2026-08-28T06:05:51Z</dcterms:modified>
</cp:coreProperties>
</file>