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바이오디젤\3826.00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<sst xmlns="http://schemas.openxmlformats.org/spreadsheetml/2006/main" count="306" uniqueCount="18">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</sst>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-295</v>
      </c>
      <c r="C7" s="2">
        <v>0</v>
      </c>
      <c r="D7" s="2">
        <v>0</v>
      </c>
      <c r="E7" s="2">
        <v>295</v>
      </c>
      <c r="F7" s="2">
        <v>180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-295</v>
      </c>
      <c r="C15" s="5">
        <f t="shared" ref="C15:F15" si="1">SUM(C3:C14)</f>
        <v>0</v>
      </c>
      <c r="D15" s="5">
        <f t="shared" si="1"/>
        <v>0</v>
      </c>
      <c r="E15" s="5">
        <f t="shared" si="1"/>
        <v>295</v>
      </c>
      <c r="F15" s="5">
        <f t="shared" si="1"/>
        <v>180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-19</v>
      </c>
      <c r="C12" s="2">
        <v>0</v>
      </c>
      <c r="D12" s="2">
        <v>0</v>
      </c>
      <c r="E12" s="2">
        <v>19</v>
      </c>
      <c r="F12" s="2">
        <v>1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-19</v>
      </c>
      <c r="C15" s="5">
        <f t="shared" ref="C15:F15" si="1">SUM(C3:C14)</f>
        <v>0</v>
      </c>
      <c r="D15" s="5">
        <f t="shared" si="1"/>
        <v>0</v>
      </c>
      <c r="E15" s="5">
        <f t="shared" si="1"/>
        <v>19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-102267</v>
      </c>
      <c r="C8" s="2">
        <v>0</v>
      </c>
      <c r="D8" s="2">
        <v>0</v>
      </c>
      <c r="E8" s="2">
        <v>102267</v>
      </c>
      <c r="F8" s="2">
        <v>199540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-102267</v>
      </c>
      <c r="C15" s="5">
        <f t="shared" ref="C15:F15" si="1">SUM(C3:C14)</f>
        <v>0</v>
      </c>
      <c r="D15" s="5">
        <f t="shared" si="1"/>
        <v>0</v>
      </c>
      <c r="E15" s="5">
        <f t="shared" si="1"/>
        <v>102267</v>
      </c>
      <c r="F15" s="5">
        <f t="shared" si="1"/>
        <v>199540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-12</v>
      </c>
      <c r="C8" s="2">
        <v>0</v>
      </c>
      <c r="D8" s="2">
        <v>0</v>
      </c>
      <c r="E8" s="2">
        <v>12</v>
      </c>
      <c r="F8" s="2">
        <v>1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-215100</v>
      </c>
      <c r="C10" s="2">
        <v>0</v>
      </c>
      <c r="D10" s="2">
        <v>0</v>
      </c>
      <c r="E10" s="2">
        <v>215100</v>
      </c>
      <c r="F10" s="2">
        <v>500000</v>
      </c>
    </row>
    <row r="11" spans="1:6" x14ac:dyDescent="0.3">
      <c r="A11" s="1" t="s">
        <v>8</v>
      </c>
      <c r="B11" s="2">
        <f t="shared" si="0"/>
        <v>-219982</v>
      </c>
      <c r="C11" s="2">
        <v>0</v>
      </c>
      <c r="D11" s="2">
        <v>0</v>
      </c>
      <c r="E11" s="2">
        <v>219982</v>
      </c>
      <c r="F11" s="2">
        <v>499960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-435094</v>
      </c>
      <c r="C15" s="5">
        <f t="shared" ref="C15:F15" si="1">SUM(C3:C14)</f>
        <v>0</v>
      </c>
      <c r="D15" s="5">
        <f t="shared" si="1"/>
        <v>0</v>
      </c>
      <c r="E15" s="5">
        <f t="shared" si="1"/>
        <v>435094</v>
      </c>
      <c r="F15" s="5">
        <f t="shared" si="1"/>
        <v>999961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10000</v>
      </c>
      <c r="C5" s="2">
        <v>10000</v>
      </c>
      <c r="D5" s="2">
        <v>19200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-118102</v>
      </c>
      <c r="C7" s="2">
        <v>0</v>
      </c>
      <c r="D7" s="2">
        <v>0</v>
      </c>
      <c r="E7" s="2">
        <v>118102</v>
      </c>
      <c r="F7" s="2">
        <v>219740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-202216</v>
      </c>
      <c r="C12" s="2">
        <v>0</v>
      </c>
      <c r="D12" s="2">
        <v>0</v>
      </c>
      <c r="E12" s="2">
        <v>202216</v>
      </c>
      <c r="F12" s="2">
        <v>402430</v>
      </c>
    </row>
    <row r="13" spans="1:6" x14ac:dyDescent="0.3">
      <c r="A13" s="1" t="s">
        <v>10</v>
      </c>
      <c r="B13" s="2">
        <f t="shared" si="0"/>
        <v>-79427</v>
      </c>
      <c r="C13" s="2">
        <v>0</v>
      </c>
      <c r="D13" s="2">
        <v>0</v>
      </c>
      <c r="E13" s="2">
        <v>79427</v>
      </c>
      <c r="F13" s="2">
        <v>158000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-389745</v>
      </c>
      <c r="C15" s="5">
        <f t="shared" ref="C15:F15" si="1">SUM(C3:C14)</f>
        <v>10000</v>
      </c>
      <c r="D15" s="5">
        <f t="shared" si="1"/>
        <v>19200</v>
      </c>
      <c r="E15" s="5">
        <f t="shared" si="1"/>
        <v>399745</v>
      </c>
      <c r="F15" s="5">
        <f t="shared" si="1"/>
        <v>780170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-96509</v>
      </c>
      <c r="C3" s="2">
        <v>0</v>
      </c>
      <c r="D3" s="2">
        <v>0</v>
      </c>
      <c r="E3" s="2">
        <v>96509</v>
      </c>
      <c r="F3" s="2">
        <v>200000</v>
      </c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-102437</v>
      </c>
      <c r="C6" s="2">
        <v>0</v>
      </c>
      <c r="D6" s="2">
        <v>0</v>
      </c>
      <c r="E6" s="2">
        <v>102437</v>
      </c>
      <c r="F6" s="2">
        <v>197920</v>
      </c>
    </row>
    <row r="7" spans="1:6" x14ac:dyDescent="0.3">
      <c r="A7" s="1" t="s">
        <v>4</v>
      </c>
      <c r="B7" s="2">
        <f t="shared" si="0"/>
        <v>-9793</v>
      </c>
      <c r="C7" s="2">
        <v>0</v>
      </c>
      <c r="D7" s="2">
        <v>0</v>
      </c>
      <c r="E7" s="2">
        <v>9793</v>
      </c>
      <c r="F7" s="2">
        <v>19640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-134151</v>
      </c>
      <c r="C11" s="2">
        <v>0</v>
      </c>
      <c r="D11" s="2">
        <v>0</v>
      </c>
      <c r="E11" s="2">
        <v>134151</v>
      </c>
      <c r="F11" s="2">
        <v>299085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-367756</v>
      </c>
      <c r="C14" s="2">
        <v>0</v>
      </c>
      <c r="D14" s="2">
        <v>0</v>
      </c>
      <c r="E14" s="2">
        <v>367756</v>
      </c>
      <c r="F14" s="2">
        <v>799380</v>
      </c>
    </row>
    <row r="15" spans="1:6" ht="17.25" thickBot="1" x14ac:dyDescent="0.35">
      <c r="A15" s="4" t="s">
        <v>13</v>
      </c>
      <c r="B15" s="5">
        <f>SUM(B3:B14)</f>
        <v>-710646</v>
      </c>
      <c r="C15" s="5">
        <f t="shared" ref="C15:F15" si="1">SUM(C3:C14)</f>
        <v>0</v>
      </c>
      <c r="D15" s="5">
        <f t="shared" si="1"/>
        <v>0</v>
      </c>
      <c r="E15" s="5">
        <f t="shared" si="1"/>
        <v>710646</v>
      </c>
      <c r="F15" s="5">
        <f t="shared" si="1"/>
        <v>1516025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-62400</v>
      </c>
      <c r="C3" s="2">
        <v>0</v>
      </c>
      <c r="D3" s="2">
        <v>0</v>
      </c>
      <c r="E3" s="2">
        <v>62400</v>
      </c>
      <c r="F3" s="2">
        <v>160000</v>
      </c>
    </row>
    <row r="4" spans="1:6" x14ac:dyDescent="0.3">
      <c r="A4" s="1" t="s">
        <v>1</v>
      </c>
      <c r="B4" s="2">
        <f t="shared" si="0"/>
        <v>-10</v>
      </c>
      <c r="C4" s="2">
        <v>0</v>
      </c>
      <c r="D4" s="2">
        <v>0</v>
      </c>
      <c r="E4" s="2">
        <v>10</v>
      </c>
      <c r="F4" s="2">
        <v>1</v>
      </c>
    </row>
    <row r="5" spans="1:6" x14ac:dyDescent="0.3">
      <c r="A5" s="1" t="s">
        <v>2</v>
      </c>
      <c r="B5" s="2">
        <f t="shared" si="0"/>
        <v>-45</v>
      </c>
      <c r="C5" s="2">
        <v>0</v>
      </c>
      <c r="D5" s="2">
        <v>0</v>
      </c>
      <c r="E5" s="2">
        <v>45</v>
      </c>
      <c r="F5" s="2">
        <v>1</v>
      </c>
    </row>
    <row r="6" spans="1:6" x14ac:dyDescent="0.3">
      <c r="A6" s="1" t="s">
        <v>3</v>
      </c>
      <c r="B6" s="2">
        <f t="shared" si="0"/>
        <v>-71803</v>
      </c>
      <c r="C6" s="2">
        <v>0</v>
      </c>
      <c r="D6" s="2">
        <v>0</v>
      </c>
      <c r="E6" s="2">
        <v>71803</v>
      </c>
      <c r="F6" s="2">
        <v>199680</v>
      </c>
    </row>
    <row r="7" spans="1:6" x14ac:dyDescent="0.3">
      <c r="A7" s="1" t="s">
        <v>4</v>
      </c>
      <c r="B7" s="2">
        <f t="shared" si="0"/>
        <v>-303247</v>
      </c>
      <c r="C7" s="2">
        <v>0</v>
      </c>
      <c r="D7" s="2">
        <v>0</v>
      </c>
      <c r="E7" s="2">
        <v>303247</v>
      </c>
      <c r="F7" s="2">
        <v>799180</v>
      </c>
    </row>
    <row r="8" spans="1:6" x14ac:dyDescent="0.3">
      <c r="A8" s="1" t="s">
        <v>5</v>
      </c>
      <c r="B8" s="2">
        <f t="shared" si="0"/>
        <v>-80018</v>
      </c>
      <c r="C8" s="2">
        <v>0</v>
      </c>
      <c r="D8" s="2">
        <v>0</v>
      </c>
      <c r="E8" s="2">
        <v>80018</v>
      </c>
      <c r="F8" s="2">
        <v>200000</v>
      </c>
    </row>
    <row r="9" spans="1:6" x14ac:dyDescent="0.3">
      <c r="A9" s="1" t="s">
        <v>6</v>
      </c>
      <c r="B9" s="2">
        <f t="shared" si="0"/>
        <v>-117919</v>
      </c>
      <c r="C9" s="2">
        <v>0</v>
      </c>
      <c r="D9" s="2">
        <v>0</v>
      </c>
      <c r="E9" s="2">
        <v>117919</v>
      </c>
      <c r="F9" s="2">
        <v>300000</v>
      </c>
    </row>
    <row r="10" spans="1:6" x14ac:dyDescent="0.3">
      <c r="A10" s="1" t="s">
        <v>7</v>
      </c>
      <c r="B10" s="2">
        <f t="shared" si="0"/>
        <v>-490934</v>
      </c>
      <c r="C10" s="2">
        <v>0</v>
      </c>
      <c r="D10" s="2">
        <v>0</v>
      </c>
      <c r="E10" s="2">
        <v>490934</v>
      </c>
      <c r="F10" s="2">
        <v>1198716</v>
      </c>
    </row>
    <row r="11" spans="1:6" x14ac:dyDescent="0.3">
      <c r="A11" s="1" t="s">
        <v>8</v>
      </c>
      <c r="B11" s="2">
        <f t="shared" si="0"/>
        <v>-87903</v>
      </c>
      <c r="C11" s="2">
        <v>0</v>
      </c>
      <c r="D11" s="2">
        <v>0</v>
      </c>
      <c r="E11" s="2">
        <v>87903</v>
      </c>
      <c r="F11" s="2">
        <v>200000</v>
      </c>
    </row>
    <row r="12" spans="1:6" x14ac:dyDescent="0.3">
      <c r="A12" s="1" t="s">
        <v>9</v>
      </c>
      <c r="B12" s="2">
        <f t="shared" si="0"/>
        <v>-312957</v>
      </c>
      <c r="C12" s="2">
        <v>0</v>
      </c>
      <c r="D12" s="2">
        <v>0</v>
      </c>
      <c r="E12" s="2">
        <v>312957</v>
      </c>
      <c r="F12" s="2">
        <v>754683</v>
      </c>
    </row>
    <row r="13" spans="1:6" x14ac:dyDescent="0.3">
      <c r="A13" s="1" t="s">
        <v>10</v>
      </c>
      <c r="B13" s="2">
        <f t="shared" si="0"/>
        <v>-179419</v>
      </c>
      <c r="C13" s="2">
        <v>0</v>
      </c>
      <c r="D13" s="2">
        <v>0</v>
      </c>
      <c r="E13" s="2">
        <v>179419</v>
      </c>
      <c r="F13" s="2">
        <v>439980</v>
      </c>
    </row>
    <row r="14" spans="1:6" x14ac:dyDescent="0.3">
      <c r="A14" s="1" t="s">
        <v>11</v>
      </c>
      <c r="B14" s="2">
        <f t="shared" si="0"/>
        <v>-470261</v>
      </c>
      <c r="C14" s="2">
        <v>0</v>
      </c>
      <c r="D14" s="2">
        <v>0</v>
      </c>
      <c r="E14" s="2">
        <v>470261</v>
      </c>
      <c r="F14" s="2">
        <v>1082750</v>
      </c>
    </row>
    <row r="15" spans="1:6" ht="17.25" thickBot="1" x14ac:dyDescent="0.35">
      <c r="A15" s="4" t="s">
        <v>13</v>
      </c>
      <c r="B15" s="5">
        <f>SUM(B3:B14)</f>
        <v>-2176916</v>
      </c>
      <c r="C15" s="5">
        <f t="shared" ref="C15:F15" si="1">SUM(C3:C14)</f>
        <v>0</v>
      </c>
      <c r="D15" s="5">
        <f t="shared" si="1"/>
        <v>0</v>
      </c>
      <c r="E15" s="5">
        <f t="shared" si="1"/>
        <v>2176916</v>
      </c>
      <c r="F15" s="5">
        <f t="shared" si="1"/>
        <v>5334991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-18</v>
      </c>
      <c r="C5" s="2">
        <v>0</v>
      </c>
      <c r="D5" s="2">
        <v>0</v>
      </c>
      <c r="E5" s="2">
        <v>18</v>
      </c>
      <c r="F5" s="2">
        <v>3</v>
      </c>
    </row>
    <row r="6" spans="1:6" x14ac:dyDescent="0.3">
      <c r="A6" s="1" t="s">
        <v>3</v>
      </c>
      <c r="B6" s="2">
        <f t="shared" si="0"/>
        <v>-14</v>
      </c>
      <c r="C6" s="2">
        <v>0</v>
      </c>
      <c r="D6" s="2">
        <v>0</v>
      </c>
      <c r="E6" s="2">
        <v>14</v>
      </c>
      <c r="F6" s="2">
        <v>1</v>
      </c>
    </row>
    <row r="7" spans="1:6" x14ac:dyDescent="0.3">
      <c r="A7" s="1" t="s">
        <v>4</v>
      </c>
      <c r="B7" s="2">
        <f t="shared" si="0"/>
        <v>-40206</v>
      </c>
      <c r="C7" s="2">
        <v>0</v>
      </c>
      <c r="D7" s="2">
        <v>0</v>
      </c>
      <c r="E7" s="2">
        <v>40206</v>
      </c>
      <c r="F7" s="2">
        <v>100000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-114896</v>
      </c>
      <c r="C9" s="2">
        <v>0</v>
      </c>
      <c r="D9" s="2">
        <v>0</v>
      </c>
      <c r="E9" s="2">
        <v>114896</v>
      </c>
      <c r="F9" s="2">
        <v>258568</v>
      </c>
    </row>
    <row r="10" spans="1:6" x14ac:dyDescent="0.3">
      <c r="A10" s="1" t="s">
        <v>7</v>
      </c>
      <c r="B10" s="2">
        <f t="shared" si="0"/>
        <v>-65164</v>
      </c>
      <c r="C10" s="2">
        <v>0</v>
      </c>
      <c r="D10" s="2">
        <v>0</v>
      </c>
      <c r="E10" s="2">
        <v>65164</v>
      </c>
      <c r="F10" s="2">
        <v>141660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-220298</v>
      </c>
      <c r="C15" s="5">
        <f t="shared" ref="C15:F15" si="1">SUM(C3:C14)</f>
        <v>0</v>
      </c>
      <c r="D15" s="5">
        <f t="shared" si="1"/>
        <v>0</v>
      </c>
      <c r="E15" s="5">
        <f t="shared" si="1"/>
        <v>220298</v>
      </c>
      <c r="F15" s="5">
        <f t="shared" si="1"/>
        <v>500232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-27352</v>
      </c>
      <c r="C6" s="2">
        <v>0</v>
      </c>
      <c r="D6" s="2">
        <v>0</v>
      </c>
      <c r="E6" s="2">
        <v>27352</v>
      </c>
      <c r="F6" s="2">
        <v>39360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-267523</v>
      </c>
      <c r="C8" s="2">
        <v>0</v>
      </c>
      <c r="D8" s="2">
        <v>0</v>
      </c>
      <c r="E8" s="2">
        <v>267523</v>
      </c>
      <c r="F8" s="2">
        <v>359050</v>
      </c>
    </row>
    <row r="9" spans="1:6" x14ac:dyDescent="0.3">
      <c r="A9" s="1" t="s">
        <v>6</v>
      </c>
      <c r="B9" s="2">
        <f t="shared" si="0"/>
        <v>-70208</v>
      </c>
      <c r="C9" s="2">
        <v>0</v>
      </c>
      <c r="D9" s="2">
        <v>0</v>
      </c>
      <c r="E9" s="2">
        <v>70208</v>
      </c>
      <c r="F9" s="2">
        <v>99940</v>
      </c>
    </row>
    <row r="10" spans="1:6" x14ac:dyDescent="0.3">
      <c r="A10" s="1" t="s">
        <v>7</v>
      </c>
      <c r="B10" s="2">
        <f t="shared" si="0"/>
        <v>-227253</v>
      </c>
      <c r="C10" s="2">
        <v>0</v>
      </c>
      <c r="D10" s="2">
        <v>0</v>
      </c>
      <c r="E10" s="2">
        <v>227253</v>
      </c>
      <c r="F10" s="2">
        <v>300000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-226365</v>
      </c>
      <c r="C13" s="2">
        <v>0</v>
      </c>
      <c r="D13" s="2">
        <v>0</v>
      </c>
      <c r="E13" s="2">
        <v>226365</v>
      </c>
      <c r="F13" s="2">
        <v>300020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-818701</v>
      </c>
      <c r="C15" s="5">
        <f t="shared" ref="C15:F15" si="1">SUM(C3:C14)</f>
        <v>0</v>
      </c>
      <c r="D15" s="5">
        <f t="shared" si="1"/>
        <v>0</v>
      </c>
      <c r="E15" s="5">
        <f t="shared" si="1"/>
        <v>818701</v>
      </c>
      <c r="F15" s="5">
        <f t="shared" si="1"/>
        <v>1098370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-352796</v>
      </c>
      <c r="C3" s="2">
        <v>0</v>
      </c>
      <c r="D3" s="2">
        <v>0</v>
      </c>
      <c r="E3" s="2">
        <v>352796</v>
      </c>
      <c r="F3" s="2">
        <v>400000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-307474</v>
      </c>
      <c r="C5" s="2">
        <v>0</v>
      </c>
      <c r="D5" s="2">
        <v>0</v>
      </c>
      <c r="E5" s="2">
        <v>307474</v>
      </c>
      <c r="F5" s="2">
        <v>340000</v>
      </c>
    </row>
    <row r="6" spans="1:6" x14ac:dyDescent="0.3">
      <c r="A6" s="1" t="s">
        <v>3</v>
      </c>
      <c r="B6" s="2">
        <f t="shared" si="0"/>
        <v>-54265</v>
      </c>
      <c r="C6" s="2">
        <v>0</v>
      </c>
      <c r="D6" s="2">
        <v>0</v>
      </c>
      <c r="E6" s="2">
        <v>54265</v>
      </c>
      <c r="F6" s="2">
        <v>60000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-520007</v>
      </c>
      <c r="C11" s="2">
        <v>0</v>
      </c>
      <c r="D11" s="2">
        <v>0</v>
      </c>
      <c r="E11" s="2">
        <v>520007</v>
      </c>
      <c r="F11" s="2">
        <v>495680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-1234542</v>
      </c>
      <c r="C15" s="5">
        <f t="shared" ref="C15:F15" si="1">SUM(C3:C14)</f>
        <v>0</v>
      </c>
      <c r="D15" s="5">
        <f t="shared" si="1"/>
        <v>0</v>
      </c>
      <c r="E15" s="5">
        <f t="shared" si="1"/>
        <v>1234542</v>
      </c>
      <c r="F15" s="5">
        <f t="shared" si="1"/>
        <v>1295680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-3</v>
      </c>
      <c r="C12" s="2">
        <v>0</v>
      </c>
      <c r="D12" s="2">
        <v>0</v>
      </c>
      <c r="E12" s="2">
        <v>3</v>
      </c>
      <c r="F12" s="2">
        <v>3</v>
      </c>
    </row>
    <row r="13" spans="1:6" x14ac:dyDescent="0.3">
      <c r="A13" s="1" t="s">
        <v>10</v>
      </c>
      <c r="B13" s="2">
        <f t="shared" si="0"/>
        <v>-9</v>
      </c>
      <c r="C13" s="2">
        <v>0</v>
      </c>
      <c r="D13" s="2">
        <v>0</v>
      </c>
      <c r="E13" s="2">
        <v>9</v>
      </c>
      <c r="F13" s="2">
        <v>1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-12</v>
      </c>
      <c r="C15" s="5">
        <f t="shared" ref="C15:F15" si="1">SUM(C3:C14)</f>
        <v>0</v>
      </c>
      <c r="D15" s="5">
        <f t="shared" si="1"/>
        <v>0</v>
      </c>
      <c r="E15" s="5">
        <f t="shared" si="1"/>
        <v>12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</v>
      </c>
      <c r="C14" s="2">
        <v>0</v>
      </c>
      <c r="D14" s="2">
        <v>0</v>
      </c>
      <c r="E14" s="2">
        <v>1</v>
      </c>
      <c r="F14" s="2">
        <v>3</v>
      </c>
    </row>
    <row r="15" spans="1:6" ht="17.25" thickBot="1" x14ac:dyDescent="0.35">
      <c r="A15" s="4" t="s">
        <v>13</v>
      </c>
      <c r="B15" s="5">
        <f>SUM(B3:B14)</f>
        <v>-1</v>
      </c>
      <c r="C15" s="5">
        <f t="shared" ref="C15:F15" si="1">SUM(C3:C14)</f>
        <v>0</v>
      </c>
      <c r="D15" s="5">
        <f t="shared" si="1"/>
        <v>0</v>
      </c>
      <c r="E15" s="5">
        <f t="shared" si="1"/>
        <v>1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5" width="12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-46</v>
      </c>
      <c r="C10" s="2">
        <v>0</v>
      </c>
      <c r="D10" s="2">
        <v>0</v>
      </c>
      <c r="E10" s="2">
        <v>46</v>
      </c>
      <c r="F10" s="2">
        <v>10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-46</v>
      </c>
      <c r="C15" s="5">
        <f t="shared" ref="C15:F15" si="1">SUM(C3:C14)</f>
        <v>0</v>
      </c>
      <c r="D15" s="5">
        <f t="shared" si="1"/>
        <v>0</v>
      </c>
      <c r="E15" s="5">
        <f t="shared" si="1"/>
        <v>46</v>
      </c>
      <c r="F15" s="5">
        <f t="shared" si="1"/>
        <v>10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2026-08-28T06:41:50Z</dcterms:modified>
</cp:coreProperties>
</file>