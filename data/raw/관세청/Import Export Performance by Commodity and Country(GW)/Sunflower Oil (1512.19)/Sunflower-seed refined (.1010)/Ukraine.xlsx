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<sst xmlns="http://schemas.openxmlformats.org/spreadsheetml/2006/main" count="306" uniqueCount="35">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</sst>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-13167</v>
      </c>
      <c r="C9" s="2">
        <v>0</v>
      </c>
      <c r="D9" s="2">
        <v>0</v>
      </c>
      <c r="E9" s="2">
        <v>13167</v>
      </c>
      <c r="F9" s="2">
        <v>11537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-18</v>
      </c>
      <c r="C13" s="2">
        <v>0</v>
      </c>
      <c r="D13" s="2">
        <v>0</v>
      </c>
      <c r="E13" s="2">
        <v>18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-13185</v>
      </c>
      <c r="C15" s="5">
        <f t="shared" ref="C15:F15" si="1">SUM(C3:C14)</f>
        <v>0</v>
      </c>
      <c r="D15" s="5">
        <f t="shared" si="1"/>
        <v>0</v>
      </c>
      <c r="E15" s="5">
        <f t="shared" si="1"/>
        <v>13185</v>
      </c>
      <c r="F15" s="5">
        <f t="shared" si="1"/>
        <v>11539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-66249</v>
      </c>
      <c r="C7" s="2">
        <v>0</v>
      </c>
      <c r="D7" s="2">
        <v>0</v>
      </c>
      <c r="E7" s="2">
        <v>66249</v>
      </c>
      <c r="F7" s="2">
        <v>43300</v>
      </c>
    </row>
    <row r="8" spans="1:6" x14ac:dyDescent="0.3">
      <c r="A8" s="1" t="s">
        <v>5</v>
      </c>
      <c r="B8" s="2">
        <f t="shared" si="0"/>
        <v>-67090</v>
      </c>
      <c r="C8" s="2">
        <v>0</v>
      </c>
      <c r="D8" s="2">
        <v>0</v>
      </c>
      <c r="E8" s="2">
        <v>67090</v>
      </c>
      <c r="F8" s="2">
        <v>43850</v>
      </c>
    </row>
    <row r="9" spans="1:6" x14ac:dyDescent="0.3">
      <c r="A9" s="1" t="s">
        <v>6</v>
      </c>
      <c r="B9" s="2">
        <f t="shared" si="0"/>
        <v>-33507</v>
      </c>
      <c r="C9" s="2">
        <v>0</v>
      </c>
      <c r="D9" s="2">
        <v>0</v>
      </c>
      <c r="E9" s="2">
        <v>33507</v>
      </c>
      <c r="F9" s="2">
        <v>21900</v>
      </c>
    </row>
    <row r="10" spans="1:6" x14ac:dyDescent="0.3">
      <c r="A10" s="1" t="s">
        <v>7</v>
      </c>
      <c r="B10" s="2">
        <f t="shared" si="0"/>
        <v>-135985</v>
      </c>
      <c r="C10" s="2">
        <v>0</v>
      </c>
      <c r="D10" s="2">
        <v>0</v>
      </c>
      <c r="E10" s="2">
        <v>135985</v>
      </c>
      <c r="F10" s="2">
        <v>87450</v>
      </c>
    </row>
    <row r="11" spans="1:6" x14ac:dyDescent="0.3">
      <c r="A11" s="1" t="s">
        <v>8</v>
      </c>
      <c r="B11" s="2">
        <f t="shared" si="0"/>
        <v>-68342</v>
      </c>
      <c r="C11" s="2">
        <v>0</v>
      </c>
      <c r="D11" s="2">
        <v>0</v>
      </c>
      <c r="E11" s="2">
        <v>68342</v>
      </c>
      <c r="F11" s="2">
        <v>43950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-43007</v>
      </c>
      <c r="C14" s="2">
        <v>0</v>
      </c>
      <c r="D14" s="2">
        <v>0</v>
      </c>
      <c r="E14" s="2">
        <v>43007</v>
      </c>
      <c r="F14" s="2">
        <v>23615</v>
      </c>
    </row>
    <row r="15" spans="1:6" ht="17.25" thickBot="1" x14ac:dyDescent="0.35">
      <c r="A15" s="4" t="s">
        <v>32</v>
      </c>
      <c r="B15" s="5">
        <f>SUM(B3:B14)</f>
        <v>-414180</v>
      </c>
      <c r="C15" s="5">
        <f t="shared" ref="C15:F15" si="1">SUM(C3:C14)</f>
        <v>0</v>
      </c>
      <c r="D15" s="5">
        <f t="shared" si="1"/>
        <v>0</v>
      </c>
      <c r="E15" s="5">
        <f t="shared" si="1"/>
        <v>414180</v>
      </c>
      <c r="F15" s="5">
        <f t="shared" si="1"/>
        <v>264065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-34564</v>
      </c>
      <c r="C5" s="2">
        <v>0</v>
      </c>
      <c r="D5" s="2">
        <v>0</v>
      </c>
      <c r="E5" s="2">
        <v>34564</v>
      </c>
      <c r="F5" s="2">
        <v>23736</v>
      </c>
    </row>
    <row r="6" spans="1:6" x14ac:dyDescent="0.3">
      <c r="A6" s="1" t="s">
        <v>3</v>
      </c>
      <c r="B6" s="2">
        <f t="shared" si="0"/>
        <v>-64633</v>
      </c>
      <c r="C6" s="2">
        <v>0</v>
      </c>
      <c r="D6" s="2">
        <v>0</v>
      </c>
      <c r="E6" s="2">
        <v>64633</v>
      </c>
      <c r="F6" s="2">
        <v>47700</v>
      </c>
    </row>
    <row r="7" spans="1:6" x14ac:dyDescent="0.3">
      <c r="A7" s="1" t="s">
        <v>4</v>
      </c>
      <c r="B7" s="2">
        <f t="shared" si="0"/>
        <v>-103339</v>
      </c>
      <c r="C7" s="2">
        <v>0</v>
      </c>
      <c r="D7" s="2">
        <v>0</v>
      </c>
      <c r="E7" s="2">
        <v>103339</v>
      </c>
      <c r="F7" s="2">
        <v>69342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-13</v>
      </c>
      <c r="C9" s="2">
        <v>0</v>
      </c>
      <c r="D9" s="2">
        <v>0</v>
      </c>
      <c r="E9" s="2">
        <v>13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-90592</v>
      </c>
      <c r="C12" s="2">
        <v>0</v>
      </c>
      <c r="D12" s="2">
        <v>0</v>
      </c>
      <c r="E12" s="2">
        <v>90592</v>
      </c>
      <c r="F12" s="2">
        <v>66100</v>
      </c>
    </row>
    <row r="13" spans="1:6" x14ac:dyDescent="0.3">
      <c r="A13" s="1" t="s">
        <v>10</v>
      </c>
      <c r="B13" s="2">
        <f t="shared" si="0"/>
        <v>-19</v>
      </c>
      <c r="C13" s="2">
        <v>0</v>
      </c>
      <c r="D13" s="2">
        <v>0</v>
      </c>
      <c r="E13" s="2">
        <v>19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-293160</v>
      </c>
      <c r="C15" s="5">
        <f t="shared" ref="C15:F15" si="1">SUM(C3:C14)</f>
        <v>0</v>
      </c>
      <c r="D15" s="5">
        <f t="shared" si="1"/>
        <v>0</v>
      </c>
      <c r="E15" s="5">
        <f t="shared" si="1"/>
        <v>293160</v>
      </c>
      <c r="F15" s="5">
        <f t="shared" si="1"/>
        <v>206881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-208416</v>
      </c>
      <c r="C6" s="2">
        <v>0</v>
      </c>
      <c r="D6" s="2">
        <v>0</v>
      </c>
      <c r="E6" s="2">
        <v>208416</v>
      </c>
      <c r="F6" s="2">
        <v>153751</v>
      </c>
    </row>
    <row r="7" spans="1:6" x14ac:dyDescent="0.3">
      <c r="A7" s="1" t="s">
        <v>4</v>
      </c>
      <c r="B7" s="2">
        <f t="shared" si="0"/>
        <v>-148365</v>
      </c>
      <c r="C7" s="2">
        <v>0</v>
      </c>
      <c r="D7" s="2">
        <v>0</v>
      </c>
      <c r="E7" s="2">
        <v>148365</v>
      </c>
      <c r="F7" s="2">
        <v>109860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-203952</v>
      </c>
      <c r="C11" s="2">
        <v>0</v>
      </c>
      <c r="D11" s="2">
        <v>0</v>
      </c>
      <c r="E11" s="2">
        <v>203952</v>
      </c>
      <c r="F11" s="2">
        <v>154450</v>
      </c>
    </row>
    <row r="12" spans="1:6" x14ac:dyDescent="0.3">
      <c r="A12" s="1" t="s">
        <v>9</v>
      </c>
      <c r="B12" s="2">
        <f t="shared" si="0"/>
        <v>-146490</v>
      </c>
      <c r="C12" s="2">
        <v>0</v>
      </c>
      <c r="D12" s="2">
        <v>0</v>
      </c>
      <c r="E12" s="2">
        <v>146490</v>
      </c>
      <c r="F12" s="2">
        <v>110100</v>
      </c>
    </row>
    <row r="13" spans="1:6" x14ac:dyDescent="0.3">
      <c r="A13" s="1" t="s">
        <v>10</v>
      </c>
      <c r="B13" s="2">
        <f t="shared" si="0"/>
        <v>-217717</v>
      </c>
      <c r="C13" s="2">
        <v>0</v>
      </c>
      <c r="D13" s="2">
        <v>0</v>
      </c>
      <c r="E13" s="2">
        <v>217717</v>
      </c>
      <c r="F13" s="2">
        <v>197850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-924940</v>
      </c>
      <c r="C15" s="5">
        <f t="shared" ref="C15:F15" si="1">SUM(C3:C14)</f>
        <v>0</v>
      </c>
      <c r="D15" s="5">
        <f t="shared" si="1"/>
        <v>0</v>
      </c>
      <c r="E15" s="5">
        <f t="shared" si="1"/>
        <v>924940</v>
      </c>
      <c r="F15" s="5">
        <f t="shared" si="1"/>
        <v>726011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-550476</v>
      </c>
      <c r="C3" s="2">
        <v>0</v>
      </c>
      <c r="D3" s="2">
        <v>0</v>
      </c>
      <c r="E3" s="2">
        <v>550476</v>
      </c>
      <c r="F3" s="2">
        <v>506440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-669399</v>
      </c>
      <c r="C5" s="2">
        <v>0</v>
      </c>
      <c r="D5" s="2">
        <v>0</v>
      </c>
      <c r="E5" s="2">
        <v>669399</v>
      </c>
      <c r="F5" s="2">
        <v>615420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-405582</v>
      </c>
      <c r="C7" s="2">
        <v>0</v>
      </c>
      <c r="D7" s="2">
        <v>0</v>
      </c>
      <c r="E7" s="2">
        <v>405582</v>
      </c>
      <c r="F7" s="2">
        <v>395690</v>
      </c>
    </row>
    <row r="8" spans="1:6" x14ac:dyDescent="0.3">
      <c r="A8" s="1" t="s">
        <v>5</v>
      </c>
      <c r="B8" s="2">
        <f t="shared" si="0"/>
        <v>-927986</v>
      </c>
      <c r="C8" s="2">
        <v>0</v>
      </c>
      <c r="D8" s="2">
        <v>0</v>
      </c>
      <c r="E8" s="2">
        <v>927986</v>
      </c>
      <c r="F8" s="2">
        <v>851072</v>
      </c>
    </row>
    <row r="9" spans="1:6" x14ac:dyDescent="0.3">
      <c r="A9" s="1" t="s">
        <v>6</v>
      </c>
      <c r="B9" s="2">
        <f t="shared" si="0"/>
        <v>-339843</v>
      </c>
      <c r="C9" s="2">
        <v>0</v>
      </c>
      <c r="D9" s="2">
        <v>0</v>
      </c>
      <c r="E9" s="2">
        <v>339843</v>
      </c>
      <c r="F9" s="2">
        <v>295729</v>
      </c>
    </row>
    <row r="10" spans="1:6" x14ac:dyDescent="0.3">
      <c r="A10" s="1" t="s">
        <v>7</v>
      </c>
      <c r="B10" s="2">
        <f t="shared" si="0"/>
        <v>-137888</v>
      </c>
      <c r="C10" s="2">
        <v>0</v>
      </c>
      <c r="D10" s="2">
        <v>0</v>
      </c>
      <c r="E10" s="2">
        <v>137888</v>
      </c>
      <c r="F10" s="2">
        <v>131950</v>
      </c>
    </row>
    <row r="11" spans="1:6" x14ac:dyDescent="0.3">
      <c r="A11" s="1" t="s">
        <v>8</v>
      </c>
      <c r="B11" s="2">
        <f t="shared" si="0"/>
        <v>-578679</v>
      </c>
      <c r="C11" s="2">
        <v>0</v>
      </c>
      <c r="D11" s="2">
        <v>0</v>
      </c>
      <c r="E11" s="2">
        <v>578679</v>
      </c>
      <c r="F11" s="2">
        <v>525440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-244972</v>
      </c>
      <c r="C13" s="2">
        <v>0</v>
      </c>
      <c r="D13" s="2">
        <v>0</v>
      </c>
      <c r="E13" s="2">
        <v>244972</v>
      </c>
      <c r="F13" s="2">
        <v>214360</v>
      </c>
    </row>
    <row r="14" spans="1:6" x14ac:dyDescent="0.3">
      <c r="A14" s="1" t="s">
        <v>11</v>
      </c>
      <c r="B14" s="2">
        <f t="shared" si="0"/>
        <v>-686389</v>
      </c>
      <c r="C14" s="2">
        <v>0</v>
      </c>
      <c r="D14" s="2">
        <v>0</v>
      </c>
      <c r="E14" s="2">
        <v>686389</v>
      </c>
      <c r="F14" s="2">
        <v>681510</v>
      </c>
    </row>
    <row r="15" spans="1:6" ht="17.25" thickBot="1" x14ac:dyDescent="0.35">
      <c r="A15" s="4" t="s">
        <v>30</v>
      </c>
      <c r="B15" s="5">
        <f>SUM(B3:B14)</f>
        <v>-4541214</v>
      </c>
      <c r="C15" s="5">
        <f t="shared" ref="C15:F15" si="1">SUM(C3:C14)</f>
        <v>0</v>
      </c>
      <c r="D15" s="5">
        <f t="shared" si="1"/>
        <v>0</v>
      </c>
      <c r="E15" s="5">
        <f t="shared" si="1"/>
        <v>4541214</v>
      </c>
      <c r="F15" s="5">
        <f t="shared" si="1"/>
        <v>4217611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-458781</v>
      </c>
      <c r="C3" s="2">
        <v>0</v>
      </c>
      <c r="D3" s="2">
        <v>0</v>
      </c>
      <c r="E3" s="2">
        <v>458781</v>
      </c>
      <c r="F3" s="2">
        <v>464290</v>
      </c>
    </row>
    <row r="4" spans="1:6" x14ac:dyDescent="0.3">
      <c r="A4" s="1" t="s">
        <v>27</v>
      </c>
      <c r="B4" s="2">
        <f t="shared" si="0"/>
        <v>-107919</v>
      </c>
      <c r="C4" s="2">
        <v>0</v>
      </c>
      <c r="D4" s="2">
        <v>0</v>
      </c>
      <c r="E4" s="2">
        <v>107919</v>
      </c>
      <c r="F4" s="2">
        <v>109340</v>
      </c>
    </row>
    <row r="5" spans="1:6" x14ac:dyDescent="0.3">
      <c r="A5" s="1" t="s">
        <v>28</v>
      </c>
      <c r="B5" s="2">
        <f t="shared" si="0"/>
        <v>-443016</v>
      </c>
      <c r="C5" s="2">
        <v>0</v>
      </c>
      <c r="D5" s="2">
        <v>0</v>
      </c>
      <c r="E5" s="2">
        <v>443016</v>
      </c>
      <c r="F5" s="2">
        <v>443460</v>
      </c>
    </row>
    <row r="6" spans="1:6" x14ac:dyDescent="0.3">
      <c r="A6" s="1" t="s">
        <v>3</v>
      </c>
      <c r="B6" s="2">
        <f t="shared" si="0"/>
        <v>-123886</v>
      </c>
      <c r="C6" s="2">
        <v>0</v>
      </c>
      <c r="D6" s="2">
        <v>0</v>
      </c>
      <c r="E6" s="2">
        <v>123886</v>
      </c>
      <c r="F6" s="2">
        <v>104510</v>
      </c>
    </row>
    <row r="7" spans="1:6" x14ac:dyDescent="0.3">
      <c r="A7" s="1" t="s">
        <v>4</v>
      </c>
      <c r="B7" s="2">
        <f t="shared" si="0"/>
        <v>-397383</v>
      </c>
      <c r="C7" s="2">
        <v>0</v>
      </c>
      <c r="D7" s="2">
        <v>0</v>
      </c>
      <c r="E7" s="2">
        <v>397383</v>
      </c>
      <c r="F7" s="2">
        <v>397780</v>
      </c>
    </row>
    <row r="8" spans="1:6" x14ac:dyDescent="0.3">
      <c r="A8" s="1" t="s">
        <v>5</v>
      </c>
      <c r="B8" s="2">
        <f t="shared" si="0"/>
        <v>-618410</v>
      </c>
      <c r="C8" s="2">
        <v>0</v>
      </c>
      <c r="D8" s="2">
        <v>0</v>
      </c>
      <c r="E8" s="2">
        <v>618410</v>
      </c>
      <c r="F8" s="2">
        <v>636505</v>
      </c>
    </row>
    <row r="9" spans="1:6" x14ac:dyDescent="0.3">
      <c r="A9" s="1" t="s">
        <v>6</v>
      </c>
      <c r="B9" s="2">
        <f t="shared" si="0"/>
        <v>-367615</v>
      </c>
      <c r="C9" s="2">
        <v>0</v>
      </c>
      <c r="D9" s="2">
        <v>0</v>
      </c>
      <c r="E9" s="2">
        <v>367615</v>
      </c>
      <c r="F9" s="2">
        <v>397900</v>
      </c>
    </row>
    <row r="10" spans="1:6" x14ac:dyDescent="0.3">
      <c r="A10" s="1" t="s">
        <v>7</v>
      </c>
      <c r="B10" s="2">
        <f t="shared" si="0"/>
        <v>-493547</v>
      </c>
      <c r="C10" s="2">
        <v>0</v>
      </c>
      <c r="D10" s="2">
        <v>0</v>
      </c>
      <c r="E10" s="2">
        <v>493547</v>
      </c>
      <c r="F10" s="2">
        <v>485913</v>
      </c>
    </row>
    <row r="11" spans="1:6" x14ac:dyDescent="0.3">
      <c r="A11" s="1" t="s">
        <v>8</v>
      </c>
      <c r="B11" s="2">
        <f t="shared" si="0"/>
        <v>-1208026</v>
      </c>
      <c r="C11" s="2">
        <v>0</v>
      </c>
      <c r="D11" s="2">
        <v>0</v>
      </c>
      <c r="E11" s="2">
        <v>1208026</v>
      </c>
      <c r="F11" s="2">
        <v>1166020</v>
      </c>
    </row>
    <row r="12" spans="1:6" x14ac:dyDescent="0.3">
      <c r="A12" s="1" t="s">
        <v>9</v>
      </c>
      <c r="B12" s="2">
        <f t="shared" si="0"/>
        <v>-177602</v>
      </c>
      <c r="C12" s="2">
        <v>0</v>
      </c>
      <c r="D12" s="2">
        <v>0</v>
      </c>
      <c r="E12" s="2">
        <v>177602</v>
      </c>
      <c r="F12" s="2">
        <v>176702</v>
      </c>
    </row>
    <row r="13" spans="1:6" x14ac:dyDescent="0.3">
      <c r="A13" s="1" t="s">
        <v>10</v>
      </c>
      <c r="B13" s="2">
        <f t="shared" si="0"/>
        <v>-288110</v>
      </c>
      <c r="C13" s="2">
        <v>0</v>
      </c>
      <c r="D13" s="2">
        <v>0</v>
      </c>
      <c r="E13" s="2">
        <v>288110</v>
      </c>
      <c r="F13" s="2">
        <v>309780</v>
      </c>
    </row>
    <row r="14" spans="1:6" x14ac:dyDescent="0.3">
      <c r="A14" s="1" t="s">
        <v>11</v>
      </c>
      <c r="B14" s="2">
        <f t="shared" si="0"/>
        <v>-98609</v>
      </c>
      <c r="C14" s="2">
        <v>0</v>
      </c>
      <c r="D14" s="2">
        <v>0</v>
      </c>
      <c r="E14" s="2">
        <v>98609</v>
      </c>
      <c r="F14" s="2">
        <v>108960</v>
      </c>
    </row>
    <row r="15" spans="1:6" ht="17.25" thickBot="1" x14ac:dyDescent="0.35">
      <c r="A15" s="4" t="s">
        <v>30</v>
      </c>
      <c r="B15" s="5">
        <f>SUM(B3:B14)</f>
        <v>-4782904</v>
      </c>
      <c r="C15" s="5">
        <f t="shared" ref="C15:F15" si="1">SUM(C3:C14)</f>
        <v>0</v>
      </c>
      <c r="D15" s="5">
        <f t="shared" si="1"/>
        <v>0</v>
      </c>
      <c r="E15" s="5">
        <f t="shared" si="1"/>
        <v>4782904</v>
      </c>
      <c r="F15" s="5">
        <f t="shared" si="1"/>
        <v>4801160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-398439</v>
      </c>
      <c r="C3" s="2">
        <v>0</v>
      </c>
      <c r="D3" s="2">
        <v>0</v>
      </c>
      <c r="E3" s="2">
        <v>398439</v>
      </c>
      <c r="F3" s="2">
        <v>438960</v>
      </c>
    </row>
    <row r="4" spans="1:6" x14ac:dyDescent="0.3">
      <c r="A4" s="1" t="s">
        <v>26</v>
      </c>
      <c r="B4" s="2">
        <f t="shared" si="0"/>
        <v>-489830</v>
      </c>
      <c r="C4" s="2">
        <v>0</v>
      </c>
      <c r="D4" s="2">
        <v>0</v>
      </c>
      <c r="E4" s="2">
        <v>489830</v>
      </c>
      <c r="F4" s="2">
        <v>503600</v>
      </c>
    </row>
    <row r="5" spans="1:6" x14ac:dyDescent="0.3">
      <c r="A5" s="1" t="s">
        <v>28</v>
      </c>
      <c r="B5" s="2">
        <f t="shared" si="0"/>
        <v>-937015</v>
      </c>
      <c r="C5" s="2">
        <v>0</v>
      </c>
      <c r="D5" s="2">
        <v>0</v>
      </c>
      <c r="E5" s="2">
        <v>937015</v>
      </c>
      <c r="F5" s="2">
        <v>988300</v>
      </c>
    </row>
    <row r="6" spans="1:6" x14ac:dyDescent="0.3">
      <c r="A6" s="1" t="s">
        <v>3</v>
      </c>
      <c r="B6" s="2">
        <f t="shared" si="0"/>
        <v>-915456</v>
      </c>
      <c r="C6" s="2">
        <v>0</v>
      </c>
      <c r="D6" s="2">
        <v>0</v>
      </c>
      <c r="E6" s="2">
        <v>915456</v>
      </c>
      <c r="F6" s="2">
        <v>942504</v>
      </c>
    </row>
    <row r="7" spans="1:6" x14ac:dyDescent="0.3">
      <c r="A7" s="1" t="s">
        <v>4</v>
      </c>
      <c r="B7" s="2">
        <f t="shared" si="0"/>
        <v>-1143950</v>
      </c>
      <c r="C7" s="2">
        <v>0</v>
      </c>
      <c r="D7" s="2">
        <v>0</v>
      </c>
      <c r="E7" s="2">
        <v>1143950</v>
      </c>
      <c r="F7" s="2">
        <v>1214400</v>
      </c>
    </row>
    <row r="8" spans="1:6" x14ac:dyDescent="0.3">
      <c r="A8" s="1" t="s">
        <v>5</v>
      </c>
      <c r="B8" s="2">
        <f t="shared" si="0"/>
        <v>-702534</v>
      </c>
      <c r="C8" s="2">
        <v>0</v>
      </c>
      <c r="D8" s="2">
        <v>0</v>
      </c>
      <c r="E8" s="2">
        <v>702534</v>
      </c>
      <c r="F8" s="2">
        <v>741630</v>
      </c>
    </row>
    <row r="9" spans="1:6" x14ac:dyDescent="0.3">
      <c r="A9" s="1" t="s">
        <v>6</v>
      </c>
      <c r="B9" s="2">
        <f t="shared" si="0"/>
        <v>-672697</v>
      </c>
      <c r="C9" s="2">
        <v>0</v>
      </c>
      <c r="D9" s="2">
        <v>0</v>
      </c>
      <c r="E9" s="2">
        <v>672697</v>
      </c>
      <c r="F9" s="2">
        <v>719260</v>
      </c>
    </row>
    <row r="10" spans="1:6" x14ac:dyDescent="0.3">
      <c r="A10" s="1" t="s">
        <v>7</v>
      </c>
      <c r="B10" s="2">
        <f t="shared" si="0"/>
        <v>-922546</v>
      </c>
      <c r="C10" s="2">
        <v>0</v>
      </c>
      <c r="D10" s="2">
        <v>0</v>
      </c>
      <c r="E10" s="2">
        <v>922546</v>
      </c>
      <c r="F10" s="2">
        <v>965842</v>
      </c>
    </row>
    <row r="11" spans="1:6" x14ac:dyDescent="0.3">
      <c r="A11" s="1" t="s">
        <v>8</v>
      </c>
      <c r="B11" s="2">
        <f t="shared" si="0"/>
        <v>-964421</v>
      </c>
      <c r="C11" s="2">
        <v>0</v>
      </c>
      <c r="D11" s="2">
        <v>0</v>
      </c>
      <c r="E11" s="2">
        <v>964421</v>
      </c>
      <c r="F11" s="2">
        <v>1008154</v>
      </c>
    </row>
    <row r="12" spans="1:6" x14ac:dyDescent="0.3">
      <c r="A12" s="1" t="s">
        <v>9</v>
      </c>
      <c r="B12" s="2">
        <f t="shared" si="0"/>
        <v>-23</v>
      </c>
      <c r="C12" s="2">
        <v>0</v>
      </c>
      <c r="D12" s="2">
        <v>0</v>
      </c>
      <c r="E12" s="2">
        <v>23</v>
      </c>
      <c r="F12" s="2">
        <v>3</v>
      </c>
    </row>
    <row r="13" spans="1:6" x14ac:dyDescent="0.3">
      <c r="A13" s="1" t="s">
        <v>10</v>
      </c>
      <c r="B13" s="2">
        <f t="shared" si="0"/>
        <v>-660056</v>
      </c>
      <c r="C13" s="2">
        <v>0</v>
      </c>
      <c r="D13" s="2">
        <v>0</v>
      </c>
      <c r="E13" s="2">
        <v>660056</v>
      </c>
      <c r="F13" s="2">
        <v>705980</v>
      </c>
    </row>
    <row r="14" spans="1:6" x14ac:dyDescent="0.3">
      <c r="A14" s="1" t="s">
        <v>11</v>
      </c>
      <c r="B14" s="2">
        <f t="shared" si="0"/>
        <v>-291914</v>
      </c>
      <c r="C14" s="2">
        <v>0</v>
      </c>
      <c r="D14" s="2">
        <v>0</v>
      </c>
      <c r="E14" s="2">
        <v>291914</v>
      </c>
      <c r="F14" s="2">
        <v>305561</v>
      </c>
    </row>
    <row r="15" spans="1:6" ht="17.25" thickBot="1" x14ac:dyDescent="0.35">
      <c r="A15" s="4" t="s">
        <v>30</v>
      </c>
      <c r="B15" s="5">
        <f>SUM(B3:B14)</f>
        <v>-8098881</v>
      </c>
      <c r="C15" s="5">
        <f t="shared" ref="C15:F15" si="1">SUM(C3:C14)</f>
        <v>0</v>
      </c>
      <c r="D15" s="5">
        <f t="shared" si="1"/>
        <v>0</v>
      </c>
      <c r="E15" s="5">
        <f t="shared" si="1"/>
        <v>8098881</v>
      </c>
      <c r="F15" s="5">
        <f t="shared" si="1"/>
        <v>8534194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-1039295</v>
      </c>
      <c r="C3" s="2">
        <v>0</v>
      </c>
      <c r="D3" s="2">
        <v>0</v>
      </c>
      <c r="E3" s="2">
        <v>1039295</v>
      </c>
      <c r="F3" s="2">
        <v>1118941</v>
      </c>
    </row>
    <row r="4" spans="1:6" x14ac:dyDescent="0.3">
      <c r="A4" s="1" t="s">
        <v>1</v>
      </c>
      <c r="B4" s="2">
        <f t="shared" si="0"/>
        <v>-377942</v>
      </c>
      <c r="C4" s="2">
        <v>0</v>
      </c>
      <c r="D4" s="2">
        <v>0</v>
      </c>
      <c r="E4" s="2">
        <v>377942</v>
      </c>
      <c r="F4" s="2">
        <v>392223</v>
      </c>
    </row>
    <row r="5" spans="1:6" x14ac:dyDescent="0.3">
      <c r="A5" s="1" t="s">
        <v>2</v>
      </c>
      <c r="B5" s="2">
        <f t="shared" si="0"/>
        <v>-580852</v>
      </c>
      <c r="C5" s="2">
        <v>0</v>
      </c>
      <c r="D5" s="2">
        <v>0</v>
      </c>
      <c r="E5" s="2">
        <v>580852</v>
      </c>
      <c r="F5" s="2">
        <v>611164</v>
      </c>
    </row>
    <row r="6" spans="1:6" x14ac:dyDescent="0.3">
      <c r="A6" s="1" t="s">
        <v>3</v>
      </c>
      <c r="B6" s="2">
        <f t="shared" si="0"/>
        <v>-20</v>
      </c>
      <c r="C6" s="2">
        <v>0</v>
      </c>
      <c r="D6" s="2">
        <v>0</v>
      </c>
      <c r="E6" s="2">
        <v>20</v>
      </c>
      <c r="F6" s="2">
        <v>7</v>
      </c>
    </row>
    <row r="7" spans="1:6" x14ac:dyDescent="0.3">
      <c r="A7" s="1" t="s">
        <v>4</v>
      </c>
      <c r="B7" s="2">
        <f t="shared" si="0"/>
        <v>-326697</v>
      </c>
      <c r="C7" s="2">
        <v>0</v>
      </c>
      <c r="D7" s="2">
        <v>0</v>
      </c>
      <c r="E7" s="2">
        <v>326697</v>
      </c>
      <c r="F7" s="2">
        <v>349360</v>
      </c>
    </row>
    <row r="8" spans="1:6" x14ac:dyDescent="0.3">
      <c r="A8" s="1" t="s">
        <v>5</v>
      </c>
      <c r="B8" s="2">
        <f t="shared" si="0"/>
        <v>-286159</v>
      </c>
      <c r="C8" s="2">
        <v>0</v>
      </c>
      <c r="D8" s="2">
        <v>0</v>
      </c>
      <c r="E8" s="2">
        <v>286159</v>
      </c>
      <c r="F8" s="2">
        <v>304931</v>
      </c>
    </row>
    <row r="9" spans="1:6" x14ac:dyDescent="0.3">
      <c r="A9" s="1" t="s">
        <v>6</v>
      </c>
      <c r="B9" s="2">
        <f t="shared" si="0"/>
        <v>-851052</v>
      </c>
      <c r="C9" s="2">
        <v>0</v>
      </c>
      <c r="D9" s="2">
        <v>0</v>
      </c>
      <c r="E9" s="2">
        <v>851052</v>
      </c>
      <c r="F9" s="2">
        <v>916200</v>
      </c>
    </row>
    <row r="10" spans="1:6" x14ac:dyDescent="0.3">
      <c r="A10" s="1" t="s">
        <v>7</v>
      </c>
      <c r="B10" s="2">
        <f t="shared" si="0"/>
        <v>-206623</v>
      </c>
      <c r="C10" s="2">
        <v>0</v>
      </c>
      <c r="D10" s="2">
        <v>0</v>
      </c>
      <c r="E10" s="2">
        <v>206623</v>
      </c>
      <c r="F10" s="2">
        <v>220280</v>
      </c>
    </row>
    <row r="11" spans="1:6" x14ac:dyDescent="0.3">
      <c r="A11" s="1" t="s">
        <v>8</v>
      </c>
      <c r="B11" s="2">
        <f t="shared" si="0"/>
        <v>-499112</v>
      </c>
      <c r="C11" s="2">
        <v>0</v>
      </c>
      <c r="D11" s="2">
        <v>0</v>
      </c>
      <c r="E11" s="2">
        <v>499112</v>
      </c>
      <c r="F11" s="2">
        <v>548924</v>
      </c>
    </row>
    <row r="12" spans="1:6" x14ac:dyDescent="0.3">
      <c r="A12" s="1" t="s">
        <v>9</v>
      </c>
      <c r="B12" s="2">
        <f t="shared" si="0"/>
        <v>-396585</v>
      </c>
      <c r="C12" s="2">
        <v>0</v>
      </c>
      <c r="D12" s="2">
        <v>0</v>
      </c>
      <c r="E12" s="2">
        <v>396585</v>
      </c>
      <c r="F12" s="2">
        <v>438360</v>
      </c>
    </row>
    <row r="13" spans="1:6" x14ac:dyDescent="0.3">
      <c r="A13" s="1" t="s">
        <v>10</v>
      </c>
      <c r="B13" s="2">
        <f t="shared" si="0"/>
        <v>-356113</v>
      </c>
      <c r="C13" s="2">
        <v>0</v>
      </c>
      <c r="D13" s="2">
        <v>0</v>
      </c>
      <c r="E13" s="2">
        <v>356113</v>
      </c>
      <c r="F13" s="2">
        <v>392720</v>
      </c>
    </row>
    <row r="14" spans="1:6" x14ac:dyDescent="0.3">
      <c r="A14" s="1" t="s">
        <v>11</v>
      </c>
      <c r="B14" s="2">
        <f t="shared" si="0"/>
        <v>-177965</v>
      </c>
      <c r="C14" s="2">
        <v>0</v>
      </c>
      <c r="D14" s="2">
        <v>0</v>
      </c>
      <c r="E14" s="2">
        <v>177965</v>
      </c>
      <c r="F14" s="2">
        <v>196260</v>
      </c>
    </row>
    <row r="15" spans="1:6" ht="17.25" thickBot="1" x14ac:dyDescent="0.35">
      <c r="A15" s="4" t="s">
        <v>13</v>
      </c>
      <c r="B15" s="5">
        <f>SUM(B3:B14)</f>
        <v>-5098415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5098415</v>
      </c>
      <c r="F15" s="5">
        <f t="shared" si="3"/>
        <v>5489370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-365178</v>
      </c>
      <c r="C3" s="2">
        <v>0</v>
      </c>
      <c r="D3" s="2">
        <v>0</v>
      </c>
      <c r="E3" s="2">
        <v>365178</v>
      </c>
      <c r="F3" s="2">
        <v>392540</v>
      </c>
    </row>
    <row r="4" spans="1:6" x14ac:dyDescent="0.3">
      <c r="A4" s="1" t="s">
        <v>1</v>
      </c>
      <c r="B4" s="2">
        <f t="shared" ref="B4:B14" si="0">C4-E4</f>
        <v>-1400921</v>
      </c>
      <c r="C4" s="2">
        <v>0</v>
      </c>
      <c r="D4" s="2">
        <v>0</v>
      </c>
      <c r="E4" s="2">
        <v>1400921</v>
      </c>
      <c r="F4" s="2">
        <v>1490020</v>
      </c>
    </row>
    <row r="5" spans="1:6" x14ac:dyDescent="0.3">
      <c r="A5" s="1" t="s">
        <v>2</v>
      </c>
      <c r="B5" s="2">
        <f t="shared" si="0"/>
        <v>-529717</v>
      </c>
      <c r="C5" s="2">
        <v>0</v>
      </c>
      <c r="D5" s="2">
        <v>0</v>
      </c>
      <c r="E5" s="2">
        <v>529717</v>
      </c>
      <c r="F5" s="2">
        <v>567836</v>
      </c>
    </row>
    <row r="6" spans="1:6" x14ac:dyDescent="0.3">
      <c r="A6" s="1" t="s">
        <v>3</v>
      </c>
      <c r="B6" s="2">
        <f t="shared" si="0"/>
        <v>-331275</v>
      </c>
      <c r="C6" s="2">
        <v>0</v>
      </c>
      <c r="D6" s="2">
        <v>0</v>
      </c>
      <c r="E6" s="2">
        <v>331275</v>
      </c>
      <c r="F6" s="2">
        <v>352420</v>
      </c>
    </row>
    <row r="7" spans="1:6" x14ac:dyDescent="0.3">
      <c r="A7" s="1" t="s">
        <v>4</v>
      </c>
      <c r="B7" s="2">
        <f t="shared" si="0"/>
        <v>-433158</v>
      </c>
      <c r="C7" s="2">
        <v>0</v>
      </c>
      <c r="D7" s="2">
        <v>0</v>
      </c>
      <c r="E7" s="2">
        <v>433158</v>
      </c>
      <c r="F7" s="2">
        <v>458637</v>
      </c>
    </row>
    <row r="8" spans="1:6" x14ac:dyDescent="0.3">
      <c r="A8" s="1" t="s">
        <v>5</v>
      </c>
      <c r="B8" s="2">
        <f t="shared" si="0"/>
        <v>-181324</v>
      </c>
      <c r="C8" s="2">
        <v>0</v>
      </c>
      <c r="D8" s="2">
        <v>0</v>
      </c>
      <c r="E8" s="2">
        <v>181324</v>
      </c>
      <c r="F8" s="2">
        <v>192002</v>
      </c>
    </row>
    <row r="9" spans="1:6" x14ac:dyDescent="0.3">
      <c r="A9" s="1" t="s">
        <v>6</v>
      </c>
      <c r="B9" s="2">
        <f t="shared" si="0"/>
        <v>-903861</v>
      </c>
      <c r="C9" s="2">
        <v>0</v>
      </c>
      <c r="D9" s="2">
        <v>0</v>
      </c>
      <c r="E9" s="2">
        <v>903861</v>
      </c>
      <c r="F9" s="2">
        <v>975540</v>
      </c>
    </row>
    <row r="10" spans="1:6" x14ac:dyDescent="0.3">
      <c r="A10" s="1" t="s">
        <v>7</v>
      </c>
      <c r="B10" s="2">
        <f t="shared" si="0"/>
        <v>-640847</v>
      </c>
      <c r="C10" s="2">
        <v>0</v>
      </c>
      <c r="D10" s="2">
        <v>0</v>
      </c>
      <c r="E10" s="2">
        <v>640847</v>
      </c>
      <c r="F10" s="2">
        <v>701103</v>
      </c>
    </row>
    <row r="11" spans="1:6" x14ac:dyDescent="0.3">
      <c r="A11" s="1" t="s">
        <v>8</v>
      </c>
      <c r="B11" s="2">
        <f t="shared" si="0"/>
        <v>-256282</v>
      </c>
      <c r="C11" s="2">
        <v>0</v>
      </c>
      <c r="D11" s="2">
        <v>0</v>
      </c>
      <c r="E11" s="2">
        <v>256282</v>
      </c>
      <c r="F11" s="2">
        <v>286215</v>
      </c>
    </row>
    <row r="12" spans="1:6" x14ac:dyDescent="0.3">
      <c r="A12" s="1" t="s">
        <v>9</v>
      </c>
      <c r="B12" s="2">
        <f t="shared" si="0"/>
        <v>-630880</v>
      </c>
      <c r="C12" s="2">
        <v>0</v>
      </c>
      <c r="D12" s="2">
        <v>0</v>
      </c>
      <c r="E12" s="2">
        <v>630880</v>
      </c>
      <c r="F12" s="2">
        <v>700549</v>
      </c>
    </row>
    <row r="13" spans="1:6" x14ac:dyDescent="0.3">
      <c r="A13" s="1" t="s">
        <v>10</v>
      </c>
      <c r="B13" s="2">
        <f t="shared" si="0"/>
        <v>-710745</v>
      </c>
      <c r="C13" s="2">
        <v>0</v>
      </c>
      <c r="D13" s="2">
        <v>0</v>
      </c>
      <c r="E13" s="2">
        <v>710745</v>
      </c>
      <c r="F13" s="2">
        <v>792489</v>
      </c>
    </row>
    <row r="14" spans="1:6" x14ac:dyDescent="0.3">
      <c r="A14" s="1" t="s">
        <v>11</v>
      </c>
      <c r="B14" s="2">
        <f t="shared" si="0"/>
        <v>-751617</v>
      </c>
      <c r="C14" s="2">
        <v>0</v>
      </c>
      <c r="D14" s="2">
        <v>0</v>
      </c>
      <c r="E14" s="2">
        <v>751617</v>
      </c>
      <c r="F14" s="2">
        <v>877212</v>
      </c>
    </row>
    <row r="15" spans="1:6" ht="17.25" thickBot="1" x14ac:dyDescent="0.35">
      <c r="A15" s="4" t="s">
        <v>13</v>
      </c>
      <c r="B15" s="5">
        <f>SUM(B3:B14)</f>
        <v>-7135805</v>
      </c>
      <c r="C15" s="5">
        <f t="shared" ref="C15:F15" si="1">SUM(C3:C14)</f>
        <v>0</v>
      </c>
      <c r="D15" s="5">
        <f t="shared" si="1"/>
        <v>0</v>
      </c>
      <c r="E15" s="5">
        <f t="shared" si="1"/>
        <v>7135805</v>
      </c>
      <c r="F15" s="5">
        <f t="shared" si="1"/>
        <v>7786563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-593235</v>
      </c>
      <c r="C3" s="2">
        <v>0</v>
      </c>
      <c r="D3" s="2">
        <v>0</v>
      </c>
      <c r="E3" s="2">
        <v>593235</v>
      </c>
      <c r="F3" s="2">
        <v>705212</v>
      </c>
    </row>
    <row r="4" spans="1:6" x14ac:dyDescent="0.3">
      <c r="A4" s="1" t="s">
        <v>1</v>
      </c>
      <c r="B4" s="2">
        <f t="shared" si="0"/>
        <v>-762842</v>
      </c>
      <c r="C4" s="2">
        <v>0</v>
      </c>
      <c r="D4" s="2">
        <v>0</v>
      </c>
      <c r="E4" s="2">
        <v>762842</v>
      </c>
      <c r="F4" s="2">
        <v>923020</v>
      </c>
    </row>
    <row r="5" spans="1:6" x14ac:dyDescent="0.3">
      <c r="A5" s="1" t="s">
        <v>2</v>
      </c>
      <c r="B5" s="2">
        <f t="shared" si="0"/>
        <v>-1101859</v>
      </c>
      <c r="C5" s="2">
        <v>0</v>
      </c>
      <c r="D5" s="2">
        <v>0</v>
      </c>
      <c r="E5" s="2">
        <v>1101859</v>
      </c>
      <c r="F5" s="2">
        <v>1327341</v>
      </c>
    </row>
    <row r="6" spans="1:6" x14ac:dyDescent="0.3">
      <c r="A6" s="1" t="s">
        <v>3</v>
      </c>
      <c r="B6" s="2">
        <f t="shared" si="0"/>
        <v>-863275</v>
      </c>
      <c r="C6" s="2">
        <v>0</v>
      </c>
      <c r="D6" s="2">
        <v>0</v>
      </c>
      <c r="E6" s="2">
        <v>863275</v>
      </c>
      <c r="F6" s="2">
        <v>945227</v>
      </c>
    </row>
    <row r="7" spans="1:6" x14ac:dyDescent="0.3">
      <c r="A7" s="1" t="s">
        <v>4</v>
      </c>
      <c r="B7" s="2">
        <f t="shared" si="0"/>
        <v>-690029</v>
      </c>
      <c r="C7" s="2">
        <v>0</v>
      </c>
      <c r="D7" s="2">
        <v>0</v>
      </c>
      <c r="E7" s="2">
        <v>690029</v>
      </c>
      <c r="F7" s="2">
        <v>589450</v>
      </c>
    </row>
    <row r="8" spans="1:6" x14ac:dyDescent="0.3">
      <c r="A8" s="1" t="s">
        <v>5</v>
      </c>
      <c r="B8" s="2">
        <f t="shared" si="0"/>
        <v>-1858127</v>
      </c>
      <c r="C8" s="2">
        <v>0</v>
      </c>
      <c r="D8" s="2">
        <v>0</v>
      </c>
      <c r="E8" s="2">
        <v>1858127</v>
      </c>
      <c r="F8" s="2">
        <v>1776212</v>
      </c>
    </row>
    <row r="9" spans="1:6" x14ac:dyDescent="0.3">
      <c r="A9" s="1" t="s">
        <v>6</v>
      </c>
      <c r="B9" s="2">
        <f t="shared" si="0"/>
        <v>-1553919</v>
      </c>
      <c r="C9" s="2">
        <v>0</v>
      </c>
      <c r="D9" s="2">
        <v>0</v>
      </c>
      <c r="E9" s="2">
        <v>1553919</v>
      </c>
      <c r="F9" s="2">
        <v>1498369</v>
      </c>
    </row>
    <row r="10" spans="1:6" x14ac:dyDescent="0.3">
      <c r="A10" s="1" t="s">
        <v>7</v>
      </c>
      <c r="B10" s="2">
        <f t="shared" si="0"/>
        <v>-2062326</v>
      </c>
      <c r="C10" s="2">
        <v>0</v>
      </c>
      <c r="D10" s="2">
        <v>0</v>
      </c>
      <c r="E10" s="2">
        <v>2062326</v>
      </c>
      <c r="F10" s="2">
        <v>2108930</v>
      </c>
    </row>
    <row r="11" spans="1:6" x14ac:dyDescent="0.3">
      <c r="A11" s="1" t="s">
        <v>8</v>
      </c>
      <c r="B11" s="2">
        <f t="shared" si="0"/>
        <v>-1032041</v>
      </c>
      <c r="C11" s="2">
        <v>0</v>
      </c>
      <c r="D11" s="2">
        <v>0</v>
      </c>
      <c r="E11" s="2">
        <v>1032041</v>
      </c>
      <c r="F11" s="2">
        <v>984822</v>
      </c>
    </row>
    <row r="12" spans="1:6" x14ac:dyDescent="0.3">
      <c r="A12" s="1" t="s">
        <v>9</v>
      </c>
      <c r="B12" s="2">
        <f t="shared" si="0"/>
        <v>-296640</v>
      </c>
      <c r="C12" s="2">
        <v>0</v>
      </c>
      <c r="D12" s="2">
        <v>0</v>
      </c>
      <c r="E12" s="2">
        <v>296640</v>
      </c>
      <c r="F12" s="2">
        <v>341603</v>
      </c>
    </row>
    <row r="13" spans="1:6" x14ac:dyDescent="0.3">
      <c r="A13" s="1" t="s">
        <v>10</v>
      </c>
      <c r="B13" s="2">
        <f t="shared" si="0"/>
        <v>-681525</v>
      </c>
      <c r="C13" s="2">
        <v>0</v>
      </c>
      <c r="D13" s="2">
        <v>0</v>
      </c>
      <c r="E13" s="2">
        <v>681525</v>
      </c>
      <c r="F13" s="2">
        <v>783961</v>
      </c>
    </row>
    <row r="14" spans="1:6" x14ac:dyDescent="0.3">
      <c r="A14" s="1" t="s">
        <v>11</v>
      </c>
      <c r="B14" s="2">
        <f t="shared" si="0"/>
        <v>-769850</v>
      </c>
      <c r="C14" s="2">
        <v>0</v>
      </c>
      <c r="D14" s="2">
        <v>0</v>
      </c>
      <c r="E14" s="2">
        <v>769850</v>
      </c>
      <c r="F14" s="2">
        <v>677360</v>
      </c>
    </row>
    <row r="15" spans="1:6" ht="17.25" thickBot="1" x14ac:dyDescent="0.35">
      <c r="A15" s="4" t="s">
        <v>13</v>
      </c>
      <c r="B15" s="5">
        <f>SUM(B3:B14)</f>
        <v>-12265668</v>
      </c>
      <c r="C15" s="5">
        <f t="shared" ref="C15:F15" si="1">SUM(C3:C14)</f>
        <v>0</v>
      </c>
      <c r="D15" s="5">
        <f t="shared" si="1"/>
        <v>0</v>
      </c>
      <c r="E15" s="5">
        <f t="shared" si="1"/>
        <v>12265668</v>
      </c>
      <c r="F15" s="5">
        <f t="shared" si="1"/>
        <v>12661507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-953939</v>
      </c>
      <c r="C3" s="2">
        <v>0</v>
      </c>
      <c r="D3" s="2">
        <v>0</v>
      </c>
      <c r="E3" s="2">
        <v>953939</v>
      </c>
      <c r="F3" s="2">
        <v>829500</v>
      </c>
    </row>
    <row r="4" spans="1:6" x14ac:dyDescent="0.3">
      <c r="A4" s="1" t="s">
        <v>1</v>
      </c>
      <c r="B4" s="2">
        <f t="shared" si="0"/>
        <v>-1204208</v>
      </c>
      <c r="C4" s="2">
        <v>0</v>
      </c>
      <c r="D4" s="2">
        <v>0</v>
      </c>
      <c r="E4" s="2">
        <v>1204208</v>
      </c>
      <c r="F4" s="2">
        <v>914480</v>
      </c>
    </row>
    <row r="5" spans="1:6" x14ac:dyDescent="0.3">
      <c r="A5" s="1" t="s">
        <v>2</v>
      </c>
      <c r="B5" s="2">
        <f t="shared" si="0"/>
        <v>-1292401</v>
      </c>
      <c r="C5" s="2">
        <v>0</v>
      </c>
      <c r="D5" s="2">
        <v>0</v>
      </c>
      <c r="E5" s="2">
        <v>1292401</v>
      </c>
      <c r="F5" s="2">
        <v>1326702</v>
      </c>
    </row>
    <row r="6" spans="1:6" x14ac:dyDescent="0.3">
      <c r="A6" s="1" t="s">
        <v>3</v>
      </c>
      <c r="B6" s="2">
        <f t="shared" si="0"/>
        <v>-975917</v>
      </c>
      <c r="C6" s="2">
        <v>0</v>
      </c>
      <c r="D6" s="2">
        <v>0</v>
      </c>
      <c r="E6" s="2">
        <v>975917</v>
      </c>
      <c r="F6" s="2">
        <v>936500</v>
      </c>
    </row>
    <row r="7" spans="1:6" x14ac:dyDescent="0.3">
      <c r="A7" s="1" t="s">
        <v>4</v>
      </c>
      <c r="B7" s="2">
        <f t="shared" si="0"/>
        <v>-696810</v>
      </c>
      <c r="C7" s="2">
        <v>0</v>
      </c>
      <c r="D7" s="2">
        <v>0</v>
      </c>
      <c r="E7" s="2">
        <v>696810</v>
      </c>
      <c r="F7" s="2">
        <v>556670</v>
      </c>
    </row>
    <row r="8" spans="1:6" x14ac:dyDescent="0.3">
      <c r="A8" s="1" t="s">
        <v>5</v>
      </c>
      <c r="B8" s="2">
        <f t="shared" si="0"/>
        <v>-1877207</v>
      </c>
      <c r="C8" s="2">
        <v>0</v>
      </c>
      <c r="D8" s="2">
        <v>0</v>
      </c>
      <c r="E8" s="2">
        <v>1877207</v>
      </c>
      <c r="F8" s="2">
        <v>1635356</v>
      </c>
    </row>
    <row r="9" spans="1:6" x14ac:dyDescent="0.3">
      <c r="A9" s="1" t="s">
        <v>6</v>
      </c>
      <c r="B9" s="2">
        <f t="shared" si="0"/>
        <v>-1118660</v>
      </c>
      <c r="C9" s="2">
        <v>0</v>
      </c>
      <c r="D9" s="2">
        <v>0</v>
      </c>
      <c r="E9" s="2">
        <v>1118660</v>
      </c>
      <c r="F9" s="2">
        <v>1087225</v>
      </c>
    </row>
    <row r="10" spans="1:6" x14ac:dyDescent="0.3">
      <c r="A10" s="1" t="s">
        <v>7</v>
      </c>
      <c r="B10" s="2">
        <f t="shared" si="0"/>
        <v>-2129218</v>
      </c>
      <c r="C10" s="2">
        <v>0</v>
      </c>
      <c r="D10" s="2">
        <v>0</v>
      </c>
      <c r="E10" s="2">
        <v>2129218</v>
      </c>
      <c r="F10" s="2">
        <v>1747571</v>
      </c>
    </row>
    <row r="11" spans="1:6" x14ac:dyDescent="0.3">
      <c r="A11" s="1" t="s">
        <v>8</v>
      </c>
      <c r="B11" s="2">
        <f t="shared" si="0"/>
        <v>-2666279</v>
      </c>
      <c r="C11" s="2">
        <v>0</v>
      </c>
      <c r="D11" s="2">
        <v>0</v>
      </c>
      <c r="E11" s="2">
        <v>2666279</v>
      </c>
      <c r="F11" s="2">
        <v>2205902</v>
      </c>
    </row>
    <row r="12" spans="1:6" x14ac:dyDescent="0.3">
      <c r="A12" s="1" t="s">
        <v>9</v>
      </c>
      <c r="B12" s="2">
        <f t="shared" si="0"/>
        <v>-1719460</v>
      </c>
      <c r="C12" s="2">
        <v>0</v>
      </c>
      <c r="D12" s="2">
        <v>0</v>
      </c>
      <c r="E12" s="2">
        <v>1719460</v>
      </c>
      <c r="F12" s="2">
        <v>1356943</v>
      </c>
    </row>
    <row r="13" spans="1:6" x14ac:dyDescent="0.3">
      <c r="A13" s="1" t="s">
        <v>10</v>
      </c>
      <c r="B13" s="2">
        <f t="shared" si="0"/>
        <v>-1206484</v>
      </c>
      <c r="C13" s="2">
        <v>0</v>
      </c>
      <c r="D13" s="2">
        <v>0</v>
      </c>
      <c r="E13" s="2">
        <v>1206484</v>
      </c>
      <c r="F13" s="2">
        <v>1046664</v>
      </c>
    </row>
    <row r="14" spans="1:6" x14ac:dyDescent="0.3">
      <c r="A14" s="1" t="s">
        <v>11</v>
      </c>
      <c r="B14" s="2">
        <f t="shared" si="0"/>
        <v>-1980877</v>
      </c>
      <c r="C14" s="2">
        <v>0</v>
      </c>
      <c r="D14" s="2">
        <v>0</v>
      </c>
      <c r="E14" s="2">
        <v>1980877</v>
      </c>
      <c r="F14" s="2">
        <v>1692106</v>
      </c>
    </row>
    <row r="15" spans="1:6" ht="17.25" thickBot="1" x14ac:dyDescent="0.35">
      <c r="A15" s="4" t="s">
        <v>13</v>
      </c>
      <c r="B15" s="5">
        <f>SUM(B3:B14)</f>
        <v>-17821460</v>
      </c>
      <c r="C15" s="5">
        <f t="shared" ref="C15:F15" si="1">SUM(C3:C14)</f>
        <v>0</v>
      </c>
      <c r="D15" s="5">
        <f t="shared" si="1"/>
        <v>0</v>
      </c>
      <c r="E15" s="5">
        <f t="shared" si="1"/>
        <v>17821460</v>
      </c>
      <c r="F15" s="5">
        <f t="shared" si="1"/>
        <v>15335619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-1800056</v>
      </c>
      <c r="C3" s="2">
        <v>0</v>
      </c>
      <c r="D3" s="2">
        <v>0</v>
      </c>
      <c r="E3" s="2">
        <v>1800056</v>
      </c>
      <c r="F3" s="2">
        <v>1512380</v>
      </c>
    </row>
    <row r="4" spans="1:6" x14ac:dyDescent="0.3">
      <c r="A4" s="1" t="s">
        <v>1</v>
      </c>
      <c r="B4" s="2">
        <f t="shared" si="0"/>
        <v>-4364781</v>
      </c>
      <c r="C4" s="2">
        <v>0</v>
      </c>
      <c r="D4" s="2">
        <v>0</v>
      </c>
      <c r="E4" s="2">
        <v>4364781</v>
      </c>
      <c r="F4" s="2">
        <v>3523685</v>
      </c>
    </row>
    <row r="5" spans="1:6" x14ac:dyDescent="0.3">
      <c r="A5" s="1" t="s">
        <v>2</v>
      </c>
      <c r="B5" s="2">
        <f t="shared" si="0"/>
        <v>-4107240</v>
      </c>
      <c r="C5" s="2">
        <v>0</v>
      </c>
      <c r="D5" s="2">
        <v>0</v>
      </c>
      <c r="E5" s="2">
        <v>4107240</v>
      </c>
      <c r="F5" s="2">
        <v>3214150</v>
      </c>
    </row>
    <row r="6" spans="1:6" x14ac:dyDescent="0.3">
      <c r="A6" s="1" t="s">
        <v>3</v>
      </c>
      <c r="B6" s="2">
        <f t="shared" si="0"/>
        <v>-2589300</v>
      </c>
      <c r="C6" s="2">
        <v>0</v>
      </c>
      <c r="D6" s="2">
        <v>0</v>
      </c>
      <c r="E6" s="2">
        <v>2589300</v>
      </c>
      <c r="F6" s="2">
        <v>1983135</v>
      </c>
    </row>
    <row r="7" spans="1:6" x14ac:dyDescent="0.3">
      <c r="A7" s="1" t="s">
        <v>4</v>
      </c>
      <c r="B7" s="2">
        <f t="shared" si="0"/>
        <v>-2203889</v>
      </c>
      <c r="C7" s="2">
        <v>0</v>
      </c>
      <c r="D7" s="2">
        <v>0</v>
      </c>
      <c r="E7" s="2">
        <v>2203889</v>
      </c>
      <c r="F7" s="2">
        <v>1649121</v>
      </c>
    </row>
    <row r="8" spans="1:6" x14ac:dyDescent="0.3">
      <c r="A8" s="1" t="s">
        <v>5</v>
      </c>
      <c r="B8" s="2">
        <f t="shared" si="0"/>
        <v>-1747192</v>
      </c>
      <c r="C8" s="2">
        <v>0</v>
      </c>
      <c r="D8" s="2">
        <v>0</v>
      </c>
      <c r="E8" s="2">
        <v>1747192</v>
      </c>
      <c r="F8" s="2">
        <v>1202520</v>
      </c>
    </row>
    <row r="9" spans="1:6" x14ac:dyDescent="0.3">
      <c r="A9" s="1" t="s">
        <v>6</v>
      </c>
      <c r="B9" s="2">
        <f t="shared" si="0"/>
        <v>-1948597</v>
      </c>
      <c r="C9" s="2">
        <v>0</v>
      </c>
      <c r="D9" s="2">
        <v>0</v>
      </c>
      <c r="E9" s="2">
        <v>1948597</v>
      </c>
      <c r="F9" s="2">
        <v>1265320</v>
      </c>
    </row>
    <row r="10" spans="1:6" x14ac:dyDescent="0.3">
      <c r="A10" s="1" t="s">
        <v>7</v>
      </c>
      <c r="B10" s="2">
        <f t="shared" si="0"/>
        <v>-3700845</v>
      </c>
      <c r="C10" s="2">
        <v>0</v>
      </c>
      <c r="D10" s="2">
        <v>0</v>
      </c>
      <c r="E10" s="2">
        <v>3700845</v>
      </c>
      <c r="F10" s="2">
        <v>2343600</v>
      </c>
    </row>
    <row r="11" spans="1:6" x14ac:dyDescent="0.3">
      <c r="A11" s="1" t="s">
        <v>8</v>
      </c>
      <c r="B11" s="2">
        <f t="shared" si="0"/>
        <v>-1338224</v>
      </c>
      <c r="C11" s="2">
        <v>0</v>
      </c>
      <c r="D11" s="2">
        <v>0</v>
      </c>
      <c r="E11" s="2">
        <v>1338224</v>
      </c>
      <c r="F11" s="2">
        <v>784440</v>
      </c>
    </row>
    <row r="12" spans="1:6" x14ac:dyDescent="0.3">
      <c r="A12" s="1" t="s">
        <v>9</v>
      </c>
      <c r="B12" s="2">
        <f t="shared" si="0"/>
        <v>-4456685</v>
      </c>
      <c r="C12" s="2">
        <v>0</v>
      </c>
      <c r="D12" s="2">
        <v>0</v>
      </c>
      <c r="E12" s="2">
        <v>4456685</v>
      </c>
      <c r="F12" s="2">
        <v>2741620</v>
      </c>
    </row>
    <row r="13" spans="1:6" x14ac:dyDescent="0.3">
      <c r="A13" s="1" t="s">
        <v>10</v>
      </c>
      <c r="B13" s="2">
        <f t="shared" si="0"/>
        <v>-2875547</v>
      </c>
      <c r="C13" s="2">
        <v>0</v>
      </c>
      <c r="D13" s="2">
        <v>0</v>
      </c>
      <c r="E13" s="2">
        <v>2875547</v>
      </c>
      <c r="F13" s="2">
        <v>2055740</v>
      </c>
    </row>
    <row r="14" spans="1:6" x14ac:dyDescent="0.3">
      <c r="A14" s="1" t="s">
        <v>11</v>
      </c>
      <c r="B14" s="2">
        <f t="shared" si="0"/>
        <v>-3695311</v>
      </c>
      <c r="C14" s="2">
        <v>0</v>
      </c>
      <c r="D14" s="2">
        <v>0</v>
      </c>
      <c r="E14" s="2">
        <v>3695311</v>
      </c>
      <c r="F14" s="2">
        <v>2280773</v>
      </c>
    </row>
    <row r="15" spans="1:6" ht="17.25" thickBot="1" x14ac:dyDescent="0.35">
      <c r="A15" s="4" t="s">
        <v>13</v>
      </c>
      <c r="B15" s="5">
        <f>SUM(B3:B14)</f>
        <v>-34827667</v>
      </c>
      <c r="C15" s="5">
        <f t="shared" ref="C15:F15" si="1">SUM(C3:C14)</f>
        <v>0</v>
      </c>
      <c r="D15" s="5">
        <f t="shared" si="1"/>
        <v>0</v>
      </c>
      <c r="E15" s="5">
        <f t="shared" si="1"/>
        <v>34827667</v>
      </c>
      <c r="F15" s="5">
        <f t="shared" si="1"/>
        <v>24556484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-2194330</v>
      </c>
      <c r="C3" s="2">
        <v>0</v>
      </c>
      <c r="D3" s="2">
        <v>0</v>
      </c>
      <c r="E3" s="2">
        <v>2194330</v>
      </c>
      <c r="F3" s="2">
        <v>1242065</v>
      </c>
    </row>
    <row r="4" spans="1:6" x14ac:dyDescent="0.3">
      <c r="A4" s="1" t="s">
        <v>1</v>
      </c>
      <c r="B4" s="2">
        <f t="shared" si="0"/>
        <v>-5327241</v>
      </c>
      <c r="C4" s="2">
        <v>0</v>
      </c>
      <c r="D4" s="2">
        <v>0</v>
      </c>
      <c r="E4" s="2">
        <v>5327241</v>
      </c>
      <c r="F4" s="2">
        <v>3258158</v>
      </c>
    </row>
    <row r="5" spans="1:6" x14ac:dyDescent="0.3">
      <c r="A5" s="1" t="s">
        <v>2</v>
      </c>
      <c r="B5" s="2">
        <f t="shared" si="0"/>
        <v>-2446174</v>
      </c>
      <c r="C5" s="2">
        <v>0</v>
      </c>
      <c r="D5" s="2">
        <v>0</v>
      </c>
      <c r="E5" s="2">
        <v>2446174</v>
      </c>
      <c r="F5" s="2">
        <v>1411513</v>
      </c>
    </row>
    <row r="6" spans="1:6" x14ac:dyDescent="0.3">
      <c r="A6" s="1" t="s">
        <v>3</v>
      </c>
      <c r="B6" s="2">
        <f t="shared" si="0"/>
        <v>-1470510</v>
      </c>
      <c r="C6" s="2">
        <v>0</v>
      </c>
      <c r="D6" s="2">
        <v>0</v>
      </c>
      <c r="E6" s="2">
        <v>1470510</v>
      </c>
      <c r="F6" s="2">
        <v>786360</v>
      </c>
    </row>
    <row r="7" spans="1:6" x14ac:dyDescent="0.3">
      <c r="A7" s="1" t="s">
        <v>4</v>
      </c>
      <c r="B7" s="2">
        <f t="shared" si="0"/>
        <v>-1081838</v>
      </c>
      <c r="C7" s="2">
        <v>0</v>
      </c>
      <c r="D7" s="2">
        <v>0</v>
      </c>
      <c r="E7" s="2">
        <v>1081838</v>
      </c>
      <c r="F7" s="2">
        <v>591880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-395298</v>
      </c>
      <c r="C9" s="2">
        <v>0</v>
      </c>
      <c r="D9" s="2">
        <v>0</v>
      </c>
      <c r="E9" s="2">
        <v>395298</v>
      </c>
      <c r="F9" s="2">
        <v>238820</v>
      </c>
    </row>
    <row r="10" spans="1:6" x14ac:dyDescent="0.3">
      <c r="A10" s="1" t="s">
        <v>7</v>
      </c>
      <c r="B10" s="2">
        <f t="shared" si="0"/>
        <v>-3475754</v>
      </c>
      <c r="C10" s="2">
        <v>0</v>
      </c>
      <c r="D10" s="2">
        <v>0</v>
      </c>
      <c r="E10" s="2">
        <v>3475754</v>
      </c>
      <c r="F10" s="2">
        <v>1212220</v>
      </c>
    </row>
    <row r="11" spans="1:6" x14ac:dyDescent="0.3">
      <c r="A11" s="1" t="s">
        <v>8</v>
      </c>
      <c r="B11" s="2">
        <f t="shared" si="0"/>
        <v>-483448</v>
      </c>
      <c r="C11" s="2">
        <v>0</v>
      </c>
      <c r="D11" s="2">
        <v>0</v>
      </c>
      <c r="E11" s="2">
        <v>483448</v>
      </c>
      <c r="F11" s="2">
        <v>217280</v>
      </c>
    </row>
    <row r="12" spans="1:6" x14ac:dyDescent="0.3">
      <c r="A12" s="1" t="s">
        <v>9</v>
      </c>
      <c r="B12" s="2">
        <f t="shared" si="0"/>
        <v>-3099221</v>
      </c>
      <c r="C12" s="2">
        <v>0</v>
      </c>
      <c r="D12" s="2">
        <v>0</v>
      </c>
      <c r="E12" s="2">
        <v>3099221</v>
      </c>
      <c r="F12" s="2">
        <v>1115107</v>
      </c>
    </row>
    <row r="13" spans="1:6" x14ac:dyDescent="0.3">
      <c r="A13" s="1" t="s">
        <v>10</v>
      </c>
      <c r="B13" s="2">
        <f t="shared" si="0"/>
        <v>-8376257</v>
      </c>
      <c r="C13" s="2">
        <v>0</v>
      </c>
      <c r="D13" s="2">
        <v>0</v>
      </c>
      <c r="E13" s="2">
        <v>8376257</v>
      </c>
      <c r="F13" s="2">
        <v>2756470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-28350071</v>
      </c>
      <c r="C15" s="5">
        <f t="shared" ref="C15:F15" si="1">SUM(C3:C14)</f>
        <v>0</v>
      </c>
      <c r="D15" s="5">
        <f t="shared" si="1"/>
        <v>0</v>
      </c>
      <c r="E15" s="5">
        <f t="shared" si="1"/>
        <v>28350071</v>
      </c>
      <c r="F15" s="5">
        <f t="shared" si="1"/>
        <v>12829873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-92455</v>
      </c>
      <c r="C3" s="2">
        <v>0</v>
      </c>
      <c r="D3" s="2">
        <v>0</v>
      </c>
      <c r="E3" s="2">
        <v>92455</v>
      </c>
      <c r="F3" s="2">
        <v>39948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-18</v>
      </c>
      <c r="C5" s="2">
        <v>0</v>
      </c>
      <c r="D5" s="2">
        <v>0</v>
      </c>
      <c r="E5" s="2">
        <v>18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-1381</v>
      </c>
      <c r="C7" s="2">
        <v>0</v>
      </c>
      <c r="D7" s="2">
        <v>0</v>
      </c>
      <c r="E7" s="2">
        <v>1381</v>
      </c>
      <c r="F7" s="2">
        <v>110</v>
      </c>
    </row>
    <row r="8" spans="1:6" x14ac:dyDescent="0.3">
      <c r="A8" s="1" t="s">
        <v>5</v>
      </c>
      <c r="B8" s="2">
        <f t="shared" si="0"/>
        <v>-1549974</v>
      </c>
      <c r="C8" s="2">
        <v>0</v>
      </c>
      <c r="D8" s="2">
        <v>0</v>
      </c>
      <c r="E8" s="2">
        <v>1549974</v>
      </c>
      <c r="F8" s="2">
        <v>952892</v>
      </c>
    </row>
    <row r="9" spans="1:6" x14ac:dyDescent="0.3">
      <c r="A9" s="1" t="s">
        <v>6</v>
      </c>
      <c r="B9" s="2">
        <f t="shared" si="0"/>
        <v>-566092</v>
      </c>
      <c r="C9" s="2">
        <v>0</v>
      </c>
      <c r="D9" s="2">
        <v>0</v>
      </c>
      <c r="E9" s="2">
        <v>566092</v>
      </c>
      <c r="F9" s="2">
        <v>325340</v>
      </c>
    </row>
    <row r="10" spans="1:6" x14ac:dyDescent="0.3">
      <c r="A10" s="1" t="s">
        <v>7</v>
      </c>
      <c r="B10" s="2">
        <f t="shared" si="0"/>
        <v>-170189</v>
      </c>
      <c r="C10" s="2">
        <v>0</v>
      </c>
      <c r="D10" s="2">
        <v>0</v>
      </c>
      <c r="E10" s="2">
        <v>170189</v>
      </c>
      <c r="F10" s="2">
        <v>111217</v>
      </c>
    </row>
    <row r="11" spans="1:6" x14ac:dyDescent="0.3">
      <c r="A11" s="1" t="s">
        <v>8</v>
      </c>
      <c r="B11" s="2">
        <f t="shared" si="0"/>
        <v>-1308485</v>
      </c>
      <c r="C11" s="2">
        <v>0</v>
      </c>
      <c r="D11" s="2">
        <v>0</v>
      </c>
      <c r="E11" s="2">
        <v>1308485</v>
      </c>
      <c r="F11" s="2">
        <v>1025822</v>
      </c>
    </row>
    <row r="12" spans="1:6" x14ac:dyDescent="0.3">
      <c r="A12" s="1" t="s">
        <v>9</v>
      </c>
      <c r="B12" s="2">
        <f t="shared" si="0"/>
        <v>-2998433</v>
      </c>
      <c r="C12" s="2">
        <v>0</v>
      </c>
      <c r="D12" s="2">
        <v>0</v>
      </c>
      <c r="E12" s="2">
        <v>2998433</v>
      </c>
      <c r="F12" s="2">
        <v>2506014</v>
      </c>
    </row>
    <row r="13" spans="1:6" x14ac:dyDescent="0.3">
      <c r="A13" s="1" t="s">
        <v>10</v>
      </c>
      <c r="B13" s="2">
        <f t="shared" si="0"/>
        <v>-555299</v>
      </c>
      <c r="C13" s="2">
        <v>0</v>
      </c>
      <c r="D13" s="2">
        <v>0</v>
      </c>
      <c r="E13" s="2">
        <v>555299</v>
      </c>
      <c r="F13" s="2">
        <v>526350</v>
      </c>
    </row>
    <row r="14" spans="1:6" x14ac:dyDescent="0.3">
      <c r="A14" s="1" t="s">
        <v>11</v>
      </c>
      <c r="B14" s="2">
        <f t="shared" si="0"/>
        <v>-1942058</v>
      </c>
      <c r="C14" s="2">
        <v>0</v>
      </c>
      <c r="D14" s="2">
        <v>0</v>
      </c>
      <c r="E14" s="2">
        <v>1942058</v>
      </c>
      <c r="F14" s="2">
        <v>1425000</v>
      </c>
    </row>
    <row r="15" spans="1:6" ht="17.25" thickBot="1" x14ac:dyDescent="0.35">
      <c r="A15" s="4" t="s">
        <v>13</v>
      </c>
      <c r="B15" s="5">
        <f>SUM(B3:B14)</f>
        <v>-9184384</v>
      </c>
      <c r="C15" s="5">
        <f t="shared" ref="C15:F15" si="1">SUM(C3:C14)</f>
        <v>0</v>
      </c>
      <c r="D15" s="5">
        <f t="shared" si="1"/>
        <v>0</v>
      </c>
      <c r="E15" s="5">
        <f t="shared" si="1"/>
        <v>9184384</v>
      </c>
      <c r="F15" s="5">
        <f t="shared" si="1"/>
        <v>6912694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-1109955</v>
      </c>
      <c r="C3" s="2">
        <v>0</v>
      </c>
      <c r="D3" s="2">
        <v>0</v>
      </c>
      <c r="E3" s="2">
        <v>1109955</v>
      </c>
      <c r="F3" s="2">
        <v>942980</v>
      </c>
    </row>
    <row r="4" spans="1:6" x14ac:dyDescent="0.3">
      <c r="A4" s="1" t="s">
        <v>1</v>
      </c>
      <c r="B4" s="2">
        <f t="shared" si="0"/>
        <v>-727676</v>
      </c>
      <c r="C4" s="2">
        <v>0</v>
      </c>
      <c r="D4" s="2">
        <v>0</v>
      </c>
      <c r="E4" s="2">
        <v>727676</v>
      </c>
      <c r="F4" s="2">
        <v>547570</v>
      </c>
    </row>
    <row r="5" spans="1:6" x14ac:dyDescent="0.3">
      <c r="A5" s="1" t="s">
        <v>2</v>
      </c>
      <c r="B5" s="2">
        <f t="shared" si="0"/>
        <v>-465484</v>
      </c>
      <c r="C5" s="2">
        <v>0</v>
      </c>
      <c r="D5" s="2">
        <v>0</v>
      </c>
      <c r="E5" s="2">
        <v>465484</v>
      </c>
      <c r="F5" s="2">
        <v>365809</v>
      </c>
    </row>
    <row r="6" spans="1:6" x14ac:dyDescent="0.3">
      <c r="A6" s="1" t="s">
        <v>3</v>
      </c>
      <c r="B6" s="2">
        <f t="shared" si="0"/>
        <v>-490840</v>
      </c>
      <c r="C6" s="2">
        <v>0</v>
      </c>
      <c r="D6" s="2">
        <v>0</v>
      </c>
      <c r="E6" s="2">
        <v>490840</v>
      </c>
      <c r="F6" s="2">
        <v>405710</v>
      </c>
    </row>
    <row r="7" spans="1:6" x14ac:dyDescent="0.3">
      <c r="A7" s="1" t="s">
        <v>4</v>
      </c>
      <c r="B7" s="2">
        <f t="shared" si="0"/>
        <v>-2530620</v>
      </c>
      <c r="C7" s="2">
        <v>0</v>
      </c>
      <c r="D7" s="2">
        <v>0</v>
      </c>
      <c r="E7" s="2">
        <v>2530620</v>
      </c>
      <c r="F7" s="2">
        <v>1916602</v>
      </c>
    </row>
    <row r="8" spans="1:6" x14ac:dyDescent="0.3">
      <c r="A8" s="1" t="s">
        <v>5</v>
      </c>
      <c r="B8" s="2">
        <f t="shared" si="0"/>
        <v>-1502450</v>
      </c>
      <c r="C8" s="2">
        <v>0</v>
      </c>
      <c r="D8" s="2">
        <v>0</v>
      </c>
      <c r="E8" s="2">
        <v>1502450</v>
      </c>
      <c r="F8" s="2">
        <v>1238680</v>
      </c>
    </row>
    <row r="9" spans="1:6" x14ac:dyDescent="0.3">
      <c r="A9" s="1" t="s">
        <v>6</v>
      </c>
      <c r="B9" s="2">
        <f t="shared" si="0"/>
        <v>-695029</v>
      </c>
      <c r="C9" s="2">
        <v>0</v>
      </c>
      <c r="D9" s="2">
        <v>0</v>
      </c>
      <c r="E9" s="2">
        <v>695029</v>
      </c>
      <c r="F9" s="2">
        <v>653560</v>
      </c>
    </row>
    <row r="10" spans="1:6" x14ac:dyDescent="0.3">
      <c r="A10" s="1" t="s">
        <v>7</v>
      </c>
      <c r="B10" s="2">
        <f t="shared" si="0"/>
        <v>-341721</v>
      </c>
      <c r="C10" s="2">
        <v>0</v>
      </c>
      <c r="D10" s="2">
        <v>0</v>
      </c>
      <c r="E10" s="2">
        <v>341721</v>
      </c>
      <c r="F10" s="2">
        <v>300510</v>
      </c>
    </row>
    <row r="11" spans="1:6" x14ac:dyDescent="0.3">
      <c r="A11" s="1" t="s">
        <v>8</v>
      </c>
      <c r="B11" s="2">
        <f t="shared" si="0"/>
        <v>-923311</v>
      </c>
      <c r="C11" s="2">
        <v>0</v>
      </c>
      <c r="D11" s="2">
        <v>0</v>
      </c>
      <c r="E11" s="2">
        <v>923311</v>
      </c>
      <c r="F11" s="2">
        <v>774204</v>
      </c>
    </row>
    <row r="12" spans="1:6" x14ac:dyDescent="0.3">
      <c r="A12" s="1" t="s">
        <v>9</v>
      </c>
      <c r="B12" s="2">
        <f t="shared" si="0"/>
        <v>-2702564</v>
      </c>
      <c r="C12" s="2">
        <v>0</v>
      </c>
      <c r="D12" s="2">
        <v>0</v>
      </c>
      <c r="E12" s="2">
        <v>2702564</v>
      </c>
      <c r="F12" s="2">
        <v>2114681</v>
      </c>
    </row>
    <row r="13" spans="1:6" x14ac:dyDescent="0.3">
      <c r="A13" s="1" t="s">
        <v>10</v>
      </c>
      <c r="B13" s="2">
        <f t="shared" si="0"/>
        <v>-21581</v>
      </c>
      <c r="C13" s="2">
        <v>0</v>
      </c>
      <c r="D13" s="2">
        <v>0</v>
      </c>
      <c r="E13" s="2">
        <v>21581</v>
      </c>
      <c r="F13" s="2">
        <v>8832</v>
      </c>
    </row>
    <row r="14" spans="1:6" x14ac:dyDescent="0.3">
      <c r="A14" s="1" t="s">
        <v>11</v>
      </c>
      <c r="B14" s="2">
        <f t="shared" si="0"/>
        <v>-27840</v>
      </c>
      <c r="C14" s="2">
        <v>0</v>
      </c>
      <c r="D14" s="2">
        <v>0</v>
      </c>
      <c r="E14" s="2">
        <v>27840</v>
      </c>
      <c r="F14" s="2">
        <v>24000</v>
      </c>
    </row>
    <row r="15" spans="1:6" ht="17.25" thickBot="1" x14ac:dyDescent="0.35">
      <c r="A15" s="4" t="s">
        <v>13</v>
      </c>
      <c r="B15" s="5">
        <f>SUM(B3:B14)</f>
        <v>-11539071</v>
      </c>
      <c r="C15" s="5">
        <f t="shared" ref="C15:F15" si="1">SUM(C3:C14)</f>
        <v>0</v>
      </c>
      <c r="D15" s="5">
        <f t="shared" si="1"/>
        <v>0</v>
      </c>
      <c r="E15" s="5">
        <f t="shared" si="1"/>
        <v>11539071</v>
      </c>
      <c r="F15" s="5">
        <f t="shared" si="1"/>
        <v>9293138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-243840</v>
      </c>
      <c r="C3" s="2">
        <v>0</v>
      </c>
      <c r="D3" s="2">
        <v>0</v>
      </c>
      <c r="E3" s="2">
        <v>243840</v>
      </c>
      <c r="F3" s="2">
        <v>192000</v>
      </c>
    </row>
    <row r="4" spans="1:6" x14ac:dyDescent="0.3">
      <c r="A4" s="1" t="s">
        <v>1</v>
      </c>
      <c r="B4" s="2">
        <f t="shared" si="0"/>
        <v>-162708</v>
      </c>
      <c r="C4" s="2">
        <v>0</v>
      </c>
      <c r="D4" s="2">
        <v>0</v>
      </c>
      <c r="E4" s="2">
        <v>162708</v>
      </c>
      <c r="F4" s="2">
        <v>109200</v>
      </c>
    </row>
    <row r="5" spans="1:6" x14ac:dyDescent="0.3">
      <c r="A5" s="1" t="s">
        <v>2</v>
      </c>
      <c r="B5" s="2">
        <f t="shared" si="0"/>
        <v>-485743</v>
      </c>
      <c r="C5" s="2">
        <v>0</v>
      </c>
      <c r="D5" s="2">
        <v>0</v>
      </c>
      <c r="E5" s="2">
        <v>485743</v>
      </c>
      <c r="F5" s="2">
        <v>280399</v>
      </c>
    </row>
    <row r="6" spans="1:6" x14ac:dyDescent="0.3">
      <c r="A6" s="1" t="s">
        <v>3</v>
      </c>
      <c r="B6" s="2">
        <f t="shared" si="0"/>
        <v>-1772603</v>
      </c>
      <c r="C6" s="2">
        <v>0</v>
      </c>
      <c r="D6" s="2">
        <v>0</v>
      </c>
      <c r="E6" s="2">
        <v>1772603</v>
      </c>
      <c r="F6" s="2">
        <v>1123562</v>
      </c>
    </row>
    <row r="7" spans="1:6" x14ac:dyDescent="0.3">
      <c r="A7" s="1" t="s">
        <v>4</v>
      </c>
      <c r="B7" s="2">
        <f t="shared" si="0"/>
        <v>-348688</v>
      </c>
      <c r="C7" s="2">
        <v>0</v>
      </c>
      <c r="D7" s="2">
        <v>0</v>
      </c>
      <c r="E7" s="2">
        <v>348688</v>
      </c>
      <c r="F7" s="2">
        <v>195305</v>
      </c>
    </row>
    <row r="8" spans="1:6" x14ac:dyDescent="0.3">
      <c r="A8" s="1" t="s">
        <v>5</v>
      </c>
      <c r="B8" s="2">
        <f t="shared" si="0"/>
        <v>-571620</v>
      </c>
      <c r="C8" s="2">
        <v>0</v>
      </c>
      <c r="D8" s="2">
        <v>0</v>
      </c>
      <c r="E8" s="2">
        <v>571620</v>
      </c>
      <c r="F8" s="2">
        <v>361022</v>
      </c>
    </row>
    <row r="9" spans="1:6" x14ac:dyDescent="0.3">
      <c r="A9" s="1" t="s">
        <v>6</v>
      </c>
      <c r="B9" s="2">
        <f t="shared" si="0"/>
        <v>-666805</v>
      </c>
      <c r="C9" s="2">
        <v>0</v>
      </c>
      <c r="D9" s="2">
        <v>0</v>
      </c>
      <c r="E9" s="2">
        <v>666805</v>
      </c>
      <c r="F9" s="2">
        <v>331566</v>
      </c>
    </row>
    <row r="10" spans="1:6" x14ac:dyDescent="0.3">
      <c r="A10" s="1" t="s">
        <v>7</v>
      </c>
      <c r="B10" s="2">
        <f t="shared" si="0"/>
        <v>-1683756</v>
      </c>
      <c r="C10" s="2">
        <v>0</v>
      </c>
      <c r="D10" s="2">
        <v>0</v>
      </c>
      <c r="E10" s="2">
        <v>1683756</v>
      </c>
      <c r="F10" s="2">
        <v>948496</v>
      </c>
    </row>
    <row r="11" spans="1:6" x14ac:dyDescent="0.3">
      <c r="A11" s="1" t="s">
        <v>8</v>
      </c>
      <c r="B11" s="2">
        <f t="shared" si="0"/>
        <v>-1152565</v>
      </c>
      <c r="C11" s="2">
        <v>0</v>
      </c>
      <c r="D11" s="2">
        <v>0</v>
      </c>
      <c r="E11" s="2">
        <v>1152565</v>
      </c>
      <c r="F11" s="2">
        <v>506207</v>
      </c>
    </row>
    <row r="12" spans="1:6" x14ac:dyDescent="0.3">
      <c r="A12" s="1" t="s">
        <v>9</v>
      </c>
      <c r="B12" s="2">
        <f t="shared" si="0"/>
        <v>-523325</v>
      </c>
      <c r="C12" s="2">
        <v>0</v>
      </c>
      <c r="D12" s="2">
        <v>0</v>
      </c>
      <c r="E12" s="2">
        <v>523325</v>
      </c>
      <c r="F12" s="2">
        <v>284046</v>
      </c>
    </row>
    <row r="13" spans="1:6" x14ac:dyDescent="0.3">
      <c r="A13" s="1" t="s">
        <v>10</v>
      </c>
      <c r="B13" s="2">
        <f t="shared" si="0"/>
        <v>-1214197</v>
      </c>
      <c r="C13" s="2">
        <v>0</v>
      </c>
      <c r="D13" s="2">
        <v>0</v>
      </c>
      <c r="E13" s="2">
        <v>1214197</v>
      </c>
      <c r="F13" s="2">
        <v>660539</v>
      </c>
    </row>
    <row r="14" spans="1:6" x14ac:dyDescent="0.3">
      <c r="A14" s="1" t="s">
        <v>11</v>
      </c>
      <c r="B14" s="2">
        <f t="shared" si="0"/>
        <v>-1838697</v>
      </c>
      <c r="C14" s="2">
        <v>0</v>
      </c>
      <c r="D14" s="2">
        <v>0</v>
      </c>
      <c r="E14" s="2">
        <v>1838697</v>
      </c>
      <c r="F14" s="2">
        <v>1037531</v>
      </c>
    </row>
    <row r="15" spans="1:6" ht="17.25" thickBot="1" x14ac:dyDescent="0.35">
      <c r="A15" s="4" t="s">
        <v>13</v>
      </c>
      <c r="B15" s="5">
        <f>SUM(B3:B14)</f>
        <v>-10664547</v>
      </c>
      <c r="C15" s="5">
        <f t="shared" ref="C15:F15" si="1">SUM(C3:C14)</f>
        <v>0</v>
      </c>
      <c r="D15" s="5">
        <f t="shared" si="1"/>
        <v>0</v>
      </c>
      <c r="E15" s="5">
        <f t="shared" si="1"/>
        <v>10664547</v>
      </c>
      <c r="F15" s="5">
        <f t="shared" si="1"/>
        <v>6029873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-1061092</v>
      </c>
      <c r="C3" s="2">
        <v>0</v>
      </c>
      <c r="D3" s="2">
        <v>0</v>
      </c>
      <c r="E3" s="2">
        <v>1061092</v>
      </c>
      <c r="F3" s="2">
        <v>622079</v>
      </c>
    </row>
    <row r="4" spans="1:6" x14ac:dyDescent="0.3">
      <c r="A4" s="1" t="s">
        <v>1</v>
      </c>
      <c r="B4" s="2">
        <f t="shared" si="0"/>
        <v>-1336880</v>
      </c>
      <c r="C4" s="2">
        <v>0</v>
      </c>
      <c r="D4" s="2">
        <v>0</v>
      </c>
      <c r="E4" s="2">
        <v>1336880</v>
      </c>
      <c r="F4" s="2">
        <v>862099</v>
      </c>
    </row>
    <row r="5" spans="1:6" x14ac:dyDescent="0.3">
      <c r="A5" s="1" t="s">
        <v>2</v>
      </c>
      <c r="B5" s="2">
        <f t="shared" si="0"/>
        <v>-1979558</v>
      </c>
      <c r="C5" s="2">
        <v>0</v>
      </c>
      <c r="D5" s="2">
        <v>0</v>
      </c>
      <c r="E5" s="2">
        <v>1979558</v>
      </c>
      <c r="F5" s="2">
        <v>1067888</v>
      </c>
    </row>
    <row r="6" spans="1:6" x14ac:dyDescent="0.3">
      <c r="A6" s="1" t="s">
        <v>3</v>
      </c>
      <c r="B6" s="2">
        <f t="shared" si="0"/>
        <v>-1111646</v>
      </c>
      <c r="C6" s="2">
        <v>0</v>
      </c>
      <c r="D6" s="2">
        <v>0</v>
      </c>
      <c r="E6" s="2">
        <v>1111646</v>
      </c>
      <c r="F6" s="2">
        <v>646480</v>
      </c>
    </row>
    <row r="7" spans="1:6" x14ac:dyDescent="0.3">
      <c r="A7" s="1" t="s">
        <v>4</v>
      </c>
      <c r="B7" s="2">
        <f t="shared" si="0"/>
        <v>-72185</v>
      </c>
      <c r="C7" s="2">
        <v>0</v>
      </c>
      <c r="D7" s="2">
        <v>0</v>
      </c>
      <c r="E7" s="2">
        <v>72185</v>
      </c>
      <c r="F7" s="2">
        <v>47600</v>
      </c>
    </row>
    <row r="8" spans="1:6" x14ac:dyDescent="0.3">
      <c r="A8" s="1" t="s">
        <v>5</v>
      </c>
      <c r="B8" s="2">
        <f t="shared" si="0"/>
        <v>-36093</v>
      </c>
      <c r="C8" s="2">
        <v>0</v>
      </c>
      <c r="D8" s="2">
        <v>0</v>
      </c>
      <c r="E8" s="2">
        <v>36093</v>
      </c>
      <c r="F8" s="2">
        <v>23800</v>
      </c>
    </row>
    <row r="9" spans="1:6" x14ac:dyDescent="0.3">
      <c r="A9" s="1" t="s">
        <v>6</v>
      </c>
      <c r="B9" s="2">
        <f t="shared" si="0"/>
        <v>-505046</v>
      </c>
      <c r="C9" s="2">
        <v>0</v>
      </c>
      <c r="D9" s="2">
        <v>0</v>
      </c>
      <c r="E9" s="2">
        <v>505046</v>
      </c>
      <c r="F9" s="2">
        <v>278320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-6102500</v>
      </c>
      <c r="C15" s="5">
        <f t="shared" ref="C15:F15" si="1">SUM(C3:C14)</f>
        <v>0</v>
      </c>
      <c r="D15" s="5">
        <f t="shared" si="1"/>
        <v>0</v>
      </c>
      <c r="E15" s="5">
        <f t="shared" si="1"/>
        <v>6102500</v>
      </c>
      <c r="F15" s="5">
        <f t="shared" si="1"/>
        <v>3548266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2026-09-02T04:18:04Z</dcterms:modified>
</cp:coreProperties>
</file>